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</sheets>
  <definedNames>
    <definedName name="_xlnm._FilterDatabase" localSheetId="4" hidden="1">'Productos'!$A$1:$AR$370</definedName>
    <definedName name="_xlnm._FilterDatabase" localSheetId="7" hidden="1">'Revisión Duplicados'!$A$1:$AU$2</definedName>
    <definedName name="_xlnm._FilterDatabase" localSheetId="8" hidden="1">'Stock por Ubicación'!$A$1:$J$770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</numFmts>
  <fonts count="40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</fonts>
  <fills count="21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37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196715029679</t>
        </is>
      </c>
      <c r="B2" s="51" t="inlineStr">
        <is>
          <t>62741</t>
        </is>
      </c>
      <c r="C2" s="156" t="inlineStr">
        <is>
          <t>CAPSLAB</t>
        </is>
      </c>
      <c r="D2" s="156" t="inlineStr">
        <is>
          <t>CAPASS01BLUE-W6</t>
        </is>
      </c>
      <c r="E2" s="156" t="inlineStr">
        <is>
          <t>CAPASS01BLUE-W6-UNI</t>
        </is>
      </c>
      <c r="F2" s="156" t="inlineStr">
        <is>
          <t>Talla única</t>
        </is>
      </c>
      <c r="G2" s="156" t="inlineStr">
        <is>
          <t>One Size</t>
        </is>
      </c>
      <c r="H2" s="156" t="inlineStr">
        <is>
          <t>CAPSLAB</t>
        </is>
      </c>
      <c r="I2" s="156" t="inlineStr">
        <is>
          <t>Gorra CAPSLAB Assassins Creed Azul</t>
        </is>
      </c>
      <c r="J2" s="156" t="inlineStr">
        <is>
          <t>Accesorios</t>
        </is>
      </c>
      <c r="K2" s="156" t="inlineStr">
        <is>
          <t>Gorras</t>
        </is>
      </c>
      <c r="L2" s="156" t="inlineStr">
        <is>
          <t>Unisex</t>
        </is>
      </c>
      <c r="M2" s="156" t="inlineStr">
        <is>
          <t>Assassins Creed</t>
        </is>
      </c>
      <c r="N2" s="156" t="n"/>
      <c r="O2" s="156" t="n"/>
      <c r="P2" s="156" t="inlineStr">
        <is>
          <t>Azul</t>
        </is>
      </c>
      <c r="Q2" s="156" t="n"/>
      <c r="R2" s="156" t="n"/>
      <c r="S2" s="156" t="inlineStr">
        <is>
          <t>Algodón / Poliéster</t>
        </is>
      </c>
      <c r="T2" s="156" t="inlineStr">
        <is>
          <t>Gorra de la marca CAPSLAB bajo licencia oficial Assassins Creed. Talla única ajustable. Estilo CAPASS01BLUE-W6.</t>
        </is>
      </c>
      <c r="U2" s="156" t="n"/>
      <c r="V2" s="156" t="inlineStr">
        <is>
          <t>PZS</t>
        </is>
      </c>
      <c r="W2" s="51" t="inlineStr">
        <is>
          <t>53102516</t>
        </is>
      </c>
      <c r="X2" s="156" t="inlineStr">
        <is>
          <t>https://7913364.app.netsuite.com/core/media/media.nl?id=188437&amp;c=7913364&amp;h=ovSByWqMXPmI9LEKO3FZ1v87FGgIlEFcE2OsRqWRCanziUaV</t>
        </is>
      </c>
      <c r="Y2" s="54" t="n">
        <v>10.5</v>
      </c>
      <c r="Z2" s="54" t="n">
        <v>699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IFERROR(_xlfn.XMATCH(A2,$A$2:$A$370,0,1)&lt;&gt;_xlfn.XMATCH(A2,$A$2:$A$370,0,-1),FALSE)), "Código de barras duplicado", ""), IF(AND(E2&lt;&gt;"", COUNTIF($E$2:$E$370,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39</v>
      </c>
      <c r="AE2" s="156" t="inlineStr">
        <is>
          <t>Web (3); CL Muestras (1); CL POS (5); CAPSLAB Warehouse (14)</t>
        </is>
      </c>
      <c r="AF2" s="51" t="n">
        <v>39</v>
      </c>
      <c r="AG2" s="156" t="inlineStr">
        <is>
          <t>Nuevo – NetSuite con existencia</t>
        </is>
      </c>
      <c r="AH2" s="156" t="inlineStr">
        <is>
          <t>Composición CAPSLAB varía por modelo (50/50, 40/60 o 100% poliéster): validar etiqueta; Físico total NetSuite 39 ≠ suma por ubicación 23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" s="156" t="inlineStr">
        <is>
          <t>No</t>
        </is>
      </c>
      <c r="AJ2" s="156" t="n"/>
      <c r="AK2" s="155" t="inlineStr">
        <is>
          <t>G1522ProductosTodosloscamposSandboxResults894.xlsx: fila 46187 [Y]; G1522_Extraccion_Articulos_NetSuite_2026-09-30.xlsx: fila 24676 [Z]</t>
        </is>
      </c>
      <c r="AL2" s="58" t="n">
        <v>10.5</v>
      </c>
      <c r="AM2" s="58" t="n"/>
      <c r="AN2" s="155" t="n"/>
      <c r="AO2" s="59" t="n"/>
      <c r="AP2" s="59" t="n"/>
      <c r="AQ2" s="59" t="n"/>
      <c r="AR2" s="155" t="n"/>
    </row>
    <row r="3">
      <c r="A3" s="50" t="inlineStr">
        <is>
          <t>196715028887</t>
        </is>
      </c>
      <c r="B3" s="51" t="inlineStr">
        <is>
          <t>62742</t>
        </is>
      </c>
      <c r="C3" s="156" t="inlineStr">
        <is>
          <t>CAPSLAB</t>
        </is>
      </c>
      <c r="D3" s="156" t="inlineStr">
        <is>
          <t>CAPASS01CAM2-W6</t>
        </is>
      </c>
      <c r="E3" s="156" t="inlineStr">
        <is>
          <t>CAPASS01CAM2-W6-UNI</t>
        </is>
      </c>
      <c r="F3" s="156" t="inlineStr">
        <is>
          <t>Talla única</t>
        </is>
      </c>
      <c r="G3" s="156" t="inlineStr">
        <is>
          <t>One Size</t>
        </is>
      </c>
      <c r="H3" s="156" t="inlineStr">
        <is>
          <t>CAPSLAB</t>
        </is>
      </c>
      <c r="I3" s="156" t="inlineStr">
        <is>
          <t>Gorra CAPSLAB Assassins Creed Gris</t>
        </is>
      </c>
      <c r="J3" s="156" t="inlineStr">
        <is>
          <t>Accesorios</t>
        </is>
      </c>
      <c r="K3" s="156" t="inlineStr">
        <is>
          <t>Gorras</t>
        </is>
      </c>
      <c r="L3" s="156" t="inlineStr">
        <is>
          <t>Unisex</t>
        </is>
      </c>
      <c r="M3" s="156" t="inlineStr">
        <is>
          <t>Assassins Creed</t>
        </is>
      </c>
      <c r="N3" s="156" t="n"/>
      <c r="O3" s="156" t="n"/>
      <c r="P3" s="156" t="inlineStr">
        <is>
          <t>Gris</t>
        </is>
      </c>
      <c r="Q3" s="156" t="n"/>
      <c r="R3" s="156" t="n"/>
      <c r="S3" s="156" t="inlineStr">
        <is>
          <t>Algodón / Poliéster</t>
        </is>
      </c>
      <c r="T3" s="156" t="inlineStr">
        <is>
          <t>Gorra de la marca CAPSLAB bajo licencia oficial Assassins Creed. Talla única ajustable. Estilo CAPASS01CAM2-W6.</t>
        </is>
      </c>
      <c r="U3" s="156" t="n"/>
      <c r="V3" s="156" t="inlineStr">
        <is>
          <t>PZS</t>
        </is>
      </c>
      <c r="W3" s="51" t="inlineStr">
        <is>
          <t>53102516</t>
        </is>
      </c>
      <c r="X3" s="156" t="inlineStr">
        <is>
          <t>https://7913364.app.netsuite.com/core/media/media.nl?id=188438&amp;c=7913364&amp;h=nBvqkbyZVdnDqB73RD863RMKOqcl0vOvRZouqbnUUyB_gKmJ</t>
        </is>
      </c>
      <c r="Y3" s="54" t="n">
        <v>10.5</v>
      </c>
      <c r="Z3" s="54" t="n">
        <v>699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IFERROR(_xlfn.XMATCH(A3,$A$2:$A$370,0,1)&lt;&gt;_xlfn.XMATCH(A3,$A$2:$A$370,0,-1),FALSE)), "Código de barras duplicado", ""), IF(AND(E3&lt;&gt;"", COUNTIF($E$2:$E$370,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44</v>
      </c>
      <c r="AE3" s="156" t="inlineStr">
        <is>
          <t>CL POS (5); Web (2); CAPSLAB Warehouse (18); CL Muestras (1)</t>
        </is>
      </c>
      <c r="AF3" s="51" t="n">
        <v>44</v>
      </c>
      <c r="AG3" s="156" t="inlineStr">
        <is>
          <t>Nuevo – NetSuite con existencia</t>
        </is>
      </c>
      <c r="AH3" s="156" t="inlineStr">
        <is>
          <t>Composición CAPSLAB varía por modelo (50/50, 40/60 o 100% poliéster): validar etiqueta; Físico total NetSuite 44 ≠ suma por ubicación 26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" s="156" t="inlineStr">
        <is>
          <t>No</t>
        </is>
      </c>
      <c r="AJ3" s="156" t="n"/>
      <c r="AK3" s="155" t="inlineStr">
        <is>
          <t>G1522ProductosTodosloscamposSandboxResults894.xlsx: fila 46189 [Y]; G1522_Extraccion_Articulos_NetSuite_2026-09-30.xlsx: fila 24677 [Z]</t>
        </is>
      </c>
      <c r="AL3" s="58" t="n">
        <v>10.5</v>
      </c>
      <c r="AM3" s="58" t="n"/>
      <c r="AN3" s="155" t="n"/>
      <c r="AO3" s="59" t="n"/>
      <c r="AP3" s="59" t="n"/>
      <c r="AQ3" s="59" t="n"/>
      <c r="AR3" s="155" t="n"/>
    </row>
    <row r="4">
      <c r="A4" s="50" t="inlineStr">
        <is>
          <t>196715028894</t>
        </is>
      </c>
      <c r="B4" s="51" t="inlineStr">
        <is>
          <t>62743</t>
        </is>
      </c>
      <c r="C4" s="156" t="inlineStr">
        <is>
          <t>CAPSLAB</t>
        </is>
      </c>
      <c r="D4" s="156" t="inlineStr">
        <is>
          <t>CAPASS01CAMO-W6</t>
        </is>
      </c>
      <c r="E4" s="156" t="inlineStr">
        <is>
          <t>CAPASS01CAMO-W6-UNI</t>
        </is>
      </c>
      <c r="F4" s="156" t="inlineStr">
        <is>
          <t>Talla única</t>
        </is>
      </c>
      <c r="G4" s="156" t="inlineStr">
        <is>
          <t>One Size</t>
        </is>
      </c>
      <c r="H4" s="156" t="inlineStr">
        <is>
          <t>CAPSLAB</t>
        </is>
      </c>
      <c r="I4" s="156" t="inlineStr">
        <is>
          <t>Gorra CAPSLAB Assassins Creed Verde</t>
        </is>
      </c>
      <c r="J4" s="156" t="inlineStr">
        <is>
          <t>Accesorios</t>
        </is>
      </c>
      <c r="K4" s="156" t="inlineStr">
        <is>
          <t>Gorras</t>
        </is>
      </c>
      <c r="L4" s="156" t="inlineStr">
        <is>
          <t>Unisex</t>
        </is>
      </c>
      <c r="M4" s="156" t="inlineStr">
        <is>
          <t>Assassins Creed</t>
        </is>
      </c>
      <c r="N4" s="156" t="n"/>
      <c r="O4" s="156" t="n"/>
      <c r="P4" s="156" t="inlineStr">
        <is>
          <t>Verde</t>
        </is>
      </c>
      <c r="Q4" s="156" t="n"/>
      <c r="R4" s="156" t="n"/>
      <c r="S4" s="156" t="inlineStr">
        <is>
          <t>Algodón / Poliéster</t>
        </is>
      </c>
      <c r="T4" s="156" t="inlineStr">
        <is>
          <t>Gorra de la marca CAPSLAB bajo licencia oficial Assassins Creed. Talla única ajustable. Estilo CAPASS01CAMO-W6.</t>
        </is>
      </c>
      <c r="U4" s="156" t="n"/>
      <c r="V4" s="156" t="inlineStr">
        <is>
          <t>PZS</t>
        </is>
      </c>
      <c r="W4" s="51" t="inlineStr">
        <is>
          <t>53102516</t>
        </is>
      </c>
      <c r="X4" s="156" t="inlineStr">
        <is>
          <t>https://7913364.app.netsuite.com/core/media/media.nl?id=188439&amp;c=7913364&amp;h=PT-Bhd-WdP59nCjjFTh05qS6z-91mmjxtXNf7AM33XHsF1t5</t>
        </is>
      </c>
      <c r="Y4" s="54" t="n">
        <v>10.5</v>
      </c>
      <c r="Z4" s="54" t="n">
        <v>699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IFERROR(_xlfn.XMATCH(A4,$A$2:$A$370,0,1)&lt;&gt;_xlfn.XMATCH(A4,$A$2:$A$370,0,-1),FALSE)), "Código de barras duplicado", ""), IF(AND(E4&lt;&gt;"", COUNTIF($E$2:$E$370,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10</v>
      </c>
      <c r="AE4" s="156" t="inlineStr">
        <is>
          <t>CL POS (4); CL Muestras (1); CAPSLAB Warehouse (2); Web (2)</t>
        </is>
      </c>
      <c r="AF4" s="51" t="n">
        <v>10</v>
      </c>
      <c r="AG4" s="156" t="inlineStr">
        <is>
          <t>Nuevo – NetSuite con existencia</t>
        </is>
      </c>
      <c r="AH4" s="156" t="inlineStr">
        <is>
          <t>Composición CAPSLAB varía por modelo (50/50, 40/60 o 100% poliéster): validar etiqueta; Físico total NetSuite 10 ≠ suma por ubicación 9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" s="156" t="inlineStr">
        <is>
          <t>No</t>
        </is>
      </c>
      <c r="AJ4" s="156" t="n"/>
      <c r="AK4" s="155" t="inlineStr">
        <is>
          <t>G1522ProductosTodosloscamposSandboxResults894.xlsx: fila 46191 [Y]; G1522_Extraccion_Articulos_NetSuite_2026-09-30.xlsx: fila 24678 [Z]</t>
        </is>
      </c>
      <c r="AL4" s="58" t="n">
        <v>10.5</v>
      </c>
      <c r="AM4" s="58" t="n"/>
      <c r="AN4" s="155" t="n"/>
      <c r="AO4" s="59" t="n"/>
      <c r="AP4" s="59" t="n"/>
      <c r="AQ4" s="59" t="n"/>
      <c r="AR4" s="155" t="n"/>
    </row>
    <row r="5">
      <c r="A5" s="50" t="inlineStr">
        <is>
          <t>196715029686</t>
        </is>
      </c>
      <c r="B5" s="51" t="inlineStr">
        <is>
          <t>62744</t>
        </is>
      </c>
      <c r="C5" s="156" t="inlineStr">
        <is>
          <t>CAPSLAB</t>
        </is>
      </c>
      <c r="D5" s="156" t="inlineStr">
        <is>
          <t>CAPASS01EDWA-W6</t>
        </is>
      </c>
      <c r="E5" s="156" t="inlineStr">
        <is>
          <t>CAPASS01EDWA-W6-UNI</t>
        </is>
      </c>
      <c r="F5" s="156" t="inlineStr">
        <is>
          <t>Talla única</t>
        </is>
      </c>
      <c r="G5" s="156" t="inlineStr">
        <is>
          <t>One Size</t>
        </is>
      </c>
      <c r="H5" s="156" t="inlineStr">
        <is>
          <t>CAPSLAB</t>
        </is>
      </c>
      <c r="I5" s="156" t="inlineStr">
        <is>
          <t>Gorra CAPSLAB Assassins Creed Negro</t>
        </is>
      </c>
      <c r="J5" s="156" t="inlineStr">
        <is>
          <t>Accesorios</t>
        </is>
      </c>
      <c r="K5" s="156" t="inlineStr">
        <is>
          <t>Gorras</t>
        </is>
      </c>
      <c r="L5" s="156" t="inlineStr">
        <is>
          <t>Unisex</t>
        </is>
      </c>
      <c r="M5" s="156" t="inlineStr">
        <is>
          <t>Assassins Creed</t>
        </is>
      </c>
      <c r="N5" s="156" t="n"/>
      <c r="O5" s="156" t="n"/>
      <c r="P5" s="156" t="inlineStr">
        <is>
          <t>Negro</t>
        </is>
      </c>
      <c r="Q5" s="156" t="n"/>
      <c r="R5" s="156" t="n"/>
      <c r="S5" s="156" t="inlineStr">
        <is>
          <t>Algodón / Poliéster</t>
        </is>
      </c>
      <c r="T5" s="156" t="inlineStr">
        <is>
          <t>Gorra de la marca CAPSLAB bajo licencia oficial Assassins Creed. Talla única ajustable. Estilo CAPASS01EDWA-W6.</t>
        </is>
      </c>
      <c r="U5" s="156" t="n"/>
      <c r="V5" s="156" t="inlineStr">
        <is>
          <t>PZS</t>
        </is>
      </c>
      <c r="W5" s="51" t="inlineStr">
        <is>
          <t>53102516</t>
        </is>
      </c>
      <c r="X5" s="156" t="inlineStr">
        <is>
          <t>https://7913364.app.netsuite.com/core/media/media.nl?id=188440&amp;c=7913364&amp;h=wYRxtPUXRtgMx65gSlrmn37P0Q3YeRk_t9qjQw84tryOhzBZ</t>
        </is>
      </c>
      <c r="Y5" s="54" t="n">
        <v>10.5</v>
      </c>
      <c r="Z5" s="54" t="n">
        <v>699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IFERROR(_xlfn.XMATCH(A5,$A$2:$A$370,0,1)&lt;&gt;_xlfn.XMATCH(A5,$A$2:$A$370,0,-1),FALSE)), "Código de barras duplicado", ""), IF(AND(E5&lt;&gt;"", COUNTIF($E$2:$E$370,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10</v>
      </c>
      <c r="AE5" s="156" t="inlineStr">
        <is>
          <t>CL Muestras (1); CAPSLAB Warehouse (5)</t>
        </is>
      </c>
      <c r="AF5" s="51" t="n">
        <v>10</v>
      </c>
      <c r="AG5" s="156" t="inlineStr">
        <is>
          <t>Nuevo – NetSuite con existencia</t>
        </is>
      </c>
      <c r="AH5" s="156" t="inlineStr">
        <is>
          <t>Composición CAPSLAB varía por modelo (50/50, 40/60 o 100% poliéster): validar etiqueta; Físico total NetSuite 10 ≠ suma por ubicación 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5" s="156" t="inlineStr">
        <is>
          <t>No</t>
        </is>
      </c>
      <c r="AJ5" s="156" t="n"/>
      <c r="AK5" s="155" t="inlineStr">
        <is>
          <t>G1522ProductosTodosloscamposSandboxResults894.xlsx: fila 46193 [Y]; G1522_Extraccion_Articulos_NetSuite_2026-09-30.xlsx: fila 24679 [Z]</t>
        </is>
      </c>
      <c r="AL5" s="58" t="n">
        <v>10.5</v>
      </c>
      <c r="AM5" s="58" t="n"/>
      <c r="AN5" s="155" t="n"/>
      <c r="AO5" s="59" t="n"/>
      <c r="AP5" s="59" t="n"/>
      <c r="AQ5" s="59" t="n"/>
      <c r="AR5" s="155" t="n"/>
    </row>
    <row r="6">
      <c r="A6" s="50" t="inlineStr">
        <is>
          <t>196715028733</t>
        </is>
      </c>
      <c r="B6" s="51" t="inlineStr">
        <is>
          <t>62745</t>
        </is>
      </c>
      <c r="C6" s="156" t="inlineStr">
        <is>
          <t>CAPSLAB</t>
        </is>
      </c>
      <c r="D6" s="156" t="inlineStr">
        <is>
          <t>CAPBOR01CAMO-W6</t>
        </is>
      </c>
      <c r="E6" s="156" t="inlineStr">
        <is>
          <t>CAPBOR01CAMO-W6-UNI</t>
        </is>
      </c>
      <c r="F6" s="156" t="inlineStr">
        <is>
          <t>Talla única</t>
        </is>
      </c>
      <c r="G6" s="156" t="inlineStr">
        <is>
          <t>One Size</t>
        </is>
      </c>
      <c r="H6" s="156" t="inlineStr">
        <is>
          <t>CAPSLAB</t>
        </is>
      </c>
      <c r="I6" s="156" t="inlineStr">
        <is>
          <t>Gorra CAPSLAB Bored Of Directors NFT Verde</t>
        </is>
      </c>
      <c r="J6" s="156" t="inlineStr">
        <is>
          <t>Accesorios</t>
        </is>
      </c>
      <c r="K6" s="156" t="inlineStr">
        <is>
          <t>Gorras</t>
        </is>
      </c>
      <c r="L6" s="156" t="inlineStr">
        <is>
          <t>Unisex</t>
        </is>
      </c>
      <c r="M6" s="156" t="inlineStr">
        <is>
          <t>Bored Of Directors NFT</t>
        </is>
      </c>
      <c r="N6" s="156" t="n"/>
      <c r="O6" s="156" t="n"/>
      <c r="P6" s="156" t="inlineStr">
        <is>
          <t>Verde</t>
        </is>
      </c>
      <c r="Q6" s="156" t="n"/>
      <c r="R6" s="156" t="n"/>
      <c r="S6" s="156" t="inlineStr">
        <is>
          <t>Algodón / Poliéster</t>
        </is>
      </c>
      <c r="T6" s="156" t="inlineStr">
        <is>
          <t>Gorra de la marca CAPSLAB bajo licencia oficial Bored Of Directors NFT. Talla única ajustable. Estilo CAPBOR01CAMO-W6.</t>
        </is>
      </c>
      <c r="U6" s="156" t="n"/>
      <c r="V6" s="156" t="inlineStr">
        <is>
          <t>PZS</t>
        </is>
      </c>
      <c r="W6" s="51" t="inlineStr">
        <is>
          <t>53102516</t>
        </is>
      </c>
      <c r="X6" s="156" t="inlineStr">
        <is>
          <t>https://7913364.app.netsuite.com/core/media/media.nl?id=188441&amp;c=7913364&amp;h=z1UcHO5bgbqTT_tj87Vy2TeG-Bur5uBs__YHhRi1CyyDi94-</t>
        </is>
      </c>
      <c r="Y6" s="54" t="n">
        <v>10.5</v>
      </c>
      <c r="Z6" s="54" t="n">
        <v>699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IFERROR(_xlfn.XMATCH(A6,$A$2:$A$370,0,1)&lt;&gt;_xlfn.XMATCH(A6,$A$2:$A$370,0,-1),FALSE)), "Código de barras duplicado", ""), IF(AND(E6&lt;&gt;"", COUNTIF($E$2:$E$370,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1</v>
      </c>
      <c r="AE6" s="156" t="inlineStr">
        <is>
          <t>CL Muestras (1)</t>
        </is>
      </c>
      <c r="AF6" s="51" t="n">
        <v>1</v>
      </c>
      <c r="AG6" s="156" t="inlineStr">
        <is>
          <t>Nuevo – NetSuite con existencia</t>
        </is>
      </c>
      <c r="AH6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" s="156" t="inlineStr">
        <is>
          <t>No</t>
        </is>
      </c>
      <c r="AJ6" s="156" t="n"/>
      <c r="AK6" s="155" t="inlineStr">
        <is>
          <t>G1522ProductosTodosloscamposSandboxResults894.xlsx: fila 46195 [Y]; G1522_Extraccion_Articulos_NetSuite_2026-09-30.xlsx: fila 24680 [Z]</t>
        </is>
      </c>
      <c r="AL6" s="58" t="n">
        <v>10.5</v>
      </c>
      <c r="AM6" s="58" t="n"/>
      <c r="AN6" s="155" t="n"/>
      <c r="AO6" s="59" t="n"/>
      <c r="AP6" s="59" t="n"/>
      <c r="AQ6" s="59" t="n"/>
      <c r="AR6" s="155" t="n"/>
    </row>
    <row r="7">
      <c r="A7" s="50" t="inlineStr">
        <is>
          <t>196715028740</t>
        </is>
      </c>
      <c r="B7" s="51" t="inlineStr">
        <is>
          <t>62746</t>
        </is>
      </c>
      <c r="C7" s="156" t="inlineStr">
        <is>
          <t>CAPSLAB</t>
        </is>
      </c>
      <c r="D7" s="156" t="inlineStr">
        <is>
          <t>CAPBOR01CASH-W6</t>
        </is>
      </c>
      <c r="E7" s="156" t="inlineStr">
        <is>
          <t>CAPBOR01CASH-W6-UNI</t>
        </is>
      </c>
      <c r="F7" s="156" t="inlineStr">
        <is>
          <t>Talla única</t>
        </is>
      </c>
      <c r="G7" s="156" t="inlineStr">
        <is>
          <t>One Size</t>
        </is>
      </c>
      <c r="H7" s="156" t="inlineStr">
        <is>
          <t>CAPSLAB</t>
        </is>
      </c>
      <c r="I7" s="156" t="inlineStr">
        <is>
          <t>Gorra CAPSLAB Bored Of Directors NFT Gris</t>
        </is>
      </c>
      <c r="J7" s="156" t="inlineStr">
        <is>
          <t>Accesorios</t>
        </is>
      </c>
      <c r="K7" s="156" t="inlineStr">
        <is>
          <t>Gorras</t>
        </is>
      </c>
      <c r="L7" s="156" t="inlineStr">
        <is>
          <t>Unisex</t>
        </is>
      </c>
      <c r="M7" s="156" t="inlineStr">
        <is>
          <t>Bored Of Directors NFT</t>
        </is>
      </c>
      <c r="N7" s="156" t="n"/>
      <c r="O7" s="156" t="n"/>
      <c r="P7" s="156" t="inlineStr">
        <is>
          <t>Gris</t>
        </is>
      </c>
      <c r="Q7" s="156" t="n"/>
      <c r="R7" s="156" t="n"/>
      <c r="S7" s="156" t="inlineStr">
        <is>
          <t>Algodón / Poliéster</t>
        </is>
      </c>
      <c r="T7" s="156" t="inlineStr">
        <is>
          <t>Gorra de la marca CAPSLAB bajo licencia oficial Bored Of Directors NFT. Talla única ajustable. Estilo CAPBOR01CASH-W6.</t>
        </is>
      </c>
      <c r="U7" s="156" t="n"/>
      <c r="V7" s="156" t="inlineStr">
        <is>
          <t>PZS</t>
        </is>
      </c>
      <c r="W7" s="51" t="inlineStr">
        <is>
          <t>53102516</t>
        </is>
      </c>
      <c r="X7" s="156" t="inlineStr">
        <is>
          <t>https://7913364.app.netsuite.com/core/media/media.nl?id=188442&amp;c=7913364&amp;h=3TQReuPHnHbm0B2tNgUEI4eHJddFVItjYHR3aq09sTQSsy-5</t>
        </is>
      </c>
      <c r="Y7" s="54" t="n">
        <v>10.5</v>
      </c>
      <c r="Z7" s="54" t="n">
        <v>699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IFERROR(_xlfn.XMATCH(A7,$A$2:$A$370,0,1)&lt;&gt;_xlfn.XMATCH(A7,$A$2:$A$370,0,-1),FALSE)), "Código de barras duplicado", ""), IF(AND(E7&lt;&gt;"", COUNTIF($E$2:$E$370,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11</v>
      </c>
      <c r="AE7" s="156" t="inlineStr">
        <is>
          <t>CL Muestras (1); Web (3); CAPSLAB Warehouse (6)</t>
        </is>
      </c>
      <c r="AF7" s="51" t="n">
        <v>11</v>
      </c>
      <c r="AG7" s="156" t="inlineStr">
        <is>
          <t>Nuevo – NetSuite con existencia</t>
        </is>
      </c>
      <c r="AH7" s="156" t="inlineStr">
        <is>
          <t>Composición CAPSLAB varía por modelo (50/50, 40/60 o 100% poliéster): validar etiqueta; Físico total NetSuite 11 ≠ suma por ubicación 10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7" s="156" t="inlineStr">
        <is>
          <t>No</t>
        </is>
      </c>
      <c r="AJ7" s="156" t="n"/>
      <c r="AK7" s="155" t="inlineStr">
        <is>
          <t>G1522ProductosTodosloscamposSandboxResults894.xlsx: fila 46197 [Y]; G1522_Extraccion_Articulos_NetSuite_2026-09-30.xlsx: fila 24681 [Z]</t>
        </is>
      </c>
      <c r="AL7" s="58" t="n">
        <v>10.5</v>
      </c>
      <c r="AM7" s="58" t="n"/>
      <c r="AN7" s="155" t="n"/>
      <c r="AO7" s="59" t="n"/>
      <c r="AP7" s="59" t="n"/>
      <c r="AQ7" s="59" t="n"/>
      <c r="AR7" s="155" t="n"/>
    </row>
    <row r="8">
      <c r="A8" s="50" t="inlineStr">
        <is>
          <t>196715028757</t>
        </is>
      </c>
      <c r="B8" s="51" t="inlineStr">
        <is>
          <t>62747</t>
        </is>
      </c>
      <c r="C8" s="156" t="inlineStr">
        <is>
          <t>CAPSLAB</t>
        </is>
      </c>
      <c r="D8" s="156" t="inlineStr">
        <is>
          <t>CAPBOR01COWB-W6</t>
        </is>
      </c>
      <c r="E8" s="156" t="inlineStr">
        <is>
          <t>CAPBOR01COWB-W6-UNI</t>
        </is>
      </c>
      <c r="F8" s="156" t="inlineStr">
        <is>
          <t>Talla única</t>
        </is>
      </c>
      <c r="G8" s="156" t="inlineStr">
        <is>
          <t>One Size</t>
        </is>
      </c>
      <c r="H8" s="156" t="inlineStr">
        <is>
          <t>CAPSLAB</t>
        </is>
      </c>
      <c r="I8" s="156" t="inlineStr">
        <is>
          <t>Gorra CAPSLAB Bored Of Directors NFT Café</t>
        </is>
      </c>
      <c r="J8" s="156" t="inlineStr">
        <is>
          <t>Accesorios</t>
        </is>
      </c>
      <c r="K8" s="156" t="inlineStr">
        <is>
          <t>Gorras</t>
        </is>
      </c>
      <c r="L8" s="156" t="inlineStr">
        <is>
          <t>Unisex</t>
        </is>
      </c>
      <c r="M8" s="156" t="inlineStr">
        <is>
          <t>Bored Of Directors NFT</t>
        </is>
      </c>
      <c r="N8" s="156" t="n"/>
      <c r="O8" s="156" t="n"/>
      <c r="P8" s="156" t="inlineStr">
        <is>
          <t>Cafe</t>
        </is>
      </c>
      <c r="Q8" s="156" t="n"/>
      <c r="R8" s="156" t="n"/>
      <c r="S8" s="156" t="inlineStr">
        <is>
          <t>Algodón / Poliéster</t>
        </is>
      </c>
      <c r="T8" s="156" t="inlineStr">
        <is>
          <t>Gorra de la marca CAPSLAB bajo licencia oficial Bored Of Directors NFT. Talla única ajustable. Estilo CAPBOR01COWB-W6.</t>
        </is>
      </c>
      <c r="U8" s="156" t="n"/>
      <c r="V8" s="156" t="inlineStr">
        <is>
          <t>PZS</t>
        </is>
      </c>
      <c r="W8" s="51" t="inlineStr">
        <is>
          <t>53102516</t>
        </is>
      </c>
      <c r="X8" s="156" t="inlineStr">
        <is>
          <t>https://7913364.app.netsuite.com/core/media/media.nl?id=188443&amp;c=7913364&amp;h=BR1kN9zfaGcGXddAcSO86IRrDBI3KjH1HhjKLY52kk11tZ_G</t>
        </is>
      </c>
      <c r="Y8" s="54" t="n">
        <v>10.5</v>
      </c>
      <c r="Z8" s="54" t="n">
        <v>699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IFERROR(_xlfn.XMATCH(A8,$A$2:$A$370,0,1)&lt;&gt;_xlfn.XMATCH(A8,$A$2:$A$370,0,-1),FALSE)), "Código de barras duplicado", ""), IF(AND(E8&lt;&gt;"", COUNTIF($E$2:$E$370,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5</v>
      </c>
      <c r="AE8" s="156" t="inlineStr">
        <is>
          <t>CL Muestras (1); CAPSLAB Warehouse (4)</t>
        </is>
      </c>
      <c r="AF8" s="51" t="n">
        <v>5</v>
      </c>
      <c r="AG8" s="156" t="inlineStr">
        <is>
          <t>Nuevo – NetSuite con existencia</t>
        </is>
      </c>
      <c r="AH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" s="156" t="inlineStr">
        <is>
          <t>No</t>
        </is>
      </c>
      <c r="AJ8" s="156" t="n"/>
      <c r="AK8" s="155" t="inlineStr">
        <is>
          <t>G1522ProductosTodosloscamposSandboxResults894.xlsx: fila 46199 [Y]; G1522_Extraccion_Articulos_NetSuite_2026-09-30.xlsx: fila 24682 [Z]</t>
        </is>
      </c>
      <c r="AL8" s="58" t="n">
        <v>10.5</v>
      </c>
      <c r="AM8" s="58" t="n"/>
      <c r="AN8" s="155" t="n"/>
      <c r="AO8" s="59" t="n"/>
      <c r="AP8" s="59" t="n"/>
      <c r="AQ8" s="59" t="n"/>
      <c r="AR8" s="155" t="n"/>
    </row>
    <row r="9">
      <c r="A9" s="50" t="inlineStr">
        <is>
          <t>196715028764</t>
        </is>
      </c>
      <c r="B9" s="51" t="inlineStr">
        <is>
          <t>62748</t>
        </is>
      </c>
      <c r="C9" s="156" t="inlineStr">
        <is>
          <t>CAPSLAB</t>
        </is>
      </c>
      <c r="D9" s="156" t="inlineStr">
        <is>
          <t>CAPBOR01LEO2-W6</t>
        </is>
      </c>
      <c r="E9" s="156" t="inlineStr">
        <is>
          <t>CAPBOR01LEO2-W6-UNI</t>
        </is>
      </c>
      <c r="F9" s="156" t="inlineStr">
        <is>
          <t>Talla única</t>
        </is>
      </c>
      <c r="G9" s="156" t="inlineStr">
        <is>
          <t>One Size</t>
        </is>
      </c>
      <c r="H9" s="156" t="inlineStr">
        <is>
          <t>CAPSLAB</t>
        </is>
      </c>
      <c r="I9" s="156" t="inlineStr">
        <is>
          <t>Gorra CAPSLAB Bored Of Directors NFT Verde</t>
        </is>
      </c>
      <c r="J9" s="156" t="inlineStr">
        <is>
          <t>Accesorios</t>
        </is>
      </c>
      <c r="K9" s="156" t="inlineStr">
        <is>
          <t>Gorras</t>
        </is>
      </c>
      <c r="L9" s="156" t="inlineStr">
        <is>
          <t>Unisex</t>
        </is>
      </c>
      <c r="M9" s="156" t="inlineStr">
        <is>
          <t>Bored Of Directors NFT</t>
        </is>
      </c>
      <c r="N9" s="156" t="n"/>
      <c r="O9" s="156" t="n"/>
      <c r="P9" s="156" t="inlineStr">
        <is>
          <t>Verde</t>
        </is>
      </c>
      <c r="Q9" s="156" t="n"/>
      <c r="R9" s="156" t="n"/>
      <c r="S9" s="156" t="inlineStr">
        <is>
          <t>Algodón / Poliéster</t>
        </is>
      </c>
      <c r="T9" s="156" t="inlineStr">
        <is>
          <t>Gorra de la marca CAPSLAB bajo licencia oficial Bored Of Directors NFT. Talla única ajustable. Estilo CAPBOR01LEO2-W6.</t>
        </is>
      </c>
      <c r="U9" s="156" t="n"/>
      <c r="V9" s="156" t="inlineStr">
        <is>
          <t>PZS</t>
        </is>
      </c>
      <c r="W9" s="51" t="inlineStr">
        <is>
          <t>53102516</t>
        </is>
      </c>
      <c r="X9" s="156" t="inlineStr">
        <is>
          <t>https://7913364.app.netsuite.com/core/media/media.nl?id=188444&amp;c=7913364&amp;h=uP5ise9iqt7cMJfkffjFjkvMySgGtYn8hmvMCEaSixd6K_Zy</t>
        </is>
      </c>
      <c r="Y9" s="54" t="n">
        <v>10.5</v>
      </c>
      <c r="Z9" s="54" t="n">
        <v>699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IFERROR(_xlfn.XMATCH(A9,$A$2:$A$370,0,1)&lt;&gt;_xlfn.XMATCH(A9,$A$2:$A$370,0,-1),FALSE)), "Código de barras duplicado", ""), IF(AND(E9&lt;&gt;"", COUNTIF($E$2:$E$370,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1</v>
      </c>
      <c r="AE9" s="156" t="inlineStr">
        <is>
          <t>Web (1)</t>
        </is>
      </c>
      <c r="AF9" s="51" t="n">
        <v>1</v>
      </c>
      <c r="AG9" s="156" t="inlineStr">
        <is>
          <t>Nuevo – NetSuite con existencia</t>
        </is>
      </c>
      <c r="AH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" s="156" t="inlineStr">
        <is>
          <t>No</t>
        </is>
      </c>
      <c r="AJ9" s="156" t="n"/>
      <c r="AK9" s="155" t="inlineStr">
        <is>
          <t>G1522ProductosTodosloscamposSandboxResults894.xlsx: fila 46201 [Y]; G1522_Extraccion_Articulos_NetSuite_2026-09-30.xlsx: fila 24683 [Z]</t>
        </is>
      </c>
      <c r="AL9" s="58" t="n">
        <v>10.5</v>
      </c>
      <c r="AM9" s="58" t="n"/>
      <c r="AN9" s="155" t="n"/>
      <c r="AO9" s="59" t="n"/>
      <c r="AP9" s="59" t="n"/>
      <c r="AQ9" s="59" t="n"/>
      <c r="AR9" s="155" t="n"/>
    </row>
    <row r="10">
      <c r="A10" s="50" t="inlineStr">
        <is>
          <t>196715028771</t>
        </is>
      </c>
      <c r="B10" s="51" t="inlineStr">
        <is>
          <t>62749</t>
        </is>
      </c>
      <c r="C10" s="156" t="inlineStr">
        <is>
          <t>CAPSLAB</t>
        </is>
      </c>
      <c r="D10" s="156" t="inlineStr">
        <is>
          <t>CAPBOR01LEOP-W6</t>
        </is>
      </c>
      <c r="E10" s="156" t="inlineStr">
        <is>
          <t>CAPBOR01LEOP-W6-UNI</t>
        </is>
      </c>
      <c r="F10" s="156" t="inlineStr">
        <is>
          <t>Talla única</t>
        </is>
      </c>
      <c r="G10" s="156" t="inlineStr">
        <is>
          <t>One Size</t>
        </is>
      </c>
      <c r="H10" s="156" t="inlineStr">
        <is>
          <t>CAPSLAB</t>
        </is>
      </c>
      <c r="I10" s="156" t="inlineStr">
        <is>
          <t>Gorra CAPSLAB Bored Of Directors NFT Rojo</t>
        </is>
      </c>
      <c r="J10" s="156" t="inlineStr">
        <is>
          <t>Accesorios</t>
        </is>
      </c>
      <c r="K10" s="156" t="inlineStr">
        <is>
          <t>Gorras</t>
        </is>
      </c>
      <c r="L10" s="156" t="inlineStr">
        <is>
          <t>Unisex</t>
        </is>
      </c>
      <c r="M10" s="156" t="inlineStr">
        <is>
          <t>Bored Of Directors NFT</t>
        </is>
      </c>
      <c r="N10" s="156" t="n"/>
      <c r="O10" s="156" t="n"/>
      <c r="P10" s="156" t="inlineStr">
        <is>
          <t>Rojo</t>
        </is>
      </c>
      <c r="Q10" s="156" t="n"/>
      <c r="R10" s="156" t="n"/>
      <c r="S10" s="156" t="inlineStr">
        <is>
          <t>Algodón / Poliéster</t>
        </is>
      </c>
      <c r="T10" s="156" t="inlineStr">
        <is>
          <t>Gorra de la marca CAPSLAB bajo licencia oficial Bored Of Directors NFT. Talla única ajustable. Estilo CAPBOR01LEOP-W6.</t>
        </is>
      </c>
      <c r="U10" s="156" t="n"/>
      <c r="V10" s="156" t="inlineStr">
        <is>
          <t>PZS</t>
        </is>
      </c>
      <c r="W10" s="51" t="inlineStr">
        <is>
          <t>53102516</t>
        </is>
      </c>
      <c r="X10" s="156" t="inlineStr">
        <is>
          <t>https://7913364.app.netsuite.com/core/media/media.nl?id=188445&amp;c=7913364&amp;h=qT970hDWdBVQCCRPnEC6bFj92uN7qR2TPfIm3eEgPpxMG1cz</t>
        </is>
      </c>
      <c r="Y10" s="54" t="n">
        <v>10.5</v>
      </c>
      <c r="Z10" s="54" t="n">
        <v>699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IFERROR(_xlfn.XMATCH(A10,$A$2:$A$370,0,1)&lt;&gt;_xlfn.XMATCH(A10,$A$2:$A$370,0,-1),FALSE)), "Código de barras duplicado", ""), IF(AND(E10&lt;&gt;"", COUNTIF($E$2:$E$370,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12</v>
      </c>
      <c r="AE10" s="156" t="inlineStr">
        <is>
          <t>Web (2); CL Muestras (1); CAPSLAB Warehouse (7)</t>
        </is>
      </c>
      <c r="AF10" s="51" t="n">
        <v>12</v>
      </c>
      <c r="AG10" s="156" t="inlineStr">
        <is>
          <t>Nuevo – NetSuite con existencia</t>
        </is>
      </c>
      <c r="AH10" s="156" t="inlineStr">
        <is>
          <t>Composición CAPSLAB varía por modelo (50/50, 40/60 o 100% poliéster): validar etiqueta; Físico total NetSuite 12 ≠ suma por ubicación 10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" s="156" t="inlineStr">
        <is>
          <t>No</t>
        </is>
      </c>
      <c r="AJ10" s="156" t="n"/>
      <c r="AK10" s="155" t="inlineStr">
        <is>
          <t>G1522ProductosTodosloscamposSandboxResults894.xlsx: fila 46203 [Y]; G1522_Extraccion_Articulos_NetSuite_2026-09-30.xlsx: fila 24684 [Z]</t>
        </is>
      </c>
      <c r="AL10" s="58" t="n">
        <v>10.5</v>
      </c>
      <c r="AM10" s="58" t="n"/>
      <c r="AN10" s="155" t="n"/>
      <c r="AO10" s="59" t="n"/>
      <c r="AP10" s="59" t="n"/>
      <c r="AQ10" s="59" t="n"/>
      <c r="AR10" s="155" t="n"/>
    </row>
    <row r="11">
      <c r="A11" s="50" t="inlineStr">
        <is>
          <t>196715028863</t>
        </is>
      </c>
      <c r="B11" s="51" t="inlineStr">
        <is>
          <t>62750</t>
        </is>
      </c>
      <c r="C11" s="156" t="inlineStr">
        <is>
          <t>CAPSLAB</t>
        </is>
      </c>
      <c r="D11" s="156" t="inlineStr">
        <is>
          <t>CAPMHU01RATH-W6</t>
        </is>
      </c>
      <c r="E11" s="156" t="inlineStr">
        <is>
          <t>CAPMHU01RATH-W6-UNI</t>
        </is>
      </c>
      <c r="F11" s="156" t="inlineStr">
        <is>
          <t>Talla única</t>
        </is>
      </c>
      <c r="G11" s="156" t="inlineStr">
        <is>
          <t>One Size</t>
        </is>
      </c>
      <c r="H11" s="156" t="inlineStr">
        <is>
          <t>CAPSLAB</t>
        </is>
      </c>
      <c r="I11" s="156" t="inlineStr">
        <is>
          <t>Gorra CAPSLAB Monster Hunter Café</t>
        </is>
      </c>
      <c r="J11" s="156" t="inlineStr">
        <is>
          <t>Accesorios</t>
        </is>
      </c>
      <c r="K11" s="156" t="inlineStr">
        <is>
          <t>Gorras</t>
        </is>
      </c>
      <c r="L11" s="156" t="inlineStr">
        <is>
          <t>Unisex</t>
        </is>
      </c>
      <c r="M11" s="156" t="inlineStr">
        <is>
          <t>Monster Hunter</t>
        </is>
      </c>
      <c r="N11" s="156" t="n"/>
      <c r="O11" s="156" t="n"/>
      <c r="P11" s="156" t="inlineStr">
        <is>
          <t>Cafe</t>
        </is>
      </c>
      <c r="Q11" s="156" t="n"/>
      <c r="R11" s="156" t="n"/>
      <c r="S11" s="156" t="inlineStr">
        <is>
          <t>Algodón / Poliéster</t>
        </is>
      </c>
      <c r="T11" s="156" t="inlineStr">
        <is>
          <t>Gorra de la marca CAPSLAB bajo licencia oficial Monster Hunter. Talla única ajustable. Estilo CAPMHU01RATH-W6.</t>
        </is>
      </c>
      <c r="U11" s="156" t="n"/>
      <c r="V11" s="156" t="inlineStr">
        <is>
          <t>PZS</t>
        </is>
      </c>
      <c r="W11" s="51" t="inlineStr">
        <is>
          <t>53102516</t>
        </is>
      </c>
      <c r="X11" s="156" t="inlineStr">
        <is>
          <t>https://7913364.app.netsuite.com/core/media/media.nl?id=188446&amp;c=7913364&amp;h=r_rMgWeq2QnAi-nIx2bgHj45NlJfrwXg61LPJLM0mT4N1ax4</t>
        </is>
      </c>
      <c r="Y11" s="54" t="n">
        <v>10.5</v>
      </c>
      <c r="Z11" s="54" t="n">
        <v>699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IFERROR(_xlfn.XMATCH(A11,$A$2:$A$370,0,1)&lt;&gt;_xlfn.XMATCH(A11,$A$2:$A$370,0,-1),FALSE)), "Código de barras duplicado", ""), IF(AND(E11&lt;&gt;"", COUNTIF($E$2:$E$370,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8</v>
      </c>
      <c r="AE11" s="156" t="inlineStr">
        <is>
          <t>Web (4)</t>
        </is>
      </c>
      <c r="AF11" s="51" t="n">
        <v>8</v>
      </c>
      <c r="AG11" s="156" t="inlineStr">
        <is>
          <t>Nuevo – NetSuite con existencia</t>
        </is>
      </c>
      <c r="AH11" s="156" t="inlineStr">
        <is>
          <t>Composición CAPSLAB varía por modelo (50/50, 40/60 o 100% poliéster): validar etiqueta; Físico total NetSuite 8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" s="156" t="inlineStr">
        <is>
          <t>No</t>
        </is>
      </c>
      <c r="AJ11" s="156" t="n"/>
      <c r="AK11" s="155" t="inlineStr">
        <is>
          <t>G1522ProductosTodosloscamposSandboxResults894.xlsx: fila 46207 [Y]; G1522_Extraccion_Articulos_NetSuite_2026-09-30.xlsx: fila 24685 [Z]</t>
        </is>
      </c>
      <c r="AL11" s="58" t="n">
        <v>10.5</v>
      </c>
      <c r="AM11" s="58" t="n"/>
      <c r="AN11" s="155" t="n"/>
      <c r="AO11" s="59" t="n"/>
      <c r="AP11" s="59" t="n"/>
      <c r="AQ11" s="59" t="n"/>
      <c r="AR11" s="155" t="n"/>
    </row>
    <row r="12">
      <c r="A12" s="50" t="inlineStr">
        <is>
          <t>196715028870</t>
        </is>
      </c>
      <c r="B12" s="51" t="inlineStr">
        <is>
          <t>62751</t>
        </is>
      </c>
      <c r="C12" s="156" t="inlineStr">
        <is>
          <t>CAPSLAB</t>
        </is>
      </c>
      <c r="D12" s="156" t="inlineStr">
        <is>
          <t>CAPMHU01TGRX-W6</t>
        </is>
      </c>
      <c r="E12" s="156" t="inlineStr">
        <is>
          <t>CAPMHU01TGRX-W6-UNI</t>
        </is>
      </c>
      <c r="F12" s="156" t="inlineStr">
        <is>
          <t>Talla única</t>
        </is>
      </c>
      <c r="G12" s="156" t="inlineStr">
        <is>
          <t>One Size</t>
        </is>
      </c>
      <c r="H12" s="156" t="inlineStr">
        <is>
          <t>CAPSLAB</t>
        </is>
      </c>
      <c r="I12" s="156" t="inlineStr">
        <is>
          <t>Gorra CAPSLAB Monster Hunter Café</t>
        </is>
      </c>
      <c r="J12" s="156" t="inlineStr">
        <is>
          <t>Accesorios</t>
        </is>
      </c>
      <c r="K12" s="156" t="inlineStr">
        <is>
          <t>Gorras</t>
        </is>
      </c>
      <c r="L12" s="156" t="inlineStr">
        <is>
          <t>Unisex</t>
        </is>
      </c>
      <c r="M12" s="156" t="inlineStr">
        <is>
          <t>Monster Hunter</t>
        </is>
      </c>
      <c r="N12" s="156" t="n"/>
      <c r="O12" s="156" t="n"/>
      <c r="P12" s="156" t="inlineStr">
        <is>
          <t>Cafe</t>
        </is>
      </c>
      <c r="Q12" s="156" t="n"/>
      <c r="R12" s="156" t="n"/>
      <c r="S12" s="156" t="inlineStr">
        <is>
          <t>Algodón / Poliéster</t>
        </is>
      </c>
      <c r="T12" s="156" t="inlineStr">
        <is>
          <t>Gorra de la marca CAPSLAB bajo licencia oficial Monster Hunter. Talla única ajustable. Estilo CAPMHU01TGRX-W6.</t>
        </is>
      </c>
      <c r="U12" s="156" t="n"/>
      <c r="V12" s="156" t="inlineStr">
        <is>
          <t>PZS</t>
        </is>
      </c>
      <c r="W12" s="51" t="inlineStr">
        <is>
          <t>53102516</t>
        </is>
      </c>
      <c r="X12" s="156" t="inlineStr">
        <is>
          <t>https://7913364.app.netsuite.com/core/media/media.nl?id=188447&amp;c=7913364&amp;h=j4mbNOXqAdTPqMcS2OhR47cz4AVH-MjY7I9QvCIG-0xxRK5B</t>
        </is>
      </c>
      <c r="Y12" s="54" t="n">
        <v>10.5</v>
      </c>
      <c r="Z12" s="54" t="n">
        <v>699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IFERROR(_xlfn.XMATCH(A12,$A$2:$A$370,0,1)&lt;&gt;_xlfn.XMATCH(A12,$A$2:$A$370,0,-1),FALSE)), "Código de barras duplicado", ""), IF(AND(E12&lt;&gt;"", COUNTIF($E$2:$E$370,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2</v>
      </c>
      <c r="AE12" s="156" t="inlineStr">
        <is>
          <t>Web (1)</t>
        </is>
      </c>
      <c r="AF12" s="51" t="n">
        <v>2</v>
      </c>
      <c r="AG12" s="156" t="inlineStr">
        <is>
          <t>Nuevo – NetSuite con existencia</t>
        </is>
      </c>
      <c r="AH12" s="156" t="inlineStr">
        <is>
          <t>Composición CAPSLAB varía por modelo (50/50, 40/60 o 100% poliéster): validar etiqueta; Físico total NetSuite 2 ≠ suma por ubicación 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2" s="156" t="inlineStr">
        <is>
          <t>No</t>
        </is>
      </c>
      <c r="AJ12" s="156" t="n"/>
      <c r="AK12" s="155" t="inlineStr">
        <is>
          <t>G1522ProductosTodosloscamposSandboxResults894.xlsx: fila 46209 [Y]; G1522_Extraccion_Articulos_NetSuite_2026-09-30.xlsx: fila 24686 [Z]</t>
        </is>
      </c>
      <c r="AL12" s="58" t="n">
        <v>10.5</v>
      </c>
      <c r="AM12" s="58" t="n"/>
      <c r="AN12" s="155" t="n"/>
      <c r="AO12" s="59" t="n"/>
      <c r="AP12" s="59" t="n"/>
      <c r="AQ12" s="59" t="n"/>
      <c r="AR12" s="155" t="n"/>
    </row>
    <row r="13">
      <c r="A13" s="50" t="inlineStr">
        <is>
          <t>196715028788</t>
        </is>
      </c>
      <c r="B13" s="51" t="inlineStr">
        <is>
          <t>62752</t>
        </is>
      </c>
      <c r="C13" s="156" t="inlineStr">
        <is>
          <t>CAPSLAB</t>
        </is>
      </c>
      <c r="D13" s="156" t="inlineStr">
        <is>
          <t>CAPSMU01CHAM-W6</t>
        </is>
      </c>
      <c r="E13" s="156" t="inlineStr">
        <is>
          <t>CAPSMU01CHAM-W6-UNI</t>
        </is>
      </c>
      <c r="F13" s="156" t="inlineStr">
        <is>
          <t>Talla única</t>
        </is>
      </c>
      <c r="G13" s="156" t="inlineStr">
        <is>
          <t>One Size</t>
        </is>
      </c>
      <c r="H13" s="156" t="inlineStr">
        <is>
          <t>CAPSLAB</t>
        </is>
      </c>
      <c r="I13" s="156" t="inlineStr">
        <is>
          <t>Gorra CAPSLAB The Smurfs Azul</t>
        </is>
      </c>
      <c r="J13" s="156" t="inlineStr">
        <is>
          <t>Accesorios</t>
        </is>
      </c>
      <c r="K13" s="156" t="inlineStr">
        <is>
          <t>Gorras</t>
        </is>
      </c>
      <c r="L13" s="156" t="inlineStr">
        <is>
          <t>Unisex</t>
        </is>
      </c>
      <c r="M13" s="156" t="inlineStr">
        <is>
          <t>The Smurfs</t>
        </is>
      </c>
      <c r="N13" s="156" t="n"/>
      <c r="O13" s="156" t="n"/>
      <c r="P13" s="156" t="inlineStr">
        <is>
          <t>Azul</t>
        </is>
      </c>
      <c r="Q13" s="156" t="n"/>
      <c r="R13" s="156" t="n"/>
      <c r="S13" s="156" t="inlineStr">
        <is>
          <t>Algodón / Poliéster</t>
        </is>
      </c>
      <c r="T13" s="156" t="inlineStr">
        <is>
          <t>Gorra de la marca CAPSLAB bajo licencia oficial The Smurfs. Talla única ajustable. Estilo CAPSMU01CHAM-W6.</t>
        </is>
      </c>
      <c r="U13" s="156" t="n"/>
      <c r="V13" s="156" t="inlineStr">
        <is>
          <t>PZS</t>
        </is>
      </c>
      <c r="W13" s="51" t="inlineStr">
        <is>
          <t>53102516</t>
        </is>
      </c>
      <c r="X13" s="156" t="inlineStr">
        <is>
          <t>https://7913364.app.netsuite.com/core/media/media.nl?id=188448&amp;c=7913364&amp;h=TlkO3hlroh-yADzHgji8u3PHU-yT4jIbLk196q0q7qKond8V</t>
        </is>
      </c>
      <c r="Y13" s="54" t="n">
        <v>10.5</v>
      </c>
      <c r="Z13" s="54" t="n">
        <v>699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IFERROR(_xlfn.XMATCH(A13,$A$2:$A$370,0,1)&lt;&gt;_xlfn.XMATCH(A13,$A$2:$A$370,0,-1),FALSE)), "Código de barras duplicado", ""), IF(AND(E13&lt;&gt;"", COUNTIF($E$2:$E$370,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>
        <v>4</v>
      </c>
      <c r="AE13" s="156" t="inlineStr">
        <is>
          <t>CAPSLAB Warehouse (2); Web (1)</t>
        </is>
      </c>
      <c r="AF13" s="51" t="n">
        <v>4</v>
      </c>
      <c r="AG13" s="156" t="inlineStr">
        <is>
          <t>Nuevo – NetSuite con existencia</t>
        </is>
      </c>
      <c r="AH13" s="156" t="inlineStr">
        <is>
          <t>Composición CAPSLAB varía por modelo (50/50, 40/60 o 100% poliéster): validar etiqueta; Físico total NetSuite 4 ≠ suma por ubicación 3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3" s="156" t="inlineStr">
        <is>
          <t>No</t>
        </is>
      </c>
      <c r="AJ13" s="156" t="n"/>
      <c r="AK13" s="155" t="inlineStr">
        <is>
          <t>G1522ProductosTodosloscamposSandboxResults894.xlsx: fila 46215 [Y]; G1522_Extraccion_Articulos_NetSuite_2026-09-30.xlsx: fila 24687 [Z]</t>
        </is>
      </c>
      <c r="AL13" s="58" t="n">
        <v>10.5</v>
      </c>
      <c r="AM13" s="58" t="n"/>
      <c r="AN13" s="155" t="n"/>
      <c r="AO13" s="59" t="n"/>
      <c r="AP13" s="59" t="n"/>
      <c r="AQ13" s="59" t="n"/>
      <c r="AR13" s="155" t="n"/>
    </row>
    <row r="14">
      <c r="A14" s="50" t="inlineStr">
        <is>
          <t>196715028801</t>
        </is>
      </c>
      <c r="B14" s="51" t="inlineStr">
        <is>
          <t>62753</t>
        </is>
      </c>
      <c r="C14" s="156" t="inlineStr">
        <is>
          <t>CAPSLAB</t>
        </is>
      </c>
      <c r="D14" s="156" t="inlineStr">
        <is>
          <t>CAPSMU01CRAZ-W6</t>
        </is>
      </c>
      <c r="E14" s="156" t="inlineStr">
        <is>
          <t>CAPSMU01CRAZ-W6-UNI</t>
        </is>
      </c>
      <c r="F14" s="156" t="inlineStr">
        <is>
          <t>Talla única</t>
        </is>
      </c>
      <c r="G14" s="156" t="inlineStr">
        <is>
          <t>One Size</t>
        </is>
      </c>
      <c r="H14" s="156" t="inlineStr">
        <is>
          <t>CAPSLAB</t>
        </is>
      </c>
      <c r="I14" s="156" t="inlineStr">
        <is>
          <t>Gorra CAPSLAB The Smurfs Negro</t>
        </is>
      </c>
      <c r="J14" s="156" t="inlineStr">
        <is>
          <t>Accesorios</t>
        </is>
      </c>
      <c r="K14" s="156" t="inlineStr">
        <is>
          <t>Gorras</t>
        </is>
      </c>
      <c r="L14" s="156" t="inlineStr">
        <is>
          <t>Unisex</t>
        </is>
      </c>
      <c r="M14" s="156" t="inlineStr">
        <is>
          <t>The Smurfs</t>
        </is>
      </c>
      <c r="N14" s="156" t="n"/>
      <c r="O14" s="156" t="n"/>
      <c r="P14" s="156" t="inlineStr">
        <is>
          <t>Negro</t>
        </is>
      </c>
      <c r="Q14" s="156" t="n"/>
      <c r="R14" s="156" t="n"/>
      <c r="S14" s="156" t="inlineStr">
        <is>
          <t>Algodón / Poliéster</t>
        </is>
      </c>
      <c r="T14" s="156" t="inlineStr">
        <is>
          <t>Gorra de la marca CAPSLAB bajo licencia oficial The Smurfs. Talla única ajustable. Estilo CAPSMU01CRAZ-W6.</t>
        </is>
      </c>
      <c r="U14" s="156" t="n"/>
      <c r="V14" s="156" t="inlineStr">
        <is>
          <t>PZS</t>
        </is>
      </c>
      <c r="W14" s="51" t="inlineStr">
        <is>
          <t>53102516</t>
        </is>
      </c>
      <c r="X14" s="156" t="inlineStr">
        <is>
          <t>https://7913364.app.netsuite.com/core/media/media.nl?id=188449&amp;c=7913364&amp;h=_BAd_Ps4czc7Ru3NsVwTvMKpbst2ZXxCwi2Bs7Ce5ASVW1mD</t>
        </is>
      </c>
      <c r="Y14" s="54" t="n">
        <v>10.5</v>
      </c>
      <c r="Z14" s="54" t="n">
        <v>699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IFERROR(_xlfn.XMATCH(A14,$A$2:$A$370,0,1)&lt;&gt;_xlfn.XMATCH(A14,$A$2:$A$370,0,-1),FALSE)), "Código de barras duplicado", ""), IF(AND(E14&lt;&gt;"", COUNTIF($E$2:$E$370,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n"/>
      <c r="AD14" s="51" t="n">
        <v>7</v>
      </c>
      <c r="AE14" s="156" t="inlineStr">
        <is>
          <t>Web (2); CAPSLAB Warehouse (3); CL Muestras (1)</t>
        </is>
      </c>
      <c r="AF14" s="51" t="n">
        <v>7</v>
      </c>
      <c r="AG14" s="156" t="inlineStr">
        <is>
          <t>Nuevo – NetSuite con existencia</t>
        </is>
      </c>
      <c r="AH14" s="156" t="inlineStr">
        <is>
          <t>Composición CAPSLAB varía por modelo (50/50, 40/60 o 100% poliéster): validar etiqueta; Físico total NetSuite 7 ≠ suma por ubicación 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4" s="156" t="inlineStr">
        <is>
          <t>No</t>
        </is>
      </c>
      <c r="AJ14" s="156" t="n"/>
      <c r="AK14" s="155" t="inlineStr">
        <is>
          <t>G1522ProductosTodosloscamposSandboxResults894.xlsx: fila 46217 [Y]; G1522_Extraccion_Articulos_NetSuite_2026-09-30.xlsx: fila 24688 [Z]</t>
        </is>
      </c>
      <c r="AL14" s="58" t="n">
        <v>10.5</v>
      </c>
      <c r="AM14" s="58" t="n"/>
      <c r="AN14" s="155" t="n"/>
      <c r="AO14" s="59" t="n"/>
      <c r="AP14" s="59" t="n"/>
      <c r="AQ14" s="59" t="n"/>
      <c r="AR14" s="155" t="n"/>
    </row>
    <row r="15">
      <c r="A15" s="50" t="inlineStr">
        <is>
          <t>196715028818</t>
        </is>
      </c>
      <c r="B15" s="51" t="inlineStr">
        <is>
          <t>62754</t>
        </is>
      </c>
      <c r="C15" s="156" t="inlineStr">
        <is>
          <t>CAPSLAB</t>
        </is>
      </c>
      <c r="D15" s="156" t="inlineStr">
        <is>
          <t>CAPSMU01HANDY-W6</t>
        </is>
      </c>
      <c r="E15" s="156" t="inlineStr">
        <is>
          <t>CAPSMU01HANDY-W6-UNI</t>
        </is>
      </c>
      <c r="F15" s="156" t="inlineStr">
        <is>
          <t>Talla única</t>
        </is>
      </c>
      <c r="G15" s="156" t="inlineStr">
        <is>
          <t>One Size</t>
        </is>
      </c>
      <c r="H15" s="156" t="inlineStr">
        <is>
          <t>CAPSLAB</t>
        </is>
      </c>
      <c r="I15" s="156" t="inlineStr">
        <is>
          <t>Gorra CAPSLAB The Smurfs Café</t>
        </is>
      </c>
      <c r="J15" s="156" t="inlineStr">
        <is>
          <t>Accesorios</t>
        </is>
      </c>
      <c r="K15" s="156" t="inlineStr">
        <is>
          <t>Gorras</t>
        </is>
      </c>
      <c r="L15" s="156" t="inlineStr">
        <is>
          <t>Unisex</t>
        </is>
      </c>
      <c r="M15" s="156" t="inlineStr">
        <is>
          <t>The Smurfs</t>
        </is>
      </c>
      <c r="N15" s="156" t="n"/>
      <c r="O15" s="156" t="n"/>
      <c r="P15" s="156" t="inlineStr">
        <is>
          <t>Cafe</t>
        </is>
      </c>
      <c r="Q15" s="156" t="n"/>
      <c r="R15" s="156" t="n"/>
      <c r="S15" s="156" t="inlineStr">
        <is>
          <t>Algodón / Poliéster</t>
        </is>
      </c>
      <c r="T15" s="156" t="inlineStr">
        <is>
          <t>Gorra de la marca CAPSLAB bajo licencia oficial The Smurfs. Talla única ajustable. Estilo CAPSMU01HANDY-W6.</t>
        </is>
      </c>
      <c r="U15" s="156" t="n"/>
      <c r="V15" s="156" t="inlineStr">
        <is>
          <t>PZS</t>
        </is>
      </c>
      <c r="W15" s="51" t="inlineStr">
        <is>
          <t>53102516</t>
        </is>
      </c>
      <c r="X15" s="156" t="inlineStr">
        <is>
          <t>https://7913364.app.netsuite.com/core/media/media.nl?id=188450&amp;c=7913364&amp;h=PitWoEysZ8GjOA5mNcmS0wcMQav7HTxdd2BRDLGliszkb6uX</t>
        </is>
      </c>
      <c r="Y15" s="54" t="n">
        <v>10.5</v>
      </c>
      <c r="Z15" s="54" t="n">
        <v>699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IFERROR(_xlfn.XMATCH(A15,$A$2:$A$370,0,1)&lt;&gt;_xlfn.XMATCH(A15,$A$2:$A$370,0,-1),FALSE)), "Código de barras duplicado", ""), IF(AND(E15&lt;&gt;"", COUNTIF($E$2:$E$370,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n"/>
      <c r="AD15" s="51" t="n">
        <v>8</v>
      </c>
      <c r="AE15" s="156" t="inlineStr">
        <is>
          <t>CAPSLAB Warehouse (4)</t>
        </is>
      </c>
      <c r="AF15" s="51" t="n">
        <v>8</v>
      </c>
      <c r="AG15" s="156" t="inlineStr">
        <is>
          <t>Nuevo – NetSuite con existencia</t>
        </is>
      </c>
      <c r="AH15" s="156" t="inlineStr">
        <is>
          <t>Composición CAPSLAB varía por modelo (50/50, 40/60 o 100% poliéster): validar etiqueta; Físico total NetSuite 8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5" s="156" t="inlineStr">
        <is>
          <t>No</t>
        </is>
      </c>
      <c r="AJ15" s="156" t="n"/>
      <c r="AK15" s="155" t="inlineStr">
        <is>
          <t>G1522ProductosTodosloscamposSandboxResults894.xlsx: fila 46219 [Y]; G1522_Extraccion_Articulos_NetSuite_2026-09-30.xlsx: fila 24689 [Z]</t>
        </is>
      </c>
      <c r="AL15" s="58" t="n">
        <v>10.5</v>
      </c>
      <c r="AM15" s="58" t="n"/>
      <c r="AN15" s="155" t="n"/>
      <c r="AO15" s="59" t="n"/>
      <c r="AP15" s="59" t="n"/>
      <c r="AQ15" s="59" t="n"/>
      <c r="AR15" s="155" t="n"/>
    </row>
    <row r="16">
      <c r="A16" s="50" t="inlineStr">
        <is>
          <t>196715028795</t>
        </is>
      </c>
      <c r="B16" s="51" t="inlineStr">
        <is>
          <t>62755</t>
        </is>
      </c>
      <c r="C16" s="156" t="inlineStr">
        <is>
          <t>CAPSLAB</t>
        </is>
      </c>
      <c r="D16" s="156" t="inlineStr">
        <is>
          <t>CAPSMU01PAPA-W6</t>
        </is>
      </c>
      <c r="E16" s="156" t="inlineStr">
        <is>
          <t>CAPSMU01PAPA-W6-UNI</t>
        </is>
      </c>
      <c r="F16" s="156" t="inlineStr">
        <is>
          <t>Talla única</t>
        </is>
      </c>
      <c r="G16" s="156" t="inlineStr">
        <is>
          <t>One Size</t>
        </is>
      </c>
      <c r="H16" s="156" t="inlineStr">
        <is>
          <t>CAPSLAB</t>
        </is>
      </c>
      <c r="I16" s="156" t="inlineStr">
        <is>
          <t>Gorra CAPSLAB The Smurfs Blanco</t>
        </is>
      </c>
      <c r="J16" s="156" t="inlineStr">
        <is>
          <t>Accesorios</t>
        </is>
      </c>
      <c r="K16" s="156" t="inlineStr">
        <is>
          <t>Gorras</t>
        </is>
      </c>
      <c r="L16" s="156" t="inlineStr">
        <is>
          <t>Unisex</t>
        </is>
      </c>
      <c r="M16" s="156" t="inlineStr">
        <is>
          <t>The Smurfs</t>
        </is>
      </c>
      <c r="N16" s="156" t="n"/>
      <c r="O16" s="156" t="n"/>
      <c r="P16" s="156" t="inlineStr">
        <is>
          <t>Blanco</t>
        </is>
      </c>
      <c r="Q16" s="156" t="n"/>
      <c r="R16" s="156" t="n"/>
      <c r="S16" s="156" t="inlineStr">
        <is>
          <t>Algodón / Poliéster</t>
        </is>
      </c>
      <c r="T16" s="156" t="inlineStr">
        <is>
          <t>Gorra de la marca CAPSLAB bajo licencia oficial The Smurfs. Talla única ajustable. Estilo CAPSMU01PAPA-W6.</t>
        </is>
      </c>
      <c r="U16" s="156" t="n"/>
      <c r="V16" s="156" t="inlineStr">
        <is>
          <t>PZS</t>
        </is>
      </c>
      <c r="W16" s="51" t="inlineStr">
        <is>
          <t>53102516</t>
        </is>
      </c>
      <c r="X16" s="156" t="inlineStr">
        <is>
          <t>https://7913364.app.netsuite.com/core/media/media.nl?id=188451&amp;c=7913364&amp;h=0Ie2mEu7VGOjWsXQ3bymJAiyCUr2tgYrKqkJackmf_L3zung</t>
        </is>
      </c>
      <c r="Y16" s="54" t="n">
        <v>10.5</v>
      </c>
      <c r="Z16" s="54" t="n">
        <v>699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IFERROR(_xlfn.XMATCH(A16,$A$2:$A$370,0,1)&lt;&gt;_xlfn.XMATCH(A16,$A$2:$A$370,0,-1),FALSE)), "Código de barras duplicado", ""), IF(AND(E16&lt;&gt;"", COUNTIF($E$2:$E$370,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n"/>
      <c r="AD16" s="51" t="n">
        <v>6</v>
      </c>
      <c r="AE16" s="156" t="inlineStr">
        <is>
          <t>CAPSLAB Warehouse (1); Web (2)</t>
        </is>
      </c>
      <c r="AF16" s="51" t="n">
        <v>6</v>
      </c>
      <c r="AG16" s="156" t="inlineStr">
        <is>
          <t>Nuevo – NetSuite con existencia</t>
        </is>
      </c>
      <c r="AH16" s="156" t="inlineStr">
        <is>
          <t>Composición CAPSLAB varía por modelo (50/50, 40/60 o 100% poliéster): validar etiqueta; Físico total NetSuite 6 ≠ suma por ubicación 3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6" s="156" t="inlineStr">
        <is>
          <t>No</t>
        </is>
      </c>
      <c r="AJ16" s="156" t="n"/>
      <c r="AK16" s="155" t="inlineStr">
        <is>
          <t>G1522ProductosTodosloscamposSandboxResults894.xlsx: fila 46221 [Y]; G1522_Extraccion_Articulos_NetSuite_2026-09-30.xlsx: fila 24690 [Z]</t>
        </is>
      </c>
      <c r="AL16" s="58" t="n">
        <v>10.5</v>
      </c>
      <c r="AM16" s="58" t="n"/>
      <c r="AN16" s="155" t="n"/>
      <c r="AO16" s="59" t="n"/>
      <c r="AP16" s="59" t="n"/>
      <c r="AQ16" s="59" t="n"/>
      <c r="AR16" s="155" t="n"/>
    </row>
    <row r="17">
      <c r="A17" s="50" t="inlineStr">
        <is>
          <t>196715028825</t>
        </is>
      </c>
      <c r="B17" s="51" t="inlineStr">
        <is>
          <t>62756</t>
        </is>
      </c>
      <c r="C17" s="156" t="inlineStr">
        <is>
          <t>CAPSLAB</t>
        </is>
      </c>
      <c r="D17" s="156" t="inlineStr">
        <is>
          <t>CAPSMU01PIZZ-W6</t>
        </is>
      </c>
      <c r="E17" s="156" t="inlineStr">
        <is>
          <t>CAPSMU01PIZZ-W6-UNI</t>
        </is>
      </c>
      <c r="F17" s="156" t="inlineStr">
        <is>
          <t>Talla única</t>
        </is>
      </c>
      <c r="G17" s="156" t="inlineStr">
        <is>
          <t>One Size</t>
        </is>
      </c>
      <c r="H17" s="156" t="inlineStr">
        <is>
          <t>CAPSLAB</t>
        </is>
      </c>
      <c r="I17" s="156" t="inlineStr">
        <is>
          <t>Gorra CAPSLAB The Smurfs Café</t>
        </is>
      </c>
      <c r="J17" s="156" t="inlineStr">
        <is>
          <t>Accesorios</t>
        </is>
      </c>
      <c r="K17" s="156" t="inlineStr">
        <is>
          <t>Gorras</t>
        </is>
      </c>
      <c r="L17" s="156" t="inlineStr">
        <is>
          <t>Unisex</t>
        </is>
      </c>
      <c r="M17" s="156" t="inlineStr">
        <is>
          <t>The Smurfs</t>
        </is>
      </c>
      <c r="N17" s="156" t="n"/>
      <c r="O17" s="156" t="n"/>
      <c r="P17" s="156" t="inlineStr">
        <is>
          <t>Cafe</t>
        </is>
      </c>
      <c r="Q17" s="156" t="n"/>
      <c r="R17" s="156" t="n"/>
      <c r="S17" s="156" t="inlineStr">
        <is>
          <t>Algodón / Poliéster</t>
        </is>
      </c>
      <c r="T17" s="156" t="inlineStr">
        <is>
          <t>Gorra de la marca CAPSLAB bajo licencia oficial The Smurfs. Talla única ajustable. Estilo CAPSMU01PIZZ-W6.</t>
        </is>
      </c>
      <c r="U17" s="156" t="n"/>
      <c r="V17" s="156" t="inlineStr">
        <is>
          <t>PZS</t>
        </is>
      </c>
      <c r="W17" s="51" t="inlineStr">
        <is>
          <t>53102516</t>
        </is>
      </c>
      <c r="X17" s="156" t="inlineStr">
        <is>
          <t>https://7913364.app.netsuite.com/core/media/media.nl?id=188452&amp;c=7913364&amp;h=tjDtcsPtOT1_3O9MoveCpbEj4SwuUnJwTgQGaJ2wuvNBMBXE</t>
        </is>
      </c>
      <c r="Y17" s="54" t="n">
        <v>10.5</v>
      </c>
      <c r="Z17" s="54" t="n">
        <v>699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IFERROR(_xlfn.XMATCH(A17,$A$2:$A$370,0,1)&lt;&gt;_xlfn.XMATCH(A17,$A$2:$A$370,0,-1),FALSE)), "Código de barras duplicado", ""), IF(AND(E17&lt;&gt;"", COUNTIF($E$2:$E$370,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n"/>
      <c r="AD17" s="51" t="n">
        <v>0</v>
      </c>
      <c r="AE17" s="156" t="n"/>
      <c r="AF17" s="51" t="n">
        <v>0</v>
      </c>
      <c r="AG17" s="156" t="inlineStr">
        <is>
          <t>Nuevo – NetSuite sin existencia</t>
        </is>
      </c>
      <c r="AH1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7" s="156" t="inlineStr">
        <is>
          <t>No</t>
        </is>
      </c>
      <c r="AJ17" s="156" t="n"/>
      <c r="AK17" s="155" t="inlineStr">
        <is>
          <t>G1522ProductosTodosloscamposSandboxResults894.xlsx: fila 46223 [Y]; G1522_Extraccion_Articulos_NetSuite_2026-09-30.xlsx: fila 24691 [Z]</t>
        </is>
      </c>
      <c r="AL17" s="58" t="n">
        <v>10.5</v>
      </c>
      <c r="AM17" s="58" t="n"/>
      <c r="AN17" s="155" t="n"/>
      <c r="AO17" s="59" t="n"/>
      <c r="AP17" s="59" t="n"/>
      <c r="AQ17" s="59" t="n"/>
      <c r="AR17" s="155" t="n"/>
    </row>
    <row r="18">
      <c r="A18" s="50" t="inlineStr">
        <is>
          <t>196715028832</t>
        </is>
      </c>
      <c r="B18" s="51" t="inlineStr">
        <is>
          <t>62757</t>
        </is>
      </c>
      <c r="C18" s="156" t="inlineStr">
        <is>
          <t>CAPSLAB</t>
        </is>
      </c>
      <c r="D18" s="156" t="inlineStr">
        <is>
          <t>CAPSMU01STRO-W6</t>
        </is>
      </c>
      <c r="E18" s="156" t="inlineStr">
        <is>
          <t>CAPSMU01STRO-W6-UNI</t>
        </is>
      </c>
      <c r="F18" s="156" t="inlineStr">
        <is>
          <t>Talla única</t>
        </is>
      </c>
      <c r="G18" s="156" t="inlineStr">
        <is>
          <t>One Size</t>
        </is>
      </c>
      <c r="H18" s="156" t="inlineStr">
        <is>
          <t>CAPSLAB</t>
        </is>
      </c>
      <c r="I18" s="156" t="inlineStr">
        <is>
          <t>Gorra CAPSLAB The Smurfs Gris</t>
        </is>
      </c>
      <c r="J18" s="156" t="inlineStr">
        <is>
          <t>Accesorios</t>
        </is>
      </c>
      <c r="K18" s="156" t="inlineStr">
        <is>
          <t>Gorras</t>
        </is>
      </c>
      <c r="L18" s="156" t="inlineStr">
        <is>
          <t>Unisex</t>
        </is>
      </c>
      <c r="M18" s="156" t="inlineStr">
        <is>
          <t>The Smurfs</t>
        </is>
      </c>
      <c r="N18" s="156" t="n"/>
      <c r="O18" s="156" t="n"/>
      <c r="P18" s="156" t="inlineStr">
        <is>
          <t>Gris</t>
        </is>
      </c>
      <c r="Q18" s="156" t="n"/>
      <c r="R18" s="156" t="n"/>
      <c r="S18" s="156" t="inlineStr">
        <is>
          <t>Algodón / Poliéster</t>
        </is>
      </c>
      <c r="T18" s="156" t="inlineStr">
        <is>
          <t>Gorra de la marca CAPSLAB bajo licencia oficial The Smurfs. Talla única ajustable. Estilo CAPSMU01STRO-W6.</t>
        </is>
      </c>
      <c r="U18" s="156" t="n"/>
      <c r="V18" s="156" t="inlineStr">
        <is>
          <t>PZS</t>
        </is>
      </c>
      <c r="W18" s="51" t="inlineStr">
        <is>
          <t>53102516</t>
        </is>
      </c>
      <c r="X18" s="156" t="inlineStr">
        <is>
          <t>https://7913364.app.netsuite.com/core/media/media.nl?id=188453&amp;c=7913364&amp;h=7nZ-QX0HKPpXPfqwo_eA3OrtpER5BGBgkQXddAlOw3LeuE9D</t>
        </is>
      </c>
      <c r="Y18" s="54" t="n">
        <v>10.5</v>
      </c>
      <c r="Z18" s="54" t="n">
        <v>699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IFERROR(_xlfn.XMATCH(A18,$A$2:$A$370,0,1)&lt;&gt;_xlfn.XMATCH(A18,$A$2:$A$370,0,-1),FALSE)), "Código de barras duplicado", ""), IF(AND(E18&lt;&gt;"", COUNTIF($E$2:$E$370,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n"/>
      <c r="AD18" s="51" t="n">
        <v>3</v>
      </c>
      <c r="AE18" s="156" t="inlineStr">
        <is>
          <t>CAPSLAB Warehouse (1); Web (1)</t>
        </is>
      </c>
      <c r="AF18" s="51" t="n">
        <v>3</v>
      </c>
      <c r="AG18" s="156" t="inlineStr">
        <is>
          <t>Nuevo – NetSuite con existencia</t>
        </is>
      </c>
      <c r="AH18" s="156" t="inlineStr">
        <is>
          <t>Composición CAPSLAB varía por modelo (50/50, 40/60 o 100% poliéster): validar etiqueta; Físico total NetSuite 3 ≠ suma por ubicación 2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8" s="156" t="inlineStr">
        <is>
          <t>No</t>
        </is>
      </c>
      <c r="AJ18" s="156" t="n"/>
      <c r="AK18" s="155" t="inlineStr">
        <is>
          <t>G1522ProductosTodosloscamposSandboxResults894.xlsx: fila 46225 [Y]; G1522_Extraccion_Articulos_NetSuite_2026-09-30.xlsx: fila 24692 [Z]</t>
        </is>
      </c>
      <c r="AL18" s="58" t="n">
        <v>10.5</v>
      </c>
      <c r="AM18" s="58" t="n"/>
      <c r="AN18" s="155" t="n"/>
      <c r="AO18" s="59" t="n"/>
      <c r="AP18" s="59" t="n"/>
      <c r="AQ18" s="59" t="n"/>
      <c r="AR18" s="155" t="n"/>
    </row>
    <row r="19">
      <c r="A19" s="50" t="inlineStr">
        <is>
          <t>196715028900</t>
        </is>
      </c>
      <c r="B19" s="51" t="inlineStr">
        <is>
          <t>62762</t>
        </is>
      </c>
      <c r="C19" s="156" t="inlineStr">
        <is>
          <t>CAPSLAB</t>
        </is>
      </c>
      <c r="D19" s="156" t="inlineStr">
        <is>
          <t>CAPSTF01BLA</t>
        </is>
      </c>
      <c r="E19" s="156" t="inlineStr">
        <is>
          <t>CAPSTF01BLA-UNI</t>
        </is>
      </c>
      <c r="F19" s="156" t="inlineStr">
        <is>
          <t>Talla única</t>
        </is>
      </c>
      <c r="G19" s="156" t="inlineStr">
        <is>
          <t>One Size</t>
        </is>
      </c>
      <c r="H19" s="156" t="inlineStr">
        <is>
          <t>CAPSLAB</t>
        </is>
      </c>
      <c r="I19" s="156" t="inlineStr">
        <is>
          <t>Gorra CAPSLAB Street Fighter Negro</t>
        </is>
      </c>
      <c r="J19" s="156" t="inlineStr">
        <is>
          <t>Accesorios</t>
        </is>
      </c>
      <c r="K19" s="156" t="inlineStr">
        <is>
          <t>Gorras</t>
        </is>
      </c>
      <c r="L19" s="156" t="inlineStr">
        <is>
          <t>Unisex</t>
        </is>
      </c>
      <c r="M19" s="156" t="inlineStr">
        <is>
          <t>Street Fighter</t>
        </is>
      </c>
      <c r="N19" s="156" t="n"/>
      <c r="O19" s="156" t="n"/>
      <c r="P19" s="156" t="inlineStr">
        <is>
          <t>Negro</t>
        </is>
      </c>
      <c r="Q19" s="156" t="n"/>
      <c r="R19" s="156" t="n"/>
      <c r="S19" s="156" t="inlineStr">
        <is>
          <t>Algodón / Poliéster</t>
        </is>
      </c>
      <c r="T19" s="156" t="inlineStr">
        <is>
          <t>Gorra de la marca CAPSLAB bajo licencia oficial Street Fighter. Talla única ajustable. Estilo CAPSTF01BLA.</t>
        </is>
      </c>
      <c r="U19" s="156" t="n"/>
      <c r="V19" s="156" t="inlineStr">
        <is>
          <t>PZS</t>
        </is>
      </c>
      <c r="W19" s="51" t="inlineStr">
        <is>
          <t>53102516</t>
        </is>
      </c>
      <c r="X19" s="156" t="inlineStr">
        <is>
          <t>https://7913364.app.netsuite.com/core/media/media.nl?id=188459&amp;c=7913364&amp;h=LdugPpGWEf_YYn0-ts4dZSul768ZnaS-jQ9_d50ar5ciTSec</t>
        </is>
      </c>
      <c r="Y19" s="54" t="n">
        <v>10.5</v>
      </c>
      <c r="Z19" s="54" t="n">
        <v>699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IFERROR(_xlfn.XMATCH(A19,$A$2:$A$370,0,1)&lt;&gt;_xlfn.XMATCH(A19,$A$2:$A$370,0,-1),FALSE)), "Código de barras duplicado", ""), IF(AND(E19&lt;&gt;"", COUNTIF($E$2:$E$370,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n"/>
      <c r="AD19" s="51" t="n">
        <v>13</v>
      </c>
      <c r="AE19" s="156" t="inlineStr">
        <is>
          <t>CL Muestras (1); CAPSLAB Warehouse (6)</t>
        </is>
      </c>
      <c r="AF19" s="51" t="n">
        <v>13</v>
      </c>
      <c r="AG19" s="156" t="inlineStr">
        <is>
          <t>Nuevo – NetSuite con existencia</t>
        </is>
      </c>
      <c r="AH19" s="156" t="inlineStr">
        <is>
          <t>Composición CAPSLAB varía por modelo (50/50, 40/60 o 100% poliéster): validar etiqueta; Físico total NetSuite 13 ≠ suma por ubicación 7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9" s="156" t="inlineStr">
        <is>
          <t>No</t>
        </is>
      </c>
      <c r="AJ19" s="156" t="n"/>
      <c r="AK19" s="155" t="inlineStr">
        <is>
          <t>G1522ProductosTodosloscamposSandboxResults894.xlsx: fila 46227 [Y]; G1522_Extraccion_Articulos_NetSuite_2026-09-30.xlsx: fila 24697 [Z]</t>
        </is>
      </c>
      <c r="AL19" s="58" t="n">
        <v>10.5</v>
      </c>
      <c r="AM19" s="58" t="n"/>
      <c r="AN19" s="155" t="n"/>
      <c r="AO19" s="59" t="n"/>
      <c r="AP19" s="59" t="n"/>
      <c r="AQ19" s="59" t="n"/>
      <c r="AR19" s="155" t="n"/>
    </row>
    <row r="20">
      <c r="A20" s="50" t="inlineStr">
        <is>
          <t>196715028917</t>
        </is>
      </c>
      <c r="B20" s="51" t="inlineStr">
        <is>
          <t>62758</t>
        </is>
      </c>
      <c r="C20" s="156" t="inlineStr">
        <is>
          <t>CAPSLAB</t>
        </is>
      </c>
      <c r="D20" s="156" t="inlineStr">
        <is>
          <t>CAPSTF01GUI2-W6</t>
        </is>
      </c>
      <c r="E20" s="156" t="inlineStr">
        <is>
          <t>CAPSTF01GUI2-W6-UNI</t>
        </is>
      </c>
      <c r="F20" s="156" t="inlineStr">
        <is>
          <t>Talla única</t>
        </is>
      </c>
      <c r="G20" s="156" t="inlineStr">
        <is>
          <t>One Size</t>
        </is>
      </c>
      <c r="H20" s="156" t="inlineStr">
        <is>
          <t>CAPSLAB</t>
        </is>
      </c>
      <c r="I20" s="156" t="inlineStr">
        <is>
          <t>Gorra CAPSLAB Street Fighter Verde</t>
        </is>
      </c>
      <c r="J20" s="156" t="inlineStr">
        <is>
          <t>Accesorios</t>
        </is>
      </c>
      <c r="K20" s="156" t="inlineStr">
        <is>
          <t>Gorras</t>
        </is>
      </c>
      <c r="L20" s="156" t="inlineStr">
        <is>
          <t>Unisex</t>
        </is>
      </c>
      <c r="M20" s="156" t="inlineStr">
        <is>
          <t>Street Fighter</t>
        </is>
      </c>
      <c r="N20" s="156" t="n"/>
      <c r="O20" s="156" t="n"/>
      <c r="P20" s="156" t="inlineStr">
        <is>
          <t>Verde</t>
        </is>
      </c>
      <c r="Q20" s="156" t="n"/>
      <c r="R20" s="156" t="n"/>
      <c r="S20" s="156" t="inlineStr">
        <is>
          <t>Algodón / Poliéster</t>
        </is>
      </c>
      <c r="T20" s="156" t="inlineStr">
        <is>
          <t>Gorra de la marca CAPSLAB bajo licencia oficial Street Fighter. Talla única ajustable. Estilo CAPSTF01GUI2-W6.</t>
        </is>
      </c>
      <c r="U20" s="156" t="n"/>
      <c r="V20" s="156" t="inlineStr">
        <is>
          <t>PZS</t>
        </is>
      </c>
      <c r="W20" s="51" t="inlineStr">
        <is>
          <t>53102516</t>
        </is>
      </c>
      <c r="X20" s="156" t="inlineStr">
        <is>
          <t>https://7913364.app.netsuite.com/core/media/media.nl?id=188455&amp;c=7913364&amp;h=K6jA6koguN2QDnQu8ua1uECiNzUPKcz8KDIoX6QrZde7Tjt6</t>
        </is>
      </c>
      <c r="Y20" s="54" t="n">
        <v>10.5</v>
      </c>
      <c r="Z20" s="54" t="n">
        <v>699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IFERROR(_xlfn.XMATCH(A20,$A$2:$A$370,0,1)&lt;&gt;_xlfn.XMATCH(A20,$A$2:$A$370,0,-1),FALSE)), "Código de barras duplicado", ""), IF(AND(E20&lt;&gt;"", COUNTIF($E$2:$E$370,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n"/>
      <c r="AD20" s="51" t="n">
        <v>8</v>
      </c>
      <c r="AE20" s="156" t="inlineStr">
        <is>
          <t>CL POS (4); CAPSLAB Warehouse (3); CL Muestras (1)</t>
        </is>
      </c>
      <c r="AF20" s="51" t="n">
        <v>8</v>
      </c>
      <c r="AG20" s="156" t="inlineStr">
        <is>
          <t>Nuevo – NetSuite con existencia</t>
        </is>
      </c>
      <c r="AH2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" s="156" t="inlineStr">
        <is>
          <t>No</t>
        </is>
      </c>
      <c r="AJ20" s="156" t="n"/>
      <c r="AK20" s="155" t="inlineStr">
        <is>
          <t>G1522ProductosTodosloscamposSandboxResults894.xlsx: fila 46229 [Y]; G1522_Extraccion_Articulos_NetSuite_2026-09-30.xlsx: fila 24693 [Z]</t>
        </is>
      </c>
      <c r="AL20" s="58" t="n">
        <v>10.5</v>
      </c>
      <c r="AM20" s="58" t="n"/>
      <c r="AN20" s="155" t="n"/>
      <c r="AO20" s="59" t="n"/>
      <c r="AP20" s="59" t="n"/>
      <c r="AQ20" s="59" t="n"/>
      <c r="AR20" s="155" t="n"/>
    </row>
    <row r="21">
      <c r="A21" s="50" t="inlineStr">
        <is>
          <t>196715028924</t>
        </is>
      </c>
      <c r="B21" s="51" t="inlineStr">
        <is>
          <t>62759</t>
        </is>
      </c>
      <c r="C21" s="156" t="inlineStr">
        <is>
          <t>CAPSLAB</t>
        </is>
      </c>
      <c r="D21" s="156" t="inlineStr">
        <is>
          <t>CAPSTF01KEN-W6</t>
        </is>
      </c>
      <c r="E21" s="156" t="inlineStr">
        <is>
          <t>CAPSTF01KEN-W6-UNI</t>
        </is>
      </c>
      <c r="F21" s="156" t="inlineStr">
        <is>
          <t>Talla única</t>
        </is>
      </c>
      <c r="G21" s="156" t="inlineStr">
        <is>
          <t>One Size</t>
        </is>
      </c>
      <c r="H21" s="156" t="inlineStr">
        <is>
          <t>CAPSLAB</t>
        </is>
      </c>
      <c r="I21" s="156" t="inlineStr">
        <is>
          <t>Gorra CAPSLAB Street Fighter Rojo</t>
        </is>
      </c>
      <c r="J21" s="156" t="inlineStr">
        <is>
          <t>Accesorios</t>
        </is>
      </c>
      <c r="K21" s="156" t="inlineStr">
        <is>
          <t>Gorras</t>
        </is>
      </c>
      <c r="L21" s="156" t="inlineStr">
        <is>
          <t>Unisex</t>
        </is>
      </c>
      <c r="M21" s="156" t="inlineStr">
        <is>
          <t>Street Fighter</t>
        </is>
      </c>
      <c r="N21" s="156" t="n"/>
      <c r="O21" s="156" t="n"/>
      <c r="P21" s="156" t="inlineStr">
        <is>
          <t>Rojo</t>
        </is>
      </c>
      <c r="Q21" s="156" t="n"/>
      <c r="R21" s="156" t="n"/>
      <c r="S21" s="156" t="inlineStr">
        <is>
          <t>Algodón / Poliéster</t>
        </is>
      </c>
      <c r="T21" s="156" t="inlineStr">
        <is>
          <t>Gorra de la marca CAPSLAB bajo licencia oficial Street Fighter. Talla única ajustable. Estilo CAPSTF01KEN-W6.</t>
        </is>
      </c>
      <c r="U21" s="156" t="n"/>
      <c r="V21" s="156" t="inlineStr">
        <is>
          <t>PZS</t>
        </is>
      </c>
      <c r="W21" s="51" t="inlineStr">
        <is>
          <t>53102516</t>
        </is>
      </c>
      <c r="X21" s="156" t="inlineStr">
        <is>
          <t>https://7913364.app.netsuite.com/core/media/media.nl?id=188456&amp;c=7913364&amp;h=g5uhPg-eaBMiyFIJRzEsPSvlP8riArPQrRlblEN9wVLuNJ-h</t>
        </is>
      </c>
      <c r="Y21" s="54" t="n">
        <v>10.5</v>
      </c>
      <c r="Z21" s="54" t="n">
        <v>699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IFERROR(_xlfn.XMATCH(A21,$A$2:$A$370,0,1)&lt;&gt;_xlfn.XMATCH(A21,$A$2:$A$370,0,-1),FALSE)), "Código de barras duplicado", ""), IF(AND(E21&lt;&gt;"", COUNTIF($E$2:$E$370,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n"/>
      <c r="AD21" s="51" t="n">
        <v>4</v>
      </c>
      <c r="AE21" s="156" t="inlineStr">
        <is>
          <t>CAPSLAB Warehouse (2)</t>
        </is>
      </c>
      <c r="AF21" s="51" t="n">
        <v>4</v>
      </c>
      <c r="AG21" s="156" t="inlineStr">
        <is>
          <t>Nuevo – NetSuite con existencia</t>
        </is>
      </c>
      <c r="AH21" s="156" t="inlineStr">
        <is>
          <t>Composición CAPSLAB varía por modelo (50/50, 40/60 o 100% poliéster): validar etiqueta; Físico total NetSuite 4 ≠ suma por ubicación 2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" s="156" t="inlineStr">
        <is>
          <t>No</t>
        </is>
      </c>
      <c r="AJ21" s="156" t="n"/>
      <c r="AK21" s="155" t="inlineStr">
        <is>
          <t>G1522ProductosTodosloscamposSandboxResults894.xlsx: fila 46231 [Y]; G1522_Extraccion_Articulos_NetSuite_2026-09-30.xlsx: fila 24694 [Z]</t>
        </is>
      </c>
      <c r="AL21" s="58" t="n">
        <v>10.5</v>
      </c>
      <c r="AM21" s="58" t="n"/>
      <c r="AN21" s="155" t="n"/>
      <c r="AO21" s="59" t="n"/>
      <c r="AP21" s="59" t="n"/>
      <c r="AQ21" s="59" t="n"/>
      <c r="AR21" s="155" t="n"/>
    </row>
    <row r="22">
      <c r="A22" s="50" t="inlineStr">
        <is>
          <t>196715028931</t>
        </is>
      </c>
      <c r="B22" s="51" t="inlineStr">
        <is>
          <t>62760</t>
        </is>
      </c>
      <c r="C22" s="156" t="inlineStr">
        <is>
          <t>CAPSLAB</t>
        </is>
      </c>
      <c r="D22" s="156" t="inlineStr">
        <is>
          <t>CAPSTF01KENB-W6</t>
        </is>
      </c>
      <c r="E22" s="156" t="inlineStr">
        <is>
          <t>CAPSTF01KENB-W6-UNI</t>
        </is>
      </c>
      <c r="F22" s="156" t="inlineStr">
        <is>
          <t>Talla única</t>
        </is>
      </c>
      <c r="G22" s="156" t="inlineStr">
        <is>
          <t>One Size</t>
        </is>
      </c>
      <c r="H22" s="156" t="inlineStr">
        <is>
          <t>CAPSLAB</t>
        </is>
      </c>
      <c r="I22" s="156" t="inlineStr">
        <is>
          <t>Gorra CAPSLAB Street Fighter Negro</t>
        </is>
      </c>
      <c r="J22" s="156" t="inlineStr">
        <is>
          <t>Accesorios</t>
        </is>
      </c>
      <c r="K22" s="156" t="inlineStr">
        <is>
          <t>Gorras</t>
        </is>
      </c>
      <c r="L22" s="156" t="inlineStr">
        <is>
          <t>Unisex</t>
        </is>
      </c>
      <c r="M22" s="156" t="inlineStr">
        <is>
          <t>Street Fighter</t>
        </is>
      </c>
      <c r="N22" s="156" t="n"/>
      <c r="O22" s="156" t="n"/>
      <c r="P22" s="156" t="inlineStr">
        <is>
          <t>Negro</t>
        </is>
      </c>
      <c r="Q22" s="156" t="n"/>
      <c r="R22" s="156" t="n"/>
      <c r="S22" s="156" t="inlineStr">
        <is>
          <t>Algodón / Poliéster</t>
        </is>
      </c>
      <c r="T22" s="156" t="inlineStr">
        <is>
          <t>Gorra de la marca CAPSLAB bajo licencia oficial Street Fighter. Talla única ajustable. Estilo CAPSTF01KENB-W6.</t>
        </is>
      </c>
      <c r="U22" s="156" t="n"/>
      <c r="V22" s="156" t="inlineStr">
        <is>
          <t>PZS</t>
        </is>
      </c>
      <c r="W22" s="51" t="inlineStr">
        <is>
          <t>53102516</t>
        </is>
      </c>
      <c r="X22" s="156" t="inlineStr">
        <is>
          <t>https://7913364.app.netsuite.com/core/media/media.nl?id=188457&amp;c=7913364&amp;h=9T6yMMwzX_AZeIu2ywfrIuA7kj3L0qOjljNayrC68wukUqAx</t>
        </is>
      </c>
      <c r="Y22" s="54" t="n">
        <v>10.5</v>
      </c>
      <c r="Z22" s="54" t="n">
        <v>699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IFERROR(_xlfn.XMATCH(A22,$A$2:$A$370,0,1)&lt;&gt;_xlfn.XMATCH(A22,$A$2:$A$370,0,-1),FALSE)), "Código de barras duplicado", ""), IF(AND(E22&lt;&gt;"", COUNTIF($E$2:$E$370,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n"/>
      <c r="AD22" s="51" t="n">
        <v>0</v>
      </c>
      <c r="AE22" s="156" t="n"/>
      <c r="AF22" s="51" t="n">
        <v>0</v>
      </c>
      <c r="AG22" s="156" t="inlineStr">
        <is>
          <t>Nuevo – NetSuite sin existencia</t>
        </is>
      </c>
      <c r="AH22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2" s="156" t="inlineStr">
        <is>
          <t>No</t>
        </is>
      </c>
      <c r="AJ22" s="156" t="n"/>
      <c r="AK22" s="155" t="inlineStr">
        <is>
          <t>G1522ProductosTodosloscamposSandboxResults894.xlsx: fila 46233 [Y]; G1522_Extraccion_Articulos_NetSuite_2026-09-30.xlsx: fila 24695 [Z]</t>
        </is>
      </c>
      <c r="AL22" s="58" t="n">
        <v>10.5</v>
      </c>
      <c r="AM22" s="58" t="n"/>
      <c r="AN22" s="155" t="n"/>
      <c r="AO22" s="59" t="n"/>
      <c r="AP22" s="59" t="n"/>
      <c r="AQ22" s="59" t="n"/>
      <c r="AR22" s="155" t="n"/>
    </row>
    <row r="23">
      <c r="A23" s="50" t="inlineStr">
        <is>
          <t>196715028948</t>
        </is>
      </c>
      <c r="B23" s="51" t="inlineStr">
        <is>
          <t>62761</t>
        </is>
      </c>
      <c r="C23" s="156" t="inlineStr">
        <is>
          <t>CAPSLAB</t>
        </is>
      </c>
      <c r="D23" s="156" t="inlineStr">
        <is>
          <t>CAPSTF01RYU</t>
        </is>
      </c>
      <c r="E23" s="156" t="inlineStr">
        <is>
          <t>CAPSTF01RYU-UNI</t>
        </is>
      </c>
      <c r="F23" s="156" t="inlineStr">
        <is>
          <t>Talla única</t>
        </is>
      </c>
      <c r="G23" s="156" t="inlineStr">
        <is>
          <t>One Size</t>
        </is>
      </c>
      <c r="H23" s="156" t="inlineStr">
        <is>
          <t>CAPSLAB</t>
        </is>
      </c>
      <c r="I23" s="156" t="inlineStr">
        <is>
          <t>Gorra CAPSLAB Street Fighter Café</t>
        </is>
      </c>
      <c r="J23" s="156" t="inlineStr">
        <is>
          <t>Accesorios</t>
        </is>
      </c>
      <c r="K23" s="156" t="inlineStr">
        <is>
          <t>Gorras</t>
        </is>
      </c>
      <c r="L23" s="156" t="inlineStr">
        <is>
          <t>Unisex</t>
        </is>
      </c>
      <c r="M23" s="156" t="inlineStr">
        <is>
          <t>Street Fighter</t>
        </is>
      </c>
      <c r="N23" s="156" t="n"/>
      <c r="O23" s="156" t="n"/>
      <c r="P23" s="156" t="inlineStr">
        <is>
          <t>Cafe</t>
        </is>
      </c>
      <c r="Q23" s="156" t="n"/>
      <c r="R23" s="156" t="n"/>
      <c r="S23" s="156" t="inlineStr">
        <is>
          <t>Algodón / Poliéster</t>
        </is>
      </c>
      <c r="T23" s="156" t="inlineStr">
        <is>
          <t>Gorra de la marca CAPSLAB bajo licencia oficial Street Fighter. Talla única ajustable. Estilo CAPSTF01RYU.</t>
        </is>
      </c>
      <c r="U23" s="156" t="n"/>
      <c r="V23" s="156" t="inlineStr">
        <is>
          <t>PZS</t>
        </is>
      </c>
      <c r="W23" s="51" t="inlineStr">
        <is>
          <t>53102516</t>
        </is>
      </c>
      <c r="X23" s="156" t="inlineStr">
        <is>
          <t>https://7913364.app.netsuite.com/core/media/media.nl?id=188458&amp;c=7913364&amp;h=SiYoA9DN5Xx_d9L9bP70sVchqDgsChNRKmEouRcF7j_fqZW0</t>
        </is>
      </c>
      <c r="Y23" s="54" t="n">
        <v>10.5</v>
      </c>
      <c r="Z23" s="54" t="n">
        <v>699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IFERROR(_xlfn.XMATCH(A23,$A$2:$A$370,0,1)&lt;&gt;_xlfn.XMATCH(A23,$A$2:$A$370,0,-1),FALSE)), "Código de barras duplicado", ""), IF(AND(E23&lt;&gt;"", COUNTIF($E$2:$E$370,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n"/>
      <c r="AD23" s="51" t="n">
        <v>10</v>
      </c>
      <c r="AE23" s="156" t="inlineStr">
        <is>
          <t>CAPSLAB Warehouse (4); Web (1)</t>
        </is>
      </c>
      <c r="AF23" s="51" t="n">
        <v>10</v>
      </c>
      <c r="AG23" s="156" t="inlineStr">
        <is>
          <t>Nuevo – NetSuite con existencia</t>
        </is>
      </c>
      <c r="AH23" s="156" t="inlineStr">
        <is>
          <t>Composición CAPSLAB varía por modelo (50/50, 40/60 o 100% poliéster): validar etiqueta; Físico total NetSuite 10 ≠ suma por ubicación 5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3" s="156" t="inlineStr">
        <is>
          <t>No</t>
        </is>
      </c>
      <c r="AJ23" s="156" t="n"/>
      <c r="AK23" s="155" t="inlineStr">
        <is>
          <t>G1522ProductosTodosloscamposSandboxResults894.xlsx: fila 46235 [Y]; G1522_Extraccion_Articulos_NetSuite_2026-09-30.xlsx: fila 24696 [Z]</t>
        </is>
      </c>
      <c r="AL23" s="58" t="n">
        <v>10.5</v>
      </c>
      <c r="AM23" s="58" t="n"/>
      <c r="AN23" s="155" t="n"/>
      <c r="AO23" s="59" t="n"/>
      <c r="AP23" s="59" t="n"/>
      <c r="AQ23" s="59" t="n"/>
      <c r="AR23" s="155" t="n"/>
    </row>
    <row r="24">
      <c r="A24" s="50" t="inlineStr">
        <is>
          <t>3614001629893</t>
        </is>
      </c>
      <c r="B24" s="51" t="inlineStr">
        <is>
          <t>69568</t>
        </is>
      </c>
      <c r="C24" s="156" t="inlineStr">
        <is>
          <t>CAPSLAB</t>
        </is>
      </c>
      <c r="D24" s="156" t="inlineStr">
        <is>
          <t>CL/0/1/CAS2/BE1</t>
        </is>
      </c>
      <c r="E24" s="156" t="inlineStr">
        <is>
          <t>CL/0/1/CAS2/BE1-UNI</t>
        </is>
      </c>
      <c r="F24" s="156" t="inlineStr">
        <is>
          <t>Talla única</t>
        </is>
      </c>
      <c r="G24" s="156" t="inlineStr">
        <is>
          <t>One Size</t>
        </is>
      </c>
      <c r="H24" s="156" t="inlineStr">
        <is>
          <t>CAPSLAB</t>
        </is>
      </c>
      <c r="I24" s="156" t="inlineStr">
        <is>
          <t>Gorra CAPSLAB Cocktails</t>
        </is>
      </c>
      <c r="J24" s="156" t="inlineStr">
        <is>
          <t>Accesorios</t>
        </is>
      </c>
      <c r="K24" s="156" t="inlineStr">
        <is>
          <t>Gorras</t>
        </is>
      </c>
      <c r="L24" s="156" t="inlineStr">
        <is>
          <t>Unisex</t>
        </is>
      </c>
      <c r="M24" s="156" t="inlineStr">
        <is>
          <t>Cocktails</t>
        </is>
      </c>
      <c r="N24" s="156" t="n"/>
      <c r="O24" s="156" t="n"/>
      <c r="P24" s="156" t="n"/>
      <c r="Q24" s="156" t="n"/>
      <c r="R24" s="156" t="n"/>
      <c r="S24" s="156" t="inlineStr">
        <is>
          <t>Algodón / Poliéster</t>
        </is>
      </c>
      <c r="T24" s="156" t="inlineStr">
        <is>
          <t>Gorra de la marca CAPSLAB bajo licencia oficial Cocktails. Talla única ajustable. Estilo CL/0/1/CAS2/BE1.</t>
        </is>
      </c>
      <c r="U24" s="156" t="n"/>
      <c r="V24" s="156" t="inlineStr">
        <is>
          <t>PZS</t>
        </is>
      </c>
      <c r="W24" s="51" t="inlineStr">
        <is>
          <t>53102516</t>
        </is>
      </c>
      <c r="X24" s="156" t="inlineStr">
        <is>
          <t>https://i.ibb.co/12J6HSP/CL01-CAS2-BE1.jpg</t>
        </is>
      </c>
      <c r="Y24" s="54" t="n"/>
      <c r="Z24" s="54" t="n">
        <v>599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IFERROR(_xlfn.XMATCH(A24,$A$2:$A$370,0,1)&lt;&gt;_xlfn.XMATCH(A24,$A$2:$A$370,0,-1),FALSE)), "Código de barras duplicado", ""), IF(AND(E24&lt;&gt;"", COUNTIF($E$2:$E$370,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n"/>
      <c r="AD24" s="51" t="n">
        <v>105</v>
      </c>
      <c r="AE24" s="156" t="inlineStr">
        <is>
          <t>CAPSLAB Warehouse (56)</t>
        </is>
      </c>
      <c r="AF24" s="51" t="n">
        <v>105</v>
      </c>
      <c r="AG24" s="156" t="inlineStr">
        <is>
          <t>Nuevo – NetSuite con existencia</t>
        </is>
      </c>
      <c r="AH24" s="156" t="inlineStr">
        <is>
          <t>Composición CAPSLAB varía por modelo (50/50, 40/60 o 100% poliéster): validar etiqueta; Color por validar; Físico total NetSuite 105 ≠ suma por ubicación 56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4" s="156" t="inlineStr">
        <is>
          <t>No</t>
        </is>
      </c>
      <c r="AJ24" s="156" t="n"/>
      <c r="AK24" s="155" t="inlineStr">
        <is>
          <t>G1522ProductosTodosloscamposSandboxResults894.xlsx: fila 47585 [X]; G1522_Extraccion_Articulos_NetSuite_2026-09-30.xlsx: fila 30298 [Z]</t>
        </is>
      </c>
      <c r="AL24" s="58" t="n"/>
      <c r="AM24" s="58" t="n"/>
      <c r="AN24" s="155" t="n"/>
      <c r="AO24" s="59" t="n"/>
      <c r="AP24" s="59" t="n"/>
      <c r="AQ24" s="59" t="n"/>
      <c r="AR24" s="155" t="n"/>
    </row>
    <row r="25">
      <c r="A25" s="50" t="inlineStr">
        <is>
          <t>3614001629909</t>
        </is>
      </c>
      <c r="B25" s="51" t="inlineStr">
        <is>
          <t>69569</t>
        </is>
      </c>
      <c r="C25" s="156" t="inlineStr">
        <is>
          <t>CAPSLAB</t>
        </is>
      </c>
      <c r="D25" s="156" t="inlineStr">
        <is>
          <t>CL/0/1/CAS2/BE2</t>
        </is>
      </c>
      <c r="E25" s="156" t="inlineStr">
        <is>
          <t>CL/0/1/CAS2/BE2-UNI</t>
        </is>
      </c>
      <c r="F25" s="156" t="inlineStr">
        <is>
          <t>Talla única</t>
        </is>
      </c>
      <c r="G25" s="156" t="inlineStr">
        <is>
          <t>One Size</t>
        </is>
      </c>
      <c r="H25" s="156" t="inlineStr">
        <is>
          <t>CAPSLAB</t>
        </is>
      </c>
      <c r="I25" s="156" t="inlineStr">
        <is>
          <t>Gorra CAPSLAB Cocktails</t>
        </is>
      </c>
      <c r="J25" s="156" t="inlineStr">
        <is>
          <t>Accesorios</t>
        </is>
      </c>
      <c r="K25" s="156" t="inlineStr">
        <is>
          <t>Gorras</t>
        </is>
      </c>
      <c r="L25" s="156" t="inlineStr">
        <is>
          <t>Unisex</t>
        </is>
      </c>
      <c r="M25" s="156" t="inlineStr">
        <is>
          <t>Cocktails</t>
        </is>
      </c>
      <c r="N25" s="156" t="n"/>
      <c r="O25" s="156" t="n"/>
      <c r="P25" s="156" t="n"/>
      <c r="Q25" s="156" t="n"/>
      <c r="R25" s="156" t="n"/>
      <c r="S25" s="156" t="inlineStr">
        <is>
          <t>Algodón / Poliéster</t>
        </is>
      </c>
      <c r="T25" s="156" t="inlineStr">
        <is>
          <t>Gorra de la marca CAPSLAB bajo licencia oficial Cocktails. Talla única ajustable. Estilo CL/0/1/CAS2/BE2.</t>
        </is>
      </c>
      <c r="U25" s="156" t="n"/>
      <c r="V25" s="156" t="inlineStr">
        <is>
          <t>PZS</t>
        </is>
      </c>
      <c r="W25" s="51" t="inlineStr">
        <is>
          <t>53102516</t>
        </is>
      </c>
      <c r="X25" s="156" t="inlineStr">
        <is>
          <t>https://i.ibb.co/HBZphSC/CL01-CAS2-BE2.jpg</t>
        </is>
      </c>
      <c r="Y25" s="54" t="n"/>
      <c r="Z25" s="54" t="n">
        <v>599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IFERROR(_xlfn.XMATCH(A25,$A$2:$A$370,0,1)&lt;&gt;_xlfn.XMATCH(A25,$A$2:$A$370,0,-1),FALSE)), "Código de barras duplicado", ""), IF(AND(E25&lt;&gt;"", COUNTIF($E$2:$E$370,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n"/>
      <c r="AD25" s="51" t="n">
        <v>90</v>
      </c>
      <c r="AE25" s="156" t="inlineStr">
        <is>
          <t>CAPSLAB Warehouse (51)</t>
        </is>
      </c>
      <c r="AF25" s="51" t="n">
        <v>90</v>
      </c>
      <c r="AG25" s="156" t="inlineStr">
        <is>
          <t>Nuevo – NetSuite con existencia</t>
        </is>
      </c>
      <c r="AH25" s="156" t="inlineStr">
        <is>
          <t>Composición CAPSLAB varía por modelo (50/50, 40/60 o 100% poliéster): validar etiqueta; Color por validar; Físico total NetSuite 90 ≠ suma por ubicación 51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5" s="156" t="inlineStr">
        <is>
          <t>No</t>
        </is>
      </c>
      <c r="AJ25" s="156" t="n"/>
      <c r="AK25" s="155" t="inlineStr">
        <is>
          <t>G1522ProductosTodosloscamposSandboxResults894.xlsx: fila 47587 [X]; G1522_Extraccion_Articulos_NetSuite_2026-09-30.xlsx: fila 30299 [Z]</t>
        </is>
      </c>
      <c r="AL25" s="58" t="n"/>
      <c r="AM25" s="58" t="n"/>
      <c r="AN25" s="155" t="n"/>
      <c r="AO25" s="59" t="n"/>
      <c r="AP25" s="59" t="n"/>
      <c r="AQ25" s="59" t="n"/>
      <c r="AR25" s="155" t="n"/>
    </row>
    <row r="26">
      <c r="A26" s="50" t="inlineStr">
        <is>
          <t>3614001629916</t>
        </is>
      </c>
      <c r="B26" s="51" t="inlineStr">
        <is>
          <t>69570</t>
        </is>
      </c>
      <c r="C26" s="156" t="inlineStr">
        <is>
          <t>CAPSLAB</t>
        </is>
      </c>
      <c r="D26" s="156" t="inlineStr">
        <is>
          <t>CL/0/1/CAS2/BL1</t>
        </is>
      </c>
      <c r="E26" s="156" t="inlineStr">
        <is>
          <t>CL/0/1/CAS2/BL1-UNI</t>
        </is>
      </c>
      <c r="F26" s="156" t="inlineStr">
        <is>
          <t>Talla única</t>
        </is>
      </c>
      <c r="G26" s="156" t="inlineStr">
        <is>
          <t>One Size</t>
        </is>
      </c>
      <c r="H26" s="156" t="inlineStr">
        <is>
          <t>CAPSLAB</t>
        </is>
      </c>
      <c r="I26" s="156" t="inlineStr">
        <is>
          <t>Gorra CAPSLAB Cocktails</t>
        </is>
      </c>
      <c r="J26" s="156" t="inlineStr">
        <is>
          <t>Accesorios</t>
        </is>
      </c>
      <c r="K26" s="156" t="inlineStr">
        <is>
          <t>Gorras</t>
        </is>
      </c>
      <c r="L26" s="156" t="inlineStr">
        <is>
          <t>Unisex</t>
        </is>
      </c>
      <c r="M26" s="156" t="inlineStr">
        <is>
          <t>Cocktails</t>
        </is>
      </c>
      <c r="N26" s="156" t="n"/>
      <c r="O26" s="156" t="n"/>
      <c r="P26" s="156" t="n"/>
      <c r="Q26" s="156" t="n"/>
      <c r="R26" s="156" t="n"/>
      <c r="S26" s="156" t="inlineStr">
        <is>
          <t>Algodón / Poliéster</t>
        </is>
      </c>
      <c r="T26" s="156" t="inlineStr">
        <is>
          <t>Gorra de la marca CAPSLAB bajo licencia oficial Cocktails. Talla única ajustable. Estilo CL/0/1/CAS2/BL1.</t>
        </is>
      </c>
      <c r="U26" s="156" t="n"/>
      <c r="V26" s="156" t="inlineStr">
        <is>
          <t>PZS</t>
        </is>
      </c>
      <c r="W26" s="51" t="inlineStr">
        <is>
          <t>53102516</t>
        </is>
      </c>
      <c r="X26" s="156" t="inlineStr">
        <is>
          <t>https://i.ibb.co/LkKh218/CL01-CAS2-BL1.jpg</t>
        </is>
      </c>
      <c r="Y26" s="54" t="n"/>
      <c r="Z26" s="54" t="n">
        <v>599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IFERROR(_xlfn.XMATCH(A26,$A$2:$A$370,0,1)&lt;&gt;_xlfn.XMATCH(A26,$A$2:$A$370,0,-1),FALSE)), "Código de barras duplicado", ""), IF(AND(E26&lt;&gt;"", COUNTIF($E$2:$E$370,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n"/>
      <c r="AD26" s="51" t="n">
        <v>110</v>
      </c>
      <c r="AE26" s="156" t="inlineStr">
        <is>
          <t>CAPSLAB Warehouse (55)</t>
        </is>
      </c>
      <c r="AF26" s="51" t="n">
        <v>110</v>
      </c>
      <c r="AG26" s="156" t="inlineStr">
        <is>
          <t>Nuevo – NetSuite con existencia</t>
        </is>
      </c>
      <c r="AH26" s="156" t="inlineStr">
        <is>
          <t>Composición CAPSLAB varía por modelo (50/50, 40/60 o 100% poliéster): validar etiqueta; Color por validar; Físico total NetSuite 110 ≠ suma por ubicación 55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" s="156" t="inlineStr">
        <is>
          <t>No</t>
        </is>
      </c>
      <c r="AJ26" s="156" t="n"/>
      <c r="AK26" s="155" t="inlineStr">
        <is>
          <t>G1522ProductosTodosloscamposSandboxResults894.xlsx: fila 47589 [X]; G1522_Extraccion_Articulos_NetSuite_2026-09-30.xlsx: fila 30300 [Z]</t>
        </is>
      </c>
      <c r="AL26" s="58" t="n"/>
      <c r="AM26" s="58" t="n"/>
      <c r="AN26" s="155" t="n"/>
      <c r="AO26" s="59" t="n"/>
      <c r="AP26" s="59" t="n"/>
      <c r="AQ26" s="59" t="n"/>
      <c r="AR26" s="155" t="n"/>
    </row>
    <row r="27">
      <c r="A27" s="50" t="inlineStr">
        <is>
          <t>3614001632091</t>
        </is>
      </c>
      <c r="B27" s="51" t="inlineStr">
        <is>
          <t>69571</t>
        </is>
      </c>
      <c r="C27" s="156" t="inlineStr">
        <is>
          <t>CAPSLAB</t>
        </is>
      </c>
      <c r="D27" s="156" t="inlineStr">
        <is>
          <t>CL/0/1/CAS2/DRE1</t>
        </is>
      </c>
      <c r="E27" s="156" t="inlineStr">
        <is>
          <t>CL/0/1/CAS2/DRE1-UNI</t>
        </is>
      </c>
      <c r="F27" s="156" t="inlineStr">
        <is>
          <t>Talla única</t>
        </is>
      </c>
      <c r="G27" s="156" t="inlineStr">
        <is>
          <t>One Size</t>
        </is>
      </c>
      <c r="H27" s="156" t="inlineStr">
        <is>
          <t>CAPSLAB</t>
        </is>
      </c>
      <c r="I27" s="156" t="inlineStr">
        <is>
          <t>Gorra CAPSLAB Cocktails</t>
        </is>
      </c>
      <c r="J27" s="156" t="inlineStr">
        <is>
          <t>Accesorios</t>
        </is>
      </c>
      <c r="K27" s="156" t="inlineStr">
        <is>
          <t>Gorras</t>
        </is>
      </c>
      <c r="L27" s="156" t="inlineStr">
        <is>
          <t>Unisex</t>
        </is>
      </c>
      <c r="M27" s="156" t="inlineStr">
        <is>
          <t>Cocktails</t>
        </is>
      </c>
      <c r="N27" s="156" t="n"/>
      <c r="O27" s="156" t="n"/>
      <c r="P27" s="156" t="n"/>
      <c r="Q27" s="156" t="n"/>
      <c r="R27" s="156" t="n"/>
      <c r="S27" s="156" t="inlineStr">
        <is>
          <t>Algodón / Poliéster</t>
        </is>
      </c>
      <c r="T27" s="156" t="inlineStr">
        <is>
          <t>Gorra de la marca CAPSLAB bajo licencia oficial Cocktails. Talla única ajustable. Estilo CL/0/1/CAS2/DRE1.</t>
        </is>
      </c>
      <c r="U27" s="156" t="n"/>
      <c r="V27" s="156" t="inlineStr">
        <is>
          <t>PZS</t>
        </is>
      </c>
      <c r="W27" s="51" t="inlineStr">
        <is>
          <t>53102516</t>
        </is>
      </c>
      <c r="X27" s="156" t="inlineStr">
        <is>
          <t>https://i.ibb.co/CBHX1kg/CL01-CAS2-DRE1.jpg</t>
        </is>
      </c>
      <c r="Y27" s="54" t="n"/>
      <c r="Z27" s="54" t="n">
        <v>599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IFERROR(_xlfn.XMATCH(A27,$A$2:$A$370,0,1)&lt;&gt;_xlfn.XMATCH(A27,$A$2:$A$370,0,-1),FALSE)), "Código de barras duplicado", ""), IF(AND(E27&lt;&gt;"", COUNTIF($E$2:$E$370,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n"/>
      <c r="AD27" s="51" t="n">
        <v>109</v>
      </c>
      <c r="AE27" s="156" t="inlineStr">
        <is>
          <t>CAPSLAB Warehouse (59)</t>
        </is>
      </c>
      <c r="AF27" s="51" t="n">
        <v>109</v>
      </c>
      <c r="AG27" s="156" t="inlineStr">
        <is>
          <t>Nuevo – NetSuite con existencia</t>
        </is>
      </c>
      <c r="AH27" s="156" t="inlineStr">
        <is>
          <t>Composición CAPSLAB varía por modelo (50/50, 40/60 o 100% poliéster): validar etiqueta; Color por validar; Físico total NetSuite 109 ≠ suma por ubicación 59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" s="156" t="inlineStr">
        <is>
          <t>No</t>
        </is>
      </c>
      <c r="AJ27" s="156" t="n"/>
      <c r="AK27" s="155" t="inlineStr">
        <is>
          <t>G1522ProductosTodosloscamposSandboxResults894.xlsx: fila 47591 [X]; G1522_Extraccion_Articulos_NetSuite_2026-09-30.xlsx: fila 30301 [Z]</t>
        </is>
      </c>
      <c r="AL27" s="58" t="n"/>
      <c r="AM27" s="58" t="n"/>
      <c r="AN27" s="155" t="n"/>
      <c r="AO27" s="59" t="n"/>
      <c r="AP27" s="59" t="n"/>
      <c r="AQ27" s="59" t="n"/>
      <c r="AR27" s="155" t="n"/>
    </row>
    <row r="28">
      <c r="A28" s="50" t="inlineStr">
        <is>
          <t>3614001631667</t>
        </is>
      </c>
      <c r="B28" s="51" t="inlineStr">
        <is>
          <t>69572</t>
        </is>
      </c>
      <c r="C28" s="156" t="inlineStr">
        <is>
          <t>CAPSLAB</t>
        </is>
      </c>
      <c r="D28" s="156" t="inlineStr">
        <is>
          <t>CL/0/1/CAS2/FOR1</t>
        </is>
      </c>
      <c r="E28" s="156" t="inlineStr">
        <is>
          <t>CL/0/1/CAS2/FOR1-UNI</t>
        </is>
      </c>
      <c r="F28" s="156" t="inlineStr">
        <is>
          <t>Talla única</t>
        </is>
      </c>
      <c r="G28" s="156" t="inlineStr">
        <is>
          <t>One Size</t>
        </is>
      </c>
      <c r="H28" s="156" t="inlineStr">
        <is>
          <t>CAPSLAB</t>
        </is>
      </c>
      <c r="I28" s="156" t="inlineStr">
        <is>
          <t>Gorra CAPSLAB Lucky</t>
        </is>
      </c>
      <c r="J28" s="156" t="inlineStr">
        <is>
          <t>Accesorios</t>
        </is>
      </c>
      <c r="K28" s="156" t="inlineStr">
        <is>
          <t>Gorras</t>
        </is>
      </c>
      <c r="L28" s="156" t="inlineStr">
        <is>
          <t>Unisex</t>
        </is>
      </c>
      <c r="M28" s="156" t="inlineStr">
        <is>
          <t>Lucky</t>
        </is>
      </c>
      <c r="N28" s="156" t="n"/>
      <c r="O28" s="156" t="n"/>
      <c r="P28" s="156" t="n"/>
      <c r="Q28" s="156" t="n"/>
      <c r="R28" s="156" t="n"/>
      <c r="S28" s="156" t="inlineStr">
        <is>
          <t>Algodón / Poliéster</t>
        </is>
      </c>
      <c r="T28" s="156" t="inlineStr">
        <is>
          <t>Gorra de la marca CAPSLAB bajo licencia oficial Lucky. Talla única ajustable. Estilo CL/0/1/CAS2/FOR1.</t>
        </is>
      </c>
      <c r="U28" s="156" t="n"/>
      <c r="V28" s="156" t="inlineStr">
        <is>
          <t>PZS</t>
        </is>
      </c>
      <c r="W28" s="51" t="inlineStr">
        <is>
          <t>53102516</t>
        </is>
      </c>
      <c r="X28" s="156" t="inlineStr">
        <is>
          <t>https://i.ibb.co/YNhLcnM/CL01-CAS2-FOR1.jpg</t>
        </is>
      </c>
      <c r="Y28" s="54" t="n"/>
      <c r="Z28" s="54" t="n">
        <v>599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IFERROR(_xlfn.XMATCH(A28,$A$2:$A$370,0,1)&lt;&gt;_xlfn.XMATCH(A28,$A$2:$A$370,0,-1),FALSE)), "Código de barras duplicado", ""), IF(AND(E28&lt;&gt;"", COUNTIF($E$2:$E$370,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>
        <v>101</v>
      </c>
      <c r="AE28" s="156" t="inlineStr">
        <is>
          <t>CL Muestras (1); CAPSLAB Warehouse (52)</t>
        </is>
      </c>
      <c r="AF28" s="51" t="n">
        <v>101</v>
      </c>
      <c r="AG28" s="156" t="inlineStr">
        <is>
          <t>Nuevo – NetSuite con existencia</t>
        </is>
      </c>
      <c r="AH28" s="156" t="inlineStr">
        <is>
          <t>Composición CAPSLAB varía por modelo (50/50, 40/60 o 100% poliéster): validar etiqueta; Color por validar; Físico total NetSuite 101 ≠ suma por ubicación 53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8" s="156" t="inlineStr">
        <is>
          <t>No</t>
        </is>
      </c>
      <c r="AJ28" s="156" t="n"/>
      <c r="AK28" s="155" t="inlineStr">
        <is>
          <t>G1522ProductosTodosloscamposSandboxResults894.xlsx: fila 47593 [X]; G1522_Extraccion_Articulos_NetSuite_2026-09-30.xlsx: fila 30302 [Z]</t>
        </is>
      </c>
      <c r="AL28" s="58" t="n"/>
      <c r="AM28" s="58" t="n"/>
      <c r="AN28" s="155" t="n"/>
      <c r="AO28" s="59" t="n"/>
      <c r="AP28" s="59" t="n"/>
      <c r="AQ28" s="59" t="n"/>
      <c r="AR28" s="155" t="n"/>
    </row>
    <row r="29">
      <c r="A29" s="50" t="inlineStr">
        <is>
          <t>3614001629879</t>
        </is>
      </c>
      <c r="B29" s="51" t="inlineStr">
        <is>
          <t>69573</t>
        </is>
      </c>
      <c r="C29" s="156" t="inlineStr">
        <is>
          <t>CAPSLAB</t>
        </is>
      </c>
      <c r="D29" s="156" t="inlineStr">
        <is>
          <t>CL/0/1/CAS2/FOR2</t>
        </is>
      </c>
      <c r="E29" s="156" t="inlineStr">
        <is>
          <t>CL/0/1/CAS2/FOR2-UNI</t>
        </is>
      </c>
      <c r="F29" s="156" t="inlineStr">
        <is>
          <t>Talla única</t>
        </is>
      </c>
      <c r="G29" s="156" t="inlineStr">
        <is>
          <t>One Size</t>
        </is>
      </c>
      <c r="H29" s="156" t="inlineStr">
        <is>
          <t>CAPSLAB</t>
        </is>
      </c>
      <c r="I29" s="156" t="inlineStr">
        <is>
          <t>Gorra CAPSLAB Lucky</t>
        </is>
      </c>
      <c r="J29" s="156" t="inlineStr">
        <is>
          <t>Accesorios</t>
        </is>
      </c>
      <c r="K29" s="156" t="inlineStr">
        <is>
          <t>Gorras</t>
        </is>
      </c>
      <c r="L29" s="156" t="inlineStr">
        <is>
          <t>Unisex</t>
        </is>
      </c>
      <c r="M29" s="156" t="inlineStr">
        <is>
          <t>Lucky</t>
        </is>
      </c>
      <c r="N29" s="156" t="n"/>
      <c r="O29" s="156" t="n"/>
      <c r="P29" s="156" t="n"/>
      <c r="Q29" s="156" t="n"/>
      <c r="R29" s="156" t="n"/>
      <c r="S29" s="156" t="inlineStr">
        <is>
          <t>Algodón / Poliéster</t>
        </is>
      </c>
      <c r="T29" s="156" t="inlineStr">
        <is>
          <t>Gorra de la marca CAPSLAB bajo licencia oficial Lucky. Talla única ajustable. Estilo CL/0/1/CAS2/FOR2.</t>
        </is>
      </c>
      <c r="U29" s="156" t="n"/>
      <c r="V29" s="156" t="inlineStr">
        <is>
          <t>PZS</t>
        </is>
      </c>
      <c r="W29" s="51" t="inlineStr">
        <is>
          <t>53102516</t>
        </is>
      </c>
      <c r="X29" s="156" t="inlineStr">
        <is>
          <t>https://i.ibb.co/3f4hByW/CL01-CAS2-FOR2.jpg</t>
        </is>
      </c>
      <c r="Y29" s="54" t="n"/>
      <c r="Z29" s="54" t="n">
        <v>599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IFERROR(_xlfn.XMATCH(A29,$A$2:$A$370,0,1)&lt;&gt;_xlfn.XMATCH(A29,$A$2:$A$370,0,-1),FALSE)), "Código de barras duplicado", ""), IF(AND(E29&lt;&gt;"", COUNTIF($E$2:$E$370,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>
        <v>95</v>
      </c>
      <c r="AE29" s="156" t="inlineStr">
        <is>
          <t>CAPSLAB Warehouse (52)</t>
        </is>
      </c>
      <c r="AF29" s="51" t="n">
        <v>95</v>
      </c>
      <c r="AG29" s="156" t="inlineStr">
        <is>
          <t>Nuevo – NetSuite con existencia</t>
        </is>
      </c>
      <c r="AH29" s="156" t="inlineStr">
        <is>
          <t>Composición CAPSLAB varía por modelo (50/50, 40/60 o 100% poliéster): validar etiqueta; Color por validar; Físico total NetSuite 95 ≠ suma por ubicación 52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9" s="156" t="inlineStr">
        <is>
          <t>No</t>
        </is>
      </c>
      <c r="AJ29" s="156" t="n"/>
      <c r="AK29" s="155" t="inlineStr">
        <is>
          <t>G1522ProductosTodosloscamposSandboxResults894.xlsx: fila 47595 [X]; G1522_Extraccion_Articulos_NetSuite_2026-09-30.xlsx: fila 30303 [Z]</t>
        </is>
      </c>
      <c r="AL29" s="58" t="n"/>
      <c r="AM29" s="58" t="n"/>
      <c r="AN29" s="155" t="n"/>
      <c r="AO29" s="59" t="n"/>
      <c r="AP29" s="59" t="n"/>
      <c r="AQ29" s="59" t="n"/>
      <c r="AR29" s="155" t="n"/>
    </row>
    <row r="30">
      <c r="A30" s="50" t="inlineStr">
        <is>
          <t>3614001642618</t>
        </is>
      </c>
      <c r="B30" s="51" t="inlineStr">
        <is>
          <t>69574</t>
        </is>
      </c>
      <c r="C30" s="156" t="inlineStr">
        <is>
          <t>CAPSLAB</t>
        </is>
      </c>
      <c r="D30" s="156" t="inlineStr">
        <is>
          <t>CL/0/1/CAS2/FOR3</t>
        </is>
      </c>
      <c r="E30" s="156" t="inlineStr">
        <is>
          <t>CL/0/1/CAS2/FOR3-UNI</t>
        </is>
      </c>
      <c r="F30" s="156" t="inlineStr">
        <is>
          <t>Talla única</t>
        </is>
      </c>
      <c r="G30" s="156" t="inlineStr">
        <is>
          <t>One Size</t>
        </is>
      </c>
      <c r="H30" s="156" t="inlineStr">
        <is>
          <t>CAPSLAB</t>
        </is>
      </c>
      <c r="I30" s="156" t="inlineStr">
        <is>
          <t>Gorra CAPSLAB Lucky</t>
        </is>
      </c>
      <c r="J30" s="156" t="inlineStr">
        <is>
          <t>Accesorios</t>
        </is>
      </c>
      <c r="K30" s="156" t="inlineStr">
        <is>
          <t>Gorras</t>
        </is>
      </c>
      <c r="L30" s="156" t="inlineStr">
        <is>
          <t>Unisex</t>
        </is>
      </c>
      <c r="M30" s="156" t="inlineStr">
        <is>
          <t>Lucky</t>
        </is>
      </c>
      <c r="N30" s="156" t="n"/>
      <c r="O30" s="156" t="n"/>
      <c r="P30" s="156" t="n"/>
      <c r="Q30" s="156" t="n"/>
      <c r="R30" s="156" t="n"/>
      <c r="S30" s="156" t="inlineStr">
        <is>
          <t>Algodón / Poliéster</t>
        </is>
      </c>
      <c r="T30" s="156" t="inlineStr">
        <is>
          <t>Gorra de la marca CAPSLAB bajo licencia oficial Lucky. Talla única ajustable. Estilo CL/0/1/CAS2/FOR3.</t>
        </is>
      </c>
      <c r="U30" s="156" t="n"/>
      <c r="V30" s="156" t="inlineStr">
        <is>
          <t>PZS</t>
        </is>
      </c>
      <c r="W30" s="51" t="inlineStr">
        <is>
          <t>53102516</t>
        </is>
      </c>
      <c r="X30" s="156" t="inlineStr">
        <is>
          <t>https://i.ibb.co/GV98QCC/CL01-CAS2-FOR3.jpg</t>
        </is>
      </c>
      <c r="Y30" s="54" t="n"/>
      <c r="Z30" s="54" t="n">
        <v>599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IFERROR(_xlfn.XMATCH(A30,$A$2:$A$370,0,1)&lt;&gt;_xlfn.XMATCH(A30,$A$2:$A$370,0,-1),FALSE)), "Código de barras duplicado", ""), IF(AND(E30&lt;&gt;"", COUNTIF($E$2:$E$370,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>
        <v>105</v>
      </c>
      <c r="AE30" s="156" t="inlineStr">
        <is>
          <t>CAPSLAB Warehouse (53)</t>
        </is>
      </c>
      <c r="AF30" s="51" t="n">
        <v>105</v>
      </c>
      <c r="AG30" s="156" t="inlineStr">
        <is>
          <t>Nuevo – NetSuite con existencia</t>
        </is>
      </c>
      <c r="AH30" s="156" t="inlineStr">
        <is>
          <t>Composición CAPSLAB varía por modelo (50/50, 40/60 o 100% poliéster): validar etiqueta; Color por validar; Físico total NetSuite 105 ≠ suma por ubicación 53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0" s="156" t="inlineStr">
        <is>
          <t>No</t>
        </is>
      </c>
      <c r="AJ30" s="156" t="n"/>
      <c r="AK30" s="155" t="inlineStr">
        <is>
          <t>G1522ProductosTodosloscamposSandboxResults894.xlsx: fila 47597 [X]; G1522_Extraccion_Articulos_NetSuite_2026-09-30.xlsx: fila 30304 [Z]</t>
        </is>
      </c>
      <c r="AL30" s="58" t="n"/>
      <c r="AM30" s="58" t="n"/>
      <c r="AN30" s="155" t="n"/>
      <c r="AO30" s="59" t="n"/>
      <c r="AP30" s="59" t="n"/>
      <c r="AQ30" s="59" t="n"/>
      <c r="AR30" s="155" t="n"/>
    </row>
    <row r="31">
      <c r="A31" s="50" t="inlineStr">
        <is>
          <t>3614001629992</t>
        </is>
      </c>
      <c r="B31" s="51" t="inlineStr">
        <is>
          <t>69575</t>
        </is>
      </c>
      <c r="C31" s="156" t="inlineStr">
        <is>
          <t>CAPSLAB</t>
        </is>
      </c>
      <c r="D31" s="156" t="inlineStr">
        <is>
          <t>CL/0/1/CAS2/JOK1</t>
        </is>
      </c>
      <c r="E31" s="156" t="inlineStr">
        <is>
          <t>CL/0/1/CAS2/JOK1-UNI</t>
        </is>
      </c>
      <c r="F31" s="156" t="inlineStr">
        <is>
          <t>Talla única</t>
        </is>
      </c>
      <c r="G31" s="156" t="inlineStr">
        <is>
          <t>One Size</t>
        </is>
      </c>
      <c r="H31" s="156" t="inlineStr">
        <is>
          <t>CAPSLAB</t>
        </is>
      </c>
      <c r="I31" s="156" t="inlineStr">
        <is>
          <t>Gorra CAPSLAB Cocktails Joker</t>
        </is>
      </c>
      <c r="J31" s="156" t="inlineStr">
        <is>
          <t>Accesorios</t>
        </is>
      </c>
      <c r="K31" s="156" t="inlineStr">
        <is>
          <t>Gorras</t>
        </is>
      </c>
      <c r="L31" s="156" t="inlineStr">
        <is>
          <t>Unisex</t>
        </is>
      </c>
      <c r="M31" s="156" t="inlineStr">
        <is>
          <t>Cocktails</t>
        </is>
      </c>
      <c r="N31" s="156" t="n"/>
      <c r="O31" s="156" t="n"/>
      <c r="P31" s="156" t="n"/>
      <c r="Q31" s="156" t="n"/>
      <c r="R31" s="156" t="n"/>
      <c r="S31" s="156" t="inlineStr">
        <is>
          <t>Algodón / Poliéster</t>
        </is>
      </c>
      <c r="T31" s="156" t="inlineStr">
        <is>
          <t>Gorra de la marca CAPSLAB bajo licencia oficial Cocktails, personaje Joker. Talla única ajustable. Estilo CL/0/1/CAS2/JOK1.</t>
        </is>
      </c>
      <c r="U31" s="156" t="n"/>
      <c r="V31" s="156" t="inlineStr">
        <is>
          <t>PZS</t>
        </is>
      </c>
      <c r="W31" s="51" t="inlineStr">
        <is>
          <t>53102516</t>
        </is>
      </c>
      <c r="X31" s="156" t="inlineStr">
        <is>
          <t>https://i.ibb.co/prbXFTB/CL01-CAS2-JOK1.jpg</t>
        </is>
      </c>
      <c r="Y31" s="54" t="n"/>
      <c r="Z31" s="54" t="n">
        <v>599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IFERROR(_xlfn.XMATCH(A31,$A$2:$A$370,0,1)&lt;&gt;_xlfn.XMATCH(A31,$A$2:$A$370,0,-1),FALSE)), "Código de barras duplicado", ""), IF(AND(E31&lt;&gt;"", COUNTIF($E$2:$E$370,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>
        <v>64</v>
      </c>
      <c r="AE31" s="156" t="inlineStr">
        <is>
          <t>CL Muestras (1); CAPSLAB Warehouse (36)</t>
        </is>
      </c>
      <c r="AF31" s="51" t="n">
        <v>64</v>
      </c>
      <c r="AG31" s="156" t="inlineStr">
        <is>
          <t>Nuevo – NetSuite con existencia</t>
        </is>
      </c>
      <c r="AH31" s="156" t="inlineStr">
        <is>
          <t>Composición CAPSLAB varía por modelo (50/50, 40/60 o 100% poliéster): validar etiqueta; Color por validar; Físico total NetSuite 64 ≠ suma por ubicación 37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1" s="156" t="inlineStr">
        <is>
          <t>No</t>
        </is>
      </c>
      <c r="AJ31" s="156" t="n"/>
      <c r="AK31" s="155" t="inlineStr">
        <is>
          <t>G1522ProductosTodosloscamposSandboxResults894.xlsx: fila 47599 [X]; G1522_Extraccion_Articulos_NetSuite_2026-09-30.xlsx: fila 30305 [Z]</t>
        </is>
      </c>
      <c r="AL31" s="58" t="n"/>
      <c r="AM31" s="58" t="n"/>
      <c r="AN31" s="155" t="n"/>
      <c r="AO31" s="59" t="n"/>
      <c r="AP31" s="59" t="n"/>
      <c r="AQ31" s="59" t="n"/>
      <c r="AR31" s="155" t="n"/>
    </row>
    <row r="32">
      <c r="A32" s="50" t="inlineStr">
        <is>
          <t>3614001629930</t>
        </is>
      </c>
      <c r="B32" s="51" t="inlineStr">
        <is>
          <t>69576</t>
        </is>
      </c>
      <c r="C32" s="156" t="inlineStr">
        <is>
          <t>CAPSLAB</t>
        </is>
      </c>
      <c r="D32" s="156" t="inlineStr">
        <is>
          <t>CL/0/1/CAS2/LA1</t>
        </is>
      </c>
      <c r="E32" s="156" t="inlineStr">
        <is>
          <t>CL/0/1/CAS2/LA1-UNI</t>
        </is>
      </c>
      <c r="F32" s="156" t="inlineStr">
        <is>
          <t>Talla única</t>
        </is>
      </c>
      <c r="G32" s="156" t="inlineStr">
        <is>
          <t>One Size</t>
        </is>
      </c>
      <c r="H32" s="156" t="inlineStr">
        <is>
          <t>CAPSLAB</t>
        </is>
      </c>
      <c r="I32" s="156" t="inlineStr">
        <is>
          <t>Gorra CAPSLAB Cocktails</t>
        </is>
      </c>
      <c r="J32" s="156" t="inlineStr">
        <is>
          <t>Accesorios</t>
        </is>
      </c>
      <c r="K32" s="156" t="inlineStr">
        <is>
          <t>Gorras</t>
        </is>
      </c>
      <c r="L32" s="156" t="inlineStr">
        <is>
          <t>Unisex</t>
        </is>
      </c>
      <c r="M32" s="156" t="inlineStr">
        <is>
          <t>Cocktails</t>
        </is>
      </c>
      <c r="N32" s="156" t="n"/>
      <c r="O32" s="156" t="n"/>
      <c r="P32" s="156" t="n"/>
      <c r="Q32" s="156" t="n"/>
      <c r="R32" s="156" t="n"/>
      <c r="S32" s="156" t="inlineStr">
        <is>
          <t>Algodón / Poliéster</t>
        </is>
      </c>
      <c r="T32" s="156" t="inlineStr">
        <is>
          <t>Gorra de la marca CAPSLAB bajo licencia oficial Cocktails. Talla única ajustable. Estilo CL/0/1/CAS2/LA1.</t>
        </is>
      </c>
      <c r="U32" s="156" t="n"/>
      <c r="V32" s="156" t="inlineStr">
        <is>
          <t>PZS</t>
        </is>
      </c>
      <c r="W32" s="51" t="inlineStr">
        <is>
          <t>53102516</t>
        </is>
      </c>
      <c r="X32" s="156" t="inlineStr">
        <is>
          <t>https://i.ibb.co/GJp55Jz/CL01-CAS2-LA1.jpg</t>
        </is>
      </c>
      <c r="Y32" s="54" t="n"/>
      <c r="Z32" s="54" t="n">
        <v>599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IFERROR(_xlfn.XMATCH(A32,$A$2:$A$370,0,1)&lt;&gt;_xlfn.XMATCH(A32,$A$2:$A$370,0,-1),FALSE)), "Código de barras duplicado", ""), IF(AND(E32&lt;&gt;"", COUNTIF($E$2:$E$370,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>
        <v>105</v>
      </c>
      <c r="AE32" s="156" t="inlineStr">
        <is>
          <t>CAPSLAB Warehouse (53)</t>
        </is>
      </c>
      <c r="AF32" s="51" t="n">
        <v>105</v>
      </c>
      <c r="AG32" s="156" t="inlineStr">
        <is>
          <t>Nuevo – NetSuite con existencia</t>
        </is>
      </c>
      <c r="AH32" s="156" t="inlineStr">
        <is>
          <t>Composición CAPSLAB varía por modelo (50/50, 40/60 o 100% poliéster): validar etiqueta; Color por validar; Físico total NetSuite 105 ≠ suma por ubicación 53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2" s="156" t="inlineStr">
        <is>
          <t>No</t>
        </is>
      </c>
      <c r="AJ32" s="156" t="n"/>
      <c r="AK32" s="155" t="inlineStr">
        <is>
          <t>G1522ProductosTodosloscamposSandboxResults894.xlsx: fila 47601 [X]; G1522_Extraccion_Articulos_NetSuite_2026-09-30.xlsx: fila 30306 [Z]</t>
        </is>
      </c>
      <c r="AL32" s="58" t="n"/>
      <c r="AM32" s="58" t="n"/>
      <c r="AN32" s="155" t="n"/>
      <c r="AO32" s="59" t="n"/>
      <c r="AP32" s="59" t="n"/>
      <c r="AQ32" s="59" t="n"/>
      <c r="AR32" s="155" t="n"/>
    </row>
    <row r="33">
      <c r="A33" s="50" t="inlineStr">
        <is>
          <t>3614001632046</t>
        </is>
      </c>
      <c r="B33" s="51" t="inlineStr">
        <is>
          <t>69577</t>
        </is>
      </c>
      <c r="C33" s="156" t="inlineStr">
        <is>
          <t>CAPSLAB</t>
        </is>
      </c>
      <c r="D33" s="156" t="inlineStr">
        <is>
          <t>CL/0/1/CAS2/MA1</t>
        </is>
      </c>
      <c r="E33" s="156" t="inlineStr">
        <is>
          <t>CL/0/1/CAS2/MA1-UNI</t>
        </is>
      </c>
      <c r="F33" s="156" t="inlineStr">
        <is>
          <t>Talla única</t>
        </is>
      </c>
      <c r="G33" s="156" t="inlineStr">
        <is>
          <t>One Size</t>
        </is>
      </c>
      <c r="H33" s="156" t="inlineStr">
        <is>
          <t>CAPSLAB</t>
        </is>
      </c>
      <c r="I33" s="156" t="inlineStr">
        <is>
          <t>Gorra CAPSLAB Cocktails</t>
        </is>
      </c>
      <c r="J33" s="156" t="inlineStr">
        <is>
          <t>Accesorios</t>
        </is>
      </c>
      <c r="K33" s="156" t="inlineStr">
        <is>
          <t>Gorras</t>
        </is>
      </c>
      <c r="L33" s="156" t="inlineStr">
        <is>
          <t>Unisex</t>
        </is>
      </c>
      <c r="M33" s="156" t="inlineStr">
        <is>
          <t>Cocktails</t>
        </is>
      </c>
      <c r="N33" s="156" t="n"/>
      <c r="O33" s="156" t="n"/>
      <c r="P33" s="156" t="n"/>
      <c r="Q33" s="156" t="n"/>
      <c r="R33" s="156" t="n"/>
      <c r="S33" s="156" t="inlineStr">
        <is>
          <t>Algodón / Poliéster</t>
        </is>
      </c>
      <c r="T33" s="156" t="inlineStr">
        <is>
          <t>Gorra de la marca CAPSLAB bajo licencia oficial Cocktails. Talla única ajustable. Estilo CL/0/1/CAS2/MA1.</t>
        </is>
      </c>
      <c r="U33" s="156" t="n"/>
      <c r="V33" s="156" t="inlineStr">
        <is>
          <t>PZS</t>
        </is>
      </c>
      <c r="W33" s="51" t="inlineStr">
        <is>
          <t>53102516</t>
        </is>
      </c>
      <c r="X33" s="156" t="inlineStr">
        <is>
          <t>https://i.ibb.co/KFtyqfd/CL01-CAS2-MA1.jpg</t>
        </is>
      </c>
      <c r="Y33" s="54" t="n"/>
      <c r="Z33" s="54" t="n">
        <v>599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IFERROR(_xlfn.XMATCH(A33,$A$2:$A$370,0,1)&lt;&gt;_xlfn.XMATCH(A33,$A$2:$A$370,0,-1),FALSE)), "Código de barras duplicado", ""), IF(AND(E33&lt;&gt;"", COUNTIF($E$2:$E$370,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>
        <v>108</v>
      </c>
      <c r="AE33" s="156" t="inlineStr">
        <is>
          <t>CAPSLAB Warehouse (54)</t>
        </is>
      </c>
      <c r="AF33" s="51" t="n">
        <v>108</v>
      </c>
      <c r="AG33" s="156" t="inlineStr">
        <is>
          <t>Nuevo – NetSuite con existencia</t>
        </is>
      </c>
      <c r="AH33" s="156" t="inlineStr">
        <is>
          <t>Composición CAPSLAB varía por modelo (50/50, 40/60 o 100% poliéster): validar etiqueta; Color por validar; Físico total NetSuite 108 ≠ suma por ubicación 54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" s="156" t="inlineStr">
        <is>
          <t>No</t>
        </is>
      </c>
      <c r="AJ33" s="156" t="n"/>
      <c r="AK33" s="155" t="inlineStr">
        <is>
          <t>G1522ProductosTodosloscamposSandboxResults894.xlsx: fila 47603 [X]; G1522_Extraccion_Articulos_NetSuite_2026-09-30.xlsx: fila 30307 [Z]</t>
        </is>
      </c>
      <c r="AL33" s="58" t="n"/>
      <c r="AM33" s="58" t="n"/>
      <c r="AN33" s="155" t="n"/>
      <c r="AO33" s="59" t="n"/>
      <c r="AP33" s="59" t="n"/>
      <c r="AQ33" s="59" t="n"/>
      <c r="AR33" s="155" t="n"/>
    </row>
    <row r="34">
      <c r="A34" s="50" t="inlineStr">
        <is>
          <t>3614001632053</t>
        </is>
      </c>
      <c r="B34" s="51" t="inlineStr">
        <is>
          <t>69578</t>
        </is>
      </c>
      <c r="C34" s="156" t="inlineStr">
        <is>
          <t>CAPSLAB</t>
        </is>
      </c>
      <c r="D34" s="156" t="inlineStr">
        <is>
          <t>CL/0/1/CAS2/MO1</t>
        </is>
      </c>
      <c r="E34" s="156" t="inlineStr">
        <is>
          <t>CL/0/1/CAS2/MO1-UNI</t>
        </is>
      </c>
      <c r="F34" s="156" t="inlineStr">
        <is>
          <t>Talla única</t>
        </is>
      </c>
      <c r="G34" s="156" t="inlineStr">
        <is>
          <t>One Size</t>
        </is>
      </c>
      <c r="H34" s="156" t="inlineStr">
        <is>
          <t>CAPSLAB</t>
        </is>
      </c>
      <c r="I34" s="156" t="inlineStr">
        <is>
          <t>Gorra CAPSLAB Cocktails</t>
        </is>
      </c>
      <c r="J34" s="156" t="inlineStr">
        <is>
          <t>Accesorios</t>
        </is>
      </c>
      <c r="K34" s="156" t="inlineStr">
        <is>
          <t>Gorras</t>
        </is>
      </c>
      <c r="L34" s="156" t="inlineStr">
        <is>
          <t>Unisex</t>
        </is>
      </c>
      <c r="M34" s="156" t="inlineStr">
        <is>
          <t>Cocktails</t>
        </is>
      </c>
      <c r="N34" s="156" t="n"/>
      <c r="O34" s="156" t="n"/>
      <c r="P34" s="156" t="n"/>
      <c r="Q34" s="156" t="n"/>
      <c r="R34" s="156" t="n"/>
      <c r="S34" s="156" t="inlineStr">
        <is>
          <t>Algodón / Poliéster</t>
        </is>
      </c>
      <c r="T34" s="156" t="inlineStr">
        <is>
          <t>Gorra de la marca CAPSLAB bajo licencia oficial Cocktails. Talla única ajustable. Estilo CL/0/1/CAS2/MO1.</t>
        </is>
      </c>
      <c r="U34" s="156" t="n"/>
      <c r="V34" s="156" t="inlineStr">
        <is>
          <t>PZS</t>
        </is>
      </c>
      <c r="W34" s="51" t="inlineStr">
        <is>
          <t>53102516</t>
        </is>
      </c>
      <c r="X34" s="156" t="inlineStr">
        <is>
          <t>https://i.ibb.co/rx5SZtH/CL01-CAS2-MO1.jpg</t>
        </is>
      </c>
      <c r="Y34" s="54" t="n"/>
      <c r="Z34" s="54" t="n">
        <v>599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IFERROR(_xlfn.XMATCH(A34,$A$2:$A$370,0,1)&lt;&gt;_xlfn.XMATCH(A34,$A$2:$A$370,0,-1),FALSE)), "Código de barras duplicado", ""), IF(AND(E34&lt;&gt;"", COUNTIF($E$2:$E$370,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>
        <v>91</v>
      </c>
      <c r="AE34" s="156" t="inlineStr">
        <is>
          <t>CAPSLAB Warehouse (48)</t>
        </is>
      </c>
      <c r="AF34" s="51" t="n">
        <v>91</v>
      </c>
      <c r="AG34" s="156" t="inlineStr">
        <is>
          <t>Nuevo – NetSuite con existencia</t>
        </is>
      </c>
      <c r="AH34" s="156" t="inlineStr">
        <is>
          <t>Composición CAPSLAB varía por modelo (50/50, 40/60 o 100% poliéster): validar etiqueta; Color por validar; Físico total NetSuite 91 ≠ suma por ubicación 48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" s="156" t="inlineStr">
        <is>
          <t>No</t>
        </is>
      </c>
      <c r="AJ34" s="156" t="n"/>
      <c r="AK34" s="155" t="inlineStr">
        <is>
          <t>G1522ProductosTodosloscamposSandboxResults894.xlsx: fila 47605 [X]; G1522_Extraccion_Articulos_NetSuite_2026-09-30.xlsx: fila 30308 [Z]</t>
        </is>
      </c>
      <c r="AL34" s="58" t="n"/>
      <c r="AM34" s="58" t="n"/>
      <c r="AN34" s="155" t="n"/>
      <c r="AO34" s="59" t="n"/>
      <c r="AP34" s="59" t="n"/>
      <c r="AQ34" s="59" t="n"/>
      <c r="AR34" s="155" t="n"/>
    </row>
    <row r="35">
      <c r="A35" s="50" t="inlineStr">
        <is>
          <t>3614001720354</t>
        </is>
      </c>
      <c r="B35" s="51" t="inlineStr">
        <is>
          <t>69579</t>
        </is>
      </c>
      <c r="C35" s="156" t="inlineStr">
        <is>
          <t>CAPSLAB</t>
        </is>
      </c>
      <c r="D35" s="156" t="inlineStr">
        <is>
          <t>CL/0/1/CAS2/MUS2</t>
        </is>
      </c>
      <c r="E35" s="156" t="inlineStr">
        <is>
          <t>CL/0/1/CAS2/MUS2-UNI</t>
        </is>
      </c>
      <c r="F35" s="156" t="inlineStr">
        <is>
          <t>Talla única</t>
        </is>
      </c>
      <c r="G35" s="156" t="inlineStr">
        <is>
          <t>One Size</t>
        </is>
      </c>
      <c r="H35" s="156" t="inlineStr">
        <is>
          <t>CAPSLAB</t>
        </is>
      </c>
      <c r="I35" s="156" t="inlineStr">
        <is>
          <t>Gorra CAPSLAB Cocktails</t>
        </is>
      </c>
      <c r="J35" s="156" t="inlineStr">
        <is>
          <t>Accesorios</t>
        </is>
      </c>
      <c r="K35" s="156" t="inlineStr">
        <is>
          <t>Gorras</t>
        </is>
      </c>
      <c r="L35" s="156" t="inlineStr">
        <is>
          <t>Unisex</t>
        </is>
      </c>
      <c r="M35" s="156" t="inlineStr">
        <is>
          <t>Cocktails</t>
        </is>
      </c>
      <c r="N35" s="156" t="n"/>
      <c r="O35" s="156" t="n"/>
      <c r="P35" s="156" t="n"/>
      <c r="Q35" s="156" t="n"/>
      <c r="R35" s="156" t="n"/>
      <c r="S35" s="156" t="inlineStr">
        <is>
          <t>Algodón / Poliéster</t>
        </is>
      </c>
      <c r="T35" s="156" t="inlineStr">
        <is>
          <t>Gorra de la marca CAPSLAB bajo licencia oficial Cocktails. Talla única ajustable. Estilo CL/0/1/CAS2/MUS2.</t>
        </is>
      </c>
      <c r="U35" s="156" t="n"/>
      <c r="V35" s="156" t="inlineStr">
        <is>
          <t>PZS</t>
        </is>
      </c>
      <c r="W35" s="51" t="inlineStr">
        <is>
          <t>53102516</t>
        </is>
      </c>
      <c r="X35" s="156" t="inlineStr">
        <is>
          <t>https://i.ibb.co/vDFSH9B/CL01-CAS2-MUS2.jpg</t>
        </is>
      </c>
      <c r="Y35" s="54" t="n"/>
      <c r="Z35" s="54" t="n">
        <v>599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IFERROR(_xlfn.XMATCH(A35,$A$2:$A$370,0,1)&lt;&gt;_xlfn.XMATCH(A35,$A$2:$A$370,0,-1),FALSE)), "Código de barras duplicado", ""), IF(AND(E35&lt;&gt;"", COUNTIF($E$2:$E$370,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>
        <v>76</v>
      </c>
      <c r="AE35" s="156" t="inlineStr">
        <is>
          <t>CL Muestras (1); CL POS (5); CAPSLAB Warehouse (39)</t>
        </is>
      </c>
      <c r="AF35" s="51" t="n">
        <v>76</v>
      </c>
      <c r="AG35" s="156" t="inlineStr">
        <is>
          <t>Nuevo – NetSuite con existencia</t>
        </is>
      </c>
      <c r="AH35" s="156" t="inlineStr">
        <is>
          <t>Composición CAPSLAB varía por modelo (50/50, 40/60 o 100% poliéster): validar etiqueta; Color por validar; Físico total NetSuite 76 ≠ suma por ubicación 45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5" s="156" t="inlineStr">
        <is>
          <t>No</t>
        </is>
      </c>
      <c r="AJ35" s="156" t="n"/>
      <c r="AK35" s="155" t="inlineStr">
        <is>
          <t>G1522ProductosTodosloscamposSandboxResults894.xlsx: fila 47607 [X]; G1522_Extraccion_Articulos_NetSuite_2026-09-30.xlsx: fila 30309 [Z]</t>
        </is>
      </c>
      <c r="AL35" s="58" t="n"/>
      <c r="AM35" s="58" t="n"/>
      <c r="AN35" s="155" t="n"/>
      <c r="AO35" s="59" t="n"/>
      <c r="AP35" s="59" t="n"/>
      <c r="AQ35" s="59" t="n"/>
      <c r="AR35" s="155" t="n"/>
    </row>
    <row r="36">
      <c r="A36" s="50" t="inlineStr">
        <is>
          <t>3614001629848</t>
        </is>
      </c>
      <c r="B36" s="51" t="inlineStr">
        <is>
          <t>69580</t>
        </is>
      </c>
      <c r="C36" s="156" t="inlineStr">
        <is>
          <t>CAPSLAB</t>
        </is>
      </c>
      <c r="D36" s="156" t="inlineStr">
        <is>
          <t>CL/0/1/CAS2/PH2</t>
        </is>
      </c>
      <c r="E36" s="156" t="inlineStr">
        <is>
          <t>CL/0/1/CAS2/PH2-UNI</t>
        </is>
      </c>
      <c r="F36" s="156" t="inlineStr">
        <is>
          <t>Talla única</t>
        </is>
      </c>
      <c r="G36" s="156" t="inlineStr">
        <is>
          <t>One Size</t>
        </is>
      </c>
      <c r="H36" s="156" t="inlineStr">
        <is>
          <t>CAPSLAB</t>
        </is>
      </c>
      <c r="I36" s="156" t="inlineStr">
        <is>
          <t>Gorra CAPSLAB Lucky</t>
        </is>
      </c>
      <c r="J36" s="156" t="inlineStr">
        <is>
          <t>Accesorios</t>
        </is>
      </c>
      <c r="K36" s="156" t="inlineStr">
        <is>
          <t>Gorras</t>
        </is>
      </c>
      <c r="L36" s="156" t="inlineStr">
        <is>
          <t>Unisex</t>
        </is>
      </c>
      <c r="M36" s="156" t="inlineStr">
        <is>
          <t>Lucky</t>
        </is>
      </c>
      <c r="N36" s="156" t="n"/>
      <c r="O36" s="156" t="n"/>
      <c r="P36" s="156" t="n"/>
      <c r="Q36" s="156" t="n"/>
      <c r="R36" s="156" t="n"/>
      <c r="S36" s="156" t="inlineStr">
        <is>
          <t>Algodón / Poliéster</t>
        </is>
      </c>
      <c r="T36" s="156" t="inlineStr">
        <is>
          <t>Gorra de la marca CAPSLAB bajo licencia oficial Lucky. Talla única ajustable. Estilo CL/0/1/CAS2/PH2.</t>
        </is>
      </c>
      <c r="U36" s="156" t="n"/>
      <c r="V36" s="156" t="inlineStr">
        <is>
          <t>PZS</t>
        </is>
      </c>
      <c r="W36" s="51" t="inlineStr">
        <is>
          <t>53102516</t>
        </is>
      </c>
      <c r="X36" s="156" t="inlineStr">
        <is>
          <t>https://i.ibb.co/YcMBfp5/CL01-CAS2-PH2.jpg</t>
        </is>
      </c>
      <c r="Y36" s="54" t="n"/>
      <c r="Z36" s="54" t="n">
        <v>599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IFERROR(_xlfn.XMATCH(A36,$A$2:$A$370,0,1)&lt;&gt;_xlfn.XMATCH(A36,$A$2:$A$370,0,-1),FALSE)), "Código de barras duplicado", ""), IF(AND(E36&lt;&gt;"", COUNTIF($E$2:$E$370,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>
        <v>108</v>
      </c>
      <c r="AE36" s="156" t="inlineStr">
        <is>
          <t>CAPSLAB Warehouse (54)</t>
        </is>
      </c>
      <c r="AF36" s="51" t="n">
        <v>108</v>
      </c>
      <c r="AG36" s="156" t="inlineStr">
        <is>
          <t>Nuevo – NetSuite con existencia</t>
        </is>
      </c>
      <c r="AH36" s="156" t="inlineStr">
        <is>
          <t>Composición CAPSLAB varía por modelo (50/50, 40/60 o 100% poliéster): validar etiqueta; Color por validar; Físico total NetSuite 108 ≠ suma por ubicación 54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6" s="156" t="inlineStr">
        <is>
          <t>No</t>
        </is>
      </c>
      <c r="AJ36" s="156" t="n"/>
      <c r="AK36" s="155" t="inlineStr">
        <is>
          <t>G1522ProductosTodosloscamposSandboxResults894.xlsx: fila 47609 [X]; G1522_Extraccion_Articulos_NetSuite_2026-09-30.xlsx: fila 30310 [Z]</t>
        </is>
      </c>
      <c r="AL36" s="58" t="n"/>
      <c r="AM36" s="58" t="n"/>
      <c r="AN36" s="155" t="n"/>
      <c r="AO36" s="59" t="n"/>
      <c r="AP36" s="59" t="n"/>
      <c r="AQ36" s="59" t="n"/>
      <c r="AR36" s="155" t="n"/>
    </row>
    <row r="37">
      <c r="A37" s="50" t="inlineStr">
        <is>
          <t>3614001714209</t>
        </is>
      </c>
      <c r="B37" s="51" t="inlineStr">
        <is>
          <t>69581</t>
        </is>
      </c>
      <c r="C37" s="156" t="inlineStr">
        <is>
          <t>CAPSLAB</t>
        </is>
      </c>
      <c r="D37" s="156" t="inlineStr">
        <is>
          <t>CL/1/CT/GOR2</t>
        </is>
      </c>
      <c r="E37" s="156" t="inlineStr">
        <is>
          <t>CL/1/CT/GOR2-UNI</t>
        </is>
      </c>
      <c r="F37" s="156" t="inlineStr">
        <is>
          <t>Talla única</t>
        </is>
      </c>
      <c r="G37" s="156" t="inlineStr">
        <is>
          <t>One Size</t>
        </is>
      </c>
      <c r="H37" s="156" t="inlineStr">
        <is>
          <t>CAPSLAB</t>
        </is>
      </c>
      <c r="I37" s="156" t="inlineStr">
        <is>
          <t>Gorra trucker CAPSLAB Lucky</t>
        </is>
      </c>
      <c r="J37" s="156" t="inlineStr">
        <is>
          <t>Accesorios</t>
        </is>
      </c>
      <c r="K37" s="156" t="inlineStr">
        <is>
          <t>Gorras</t>
        </is>
      </c>
      <c r="L37" s="156" t="inlineStr">
        <is>
          <t>Unisex</t>
        </is>
      </c>
      <c r="M37" s="156" t="inlineStr">
        <is>
          <t>Lucky</t>
        </is>
      </c>
      <c r="N37" s="156" t="n"/>
      <c r="O37" s="156" t="n"/>
      <c r="P37" s="156" t="n"/>
      <c r="Q37" s="156" t="n"/>
      <c r="R37" s="156" t="n"/>
      <c r="S37" s="156" t="inlineStr">
        <is>
          <t>Algodón / Poliéster</t>
        </is>
      </c>
      <c r="T37" s="156" t="inlineStr">
        <is>
          <t>Gorra trucker de la marca CAPSLAB bajo licencia oficial Lucky. Talla única ajustable. Estilo CL/1/CT/GOR2.</t>
        </is>
      </c>
      <c r="U37" s="156" t="n"/>
      <c r="V37" s="156" t="inlineStr">
        <is>
          <t>PZS</t>
        </is>
      </c>
      <c r="W37" s="51" t="inlineStr">
        <is>
          <t>53102516</t>
        </is>
      </c>
      <c r="X37" s="156" t="inlineStr">
        <is>
          <t>https://i.ibb.co/nnR9hjB/CL1-CTGOR2.jpg</t>
        </is>
      </c>
      <c r="Y37" s="54" t="n"/>
      <c r="Z37" s="54" t="n">
        <v>599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IFERROR(_xlfn.XMATCH(A37,$A$2:$A$370,0,1)&lt;&gt;_xlfn.XMATCH(A37,$A$2:$A$370,0,-1),FALSE)), "Código de barras duplicado", ""), IF(AND(E37&lt;&gt;"", COUNTIF($E$2:$E$370,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>
        <v>341</v>
      </c>
      <c r="AE37" s="156" t="inlineStr">
        <is>
          <t>CAPSLAB Warehouse (170); Web (2)</t>
        </is>
      </c>
      <c r="AF37" s="51" t="n">
        <v>341</v>
      </c>
      <c r="AG37" s="156" t="inlineStr">
        <is>
          <t>Nuevo – NetSuite con existencia</t>
        </is>
      </c>
      <c r="AH37" s="156" t="inlineStr">
        <is>
          <t>Composición CAPSLAB varía por modelo (50/50, 40/60 o 100% poliéster): validar etiqueta; Color por validar; Físico total NetSuite 341 ≠ suma por ubicación 172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7" s="156" t="inlineStr">
        <is>
          <t>No</t>
        </is>
      </c>
      <c r="AJ37" s="156" t="n"/>
      <c r="AK37" s="155" t="inlineStr">
        <is>
          <t>G1522ProductosTodosloscamposSandboxResults894.xlsx: fila 47611 [X]; G1522_Extraccion_Articulos_NetSuite_2026-09-30.xlsx: fila 30311 [Z]</t>
        </is>
      </c>
      <c r="AL37" s="58" t="n"/>
      <c r="AM37" s="58" t="n"/>
      <c r="AN37" s="155" t="n"/>
      <c r="AO37" s="59" t="n"/>
      <c r="AP37" s="59" t="n"/>
      <c r="AQ37" s="59" t="n"/>
      <c r="AR37" s="155" t="n"/>
    </row>
    <row r="38">
      <c r="A38" s="50" t="inlineStr">
        <is>
          <t>3614001714223</t>
        </is>
      </c>
      <c r="B38" s="51" t="inlineStr">
        <is>
          <t>69582</t>
        </is>
      </c>
      <c r="C38" s="156" t="inlineStr">
        <is>
          <t>CAPSLAB</t>
        </is>
      </c>
      <c r="D38" s="156" t="inlineStr">
        <is>
          <t>CL/1/CT/GOR8</t>
        </is>
      </c>
      <c r="E38" s="156" t="inlineStr">
        <is>
          <t>CL/1/CT/GOR8-UNI</t>
        </is>
      </c>
      <c r="F38" s="156" t="inlineStr">
        <is>
          <t>Talla única</t>
        </is>
      </c>
      <c r="G38" s="156" t="inlineStr">
        <is>
          <t>One Size</t>
        </is>
      </c>
      <c r="H38" s="156" t="inlineStr">
        <is>
          <t>CAPSLAB</t>
        </is>
      </c>
      <c r="I38" s="156" t="inlineStr">
        <is>
          <t>Gorra trucker CAPSLAB Lucky</t>
        </is>
      </c>
      <c r="J38" s="156" t="inlineStr">
        <is>
          <t>Accesorios</t>
        </is>
      </c>
      <c r="K38" s="156" t="inlineStr">
        <is>
          <t>Gorras</t>
        </is>
      </c>
      <c r="L38" s="156" t="inlineStr">
        <is>
          <t>Unisex</t>
        </is>
      </c>
      <c r="M38" s="156" t="inlineStr">
        <is>
          <t>Lucky</t>
        </is>
      </c>
      <c r="N38" s="156" t="n"/>
      <c r="O38" s="156" t="n"/>
      <c r="P38" s="156" t="n"/>
      <c r="Q38" s="156" t="n"/>
      <c r="R38" s="156" t="n"/>
      <c r="S38" s="156" t="inlineStr">
        <is>
          <t>Algodón / Poliéster</t>
        </is>
      </c>
      <c r="T38" s="156" t="inlineStr">
        <is>
          <t>Gorra trucker de la marca CAPSLAB bajo licencia oficial Lucky. Talla única ajustable. Estilo CL/1/CT/GOR8.</t>
        </is>
      </c>
      <c r="U38" s="156" t="n"/>
      <c r="V38" s="156" t="inlineStr">
        <is>
          <t>PZS</t>
        </is>
      </c>
      <c r="W38" s="51" t="inlineStr">
        <is>
          <t>53102516</t>
        </is>
      </c>
      <c r="X38" s="156" t="inlineStr">
        <is>
          <t>https://i.ibb.co/cKBqbRB/CL1-CTGOR8.jpg</t>
        </is>
      </c>
      <c r="Y38" s="54" t="n"/>
      <c r="Z38" s="54" t="n">
        <v>599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IFERROR(_xlfn.XMATCH(A38,$A$2:$A$370,0,1)&lt;&gt;_xlfn.XMATCH(A38,$A$2:$A$370,0,-1),FALSE)), "Código de barras duplicado", ""), IF(AND(E38&lt;&gt;"", COUNTIF($E$2:$E$370,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>
        <v>99</v>
      </c>
      <c r="AE38" s="156" t="inlineStr">
        <is>
          <t>CAPSLAB Warehouse (53)</t>
        </is>
      </c>
      <c r="AF38" s="51" t="n">
        <v>97</v>
      </c>
      <c r="AG38" s="156" t="inlineStr">
        <is>
          <t>Nuevo – NetSuite con existencia</t>
        </is>
      </c>
      <c r="AH38" s="156" t="inlineStr">
        <is>
          <t>Composición CAPSLAB varía por modelo (50/50, 40/60 o 100% poliéster): validar etiqueta; Color por validar; Físico total NetSuite 99 ≠ suma por ubicación 53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8" s="156" t="inlineStr">
        <is>
          <t>No</t>
        </is>
      </c>
      <c r="AJ38" s="156" t="n"/>
      <c r="AK38" s="155" t="inlineStr">
        <is>
          <t>G1522ProductosTodosloscamposSandboxResults894.xlsx: fila 47613 [X]; G1522_Extraccion_Articulos_NetSuite_2026-09-30.xlsx: fila 30312 [Z]</t>
        </is>
      </c>
      <c r="AL38" s="58" t="n"/>
      <c r="AM38" s="58" t="n"/>
      <c r="AN38" s="155" t="n"/>
      <c r="AO38" s="59" t="n"/>
      <c r="AP38" s="59" t="n"/>
      <c r="AQ38" s="59" t="n"/>
      <c r="AR38" s="155" t="n"/>
    </row>
    <row r="39">
      <c r="A39" s="50" t="inlineStr">
        <is>
          <t>3614001714247</t>
        </is>
      </c>
      <c r="B39" s="51" t="inlineStr">
        <is>
          <t>69583</t>
        </is>
      </c>
      <c r="C39" s="156" t="inlineStr">
        <is>
          <t>CAPSLAB</t>
        </is>
      </c>
      <c r="D39" s="156" t="inlineStr">
        <is>
          <t>CL/1/CT/GOR9</t>
        </is>
      </c>
      <c r="E39" s="156" t="inlineStr">
        <is>
          <t>CL/1/CT/GOR9-UNI</t>
        </is>
      </c>
      <c r="F39" s="156" t="inlineStr">
        <is>
          <t>Talla única</t>
        </is>
      </c>
      <c r="G39" s="156" t="inlineStr">
        <is>
          <t>One Size</t>
        </is>
      </c>
      <c r="H39" s="156" t="inlineStr">
        <is>
          <t>CAPSLAB</t>
        </is>
      </c>
      <c r="I39" s="156" t="inlineStr">
        <is>
          <t>Gorra trucker CAPSLAB Lucky</t>
        </is>
      </c>
      <c r="J39" s="156" t="inlineStr">
        <is>
          <t>Accesorios</t>
        </is>
      </c>
      <c r="K39" s="156" t="inlineStr">
        <is>
          <t>Gorras</t>
        </is>
      </c>
      <c r="L39" s="156" t="inlineStr">
        <is>
          <t>Unisex</t>
        </is>
      </c>
      <c r="M39" s="156" t="inlineStr">
        <is>
          <t>Lucky</t>
        </is>
      </c>
      <c r="N39" s="156" t="n"/>
      <c r="O39" s="156" t="n"/>
      <c r="P39" s="156" t="n"/>
      <c r="Q39" s="156" t="n"/>
      <c r="R39" s="156" t="n"/>
      <c r="S39" s="156" t="inlineStr">
        <is>
          <t>Algodón / Poliéster</t>
        </is>
      </c>
      <c r="T39" s="156" t="inlineStr">
        <is>
          <t>Gorra trucker de la marca CAPSLAB bajo licencia oficial Lucky. Talla única ajustable. Estilo CL/1/CT/GOR9.</t>
        </is>
      </c>
      <c r="U39" s="156" t="n"/>
      <c r="V39" s="156" t="inlineStr">
        <is>
          <t>PZS</t>
        </is>
      </c>
      <c r="W39" s="51" t="inlineStr">
        <is>
          <t>53102516</t>
        </is>
      </c>
      <c r="X39" s="156" t="inlineStr">
        <is>
          <t>https://i.ibb.co/hXTZgTw/CL1-CTGOR9.jpg</t>
        </is>
      </c>
      <c r="Y39" s="54" t="n"/>
      <c r="Z39" s="54" t="n">
        <v>599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IFERROR(_xlfn.XMATCH(A39,$A$2:$A$370,0,1)&lt;&gt;_xlfn.XMATCH(A39,$A$2:$A$370,0,-1),FALSE)), "Código de barras duplicado", ""), IF(AND(E39&lt;&gt;"", COUNTIF($E$2:$E$370,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>
        <v>87</v>
      </c>
      <c r="AE39" s="156" t="inlineStr">
        <is>
          <t>CAPSLAB Warehouse (48)</t>
        </is>
      </c>
      <c r="AF39" s="51" t="n">
        <v>87</v>
      </c>
      <c r="AG39" s="156" t="inlineStr">
        <is>
          <t>Nuevo – NetSuite con existencia</t>
        </is>
      </c>
      <c r="AH39" s="156" t="inlineStr">
        <is>
          <t>Composición CAPSLAB varía por modelo (50/50, 40/60 o 100% poliéster): validar etiqueta; Color por validar; Físico total NetSuite 87 ≠ suma por ubicación 48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9" s="156" t="inlineStr">
        <is>
          <t>No</t>
        </is>
      </c>
      <c r="AJ39" s="156" t="n"/>
      <c r="AK39" s="155" t="inlineStr">
        <is>
          <t>G1522ProductosTodosloscamposSandboxResults894.xlsx: fila 47615 [X]; G1522_Extraccion_Articulos_NetSuite_2026-09-30.xlsx: fila 30313 [Z]</t>
        </is>
      </c>
      <c r="AL39" s="58" t="n"/>
      <c r="AM39" s="58" t="n"/>
      <c r="AN39" s="155" t="n"/>
      <c r="AO39" s="59" t="n"/>
      <c r="AP39" s="59" t="n"/>
      <c r="AQ39" s="59" t="n"/>
      <c r="AR39" s="155" t="n"/>
    </row>
    <row r="40">
      <c r="A40" s="50" t="inlineStr">
        <is>
          <t>3614000980162</t>
        </is>
      </c>
      <c r="B40" s="51" t="inlineStr">
        <is>
          <t>57327</t>
        </is>
      </c>
      <c r="C40" s="156" t="inlineStr">
        <is>
          <t>CAPSLAB</t>
        </is>
      </c>
      <c r="D40" s="156" t="inlineStr">
        <is>
          <t>CL/DB1/1/HOU3</t>
        </is>
      </c>
      <c r="E40" s="156" t="inlineStr">
        <is>
          <t>CL/DB1/1/HOU3-UNI</t>
        </is>
      </c>
      <c r="F40" s="156" t="inlineStr">
        <is>
          <t>Talla única</t>
        </is>
      </c>
      <c r="G40" s="156" t="inlineStr">
        <is>
          <t>One Size</t>
        </is>
      </c>
      <c r="H40" s="156" t="inlineStr">
        <is>
          <t>CAPSLAB</t>
        </is>
      </c>
      <c r="I40" s="156" t="inlineStr">
        <is>
          <t>Gorra CAPSLAB Dragon Ball Azul</t>
        </is>
      </c>
      <c r="J40" s="156" t="inlineStr">
        <is>
          <t>Accesorios</t>
        </is>
      </c>
      <c r="K40" s="156" t="inlineStr">
        <is>
          <t>Gorras</t>
        </is>
      </c>
      <c r="L40" s="156" t="inlineStr">
        <is>
          <t>Unisex</t>
        </is>
      </c>
      <c r="M40" s="156" t="inlineStr">
        <is>
          <t>Dragon Ball</t>
        </is>
      </c>
      <c r="N40" s="156" t="n"/>
      <c r="O40" s="156" t="n"/>
      <c r="P40" s="156" t="inlineStr">
        <is>
          <t>Azul</t>
        </is>
      </c>
      <c r="Q40" s="156" t="n"/>
      <c r="R40" s="156" t="n"/>
      <c r="S40" s="156" t="inlineStr">
        <is>
          <t>Algodón / Poliéster</t>
        </is>
      </c>
      <c r="T40" s="156" t="inlineStr">
        <is>
          <t>Gorra de la marca CAPSLAB bajo licencia oficial Dragon Ball. Talla única ajustable. Estilo CL/DB1/1/HOU3.</t>
        </is>
      </c>
      <c r="U40" s="156" t="n"/>
      <c r="V40" s="156" t="inlineStr">
        <is>
          <t>PZS</t>
        </is>
      </c>
      <c r="W40" s="51" t="inlineStr">
        <is>
          <t>53102516</t>
        </is>
      </c>
      <c r="X40" s="156" t="inlineStr">
        <is>
          <t>https://7913364.app.netsuite.com/core/media/media.nl?id=188177&amp;c=7913364&amp;h=9LM5iMYrvSa2c0n21kvhxAh7XJRLBL7ZHhxS9enMzFwSwP3z</t>
        </is>
      </c>
      <c r="Y40" s="54" t="n">
        <v>8.5</v>
      </c>
      <c r="Z40" s="54" t="n">
        <v>699</v>
      </c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IFERROR(_xlfn.XMATCH(A40,$A$2:$A$370,0,1)&lt;&gt;_xlfn.XMATCH(A40,$A$2:$A$370,0,-1),FALSE)), "Código de barras duplicado", ""), IF(AND(E40&lt;&gt;"", COUNTIF($E$2:$E$370,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n"/>
      <c r="AD40" s="51" t="n">
        <v>0</v>
      </c>
      <c r="AE40" s="156" t="n"/>
      <c r="AF40" s="51" t="n">
        <v>0</v>
      </c>
      <c r="AG40" s="156" t="inlineStr">
        <is>
          <t>Nuevo – NetSuite sin existencia</t>
        </is>
      </c>
      <c r="AH4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0" s="156" t="inlineStr">
        <is>
          <t>No</t>
        </is>
      </c>
      <c r="AJ40" s="156" t="n"/>
      <c r="AK40" s="155" t="inlineStr">
        <is>
          <t>G1522ProductosTodosloscamposSandboxResults894.xlsx: fila 47617 [Y]; G1522_Extraccion_Articulos_NetSuite_2026-09-30.xlsx: fila 20710 [Z]</t>
        </is>
      </c>
      <c r="AL40" s="58" t="n">
        <v>8.5</v>
      </c>
      <c r="AM40" s="58" t="n"/>
      <c r="AN40" s="155" t="n"/>
      <c r="AO40" s="59" t="n"/>
      <c r="AP40" s="59" t="n"/>
      <c r="AQ40" s="59" t="n"/>
      <c r="AR40" s="155" t="n"/>
    </row>
    <row r="41">
      <c r="A41" s="50" t="inlineStr">
        <is>
          <t>3614001297344</t>
        </is>
      </c>
      <c r="B41" s="51" t="inlineStr">
        <is>
          <t>57328</t>
        </is>
      </c>
      <c r="C41" s="156" t="inlineStr">
        <is>
          <t>CAPSLAB</t>
        </is>
      </c>
      <c r="D41" s="156" t="inlineStr">
        <is>
          <t>CL/DB2/1/BUL1</t>
        </is>
      </c>
      <c r="E41" s="156" t="inlineStr">
        <is>
          <t>CL/DB2/1/BUL1-UNI</t>
        </is>
      </c>
      <c r="F41" s="156" t="inlineStr">
        <is>
          <t>Talla única</t>
        </is>
      </c>
      <c r="G41" s="156" t="inlineStr">
        <is>
          <t>One Size</t>
        </is>
      </c>
      <c r="H41" s="156" t="inlineStr">
        <is>
          <t>CAPSLAB</t>
        </is>
      </c>
      <c r="I41" s="156" t="inlineStr">
        <is>
          <t>Gorra CAPSLAB Dragon Ball Blanco</t>
        </is>
      </c>
      <c r="J41" s="156" t="inlineStr">
        <is>
          <t>Accesorios</t>
        </is>
      </c>
      <c r="K41" s="156" t="inlineStr">
        <is>
          <t>Gorras</t>
        </is>
      </c>
      <c r="L41" s="156" t="inlineStr">
        <is>
          <t>Unisex</t>
        </is>
      </c>
      <c r="M41" s="156" t="inlineStr">
        <is>
          <t>Dragon Ball</t>
        </is>
      </c>
      <c r="N41" s="156" t="n"/>
      <c r="O41" s="156" t="n"/>
      <c r="P41" s="156" t="inlineStr">
        <is>
          <t>Blanco</t>
        </is>
      </c>
      <c r="Q41" s="156" t="n"/>
      <c r="R41" s="156" t="n"/>
      <c r="S41" s="156" t="inlineStr">
        <is>
          <t>Algodón / Poliéster</t>
        </is>
      </c>
      <c r="T41" s="156" t="inlineStr">
        <is>
          <t>Gorra de la marca CAPSLAB bajo licencia oficial Dragon Ball. Talla única ajustable. Estilo CL/DB2/1/BUL1.</t>
        </is>
      </c>
      <c r="U41" s="156" t="n"/>
      <c r="V41" s="156" t="inlineStr">
        <is>
          <t>PZS</t>
        </is>
      </c>
      <c r="W41" s="51" t="inlineStr">
        <is>
          <t>53102516</t>
        </is>
      </c>
      <c r="X41" s="156" t="inlineStr">
        <is>
          <t>https://7913364.app.netsuite.com/core/media/media.nl?id=188178&amp;c=7913364&amp;h=X7GgCAMXFrY-B0RGDzzGb7oMHr-EAgzA7B0SsqkTRX6FoRJO</t>
        </is>
      </c>
      <c r="Y41" s="54" t="n">
        <v>8.5</v>
      </c>
      <c r="Z41" s="54" t="n">
        <v>699</v>
      </c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IFERROR(_xlfn.XMATCH(A41,$A$2:$A$370,0,1)&lt;&gt;_xlfn.XMATCH(A41,$A$2:$A$370,0,-1),FALSE)), "Código de barras duplicado", ""), IF(AND(E41&lt;&gt;"", COUNTIF($E$2:$E$370,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n"/>
      <c r="AD41" s="51" t="n">
        <v>14</v>
      </c>
      <c r="AE41" s="156" t="inlineStr">
        <is>
          <t>CAPSLAB Warehouse (9)</t>
        </is>
      </c>
      <c r="AF41" s="51" t="n">
        <v>14</v>
      </c>
      <c r="AG41" s="156" t="inlineStr">
        <is>
          <t>Nuevo – NetSuite con existencia</t>
        </is>
      </c>
      <c r="AH41" s="156" t="inlineStr">
        <is>
          <t>Composición CAPSLAB varía por modelo (50/50, 40/60 o 100% poliéster): validar etiqueta; Físico total NetSuite 14 ≠ suma por ubicación 9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1" s="156" t="inlineStr">
        <is>
          <t>No</t>
        </is>
      </c>
      <c r="AJ41" s="156" t="n"/>
      <c r="AK41" s="155" t="inlineStr">
        <is>
          <t>G1522ProductosTodosloscamposSandboxResults894.xlsx: fila 47619 [Y]; G1522_Extraccion_Articulos_NetSuite_2026-09-30.xlsx: fila 20711 [Z]</t>
        </is>
      </c>
      <c r="AL41" s="58" t="n">
        <v>8.5</v>
      </c>
      <c r="AM41" s="58" t="n"/>
      <c r="AN41" s="155" t="n"/>
      <c r="AO41" s="59" t="n"/>
      <c r="AP41" s="59" t="n"/>
      <c r="AQ41" s="59" t="n"/>
      <c r="AR41" s="155" t="n"/>
    </row>
    <row r="42">
      <c r="A42" s="50" t="inlineStr">
        <is>
          <t>3614001297351</t>
        </is>
      </c>
      <c r="B42" s="51" t="inlineStr">
        <is>
          <t>57329</t>
        </is>
      </c>
      <c r="C42" s="156" t="inlineStr">
        <is>
          <t>CAPSLAB</t>
        </is>
      </c>
      <c r="D42" s="156" t="inlineStr">
        <is>
          <t>CL/DB2/1/BUL2</t>
        </is>
      </c>
      <c r="E42" s="156" t="inlineStr">
        <is>
          <t>CL/DB2/1/BUL2-UNI</t>
        </is>
      </c>
      <c r="F42" s="156" t="inlineStr">
        <is>
          <t>Talla única</t>
        </is>
      </c>
      <c r="G42" s="156" t="inlineStr">
        <is>
          <t>One Size</t>
        </is>
      </c>
      <c r="H42" s="156" t="inlineStr">
        <is>
          <t>CAPSLAB</t>
        </is>
      </c>
      <c r="I42" s="156" t="inlineStr">
        <is>
          <t>Gorra CAPSLAB Dragon Ball Rojo</t>
        </is>
      </c>
      <c r="J42" s="156" t="inlineStr">
        <is>
          <t>Accesorios</t>
        </is>
      </c>
      <c r="K42" s="156" t="inlineStr">
        <is>
          <t>Gorras</t>
        </is>
      </c>
      <c r="L42" s="156" t="inlineStr">
        <is>
          <t>Unisex</t>
        </is>
      </c>
      <c r="M42" s="156" t="inlineStr">
        <is>
          <t>Dragon Ball</t>
        </is>
      </c>
      <c r="N42" s="156" t="n"/>
      <c r="O42" s="156" t="n"/>
      <c r="P42" s="156" t="inlineStr">
        <is>
          <t>Rojo</t>
        </is>
      </c>
      <c r="Q42" s="156" t="n"/>
      <c r="R42" s="156" t="n"/>
      <c r="S42" s="156" t="inlineStr">
        <is>
          <t>Algodón / Poliéster</t>
        </is>
      </c>
      <c r="T42" s="156" t="inlineStr">
        <is>
          <t>Gorra de la marca CAPSLAB bajo licencia oficial Dragon Ball. Talla única ajustable. Estilo CL/DB2/1/BUL2.</t>
        </is>
      </c>
      <c r="U42" s="156" t="n"/>
      <c r="V42" s="156" t="inlineStr">
        <is>
          <t>PZS</t>
        </is>
      </c>
      <c r="W42" s="51" t="inlineStr">
        <is>
          <t>53102516</t>
        </is>
      </c>
      <c r="X42" s="156" t="inlineStr">
        <is>
          <t>https://7913364.app.netsuite.com/core/media/media.nl?id=188179&amp;c=7913364&amp;h=RtWxquQyOEP0Qw4CRz8-40Q439OiK_QgzoBiuC87xuhC8k_4</t>
        </is>
      </c>
      <c r="Y42" s="54" t="n">
        <v>8.5</v>
      </c>
      <c r="Z42" s="54" t="n">
        <v>699</v>
      </c>
      <c r="AA42" s="55">
        <f>IF(AND(A42="", B42="", E42=""), "", IF(AB42="", "Válido", IF((LEN(AB42)-LEN(SUBSTITUTE(AB42,"; ","")))/2+1&gt;(LEN(AB42)-LEN(SUBSTITUTE(AB42,"[Aviso]","")))/7, "Con Incidencias", "Válido")))</f>
        <v/>
      </c>
      <c r="AB42" s="56">
        <f>IF(AND(A42="", B42="", E42=""), "", TEXTJOIN("; ", TRUE, IF(OR(TRIM(A42&amp;"")="", ISNUMBER(SEARCH("FALTA", A42))), "UPC faltante/inválido", ""), IF(AND(A42&lt;&gt;"", IFERROR(_xlfn.XMATCH(A42,$A$2:$A$370,0,1)&lt;&gt;_xlfn.XMATCH(A42,$A$2:$A$370,0,-1),FALSE)), "Código de barras duplicado", ""), IF(AND(E42&lt;&gt;"", COUNTIF($E$2:$E$370, E42)&gt;1), "SKU duplicado", ""), IF(OR(J42="", J42=""), "[Aviso] División no capturada ()", IF(ISNA(MATCH(J42, Criterios!$A$123:$A$126, 0)), "División no válida", "")), IF(OR(K42="", K42=""), "[Aviso] Categoría no capturada ()", IF(ISNA(MATCH(K42, Criterios!$A$81:$A$120, 0)), "Categoría no válida", IF(AND(J42&lt;&gt;"", J42&lt;&gt;"", J42&lt;&gt;VLOOKUP(K42, Criterios!$A$81:$B$120, 2, FALSE)), "División no coincide con Categoría", ""))), IF(OR(L42="", L42=""), "[Aviso] Género no capturado ()", IF(ISNA(MATCH(L42, Criterios!$B$123:$B$127, 0)), "Género no válido", "")), IF(OR(N42="", N42=""), "[Aviso] Temporada no capturada ()", IF(ISNA(MATCH(N42, Criterios!$C$123:$C$128, 0)), "Temporada no válida", "")), IF(OR(O42="", O42=""), "[Aviso] Ciclo de vida no capturado ()", IF(ISNA(MATCH(O42, Criterios!$D$123:$D$124, 0)), "Ciclo de vida no válido", ""))))</f>
        <v/>
      </c>
      <c r="AC42" s="56" t="n"/>
      <c r="AD42" s="51" t="n">
        <v>0</v>
      </c>
      <c r="AE42" s="156" t="n"/>
      <c r="AF42" s="51" t="n">
        <v>0</v>
      </c>
      <c r="AG42" s="156" t="inlineStr">
        <is>
          <t>Nuevo – NetSuite sin existencia</t>
        </is>
      </c>
      <c r="AH42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2" s="156" t="inlineStr">
        <is>
          <t>No</t>
        </is>
      </c>
      <c r="AJ42" s="156" t="n"/>
      <c r="AK42" s="155" t="inlineStr">
        <is>
          <t>G1522ProductosTodosloscamposSandboxResults894.xlsx: fila 47621 [Y]; G1522_Extraccion_Articulos_NetSuite_2026-09-30.xlsx: fila 20712 [Z]</t>
        </is>
      </c>
      <c r="AL42" s="58" t="n">
        <v>8.5</v>
      </c>
      <c r="AM42" s="58" t="n"/>
      <c r="AN42" s="155" t="n"/>
      <c r="AO42" s="59" t="n"/>
      <c r="AP42" s="59" t="n"/>
      <c r="AQ42" s="59" t="n"/>
      <c r="AR42" s="155" t="n"/>
    </row>
    <row r="43">
      <c r="A43" s="50" t="inlineStr">
        <is>
          <t>3614001297368</t>
        </is>
      </c>
      <c r="B43" s="51" t="inlineStr">
        <is>
          <t>57440</t>
        </is>
      </c>
      <c r="C43" s="156" t="inlineStr">
        <is>
          <t>CAPSLAB</t>
        </is>
      </c>
      <c r="D43" s="156" t="inlineStr">
        <is>
          <t>CL/DB2/1/GOK</t>
        </is>
      </c>
      <c r="E43" s="156" t="inlineStr">
        <is>
          <t>CL/DB2/1/GOK-UNI</t>
        </is>
      </c>
      <c r="F43" s="156" t="inlineStr">
        <is>
          <t>Talla única</t>
        </is>
      </c>
      <c r="G43" s="156" t="inlineStr">
        <is>
          <t>One Size</t>
        </is>
      </c>
      <c r="H43" s="156" t="inlineStr">
        <is>
          <t>CAPSLAB</t>
        </is>
      </c>
      <c r="I43" s="156" t="inlineStr">
        <is>
          <t>Gorra CAPSLAB Dragon Ball Goku Azul</t>
        </is>
      </c>
      <c r="J43" s="156" t="inlineStr">
        <is>
          <t>Accesorios</t>
        </is>
      </c>
      <c r="K43" s="156" t="inlineStr">
        <is>
          <t>Gorras</t>
        </is>
      </c>
      <c r="L43" s="156" t="inlineStr">
        <is>
          <t>Unisex</t>
        </is>
      </c>
      <c r="M43" s="156" t="inlineStr">
        <is>
          <t>Dragon Ball</t>
        </is>
      </c>
      <c r="N43" s="156" t="n"/>
      <c r="O43" s="156" t="n"/>
      <c r="P43" s="156" t="inlineStr">
        <is>
          <t>Azul</t>
        </is>
      </c>
      <c r="Q43" s="156" t="n"/>
      <c r="R43" s="156" t="n"/>
      <c r="S43" s="156" t="inlineStr">
        <is>
          <t>Algodón / Poliéster</t>
        </is>
      </c>
      <c r="T43" s="156" t="inlineStr">
        <is>
          <t>Gorra de la marca CAPSLAB bajo licencia oficial Dragon Ball, personaje Goku. Talla única ajustable. Estilo CL/DB2/1/GOK.</t>
        </is>
      </c>
      <c r="U43" s="156" t="n"/>
      <c r="V43" s="156" t="inlineStr">
        <is>
          <t>PZS</t>
        </is>
      </c>
      <c r="W43" s="51" t="inlineStr">
        <is>
          <t>53102516</t>
        </is>
      </c>
      <c r="X43" s="156" t="inlineStr">
        <is>
          <t>https://7913364.app.netsuite.com/core/media/media.nl?id=188315&amp;c=7913364&amp;h=mTdq8947HoeQNdgn8JRTIk4VOZyPoWpDC5bcHr5hXIsF0RDB</t>
        </is>
      </c>
      <c r="Y43" s="54" t="n">
        <v>8.5</v>
      </c>
      <c r="Z43" s="54" t="n">
        <v>699</v>
      </c>
      <c r="AA43" s="55">
        <f>IF(AND(A43="", B43="", E43=""), "", IF(AB43="", "Válido", IF((LEN(AB43)-LEN(SUBSTITUTE(AB43,"; ","")))/2+1&gt;(LEN(AB43)-LEN(SUBSTITUTE(AB43,"[Aviso]","")))/7, "Con Incidencias", "Válido")))</f>
        <v/>
      </c>
      <c r="AB43" s="56">
        <f>IF(AND(A43="", B43="", E43=""), "", TEXTJOIN("; ", TRUE, IF(OR(TRIM(A43&amp;"")="", ISNUMBER(SEARCH("FALTA", A43))), "UPC faltante/inválido", ""), IF(AND(A43&lt;&gt;"", IFERROR(_xlfn.XMATCH(A43,$A$2:$A$370,0,1)&lt;&gt;_xlfn.XMATCH(A43,$A$2:$A$370,0,-1),FALSE)), "Código de barras duplicado", ""), IF(AND(E43&lt;&gt;"", COUNTIF($E$2:$E$370, E43)&gt;1), "SKU duplicado", ""), IF(OR(J43="", J43=""), "[Aviso] División no capturada ()", IF(ISNA(MATCH(J43, Criterios!$A$123:$A$126, 0)), "División no válida", "")), IF(OR(K43="", K43=""), "[Aviso] Categoría no capturada ()", IF(ISNA(MATCH(K43, Criterios!$A$81:$A$120, 0)), "Categoría no válida", IF(AND(J43&lt;&gt;"", J43&lt;&gt;"", J43&lt;&gt;VLOOKUP(K43, Criterios!$A$81:$B$120, 2, FALSE)), "División no coincide con Categoría", ""))), IF(OR(L43="", L43=""), "[Aviso] Género no capturado ()", IF(ISNA(MATCH(L43, Criterios!$B$123:$B$127, 0)), "Género no válido", "")), IF(OR(N43="", N43=""), "[Aviso] Temporada no capturada ()", IF(ISNA(MATCH(N43, Criterios!$C$123:$C$128, 0)), "Temporada no válida", "")), IF(OR(O43="", O43=""), "[Aviso] Ciclo de vida no capturado ()", IF(ISNA(MATCH(O43, Criterios!$D$123:$D$124, 0)), "Ciclo de vida no válido", ""))))</f>
        <v/>
      </c>
      <c r="AC43" s="56" t="n"/>
      <c r="AD43" s="51" t="n">
        <v>17</v>
      </c>
      <c r="AE43" s="156" t="inlineStr">
        <is>
          <t>CAPSLAB Warehouse (7); CL POS (4); Web (4); CL Muestras (2)</t>
        </is>
      </c>
      <c r="AF43" s="51" t="n">
        <v>17</v>
      </c>
      <c r="AG43" s="156" t="inlineStr">
        <is>
          <t>Nuevo – NetSuite con existencia</t>
        </is>
      </c>
      <c r="AH43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3" s="156" t="inlineStr">
        <is>
          <t>No</t>
        </is>
      </c>
      <c r="AJ43" s="156" t="n"/>
      <c r="AK43" s="155" t="inlineStr">
        <is>
          <t>G1522ProductosTodosloscamposSandboxResults894.xlsx: fila 47623 [Y]; G1522_Extraccion_Articulos_NetSuite_2026-09-30.xlsx: fila 20822 [Z]</t>
        </is>
      </c>
      <c r="AL43" s="58" t="n">
        <v>8.5</v>
      </c>
      <c r="AM43" s="58" t="n"/>
      <c r="AN43" s="155" t="n"/>
      <c r="AO43" s="59" t="n"/>
      <c r="AP43" s="59" t="n"/>
      <c r="AQ43" s="59" t="n"/>
      <c r="AR43" s="155" t="n"/>
    </row>
    <row r="44">
      <c r="A44" s="50" t="inlineStr">
        <is>
          <t>3614001297399</t>
        </is>
      </c>
      <c r="B44" s="51" t="inlineStr">
        <is>
          <t>57330</t>
        </is>
      </c>
      <c r="C44" s="156" t="inlineStr">
        <is>
          <t>CAPSLAB</t>
        </is>
      </c>
      <c r="D44" s="156" t="inlineStr">
        <is>
          <t>CL/DB2/1/KAM2</t>
        </is>
      </c>
      <c r="E44" s="156" t="inlineStr">
        <is>
          <t>CL/DB2/1/KAM2-UNI</t>
        </is>
      </c>
      <c r="F44" s="156" t="inlineStr">
        <is>
          <t>Talla única</t>
        </is>
      </c>
      <c r="G44" s="156" t="inlineStr">
        <is>
          <t>One Size</t>
        </is>
      </c>
      <c r="H44" s="156" t="inlineStr">
        <is>
          <t>CAPSLAB</t>
        </is>
      </c>
      <c r="I44" s="156" t="inlineStr">
        <is>
          <t>Gorra CAPSLAB Dragon Ball Gris</t>
        </is>
      </c>
      <c r="J44" s="156" t="inlineStr">
        <is>
          <t>Accesorios</t>
        </is>
      </c>
      <c r="K44" s="156" t="inlineStr">
        <is>
          <t>Gorras</t>
        </is>
      </c>
      <c r="L44" s="156" t="inlineStr">
        <is>
          <t>Unisex</t>
        </is>
      </c>
      <c r="M44" s="156" t="inlineStr">
        <is>
          <t>Dragon Ball</t>
        </is>
      </c>
      <c r="N44" s="156" t="n"/>
      <c r="O44" s="156" t="n"/>
      <c r="P44" s="156" t="inlineStr">
        <is>
          <t>Gris</t>
        </is>
      </c>
      <c r="Q44" s="156" t="n"/>
      <c r="R44" s="156" t="n"/>
      <c r="S44" s="156" t="inlineStr">
        <is>
          <t>Algodón / Poliéster</t>
        </is>
      </c>
      <c r="T44" s="156" t="inlineStr">
        <is>
          <t>Gorra de la marca CAPSLAB bajo licencia oficial Dragon Ball. Talla única ajustable. Estilo CL/DB2/1/KAM2.</t>
        </is>
      </c>
      <c r="U44" s="156" t="n"/>
      <c r="V44" s="156" t="inlineStr">
        <is>
          <t>PZS</t>
        </is>
      </c>
      <c r="W44" s="51" t="inlineStr">
        <is>
          <t>53102516</t>
        </is>
      </c>
      <c r="X44" s="156" t="inlineStr">
        <is>
          <t>https://7913364.app.netsuite.com/core/media/media.nl?id=188180&amp;c=7913364&amp;h=8H2EELeY9VTAiaG6Fc4U9G-3NsVdJ9lY8WFyFFRyA_jtiOCr</t>
        </is>
      </c>
      <c r="Y44" s="54" t="n">
        <v>8.5</v>
      </c>
      <c r="Z44" s="54" t="n">
        <v>699</v>
      </c>
      <c r="AA44" s="55">
        <f>IF(AND(A44="", B44="", E44=""), "", IF(AB44="", "Válido", IF((LEN(AB44)-LEN(SUBSTITUTE(AB44,"; ","")))/2+1&gt;(LEN(AB44)-LEN(SUBSTITUTE(AB44,"[Aviso]","")))/7, "Con Incidencias", "Válido")))</f>
        <v/>
      </c>
      <c r="AB44" s="56">
        <f>IF(AND(A44="", B44="", E44=""), "", TEXTJOIN("; ", TRUE, IF(OR(TRIM(A44&amp;"")="", ISNUMBER(SEARCH("FALTA", A44))), "UPC faltante/inválido", ""), IF(AND(A44&lt;&gt;"", IFERROR(_xlfn.XMATCH(A44,$A$2:$A$370,0,1)&lt;&gt;_xlfn.XMATCH(A44,$A$2:$A$370,0,-1),FALSE)), "Código de barras duplicado", ""), IF(AND(E44&lt;&gt;"", COUNTIF($E$2:$E$370, E44)&gt;1), "SKU duplicado", ""), IF(OR(J44="", J44=""), "[Aviso] División no capturada ()", IF(ISNA(MATCH(J44, Criterios!$A$123:$A$126, 0)), "División no válida", "")), IF(OR(K44="", K44=""), "[Aviso] Categoría no capturada ()", IF(ISNA(MATCH(K44, Criterios!$A$81:$A$120, 0)), "Categoría no válida", IF(AND(J44&lt;&gt;"", J44&lt;&gt;"", J44&lt;&gt;VLOOKUP(K44, Criterios!$A$81:$B$120, 2, FALSE)), "División no coincide con Categoría", ""))), IF(OR(L44="", L44=""), "[Aviso] Género no capturado ()", IF(ISNA(MATCH(L44, Criterios!$B$123:$B$127, 0)), "Género no válido", "")), IF(OR(N44="", N44=""), "[Aviso] Temporada no capturada ()", IF(ISNA(MATCH(N44, Criterios!$C$123:$C$128, 0)), "Temporada no válida", "")), IF(OR(O44="", O44=""), "[Aviso] Ciclo de vida no capturado ()", IF(ISNA(MATCH(O44, Criterios!$D$123:$D$124, 0)), "Ciclo de vida no válido", ""))))</f>
        <v/>
      </c>
      <c r="AC44" s="56" t="n"/>
      <c r="AD44" s="51" t="n">
        <v>3</v>
      </c>
      <c r="AE44" s="156" t="inlineStr">
        <is>
          <t>CAPSLAB Warehouse (2)</t>
        </is>
      </c>
      <c r="AF44" s="51" t="n">
        <v>3</v>
      </c>
      <c r="AG44" s="156" t="inlineStr">
        <is>
          <t>Nuevo – NetSuite con existencia</t>
        </is>
      </c>
      <c r="AH44" s="156" t="inlineStr">
        <is>
          <t>Composición CAPSLAB varía por modelo (50/50, 40/60 o 100% poliéster): validar etiqueta; Físico total NetSuite 3 ≠ suma por ubicación 2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4" s="156" t="inlineStr">
        <is>
          <t>No</t>
        </is>
      </c>
      <c r="AJ44" s="156" t="n"/>
      <c r="AK44" s="155" t="inlineStr">
        <is>
          <t>G1522ProductosTodosloscamposSandboxResults894.xlsx: fila 47625 [Y]; G1522_Extraccion_Articulos_NetSuite_2026-09-30.xlsx: fila 20713 [Z]</t>
        </is>
      </c>
      <c r="AL44" s="58" t="n">
        <v>8.5</v>
      </c>
      <c r="AM44" s="58" t="n"/>
      <c r="AN44" s="155" t="n"/>
      <c r="AO44" s="59" t="n"/>
      <c r="AP44" s="59" t="n"/>
      <c r="AQ44" s="59" t="n"/>
      <c r="AR44" s="155" t="n"/>
    </row>
    <row r="45">
      <c r="A45" s="50" t="inlineStr">
        <is>
          <t>3614001552177</t>
        </is>
      </c>
      <c r="B45" s="51" t="inlineStr">
        <is>
          <t>57441</t>
        </is>
      </c>
      <c r="C45" s="156" t="inlineStr">
        <is>
          <t>CAPSLAB</t>
        </is>
      </c>
      <c r="D45" s="156" t="inlineStr">
        <is>
          <t>CL/DB3/1/CAS/BUL1</t>
        </is>
      </c>
      <c r="E45" s="156" t="inlineStr">
        <is>
          <t>CL/DB3/1/CAS/BUL1-uNI</t>
        </is>
      </c>
      <c r="F45" s="156" t="inlineStr">
        <is>
          <t>Talla única</t>
        </is>
      </c>
      <c r="G45" s="156" t="inlineStr">
        <is>
          <t>One Size</t>
        </is>
      </c>
      <c r="H45" s="156" t="inlineStr">
        <is>
          <t>CAPSLAB</t>
        </is>
      </c>
      <c r="I45" s="156" t="inlineStr">
        <is>
          <t>Gorra trucker CAPSLAB Dragon Ball Negro</t>
        </is>
      </c>
      <c r="J45" s="156" t="inlineStr">
        <is>
          <t>Accesorios</t>
        </is>
      </c>
      <c r="K45" s="156" t="inlineStr">
        <is>
          <t>Gorras</t>
        </is>
      </c>
      <c r="L45" s="156" t="inlineStr">
        <is>
          <t>Unisex</t>
        </is>
      </c>
      <c r="M45" s="156" t="inlineStr">
        <is>
          <t>Dragon Ball</t>
        </is>
      </c>
      <c r="N45" s="156" t="n"/>
      <c r="O45" s="156" t="n"/>
      <c r="P45" s="156" t="inlineStr">
        <is>
          <t>Negro</t>
        </is>
      </c>
      <c r="Q45" s="156" t="n"/>
      <c r="R45" s="156" t="n"/>
      <c r="S45" s="156" t="inlineStr">
        <is>
          <t>Algodón / Poliéster</t>
        </is>
      </c>
      <c r="T45" s="156" t="inlineStr">
        <is>
          <t>Gorra trucker de la marca CAPSLAB bajo licencia oficial Dragon Ball. Talla única ajustable. Estilo CL/DB3/1/CAS/BUL1.</t>
        </is>
      </c>
      <c r="U45" s="156" t="n"/>
      <c r="V45" s="156" t="inlineStr">
        <is>
          <t>PZS</t>
        </is>
      </c>
      <c r="W45" s="51" t="inlineStr">
        <is>
          <t>53102516</t>
        </is>
      </c>
      <c r="X45" s="156" t="inlineStr">
        <is>
          <t>https://7913364.app.netsuite.com/core/media/media.nl?id=188316&amp;c=7913364&amp;h=WB38LtLUGHY9cL6w-Ux3GPQXt4llGKGwDtxLQW2HhyjUDUvI</t>
        </is>
      </c>
      <c r="Y45" s="54" t="n">
        <v>8.5</v>
      </c>
      <c r="Z45" s="54" t="n">
        <v>699</v>
      </c>
      <c r="AA45" s="55">
        <f>IF(AND(A45="", B45="", E45=""), "", IF(AB45="", "Válido", IF((LEN(AB45)-LEN(SUBSTITUTE(AB45,"; ","")))/2+1&gt;(LEN(AB45)-LEN(SUBSTITUTE(AB45,"[Aviso]","")))/7, "Con Incidencias", "Válido")))</f>
        <v/>
      </c>
      <c r="AB45" s="56">
        <f>IF(AND(A45="", B45="", E45=""), "", TEXTJOIN("; ", TRUE, IF(OR(TRIM(A45&amp;"")="", ISNUMBER(SEARCH("FALTA", A45))), "UPC faltante/inválido", ""), IF(AND(A45&lt;&gt;"", IFERROR(_xlfn.XMATCH(A45,$A$2:$A$370,0,1)&lt;&gt;_xlfn.XMATCH(A45,$A$2:$A$370,0,-1),FALSE)), "Código de barras duplicado", ""), IF(AND(E45&lt;&gt;"", COUNTIF($E$2:$E$370, E45)&gt;1), "SKU duplicado", ""), IF(OR(J45="", J45=""), "[Aviso] División no capturada ()", IF(ISNA(MATCH(J45, Criterios!$A$123:$A$126, 0)), "División no válida", "")), IF(OR(K45="", K45=""), "[Aviso] Categoría no capturada ()", IF(ISNA(MATCH(K45, Criterios!$A$81:$A$120, 0)), "Categoría no válida", IF(AND(J45&lt;&gt;"", J45&lt;&gt;"", J45&lt;&gt;VLOOKUP(K45, Criterios!$A$81:$B$120, 2, FALSE)), "División no coincide con Categoría", ""))), IF(OR(L45="", L45=""), "[Aviso] Género no capturado ()", IF(ISNA(MATCH(L45, Criterios!$B$123:$B$127, 0)), "Género no válido", "")), IF(OR(N45="", N45=""), "[Aviso] Temporada no capturada ()", IF(ISNA(MATCH(N45, Criterios!$C$123:$C$128, 0)), "Temporada no válida", "")), IF(OR(O45="", O45=""), "[Aviso] Ciclo de vida no capturado ()", IF(ISNA(MATCH(O45, Criterios!$D$123:$D$124, 0)), "Ciclo de vida no válido", ""))))</f>
        <v/>
      </c>
      <c r="AC45" s="56" t="n"/>
      <c r="AD45" s="51" t="n">
        <v>2</v>
      </c>
      <c r="AE45" s="156" t="inlineStr">
        <is>
          <t>CL Muestras (2)</t>
        </is>
      </c>
      <c r="AF45" s="51" t="n">
        <v>2</v>
      </c>
      <c r="AG45" s="156" t="inlineStr">
        <is>
          <t>Nuevo – NetSuite con existencia</t>
        </is>
      </c>
      <c r="AH4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5" s="156" t="inlineStr">
        <is>
          <t>No</t>
        </is>
      </c>
      <c r="AJ45" s="156" t="n"/>
      <c r="AK45" s="155" t="inlineStr">
        <is>
          <t>G1522ProductosTodosloscamposSandboxResults894.xlsx: fila 47627 [Y]; G1522_Extraccion_Articulos_NetSuite_2026-09-30.xlsx: fila 20823 [Z]</t>
        </is>
      </c>
      <c r="AL45" s="58" t="n">
        <v>8.5</v>
      </c>
      <c r="AM45" s="58" t="n"/>
      <c r="AN45" s="155" t="n"/>
      <c r="AO45" s="59" t="n"/>
      <c r="AP45" s="59" t="n"/>
      <c r="AQ45" s="59" t="n"/>
      <c r="AR45" s="155" t="n"/>
    </row>
    <row r="46">
      <c r="A46" s="50" t="inlineStr">
        <is>
          <t>3614001552221</t>
        </is>
      </c>
      <c r="B46" s="51" t="inlineStr">
        <is>
          <t>57462</t>
        </is>
      </c>
      <c r="C46" s="156" t="inlineStr">
        <is>
          <t>CAPSLAB</t>
        </is>
      </c>
      <c r="D46" s="156" t="inlineStr">
        <is>
          <t>CL/DB3/1/CAS/GOK2</t>
        </is>
      </c>
      <c r="E46" s="156" t="inlineStr">
        <is>
          <t>CL/DB3/1/CAS/GOK2-UNI</t>
        </is>
      </c>
      <c r="F46" s="156" t="inlineStr">
        <is>
          <t>Talla única</t>
        </is>
      </c>
      <c r="G46" s="156" t="inlineStr">
        <is>
          <t>One Size</t>
        </is>
      </c>
      <c r="H46" s="156" t="inlineStr">
        <is>
          <t>CAPSLAB</t>
        </is>
      </c>
      <c r="I46" s="156" t="inlineStr">
        <is>
          <t>Gorra trucker CAPSLAB Dragon Ball Goku Blanco</t>
        </is>
      </c>
      <c r="J46" s="156" t="inlineStr">
        <is>
          <t>Accesorios</t>
        </is>
      </c>
      <c r="K46" s="156" t="inlineStr">
        <is>
          <t>Gorras</t>
        </is>
      </c>
      <c r="L46" s="156" t="inlineStr">
        <is>
          <t>Unisex</t>
        </is>
      </c>
      <c r="M46" s="156" t="inlineStr">
        <is>
          <t>Dragon Ball</t>
        </is>
      </c>
      <c r="N46" s="156" t="n"/>
      <c r="O46" s="156" t="n"/>
      <c r="P46" s="156" t="inlineStr">
        <is>
          <t>Blanco</t>
        </is>
      </c>
      <c r="Q46" s="156" t="n"/>
      <c r="R46" s="156" t="n"/>
      <c r="S46" s="156" t="inlineStr">
        <is>
          <t>Algodón / Poliéster</t>
        </is>
      </c>
      <c r="T46" s="156" t="inlineStr">
        <is>
          <t>Gorra trucker de la marca CAPSLAB bajo licencia oficial Dragon Ball, personaje Goku. Talla única ajustable. Estilo CL/DB3/1/CAS/GOK2.</t>
        </is>
      </c>
      <c r="U46" s="156" t="n"/>
      <c r="V46" s="156" t="inlineStr">
        <is>
          <t>PZS</t>
        </is>
      </c>
      <c r="W46" s="51" t="inlineStr">
        <is>
          <t>53102516</t>
        </is>
      </c>
      <c r="X46" s="156" t="inlineStr">
        <is>
          <t>https://7913364.app.netsuite.com/core/media/media.nl?id=188370&amp;c=7913364&amp;h=G2UqVkXjH1QDzZvOG98IU8-Jgerv6mctVp1j-fQ0PwT0nzrE</t>
        </is>
      </c>
      <c r="Y46" s="54" t="n">
        <v>8.5</v>
      </c>
      <c r="Z46" s="54" t="n">
        <v>699</v>
      </c>
      <c r="AA46" s="55">
        <f>IF(AND(A46="", B46="", E46=""), "", IF(AB46="", "Válido", IF((LEN(AB46)-LEN(SUBSTITUTE(AB46,"; ","")))/2+1&gt;(LEN(AB46)-LEN(SUBSTITUTE(AB46,"[Aviso]","")))/7, "Con Incidencias", "Válido")))</f>
        <v/>
      </c>
      <c r="AB46" s="56">
        <f>IF(AND(A46="", B46="", E46=""), "", TEXTJOIN("; ", TRUE, IF(OR(TRIM(A46&amp;"")="", ISNUMBER(SEARCH("FALTA", A46))), "UPC faltante/inválido", ""), IF(AND(A46&lt;&gt;"", IFERROR(_xlfn.XMATCH(A46,$A$2:$A$370,0,1)&lt;&gt;_xlfn.XMATCH(A46,$A$2:$A$370,0,-1),FALSE)), "Código de barras duplicado", ""), IF(AND(E46&lt;&gt;"", COUNTIF($E$2:$E$370, E46)&gt;1), "SKU duplicado", ""), IF(OR(J46="", J46=""), "[Aviso] División no capturada ()", IF(ISNA(MATCH(J46, Criterios!$A$123:$A$126, 0)), "División no válida", "")), IF(OR(K46="", K46=""), "[Aviso] Categoría no capturada ()", IF(ISNA(MATCH(K46, Criterios!$A$81:$A$120, 0)), "Categoría no válida", IF(AND(J46&lt;&gt;"", J46&lt;&gt;"", J46&lt;&gt;VLOOKUP(K46, Criterios!$A$81:$B$120, 2, FALSE)), "División no coincide con Categoría", ""))), IF(OR(L46="", L46=""), "[Aviso] Género no capturado ()", IF(ISNA(MATCH(L46, Criterios!$B$123:$B$127, 0)), "Género no válido", "")), IF(OR(N46="", N46=""), "[Aviso] Temporada no capturada ()", IF(ISNA(MATCH(N46, Criterios!$C$123:$C$128, 0)), "Temporada no válida", "")), IF(OR(O46="", O46=""), "[Aviso] Ciclo de vida no capturado ()", IF(ISNA(MATCH(O46, Criterios!$D$123:$D$124, 0)), "Ciclo de vida no válido", ""))))</f>
        <v/>
      </c>
      <c r="AC46" s="56" t="n"/>
      <c r="AD46" s="51" t="n">
        <v>132</v>
      </c>
      <c r="AE46" s="156" t="inlineStr">
        <is>
          <t>Web (3); CAPSLAB Warehouse (83); CL POS (4); CL Muestras (2)</t>
        </is>
      </c>
      <c r="AF46" s="51" t="n">
        <v>132</v>
      </c>
      <c r="AG46" s="156" t="inlineStr">
        <is>
          <t>Nuevo – NetSuite con existencia</t>
        </is>
      </c>
      <c r="AH46" s="156" t="inlineStr">
        <is>
          <t>Composición CAPSLAB varía por modelo (50/50, 40/60 o 100% poliéster): validar etiqueta; Físico total NetSuite 132 ≠ suma por ubicación 92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6" s="156" t="inlineStr">
        <is>
          <t>No</t>
        </is>
      </c>
      <c r="AJ46" s="156" t="n"/>
      <c r="AK46" s="155" t="inlineStr">
        <is>
          <t>G1522ProductosTodosloscamposSandboxResults894.xlsx: fila 47629 [Y]; G1522_Extraccion_Articulos_NetSuite_2026-09-30.xlsx: fila 20844 [Z]</t>
        </is>
      </c>
      <c r="AL46" s="58" t="n">
        <v>8.5</v>
      </c>
      <c r="AM46" s="58" t="n"/>
      <c r="AN46" s="155" t="n"/>
      <c r="AO46" s="59" t="n"/>
      <c r="AP46" s="59" t="n"/>
      <c r="AQ46" s="59" t="n"/>
      <c r="AR46" s="155" t="n"/>
    </row>
    <row r="47">
      <c r="A47" s="50" t="inlineStr">
        <is>
          <t>3614001583393</t>
        </is>
      </c>
      <c r="B47" s="51" t="inlineStr">
        <is>
          <t>57463</t>
        </is>
      </c>
      <c r="C47" s="156" t="inlineStr">
        <is>
          <t>CAPSLAB</t>
        </is>
      </c>
      <c r="D47" s="156" t="inlineStr">
        <is>
          <t>CL/DB3/1/CAS/SHE1</t>
        </is>
      </c>
      <c r="E47" s="156" t="inlineStr">
        <is>
          <t>CL/DB3/1/CAS/SHE1-UNI</t>
        </is>
      </c>
      <c r="F47" s="156" t="inlineStr">
        <is>
          <t>Talla única</t>
        </is>
      </c>
      <c r="G47" s="156" t="inlineStr">
        <is>
          <t>One Size</t>
        </is>
      </c>
      <c r="H47" s="156" t="inlineStr">
        <is>
          <t>CAPSLAB</t>
        </is>
      </c>
      <c r="I47" s="156" t="inlineStr">
        <is>
          <t>Gorra trucker CAPSLAB Dragon Ball Negro</t>
        </is>
      </c>
      <c r="J47" s="156" t="inlineStr">
        <is>
          <t>Accesorios</t>
        </is>
      </c>
      <c r="K47" s="156" t="inlineStr">
        <is>
          <t>Gorras</t>
        </is>
      </c>
      <c r="L47" s="156" t="inlineStr">
        <is>
          <t>Unisex</t>
        </is>
      </c>
      <c r="M47" s="156" t="inlineStr">
        <is>
          <t>Dragon Ball</t>
        </is>
      </c>
      <c r="N47" s="156" t="n"/>
      <c r="O47" s="156" t="n"/>
      <c r="P47" s="156" t="inlineStr">
        <is>
          <t>Negro</t>
        </is>
      </c>
      <c r="Q47" s="156" t="n"/>
      <c r="R47" s="156" t="n"/>
      <c r="S47" s="156" t="inlineStr">
        <is>
          <t>Algodón / Poliéster</t>
        </is>
      </c>
      <c r="T47" s="156" t="inlineStr">
        <is>
          <t>Gorra trucker de la marca CAPSLAB bajo licencia oficial Dragon Ball. Talla única ajustable. Estilo CL/DB3/1/CAS/SHE1.</t>
        </is>
      </c>
      <c r="U47" s="156" t="n"/>
      <c r="V47" s="156" t="inlineStr">
        <is>
          <t>PZS</t>
        </is>
      </c>
      <c r="W47" s="51" t="inlineStr">
        <is>
          <t>53102516</t>
        </is>
      </c>
      <c r="X47" s="156" t="inlineStr">
        <is>
          <t>https://7913364.app.netsuite.com/core/media/media.nl?id=188371&amp;c=7913364&amp;h=Fr9C0PQHah6ZKRoi2caRBaCXrNbf-2IAW4ZVNGjiSS8crfsF</t>
        </is>
      </c>
      <c r="Y47" s="54" t="n">
        <v>8.5</v>
      </c>
      <c r="Z47" s="54" t="n">
        <v>699</v>
      </c>
      <c r="AA47" s="55">
        <f>IF(AND(A47="", B47="", E47=""), "", IF(AB47="", "Válido", IF((LEN(AB47)-LEN(SUBSTITUTE(AB47,"; ","")))/2+1&gt;(LEN(AB47)-LEN(SUBSTITUTE(AB47,"[Aviso]","")))/7, "Con Incidencias", "Válido")))</f>
        <v/>
      </c>
      <c r="AB47" s="56">
        <f>IF(AND(A47="", B47="", E47=""), "", TEXTJOIN("; ", TRUE, IF(OR(TRIM(A47&amp;"")="", ISNUMBER(SEARCH("FALTA", A47))), "UPC faltante/inválido", ""), IF(AND(A47&lt;&gt;"", IFERROR(_xlfn.XMATCH(A47,$A$2:$A$370,0,1)&lt;&gt;_xlfn.XMATCH(A47,$A$2:$A$370,0,-1),FALSE)), "Código de barras duplicado", ""), IF(AND(E47&lt;&gt;"", COUNTIF($E$2:$E$370, E47)&gt;1), "SKU duplicado", ""), IF(OR(J47="", J47=""), "[Aviso] División no capturada ()", IF(ISNA(MATCH(J47, Criterios!$A$123:$A$126, 0)), "División no válida", "")), IF(OR(K47="", K47=""), "[Aviso] Categoría no capturada ()", IF(ISNA(MATCH(K47, Criterios!$A$81:$A$120, 0)), "Categoría no válida", IF(AND(J47&lt;&gt;"", J47&lt;&gt;"", J47&lt;&gt;VLOOKUP(K47, Criterios!$A$81:$B$120, 2, FALSE)), "División no coincide con Categoría", ""))), IF(OR(L47="", L47=""), "[Aviso] Género no capturado ()", IF(ISNA(MATCH(L47, Criterios!$B$123:$B$127, 0)), "Género no válido", "")), IF(OR(N47="", N47=""), "[Aviso] Temporada no capturada ()", IF(ISNA(MATCH(N47, Criterios!$C$123:$C$128, 0)), "Temporada no válida", "")), IF(OR(O47="", O47=""), "[Aviso] Ciclo de vida no capturado ()", IF(ISNA(MATCH(O47, Criterios!$D$123:$D$124, 0)), "Ciclo de vida no válido", ""))))</f>
        <v/>
      </c>
      <c r="AC47" s="56" t="n"/>
      <c r="AD47" s="51" t="n">
        <v>0</v>
      </c>
      <c r="AE47" s="156" t="n"/>
      <c r="AF47" s="51" t="n">
        <v>0</v>
      </c>
      <c r="AG47" s="156" t="inlineStr">
        <is>
          <t>Nuevo – NetSuite sin existencia</t>
        </is>
      </c>
      <c r="AH4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7" s="156" t="inlineStr">
        <is>
          <t>No</t>
        </is>
      </c>
      <c r="AJ47" s="156" t="n"/>
      <c r="AK47" s="155" t="inlineStr">
        <is>
          <t>G1522ProductosTodosloscamposSandboxResults894.xlsx: fila 47631 [Y]; G1522_Extraccion_Articulos_NetSuite_2026-09-30.xlsx: fila 20845 [Z]</t>
        </is>
      </c>
      <c r="AL47" s="58" t="n">
        <v>8.5</v>
      </c>
      <c r="AM47" s="58" t="n"/>
      <c r="AN47" s="155" t="n"/>
      <c r="AO47" s="59" t="n"/>
      <c r="AP47" s="59" t="n"/>
      <c r="AQ47" s="59" t="n"/>
      <c r="AR47" s="155" t="n"/>
    </row>
    <row r="48">
      <c r="A48" s="50" t="inlineStr">
        <is>
          <t>3614001552214</t>
        </is>
      </c>
      <c r="B48" s="51" t="inlineStr">
        <is>
          <t>57331</t>
        </is>
      </c>
      <c r="C48" s="156" t="inlineStr">
        <is>
          <t>CAPSLAB</t>
        </is>
      </c>
      <c r="D48" s="156" t="inlineStr">
        <is>
          <t>CL/DB3/1/CAS/SHE2</t>
        </is>
      </c>
      <c r="E48" s="156" t="inlineStr">
        <is>
          <t>CL/DB3/1/CAS/SHE2-UNI</t>
        </is>
      </c>
      <c r="F48" s="156" t="inlineStr">
        <is>
          <t>Talla única</t>
        </is>
      </c>
      <c r="G48" s="156" t="inlineStr">
        <is>
          <t>One Size</t>
        </is>
      </c>
      <c r="H48" s="156" t="inlineStr">
        <is>
          <t>CAPSLAB</t>
        </is>
      </c>
      <c r="I48" s="156" t="inlineStr">
        <is>
          <t>Gorra trucker CAPSLAB Dragon Ball Verde</t>
        </is>
      </c>
      <c r="J48" s="156" t="inlineStr">
        <is>
          <t>Accesorios</t>
        </is>
      </c>
      <c r="K48" s="156" t="inlineStr">
        <is>
          <t>Gorras</t>
        </is>
      </c>
      <c r="L48" s="156" t="inlineStr">
        <is>
          <t>Unisex</t>
        </is>
      </c>
      <c r="M48" s="156" t="inlineStr">
        <is>
          <t>Dragon Ball</t>
        </is>
      </c>
      <c r="N48" s="156" t="n"/>
      <c r="O48" s="156" t="n"/>
      <c r="P48" s="156" t="inlineStr">
        <is>
          <t>Verde</t>
        </is>
      </c>
      <c r="Q48" s="156" t="n"/>
      <c r="R48" s="156" t="n"/>
      <c r="S48" s="156" t="inlineStr">
        <is>
          <t>Algodón / Poliéster</t>
        </is>
      </c>
      <c r="T48" s="156" t="inlineStr">
        <is>
          <t>Gorra trucker de la marca CAPSLAB bajo licencia oficial Dragon Ball. Talla única ajustable. Estilo CL/DB3/1/CAS/SHE2.</t>
        </is>
      </c>
      <c r="U48" s="156" t="n"/>
      <c r="V48" s="156" t="inlineStr">
        <is>
          <t>PZS</t>
        </is>
      </c>
      <c r="W48" s="51" t="inlineStr">
        <is>
          <t>53102516</t>
        </is>
      </c>
      <c r="X48" s="156" t="inlineStr">
        <is>
          <t>https://7913364.app.netsuite.com/core/media/media.nl?id=188181&amp;c=7913364&amp;h=AfecpTIPvP93kjXkgfq7XCPeQrGknCbepB-u3Dlo1ZCR0BMx</t>
        </is>
      </c>
      <c r="Y48" s="54" t="n">
        <v>8.5</v>
      </c>
      <c r="Z48" s="54" t="n">
        <v>699</v>
      </c>
      <c r="AA48" s="55">
        <f>IF(AND(A48="", B48="", E48=""), "", IF(AB48="", "Válido", IF((LEN(AB48)-LEN(SUBSTITUTE(AB48,"; ","")))/2+1&gt;(LEN(AB48)-LEN(SUBSTITUTE(AB48,"[Aviso]","")))/7, "Con Incidencias", "Válido")))</f>
        <v/>
      </c>
      <c r="AB48" s="56">
        <f>IF(AND(A48="", B48="", E48=""), "", TEXTJOIN("; ", TRUE, IF(OR(TRIM(A48&amp;"")="", ISNUMBER(SEARCH("FALTA", A48))), "UPC faltante/inválido", ""), IF(AND(A48&lt;&gt;"", IFERROR(_xlfn.XMATCH(A48,$A$2:$A$370,0,1)&lt;&gt;_xlfn.XMATCH(A48,$A$2:$A$370,0,-1),FALSE)), "Código de barras duplicado", ""), IF(AND(E48&lt;&gt;"", COUNTIF($E$2:$E$370, E48)&gt;1), "SKU duplicado", ""), IF(OR(J48="", J48=""), "[Aviso] División no capturada ()", IF(ISNA(MATCH(J48, Criterios!$A$123:$A$126, 0)), "División no válida", "")), IF(OR(K48="", K48=""), "[Aviso] Categoría no capturada ()", IF(ISNA(MATCH(K48, Criterios!$A$81:$A$120, 0)), "Categoría no válida", IF(AND(J48&lt;&gt;"", J48&lt;&gt;"", J48&lt;&gt;VLOOKUP(K48, Criterios!$A$81:$B$120, 2, FALSE)), "División no coincide con Categoría", ""))), IF(OR(L48="", L48=""), "[Aviso] Género no capturado ()", IF(ISNA(MATCH(L48, Criterios!$B$123:$B$127, 0)), "Género no válido", "")), IF(OR(N48="", N48=""), "[Aviso] Temporada no capturada ()", IF(ISNA(MATCH(N48, Criterios!$C$123:$C$128, 0)), "Temporada no válida", "")), IF(OR(O48="", O48=""), "[Aviso] Ciclo de vida no capturado ()", IF(ISNA(MATCH(O48, Criterios!$D$123:$D$124, 0)), "Ciclo de vida no válido", ""))))</f>
        <v/>
      </c>
      <c r="AC48" s="56" t="n"/>
      <c r="AD48" s="51" t="n">
        <v>0</v>
      </c>
      <c r="AE48" s="156" t="n"/>
      <c r="AF48" s="51" t="n">
        <v>0</v>
      </c>
      <c r="AG48" s="156" t="inlineStr">
        <is>
          <t>Nuevo – NetSuite sin existencia</t>
        </is>
      </c>
      <c r="AH4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8" s="156" t="inlineStr">
        <is>
          <t>No</t>
        </is>
      </c>
      <c r="AJ48" s="156" t="n"/>
      <c r="AK48" s="155" t="inlineStr">
        <is>
          <t>G1522ProductosTodosloscamposSandboxResults894.xlsx: fila 47633 [Y]; G1522_Extraccion_Articulos_NetSuite_2026-09-30.xlsx: fila 20714 [Z]</t>
        </is>
      </c>
      <c r="AL48" s="58" t="n">
        <v>8.5</v>
      </c>
      <c r="AM48" s="58" t="n"/>
      <c r="AN48" s="155" t="n"/>
      <c r="AO48" s="59" t="n"/>
      <c r="AP48" s="59" t="n"/>
      <c r="AQ48" s="59" t="n"/>
      <c r="AR48" s="155" t="n"/>
    </row>
    <row r="49">
      <c r="A49" s="50" t="inlineStr">
        <is>
          <t>3614001552238</t>
        </is>
      </c>
      <c r="B49" s="51" t="inlineStr">
        <is>
          <t>57464</t>
        </is>
      </c>
      <c r="C49" s="156" t="inlineStr">
        <is>
          <t>CAPSLAB</t>
        </is>
      </c>
      <c r="D49" s="156" t="inlineStr">
        <is>
          <t>CL/DB3/1/CASF/SHE5</t>
        </is>
      </c>
      <c r="E49" s="156" t="inlineStr">
        <is>
          <t>CL/DB3/1/CASF/SHE5-uNI</t>
        </is>
      </c>
      <c r="F49" s="156" t="inlineStr">
        <is>
          <t>Talla única</t>
        </is>
      </c>
      <c r="G49" s="156" t="inlineStr">
        <is>
          <t>One Size</t>
        </is>
      </c>
      <c r="H49" s="156" t="inlineStr">
        <is>
          <t>CAPSLAB</t>
        </is>
      </c>
      <c r="I49" s="156" t="inlineStr">
        <is>
          <t>Gorra CAPSLAB Dragon Ball Café</t>
        </is>
      </c>
      <c r="J49" s="156" t="inlineStr">
        <is>
          <t>Accesorios</t>
        </is>
      </c>
      <c r="K49" s="156" t="inlineStr">
        <is>
          <t>Gorras</t>
        </is>
      </c>
      <c r="L49" s="156" t="inlineStr">
        <is>
          <t>Unisex</t>
        </is>
      </c>
      <c r="M49" s="156" t="inlineStr">
        <is>
          <t>Dragon Ball</t>
        </is>
      </c>
      <c r="N49" s="156" t="n"/>
      <c r="O49" s="156" t="n"/>
      <c r="P49" s="156" t="inlineStr">
        <is>
          <t>Cafe</t>
        </is>
      </c>
      <c r="Q49" s="156" t="n"/>
      <c r="R49" s="156" t="n"/>
      <c r="S49" s="156" t="inlineStr">
        <is>
          <t>Algodón / Poliéster</t>
        </is>
      </c>
      <c r="T49" s="156" t="inlineStr">
        <is>
          <t>Gorra de la marca CAPSLAB bajo licencia oficial Dragon Ball. Talla única ajustable. Estilo CL/DB3/1/CASF/SHE5.</t>
        </is>
      </c>
      <c r="U49" s="156" t="n"/>
      <c r="V49" s="156" t="inlineStr">
        <is>
          <t>PZS</t>
        </is>
      </c>
      <c r="W49" s="51" t="inlineStr">
        <is>
          <t>53102516</t>
        </is>
      </c>
      <c r="X49" s="156" t="inlineStr">
        <is>
          <t>https://7913364.app.netsuite.com/core/media/media.nl?id=188372&amp;c=7913364&amp;h=Vu6yvewcQAvW7LJve2-WVnE9C_ri37GVZgsmSGn67kXy3J-e</t>
        </is>
      </c>
      <c r="Y49" s="54" t="n">
        <v>8.5</v>
      </c>
      <c r="Z49" s="54" t="n">
        <v>699</v>
      </c>
      <c r="AA49" s="55">
        <f>IF(AND(A49="", B49="", E49=""), "", IF(AB49="", "Válido", IF((LEN(AB49)-LEN(SUBSTITUTE(AB49,"; ","")))/2+1&gt;(LEN(AB49)-LEN(SUBSTITUTE(AB49,"[Aviso]","")))/7, "Con Incidencias", "Válido")))</f>
        <v/>
      </c>
      <c r="AB49" s="56">
        <f>IF(AND(A49="", B49="", E49=""), "", TEXTJOIN("; ", TRUE, IF(OR(TRIM(A49&amp;"")="", ISNUMBER(SEARCH("FALTA", A49))), "UPC faltante/inválido", ""), IF(AND(A49&lt;&gt;"", IFERROR(_xlfn.XMATCH(A49,$A$2:$A$370,0,1)&lt;&gt;_xlfn.XMATCH(A49,$A$2:$A$370,0,-1),FALSE)), "Código de barras duplicado", ""), IF(AND(E49&lt;&gt;"", COUNTIF($E$2:$E$370, E49)&gt;1), "SKU duplicado", ""), IF(OR(J49="", J49=""), "[Aviso] División no capturada ()", IF(ISNA(MATCH(J49, Criterios!$A$123:$A$126, 0)), "División no válida", "")), IF(OR(K49="", K49=""), "[Aviso] Categoría no capturada ()", IF(ISNA(MATCH(K49, Criterios!$A$81:$A$120, 0)), "Categoría no válida", IF(AND(J49&lt;&gt;"", J49&lt;&gt;"", J49&lt;&gt;VLOOKUP(K49, Criterios!$A$81:$B$120, 2, FALSE)), "División no coincide con Categoría", ""))), IF(OR(L49="", L49=""), "[Aviso] Género no capturado ()", IF(ISNA(MATCH(L49, Criterios!$B$123:$B$127, 0)), "Género no válido", "")), IF(OR(N49="", N49=""), "[Aviso] Temporada no capturada ()", IF(ISNA(MATCH(N49, Criterios!$C$123:$C$128, 0)), "Temporada no válida", "")), IF(OR(O49="", O49=""), "[Aviso] Ciclo de vida no capturado ()", IF(ISNA(MATCH(O49, Criterios!$D$123:$D$124, 0)), "Ciclo de vida no válido", ""))))</f>
        <v/>
      </c>
      <c r="AC49" s="56" t="n"/>
      <c r="AD49" s="51" t="n">
        <v>18</v>
      </c>
      <c r="AE49" s="156" t="inlineStr">
        <is>
          <t>CL POS (4); CL Muestras (1); Web (2); CAPSLAB Warehouse (5)</t>
        </is>
      </c>
      <c r="AF49" s="51" t="n">
        <v>18</v>
      </c>
      <c r="AG49" s="156" t="inlineStr">
        <is>
          <t>Nuevo – NetSuite con existencia</t>
        </is>
      </c>
      <c r="AH49" s="156" t="inlineStr">
        <is>
          <t>Composición CAPSLAB varía por modelo (50/50, 40/60 o 100% poliéster): validar etiqueta; Físico total NetSuite 18 ≠ suma por ubicación 12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49" s="156" t="inlineStr">
        <is>
          <t>No</t>
        </is>
      </c>
      <c r="AJ49" s="156" t="n"/>
      <c r="AK49" s="155" t="inlineStr">
        <is>
          <t>G1522ProductosTodosloscamposSandboxResults894.xlsx: fila 47635 [Y]; G1522_Extraccion_Articulos_NetSuite_2026-09-30.xlsx: fila 20846 [Z]</t>
        </is>
      </c>
      <c r="AL49" s="58" t="n">
        <v>8.5</v>
      </c>
      <c r="AM49" s="58" t="n"/>
      <c r="AN49" s="155" t="n"/>
      <c r="AO49" s="59" t="n"/>
      <c r="AP49" s="59" t="n"/>
      <c r="AQ49" s="59" t="n"/>
      <c r="AR49" s="155" t="n"/>
    </row>
    <row r="50">
      <c r="A50" s="50" t="inlineStr">
        <is>
          <t>3614001696840</t>
        </is>
      </c>
      <c r="B50" s="51" t="inlineStr">
        <is>
          <t>69584</t>
        </is>
      </c>
      <c r="C50" s="156" t="inlineStr">
        <is>
          <t>CAPSLAB</t>
        </is>
      </c>
      <c r="D50" s="156" t="inlineStr">
        <is>
          <t>CL/DB4/1/CT/GOK</t>
        </is>
      </c>
      <c r="E50" s="156" t="inlineStr">
        <is>
          <t>CL/DB4/1/CT/GOK-UNI</t>
        </is>
      </c>
      <c r="F50" s="156" t="inlineStr">
        <is>
          <t>Talla única</t>
        </is>
      </c>
      <c r="G50" s="156" t="inlineStr">
        <is>
          <t>One Size</t>
        </is>
      </c>
      <c r="H50" s="156" t="inlineStr">
        <is>
          <t>CAPSLAB</t>
        </is>
      </c>
      <c r="I50" s="156" t="inlineStr">
        <is>
          <t>Gorra trucker CAPSLAB Dragon Ball Saga Goku</t>
        </is>
      </c>
      <c r="J50" s="156" t="inlineStr">
        <is>
          <t>Accesorios</t>
        </is>
      </c>
      <c r="K50" s="156" t="inlineStr">
        <is>
          <t>Gorras</t>
        </is>
      </c>
      <c r="L50" s="156" t="inlineStr">
        <is>
          <t>Unisex</t>
        </is>
      </c>
      <c r="M50" s="156" t="inlineStr">
        <is>
          <t>Dragon Ball Saga</t>
        </is>
      </c>
      <c r="N50" s="156" t="n"/>
      <c r="O50" s="156" t="n"/>
      <c r="P50" s="156" t="n"/>
      <c r="Q50" s="156" t="n"/>
      <c r="R50" s="156" t="n"/>
      <c r="S50" s="156" t="inlineStr">
        <is>
          <t>Algodón / Poliéster</t>
        </is>
      </c>
      <c r="T50" s="156" t="inlineStr">
        <is>
          <t>Gorra trucker de la marca CAPSLAB bajo licencia oficial Dragon Ball Saga, personaje Goku. Talla única ajustable. Estilo CL/DB4/1/CT/GOK.</t>
        </is>
      </c>
      <c r="U50" s="156" t="n"/>
      <c r="V50" s="156" t="inlineStr">
        <is>
          <t>PZS</t>
        </is>
      </c>
      <c r="W50" s="51" t="inlineStr">
        <is>
          <t>53102516</t>
        </is>
      </c>
      <c r="X50" s="156" t="inlineStr">
        <is>
          <t>https://i.ibb.co/Y8HkNgJ/CLDB41-CTGOK.jpg</t>
        </is>
      </c>
      <c r="Y50" s="54" t="n"/>
      <c r="Z50" s="54" t="n">
        <v>699</v>
      </c>
      <c r="AA50" s="55">
        <f>IF(AND(A50="", B50="", E50=""), "", IF(AB50="", "Válido", IF((LEN(AB50)-LEN(SUBSTITUTE(AB50,"; ","")))/2+1&gt;(LEN(AB50)-LEN(SUBSTITUTE(AB50,"[Aviso]","")))/7, "Con Incidencias", "Válido")))</f>
        <v/>
      </c>
      <c r="AB50" s="56">
        <f>IF(AND(A50="", B50="", E50=""), "", TEXTJOIN("; ", TRUE, IF(OR(TRIM(A50&amp;"")="", ISNUMBER(SEARCH("FALTA", A50))), "UPC faltante/inválido", ""), IF(AND(A50&lt;&gt;"", IFERROR(_xlfn.XMATCH(A50,$A$2:$A$370,0,1)&lt;&gt;_xlfn.XMATCH(A50,$A$2:$A$370,0,-1),FALSE)), "Código de barras duplicado", ""), IF(AND(E50&lt;&gt;"", COUNTIF($E$2:$E$370, E50)&gt;1), "SKU duplicado", ""), IF(OR(J50="", J50=""), "[Aviso] División no capturada ()", IF(ISNA(MATCH(J50, Criterios!$A$123:$A$126, 0)), "División no válida", "")), IF(OR(K50="", K50=""), "[Aviso] Categoría no capturada ()", IF(ISNA(MATCH(K50, Criterios!$A$81:$A$120, 0)), "Categoría no válida", IF(AND(J50&lt;&gt;"", J50&lt;&gt;"", J50&lt;&gt;VLOOKUP(K50, Criterios!$A$81:$B$120, 2, FALSE)), "División no coincide con Categoría", ""))), IF(OR(L50="", L50=""), "[Aviso] Género no capturado ()", IF(ISNA(MATCH(L50, Criterios!$B$123:$B$127, 0)), "Género no válido", "")), IF(OR(N50="", N50=""), "[Aviso] Temporada no capturada ()", IF(ISNA(MATCH(N50, Criterios!$C$123:$C$128, 0)), "Temporada no válida", "")), IF(OR(O50="", O50=""), "[Aviso] Ciclo de vida no capturado ()", IF(ISNA(MATCH(O50, Criterios!$D$123:$D$124, 0)), "Ciclo de vida no válido", ""))))</f>
        <v/>
      </c>
      <c r="AC50" s="56" t="n"/>
      <c r="AD50" s="51" t="n">
        <v>79</v>
      </c>
      <c r="AE50" s="156" t="inlineStr">
        <is>
          <t>CL POS (4); CAPSLAB Warehouse (49); CL Muestras (1)</t>
        </is>
      </c>
      <c r="AF50" s="51" t="n">
        <v>79</v>
      </c>
      <c r="AG50" s="156" t="inlineStr">
        <is>
          <t>Nuevo – NetSuite con existencia</t>
        </is>
      </c>
      <c r="AH50" s="156" t="inlineStr">
        <is>
          <t>Composición CAPSLAB varía por modelo (50/50, 40/60 o 100% poliéster): validar etiqueta; Color por validar; Físico total NetSuite 79 ≠ suma por ubicación 54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50" s="156" t="inlineStr">
        <is>
          <t>No</t>
        </is>
      </c>
      <c r="AJ50" s="156" t="n"/>
      <c r="AK50" s="155" t="inlineStr">
        <is>
          <t>G1522ProductosTodosloscamposSandboxResults894.xlsx: fila 47637 [X]; G1522_Extraccion_Articulos_NetSuite_2026-09-30.xlsx: fila 30314 [Z]</t>
        </is>
      </c>
      <c r="AL50" s="58" t="n"/>
      <c r="AM50" s="58" t="n"/>
      <c r="AN50" s="155" t="n"/>
      <c r="AO50" s="59" t="n"/>
      <c r="AP50" s="59" t="n"/>
      <c r="AQ50" s="59" t="n"/>
      <c r="AR50" s="155" t="n"/>
    </row>
    <row r="51">
      <c r="A51" s="50" t="inlineStr">
        <is>
          <t>3614001184071</t>
        </is>
      </c>
      <c r="B51" s="51" t="inlineStr">
        <is>
          <t>57332</t>
        </is>
      </c>
      <c r="C51" s="156" t="inlineStr">
        <is>
          <t>CAPSLAB</t>
        </is>
      </c>
      <c r="D51" s="156" t="inlineStr">
        <is>
          <t>CL/DBS/1/ULT1</t>
        </is>
      </c>
      <c r="E51" s="156" t="inlineStr">
        <is>
          <t>CL/DBS/1/ULT1-UNI</t>
        </is>
      </c>
      <c r="F51" s="156" t="inlineStr">
        <is>
          <t>Talla única</t>
        </is>
      </c>
      <c r="G51" s="156" t="inlineStr">
        <is>
          <t>One Size</t>
        </is>
      </c>
      <c r="H51" s="156" t="inlineStr">
        <is>
          <t>CAPSLAB</t>
        </is>
      </c>
      <c r="I51" s="156" t="inlineStr">
        <is>
          <t>Gorra CAPSLAB Dragon Ball Super Azul</t>
        </is>
      </c>
      <c r="J51" s="156" t="inlineStr">
        <is>
          <t>Accesorios</t>
        </is>
      </c>
      <c r="K51" s="156" t="inlineStr">
        <is>
          <t>Gorras</t>
        </is>
      </c>
      <c r="L51" s="156" t="inlineStr">
        <is>
          <t>Unisex</t>
        </is>
      </c>
      <c r="M51" s="156" t="inlineStr">
        <is>
          <t>Dragon Ball Super</t>
        </is>
      </c>
      <c r="N51" s="156" t="n"/>
      <c r="O51" s="156" t="n"/>
      <c r="P51" s="156" t="inlineStr">
        <is>
          <t>Azul</t>
        </is>
      </c>
      <c r="Q51" s="156" t="n"/>
      <c r="R51" s="156" t="n"/>
      <c r="S51" s="156" t="inlineStr">
        <is>
          <t>Algodón / Poliéster</t>
        </is>
      </c>
      <c r="T51" s="156" t="inlineStr">
        <is>
          <t>Gorra de la marca CAPSLAB bajo licencia oficial Dragon Ball Super. Talla única ajustable. Estilo CL/DBS/1/ULT1.</t>
        </is>
      </c>
      <c r="U51" s="156" t="n"/>
      <c r="V51" s="156" t="inlineStr">
        <is>
          <t>PZS</t>
        </is>
      </c>
      <c r="W51" s="51" t="inlineStr">
        <is>
          <t>53102516</t>
        </is>
      </c>
      <c r="X51" s="156" t="inlineStr">
        <is>
          <t>https://7913364.app.netsuite.com/core/media/media.nl?id=188182&amp;c=7913364&amp;h=zemL3rxc7niypEmtkx3gYFJRgDfGBZH66RDqJXGC7islLG8l</t>
        </is>
      </c>
      <c r="Y51" s="54" t="n">
        <v>8.5</v>
      </c>
      <c r="Z51" s="54" t="n">
        <v>699</v>
      </c>
      <c r="AA51" s="55">
        <f>IF(AND(A51="", B51="", E51=""), "", IF(AB51="", "Válido", IF((LEN(AB51)-LEN(SUBSTITUTE(AB51,"; ","")))/2+1&gt;(LEN(AB51)-LEN(SUBSTITUTE(AB51,"[Aviso]","")))/7, "Con Incidencias", "Válido")))</f>
        <v/>
      </c>
      <c r="AB51" s="56">
        <f>IF(AND(A51="", B51="", E51=""), "", TEXTJOIN("; ", TRUE, IF(OR(TRIM(A51&amp;"")="", ISNUMBER(SEARCH("FALTA", A51))), "UPC faltante/inválido", ""), IF(AND(A51&lt;&gt;"", IFERROR(_xlfn.XMATCH(A51,$A$2:$A$370,0,1)&lt;&gt;_xlfn.XMATCH(A51,$A$2:$A$370,0,-1),FALSE)), "Código de barras duplicado", ""), IF(AND(E51&lt;&gt;"", COUNTIF($E$2:$E$370, E51)&gt;1), "SKU duplicado", ""), IF(OR(J51="", J51=""), "[Aviso] División no capturada ()", IF(ISNA(MATCH(J51, Criterios!$A$123:$A$126, 0)), "División no válida", "")), IF(OR(K51="", K51=""), "[Aviso] Categoría no capturada ()", IF(ISNA(MATCH(K51, Criterios!$A$81:$A$120, 0)), "Categoría no válida", IF(AND(J51&lt;&gt;"", J51&lt;&gt;"", J51&lt;&gt;VLOOKUP(K51, Criterios!$A$81:$B$120, 2, FALSE)), "División no coincide con Categoría", ""))), IF(OR(L51="", L51=""), "[Aviso] Género no capturado ()", IF(ISNA(MATCH(L51, Criterios!$B$123:$B$127, 0)), "Género no válido", "")), IF(OR(N51="", N51=""), "[Aviso] Temporada no capturada ()", IF(ISNA(MATCH(N51, Criterios!$C$123:$C$128, 0)), "Temporada no válida", "")), IF(OR(O51="", O51=""), "[Aviso] Ciclo de vida no capturado ()", IF(ISNA(MATCH(O51, Criterios!$D$123:$D$124, 0)), "Ciclo de vida no válido", ""))))</f>
        <v/>
      </c>
      <c r="AC51" s="56" t="n"/>
      <c r="AD51" s="51" t="n">
        <v>0</v>
      </c>
      <c r="AE51" s="156" t="n"/>
      <c r="AF51" s="51" t="n">
        <v>0</v>
      </c>
      <c r="AG51" s="156" t="inlineStr">
        <is>
          <t>Nuevo – NetSuite sin existencia</t>
        </is>
      </c>
      <c r="AH51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51" s="156" t="inlineStr">
        <is>
          <t>No</t>
        </is>
      </c>
      <c r="AJ51" s="156" t="n"/>
      <c r="AK51" s="155" t="inlineStr">
        <is>
          <t>G1522ProductosTodosloscamposSandboxResults894.xlsx: fila 47639 [Y]; G1522_Extraccion_Articulos_NetSuite_2026-09-30.xlsx: fila 20715 [Z]</t>
        </is>
      </c>
      <c r="AL51" s="58" t="n">
        <v>8.5</v>
      </c>
      <c r="AM51" s="58" t="n"/>
      <c r="AN51" s="155" t="n"/>
      <c r="AO51" s="59" t="n"/>
      <c r="AP51" s="59" t="n"/>
      <c r="AQ51" s="59" t="n"/>
      <c r="AR51" s="155" t="n"/>
    </row>
    <row r="52">
      <c r="A52" s="50" t="inlineStr">
        <is>
          <t>3614001184088</t>
        </is>
      </c>
      <c r="B52" s="51" t="inlineStr">
        <is>
          <t>69585</t>
        </is>
      </c>
      <c r="C52" s="156" t="inlineStr">
        <is>
          <t>CAPSLAB</t>
        </is>
      </c>
      <c r="D52" s="156" t="inlineStr">
        <is>
          <t>CL/DBS/1/ULT2</t>
        </is>
      </c>
      <c r="E52" s="156" t="inlineStr">
        <is>
          <t>CL/DBS/1/ULT2-UNI</t>
        </is>
      </c>
      <c r="F52" s="156" t="inlineStr">
        <is>
          <t>Talla única</t>
        </is>
      </c>
      <c r="G52" s="156" t="inlineStr">
        <is>
          <t>One Size</t>
        </is>
      </c>
      <c r="H52" s="156" t="inlineStr">
        <is>
          <t>CAPSLAB</t>
        </is>
      </c>
      <c r="I52" s="156" t="inlineStr">
        <is>
          <t>Gorra CAPSLAB Dragon Ball Saga</t>
        </is>
      </c>
      <c r="J52" s="156" t="inlineStr">
        <is>
          <t>Accesorios</t>
        </is>
      </c>
      <c r="K52" s="156" t="inlineStr">
        <is>
          <t>Gorras</t>
        </is>
      </c>
      <c r="L52" s="156" t="inlineStr">
        <is>
          <t>Unisex</t>
        </is>
      </c>
      <c r="M52" s="156" t="inlineStr">
        <is>
          <t>Dragon Ball Saga</t>
        </is>
      </c>
      <c r="N52" s="156" t="n"/>
      <c r="O52" s="156" t="n"/>
      <c r="P52" s="156" t="n"/>
      <c r="Q52" s="156" t="n"/>
      <c r="R52" s="156" t="n"/>
      <c r="S52" s="156" t="inlineStr">
        <is>
          <t>Algodón / Poliéster</t>
        </is>
      </c>
      <c r="T52" s="156" t="inlineStr">
        <is>
          <t>Gorra de la marca CAPSLAB bajo licencia oficial Dragon Ball Saga. Talla única ajustable. Estilo CL/DBS/1/ULT2.</t>
        </is>
      </c>
      <c r="U52" s="156" t="n"/>
      <c r="V52" s="156" t="inlineStr">
        <is>
          <t>PZS</t>
        </is>
      </c>
      <c r="W52" s="51" t="inlineStr">
        <is>
          <t>53102516</t>
        </is>
      </c>
      <c r="X52" s="156" t="inlineStr">
        <is>
          <t>https://i.ibb.co/ynWJX3g/CLDBS1-ULT2.jpg</t>
        </is>
      </c>
      <c r="Y52" s="54" t="n"/>
      <c r="Z52" s="54" t="n">
        <v>699</v>
      </c>
      <c r="AA52" s="55">
        <f>IF(AND(A52="", B52="", E52=""), "", IF(AB52="", "Válido", IF((LEN(AB52)-LEN(SUBSTITUTE(AB52,"; ","")))/2+1&gt;(LEN(AB52)-LEN(SUBSTITUTE(AB52,"[Aviso]","")))/7, "Con Incidencias", "Válido")))</f>
        <v/>
      </c>
      <c r="AB52" s="56">
        <f>IF(AND(A52="", B52="", E52=""), "", TEXTJOIN("; ", TRUE, IF(OR(TRIM(A52&amp;"")="", ISNUMBER(SEARCH("FALTA", A52))), "UPC faltante/inválido", ""), IF(AND(A52&lt;&gt;"", IFERROR(_xlfn.XMATCH(A52,$A$2:$A$370,0,1)&lt;&gt;_xlfn.XMATCH(A52,$A$2:$A$370,0,-1),FALSE)), "Código de barras duplicado", ""), IF(AND(E52&lt;&gt;"", COUNTIF($E$2:$E$370, E52)&gt;1), "SKU duplicado", ""), IF(OR(J52="", J52=""), "[Aviso] División no capturada ()", IF(ISNA(MATCH(J52, Criterios!$A$123:$A$126, 0)), "División no válida", "")), IF(OR(K52="", K52=""), "[Aviso] Categoría no capturada ()", IF(ISNA(MATCH(K52, Criterios!$A$81:$A$120, 0)), "Categoría no válida", IF(AND(J52&lt;&gt;"", J52&lt;&gt;"", J52&lt;&gt;VLOOKUP(K52, Criterios!$A$81:$B$120, 2, FALSE)), "División no coincide con Categoría", ""))), IF(OR(L52="", L52=""), "[Aviso] Género no capturado ()", IF(ISNA(MATCH(L52, Criterios!$B$123:$B$127, 0)), "Género no válido", "")), IF(OR(N52="", N52=""), "[Aviso] Temporada no capturada ()", IF(ISNA(MATCH(N52, Criterios!$C$123:$C$128, 0)), "Temporada no válida", "")), IF(OR(O52="", O52=""), "[Aviso] Ciclo de vida no capturado ()", IF(ISNA(MATCH(O52, Criterios!$D$123:$D$124, 0)), "Ciclo de vida no válido", ""))))</f>
        <v/>
      </c>
      <c r="AC52" s="56" t="n"/>
      <c r="AD52" s="51" t="n">
        <v>59</v>
      </c>
      <c r="AE52" s="156" t="inlineStr">
        <is>
          <t>CL Muestras (3); CL POS (4); CAPSLAB Warehouse (31)</t>
        </is>
      </c>
      <c r="AF52" s="51" t="n">
        <v>59</v>
      </c>
      <c r="AG52" s="156" t="inlineStr">
        <is>
          <t>Nuevo – NetSuite con existencia</t>
        </is>
      </c>
      <c r="AH52" s="156" t="inlineStr">
        <is>
          <t>Composición CAPSLAB varía por modelo (50/50, 40/60 o 100% poliéster): validar etiqueta; Color por validar; Físico total NetSuite 59 ≠ suma por ubicación 38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52" s="156" t="inlineStr">
        <is>
          <t>No</t>
        </is>
      </c>
      <c r="AJ52" s="156" t="n"/>
      <c r="AK52" s="155" t="inlineStr">
        <is>
          <t>G1522ProductosTodosloscamposSandboxResults894.xlsx: fila 47641 [X]; G1522_Extraccion_Articulos_NetSuite_2026-09-30.xlsx: fila 30315 [Z]</t>
        </is>
      </c>
      <c r="AL52" s="58" t="n"/>
      <c r="AM52" s="58" t="n"/>
      <c r="AN52" s="155" t="n"/>
      <c r="AO52" s="59" t="n"/>
      <c r="AP52" s="59" t="n"/>
      <c r="AQ52" s="59" t="n"/>
      <c r="AR52" s="155" t="n"/>
    </row>
    <row r="53">
      <c r="A53" s="50" t="inlineStr">
        <is>
          <t>3614001184101</t>
        </is>
      </c>
      <c r="B53" s="51" t="inlineStr">
        <is>
          <t>69586</t>
        </is>
      </c>
      <c r="C53" s="156" t="inlineStr">
        <is>
          <t>CAPSLAB</t>
        </is>
      </c>
      <c r="D53" s="156" t="inlineStr">
        <is>
          <t>CL/DBS/1/ULT4</t>
        </is>
      </c>
      <c r="E53" s="156" t="inlineStr">
        <is>
          <t>CL/DBS/1/ULT4-UNI</t>
        </is>
      </c>
      <c r="F53" s="156" t="inlineStr">
        <is>
          <t>Talla única</t>
        </is>
      </c>
      <c r="G53" s="156" t="inlineStr">
        <is>
          <t>One Size</t>
        </is>
      </c>
      <c r="H53" s="156" t="inlineStr">
        <is>
          <t>CAPSLAB</t>
        </is>
      </c>
      <c r="I53" s="156" t="inlineStr">
        <is>
          <t>Gorra CAPSLAB Dragon Ball Saga</t>
        </is>
      </c>
      <c r="J53" s="156" t="inlineStr">
        <is>
          <t>Accesorios</t>
        </is>
      </c>
      <c r="K53" s="156" t="inlineStr">
        <is>
          <t>Gorras</t>
        </is>
      </c>
      <c r="L53" s="156" t="inlineStr">
        <is>
          <t>Unisex</t>
        </is>
      </c>
      <c r="M53" s="156" t="inlineStr">
        <is>
          <t>Dragon Ball Saga</t>
        </is>
      </c>
      <c r="N53" s="156" t="n"/>
      <c r="O53" s="156" t="n"/>
      <c r="P53" s="156" t="n"/>
      <c r="Q53" s="156" t="n"/>
      <c r="R53" s="156" t="n"/>
      <c r="S53" s="156" t="inlineStr">
        <is>
          <t>Algodón / Poliéster</t>
        </is>
      </c>
      <c r="T53" s="156" t="inlineStr">
        <is>
          <t>Gorra de la marca CAPSLAB bajo licencia oficial Dragon Ball Saga. Talla única ajustable. Estilo CL/DBS/1/ULT4.</t>
        </is>
      </c>
      <c r="U53" s="156" t="n"/>
      <c r="V53" s="156" t="inlineStr">
        <is>
          <t>PZS</t>
        </is>
      </c>
      <c r="W53" s="51" t="inlineStr">
        <is>
          <t>53102516</t>
        </is>
      </c>
      <c r="X53" s="156" t="inlineStr">
        <is>
          <t>https://i.ibb.co/QQHGQ1T/CLDBS1-ULT4.jpg</t>
        </is>
      </c>
      <c r="Y53" s="54" t="n"/>
      <c r="Z53" s="54" t="n">
        <v>699</v>
      </c>
      <c r="AA53" s="55">
        <f>IF(AND(A53="", B53="", E53=""), "", IF(AB53="", "Válido", IF((LEN(AB53)-LEN(SUBSTITUTE(AB53,"; ","")))/2+1&gt;(LEN(AB53)-LEN(SUBSTITUTE(AB53,"[Aviso]","")))/7, "Con Incidencias", "Válido")))</f>
        <v/>
      </c>
      <c r="AB53" s="56">
        <f>IF(AND(A53="", B53="", E53=""), "", TEXTJOIN("; ", TRUE, IF(OR(TRIM(A53&amp;"")="", ISNUMBER(SEARCH("FALTA", A53))), "UPC faltante/inválido", ""), IF(AND(A53&lt;&gt;"", IFERROR(_xlfn.XMATCH(A53,$A$2:$A$370,0,1)&lt;&gt;_xlfn.XMATCH(A53,$A$2:$A$370,0,-1),FALSE)), "Código de barras duplicado", ""), IF(AND(E53&lt;&gt;"", COUNTIF($E$2:$E$370, E53)&gt;1), "SKU duplicado", ""), IF(OR(J53="", J53=""), "[Aviso] División no capturada ()", IF(ISNA(MATCH(J53, Criterios!$A$123:$A$126, 0)), "División no válida", "")), IF(OR(K53="", K53=""), "[Aviso] Categoría no capturada ()", IF(ISNA(MATCH(K53, Criterios!$A$81:$A$120, 0)), "Categoría no válida", IF(AND(J53&lt;&gt;"", J53&lt;&gt;"", J53&lt;&gt;VLOOKUP(K53, Criterios!$A$81:$B$120, 2, FALSE)), "División no coincide con Categoría", ""))), IF(OR(L53="", L53=""), "[Aviso] Género no capturado ()", IF(ISNA(MATCH(L53, Criterios!$B$123:$B$127, 0)), "Género no válido", "")), IF(OR(N53="", N53=""), "[Aviso] Temporada no capturada ()", IF(ISNA(MATCH(N53, Criterios!$C$123:$C$128, 0)), "Temporada no válida", "")), IF(OR(O53="", O53=""), "[Aviso] Ciclo de vida no capturado ()", IF(ISNA(MATCH(O53, Criterios!$D$123:$D$124, 0)), "Ciclo de vida no válido", ""))))</f>
        <v/>
      </c>
      <c r="AC53" s="56" t="n"/>
      <c r="AD53" s="51" t="n">
        <v>0</v>
      </c>
      <c r="AE53" s="156" t="n"/>
      <c r="AF53" s="51" t="n">
        <v>0</v>
      </c>
      <c r="AG53" s="156" t="inlineStr">
        <is>
          <t>Nuevo – NetSuite sin existencia</t>
        </is>
      </c>
      <c r="AH53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53" s="156" t="inlineStr">
        <is>
          <t>No</t>
        </is>
      </c>
      <c r="AJ53" s="156" t="n"/>
      <c r="AK53" s="155" t="inlineStr">
        <is>
          <t>G1522ProductosTodosloscamposSandboxResults894.xlsx: fila 47643 [X]; G1522_Extraccion_Articulos_NetSuite_2026-09-30.xlsx: fila 30316 [Z]</t>
        </is>
      </c>
      <c r="AL53" s="58" t="n"/>
      <c r="AM53" s="58" t="n"/>
      <c r="AN53" s="155" t="n"/>
      <c r="AO53" s="59" t="n"/>
      <c r="AP53" s="59" t="n"/>
      <c r="AQ53" s="59" t="n"/>
      <c r="AR53" s="155" t="n"/>
    </row>
    <row r="54">
      <c r="A54" s="50" t="inlineStr">
        <is>
          <t>3614001184118</t>
        </is>
      </c>
      <c r="B54" s="51" t="inlineStr">
        <is>
          <t>69587</t>
        </is>
      </c>
      <c r="C54" s="156" t="inlineStr">
        <is>
          <t>CAPSLAB</t>
        </is>
      </c>
      <c r="D54" s="156" t="inlineStr">
        <is>
          <t>CL/DBS/3/ULT1</t>
        </is>
      </c>
      <c r="E54" s="156" t="inlineStr">
        <is>
          <t>CL/DBS/3/ULT1-UNIJR</t>
        </is>
      </c>
      <c r="F54" s="156" t="inlineStr">
        <is>
          <t>Talla única</t>
        </is>
      </c>
      <c r="G54" s="156" t="inlineStr">
        <is>
          <t>One Size</t>
        </is>
      </c>
      <c r="H54" s="156" t="inlineStr">
        <is>
          <t>CAPSLAB</t>
        </is>
      </c>
      <c r="I54" s="156" t="inlineStr">
        <is>
          <t>Gorra CAPSLAB Dragon Ball Saga</t>
        </is>
      </c>
      <c r="J54" s="156" t="inlineStr">
        <is>
          <t>Accesorios</t>
        </is>
      </c>
      <c r="K54" s="156" t="inlineStr">
        <is>
          <t>Gorras</t>
        </is>
      </c>
      <c r="L54" s="156" t="inlineStr">
        <is>
          <t>Niño</t>
        </is>
      </c>
      <c r="M54" s="156" t="inlineStr">
        <is>
          <t>Dragon Ball Saga</t>
        </is>
      </c>
      <c r="N54" s="156" t="n"/>
      <c r="O54" s="156" t="n"/>
      <c r="P54" s="156" t="n"/>
      <c r="Q54" s="156" t="n"/>
      <c r="R54" s="156" t="n"/>
      <c r="S54" s="156" t="inlineStr">
        <is>
          <t>Algodón / Poliéster</t>
        </is>
      </c>
      <c r="T54" s="156" t="inlineStr">
        <is>
          <t>Gorra de la marca CAPSLAB bajo licencia oficial Dragon Ball Saga. Talla única ajustable. Estilo CL/DBS/3/ULT1.</t>
        </is>
      </c>
      <c r="U54" s="156" t="n"/>
      <c r="V54" s="156" t="inlineStr">
        <is>
          <t>PZS</t>
        </is>
      </c>
      <c r="W54" s="51" t="inlineStr">
        <is>
          <t>53102516</t>
        </is>
      </c>
      <c r="X54" s="156" t="inlineStr">
        <is>
          <t>https://i.ibb.co/rk6Z7rX/CLDBS3-ULT1.jpg</t>
        </is>
      </c>
      <c r="Y54" s="54" t="n"/>
      <c r="Z54" s="54" t="n">
        <v>699</v>
      </c>
      <c r="AA54" s="55">
        <f>IF(AND(A54="", B54="", E54=""), "", IF(AB54="", "Válido", IF((LEN(AB54)-LEN(SUBSTITUTE(AB54,"; ","")))/2+1&gt;(LEN(AB54)-LEN(SUBSTITUTE(AB54,"[Aviso]","")))/7, "Con Incidencias", "Válido")))</f>
        <v/>
      </c>
      <c r="AB54" s="56">
        <f>IF(AND(A54="", B54="", E54=""), "", TEXTJOIN("; ", TRUE, IF(OR(TRIM(A54&amp;"")="", ISNUMBER(SEARCH("FALTA", A54))), "UPC faltante/inválido", ""), IF(AND(A54&lt;&gt;"", IFERROR(_xlfn.XMATCH(A54,$A$2:$A$370,0,1)&lt;&gt;_xlfn.XMATCH(A54,$A$2:$A$370,0,-1),FALSE)), "Código de barras duplicado", ""), IF(AND(E54&lt;&gt;"", COUNTIF($E$2:$E$370, E54)&gt;1), "SKU duplicado", ""), IF(OR(J54="", J54=""), "[Aviso] División no capturada ()", IF(ISNA(MATCH(J54, Criterios!$A$123:$A$126, 0)), "División no válida", "")), IF(OR(K54="", K54=""), "[Aviso] Categoría no capturada ()", IF(ISNA(MATCH(K54, Criterios!$A$81:$A$120, 0)), "Categoría no válida", IF(AND(J54&lt;&gt;"", J54&lt;&gt;"", J54&lt;&gt;VLOOKUP(K54, Criterios!$A$81:$B$120, 2, FALSE)), "División no coincide con Categoría", ""))), IF(OR(L54="", L54=""), "[Aviso] Género no capturado ()", IF(ISNA(MATCH(L54, Criterios!$B$123:$B$127, 0)), "Género no válido", "")), IF(OR(N54="", N54=""), "[Aviso] Temporada no capturada ()", IF(ISNA(MATCH(N54, Criterios!$C$123:$C$128, 0)), "Temporada no válida", "")), IF(OR(O54="", O54=""), "[Aviso] Ciclo de vida no capturado ()", IF(ISNA(MATCH(O54, Criterios!$D$123:$D$124, 0)), "Ciclo de vida no válido", ""))))</f>
        <v/>
      </c>
      <c r="AC54" s="56" t="n"/>
      <c r="AD54" s="51" t="n">
        <v>120</v>
      </c>
      <c r="AE54" s="156" t="inlineStr">
        <is>
          <t>CAPSLAB Warehouse (60); CL Muestras (1)</t>
        </is>
      </c>
      <c r="AF54" s="51" t="n">
        <v>119</v>
      </c>
      <c r="AG54" s="156" t="inlineStr">
        <is>
          <t>Nuevo – NetSuite con existencia</t>
        </is>
      </c>
      <c r="AH54" s="156" t="inlineStr">
        <is>
          <t>Composición CAPSLAB varía por modelo (50/50, 40/60 o 100% poliéster): validar etiqueta; Talla: Talla infantil (JR) (origen «UNI JR»); Color por validar; Físico total NetSuite 120 ≠ suma por ubicación 61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54" s="156" t="inlineStr">
        <is>
          <t>No</t>
        </is>
      </c>
      <c r="AJ54" s="156" t="n"/>
      <c r="AK54" s="155" t="inlineStr">
        <is>
          <t>G1522ProductosTodosloscamposSandboxResults894.xlsx: fila 47645 [X]; G1522_Extraccion_Articulos_NetSuite_2026-09-30.xlsx: fila 30317 [Z]</t>
        </is>
      </c>
      <c r="AL54" s="58" t="n"/>
      <c r="AM54" s="58" t="n"/>
      <c r="AN54" s="155" t="n"/>
      <c r="AO54" s="59" t="n"/>
      <c r="AP54" s="59" t="n"/>
      <c r="AQ54" s="59" t="n"/>
      <c r="AR54" s="155" t="n"/>
    </row>
    <row r="55">
      <c r="A55" s="50" t="inlineStr">
        <is>
          <t>3614001184125</t>
        </is>
      </c>
      <c r="B55" s="51" t="inlineStr">
        <is>
          <t>57333</t>
        </is>
      </c>
      <c r="C55" s="156" t="inlineStr">
        <is>
          <t>CAPSLAB</t>
        </is>
      </c>
      <c r="D55" s="156" t="inlineStr">
        <is>
          <t>CL/DBS/3/ULT2</t>
        </is>
      </c>
      <c r="E55" s="156" t="inlineStr">
        <is>
          <t>CL/DBS/3/ULT2-UNI</t>
        </is>
      </c>
      <c r="F55" s="156" t="inlineStr">
        <is>
          <t>Talla única</t>
        </is>
      </c>
      <c r="G55" s="156" t="inlineStr">
        <is>
          <t>One Size</t>
        </is>
      </c>
      <c r="H55" s="156" t="inlineStr">
        <is>
          <t>CAPSLAB</t>
        </is>
      </c>
      <c r="I55" s="156" t="inlineStr">
        <is>
          <t>Gorra CAPSLAB Dragon Ball Super Negro</t>
        </is>
      </c>
      <c r="J55" s="156" t="inlineStr">
        <is>
          <t>Accesorios</t>
        </is>
      </c>
      <c r="K55" s="156" t="inlineStr">
        <is>
          <t>Gorras</t>
        </is>
      </c>
      <c r="L55" s="156" t="inlineStr">
        <is>
          <t>Unisex</t>
        </is>
      </c>
      <c r="M55" s="156" t="inlineStr">
        <is>
          <t>Dragon Ball Super</t>
        </is>
      </c>
      <c r="N55" s="156" t="n"/>
      <c r="O55" s="156" t="n"/>
      <c r="P55" s="156" t="inlineStr">
        <is>
          <t>Negro</t>
        </is>
      </c>
      <c r="Q55" s="156" t="n"/>
      <c r="R55" s="156" t="n"/>
      <c r="S55" s="156" t="inlineStr">
        <is>
          <t>Algodón / Poliéster</t>
        </is>
      </c>
      <c r="T55" s="156" t="inlineStr">
        <is>
          <t>Gorra de la marca CAPSLAB bajo licencia oficial Dragon Ball Super. Talla única ajustable. Estilo CL/DBS/3/ULT2.</t>
        </is>
      </c>
      <c r="U55" s="156" t="n"/>
      <c r="V55" s="156" t="inlineStr">
        <is>
          <t>PZS</t>
        </is>
      </c>
      <c r="W55" s="51" t="inlineStr">
        <is>
          <t>53102516</t>
        </is>
      </c>
      <c r="X55" s="156" t="inlineStr">
        <is>
          <t>https://7913364.app.netsuite.com/core/media/media.nl?id=188183&amp;c=7913364&amp;h=UeFS-O9j7lfo1MULSvOI1RR32F0IUJezptS9ks0ggZikA3Dl</t>
        </is>
      </c>
      <c r="Y55" s="54" t="n">
        <v>8.5</v>
      </c>
      <c r="Z55" s="54" t="n">
        <v>699</v>
      </c>
      <c r="AA55" s="55">
        <f>IF(AND(A55="", B55="", E55=""), "", IF(AB55="", "Válido", IF((LEN(AB55)-LEN(SUBSTITUTE(AB55,"; ","")))/2+1&gt;(LEN(AB55)-LEN(SUBSTITUTE(AB55,"[Aviso]","")))/7, "Con Incidencias", "Válido")))</f>
        <v/>
      </c>
      <c r="AB55" s="56">
        <f>IF(AND(A55="", B55="", E55=""), "", TEXTJOIN("; ", TRUE, IF(OR(TRIM(A55&amp;"")="", ISNUMBER(SEARCH("FALTA", A55))), "UPC faltante/inválido", ""), IF(AND(A55&lt;&gt;"", IFERROR(_xlfn.XMATCH(A55,$A$2:$A$370,0,1)&lt;&gt;_xlfn.XMATCH(A55,$A$2:$A$370,0,-1),FALSE)), "Código de barras duplicado", ""), IF(AND(E55&lt;&gt;"", COUNTIF($E$2:$E$370, E55)&gt;1), "SKU duplicado", ""), IF(OR(J55="", J55=""), "[Aviso] División no capturada ()", IF(ISNA(MATCH(J55, Criterios!$A$123:$A$126, 0)), "División no válida", "")), IF(OR(K55="", K55=""), "[Aviso] Categoría no capturada ()", IF(ISNA(MATCH(K55, Criterios!$A$81:$A$120, 0)), "Categoría no válida", IF(AND(J55&lt;&gt;"", J55&lt;&gt;"", J55&lt;&gt;VLOOKUP(K55, Criterios!$A$81:$B$120, 2, FALSE)), "División no coincide con Categoría", ""))), IF(OR(L55="", L55=""), "[Aviso] Género no capturado ()", IF(ISNA(MATCH(L55, Criterios!$B$123:$B$127, 0)), "Género no válido", "")), IF(OR(N55="", N55=""), "[Aviso] Temporada no capturada ()", IF(ISNA(MATCH(N55, Criterios!$C$123:$C$128, 0)), "Temporada no válida", "")), IF(OR(O55="", O55=""), "[Aviso] Ciclo de vida no capturado ()", IF(ISNA(MATCH(O55, Criterios!$D$123:$D$124, 0)), "Ciclo de vida no válido", ""))))</f>
        <v/>
      </c>
      <c r="AC55" s="56" t="n"/>
      <c r="AD55" s="51" t="n">
        <v>0</v>
      </c>
      <c r="AE55" s="156" t="n"/>
      <c r="AF55" s="51" t="n">
        <v>0</v>
      </c>
      <c r="AG55" s="156" t="inlineStr">
        <is>
          <t>Nuevo – NetSuite sin existencia</t>
        </is>
      </c>
      <c r="AH5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55" s="156" t="inlineStr">
        <is>
          <t>No</t>
        </is>
      </c>
      <c r="AJ55" s="156" t="n"/>
      <c r="AK55" s="155" t="inlineStr">
        <is>
          <t>G1522ProductosTodosloscamposSandboxResults894.xlsx: fila 47647 [Y]; G1522_Extraccion_Articulos_NetSuite_2026-09-30.xlsx: fila 20716 [Z]</t>
        </is>
      </c>
      <c r="AL55" s="58" t="n">
        <v>8.5</v>
      </c>
      <c r="AM55" s="58" t="n"/>
      <c r="AN55" s="155" t="n"/>
      <c r="AO55" s="59" t="n"/>
      <c r="AP55" s="59" t="n"/>
      <c r="AQ55" s="59" t="n"/>
      <c r="AR55" s="155" t="n"/>
    </row>
    <row r="56">
      <c r="A56" s="50" t="inlineStr">
        <is>
          <t>3614001184132</t>
        </is>
      </c>
      <c r="B56" s="51" t="inlineStr">
        <is>
          <t>57334</t>
        </is>
      </c>
      <c r="C56" s="156" t="inlineStr">
        <is>
          <t>CAPSLAB</t>
        </is>
      </c>
      <c r="D56" s="156" t="inlineStr">
        <is>
          <t>CL/DBS/3/ULT4</t>
        </is>
      </c>
      <c r="E56" s="156" t="inlineStr">
        <is>
          <t>CL/DBS/3/ULT4-UNIJR</t>
        </is>
      </c>
      <c r="F56" s="156" t="inlineStr">
        <is>
          <t>Talla única</t>
        </is>
      </c>
      <c r="G56" s="156" t="inlineStr">
        <is>
          <t>One Size</t>
        </is>
      </c>
      <c r="H56" s="156" t="inlineStr">
        <is>
          <t>CAPSLAB</t>
        </is>
      </c>
      <c r="I56" s="156" t="inlineStr">
        <is>
          <t>Gorra CAPSLAB Dragon Ball Super Negro</t>
        </is>
      </c>
      <c r="J56" s="156" t="inlineStr">
        <is>
          <t>Accesorios</t>
        </is>
      </c>
      <c r="K56" s="156" t="inlineStr">
        <is>
          <t>Gorras</t>
        </is>
      </c>
      <c r="L56" s="156" t="inlineStr">
        <is>
          <t>Niño</t>
        </is>
      </c>
      <c r="M56" s="156" t="inlineStr">
        <is>
          <t>Dragon Ball Super</t>
        </is>
      </c>
      <c r="N56" s="156" t="n"/>
      <c r="O56" s="156" t="n"/>
      <c r="P56" s="156" t="inlineStr">
        <is>
          <t>Negro</t>
        </is>
      </c>
      <c r="Q56" s="156" t="n"/>
      <c r="R56" s="156" t="n"/>
      <c r="S56" s="156" t="inlineStr">
        <is>
          <t>Algodón / Poliéster</t>
        </is>
      </c>
      <c r="T56" s="156" t="inlineStr">
        <is>
          <t>Gorra de la marca CAPSLAB bajo licencia oficial Dragon Ball Super. Talla única ajustable. Estilo CL/DBS/3/ULT4.</t>
        </is>
      </c>
      <c r="U56" s="156" t="n"/>
      <c r="V56" s="156" t="inlineStr">
        <is>
          <t>PZS</t>
        </is>
      </c>
      <c r="W56" s="51" t="inlineStr">
        <is>
          <t>53102516</t>
        </is>
      </c>
      <c r="X56" s="156" t="inlineStr">
        <is>
          <t>https://7913364.app.netsuite.com/core/media/media.nl?id=188184&amp;c=7913364&amp;h=zexLoZII-6QCACg8G-m4hm-P-arckrmWcY880HowbVq5FFnY</t>
        </is>
      </c>
      <c r="Y56" s="54" t="n">
        <v>8.5</v>
      </c>
      <c r="Z56" s="54" t="n">
        <v>699</v>
      </c>
      <c r="AA56" s="55">
        <f>IF(AND(A56="", B56="", E56=""), "", IF(AB56="", "Válido", IF((LEN(AB56)-LEN(SUBSTITUTE(AB56,"; ","")))/2+1&gt;(LEN(AB56)-LEN(SUBSTITUTE(AB56,"[Aviso]","")))/7, "Con Incidencias", "Válido")))</f>
        <v/>
      </c>
      <c r="AB56" s="56">
        <f>IF(AND(A56="", B56="", E56=""), "", TEXTJOIN("; ", TRUE, IF(OR(TRIM(A56&amp;"")="", ISNUMBER(SEARCH("FALTA", A56))), "UPC faltante/inválido", ""), IF(AND(A56&lt;&gt;"", IFERROR(_xlfn.XMATCH(A56,$A$2:$A$370,0,1)&lt;&gt;_xlfn.XMATCH(A56,$A$2:$A$370,0,-1),FALSE)), "Código de barras duplicado", ""), IF(AND(E56&lt;&gt;"", COUNTIF($E$2:$E$370, E56)&gt;1), "SKU duplicado", ""), IF(OR(J56="", J56=""), "[Aviso] División no capturada ()", IF(ISNA(MATCH(J56, Criterios!$A$123:$A$126, 0)), "División no válida", "")), IF(OR(K56="", K56=""), "[Aviso] Categoría no capturada ()", IF(ISNA(MATCH(K56, Criterios!$A$81:$A$120, 0)), "Categoría no válida", IF(AND(J56&lt;&gt;"", J56&lt;&gt;"", J56&lt;&gt;VLOOKUP(K56, Criterios!$A$81:$B$120, 2, FALSE)), "División no coincide con Categoría", ""))), IF(OR(L56="", L56=""), "[Aviso] Género no capturado ()", IF(ISNA(MATCH(L56, Criterios!$B$123:$B$127, 0)), "Género no válido", "")), IF(OR(N56="", N56=""), "[Aviso] Temporada no capturada ()", IF(ISNA(MATCH(N56, Criterios!$C$123:$C$128, 0)), "Temporada no válida", "")), IF(OR(O56="", O56=""), "[Aviso] Ciclo de vida no capturado ()", IF(ISNA(MATCH(O56, Criterios!$D$123:$D$124, 0)), "Ciclo de vida no válido", ""))))</f>
        <v/>
      </c>
      <c r="AC56" s="56" t="n"/>
      <c r="AD56" s="51" t="n">
        <v>101</v>
      </c>
      <c r="AE56" s="156" t="inlineStr">
        <is>
          <t>CL POS (4); Web (3); CL Muestras (2); CAPSLAB Warehouse (56)</t>
        </is>
      </c>
      <c r="AF56" s="51" t="n">
        <v>100</v>
      </c>
      <c r="AG56" s="156" t="inlineStr">
        <is>
          <t>Nuevo – NetSuite con existencia</t>
        </is>
      </c>
      <c r="AH56" s="156" t="inlineStr">
        <is>
          <t>Composición CAPSLAB varía por modelo (50/50, 40/60 o 100% poliéster): validar etiqueta; Talla: Talla infantil (JR) (origen «UNI JR»); Físico total NetSuite 101 ≠ suma por ubicación 65 | Revisión 29/09/2026: Talla fuente Talla única sin equivalencia exacta en Criterios para Talla Niño (numérica);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56" s="156" t="inlineStr">
        <is>
          <t>No</t>
        </is>
      </c>
      <c r="AJ56" s="156" t="n"/>
      <c r="AK56" s="155" t="inlineStr">
        <is>
          <t>G1522ProductosTodosloscamposSandboxResults894.xlsx: fila 47649 [Y]; G1522_Extraccion_Articulos_NetSuite_2026-09-30.xlsx: fila 20717 [Z]</t>
        </is>
      </c>
      <c r="AL56" s="58" t="n">
        <v>8.5</v>
      </c>
      <c r="AM56" s="58" t="n"/>
      <c r="AN56" s="155" t="n"/>
      <c r="AO56" s="59" t="n"/>
      <c r="AP56" s="59" t="n"/>
      <c r="AQ56" s="59" t="n"/>
      <c r="AR56" s="155" t="n"/>
    </row>
    <row r="57">
      <c r="A57" s="50" t="inlineStr">
        <is>
          <t>3614001296804</t>
        </is>
      </c>
      <c r="B57" s="51" t="inlineStr">
        <is>
          <t>57335</t>
        </is>
      </c>
      <c r="C57" s="156" t="inlineStr">
        <is>
          <t>CAPSLAB</t>
        </is>
      </c>
      <c r="D57" s="156" t="inlineStr">
        <is>
          <t>CL/DBS/TAG/1/FRE</t>
        </is>
      </c>
      <c r="E57" s="156" t="inlineStr">
        <is>
          <t>CL/DBS/TAG/1/FRE-UNIJR</t>
        </is>
      </c>
      <c r="F57" s="156" t="inlineStr">
        <is>
          <t>Talla única</t>
        </is>
      </c>
      <c r="G57" s="156" t="inlineStr">
        <is>
          <t>One Size</t>
        </is>
      </c>
      <c r="H57" s="156" t="inlineStr">
        <is>
          <t>CAPSLAB</t>
        </is>
      </c>
      <c r="I57" s="156" t="inlineStr">
        <is>
          <t>Gorra CAPSLAB Dragon Ball Super Freezer Menta</t>
        </is>
      </c>
      <c r="J57" s="156" t="inlineStr">
        <is>
          <t>Accesorios</t>
        </is>
      </c>
      <c r="K57" s="156" t="inlineStr">
        <is>
          <t>Gorras</t>
        </is>
      </c>
      <c r="L57" s="156" t="inlineStr">
        <is>
          <t>Niño</t>
        </is>
      </c>
      <c r="M57" s="156" t="inlineStr">
        <is>
          <t>Dragon Ball Super</t>
        </is>
      </c>
      <c r="N57" s="156" t="n"/>
      <c r="O57" s="156" t="n"/>
      <c r="P57" s="156" t="n"/>
      <c r="Q57" s="156" t="n"/>
      <c r="R57" s="156" t="n"/>
      <c r="S57" s="156" t="inlineStr">
        <is>
          <t>Algodón / Poliéster</t>
        </is>
      </c>
      <c r="T57" s="156" t="inlineStr">
        <is>
          <t>Gorra de la marca CAPSLAB bajo licencia oficial Dragon Ball Super, personaje Freezer. Talla única ajustable. Estilo CL/DBS/TAG/1/FRE.</t>
        </is>
      </c>
      <c r="U57" s="156" t="n"/>
      <c r="V57" s="156" t="inlineStr">
        <is>
          <t>PZS</t>
        </is>
      </c>
      <c r="W57" s="51" t="inlineStr">
        <is>
          <t>53102516</t>
        </is>
      </c>
      <c r="X57" s="156" t="inlineStr">
        <is>
          <t>https://7913364.app.netsuite.com/core/media/media.nl?id=188186&amp;c=7913364&amp;h=qI9KFefvirJQ0EGiLt1L-snSCrgwzXISU6rCp_I1Wkerrzl5</t>
        </is>
      </c>
      <c r="Y57" s="54" t="n">
        <v>8.5</v>
      </c>
      <c r="Z57" s="54" t="n">
        <v>699</v>
      </c>
      <c r="AA57" s="55">
        <f>IF(AND(A57="", B57="", E57=""), "", IF(AB57="", "Válido", IF((LEN(AB57)-LEN(SUBSTITUTE(AB57,"; ","")))/2+1&gt;(LEN(AB57)-LEN(SUBSTITUTE(AB57,"[Aviso]","")))/7, "Con Incidencias", "Válido")))</f>
        <v/>
      </c>
      <c r="AB57" s="56">
        <f>IF(AND(A57="", B57="", E57=""), "", TEXTJOIN("; ", TRUE, IF(OR(TRIM(A57&amp;"")="", ISNUMBER(SEARCH("FALTA", A57))), "UPC faltante/inválido", ""), IF(AND(A57&lt;&gt;"", IFERROR(_xlfn.XMATCH(A57,$A$2:$A$370,0,1)&lt;&gt;_xlfn.XMATCH(A57,$A$2:$A$370,0,-1),FALSE)), "Código de barras duplicado", ""), IF(AND(E57&lt;&gt;"", COUNTIF($E$2:$E$370, E57)&gt;1), "SKU duplicado", ""), IF(OR(J57="", J57=""), "[Aviso] División no capturada ()", IF(ISNA(MATCH(J57, Criterios!$A$123:$A$126, 0)), "División no válida", "")), IF(OR(K57="", K57=""), "[Aviso] Categoría no capturada ()", IF(ISNA(MATCH(K57, Criterios!$A$81:$A$120, 0)), "Categoría no válida", IF(AND(J57&lt;&gt;"", J57&lt;&gt;"", J57&lt;&gt;VLOOKUP(K57, Criterios!$A$81:$B$120, 2, FALSE)), "División no coincide con Categoría", ""))), IF(OR(L57="", L57=""), "[Aviso] Género no capturado ()", IF(ISNA(MATCH(L57, Criterios!$B$123:$B$127, 0)), "Género no válido", "")), IF(OR(N57="", N57=""), "[Aviso] Temporada no capturada ()", IF(ISNA(MATCH(N57, Criterios!$C$123:$C$128, 0)), "Temporada no válida", "")), IF(OR(O57="", O57=""), "[Aviso] Ciclo de vida no capturado ()", IF(ISNA(MATCH(O57, Criterios!$D$123:$D$124, 0)), "Ciclo de vida no válido", ""))))</f>
        <v/>
      </c>
      <c r="AC57" s="56" t="n"/>
      <c r="AD57" s="51" t="n">
        <v>13</v>
      </c>
      <c r="AE57" s="156" t="inlineStr">
        <is>
          <t>Web (2); CAPSLAB Warehouse (2); CL POS (4); CL Muestras (1)</t>
        </is>
      </c>
      <c r="AF57" s="51" t="n">
        <v>13</v>
      </c>
      <c r="AG57" s="156" t="inlineStr">
        <is>
          <t>Nuevo – NetSuite con existencia</t>
        </is>
      </c>
      <c r="AH57" s="156" t="inlineStr">
        <is>
          <t>Composición CAPSLAB varía por modelo (50/50, 40/60 o 100% poliéster): validar etiqueta; Talla: Talla infantil (JR) (origen «UNI JR»); Color por validar; Físico total NetSuite 13 ≠ suma por ubicación 9 | Revisión 29/09/2026: Talla fuente Talla única sin equivalencia exacta en Criterios para Talla Niño (numérica); Marca CAPSLAB fuera de lista Criterios; Campos sin respaldo: N, O, P, U; Auditoría NetSuite 30/09/2026: llenado desde NetSuite [Z] | Homologación G1522 06/10/2026: Validación G1522: [Aviso] Precio de compra posiblemente en USD · Validador Shopify: WB: precio con IVA no termina en 9</t>
        </is>
      </c>
      <c r="AI57" s="156" t="inlineStr">
        <is>
          <t>No</t>
        </is>
      </c>
      <c r="AJ57" s="156" t="n"/>
      <c r="AK57" s="155" t="inlineStr">
        <is>
          <t>G1522ProductosTodosloscamposSandboxResults894.xlsx: fila 47651 [Y]; G1522_Extraccion_Articulos_NetSuite_2026-09-30.xlsx: fila 20718 [Z]</t>
        </is>
      </c>
      <c r="AL57" s="58" t="n">
        <v>8.5</v>
      </c>
      <c r="AM57" s="58" t="n"/>
      <c r="AN57" s="155" t="n"/>
      <c r="AO57" s="59" t="n"/>
      <c r="AP57" s="59" t="n"/>
      <c r="AQ57" s="59" t="n"/>
      <c r="AR57" s="155" t="n"/>
    </row>
    <row r="58">
      <c r="A58" s="50" t="inlineStr">
        <is>
          <t>3614001296811</t>
        </is>
      </c>
      <c r="B58" s="51" t="inlineStr">
        <is>
          <t>57336</t>
        </is>
      </c>
      <c r="C58" s="156" t="inlineStr">
        <is>
          <t>CAPSLAB</t>
        </is>
      </c>
      <c r="D58" s="156" t="inlineStr">
        <is>
          <t>CL/DBS/TAG/1/GLD</t>
        </is>
      </c>
      <c r="E58" s="156" t="inlineStr">
        <is>
          <t>CL/DBS/TAG/1/GLD-UNI</t>
        </is>
      </c>
      <c r="F58" s="156" t="inlineStr">
        <is>
          <t>Talla única</t>
        </is>
      </c>
      <c r="G58" s="156" t="inlineStr">
        <is>
          <t>One Size</t>
        </is>
      </c>
      <c r="H58" s="156" t="inlineStr">
        <is>
          <t>CAPSLAB</t>
        </is>
      </c>
      <c r="I58" s="156" t="inlineStr">
        <is>
          <t>Gorra CAPSLAB Dragon Ball Super Negro</t>
        </is>
      </c>
      <c r="J58" s="156" t="inlineStr">
        <is>
          <t>Accesorios</t>
        </is>
      </c>
      <c r="K58" s="156" t="inlineStr">
        <is>
          <t>Gorras</t>
        </is>
      </c>
      <c r="L58" s="156" t="inlineStr">
        <is>
          <t>Unisex</t>
        </is>
      </c>
      <c r="M58" s="156" t="inlineStr">
        <is>
          <t>Dragon Ball Super</t>
        </is>
      </c>
      <c r="N58" s="156" t="n"/>
      <c r="O58" s="156" t="n"/>
      <c r="P58" s="156" t="inlineStr">
        <is>
          <t>Negro</t>
        </is>
      </c>
      <c r="Q58" s="156" t="n"/>
      <c r="R58" s="156" t="n"/>
      <c r="S58" s="156" t="inlineStr">
        <is>
          <t>Algodón / Poliéster</t>
        </is>
      </c>
      <c r="T58" s="156" t="inlineStr">
        <is>
          <t>Gorra de la marca CAPSLAB bajo licencia oficial Dragon Ball Super. Talla única ajustable. Estilo CL/DBS/TAG/1/GLD.</t>
        </is>
      </c>
      <c r="U58" s="156" t="n"/>
      <c r="V58" s="156" t="inlineStr">
        <is>
          <t>PZS</t>
        </is>
      </c>
      <c r="W58" s="51" t="inlineStr">
        <is>
          <t>53102516</t>
        </is>
      </c>
      <c r="X58" s="156" t="inlineStr">
        <is>
          <t>https://7913364.app.netsuite.com/core/media/media.nl?id=188187&amp;c=7913364&amp;h=i60-aAkLhr5fTb1kCKfX2Ys1KuMDAjpuoyPQbn9_WY0vGwlw</t>
        </is>
      </c>
      <c r="Y58" s="54" t="n">
        <v>10.75</v>
      </c>
      <c r="Z58" s="54" t="n">
        <v>799</v>
      </c>
      <c r="AA58" s="55">
        <f>IF(AND(A58="", B58="", E58=""), "", IF(AB58="", "Válido", IF((LEN(AB58)-LEN(SUBSTITUTE(AB58,"; ","")))/2+1&gt;(LEN(AB58)-LEN(SUBSTITUTE(AB58,"[Aviso]","")))/7, "Con Incidencias", "Válido")))</f>
        <v/>
      </c>
      <c r="AB58" s="56">
        <f>IF(AND(A58="", B58="", E58=""), "", TEXTJOIN("; ", TRUE, IF(OR(TRIM(A58&amp;"")="", ISNUMBER(SEARCH("FALTA", A58))), "UPC faltante/inválido", ""), IF(AND(A58&lt;&gt;"", IFERROR(_xlfn.XMATCH(A58,$A$2:$A$370,0,1)&lt;&gt;_xlfn.XMATCH(A58,$A$2:$A$370,0,-1),FALSE)), "Código de barras duplicado", ""), IF(AND(E58&lt;&gt;"", COUNTIF($E$2:$E$370, E58)&gt;1), "SKU duplicado", ""), IF(OR(J58="", J58=""), "[Aviso] División no capturada ()", IF(ISNA(MATCH(J58, Criterios!$A$123:$A$126, 0)), "División no válida", "")), IF(OR(K58="", K58=""), "[Aviso] Categoría no capturada ()", IF(ISNA(MATCH(K58, Criterios!$A$81:$A$120, 0)), "Categoría no válida", IF(AND(J58&lt;&gt;"", J58&lt;&gt;"", J58&lt;&gt;VLOOKUP(K58, Criterios!$A$81:$B$120, 2, FALSE)), "División no coincide con Categoría", ""))), IF(OR(L58="", L58=""), "[Aviso] Género no capturado ()", IF(ISNA(MATCH(L58, Criterios!$B$123:$B$127, 0)), "Género no válido", "")), IF(OR(N58="", N58=""), "[Aviso] Temporada no capturada ()", IF(ISNA(MATCH(N58, Criterios!$C$123:$C$128, 0)), "Temporada no válida", "")), IF(OR(O58="", O58=""), "[Aviso] Ciclo de vida no capturado ()", IF(ISNA(MATCH(O58, Criterios!$D$123:$D$124, 0)), "Ciclo de vida no válido", ""))))</f>
        <v/>
      </c>
      <c r="AC58" s="56" t="n"/>
      <c r="AD58" s="51" t="n">
        <v>9</v>
      </c>
      <c r="AE58" s="156" t="inlineStr">
        <is>
          <t>CL Muestras (1); Web (2); CL POS (4); CAPSLAB Warehouse (1)</t>
        </is>
      </c>
      <c r="AF58" s="51" t="n">
        <v>9</v>
      </c>
      <c r="AG58" s="156" t="inlineStr">
        <is>
          <t>Nuevo – NetSuite con existencia</t>
        </is>
      </c>
      <c r="AH58" s="156" t="inlineStr">
        <is>
          <t>Composición CAPSLAB varía por modelo (50/50, 40/60 o 100% poliéster): validar etiqueta; Físico total NetSuite 9 ≠ suma por ubicación 8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58" s="156" t="inlineStr">
        <is>
          <t>No</t>
        </is>
      </c>
      <c r="AJ58" s="156" t="n"/>
      <c r="AK58" s="155" t="inlineStr">
        <is>
          <t>G1522ProductosTodosloscamposSandboxResults894.xlsx: fila 47653 [Y]; G1522_Extraccion_Articulos_NetSuite_2026-09-30.xlsx: fila 20719 [Z]</t>
        </is>
      </c>
      <c r="AL58" s="58" t="n">
        <v>10.75</v>
      </c>
      <c r="AM58" s="58" t="n"/>
      <c r="AN58" s="155" t="n"/>
      <c r="AO58" s="59" t="n"/>
      <c r="AP58" s="59" t="n"/>
      <c r="AQ58" s="59" t="n"/>
      <c r="AR58" s="155" t="n"/>
    </row>
    <row r="59">
      <c r="A59" s="50" t="inlineStr">
        <is>
          <t>3614001296828</t>
        </is>
      </c>
      <c r="B59" s="51" t="inlineStr">
        <is>
          <t>57337</t>
        </is>
      </c>
      <c r="C59" s="156" t="inlineStr">
        <is>
          <t>CAPSLAB</t>
        </is>
      </c>
      <c r="D59" s="156" t="inlineStr">
        <is>
          <t>CL/DBS/TAG/1/GOK1</t>
        </is>
      </c>
      <c r="E59" s="156" t="inlineStr">
        <is>
          <t>CL/DBS/TAG/1/GOK1-UNI</t>
        </is>
      </c>
      <c r="F59" s="156" t="inlineStr">
        <is>
          <t>Talla única</t>
        </is>
      </c>
      <c r="G59" s="156" t="inlineStr">
        <is>
          <t>One Size</t>
        </is>
      </c>
      <c r="H59" s="156" t="inlineStr">
        <is>
          <t>CAPSLAB</t>
        </is>
      </c>
      <c r="I59" s="156" t="inlineStr">
        <is>
          <t>Gorra CAPSLAB Dragon Ball Super Goku Negro</t>
        </is>
      </c>
      <c r="J59" s="156" t="inlineStr">
        <is>
          <t>Accesorios</t>
        </is>
      </c>
      <c r="K59" s="156" t="inlineStr">
        <is>
          <t>Gorras</t>
        </is>
      </c>
      <c r="L59" s="156" t="inlineStr">
        <is>
          <t>Unisex</t>
        </is>
      </c>
      <c r="M59" s="156" t="inlineStr">
        <is>
          <t>Dragon Ball Super</t>
        </is>
      </c>
      <c r="N59" s="156" t="n"/>
      <c r="O59" s="156" t="n"/>
      <c r="P59" s="156" t="inlineStr">
        <is>
          <t>Negro</t>
        </is>
      </c>
      <c r="Q59" s="156" t="n"/>
      <c r="R59" s="156" t="n"/>
      <c r="S59" s="156" t="inlineStr">
        <is>
          <t>Algodón / Poliéster</t>
        </is>
      </c>
      <c r="T59" s="156" t="inlineStr">
        <is>
          <t>Gorra de la marca CAPSLAB bajo licencia oficial Dragon Ball Super, personaje Goku. Talla única ajustable. Estilo CL/DBS/TAG/1/GOK1.</t>
        </is>
      </c>
      <c r="U59" s="156" t="n"/>
      <c r="V59" s="156" t="inlineStr">
        <is>
          <t>PZS</t>
        </is>
      </c>
      <c r="W59" s="51" t="inlineStr">
        <is>
          <t>53102516</t>
        </is>
      </c>
      <c r="X59" s="156" t="inlineStr">
        <is>
          <t>https://7913364.app.netsuite.com/core/media/media.nl?id=188188&amp;c=7913364&amp;h=ErhYH0SN5M3JNOyxn-XNufZKIPCMsohi573IfSovdEJ13IGD</t>
        </is>
      </c>
      <c r="Y59" s="54" t="n">
        <v>10.75</v>
      </c>
      <c r="Z59" s="54" t="n">
        <v>799</v>
      </c>
      <c r="AA59" s="55">
        <f>IF(AND(A59="", B59="", E59=""), "", IF(AB59="", "Válido", IF((LEN(AB59)-LEN(SUBSTITUTE(AB59,"; ","")))/2+1&gt;(LEN(AB59)-LEN(SUBSTITUTE(AB59,"[Aviso]","")))/7, "Con Incidencias", "Válido")))</f>
        <v/>
      </c>
      <c r="AB59" s="56">
        <f>IF(AND(A59="", B59="", E59=""), "", TEXTJOIN("; ", TRUE, IF(OR(TRIM(A59&amp;"")="", ISNUMBER(SEARCH("FALTA", A59))), "UPC faltante/inválido", ""), IF(AND(A59&lt;&gt;"", IFERROR(_xlfn.XMATCH(A59,$A$2:$A$370,0,1)&lt;&gt;_xlfn.XMATCH(A59,$A$2:$A$370,0,-1),FALSE)), "Código de barras duplicado", ""), IF(AND(E59&lt;&gt;"", COUNTIF($E$2:$E$370, E59)&gt;1), "SKU duplicado", ""), IF(OR(J59="", J59=""), "[Aviso] División no capturada ()", IF(ISNA(MATCH(J59, Criterios!$A$123:$A$126, 0)), "División no válida", "")), IF(OR(K59="", K59=""), "[Aviso] Categoría no capturada ()", IF(ISNA(MATCH(K59, Criterios!$A$81:$A$120, 0)), "Categoría no válida", IF(AND(J59&lt;&gt;"", J59&lt;&gt;"", J59&lt;&gt;VLOOKUP(K59, Criterios!$A$81:$B$120, 2, FALSE)), "División no coincide con Categoría", ""))), IF(OR(L59="", L59=""), "[Aviso] Género no capturado ()", IF(ISNA(MATCH(L59, Criterios!$B$123:$B$127, 0)), "Género no válido", "")), IF(OR(N59="", N59=""), "[Aviso] Temporada no capturada ()", IF(ISNA(MATCH(N59, Criterios!$C$123:$C$128, 0)), "Temporada no válida", "")), IF(OR(O59="", O59=""), "[Aviso] Ciclo de vida no capturado ()", IF(ISNA(MATCH(O59, Criterios!$D$123:$D$124, 0)), "Ciclo de vida no válido", ""))))</f>
        <v/>
      </c>
      <c r="AC59" s="56" t="n"/>
      <c r="AD59" s="51" t="n">
        <v>15</v>
      </c>
      <c r="AE59" s="156" t="inlineStr">
        <is>
          <t>CAPSLAB Warehouse (6); CL POS (4); Web (3); CL Muestras (1)</t>
        </is>
      </c>
      <c r="AF59" s="51" t="n">
        <v>15</v>
      </c>
      <c r="AG59" s="156" t="inlineStr">
        <is>
          <t>Nuevo – NetSuite con existencia</t>
        </is>
      </c>
      <c r="AH59" s="156" t="inlineStr">
        <is>
          <t>Composición CAPSLAB varía por modelo (50/50, 40/60 o 100% poliéster): validar etiqueta; Físico total NetSuite 15 ≠ suma por ubicación 14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59" s="156" t="inlineStr">
        <is>
          <t>No</t>
        </is>
      </c>
      <c r="AJ59" s="156" t="n"/>
      <c r="AK59" s="155" t="inlineStr">
        <is>
          <t>G1522ProductosTodosloscamposSandboxResults894.xlsx: fila 47655 [Y]; G1522_Extraccion_Articulos_NetSuite_2026-09-30.xlsx: fila 20720 [Z]</t>
        </is>
      </c>
      <c r="AL59" s="58" t="n">
        <v>10.75</v>
      </c>
      <c r="AM59" s="58" t="n"/>
      <c r="AN59" s="155" t="n"/>
      <c r="AO59" s="59" t="n"/>
      <c r="AP59" s="59" t="n"/>
      <c r="AQ59" s="59" t="n"/>
      <c r="AR59" s="155" t="n"/>
    </row>
    <row r="60">
      <c r="A60" s="50" t="inlineStr">
        <is>
          <t>3614001297214</t>
        </is>
      </c>
      <c r="B60" s="51" t="inlineStr">
        <is>
          <t>57338</t>
        </is>
      </c>
      <c r="C60" s="156" t="inlineStr">
        <is>
          <t>CAPSLAB</t>
        </is>
      </c>
      <c r="D60" s="156" t="inlineStr">
        <is>
          <t>CL/DBS2/1/FRE1</t>
        </is>
      </c>
      <c r="E60" s="156" t="inlineStr">
        <is>
          <t>CL/DBS2/1/FRE1-UNI</t>
        </is>
      </c>
      <c r="F60" s="156" t="inlineStr">
        <is>
          <t>Talla única</t>
        </is>
      </c>
      <c r="G60" s="156" t="inlineStr">
        <is>
          <t>One Size</t>
        </is>
      </c>
      <c r="H60" s="156" t="inlineStr">
        <is>
          <t>CAPSLAB</t>
        </is>
      </c>
      <c r="I60" s="156" t="inlineStr">
        <is>
          <t>Gorra CAPSLAB Dragon Ball Super Freezer Menta</t>
        </is>
      </c>
      <c r="J60" s="156" t="inlineStr">
        <is>
          <t>Accesorios</t>
        </is>
      </c>
      <c r="K60" s="156" t="inlineStr">
        <is>
          <t>Gorras</t>
        </is>
      </c>
      <c r="L60" s="156" t="inlineStr">
        <is>
          <t>Unisex</t>
        </is>
      </c>
      <c r="M60" s="156" t="inlineStr">
        <is>
          <t>Dragon Ball Super</t>
        </is>
      </c>
      <c r="N60" s="156" t="n"/>
      <c r="O60" s="156" t="n"/>
      <c r="P60" s="156" t="n"/>
      <c r="Q60" s="156" t="n"/>
      <c r="R60" s="156" t="n"/>
      <c r="S60" s="156" t="inlineStr">
        <is>
          <t>Algodón / Poliéster</t>
        </is>
      </c>
      <c r="T60" s="156" t="inlineStr">
        <is>
          <t>Gorra de la marca CAPSLAB bajo licencia oficial Dragon Ball Super, personaje Freezer. Talla única ajustable. Estilo CL/DBS2/1/FRE1.</t>
        </is>
      </c>
      <c r="U60" s="156" t="n"/>
      <c r="V60" s="156" t="inlineStr">
        <is>
          <t>PZS</t>
        </is>
      </c>
      <c r="W60" s="51" t="inlineStr">
        <is>
          <t>53102516</t>
        </is>
      </c>
      <c r="X60" s="156" t="inlineStr">
        <is>
          <t>https://7913364.app.netsuite.com/core/media/media.nl?id=188189&amp;c=7913364&amp;h=Vep-eHNPXLhyRJIhpzMzADZKjMaXJukXovV2Lg-u5ZW2uRQB</t>
        </is>
      </c>
      <c r="Y60" s="54" t="n">
        <v>8.5</v>
      </c>
      <c r="Z60" s="54" t="n">
        <v>699</v>
      </c>
      <c r="AA60" s="55">
        <f>IF(AND(A60="", B60="", E60=""), "", IF(AB60="", "Válido", IF((LEN(AB60)-LEN(SUBSTITUTE(AB60,"; ","")))/2+1&gt;(LEN(AB60)-LEN(SUBSTITUTE(AB60,"[Aviso]","")))/7, "Con Incidencias", "Válido")))</f>
        <v/>
      </c>
      <c r="AB60" s="56">
        <f>IF(AND(A60="", B60="", E60=""), "", TEXTJOIN("; ", TRUE, IF(OR(TRIM(A60&amp;"")="", ISNUMBER(SEARCH("FALTA", A60))), "UPC faltante/inválido", ""), IF(AND(A60&lt;&gt;"", IFERROR(_xlfn.XMATCH(A60,$A$2:$A$370,0,1)&lt;&gt;_xlfn.XMATCH(A60,$A$2:$A$370,0,-1),FALSE)), "Código de barras duplicado", ""), IF(AND(E60&lt;&gt;"", COUNTIF($E$2:$E$370, E60)&gt;1), "SKU duplicado", ""), IF(OR(J60="", J60=""), "[Aviso] División no capturada ()", IF(ISNA(MATCH(J60, Criterios!$A$123:$A$126, 0)), "División no válida", "")), IF(OR(K60="", K60=""), "[Aviso] Categoría no capturada ()", IF(ISNA(MATCH(K60, Criterios!$A$81:$A$120, 0)), "Categoría no válida", IF(AND(J60&lt;&gt;"", J60&lt;&gt;"", J60&lt;&gt;VLOOKUP(K60, Criterios!$A$81:$B$120, 2, FALSE)), "División no coincide con Categoría", ""))), IF(OR(L60="", L60=""), "[Aviso] Género no capturado ()", IF(ISNA(MATCH(L60, Criterios!$B$123:$B$127, 0)), "Género no válido", "")), IF(OR(N60="", N60=""), "[Aviso] Temporada no capturada ()", IF(ISNA(MATCH(N60, Criterios!$C$123:$C$128, 0)), "Temporada no válida", "")), IF(OR(O60="", O60=""), "[Aviso] Ciclo de vida no capturado ()", IF(ISNA(MATCH(O60, Criterios!$D$123:$D$124, 0)), "Ciclo de vida no válido", ""))))</f>
        <v/>
      </c>
      <c r="AC60" s="56" t="n"/>
      <c r="AD60" s="51" t="n">
        <v>-250</v>
      </c>
      <c r="AE60" s="156" t="n"/>
      <c r="AF60" s="51" t="n">
        <v>0</v>
      </c>
      <c r="AG60" s="156" t="inlineStr">
        <is>
          <t>Nuevo – NetSuite sin existencia</t>
        </is>
      </c>
      <c r="AH60" s="156" t="inlineStr">
        <is>
          <t>Composición CAPSLAB varía por modelo (50/50, 40/60 o 100% poliéster): validar etiqueta; Color por validar; Físico total NetSuite -250 ≠ suma por ubicación 0 | Revisión 29/09/2026: Marca CAPSLAB fuera de lista Criterios; Campos sin respaldo: N, O, P, U; Auditoría NetSuite 30/09/2026: llenado desde NetSuite [Z] | Homologación G1522 06/10/2026: Validación G1522: [Aviso] Precio de compra posiblemente en USD · Validador Shopify: WB: precio con IVA no termina en 9</t>
        </is>
      </c>
      <c r="AI60" s="156" t="inlineStr">
        <is>
          <t>No</t>
        </is>
      </c>
      <c r="AJ60" s="156" t="n"/>
      <c r="AK60" s="155" t="inlineStr">
        <is>
          <t>G1522ProductosTodosloscamposSandboxResults894.xlsx: fila 47657 [Y]; G1522_Extraccion_Articulos_NetSuite_2026-09-30.xlsx: fila 20721 [Z]</t>
        </is>
      </c>
      <c r="AL60" s="58" t="n">
        <v>8.5</v>
      </c>
      <c r="AM60" s="58" t="n"/>
      <c r="AN60" s="155" t="n"/>
      <c r="AO60" s="59" t="n"/>
      <c r="AP60" s="59" t="n"/>
      <c r="AQ60" s="59" t="n"/>
      <c r="AR60" s="155" t="n"/>
    </row>
    <row r="61">
      <c r="A61" s="50" t="inlineStr">
        <is>
          <t>3614001297221</t>
        </is>
      </c>
      <c r="B61" s="51" t="inlineStr">
        <is>
          <t>57339</t>
        </is>
      </c>
      <c r="C61" s="156" t="inlineStr">
        <is>
          <t>CAPSLAB</t>
        </is>
      </c>
      <c r="D61" s="156" t="inlineStr">
        <is>
          <t>CL/DBS2/1/FRE2</t>
        </is>
      </c>
      <c r="E61" s="156" t="inlineStr">
        <is>
          <t>CL/DBS2/1/FRE2-UNI</t>
        </is>
      </c>
      <c r="F61" s="156" t="inlineStr">
        <is>
          <t>Talla única</t>
        </is>
      </c>
      <c r="G61" s="156" t="inlineStr">
        <is>
          <t>One Size</t>
        </is>
      </c>
      <c r="H61" s="156" t="inlineStr">
        <is>
          <t>CAPSLAB</t>
        </is>
      </c>
      <c r="I61" s="156" t="inlineStr">
        <is>
          <t>Gorra CAPSLAB Dragon Ball Super Freezer Morado</t>
        </is>
      </c>
      <c r="J61" s="156" t="inlineStr">
        <is>
          <t>Accesorios</t>
        </is>
      </c>
      <c r="K61" s="156" t="inlineStr">
        <is>
          <t>Gorras</t>
        </is>
      </c>
      <c r="L61" s="156" t="inlineStr">
        <is>
          <t>Unisex</t>
        </is>
      </c>
      <c r="M61" s="156" t="inlineStr">
        <is>
          <t>Dragon Ball Super</t>
        </is>
      </c>
      <c r="N61" s="156" t="n"/>
      <c r="O61" s="156" t="n"/>
      <c r="P61" s="156" t="inlineStr">
        <is>
          <t>Morado</t>
        </is>
      </c>
      <c r="Q61" s="156" t="n"/>
      <c r="R61" s="156" t="n"/>
      <c r="S61" s="156" t="inlineStr">
        <is>
          <t>Algodón / Poliéster</t>
        </is>
      </c>
      <c r="T61" s="156" t="inlineStr">
        <is>
          <t>Gorra de la marca CAPSLAB bajo licencia oficial Dragon Ball Super, personaje Freezer. Talla única ajustable. Estilo CL/DBS2/1/FRE2.</t>
        </is>
      </c>
      <c r="U61" s="156" t="n"/>
      <c r="V61" s="156" t="inlineStr">
        <is>
          <t>PZS</t>
        </is>
      </c>
      <c r="W61" s="51" t="inlineStr">
        <is>
          <t>53102516</t>
        </is>
      </c>
      <c r="X61" s="156" t="inlineStr">
        <is>
          <t>https://7913364.app.netsuite.com/core/media/media.nl?id=188190&amp;c=7913364&amp;h=ijYCBpHtaj5Vf3IkDzzbu6DQQVmLIR4k_IP0kirx_vDQuXRY</t>
        </is>
      </c>
      <c r="Y61" s="54" t="n">
        <v>8.5</v>
      </c>
      <c r="Z61" s="54" t="n">
        <v>699</v>
      </c>
      <c r="AA61" s="55">
        <f>IF(AND(A61="", B61="", E61=""), "", IF(AB61="", "Válido", IF((LEN(AB61)-LEN(SUBSTITUTE(AB61,"; ","")))/2+1&gt;(LEN(AB61)-LEN(SUBSTITUTE(AB61,"[Aviso]","")))/7, "Con Incidencias", "Válido")))</f>
        <v/>
      </c>
      <c r="AB61" s="56">
        <f>IF(AND(A61="", B61="", E61=""), "", TEXTJOIN("; ", TRUE, IF(OR(TRIM(A61&amp;"")="", ISNUMBER(SEARCH("FALTA", A61))), "UPC faltante/inválido", ""), IF(AND(A61&lt;&gt;"", IFERROR(_xlfn.XMATCH(A61,$A$2:$A$370,0,1)&lt;&gt;_xlfn.XMATCH(A61,$A$2:$A$370,0,-1),FALSE)), "Código de barras duplicado", ""), IF(AND(E61&lt;&gt;"", COUNTIF($E$2:$E$370, E61)&gt;1), "SKU duplicado", ""), IF(OR(J61="", J61=""), "[Aviso] División no capturada ()", IF(ISNA(MATCH(J61, Criterios!$A$123:$A$126, 0)), "División no válida", "")), IF(OR(K61="", K61=""), "[Aviso] Categoría no capturada ()", IF(ISNA(MATCH(K61, Criterios!$A$81:$A$120, 0)), "Categoría no válida", IF(AND(J61&lt;&gt;"", J61&lt;&gt;"", J61&lt;&gt;VLOOKUP(K61, Criterios!$A$81:$B$120, 2, FALSE)), "División no coincide con Categoría", ""))), IF(OR(L61="", L61=""), "[Aviso] Género no capturado ()", IF(ISNA(MATCH(L61, Criterios!$B$123:$B$127, 0)), "Género no válido", "")), IF(OR(N61="", N61=""), "[Aviso] Temporada no capturada ()", IF(ISNA(MATCH(N61, Criterios!$C$123:$C$128, 0)), "Temporada no válida", "")), IF(OR(O61="", O61=""), "[Aviso] Ciclo de vida no capturado ()", IF(ISNA(MATCH(O61, Criterios!$D$123:$D$124, 0)), "Ciclo de vida no válido", ""))))</f>
        <v/>
      </c>
      <c r="AC61" s="56" t="n"/>
      <c r="AD61" s="51" t="n">
        <v>-248</v>
      </c>
      <c r="AE61" s="156" t="inlineStr">
        <is>
          <t>Web (1)</t>
        </is>
      </c>
      <c r="AF61" s="51" t="n">
        <v>2</v>
      </c>
      <c r="AG61" s="156" t="inlineStr">
        <is>
          <t>Nuevo – NetSuite con existencia</t>
        </is>
      </c>
      <c r="AH61" s="156" t="inlineStr">
        <is>
          <t>Composición CAPSLAB varía por modelo (50/50, 40/60 o 100% poliéster): validar etiqueta; Físico total NetSuite -248 ≠ suma por ubicación 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1" s="156" t="inlineStr">
        <is>
          <t>No</t>
        </is>
      </c>
      <c r="AJ61" s="156" t="n"/>
      <c r="AK61" s="155" t="inlineStr">
        <is>
          <t>G1522ProductosTodosloscamposSandboxResults894.xlsx: fila 47659 [Y]; G1522_Extraccion_Articulos_NetSuite_2026-09-30.xlsx: fila 20722 [Z]</t>
        </is>
      </c>
      <c r="AL61" s="58" t="n">
        <v>8.5</v>
      </c>
      <c r="AM61" s="58" t="n"/>
      <c r="AN61" s="155" t="n"/>
      <c r="AO61" s="59" t="n"/>
      <c r="AP61" s="59" t="n"/>
      <c r="AQ61" s="59" t="n"/>
      <c r="AR61" s="155" t="n"/>
    </row>
    <row r="62">
      <c r="A62" s="50" t="inlineStr">
        <is>
          <t>3614001297238</t>
        </is>
      </c>
      <c r="B62" s="51" t="inlineStr">
        <is>
          <t>57340</t>
        </is>
      </c>
      <c r="C62" s="156" t="inlineStr">
        <is>
          <t>CAPSLAB</t>
        </is>
      </c>
      <c r="D62" s="156" t="inlineStr">
        <is>
          <t>CL/DBS2/1/GLD1</t>
        </is>
      </c>
      <c r="E62" s="156" t="inlineStr">
        <is>
          <t>CL/DBS2/1/GLD1-UNI</t>
        </is>
      </c>
      <c r="F62" s="156" t="inlineStr">
        <is>
          <t>Talla única</t>
        </is>
      </c>
      <c r="G62" s="156" t="inlineStr">
        <is>
          <t>One Size</t>
        </is>
      </c>
      <c r="H62" s="156" t="inlineStr">
        <is>
          <t>CAPSLAB</t>
        </is>
      </c>
      <c r="I62" s="156" t="inlineStr">
        <is>
          <t>Gorra CAPSLAB Dragon Ball Super Gris</t>
        </is>
      </c>
      <c r="J62" s="156" t="inlineStr">
        <is>
          <t>Accesorios</t>
        </is>
      </c>
      <c r="K62" s="156" t="inlineStr">
        <is>
          <t>Gorras</t>
        </is>
      </c>
      <c r="L62" s="156" t="inlineStr">
        <is>
          <t>Unisex</t>
        </is>
      </c>
      <c r="M62" s="156" t="inlineStr">
        <is>
          <t>Dragon Ball Super</t>
        </is>
      </c>
      <c r="N62" s="156" t="n"/>
      <c r="O62" s="156" t="n"/>
      <c r="P62" s="156" t="inlineStr">
        <is>
          <t>Gris</t>
        </is>
      </c>
      <c r="Q62" s="156" t="n"/>
      <c r="R62" s="156" t="n"/>
      <c r="S62" s="156" t="inlineStr">
        <is>
          <t>Algodón / Poliéster</t>
        </is>
      </c>
      <c r="T62" s="156" t="inlineStr">
        <is>
          <t>Gorra de la marca CAPSLAB bajo licencia oficial Dragon Ball Super. Talla única ajustable. Estilo CL/DBS2/1/GLD1.</t>
        </is>
      </c>
      <c r="U62" s="156" t="n"/>
      <c r="V62" s="156" t="inlineStr">
        <is>
          <t>PZS</t>
        </is>
      </c>
      <c r="W62" s="51" t="inlineStr">
        <is>
          <t>53102516</t>
        </is>
      </c>
      <c r="X62" s="156" t="inlineStr">
        <is>
          <t>https://7913364.app.netsuite.com/core/media/media.nl?id=188191&amp;c=7913364&amp;h=hIzDSgWaeYOzQjdHs728IEkEydJ9ATNV6lPanV1fSo9rzhSY</t>
        </is>
      </c>
      <c r="Y62" s="54" t="n">
        <v>8.5</v>
      </c>
      <c r="Z62" s="54" t="n">
        <v>699</v>
      </c>
      <c r="AA62" s="55">
        <f>IF(AND(A62="", B62="", E62=""), "", IF(AB62="", "Válido", IF((LEN(AB62)-LEN(SUBSTITUTE(AB62,"; ","")))/2+1&gt;(LEN(AB62)-LEN(SUBSTITUTE(AB62,"[Aviso]","")))/7, "Con Incidencias", "Válido")))</f>
        <v/>
      </c>
      <c r="AB62" s="56">
        <f>IF(AND(A62="", B62="", E62=""), "", TEXTJOIN("; ", TRUE, IF(OR(TRIM(A62&amp;"")="", ISNUMBER(SEARCH("FALTA", A62))), "UPC faltante/inválido", ""), IF(AND(A62&lt;&gt;"", IFERROR(_xlfn.XMATCH(A62,$A$2:$A$370,0,1)&lt;&gt;_xlfn.XMATCH(A62,$A$2:$A$370,0,-1),FALSE)), "Código de barras duplicado", ""), IF(AND(E62&lt;&gt;"", COUNTIF($E$2:$E$370, E62)&gt;1), "SKU duplicado", ""), IF(OR(J62="", J62=""), "[Aviso] División no capturada ()", IF(ISNA(MATCH(J62, Criterios!$A$123:$A$126, 0)), "División no válida", "")), IF(OR(K62="", K62=""), "[Aviso] Categoría no capturada ()", IF(ISNA(MATCH(K62, Criterios!$A$81:$A$120, 0)), "Categoría no válida", IF(AND(J62&lt;&gt;"", J62&lt;&gt;"", J62&lt;&gt;VLOOKUP(K62, Criterios!$A$81:$B$120, 2, FALSE)), "División no coincide con Categoría", ""))), IF(OR(L62="", L62=""), "[Aviso] Género no capturado ()", IF(ISNA(MATCH(L62, Criterios!$B$123:$B$127, 0)), "Género no válido", "")), IF(OR(N62="", N62=""), "[Aviso] Temporada no capturada ()", IF(ISNA(MATCH(N62, Criterios!$C$123:$C$128, 0)), "Temporada no válida", "")), IF(OR(O62="", O62=""), "[Aviso] Ciclo de vida no capturado ()", IF(ISNA(MATCH(O62, Criterios!$D$123:$D$124, 0)), "Ciclo de vida no válido", ""))))</f>
        <v/>
      </c>
      <c r="AC62" s="56" t="n"/>
      <c r="AD62" s="51" t="n">
        <v>-248</v>
      </c>
      <c r="AE62" s="156" t="inlineStr">
        <is>
          <t>Web (1)</t>
        </is>
      </c>
      <c r="AF62" s="51" t="n">
        <v>2</v>
      </c>
      <c r="AG62" s="156" t="inlineStr">
        <is>
          <t>Nuevo – NetSuite con existencia</t>
        </is>
      </c>
      <c r="AH62" s="156" t="inlineStr">
        <is>
          <t>Composición CAPSLAB varía por modelo (50/50, 40/60 o 100% poliéster): validar etiqueta; Físico total NetSuite -248 ≠ suma por ubicación 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2" s="156" t="inlineStr">
        <is>
          <t>No</t>
        </is>
      </c>
      <c r="AJ62" s="156" t="n"/>
      <c r="AK62" s="155" t="inlineStr">
        <is>
          <t>G1522ProductosTodosloscamposSandboxResults894.xlsx: fila 47661 [Y]; G1522_Extraccion_Articulos_NetSuite_2026-09-30.xlsx: fila 20723 [Z]</t>
        </is>
      </c>
      <c r="AL62" s="58" t="n">
        <v>8.5</v>
      </c>
      <c r="AM62" s="58" t="n"/>
      <c r="AN62" s="155" t="n"/>
      <c r="AO62" s="59" t="n"/>
      <c r="AP62" s="59" t="n"/>
      <c r="AQ62" s="59" t="n"/>
      <c r="AR62" s="155" t="n"/>
    </row>
    <row r="63">
      <c r="A63" s="50" t="inlineStr">
        <is>
          <t>3614001297245</t>
        </is>
      </c>
      <c r="B63" s="51" t="inlineStr">
        <is>
          <t>57341</t>
        </is>
      </c>
      <c r="C63" s="156" t="inlineStr">
        <is>
          <t>CAPSLAB</t>
        </is>
      </c>
      <c r="D63" s="156" t="inlineStr">
        <is>
          <t>CL/DBS2/1/GLD2</t>
        </is>
      </c>
      <c r="E63" s="156" t="inlineStr">
        <is>
          <t>CL/DBS2/1/GLD2-UNI</t>
        </is>
      </c>
      <c r="F63" s="156" t="inlineStr">
        <is>
          <t>Talla única</t>
        </is>
      </c>
      <c r="G63" s="156" t="inlineStr">
        <is>
          <t>One Size</t>
        </is>
      </c>
      <c r="H63" s="156" t="inlineStr">
        <is>
          <t>CAPSLAB</t>
        </is>
      </c>
      <c r="I63" s="156" t="inlineStr">
        <is>
          <t>Gorra CAPSLAB Dragon Ball Super Morado</t>
        </is>
      </c>
      <c r="J63" s="156" t="inlineStr">
        <is>
          <t>Accesorios</t>
        </is>
      </c>
      <c r="K63" s="156" t="inlineStr">
        <is>
          <t>Gorras</t>
        </is>
      </c>
      <c r="L63" s="156" t="inlineStr">
        <is>
          <t>Unisex</t>
        </is>
      </c>
      <c r="M63" s="156" t="inlineStr">
        <is>
          <t>Dragon Ball Super</t>
        </is>
      </c>
      <c r="N63" s="156" t="n"/>
      <c r="O63" s="156" t="n"/>
      <c r="P63" s="156" t="inlineStr">
        <is>
          <t>Morado</t>
        </is>
      </c>
      <c r="Q63" s="156" t="n"/>
      <c r="R63" s="156" t="n"/>
      <c r="S63" s="156" t="inlineStr">
        <is>
          <t>Algodón / Poliéster</t>
        </is>
      </c>
      <c r="T63" s="156" t="inlineStr">
        <is>
          <t>Gorra de la marca CAPSLAB bajo licencia oficial Dragon Ball Super. Talla única ajustable. Estilo CL/DBS2/1/GLD2.</t>
        </is>
      </c>
      <c r="U63" s="156" t="n"/>
      <c r="V63" s="156" t="inlineStr">
        <is>
          <t>PZS</t>
        </is>
      </c>
      <c r="W63" s="51" t="inlineStr">
        <is>
          <t>53102516</t>
        </is>
      </c>
      <c r="X63" s="156" t="inlineStr">
        <is>
          <t>https://7913364.app.netsuite.com/core/media/media.nl?id=188192&amp;c=7913364&amp;h=xu35ZB_rfsA1dPxhftTgC5sP8Ugsg6ELa3tSbP6jZ2oNuZL-</t>
        </is>
      </c>
      <c r="Y63" s="54" t="n">
        <v>8.5</v>
      </c>
      <c r="Z63" s="54" t="n">
        <v>699</v>
      </c>
      <c r="AA63" s="55">
        <f>IF(AND(A63="", B63="", E63=""), "", IF(AB63="", "Válido", IF((LEN(AB63)-LEN(SUBSTITUTE(AB63,"; ","")))/2+1&gt;(LEN(AB63)-LEN(SUBSTITUTE(AB63,"[Aviso]","")))/7, "Con Incidencias", "Válido")))</f>
        <v/>
      </c>
      <c r="AB63" s="56">
        <f>IF(AND(A63="", B63="", E63=""), "", TEXTJOIN("; ", TRUE, IF(OR(TRIM(A63&amp;"")="", ISNUMBER(SEARCH("FALTA", A63))), "UPC faltante/inválido", ""), IF(AND(A63&lt;&gt;"", IFERROR(_xlfn.XMATCH(A63,$A$2:$A$370,0,1)&lt;&gt;_xlfn.XMATCH(A63,$A$2:$A$370,0,-1),FALSE)), "Código de barras duplicado", ""), IF(AND(E63&lt;&gt;"", COUNTIF($E$2:$E$370, E63)&gt;1), "SKU duplicado", ""), IF(OR(J63="", J63=""), "[Aviso] División no capturada ()", IF(ISNA(MATCH(J63, Criterios!$A$123:$A$126, 0)), "División no válida", "")), IF(OR(K63="", K63=""), "[Aviso] Categoría no capturada ()", IF(ISNA(MATCH(K63, Criterios!$A$81:$A$120, 0)), "Categoría no válida", IF(AND(J63&lt;&gt;"", J63&lt;&gt;"", J63&lt;&gt;VLOOKUP(K63, Criterios!$A$81:$B$120, 2, FALSE)), "División no coincide con Categoría", ""))), IF(OR(L63="", L63=""), "[Aviso] Género no capturado ()", IF(ISNA(MATCH(L63, Criterios!$B$123:$B$127, 0)), "Género no válido", "")), IF(OR(N63="", N63=""), "[Aviso] Temporada no capturada ()", IF(ISNA(MATCH(N63, Criterios!$C$123:$C$128, 0)), "Temporada no válida", "")), IF(OR(O63="", O63=""), "[Aviso] Ciclo de vida no capturado ()", IF(ISNA(MATCH(O63, Criterios!$D$123:$D$124, 0)), "Ciclo de vida no válido", ""))))</f>
        <v/>
      </c>
      <c r="AC63" s="56" t="n"/>
      <c r="AD63" s="51" t="n">
        <v>9</v>
      </c>
      <c r="AE63" s="156" t="inlineStr">
        <is>
          <t>CAPSLAB Warehouse (2); Web (3); CL Muestras (1)</t>
        </is>
      </c>
      <c r="AF63" s="51" t="n">
        <v>9</v>
      </c>
      <c r="AG63" s="156" t="inlineStr">
        <is>
          <t>Nuevo – NetSuite con existencia</t>
        </is>
      </c>
      <c r="AH63" s="156" t="inlineStr">
        <is>
          <t>Composición CAPSLAB varía por modelo (50/50, 40/60 o 100% poliéster): validar etiqueta; Físico total NetSuite 9 ≠ suma por ubicación 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3" s="156" t="inlineStr">
        <is>
          <t>No</t>
        </is>
      </c>
      <c r="AJ63" s="156" t="n"/>
      <c r="AK63" s="155" t="inlineStr">
        <is>
          <t>G1522ProductosTodosloscamposSandboxResults894.xlsx: fila 47663 [Y]; G1522_Extraccion_Articulos_NetSuite_2026-09-30.xlsx: fila 20724 [Z]</t>
        </is>
      </c>
      <c r="AL63" s="58" t="n">
        <v>8.5</v>
      </c>
      <c r="AM63" s="58" t="n"/>
      <c r="AN63" s="155" t="n"/>
      <c r="AO63" s="59" t="n"/>
      <c r="AP63" s="59" t="n"/>
      <c r="AQ63" s="59" t="n"/>
      <c r="AR63" s="155" t="n"/>
    </row>
    <row r="64">
      <c r="A64" s="50" t="inlineStr">
        <is>
          <t>3614001552306</t>
        </is>
      </c>
      <c r="B64" s="51" t="inlineStr">
        <is>
          <t>57465</t>
        </is>
      </c>
      <c r="C64" s="156" t="inlineStr">
        <is>
          <t>CAPSLAB</t>
        </is>
      </c>
      <c r="D64" s="156" t="inlineStr">
        <is>
          <t>CL/DBS3/1/CAS/BLA1</t>
        </is>
      </c>
      <c r="E64" s="156" t="inlineStr">
        <is>
          <t>CL/DBS3/1/CAS/BLA1-UNI</t>
        </is>
      </c>
      <c r="F64" s="156" t="inlineStr">
        <is>
          <t>Talla única</t>
        </is>
      </c>
      <c r="G64" s="156" t="inlineStr">
        <is>
          <t>One Size</t>
        </is>
      </c>
      <c r="H64" s="156" t="inlineStr">
        <is>
          <t>CAPSLAB</t>
        </is>
      </c>
      <c r="I64" s="156" t="inlineStr">
        <is>
          <t>Gorra trucker CAPSLAB Dragon Ball Negro</t>
        </is>
      </c>
      <c r="J64" s="156" t="inlineStr">
        <is>
          <t>Accesorios</t>
        </is>
      </c>
      <c r="K64" s="156" t="inlineStr">
        <is>
          <t>Gorras</t>
        </is>
      </c>
      <c r="L64" s="156" t="inlineStr">
        <is>
          <t>Unisex</t>
        </is>
      </c>
      <c r="M64" s="156" t="inlineStr">
        <is>
          <t>Dragon Ball</t>
        </is>
      </c>
      <c r="N64" s="156" t="n"/>
      <c r="O64" s="156" t="n"/>
      <c r="P64" s="156" t="inlineStr">
        <is>
          <t>Negro</t>
        </is>
      </c>
      <c r="Q64" s="156" t="n"/>
      <c r="R64" s="156" t="n"/>
      <c r="S64" s="156" t="inlineStr">
        <is>
          <t>Algodón / Poliéster</t>
        </is>
      </c>
      <c r="T64" s="156" t="inlineStr">
        <is>
          <t>Gorra trucker de la marca CAPSLAB bajo licencia oficial Dragon Ball. Talla única ajustable. Estilo CL/DBS3/1/CAS/BLA1.</t>
        </is>
      </c>
      <c r="U64" s="156" t="n"/>
      <c r="V64" s="156" t="inlineStr">
        <is>
          <t>PZS</t>
        </is>
      </c>
      <c r="W64" s="51" t="inlineStr">
        <is>
          <t>53102516</t>
        </is>
      </c>
      <c r="X64" s="156" t="inlineStr">
        <is>
          <t>https://7913364.app.netsuite.com/core/media/media.nl?id=188373&amp;c=7913364&amp;h=mOo4L-taU9DtsYwB2q7830yH54bz-DCHgal6BUDXspayxujD</t>
        </is>
      </c>
      <c r="Y64" s="54" t="n">
        <v>8.5</v>
      </c>
      <c r="Z64" s="54" t="n">
        <v>699</v>
      </c>
      <c r="AA64" s="55">
        <f>IF(AND(A64="", B64="", E64=""), "", IF(AB64="", "Válido", IF((LEN(AB64)-LEN(SUBSTITUTE(AB64,"; ","")))/2+1&gt;(LEN(AB64)-LEN(SUBSTITUTE(AB64,"[Aviso]","")))/7, "Con Incidencias", "Válido")))</f>
        <v/>
      </c>
      <c r="AB64" s="56">
        <f>IF(AND(A64="", B64="", E64=""), "", TEXTJOIN("; ", TRUE, IF(OR(TRIM(A64&amp;"")="", ISNUMBER(SEARCH("FALTA", A64))), "UPC faltante/inválido", ""), IF(AND(A64&lt;&gt;"", IFERROR(_xlfn.XMATCH(A64,$A$2:$A$370,0,1)&lt;&gt;_xlfn.XMATCH(A64,$A$2:$A$370,0,-1),FALSE)), "Código de barras duplicado", ""), IF(AND(E64&lt;&gt;"", COUNTIF($E$2:$E$370, E64)&gt;1), "SKU duplicado", ""), IF(OR(J64="", J64=""), "[Aviso] División no capturada ()", IF(ISNA(MATCH(J64, Criterios!$A$123:$A$126, 0)), "División no válida", "")), IF(OR(K64="", K64=""), "[Aviso] Categoría no capturada ()", IF(ISNA(MATCH(K64, Criterios!$A$81:$A$120, 0)), "Categoría no válida", IF(AND(J64&lt;&gt;"", J64&lt;&gt;"", J64&lt;&gt;VLOOKUP(K64, Criterios!$A$81:$B$120, 2, FALSE)), "División no coincide con Categoría", ""))), IF(OR(L64="", L64=""), "[Aviso] Género no capturado ()", IF(ISNA(MATCH(L64, Criterios!$B$123:$B$127, 0)), "Género no válido", "")), IF(OR(N64="", N64=""), "[Aviso] Temporada no capturada ()", IF(ISNA(MATCH(N64, Criterios!$C$123:$C$128, 0)), "Temporada no válida", "")), IF(OR(O64="", O64=""), "[Aviso] Ciclo de vida no capturado ()", IF(ISNA(MATCH(O64, Criterios!$D$123:$D$124, 0)), "Ciclo de vida no válido", ""))))</f>
        <v/>
      </c>
      <c r="AC64" s="56" t="n"/>
      <c r="AD64" s="51" t="n">
        <v>-249</v>
      </c>
      <c r="AE64" s="156" t="inlineStr">
        <is>
          <t>CL Muestras (1)</t>
        </is>
      </c>
      <c r="AF64" s="51" t="n">
        <v>1</v>
      </c>
      <c r="AG64" s="156" t="inlineStr">
        <is>
          <t>Nuevo – NetSuite con existencia</t>
        </is>
      </c>
      <c r="AH64" s="156" t="inlineStr">
        <is>
          <t>Composición CAPSLAB varía por modelo (50/50, 40/60 o 100% poliéster): validar etiqueta; Físico total NetSuite -249 ≠ suma por ubicación 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4" s="156" t="inlineStr">
        <is>
          <t>No</t>
        </is>
      </c>
      <c r="AJ64" s="156" t="n"/>
      <c r="AK64" s="155" t="inlineStr">
        <is>
          <t>G1522ProductosTodosloscamposSandboxResults894.xlsx: fila 47665 [Y]; G1522_Extraccion_Articulos_NetSuite_2026-09-30.xlsx: fila 20847 [Z]</t>
        </is>
      </c>
      <c r="AL64" s="58" t="n">
        <v>8.5</v>
      </c>
      <c r="AM64" s="58" t="n"/>
      <c r="AN64" s="155" t="n"/>
      <c r="AO64" s="59" t="n"/>
      <c r="AP64" s="59" t="n"/>
      <c r="AQ64" s="59" t="n"/>
      <c r="AR64" s="155" t="n"/>
    </row>
    <row r="65">
      <c r="A65" s="50" t="inlineStr">
        <is>
          <t>3614001552337</t>
        </is>
      </c>
      <c r="B65" s="51" t="inlineStr">
        <is>
          <t>69588</t>
        </is>
      </c>
      <c r="C65" s="156" t="inlineStr">
        <is>
          <t>CAPSLAB</t>
        </is>
      </c>
      <c r="D65" s="156" t="inlineStr">
        <is>
          <t>CL/DBS3/1/CAS/GOK1</t>
        </is>
      </c>
      <c r="E65" s="156" t="inlineStr">
        <is>
          <t>CL/DBS3/1/CAS/GOK1-UNI</t>
        </is>
      </c>
      <c r="F65" s="156" t="inlineStr">
        <is>
          <t>Talla única</t>
        </is>
      </c>
      <c r="G65" s="156" t="inlineStr">
        <is>
          <t>One Size</t>
        </is>
      </c>
      <c r="H65" s="156" t="inlineStr">
        <is>
          <t>CAPSLAB</t>
        </is>
      </c>
      <c r="I65" s="156" t="inlineStr">
        <is>
          <t>Gorra trucker CAPSLAB Dragon Ball Saga Goku</t>
        </is>
      </c>
      <c r="J65" s="156" t="inlineStr">
        <is>
          <t>Accesorios</t>
        </is>
      </c>
      <c r="K65" s="156" t="inlineStr">
        <is>
          <t>Gorras</t>
        </is>
      </c>
      <c r="L65" s="156" t="inlineStr">
        <is>
          <t>Unisex</t>
        </is>
      </c>
      <c r="M65" s="156" t="inlineStr">
        <is>
          <t>Dragon Ball Saga</t>
        </is>
      </c>
      <c r="N65" s="156" t="n"/>
      <c r="O65" s="156" t="n"/>
      <c r="P65" s="156" t="n"/>
      <c r="Q65" s="156" t="n"/>
      <c r="R65" s="156" t="n"/>
      <c r="S65" s="156" t="inlineStr">
        <is>
          <t>Algodón / Poliéster</t>
        </is>
      </c>
      <c r="T65" s="156" t="inlineStr">
        <is>
          <t>Gorra trucker de la marca CAPSLAB bajo licencia oficial Dragon Ball Saga, personaje Goku. Talla única ajustable. Estilo CL/DBS3/1/CAS/GOK1.</t>
        </is>
      </c>
      <c r="U65" s="156" t="n"/>
      <c r="V65" s="156" t="inlineStr">
        <is>
          <t>PZS</t>
        </is>
      </c>
      <c r="W65" s="51" t="inlineStr">
        <is>
          <t>53102516</t>
        </is>
      </c>
      <c r="X65" s="156" t="inlineStr">
        <is>
          <t>https://i.ibb.co/RN7stZn/CLDBS31-CASGOK1.jpg</t>
        </is>
      </c>
      <c r="Y65" s="54" t="n"/>
      <c r="Z65" s="54" t="n">
        <v>699</v>
      </c>
      <c r="AA65" s="55">
        <f>IF(AND(A65="", B65="", E65=""), "", IF(AB65="", "Válido", IF((LEN(AB65)-LEN(SUBSTITUTE(AB65,"; ","")))/2+1&gt;(LEN(AB65)-LEN(SUBSTITUTE(AB65,"[Aviso]","")))/7, "Con Incidencias", "Válido")))</f>
        <v/>
      </c>
      <c r="AB65" s="56">
        <f>IF(AND(A65="", B65="", E65=""), "", TEXTJOIN("; ", TRUE, IF(OR(TRIM(A65&amp;"")="", ISNUMBER(SEARCH("FALTA", A65))), "UPC faltante/inválido", ""), IF(AND(A65&lt;&gt;"", IFERROR(_xlfn.XMATCH(A65,$A$2:$A$370,0,1)&lt;&gt;_xlfn.XMATCH(A65,$A$2:$A$370,0,-1),FALSE)), "Código de barras duplicado", ""), IF(AND(E65&lt;&gt;"", COUNTIF($E$2:$E$370, E65)&gt;1), "SKU duplicado", ""), IF(OR(J65="", J65=""), "[Aviso] División no capturada ()", IF(ISNA(MATCH(J65, Criterios!$A$123:$A$126, 0)), "División no válida", "")), IF(OR(K65="", K65=""), "[Aviso] Categoría no capturada ()", IF(ISNA(MATCH(K65, Criterios!$A$81:$A$120, 0)), "Categoría no válida", IF(AND(J65&lt;&gt;"", J65&lt;&gt;"", J65&lt;&gt;VLOOKUP(K65, Criterios!$A$81:$B$120, 2, FALSE)), "División no coincide con Categoría", ""))), IF(OR(L65="", L65=""), "[Aviso] Género no capturado ()", IF(ISNA(MATCH(L65, Criterios!$B$123:$B$127, 0)), "Género no válido", "")), IF(OR(N65="", N65=""), "[Aviso] Temporada no capturada ()", IF(ISNA(MATCH(N65, Criterios!$C$123:$C$128, 0)), "Temporada no válida", "")), IF(OR(O65="", O65=""), "[Aviso] Ciclo de vida no capturado ()", IF(ISNA(MATCH(O65, Criterios!$D$123:$D$124, 0)), "Ciclo de vida no válido", ""))))</f>
        <v/>
      </c>
      <c r="AC65" s="56" t="n"/>
      <c r="AD65" s="51" t="n">
        <v>2</v>
      </c>
      <c r="AE65" s="156" t="inlineStr">
        <is>
          <t>CL Muestras (2)</t>
        </is>
      </c>
      <c r="AF65" s="51" t="n">
        <v>2</v>
      </c>
      <c r="AG65" s="156" t="inlineStr">
        <is>
          <t>Nuevo – NetSuite con existencia</t>
        </is>
      </c>
      <c r="AH65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65" s="156" t="inlineStr">
        <is>
          <t>No</t>
        </is>
      </c>
      <c r="AJ65" s="156" t="n"/>
      <c r="AK65" s="155" t="inlineStr">
        <is>
          <t>G1522ProductosTodosloscamposSandboxResults894.xlsx: fila 47667 [X]; G1522_Extraccion_Articulos_NetSuite_2026-09-30.xlsx: fila 30318 [Z]</t>
        </is>
      </c>
      <c r="AL65" s="58" t="n"/>
      <c r="AM65" s="58" t="n"/>
      <c r="AN65" s="155" t="n"/>
      <c r="AO65" s="59" t="n"/>
      <c r="AP65" s="59" t="n"/>
      <c r="AQ65" s="59" t="n"/>
      <c r="AR65" s="155" t="n"/>
    </row>
    <row r="66">
      <c r="A66" s="50" t="inlineStr">
        <is>
          <t>3614001552351</t>
        </is>
      </c>
      <c r="B66" s="51" t="inlineStr">
        <is>
          <t>57342</t>
        </is>
      </c>
      <c r="C66" s="156" t="inlineStr">
        <is>
          <t>CAPSLAB</t>
        </is>
      </c>
      <c r="D66" s="156" t="inlineStr">
        <is>
          <t>CL/DBS3/1/CAS/VEG1</t>
        </is>
      </c>
      <c r="E66" s="156" t="inlineStr">
        <is>
          <t>CL/DBS3/1/CAS/VEG1-UNI</t>
        </is>
      </c>
      <c r="F66" s="156" t="inlineStr">
        <is>
          <t>Talla única</t>
        </is>
      </c>
      <c r="G66" s="156" t="inlineStr">
        <is>
          <t>One Size</t>
        </is>
      </c>
      <c r="H66" s="156" t="inlineStr">
        <is>
          <t>CAPSLAB</t>
        </is>
      </c>
      <c r="I66" s="156" t="inlineStr">
        <is>
          <t>Gorra trucker CAPSLAB Dragon Ball Super Vegeta Negro</t>
        </is>
      </c>
      <c r="J66" s="156" t="inlineStr">
        <is>
          <t>Accesorios</t>
        </is>
      </c>
      <c r="K66" s="156" t="inlineStr">
        <is>
          <t>Gorras</t>
        </is>
      </c>
      <c r="L66" s="156" t="inlineStr">
        <is>
          <t>Unisex</t>
        </is>
      </c>
      <c r="M66" s="156" t="inlineStr">
        <is>
          <t>Dragon Ball Super</t>
        </is>
      </c>
      <c r="N66" s="156" t="n"/>
      <c r="O66" s="156" t="n"/>
      <c r="P66" s="156" t="inlineStr">
        <is>
          <t>Negro</t>
        </is>
      </c>
      <c r="Q66" s="156" t="n"/>
      <c r="R66" s="156" t="n"/>
      <c r="S66" s="156" t="inlineStr">
        <is>
          <t>Algodón / Poliéster</t>
        </is>
      </c>
      <c r="T66" s="156" t="inlineStr">
        <is>
          <t>Gorra trucker de la marca CAPSLAB bajo licencia oficial Dragon Ball Super, personaje Vegeta. Talla única ajustable. Estilo CL/DBS3/1/CAS/VEG1.</t>
        </is>
      </c>
      <c r="U66" s="156" t="n"/>
      <c r="V66" s="156" t="inlineStr">
        <is>
          <t>PZS</t>
        </is>
      </c>
      <c r="W66" s="51" t="inlineStr">
        <is>
          <t>53102516</t>
        </is>
      </c>
      <c r="X66" s="156" t="inlineStr">
        <is>
          <t>https://7913364.app.netsuite.com/core/media/media.nl?id=188193&amp;c=7913364&amp;h=ukk7RxpKxAqe7mPCsVRE3WdkZ8jz-tukXrgLkCi_AaIAcJBB</t>
        </is>
      </c>
      <c r="Y66" s="54" t="n">
        <v>8.5</v>
      </c>
      <c r="Z66" s="54" t="n">
        <v>699</v>
      </c>
      <c r="AA66" s="55">
        <f>IF(AND(A66="", B66="", E66=""), "", IF(AB66="", "Válido", IF((LEN(AB66)-LEN(SUBSTITUTE(AB66,"; ","")))/2+1&gt;(LEN(AB66)-LEN(SUBSTITUTE(AB66,"[Aviso]","")))/7, "Con Incidencias", "Válido")))</f>
        <v/>
      </c>
      <c r="AB66" s="56">
        <f>IF(AND(A66="", B66="", E66=""), "", TEXTJOIN("; ", TRUE, IF(OR(TRIM(A66&amp;"")="", ISNUMBER(SEARCH("FALTA", A66))), "UPC faltante/inválido", ""), IF(AND(A66&lt;&gt;"", IFERROR(_xlfn.XMATCH(A66,$A$2:$A$370,0,1)&lt;&gt;_xlfn.XMATCH(A66,$A$2:$A$370,0,-1),FALSE)), "Código de barras duplicado", ""), IF(AND(E66&lt;&gt;"", COUNTIF($E$2:$E$370, E66)&gt;1), "SKU duplicado", ""), IF(OR(J66="", J66=""), "[Aviso] División no capturada ()", IF(ISNA(MATCH(J66, Criterios!$A$123:$A$126, 0)), "División no válida", "")), IF(OR(K66="", K66=""), "[Aviso] Categoría no capturada ()", IF(ISNA(MATCH(K66, Criterios!$A$81:$A$120, 0)), "Categoría no válida", IF(AND(J66&lt;&gt;"", J66&lt;&gt;"", J66&lt;&gt;VLOOKUP(K66, Criterios!$A$81:$B$120, 2, FALSE)), "División no coincide con Categoría", ""))), IF(OR(L66="", L66=""), "[Aviso] Género no capturado ()", IF(ISNA(MATCH(L66, Criterios!$B$123:$B$127, 0)), "Género no válido", "")), IF(OR(N66="", N66=""), "[Aviso] Temporada no capturada ()", IF(ISNA(MATCH(N66, Criterios!$C$123:$C$128, 0)), "Temporada no válida", "")), IF(OR(O66="", O66=""), "[Aviso] Ciclo de vida no capturado ()", IF(ISNA(MATCH(O66, Criterios!$D$123:$D$124, 0)), "Ciclo de vida no válido", ""))))</f>
        <v/>
      </c>
      <c r="AC66" s="56" t="n"/>
      <c r="AD66" s="51" t="n">
        <v>28</v>
      </c>
      <c r="AE66" s="156" t="inlineStr">
        <is>
          <t>CL POS (4); Web (2); CAPSLAB Warehouse (18); CL Muestras (2)</t>
        </is>
      </c>
      <c r="AF66" s="51" t="n">
        <v>28</v>
      </c>
      <c r="AG66" s="156" t="inlineStr">
        <is>
          <t>Nuevo – NetSuite con existencia</t>
        </is>
      </c>
      <c r="AH66" s="156" t="inlineStr">
        <is>
          <t>Composición CAPSLAB varía por modelo (50/50, 40/60 o 100% poliéster): validar etiqueta; Físico total NetSuite 28 ≠ suma por ubicación 26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6" s="156" t="inlineStr">
        <is>
          <t>No</t>
        </is>
      </c>
      <c r="AJ66" s="156" t="n"/>
      <c r="AK66" s="155" t="inlineStr">
        <is>
          <t>G1522ProductosTodosloscamposSandboxResults894.xlsx: fila 47669 [Y]; G1522_Extraccion_Articulos_NetSuite_2026-09-30.xlsx: fila 20725 [Z]</t>
        </is>
      </c>
      <c r="AL66" s="58" t="n">
        <v>8.5</v>
      </c>
      <c r="AM66" s="58" t="n"/>
      <c r="AN66" s="155" t="n"/>
      <c r="AO66" s="59" t="n"/>
      <c r="AP66" s="59" t="n"/>
      <c r="AQ66" s="59" t="n"/>
      <c r="AR66" s="155" t="n"/>
    </row>
    <row r="67">
      <c r="A67" s="50" t="inlineStr">
        <is>
          <t>3614001552368</t>
        </is>
      </c>
      <c r="B67" s="51" t="inlineStr">
        <is>
          <t>57466</t>
        </is>
      </c>
      <c r="C67" s="156" t="inlineStr">
        <is>
          <t>CAPSLAB</t>
        </is>
      </c>
      <c r="D67" s="156" t="inlineStr">
        <is>
          <t>CL/DBS3/1/CASF/SA1</t>
        </is>
      </c>
      <c r="E67" s="156" t="inlineStr">
        <is>
          <t>CL/DBS3/1/CASF/SA1-UNI</t>
        </is>
      </c>
      <c r="F67" s="156" t="inlineStr">
        <is>
          <t>Talla única</t>
        </is>
      </c>
      <c r="G67" s="156" t="inlineStr">
        <is>
          <t>One Size</t>
        </is>
      </c>
      <c r="H67" s="156" t="inlineStr">
        <is>
          <t>CAPSLAB</t>
        </is>
      </c>
      <c r="I67" s="156" t="inlineStr">
        <is>
          <t>Gorra CAPSLAB Dragon Ball Negro</t>
        </is>
      </c>
      <c r="J67" s="156" t="inlineStr">
        <is>
          <t>Accesorios</t>
        </is>
      </c>
      <c r="K67" s="156" t="inlineStr">
        <is>
          <t>Gorras</t>
        </is>
      </c>
      <c r="L67" s="156" t="inlineStr">
        <is>
          <t>Unisex</t>
        </is>
      </c>
      <c r="M67" s="156" t="inlineStr">
        <is>
          <t>Dragon Ball</t>
        </is>
      </c>
      <c r="N67" s="156" t="n"/>
      <c r="O67" s="156" t="n"/>
      <c r="P67" s="156" t="inlineStr">
        <is>
          <t>Negro</t>
        </is>
      </c>
      <c r="Q67" s="156" t="n"/>
      <c r="R67" s="156" t="n"/>
      <c r="S67" s="156" t="inlineStr">
        <is>
          <t>Algodón / Poliéster</t>
        </is>
      </c>
      <c r="T67" s="156" t="inlineStr">
        <is>
          <t>Gorra de la marca CAPSLAB bajo licencia oficial Dragon Ball. Talla única ajustable. Estilo CL/DBS3/1/CASF/SA1.</t>
        </is>
      </c>
      <c r="U67" s="156" t="n"/>
      <c r="V67" s="156" t="inlineStr">
        <is>
          <t>PZS</t>
        </is>
      </c>
      <c r="W67" s="51" t="inlineStr">
        <is>
          <t>53102516</t>
        </is>
      </c>
      <c r="X67" s="156" t="inlineStr">
        <is>
          <t>https://7913364.app.netsuite.com/core/media/media.nl?id=188374&amp;c=7913364&amp;h=4hhGXkNOJwqTYbKk6wD_JAL6ErR9nXdwuk0STJR1KbsV_H4o</t>
        </is>
      </c>
      <c r="Y67" s="54" t="n">
        <v>8.5</v>
      </c>
      <c r="Z67" s="54" t="n">
        <v>699</v>
      </c>
      <c r="AA67" s="55">
        <f>IF(AND(A67="", B67="", E67=""), "", IF(AB67="", "Válido", IF((LEN(AB67)-LEN(SUBSTITUTE(AB67,"; ","")))/2+1&gt;(LEN(AB67)-LEN(SUBSTITUTE(AB67,"[Aviso]","")))/7, "Con Incidencias", "Válido")))</f>
        <v/>
      </c>
      <c r="AB67" s="56">
        <f>IF(AND(A67="", B67="", E67=""), "", TEXTJOIN("; ", TRUE, IF(OR(TRIM(A67&amp;"")="", ISNUMBER(SEARCH("FALTA", A67))), "UPC faltante/inválido", ""), IF(AND(A67&lt;&gt;"", IFERROR(_xlfn.XMATCH(A67,$A$2:$A$370,0,1)&lt;&gt;_xlfn.XMATCH(A67,$A$2:$A$370,0,-1),FALSE)), "Código de barras duplicado", ""), IF(AND(E67&lt;&gt;"", COUNTIF($E$2:$E$370, E67)&gt;1), "SKU duplicado", ""), IF(OR(J67="", J67=""), "[Aviso] División no capturada ()", IF(ISNA(MATCH(J67, Criterios!$A$123:$A$126, 0)), "División no válida", "")), IF(OR(K67="", K67=""), "[Aviso] Categoría no capturada ()", IF(ISNA(MATCH(K67, Criterios!$A$81:$A$120, 0)), "Categoría no válida", IF(AND(J67&lt;&gt;"", J67&lt;&gt;"", J67&lt;&gt;VLOOKUP(K67, Criterios!$A$81:$B$120, 2, FALSE)), "División no coincide con Categoría", ""))), IF(OR(L67="", L67=""), "[Aviso] Género no capturado ()", IF(ISNA(MATCH(L67, Criterios!$B$123:$B$127, 0)), "Género no válido", "")), IF(OR(N67="", N67=""), "[Aviso] Temporada no capturada ()", IF(ISNA(MATCH(N67, Criterios!$C$123:$C$128, 0)), "Temporada no válida", "")), IF(OR(O67="", O67=""), "[Aviso] Ciclo de vida no capturado ()", IF(ISNA(MATCH(O67, Criterios!$D$123:$D$124, 0)), "Ciclo de vida no válido", ""))))</f>
        <v/>
      </c>
      <c r="AC67" s="56" t="n"/>
      <c r="AD67" s="51" t="n">
        <v>16</v>
      </c>
      <c r="AE67" s="156" t="inlineStr">
        <is>
          <t>CL POS (4); Web (2); CL Muestras (2); CAPSLAB Warehouse (5)</t>
        </is>
      </c>
      <c r="AF67" s="51" t="n">
        <v>16</v>
      </c>
      <c r="AG67" s="156" t="inlineStr">
        <is>
          <t>Nuevo – NetSuite con existencia</t>
        </is>
      </c>
      <c r="AH67" s="156" t="inlineStr">
        <is>
          <t>Composición CAPSLAB varía por modelo (50/50, 40/60 o 100% poliéster): validar etiqueta; Físico total NetSuite 16 ≠ suma por ubicación 13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7" s="156" t="inlineStr">
        <is>
          <t>No</t>
        </is>
      </c>
      <c r="AJ67" s="156" t="n"/>
      <c r="AK67" s="155" t="inlineStr">
        <is>
          <t>G1522ProductosTodosloscamposSandboxResults894.xlsx: fila 47671 [Y]; G1522_Extraccion_Articulos_NetSuite_2026-09-30.xlsx: fila 20848 [Z]</t>
        </is>
      </c>
      <c r="AL67" s="58" t="n">
        <v>8.5</v>
      </c>
      <c r="AM67" s="58" t="n"/>
      <c r="AN67" s="155" t="n"/>
      <c r="AO67" s="59" t="n"/>
      <c r="AP67" s="59" t="n"/>
      <c r="AQ67" s="59" t="n"/>
      <c r="AR67" s="155" t="n"/>
    </row>
    <row r="68">
      <c r="A68" s="50" t="inlineStr">
        <is>
          <t>3614001552375</t>
        </is>
      </c>
      <c r="B68" s="51" t="inlineStr">
        <is>
          <t>57467</t>
        </is>
      </c>
      <c r="C68" s="156" t="inlineStr">
        <is>
          <t>CAPSLAB</t>
        </is>
      </c>
      <c r="D68" s="156" t="inlineStr">
        <is>
          <t>CL/DBS3/1/CASF/SA2</t>
        </is>
      </c>
      <c r="E68" s="156" t="inlineStr">
        <is>
          <t>CL/DBS3/1/CASF/SA2-UNI</t>
        </is>
      </c>
      <c r="F68" s="156" t="inlineStr">
        <is>
          <t>Talla única</t>
        </is>
      </c>
      <c r="G68" s="156" t="inlineStr">
        <is>
          <t>One Size</t>
        </is>
      </c>
      <c r="H68" s="156" t="inlineStr">
        <is>
          <t>CAPSLAB</t>
        </is>
      </c>
      <c r="I68" s="156" t="inlineStr">
        <is>
          <t>Gorra CAPSLAB Dragon Ball Azul</t>
        </is>
      </c>
      <c r="J68" s="156" t="inlineStr">
        <is>
          <t>Accesorios</t>
        </is>
      </c>
      <c r="K68" s="156" t="inlineStr">
        <is>
          <t>Gorras</t>
        </is>
      </c>
      <c r="L68" s="156" t="inlineStr">
        <is>
          <t>Unisex</t>
        </is>
      </c>
      <c r="M68" s="156" t="inlineStr">
        <is>
          <t>Dragon Ball</t>
        </is>
      </c>
      <c r="N68" s="156" t="n"/>
      <c r="O68" s="156" t="n"/>
      <c r="P68" s="156" t="inlineStr">
        <is>
          <t>Azul</t>
        </is>
      </c>
      <c r="Q68" s="156" t="n"/>
      <c r="R68" s="156" t="n"/>
      <c r="S68" s="156" t="inlineStr">
        <is>
          <t>Algodón / Poliéster</t>
        </is>
      </c>
      <c r="T68" s="156" t="inlineStr">
        <is>
          <t>Gorra de la marca CAPSLAB bajo licencia oficial Dragon Ball. Talla única ajustable. Estilo CL/DBS3/1/CASF/SA2.</t>
        </is>
      </c>
      <c r="U68" s="156" t="n"/>
      <c r="V68" s="156" t="inlineStr">
        <is>
          <t>PZS</t>
        </is>
      </c>
      <c r="W68" s="51" t="inlineStr">
        <is>
          <t>53102516</t>
        </is>
      </c>
      <c r="X68" s="156" t="inlineStr">
        <is>
          <t>https://7913364.app.netsuite.com/core/media/media.nl?id=188375&amp;c=7913364&amp;h=9wsghJcZmLwrFq5zUP5U9TyHWz3LPS277TjzuYFRst6UCr03</t>
        </is>
      </c>
      <c r="Y68" s="54" t="n">
        <v>8.5</v>
      </c>
      <c r="Z68" s="54" t="n">
        <v>699</v>
      </c>
      <c r="AA68" s="55">
        <f>IF(AND(A68="", B68="", E68=""), "", IF(AB68="", "Válido", IF((LEN(AB68)-LEN(SUBSTITUTE(AB68,"; ","")))/2+1&gt;(LEN(AB68)-LEN(SUBSTITUTE(AB68,"[Aviso]","")))/7, "Con Incidencias", "Válido")))</f>
        <v/>
      </c>
      <c r="AB68" s="56">
        <f>IF(AND(A68="", B68="", E68=""), "", TEXTJOIN("; ", TRUE, IF(OR(TRIM(A68&amp;"")="", ISNUMBER(SEARCH("FALTA", A68))), "UPC faltante/inválido", ""), IF(AND(A68&lt;&gt;"", IFERROR(_xlfn.XMATCH(A68,$A$2:$A$370,0,1)&lt;&gt;_xlfn.XMATCH(A68,$A$2:$A$370,0,-1),FALSE)), "Código de barras duplicado", ""), IF(AND(E68&lt;&gt;"", COUNTIF($E$2:$E$370, E68)&gt;1), "SKU duplicado", ""), IF(OR(J68="", J68=""), "[Aviso] División no capturada ()", IF(ISNA(MATCH(J68, Criterios!$A$123:$A$126, 0)), "División no válida", "")), IF(OR(K68="", K68=""), "[Aviso] Categoría no capturada ()", IF(ISNA(MATCH(K68, Criterios!$A$81:$A$120, 0)), "Categoría no válida", IF(AND(J68&lt;&gt;"", J68&lt;&gt;"", J68&lt;&gt;VLOOKUP(K68, Criterios!$A$81:$B$120, 2, FALSE)), "División no coincide con Categoría", ""))), IF(OR(L68="", L68=""), "[Aviso] Género no capturado ()", IF(ISNA(MATCH(L68, Criterios!$B$123:$B$127, 0)), "Género no válido", "")), IF(OR(N68="", N68=""), "[Aviso] Temporada no capturada ()", IF(ISNA(MATCH(N68, Criterios!$C$123:$C$128, 0)), "Temporada no válida", "")), IF(OR(O68="", O68=""), "[Aviso] Ciclo de vida no capturado ()", IF(ISNA(MATCH(O68, Criterios!$D$123:$D$124, 0)), "Ciclo de vida no válido", ""))))</f>
        <v/>
      </c>
      <c r="AC68" s="56" t="n"/>
      <c r="AD68" s="51" t="n">
        <v>-243</v>
      </c>
      <c r="AE68" s="156" t="inlineStr">
        <is>
          <t>CAPSLAB Warehouse (2); CL Muestras (1); CL POS (4)</t>
        </is>
      </c>
      <c r="AF68" s="51" t="n">
        <v>7</v>
      </c>
      <c r="AG68" s="156" t="inlineStr">
        <is>
          <t>Nuevo – NetSuite con existencia</t>
        </is>
      </c>
      <c r="AH68" s="156" t="inlineStr">
        <is>
          <t>Composición CAPSLAB varía por modelo (50/50, 40/60 o 100% poliéster): validar etiqueta; Físico total NetSuite -243 ≠ suma por ubicación 7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8" s="156" t="inlineStr">
        <is>
          <t>No</t>
        </is>
      </c>
      <c r="AJ68" s="156" t="n"/>
      <c r="AK68" s="155" t="inlineStr">
        <is>
          <t>G1522ProductosTodosloscamposSandboxResults894.xlsx: fila 47673 [Y]; G1522_Extraccion_Articulos_NetSuite_2026-09-30.xlsx: fila 20849 [Z]</t>
        </is>
      </c>
      <c r="AL68" s="58" t="n">
        <v>8.5</v>
      </c>
      <c r="AM68" s="58" t="n"/>
      <c r="AN68" s="155" t="n"/>
      <c r="AO68" s="59" t="n"/>
      <c r="AP68" s="59" t="n"/>
      <c r="AQ68" s="59" t="n"/>
      <c r="AR68" s="155" t="n"/>
    </row>
    <row r="69">
      <c r="A69" s="50" t="inlineStr">
        <is>
          <t>3614001552382</t>
        </is>
      </c>
      <c r="B69" s="51" t="inlineStr">
        <is>
          <t>57468</t>
        </is>
      </c>
      <c r="C69" s="156" t="inlineStr">
        <is>
          <t>CAPSLAB</t>
        </is>
      </c>
      <c r="D69" s="156" t="inlineStr">
        <is>
          <t>CL/DBS3/1/CASX/RO2</t>
        </is>
      </c>
      <c r="E69" s="156" t="inlineStr">
        <is>
          <t>CL/DBS3/1/CASX/RO2-uNI</t>
        </is>
      </c>
      <c r="F69" s="156" t="inlineStr">
        <is>
          <t>Talla única</t>
        </is>
      </c>
      <c r="G69" s="156" t="inlineStr">
        <is>
          <t>One Size</t>
        </is>
      </c>
      <c r="H69" s="156" t="inlineStr">
        <is>
          <t>CAPSLAB</t>
        </is>
      </c>
      <c r="I69" s="156" t="inlineStr">
        <is>
          <t>Gorra CAPSLAB Dragon Ball Café</t>
        </is>
      </c>
      <c r="J69" s="156" t="inlineStr">
        <is>
          <t>Accesorios</t>
        </is>
      </c>
      <c r="K69" s="156" t="inlineStr">
        <is>
          <t>Gorras</t>
        </is>
      </c>
      <c r="L69" s="156" t="inlineStr">
        <is>
          <t>Unisex</t>
        </is>
      </c>
      <c r="M69" s="156" t="inlineStr">
        <is>
          <t>Dragon Ball</t>
        </is>
      </c>
      <c r="N69" s="156" t="n"/>
      <c r="O69" s="156" t="n"/>
      <c r="P69" s="156" t="inlineStr">
        <is>
          <t>Cafe</t>
        </is>
      </c>
      <c r="Q69" s="156" t="n"/>
      <c r="R69" s="156" t="n"/>
      <c r="S69" s="156" t="inlineStr">
        <is>
          <t>Algodón / Poliéster</t>
        </is>
      </c>
      <c r="T69" s="156" t="inlineStr">
        <is>
          <t>Gorra de la marca CAPSLAB bajo licencia oficial Dragon Ball. Talla única ajustable. Estilo CL/DBS3/1/CASX/RO2.</t>
        </is>
      </c>
      <c r="U69" s="156" t="n"/>
      <c r="V69" s="156" t="inlineStr">
        <is>
          <t>PZS</t>
        </is>
      </c>
      <c r="W69" s="51" t="inlineStr">
        <is>
          <t>53102516</t>
        </is>
      </c>
      <c r="X69" s="156" t="inlineStr">
        <is>
          <t>https://7913364.app.netsuite.com/core/media/media.nl?id=188376&amp;c=7913364&amp;h=OSWOaW5v30L3xJvhhNlGnZiUNSij6xfYXwo7qXZP8AG6e2OK</t>
        </is>
      </c>
      <c r="Y69" s="54" t="n">
        <v>8.5</v>
      </c>
      <c r="Z69" s="54" t="n">
        <v>699</v>
      </c>
      <c r="AA69" s="55">
        <f>IF(AND(A69="", B69="", E69=""), "", IF(AB69="", "Válido", IF((LEN(AB69)-LEN(SUBSTITUTE(AB69,"; ","")))/2+1&gt;(LEN(AB69)-LEN(SUBSTITUTE(AB69,"[Aviso]","")))/7, "Con Incidencias", "Válido")))</f>
        <v/>
      </c>
      <c r="AB69" s="56">
        <f>IF(AND(A69="", B69="", E69=""), "", TEXTJOIN("; ", TRUE, IF(OR(TRIM(A69&amp;"")="", ISNUMBER(SEARCH("FALTA", A69))), "UPC faltante/inválido", ""), IF(AND(A69&lt;&gt;"", IFERROR(_xlfn.XMATCH(A69,$A$2:$A$370,0,1)&lt;&gt;_xlfn.XMATCH(A69,$A$2:$A$370,0,-1),FALSE)), "Código de barras duplicado", ""), IF(AND(E69&lt;&gt;"", COUNTIF($E$2:$E$370, E69)&gt;1), "SKU duplicado", ""), IF(OR(J69="", J69=""), "[Aviso] División no capturada ()", IF(ISNA(MATCH(J69, Criterios!$A$123:$A$126, 0)), "División no válida", "")), IF(OR(K69="", K69=""), "[Aviso] Categoría no capturada ()", IF(ISNA(MATCH(K69, Criterios!$A$81:$A$120, 0)), "Categoría no válida", IF(AND(J69&lt;&gt;"", J69&lt;&gt;"", J69&lt;&gt;VLOOKUP(K69, Criterios!$A$81:$B$120, 2, FALSE)), "División no coincide con Categoría", ""))), IF(OR(L69="", L69=""), "[Aviso] Género no capturado ()", IF(ISNA(MATCH(L69, Criterios!$B$123:$B$127, 0)), "Género no válido", "")), IF(OR(N69="", N69=""), "[Aviso] Temporada no capturada ()", IF(ISNA(MATCH(N69, Criterios!$C$123:$C$128, 0)), "Temporada no válida", "")), IF(OR(O69="", O69=""), "[Aviso] Ciclo de vida no capturado ()", IF(ISNA(MATCH(O69, Criterios!$D$123:$D$124, 0)), "Ciclo de vida no válido", ""))))</f>
        <v/>
      </c>
      <c r="AC69" s="56" t="n"/>
      <c r="AD69" s="51" t="n">
        <v>1</v>
      </c>
      <c r="AE69" s="156" t="inlineStr">
        <is>
          <t>CL Muestras (1)</t>
        </is>
      </c>
      <c r="AF69" s="51" t="n">
        <v>1</v>
      </c>
      <c r="AG69" s="156" t="inlineStr">
        <is>
          <t>Nuevo – NetSuite con existencia</t>
        </is>
      </c>
      <c r="AH6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69" s="156" t="inlineStr">
        <is>
          <t>No</t>
        </is>
      </c>
      <c r="AJ69" s="156" t="n"/>
      <c r="AK69" s="155" t="inlineStr">
        <is>
          <t>G1522ProductosTodosloscamposSandboxResults894.xlsx: fila 47675 [Y]; G1522_Extraccion_Articulos_NetSuite_2026-09-30.xlsx: fila 20850 [Z]</t>
        </is>
      </c>
      <c r="AL69" s="58" t="n">
        <v>8.5</v>
      </c>
      <c r="AM69" s="58" t="n"/>
      <c r="AN69" s="155" t="n"/>
      <c r="AO69" s="59" t="n"/>
      <c r="AP69" s="59" t="n"/>
      <c r="AQ69" s="59" t="n"/>
      <c r="AR69" s="155" t="n"/>
    </row>
    <row r="70">
      <c r="A70" s="50" t="inlineStr">
        <is>
          <t>3614001698608</t>
        </is>
      </c>
      <c r="B70" s="51" t="inlineStr">
        <is>
          <t>69589</t>
        </is>
      </c>
      <c r="C70" s="156" t="inlineStr">
        <is>
          <t>CAPSLAB</t>
        </is>
      </c>
      <c r="D70" s="156" t="inlineStr">
        <is>
          <t>CL/DBS4/1/CF/GOL</t>
        </is>
      </c>
      <c r="E70" s="156" t="inlineStr">
        <is>
          <t>CL/DBS4/1/CF/GOL-UNI</t>
        </is>
      </c>
      <c r="F70" s="156" t="inlineStr">
        <is>
          <t>Talla única</t>
        </is>
      </c>
      <c r="G70" s="156" t="inlineStr">
        <is>
          <t>One Size</t>
        </is>
      </c>
      <c r="H70" s="156" t="inlineStr">
        <is>
          <t>CAPSLAB</t>
        </is>
      </c>
      <c r="I70" s="156" t="inlineStr">
        <is>
          <t>Gorra CAPSLAB Dragon Ball Saga</t>
        </is>
      </c>
      <c r="J70" s="156" t="inlineStr">
        <is>
          <t>Accesorios</t>
        </is>
      </c>
      <c r="K70" s="156" t="inlineStr">
        <is>
          <t>Gorras</t>
        </is>
      </c>
      <c r="L70" s="156" t="inlineStr">
        <is>
          <t>Unisex</t>
        </is>
      </c>
      <c r="M70" s="156" t="inlineStr">
        <is>
          <t>Dragon Ball Saga</t>
        </is>
      </c>
      <c r="N70" s="156" t="n"/>
      <c r="O70" s="156" t="n"/>
      <c r="P70" s="156" t="n"/>
      <c r="Q70" s="156" t="n"/>
      <c r="R70" s="156" t="n"/>
      <c r="S70" s="156" t="inlineStr">
        <is>
          <t>Algodón / Poliéster</t>
        </is>
      </c>
      <c r="T70" s="156" t="inlineStr">
        <is>
          <t>Gorra de la marca CAPSLAB bajo licencia oficial Dragon Ball Saga. Talla única ajustable. Estilo CL/DBS4/1/CF/GOL.</t>
        </is>
      </c>
      <c r="U70" s="156" t="n"/>
      <c r="V70" s="156" t="inlineStr">
        <is>
          <t>PZS</t>
        </is>
      </c>
      <c r="W70" s="51" t="inlineStr">
        <is>
          <t>53102516</t>
        </is>
      </c>
      <c r="X70" s="156" t="inlineStr">
        <is>
          <t>https://i.ibb.co/6bMYsMV/CLDBS41-CFGOL.jpg</t>
        </is>
      </c>
      <c r="Y70" s="54" t="n"/>
      <c r="Z70" s="54" t="n">
        <v>799</v>
      </c>
      <c r="AA70" s="55">
        <f>IF(AND(A70="", B70="", E70=""), "", IF(AB70="", "Válido", IF((LEN(AB70)-LEN(SUBSTITUTE(AB70,"; ","")))/2+1&gt;(LEN(AB70)-LEN(SUBSTITUTE(AB70,"[Aviso]","")))/7, "Con Incidencias", "Válido")))</f>
        <v/>
      </c>
      <c r="AB70" s="56">
        <f>IF(AND(A70="", B70="", E70=""), "", TEXTJOIN("; ", TRUE, IF(OR(TRIM(A70&amp;"")="", ISNUMBER(SEARCH("FALTA", A70))), "UPC faltante/inválido", ""), IF(AND(A70&lt;&gt;"", IFERROR(_xlfn.XMATCH(A70,$A$2:$A$370,0,1)&lt;&gt;_xlfn.XMATCH(A70,$A$2:$A$370,0,-1),FALSE)), "Código de barras duplicado", ""), IF(AND(E70&lt;&gt;"", COUNTIF($E$2:$E$370, E70)&gt;1), "SKU duplicado", ""), IF(OR(J70="", J70=""), "[Aviso] División no capturada ()", IF(ISNA(MATCH(J70, Criterios!$A$123:$A$126, 0)), "División no válida", "")), IF(OR(K70="", K70=""), "[Aviso] Categoría no capturada ()", IF(ISNA(MATCH(K70, Criterios!$A$81:$A$120, 0)), "Categoría no válida", IF(AND(J70&lt;&gt;"", J70&lt;&gt;"", J70&lt;&gt;VLOOKUP(K70, Criterios!$A$81:$B$120, 2, FALSE)), "División no coincide con Categoría", ""))), IF(OR(L70="", L70=""), "[Aviso] Género no capturado ()", IF(ISNA(MATCH(L70, Criterios!$B$123:$B$127, 0)), "Género no válido", "")), IF(OR(N70="", N70=""), "[Aviso] Temporada no capturada ()", IF(ISNA(MATCH(N70, Criterios!$C$123:$C$128, 0)), "Temporada no válida", "")), IF(OR(O70="", O70=""), "[Aviso] Ciclo de vida no capturado ()", IF(ISNA(MATCH(O70, Criterios!$D$123:$D$124, 0)), "Ciclo de vida no válido", ""))))</f>
        <v/>
      </c>
      <c r="AC70" s="56" t="n"/>
      <c r="AD70" s="51" t="n">
        <v>106</v>
      </c>
      <c r="AE70" s="156" t="inlineStr">
        <is>
          <t>CAPSLAB Warehouse (50); CL Muestras (1); CL POS (4); Web (2)</t>
        </is>
      </c>
      <c r="AF70" s="51" t="n">
        <v>106</v>
      </c>
      <c r="AG70" s="156" t="inlineStr">
        <is>
          <t>Nuevo – NetSuite con existencia</t>
        </is>
      </c>
      <c r="AH70" s="156" t="inlineStr">
        <is>
          <t>Composición CAPSLAB varía por modelo (50/50, 40/60 o 100% poliéster): validar etiqueta; Color por validar; Físico total NetSuite 106 ≠ suma por ubicación 57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70" s="156" t="inlineStr">
        <is>
          <t>No</t>
        </is>
      </c>
      <c r="AJ70" s="156" t="n"/>
      <c r="AK70" s="155" t="inlineStr">
        <is>
          <t>G1522ProductosTodosloscamposSandboxResults894.xlsx: fila 47677 [X]; G1522_Extraccion_Articulos_NetSuite_2026-09-30.xlsx: fila 30319 [Z]</t>
        </is>
      </c>
      <c r="AL70" s="58" t="n"/>
      <c r="AM70" s="58" t="n"/>
      <c r="AN70" s="155" t="n"/>
      <c r="AO70" s="59" t="n"/>
      <c r="AP70" s="59" t="n"/>
      <c r="AQ70" s="59" t="n"/>
      <c r="AR70" s="155" t="n"/>
    </row>
    <row r="71">
      <c r="A71" s="50" t="inlineStr">
        <is>
          <t>3614001697922</t>
        </is>
      </c>
      <c r="B71" s="51" t="inlineStr">
        <is>
          <t>69590</t>
        </is>
      </c>
      <c r="C71" s="156" t="inlineStr">
        <is>
          <t>CAPSLAB</t>
        </is>
      </c>
      <c r="D71" s="156" t="inlineStr">
        <is>
          <t>CL/DBS4/1/CT/FUS</t>
        </is>
      </c>
      <c r="E71" s="156" t="inlineStr">
        <is>
          <t>CL/DBS4/1/CT/FUS-UNI</t>
        </is>
      </c>
      <c r="F71" s="156" t="inlineStr">
        <is>
          <t>Talla única</t>
        </is>
      </c>
      <c r="G71" s="156" t="inlineStr">
        <is>
          <t>One Size</t>
        </is>
      </c>
      <c r="H71" s="156" t="inlineStr">
        <is>
          <t>CAPSLAB</t>
        </is>
      </c>
      <c r="I71" s="156" t="inlineStr">
        <is>
          <t>Gorra trucker CAPSLAB Dragon Ball Saga</t>
        </is>
      </c>
      <c r="J71" s="156" t="inlineStr">
        <is>
          <t>Accesorios</t>
        </is>
      </c>
      <c r="K71" s="156" t="inlineStr">
        <is>
          <t>Gorras</t>
        </is>
      </c>
      <c r="L71" s="156" t="inlineStr">
        <is>
          <t>Unisex</t>
        </is>
      </c>
      <c r="M71" s="156" t="inlineStr">
        <is>
          <t>Dragon Ball Saga</t>
        </is>
      </c>
      <c r="N71" s="156" t="n"/>
      <c r="O71" s="156" t="n"/>
      <c r="P71" s="156" t="n"/>
      <c r="Q71" s="156" t="n"/>
      <c r="R71" s="156" t="n"/>
      <c r="S71" s="156" t="inlineStr">
        <is>
          <t>Algodón / Poliéster</t>
        </is>
      </c>
      <c r="T71" s="156" t="inlineStr">
        <is>
          <t>Gorra trucker de la marca CAPSLAB bajo licencia oficial Dragon Ball Saga. Talla única ajustable. Estilo CL/DBS4/1/CT/FUS.</t>
        </is>
      </c>
      <c r="U71" s="156" t="n"/>
      <c r="V71" s="156" t="inlineStr">
        <is>
          <t>PZS</t>
        </is>
      </c>
      <c r="W71" s="51" t="inlineStr">
        <is>
          <t>53102516</t>
        </is>
      </c>
      <c r="X71" s="156" t="inlineStr">
        <is>
          <t>https://i.ibb.co/wCr91Fj/CLDBS41-CTFUS.jpg</t>
        </is>
      </c>
      <c r="Y71" s="54" t="n"/>
      <c r="Z71" s="54" t="n">
        <v>799</v>
      </c>
      <c r="AA71" s="55">
        <f>IF(AND(A71="", B71="", E71=""), "", IF(AB71="", "Válido", IF((LEN(AB71)-LEN(SUBSTITUTE(AB71,"; ","")))/2+1&gt;(LEN(AB71)-LEN(SUBSTITUTE(AB71,"[Aviso]","")))/7, "Con Incidencias", "Válido")))</f>
        <v/>
      </c>
      <c r="AB71" s="56">
        <f>IF(AND(A71="", B71="", E71=""), "", TEXTJOIN("; ", TRUE, IF(OR(TRIM(A71&amp;"")="", ISNUMBER(SEARCH("FALTA", A71))), "UPC faltante/inválido", ""), IF(AND(A71&lt;&gt;"", IFERROR(_xlfn.XMATCH(A71,$A$2:$A$370,0,1)&lt;&gt;_xlfn.XMATCH(A71,$A$2:$A$370,0,-1),FALSE)), "Código de barras duplicado", ""), IF(AND(E71&lt;&gt;"", COUNTIF($E$2:$E$370, E71)&gt;1), "SKU duplicado", ""), IF(OR(J71="", J71=""), "[Aviso] División no capturada ()", IF(ISNA(MATCH(J71, Criterios!$A$123:$A$126, 0)), "División no válida", "")), IF(OR(K71="", K71=""), "[Aviso] Categoría no capturada ()", IF(ISNA(MATCH(K71, Criterios!$A$81:$A$120, 0)), "Categoría no válida", IF(AND(J71&lt;&gt;"", J71&lt;&gt;"", J71&lt;&gt;VLOOKUP(K71, Criterios!$A$81:$B$120, 2, FALSE)), "División no coincide con Categoría", ""))), IF(OR(L71="", L71=""), "[Aviso] Género no capturado ()", IF(ISNA(MATCH(L71, Criterios!$B$123:$B$127, 0)), "Género no válido", "")), IF(OR(N71="", N71=""), "[Aviso] Temporada no capturada ()", IF(ISNA(MATCH(N71, Criterios!$C$123:$C$128, 0)), "Temporada no válida", "")), IF(OR(O71="", O71=""), "[Aviso] Ciclo de vida no capturado ()", IF(ISNA(MATCH(O71, Criterios!$D$123:$D$124, 0)), "Ciclo de vida no válido", ""))))</f>
        <v/>
      </c>
      <c r="AC71" s="56" t="n"/>
      <c r="AD71" s="51" t="n">
        <v>76</v>
      </c>
      <c r="AE71" s="156" t="inlineStr">
        <is>
          <t>CAPSLAB Warehouse (41); CL POS (4); CL Muestras (1)</t>
        </is>
      </c>
      <c r="AF71" s="51" t="n">
        <v>76</v>
      </c>
      <c r="AG71" s="156" t="inlineStr">
        <is>
          <t>Nuevo – NetSuite con existencia</t>
        </is>
      </c>
      <c r="AH71" s="156" t="inlineStr">
        <is>
          <t>Composición CAPSLAB varía por modelo (50/50, 40/60 o 100% poliéster): validar etiqueta; Color por validar; Físico total NetSuite 76 ≠ suma por ubicación 46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71" s="156" t="inlineStr">
        <is>
          <t>No</t>
        </is>
      </c>
      <c r="AJ71" s="156" t="n"/>
      <c r="AK71" s="155" t="inlineStr">
        <is>
          <t>G1522ProductosTodosloscamposSandboxResults894.xlsx: fila 47679 [X]; G1522_Extraccion_Articulos_NetSuite_2026-09-30.xlsx: fila 30320 [Z]</t>
        </is>
      </c>
      <c r="AL71" s="58" t="n"/>
      <c r="AM71" s="58" t="n"/>
      <c r="AN71" s="155" t="n"/>
      <c r="AO71" s="59" t="n"/>
      <c r="AP71" s="59" t="n"/>
      <c r="AQ71" s="59" t="n"/>
      <c r="AR71" s="155" t="n"/>
    </row>
    <row r="72">
      <c r="A72" s="50" t="inlineStr">
        <is>
          <t>3614000833987</t>
        </is>
      </c>
      <c r="B72" s="51" t="inlineStr">
        <is>
          <t>57343</t>
        </is>
      </c>
      <c r="C72" s="156" t="inlineStr">
        <is>
          <t>CAPSLAB</t>
        </is>
      </c>
      <c r="D72" s="156" t="inlineStr">
        <is>
          <t>CL/DBZ/1/BUL3</t>
        </is>
      </c>
      <c r="E72" s="156" t="inlineStr">
        <is>
          <t>CL/DBZ/1/BUL3-UNI</t>
        </is>
      </c>
      <c r="F72" s="156" t="inlineStr">
        <is>
          <t>Talla única</t>
        </is>
      </c>
      <c r="G72" s="156" t="inlineStr">
        <is>
          <t>One Size</t>
        </is>
      </c>
      <c r="H72" s="156" t="inlineStr">
        <is>
          <t>CAPSLAB</t>
        </is>
      </c>
      <c r="I72" s="156" t="inlineStr">
        <is>
          <t>Gorra CAPSLAB Dragon Ball Z Blanco</t>
        </is>
      </c>
      <c r="J72" s="156" t="inlineStr">
        <is>
          <t>Accesorios</t>
        </is>
      </c>
      <c r="K72" s="156" t="inlineStr">
        <is>
          <t>Gorras</t>
        </is>
      </c>
      <c r="L72" s="156" t="inlineStr">
        <is>
          <t>Unisex</t>
        </is>
      </c>
      <c r="M72" s="156" t="inlineStr">
        <is>
          <t>Dragon Ball Z</t>
        </is>
      </c>
      <c r="N72" s="156" t="n"/>
      <c r="O72" s="156" t="n"/>
      <c r="P72" s="156" t="inlineStr">
        <is>
          <t>Blanco</t>
        </is>
      </c>
      <c r="Q72" s="156" t="n"/>
      <c r="R72" s="156" t="n"/>
      <c r="S72" s="156" t="inlineStr">
        <is>
          <t>Algodón / Poliéster</t>
        </is>
      </c>
      <c r="T72" s="156" t="inlineStr">
        <is>
          <t>Gorra de la marca CAPSLAB bajo licencia oficial Dragon Ball Z. Talla única ajustable. Estilo CL/DBZ/1/BUL3.</t>
        </is>
      </c>
      <c r="U72" s="156" t="n"/>
      <c r="V72" s="156" t="inlineStr">
        <is>
          <t>PZS</t>
        </is>
      </c>
      <c r="W72" s="51" t="inlineStr">
        <is>
          <t>53102516</t>
        </is>
      </c>
      <c r="X72" s="156" t="inlineStr">
        <is>
          <t>https://7913364.app.netsuite.com/core/media/media.nl?id=188194&amp;c=7913364&amp;h=12CO8QByG_KI9xjWhywq9BTHFQhp0Nqjw0-5BYhQmqpSbcou</t>
        </is>
      </c>
      <c r="Y72" s="54" t="n">
        <v>8.5</v>
      </c>
      <c r="Z72" s="54" t="n">
        <v>699</v>
      </c>
      <c r="AA72" s="55">
        <f>IF(AND(A72="", B72="", E72=""), "", IF(AB72="", "Válido", IF((LEN(AB72)-LEN(SUBSTITUTE(AB72,"; ","")))/2+1&gt;(LEN(AB72)-LEN(SUBSTITUTE(AB72,"[Aviso]","")))/7, "Con Incidencias", "Válido")))</f>
        <v/>
      </c>
      <c r="AB72" s="56">
        <f>IF(AND(A72="", B72="", E72=""), "", TEXTJOIN("; ", TRUE, IF(OR(TRIM(A72&amp;"")="", ISNUMBER(SEARCH("FALTA", A72))), "UPC faltante/inválido", ""), IF(AND(A72&lt;&gt;"", IFERROR(_xlfn.XMATCH(A72,$A$2:$A$370,0,1)&lt;&gt;_xlfn.XMATCH(A72,$A$2:$A$370,0,-1),FALSE)), "Código de barras duplicado", ""), IF(AND(E72&lt;&gt;"", COUNTIF($E$2:$E$370, E72)&gt;1), "SKU duplicado", ""), IF(OR(J72="", J72=""), "[Aviso] División no capturada ()", IF(ISNA(MATCH(J72, Criterios!$A$123:$A$126, 0)), "División no válida", "")), IF(OR(K72="", K72=""), "[Aviso] Categoría no capturada ()", IF(ISNA(MATCH(K72, Criterios!$A$81:$A$120, 0)), "Categoría no válida", IF(AND(J72&lt;&gt;"", J72&lt;&gt;"", J72&lt;&gt;VLOOKUP(K72, Criterios!$A$81:$B$120, 2, FALSE)), "División no coincide con Categoría", ""))), IF(OR(L72="", L72=""), "[Aviso] Género no capturado ()", IF(ISNA(MATCH(L72, Criterios!$B$123:$B$127, 0)), "Género no válido", "")), IF(OR(N72="", N72=""), "[Aviso] Temporada no capturada ()", IF(ISNA(MATCH(N72, Criterios!$C$123:$C$128, 0)), "Temporada no válida", "")), IF(OR(O72="", O72=""), "[Aviso] Ciclo de vida no capturado ()", IF(ISNA(MATCH(O72, Criterios!$D$123:$D$124, 0)), "Ciclo de vida no válido", ""))))</f>
        <v/>
      </c>
      <c r="AC72" s="56" t="n"/>
      <c r="AD72" s="51" t="n">
        <v>0</v>
      </c>
      <c r="AE72" s="156" t="n"/>
      <c r="AF72" s="51" t="n">
        <v>0</v>
      </c>
      <c r="AG72" s="156" t="inlineStr">
        <is>
          <t>Nuevo – NetSuite sin existencia</t>
        </is>
      </c>
      <c r="AH72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72" s="156" t="inlineStr">
        <is>
          <t>No</t>
        </is>
      </c>
      <c r="AJ72" s="156" t="n"/>
      <c r="AK72" s="155" t="inlineStr">
        <is>
          <t>G1522ProductosTodosloscamposSandboxResults894.xlsx: fila 47681 [Y]; G1522_Extraccion_Articulos_NetSuite_2026-09-30.xlsx: fila 20726 [Z]</t>
        </is>
      </c>
      <c r="AL72" s="58" t="n">
        <v>8.5</v>
      </c>
      <c r="AM72" s="58" t="n"/>
      <c r="AN72" s="155" t="n"/>
      <c r="AO72" s="59" t="n"/>
      <c r="AP72" s="59" t="n"/>
      <c r="AQ72" s="59" t="n"/>
      <c r="AR72" s="155" t="n"/>
    </row>
    <row r="73">
      <c r="A73" s="50" t="inlineStr">
        <is>
          <t>3614000791966</t>
        </is>
      </c>
      <c r="B73" s="51" t="inlineStr">
        <is>
          <t>69591</t>
        </is>
      </c>
      <c r="C73" s="156" t="inlineStr">
        <is>
          <t>CAPSLAB</t>
        </is>
      </c>
      <c r="D73" s="156" t="inlineStr">
        <is>
          <t>CL/DBZ/1/BUU</t>
        </is>
      </c>
      <c r="E73" s="156" t="inlineStr">
        <is>
          <t>CL/DBZ/1/BUU-UNI</t>
        </is>
      </c>
      <c r="F73" s="156" t="inlineStr">
        <is>
          <t>Talla única</t>
        </is>
      </c>
      <c r="G73" s="156" t="inlineStr">
        <is>
          <t>One Size</t>
        </is>
      </c>
      <c r="H73" s="156" t="inlineStr">
        <is>
          <t>CAPSLAB</t>
        </is>
      </c>
      <c r="I73" s="156" t="inlineStr">
        <is>
          <t>Gorra CAPSLAB Dragon Ball Saga Majin Buu</t>
        </is>
      </c>
      <c r="J73" s="156" t="inlineStr">
        <is>
          <t>Accesorios</t>
        </is>
      </c>
      <c r="K73" s="156" t="inlineStr">
        <is>
          <t>Gorras</t>
        </is>
      </c>
      <c r="L73" s="156" t="inlineStr">
        <is>
          <t>Unisex</t>
        </is>
      </c>
      <c r="M73" s="156" t="inlineStr">
        <is>
          <t>Dragon Ball Saga</t>
        </is>
      </c>
      <c r="N73" s="156" t="n"/>
      <c r="O73" s="156" t="n"/>
      <c r="P73" s="156" t="n"/>
      <c r="Q73" s="156" t="n"/>
      <c r="R73" s="156" t="n"/>
      <c r="S73" s="156" t="inlineStr">
        <is>
          <t>Algodón / Poliéster</t>
        </is>
      </c>
      <c r="T73" s="156" t="inlineStr">
        <is>
          <t>Gorra de la marca CAPSLAB bajo licencia oficial Dragon Ball Saga, personaje Majin Buu. Talla única ajustable. Estilo CL/DBZ/1/BUU.</t>
        </is>
      </c>
      <c r="U73" s="156" t="n"/>
      <c r="V73" s="156" t="inlineStr">
        <is>
          <t>PZS</t>
        </is>
      </c>
      <c r="W73" s="51" t="inlineStr">
        <is>
          <t>53102516</t>
        </is>
      </c>
      <c r="X73" s="156" t="inlineStr">
        <is>
          <t>https://i.ibb.co/Mf78F5y/CLDBZ1-BUU.jpg</t>
        </is>
      </c>
      <c r="Y73" s="54" t="n"/>
      <c r="Z73" s="54" t="n">
        <v>699</v>
      </c>
      <c r="AA73" s="55">
        <f>IF(AND(A73="", B73="", E73=""), "", IF(AB73="", "Válido", IF((LEN(AB73)-LEN(SUBSTITUTE(AB73,"; ","")))/2+1&gt;(LEN(AB73)-LEN(SUBSTITUTE(AB73,"[Aviso]","")))/7, "Con Incidencias", "Válido")))</f>
        <v/>
      </c>
      <c r="AB73" s="56">
        <f>IF(AND(A73="", B73="", E73=""), "", TEXTJOIN("; ", TRUE, IF(OR(TRIM(A73&amp;"")="", ISNUMBER(SEARCH("FALTA", A73))), "UPC faltante/inválido", ""), IF(AND(A73&lt;&gt;"", IFERROR(_xlfn.XMATCH(A73,$A$2:$A$370,0,1)&lt;&gt;_xlfn.XMATCH(A73,$A$2:$A$370,0,-1),FALSE)), "Código de barras duplicado", ""), IF(AND(E73&lt;&gt;"", COUNTIF($E$2:$E$370, E73)&gt;1), "SKU duplicado", ""), IF(OR(J73="", J73=""), "[Aviso] División no capturada ()", IF(ISNA(MATCH(J73, Criterios!$A$123:$A$126, 0)), "División no válida", "")), IF(OR(K73="", K73=""), "[Aviso] Categoría no capturada ()", IF(ISNA(MATCH(K73, Criterios!$A$81:$A$120, 0)), "Categoría no válida", IF(AND(J73&lt;&gt;"", J73&lt;&gt;"", J73&lt;&gt;VLOOKUP(K73, Criterios!$A$81:$B$120, 2, FALSE)), "División no coincide con Categoría", ""))), IF(OR(L73="", L73=""), "[Aviso] Género no capturado ()", IF(ISNA(MATCH(L73, Criterios!$B$123:$B$127, 0)), "Género no válido", "")), IF(OR(N73="", N73=""), "[Aviso] Temporada no capturada ()", IF(ISNA(MATCH(N73, Criterios!$C$123:$C$128, 0)), "Temporada no válida", "")), IF(OR(O73="", O73=""), "[Aviso] Ciclo de vida no capturado ()", IF(ISNA(MATCH(O73, Criterios!$D$123:$D$124, 0)), "Ciclo de vida no válido", ""))))</f>
        <v/>
      </c>
      <c r="AC73" s="56" t="n"/>
      <c r="AD73" s="51" t="n">
        <v>15</v>
      </c>
      <c r="AE73" s="156" t="inlineStr">
        <is>
          <t>CAPSLAB Warehouse (8); CL Muestras (1); CL POS (4)</t>
        </is>
      </c>
      <c r="AF73" s="51" t="n">
        <v>15</v>
      </c>
      <c r="AG73" s="156" t="inlineStr">
        <is>
          <t>Nuevo – NetSuite con existencia</t>
        </is>
      </c>
      <c r="AH73" s="156" t="inlineStr">
        <is>
          <t>Composición CAPSLAB varía por modelo (50/50, 40/60 o 100% poliéster): validar etiqueta; Color por validar; Físico total NetSuite 15 ≠ suma por ubicación 13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73" s="156" t="inlineStr">
        <is>
          <t>No</t>
        </is>
      </c>
      <c r="AJ73" s="156" t="n"/>
      <c r="AK73" s="155" t="inlineStr">
        <is>
          <t>G1522ProductosTodosloscamposSandboxResults894.xlsx: fila 47683 [X]; G1522_Extraccion_Articulos_NetSuite_2026-09-30.xlsx: fila 30321 [Z]</t>
        </is>
      </c>
      <c r="AL73" s="58" t="n"/>
      <c r="AM73" s="58" t="n"/>
      <c r="AN73" s="155" t="n"/>
      <c r="AO73" s="59" t="n"/>
      <c r="AP73" s="59" t="n"/>
      <c r="AQ73" s="59" t="n"/>
      <c r="AR73" s="155" t="n"/>
    </row>
    <row r="74">
      <c r="A74" s="50" t="inlineStr">
        <is>
          <t>3614000810834</t>
        </is>
      </c>
      <c r="B74" s="51" t="inlineStr">
        <is>
          <t>57469</t>
        </is>
      </c>
      <c r="C74" s="156" t="inlineStr">
        <is>
          <t>CAPSLAB</t>
        </is>
      </c>
      <c r="D74" s="156" t="inlineStr">
        <is>
          <t>CL/DBZ/1/BUUB</t>
        </is>
      </c>
      <c r="E74" s="156" t="inlineStr">
        <is>
          <t>CL/DBZ/1/BUUB-uNI</t>
        </is>
      </c>
      <c r="F74" s="156" t="inlineStr">
        <is>
          <t>Talla única</t>
        </is>
      </c>
      <c r="G74" s="156" t="inlineStr">
        <is>
          <t>One Size</t>
        </is>
      </c>
      <c r="H74" s="156" t="inlineStr">
        <is>
          <t>CAPSLAB</t>
        </is>
      </c>
      <c r="I74" s="156" t="inlineStr">
        <is>
          <t>Gorra CAPSLAB Dragon Ball Z Majin Buu Negro</t>
        </is>
      </c>
      <c r="J74" s="156" t="inlineStr">
        <is>
          <t>Accesorios</t>
        </is>
      </c>
      <c r="K74" s="156" t="inlineStr">
        <is>
          <t>Gorras</t>
        </is>
      </c>
      <c r="L74" s="156" t="inlineStr">
        <is>
          <t>Unisex</t>
        </is>
      </c>
      <c r="M74" s="156" t="inlineStr">
        <is>
          <t>Dragon Ball Z</t>
        </is>
      </c>
      <c r="N74" s="156" t="n"/>
      <c r="O74" s="156" t="n"/>
      <c r="P74" s="156" t="inlineStr">
        <is>
          <t>Negro</t>
        </is>
      </c>
      <c r="Q74" s="156" t="n"/>
      <c r="R74" s="156" t="n"/>
      <c r="S74" s="156" t="inlineStr">
        <is>
          <t>Algodón / Poliéster</t>
        </is>
      </c>
      <c r="T74" s="156" t="inlineStr">
        <is>
          <t>Gorra de la marca CAPSLAB bajo licencia oficial Dragon Ball Z, personaje Majin Buu. Talla única ajustable. Estilo CL/DBZ/1/BUUB.</t>
        </is>
      </c>
      <c r="U74" s="156" t="n"/>
      <c r="V74" s="156" t="inlineStr">
        <is>
          <t>PZS</t>
        </is>
      </c>
      <c r="W74" s="51" t="inlineStr">
        <is>
          <t>53102516</t>
        </is>
      </c>
      <c r="X74" s="156" t="inlineStr">
        <is>
          <t>https://7913364.app.netsuite.com/core/media/media.nl?id=188377&amp;c=7913364&amp;h=btV4GBKpVSuhZNgeigDAA7cJ6dFSuldVDjSMW3hKZX6O1hvR</t>
        </is>
      </c>
      <c r="Y74" s="54" t="n">
        <v>8.5</v>
      </c>
      <c r="Z74" s="54" t="n">
        <v>699</v>
      </c>
      <c r="AA74" s="55">
        <f>IF(AND(A74="", B74="", E74=""), "", IF(AB74="", "Válido", IF((LEN(AB74)-LEN(SUBSTITUTE(AB74,"; ","")))/2+1&gt;(LEN(AB74)-LEN(SUBSTITUTE(AB74,"[Aviso]","")))/7, "Con Incidencias", "Válido")))</f>
        <v/>
      </c>
      <c r="AB74" s="56">
        <f>IF(AND(A74="", B74="", E74=""), "", TEXTJOIN("; ", TRUE, IF(OR(TRIM(A74&amp;"")="", ISNUMBER(SEARCH("FALTA", A74))), "UPC faltante/inválido", ""), IF(AND(A74&lt;&gt;"", IFERROR(_xlfn.XMATCH(A74,$A$2:$A$370,0,1)&lt;&gt;_xlfn.XMATCH(A74,$A$2:$A$370,0,-1),FALSE)), "Código de barras duplicado", ""), IF(AND(E74&lt;&gt;"", COUNTIF($E$2:$E$370, E74)&gt;1), "SKU duplicado", ""), IF(OR(J74="", J74=""), "[Aviso] División no capturada ()", IF(ISNA(MATCH(J74, Criterios!$A$123:$A$126, 0)), "División no válida", "")), IF(OR(K74="", K74=""), "[Aviso] Categoría no capturada ()", IF(ISNA(MATCH(K74, Criterios!$A$81:$A$120, 0)), "Categoría no válida", IF(AND(J74&lt;&gt;"", J74&lt;&gt;"", J74&lt;&gt;VLOOKUP(K74, Criterios!$A$81:$B$120, 2, FALSE)), "División no coincide con Categoría", ""))), IF(OR(L74="", L74=""), "[Aviso] Género no capturado ()", IF(ISNA(MATCH(L74, Criterios!$B$123:$B$127, 0)), "Género no válido", "")), IF(OR(N74="", N74=""), "[Aviso] Temporada no capturada ()", IF(ISNA(MATCH(N74, Criterios!$C$123:$C$128, 0)), "Temporada no válida", "")), IF(OR(O74="", O74=""), "[Aviso] Ciclo de vida no capturado ()", IF(ISNA(MATCH(O74, Criterios!$D$123:$D$124, 0)), "Ciclo de vida no válido", ""))))</f>
        <v/>
      </c>
      <c r="AC74" s="56" t="n"/>
      <c r="AD74" s="51" t="n">
        <v>1</v>
      </c>
      <c r="AE74" s="156" t="inlineStr">
        <is>
          <t>CL Muestras (1)</t>
        </is>
      </c>
      <c r="AF74" s="51" t="n">
        <v>1</v>
      </c>
      <c r="AG74" s="156" t="inlineStr">
        <is>
          <t>Nuevo – NetSuite con existencia</t>
        </is>
      </c>
      <c r="AH7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74" s="156" t="inlineStr">
        <is>
          <t>No</t>
        </is>
      </c>
      <c r="AJ74" s="156" t="n"/>
      <c r="AK74" s="155" t="inlineStr">
        <is>
          <t>G1522ProductosTodosloscamposSandboxResults894.xlsx: fila 47685 [Y]; G1522_Extraccion_Articulos_NetSuite_2026-09-30.xlsx: fila 20851 [Z]</t>
        </is>
      </c>
      <c r="AL74" s="58" t="n">
        <v>8.5</v>
      </c>
      <c r="AM74" s="58" t="n"/>
      <c r="AN74" s="155" t="n"/>
      <c r="AO74" s="59" t="n"/>
      <c r="AP74" s="59" t="n"/>
      <c r="AQ74" s="59" t="n"/>
      <c r="AR74" s="155" t="n"/>
    </row>
    <row r="75">
      <c r="A75" s="50" t="inlineStr">
        <is>
          <t>3614000810858</t>
        </is>
      </c>
      <c r="B75" s="51" t="inlineStr">
        <is>
          <t>69592</t>
        </is>
      </c>
      <c r="C75" s="156" t="inlineStr">
        <is>
          <t>CAPSLAB</t>
        </is>
      </c>
      <c r="D75" s="156" t="inlineStr">
        <is>
          <t>CL/DBZ/1/FREB</t>
        </is>
      </c>
      <c r="E75" s="156" t="inlineStr">
        <is>
          <t>CL/DBZ/1/FREB-UNI</t>
        </is>
      </c>
      <c r="F75" s="156" t="inlineStr">
        <is>
          <t>Talla única</t>
        </is>
      </c>
      <c r="G75" s="156" t="inlineStr">
        <is>
          <t>One Size</t>
        </is>
      </c>
      <c r="H75" s="156" t="inlineStr">
        <is>
          <t>CAPSLAB</t>
        </is>
      </c>
      <c r="I75" s="156" t="inlineStr">
        <is>
          <t>Gorra CAPSLAB Dragon Ball Z Freezer</t>
        </is>
      </c>
      <c r="J75" s="156" t="inlineStr">
        <is>
          <t>Accesorios</t>
        </is>
      </c>
      <c r="K75" s="156" t="inlineStr">
        <is>
          <t>Gorras</t>
        </is>
      </c>
      <c r="L75" s="156" t="inlineStr">
        <is>
          <t>Unisex</t>
        </is>
      </c>
      <c r="M75" s="156" t="inlineStr">
        <is>
          <t>Dragon Ball Z</t>
        </is>
      </c>
      <c r="N75" s="156" t="n"/>
      <c r="O75" s="156" t="n"/>
      <c r="P75" s="156" t="n"/>
      <c r="Q75" s="156" t="n"/>
      <c r="R75" s="156" t="n"/>
      <c r="S75" s="156" t="inlineStr">
        <is>
          <t>Algodón / Poliéster</t>
        </is>
      </c>
      <c r="T75" s="156" t="inlineStr">
        <is>
          <t>Gorra de la marca CAPSLAB bajo licencia oficial Dragon Ball Z, personaje Freezer. Talla única ajustable. Estilo CL/DBZ/1/FREB.</t>
        </is>
      </c>
      <c r="U75" s="156" t="n"/>
      <c r="V75" s="156" t="inlineStr">
        <is>
          <t>PZS</t>
        </is>
      </c>
      <c r="W75" s="51" t="inlineStr">
        <is>
          <t>53102516</t>
        </is>
      </c>
      <c r="X75" s="156" t="inlineStr">
        <is>
          <t>https://i.ibb.co/gtChkFf/CLDBZ1-FREB.jpg</t>
        </is>
      </c>
      <c r="Y75" s="54" t="n"/>
      <c r="Z75" s="54" t="n">
        <v>699</v>
      </c>
      <c r="AA75" s="55">
        <f>IF(AND(A75="", B75="", E75=""), "", IF(AB75="", "Válido", IF((LEN(AB75)-LEN(SUBSTITUTE(AB75,"; ","")))/2+1&gt;(LEN(AB75)-LEN(SUBSTITUTE(AB75,"[Aviso]","")))/7, "Con Incidencias", "Válido")))</f>
        <v/>
      </c>
      <c r="AB75" s="56">
        <f>IF(AND(A75="", B75="", E75=""), "", TEXTJOIN("; ", TRUE, IF(OR(TRIM(A75&amp;"")="", ISNUMBER(SEARCH("FALTA", A75))), "UPC faltante/inválido", ""), IF(AND(A75&lt;&gt;"", IFERROR(_xlfn.XMATCH(A75,$A$2:$A$370,0,1)&lt;&gt;_xlfn.XMATCH(A75,$A$2:$A$370,0,-1),FALSE)), "Código de barras duplicado", ""), IF(AND(E75&lt;&gt;"", COUNTIF($E$2:$E$370, E75)&gt;1), "SKU duplicado", ""), IF(OR(J75="", J75=""), "[Aviso] División no capturada ()", IF(ISNA(MATCH(J75, Criterios!$A$123:$A$126, 0)), "División no válida", "")), IF(OR(K75="", K75=""), "[Aviso] Categoría no capturada ()", IF(ISNA(MATCH(K75, Criterios!$A$81:$A$120, 0)), "Categoría no válida", IF(AND(J75&lt;&gt;"", J75&lt;&gt;"", J75&lt;&gt;VLOOKUP(K75, Criterios!$A$81:$B$120, 2, FALSE)), "División no coincide con Categoría", ""))), IF(OR(L75="", L75=""), "[Aviso] Género no capturado ()", IF(ISNA(MATCH(L75, Criterios!$B$123:$B$127, 0)), "Género no válido", "")), IF(OR(N75="", N75=""), "[Aviso] Temporada no capturada ()", IF(ISNA(MATCH(N75, Criterios!$C$123:$C$128, 0)), "Temporada no válida", "")), IF(OR(O75="", O75=""), "[Aviso] Ciclo de vida no capturado ()", IF(ISNA(MATCH(O75, Criterios!$D$123:$D$124, 0)), "Ciclo de vida no válido", ""))))</f>
        <v/>
      </c>
      <c r="AC75" s="56" t="n"/>
      <c r="AD75" s="51" t="n">
        <v>5</v>
      </c>
      <c r="AE75" s="156" t="inlineStr">
        <is>
          <t>CL Muestras (3); CAPSLAB Warehouse (1)</t>
        </is>
      </c>
      <c r="AF75" s="51" t="n">
        <v>5</v>
      </c>
      <c r="AG75" s="156" t="inlineStr">
        <is>
          <t>Nuevo – NetSuite con existencia</t>
        </is>
      </c>
      <c r="AH75" s="156" t="inlineStr">
        <is>
          <t>Composición CAPSLAB varía por modelo (50/50, 40/60 o 100% poliéster): validar etiqueta; Color por validar; Físico total NetSuite 5 ≠ suma por ubicación 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75" s="156" t="inlineStr">
        <is>
          <t>No</t>
        </is>
      </c>
      <c r="AJ75" s="156" t="n"/>
      <c r="AK75" s="155" t="inlineStr">
        <is>
          <t>G1522ProductosTodosloscamposSandboxResults894.xlsx: fila 47687 [X]; G1522_Extraccion_Articulos_NetSuite_2026-09-30.xlsx: fila 30322 [Z]</t>
        </is>
      </c>
      <c r="AL75" s="58" t="n"/>
      <c r="AM75" s="58" t="n"/>
      <c r="AN75" s="155" t="n"/>
      <c r="AO75" s="59" t="n"/>
      <c r="AP75" s="59" t="n"/>
      <c r="AQ75" s="59" t="n"/>
      <c r="AR75" s="155" t="n"/>
    </row>
    <row r="76">
      <c r="A76" s="50" t="inlineStr">
        <is>
          <t>3614000810865</t>
        </is>
      </c>
      <c r="B76" s="51" t="inlineStr">
        <is>
          <t>57344</t>
        </is>
      </c>
      <c r="C76" s="156" t="inlineStr">
        <is>
          <t>CAPSLAB</t>
        </is>
      </c>
      <c r="D76" s="156" t="inlineStr">
        <is>
          <t>CL/DBZ/1/GO2</t>
        </is>
      </c>
      <c r="E76" s="156" t="inlineStr">
        <is>
          <t>CL/DBZ/1/GO2-UNI</t>
        </is>
      </c>
      <c r="F76" s="156" t="inlineStr">
        <is>
          <t>Talla única</t>
        </is>
      </c>
      <c r="G76" s="156" t="inlineStr">
        <is>
          <t>One Size</t>
        </is>
      </c>
      <c r="H76" s="156" t="inlineStr">
        <is>
          <t>CAPSLAB</t>
        </is>
      </c>
      <c r="I76" s="156" t="inlineStr">
        <is>
          <t>Gorra CAPSLAB Dragon Ball Z Negro</t>
        </is>
      </c>
      <c r="J76" s="156" t="inlineStr">
        <is>
          <t>Accesorios</t>
        </is>
      </c>
      <c r="K76" s="156" t="inlineStr">
        <is>
          <t>Gorras</t>
        </is>
      </c>
      <c r="L76" s="156" t="inlineStr">
        <is>
          <t>Unisex</t>
        </is>
      </c>
      <c r="M76" s="156" t="inlineStr">
        <is>
          <t>Dragon Ball Z</t>
        </is>
      </c>
      <c r="N76" s="156" t="n"/>
      <c r="O76" s="156" t="n"/>
      <c r="P76" s="156" t="inlineStr">
        <is>
          <t>Negro</t>
        </is>
      </c>
      <c r="Q76" s="156" t="n"/>
      <c r="R76" s="156" t="n"/>
      <c r="S76" s="156" t="inlineStr">
        <is>
          <t>Algodón / Poliéster</t>
        </is>
      </c>
      <c r="T76" s="156" t="inlineStr">
        <is>
          <t>Gorra de la marca CAPSLAB bajo licencia oficial Dragon Ball Z. Talla única ajustable. Estilo CL/DBZ/1/GO2.</t>
        </is>
      </c>
      <c r="U76" s="156" t="n"/>
      <c r="V76" s="156" t="inlineStr">
        <is>
          <t>PZS</t>
        </is>
      </c>
      <c r="W76" s="51" t="inlineStr">
        <is>
          <t>53102516</t>
        </is>
      </c>
      <c r="X76" s="156" t="inlineStr">
        <is>
          <t>https://7913364.app.netsuite.com/core/media/media.nl?id=188195&amp;c=7913364&amp;h=WtZSaFW-zQSNHBsmW1A8WeKA2UGaSzRyZahMGYhWnfCInWot</t>
        </is>
      </c>
      <c r="Y76" s="54" t="n">
        <v>8.5</v>
      </c>
      <c r="Z76" s="54" t="n">
        <v>699</v>
      </c>
      <c r="AA76" s="55">
        <f>IF(AND(A76="", B76="", E76=""), "", IF(AB76="", "Válido", IF((LEN(AB76)-LEN(SUBSTITUTE(AB76,"; ","")))/2+1&gt;(LEN(AB76)-LEN(SUBSTITUTE(AB76,"[Aviso]","")))/7, "Con Incidencias", "Válido")))</f>
        <v/>
      </c>
      <c r="AB76" s="56">
        <f>IF(AND(A76="", B76="", E76=""), "", TEXTJOIN("; ", TRUE, IF(OR(TRIM(A76&amp;"")="", ISNUMBER(SEARCH("FALTA", A76))), "UPC faltante/inválido", ""), IF(AND(A76&lt;&gt;"", IFERROR(_xlfn.XMATCH(A76,$A$2:$A$370,0,1)&lt;&gt;_xlfn.XMATCH(A76,$A$2:$A$370,0,-1),FALSE)), "Código de barras duplicado", ""), IF(AND(E76&lt;&gt;"", COUNTIF($E$2:$E$370, E76)&gt;1), "SKU duplicado", ""), IF(OR(J76="", J76=""), "[Aviso] División no capturada ()", IF(ISNA(MATCH(J76, Criterios!$A$123:$A$126, 0)), "División no válida", "")), IF(OR(K76="", K76=""), "[Aviso] Categoría no capturada ()", IF(ISNA(MATCH(K76, Criterios!$A$81:$A$120, 0)), "Categoría no válida", IF(AND(J76&lt;&gt;"", J76&lt;&gt;"", J76&lt;&gt;VLOOKUP(K76, Criterios!$A$81:$B$120, 2, FALSE)), "División no coincide con Categoría", ""))), IF(OR(L76="", L76=""), "[Aviso] Género no capturado ()", IF(ISNA(MATCH(L76, Criterios!$B$123:$B$127, 0)), "Género no válido", "")), IF(OR(N76="", N76=""), "[Aviso] Temporada no capturada ()", IF(ISNA(MATCH(N76, Criterios!$C$123:$C$128, 0)), "Temporada no válida", "")), IF(OR(O76="", O76=""), "[Aviso] Ciclo de vida no capturado ()", IF(ISNA(MATCH(O76, Criterios!$D$123:$D$124, 0)), "Ciclo de vida no válido", ""))))</f>
        <v/>
      </c>
      <c r="AC76" s="56" t="n"/>
      <c r="AD76" s="51" t="n">
        <v>278</v>
      </c>
      <c r="AE76" s="156" t="inlineStr">
        <is>
          <t>CL Muestras (3); CL POS (4); CAPSLAB Warehouse (159); Web (4)</t>
        </is>
      </c>
      <c r="AF76" s="51" t="n">
        <v>277</v>
      </c>
      <c r="AG76" s="156" t="inlineStr">
        <is>
          <t>Nuevo – NetSuite con existencia</t>
        </is>
      </c>
      <c r="AH76" s="156" t="inlineStr">
        <is>
          <t>Composición CAPSLAB varía por modelo (50/50, 40/60 o 100% poliéster): validar etiqueta; Físico total NetSuite 278 ≠ suma por ubicación 170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76" s="156" t="inlineStr">
        <is>
          <t>No</t>
        </is>
      </c>
      <c r="AJ76" s="156" t="n"/>
      <c r="AK76" s="155" t="inlineStr">
        <is>
          <t>G1522ProductosTodosloscamposSandboxResults894.xlsx: fila 47689 [Y]; G1522_Extraccion_Articulos_NetSuite_2026-09-30.xlsx: fila 20727 [Z]</t>
        </is>
      </c>
      <c r="AL76" s="58" t="n">
        <v>8.5</v>
      </c>
      <c r="AM76" s="58" t="n"/>
      <c r="AN76" s="155" t="n"/>
      <c r="AO76" s="59" t="n"/>
      <c r="AP76" s="59" t="n"/>
      <c r="AQ76" s="59" t="n"/>
      <c r="AR76" s="155" t="n"/>
    </row>
    <row r="77">
      <c r="A77" s="50" t="inlineStr">
        <is>
          <t>3614000810872</t>
        </is>
      </c>
      <c r="B77" s="51" t="inlineStr">
        <is>
          <t>69593</t>
        </is>
      </c>
      <c r="C77" s="156" t="inlineStr">
        <is>
          <t>CAPSLAB</t>
        </is>
      </c>
      <c r="D77" s="156" t="inlineStr">
        <is>
          <t>CL/DBZ/1/GO3</t>
        </is>
      </c>
      <c r="E77" s="156" t="inlineStr">
        <is>
          <t>CL/DBZ/1/GO3-UNI</t>
        </is>
      </c>
      <c r="F77" s="156" t="inlineStr">
        <is>
          <t>Talla única</t>
        </is>
      </c>
      <c r="G77" s="156" t="inlineStr">
        <is>
          <t>One Size</t>
        </is>
      </c>
      <c r="H77" s="156" t="inlineStr">
        <is>
          <t>CAPSLAB</t>
        </is>
      </c>
      <c r="I77" s="156" t="inlineStr">
        <is>
          <t>Gorra CAPSLAB Dragon Ball Saga</t>
        </is>
      </c>
      <c r="J77" s="156" t="inlineStr">
        <is>
          <t>Accesorios</t>
        </is>
      </c>
      <c r="K77" s="156" t="inlineStr">
        <is>
          <t>Gorras</t>
        </is>
      </c>
      <c r="L77" s="156" t="inlineStr">
        <is>
          <t>Unisex</t>
        </is>
      </c>
      <c r="M77" s="156" t="inlineStr">
        <is>
          <t>Dragon Ball Saga</t>
        </is>
      </c>
      <c r="N77" s="156" t="n"/>
      <c r="O77" s="156" t="n"/>
      <c r="P77" s="156" t="n"/>
      <c r="Q77" s="156" t="n"/>
      <c r="R77" s="156" t="n"/>
      <c r="S77" s="156" t="inlineStr">
        <is>
          <t>Algodón / Poliéster</t>
        </is>
      </c>
      <c r="T77" s="156" t="inlineStr">
        <is>
          <t>Gorra de la marca CAPSLAB bajo licencia oficial Dragon Ball Saga. Talla única ajustable. Estilo CL/DBZ/1/GO3.</t>
        </is>
      </c>
      <c r="U77" s="156" t="n"/>
      <c r="V77" s="156" t="inlineStr">
        <is>
          <t>PZS</t>
        </is>
      </c>
      <c r="W77" s="51" t="inlineStr">
        <is>
          <t>53102516</t>
        </is>
      </c>
      <c r="X77" s="156" t="inlineStr">
        <is>
          <t>https://i.ibb.co/mbJFDcZ/CLDBZ1-GO3.jpg</t>
        </is>
      </c>
      <c r="Y77" s="54" t="n"/>
      <c r="Z77" s="54" t="n">
        <v>699</v>
      </c>
      <c r="AA77" s="55">
        <f>IF(AND(A77="", B77="", E77=""), "", IF(AB77="", "Válido", IF((LEN(AB77)-LEN(SUBSTITUTE(AB77,"; ","")))/2+1&gt;(LEN(AB77)-LEN(SUBSTITUTE(AB77,"[Aviso]","")))/7, "Con Incidencias", "Válido")))</f>
        <v/>
      </c>
      <c r="AB77" s="56">
        <f>IF(AND(A77="", B77="", E77=""), "", TEXTJOIN("; ", TRUE, IF(OR(TRIM(A77&amp;"")="", ISNUMBER(SEARCH("FALTA", A77))), "UPC faltante/inválido", ""), IF(AND(A77&lt;&gt;"", IFERROR(_xlfn.XMATCH(A77,$A$2:$A$370,0,1)&lt;&gt;_xlfn.XMATCH(A77,$A$2:$A$370,0,-1),FALSE)), "Código de barras duplicado", ""), IF(AND(E77&lt;&gt;"", COUNTIF($E$2:$E$370, E77)&gt;1), "SKU duplicado", ""), IF(OR(J77="", J77=""), "[Aviso] División no capturada ()", IF(ISNA(MATCH(J77, Criterios!$A$123:$A$126, 0)), "División no válida", "")), IF(OR(K77="", K77=""), "[Aviso] Categoría no capturada ()", IF(ISNA(MATCH(K77, Criterios!$A$81:$A$120, 0)), "Categoría no válida", IF(AND(J77&lt;&gt;"", J77&lt;&gt;"", J77&lt;&gt;VLOOKUP(K77, Criterios!$A$81:$B$120, 2, FALSE)), "División no coincide con Categoría", ""))), IF(OR(L77="", L77=""), "[Aviso] Género no capturado ()", IF(ISNA(MATCH(L77, Criterios!$B$123:$B$127, 0)), "Género no válido", "")), IF(OR(N77="", N77=""), "[Aviso] Temporada no capturada ()", IF(ISNA(MATCH(N77, Criterios!$C$123:$C$128, 0)), "Temporada no válida", "")), IF(OR(O77="", O77=""), "[Aviso] Ciclo de vida no capturado ()", IF(ISNA(MATCH(O77, Criterios!$D$123:$D$124, 0)), "Ciclo de vida no válido", ""))))</f>
        <v/>
      </c>
      <c r="AC77" s="56" t="n"/>
      <c r="AD77" s="51" t="n">
        <v>36</v>
      </c>
      <c r="AE77" s="156" t="inlineStr">
        <is>
          <t>Web (2); CL Muestras (2); CL POS (3); CAPSLAB Warehouse (28)</t>
        </is>
      </c>
      <c r="AF77" s="51" t="n">
        <v>37</v>
      </c>
      <c r="AG77" s="156" t="inlineStr">
        <is>
          <t>Nuevo – NetSuite con existencia</t>
        </is>
      </c>
      <c r="AH77" s="156" t="inlineStr">
        <is>
          <t>Composición CAPSLAB varía por modelo (50/50, 40/60 o 100% poliéster): validar etiqueta; Color por validar; Físico total NetSuite 36 ≠ suma por ubicación 35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77" s="156" t="inlineStr">
        <is>
          <t>No</t>
        </is>
      </c>
      <c r="AJ77" s="156" t="n"/>
      <c r="AK77" s="155" t="inlineStr">
        <is>
          <t>G1522ProductosTodosloscamposSandboxResults894.xlsx: fila 47691 [X]; G1522_Extraccion_Articulos_NetSuite_2026-09-30.xlsx: fila 30323 [Z]</t>
        </is>
      </c>
      <c r="AL77" s="58" t="n"/>
      <c r="AM77" s="58" t="n"/>
      <c r="AN77" s="155" t="n"/>
      <c r="AO77" s="59" t="n"/>
      <c r="AP77" s="59" t="n"/>
      <c r="AQ77" s="59" t="n"/>
      <c r="AR77" s="155" t="n"/>
    </row>
    <row r="78">
      <c r="A78" s="50" t="inlineStr">
        <is>
          <t>3614000884880</t>
        </is>
      </c>
      <c r="B78" s="51" t="inlineStr">
        <is>
          <t>57461</t>
        </is>
      </c>
      <c r="C78" s="156" t="inlineStr">
        <is>
          <t>CAPSLAB</t>
        </is>
      </c>
      <c r="D78" s="156" t="inlineStr">
        <is>
          <t>CL/DBZ/1/GO4</t>
        </is>
      </c>
      <c r="E78" s="156" t="inlineStr">
        <is>
          <t>CL/DBZ/1/GO4-UNI</t>
        </is>
      </c>
      <c r="F78" s="156" t="inlineStr">
        <is>
          <t>Talla única</t>
        </is>
      </c>
      <c r="G78" s="156" t="inlineStr">
        <is>
          <t>One Size</t>
        </is>
      </c>
      <c r="H78" s="156" t="inlineStr">
        <is>
          <t>CAPSLAB</t>
        </is>
      </c>
      <c r="I78" s="156" t="inlineStr">
        <is>
          <t>Gorra CAPSLAB Dragon Ball Z Negro</t>
        </is>
      </c>
      <c r="J78" s="156" t="inlineStr">
        <is>
          <t>Accesorios</t>
        </is>
      </c>
      <c r="K78" s="156" t="inlineStr">
        <is>
          <t>Gorras</t>
        </is>
      </c>
      <c r="L78" s="156" t="inlineStr">
        <is>
          <t>Unisex</t>
        </is>
      </c>
      <c r="M78" s="156" t="inlineStr">
        <is>
          <t>Dragon Ball Z</t>
        </is>
      </c>
      <c r="N78" s="156" t="n"/>
      <c r="O78" s="156" t="n"/>
      <c r="P78" s="156" t="inlineStr">
        <is>
          <t>Negro</t>
        </is>
      </c>
      <c r="Q78" s="156" t="n"/>
      <c r="R78" s="156" t="n"/>
      <c r="S78" s="156" t="inlineStr">
        <is>
          <t>Algodón / Poliéster</t>
        </is>
      </c>
      <c r="T78" s="156" t="inlineStr">
        <is>
          <t>Gorra de la marca CAPSLAB bajo licencia oficial Dragon Ball Z. Talla única ajustable. Estilo CL/DBZ/1/GO4.</t>
        </is>
      </c>
      <c r="U78" s="156" t="n"/>
      <c r="V78" s="156" t="inlineStr">
        <is>
          <t>PZS</t>
        </is>
      </c>
      <c r="W78" s="51" t="inlineStr">
        <is>
          <t>53102516</t>
        </is>
      </c>
      <c r="X78" s="156" t="inlineStr">
        <is>
          <t>https://7913364.app.netsuite.com/core/media/media.nl?id=188369&amp;c=7913364&amp;h=p4XVI09B2fKUrEx84x33xJtaqsU6WX5v--QtazMXCWnuYsap</t>
        </is>
      </c>
      <c r="Y78" s="54" t="n">
        <v>8.5</v>
      </c>
      <c r="Z78" s="54" t="n">
        <v>699</v>
      </c>
      <c r="AA78" s="55">
        <f>IF(AND(A78="", B78="", E78=""), "", IF(AB78="", "Válido", IF((LEN(AB78)-LEN(SUBSTITUTE(AB78,"; ","")))/2+1&gt;(LEN(AB78)-LEN(SUBSTITUTE(AB78,"[Aviso]","")))/7, "Con Incidencias", "Válido")))</f>
        <v/>
      </c>
      <c r="AB78" s="56">
        <f>IF(AND(A78="", B78="", E78=""), "", TEXTJOIN("; ", TRUE, IF(OR(TRIM(A78&amp;"")="", ISNUMBER(SEARCH("FALTA", A78))), "UPC faltante/inválido", ""), IF(AND(A78&lt;&gt;"", IFERROR(_xlfn.XMATCH(A78,$A$2:$A$370,0,1)&lt;&gt;_xlfn.XMATCH(A78,$A$2:$A$370,0,-1),FALSE)), "Código de barras duplicado", ""), IF(AND(E78&lt;&gt;"", COUNTIF($E$2:$E$370, E78)&gt;1), "SKU duplicado", ""), IF(OR(J78="", J78=""), "[Aviso] División no capturada ()", IF(ISNA(MATCH(J78, Criterios!$A$123:$A$126, 0)), "División no válida", "")), IF(OR(K78="", K78=""), "[Aviso] Categoría no capturada ()", IF(ISNA(MATCH(K78, Criterios!$A$81:$A$120, 0)), "Categoría no válida", IF(AND(J78&lt;&gt;"", J78&lt;&gt;"", J78&lt;&gt;VLOOKUP(K78, Criterios!$A$81:$B$120, 2, FALSE)), "División no coincide con Categoría", ""))), IF(OR(L78="", L78=""), "[Aviso] Género no capturado ()", IF(ISNA(MATCH(L78, Criterios!$B$123:$B$127, 0)), "Género no válido", "")), IF(OR(N78="", N78=""), "[Aviso] Temporada no capturada ()", IF(ISNA(MATCH(N78, Criterios!$C$123:$C$128, 0)), "Temporada no válida", "")), IF(OR(O78="", O78=""), "[Aviso] Ciclo de vida no capturado ()", IF(ISNA(MATCH(O78, Criterios!$D$123:$D$124, 0)), "Ciclo de vida no válido", ""))))</f>
        <v/>
      </c>
      <c r="AC78" s="56" t="n"/>
      <c r="AD78" s="51" t="n">
        <v>174</v>
      </c>
      <c r="AE78" s="156" t="inlineStr">
        <is>
          <t>CL Muestras (2); CL POS (4); CAPSLAB Warehouse (100); Web (3)</t>
        </is>
      </c>
      <c r="AF78" s="51" t="n">
        <v>173</v>
      </c>
      <c r="AG78" s="156" t="inlineStr">
        <is>
          <t>Nuevo – NetSuite con existencia</t>
        </is>
      </c>
      <c r="AH78" s="156" t="inlineStr">
        <is>
          <t>Composición CAPSLAB varía por modelo (50/50, 40/60 o 100% poliéster): validar etiqueta; Físico total NetSuite 174 ≠ suma por ubicación 109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78" s="156" t="inlineStr">
        <is>
          <t>No</t>
        </is>
      </c>
      <c r="AJ78" s="156" t="n"/>
      <c r="AK78" s="155" t="inlineStr">
        <is>
          <t>G1522ProductosTodosloscamposSandboxResults894.xlsx: fila 47693 [Y]; G1522_Extraccion_Articulos_NetSuite_2026-09-30.xlsx: fila 20843 [Z]</t>
        </is>
      </c>
      <c r="AL78" s="58" t="n">
        <v>8.5</v>
      </c>
      <c r="AM78" s="58" t="n"/>
      <c r="AN78" s="155" t="n"/>
      <c r="AO78" s="59" t="n"/>
      <c r="AP78" s="59" t="n"/>
      <c r="AQ78" s="59" t="n"/>
      <c r="AR78" s="155" t="n"/>
    </row>
    <row r="79">
      <c r="A79" s="50" t="inlineStr">
        <is>
          <t>3614000810889</t>
        </is>
      </c>
      <c r="B79" s="51" t="inlineStr">
        <is>
          <t>69594</t>
        </is>
      </c>
      <c r="C79" s="156" t="inlineStr">
        <is>
          <t>CAPSLAB</t>
        </is>
      </c>
      <c r="D79" s="156" t="inlineStr">
        <is>
          <t>CL/DBZ/1/GOK</t>
        </is>
      </c>
      <c r="E79" s="156" t="inlineStr">
        <is>
          <t>CL/DBZ/1/GOK-UNI</t>
        </is>
      </c>
      <c r="F79" s="156" t="inlineStr">
        <is>
          <t>Talla única</t>
        </is>
      </c>
      <c r="G79" s="156" t="inlineStr">
        <is>
          <t>One Size</t>
        </is>
      </c>
      <c r="H79" s="156" t="inlineStr">
        <is>
          <t>CAPSLAB</t>
        </is>
      </c>
      <c r="I79" s="156" t="inlineStr">
        <is>
          <t>Gorra CAPSLAB Dragon Ball Saga Goku</t>
        </is>
      </c>
      <c r="J79" s="156" t="inlineStr">
        <is>
          <t>Accesorios</t>
        </is>
      </c>
      <c r="K79" s="156" t="inlineStr">
        <is>
          <t>Gorras</t>
        </is>
      </c>
      <c r="L79" s="156" t="inlineStr">
        <is>
          <t>Unisex</t>
        </is>
      </c>
      <c r="M79" s="156" t="inlineStr">
        <is>
          <t>Dragon Ball Saga</t>
        </is>
      </c>
      <c r="N79" s="156" t="n"/>
      <c r="O79" s="156" t="n"/>
      <c r="P79" s="156" t="n"/>
      <c r="Q79" s="156" t="n"/>
      <c r="R79" s="156" t="n"/>
      <c r="S79" s="156" t="inlineStr">
        <is>
          <t>Algodón / Poliéster</t>
        </is>
      </c>
      <c r="T79" s="156" t="inlineStr">
        <is>
          <t>Gorra de la marca CAPSLAB bajo licencia oficial Dragon Ball Saga, personaje Goku. Talla única ajustable. Estilo CL/DBZ/1/GOK.</t>
        </is>
      </c>
      <c r="U79" s="156" t="n"/>
      <c r="V79" s="156" t="inlineStr">
        <is>
          <t>PZS</t>
        </is>
      </c>
      <c r="W79" s="51" t="inlineStr">
        <is>
          <t>53102516</t>
        </is>
      </c>
      <c r="X79" s="156" t="inlineStr">
        <is>
          <t>https://i.ibb.co/bj0YZbM/CLDBZ1-GOK.jpg</t>
        </is>
      </c>
      <c r="Y79" s="54" t="n"/>
      <c r="Z79" s="54" t="n">
        <v>699</v>
      </c>
      <c r="AA79" s="55">
        <f>IF(AND(A79="", B79="", E79=""), "", IF(AB79="", "Válido", IF((LEN(AB79)-LEN(SUBSTITUTE(AB79,"; ","")))/2+1&gt;(LEN(AB79)-LEN(SUBSTITUTE(AB79,"[Aviso]","")))/7, "Con Incidencias", "Válido")))</f>
        <v/>
      </c>
      <c r="AB79" s="56">
        <f>IF(AND(A79="", B79="", E79=""), "", TEXTJOIN("; ", TRUE, IF(OR(TRIM(A79&amp;"")="", ISNUMBER(SEARCH("FALTA", A79))), "UPC faltante/inválido", ""), IF(AND(A79&lt;&gt;"", IFERROR(_xlfn.XMATCH(A79,$A$2:$A$370,0,1)&lt;&gt;_xlfn.XMATCH(A79,$A$2:$A$370,0,-1),FALSE)), "Código de barras duplicado", ""), IF(AND(E79&lt;&gt;"", COUNTIF($E$2:$E$370, E79)&gt;1), "SKU duplicado", ""), IF(OR(J79="", J79=""), "[Aviso] División no capturada ()", IF(ISNA(MATCH(J79, Criterios!$A$123:$A$126, 0)), "División no válida", "")), IF(OR(K79="", K79=""), "[Aviso] Categoría no capturada ()", IF(ISNA(MATCH(K79, Criterios!$A$81:$A$120, 0)), "Categoría no válida", IF(AND(J79&lt;&gt;"", J79&lt;&gt;"", J79&lt;&gt;VLOOKUP(K79, Criterios!$A$81:$B$120, 2, FALSE)), "División no coincide con Categoría", ""))), IF(OR(L79="", L79=""), "[Aviso] Género no capturado ()", IF(ISNA(MATCH(L79, Criterios!$B$123:$B$127, 0)), "Género no válido", "")), IF(OR(N79="", N79=""), "[Aviso] Temporada no capturada ()", IF(ISNA(MATCH(N79, Criterios!$C$123:$C$128, 0)), "Temporada no válida", "")), IF(OR(O79="", O79=""), "[Aviso] Ciclo de vida no capturado ()", IF(ISNA(MATCH(O79, Criterios!$D$123:$D$124, 0)), "Ciclo de vida no válido", ""))))</f>
        <v/>
      </c>
      <c r="AC79" s="56" t="n"/>
      <c r="AD79" s="51" t="n">
        <v>69</v>
      </c>
      <c r="AE79" s="156" t="inlineStr">
        <is>
          <t>CL Muestras (2); CL POS (4); CAPSLAB Warehouse (55); Web (2)</t>
        </is>
      </c>
      <c r="AF79" s="51" t="n">
        <v>69</v>
      </c>
      <c r="AG79" s="156" t="inlineStr">
        <is>
          <t>Nuevo – NetSuite con existencia</t>
        </is>
      </c>
      <c r="AH79" s="156" t="inlineStr">
        <is>
          <t>Composición CAPSLAB varía por modelo (50/50, 40/60 o 100% poliéster): validar etiqueta; Color por validar; Físico total NetSuite 69 ≠ suma por ubicación 63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79" s="156" t="inlineStr">
        <is>
          <t>No</t>
        </is>
      </c>
      <c r="AJ79" s="156" t="n"/>
      <c r="AK79" s="155" t="inlineStr">
        <is>
          <t>G1522ProductosTodosloscamposSandboxResults894.xlsx: fila 47695 [X]; G1522_Extraccion_Articulos_NetSuite_2026-09-30.xlsx: fila 30324 [Z]</t>
        </is>
      </c>
      <c r="AL79" s="58" t="n"/>
      <c r="AM79" s="58" t="n"/>
      <c r="AN79" s="155" t="n"/>
      <c r="AO79" s="59" t="n"/>
      <c r="AP79" s="59" t="n"/>
      <c r="AQ79" s="59" t="n"/>
      <c r="AR79" s="155" t="n"/>
    </row>
    <row r="80">
      <c r="A80" s="50" t="inlineStr">
        <is>
          <t>3614000810902</t>
        </is>
      </c>
      <c r="B80" s="51" t="inlineStr">
        <is>
          <t>57470</t>
        </is>
      </c>
      <c r="C80" s="156" t="inlineStr">
        <is>
          <t>CAPSLAB</t>
        </is>
      </c>
      <c r="D80" s="156" t="inlineStr">
        <is>
          <t>CL/DBZ/1/GOKC</t>
        </is>
      </c>
      <c r="E80" s="156" t="inlineStr">
        <is>
          <t>CL/DBZ/1/GOKC-UNI</t>
        </is>
      </c>
      <c r="F80" s="156" t="inlineStr">
        <is>
          <t>Talla única</t>
        </is>
      </c>
      <c r="G80" s="156" t="inlineStr">
        <is>
          <t>One Size</t>
        </is>
      </c>
      <c r="H80" s="156" t="inlineStr">
        <is>
          <t>CAPSLAB</t>
        </is>
      </c>
      <c r="I80" s="156" t="inlineStr">
        <is>
          <t>Gorra CAPSLAB Dragon Ball Z Goku Negro</t>
        </is>
      </c>
      <c r="J80" s="156" t="inlineStr">
        <is>
          <t>Accesorios</t>
        </is>
      </c>
      <c r="K80" s="156" t="inlineStr">
        <is>
          <t>Gorras</t>
        </is>
      </c>
      <c r="L80" s="156" t="inlineStr">
        <is>
          <t>Unisex</t>
        </is>
      </c>
      <c r="M80" s="156" t="inlineStr">
        <is>
          <t>Dragon Ball Z</t>
        </is>
      </c>
      <c r="N80" s="156" t="n"/>
      <c r="O80" s="156" t="n"/>
      <c r="P80" s="156" t="inlineStr">
        <is>
          <t>Negro</t>
        </is>
      </c>
      <c r="Q80" s="156" t="n"/>
      <c r="R80" s="156" t="n"/>
      <c r="S80" s="156" t="inlineStr">
        <is>
          <t>Algodón / Poliéster</t>
        </is>
      </c>
      <c r="T80" s="156" t="inlineStr">
        <is>
          <t>Gorra de la marca CAPSLAB bajo licencia oficial Dragon Ball Z, personaje Goku. Talla única ajustable. Estilo CL/DBZ/1/GOKC.</t>
        </is>
      </c>
      <c r="U80" s="156" t="n"/>
      <c r="V80" s="156" t="inlineStr">
        <is>
          <t>PZS</t>
        </is>
      </c>
      <c r="W80" s="51" t="inlineStr">
        <is>
          <t>53102516</t>
        </is>
      </c>
      <c r="X80" s="156" t="inlineStr">
        <is>
          <t>https://7913364.app.netsuite.com/core/media/media.nl?id=188378&amp;c=7913364&amp;h=W6rULxBPSauw4Yi3duQ9SuuItoMAeQDx2BphYGmlz8deD8U8</t>
        </is>
      </c>
      <c r="Y80" s="54" t="n">
        <v>8.5</v>
      </c>
      <c r="Z80" s="54" t="n">
        <v>699</v>
      </c>
      <c r="AA80" s="55">
        <f>IF(AND(A80="", B80="", E80=""), "", IF(AB80="", "Válido", IF((LEN(AB80)-LEN(SUBSTITUTE(AB80,"; ","")))/2+1&gt;(LEN(AB80)-LEN(SUBSTITUTE(AB80,"[Aviso]","")))/7, "Con Incidencias", "Válido")))</f>
        <v/>
      </c>
      <c r="AB80" s="56">
        <f>IF(AND(A80="", B80="", E80=""), "", TEXTJOIN("; ", TRUE, IF(OR(TRIM(A80&amp;"")="", ISNUMBER(SEARCH("FALTA", A80))), "UPC faltante/inválido", ""), IF(AND(A80&lt;&gt;"", IFERROR(_xlfn.XMATCH(A80,$A$2:$A$370,0,1)&lt;&gt;_xlfn.XMATCH(A80,$A$2:$A$370,0,-1),FALSE)), "Código de barras duplicado", ""), IF(AND(E80&lt;&gt;"", COUNTIF($E$2:$E$370, E80)&gt;1), "SKU duplicado", ""), IF(OR(J80="", J80=""), "[Aviso] División no capturada ()", IF(ISNA(MATCH(J80, Criterios!$A$123:$A$126, 0)), "División no válida", "")), IF(OR(K80="", K80=""), "[Aviso] Categoría no capturada ()", IF(ISNA(MATCH(K80, Criterios!$A$81:$A$120, 0)), "Categoría no válida", IF(AND(J80&lt;&gt;"", J80&lt;&gt;"", J80&lt;&gt;VLOOKUP(K80, Criterios!$A$81:$B$120, 2, FALSE)), "División no coincide con Categoría", ""))), IF(OR(L80="", L80=""), "[Aviso] Género no capturado ()", IF(ISNA(MATCH(L80, Criterios!$B$123:$B$127, 0)), "Género no válido", "")), IF(OR(N80="", N80=""), "[Aviso] Temporada no capturada ()", IF(ISNA(MATCH(N80, Criterios!$C$123:$C$128, 0)), "Temporada no válida", "")), IF(OR(O80="", O80=""), "[Aviso] Ciclo de vida no capturado ()", IF(ISNA(MATCH(O80, Criterios!$D$123:$D$124, 0)), "Ciclo de vida no válido", ""))))</f>
        <v/>
      </c>
      <c r="AC80" s="56" t="n"/>
      <c r="AD80" s="51" t="n">
        <v>0</v>
      </c>
      <c r="AE80" s="156" t="n"/>
      <c r="AF80" s="51" t="n">
        <v>0</v>
      </c>
      <c r="AG80" s="156" t="inlineStr">
        <is>
          <t>Nuevo – NetSuite sin existencia</t>
        </is>
      </c>
      <c r="AH8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0" s="156" t="inlineStr">
        <is>
          <t>No</t>
        </is>
      </c>
      <c r="AJ80" s="156" t="n"/>
      <c r="AK80" s="155" t="inlineStr">
        <is>
          <t>G1522ProductosTodosloscamposSandboxResults894.xlsx: fila 47697 [Y]; G1522_Extraccion_Articulos_NetSuite_2026-09-30.xlsx: fila 20852 [Z]</t>
        </is>
      </c>
      <c r="AL80" s="58" t="n">
        <v>8.5</v>
      </c>
      <c r="AM80" s="58" t="n"/>
      <c r="AN80" s="155" t="n"/>
      <c r="AO80" s="59" t="n"/>
      <c r="AP80" s="59" t="n"/>
      <c r="AQ80" s="59" t="n"/>
      <c r="AR80" s="155" t="n"/>
    </row>
    <row r="81">
      <c r="A81" s="50" t="inlineStr">
        <is>
          <t>3614000884897</t>
        </is>
      </c>
      <c r="B81" s="51" t="inlineStr">
        <is>
          <t>57472</t>
        </is>
      </c>
      <c r="C81" s="156" t="inlineStr">
        <is>
          <t>CAPSLAB</t>
        </is>
      </c>
      <c r="D81" s="156" t="inlineStr">
        <is>
          <t>CL/DBZ/1/GOKD</t>
        </is>
      </c>
      <c r="E81" s="156" t="inlineStr">
        <is>
          <t>CL/DBZ/1/GOKD-UNI</t>
        </is>
      </c>
      <c r="F81" s="156" t="inlineStr">
        <is>
          <t>Talla única</t>
        </is>
      </c>
      <c r="G81" s="156" t="inlineStr">
        <is>
          <t>One Size</t>
        </is>
      </c>
      <c r="H81" s="156" t="inlineStr">
        <is>
          <t>CAPSLAB</t>
        </is>
      </c>
      <c r="I81" s="156" t="inlineStr">
        <is>
          <t>Gorra CAPSLAB Dragon Ball Z Goku Negro</t>
        </is>
      </c>
      <c r="J81" s="156" t="inlineStr">
        <is>
          <t>Accesorios</t>
        </is>
      </c>
      <c r="K81" s="156" t="inlineStr">
        <is>
          <t>Gorras</t>
        </is>
      </c>
      <c r="L81" s="156" t="inlineStr">
        <is>
          <t>Unisex</t>
        </is>
      </c>
      <c r="M81" s="156" t="inlineStr">
        <is>
          <t>Dragon Ball Z</t>
        </is>
      </c>
      <c r="N81" s="156" t="n"/>
      <c r="O81" s="156" t="n"/>
      <c r="P81" s="156" t="inlineStr">
        <is>
          <t>Negro</t>
        </is>
      </c>
      <c r="Q81" s="156" t="n"/>
      <c r="R81" s="156" t="n"/>
      <c r="S81" s="156" t="inlineStr">
        <is>
          <t>Algodón / Poliéster</t>
        </is>
      </c>
      <c r="T81" s="156" t="inlineStr">
        <is>
          <t>Gorra de la marca CAPSLAB bajo licencia oficial Dragon Ball Z, personaje Goku. Talla única ajustable. Estilo CL/DBZ/1/GOKD.</t>
        </is>
      </c>
      <c r="U81" s="156" t="n"/>
      <c r="V81" s="156" t="inlineStr">
        <is>
          <t>PZS</t>
        </is>
      </c>
      <c r="W81" s="51" t="inlineStr">
        <is>
          <t>53102516</t>
        </is>
      </c>
      <c r="X81" s="156" t="inlineStr">
        <is>
          <t>https://7913364.app.netsuite.com/core/media/media.nl?id=188380&amp;c=7913364&amp;h=HgmxYvp2zvFtbHfQ1QE0BRgijmyPHVsrKgJBGUtOiOkokhsl</t>
        </is>
      </c>
      <c r="Y81" s="54" t="n">
        <v>8.5</v>
      </c>
      <c r="Z81" s="54" t="n">
        <v>699</v>
      </c>
      <c r="AA81" s="55">
        <f>IF(AND(A81="", B81="", E81=""), "", IF(AB81="", "Válido", IF((LEN(AB81)-LEN(SUBSTITUTE(AB81,"; ","")))/2+1&gt;(LEN(AB81)-LEN(SUBSTITUTE(AB81,"[Aviso]","")))/7, "Con Incidencias", "Válido")))</f>
        <v/>
      </c>
      <c r="AB81" s="56">
        <f>IF(AND(A81="", B81="", E81=""), "", TEXTJOIN("; ", TRUE, IF(OR(TRIM(A81&amp;"")="", ISNUMBER(SEARCH("FALTA", A81))), "UPC faltante/inválido", ""), IF(AND(A81&lt;&gt;"", IFERROR(_xlfn.XMATCH(A81,$A$2:$A$370,0,1)&lt;&gt;_xlfn.XMATCH(A81,$A$2:$A$370,0,-1),FALSE)), "Código de barras duplicado", ""), IF(AND(E81&lt;&gt;"", COUNTIF($E$2:$E$370, E81)&gt;1), "SKU duplicado", ""), IF(OR(J81="", J81=""), "[Aviso] División no capturada ()", IF(ISNA(MATCH(J81, Criterios!$A$123:$A$126, 0)), "División no válida", "")), IF(OR(K81="", K81=""), "[Aviso] Categoría no capturada ()", IF(ISNA(MATCH(K81, Criterios!$A$81:$A$120, 0)), "Categoría no válida", IF(AND(J81&lt;&gt;"", J81&lt;&gt;"", J81&lt;&gt;VLOOKUP(K81, Criterios!$A$81:$B$120, 2, FALSE)), "División no coincide con Categoría", ""))), IF(OR(L81="", L81=""), "[Aviso] Género no capturado ()", IF(ISNA(MATCH(L81, Criterios!$B$123:$B$127, 0)), "Género no válido", "")), IF(OR(N81="", N81=""), "[Aviso] Temporada no capturada ()", IF(ISNA(MATCH(N81, Criterios!$C$123:$C$128, 0)), "Temporada no válida", "")), IF(OR(O81="", O81=""), "[Aviso] Ciclo de vida no capturado ()", IF(ISNA(MATCH(O81, Criterios!$D$123:$D$124, 0)), "Ciclo de vida no válido", ""))))</f>
        <v/>
      </c>
      <c r="AC81" s="56" t="n"/>
      <c r="AD81" s="51" t="n">
        <v>136</v>
      </c>
      <c r="AE81" s="156" t="inlineStr">
        <is>
          <t>Web (1); CL Muestras (2); CL POS (4); CAPSLAB Warehouse (69)</t>
        </is>
      </c>
      <c r="AF81" s="51" t="n">
        <v>135</v>
      </c>
      <c r="AG81" s="156" t="inlineStr">
        <is>
          <t>Nuevo – NetSuite con existencia</t>
        </is>
      </c>
      <c r="AH81" s="156" t="inlineStr">
        <is>
          <t>Composición CAPSLAB varía por modelo (50/50, 40/60 o 100% poliéster): validar etiqueta; Físico total NetSuite 136 ≠ suma por ubicación 76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1" s="156" t="inlineStr">
        <is>
          <t>No</t>
        </is>
      </c>
      <c r="AJ81" s="156" t="n"/>
      <c r="AK81" s="155" t="inlineStr">
        <is>
          <t>G1522ProductosTodosloscamposSandboxResults894.xlsx: fila 47699 [Y]; G1522_Extraccion_Articulos_NetSuite_2026-09-30.xlsx: fila 20854 [Z]</t>
        </is>
      </c>
      <c r="AL81" s="58" t="n">
        <v>8.5</v>
      </c>
      <c r="AM81" s="58" t="n"/>
      <c r="AN81" s="155" t="n"/>
      <c r="AO81" s="59" t="n"/>
      <c r="AP81" s="59" t="n"/>
      <c r="AQ81" s="59" t="n"/>
      <c r="AR81" s="155" t="n"/>
    </row>
    <row r="82">
      <c r="A82" s="50" t="inlineStr">
        <is>
          <t>3614000827603</t>
        </is>
      </c>
      <c r="B82" s="51" t="inlineStr">
        <is>
          <t>57473</t>
        </is>
      </c>
      <c r="C82" s="156" t="inlineStr">
        <is>
          <t>CAPSLAB</t>
        </is>
      </c>
      <c r="D82" s="156" t="inlineStr">
        <is>
          <t>CL/DBZ/1/GOT1</t>
        </is>
      </c>
      <c r="E82" s="156" t="inlineStr">
        <is>
          <t>CL/DBZ/1/GOT1-UNI</t>
        </is>
      </c>
      <c r="F82" s="156" t="inlineStr">
        <is>
          <t>Talla única</t>
        </is>
      </c>
      <c r="G82" s="156" t="inlineStr">
        <is>
          <t>One Size</t>
        </is>
      </c>
      <c r="H82" s="156" t="inlineStr">
        <is>
          <t>CAPSLAB</t>
        </is>
      </c>
      <c r="I82" s="156" t="inlineStr">
        <is>
          <t>Gorra CAPSLAB Dragon Ball Z Gris</t>
        </is>
      </c>
      <c r="J82" s="156" t="inlineStr">
        <is>
          <t>Accesorios</t>
        </is>
      </c>
      <c r="K82" s="156" t="inlineStr">
        <is>
          <t>Gorras</t>
        </is>
      </c>
      <c r="L82" s="156" t="inlineStr">
        <is>
          <t>Unisex</t>
        </is>
      </c>
      <c r="M82" s="156" t="inlineStr">
        <is>
          <t>Dragon Ball Z</t>
        </is>
      </c>
      <c r="N82" s="156" t="n"/>
      <c r="O82" s="156" t="n"/>
      <c r="P82" s="156" t="inlineStr">
        <is>
          <t>Gris</t>
        </is>
      </c>
      <c r="Q82" s="156" t="n"/>
      <c r="R82" s="156" t="n"/>
      <c r="S82" s="156" t="inlineStr">
        <is>
          <t>Algodón / Poliéster</t>
        </is>
      </c>
      <c r="T82" s="156" t="inlineStr">
        <is>
          <t>Gorra de la marca CAPSLAB bajo licencia oficial Dragon Ball Z. Talla única ajustable. Estilo CL/DBZ/1/GOT1.</t>
        </is>
      </c>
      <c r="U82" s="156" t="n"/>
      <c r="V82" s="156" t="inlineStr">
        <is>
          <t>PZS</t>
        </is>
      </c>
      <c r="W82" s="51" t="inlineStr">
        <is>
          <t>53102516</t>
        </is>
      </c>
      <c r="X82" s="156" t="inlineStr">
        <is>
          <t>https://7913364.app.netsuite.com/core/media/media.nl?id=188381&amp;c=7913364&amp;h=hu4rPmRvpyym-Sl0gWeC7-XP1rkrtzaMu5go_6F9oFqua6di</t>
        </is>
      </c>
      <c r="Y82" s="54" t="n">
        <v>8.5</v>
      </c>
      <c r="Z82" s="54" t="n">
        <v>699</v>
      </c>
      <c r="AA82" s="55">
        <f>IF(AND(A82="", B82="", E82=""), "", IF(AB82="", "Válido", IF((LEN(AB82)-LEN(SUBSTITUTE(AB82,"; ","")))/2+1&gt;(LEN(AB82)-LEN(SUBSTITUTE(AB82,"[Aviso]","")))/7, "Con Incidencias", "Válido")))</f>
        <v/>
      </c>
      <c r="AB82" s="56">
        <f>IF(AND(A82="", B82="", E82=""), "", TEXTJOIN("; ", TRUE, IF(OR(TRIM(A82&amp;"")="", ISNUMBER(SEARCH("FALTA", A82))), "UPC faltante/inválido", ""), IF(AND(A82&lt;&gt;"", IFERROR(_xlfn.XMATCH(A82,$A$2:$A$370,0,1)&lt;&gt;_xlfn.XMATCH(A82,$A$2:$A$370,0,-1),FALSE)), "Código de barras duplicado", ""), IF(AND(E82&lt;&gt;"", COUNTIF($E$2:$E$370, E82)&gt;1), "SKU duplicado", ""), IF(OR(J82="", J82=""), "[Aviso] División no capturada ()", IF(ISNA(MATCH(J82, Criterios!$A$123:$A$126, 0)), "División no válida", "")), IF(OR(K82="", K82=""), "[Aviso] Categoría no capturada ()", IF(ISNA(MATCH(K82, Criterios!$A$81:$A$120, 0)), "Categoría no válida", IF(AND(J82&lt;&gt;"", J82&lt;&gt;"", J82&lt;&gt;VLOOKUP(K82, Criterios!$A$81:$B$120, 2, FALSE)), "División no coincide con Categoría", ""))), IF(OR(L82="", L82=""), "[Aviso] Género no capturado ()", IF(ISNA(MATCH(L82, Criterios!$B$123:$B$127, 0)), "Género no válido", "")), IF(OR(N82="", N82=""), "[Aviso] Temporada no capturada ()", IF(ISNA(MATCH(N82, Criterios!$C$123:$C$128, 0)), "Temporada no válida", "")), IF(OR(O82="", O82=""), "[Aviso] Ciclo de vida no capturado ()", IF(ISNA(MATCH(O82, Criterios!$D$123:$D$124, 0)), "Ciclo de vida no válido", ""))))</f>
        <v/>
      </c>
      <c r="AC82" s="56" t="n"/>
      <c r="AD82" s="51" t="n">
        <v>1</v>
      </c>
      <c r="AE82" s="156" t="inlineStr">
        <is>
          <t>CAPSLAB Warehouse (1)</t>
        </is>
      </c>
      <c r="AF82" s="51" t="n">
        <v>1</v>
      </c>
      <c r="AG82" s="156" t="inlineStr">
        <is>
          <t>Nuevo – NetSuite con existencia</t>
        </is>
      </c>
      <c r="AH82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2" s="156" t="inlineStr">
        <is>
          <t>No</t>
        </is>
      </c>
      <c r="AJ82" s="156" t="n"/>
      <c r="AK82" s="155" t="inlineStr">
        <is>
          <t>G1522ProductosTodosloscamposSandboxResults894.xlsx: fila 47701 [Y]; G1522_Extraccion_Articulos_NetSuite_2026-09-30.xlsx: fila 20855 [Z]</t>
        </is>
      </c>
      <c r="AL82" s="58" t="n">
        <v>8.5</v>
      </c>
      <c r="AM82" s="58" t="n"/>
      <c r="AN82" s="155" t="n"/>
      <c r="AO82" s="59" t="n"/>
      <c r="AP82" s="59" t="n"/>
      <c r="AQ82" s="59" t="n"/>
      <c r="AR82" s="155" t="n"/>
    </row>
    <row r="83">
      <c r="A83" s="50" t="inlineStr">
        <is>
          <t>3614000827627</t>
        </is>
      </c>
      <c r="B83" s="51" t="inlineStr">
        <is>
          <t>57345</t>
        </is>
      </c>
      <c r="C83" s="156" t="inlineStr">
        <is>
          <t>CAPSLAB</t>
        </is>
      </c>
      <c r="D83" s="156" t="inlineStr">
        <is>
          <t>CL/DBZ/1/GOT3</t>
        </is>
      </c>
      <c r="E83" s="156" t="inlineStr">
        <is>
          <t>CL/DBZ/1/GOT3-UNI</t>
        </is>
      </c>
      <c r="F83" s="156" t="inlineStr">
        <is>
          <t>Talla única</t>
        </is>
      </c>
      <c r="G83" s="156" t="inlineStr">
        <is>
          <t>One Size</t>
        </is>
      </c>
      <c r="H83" s="156" t="inlineStr">
        <is>
          <t>CAPSLAB</t>
        </is>
      </c>
      <c r="I83" s="156" t="inlineStr">
        <is>
          <t>Gorra CAPSLAB Dragon Ball Z Negro</t>
        </is>
      </c>
      <c r="J83" s="156" t="inlineStr">
        <is>
          <t>Accesorios</t>
        </is>
      </c>
      <c r="K83" s="156" t="inlineStr">
        <is>
          <t>Gorras</t>
        </is>
      </c>
      <c r="L83" s="156" t="inlineStr">
        <is>
          <t>Unisex</t>
        </is>
      </c>
      <c r="M83" s="156" t="inlineStr">
        <is>
          <t>Dragon Ball Z</t>
        </is>
      </c>
      <c r="N83" s="156" t="n"/>
      <c r="O83" s="156" t="n"/>
      <c r="P83" s="156" t="inlineStr">
        <is>
          <t>Negro</t>
        </is>
      </c>
      <c r="Q83" s="156" t="n"/>
      <c r="R83" s="156" t="n"/>
      <c r="S83" s="156" t="inlineStr">
        <is>
          <t>Algodón / Poliéster</t>
        </is>
      </c>
      <c r="T83" s="156" t="inlineStr">
        <is>
          <t>Gorra de la marca CAPSLAB bajo licencia oficial Dragon Ball Z. Talla única ajustable. Estilo CL/DBZ/1/GOT3.</t>
        </is>
      </c>
      <c r="U83" s="156" t="n"/>
      <c r="V83" s="156" t="inlineStr">
        <is>
          <t>PZS</t>
        </is>
      </c>
      <c r="W83" s="51" t="inlineStr">
        <is>
          <t>53102516</t>
        </is>
      </c>
      <c r="X83" s="156" t="inlineStr">
        <is>
          <t>https://7913364.app.netsuite.com/core/media/media.nl?id=188196&amp;c=7913364&amp;h=xue1ajVwDlM_c5ugxHxFC2qQjQAf0yiZVIThw561C0fChwEV</t>
        </is>
      </c>
      <c r="Y83" s="54" t="n">
        <v>8.5</v>
      </c>
      <c r="Z83" s="54" t="n">
        <v>699</v>
      </c>
      <c r="AA83" s="55">
        <f>IF(AND(A83="", B83="", E83=""), "", IF(AB83="", "Válido", IF((LEN(AB83)-LEN(SUBSTITUTE(AB83,"; ","")))/2+1&gt;(LEN(AB83)-LEN(SUBSTITUTE(AB83,"[Aviso]","")))/7, "Con Incidencias", "Válido")))</f>
        <v/>
      </c>
      <c r="AB83" s="56">
        <f>IF(AND(A83="", B83="", E83=""), "", TEXTJOIN("; ", TRUE, IF(OR(TRIM(A83&amp;"")="", ISNUMBER(SEARCH("FALTA", A83))), "UPC faltante/inválido", ""), IF(AND(A83&lt;&gt;"", IFERROR(_xlfn.XMATCH(A83,$A$2:$A$370,0,1)&lt;&gt;_xlfn.XMATCH(A83,$A$2:$A$370,0,-1),FALSE)), "Código de barras duplicado", ""), IF(AND(E83&lt;&gt;"", COUNTIF($E$2:$E$370, E83)&gt;1), "SKU duplicado", ""), IF(OR(J83="", J83=""), "[Aviso] División no capturada ()", IF(ISNA(MATCH(J83, Criterios!$A$123:$A$126, 0)), "División no válida", "")), IF(OR(K83="", K83=""), "[Aviso] Categoría no capturada ()", IF(ISNA(MATCH(K83, Criterios!$A$81:$A$120, 0)), "Categoría no válida", IF(AND(J83&lt;&gt;"", J83&lt;&gt;"", J83&lt;&gt;VLOOKUP(K83, Criterios!$A$81:$B$120, 2, FALSE)), "División no coincide con Categoría", ""))), IF(OR(L83="", L83=""), "[Aviso] Género no capturado ()", IF(ISNA(MATCH(L83, Criterios!$B$123:$B$127, 0)), "Género no válido", "")), IF(OR(N83="", N83=""), "[Aviso] Temporada no capturada ()", IF(ISNA(MATCH(N83, Criterios!$C$123:$C$128, 0)), "Temporada no válida", "")), IF(OR(O83="", O83=""), "[Aviso] Ciclo de vida no capturado ()", IF(ISNA(MATCH(O83, Criterios!$D$123:$D$124, 0)), "Ciclo de vida no válido", ""))))</f>
        <v/>
      </c>
      <c r="AC83" s="56" t="n"/>
      <c r="AD83" s="51" t="n">
        <v>8</v>
      </c>
      <c r="AE83" s="156" t="inlineStr">
        <is>
          <t>Web (1); CL POS (4); CL Muestras (2)</t>
        </is>
      </c>
      <c r="AF83" s="51" t="n">
        <v>8</v>
      </c>
      <c r="AG83" s="156" t="inlineStr">
        <is>
          <t>Nuevo – NetSuite con existencia</t>
        </is>
      </c>
      <c r="AH83" s="156" t="inlineStr">
        <is>
          <t>Composición CAPSLAB varía por modelo (50/50, 40/60 o 100% poliéster): validar etiqueta; Físico total NetSuite 8 ≠ suma por ubicación 7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3" s="156" t="inlineStr">
        <is>
          <t>No</t>
        </is>
      </c>
      <c r="AJ83" s="156" t="n"/>
      <c r="AK83" s="155" t="inlineStr">
        <is>
          <t>G1522ProductosTodosloscamposSandboxResults894.xlsx: fila 47703 [Y]; G1522_Extraccion_Articulos_NetSuite_2026-09-30.xlsx: fila 20728 [Z]</t>
        </is>
      </c>
      <c r="AL83" s="58" t="n">
        <v>8.5</v>
      </c>
      <c r="AM83" s="58" t="n"/>
      <c r="AN83" s="155" t="n"/>
      <c r="AO83" s="59" t="n"/>
      <c r="AP83" s="59" t="n"/>
      <c r="AQ83" s="59" t="n"/>
      <c r="AR83" s="155" t="n"/>
    </row>
    <row r="84">
      <c r="A84" s="50" t="inlineStr">
        <is>
          <t>3614000840749</t>
        </is>
      </c>
      <c r="B84" s="51" t="inlineStr">
        <is>
          <t>69595</t>
        </is>
      </c>
      <c r="C84" s="156" t="inlineStr">
        <is>
          <t>CAPSLAB</t>
        </is>
      </c>
      <c r="D84" s="156" t="inlineStr">
        <is>
          <t>CL/DBZ/1/KAMC</t>
        </is>
      </c>
      <c r="E84" s="156" t="inlineStr">
        <is>
          <t>CL/DBZ/1/KAMC-UNI</t>
        </is>
      </c>
      <c r="F84" s="156" t="inlineStr">
        <is>
          <t>Talla única</t>
        </is>
      </c>
      <c r="G84" s="156" t="inlineStr">
        <is>
          <t>One Size</t>
        </is>
      </c>
      <c r="H84" s="156" t="inlineStr">
        <is>
          <t>CAPSLAB</t>
        </is>
      </c>
      <c r="I84" s="156" t="inlineStr">
        <is>
          <t>Gorra CAPSLAB Dragon Ball Saga</t>
        </is>
      </c>
      <c r="J84" s="156" t="inlineStr">
        <is>
          <t>Accesorios</t>
        </is>
      </c>
      <c r="K84" s="156" t="inlineStr">
        <is>
          <t>Gorras</t>
        </is>
      </c>
      <c r="L84" s="156" t="inlineStr">
        <is>
          <t>Unisex</t>
        </is>
      </c>
      <c r="M84" s="156" t="inlineStr">
        <is>
          <t>Dragon Ball Saga</t>
        </is>
      </c>
      <c r="N84" s="156" t="n"/>
      <c r="O84" s="156" t="n"/>
      <c r="P84" s="156" t="n"/>
      <c r="Q84" s="156" t="n"/>
      <c r="R84" s="156" t="n"/>
      <c r="S84" s="156" t="inlineStr">
        <is>
          <t>Algodón / Poliéster</t>
        </is>
      </c>
      <c r="T84" s="156" t="inlineStr">
        <is>
          <t>Gorra de la marca CAPSLAB bajo licencia oficial Dragon Ball Saga. Talla única ajustable. Estilo CL/DBZ/1/KAMC.</t>
        </is>
      </c>
      <c r="U84" s="156" t="n"/>
      <c r="V84" s="156" t="inlineStr">
        <is>
          <t>PZS</t>
        </is>
      </c>
      <c r="W84" s="51" t="inlineStr">
        <is>
          <t>53102516</t>
        </is>
      </c>
      <c r="X84" s="156" t="inlineStr">
        <is>
          <t>https://i.ibb.co/BLPXCQn/CLDBZ1-KAMC.jpg</t>
        </is>
      </c>
      <c r="Y84" s="54" t="n"/>
      <c r="Z84" s="54" t="n">
        <v>699</v>
      </c>
      <c r="AA84" s="55">
        <f>IF(AND(A84="", B84="", E84=""), "", IF(AB84="", "Válido", IF((LEN(AB84)-LEN(SUBSTITUTE(AB84,"; ","")))/2+1&gt;(LEN(AB84)-LEN(SUBSTITUTE(AB84,"[Aviso]","")))/7, "Con Incidencias", "Válido")))</f>
        <v/>
      </c>
      <c r="AB84" s="56">
        <f>IF(AND(A84="", B84="", E84=""), "", TEXTJOIN("; ", TRUE, IF(OR(TRIM(A84&amp;"")="", ISNUMBER(SEARCH("FALTA", A84))), "UPC faltante/inválido", ""), IF(AND(A84&lt;&gt;"", IFERROR(_xlfn.XMATCH(A84,$A$2:$A$370,0,1)&lt;&gt;_xlfn.XMATCH(A84,$A$2:$A$370,0,-1),FALSE)), "Código de barras duplicado", ""), IF(AND(E84&lt;&gt;"", COUNTIF($E$2:$E$370, E84)&gt;1), "SKU duplicado", ""), IF(OR(J84="", J84=""), "[Aviso] División no capturada ()", IF(ISNA(MATCH(J84, Criterios!$A$123:$A$126, 0)), "División no válida", "")), IF(OR(K84="", K84=""), "[Aviso] Categoría no capturada ()", IF(ISNA(MATCH(K84, Criterios!$A$81:$A$120, 0)), "Categoría no válida", IF(AND(J84&lt;&gt;"", J84&lt;&gt;"", J84&lt;&gt;VLOOKUP(K84, Criterios!$A$81:$B$120, 2, FALSE)), "División no coincide con Categoría", ""))), IF(OR(L84="", L84=""), "[Aviso] Género no capturado ()", IF(ISNA(MATCH(L84, Criterios!$B$123:$B$127, 0)), "Género no válido", "")), IF(OR(N84="", N84=""), "[Aviso] Temporada no capturada ()", IF(ISNA(MATCH(N84, Criterios!$C$123:$C$128, 0)), "Temporada no válida", "")), IF(OR(O84="", O84=""), "[Aviso] Ciclo de vida no capturado ()", IF(ISNA(MATCH(O84, Criterios!$D$123:$D$124, 0)), "Ciclo de vida no válido", ""))))</f>
        <v/>
      </c>
      <c r="AC84" s="56" t="n"/>
      <c r="AD84" s="51" t="n">
        <v>41</v>
      </c>
      <c r="AE84" s="156" t="inlineStr">
        <is>
          <t>CL POS (3); Web (3); CAPSLAB Warehouse (34); CL Muestras (1)</t>
        </is>
      </c>
      <c r="AF84" s="51" t="n">
        <v>42</v>
      </c>
      <c r="AG84" s="156" t="inlineStr">
        <is>
          <t>Nuevo – NetSuite con existencia</t>
        </is>
      </c>
      <c r="AH84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84" s="156" t="inlineStr">
        <is>
          <t>No</t>
        </is>
      </c>
      <c r="AJ84" s="156" t="n"/>
      <c r="AK84" s="155" t="inlineStr">
        <is>
          <t>G1522ProductosTodosloscamposSandboxResults894.xlsx: fila 47705 [X]; G1522_Extraccion_Articulos_NetSuite_2026-09-30.xlsx: fila 30325 [Z]</t>
        </is>
      </c>
      <c r="AL84" s="58" t="n"/>
      <c r="AM84" s="58" t="n"/>
      <c r="AN84" s="155" t="n"/>
      <c r="AO84" s="59" t="n"/>
      <c r="AP84" s="59" t="n"/>
      <c r="AQ84" s="59" t="n"/>
      <c r="AR84" s="155" t="n"/>
    </row>
    <row r="85">
      <c r="A85" s="50" t="inlineStr">
        <is>
          <t>3614000827573</t>
        </is>
      </c>
      <c r="B85" s="51" t="inlineStr">
        <is>
          <t>57346</t>
        </is>
      </c>
      <c r="C85" s="156" t="inlineStr">
        <is>
          <t>CAPSLAB</t>
        </is>
      </c>
      <c r="D85" s="156" t="inlineStr">
        <is>
          <t>CL/DBZ/1/SAN1</t>
        </is>
      </c>
      <c r="E85" s="156" t="inlineStr">
        <is>
          <t>CL/DBZ/1/SAN1-UNI</t>
        </is>
      </c>
      <c r="F85" s="156" t="inlineStr">
        <is>
          <t>Talla única</t>
        </is>
      </c>
      <c r="G85" s="156" t="inlineStr">
        <is>
          <t>One Size</t>
        </is>
      </c>
      <c r="H85" s="156" t="inlineStr">
        <is>
          <t>CAPSLAB</t>
        </is>
      </c>
      <c r="I85" s="156" t="inlineStr">
        <is>
          <t>Gorra CAPSLAB Dragon Ball Z Azul</t>
        </is>
      </c>
      <c r="J85" s="156" t="inlineStr">
        <is>
          <t>Accesorios</t>
        </is>
      </c>
      <c r="K85" s="156" t="inlineStr">
        <is>
          <t>Gorras</t>
        </is>
      </c>
      <c r="L85" s="156" t="inlineStr">
        <is>
          <t>Unisex</t>
        </is>
      </c>
      <c r="M85" s="156" t="inlineStr">
        <is>
          <t>Dragon Ball Z</t>
        </is>
      </c>
      <c r="N85" s="156" t="n"/>
      <c r="O85" s="156" t="n"/>
      <c r="P85" s="156" t="inlineStr">
        <is>
          <t>Azul</t>
        </is>
      </c>
      <c r="Q85" s="156" t="n"/>
      <c r="R85" s="156" t="n"/>
      <c r="S85" s="156" t="inlineStr">
        <is>
          <t>Algodón / Poliéster</t>
        </is>
      </c>
      <c r="T85" s="156" t="inlineStr">
        <is>
          <t>Gorra de la marca CAPSLAB bajo licencia oficial Dragon Ball Z. Talla única ajustable. Estilo CL/DBZ/1/SAN1.</t>
        </is>
      </c>
      <c r="U85" s="156" t="n"/>
      <c r="V85" s="156" t="inlineStr">
        <is>
          <t>PZS</t>
        </is>
      </c>
      <c r="W85" s="51" t="inlineStr">
        <is>
          <t>53102516</t>
        </is>
      </c>
      <c r="X85" s="156" t="inlineStr">
        <is>
          <t>https://7913364.app.netsuite.com/core/media/media.nl?id=188197&amp;c=7913364&amp;h=cGoG08sPJM-Lt5kl8xY9s7TI5PtGg2vSwt16zGXx4ebLdyTQ</t>
        </is>
      </c>
      <c r="Y85" s="54" t="n">
        <v>8.5</v>
      </c>
      <c r="Z85" s="54" t="n">
        <v>699</v>
      </c>
      <c r="AA85" s="55">
        <f>IF(AND(A85="", B85="", E85=""), "", IF(AB85="", "Válido", IF((LEN(AB85)-LEN(SUBSTITUTE(AB85,"; ","")))/2+1&gt;(LEN(AB85)-LEN(SUBSTITUTE(AB85,"[Aviso]","")))/7, "Con Incidencias", "Válido")))</f>
        <v/>
      </c>
      <c r="AB85" s="56">
        <f>IF(AND(A85="", B85="", E85=""), "", TEXTJOIN("; ", TRUE, IF(OR(TRIM(A85&amp;"")="", ISNUMBER(SEARCH("FALTA", A85))), "UPC faltante/inválido", ""), IF(AND(A85&lt;&gt;"", IFERROR(_xlfn.XMATCH(A85,$A$2:$A$370,0,1)&lt;&gt;_xlfn.XMATCH(A85,$A$2:$A$370,0,-1),FALSE)), "Código de barras duplicado", ""), IF(AND(E85&lt;&gt;"", COUNTIF($E$2:$E$370, E85)&gt;1), "SKU duplicado", ""), IF(OR(J85="", J85=""), "[Aviso] División no capturada ()", IF(ISNA(MATCH(J85, Criterios!$A$123:$A$126, 0)), "División no válida", "")), IF(OR(K85="", K85=""), "[Aviso] Categoría no capturada ()", IF(ISNA(MATCH(K85, Criterios!$A$81:$A$120, 0)), "Categoría no válida", IF(AND(J85&lt;&gt;"", J85&lt;&gt;"", J85&lt;&gt;VLOOKUP(K85, Criterios!$A$81:$B$120, 2, FALSE)), "División no coincide con Categoría", ""))), IF(OR(L85="", L85=""), "[Aviso] Género no capturado ()", IF(ISNA(MATCH(L85, Criterios!$B$123:$B$127, 0)), "Género no válido", "")), IF(OR(N85="", N85=""), "[Aviso] Temporada no capturada ()", IF(ISNA(MATCH(N85, Criterios!$C$123:$C$128, 0)), "Temporada no válida", "")), IF(OR(O85="", O85=""), "[Aviso] Ciclo de vida no capturado ()", IF(ISNA(MATCH(O85, Criterios!$D$123:$D$124, 0)), "Ciclo de vida no válido", ""))))</f>
        <v/>
      </c>
      <c r="AC85" s="56" t="n"/>
      <c r="AD85" s="51" t="n">
        <v>0</v>
      </c>
      <c r="AE85" s="156" t="n"/>
      <c r="AF85" s="51" t="n">
        <v>0</v>
      </c>
      <c r="AG85" s="156" t="inlineStr">
        <is>
          <t>Nuevo – NetSuite sin existencia</t>
        </is>
      </c>
      <c r="AH8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5" s="156" t="inlineStr">
        <is>
          <t>No</t>
        </is>
      </c>
      <c r="AJ85" s="156" t="n"/>
      <c r="AK85" s="155" t="inlineStr">
        <is>
          <t>G1522ProductosTodosloscamposSandboxResults894.xlsx: fila 47707 [Y]; G1522_Extraccion_Articulos_NetSuite_2026-09-30.xlsx: fila 20729 [Z]</t>
        </is>
      </c>
      <c r="AL85" s="58" t="n">
        <v>8.5</v>
      </c>
      <c r="AM85" s="58" t="n"/>
      <c r="AN85" s="155" t="n"/>
      <c r="AO85" s="59" t="n"/>
      <c r="AP85" s="59" t="n"/>
      <c r="AQ85" s="59" t="n"/>
      <c r="AR85" s="155" t="n"/>
    </row>
    <row r="86">
      <c r="A86" s="50" t="inlineStr">
        <is>
          <t>3614000827597</t>
        </is>
      </c>
      <c r="B86" s="51" t="inlineStr">
        <is>
          <t>57347</t>
        </is>
      </c>
      <c r="C86" s="156" t="inlineStr">
        <is>
          <t>CAPSLAB</t>
        </is>
      </c>
      <c r="D86" s="156" t="inlineStr">
        <is>
          <t>CL/DBZ/1/SAN3</t>
        </is>
      </c>
      <c r="E86" s="156" t="inlineStr">
        <is>
          <t>CL/DBZ/1/SAN3-UNI</t>
        </is>
      </c>
      <c r="F86" s="156" t="inlineStr">
        <is>
          <t>Talla única</t>
        </is>
      </c>
      <c r="G86" s="156" t="inlineStr">
        <is>
          <t>One Size</t>
        </is>
      </c>
      <c r="H86" s="156" t="inlineStr">
        <is>
          <t>CAPSLAB</t>
        </is>
      </c>
      <c r="I86" s="156" t="inlineStr">
        <is>
          <t>Gorra CAPSLAB Dragon Ball Z Negro</t>
        </is>
      </c>
      <c r="J86" s="156" t="inlineStr">
        <is>
          <t>Accesorios</t>
        </is>
      </c>
      <c r="K86" s="156" t="inlineStr">
        <is>
          <t>Gorras</t>
        </is>
      </c>
      <c r="L86" s="156" t="inlineStr">
        <is>
          <t>Unisex</t>
        </is>
      </c>
      <c r="M86" s="156" t="inlineStr">
        <is>
          <t>Dragon Ball Z</t>
        </is>
      </c>
      <c r="N86" s="156" t="n"/>
      <c r="O86" s="156" t="n"/>
      <c r="P86" s="156" t="inlineStr">
        <is>
          <t>Negro</t>
        </is>
      </c>
      <c r="Q86" s="156" t="n"/>
      <c r="R86" s="156" t="n"/>
      <c r="S86" s="156" t="inlineStr">
        <is>
          <t>Algodón / Poliéster</t>
        </is>
      </c>
      <c r="T86" s="156" t="inlineStr">
        <is>
          <t>Gorra de la marca CAPSLAB bajo licencia oficial Dragon Ball Z. Talla única ajustable. Estilo CL/DBZ/1/SAN3.</t>
        </is>
      </c>
      <c r="U86" s="156" t="n"/>
      <c r="V86" s="156" t="inlineStr">
        <is>
          <t>PZS</t>
        </is>
      </c>
      <c r="W86" s="51" t="inlineStr">
        <is>
          <t>53102516</t>
        </is>
      </c>
      <c r="X86" s="156" t="inlineStr">
        <is>
          <t>https://7913364.app.netsuite.com/core/media/media.nl?id=188198&amp;c=7913364&amp;h=zVw-c6vyjiQvA1vtNEy05vH4JjDctZ4nP5ZoS_9SWxerzIY1</t>
        </is>
      </c>
      <c r="Y86" s="54" t="n">
        <v>8.5</v>
      </c>
      <c r="Z86" s="54" t="n">
        <v>699</v>
      </c>
      <c r="AA86" s="55">
        <f>IF(AND(A86="", B86="", E86=""), "", IF(AB86="", "Válido", IF((LEN(AB86)-LEN(SUBSTITUTE(AB86,"; ","")))/2+1&gt;(LEN(AB86)-LEN(SUBSTITUTE(AB86,"[Aviso]","")))/7, "Con Incidencias", "Válido")))</f>
        <v/>
      </c>
      <c r="AB86" s="56">
        <f>IF(AND(A86="", B86="", E86=""), "", TEXTJOIN("; ", TRUE, IF(OR(TRIM(A86&amp;"")="", ISNUMBER(SEARCH("FALTA", A86))), "UPC faltante/inválido", ""), IF(AND(A86&lt;&gt;"", IFERROR(_xlfn.XMATCH(A86,$A$2:$A$370,0,1)&lt;&gt;_xlfn.XMATCH(A86,$A$2:$A$370,0,-1),FALSE)), "Código de barras duplicado", ""), IF(AND(E86&lt;&gt;"", COUNTIF($E$2:$E$370, E86)&gt;1), "SKU duplicado", ""), IF(OR(J86="", J86=""), "[Aviso] División no capturada ()", IF(ISNA(MATCH(J86, Criterios!$A$123:$A$126, 0)), "División no válida", "")), IF(OR(K86="", K86=""), "[Aviso] Categoría no capturada ()", IF(ISNA(MATCH(K86, Criterios!$A$81:$A$120, 0)), "Categoría no válida", IF(AND(J86&lt;&gt;"", J86&lt;&gt;"", J86&lt;&gt;VLOOKUP(K86, Criterios!$A$81:$B$120, 2, FALSE)), "División no coincide con Categoría", ""))), IF(OR(L86="", L86=""), "[Aviso] Género no capturado ()", IF(ISNA(MATCH(L86, Criterios!$B$123:$B$127, 0)), "Género no válido", "")), IF(OR(N86="", N86=""), "[Aviso] Temporada no capturada ()", IF(ISNA(MATCH(N86, Criterios!$C$123:$C$128, 0)), "Temporada no válida", "")), IF(OR(O86="", O86=""), "[Aviso] Ciclo de vida no capturado ()", IF(ISNA(MATCH(O86, Criterios!$D$123:$D$124, 0)), "Ciclo de vida no válido", ""))))</f>
        <v/>
      </c>
      <c r="AC86" s="56" t="n"/>
      <c r="AD86" s="51" t="n">
        <v>123</v>
      </c>
      <c r="AE86" s="156" t="inlineStr">
        <is>
          <t>CL Muestras (2); CAPSLAB Warehouse (76); CL POS (4); Web (4)</t>
        </is>
      </c>
      <c r="AF86" s="51" t="n">
        <v>124</v>
      </c>
      <c r="AG86" s="156" t="inlineStr">
        <is>
          <t>Nuevo – NetSuite con existencia</t>
        </is>
      </c>
      <c r="AH86" s="156" t="inlineStr">
        <is>
          <t>Composición CAPSLAB varía por modelo (50/50, 40/60 o 100% poliéster): validar etiqueta; Físico total NetSuite 123 ≠ suma por ubicación 86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6" s="156" t="inlineStr">
        <is>
          <t>No</t>
        </is>
      </c>
      <c r="AJ86" s="156" t="n"/>
      <c r="AK86" s="155" t="inlineStr">
        <is>
          <t>G1522ProductosTodosloscamposSandboxResults894.xlsx: fila 47709 [Y]; G1522_Extraccion_Articulos_NetSuite_2026-09-30.xlsx: fila 20730 [Z]</t>
        </is>
      </c>
      <c r="AL86" s="58" t="n">
        <v>8.5</v>
      </c>
      <c r="AM86" s="58" t="n"/>
      <c r="AN86" s="155" t="n"/>
      <c r="AO86" s="59" t="n"/>
      <c r="AP86" s="59" t="n"/>
      <c r="AQ86" s="59" t="n"/>
      <c r="AR86" s="155" t="n"/>
    </row>
    <row r="87">
      <c r="A87" s="50" t="inlineStr">
        <is>
          <t>3614000827641</t>
        </is>
      </c>
      <c r="B87" s="51" t="inlineStr">
        <is>
          <t>57474</t>
        </is>
      </c>
      <c r="C87" s="156" t="inlineStr">
        <is>
          <t>CAPSLAB</t>
        </is>
      </c>
      <c r="D87" s="156" t="inlineStr">
        <is>
          <t>CL/DBZ/1/SUP</t>
        </is>
      </c>
      <c r="E87" s="156" t="inlineStr">
        <is>
          <t>CL/DBZ/1/SUP-UNI</t>
        </is>
      </c>
      <c r="F87" s="156" t="inlineStr">
        <is>
          <t>Talla única</t>
        </is>
      </c>
      <c r="G87" s="156" t="inlineStr">
        <is>
          <t>One Size</t>
        </is>
      </c>
      <c r="H87" s="156" t="inlineStr">
        <is>
          <t>CAPSLAB</t>
        </is>
      </c>
      <c r="I87" s="156" t="inlineStr">
        <is>
          <t>Gorra CAPSLAB Dragon Ball Z Superman Negro</t>
        </is>
      </c>
      <c r="J87" s="156" t="inlineStr">
        <is>
          <t>Accesorios</t>
        </is>
      </c>
      <c r="K87" s="156" t="inlineStr">
        <is>
          <t>Gorras</t>
        </is>
      </c>
      <c r="L87" s="156" t="inlineStr">
        <is>
          <t>Unisex</t>
        </is>
      </c>
      <c r="M87" s="156" t="inlineStr">
        <is>
          <t>Dragon Ball Z</t>
        </is>
      </c>
      <c r="N87" s="156" t="n"/>
      <c r="O87" s="156" t="n"/>
      <c r="P87" s="156" t="inlineStr">
        <is>
          <t>Negro</t>
        </is>
      </c>
      <c r="Q87" s="156" t="n"/>
      <c r="R87" s="156" t="n"/>
      <c r="S87" s="156" t="inlineStr">
        <is>
          <t>Algodón / Poliéster</t>
        </is>
      </c>
      <c r="T87" s="156" t="inlineStr">
        <is>
          <t>Gorra de la marca CAPSLAB bajo licencia oficial Dragon Ball Z, personaje Superman. Talla única ajustable. Estilo CL/DBZ/1/SUP.</t>
        </is>
      </c>
      <c r="U87" s="156" t="n"/>
      <c r="V87" s="156" t="inlineStr">
        <is>
          <t>PZS</t>
        </is>
      </c>
      <c r="W87" s="51" t="inlineStr">
        <is>
          <t>53102516</t>
        </is>
      </c>
      <c r="X87" s="156" t="inlineStr">
        <is>
          <t>https://7913364.app.netsuite.com/core/media/media.nl?id=188382&amp;c=7913364&amp;h=2OljdbLzoTfg1IzG5OoZs1iyOdEgQRLcAvvuzML-xA7KmYc2</t>
        </is>
      </c>
      <c r="Y87" s="54" t="n">
        <v>8.5</v>
      </c>
      <c r="Z87" s="54" t="n">
        <v>699</v>
      </c>
      <c r="AA87" s="55">
        <f>IF(AND(A87="", B87="", E87=""), "", IF(AB87="", "Válido", IF((LEN(AB87)-LEN(SUBSTITUTE(AB87,"; ","")))/2+1&gt;(LEN(AB87)-LEN(SUBSTITUTE(AB87,"[Aviso]","")))/7, "Con Incidencias", "Válido")))</f>
        <v/>
      </c>
      <c r="AB87" s="56">
        <f>IF(AND(A87="", B87="", E87=""), "", TEXTJOIN("; ", TRUE, IF(OR(TRIM(A87&amp;"")="", ISNUMBER(SEARCH("FALTA", A87))), "UPC faltante/inválido", ""), IF(AND(A87&lt;&gt;"", IFERROR(_xlfn.XMATCH(A87,$A$2:$A$370,0,1)&lt;&gt;_xlfn.XMATCH(A87,$A$2:$A$370,0,-1),FALSE)), "Código de barras duplicado", ""), IF(AND(E87&lt;&gt;"", COUNTIF($E$2:$E$370, E87)&gt;1), "SKU duplicado", ""), IF(OR(J87="", J87=""), "[Aviso] División no capturada ()", IF(ISNA(MATCH(J87, Criterios!$A$123:$A$126, 0)), "División no válida", "")), IF(OR(K87="", K87=""), "[Aviso] Categoría no capturada ()", IF(ISNA(MATCH(K87, Criterios!$A$81:$A$120, 0)), "Categoría no válida", IF(AND(J87&lt;&gt;"", J87&lt;&gt;"", J87&lt;&gt;VLOOKUP(K87, Criterios!$A$81:$B$120, 2, FALSE)), "División no coincide con Categoría", ""))), IF(OR(L87="", L87=""), "[Aviso] Género no capturado ()", IF(ISNA(MATCH(L87, Criterios!$B$123:$B$127, 0)), "Género no válido", "")), IF(OR(N87="", N87=""), "[Aviso] Temporada no capturada ()", IF(ISNA(MATCH(N87, Criterios!$C$123:$C$128, 0)), "Temporada no válida", "")), IF(OR(O87="", O87=""), "[Aviso] Ciclo de vida no capturado ()", IF(ISNA(MATCH(O87, Criterios!$D$123:$D$124, 0)), "Ciclo de vida no válido", ""))))</f>
        <v/>
      </c>
      <c r="AC87" s="56" t="n"/>
      <c r="AD87" s="51" t="n">
        <v>1</v>
      </c>
      <c r="AE87" s="156" t="inlineStr">
        <is>
          <t>CL Muestras (1)</t>
        </is>
      </c>
      <c r="AF87" s="51" t="n">
        <v>1</v>
      </c>
      <c r="AG87" s="156" t="inlineStr">
        <is>
          <t>Nuevo – NetSuite con existencia</t>
        </is>
      </c>
      <c r="AH8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7" s="156" t="inlineStr">
        <is>
          <t>No</t>
        </is>
      </c>
      <c r="AJ87" s="156" t="n"/>
      <c r="AK87" s="155" t="inlineStr">
        <is>
          <t>G1522ProductosTodosloscamposSandboxResults894.xlsx: fila 47711 [Y]; G1522_Extraccion_Articulos_NetSuite_2026-09-30.xlsx: fila 20856 [Z]</t>
        </is>
      </c>
      <c r="AL87" s="58" t="n">
        <v>8.5</v>
      </c>
      <c r="AM87" s="58" t="n"/>
      <c r="AN87" s="155" t="n"/>
      <c r="AO87" s="59" t="n"/>
      <c r="AP87" s="59" t="n"/>
      <c r="AQ87" s="59" t="n"/>
      <c r="AR87" s="155" t="n"/>
    </row>
    <row r="88">
      <c r="A88" s="50" t="inlineStr">
        <is>
          <t>3614000810933</t>
        </is>
      </c>
      <c r="B88" s="51" t="inlineStr">
        <is>
          <t>57348</t>
        </is>
      </c>
      <c r="C88" s="156" t="inlineStr">
        <is>
          <t>CAPSLAB</t>
        </is>
      </c>
      <c r="D88" s="156" t="inlineStr">
        <is>
          <t>CL/DBZ/1/VE2</t>
        </is>
      </c>
      <c r="E88" s="156" t="inlineStr">
        <is>
          <t>CL/DBZ/1/VE2-UNI</t>
        </is>
      </c>
      <c r="F88" s="156" t="inlineStr">
        <is>
          <t>Talla única</t>
        </is>
      </c>
      <c r="G88" s="156" t="inlineStr">
        <is>
          <t>One Size</t>
        </is>
      </c>
      <c r="H88" s="156" t="inlineStr">
        <is>
          <t>CAPSLAB</t>
        </is>
      </c>
      <c r="I88" s="156" t="inlineStr">
        <is>
          <t>Gorra CAPSLAB Dragon Ball Z Negro</t>
        </is>
      </c>
      <c r="J88" s="156" t="inlineStr">
        <is>
          <t>Accesorios</t>
        </is>
      </c>
      <c r="K88" s="156" t="inlineStr">
        <is>
          <t>Gorras</t>
        </is>
      </c>
      <c r="L88" s="156" t="inlineStr">
        <is>
          <t>Unisex</t>
        </is>
      </c>
      <c r="M88" s="156" t="inlineStr">
        <is>
          <t>Dragon Ball Z</t>
        </is>
      </c>
      <c r="N88" s="156" t="n"/>
      <c r="O88" s="156" t="n"/>
      <c r="P88" s="156" t="inlineStr">
        <is>
          <t>Negro</t>
        </is>
      </c>
      <c r="Q88" s="156" t="n"/>
      <c r="R88" s="156" t="n"/>
      <c r="S88" s="156" t="inlineStr">
        <is>
          <t>Algodón / Poliéster</t>
        </is>
      </c>
      <c r="T88" s="156" t="inlineStr">
        <is>
          <t>Gorra de la marca CAPSLAB bajo licencia oficial Dragon Ball Z. Talla única ajustable. Estilo CL/DBZ/1/VE2.</t>
        </is>
      </c>
      <c r="U88" s="156" t="n"/>
      <c r="V88" s="156" t="inlineStr">
        <is>
          <t>PZS</t>
        </is>
      </c>
      <c r="W88" s="51" t="inlineStr">
        <is>
          <t>53102516</t>
        </is>
      </c>
      <c r="X88" s="156" t="inlineStr">
        <is>
          <t>https://7913364.app.netsuite.com/core/media/media.nl?id=188199&amp;c=7913364&amp;h=x4ejPIfEUlAOKiqwX4frmYga6ZBiimV8YgMd8XI6sdhbucUT</t>
        </is>
      </c>
      <c r="Y88" s="54" t="n">
        <v>8.5</v>
      </c>
      <c r="Z88" s="54" t="n">
        <v>699</v>
      </c>
      <c r="AA88" s="55">
        <f>IF(AND(A88="", B88="", E88=""), "", IF(AB88="", "Válido", IF((LEN(AB88)-LEN(SUBSTITUTE(AB88,"; ","")))/2+1&gt;(LEN(AB88)-LEN(SUBSTITUTE(AB88,"[Aviso]","")))/7, "Con Incidencias", "Válido")))</f>
        <v/>
      </c>
      <c r="AB88" s="56">
        <f>IF(AND(A88="", B88="", E88=""), "", TEXTJOIN("; ", TRUE, IF(OR(TRIM(A88&amp;"")="", ISNUMBER(SEARCH("FALTA", A88))), "UPC faltante/inválido", ""), IF(AND(A88&lt;&gt;"", IFERROR(_xlfn.XMATCH(A88,$A$2:$A$370,0,1)&lt;&gt;_xlfn.XMATCH(A88,$A$2:$A$370,0,-1),FALSE)), "Código de barras duplicado", ""), IF(AND(E88&lt;&gt;"", COUNTIF($E$2:$E$370, E88)&gt;1), "SKU duplicado", ""), IF(OR(J88="", J88=""), "[Aviso] División no capturada ()", IF(ISNA(MATCH(J88, Criterios!$A$123:$A$126, 0)), "División no válida", "")), IF(OR(K88="", K88=""), "[Aviso] Categoría no capturada ()", IF(ISNA(MATCH(K88, Criterios!$A$81:$A$120, 0)), "Categoría no válida", IF(AND(J88&lt;&gt;"", J88&lt;&gt;"", J88&lt;&gt;VLOOKUP(K88, Criterios!$A$81:$B$120, 2, FALSE)), "División no coincide con Categoría", ""))), IF(OR(L88="", L88=""), "[Aviso] Género no capturado ()", IF(ISNA(MATCH(L88, Criterios!$B$123:$B$127, 0)), "Género no válido", "")), IF(OR(N88="", N88=""), "[Aviso] Temporada no capturada ()", IF(ISNA(MATCH(N88, Criterios!$C$123:$C$128, 0)), "Temporada no válida", "")), IF(OR(O88="", O88=""), "[Aviso] Ciclo de vida no capturado ()", IF(ISNA(MATCH(O88, Criterios!$D$123:$D$124, 0)), "Ciclo de vida no válido", ""))))</f>
        <v/>
      </c>
      <c r="AC88" s="56" t="n"/>
      <c r="AD88" s="51" t="n">
        <v>1</v>
      </c>
      <c r="AE88" s="156" t="inlineStr">
        <is>
          <t>CL Muestras (1)</t>
        </is>
      </c>
      <c r="AF88" s="51" t="n">
        <v>1</v>
      </c>
      <c r="AG88" s="156" t="inlineStr">
        <is>
          <t>Nuevo – NetSuite con existencia</t>
        </is>
      </c>
      <c r="AH8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8" s="156" t="inlineStr">
        <is>
          <t>No</t>
        </is>
      </c>
      <c r="AJ88" s="156" t="n"/>
      <c r="AK88" s="155" t="inlineStr">
        <is>
          <t>G1522ProductosTodosloscamposSandboxResults894.xlsx: fila 47713 [Y]; G1522_Extraccion_Articulos_NetSuite_2026-09-30.xlsx: fila 20731 [Z]</t>
        </is>
      </c>
      <c r="AL88" s="58" t="n">
        <v>8.5</v>
      </c>
      <c r="AM88" s="58" t="n"/>
      <c r="AN88" s="155" t="n"/>
      <c r="AO88" s="59" t="n"/>
      <c r="AP88" s="59" t="n"/>
      <c r="AQ88" s="59" t="n"/>
      <c r="AR88" s="155" t="n"/>
    </row>
    <row r="89">
      <c r="A89" s="50" t="inlineStr">
        <is>
          <t>3614000810940</t>
        </is>
      </c>
      <c r="B89" s="51" t="inlineStr">
        <is>
          <t>57475</t>
        </is>
      </c>
      <c r="C89" s="156" t="inlineStr">
        <is>
          <t>CAPSLAB</t>
        </is>
      </c>
      <c r="D89" s="156" t="inlineStr">
        <is>
          <t>CL/DBZ/1/VE3</t>
        </is>
      </c>
      <c r="E89" s="156" t="inlineStr">
        <is>
          <t>CL/DBZ/1/VE3-uNI</t>
        </is>
      </c>
      <c r="F89" s="156" t="inlineStr">
        <is>
          <t>Talla única</t>
        </is>
      </c>
      <c r="G89" s="156" t="inlineStr">
        <is>
          <t>One Size</t>
        </is>
      </c>
      <c r="H89" s="156" t="inlineStr">
        <is>
          <t>CAPSLAB</t>
        </is>
      </c>
      <c r="I89" s="156" t="inlineStr">
        <is>
          <t>Gorra CAPSLAB Dragon Ball Z Negro</t>
        </is>
      </c>
      <c r="J89" s="156" t="inlineStr">
        <is>
          <t>Accesorios</t>
        </is>
      </c>
      <c r="K89" s="156" t="inlineStr">
        <is>
          <t>Gorras</t>
        </is>
      </c>
      <c r="L89" s="156" t="inlineStr">
        <is>
          <t>Unisex</t>
        </is>
      </c>
      <c r="M89" s="156" t="inlineStr">
        <is>
          <t>Dragon Ball Z</t>
        </is>
      </c>
      <c r="N89" s="156" t="n"/>
      <c r="O89" s="156" t="n"/>
      <c r="P89" s="156" t="inlineStr">
        <is>
          <t>Negro</t>
        </is>
      </c>
      <c r="Q89" s="156" t="n"/>
      <c r="R89" s="156" t="n"/>
      <c r="S89" s="156" t="inlineStr">
        <is>
          <t>Algodón / Poliéster</t>
        </is>
      </c>
      <c r="T89" s="156" t="inlineStr">
        <is>
          <t>Gorra de la marca CAPSLAB bajo licencia oficial Dragon Ball Z. Talla única ajustable. Estilo CL/DBZ/1/VE3.</t>
        </is>
      </c>
      <c r="U89" s="156" t="n"/>
      <c r="V89" s="156" t="inlineStr">
        <is>
          <t>PZS</t>
        </is>
      </c>
      <c r="W89" s="51" t="inlineStr">
        <is>
          <t>53102516</t>
        </is>
      </c>
      <c r="X89" s="156" t="inlineStr">
        <is>
          <t>https://7913364.app.netsuite.com/core/media/media.nl?id=188383&amp;c=7913364&amp;h=qxsc6B0ot1Soh3uAB-fRKrD7Q3tNA9687-rDfMhztfrOXool</t>
        </is>
      </c>
      <c r="Y89" s="54" t="n">
        <v>8.5</v>
      </c>
      <c r="Z89" s="54" t="n">
        <v>699</v>
      </c>
      <c r="AA89" s="55">
        <f>IF(AND(A89="", B89="", E89=""), "", IF(AB89="", "Válido", IF((LEN(AB89)-LEN(SUBSTITUTE(AB89,"; ","")))/2+1&gt;(LEN(AB89)-LEN(SUBSTITUTE(AB89,"[Aviso]","")))/7, "Con Incidencias", "Válido")))</f>
        <v/>
      </c>
      <c r="AB89" s="56">
        <f>IF(AND(A89="", B89="", E89=""), "", TEXTJOIN("; ", TRUE, IF(OR(TRIM(A89&amp;"")="", ISNUMBER(SEARCH("FALTA", A89))), "UPC faltante/inválido", ""), IF(AND(A89&lt;&gt;"", IFERROR(_xlfn.XMATCH(A89,$A$2:$A$370,0,1)&lt;&gt;_xlfn.XMATCH(A89,$A$2:$A$370,0,-1),FALSE)), "Código de barras duplicado", ""), IF(AND(E89&lt;&gt;"", COUNTIF($E$2:$E$370, E89)&gt;1), "SKU duplicado", ""), IF(OR(J89="", J89=""), "[Aviso] División no capturada ()", IF(ISNA(MATCH(J89, Criterios!$A$123:$A$126, 0)), "División no válida", "")), IF(OR(K89="", K89=""), "[Aviso] Categoría no capturada ()", IF(ISNA(MATCH(K89, Criterios!$A$81:$A$120, 0)), "Categoría no válida", IF(AND(J89&lt;&gt;"", J89&lt;&gt;"", J89&lt;&gt;VLOOKUP(K89, Criterios!$A$81:$B$120, 2, FALSE)), "División no coincide con Categoría", ""))), IF(OR(L89="", L89=""), "[Aviso] Género no capturado ()", IF(ISNA(MATCH(L89, Criterios!$B$123:$B$127, 0)), "Género no válido", "")), IF(OR(N89="", N89=""), "[Aviso] Temporada no capturada ()", IF(ISNA(MATCH(N89, Criterios!$C$123:$C$128, 0)), "Temporada no válida", "")), IF(OR(O89="", O89=""), "[Aviso] Ciclo de vida no capturado ()", IF(ISNA(MATCH(O89, Criterios!$D$123:$D$124, 0)), "Ciclo de vida no válido", ""))))</f>
        <v/>
      </c>
      <c r="AC89" s="56" t="n"/>
      <c r="AD89" s="51" t="n">
        <v>13</v>
      </c>
      <c r="AE89" s="156" t="inlineStr">
        <is>
          <t>CL POS (4); CL Muestras (2); Web (3); CAPSLAB Warehouse (3)</t>
        </is>
      </c>
      <c r="AF89" s="51" t="n">
        <v>13</v>
      </c>
      <c r="AG89" s="156" t="inlineStr">
        <is>
          <t>Nuevo – NetSuite con existencia</t>
        </is>
      </c>
      <c r="AH89" s="156" t="inlineStr">
        <is>
          <t>Composición CAPSLAB varía por modelo (50/50, 40/60 o 100% poliéster): validar etiqueta; Físico total NetSuite 13 ≠ suma por ubicación 12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89" s="156" t="inlineStr">
        <is>
          <t>No</t>
        </is>
      </c>
      <c r="AJ89" s="156" t="n"/>
      <c r="AK89" s="155" t="inlineStr">
        <is>
          <t>G1522ProductosTodosloscamposSandboxResults894.xlsx: fila 47715 [Y]; G1522_Extraccion_Articulos_NetSuite_2026-09-30.xlsx: fila 20857 [Z]</t>
        </is>
      </c>
      <c r="AL89" s="58" t="n">
        <v>8.5</v>
      </c>
      <c r="AM89" s="58" t="n"/>
      <c r="AN89" s="155" t="n"/>
      <c r="AO89" s="59" t="n"/>
      <c r="AP89" s="59" t="n"/>
      <c r="AQ89" s="59" t="n"/>
      <c r="AR89" s="155" t="n"/>
    </row>
    <row r="90">
      <c r="A90" s="50" t="inlineStr">
        <is>
          <t>3614000810957</t>
        </is>
      </c>
      <c r="B90" s="51" t="inlineStr">
        <is>
          <t>57349</t>
        </is>
      </c>
      <c r="C90" s="156" t="inlineStr">
        <is>
          <t>CAPSLAB</t>
        </is>
      </c>
      <c r="D90" s="156" t="inlineStr">
        <is>
          <t>CL/DBZ/1/VEG</t>
        </is>
      </c>
      <c r="E90" s="156" t="inlineStr">
        <is>
          <t>CL/DBZ/1/VEG-UNI</t>
        </is>
      </c>
      <c r="F90" s="156" t="inlineStr">
        <is>
          <t>Talla única</t>
        </is>
      </c>
      <c r="G90" s="156" t="inlineStr">
        <is>
          <t>One Size</t>
        </is>
      </c>
      <c r="H90" s="156" t="inlineStr">
        <is>
          <t>CAPSLAB</t>
        </is>
      </c>
      <c r="I90" s="156" t="inlineStr">
        <is>
          <t>Gorra CAPSLAB Dragon Ball Z Vegeta Azul</t>
        </is>
      </c>
      <c r="J90" s="156" t="inlineStr">
        <is>
          <t>Accesorios</t>
        </is>
      </c>
      <c r="K90" s="156" t="inlineStr">
        <is>
          <t>Gorras</t>
        </is>
      </c>
      <c r="L90" s="156" t="inlineStr">
        <is>
          <t>Unisex</t>
        </is>
      </c>
      <c r="M90" s="156" t="inlineStr">
        <is>
          <t>Dragon Ball Z</t>
        </is>
      </c>
      <c r="N90" s="156" t="n"/>
      <c r="O90" s="156" t="n"/>
      <c r="P90" s="156" t="inlineStr">
        <is>
          <t>Azul</t>
        </is>
      </c>
      <c r="Q90" s="156" t="n"/>
      <c r="R90" s="156" t="n"/>
      <c r="S90" s="156" t="inlineStr">
        <is>
          <t>Algodón / Poliéster</t>
        </is>
      </c>
      <c r="T90" s="156" t="inlineStr">
        <is>
          <t>Gorra de la marca CAPSLAB bajo licencia oficial Dragon Ball Z, personaje Vegeta. Talla única ajustable. Estilo CL/DBZ/1/VEG.</t>
        </is>
      </c>
      <c r="U90" s="156" t="n"/>
      <c r="V90" s="156" t="inlineStr">
        <is>
          <t>PZS</t>
        </is>
      </c>
      <c r="W90" s="51" t="inlineStr">
        <is>
          <t>53102516</t>
        </is>
      </c>
      <c r="X90" s="156" t="inlineStr">
        <is>
          <t>https://7913364.app.netsuite.com/core/media/media.nl?id=188201&amp;c=7913364&amp;h=H9n6ve3L53lDxxZaYTizjaKQTQlFm4-6Am8b_iBweEJfQr5V</t>
        </is>
      </c>
      <c r="Y90" s="54" t="n">
        <v>8.5</v>
      </c>
      <c r="Z90" s="54" t="n">
        <v>699</v>
      </c>
      <c r="AA90" s="55">
        <f>IF(AND(A90="", B90="", E90=""), "", IF(AB90="", "Válido", IF((LEN(AB90)-LEN(SUBSTITUTE(AB90,"; ","")))/2+1&gt;(LEN(AB90)-LEN(SUBSTITUTE(AB90,"[Aviso]","")))/7, "Con Incidencias", "Válido")))</f>
        <v/>
      </c>
      <c r="AB90" s="56">
        <f>IF(AND(A90="", B90="", E90=""), "", TEXTJOIN("; ", TRUE, IF(OR(TRIM(A90&amp;"")="", ISNUMBER(SEARCH("FALTA", A90))), "UPC faltante/inválido", ""), IF(AND(A90&lt;&gt;"", IFERROR(_xlfn.XMATCH(A90,$A$2:$A$370,0,1)&lt;&gt;_xlfn.XMATCH(A90,$A$2:$A$370,0,-1),FALSE)), "Código de barras duplicado", ""), IF(AND(E90&lt;&gt;"", COUNTIF($E$2:$E$370, E90)&gt;1), "SKU duplicado", ""), IF(OR(J90="", J90=""), "[Aviso] División no capturada ()", IF(ISNA(MATCH(J90, Criterios!$A$123:$A$126, 0)), "División no válida", "")), IF(OR(K90="", K90=""), "[Aviso] Categoría no capturada ()", IF(ISNA(MATCH(K90, Criterios!$A$81:$A$120, 0)), "Categoría no válida", IF(AND(J90&lt;&gt;"", J90&lt;&gt;"", J90&lt;&gt;VLOOKUP(K90, Criterios!$A$81:$B$120, 2, FALSE)), "División no coincide con Categoría", ""))), IF(OR(L90="", L90=""), "[Aviso] Género no capturado ()", IF(ISNA(MATCH(L90, Criterios!$B$123:$B$127, 0)), "Género no válido", "")), IF(OR(N90="", N90=""), "[Aviso] Temporada no capturada ()", IF(ISNA(MATCH(N90, Criterios!$C$123:$C$128, 0)), "Temporada no válida", "")), IF(OR(O90="", O90=""), "[Aviso] Ciclo de vida no capturado ()", IF(ISNA(MATCH(O90, Criterios!$D$123:$D$124, 0)), "Ciclo de vida no válido", ""))))</f>
        <v/>
      </c>
      <c r="AC90" s="56" t="n"/>
      <c r="AD90" s="51" t="n">
        <v>37</v>
      </c>
      <c r="AE90" s="156" t="inlineStr">
        <is>
          <t>CAPSLAB Warehouse (31); CL POS (3); CL Muestras (2)</t>
        </is>
      </c>
      <c r="AF90" s="51" t="n">
        <v>38</v>
      </c>
      <c r="AG90" s="156" t="inlineStr">
        <is>
          <t>Nuevo – NetSuite con existencia</t>
        </is>
      </c>
      <c r="AH90" s="156" t="inlineStr">
        <is>
          <t>Composición CAPSLAB varía por modelo (50/50, 40/60 o 100% poliéster): validar etiqueta; Físico total NetSuite 37 ≠ suma por ubicación 36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0" s="156" t="inlineStr">
        <is>
          <t>No</t>
        </is>
      </c>
      <c r="AJ90" s="156" t="n"/>
      <c r="AK90" s="155" t="inlineStr">
        <is>
          <t>G1522ProductosTodosloscamposSandboxResults894.xlsx: fila 47717 [Y]; G1522_Extraccion_Articulos_NetSuite_2026-09-30.xlsx: fila 20732 [Z]</t>
        </is>
      </c>
      <c r="AL90" s="58" t="n">
        <v>8.5</v>
      </c>
      <c r="AM90" s="58" t="n"/>
      <c r="AN90" s="155" t="n"/>
      <c r="AO90" s="59" t="n"/>
      <c r="AP90" s="59" t="n"/>
      <c r="AQ90" s="59" t="n"/>
      <c r="AR90" s="155" t="n"/>
    </row>
    <row r="91">
      <c r="A91" s="50" t="inlineStr">
        <is>
          <t>3614000979715</t>
        </is>
      </c>
      <c r="B91" s="51" t="inlineStr">
        <is>
          <t>57476</t>
        </is>
      </c>
      <c r="C91" s="156" t="inlineStr">
        <is>
          <t>CAPSLAB</t>
        </is>
      </c>
      <c r="D91" s="156" t="inlineStr">
        <is>
          <t>CL/DBZ/3/BUU</t>
        </is>
      </c>
      <c r="E91" s="156" t="inlineStr">
        <is>
          <t>CL/DBZ/3/BUU-UNIJR</t>
        </is>
      </c>
      <c r="F91" s="156" t="inlineStr">
        <is>
          <t>Talla única</t>
        </is>
      </c>
      <c r="G91" s="156" t="inlineStr">
        <is>
          <t>One Size</t>
        </is>
      </c>
      <c r="H91" s="156" t="inlineStr">
        <is>
          <t>CAPSLAB</t>
        </is>
      </c>
      <c r="I91" s="156" t="inlineStr">
        <is>
          <t>Gorra CAPSLAB Dragon Ball Z Majin Buu</t>
        </is>
      </c>
      <c r="J91" s="156" t="inlineStr">
        <is>
          <t>Accesorios</t>
        </is>
      </c>
      <c r="K91" s="156" t="inlineStr">
        <is>
          <t>Gorras</t>
        </is>
      </c>
      <c r="L91" s="156" t="inlineStr">
        <is>
          <t>Niño</t>
        </is>
      </c>
      <c r="M91" s="156" t="inlineStr">
        <is>
          <t>Dragon Ball Z</t>
        </is>
      </c>
      <c r="N91" s="156" t="n"/>
      <c r="O91" s="156" t="n"/>
      <c r="P91" s="156" t="n"/>
      <c r="Q91" s="156" t="n"/>
      <c r="R91" s="156" t="n"/>
      <c r="S91" s="156" t="inlineStr">
        <is>
          <t>Algodón / Poliéster</t>
        </is>
      </c>
      <c r="T91" s="156" t="inlineStr">
        <is>
          <t>Gorra de la marca CAPSLAB bajo licencia oficial Dragon Ball Z, personaje Majin Buu. Talla única ajustable. Estilo CL/DBZ/3/BUU.</t>
        </is>
      </c>
      <c r="U91" s="156" t="n"/>
      <c r="V91" s="156" t="inlineStr">
        <is>
          <t>PZS</t>
        </is>
      </c>
      <c r="W91" s="51" t="inlineStr">
        <is>
          <t>53102516</t>
        </is>
      </c>
      <c r="X91" s="156" t="inlineStr">
        <is>
          <t>https://7913364.app.netsuite.com/core/media/media.nl?id=188384&amp;c=7913364&amp;h=7U_owhh2gENpdrYqWbUwCxd0Zvw3OYIedV0MuSAFGrmOWvTG</t>
        </is>
      </c>
      <c r="Y91" s="54" t="n">
        <v>8.5</v>
      </c>
      <c r="Z91" s="54" t="n">
        <v>699</v>
      </c>
      <c r="AA91" s="55">
        <f>IF(AND(A91="", B91="", E91=""), "", IF(AB91="", "Válido", IF((LEN(AB91)-LEN(SUBSTITUTE(AB91,"; ","")))/2+1&gt;(LEN(AB91)-LEN(SUBSTITUTE(AB91,"[Aviso]","")))/7, "Con Incidencias", "Válido")))</f>
        <v/>
      </c>
      <c r="AB91" s="56">
        <f>IF(AND(A91="", B91="", E91=""), "", TEXTJOIN("; ", TRUE, IF(OR(TRIM(A91&amp;"")="", ISNUMBER(SEARCH("FALTA", A91))), "UPC faltante/inválido", ""), IF(AND(A91&lt;&gt;"", IFERROR(_xlfn.XMATCH(A91,$A$2:$A$370,0,1)&lt;&gt;_xlfn.XMATCH(A91,$A$2:$A$370,0,-1),FALSE)), "Código de barras duplicado", ""), IF(AND(E91&lt;&gt;"", COUNTIF($E$2:$E$370, E91)&gt;1), "SKU duplicado", ""), IF(OR(J91="", J91=""), "[Aviso] División no capturada ()", IF(ISNA(MATCH(J91, Criterios!$A$123:$A$126, 0)), "División no válida", "")), IF(OR(K91="", K91=""), "[Aviso] Categoría no capturada ()", IF(ISNA(MATCH(K91, Criterios!$A$81:$A$120, 0)), "Categoría no válida", IF(AND(J91&lt;&gt;"", J91&lt;&gt;"", J91&lt;&gt;VLOOKUP(K91, Criterios!$A$81:$B$120, 2, FALSE)), "División no coincide con Categoría", ""))), IF(OR(L91="", L91=""), "[Aviso] Género no capturado ()", IF(ISNA(MATCH(L91, Criterios!$B$123:$B$127, 0)), "Género no válido", "")), IF(OR(N91="", N91=""), "[Aviso] Temporada no capturada ()", IF(ISNA(MATCH(N91, Criterios!$C$123:$C$128, 0)), "Temporada no válida", "")), IF(OR(O91="", O91=""), "[Aviso] Ciclo de vida no capturado ()", IF(ISNA(MATCH(O91, Criterios!$D$123:$D$124, 0)), "Ciclo de vida no válido", ""))))</f>
        <v/>
      </c>
      <c r="AC91" s="56" t="n"/>
      <c r="AD91" s="51" t="n">
        <v>79</v>
      </c>
      <c r="AE91" s="156" t="inlineStr">
        <is>
          <t>CAPSLAB Warehouse (51); CL Muestras (1); CL POS (4)</t>
        </is>
      </c>
      <c r="AF91" s="51" t="n">
        <v>79</v>
      </c>
      <c r="AG91" s="156" t="inlineStr">
        <is>
          <t>Nuevo – NetSuite con existencia</t>
        </is>
      </c>
      <c r="AH91" s="156" t="inlineStr">
        <is>
          <t>Composición CAPSLAB varía por modelo (50/50, 40/60 o 100% poliéster): validar etiqueta; Talla: Talla infantil (JR) (origen «UNI JR»); Color por validar; Físico total NetSuite 79 ≠ suma por ubicación 56 | Revisión 29/09/2026: Talla fuente Talla única sin equivalencia exacta en Criterios para Talla Niño (numérica);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1" s="156" t="inlineStr">
        <is>
          <t>No</t>
        </is>
      </c>
      <c r="AJ91" s="156" t="n"/>
      <c r="AK91" s="155" t="inlineStr">
        <is>
          <t>G1522CatalogoMaestro25Results796.csv: fila 46629 [P] | G1522ProductosTodosloscamposSandboxResults894.xlsx: fila 47719 [Y]; G1522_Extraccion_Articulos_NetSuite_2026-09-30.xlsx: fila 20858 [Z]</t>
        </is>
      </c>
      <c r="AL91" s="58" t="n">
        <v>8.5</v>
      </c>
      <c r="AM91" s="58" t="n"/>
      <c r="AN91" s="155" t="n"/>
      <c r="AO91" s="59" t="n"/>
      <c r="AP91" s="59" t="n"/>
      <c r="AQ91" s="59" t="n"/>
      <c r="AR91" s="155" t="n"/>
    </row>
    <row r="92">
      <c r="A92" s="50" t="inlineStr">
        <is>
          <t>3614000979722</t>
        </is>
      </c>
      <c r="B92" s="51" t="inlineStr">
        <is>
          <t>57350</t>
        </is>
      </c>
      <c r="C92" s="156" t="inlineStr">
        <is>
          <t>CAPSLAB</t>
        </is>
      </c>
      <c r="D92" s="156" t="inlineStr">
        <is>
          <t>CL/DBZ/3/GO3</t>
        </is>
      </c>
      <c r="E92" s="156" t="inlineStr">
        <is>
          <t>CL/DBZ/3/GO3-UNIJR</t>
        </is>
      </c>
      <c r="F92" s="156" t="inlineStr">
        <is>
          <t>Talla única</t>
        </is>
      </c>
      <c r="G92" s="156" t="inlineStr">
        <is>
          <t>One Size</t>
        </is>
      </c>
      <c r="H92" s="156" t="inlineStr">
        <is>
          <t>CAPSLAB</t>
        </is>
      </c>
      <c r="I92" s="156" t="inlineStr">
        <is>
          <t>Gorra CAPSLAB Dragon Ball Z Negro</t>
        </is>
      </c>
      <c r="J92" s="156" t="inlineStr">
        <is>
          <t>Accesorios</t>
        </is>
      </c>
      <c r="K92" s="156" t="inlineStr">
        <is>
          <t>Gorras</t>
        </is>
      </c>
      <c r="L92" s="156" t="inlineStr">
        <is>
          <t>Niño</t>
        </is>
      </c>
      <c r="M92" s="156" t="inlineStr">
        <is>
          <t>Dragon Ball Z</t>
        </is>
      </c>
      <c r="N92" s="156" t="n"/>
      <c r="O92" s="156" t="n"/>
      <c r="P92" s="156" t="inlineStr">
        <is>
          <t>Negro</t>
        </is>
      </c>
      <c r="Q92" s="156" t="n"/>
      <c r="R92" s="156" t="n"/>
      <c r="S92" s="156" t="inlineStr">
        <is>
          <t>Algodón / Poliéster</t>
        </is>
      </c>
      <c r="T92" s="156" t="inlineStr">
        <is>
          <t>Gorra de la marca CAPSLAB bajo licencia oficial Dragon Ball Z. Talla única ajustable. Estilo CL/DBZ/3/GO3.</t>
        </is>
      </c>
      <c r="U92" s="156" t="n"/>
      <c r="V92" s="156" t="inlineStr">
        <is>
          <t>PZS</t>
        </is>
      </c>
      <c r="W92" s="51" t="inlineStr">
        <is>
          <t>53102516</t>
        </is>
      </c>
      <c r="X92" s="156" t="inlineStr">
        <is>
          <t>https://7913364.app.netsuite.com/core/media/media.nl?id=188205&amp;c=7913364&amp;h=LteK21BcM-bcPTBVDNkfzq-lInaLqIKkTiI1yravr3CFTHkp</t>
        </is>
      </c>
      <c r="Y92" s="54" t="n">
        <v>8.5</v>
      </c>
      <c r="Z92" s="54" t="n">
        <v>699</v>
      </c>
      <c r="AA92" s="55">
        <f>IF(AND(A92="", B92="", E92=""), "", IF(AB92="", "Válido", IF((LEN(AB92)-LEN(SUBSTITUTE(AB92,"; ","")))/2+1&gt;(LEN(AB92)-LEN(SUBSTITUTE(AB92,"[Aviso]","")))/7, "Con Incidencias", "Válido")))</f>
        <v/>
      </c>
      <c r="AB92" s="56">
        <f>IF(AND(A92="", B92="", E92=""), "", TEXTJOIN("; ", TRUE, IF(OR(TRIM(A92&amp;"")="", ISNUMBER(SEARCH("FALTA", A92))), "UPC faltante/inválido", ""), IF(AND(A92&lt;&gt;"", IFERROR(_xlfn.XMATCH(A92,$A$2:$A$370,0,1)&lt;&gt;_xlfn.XMATCH(A92,$A$2:$A$370,0,-1),FALSE)), "Código de barras duplicado", ""), IF(AND(E92&lt;&gt;"", COUNTIF($E$2:$E$370, E92)&gt;1), "SKU duplicado", ""), IF(OR(J92="", J92=""), "[Aviso] División no capturada ()", IF(ISNA(MATCH(J92, Criterios!$A$123:$A$126, 0)), "División no válida", "")), IF(OR(K92="", K92=""), "[Aviso] Categoría no capturada ()", IF(ISNA(MATCH(K92, Criterios!$A$81:$A$120, 0)), "Categoría no válida", IF(AND(J92&lt;&gt;"", J92&lt;&gt;"", J92&lt;&gt;VLOOKUP(K92, Criterios!$A$81:$B$120, 2, FALSE)), "División no coincide con Categoría", ""))), IF(OR(L92="", L92=""), "[Aviso] Género no capturado ()", IF(ISNA(MATCH(L92, Criterios!$B$123:$B$127, 0)), "Género no válido", "")), IF(OR(N92="", N92=""), "[Aviso] Temporada no capturada ()", IF(ISNA(MATCH(N92, Criterios!$C$123:$C$128, 0)), "Temporada no válida", "")), IF(OR(O92="", O92=""), "[Aviso] Ciclo de vida no capturado ()", IF(ISNA(MATCH(O92, Criterios!$D$123:$D$124, 0)), "Ciclo de vida no válido", ""))))</f>
        <v/>
      </c>
      <c r="AC92" s="56" t="n"/>
      <c r="AD92" s="51" t="n">
        <v>165</v>
      </c>
      <c r="AE92" s="156" t="inlineStr">
        <is>
          <t>CAPSLAB Warehouse (94); CL POS (4); Web (2); CL Muestras (2)</t>
        </is>
      </c>
      <c r="AF92" s="51" t="n">
        <v>164</v>
      </c>
      <c r="AG92" s="156" t="inlineStr">
        <is>
          <t>Nuevo – NetSuite con existencia</t>
        </is>
      </c>
      <c r="AH92" s="156" t="inlineStr">
        <is>
          <t>Composición CAPSLAB varía por modelo (50/50, 40/60 o 100% poliéster): validar etiqueta; Talla: Talla infantil (JR) (origen «UNI JR»); Físico total NetSuite 165 ≠ suma por ubicación 102 | Revisión 29/09/2026: Talla fuente Talla única sin equivalencia exacta en Criterios para Talla Niño (numérica);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2" s="156" t="inlineStr">
        <is>
          <t>No</t>
        </is>
      </c>
      <c r="AJ92" s="156" t="n"/>
      <c r="AK92" s="155" t="inlineStr">
        <is>
          <t>G1522ProductosTodosloscamposSandboxResults894.xlsx: fila 47721 [Y]; G1522_Extraccion_Articulos_NetSuite_2026-09-30.xlsx: fila 20733 [Z]</t>
        </is>
      </c>
      <c r="AL92" s="58" t="n">
        <v>8.5</v>
      </c>
      <c r="AM92" s="58" t="n"/>
      <c r="AN92" s="155" t="n"/>
      <c r="AO92" s="59" t="n"/>
      <c r="AP92" s="59" t="n"/>
      <c r="AQ92" s="59" t="n"/>
      <c r="AR92" s="155" t="n"/>
    </row>
    <row r="93">
      <c r="A93" s="50" t="inlineStr">
        <is>
          <t>3614000979739</t>
        </is>
      </c>
      <c r="B93" s="51" t="inlineStr">
        <is>
          <t>69596</t>
        </is>
      </c>
      <c r="C93" s="156" t="inlineStr">
        <is>
          <t>CAPSLAB</t>
        </is>
      </c>
      <c r="D93" s="156" t="inlineStr">
        <is>
          <t>CL/DBZ/3/GOKB</t>
        </is>
      </c>
      <c r="E93" s="156" t="inlineStr">
        <is>
          <t>CL/DBZ/3/GOKB-UNIJR</t>
        </is>
      </c>
      <c r="F93" s="156" t="inlineStr">
        <is>
          <t>Talla única</t>
        </is>
      </c>
      <c r="G93" s="156" t="inlineStr">
        <is>
          <t>One Size</t>
        </is>
      </c>
      <c r="H93" s="156" t="inlineStr">
        <is>
          <t>CAPSLAB</t>
        </is>
      </c>
      <c r="I93" s="156" t="inlineStr">
        <is>
          <t>Gorra CAPSLAB Dragon Ball Saga Goku</t>
        </is>
      </c>
      <c r="J93" s="156" t="inlineStr">
        <is>
          <t>Accesorios</t>
        </is>
      </c>
      <c r="K93" s="156" t="inlineStr">
        <is>
          <t>Gorras</t>
        </is>
      </c>
      <c r="L93" s="156" t="inlineStr">
        <is>
          <t>Niño</t>
        </is>
      </c>
      <c r="M93" s="156" t="inlineStr">
        <is>
          <t>Dragon Ball Saga</t>
        </is>
      </c>
      <c r="N93" s="156" t="n"/>
      <c r="O93" s="156" t="n"/>
      <c r="P93" s="156" t="n"/>
      <c r="Q93" s="156" t="n"/>
      <c r="R93" s="156" t="n"/>
      <c r="S93" s="156" t="inlineStr">
        <is>
          <t>Algodón / Poliéster</t>
        </is>
      </c>
      <c r="T93" s="156" t="inlineStr">
        <is>
          <t>Gorra de la marca CAPSLAB bajo licencia oficial Dragon Ball Saga, personaje Goku. Talla única ajustable. Estilo CL/DBZ/3/GOKB.</t>
        </is>
      </c>
      <c r="U93" s="156" t="n"/>
      <c r="V93" s="156" t="inlineStr">
        <is>
          <t>PZS</t>
        </is>
      </c>
      <c r="W93" s="51" t="inlineStr">
        <is>
          <t>53102516</t>
        </is>
      </c>
      <c r="X93" s="156" t="inlineStr">
        <is>
          <t>https://i.ibb.co/mth9xK7/CLDBZ3-GOKB.jpg</t>
        </is>
      </c>
      <c r="Y93" s="54" t="n"/>
      <c r="Z93" s="54" t="n">
        <v>699</v>
      </c>
      <c r="AA93" s="55">
        <f>IF(AND(A93="", B93="", E93=""), "", IF(AB93="", "Válido", IF((LEN(AB93)-LEN(SUBSTITUTE(AB93,"; ","")))/2+1&gt;(LEN(AB93)-LEN(SUBSTITUTE(AB93,"[Aviso]","")))/7, "Con Incidencias", "Válido")))</f>
        <v/>
      </c>
      <c r="AB93" s="56">
        <f>IF(AND(A93="", B93="", E93=""), "", TEXTJOIN("; ", TRUE, IF(OR(TRIM(A93&amp;"")="", ISNUMBER(SEARCH("FALTA", A93))), "UPC faltante/inválido", ""), IF(AND(A93&lt;&gt;"", IFERROR(_xlfn.XMATCH(A93,$A$2:$A$370,0,1)&lt;&gt;_xlfn.XMATCH(A93,$A$2:$A$370,0,-1),FALSE)), "Código de barras duplicado", ""), IF(AND(E93&lt;&gt;"", COUNTIF($E$2:$E$370, E93)&gt;1), "SKU duplicado", ""), IF(OR(J93="", J93=""), "[Aviso] División no capturada ()", IF(ISNA(MATCH(J93, Criterios!$A$123:$A$126, 0)), "División no válida", "")), IF(OR(K93="", K93=""), "[Aviso] Categoría no capturada ()", IF(ISNA(MATCH(K93, Criterios!$A$81:$A$120, 0)), "Categoría no válida", IF(AND(J93&lt;&gt;"", J93&lt;&gt;"", J93&lt;&gt;VLOOKUP(K93, Criterios!$A$81:$B$120, 2, FALSE)), "División no coincide con Categoría", ""))), IF(OR(L93="", L93=""), "[Aviso] Género no capturado ()", IF(ISNA(MATCH(L93, Criterios!$B$123:$B$127, 0)), "Género no válido", "")), IF(OR(N93="", N93=""), "[Aviso] Temporada no capturada ()", IF(ISNA(MATCH(N93, Criterios!$C$123:$C$128, 0)), "Temporada no válida", "")), IF(OR(O93="", O93=""), "[Aviso] Ciclo de vida no capturado ()", IF(ISNA(MATCH(O93, Criterios!$D$123:$D$124, 0)), "Ciclo de vida no válido", ""))))</f>
        <v/>
      </c>
      <c r="AC93" s="56" t="n"/>
      <c r="AD93" s="51" t="n">
        <v>60</v>
      </c>
      <c r="AE93" s="156" t="inlineStr">
        <is>
          <t>Web (2); CL Muestras (2); CAPSLAB Warehouse (37); CL POS (4)</t>
        </is>
      </c>
      <c r="AF93" s="51" t="n">
        <v>60</v>
      </c>
      <c r="AG93" s="156" t="inlineStr">
        <is>
          <t>Nuevo – NetSuite con existencia</t>
        </is>
      </c>
      <c r="AH93" s="156" t="inlineStr">
        <is>
          <t>Composición CAPSLAB varía por modelo (50/50, 40/60 o 100% poliéster): validar etiqueta; Talla: Talla infantil (JR) (origen «UNI JR»); Color por validar; Físico total NetSuite 60 ≠ suma por ubicación 45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93" s="156" t="inlineStr">
        <is>
          <t>No</t>
        </is>
      </c>
      <c r="AJ93" s="156" t="n"/>
      <c r="AK93" s="155" t="inlineStr">
        <is>
          <t>G1522ProductosTodosloscamposSandboxResults894.xlsx: fila 47723 [X]; G1522_Extraccion_Articulos_NetSuite_2026-09-30.xlsx: fila 30326 [Z]</t>
        </is>
      </c>
      <c r="AL93" s="58" t="n"/>
      <c r="AM93" s="58" t="n"/>
      <c r="AN93" s="155" t="n"/>
      <c r="AO93" s="59" t="n"/>
      <c r="AP93" s="59" t="n"/>
      <c r="AQ93" s="59" t="n"/>
      <c r="AR93" s="155" t="n"/>
    </row>
    <row r="94">
      <c r="A94" s="50" t="inlineStr">
        <is>
          <t>3614000979753</t>
        </is>
      </c>
      <c r="B94" s="51" t="inlineStr">
        <is>
          <t>69597</t>
        </is>
      </c>
      <c r="C94" s="156" t="inlineStr">
        <is>
          <t>CAPSLAB</t>
        </is>
      </c>
      <c r="D94" s="156" t="inlineStr">
        <is>
          <t>CL/DBZ/3/VE3</t>
        </is>
      </c>
      <c r="E94" s="156" t="inlineStr">
        <is>
          <t>CL/DBZ/3/VE3-UNIJR</t>
        </is>
      </c>
      <c r="F94" s="156" t="inlineStr">
        <is>
          <t>Talla única</t>
        </is>
      </c>
      <c r="G94" s="156" t="inlineStr">
        <is>
          <t>One Size</t>
        </is>
      </c>
      <c r="H94" s="156" t="inlineStr">
        <is>
          <t>CAPSLAB</t>
        </is>
      </c>
      <c r="I94" s="156" t="inlineStr">
        <is>
          <t>Gorra CAPSLAB Dragon Ball Saga</t>
        </is>
      </c>
      <c r="J94" s="156" t="inlineStr">
        <is>
          <t>Accesorios</t>
        </is>
      </c>
      <c r="K94" s="156" t="inlineStr">
        <is>
          <t>Gorras</t>
        </is>
      </c>
      <c r="L94" s="156" t="inlineStr">
        <is>
          <t>Niño</t>
        </is>
      </c>
      <c r="M94" s="156" t="inlineStr">
        <is>
          <t>Dragon Ball Saga</t>
        </is>
      </c>
      <c r="N94" s="156" t="n"/>
      <c r="O94" s="156" t="n"/>
      <c r="P94" s="156" t="n"/>
      <c r="Q94" s="156" t="n"/>
      <c r="R94" s="156" t="n"/>
      <c r="S94" s="156" t="inlineStr">
        <is>
          <t>Algodón / Poliéster</t>
        </is>
      </c>
      <c r="T94" s="156" t="inlineStr">
        <is>
          <t>Gorra de la marca CAPSLAB bajo licencia oficial Dragon Ball Saga. Talla única ajustable. Estilo CL/DBZ/3/VE3.</t>
        </is>
      </c>
      <c r="U94" s="156" t="n"/>
      <c r="V94" s="156" t="inlineStr">
        <is>
          <t>PZS</t>
        </is>
      </c>
      <c r="W94" s="51" t="inlineStr">
        <is>
          <t>53102516</t>
        </is>
      </c>
      <c r="X94" s="156" t="inlineStr">
        <is>
          <t>https://i.ibb.co/MnppSV3/CLDBZ3-VE3.jpg</t>
        </is>
      </c>
      <c r="Y94" s="54" t="n"/>
      <c r="Z94" s="54" t="n">
        <v>699</v>
      </c>
      <c r="AA94" s="55">
        <f>IF(AND(A94="", B94="", E94=""), "", IF(AB94="", "Válido", IF((LEN(AB94)-LEN(SUBSTITUTE(AB94,"; ","")))/2+1&gt;(LEN(AB94)-LEN(SUBSTITUTE(AB94,"[Aviso]","")))/7, "Con Incidencias", "Válido")))</f>
        <v/>
      </c>
      <c r="AB94" s="56">
        <f>IF(AND(A94="", B94="", E94=""), "", TEXTJOIN("; ", TRUE, IF(OR(TRIM(A94&amp;"")="", ISNUMBER(SEARCH("FALTA", A94))), "UPC faltante/inválido", ""), IF(AND(A94&lt;&gt;"", IFERROR(_xlfn.XMATCH(A94,$A$2:$A$370,0,1)&lt;&gt;_xlfn.XMATCH(A94,$A$2:$A$370,0,-1),FALSE)), "Código de barras duplicado", ""), IF(AND(E94&lt;&gt;"", COUNTIF($E$2:$E$370, E94)&gt;1), "SKU duplicado", ""), IF(OR(J94="", J94=""), "[Aviso] División no capturada ()", IF(ISNA(MATCH(J94, Criterios!$A$123:$A$126, 0)), "División no válida", "")), IF(OR(K94="", K94=""), "[Aviso] Categoría no capturada ()", IF(ISNA(MATCH(K94, Criterios!$A$81:$A$120, 0)), "Categoría no válida", IF(AND(J94&lt;&gt;"", J94&lt;&gt;"", J94&lt;&gt;VLOOKUP(K94, Criterios!$A$81:$B$120, 2, FALSE)), "División no coincide con Categoría", ""))), IF(OR(L94="", L94=""), "[Aviso] Género no capturado ()", IF(ISNA(MATCH(L94, Criterios!$B$123:$B$127, 0)), "Género no válido", "")), IF(OR(N94="", N94=""), "[Aviso] Temporada no capturada ()", IF(ISNA(MATCH(N94, Criterios!$C$123:$C$128, 0)), "Temporada no válida", "")), IF(OR(O94="", O94=""), "[Aviso] Ciclo de vida no capturado ()", IF(ISNA(MATCH(O94, Criterios!$D$123:$D$124, 0)), "Ciclo de vida no válido", ""))))</f>
        <v/>
      </c>
      <c r="AC94" s="56" t="n"/>
      <c r="AD94" s="51" t="n">
        <v>67</v>
      </c>
      <c r="AE94" s="156" t="inlineStr">
        <is>
          <t>CL Muestras (1); CL POS (4); CAPSLAB Warehouse (48)</t>
        </is>
      </c>
      <c r="AF94" s="51" t="n">
        <v>67</v>
      </c>
      <c r="AG94" s="156" t="inlineStr">
        <is>
          <t>Nuevo – NetSuite con existencia</t>
        </is>
      </c>
      <c r="AH94" s="156" t="inlineStr">
        <is>
          <t>Composición CAPSLAB varía por modelo (50/50, 40/60 o 100% poliéster): validar etiqueta; Talla: Talla infantil (JR) (origen «UNI JR»); Color por validar; Físico total NetSuite 67 ≠ suma por ubicación 53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94" s="156" t="inlineStr">
        <is>
          <t>No</t>
        </is>
      </c>
      <c r="AJ94" s="156" t="n"/>
      <c r="AK94" s="155" t="inlineStr">
        <is>
          <t>G1522ProductosTodosloscamposSandboxResults894.xlsx: fila 47725 [X]; G1522_Extraccion_Articulos_NetSuite_2026-09-30.xlsx: fila 30327 [Z]</t>
        </is>
      </c>
      <c r="AL94" s="58" t="n"/>
      <c r="AM94" s="58" t="n"/>
      <c r="AN94" s="155" t="n"/>
      <c r="AO94" s="59" t="n"/>
      <c r="AP94" s="59" t="n"/>
      <c r="AQ94" s="59" t="n"/>
      <c r="AR94" s="155" t="n"/>
    </row>
    <row r="95">
      <c r="A95" s="50" t="inlineStr">
        <is>
          <t>3614000979760</t>
        </is>
      </c>
      <c r="B95" s="51" t="inlineStr">
        <is>
          <t>57351</t>
        </is>
      </c>
      <c r="C95" s="156" t="inlineStr">
        <is>
          <t>CAPSLAB</t>
        </is>
      </c>
      <c r="D95" s="156" t="inlineStr">
        <is>
          <t>CL/DBZ/3/VEGB</t>
        </is>
      </c>
      <c r="E95" s="156" t="inlineStr">
        <is>
          <t>CL/DBZ/3/VEGB-UNIJR</t>
        </is>
      </c>
      <c r="F95" s="156" t="inlineStr">
        <is>
          <t>Talla única</t>
        </is>
      </c>
      <c r="G95" s="156" t="inlineStr">
        <is>
          <t>One Size</t>
        </is>
      </c>
      <c r="H95" s="156" t="inlineStr">
        <is>
          <t>CAPSLAB</t>
        </is>
      </c>
      <c r="I95" s="156" t="inlineStr">
        <is>
          <t>Gorra CAPSLAB Dragon Ball Z Vegeta</t>
        </is>
      </c>
      <c r="J95" s="156" t="inlineStr">
        <is>
          <t>Accesorios</t>
        </is>
      </c>
      <c r="K95" s="156" t="inlineStr">
        <is>
          <t>Gorras</t>
        </is>
      </c>
      <c r="L95" s="156" t="inlineStr">
        <is>
          <t>Niño</t>
        </is>
      </c>
      <c r="M95" s="156" t="inlineStr">
        <is>
          <t>Dragon Ball Z</t>
        </is>
      </c>
      <c r="N95" s="156" t="n"/>
      <c r="O95" s="156" t="n"/>
      <c r="P95" s="156" t="n"/>
      <c r="Q95" s="156" t="n"/>
      <c r="R95" s="156" t="n"/>
      <c r="S95" s="156" t="inlineStr">
        <is>
          <t>Algodón / Poliéster</t>
        </is>
      </c>
      <c r="T95" s="156" t="inlineStr">
        <is>
          <t>Gorra de la marca CAPSLAB bajo licencia oficial Dragon Ball Z, personaje Vegeta. Talla única ajustable. Estilo CL/DBZ/3/VEGB.</t>
        </is>
      </c>
      <c r="U95" s="156" t="n"/>
      <c r="V95" s="156" t="inlineStr">
        <is>
          <t>PZS</t>
        </is>
      </c>
      <c r="W95" s="51" t="inlineStr">
        <is>
          <t>53102516</t>
        </is>
      </c>
      <c r="X95" s="156" t="inlineStr">
        <is>
          <t>https://7913364.app.netsuite.com/core/media/media.nl?id=188206&amp;c=7913364&amp;h=kq1lpA5xMCYRJaVtMtWmLtKrnAHhsByrdKr_DjNkfDHjTkRl</t>
        </is>
      </c>
      <c r="Y95" s="54" t="n">
        <v>8.5</v>
      </c>
      <c r="Z95" s="54" t="n">
        <v>699</v>
      </c>
      <c r="AA95" s="55">
        <f>IF(AND(A95="", B95="", E95=""), "", IF(AB95="", "Válido", IF((LEN(AB95)-LEN(SUBSTITUTE(AB95,"; ","")))/2+1&gt;(LEN(AB95)-LEN(SUBSTITUTE(AB95,"[Aviso]","")))/7, "Con Incidencias", "Válido")))</f>
        <v/>
      </c>
      <c r="AB95" s="56">
        <f>IF(AND(A95="", B95="", E95=""), "", TEXTJOIN("; ", TRUE, IF(OR(TRIM(A95&amp;"")="", ISNUMBER(SEARCH("FALTA", A95))), "UPC faltante/inválido", ""), IF(AND(A95&lt;&gt;"", IFERROR(_xlfn.XMATCH(A95,$A$2:$A$370,0,1)&lt;&gt;_xlfn.XMATCH(A95,$A$2:$A$370,0,-1),FALSE)), "Código de barras duplicado", ""), IF(AND(E95&lt;&gt;"", COUNTIF($E$2:$E$370, E95)&gt;1), "SKU duplicado", ""), IF(OR(J95="", J95=""), "[Aviso] División no capturada ()", IF(ISNA(MATCH(J95, Criterios!$A$123:$A$126, 0)), "División no válida", "")), IF(OR(K95="", K95=""), "[Aviso] Categoría no capturada ()", IF(ISNA(MATCH(K95, Criterios!$A$81:$A$120, 0)), "Categoría no válida", IF(AND(J95&lt;&gt;"", J95&lt;&gt;"", J95&lt;&gt;VLOOKUP(K95, Criterios!$A$81:$B$120, 2, FALSE)), "División no coincide con Categoría", ""))), IF(OR(L95="", L95=""), "[Aviso] Género no capturado ()", IF(ISNA(MATCH(L95, Criterios!$B$123:$B$127, 0)), "Género no válido", "")), IF(OR(N95="", N95=""), "[Aviso] Temporada no capturada ()", IF(ISNA(MATCH(N95, Criterios!$C$123:$C$128, 0)), "Temporada no válida", "")), IF(OR(O95="", O95=""), "[Aviso] Ciclo de vida no capturado ()", IF(ISNA(MATCH(O95, Criterios!$D$123:$D$124, 0)), "Ciclo de vida no válido", ""))))</f>
        <v/>
      </c>
      <c r="AC95" s="56" t="n"/>
      <c r="AD95" s="51" t="n">
        <v>119</v>
      </c>
      <c r="AE95" s="156" t="inlineStr">
        <is>
          <t>CAPSLAB Warehouse (63); CL POS (4); Web (3); CL Muestras (2)</t>
        </is>
      </c>
      <c r="AF95" s="51" t="n">
        <v>118</v>
      </c>
      <c r="AG95" s="156" t="inlineStr">
        <is>
          <t>Nuevo – NetSuite con existencia</t>
        </is>
      </c>
      <c r="AH95" s="156" t="inlineStr">
        <is>
          <t>Composición CAPSLAB varía por modelo (50/50, 40/60 o 100% poliéster): validar etiqueta; Talla: Talla infantil (JR) (origen «UNI JR»); Color por validar; Físico total NetSuite 119 ≠ suma por ubicación 72 | Revisión 29/09/2026: Talla fuente Talla única sin equivalencia exacta en Criterios para Talla Niño (numérica);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5" s="156" t="inlineStr">
        <is>
          <t>No</t>
        </is>
      </c>
      <c r="AJ95" s="156" t="n"/>
      <c r="AK95" s="155" t="inlineStr">
        <is>
          <t>G1522CatalogoMaestro25Results796.csv: fila 46637 [P] | G1522ProductosTodosloscamposSandboxResults894.xlsx: fila 47727 [Y]; G1522_Extraccion_Articulos_NetSuite_2026-09-30.xlsx: fila 20734 [Z]</t>
        </is>
      </c>
      <c r="AL95" s="58" t="n">
        <v>8.5</v>
      </c>
      <c r="AM95" s="58" t="n"/>
      <c r="AN95" s="155" t="n"/>
      <c r="AO95" s="59" t="n"/>
      <c r="AP95" s="59" t="n"/>
      <c r="AQ95" s="59" t="n"/>
      <c r="AR95" s="155" t="n"/>
    </row>
    <row r="96">
      <c r="A96" s="50" t="inlineStr">
        <is>
          <t>3614001542710</t>
        </is>
      </c>
      <c r="B96" s="51" t="inlineStr">
        <is>
          <t>57352</t>
        </is>
      </c>
      <c r="C96" s="156" t="inlineStr">
        <is>
          <t>CAPSLAB</t>
        </is>
      </c>
      <c r="D96" s="156" t="inlineStr">
        <is>
          <t>CL/DBZ/FUR1/OOZ1</t>
        </is>
      </c>
      <c r="E96" s="156" t="inlineStr">
        <is>
          <t>CL/DBZ/FUR1/OOZ1-UNI</t>
        </is>
      </c>
      <c r="F96" s="156" t="inlineStr">
        <is>
          <t>Talla única</t>
        </is>
      </c>
      <c r="G96" s="156" t="inlineStr">
        <is>
          <t>One Size</t>
        </is>
      </c>
      <c r="H96" s="156" t="inlineStr">
        <is>
          <t>CAPSLAB</t>
        </is>
      </c>
      <c r="I96" s="156" t="inlineStr">
        <is>
          <t>Gorra CAPSLAB Dragon Ball Z Negro</t>
        </is>
      </c>
      <c r="J96" s="156" t="inlineStr">
        <is>
          <t>Accesorios</t>
        </is>
      </c>
      <c r="K96" s="156" t="inlineStr">
        <is>
          <t>Gorras</t>
        </is>
      </c>
      <c r="L96" s="156" t="inlineStr">
        <is>
          <t>Unisex</t>
        </is>
      </c>
      <c r="M96" s="156" t="inlineStr">
        <is>
          <t>Dragon Ball Z</t>
        </is>
      </c>
      <c r="N96" s="156" t="n"/>
      <c r="O96" s="156" t="n"/>
      <c r="P96" s="156" t="inlineStr">
        <is>
          <t>Negro</t>
        </is>
      </c>
      <c r="Q96" s="156" t="n"/>
      <c r="R96" s="156" t="n"/>
      <c r="S96" s="156" t="inlineStr">
        <is>
          <t>Algodón / Poliéster</t>
        </is>
      </c>
      <c r="T96" s="156" t="inlineStr">
        <is>
          <t>Gorra de la marca CAPSLAB bajo licencia oficial Dragon Ball Z. Talla única ajustable. Estilo CL/DBZ/FUR1/OOZ1.</t>
        </is>
      </c>
      <c r="U96" s="156" t="n"/>
      <c r="V96" s="156" t="inlineStr">
        <is>
          <t>PZS</t>
        </is>
      </c>
      <c r="W96" s="51" t="inlineStr">
        <is>
          <t>53102516</t>
        </is>
      </c>
      <c r="X96" s="156" t="inlineStr">
        <is>
          <t>https://7913364.app.netsuite.com/core/media/media.nl?id=188207&amp;c=7913364&amp;h=gwwfJ0Y4EHi_sY4GFka0vD9oEVPUfk4DH-YJ5u28vbfnyg1V</t>
        </is>
      </c>
      <c r="Y96" s="54" t="n">
        <v>8.5</v>
      </c>
      <c r="Z96" s="54" t="n">
        <v>699</v>
      </c>
      <c r="AA96" s="55">
        <f>IF(AND(A96="", B96="", E96=""), "", IF(AB96="", "Válido", IF((LEN(AB96)-LEN(SUBSTITUTE(AB96,"; ","")))/2+1&gt;(LEN(AB96)-LEN(SUBSTITUTE(AB96,"[Aviso]","")))/7, "Con Incidencias", "Válido")))</f>
        <v/>
      </c>
      <c r="AB96" s="56">
        <f>IF(AND(A96="", B96="", E96=""), "", TEXTJOIN("; ", TRUE, IF(OR(TRIM(A96&amp;"")="", ISNUMBER(SEARCH("FALTA", A96))), "UPC faltante/inválido", ""), IF(AND(A96&lt;&gt;"", IFERROR(_xlfn.XMATCH(A96,$A$2:$A$370,0,1)&lt;&gt;_xlfn.XMATCH(A96,$A$2:$A$370,0,-1),FALSE)), "Código de barras duplicado", ""), IF(AND(E96&lt;&gt;"", COUNTIF($E$2:$E$370, E96)&gt;1), "SKU duplicado", ""), IF(OR(J96="", J96=""), "[Aviso] División no capturada ()", IF(ISNA(MATCH(J96, Criterios!$A$123:$A$126, 0)), "División no válida", "")), IF(OR(K96="", K96=""), "[Aviso] Categoría no capturada ()", IF(ISNA(MATCH(K96, Criterios!$A$81:$A$120, 0)), "Categoría no válida", IF(AND(J96&lt;&gt;"", J96&lt;&gt;"", J96&lt;&gt;VLOOKUP(K96, Criterios!$A$81:$B$120, 2, FALSE)), "División no coincide con Categoría", ""))), IF(OR(L96="", L96=""), "[Aviso] Género no capturado ()", IF(ISNA(MATCH(L96, Criterios!$B$123:$B$127, 0)), "Género no válido", "")), IF(OR(N96="", N96=""), "[Aviso] Temporada no capturada ()", IF(ISNA(MATCH(N96, Criterios!$C$123:$C$128, 0)), "Temporada no válida", "")), IF(OR(O96="", O96=""), "[Aviso] Ciclo de vida no capturado ()", IF(ISNA(MATCH(O96, Criterios!$D$123:$D$124, 0)), "Ciclo de vida no válido", ""))))</f>
        <v/>
      </c>
      <c r="AC96" s="56" t="n"/>
      <c r="AD96" s="51" t="n">
        <v>2</v>
      </c>
      <c r="AE96" s="156" t="inlineStr">
        <is>
          <t>CL Muestras (2)</t>
        </is>
      </c>
      <c r="AF96" s="51" t="n">
        <v>2</v>
      </c>
      <c r="AG96" s="156" t="inlineStr">
        <is>
          <t>Nuevo – NetSuite con existencia</t>
        </is>
      </c>
      <c r="AH96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6" s="156" t="inlineStr">
        <is>
          <t>No</t>
        </is>
      </c>
      <c r="AJ96" s="156" t="n"/>
      <c r="AK96" s="155" t="inlineStr">
        <is>
          <t>G1522ProductosTodosloscamposSandboxResults894.xlsx: fila 47729 [Y]; G1522_Extraccion_Articulos_NetSuite_2026-09-30.xlsx: fila 20735 [Z]</t>
        </is>
      </c>
      <c r="AL96" s="58" t="n">
        <v>8.5</v>
      </c>
      <c r="AM96" s="58" t="n"/>
      <c r="AN96" s="155" t="n"/>
      <c r="AO96" s="59" t="n"/>
      <c r="AP96" s="59" t="n"/>
      <c r="AQ96" s="59" t="n"/>
      <c r="AR96" s="155" t="n"/>
    </row>
    <row r="97">
      <c r="A97" s="50" t="inlineStr">
        <is>
          <t>3614001102396</t>
        </is>
      </c>
      <c r="B97" s="51" t="inlineStr">
        <is>
          <t>57471</t>
        </is>
      </c>
      <c r="C97" s="156" t="inlineStr">
        <is>
          <t>CAPSLAB</t>
        </is>
      </c>
      <c r="D97" s="156" t="inlineStr">
        <is>
          <t>CL/DBZ/TAG/1/BUU</t>
        </is>
      </c>
      <c r="E97" s="156" t="inlineStr">
        <is>
          <t>CL/DBZ/TAG/1/BUU-uNI</t>
        </is>
      </c>
      <c r="F97" s="156" t="inlineStr">
        <is>
          <t>Talla única</t>
        </is>
      </c>
      <c r="G97" s="156" t="inlineStr">
        <is>
          <t>One Size</t>
        </is>
      </c>
      <c r="H97" s="156" t="inlineStr">
        <is>
          <t>CAPSLAB</t>
        </is>
      </c>
      <c r="I97" s="156" t="inlineStr">
        <is>
          <t>Gorra CAPSLAB Dragon Ball Z Majin Buu Negro</t>
        </is>
      </c>
      <c r="J97" s="156" t="inlineStr">
        <is>
          <t>Accesorios</t>
        </is>
      </c>
      <c r="K97" s="156" t="inlineStr">
        <is>
          <t>Gorras</t>
        </is>
      </c>
      <c r="L97" s="156" t="inlineStr">
        <is>
          <t>Unisex</t>
        </is>
      </c>
      <c r="M97" s="156" t="inlineStr">
        <is>
          <t>Dragon Ball Z</t>
        </is>
      </c>
      <c r="N97" s="156" t="n"/>
      <c r="O97" s="156" t="n"/>
      <c r="P97" s="156" t="inlineStr">
        <is>
          <t>Negro</t>
        </is>
      </c>
      <c r="Q97" s="156" t="n"/>
      <c r="R97" s="156" t="n"/>
      <c r="S97" s="156" t="inlineStr">
        <is>
          <t>Algodón / Poliéster</t>
        </is>
      </c>
      <c r="T97" s="156" t="inlineStr">
        <is>
          <t>Gorra de la marca CAPSLAB bajo licencia oficial Dragon Ball Z, personaje Majin Buu. Talla única ajustable. Estilo CL/DBZ/TAG/1/BUU.</t>
        </is>
      </c>
      <c r="U97" s="156" t="n"/>
      <c r="V97" s="156" t="inlineStr">
        <is>
          <t>PZS</t>
        </is>
      </c>
      <c r="W97" s="51" t="inlineStr">
        <is>
          <t>53102516</t>
        </is>
      </c>
      <c r="X97" s="156" t="inlineStr">
        <is>
          <t>https://7913364.app.netsuite.com/core/media/media.nl?id=188379&amp;c=7913364&amp;h=-ylUI8njY-rA8alhcxd3XYRLxLB6D1iS-uCtNjuBE1XC8BjK</t>
        </is>
      </c>
      <c r="Y97" s="54" t="n">
        <v>10.75</v>
      </c>
      <c r="Z97" s="54" t="n">
        <v>799</v>
      </c>
      <c r="AA97" s="55">
        <f>IF(AND(A97="", B97="", E97=""), "", IF(AB97="", "Válido", IF((LEN(AB97)-LEN(SUBSTITUTE(AB97,"; ","")))/2+1&gt;(LEN(AB97)-LEN(SUBSTITUTE(AB97,"[Aviso]","")))/7, "Con Incidencias", "Válido")))</f>
        <v/>
      </c>
      <c r="AB97" s="56">
        <f>IF(AND(A97="", B97="", E97=""), "", TEXTJOIN("; ", TRUE, IF(OR(TRIM(A97&amp;"")="", ISNUMBER(SEARCH("FALTA", A97))), "UPC faltante/inválido", ""), IF(AND(A97&lt;&gt;"", IFERROR(_xlfn.XMATCH(A97,$A$2:$A$370,0,1)&lt;&gt;_xlfn.XMATCH(A97,$A$2:$A$370,0,-1),FALSE)), "Código de barras duplicado", ""), IF(AND(E97&lt;&gt;"", COUNTIF($E$2:$E$370, E97)&gt;1), "SKU duplicado", ""), IF(OR(J97="", J97=""), "[Aviso] División no capturada ()", IF(ISNA(MATCH(J97, Criterios!$A$123:$A$126, 0)), "División no válida", "")), IF(OR(K97="", K97=""), "[Aviso] Categoría no capturada ()", IF(ISNA(MATCH(K97, Criterios!$A$81:$A$120, 0)), "Categoría no válida", IF(AND(J97&lt;&gt;"", J97&lt;&gt;"", J97&lt;&gt;VLOOKUP(K97, Criterios!$A$81:$B$120, 2, FALSE)), "División no coincide con Categoría", ""))), IF(OR(L97="", L97=""), "[Aviso] Género no capturado ()", IF(ISNA(MATCH(L97, Criterios!$B$123:$B$127, 0)), "Género no válido", "")), IF(OR(N97="", N97=""), "[Aviso] Temporada no capturada ()", IF(ISNA(MATCH(N97, Criterios!$C$123:$C$128, 0)), "Temporada no válida", "")), IF(OR(O97="", O97=""), "[Aviso] Ciclo de vida no capturado ()", IF(ISNA(MATCH(O97, Criterios!$D$123:$D$124, 0)), "Ciclo de vida no válido", ""))))</f>
        <v/>
      </c>
      <c r="AC97" s="56" t="n"/>
      <c r="AD97" s="51" t="n">
        <v>0</v>
      </c>
      <c r="AE97" s="156" t="n"/>
      <c r="AF97" s="51" t="n">
        <v>0</v>
      </c>
      <c r="AG97" s="156" t="inlineStr">
        <is>
          <t>Nuevo – NetSuite sin existencia</t>
        </is>
      </c>
      <c r="AH9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7" s="156" t="inlineStr">
        <is>
          <t>No</t>
        </is>
      </c>
      <c r="AJ97" s="156" t="n"/>
      <c r="AK97" s="155" t="inlineStr">
        <is>
          <t>G1522ProductosTodosloscamposSandboxResults894.xlsx: fila 47731 [Y]; G1522_Extraccion_Articulos_NetSuite_2026-09-30.xlsx: fila 20853 [Z]</t>
        </is>
      </c>
      <c r="AL97" s="58" t="n">
        <v>10.75</v>
      </c>
      <c r="AM97" s="58" t="n"/>
      <c r="AN97" s="155" t="n"/>
      <c r="AO97" s="59" t="n"/>
      <c r="AP97" s="59" t="n"/>
      <c r="AQ97" s="59" t="n"/>
      <c r="AR97" s="155" t="n"/>
    </row>
    <row r="98">
      <c r="A98" s="50" t="inlineStr">
        <is>
          <t>3614001102419</t>
        </is>
      </c>
      <c r="B98" s="51" t="inlineStr">
        <is>
          <t>57353</t>
        </is>
      </c>
      <c r="C98" s="156" t="inlineStr">
        <is>
          <t>CAPSLAB</t>
        </is>
      </c>
      <c r="D98" s="156" t="inlineStr">
        <is>
          <t>CL/DBZ/TAG/1/KAM</t>
        </is>
      </c>
      <c r="E98" s="156" t="inlineStr">
        <is>
          <t>CL/DBZ/TAG/1/KAM-UNI</t>
        </is>
      </c>
      <c r="F98" s="156" t="inlineStr">
        <is>
          <t>Talla única</t>
        </is>
      </c>
      <c r="G98" s="156" t="inlineStr">
        <is>
          <t>One Size</t>
        </is>
      </c>
      <c r="H98" s="156" t="inlineStr">
        <is>
          <t>CAPSLAB</t>
        </is>
      </c>
      <c r="I98" s="156" t="inlineStr">
        <is>
          <t>Gorra CAPSLAB Dragon Ball Z Negro</t>
        </is>
      </c>
      <c r="J98" s="156" t="inlineStr">
        <is>
          <t>Accesorios</t>
        </is>
      </c>
      <c r="K98" s="156" t="inlineStr">
        <is>
          <t>Gorras</t>
        </is>
      </c>
      <c r="L98" s="156" t="inlineStr">
        <is>
          <t>Unisex</t>
        </is>
      </c>
      <c r="M98" s="156" t="inlineStr">
        <is>
          <t>Dragon Ball Z</t>
        </is>
      </c>
      <c r="N98" s="156" t="n"/>
      <c r="O98" s="156" t="n"/>
      <c r="P98" s="156" t="inlineStr">
        <is>
          <t>Negro</t>
        </is>
      </c>
      <c r="Q98" s="156" t="n"/>
      <c r="R98" s="156" t="n"/>
      <c r="S98" s="156" t="inlineStr">
        <is>
          <t>Algodón / Poliéster</t>
        </is>
      </c>
      <c r="T98" s="156" t="inlineStr">
        <is>
          <t>Gorra de la marca CAPSLAB bajo licencia oficial Dragon Ball Z. Talla única ajustable. Estilo CL/DBZ/TAG/1/KAM.</t>
        </is>
      </c>
      <c r="U98" s="156" t="n"/>
      <c r="V98" s="156" t="inlineStr">
        <is>
          <t>PZS</t>
        </is>
      </c>
      <c r="W98" s="51" t="inlineStr">
        <is>
          <t>53102516</t>
        </is>
      </c>
      <c r="X98" s="156" t="inlineStr">
        <is>
          <t>https://7913364.app.netsuite.com/core/media/media.nl?id=188208&amp;c=7913364&amp;h=F1OYbndpC0V2LPxAhruek5EIaHs3qkVFubQD8W7wZAzdkIe4</t>
        </is>
      </c>
      <c r="Y98" s="54" t="n">
        <v>10.75</v>
      </c>
      <c r="Z98" s="54" t="n">
        <v>799</v>
      </c>
      <c r="AA98" s="55">
        <f>IF(AND(A98="", B98="", E98=""), "", IF(AB98="", "Válido", IF((LEN(AB98)-LEN(SUBSTITUTE(AB98,"; ","")))/2+1&gt;(LEN(AB98)-LEN(SUBSTITUTE(AB98,"[Aviso]","")))/7, "Con Incidencias", "Válido")))</f>
        <v/>
      </c>
      <c r="AB98" s="56">
        <f>IF(AND(A98="", B98="", E98=""), "", TEXTJOIN("; ", TRUE, IF(OR(TRIM(A98&amp;"")="", ISNUMBER(SEARCH("FALTA", A98))), "UPC faltante/inválido", ""), IF(AND(A98&lt;&gt;"", IFERROR(_xlfn.XMATCH(A98,$A$2:$A$370,0,1)&lt;&gt;_xlfn.XMATCH(A98,$A$2:$A$370,0,-1),FALSE)), "Código de barras duplicado", ""), IF(AND(E98&lt;&gt;"", COUNTIF($E$2:$E$370, E98)&gt;1), "SKU duplicado", ""), IF(OR(J98="", J98=""), "[Aviso] División no capturada ()", IF(ISNA(MATCH(J98, Criterios!$A$123:$A$126, 0)), "División no válida", "")), IF(OR(K98="", K98=""), "[Aviso] Categoría no capturada ()", IF(ISNA(MATCH(K98, Criterios!$A$81:$A$120, 0)), "Categoría no válida", IF(AND(J98&lt;&gt;"", J98&lt;&gt;"", J98&lt;&gt;VLOOKUP(K98, Criterios!$A$81:$B$120, 2, FALSE)), "División no coincide con Categoría", ""))), IF(OR(L98="", L98=""), "[Aviso] Género no capturado ()", IF(ISNA(MATCH(L98, Criterios!$B$123:$B$127, 0)), "Género no válido", "")), IF(OR(N98="", N98=""), "[Aviso] Temporada no capturada ()", IF(ISNA(MATCH(N98, Criterios!$C$123:$C$128, 0)), "Temporada no válida", "")), IF(OR(O98="", O98=""), "[Aviso] Ciclo de vida no capturado ()", IF(ISNA(MATCH(O98, Criterios!$D$123:$D$124, 0)), "Ciclo de vida no válido", ""))))</f>
        <v/>
      </c>
      <c r="AC98" s="56" t="n"/>
      <c r="AD98" s="51" t="n">
        <v>3</v>
      </c>
      <c r="AE98" s="156" t="inlineStr">
        <is>
          <t>Web (1); CL Muestras (1); CL POS (2)</t>
        </is>
      </c>
      <c r="AF98" s="51" t="n">
        <v>4</v>
      </c>
      <c r="AG98" s="156" t="inlineStr">
        <is>
          <t>Nuevo – NetSuite con existencia</t>
        </is>
      </c>
      <c r="AH9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8" s="156" t="inlineStr">
        <is>
          <t>Sí</t>
        </is>
      </c>
      <c r="AJ98" s="156" t="inlineStr">
        <is>
          <t>CAPSLAB Warehouse (-1)</t>
        </is>
      </c>
      <c r="AK98" s="155" t="inlineStr">
        <is>
          <t>G1522ProductosTodosloscamposSandboxResults894.xlsx: fila 47733 [Y]; G1522_Extraccion_Articulos_NetSuite_2026-09-30.xlsx: fila 20736 [Z]</t>
        </is>
      </c>
      <c r="AL98" s="58" t="n">
        <v>10.75</v>
      </c>
      <c r="AM98" s="58" t="n"/>
      <c r="AN98" s="155" t="n"/>
      <c r="AO98" s="59" t="n"/>
      <c r="AP98" s="59" t="n"/>
      <c r="AQ98" s="59" t="n"/>
      <c r="AR98" s="155" t="n"/>
    </row>
    <row r="99">
      <c r="A99" s="50" t="inlineStr">
        <is>
          <t>3614001102426</t>
        </is>
      </c>
      <c r="B99" s="51" t="inlineStr">
        <is>
          <t>57354</t>
        </is>
      </c>
      <c r="C99" s="156" t="inlineStr">
        <is>
          <t>CAPSLAB</t>
        </is>
      </c>
      <c r="D99" s="156" t="inlineStr">
        <is>
          <t>CL/DBZ/TAG/1/SHE</t>
        </is>
      </c>
      <c r="E99" s="156" t="inlineStr">
        <is>
          <t>CL/DBZ/TAG/1/SHE-UNI</t>
        </is>
      </c>
      <c r="F99" s="156" t="inlineStr">
        <is>
          <t>Talla única</t>
        </is>
      </c>
      <c r="G99" s="156" t="inlineStr">
        <is>
          <t>One Size</t>
        </is>
      </c>
      <c r="H99" s="156" t="inlineStr">
        <is>
          <t>CAPSLAB</t>
        </is>
      </c>
      <c r="I99" s="156" t="inlineStr">
        <is>
          <t>Gorra CAPSLAB Dragon Ball Z Negro</t>
        </is>
      </c>
      <c r="J99" s="156" t="inlineStr">
        <is>
          <t>Accesorios</t>
        </is>
      </c>
      <c r="K99" s="156" t="inlineStr">
        <is>
          <t>Gorras</t>
        </is>
      </c>
      <c r="L99" s="156" t="inlineStr">
        <is>
          <t>Unisex</t>
        </is>
      </c>
      <c r="M99" s="156" t="inlineStr">
        <is>
          <t>Dragon Ball Z</t>
        </is>
      </c>
      <c r="N99" s="156" t="n"/>
      <c r="O99" s="156" t="n"/>
      <c r="P99" s="156" t="inlineStr">
        <is>
          <t>Negro</t>
        </is>
      </c>
      <c r="Q99" s="156" t="n"/>
      <c r="R99" s="156" t="n"/>
      <c r="S99" s="156" t="inlineStr">
        <is>
          <t>Algodón / Poliéster</t>
        </is>
      </c>
      <c r="T99" s="156" t="inlineStr">
        <is>
          <t>Gorra de la marca CAPSLAB bajo licencia oficial Dragon Ball Z. Talla única ajustable. Estilo CL/DBZ/TAG/1/SHE.</t>
        </is>
      </c>
      <c r="U99" s="156" t="n"/>
      <c r="V99" s="156" t="inlineStr">
        <is>
          <t>PZS</t>
        </is>
      </c>
      <c r="W99" s="51" t="inlineStr">
        <is>
          <t>53102516</t>
        </is>
      </c>
      <c r="X99" s="156" t="inlineStr">
        <is>
          <t>https://7913364.app.netsuite.com/core/media/media.nl?id=188209&amp;c=7913364&amp;h=YDKD1ZkUAt2HJPCEtqKWPQpTjxTL44Udmhk8_ndBFEFxxxON</t>
        </is>
      </c>
      <c r="Y99" s="54" t="n">
        <v>10.75</v>
      </c>
      <c r="Z99" s="54" t="n">
        <v>799</v>
      </c>
      <c r="AA99" s="55">
        <f>IF(AND(A99="", B99="", E99=""), "", IF(AB99="", "Válido", IF((LEN(AB99)-LEN(SUBSTITUTE(AB99,"; ","")))/2+1&gt;(LEN(AB99)-LEN(SUBSTITUTE(AB99,"[Aviso]","")))/7, "Con Incidencias", "Válido")))</f>
        <v/>
      </c>
      <c r="AB99" s="56">
        <f>IF(AND(A99="", B99="", E99=""), "", TEXTJOIN("; ", TRUE, IF(OR(TRIM(A99&amp;"")="", ISNUMBER(SEARCH("FALTA", A99))), "UPC faltante/inválido", ""), IF(AND(A99&lt;&gt;"", IFERROR(_xlfn.XMATCH(A99,$A$2:$A$370,0,1)&lt;&gt;_xlfn.XMATCH(A99,$A$2:$A$370,0,-1),FALSE)), "Código de barras duplicado", ""), IF(AND(E99&lt;&gt;"", COUNTIF($E$2:$E$370, E99)&gt;1), "SKU duplicado", ""), IF(OR(J99="", J99=""), "[Aviso] División no capturada ()", IF(ISNA(MATCH(J99, Criterios!$A$123:$A$126, 0)), "División no válida", "")), IF(OR(K99="", K99=""), "[Aviso] Categoría no capturada ()", IF(ISNA(MATCH(K99, Criterios!$A$81:$A$120, 0)), "Categoría no válida", IF(AND(J99&lt;&gt;"", J99&lt;&gt;"", J99&lt;&gt;VLOOKUP(K99, Criterios!$A$81:$B$120, 2, FALSE)), "División no coincide con Categoría", ""))), IF(OR(L99="", L99=""), "[Aviso] Género no capturado ()", IF(ISNA(MATCH(L99, Criterios!$B$123:$B$127, 0)), "Género no válido", "")), IF(OR(N99="", N99=""), "[Aviso] Temporada no capturada ()", IF(ISNA(MATCH(N99, Criterios!$C$123:$C$128, 0)), "Temporada no válida", "")), IF(OR(O99="", O99=""), "[Aviso] Ciclo de vida no capturado ()", IF(ISNA(MATCH(O99, Criterios!$D$123:$D$124, 0)), "Ciclo de vida no válido", ""))))</f>
        <v/>
      </c>
      <c r="AC99" s="56" t="n"/>
      <c r="AD99" s="51" t="n">
        <v>4</v>
      </c>
      <c r="AE99" s="156" t="inlineStr">
        <is>
          <t>Web (2); CL Muestras (1); CAPSLAB Warehouse (2)</t>
        </is>
      </c>
      <c r="AF99" s="51" t="n">
        <v>6</v>
      </c>
      <c r="AG99" s="156" t="inlineStr">
        <is>
          <t>Nuevo – NetSuite con existencia</t>
        </is>
      </c>
      <c r="AH99" s="156" t="inlineStr">
        <is>
          <t>Composición CAPSLAB varía por modelo (50/50, 40/60 o 100% poliéster): validar etiqueta; Físico total NetSuite 4 ≠ suma por ubicación 5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99" s="156" t="inlineStr">
        <is>
          <t>No</t>
        </is>
      </c>
      <c r="AJ99" s="156" t="n"/>
      <c r="AK99" s="155" t="inlineStr">
        <is>
          <t>G1522ProductosTodosloscamposSandboxResults894.xlsx: fila 47735 [Y]; G1522_Extraccion_Articulos_NetSuite_2026-09-30.xlsx: fila 20737 [Z]</t>
        </is>
      </c>
      <c r="AL99" s="58" t="n">
        <v>10.75</v>
      </c>
      <c r="AM99" s="58" t="n"/>
      <c r="AN99" s="155" t="n"/>
      <c r="AO99" s="59" t="n"/>
      <c r="AP99" s="59" t="n"/>
      <c r="AQ99" s="59" t="n"/>
      <c r="AR99" s="155" t="n"/>
    </row>
    <row r="100">
      <c r="A100" s="50" t="inlineStr">
        <is>
          <t>3614000884835</t>
        </is>
      </c>
      <c r="B100" s="51" t="inlineStr">
        <is>
          <t>57355</t>
        </is>
      </c>
      <c r="C100" s="156" t="inlineStr">
        <is>
          <t>CAPSLAB</t>
        </is>
      </c>
      <c r="D100" s="156" t="inlineStr">
        <is>
          <t>CL/DBZ2/1/C18B</t>
        </is>
      </c>
      <c r="E100" s="156" t="inlineStr">
        <is>
          <t>CL/DBZ2/1/C18B-UNI</t>
        </is>
      </c>
      <c r="F100" s="156" t="inlineStr">
        <is>
          <t>Talla única</t>
        </is>
      </c>
      <c r="G100" s="156" t="inlineStr">
        <is>
          <t>One Size</t>
        </is>
      </c>
      <c r="H100" s="156" t="inlineStr">
        <is>
          <t>CAPSLAB</t>
        </is>
      </c>
      <c r="I100" s="156" t="inlineStr">
        <is>
          <t>Gorra CAPSLAB Dragon Ball Z Negro</t>
        </is>
      </c>
      <c r="J100" s="156" t="inlineStr">
        <is>
          <t>Accesorios</t>
        </is>
      </c>
      <c r="K100" s="156" t="inlineStr">
        <is>
          <t>Gorras</t>
        </is>
      </c>
      <c r="L100" s="156" t="inlineStr">
        <is>
          <t>Unisex</t>
        </is>
      </c>
      <c r="M100" s="156" t="inlineStr">
        <is>
          <t>Dragon Ball Z</t>
        </is>
      </c>
      <c r="N100" s="156" t="n"/>
      <c r="O100" s="156" t="n"/>
      <c r="P100" s="156" t="inlineStr">
        <is>
          <t>Negro</t>
        </is>
      </c>
      <c r="Q100" s="156" t="n"/>
      <c r="R100" s="156" t="n"/>
      <c r="S100" s="156" t="inlineStr">
        <is>
          <t>Algodón / Poliéster</t>
        </is>
      </c>
      <c r="T100" s="156" t="inlineStr">
        <is>
          <t>Gorra de la marca CAPSLAB bajo licencia oficial Dragon Ball Z. Talla única ajustable. Estilo CL/DBZ2/1/C18B.</t>
        </is>
      </c>
      <c r="U100" s="156" t="n"/>
      <c r="V100" s="156" t="inlineStr">
        <is>
          <t>PZS</t>
        </is>
      </c>
      <c r="W100" s="51" t="inlineStr">
        <is>
          <t>53102516</t>
        </is>
      </c>
      <c r="X100" s="156" t="inlineStr">
        <is>
          <t>https://7913364.app.netsuite.com/core/media/media.nl?id=188211&amp;c=7913364&amp;h=iP-7jUpla4PzKx86jaeSgwpguqh0zvaR-l6oyOYLpXe25iAV</t>
        </is>
      </c>
      <c r="Y100" s="54" t="n">
        <v>8.5</v>
      </c>
      <c r="Z100" s="54" t="n">
        <v>699</v>
      </c>
      <c r="AA100" s="55">
        <f>IF(AND(A100="", B100="", E100=""), "", IF(AB100="", "Válido", IF((LEN(AB100)-LEN(SUBSTITUTE(AB100,"; ","")))/2+1&gt;(LEN(AB100)-LEN(SUBSTITUTE(AB100,"[Aviso]","")))/7, "Con Incidencias", "Válido")))</f>
        <v/>
      </c>
      <c r="AB100" s="56">
        <f>IF(AND(A100="", B100="", E100=""), "", TEXTJOIN("; ", TRUE, IF(OR(TRIM(A100&amp;"")="", ISNUMBER(SEARCH("FALTA", A100))), "UPC faltante/inválido", ""), IF(AND(A100&lt;&gt;"", IFERROR(_xlfn.XMATCH(A100,$A$2:$A$370,0,1)&lt;&gt;_xlfn.XMATCH(A100,$A$2:$A$370,0,-1),FALSE)), "Código de barras duplicado", ""), IF(AND(E100&lt;&gt;"", COUNTIF($E$2:$E$370, E100)&gt;1), "SKU duplicado", ""), IF(OR(J100="", J100=""), "[Aviso] División no capturada ()", IF(ISNA(MATCH(J100, Criterios!$A$123:$A$126, 0)), "División no válida", "")), IF(OR(K100="", K100=""), "[Aviso] Categoría no capturada ()", IF(ISNA(MATCH(K100, Criterios!$A$81:$A$120, 0)), "Categoría no válida", IF(AND(J100&lt;&gt;"", J100&lt;&gt;"", J100&lt;&gt;VLOOKUP(K100, Criterios!$A$81:$B$120, 2, FALSE)), "División no coincide con Categoría", ""))), IF(OR(L100="", L100=""), "[Aviso] Género no capturado ()", IF(ISNA(MATCH(L100, Criterios!$B$123:$B$127, 0)), "Género no válido", "")), IF(OR(N100="", N100=""), "[Aviso] Temporada no capturada ()", IF(ISNA(MATCH(N100, Criterios!$C$123:$C$128, 0)), "Temporada no válida", "")), IF(OR(O100="", O100=""), "[Aviso] Ciclo de vida no capturado ()", IF(ISNA(MATCH(O100, Criterios!$D$123:$D$124, 0)), "Ciclo de vida no válido", ""))))</f>
        <v/>
      </c>
      <c r="AC100" s="56" t="n"/>
      <c r="AD100" s="51" t="n">
        <v>0</v>
      </c>
      <c r="AE100" s="156" t="n"/>
      <c r="AF100" s="51" t="n">
        <v>0</v>
      </c>
      <c r="AG100" s="156" t="inlineStr">
        <is>
          <t>Nuevo – NetSuite sin existencia</t>
        </is>
      </c>
      <c r="AH10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0" s="156" t="inlineStr">
        <is>
          <t>No</t>
        </is>
      </c>
      <c r="AJ100" s="156" t="n"/>
      <c r="AK100" s="155" t="inlineStr">
        <is>
          <t>G1522ProductosTodosloscamposSandboxResults894.xlsx: fila 47737 [Y]; G1522_Extraccion_Articulos_NetSuite_2026-09-30.xlsx: fila 20738 [Z]</t>
        </is>
      </c>
      <c r="AL100" s="58" t="n">
        <v>8.5</v>
      </c>
      <c r="AM100" s="58" t="n"/>
      <c r="AN100" s="155" t="n"/>
      <c r="AO100" s="59" t="n"/>
      <c r="AP100" s="59" t="n"/>
      <c r="AQ100" s="59" t="n"/>
      <c r="AR100" s="155" t="n"/>
    </row>
    <row r="101">
      <c r="A101" s="50" t="inlineStr">
        <is>
          <t>3614000884859</t>
        </is>
      </c>
      <c r="B101" s="51" t="inlineStr">
        <is>
          <t>57356</t>
        </is>
      </c>
      <c r="C101" s="156" t="inlineStr">
        <is>
          <t>CAPSLAB</t>
        </is>
      </c>
      <c r="D101" s="156" t="inlineStr">
        <is>
          <t>CL/DBZ2/1/GTN2</t>
        </is>
      </c>
      <c r="E101" s="156" t="inlineStr">
        <is>
          <t>CL/DBZ2/1/GTN2-UNI</t>
        </is>
      </c>
      <c r="F101" s="156" t="inlineStr">
        <is>
          <t>Talla única</t>
        </is>
      </c>
      <c r="G101" s="156" t="inlineStr">
        <is>
          <t>One Size</t>
        </is>
      </c>
      <c r="H101" s="156" t="inlineStr">
        <is>
          <t>CAPSLAB</t>
        </is>
      </c>
      <c r="I101" s="156" t="inlineStr">
        <is>
          <t>Gorra CAPSLAB Dragon Ball Z Negro</t>
        </is>
      </c>
      <c r="J101" s="156" t="inlineStr">
        <is>
          <t>Accesorios</t>
        </is>
      </c>
      <c r="K101" s="156" t="inlineStr">
        <is>
          <t>Gorras</t>
        </is>
      </c>
      <c r="L101" s="156" t="inlineStr">
        <is>
          <t>Unisex</t>
        </is>
      </c>
      <c r="M101" s="156" t="inlineStr">
        <is>
          <t>Dragon Ball Z</t>
        </is>
      </c>
      <c r="N101" s="156" t="n"/>
      <c r="O101" s="156" t="n"/>
      <c r="P101" s="156" t="inlineStr">
        <is>
          <t>Negro</t>
        </is>
      </c>
      <c r="Q101" s="156" t="n"/>
      <c r="R101" s="156" t="n"/>
      <c r="S101" s="156" t="inlineStr">
        <is>
          <t>Algodón / Poliéster</t>
        </is>
      </c>
      <c r="T101" s="156" t="inlineStr">
        <is>
          <t>Gorra de la marca CAPSLAB bajo licencia oficial Dragon Ball Z. Talla única ajustable. Estilo CL/DBZ2/1/GTN2.</t>
        </is>
      </c>
      <c r="U101" s="156" t="n"/>
      <c r="V101" s="156" t="inlineStr">
        <is>
          <t>PZS</t>
        </is>
      </c>
      <c r="W101" s="51" t="inlineStr">
        <is>
          <t>53102516</t>
        </is>
      </c>
      <c r="X101" s="156" t="inlineStr">
        <is>
          <t>https://7913364.app.netsuite.com/core/media/media.nl?id=188212&amp;c=7913364&amp;h=1s3iIfsfp6uI7j5cUw71dCpAA-nSyPLgnlrQtd-feAwHjM9x</t>
        </is>
      </c>
      <c r="Y101" s="54" t="n">
        <v>8.5</v>
      </c>
      <c r="Z101" s="54" t="n">
        <v>699</v>
      </c>
      <c r="AA101" s="55">
        <f>IF(AND(A101="", B101="", E101=""), "", IF(AB101="", "Válido", IF((LEN(AB101)-LEN(SUBSTITUTE(AB101,"; ","")))/2+1&gt;(LEN(AB101)-LEN(SUBSTITUTE(AB101,"[Aviso]","")))/7, "Con Incidencias", "Válido")))</f>
        <v/>
      </c>
      <c r="AB101" s="56">
        <f>IF(AND(A101="", B101="", E101=""), "", TEXTJOIN("; ", TRUE, IF(OR(TRIM(A101&amp;"")="", ISNUMBER(SEARCH("FALTA", A101))), "UPC faltante/inválido", ""), IF(AND(A101&lt;&gt;"", IFERROR(_xlfn.XMATCH(A101,$A$2:$A$370,0,1)&lt;&gt;_xlfn.XMATCH(A101,$A$2:$A$370,0,-1),FALSE)), "Código de barras duplicado", ""), IF(AND(E101&lt;&gt;"", COUNTIF($E$2:$E$370, E101)&gt;1), "SKU duplicado", ""), IF(OR(J101="", J101=""), "[Aviso] División no capturada ()", IF(ISNA(MATCH(J101, Criterios!$A$123:$A$126, 0)), "División no válida", "")), IF(OR(K101="", K101=""), "[Aviso] Categoría no capturada ()", IF(ISNA(MATCH(K101, Criterios!$A$81:$A$120, 0)), "Categoría no válida", IF(AND(J101&lt;&gt;"", J101&lt;&gt;"", J101&lt;&gt;VLOOKUP(K101, Criterios!$A$81:$B$120, 2, FALSE)), "División no coincide con Categoría", ""))), IF(OR(L101="", L101=""), "[Aviso] Género no capturado ()", IF(ISNA(MATCH(L101, Criterios!$B$123:$B$127, 0)), "Género no válido", "")), IF(OR(N101="", N101=""), "[Aviso] Temporada no capturada ()", IF(ISNA(MATCH(N101, Criterios!$C$123:$C$128, 0)), "Temporada no válida", "")), IF(OR(O101="", O101=""), "[Aviso] Ciclo de vida no capturado ()", IF(ISNA(MATCH(O101, Criterios!$D$123:$D$124, 0)), "Ciclo de vida no válido", ""))))</f>
        <v/>
      </c>
      <c r="AC101" s="56" t="n"/>
      <c r="AD101" s="51" t="n">
        <v>5</v>
      </c>
      <c r="AE101" s="156" t="inlineStr">
        <is>
          <t>Web (3)</t>
        </is>
      </c>
      <c r="AF101" s="51" t="n">
        <v>5</v>
      </c>
      <c r="AG101" s="156" t="inlineStr">
        <is>
          <t>Nuevo – NetSuite con existencia</t>
        </is>
      </c>
      <c r="AH101" s="156" t="inlineStr">
        <is>
          <t>Composición CAPSLAB varía por modelo (50/50, 40/60 o 100% poliéster): validar etiqueta; Físico total NetSuite 5 ≠ suma por ubicación 3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1" s="156" t="inlineStr">
        <is>
          <t>No</t>
        </is>
      </c>
      <c r="AJ101" s="156" t="n"/>
      <c r="AK101" s="155" t="inlineStr">
        <is>
          <t>G1522ProductosTodosloscamposSandboxResults894.xlsx: fila 47739 [Y]; G1522_Extraccion_Articulos_NetSuite_2026-09-30.xlsx: fila 20739 [Z]</t>
        </is>
      </c>
      <c r="AL101" s="58" t="n">
        <v>8.5</v>
      </c>
      <c r="AM101" s="58" t="n"/>
      <c r="AN101" s="155" t="n"/>
      <c r="AO101" s="59" t="n"/>
      <c r="AP101" s="59" t="n"/>
      <c r="AQ101" s="59" t="n"/>
      <c r="AR101" s="155" t="n"/>
    </row>
    <row r="102">
      <c r="A102" s="50" t="inlineStr">
        <is>
          <t>3614000791553</t>
        </is>
      </c>
      <c r="B102" s="51" t="inlineStr">
        <is>
          <t>57357</t>
        </is>
      </c>
      <c r="C102" s="156" t="inlineStr">
        <is>
          <t>CAPSLAB</t>
        </is>
      </c>
      <c r="D102" s="156" t="inlineStr">
        <is>
          <t>CL/DBZ2/1/GTN3</t>
        </is>
      </c>
      <c r="E102" s="156" t="inlineStr">
        <is>
          <t>CL/DBZ2/1/GTN3-UNI</t>
        </is>
      </c>
      <c r="F102" s="156" t="inlineStr">
        <is>
          <t>Talla única</t>
        </is>
      </c>
      <c r="G102" s="156" t="inlineStr">
        <is>
          <t>One Size</t>
        </is>
      </c>
      <c r="H102" s="156" t="inlineStr">
        <is>
          <t>CAPSLAB</t>
        </is>
      </c>
      <c r="I102" s="156" t="inlineStr">
        <is>
          <t>Gorra CAPSLAB Dragon Ball Z Blanco</t>
        </is>
      </c>
      <c r="J102" s="156" t="inlineStr">
        <is>
          <t>Accesorios</t>
        </is>
      </c>
      <c r="K102" s="156" t="inlineStr">
        <is>
          <t>Gorras</t>
        </is>
      </c>
      <c r="L102" s="156" t="inlineStr">
        <is>
          <t>Unisex</t>
        </is>
      </c>
      <c r="M102" s="156" t="inlineStr">
        <is>
          <t>Dragon Ball Z</t>
        </is>
      </c>
      <c r="N102" s="156" t="n"/>
      <c r="O102" s="156" t="n"/>
      <c r="P102" s="156" t="inlineStr">
        <is>
          <t>Blanco</t>
        </is>
      </c>
      <c r="Q102" s="156" t="n"/>
      <c r="R102" s="156" t="n"/>
      <c r="S102" s="156" t="inlineStr">
        <is>
          <t>Algodón / Poliéster</t>
        </is>
      </c>
      <c r="T102" s="156" t="inlineStr">
        <is>
          <t>Gorra de la marca CAPSLAB bajo licencia oficial Dragon Ball Z. Talla única ajustable. Estilo CL/DBZ2/1/GTN3.</t>
        </is>
      </c>
      <c r="U102" s="156" t="n"/>
      <c r="V102" s="156" t="inlineStr">
        <is>
          <t>PZS</t>
        </is>
      </c>
      <c r="W102" s="51" t="inlineStr">
        <is>
          <t>53102516</t>
        </is>
      </c>
      <c r="X102" s="156" t="inlineStr">
        <is>
          <t>https://7913364.app.netsuite.com/core/media/media.nl?id=188213&amp;c=7913364&amp;h=7YNTeg_5Qeok0HlZ_vWDInhYcn3_YMYbRa6Z-WAH3C2lc2wK</t>
        </is>
      </c>
      <c r="Y102" s="54" t="n">
        <v>8.5</v>
      </c>
      <c r="Z102" s="54" t="n">
        <v>699</v>
      </c>
      <c r="AA102" s="55">
        <f>IF(AND(A102="", B102="", E102=""), "", IF(AB102="", "Válido", IF((LEN(AB102)-LEN(SUBSTITUTE(AB102,"; ","")))/2+1&gt;(LEN(AB102)-LEN(SUBSTITUTE(AB102,"[Aviso]","")))/7, "Con Incidencias", "Válido")))</f>
        <v/>
      </c>
      <c r="AB102" s="56">
        <f>IF(AND(A102="", B102="", E102=""), "", TEXTJOIN("; ", TRUE, IF(OR(TRIM(A102&amp;"")="", ISNUMBER(SEARCH("FALTA", A102))), "UPC faltante/inválido", ""), IF(AND(A102&lt;&gt;"", IFERROR(_xlfn.XMATCH(A102,$A$2:$A$370,0,1)&lt;&gt;_xlfn.XMATCH(A102,$A$2:$A$370,0,-1),FALSE)), "Código de barras duplicado", ""), IF(AND(E102&lt;&gt;"", COUNTIF($E$2:$E$370, E102)&gt;1), "SKU duplicado", ""), IF(OR(J102="", J102=""), "[Aviso] División no capturada ()", IF(ISNA(MATCH(J102, Criterios!$A$123:$A$126, 0)), "División no válida", "")), IF(OR(K102="", K102=""), "[Aviso] Categoría no capturada ()", IF(ISNA(MATCH(K102, Criterios!$A$81:$A$120, 0)), "Categoría no válida", IF(AND(J102&lt;&gt;"", J102&lt;&gt;"", J102&lt;&gt;VLOOKUP(K102, Criterios!$A$81:$B$120, 2, FALSE)), "División no coincide con Categoría", ""))), IF(OR(L102="", L102=""), "[Aviso] Género no capturado ()", IF(ISNA(MATCH(L102, Criterios!$B$123:$B$127, 0)), "Género no válido", "")), IF(OR(N102="", N102=""), "[Aviso] Temporada no capturada ()", IF(ISNA(MATCH(N102, Criterios!$C$123:$C$128, 0)), "Temporada no válida", "")), IF(OR(O102="", O102=""), "[Aviso] Ciclo de vida no capturado ()", IF(ISNA(MATCH(O102, Criterios!$D$123:$D$124, 0)), "Ciclo de vida no válido", ""))))</f>
        <v/>
      </c>
      <c r="AC102" s="56" t="n"/>
      <c r="AD102" s="51" t="n">
        <v>1</v>
      </c>
      <c r="AE102" s="156" t="inlineStr">
        <is>
          <t>CL Muestras (1)</t>
        </is>
      </c>
      <c r="AF102" s="51" t="n">
        <v>1</v>
      </c>
      <c r="AG102" s="156" t="inlineStr">
        <is>
          <t>Nuevo – NetSuite con existencia</t>
        </is>
      </c>
      <c r="AH102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2" s="156" t="inlineStr">
        <is>
          <t>No</t>
        </is>
      </c>
      <c r="AJ102" s="156" t="n"/>
      <c r="AK102" s="155" t="inlineStr">
        <is>
          <t>G1522ProductosTodosloscamposSandboxResults894.xlsx: fila 47741 [Y]; G1522_Extraccion_Articulos_NetSuite_2026-09-30.xlsx: fila 20740 [Z]</t>
        </is>
      </c>
      <c r="AL102" s="58" t="n">
        <v>8.5</v>
      </c>
      <c r="AM102" s="58" t="n"/>
      <c r="AN102" s="155" t="n"/>
      <c r="AO102" s="59" t="n"/>
      <c r="AP102" s="59" t="n"/>
      <c r="AQ102" s="59" t="n"/>
      <c r="AR102" s="155" t="n"/>
    </row>
    <row r="103">
      <c r="A103" s="50" t="inlineStr">
        <is>
          <t>3614000884651</t>
        </is>
      </c>
      <c r="B103" s="51" t="inlineStr">
        <is>
          <t>57358</t>
        </is>
      </c>
      <c r="C103" s="156" t="inlineStr">
        <is>
          <t>CAPSLAB</t>
        </is>
      </c>
      <c r="D103" s="156" t="inlineStr">
        <is>
          <t>CL/DBZ2/1/KAM10</t>
        </is>
      </c>
      <c r="E103" s="156" t="inlineStr">
        <is>
          <t>CL/DBZ2/1/KAM10-UNI</t>
        </is>
      </c>
      <c r="F103" s="156" t="inlineStr">
        <is>
          <t>Talla única</t>
        </is>
      </c>
      <c r="G103" s="156" t="inlineStr">
        <is>
          <t>One Size</t>
        </is>
      </c>
      <c r="H103" s="156" t="inlineStr">
        <is>
          <t>CAPSLAB</t>
        </is>
      </c>
      <c r="I103" s="156" t="inlineStr">
        <is>
          <t>Gorra CAPSLAB Dragon Ball Z Negro</t>
        </is>
      </c>
      <c r="J103" s="156" t="inlineStr">
        <is>
          <t>Accesorios</t>
        </is>
      </c>
      <c r="K103" s="156" t="inlineStr">
        <is>
          <t>Gorras</t>
        </is>
      </c>
      <c r="L103" s="156" t="inlineStr">
        <is>
          <t>Unisex</t>
        </is>
      </c>
      <c r="M103" s="156" t="inlineStr">
        <is>
          <t>Dragon Ball Z</t>
        </is>
      </c>
      <c r="N103" s="156" t="n"/>
      <c r="O103" s="156" t="n"/>
      <c r="P103" s="156" t="inlineStr">
        <is>
          <t>Negro</t>
        </is>
      </c>
      <c r="Q103" s="156" t="n"/>
      <c r="R103" s="156" t="n"/>
      <c r="S103" s="156" t="inlineStr">
        <is>
          <t>Algodón / Poliéster</t>
        </is>
      </c>
      <c r="T103" s="156" t="inlineStr">
        <is>
          <t>Gorra de la marca CAPSLAB bajo licencia oficial Dragon Ball Z. Talla única ajustable. Estilo CL/DBZ2/1/KAM10.</t>
        </is>
      </c>
      <c r="U103" s="156" t="n"/>
      <c r="V103" s="156" t="inlineStr">
        <is>
          <t>PZS</t>
        </is>
      </c>
      <c r="W103" s="51" t="inlineStr">
        <is>
          <t>53102516</t>
        </is>
      </c>
      <c r="X103" s="156" t="inlineStr">
        <is>
          <t>https://7913364.app.netsuite.com/core/media/media.nl?id=188218&amp;c=7913364&amp;h=-YxZC08MEqLotjyPAQlKztIbdEgF2NlpVdg0PUTNyo72dD8i</t>
        </is>
      </c>
      <c r="Y103" s="54" t="n">
        <v>8.5</v>
      </c>
      <c r="Z103" s="54" t="n">
        <v>699</v>
      </c>
      <c r="AA103" s="55">
        <f>IF(AND(A103="", B103="", E103=""), "", IF(AB103="", "Válido", IF((LEN(AB103)-LEN(SUBSTITUTE(AB103,"; ","")))/2+1&gt;(LEN(AB103)-LEN(SUBSTITUTE(AB103,"[Aviso]","")))/7, "Con Incidencias", "Válido")))</f>
        <v/>
      </c>
      <c r="AB103" s="56">
        <f>IF(AND(A103="", B103="", E103=""), "", TEXTJOIN("; ", TRUE, IF(OR(TRIM(A103&amp;"")="", ISNUMBER(SEARCH("FALTA", A103))), "UPC faltante/inválido", ""), IF(AND(A103&lt;&gt;"", IFERROR(_xlfn.XMATCH(A103,$A$2:$A$370,0,1)&lt;&gt;_xlfn.XMATCH(A103,$A$2:$A$370,0,-1),FALSE)), "Código de barras duplicado", ""), IF(AND(E103&lt;&gt;"", COUNTIF($E$2:$E$370, E103)&gt;1), "SKU duplicado", ""), IF(OR(J103="", J103=""), "[Aviso] División no capturada ()", IF(ISNA(MATCH(J103, Criterios!$A$123:$A$126, 0)), "División no válida", "")), IF(OR(K103="", K103=""), "[Aviso] Categoría no capturada ()", IF(ISNA(MATCH(K103, Criterios!$A$81:$A$120, 0)), "Categoría no válida", IF(AND(J103&lt;&gt;"", J103&lt;&gt;"", J103&lt;&gt;VLOOKUP(K103, Criterios!$A$81:$B$120, 2, FALSE)), "División no coincide con Categoría", ""))), IF(OR(L103="", L103=""), "[Aviso] Género no capturado ()", IF(ISNA(MATCH(L103, Criterios!$B$123:$B$127, 0)), "Género no válido", "")), IF(OR(N103="", N103=""), "[Aviso] Temporada no capturada ()", IF(ISNA(MATCH(N103, Criterios!$C$123:$C$128, 0)), "Temporada no válida", "")), IF(OR(O103="", O103=""), "[Aviso] Ciclo de vida no capturado ()", IF(ISNA(MATCH(O103, Criterios!$D$123:$D$124, 0)), "Ciclo de vida no válido", ""))))</f>
        <v/>
      </c>
      <c r="AC103" s="56" t="n"/>
      <c r="AD103" s="51" t="n">
        <v>4</v>
      </c>
      <c r="AE103" s="156" t="inlineStr">
        <is>
          <t>CL Muestras (1); Web (1); CAPSLAB Warehouse (2)</t>
        </is>
      </c>
      <c r="AF103" s="51" t="n">
        <v>4</v>
      </c>
      <c r="AG103" s="156" t="inlineStr">
        <is>
          <t>Nuevo – NetSuite con existencia</t>
        </is>
      </c>
      <c r="AH103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3" s="156" t="inlineStr">
        <is>
          <t>No</t>
        </is>
      </c>
      <c r="AJ103" s="156" t="n"/>
      <c r="AK103" s="155" t="inlineStr">
        <is>
          <t>G1522ProductosTodosloscamposSandboxResults894.xlsx: fila 47743 [Y]; G1522_Extraccion_Articulos_NetSuite_2026-09-30.xlsx: fila 20741 [Z]</t>
        </is>
      </c>
      <c r="AL103" s="58" t="n">
        <v>8.5</v>
      </c>
      <c r="AM103" s="58" t="n"/>
      <c r="AN103" s="155" t="n"/>
      <c r="AO103" s="59" t="n"/>
      <c r="AP103" s="59" t="n"/>
      <c r="AQ103" s="59" t="n"/>
      <c r="AR103" s="155" t="n"/>
    </row>
    <row r="104">
      <c r="A104" s="50" t="inlineStr">
        <is>
          <t>3614000791645</t>
        </is>
      </c>
      <c r="B104" s="51" t="inlineStr">
        <is>
          <t>57359</t>
        </is>
      </c>
      <c r="C104" s="156" t="inlineStr">
        <is>
          <t>CAPSLAB</t>
        </is>
      </c>
      <c r="D104" s="156" t="inlineStr">
        <is>
          <t>CL/DBZ2/1/KAM4</t>
        </is>
      </c>
      <c r="E104" s="156" t="inlineStr">
        <is>
          <t>CL/DBZ2/1/KAM4-UNI</t>
        </is>
      </c>
      <c r="F104" s="156" t="inlineStr">
        <is>
          <t>Talla única</t>
        </is>
      </c>
      <c r="G104" s="156" t="inlineStr">
        <is>
          <t>One Size</t>
        </is>
      </c>
      <c r="H104" s="156" t="inlineStr">
        <is>
          <t>CAPSLAB</t>
        </is>
      </c>
      <c r="I104" s="156" t="inlineStr">
        <is>
          <t>Gorra CAPSLAB Dragon Ball Z Blanco</t>
        </is>
      </c>
      <c r="J104" s="156" t="inlineStr">
        <is>
          <t>Accesorios</t>
        </is>
      </c>
      <c r="K104" s="156" t="inlineStr">
        <is>
          <t>Gorras</t>
        </is>
      </c>
      <c r="L104" s="156" t="inlineStr">
        <is>
          <t>Unisex</t>
        </is>
      </c>
      <c r="M104" s="156" t="inlineStr">
        <is>
          <t>Dragon Ball Z</t>
        </is>
      </c>
      <c r="N104" s="156" t="n"/>
      <c r="O104" s="156" t="n"/>
      <c r="P104" s="156" t="inlineStr">
        <is>
          <t>Blanco</t>
        </is>
      </c>
      <c r="Q104" s="156" t="n"/>
      <c r="R104" s="156" t="n"/>
      <c r="S104" s="156" t="inlineStr">
        <is>
          <t>Algodón / Poliéster</t>
        </is>
      </c>
      <c r="T104" s="156" t="inlineStr">
        <is>
          <t>Gorra de la marca CAPSLAB bajo licencia oficial Dragon Ball Z. Talla única ajustable. Estilo CL/DBZ2/1/KAM4.</t>
        </is>
      </c>
      <c r="U104" s="156" t="n"/>
      <c r="V104" s="156" t="inlineStr">
        <is>
          <t>PZS</t>
        </is>
      </c>
      <c r="W104" s="51" t="inlineStr">
        <is>
          <t>53102516</t>
        </is>
      </c>
      <c r="X104" s="156" t="inlineStr">
        <is>
          <t>https://7913364.app.netsuite.com/core/media/media.nl?id=188219&amp;c=7913364&amp;h=ie1cSR0dv1S_DOaqoxsjIYofdJVcUs6CW_UYoGF7apJiGRbF</t>
        </is>
      </c>
      <c r="Y104" s="54" t="n">
        <v>8.5</v>
      </c>
      <c r="Z104" s="54" t="n">
        <v>699</v>
      </c>
      <c r="AA104" s="55">
        <f>IF(AND(A104="", B104="", E104=""), "", IF(AB104="", "Válido", IF((LEN(AB104)-LEN(SUBSTITUTE(AB104,"; ","")))/2+1&gt;(LEN(AB104)-LEN(SUBSTITUTE(AB104,"[Aviso]","")))/7, "Con Incidencias", "Válido")))</f>
        <v/>
      </c>
      <c r="AB104" s="56">
        <f>IF(AND(A104="", B104="", E104=""), "", TEXTJOIN("; ", TRUE, IF(OR(TRIM(A104&amp;"")="", ISNUMBER(SEARCH("FALTA", A104))), "UPC faltante/inválido", ""), IF(AND(A104&lt;&gt;"", IFERROR(_xlfn.XMATCH(A104,$A$2:$A$370,0,1)&lt;&gt;_xlfn.XMATCH(A104,$A$2:$A$370,0,-1),FALSE)), "Código de barras duplicado", ""), IF(AND(E104&lt;&gt;"", COUNTIF($E$2:$E$370, E104)&gt;1), "SKU duplicado", ""), IF(OR(J104="", J104=""), "[Aviso] División no capturada ()", IF(ISNA(MATCH(J104, Criterios!$A$123:$A$126, 0)), "División no válida", "")), IF(OR(K104="", K104=""), "[Aviso] Categoría no capturada ()", IF(ISNA(MATCH(K104, Criterios!$A$81:$A$120, 0)), "Categoría no válida", IF(AND(J104&lt;&gt;"", J104&lt;&gt;"", J104&lt;&gt;VLOOKUP(K104, Criterios!$A$81:$B$120, 2, FALSE)), "División no coincide con Categoría", ""))), IF(OR(L104="", L104=""), "[Aviso] Género no capturado ()", IF(ISNA(MATCH(L104, Criterios!$B$123:$B$127, 0)), "Género no válido", "")), IF(OR(N104="", N104=""), "[Aviso] Temporada no capturada ()", IF(ISNA(MATCH(N104, Criterios!$C$123:$C$128, 0)), "Temporada no válida", "")), IF(OR(O104="", O104=""), "[Aviso] Ciclo de vida no capturado ()", IF(ISNA(MATCH(O104, Criterios!$D$123:$D$124, 0)), "Ciclo de vida no válido", ""))))</f>
        <v/>
      </c>
      <c r="AC104" s="56" t="n"/>
      <c r="AD104" s="51" t="n">
        <v>60</v>
      </c>
      <c r="AE104" s="156" t="inlineStr">
        <is>
          <t>CL POS (3); Web (1); CL Muestras (2); CAPSLAB Warehouse (49)</t>
        </is>
      </c>
      <c r="AF104" s="51" t="n">
        <v>60</v>
      </c>
      <c r="AG104" s="156" t="inlineStr">
        <is>
          <t>Nuevo – NetSuite con existencia</t>
        </is>
      </c>
      <c r="AH104" s="156" t="inlineStr">
        <is>
          <t>Composición CAPSLAB varía por modelo (50/50, 40/60 o 100% poliéster): validar etiqueta; Físico total NetSuite 60 ≠ suma por ubicación 55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4" s="156" t="inlineStr">
        <is>
          <t>No</t>
        </is>
      </c>
      <c r="AJ104" s="156" t="n"/>
      <c r="AK104" s="155" t="inlineStr">
        <is>
          <t>G1522ProductosTodosloscamposSandboxResults894.xlsx: fila 47745 [Y]; G1522_Extraccion_Articulos_NetSuite_2026-09-30.xlsx: fila 20742 [Z]</t>
        </is>
      </c>
      <c r="AL104" s="58" t="n">
        <v>8.5</v>
      </c>
      <c r="AM104" s="58" t="n"/>
      <c r="AN104" s="155" t="n"/>
      <c r="AO104" s="59" t="n"/>
      <c r="AP104" s="59" t="n"/>
      <c r="AQ104" s="59" t="n"/>
      <c r="AR104" s="155" t="n"/>
    </row>
    <row r="105">
      <c r="A105" s="50" t="inlineStr">
        <is>
          <t>3614000791584</t>
        </is>
      </c>
      <c r="B105" s="51" t="inlineStr">
        <is>
          <t>69598</t>
        </is>
      </c>
      <c r="C105" s="156" t="inlineStr">
        <is>
          <t>CAPSLAB</t>
        </is>
      </c>
      <c r="D105" s="156" t="inlineStr">
        <is>
          <t>CL/DBZ2/1/MV1</t>
        </is>
      </c>
      <c r="E105" s="156" t="inlineStr">
        <is>
          <t>CL/DBZ2/1/MV1-UNI</t>
        </is>
      </c>
      <c r="F105" s="156" t="inlineStr">
        <is>
          <t>Talla única</t>
        </is>
      </c>
      <c r="G105" s="156" t="inlineStr">
        <is>
          <t>One Size</t>
        </is>
      </c>
      <c r="H105" s="156" t="inlineStr">
        <is>
          <t>CAPSLAB</t>
        </is>
      </c>
      <c r="I105" s="156" t="inlineStr">
        <is>
          <t>Gorra CAPSLAB Dragon Ball Saga</t>
        </is>
      </c>
      <c r="J105" s="156" t="inlineStr">
        <is>
          <t>Accesorios</t>
        </is>
      </c>
      <c r="K105" s="156" t="inlineStr">
        <is>
          <t>Gorras</t>
        </is>
      </c>
      <c r="L105" s="156" t="inlineStr">
        <is>
          <t>Unisex</t>
        </is>
      </c>
      <c r="M105" s="156" t="inlineStr">
        <is>
          <t>Dragon Ball Saga</t>
        </is>
      </c>
      <c r="N105" s="156" t="n"/>
      <c r="O105" s="156" t="n"/>
      <c r="P105" s="156" t="n"/>
      <c r="Q105" s="156" t="n"/>
      <c r="R105" s="156" t="n"/>
      <c r="S105" s="156" t="inlineStr">
        <is>
          <t>Algodón / Poliéster</t>
        </is>
      </c>
      <c r="T105" s="156" t="inlineStr">
        <is>
          <t>Gorra de la marca CAPSLAB bajo licencia oficial Dragon Ball Saga. Talla única ajustable. Estilo CL/DBZ2/1/MV1.</t>
        </is>
      </c>
      <c r="U105" s="156" t="n"/>
      <c r="V105" s="156" t="inlineStr">
        <is>
          <t>PZS</t>
        </is>
      </c>
      <c r="W105" s="51" t="inlineStr">
        <is>
          <t>53102516</t>
        </is>
      </c>
      <c r="X105" s="156" t="inlineStr">
        <is>
          <t>https://i.ibb.co/KDSQjsk/CLDBZ21-MV1.jpg</t>
        </is>
      </c>
      <c r="Y105" s="54" t="n"/>
      <c r="Z105" s="54" t="n">
        <v>699</v>
      </c>
      <c r="AA105" s="55">
        <f>IF(AND(A105="", B105="", E105=""), "", IF(AB105="", "Válido", IF((LEN(AB105)-LEN(SUBSTITUTE(AB105,"; ","")))/2+1&gt;(LEN(AB105)-LEN(SUBSTITUTE(AB105,"[Aviso]","")))/7, "Con Incidencias", "Válido")))</f>
        <v/>
      </c>
      <c r="AB105" s="56">
        <f>IF(AND(A105="", B105="", E105=""), "", TEXTJOIN("; ", TRUE, IF(OR(TRIM(A105&amp;"")="", ISNUMBER(SEARCH("FALTA", A105))), "UPC faltante/inválido", ""), IF(AND(A105&lt;&gt;"", IFERROR(_xlfn.XMATCH(A105,$A$2:$A$370,0,1)&lt;&gt;_xlfn.XMATCH(A105,$A$2:$A$370,0,-1),FALSE)), "Código de barras duplicado", ""), IF(AND(E105&lt;&gt;"", COUNTIF($E$2:$E$370, E105)&gt;1), "SKU duplicado", ""), IF(OR(J105="", J105=""), "[Aviso] División no capturada ()", IF(ISNA(MATCH(J105, Criterios!$A$123:$A$126, 0)), "División no válida", "")), IF(OR(K105="", K105=""), "[Aviso] Categoría no capturada ()", IF(ISNA(MATCH(K105, Criterios!$A$81:$A$120, 0)), "Categoría no válida", IF(AND(J105&lt;&gt;"", J105&lt;&gt;"", J105&lt;&gt;VLOOKUP(K105, Criterios!$A$81:$B$120, 2, FALSE)), "División no coincide con Categoría", ""))), IF(OR(L105="", L105=""), "[Aviso] Género no capturado ()", IF(ISNA(MATCH(L105, Criterios!$B$123:$B$127, 0)), "Género no válido", "")), IF(OR(N105="", N105=""), "[Aviso] Temporada no capturada ()", IF(ISNA(MATCH(N105, Criterios!$C$123:$C$128, 0)), "Temporada no válida", "")), IF(OR(O105="", O105=""), "[Aviso] Ciclo de vida no capturado ()", IF(ISNA(MATCH(O105, Criterios!$D$123:$D$124, 0)), "Ciclo de vida no válido", ""))))</f>
        <v/>
      </c>
      <c r="AC105" s="56" t="n"/>
      <c r="AD105" s="51" t="n">
        <v>61</v>
      </c>
      <c r="AE105" s="156" t="inlineStr">
        <is>
          <t>CAPSLAB Warehouse (35); CL POS (4); CL Muestras (2)</t>
        </is>
      </c>
      <c r="AF105" s="51" t="n">
        <v>61</v>
      </c>
      <c r="AG105" s="156" t="inlineStr">
        <is>
          <t>Nuevo – NetSuite con existencia</t>
        </is>
      </c>
      <c r="AH105" s="156" t="inlineStr">
        <is>
          <t>Composición CAPSLAB varía por modelo (50/50, 40/60 o 100% poliéster): validar etiqueta; Color por validar; Físico total NetSuite 61 ≠ suma por ubicación 41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05" s="156" t="inlineStr">
        <is>
          <t>No</t>
        </is>
      </c>
      <c r="AJ105" s="156" t="n"/>
      <c r="AK105" s="155" t="inlineStr">
        <is>
          <t>G1522ProductosTodosloscamposSandboxResults894.xlsx: fila 47747 [X]; G1522_Extraccion_Articulos_NetSuite_2026-09-30.xlsx: fila 30328 [Z]</t>
        </is>
      </c>
      <c r="AL105" s="58" t="n"/>
      <c r="AM105" s="58" t="n"/>
      <c r="AN105" s="155" t="n"/>
      <c r="AO105" s="59" t="n"/>
      <c r="AP105" s="59" t="n"/>
      <c r="AQ105" s="59" t="n"/>
      <c r="AR105" s="155" t="n"/>
    </row>
    <row r="106">
      <c r="A106" s="50" t="inlineStr">
        <is>
          <t>3614000791591</t>
        </is>
      </c>
      <c r="B106" s="51" t="inlineStr">
        <is>
          <t>69599</t>
        </is>
      </c>
      <c r="C106" s="156" t="inlineStr">
        <is>
          <t>CAPSLAB</t>
        </is>
      </c>
      <c r="D106" s="156" t="inlineStr">
        <is>
          <t>CL/DBZ2/1/MV2</t>
        </is>
      </c>
      <c r="E106" s="156" t="inlineStr">
        <is>
          <t>CL/DBZ2/1/MV2-UNI</t>
        </is>
      </c>
      <c r="F106" s="156" t="inlineStr">
        <is>
          <t>Talla única</t>
        </is>
      </c>
      <c r="G106" s="156" t="inlineStr">
        <is>
          <t>One Size</t>
        </is>
      </c>
      <c r="H106" s="156" t="inlineStr">
        <is>
          <t>CAPSLAB</t>
        </is>
      </c>
      <c r="I106" s="156" t="inlineStr">
        <is>
          <t>Gorra CAPSLAB Dragon Ball Saga</t>
        </is>
      </c>
      <c r="J106" s="156" t="inlineStr">
        <is>
          <t>Accesorios</t>
        </is>
      </c>
      <c r="K106" s="156" t="inlineStr">
        <is>
          <t>Gorras</t>
        </is>
      </c>
      <c r="L106" s="156" t="inlineStr">
        <is>
          <t>Unisex</t>
        </is>
      </c>
      <c r="M106" s="156" t="inlineStr">
        <is>
          <t>Dragon Ball Saga</t>
        </is>
      </c>
      <c r="N106" s="156" t="n"/>
      <c r="O106" s="156" t="n"/>
      <c r="P106" s="156" t="n"/>
      <c r="Q106" s="156" t="n"/>
      <c r="R106" s="156" t="n"/>
      <c r="S106" s="156" t="inlineStr">
        <is>
          <t>Algodón / Poliéster</t>
        </is>
      </c>
      <c r="T106" s="156" t="inlineStr">
        <is>
          <t>Gorra de la marca CAPSLAB bajo licencia oficial Dragon Ball Saga. Talla única ajustable. Estilo CL/DBZ2/1/MV2.</t>
        </is>
      </c>
      <c r="U106" s="156" t="n"/>
      <c r="V106" s="156" t="inlineStr">
        <is>
          <t>PZS</t>
        </is>
      </c>
      <c r="W106" s="51" t="inlineStr">
        <is>
          <t>53102516</t>
        </is>
      </c>
      <c r="X106" s="156" t="inlineStr">
        <is>
          <t>https://i.ibb.co/6DJWqSy/CLDBZ21-MV2.jpg</t>
        </is>
      </c>
      <c r="Y106" s="54" t="n"/>
      <c r="Z106" s="54" t="n">
        <v>699</v>
      </c>
      <c r="AA106" s="55">
        <f>IF(AND(A106="", B106="", E106=""), "", IF(AB106="", "Válido", IF((LEN(AB106)-LEN(SUBSTITUTE(AB106,"; ","")))/2+1&gt;(LEN(AB106)-LEN(SUBSTITUTE(AB106,"[Aviso]","")))/7, "Con Incidencias", "Válido")))</f>
        <v/>
      </c>
      <c r="AB106" s="56">
        <f>IF(AND(A106="", B106="", E106=""), "", TEXTJOIN("; ", TRUE, IF(OR(TRIM(A106&amp;"")="", ISNUMBER(SEARCH("FALTA", A106))), "UPC faltante/inválido", ""), IF(AND(A106&lt;&gt;"", IFERROR(_xlfn.XMATCH(A106,$A$2:$A$370,0,1)&lt;&gt;_xlfn.XMATCH(A106,$A$2:$A$370,0,-1),FALSE)), "Código de barras duplicado", ""), IF(AND(E106&lt;&gt;"", COUNTIF($E$2:$E$370, E106)&gt;1), "SKU duplicado", ""), IF(OR(J106="", J106=""), "[Aviso] División no capturada ()", IF(ISNA(MATCH(J106, Criterios!$A$123:$A$126, 0)), "División no válida", "")), IF(OR(K106="", K106=""), "[Aviso] Categoría no capturada ()", IF(ISNA(MATCH(K106, Criterios!$A$81:$A$120, 0)), "Categoría no válida", IF(AND(J106&lt;&gt;"", J106&lt;&gt;"", J106&lt;&gt;VLOOKUP(K106, Criterios!$A$81:$B$120, 2, FALSE)), "División no coincide con Categoría", ""))), IF(OR(L106="", L106=""), "[Aviso] Género no capturado ()", IF(ISNA(MATCH(L106, Criterios!$B$123:$B$127, 0)), "Género no válido", "")), IF(OR(N106="", N106=""), "[Aviso] Temporada no capturada ()", IF(ISNA(MATCH(N106, Criterios!$C$123:$C$128, 0)), "Temporada no válida", "")), IF(OR(O106="", O106=""), "[Aviso] Ciclo de vida no capturado ()", IF(ISNA(MATCH(O106, Criterios!$D$123:$D$124, 0)), "Ciclo de vida no válido", ""))))</f>
        <v/>
      </c>
      <c r="AC106" s="56" t="n"/>
      <c r="AD106" s="51" t="n">
        <v>77</v>
      </c>
      <c r="AE106" s="156" t="inlineStr">
        <is>
          <t>Web (1); CAPSLAB Warehouse (38); CL Muestras (1); CL POS (4)</t>
        </is>
      </c>
      <c r="AF106" s="51" t="n">
        <v>77</v>
      </c>
      <c r="AG106" s="156" t="inlineStr">
        <is>
          <t>Nuevo – NetSuite con existencia</t>
        </is>
      </c>
      <c r="AH106" s="156" t="inlineStr">
        <is>
          <t>Composición CAPSLAB varía por modelo (50/50, 40/60 o 100% poliéster): validar etiqueta; Color por validar; Físico total NetSuite 77 ≠ suma por ubicación 44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06" s="156" t="inlineStr">
        <is>
          <t>No</t>
        </is>
      </c>
      <c r="AJ106" s="156" t="n"/>
      <c r="AK106" s="155" t="inlineStr">
        <is>
          <t>G1522ProductosTodosloscamposSandboxResults894.xlsx: fila 47749 [X]; G1522_Extraccion_Articulos_NetSuite_2026-09-30.xlsx: fila 30329 [Z]</t>
        </is>
      </c>
      <c r="AL106" s="58" t="n"/>
      <c r="AM106" s="58" t="n"/>
      <c r="AN106" s="155" t="n"/>
      <c r="AO106" s="59" t="n"/>
      <c r="AP106" s="59" t="n"/>
      <c r="AQ106" s="59" t="n"/>
      <c r="AR106" s="155" t="n"/>
    </row>
    <row r="107">
      <c r="A107" s="50" t="inlineStr">
        <is>
          <t>3614000791607</t>
        </is>
      </c>
      <c r="B107" s="51" t="inlineStr">
        <is>
          <t>57360</t>
        </is>
      </c>
      <c r="C107" s="156" t="inlineStr">
        <is>
          <t>CAPSLAB</t>
        </is>
      </c>
      <c r="D107" s="156" t="inlineStr">
        <is>
          <t>CL/DBZ2/1/MV3</t>
        </is>
      </c>
      <c r="E107" s="156" t="inlineStr">
        <is>
          <t>CL/DBZ2/1/MV3-UNI</t>
        </is>
      </c>
      <c r="F107" s="156" t="inlineStr">
        <is>
          <t>Talla única</t>
        </is>
      </c>
      <c r="G107" s="156" t="inlineStr">
        <is>
          <t>One Size</t>
        </is>
      </c>
      <c r="H107" s="156" t="inlineStr">
        <is>
          <t>CAPSLAB</t>
        </is>
      </c>
      <c r="I107" s="156" t="inlineStr">
        <is>
          <t>Gorra CAPSLAB Dragon Ball Z Negro</t>
        </is>
      </c>
      <c r="J107" s="156" t="inlineStr">
        <is>
          <t>Accesorios</t>
        </is>
      </c>
      <c r="K107" s="156" t="inlineStr">
        <is>
          <t>Gorras</t>
        </is>
      </c>
      <c r="L107" s="156" t="inlineStr">
        <is>
          <t>Unisex</t>
        </is>
      </c>
      <c r="M107" s="156" t="inlineStr">
        <is>
          <t>Dragon Ball Z</t>
        </is>
      </c>
      <c r="N107" s="156" t="n"/>
      <c r="O107" s="156" t="n"/>
      <c r="P107" s="156" t="inlineStr">
        <is>
          <t>Negro</t>
        </is>
      </c>
      <c r="Q107" s="156" t="n"/>
      <c r="R107" s="156" t="n"/>
      <c r="S107" s="156" t="inlineStr">
        <is>
          <t>Algodón / Poliéster</t>
        </is>
      </c>
      <c r="T107" s="156" t="inlineStr">
        <is>
          <t>Gorra de la marca CAPSLAB bajo licencia oficial Dragon Ball Z. Talla única ajustable. Estilo CL/DBZ2/1/MV3.</t>
        </is>
      </c>
      <c r="U107" s="156" t="n"/>
      <c r="V107" s="156" t="inlineStr">
        <is>
          <t>PZS</t>
        </is>
      </c>
      <c r="W107" s="51" t="inlineStr">
        <is>
          <t>53102516</t>
        </is>
      </c>
      <c r="X107" s="156" t="inlineStr">
        <is>
          <t>https://7913364.app.netsuite.com/core/media/media.nl?id=188222&amp;c=7913364&amp;h=oD2jTALClHjbeanm6A-wR90LqB7OZqsrIjsn53gIkS13H62E</t>
        </is>
      </c>
      <c r="Y107" s="54" t="n">
        <v>8.5</v>
      </c>
      <c r="Z107" s="54" t="n">
        <v>699</v>
      </c>
      <c r="AA107" s="55">
        <f>IF(AND(A107="", B107="", E107=""), "", IF(AB107="", "Válido", IF((LEN(AB107)-LEN(SUBSTITUTE(AB107,"; ","")))/2+1&gt;(LEN(AB107)-LEN(SUBSTITUTE(AB107,"[Aviso]","")))/7, "Con Incidencias", "Válido")))</f>
        <v/>
      </c>
      <c r="AB107" s="56">
        <f>IF(AND(A107="", B107="", E107=""), "", TEXTJOIN("; ", TRUE, IF(OR(TRIM(A107&amp;"")="", ISNUMBER(SEARCH("FALTA", A107))), "UPC faltante/inválido", ""), IF(AND(A107&lt;&gt;"", IFERROR(_xlfn.XMATCH(A107,$A$2:$A$370,0,1)&lt;&gt;_xlfn.XMATCH(A107,$A$2:$A$370,0,-1),FALSE)), "Código de barras duplicado", ""), IF(AND(E107&lt;&gt;"", COUNTIF($E$2:$E$370, E107)&gt;1), "SKU duplicado", ""), IF(OR(J107="", J107=""), "[Aviso] División no capturada ()", IF(ISNA(MATCH(J107, Criterios!$A$123:$A$126, 0)), "División no válida", "")), IF(OR(K107="", K107=""), "[Aviso] Categoría no capturada ()", IF(ISNA(MATCH(K107, Criterios!$A$81:$A$120, 0)), "Categoría no válida", IF(AND(J107&lt;&gt;"", J107&lt;&gt;"", J107&lt;&gt;VLOOKUP(K107, Criterios!$A$81:$B$120, 2, FALSE)), "División no coincide con Categoría", ""))), IF(OR(L107="", L107=""), "[Aviso] Género no capturado ()", IF(ISNA(MATCH(L107, Criterios!$B$123:$B$127, 0)), "Género no válido", "")), IF(OR(N107="", N107=""), "[Aviso] Temporada no capturada ()", IF(ISNA(MATCH(N107, Criterios!$C$123:$C$128, 0)), "Temporada no válida", "")), IF(OR(O107="", O107=""), "[Aviso] Ciclo de vida no capturado ()", IF(ISNA(MATCH(O107, Criterios!$D$123:$D$124, 0)), "Ciclo de vida no válido", ""))))</f>
        <v/>
      </c>
      <c r="AC107" s="56" t="n"/>
      <c r="AD107" s="51" t="n">
        <v>2</v>
      </c>
      <c r="AE107" s="156" t="inlineStr">
        <is>
          <t>CAPSLAB Warehouse (2)</t>
        </is>
      </c>
      <c r="AF107" s="51" t="n">
        <v>2</v>
      </c>
      <c r="AG107" s="156" t="inlineStr">
        <is>
          <t>Nuevo – NetSuite con existencia</t>
        </is>
      </c>
      <c r="AH10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7" s="156" t="inlineStr">
        <is>
          <t>No</t>
        </is>
      </c>
      <c r="AJ107" s="156" t="n"/>
      <c r="AK107" s="155" t="inlineStr">
        <is>
          <t>G1522ProductosTodosloscamposSandboxResults894.xlsx: fila 47751 [Y]; G1522_Extraccion_Articulos_NetSuite_2026-09-30.xlsx: fila 20743 [Z]</t>
        </is>
      </c>
      <c r="AL107" s="58" t="n">
        <v>8.5</v>
      </c>
      <c r="AM107" s="58" t="n"/>
      <c r="AN107" s="155" t="n"/>
      <c r="AO107" s="59" t="n"/>
      <c r="AP107" s="59" t="n"/>
      <c r="AQ107" s="59" t="n"/>
      <c r="AR107" s="155" t="n"/>
    </row>
    <row r="108">
      <c r="A108" s="50" t="inlineStr">
        <is>
          <t>3614000791614</t>
        </is>
      </c>
      <c r="B108" s="51" t="inlineStr">
        <is>
          <t>57361</t>
        </is>
      </c>
      <c r="C108" s="156" t="inlineStr">
        <is>
          <t>CAPSLAB</t>
        </is>
      </c>
      <c r="D108" s="156" t="inlineStr">
        <is>
          <t>CL/DBZ2/1/MV4</t>
        </is>
      </c>
      <c r="E108" s="156" t="inlineStr">
        <is>
          <t>CL/DBZ2/1/MV4-UNI</t>
        </is>
      </c>
      <c r="F108" s="156" t="inlineStr">
        <is>
          <t>Talla única</t>
        </is>
      </c>
      <c r="G108" s="156" t="inlineStr">
        <is>
          <t>One Size</t>
        </is>
      </c>
      <c r="H108" s="156" t="inlineStr">
        <is>
          <t>CAPSLAB</t>
        </is>
      </c>
      <c r="I108" s="156" t="inlineStr">
        <is>
          <t>Gorra CAPSLAB Dragon Ball Z Blanco</t>
        </is>
      </c>
      <c r="J108" s="156" t="inlineStr">
        <is>
          <t>Accesorios</t>
        </is>
      </c>
      <c r="K108" s="156" t="inlineStr">
        <is>
          <t>Gorras</t>
        </is>
      </c>
      <c r="L108" s="156" t="inlineStr">
        <is>
          <t>Unisex</t>
        </is>
      </c>
      <c r="M108" s="156" t="inlineStr">
        <is>
          <t>Dragon Ball Z</t>
        </is>
      </c>
      <c r="N108" s="156" t="n"/>
      <c r="O108" s="156" t="n"/>
      <c r="P108" s="156" t="inlineStr">
        <is>
          <t>Blanco</t>
        </is>
      </c>
      <c r="Q108" s="156" t="n"/>
      <c r="R108" s="156" t="n"/>
      <c r="S108" s="156" t="inlineStr">
        <is>
          <t>Algodón / Poliéster</t>
        </is>
      </c>
      <c r="T108" s="156" t="inlineStr">
        <is>
          <t>Gorra de la marca CAPSLAB bajo licencia oficial Dragon Ball Z. Talla única ajustable. Estilo CL/DBZ2/1/MV4.</t>
        </is>
      </c>
      <c r="U108" s="156" t="n"/>
      <c r="V108" s="156" t="inlineStr">
        <is>
          <t>PZS</t>
        </is>
      </c>
      <c r="W108" s="51" t="inlineStr">
        <is>
          <t>53102516</t>
        </is>
      </c>
      <c r="X108" s="156" t="inlineStr">
        <is>
          <t>https://7913364.app.netsuite.com/core/media/media.nl?id=188223&amp;c=7913364&amp;h=odYRkBVvP01-O0kUyxV1UryzXHolQOqv-a2MoG7WAIuVBIL3</t>
        </is>
      </c>
      <c r="Y108" s="54" t="n">
        <v>8.5</v>
      </c>
      <c r="Z108" s="54" t="n">
        <v>699</v>
      </c>
      <c r="AA108" s="55">
        <f>IF(AND(A108="", B108="", E108=""), "", IF(AB108="", "Válido", IF((LEN(AB108)-LEN(SUBSTITUTE(AB108,"; ","")))/2+1&gt;(LEN(AB108)-LEN(SUBSTITUTE(AB108,"[Aviso]","")))/7, "Con Incidencias", "Válido")))</f>
        <v/>
      </c>
      <c r="AB108" s="56">
        <f>IF(AND(A108="", B108="", E108=""), "", TEXTJOIN("; ", TRUE, IF(OR(TRIM(A108&amp;"")="", ISNUMBER(SEARCH("FALTA", A108))), "UPC faltante/inválido", ""), IF(AND(A108&lt;&gt;"", IFERROR(_xlfn.XMATCH(A108,$A$2:$A$370,0,1)&lt;&gt;_xlfn.XMATCH(A108,$A$2:$A$370,0,-1),FALSE)), "Código de barras duplicado", ""), IF(AND(E108&lt;&gt;"", COUNTIF($E$2:$E$370, E108)&gt;1), "SKU duplicado", ""), IF(OR(J108="", J108=""), "[Aviso] División no capturada ()", IF(ISNA(MATCH(J108, Criterios!$A$123:$A$126, 0)), "División no válida", "")), IF(OR(K108="", K108=""), "[Aviso] Categoría no capturada ()", IF(ISNA(MATCH(K108, Criterios!$A$81:$A$120, 0)), "Categoría no válida", IF(AND(J108&lt;&gt;"", J108&lt;&gt;"", J108&lt;&gt;VLOOKUP(K108, Criterios!$A$81:$B$120, 2, FALSE)), "División no coincide con Categoría", ""))), IF(OR(L108="", L108=""), "[Aviso] Género no capturado ()", IF(ISNA(MATCH(L108, Criterios!$B$123:$B$127, 0)), "Género no válido", "")), IF(OR(N108="", N108=""), "[Aviso] Temporada no capturada ()", IF(ISNA(MATCH(N108, Criterios!$C$123:$C$128, 0)), "Temporada no válida", "")), IF(OR(O108="", O108=""), "[Aviso] Ciclo de vida no capturado ()", IF(ISNA(MATCH(O108, Criterios!$D$123:$D$124, 0)), "Ciclo de vida no válido", ""))))</f>
        <v/>
      </c>
      <c r="AC108" s="56" t="n"/>
      <c r="AD108" s="51" t="n">
        <v>12</v>
      </c>
      <c r="AE108" s="156" t="inlineStr">
        <is>
          <t>CL Muestras (2); Web (2); CL POS (4); CAPSLAB Warehouse (1)</t>
        </is>
      </c>
      <c r="AF108" s="51" t="n">
        <v>12</v>
      </c>
      <c r="AG108" s="156" t="inlineStr">
        <is>
          <t>Nuevo – NetSuite con existencia</t>
        </is>
      </c>
      <c r="AH108" s="156" t="inlineStr">
        <is>
          <t>Composición CAPSLAB varía por modelo (50/50, 40/60 o 100% poliéster): validar etiqueta; Físico total NetSuite 12 ≠ suma por ubicación 9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8" s="156" t="inlineStr">
        <is>
          <t>No</t>
        </is>
      </c>
      <c r="AJ108" s="156" t="n"/>
      <c r="AK108" s="155" t="inlineStr">
        <is>
          <t>G1522ProductosTodosloscamposSandboxResults894.xlsx: fila 47753 [Y]; G1522_Extraccion_Articulos_NetSuite_2026-09-30.xlsx: fila 20744 [Z]</t>
        </is>
      </c>
      <c r="AL108" s="58" t="n">
        <v>8.5</v>
      </c>
      <c r="AM108" s="58" t="n"/>
      <c r="AN108" s="155" t="n"/>
      <c r="AO108" s="59" t="n"/>
      <c r="AP108" s="59" t="n"/>
      <c r="AQ108" s="59" t="n"/>
      <c r="AR108" s="155" t="n"/>
    </row>
    <row r="109">
      <c r="A109" s="50" t="inlineStr">
        <is>
          <t>3614000791621</t>
        </is>
      </c>
      <c r="B109" s="51" t="inlineStr">
        <is>
          <t>57362</t>
        </is>
      </c>
      <c r="C109" s="156" t="inlineStr">
        <is>
          <t>CAPSLAB</t>
        </is>
      </c>
      <c r="D109" s="156" t="inlineStr">
        <is>
          <t>CL/DBZ2/1/TRK1</t>
        </is>
      </c>
      <c r="E109" s="156" t="inlineStr">
        <is>
          <t>CL/DBZ2/1/TRK1-UNI</t>
        </is>
      </c>
      <c r="F109" s="156" t="inlineStr">
        <is>
          <t>Talla única</t>
        </is>
      </c>
      <c r="G109" s="156" t="inlineStr">
        <is>
          <t>One Size</t>
        </is>
      </c>
      <c r="H109" s="156" t="inlineStr">
        <is>
          <t>CAPSLAB</t>
        </is>
      </c>
      <c r="I109" s="156" t="inlineStr">
        <is>
          <t>Gorra CAPSLAB Dragon Ball Z Verde</t>
        </is>
      </c>
      <c r="J109" s="156" t="inlineStr">
        <is>
          <t>Accesorios</t>
        </is>
      </c>
      <c r="K109" s="156" t="inlineStr">
        <is>
          <t>Gorras</t>
        </is>
      </c>
      <c r="L109" s="156" t="inlineStr">
        <is>
          <t>Unisex</t>
        </is>
      </c>
      <c r="M109" s="156" t="inlineStr">
        <is>
          <t>Dragon Ball Z</t>
        </is>
      </c>
      <c r="N109" s="156" t="n"/>
      <c r="O109" s="156" t="n"/>
      <c r="P109" s="156" t="inlineStr">
        <is>
          <t>Verde</t>
        </is>
      </c>
      <c r="Q109" s="156" t="n"/>
      <c r="R109" s="156" t="n"/>
      <c r="S109" s="156" t="inlineStr">
        <is>
          <t>Algodón / Poliéster</t>
        </is>
      </c>
      <c r="T109" s="156" t="inlineStr">
        <is>
          <t>Gorra de la marca CAPSLAB bajo licencia oficial Dragon Ball Z. Talla única ajustable. Estilo CL/DBZ2/1/TRK1.</t>
        </is>
      </c>
      <c r="U109" s="156" t="n"/>
      <c r="V109" s="156" t="inlineStr">
        <is>
          <t>PZS</t>
        </is>
      </c>
      <c r="W109" s="51" t="inlineStr">
        <is>
          <t>53102516</t>
        </is>
      </c>
      <c r="X109" s="156" t="inlineStr">
        <is>
          <t>https://7913364.app.netsuite.com/core/media/media.nl?id=188225&amp;c=7913364&amp;h=h_nFQj7IvSpPSuXaEmYRYfnzDoFVAg-lHNHmcO2A8aON6-de</t>
        </is>
      </c>
      <c r="Y109" s="54" t="n">
        <v>8.5</v>
      </c>
      <c r="Z109" s="54" t="n">
        <v>699</v>
      </c>
      <c r="AA109" s="55">
        <f>IF(AND(A109="", B109="", E109=""), "", IF(AB109="", "Válido", IF((LEN(AB109)-LEN(SUBSTITUTE(AB109,"; ","")))/2+1&gt;(LEN(AB109)-LEN(SUBSTITUTE(AB109,"[Aviso]","")))/7, "Con Incidencias", "Válido")))</f>
        <v/>
      </c>
      <c r="AB109" s="56">
        <f>IF(AND(A109="", B109="", E109=""), "", TEXTJOIN("; ", TRUE, IF(OR(TRIM(A109&amp;"")="", ISNUMBER(SEARCH("FALTA", A109))), "UPC faltante/inválido", ""), IF(AND(A109&lt;&gt;"", IFERROR(_xlfn.XMATCH(A109,$A$2:$A$370,0,1)&lt;&gt;_xlfn.XMATCH(A109,$A$2:$A$370,0,-1),FALSE)), "Código de barras duplicado", ""), IF(AND(E109&lt;&gt;"", COUNTIF($E$2:$E$370, E109)&gt;1), "SKU duplicado", ""), IF(OR(J109="", J109=""), "[Aviso] División no capturada ()", IF(ISNA(MATCH(J109, Criterios!$A$123:$A$126, 0)), "División no válida", "")), IF(OR(K109="", K109=""), "[Aviso] Categoría no capturada ()", IF(ISNA(MATCH(K109, Criterios!$A$81:$A$120, 0)), "Categoría no válida", IF(AND(J109&lt;&gt;"", J109&lt;&gt;"", J109&lt;&gt;VLOOKUP(K109, Criterios!$A$81:$B$120, 2, FALSE)), "División no coincide con Categoría", ""))), IF(OR(L109="", L109=""), "[Aviso] Género no capturado ()", IF(ISNA(MATCH(L109, Criterios!$B$123:$B$127, 0)), "Género no válido", "")), IF(OR(N109="", N109=""), "[Aviso] Temporada no capturada ()", IF(ISNA(MATCH(N109, Criterios!$C$123:$C$128, 0)), "Temporada no válida", "")), IF(OR(O109="", O109=""), "[Aviso] Ciclo de vida no capturado ()", IF(ISNA(MATCH(O109, Criterios!$D$123:$D$124, 0)), "Ciclo de vida no válido", ""))))</f>
        <v/>
      </c>
      <c r="AC109" s="56" t="n"/>
      <c r="AD109" s="51" t="n">
        <v>17</v>
      </c>
      <c r="AE109" s="156" t="inlineStr">
        <is>
          <t>CAPSLAB Warehouse (11); CL Muestras (1)</t>
        </is>
      </c>
      <c r="AF109" s="51" t="n">
        <v>18</v>
      </c>
      <c r="AG109" s="156" t="inlineStr">
        <is>
          <t>Nuevo – NetSuite con existencia</t>
        </is>
      </c>
      <c r="AH109" s="156" t="inlineStr">
        <is>
          <t>Composición CAPSLAB varía por modelo (50/50, 40/60 o 100% poliéster): validar etiqueta; Físico total NetSuite 17 ≠ suma por ubicación 11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09" s="156" t="inlineStr">
        <is>
          <t>Sí</t>
        </is>
      </c>
      <c r="AJ109" s="156" t="inlineStr">
        <is>
          <t>Web (-1)</t>
        </is>
      </c>
      <c r="AK109" s="155" t="inlineStr">
        <is>
          <t>G1522ProductosTodosloscamposSandboxResults894.xlsx: fila 47755 [Y]; G1522_Extraccion_Articulos_NetSuite_2026-09-30.xlsx: fila 20745 [Z]</t>
        </is>
      </c>
      <c r="AL109" s="58" t="n">
        <v>8.5</v>
      </c>
      <c r="AM109" s="58" t="n"/>
      <c r="AN109" s="155" t="n"/>
      <c r="AO109" s="59" t="n"/>
      <c r="AP109" s="59" t="n"/>
      <c r="AQ109" s="59" t="n"/>
      <c r="AR109" s="155" t="n"/>
    </row>
    <row r="110">
      <c r="A110" s="50" t="inlineStr">
        <is>
          <t>3614000791638</t>
        </is>
      </c>
      <c r="B110" s="51" t="inlineStr">
        <is>
          <t>57363</t>
        </is>
      </c>
      <c r="C110" s="156" t="inlineStr">
        <is>
          <t>CAPSLAB</t>
        </is>
      </c>
      <c r="D110" s="156" t="inlineStr">
        <is>
          <t>CL/DBZ2/1/TRK2</t>
        </is>
      </c>
      <c r="E110" s="156" t="inlineStr">
        <is>
          <t>CL/DBZ2/1/TRK2-UNI</t>
        </is>
      </c>
      <c r="F110" s="156" t="inlineStr">
        <is>
          <t>Talla única</t>
        </is>
      </c>
      <c r="G110" s="156" t="inlineStr">
        <is>
          <t>One Size</t>
        </is>
      </c>
      <c r="H110" s="156" t="inlineStr">
        <is>
          <t>CAPSLAB</t>
        </is>
      </c>
      <c r="I110" s="156" t="inlineStr">
        <is>
          <t>Gorra CAPSLAB Dragon Ball Z Blanco</t>
        </is>
      </c>
      <c r="J110" s="156" t="inlineStr">
        <is>
          <t>Accesorios</t>
        </is>
      </c>
      <c r="K110" s="156" t="inlineStr">
        <is>
          <t>Gorras</t>
        </is>
      </c>
      <c r="L110" s="156" t="inlineStr">
        <is>
          <t>Unisex</t>
        </is>
      </c>
      <c r="M110" s="156" t="inlineStr">
        <is>
          <t>Dragon Ball Z</t>
        </is>
      </c>
      <c r="N110" s="156" t="n"/>
      <c r="O110" s="156" t="n"/>
      <c r="P110" s="156" t="inlineStr">
        <is>
          <t>Blanco</t>
        </is>
      </c>
      <c r="Q110" s="156" t="n"/>
      <c r="R110" s="156" t="n"/>
      <c r="S110" s="156" t="inlineStr">
        <is>
          <t>Algodón / Poliéster</t>
        </is>
      </c>
      <c r="T110" s="156" t="inlineStr">
        <is>
          <t>Gorra de la marca CAPSLAB bajo licencia oficial Dragon Ball Z. Talla única ajustable. Estilo CL/DBZ2/1/TRK2.</t>
        </is>
      </c>
      <c r="U110" s="156" t="n"/>
      <c r="V110" s="156" t="inlineStr">
        <is>
          <t>PZS</t>
        </is>
      </c>
      <c r="W110" s="51" t="inlineStr">
        <is>
          <t>53102516</t>
        </is>
      </c>
      <c r="X110" s="156" t="inlineStr">
        <is>
          <t>https://7913364.app.netsuite.com/core/media/media.nl?id=188226&amp;c=7913364&amp;h=MNQKZRbNhwjPPILNcJxo08YzDzlhM4n385nRZ_xUSP0W7Dyn</t>
        </is>
      </c>
      <c r="Y110" s="54" t="n">
        <v>8.5</v>
      </c>
      <c r="Z110" s="54" t="n">
        <v>699</v>
      </c>
      <c r="AA110" s="55">
        <f>IF(AND(A110="", B110="", E110=""), "", IF(AB110="", "Válido", IF((LEN(AB110)-LEN(SUBSTITUTE(AB110,"; ","")))/2+1&gt;(LEN(AB110)-LEN(SUBSTITUTE(AB110,"[Aviso]","")))/7, "Con Incidencias", "Válido")))</f>
        <v/>
      </c>
      <c r="AB110" s="56">
        <f>IF(AND(A110="", B110="", E110=""), "", TEXTJOIN("; ", TRUE, IF(OR(TRIM(A110&amp;"")="", ISNUMBER(SEARCH("FALTA", A110))), "UPC faltante/inválido", ""), IF(AND(A110&lt;&gt;"", IFERROR(_xlfn.XMATCH(A110,$A$2:$A$370,0,1)&lt;&gt;_xlfn.XMATCH(A110,$A$2:$A$370,0,-1),FALSE)), "Código de barras duplicado", ""), IF(AND(E110&lt;&gt;"", COUNTIF($E$2:$E$370, E110)&gt;1), "SKU duplicado", ""), IF(OR(J110="", J110=""), "[Aviso] División no capturada ()", IF(ISNA(MATCH(J110, Criterios!$A$123:$A$126, 0)), "División no válida", "")), IF(OR(K110="", K110=""), "[Aviso] Categoría no capturada ()", IF(ISNA(MATCH(K110, Criterios!$A$81:$A$120, 0)), "Categoría no válida", IF(AND(J110&lt;&gt;"", J110&lt;&gt;"", J110&lt;&gt;VLOOKUP(K110, Criterios!$A$81:$B$120, 2, FALSE)), "División no coincide con Categoría", ""))), IF(OR(L110="", L110=""), "[Aviso] Género no capturado ()", IF(ISNA(MATCH(L110, Criterios!$B$123:$B$127, 0)), "Género no válido", "")), IF(OR(N110="", N110=""), "[Aviso] Temporada no capturada ()", IF(ISNA(MATCH(N110, Criterios!$C$123:$C$128, 0)), "Temporada no válida", "")), IF(OR(O110="", O110=""), "[Aviso] Ciclo de vida no capturado ()", IF(ISNA(MATCH(O110, Criterios!$D$123:$D$124, 0)), "Ciclo de vida no válido", ""))))</f>
        <v/>
      </c>
      <c r="AC110" s="56" t="n"/>
      <c r="AD110" s="51" t="n">
        <v>5</v>
      </c>
      <c r="AE110" s="156" t="inlineStr">
        <is>
          <t>CL Muestras (1); Web (3)</t>
        </is>
      </c>
      <c r="AF110" s="51" t="n">
        <v>5</v>
      </c>
      <c r="AG110" s="156" t="inlineStr">
        <is>
          <t>Nuevo – NetSuite con existencia</t>
        </is>
      </c>
      <c r="AH110" s="156" t="inlineStr">
        <is>
          <t>Composición CAPSLAB varía por modelo (50/50, 40/60 o 100% poliéster): validar etiqueta; Físico total NetSuite 5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0" s="156" t="inlineStr">
        <is>
          <t>No</t>
        </is>
      </c>
      <c r="AJ110" s="156" t="n"/>
      <c r="AK110" s="155" t="inlineStr">
        <is>
          <t>G1522ProductosTodosloscamposSandboxResults894.xlsx: fila 47757 [Y]; G1522_Extraccion_Articulos_NetSuite_2026-09-30.xlsx: fila 20746 [Z]</t>
        </is>
      </c>
      <c r="AL110" s="58" t="n">
        <v>8.5</v>
      </c>
      <c r="AM110" s="58" t="n"/>
      <c r="AN110" s="155" t="n"/>
      <c r="AO110" s="59" t="n"/>
      <c r="AP110" s="59" t="n"/>
      <c r="AQ110" s="59" t="n"/>
      <c r="AR110" s="155" t="n"/>
    </row>
    <row r="111">
      <c r="A111" s="50" t="inlineStr">
        <is>
          <t>3614000979777</t>
        </is>
      </c>
      <c r="B111" s="51" t="inlineStr">
        <is>
          <t>57460</t>
        </is>
      </c>
      <c r="C111" s="156" t="inlineStr">
        <is>
          <t>CAPSLAB</t>
        </is>
      </c>
      <c r="D111" s="156" t="inlineStr">
        <is>
          <t>CL/DBZ2/3/MV1</t>
        </is>
      </c>
      <c r="E111" s="156" t="inlineStr">
        <is>
          <t>CL/DBZ2/3/MV1-UNIJR</t>
        </is>
      </c>
      <c r="F111" s="156" t="inlineStr">
        <is>
          <t>Talla única</t>
        </is>
      </c>
      <c r="G111" s="156" t="inlineStr">
        <is>
          <t>One Size</t>
        </is>
      </c>
      <c r="H111" s="156" t="inlineStr">
        <is>
          <t>CAPSLAB</t>
        </is>
      </c>
      <c r="I111" s="156" t="inlineStr">
        <is>
          <t>Gorra CAPSLAB Dragon Ball Z</t>
        </is>
      </c>
      <c r="J111" s="156" t="inlineStr">
        <is>
          <t>Accesorios</t>
        </is>
      </c>
      <c r="K111" s="156" t="inlineStr">
        <is>
          <t>Gorras</t>
        </is>
      </c>
      <c r="L111" s="156" t="inlineStr">
        <is>
          <t>Niño</t>
        </is>
      </c>
      <c r="M111" s="156" t="inlineStr">
        <is>
          <t>Dragon Ball Z</t>
        </is>
      </c>
      <c r="N111" s="156" t="n"/>
      <c r="O111" s="156" t="n"/>
      <c r="P111" s="156" t="n"/>
      <c r="Q111" s="156" t="n"/>
      <c r="R111" s="156" t="n"/>
      <c r="S111" s="156" t="inlineStr">
        <is>
          <t>Algodón / Poliéster</t>
        </is>
      </c>
      <c r="T111" s="156" t="inlineStr">
        <is>
          <t>Gorra de la marca CAPSLAB bajo licencia oficial Dragon Ball Z. Talla única ajustable. Estilo CL/DBZ2/3/MV1.</t>
        </is>
      </c>
      <c r="U111" s="156" t="n"/>
      <c r="V111" s="156" t="inlineStr">
        <is>
          <t>PZS</t>
        </is>
      </c>
      <c r="W111" s="51" t="inlineStr">
        <is>
          <t>53102516</t>
        </is>
      </c>
      <c r="X111" s="156" t="inlineStr">
        <is>
          <t>https://7913364.app.netsuite.com/core/media/media.nl?id=188368&amp;c=7913364&amp;h=gmNMkUPnQLjSrEcANMBn-Z7bOw4mrYrvUpaZJainEttV6L83</t>
        </is>
      </c>
      <c r="Y111" s="54" t="n">
        <v>8.5</v>
      </c>
      <c r="Z111" s="54" t="n">
        <v>699</v>
      </c>
      <c r="AA111" s="55">
        <f>IF(AND(A111="", B111="", E111=""), "", IF(AB111="", "Válido", IF((LEN(AB111)-LEN(SUBSTITUTE(AB111,"; ","")))/2+1&gt;(LEN(AB111)-LEN(SUBSTITUTE(AB111,"[Aviso]","")))/7, "Con Incidencias", "Válido")))</f>
        <v/>
      </c>
      <c r="AB111" s="56">
        <f>IF(AND(A111="", B111="", E111=""), "", TEXTJOIN("; ", TRUE, IF(OR(TRIM(A111&amp;"")="", ISNUMBER(SEARCH("FALTA", A111))), "UPC faltante/inválido", ""), IF(AND(A111&lt;&gt;"", IFERROR(_xlfn.XMATCH(A111,$A$2:$A$370,0,1)&lt;&gt;_xlfn.XMATCH(A111,$A$2:$A$370,0,-1),FALSE)), "Código de barras duplicado", ""), IF(AND(E111&lt;&gt;"", COUNTIF($E$2:$E$370, E111)&gt;1), "SKU duplicado", ""), IF(OR(J111="", J111=""), "[Aviso] División no capturada ()", IF(ISNA(MATCH(J111, Criterios!$A$123:$A$126, 0)), "División no válida", "")), IF(OR(K111="", K111=""), "[Aviso] Categoría no capturada ()", IF(ISNA(MATCH(K111, Criterios!$A$81:$A$120, 0)), "Categoría no válida", IF(AND(J111&lt;&gt;"", J111&lt;&gt;"", J111&lt;&gt;VLOOKUP(K111, Criterios!$A$81:$B$120, 2, FALSE)), "División no coincide con Categoría", ""))), IF(OR(L111="", L111=""), "[Aviso] Género no capturado ()", IF(ISNA(MATCH(L111, Criterios!$B$123:$B$127, 0)), "Género no válido", "")), IF(OR(N111="", N111=""), "[Aviso] Temporada no capturada ()", IF(ISNA(MATCH(N111, Criterios!$C$123:$C$128, 0)), "Temporada no válida", "")), IF(OR(O111="", O111=""), "[Aviso] Ciclo de vida no capturado ()", IF(ISNA(MATCH(O111, Criterios!$D$123:$D$124, 0)), "Ciclo de vida no válido", ""))))</f>
        <v/>
      </c>
      <c r="AC111" s="56" t="n"/>
      <c r="AD111" s="51" t="n">
        <v>69</v>
      </c>
      <c r="AE111" s="156" t="inlineStr">
        <is>
          <t>CL POS (4); CAPSLAB Warehouse (45); CL Muestras (2); Web (2)</t>
        </is>
      </c>
      <c r="AF111" s="51" t="n">
        <v>69</v>
      </c>
      <c r="AG111" s="156" t="inlineStr">
        <is>
          <t>Nuevo – NetSuite con existencia</t>
        </is>
      </c>
      <c r="AH111" s="156" t="inlineStr">
        <is>
          <t>Composición CAPSLAB varía por modelo (50/50, 40/60 o 100% poliéster): validar etiqueta; Talla: Talla infantil (JR) (origen «UNI JR»); Color por validar; Físico total NetSuite 69 ≠ suma por ubicación 53 | Revisión 29/09/2026: Talla fuente Talla única sin equivalencia exacta en Criterios para Talla Niño (numérica);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1" s="156" t="inlineStr">
        <is>
          <t>No</t>
        </is>
      </c>
      <c r="AJ111" s="156" t="n"/>
      <c r="AK111" s="155" t="inlineStr">
        <is>
          <t>G1522CatalogoMaestro25Results796.csv: fila 46669 [P] | G1522ProductosTodosloscamposSandboxResults894.xlsx: fila 47759 [Y]; G1522_Extraccion_Articulos_NetSuite_2026-09-30.xlsx: fila 20842 [Z]</t>
        </is>
      </c>
      <c r="AL111" s="58" t="n">
        <v>8.5</v>
      </c>
      <c r="AM111" s="58" t="n"/>
      <c r="AN111" s="155" t="n"/>
      <c r="AO111" s="59" t="n"/>
      <c r="AP111" s="59" t="n"/>
      <c r="AQ111" s="59" t="n"/>
      <c r="AR111" s="155" t="n"/>
    </row>
    <row r="112">
      <c r="A112" s="50" t="inlineStr">
        <is>
          <t>3614000884712</t>
        </is>
      </c>
      <c r="B112" s="51" t="inlineStr">
        <is>
          <t>57364</t>
        </is>
      </c>
      <c r="C112" s="156" t="inlineStr">
        <is>
          <t>CAPSLAB</t>
        </is>
      </c>
      <c r="D112" s="156" t="inlineStr">
        <is>
          <t>CL/DBZ3/1/KRI4</t>
        </is>
      </c>
      <c r="E112" s="156" t="inlineStr">
        <is>
          <t>CL/DBZ3/1/KRI4-UNI</t>
        </is>
      </c>
      <c r="F112" s="156" t="inlineStr">
        <is>
          <t>Talla única</t>
        </is>
      </c>
      <c r="G112" s="156" t="inlineStr">
        <is>
          <t>One Size</t>
        </is>
      </c>
      <c r="H112" s="156" t="inlineStr">
        <is>
          <t>CAPSLAB</t>
        </is>
      </c>
      <c r="I112" s="156" t="inlineStr">
        <is>
          <t>Gorra CAPSLAB Dragon Ball Z Krillin Negro</t>
        </is>
      </c>
      <c r="J112" s="156" t="inlineStr">
        <is>
          <t>Accesorios</t>
        </is>
      </c>
      <c r="K112" s="156" t="inlineStr">
        <is>
          <t>Gorras</t>
        </is>
      </c>
      <c r="L112" s="156" t="inlineStr">
        <is>
          <t>Unisex</t>
        </is>
      </c>
      <c r="M112" s="156" t="inlineStr">
        <is>
          <t>Dragon Ball Z</t>
        </is>
      </c>
      <c r="N112" s="156" t="n"/>
      <c r="O112" s="156" t="n"/>
      <c r="P112" s="156" t="inlineStr">
        <is>
          <t>Negro</t>
        </is>
      </c>
      <c r="Q112" s="156" t="n"/>
      <c r="R112" s="156" t="n"/>
      <c r="S112" s="156" t="inlineStr">
        <is>
          <t>Algodón / Poliéster</t>
        </is>
      </c>
      <c r="T112" s="156" t="inlineStr">
        <is>
          <t>Gorra de la marca CAPSLAB bajo licencia oficial Dragon Ball Z, personaje Krillin. Talla única ajustable. Estilo CL/DBZ3/1/KRI4.</t>
        </is>
      </c>
      <c r="U112" s="156" t="n"/>
      <c r="V112" s="156" t="inlineStr">
        <is>
          <t>PZS</t>
        </is>
      </c>
      <c r="W112" s="51" t="inlineStr">
        <is>
          <t>53102516</t>
        </is>
      </c>
      <c r="X112" s="156" t="inlineStr">
        <is>
          <t>https://7913364.app.netsuite.com/core/media/media.nl?id=188227&amp;c=7913364&amp;h=SZDIMUWlTTp-l07W2z39f3H0uqGSIBRuDGZKn9MuX6ttWDQP</t>
        </is>
      </c>
      <c r="Y112" s="54" t="n">
        <v>8.5</v>
      </c>
      <c r="Z112" s="54" t="n">
        <v>699</v>
      </c>
      <c r="AA112" s="55">
        <f>IF(AND(A112="", B112="", E112=""), "", IF(AB112="", "Válido", IF((LEN(AB112)-LEN(SUBSTITUTE(AB112,"; ","")))/2+1&gt;(LEN(AB112)-LEN(SUBSTITUTE(AB112,"[Aviso]","")))/7, "Con Incidencias", "Válido")))</f>
        <v/>
      </c>
      <c r="AB112" s="56">
        <f>IF(AND(A112="", B112="", E112=""), "", TEXTJOIN("; ", TRUE, IF(OR(TRIM(A112&amp;"")="", ISNUMBER(SEARCH("FALTA", A112))), "UPC faltante/inválido", ""), IF(AND(A112&lt;&gt;"", IFERROR(_xlfn.XMATCH(A112,$A$2:$A$370,0,1)&lt;&gt;_xlfn.XMATCH(A112,$A$2:$A$370,0,-1),FALSE)), "Código de barras duplicado", ""), IF(AND(E112&lt;&gt;"", COUNTIF($E$2:$E$370, E112)&gt;1), "SKU duplicado", ""), IF(OR(J112="", J112=""), "[Aviso] División no capturada ()", IF(ISNA(MATCH(J112, Criterios!$A$123:$A$126, 0)), "División no válida", "")), IF(OR(K112="", K112=""), "[Aviso] Categoría no capturada ()", IF(ISNA(MATCH(K112, Criterios!$A$81:$A$120, 0)), "Categoría no válida", IF(AND(J112&lt;&gt;"", J112&lt;&gt;"", J112&lt;&gt;VLOOKUP(K112, Criterios!$A$81:$B$120, 2, FALSE)), "División no coincide con Categoría", ""))), IF(OR(L112="", L112=""), "[Aviso] Género no capturado ()", IF(ISNA(MATCH(L112, Criterios!$B$123:$B$127, 0)), "Género no válido", "")), IF(OR(N112="", N112=""), "[Aviso] Temporada no capturada ()", IF(ISNA(MATCH(N112, Criterios!$C$123:$C$128, 0)), "Temporada no válida", "")), IF(OR(O112="", O112=""), "[Aviso] Ciclo de vida no capturado ()", IF(ISNA(MATCH(O112, Criterios!$D$123:$D$124, 0)), "Ciclo de vida no válido", ""))))</f>
        <v/>
      </c>
      <c r="AC112" s="56" t="n"/>
      <c r="AD112" s="51" t="n">
        <v>16</v>
      </c>
      <c r="AE112" s="156" t="inlineStr">
        <is>
          <t>CAPSLAB Warehouse (9); CL POS (4); Web (2)</t>
        </is>
      </c>
      <c r="AF112" s="51" t="n">
        <v>16</v>
      </c>
      <c r="AG112" s="156" t="inlineStr">
        <is>
          <t>Nuevo – NetSuite con existencia</t>
        </is>
      </c>
      <c r="AH112" s="156" t="inlineStr">
        <is>
          <t>Composición CAPSLAB varía por modelo (50/50, 40/60 o 100% poliéster): validar etiqueta; Físico total NetSuite 16 ≠ suma por ubicación 15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2" s="156" t="inlineStr">
        <is>
          <t>No</t>
        </is>
      </c>
      <c r="AJ112" s="156" t="n"/>
      <c r="AK112" s="155" t="inlineStr">
        <is>
          <t>G1522ProductosTodosloscamposSandboxResults894.xlsx: fila 47761 [Y]; G1522_Extraccion_Articulos_NetSuite_2026-09-30.xlsx: fila 20747 [Z]</t>
        </is>
      </c>
      <c r="AL112" s="58" t="n">
        <v>8.5</v>
      </c>
      <c r="AM112" s="58" t="n"/>
      <c r="AN112" s="155" t="n"/>
      <c r="AO112" s="59" t="n"/>
      <c r="AP112" s="59" t="n"/>
      <c r="AQ112" s="59" t="n"/>
      <c r="AR112" s="155" t="n"/>
    </row>
    <row r="113">
      <c r="A113" s="50" t="inlineStr">
        <is>
          <t>3614000884705</t>
        </is>
      </c>
      <c r="B113" s="51" t="inlineStr">
        <is>
          <t>57365</t>
        </is>
      </c>
      <c r="C113" s="156" t="inlineStr">
        <is>
          <t>CAPSLAB</t>
        </is>
      </c>
      <c r="D113" s="156" t="inlineStr">
        <is>
          <t>CL/DBZ3/1/RON3</t>
        </is>
      </c>
      <c r="E113" s="156" t="inlineStr">
        <is>
          <t>CL/DBZ3/1/RON3-UNI</t>
        </is>
      </c>
      <c r="F113" s="156" t="inlineStr">
        <is>
          <t>Talla única</t>
        </is>
      </c>
      <c r="G113" s="156" t="inlineStr">
        <is>
          <t>One Size</t>
        </is>
      </c>
      <c r="H113" s="156" t="inlineStr">
        <is>
          <t>CAPSLAB</t>
        </is>
      </c>
      <c r="I113" s="156" t="inlineStr">
        <is>
          <t>Gorra CAPSLAB Dragon Ball Z Negro</t>
        </is>
      </c>
      <c r="J113" s="156" t="inlineStr">
        <is>
          <t>Accesorios</t>
        </is>
      </c>
      <c r="K113" s="156" t="inlineStr">
        <is>
          <t>Gorras</t>
        </is>
      </c>
      <c r="L113" s="156" t="inlineStr">
        <is>
          <t>Unisex</t>
        </is>
      </c>
      <c r="M113" s="156" t="inlineStr">
        <is>
          <t>Dragon Ball Z</t>
        </is>
      </c>
      <c r="N113" s="156" t="n"/>
      <c r="O113" s="156" t="n"/>
      <c r="P113" s="156" t="inlineStr">
        <is>
          <t>Negro</t>
        </is>
      </c>
      <c r="Q113" s="156" t="n"/>
      <c r="R113" s="156" t="n"/>
      <c r="S113" s="156" t="inlineStr">
        <is>
          <t>Algodón / Poliéster</t>
        </is>
      </c>
      <c r="T113" s="156" t="inlineStr">
        <is>
          <t>Gorra de la marca CAPSLAB bajo licencia oficial Dragon Ball Z. Talla única ajustable. Estilo CL/DBZ3/1/RON3.</t>
        </is>
      </c>
      <c r="U113" s="156" t="n"/>
      <c r="V113" s="156" t="inlineStr">
        <is>
          <t>PZS</t>
        </is>
      </c>
      <c r="W113" s="51" t="inlineStr">
        <is>
          <t>53102516</t>
        </is>
      </c>
      <c r="X113" s="156" t="inlineStr">
        <is>
          <t>https://7913364.app.netsuite.com/core/media/media.nl?id=188229&amp;c=7913364&amp;h=bzu6WOXFk8W9VF8Xe_SS5gASZsuT9kGXw7EVTX-RciovIEXJ</t>
        </is>
      </c>
      <c r="Y113" s="54" t="n">
        <v>8.5</v>
      </c>
      <c r="Z113" s="54" t="n">
        <v>699</v>
      </c>
      <c r="AA113" s="55">
        <f>IF(AND(A113="", B113="", E113=""), "", IF(AB113="", "Válido", IF((LEN(AB113)-LEN(SUBSTITUTE(AB113,"; ","")))/2+1&gt;(LEN(AB113)-LEN(SUBSTITUTE(AB113,"[Aviso]","")))/7, "Con Incidencias", "Válido")))</f>
        <v/>
      </c>
      <c r="AB113" s="56">
        <f>IF(AND(A113="", B113="", E113=""), "", TEXTJOIN("; ", TRUE, IF(OR(TRIM(A113&amp;"")="", ISNUMBER(SEARCH("FALTA", A113))), "UPC faltante/inválido", ""), IF(AND(A113&lt;&gt;"", IFERROR(_xlfn.XMATCH(A113,$A$2:$A$370,0,1)&lt;&gt;_xlfn.XMATCH(A113,$A$2:$A$370,0,-1),FALSE)), "Código de barras duplicado", ""), IF(AND(E113&lt;&gt;"", COUNTIF($E$2:$E$370, E113)&gt;1), "SKU duplicado", ""), IF(OR(J113="", J113=""), "[Aviso] División no capturada ()", IF(ISNA(MATCH(J113, Criterios!$A$123:$A$126, 0)), "División no válida", "")), IF(OR(K113="", K113=""), "[Aviso] Categoría no capturada ()", IF(ISNA(MATCH(K113, Criterios!$A$81:$A$120, 0)), "Categoría no válida", IF(AND(J113&lt;&gt;"", J113&lt;&gt;"", J113&lt;&gt;VLOOKUP(K113, Criterios!$A$81:$B$120, 2, FALSE)), "División no coincide con Categoría", ""))), IF(OR(L113="", L113=""), "[Aviso] Género no capturado ()", IF(ISNA(MATCH(L113, Criterios!$B$123:$B$127, 0)), "Género no válido", "")), IF(OR(N113="", N113=""), "[Aviso] Temporada no capturada ()", IF(ISNA(MATCH(N113, Criterios!$C$123:$C$128, 0)), "Temporada no válida", "")), IF(OR(O113="", O113=""), "[Aviso] Ciclo de vida no capturado ()", IF(ISNA(MATCH(O113, Criterios!$D$123:$D$124, 0)), "Ciclo de vida no válido", ""))))</f>
        <v/>
      </c>
      <c r="AC113" s="56" t="n"/>
      <c r="AD113" s="51" t="n">
        <v>0</v>
      </c>
      <c r="AE113" s="156" t="n"/>
      <c r="AF113" s="51" t="n">
        <v>0</v>
      </c>
      <c r="AG113" s="156" t="inlineStr">
        <is>
          <t>Nuevo – NetSuite sin existencia</t>
        </is>
      </c>
      <c r="AH113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3" s="156" t="inlineStr">
        <is>
          <t>No</t>
        </is>
      </c>
      <c r="AJ113" s="156" t="n"/>
      <c r="AK113" s="155" t="inlineStr">
        <is>
          <t>G1522ProductosTodosloscamposSandboxResults894.xlsx: fila 47763 [Y]; G1522_Extraccion_Articulos_NetSuite_2026-09-30.xlsx: fila 20748 [Z]</t>
        </is>
      </c>
      <c r="AL113" s="58" t="n">
        <v>8.5</v>
      </c>
      <c r="AM113" s="58" t="n"/>
      <c r="AN113" s="155" t="n"/>
      <c r="AO113" s="59" t="n"/>
      <c r="AP113" s="59" t="n"/>
      <c r="AQ113" s="59" t="n"/>
      <c r="AR113" s="155" t="n"/>
    </row>
    <row r="114">
      <c r="A114" s="50" t="inlineStr">
        <is>
          <t>3614000884750</t>
        </is>
      </c>
      <c r="B114" s="51" t="inlineStr">
        <is>
          <t>69600</t>
        </is>
      </c>
      <c r="C114" s="156" t="inlineStr">
        <is>
          <t>CAPSLAB</t>
        </is>
      </c>
      <c r="D114" s="156" t="inlineStr">
        <is>
          <t>CL/DBZ3/1/SAY1</t>
        </is>
      </c>
      <c r="E114" s="156" t="inlineStr">
        <is>
          <t>CL/DBZ3/1/SAY1-UNI</t>
        </is>
      </c>
      <c r="F114" s="156" t="inlineStr">
        <is>
          <t>Talla única</t>
        </is>
      </c>
      <c r="G114" s="156" t="inlineStr">
        <is>
          <t>One Size</t>
        </is>
      </c>
      <c r="H114" s="156" t="inlineStr">
        <is>
          <t>CAPSLAB</t>
        </is>
      </c>
      <c r="I114" s="156" t="inlineStr">
        <is>
          <t>Gorra CAPSLAB Dragon Ball Z</t>
        </is>
      </c>
      <c r="J114" s="156" t="inlineStr">
        <is>
          <t>Accesorios</t>
        </is>
      </c>
      <c r="K114" s="156" t="inlineStr">
        <is>
          <t>Gorras</t>
        </is>
      </c>
      <c r="L114" s="156" t="inlineStr">
        <is>
          <t>Unisex</t>
        </is>
      </c>
      <c r="M114" s="156" t="inlineStr">
        <is>
          <t>Dragon Ball Z</t>
        </is>
      </c>
      <c r="N114" s="156" t="n"/>
      <c r="O114" s="156" t="n"/>
      <c r="P114" s="156" t="n"/>
      <c r="Q114" s="156" t="n"/>
      <c r="R114" s="156" t="n"/>
      <c r="S114" s="156" t="inlineStr">
        <is>
          <t>Algodón / Poliéster</t>
        </is>
      </c>
      <c r="T114" s="156" t="inlineStr">
        <is>
          <t>Gorra de la marca CAPSLAB bajo licencia oficial Dragon Ball Z. Talla única ajustable. Estilo CL/DBZ3/1/SAY1.</t>
        </is>
      </c>
      <c r="U114" s="156" t="n"/>
      <c r="V114" s="156" t="inlineStr">
        <is>
          <t>PZS</t>
        </is>
      </c>
      <c r="W114" s="51" t="inlineStr">
        <is>
          <t>53102516</t>
        </is>
      </c>
      <c r="X114" s="156" t="inlineStr">
        <is>
          <t>https://i.ibb.co/KVJtwSX/CLDBZ31-SAY1.jpg</t>
        </is>
      </c>
      <c r="Y114" s="54" t="n"/>
      <c r="Z114" s="54" t="n">
        <v>699</v>
      </c>
      <c r="AA114" s="55">
        <f>IF(AND(A114="", B114="", E114=""), "", IF(AB114="", "Válido", IF((LEN(AB114)-LEN(SUBSTITUTE(AB114,"; ","")))/2+1&gt;(LEN(AB114)-LEN(SUBSTITUTE(AB114,"[Aviso]","")))/7, "Con Incidencias", "Válido")))</f>
        <v/>
      </c>
      <c r="AB114" s="56">
        <f>IF(AND(A114="", B114="", E114=""), "", TEXTJOIN("; ", TRUE, IF(OR(TRIM(A114&amp;"")="", ISNUMBER(SEARCH("FALTA", A114))), "UPC faltante/inválido", ""), IF(AND(A114&lt;&gt;"", IFERROR(_xlfn.XMATCH(A114,$A$2:$A$370,0,1)&lt;&gt;_xlfn.XMATCH(A114,$A$2:$A$370,0,-1),FALSE)), "Código de barras duplicado", ""), IF(AND(E114&lt;&gt;"", COUNTIF($E$2:$E$370, E114)&gt;1), "SKU duplicado", ""), IF(OR(J114="", J114=""), "[Aviso] División no capturada ()", IF(ISNA(MATCH(J114, Criterios!$A$123:$A$126, 0)), "División no válida", "")), IF(OR(K114="", K114=""), "[Aviso] Categoría no capturada ()", IF(ISNA(MATCH(K114, Criterios!$A$81:$A$120, 0)), "Categoría no válida", IF(AND(J114&lt;&gt;"", J114&lt;&gt;"", J114&lt;&gt;VLOOKUP(K114, Criterios!$A$81:$B$120, 2, FALSE)), "División no coincide con Categoría", ""))), IF(OR(L114="", L114=""), "[Aviso] Género no capturado ()", IF(ISNA(MATCH(L114, Criterios!$B$123:$B$127, 0)), "Género no válido", "")), IF(OR(N114="", N114=""), "[Aviso] Temporada no capturada ()", IF(ISNA(MATCH(N114, Criterios!$C$123:$C$128, 0)), "Temporada no válida", "")), IF(OR(O114="", O114=""), "[Aviso] Ciclo de vida no capturado ()", IF(ISNA(MATCH(O114, Criterios!$D$123:$D$124, 0)), "Ciclo de vida no válido", ""))))</f>
        <v/>
      </c>
      <c r="AC114" s="56" t="n"/>
      <c r="AD114" s="51" t="n">
        <v>1</v>
      </c>
      <c r="AE114" s="156" t="inlineStr">
        <is>
          <t>CL Muestras (1)</t>
        </is>
      </c>
      <c r="AF114" s="51" t="n">
        <v>1</v>
      </c>
      <c r="AG114" s="156" t="inlineStr">
        <is>
          <t>Nuevo – NetSuite con existencia</t>
        </is>
      </c>
      <c r="AH114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14" s="156" t="inlineStr">
        <is>
          <t>No</t>
        </is>
      </c>
      <c r="AJ114" s="156" t="n"/>
      <c r="AK114" s="155" t="inlineStr">
        <is>
          <t>G1522ProductosTodosloscamposSandboxResults894.xlsx: fila 47765 [X]; G1522_Extraccion_Articulos_NetSuite_2026-09-30.xlsx: fila 30330 [Z]</t>
        </is>
      </c>
      <c r="AL114" s="58" t="n"/>
      <c r="AM114" s="58" t="n"/>
      <c r="AN114" s="155" t="n"/>
      <c r="AO114" s="59" t="n"/>
      <c r="AP114" s="59" t="n"/>
      <c r="AQ114" s="59" t="n"/>
      <c r="AR114" s="155" t="n"/>
    </row>
    <row r="115">
      <c r="A115" s="50" t="inlineStr">
        <is>
          <t>3614000884767</t>
        </is>
      </c>
      <c r="B115" s="51" t="inlineStr">
        <is>
          <t>57366</t>
        </is>
      </c>
      <c r="C115" s="156" t="inlineStr">
        <is>
          <t>CAPSLAB</t>
        </is>
      </c>
      <c r="D115" s="156" t="inlineStr">
        <is>
          <t>CL/DBZ3/1/SAY3</t>
        </is>
      </c>
      <c r="E115" s="156" t="inlineStr">
        <is>
          <t>CL/DBZ3/1/SAY3-UNI</t>
        </is>
      </c>
      <c r="F115" s="156" t="inlineStr">
        <is>
          <t>Talla única</t>
        </is>
      </c>
      <c r="G115" s="156" t="inlineStr">
        <is>
          <t>One Size</t>
        </is>
      </c>
      <c r="H115" s="156" t="inlineStr">
        <is>
          <t>CAPSLAB</t>
        </is>
      </c>
      <c r="I115" s="156" t="inlineStr">
        <is>
          <t>Gorra CAPSLAB Dragon Ball Z Azul</t>
        </is>
      </c>
      <c r="J115" s="156" t="inlineStr">
        <is>
          <t>Accesorios</t>
        </is>
      </c>
      <c r="K115" s="156" t="inlineStr">
        <is>
          <t>Gorras</t>
        </is>
      </c>
      <c r="L115" s="156" t="inlineStr">
        <is>
          <t>Unisex</t>
        </is>
      </c>
      <c r="M115" s="156" t="inlineStr">
        <is>
          <t>Dragon Ball Z</t>
        </is>
      </c>
      <c r="N115" s="156" t="n"/>
      <c r="O115" s="156" t="n"/>
      <c r="P115" s="156" t="inlineStr">
        <is>
          <t>Azul</t>
        </is>
      </c>
      <c r="Q115" s="156" t="n"/>
      <c r="R115" s="156" t="n"/>
      <c r="S115" s="156" t="inlineStr">
        <is>
          <t>Algodón / Poliéster</t>
        </is>
      </c>
      <c r="T115" s="156" t="inlineStr">
        <is>
          <t>Gorra de la marca CAPSLAB bajo licencia oficial Dragon Ball Z. Talla única ajustable. Estilo CL/DBZ3/1/SAY3.</t>
        </is>
      </c>
      <c r="U115" s="156" t="n"/>
      <c r="V115" s="156" t="inlineStr">
        <is>
          <t>PZS</t>
        </is>
      </c>
      <c r="W115" s="51" t="inlineStr">
        <is>
          <t>53102516</t>
        </is>
      </c>
      <c r="X115" s="156" t="inlineStr">
        <is>
          <t>https://7913364.app.netsuite.com/core/media/media.nl?id=188230&amp;c=7913364&amp;h=SsFqaC3isOrpddMcErJMkGT7SQtJCHDgIL5zyJ1GipRhmAFG</t>
        </is>
      </c>
      <c r="Y115" s="54" t="n">
        <v>8.5</v>
      </c>
      <c r="Z115" s="54" t="n">
        <v>699</v>
      </c>
      <c r="AA115" s="55">
        <f>IF(AND(A115="", B115="", E115=""), "", IF(AB115="", "Válido", IF((LEN(AB115)-LEN(SUBSTITUTE(AB115,"; ","")))/2+1&gt;(LEN(AB115)-LEN(SUBSTITUTE(AB115,"[Aviso]","")))/7, "Con Incidencias", "Válido")))</f>
        <v/>
      </c>
      <c r="AB115" s="56">
        <f>IF(AND(A115="", B115="", E115=""), "", TEXTJOIN("; ", TRUE, IF(OR(TRIM(A115&amp;"")="", ISNUMBER(SEARCH("FALTA", A115))), "UPC faltante/inválido", ""), IF(AND(A115&lt;&gt;"", IFERROR(_xlfn.XMATCH(A115,$A$2:$A$370,0,1)&lt;&gt;_xlfn.XMATCH(A115,$A$2:$A$370,0,-1),FALSE)), "Código de barras duplicado", ""), IF(AND(E115&lt;&gt;"", COUNTIF($E$2:$E$370, E115)&gt;1), "SKU duplicado", ""), IF(OR(J115="", J115=""), "[Aviso] División no capturada ()", IF(ISNA(MATCH(J115, Criterios!$A$123:$A$126, 0)), "División no válida", "")), IF(OR(K115="", K115=""), "[Aviso] Categoría no capturada ()", IF(ISNA(MATCH(K115, Criterios!$A$81:$A$120, 0)), "Categoría no válida", IF(AND(J115&lt;&gt;"", J115&lt;&gt;"", J115&lt;&gt;VLOOKUP(K115, Criterios!$A$81:$B$120, 2, FALSE)), "División no coincide con Categoría", ""))), IF(OR(L115="", L115=""), "[Aviso] Género no capturado ()", IF(ISNA(MATCH(L115, Criterios!$B$123:$B$127, 0)), "Género no válido", "")), IF(OR(N115="", N115=""), "[Aviso] Temporada no capturada ()", IF(ISNA(MATCH(N115, Criterios!$C$123:$C$128, 0)), "Temporada no válida", "")), IF(OR(O115="", O115=""), "[Aviso] Ciclo de vida no capturado ()", IF(ISNA(MATCH(O115, Criterios!$D$123:$D$124, 0)), "Ciclo de vida no válido", ""))))</f>
        <v/>
      </c>
      <c r="AC115" s="56" t="n"/>
      <c r="AD115" s="51" t="n">
        <v>0</v>
      </c>
      <c r="AE115" s="156" t="n"/>
      <c r="AF115" s="51" t="n">
        <v>0</v>
      </c>
      <c r="AG115" s="156" t="inlineStr">
        <is>
          <t>Nuevo – NetSuite sin existencia</t>
        </is>
      </c>
      <c r="AH11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5" s="156" t="inlineStr">
        <is>
          <t>No</t>
        </is>
      </c>
      <c r="AJ115" s="156" t="n"/>
      <c r="AK115" s="155" t="inlineStr">
        <is>
          <t>G1522ProductosTodosloscamposSandboxResults894.xlsx: fila 47767 [Y]; G1522_Extraccion_Articulos_NetSuite_2026-09-30.xlsx: fila 20749 [Z]</t>
        </is>
      </c>
      <c r="AL115" s="58" t="n">
        <v>8.5</v>
      </c>
      <c r="AM115" s="58" t="n"/>
      <c r="AN115" s="155" t="n"/>
      <c r="AO115" s="59" t="n"/>
      <c r="AP115" s="59" t="n"/>
      <c r="AQ115" s="59" t="n"/>
      <c r="AR115" s="155" t="n"/>
    </row>
    <row r="116">
      <c r="A116" s="50" t="inlineStr">
        <is>
          <t>3614000885931</t>
        </is>
      </c>
      <c r="B116" s="51" t="inlineStr">
        <is>
          <t>57367</t>
        </is>
      </c>
      <c r="C116" s="156" t="inlineStr">
        <is>
          <t>CAPSLAB</t>
        </is>
      </c>
      <c r="D116" s="156" t="inlineStr">
        <is>
          <t>CL/DBZ3/1/SHEN3</t>
        </is>
      </c>
      <c r="E116" s="156" t="inlineStr">
        <is>
          <t>CL/DBZ3/1/SHEN3-UNI</t>
        </is>
      </c>
      <c r="F116" s="156" t="inlineStr">
        <is>
          <t>Talla única</t>
        </is>
      </c>
      <c r="G116" s="156" t="inlineStr">
        <is>
          <t>One Size</t>
        </is>
      </c>
      <c r="H116" s="156" t="inlineStr">
        <is>
          <t>CAPSLAB</t>
        </is>
      </c>
      <c r="I116" s="156" t="inlineStr">
        <is>
          <t>Gorra CAPSLAB Dragon Ball Z Negro</t>
        </is>
      </c>
      <c r="J116" s="156" t="inlineStr">
        <is>
          <t>Accesorios</t>
        </is>
      </c>
      <c r="K116" s="156" t="inlineStr">
        <is>
          <t>Gorras</t>
        </is>
      </c>
      <c r="L116" s="156" t="inlineStr">
        <is>
          <t>Unisex</t>
        </is>
      </c>
      <c r="M116" s="156" t="inlineStr">
        <is>
          <t>Dragon Ball Z</t>
        </is>
      </c>
      <c r="N116" s="156" t="n"/>
      <c r="O116" s="156" t="n"/>
      <c r="P116" s="156" t="inlineStr">
        <is>
          <t>Negro</t>
        </is>
      </c>
      <c r="Q116" s="156" t="n"/>
      <c r="R116" s="156" t="n"/>
      <c r="S116" s="156" t="inlineStr">
        <is>
          <t>Algodón / Poliéster</t>
        </is>
      </c>
      <c r="T116" s="156" t="inlineStr">
        <is>
          <t>Gorra de la marca CAPSLAB bajo licencia oficial Dragon Ball Z. Talla única ajustable. Estilo CL/DBZ3/1/SHEN3.</t>
        </is>
      </c>
      <c r="U116" s="156" t="n"/>
      <c r="V116" s="156" t="inlineStr">
        <is>
          <t>PZS</t>
        </is>
      </c>
      <c r="W116" s="51" t="inlineStr">
        <is>
          <t>53102516</t>
        </is>
      </c>
      <c r="X116" s="156" t="inlineStr">
        <is>
          <t>https://7913364.app.netsuite.com/core/media/media.nl?id=188235&amp;c=7913364&amp;h=CwqsI2yBWSLT_vnHbj6391coSEIJl4U28mZ068CuFXhJpsDA</t>
        </is>
      </c>
      <c r="Y116" s="54" t="n">
        <v>8.5</v>
      </c>
      <c r="Z116" s="54" t="n">
        <v>699</v>
      </c>
      <c r="AA116" s="55">
        <f>IF(AND(A116="", B116="", E116=""), "", IF(AB116="", "Válido", IF((LEN(AB116)-LEN(SUBSTITUTE(AB116,"; ","")))/2+1&gt;(LEN(AB116)-LEN(SUBSTITUTE(AB116,"[Aviso]","")))/7, "Con Incidencias", "Válido")))</f>
        <v/>
      </c>
      <c r="AB116" s="56">
        <f>IF(AND(A116="", B116="", E116=""), "", TEXTJOIN("; ", TRUE, IF(OR(TRIM(A116&amp;"")="", ISNUMBER(SEARCH("FALTA", A116))), "UPC faltante/inválido", ""), IF(AND(A116&lt;&gt;"", IFERROR(_xlfn.XMATCH(A116,$A$2:$A$370,0,1)&lt;&gt;_xlfn.XMATCH(A116,$A$2:$A$370,0,-1),FALSE)), "Código de barras duplicado", ""), IF(AND(E116&lt;&gt;"", COUNTIF($E$2:$E$370, E116)&gt;1), "SKU duplicado", ""), IF(OR(J116="", J116=""), "[Aviso] División no capturada ()", IF(ISNA(MATCH(J116, Criterios!$A$123:$A$126, 0)), "División no válida", "")), IF(OR(K116="", K116=""), "[Aviso] Categoría no capturada ()", IF(ISNA(MATCH(K116, Criterios!$A$81:$A$120, 0)), "Categoría no válida", IF(AND(J116&lt;&gt;"", J116&lt;&gt;"", J116&lt;&gt;VLOOKUP(K116, Criterios!$A$81:$B$120, 2, FALSE)), "División no coincide con Categoría", ""))), IF(OR(L116="", L116=""), "[Aviso] Género no capturado ()", IF(ISNA(MATCH(L116, Criterios!$B$123:$B$127, 0)), "Género no válido", "")), IF(OR(N116="", N116=""), "[Aviso] Temporada no capturada ()", IF(ISNA(MATCH(N116, Criterios!$C$123:$C$128, 0)), "Temporada no válida", "")), IF(OR(O116="", O116=""), "[Aviso] Ciclo de vida no capturado ()", IF(ISNA(MATCH(O116, Criterios!$D$123:$D$124, 0)), "Ciclo de vida no válido", ""))))</f>
        <v/>
      </c>
      <c r="AC116" s="56" t="n"/>
      <c r="AD116" s="51" t="n">
        <v>0</v>
      </c>
      <c r="AE116" s="156" t="n"/>
      <c r="AF116" s="51" t="n">
        <v>0</v>
      </c>
      <c r="AG116" s="156" t="inlineStr">
        <is>
          <t>Nuevo – NetSuite sin existencia</t>
        </is>
      </c>
      <c r="AH116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6" s="156" t="inlineStr">
        <is>
          <t>No</t>
        </is>
      </c>
      <c r="AJ116" s="156" t="n"/>
      <c r="AK116" s="155" t="inlineStr">
        <is>
          <t>G1522ProductosTodosloscamposSandboxResults894.xlsx: fila 47769 [Y]; G1522_Extraccion_Articulos_NetSuite_2026-09-30.xlsx: fila 20750 [Z]</t>
        </is>
      </c>
      <c r="AL116" s="58" t="n">
        <v>8.5</v>
      </c>
      <c r="AM116" s="58" t="n"/>
      <c r="AN116" s="155" t="n"/>
      <c r="AO116" s="59" t="n"/>
      <c r="AP116" s="59" t="n"/>
      <c r="AQ116" s="59" t="n"/>
      <c r="AR116" s="155" t="n"/>
    </row>
    <row r="117">
      <c r="A117" s="50" t="inlineStr">
        <is>
          <t>3614000980247</t>
        </is>
      </c>
      <c r="B117" s="51" t="inlineStr">
        <is>
          <t>57368</t>
        </is>
      </c>
      <c r="C117" s="156" t="inlineStr">
        <is>
          <t>CAPSLAB</t>
        </is>
      </c>
      <c r="D117" s="156" t="inlineStr">
        <is>
          <t>CL/DBZ4/1/COR</t>
        </is>
      </c>
      <c r="E117" s="156" t="inlineStr">
        <is>
          <t>CL/DBZ4/1/COR-UNI</t>
        </is>
      </c>
      <c r="F117" s="156" t="inlineStr">
        <is>
          <t>Talla única</t>
        </is>
      </c>
      <c r="G117" s="156" t="inlineStr">
        <is>
          <t>One Size</t>
        </is>
      </c>
      <c r="H117" s="156" t="inlineStr">
        <is>
          <t>CAPSLAB</t>
        </is>
      </c>
      <c r="I117" s="156" t="inlineStr">
        <is>
          <t>Gorra CAPSLAB Dragon Ball Z Blanco</t>
        </is>
      </c>
      <c r="J117" s="156" t="inlineStr">
        <is>
          <t>Accesorios</t>
        </is>
      </c>
      <c r="K117" s="156" t="inlineStr">
        <is>
          <t>Gorras</t>
        </is>
      </c>
      <c r="L117" s="156" t="inlineStr">
        <is>
          <t>Unisex</t>
        </is>
      </c>
      <c r="M117" s="156" t="inlineStr">
        <is>
          <t>Dragon Ball Z</t>
        </is>
      </c>
      <c r="N117" s="156" t="n"/>
      <c r="O117" s="156" t="n"/>
      <c r="P117" s="156" t="inlineStr">
        <is>
          <t>Blanco</t>
        </is>
      </c>
      <c r="Q117" s="156" t="n"/>
      <c r="R117" s="156" t="n"/>
      <c r="S117" s="156" t="inlineStr">
        <is>
          <t>Algodón / Poliéster</t>
        </is>
      </c>
      <c r="T117" s="156" t="inlineStr">
        <is>
          <t>Gorra de la marca CAPSLAB bajo licencia oficial Dragon Ball Z. Talla única ajustable. Estilo CL/DBZ4/1/COR.</t>
        </is>
      </c>
      <c r="U117" s="156" t="n"/>
      <c r="V117" s="156" t="inlineStr">
        <is>
          <t>PZS</t>
        </is>
      </c>
      <c r="W117" s="51" t="inlineStr">
        <is>
          <t>53102516</t>
        </is>
      </c>
      <c r="X117" s="156" t="inlineStr">
        <is>
          <t>https://7913364.app.netsuite.com/core/media/media.nl?id=188238&amp;c=7913364&amp;h=dQA-ujuxCtkUpGbhPENw0QJrmQAlK-zoIvYYoX5n8H8cnSRr</t>
        </is>
      </c>
      <c r="Y117" s="54" t="n">
        <v>8.5</v>
      </c>
      <c r="Z117" s="54" t="n">
        <v>799</v>
      </c>
      <c r="AA117" s="55">
        <f>IF(AND(A117="", B117="", E117=""), "", IF(AB117="", "Válido", IF((LEN(AB117)-LEN(SUBSTITUTE(AB117,"; ","")))/2+1&gt;(LEN(AB117)-LEN(SUBSTITUTE(AB117,"[Aviso]","")))/7, "Con Incidencias", "Válido")))</f>
        <v/>
      </c>
      <c r="AB117" s="56">
        <f>IF(AND(A117="", B117="", E117=""), "", TEXTJOIN("; ", TRUE, IF(OR(TRIM(A117&amp;"")="", ISNUMBER(SEARCH("FALTA", A117))), "UPC faltante/inválido", ""), IF(AND(A117&lt;&gt;"", IFERROR(_xlfn.XMATCH(A117,$A$2:$A$370,0,1)&lt;&gt;_xlfn.XMATCH(A117,$A$2:$A$370,0,-1),FALSE)), "Código de barras duplicado", ""), IF(AND(E117&lt;&gt;"", COUNTIF($E$2:$E$370, E117)&gt;1), "SKU duplicado", ""), IF(OR(J117="", J117=""), "[Aviso] División no capturada ()", IF(ISNA(MATCH(J117, Criterios!$A$123:$A$126, 0)), "División no válida", "")), IF(OR(K117="", K117=""), "[Aviso] Categoría no capturada ()", IF(ISNA(MATCH(K117, Criterios!$A$81:$A$120, 0)), "Categoría no válida", IF(AND(J117&lt;&gt;"", J117&lt;&gt;"", J117&lt;&gt;VLOOKUP(K117, Criterios!$A$81:$B$120, 2, FALSE)), "División no coincide con Categoría", ""))), IF(OR(L117="", L117=""), "[Aviso] Género no capturado ()", IF(ISNA(MATCH(L117, Criterios!$B$123:$B$127, 0)), "Género no válido", "")), IF(OR(N117="", N117=""), "[Aviso] Temporada no capturada ()", IF(ISNA(MATCH(N117, Criterios!$C$123:$C$128, 0)), "Temporada no válida", "")), IF(OR(O117="", O117=""), "[Aviso] Ciclo de vida no capturado ()", IF(ISNA(MATCH(O117, Criterios!$D$123:$D$124, 0)), "Ciclo de vida no válido", ""))))</f>
        <v/>
      </c>
      <c r="AC117" s="56" t="n"/>
      <c r="AD117" s="51" t="n">
        <v>1</v>
      </c>
      <c r="AE117" s="156" t="inlineStr">
        <is>
          <t>CL Muestras (1)</t>
        </is>
      </c>
      <c r="AF117" s="51" t="n">
        <v>1</v>
      </c>
      <c r="AG117" s="156" t="inlineStr">
        <is>
          <t>Nuevo – NetSuite con existencia</t>
        </is>
      </c>
      <c r="AH11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7" s="156" t="inlineStr">
        <is>
          <t>No</t>
        </is>
      </c>
      <c r="AJ117" s="156" t="n"/>
      <c r="AK117" s="155" t="inlineStr">
        <is>
          <t>G1522ProductosTodosloscamposSandboxResults894.xlsx: fila 47771 [Y]; G1522_Extraccion_Articulos_NetSuite_2026-09-30.xlsx: fila 20751 [Z]</t>
        </is>
      </c>
      <c r="AL117" s="58" t="n">
        <v>8.5</v>
      </c>
      <c r="AM117" s="58" t="n"/>
      <c r="AN117" s="155" t="n"/>
      <c r="AO117" s="59" t="n"/>
      <c r="AP117" s="59" t="n"/>
      <c r="AQ117" s="59" t="n"/>
      <c r="AR117" s="155" t="n"/>
    </row>
    <row r="118">
      <c r="A118" s="50" t="inlineStr">
        <is>
          <t>3614001583362</t>
        </is>
      </c>
      <c r="B118" s="51" t="inlineStr">
        <is>
          <t>57450</t>
        </is>
      </c>
      <c r="C118" s="156" t="inlineStr">
        <is>
          <t>CAPSLAB</t>
        </is>
      </c>
      <c r="D118" s="156" t="inlineStr">
        <is>
          <t>CL/DBZ6/1/CAS/FRI2</t>
        </is>
      </c>
      <c r="E118" s="156" t="inlineStr">
        <is>
          <t>CL/DBZ6/1/CAS/FRI2-uNI</t>
        </is>
      </c>
      <c r="F118" s="156" t="inlineStr">
        <is>
          <t>Talla única</t>
        </is>
      </c>
      <c r="G118" s="156" t="inlineStr">
        <is>
          <t>One Size</t>
        </is>
      </c>
      <c r="H118" s="156" t="inlineStr">
        <is>
          <t>CAPSLAB</t>
        </is>
      </c>
      <c r="I118" s="156" t="inlineStr">
        <is>
          <t>Gorra trucker CAPSLAB Dragon Ball Z Morado</t>
        </is>
      </c>
      <c r="J118" s="156" t="inlineStr">
        <is>
          <t>Accesorios</t>
        </is>
      </c>
      <c r="K118" s="156" t="inlineStr">
        <is>
          <t>Gorras</t>
        </is>
      </c>
      <c r="L118" s="156" t="inlineStr">
        <is>
          <t>Unisex</t>
        </is>
      </c>
      <c r="M118" s="156" t="inlineStr">
        <is>
          <t>Dragon Ball Z</t>
        </is>
      </c>
      <c r="N118" s="156" t="n"/>
      <c r="O118" s="156" t="n"/>
      <c r="P118" s="156" t="inlineStr">
        <is>
          <t>Morado</t>
        </is>
      </c>
      <c r="Q118" s="156" t="n"/>
      <c r="R118" s="156" t="n"/>
      <c r="S118" s="156" t="inlineStr">
        <is>
          <t>Algodón / Poliéster</t>
        </is>
      </c>
      <c r="T118" s="156" t="inlineStr">
        <is>
          <t>Gorra trucker de la marca CAPSLAB bajo licencia oficial Dragon Ball Z. Talla única ajustable. Estilo CL/DBZ6/1/CAS/FRI2.</t>
        </is>
      </c>
      <c r="U118" s="156" t="n"/>
      <c r="V118" s="156" t="inlineStr">
        <is>
          <t>PZS</t>
        </is>
      </c>
      <c r="W118" s="51" t="inlineStr">
        <is>
          <t>53102516</t>
        </is>
      </c>
      <c r="X118" s="156" t="inlineStr">
        <is>
          <t>https://7913364.app.netsuite.com/core/media/media.nl?id=188358&amp;c=7913364&amp;h=gVB8S992gUJSM1e2vgxsiRryCJGIq1acB0wnu_VKYdxBxyev</t>
        </is>
      </c>
      <c r="Y118" s="54" t="n">
        <v>8.5</v>
      </c>
      <c r="Z118" s="54" t="n">
        <v>699</v>
      </c>
      <c r="AA118" s="55">
        <f>IF(AND(A118="", B118="", E118=""), "", IF(AB118="", "Válido", IF((LEN(AB118)-LEN(SUBSTITUTE(AB118,"; ","")))/2+1&gt;(LEN(AB118)-LEN(SUBSTITUTE(AB118,"[Aviso]","")))/7, "Con Incidencias", "Válido")))</f>
        <v/>
      </c>
      <c r="AB118" s="56">
        <f>IF(AND(A118="", B118="", E118=""), "", TEXTJOIN("; ", TRUE, IF(OR(TRIM(A118&amp;"")="", ISNUMBER(SEARCH("FALTA", A118))), "UPC faltante/inválido", ""), IF(AND(A118&lt;&gt;"", IFERROR(_xlfn.XMATCH(A118,$A$2:$A$370,0,1)&lt;&gt;_xlfn.XMATCH(A118,$A$2:$A$370,0,-1),FALSE)), "Código de barras duplicado", ""), IF(AND(E118&lt;&gt;"", COUNTIF($E$2:$E$370, E118)&gt;1), "SKU duplicado", ""), IF(OR(J118="", J118=""), "[Aviso] División no capturada ()", IF(ISNA(MATCH(J118, Criterios!$A$123:$A$126, 0)), "División no válida", "")), IF(OR(K118="", K118=""), "[Aviso] Categoría no capturada ()", IF(ISNA(MATCH(K118, Criterios!$A$81:$A$120, 0)), "Categoría no válida", IF(AND(J118&lt;&gt;"", J118&lt;&gt;"", J118&lt;&gt;VLOOKUP(K118, Criterios!$A$81:$B$120, 2, FALSE)), "División no coincide con Categoría", ""))), IF(OR(L118="", L118=""), "[Aviso] Género no capturado ()", IF(ISNA(MATCH(L118, Criterios!$B$123:$B$127, 0)), "Género no válido", "")), IF(OR(N118="", N118=""), "[Aviso] Temporada no capturada ()", IF(ISNA(MATCH(N118, Criterios!$C$123:$C$128, 0)), "Temporada no válida", "")), IF(OR(O118="", O118=""), "[Aviso] Ciclo de vida no capturado ()", IF(ISNA(MATCH(O118, Criterios!$D$123:$D$124, 0)), "Ciclo de vida no válido", ""))))</f>
        <v/>
      </c>
      <c r="AC118" s="56" t="n"/>
      <c r="AD118" s="51" t="n">
        <v>60</v>
      </c>
      <c r="AE118" s="156" t="inlineStr">
        <is>
          <t>CL POS (4); Web (1); CAPSLAB Warehouse (26); CL Muestras (3)</t>
        </is>
      </c>
      <c r="AF118" s="51" t="n">
        <v>60</v>
      </c>
      <c r="AG118" s="156" t="inlineStr">
        <is>
          <t>Nuevo – NetSuite con existencia</t>
        </is>
      </c>
      <c r="AH118" s="156" t="inlineStr">
        <is>
          <t>Composición CAPSLAB varía por modelo (50/50, 40/60 o 100% poliéster): validar etiqueta; Físico total NetSuite 60 ≠ suma por ubicación 34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8" s="156" t="inlineStr">
        <is>
          <t>No</t>
        </is>
      </c>
      <c r="AJ118" s="156" t="n"/>
      <c r="AK118" s="155" t="inlineStr">
        <is>
          <t>G1522ProductosTodosloscamposSandboxResults894.xlsx: fila 47773 [Y]; G1522_Extraccion_Articulos_NetSuite_2026-09-30.xlsx: fila 20832 [Z]</t>
        </is>
      </c>
      <c r="AL118" s="58" t="n">
        <v>8.5</v>
      </c>
      <c r="AM118" s="58" t="n"/>
      <c r="AN118" s="155" t="n"/>
      <c r="AO118" s="59" t="n"/>
      <c r="AP118" s="59" t="n"/>
      <c r="AQ118" s="59" t="n"/>
      <c r="AR118" s="155" t="n"/>
    </row>
    <row r="119">
      <c r="A119" s="50" t="inlineStr">
        <is>
          <t>3614001583409</t>
        </is>
      </c>
      <c r="B119" s="51" t="inlineStr">
        <is>
          <t>57459</t>
        </is>
      </c>
      <c r="C119" s="156" t="inlineStr">
        <is>
          <t>CAPSLAB</t>
        </is>
      </c>
      <c r="D119" s="156" t="inlineStr">
        <is>
          <t>CL/DBZ6/1/CAS/GOH1</t>
        </is>
      </c>
      <c r="E119" s="156" t="inlineStr">
        <is>
          <t>CL/DBZ6/1/CAS/GOH1-UNI</t>
        </is>
      </c>
      <c r="F119" s="156" t="inlineStr">
        <is>
          <t>Talla única</t>
        </is>
      </c>
      <c r="G119" s="156" t="inlineStr">
        <is>
          <t>One Size</t>
        </is>
      </c>
      <c r="H119" s="156" t="inlineStr">
        <is>
          <t>CAPSLAB</t>
        </is>
      </c>
      <c r="I119" s="156" t="inlineStr">
        <is>
          <t>Gorra trucker CAPSLAB Dragon Ball Z Gohan Negro</t>
        </is>
      </c>
      <c r="J119" s="156" t="inlineStr">
        <is>
          <t>Accesorios</t>
        </is>
      </c>
      <c r="K119" s="156" t="inlineStr">
        <is>
          <t>Gorras</t>
        </is>
      </c>
      <c r="L119" s="156" t="inlineStr">
        <is>
          <t>Unisex</t>
        </is>
      </c>
      <c r="M119" s="156" t="inlineStr">
        <is>
          <t>Dragon Ball Z</t>
        </is>
      </c>
      <c r="N119" s="156" t="n"/>
      <c r="O119" s="156" t="n"/>
      <c r="P119" s="156" t="inlineStr">
        <is>
          <t>Negro</t>
        </is>
      </c>
      <c r="Q119" s="156" t="n"/>
      <c r="R119" s="156" t="n"/>
      <c r="S119" s="156" t="inlineStr">
        <is>
          <t>Algodón / Poliéster</t>
        </is>
      </c>
      <c r="T119" s="156" t="inlineStr">
        <is>
          <t>Gorra trucker de la marca CAPSLAB bajo licencia oficial Dragon Ball Z, personaje Gohan. Talla única ajustable. Estilo CL/DBZ6/1/CAS/GOH1.</t>
        </is>
      </c>
      <c r="U119" s="156" t="n"/>
      <c r="V119" s="156" t="inlineStr">
        <is>
          <t>PZS</t>
        </is>
      </c>
      <c r="W119" s="51" t="inlineStr">
        <is>
          <t>53102516</t>
        </is>
      </c>
      <c r="X119" s="156" t="inlineStr">
        <is>
          <t>https://7913364.app.netsuite.com/core/media/media.nl?id=188367&amp;c=7913364&amp;h=6LuQiMXNYeva-Bm04BNyfQWtov1Ee3nAXEz_0ifB_yHONiCL</t>
        </is>
      </c>
      <c r="Y119" s="54" t="n">
        <v>8.5</v>
      </c>
      <c r="Z119" s="54" t="n">
        <v>699</v>
      </c>
      <c r="AA119" s="55">
        <f>IF(AND(A119="", B119="", E119=""), "", IF(AB119="", "Válido", IF((LEN(AB119)-LEN(SUBSTITUTE(AB119,"; ","")))/2+1&gt;(LEN(AB119)-LEN(SUBSTITUTE(AB119,"[Aviso]","")))/7, "Con Incidencias", "Válido")))</f>
        <v/>
      </c>
      <c r="AB119" s="56">
        <f>IF(AND(A119="", B119="", E119=""), "", TEXTJOIN("; ", TRUE, IF(OR(TRIM(A119&amp;"")="", ISNUMBER(SEARCH("FALTA", A119))), "UPC faltante/inválido", ""), IF(AND(A119&lt;&gt;"", IFERROR(_xlfn.XMATCH(A119,$A$2:$A$370,0,1)&lt;&gt;_xlfn.XMATCH(A119,$A$2:$A$370,0,-1),FALSE)), "Código de barras duplicado", ""), IF(AND(E119&lt;&gt;"", COUNTIF($E$2:$E$370, E119)&gt;1), "SKU duplicado", ""), IF(OR(J119="", J119=""), "[Aviso] División no capturada ()", IF(ISNA(MATCH(J119, Criterios!$A$123:$A$126, 0)), "División no válida", "")), IF(OR(K119="", K119=""), "[Aviso] Categoría no capturada ()", IF(ISNA(MATCH(K119, Criterios!$A$81:$A$120, 0)), "Categoría no válida", IF(AND(J119&lt;&gt;"", J119&lt;&gt;"", J119&lt;&gt;VLOOKUP(K119, Criterios!$A$81:$B$120, 2, FALSE)), "División no coincide con Categoría", ""))), IF(OR(L119="", L119=""), "[Aviso] Género no capturado ()", IF(ISNA(MATCH(L119, Criterios!$B$123:$B$127, 0)), "Género no válido", "")), IF(OR(N119="", N119=""), "[Aviso] Temporada no capturada ()", IF(ISNA(MATCH(N119, Criterios!$C$123:$C$128, 0)), "Temporada no válida", "")), IF(OR(O119="", O119=""), "[Aviso] Ciclo de vida no capturado ()", IF(ISNA(MATCH(O119, Criterios!$D$123:$D$124, 0)), "Ciclo de vida no válido", ""))))</f>
        <v/>
      </c>
      <c r="AC119" s="56" t="n"/>
      <c r="AD119" s="51" t="n">
        <v>0</v>
      </c>
      <c r="AE119" s="156" t="n"/>
      <c r="AF119" s="51" t="n">
        <v>0</v>
      </c>
      <c r="AG119" s="156" t="inlineStr">
        <is>
          <t>Nuevo – NetSuite sin existencia</t>
        </is>
      </c>
      <c r="AH11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9" s="156" t="inlineStr">
        <is>
          <t>No</t>
        </is>
      </c>
      <c r="AJ119" s="156" t="n"/>
      <c r="AK119" s="155" t="inlineStr">
        <is>
          <t>G1522ProductosTodosloscamposSandboxResults894.xlsx: fila 47775 [Y]; G1522_Extraccion_Articulos_NetSuite_2026-09-30.xlsx: fila 20841 [Z]</t>
        </is>
      </c>
      <c r="AL119" s="58" t="n">
        <v>8.5</v>
      </c>
      <c r="AM119" s="58" t="n"/>
      <c r="AN119" s="155" t="n"/>
      <c r="AO119" s="59" t="n"/>
      <c r="AP119" s="59" t="n"/>
      <c r="AQ119" s="59" t="n"/>
      <c r="AR119" s="155" t="n"/>
    </row>
    <row r="120">
      <c r="A120" s="50" t="inlineStr">
        <is>
          <t>3614001583416</t>
        </is>
      </c>
      <c r="B120" s="51" t="inlineStr">
        <is>
          <t>57443</t>
        </is>
      </c>
      <c r="C120" s="156" t="inlineStr">
        <is>
          <t>CAPSLAB</t>
        </is>
      </c>
      <c r="D120" s="156" t="inlineStr">
        <is>
          <t>CL/DBZ6/1/CAS/GOH2</t>
        </is>
      </c>
      <c r="E120" s="156" t="inlineStr">
        <is>
          <t>CL/DBZ6/1/CAS/GOH2-uNI</t>
        </is>
      </c>
      <c r="F120" s="156" t="inlineStr">
        <is>
          <t>Talla única</t>
        </is>
      </c>
      <c r="G120" s="156" t="inlineStr">
        <is>
          <t>One Size</t>
        </is>
      </c>
      <c r="H120" s="156" t="inlineStr">
        <is>
          <t>CAPSLAB</t>
        </is>
      </c>
      <c r="I120" s="156" t="inlineStr">
        <is>
          <t>Gorra trucker CAPSLAB Dragon Ball Z Gohan Blanco</t>
        </is>
      </c>
      <c r="J120" s="156" t="inlineStr">
        <is>
          <t>Accesorios</t>
        </is>
      </c>
      <c r="K120" s="156" t="inlineStr">
        <is>
          <t>Gorras</t>
        </is>
      </c>
      <c r="L120" s="156" t="inlineStr">
        <is>
          <t>Unisex</t>
        </is>
      </c>
      <c r="M120" s="156" t="inlineStr">
        <is>
          <t>Dragon Ball Z</t>
        </is>
      </c>
      <c r="N120" s="156" t="n"/>
      <c r="O120" s="156" t="n"/>
      <c r="P120" s="156" t="inlineStr">
        <is>
          <t>Blanco</t>
        </is>
      </c>
      <c r="Q120" s="156" t="n"/>
      <c r="R120" s="156" t="n"/>
      <c r="S120" s="156" t="inlineStr">
        <is>
          <t>Algodón / Poliéster</t>
        </is>
      </c>
      <c r="T120" s="156" t="inlineStr">
        <is>
          <t>Gorra trucker de la marca CAPSLAB bajo licencia oficial Dragon Ball Z, personaje Gohan. Talla única ajustable. Estilo CL/DBZ6/1/CAS/GOH2.</t>
        </is>
      </c>
      <c r="U120" s="156" t="n"/>
      <c r="V120" s="156" t="inlineStr">
        <is>
          <t>PZS</t>
        </is>
      </c>
      <c r="W120" s="51" t="inlineStr">
        <is>
          <t>53102516</t>
        </is>
      </c>
      <c r="X120" s="156" t="inlineStr">
        <is>
          <t>https://7913364.app.netsuite.com/core/media/media.nl?id=188351&amp;c=7913364&amp;h=-xVva0qPBiyI-LNCQjdv5GuuDTFWV81ZxRwJdS3s2iQYKgIS</t>
        </is>
      </c>
      <c r="Y120" s="54" t="n">
        <v>8.5</v>
      </c>
      <c r="Z120" s="54" t="n">
        <v>699</v>
      </c>
      <c r="AA120" s="55">
        <f>IF(AND(A120="", B120="", E120=""), "", IF(AB120="", "Válido", IF((LEN(AB120)-LEN(SUBSTITUTE(AB120,"; ","")))/2+1&gt;(LEN(AB120)-LEN(SUBSTITUTE(AB120,"[Aviso]","")))/7, "Con Incidencias", "Válido")))</f>
        <v/>
      </c>
      <c r="AB120" s="56">
        <f>IF(AND(A120="", B120="", E120=""), "", TEXTJOIN("; ", TRUE, IF(OR(TRIM(A120&amp;"")="", ISNUMBER(SEARCH("FALTA", A120))), "UPC faltante/inválido", ""), IF(AND(A120&lt;&gt;"", IFERROR(_xlfn.XMATCH(A120,$A$2:$A$370,0,1)&lt;&gt;_xlfn.XMATCH(A120,$A$2:$A$370,0,-1),FALSE)), "Código de barras duplicado", ""), IF(AND(E120&lt;&gt;"", COUNTIF($E$2:$E$370, E120)&gt;1), "SKU duplicado", ""), IF(OR(J120="", J120=""), "[Aviso] División no capturada ()", IF(ISNA(MATCH(J120, Criterios!$A$123:$A$126, 0)), "División no válida", "")), IF(OR(K120="", K120=""), "[Aviso] Categoría no capturada ()", IF(ISNA(MATCH(K120, Criterios!$A$81:$A$120, 0)), "Categoría no válida", IF(AND(J120&lt;&gt;"", J120&lt;&gt;"", J120&lt;&gt;VLOOKUP(K120, Criterios!$A$81:$B$120, 2, FALSE)), "División no coincide con Categoría", ""))), IF(OR(L120="", L120=""), "[Aviso] Género no capturado ()", IF(ISNA(MATCH(L120, Criterios!$B$123:$B$127, 0)), "Género no válido", "")), IF(OR(N120="", N120=""), "[Aviso] Temporada no capturada ()", IF(ISNA(MATCH(N120, Criterios!$C$123:$C$128, 0)), "Temporada no válida", "")), IF(OR(O120="", O120=""), "[Aviso] Ciclo de vida no capturado ()", IF(ISNA(MATCH(O120, Criterios!$D$123:$D$124, 0)), "Ciclo de vida no válido", ""))))</f>
        <v/>
      </c>
      <c r="AC120" s="56" t="n"/>
      <c r="AD120" s="51" t="n">
        <v>0</v>
      </c>
      <c r="AE120" s="156" t="n"/>
      <c r="AF120" s="51" t="n">
        <v>0</v>
      </c>
      <c r="AG120" s="156" t="inlineStr">
        <is>
          <t>Nuevo – NetSuite sin existencia</t>
        </is>
      </c>
      <c r="AH12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20" s="156" t="inlineStr">
        <is>
          <t>No</t>
        </is>
      </c>
      <c r="AJ120" s="156" t="n"/>
      <c r="AK120" s="155" t="inlineStr">
        <is>
          <t>G1522ProductosTodosloscamposSandboxResults894.xlsx: fila 47777 [Y]; G1522_Extraccion_Articulos_NetSuite_2026-09-30.xlsx: fila 20825 [Z]</t>
        </is>
      </c>
      <c r="AL120" s="58" t="n">
        <v>8.5</v>
      </c>
      <c r="AM120" s="58" t="n"/>
      <c r="AN120" s="155" t="n"/>
      <c r="AO120" s="59" t="n"/>
      <c r="AP120" s="59" t="n"/>
      <c r="AQ120" s="59" t="n"/>
      <c r="AR120" s="155" t="n"/>
    </row>
    <row r="121">
      <c r="A121" s="50" t="inlineStr">
        <is>
          <t>3614001552092</t>
        </is>
      </c>
      <c r="B121" s="51" t="inlineStr">
        <is>
          <t>57444</t>
        </is>
      </c>
      <c r="C121" s="156" t="inlineStr">
        <is>
          <t>CAPSLAB</t>
        </is>
      </c>
      <c r="D121" s="156" t="inlineStr">
        <is>
          <t>CL/DBZ6/1/CAS/KID1</t>
        </is>
      </c>
      <c r="E121" s="156" t="inlineStr">
        <is>
          <t>CL/DBZ6/1/CAS/KID1-uNI</t>
        </is>
      </c>
      <c r="F121" s="156" t="inlineStr">
        <is>
          <t>Talla única</t>
        </is>
      </c>
      <c r="G121" s="156" t="inlineStr">
        <is>
          <t>One Size</t>
        </is>
      </c>
      <c r="H121" s="156" t="inlineStr">
        <is>
          <t>CAPSLAB</t>
        </is>
      </c>
      <c r="I121" s="156" t="inlineStr">
        <is>
          <t>Gorra trucker CAPSLAB Dragon Ball Z Negro</t>
        </is>
      </c>
      <c r="J121" s="156" t="inlineStr">
        <is>
          <t>Accesorios</t>
        </is>
      </c>
      <c r="K121" s="156" t="inlineStr">
        <is>
          <t>Gorras</t>
        </is>
      </c>
      <c r="L121" s="156" t="inlineStr">
        <is>
          <t>Unisex</t>
        </is>
      </c>
      <c r="M121" s="156" t="inlineStr">
        <is>
          <t>Dragon Ball Z</t>
        </is>
      </c>
      <c r="N121" s="156" t="n"/>
      <c r="O121" s="156" t="n"/>
      <c r="P121" s="156" t="inlineStr">
        <is>
          <t>Negro</t>
        </is>
      </c>
      <c r="Q121" s="156" t="n"/>
      <c r="R121" s="156" t="n"/>
      <c r="S121" s="156" t="inlineStr">
        <is>
          <t>Algodón / Poliéster</t>
        </is>
      </c>
      <c r="T121" s="156" t="inlineStr">
        <is>
          <t>Gorra trucker de la marca CAPSLAB bajo licencia oficial Dragon Ball Z. Talla única ajustable. Estilo CL/DBZ6/1/CAS/KID1.</t>
        </is>
      </c>
      <c r="U121" s="156" t="n"/>
      <c r="V121" s="156" t="inlineStr">
        <is>
          <t>PZS</t>
        </is>
      </c>
      <c r="W121" s="51" t="inlineStr">
        <is>
          <t>53102516</t>
        </is>
      </c>
      <c r="X121" s="156" t="inlineStr">
        <is>
          <t>https://7913364.app.netsuite.com/core/media/media.nl?id=188352&amp;c=7913364&amp;h=jvLh0Vluf4kFVzcsP44k_j28prn4Y5Ky3BIYP3d0ALz3FSgv</t>
        </is>
      </c>
      <c r="Y121" s="54" t="n">
        <v>8.5</v>
      </c>
      <c r="Z121" s="54" t="n">
        <v>699</v>
      </c>
      <c r="AA121" s="55">
        <f>IF(AND(A121="", B121="", E121=""), "", IF(AB121="", "Válido", IF((LEN(AB121)-LEN(SUBSTITUTE(AB121,"; ","")))/2+1&gt;(LEN(AB121)-LEN(SUBSTITUTE(AB121,"[Aviso]","")))/7, "Con Incidencias", "Válido")))</f>
        <v/>
      </c>
      <c r="AB121" s="56">
        <f>IF(AND(A121="", B121="", E121=""), "", TEXTJOIN("; ", TRUE, IF(OR(TRIM(A121&amp;"")="", ISNUMBER(SEARCH("FALTA", A121))), "UPC faltante/inválido", ""), IF(AND(A121&lt;&gt;"", IFERROR(_xlfn.XMATCH(A121,$A$2:$A$370,0,1)&lt;&gt;_xlfn.XMATCH(A121,$A$2:$A$370,0,-1),FALSE)), "Código de barras duplicado", ""), IF(AND(E121&lt;&gt;"", COUNTIF($E$2:$E$370, E121)&gt;1), "SKU duplicado", ""), IF(OR(J121="", J121=""), "[Aviso] División no capturada ()", IF(ISNA(MATCH(J121, Criterios!$A$123:$A$126, 0)), "División no válida", "")), IF(OR(K121="", K121=""), "[Aviso] Categoría no capturada ()", IF(ISNA(MATCH(K121, Criterios!$A$81:$A$120, 0)), "Categoría no válida", IF(AND(J121&lt;&gt;"", J121&lt;&gt;"", J121&lt;&gt;VLOOKUP(K121, Criterios!$A$81:$B$120, 2, FALSE)), "División no coincide con Categoría", ""))), IF(OR(L121="", L121=""), "[Aviso] Género no capturado ()", IF(ISNA(MATCH(L121, Criterios!$B$123:$B$127, 0)), "Género no válido", "")), IF(OR(N121="", N121=""), "[Aviso] Temporada no capturada ()", IF(ISNA(MATCH(N121, Criterios!$C$123:$C$128, 0)), "Temporada no válida", "")), IF(OR(O121="", O121=""), "[Aviso] Ciclo de vida no capturado ()", IF(ISNA(MATCH(O121, Criterios!$D$123:$D$124, 0)), "Ciclo de vida no válido", ""))))</f>
        <v/>
      </c>
      <c r="AC121" s="56" t="n"/>
      <c r="AD121" s="51" t="n">
        <v>2</v>
      </c>
      <c r="AE121" s="156" t="inlineStr">
        <is>
          <t>CAPSLAB Warehouse (2)</t>
        </is>
      </c>
      <c r="AF121" s="51" t="n">
        <v>2</v>
      </c>
      <c r="AG121" s="156" t="inlineStr">
        <is>
          <t>Nuevo – NetSuite con existencia</t>
        </is>
      </c>
      <c r="AH121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21" s="156" t="inlineStr">
        <is>
          <t>No</t>
        </is>
      </c>
      <c r="AJ121" s="156" t="n"/>
      <c r="AK121" s="155" t="inlineStr">
        <is>
          <t>G1522ProductosTodosloscamposSandboxResults894.xlsx: fila 47779 [Y]; G1522_Extraccion_Articulos_NetSuite_2026-09-30.xlsx: fila 20826 [Z]</t>
        </is>
      </c>
      <c r="AL121" s="58" t="n">
        <v>8.5</v>
      </c>
      <c r="AM121" s="58" t="n"/>
      <c r="AN121" s="155" t="n"/>
      <c r="AO121" s="59" t="n"/>
      <c r="AP121" s="59" t="n"/>
      <c r="AQ121" s="59" t="n"/>
      <c r="AR121" s="155" t="n"/>
    </row>
    <row r="122">
      <c r="A122" s="50" t="inlineStr">
        <is>
          <t>3614001583348</t>
        </is>
      </c>
      <c r="B122" s="51" t="inlineStr">
        <is>
          <t>57445</t>
        </is>
      </c>
      <c r="C122" s="156" t="inlineStr">
        <is>
          <t>CAPSLAB</t>
        </is>
      </c>
      <c r="D122" s="156" t="inlineStr">
        <is>
          <t>CL/DBZ6/1/CAS/KID2</t>
        </is>
      </c>
      <c r="E122" s="156" t="inlineStr">
        <is>
          <t>CL/DBZ6/1/CAS/KID2-UNI</t>
        </is>
      </c>
      <c r="F122" s="156" t="inlineStr">
        <is>
          <t>Talla única</t>
        </is>
      </c>
      <c r="G122" s="156" t="inlineStr">
        <is>
          <t>One Size</t>
        </is>
      </c>
      <c r="H122" s="156" t="inlineStr">
        <is>
          <t>CAPSLAB</t>
        </is>
      </c>
      <c r="I122" s="156" t="inlineStr">
        <is>
          <t>Gorra trucker CAPSLAB Dragon Ball Z Guinda</t>
        </is>
      </c>
      <c r="J122" s="156" t="inlineStr">
        <is>
          <t>Accesorios</t>
        </is>
      </c>
      <c r="K122" s="156" t="inlineStr">
        <is>
          <t>Gorras</t>
        </is>
      </c>
      <c r="L122" s="156" t="inlineStr">
        <is>
          <t>Unisex</t>
        </is>
      </c>
      <c r="M122" s="156" t="inlineStr">
        <is>
          <t>Dragon Ball Z</t>
        </is>
      </c>
      <c r="N122" s="156" t="n"/>
      <c r="O122" s="156" t="n"/>
      <c r="P122" s="156" t="n"/>
      <c r="Q122" s="156" t="n"/>
      <c r="R122" s="156" t="n"/>
      <c r="S122" s="156" t="inlineStr">
        <is>
          <t>Algodón / Poliéster</t>
        </is>
      </c>
      <c r="T122" s="156" t="inlineStr">
        <is>
          <t>Gorra trucker de la marca CAPSLAB bajo licencia oficial Dragon Ball Z. Talla única ajustable. Estilo CL/DBZ6/1/CAS/KID2.</t>
        </is>
      </c>
      <c r="U122" s="156" t="n"/>
      <c r="V122" s="156" t="inlineStr">
        <is>
          <t>PZS</t>
        </is>
      </c>
      <c r="W122" s="51" t="inlineStr">
        <is>
          <t>53102516</t>
        </is>
      </c>
      <c r="X122" s="156" t="inlineStr">
        <is>
          <t>https://7913364.app.netsuite.com/core/media/media.nl?id=188353&amp;c=7913364&amp;h=NeLgigK4wqv4SkKykIJXDf3VbQIqC9bSoKQX7MByQ9TYqKjk</t>
        </is>
      </c>
      <c r="Y122" s="54" t="n">
        <v>8.5</v>
      </c>
      <c r="Z122" s="54" t="n">
        <v>699</v>
      </c>
      <c r="AA122" s="55">
        <f>IF(AND(A122="", B122="", E122=""), "", IF(AB122="", "Válido", IF((LEN(AB122)-LEN(SUBSTITUTE(AB122,"; ","")))/2+1&gt;(LEN(AB122)-LEN(SUBSTITUTE(AB122,"[Aviso]","")))/7, "Con Incidencias", "Válido")))</f>
        <v/>
      </c>
      <c r="AB122" s="56">
        <f>IF(AND(A122="", B122="", E122=""), "", TEXTJOIN("; ", TRUE, IF(OR(TRIM(A122&amp;"")="", ISNUMBER(SEARCH("FALTA", A122))), "UPC faltante/inválido", ""), IF(AND(A122&lt;&gt;"", IFERROR(_xlfn.XMATCH(A122,$A$2:$A$370,0,1)&lt;&gt;_xlfn.XMATCH(A122,$A$2:$A$370,0,-1),FALSE)), "Código de barras duplicado", ""), IF(AND(E122&lt;&gt;"", COUNTIF($E$2:$E$370, E122)&gt;1), "SKU duplicado", ""), IF(OR(J122="", J122=""), "[Aviso] División no capturada ()", IF(ISNA(MATCH(J122, Criterios!$A$123:$A$126, 0)), "División no válida", "")), IF(OR(K122="", K122=""), "[Aviso] Categoría no capturada ()", IF(ISNA(MATCH(K122, Criterios!$A$81:$A$120, 0)), "Categoría no válida", IF(AND(J122&lt;&gt;"", J122&lt;&gt;"", J122&lt;&gt;VLOOKUP(K122, Criterios!$A$81:$B$120, 2, FALSE)), "División no coincide con Categoría", ""))), IF(OR(L122="", L122=""), "[Aviso] Género no capturado ()", IF(ISNA(MATCH(L122, Criterios!$B$123:$B$127, 0)), "Género no válido", "")), IF(OR(N122="", N122=""), "[Aviso] Temporada no capturada ()", IF(ISNA(MATCH(N122, Criterios!$C$123:$C$128, 0)), "Temporada no válida", "")), IF(OR(O122="", O122=""), "[Aviso] Ciclo de vida no capturado ()", IF(ISNA(MATCH(O122, Criterios!$D$123:$D$124, 0)), "Ciclo de vida no válido", ""))))</f>
        <v/>
      </c>
      <c r="AC122" s="56" t="n"/>
      <c r="AD122" s="51" t="n">
        <v>8</v>
      </c>
      <c r="AE122" s="156" t="inlineStr">
        <is>
          <t>CL Muestras (1); CAPSLAB Warehouse (2); CL POS (4); Web (1)</t>
        </is>
      </c>
      <c r="AF122" s="51" t="n">
        <v>8</v>
      </c>
      <c r="AG122" s="156" t="inlineStr">
        <is>
          <t>Nuevo – NetSuite con existencia</t>
        </is>
      </c>
      <c r="AH122" s="156" t="inlineStr">
        <is>
          <t>Composición CAPSLAB varía por modelo (50/50, 40/60 o 100% poliéster): validar etiqueta; Color por validar | Revisión 29/09/2026: Marca CAPSLAB fuera de lista Criterios; Campos sin respaldo: N, O, P, U; Auditoría NetSuite 30/09/2026: llenado desde NetSuite [Z] | Homologación G1522 06/10/2026: Validación G1522: [Aviso] Precio de compra posiblemente en USD · Validador Shopify: WB: precio con IVA no termina en 9</t>
        </is>
      </c>
      <c r="AI122" s="156" t="inlineStr">
        <is>
          <t>No</t>
        </is>
      </c>
      <c r="AJ122" s="156" t="n"/>
      <c r="AK122" s="155" t="inlineStr">
        <is>
          <t>G1522ProductosTodosloscamposSandboxResults894.xlsx: fila 47781 [Y]; G1522_Extraccion_Articulos_NetSuite_2026-09-30.xlsx: fila 20827 [Z]</t>
        </is>
      </c>
      <c r="AL122" s="58" t="n">
        <v>8.5</v>
      </c>
      <c r="AM122" s="58" t="n"/>
      <c r="AN122" s="155" t="n"/>
      <c r="AO122" s="59" t="n"/>
      <c r="AP122" s="59" t="n"/>
      <c r="AQ122" s="59" t="n"/>
      <c r="AR122" s="155" t="n"/>
    </row>
    <row r="123">
      <c r="A123" s="50" t="inlineStr">
        <is>
          <t>3614001696864</t>
        </is>
      </c>
      <c r="B123" s="51" t="inlineStr">
        <is>
          <t>69601</t>
        </is>
      </c>
      <c r="C123" s="156" t="inlineStr">
        <is>
          <t>CAPSLAB</t>
        </is>
      </c>
      <c r="D123" s="156" t="inlineStr">
        <is>
          <t>CL/DBZ7/1/CT/ANG</t>
        </is>
      </c>
      <c r="E123" s="156" t="inlineStr">
        <is>
          <t>CL/DBZ7/1/CT/ANG-UNI</t>
        </is>
      </c>
      <c r="F123" s="156" t="inlineStr">
        <is>
          <t>Talla única</t>
        </is>
      </c>
      <c r="G123" s="156" t="inlineStr">
        <is>
          <t>One Size</t>
        </is>
      </c>
      <c r="H123" s="156" t="inlineStr">
        <is>
          <t>CAPSLAB</t>
        </is>
      </c>
      <c r="I123" s="156" t="inlineStr">
        <is>
          <t>Gorra trucker CAPSLAB Dragon Ball Saga</t>
        </is>
      </c>
      <c r="J123" s="156" t="inlineStr">
        <is>
          <t>Accesorios</t>
        </is>
      </c>
      <c r="K123" s="156" t="inlineStr">
        <is>
          <t>Gorras</t>
        </is>
      </c>
      <c r="L123" s="156" t="inlineStr">
        <is>
          <t>Unisex</t>
        </is>
      </c>
      <c r="M123" s="156" t="inlineStr">
        <is>
          <t>Dragon Ball Saga</t>
        </is>
      </c>
      <c r="N123" s="156" t="n"/>
      <c r="O123" s="156" t="n"/>
      <c r="P123" s="156" t="n"/>
      <c r="Q123" s="156" t="n"/>
      <c r="R123" s="156" t="n"/>
      <c r="S123" s="156" t="inlineStr">
        <is>
          <t>Algodón / Poliéster</t>
        </is>
      </c>
      <c r="T123" s="156" t="inlineStr">
        <is>
          <t>Gorra trucker de la marca CAPSLAB bajo licencia oficial Dragon Ball Saga. Talla única ajustable. Estilo CL/DBZ7/1/CT/ANG.</t>
        </is>
      </c>
      <c r="U123" s="156" t="n"/>
      <c r="V123" s="156" t="inlineStr">
        <is>
          <t>PZS</t>
        </is>
      </c>
      <c r="W123" s="51" t="inlineStr">
        <is>
          <t>53102516</t>
        </is>
      </c>
      <c r="X123" s="156" t="inlineStr">
        <is>
          <t>https://i.ibb.co/LJB2422/CLDBZ71-CTANG.jpg</t>
        </is>
      </c>
      <c r="Y123" s="54" t="n"/>
      <c r="Z123" s="54" t="n">
        <v>699</v>
      </c>
      <c r="AA123" s="55">
        <f>IF(AND(A123="", B123="", E123=""), "", IF(AB123="", "Válido", IF((LEN(AB123)-LEN(SUBSTITUTE(AB123,"; ","")))/2+1&gt;(LEN(AB123)-LEN(SUBSTITUTE(AB123,"[Aviso]","")))/7, "Con Incidencias", "Válido")))</f>
        <v/>
      </c>
      <c r="AB123" s="56">
        <f>IF(AND(A123="", B123="", E123=""), "", TEXTJOIN("; ", TRUE, IF(OR(TRIM(A123&amp;"")="", ISNUMBER(SEARCH("FALTA", A123))), "UPC faltante/inválido", ""), IF(AND(A123&lt;&gt;"", IFERROR(_xlfn.XMATCH(A123,$A$2:$A$370,0,1)&lt;&gt;_xlfn.XMATCH(A123,$A$2:$A$370,0,-1),FALSE)), "Código de barras duplicado", ""), IF(AND(E123&lt;&gt;"", COUNTIF($E$2:$E$370, E123)&gt;1), "SKU duplicado", ""), IF(OR(J123="", J123=""), "[Aviso] División no capturada ()", IF(ISNA(MATCH(J123, Criterios!$A$123:$A$126, 0)), "División no válida", "")), IF(OR(K123="", K123=""), "[Aviso] Categoría no capturada ()", IF(ISNA(MATCH(K123, Criterios!$A$81:$A$120, 0)), "Categoría no válida", IF(AND(J123&lt;&gt;"", J123&lt;&gt;"", J123&lt;&gt;VLOOKUP(K123, Criterios!$A$81:$B$120, 2, FALSE)), "División no coincide con Categoría", ""))), IF(OR(L123="", L123=""), "[Aviso] Género no capturado ()", IF(ISNA(MATCH(L123, Criterios!$B$123:$B$127, 0)), "Género no válido", "")), IF(OR(N123="", N123=""), "[Aviso] Temporada no capturada ()", IF(ISNA(MATCH(N123, Criterios!$C$123:$C$128, 0)), "Temporada no válida", "")), IF(OR(O123="", O123=""), "[Aviso] Ciclo de vida no capturado ()", IF(ISNA(MATCH(O123, Criterios!$D$123:$D$124, 0)), "Ciclo de vida no válido", ""))))</f>
        <v/>
      </c>
      <c r="AC123" s="56" t="n"/>
      <c r="AD123" s="51" t="n">
        <v>75</v>
      </c>
      <c r="AE123" s="156" t="inlineStr">
        <is>
          <t>Web (2); CL Muestras (1); CL POS (4); CAPSLAB Warehouse (37)</t>
        </is>
      </c>
      <c r="AF123" s="51" t="n">
        <v>75</v>
      </c>
      <c r="AG123" s="156" t="inlineStr">
        <is>
          <t>Nuevo – NetSuite con existencia</t>
        </is>
      </c>
      <c r="AH123" s="156" t="inlineStr">
        <is>
          <t>Composición CAPSLAB varía por modelo (50/50, 40/60 o 100% poliéster): validar etiqueta; Color por validar; Físico total NetSuite 75 ≠ suma por ubicación 44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23" s="156" t="inlineStr">
        <is>
          <t>No</t>
        </is>
      </c>
      <c r="AJ123" s="156" t="n"/>
      <c r="AK123" s="155" t="inlineStr">
        <is>
          <t>G1522ProductosTodosloscamposSandboxResults894.xlsx: fila 47783 [X]; G1522_Extraccion_Articulos_NetSuite_2026-09-30.xlsx: fila 30331 [Z]</t>
        </is>
      </c>
      <c r="AL123" s="58" t="n"/>
      <c r="AM123" s="58" t="n"/>
      <c r="AN123" s="155" t="n"/>
      <c r="AO123" s="59" t="n"/>
      <c r="AP123" s="59" t="n"/>
      <c r="AQ123" s="59" t="n"/>
      <c r="AR123" s="155" t="n"/>
    </row>
    <row r="124">
      <c r="A124" s="50" t="inlineStr">
        <is>
          <t>3614001697946</t>
        </is>
      </c>
      <c r="B124" s="51" t="inlineStr">
        <is>
          <t>69602</t>
        </is>
      </c>
      <c r="C124" s="156" t="inlineStr">
        <is>
          <t>CAPSLAB</t>
        </is>
      </c>
      <c r="D124" s="156" t="inlineStr">
        <is>
          <t>CL/DBZ7/1/CT/GBUU</t>
        </is>
      </c>
      <c r="E124" s="156" t="inlineStr">
        <is>
          <t>CL/DBZ7/1/CT/GBUU-UNI</t>
        </is>
      </c>
      <c r="F124" s="156" t="inlineStr">
        <is>
          <t>Talla única</t>
        </is>
      </c>
      <c r="G124" s="156" t="inlineStr">
        <is>
          <t>One Size</t>
        </is>
      </c>
      <c r="H124" s="156" t="inlineStr">
        <is>
          <t>CAPSLAB</t>
        </is>
      </c>
      <c r="I124" s="156" t="inlineStr">
        <is>
          <t>Gorra trucker CAPSLAB Dragon Ball Saga</t>
        </is>
      </c>
      <c r="J124" s="156" t="inlineStr">
        <is>
          <t>Accesorios</t>
        </is>
      </c>
      <c r="K124" s="156" t="inlineStr">
        <is>
          <t>Gorras</t>
        </is>
      </c>
      <c r="L124" s="156" t="inlineStr">
        <is>
          <t>Unisex</t>
        </is>
      </c>
      <c r="M124" s="156" t="inlineStr">
        <is>
          <t>Dragon Ball Saga</t>
        </is>
      </c>
      <c r="N124" s="156" t="n"/>
      <c r="O124" s="156" t="n"/>
      <c r="P124" s="156" t="n"/>
      <c r="Q124" s="156" t="n"/>
      <c r="R124" s="156" t="n"/>
      <c r="S124" s="156" t="inlineStr">
        <is>
          <t>Algodón / Poliéster</t>
        </is>
      </c>
      <c r="T124" s="156" t="inlineStr">
        <is>
          <t>Gorra trucker de la marca CAPSLAB bajo licencia oficial Dragon Ball Saga. Talla única ajustable. Estilo CL/DBZ7/1/CT/GBUU.</t>
        </is>
      </c>
      <c r="U124" s="156" t="n"/>
      <c r="V124" s="156" t="inlineStr">
        <is>
          <t>PZS</t>
        </is>
      </c>
      <c r="W124" s="51" t="inlineStr">
        <is>
          <t>53102516</t>
        </is>
      </c>
      <c r="X124" s="156" t="inlineStr">
        <is>
          <t>https://i.ibb.co/VLFY8fK/CLDBZ71-CTGBUU.jpg</t>
        </is>
      </c>
      <c r="Y124" s="54" t="n"/>
      <c r="Z124" s="54" t="n">
        <v>799</v>
      </c>
      <c r="AA124" s="55">
        <f>IF(AND(A124="", B124="", E124=""), "", IF(AB124="", "Válido", IF((LEN(AB124)-LEN(SUBSTITUTE(AB124,"; ","")))/2+1&gt;(LEN(AB124)-LEN(SUBSTITUTE(AB124,"[Aviso]","")))/7, "Con Incidencias", "Válido")))</f>
        <v/>
      </c>
      <c r="AB124" s="56">
        <f>IF(AND(A124="", B124="", E124=""), "", TEXTJOIN("; ", TRUE, IF(OR(TRIM(A124&amp;"")="", ISNUMBER(SEARCH("FALTA", A124))), "UPC faltante/inválido", ""), IF(AND(A124&lt;&gt;"", IFERROR(_xlfn.XMATCH(A124,$A$2:$A$370,0,1)&lt;&gt;_xlfn.XMATCH(A124,$A$2:$A$370,0,-1),FALSE)), "Código de barras duplicado", ""), IF(AND(E124&lt;&gt;"", COUNTIF($E$2:$E$370, E124)&gt;1), "SKU duplicado", ""), IF(OR(J124="", J124=""), "[Aviso] División no capturada ()", IF(ISNA(MATCH(J124, Criterios!$A$123:$A$126, 0)), "División no válida", "")), IF(OR(K124="", K124=""), "[Aviso] Categoría no capturada ()", IF(ISNA(MATCH(K124, Criterios!$A$81:$A$120, 0)), "Categoría no válida", IF(AND(J124&lt;&gt;"", J124&lt;&gt;"", J124&lt;&gt;VLOOKUP(K124, Criterios!$A$81:$B$120, 2, FALSE)), "División no coincide con Categoría", ""))), IF(OR(L124="", L124=""), "[Aviso] Género no capturado ()", IF(ISNA(MATCH(L124, Criterios!$B$123:$B$127, 0)), "Género no válido", "")), IF(OR(N124="", N124=""), "[Aviso] Temporada no capturada ()", IF(ISNA(MATCH(N124, Criterios!$C$123:$C$128, 0)), "Temporada no válida", "")), IF(OR(O124="", O124=""), "[Aviso] Ciclo de vida no capturado ()", IF(ISNA(MATCH(O124, Criterios!$D$123:$D$124, 0)), "Ciclo de vida no válido", ""))))</f>
        <v/>
      </c>
      <c r="AC124" s="56" t="n"/>
      <c r="AD124" s="51" t="n">
        <v>39</v>
      </c>
      <c r="AE124" s="156" t="inlineStr">
        <is>
          <t>CAPSLAB Warehouse (22); CL POS (4); CL Muestras (1); Web (2)</t>
        </is>
      </c>
      <c r="AF124" s="51" t="n">
        <v>39</v>
      </c>
      <c r="AG124" s="156" t="inlineStr">
        <is>
          <t>Nuevo – NetSuite con existencia</t>
        </is>
      </c>
      <c r="AH124" s="156" t="inlineStr">
        <is>
          <t>Composición CAPSLAB varía por modelo (50/50, 40/60 o 100% poliéster): validar etiqueta; Color por validar; Físico total NetSuite 39 ≠ suma por ubicación 29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24" s="156" t="inlineStr">
        <is>
          <t>No</t>
        </is>
      </c>
      <c r="AJ124" s="156" t="n"/>
      <c r="AK124" s="155" t="inlineStr">
        <is>
          <t>G1522ProductosTodosloscamposSandboxResults894.xlsx: fila 47785 [X]; G1522_Extraccion_Articulos_NetSuite_2026-09-30.xlsx: fila 30332 [Z]</t>
        </is>
      </c>
      <c r="AL124" s="58" t="n"/>
      <c r="AM124" s="58" t="n"/>
      <c r="AN124" s="155" t="n"/>
      <c r="AO124" s="59" t="n"/>
      <c r="AP124" s="59" t="n"/>
      <c r="AQ124" s="59" t="n"/>
      <c r="AR124" s="155" t="n"/>
    </row>
    <row r="125">
      <c r="A125" s="50" t="inlineStr">
        <is>
          <t>3614001697960</t>
        </is>
      </c>
      <c r="B125" s="51" t="inlineStr">
        <is>
          <t>69603</t>
        </is>
      </c>
      <c r="C125" s="156" t="inlineStr">
        <is>
          <t>CAPSLAB</t>
        </is>
      </c>
      <c r="D125" s="156" t="inlineStr">
        <is>
          <t>CL/DBZ7/1/CT/SAV</t>
        </is>
      </c>
      <c r="E125" s="156" t="inlineStr">
        <is>
          <t>CL/DBZ7/1/CT/SAV-UNI</t>
        </is>
      </c>
      <c r="F125" s="156" t="inlineStr">
        <is>
          <t>Talla única</t>
        </is>
      </c>
      <c r="G125" s="156" t="inlineStr">
        <is>
          <t>One Size</t>
        </is>
      </c>
      <c r="H125" s="156" t="inlineStr">
        <is>
          <t>CAPSLAB</t>
        </is>
      </c>
      <c r="I125" s="156" t="inlineStr">
        <is>
          <t>Gorra trucker CAPSLAB Dragon Ball Saga</t>
        </is>
      </c>
      <c r="J125" s="156" t="inlineStr">
        <is>
          <t>Accesorios</t>
        </is>
      </c>
      <c r="K125" s="156" t="inlineStr">
        <is>
          <t>Gorras</t>
        </is>
      </c>
      <c r="L125" s="156" t="inlineStr">
        <is>
          <t>Unisex</t>
        </is>
      </c>
      <c r="M125" s="156" t="inlineStr">
        <is>
          <t>Dragon Ball Saga</t>
        </is>
      </c>
      <c r="N125" s="156" t="n"/>
      <c r="O125" s="156" t="n"/>
      <c r="P125" s="156" t="n"/>
      <c r="Q125" s="156" t="n"/>
      <c r="R125" s="156" t="n"/>
      <c r="S125" s="156" t="inlineStr">
        <is>
          <t>Algodón / Poliéster</t>
        </is>
      </c>
      <c r="T125" s="156" t="inlineStr">
        <is>
          <t>Gorra trucker de la marca CAPSLAB bajo licencia oficial Dragon Ball Saga. Talla única ajustable. Estilo CL/DBZ7/1/CT/SAV.</t>
        </is>
      </c>
      <c r="U125" s="156" t="n"/>
      <c r="V125" s="156" t="inlineStr">
        <is>
          <t>PZS</t>
        </is>
      </c>
      <c r="W125" s="51" t="inlineStr">
        <is>
          <t>53102516</t>
        </is>
      </c>
      <c r="X125" s="156" t="inlineStr">
        <is>
          <t>https://i.ibb.co/TkyhvLB/CLDBZ71-CTSAV.jpg</t>
        </is>
      </c>
      <c r="Y125" s="54" t="n"/>
      <c r="Z125" s="54" t="n">
        <v>799</v>
      </c>
      <c r="AA125" s="55">
        <f>IF(AND(A125="", B125="", E125=""), "", IF(AB125="", "Válido", IF((LEN(AB125)-LEN(SUBSTITUTE(AB125,"; ","")))/2+1&gt;(LEN(AB125)-LEN(SUBSTITUTE(AB125,"[Aviso]","")))/7, "Con Incidencias", "Válido")))</f>
        <v/>
      </c>
      <c r="AB125" s="56">
        <f>IF(AND(A125="", B125="", E125=""), "", TEXTJOIN("; ", TRUE, IF(OR(TRIM(A125&amp;"")="", ISNUMBER(SEARCH("FALTA", A125))), "UPC faltante/inválido", ""), IF(AND(A125&lt;&gt;"", IFERROR(_xlfn.XMATCH(A125,$A$2:$A$370,0,1)&lt;&gt;_xlfn.XMATCH(A125,$A$2:$A$370,0,-1),FALSE)), "Código de barras duplicado", ""), IF(AND(E125&lt;&gt;"", COUNTIF($E$2:$E$370, E125)&gt;1), "SKU duplicado", ""), IF(OR(J125="", J125=""), "[Aviso] División no capturada ()", IF(ISNA(MATCH(J125, Criterios!$A$123:$A$126, 0)), "División no válida", "")), IF(OR(K125="", K125=""), "[Aviso] Categoría no capturada ()", IF(ISNA(MATCH(K125, Criterios!$A$81:$A$120, 0)), "Categoría no válida", IF(AND(J125&lt;&gt;"", J125&lt;&gt;"", J125&lt;&gt;VLOOKUP(K125, Criterios!$A$81:$B$120, 2, FALSE)), "División no coincide con Categoría", ""))), IF(OR(L125="", L125=""), "[Aviso] Género no capturado ()", IF(ISNA(MATCH(L125, Criterios!$B$123:$B$127, 0)), "Género no válido", "")), IF(OR(N125="", N125=""), "[Aviso] Temporada no capturada ()", IF(ISNA(MATCH(N125, Criterios!$C$123:$C$128, 0)), "Temporada no válida", "")), IF(OR(O125="", O125=""), "[Aviso] Ciclo de vida no capturado ()", IF(ISNA(MATCH(O125, Criterios!$D$123:$D$124, 0)), "Ciclo de vida no válido", ""))))</f>
        <v/>
      </c>
      <c r="AC125" s="56" t="n"/>
      <c r="AD125" s="51" t="n">
        <v>67</v>
      </c>
      <c r="AE125" s="156" t="inlineStr">
        <is>
          <t>CL Muestras (1); CL POS (3); Web (2); CAPSLAB Warehouse (38)</t>
        </is>
      </c>
      <c r="AF125" s="51" t="n">
        <v>67</v>
      </c>
      <c r="AG125" s="156" t="inlineStr">
        <is>
          <t>Nuevo – NetSuite con existencia</t>
        </is>
      </c>
      <c r="AH125" s="156" t="inlineStr">
        <is>
          <t>Composición CAPSLAB varía por modelo (50/50, 40/60 o 100% poliéster): validar etiqueta; Color por validar; Físico total NetSuite 68 ≠ suma por ubicación 44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25" s="156" t="inlineStr">
        <is>
          <t>No</t>
        </is>
      </c>
      <c r="AJ125" s="156" t="n"/>
      <c r="AK125" s="155" t="inlineStr">
        <is>
          <t>G1522ProductosTodosloscamposSandboxResults894.xlsx: fila 47787 [X]; G1522_Extraccion_Articulos_NetSuite_2026-09-30.xlsx: fila 30333 [Z]</t>
        </is>
      </c>
      <c r="AL125" s="58" t="n"/>
      <c r="AM125" s="58" t="n"/>
      <c r="AN125" s="155" t="n"/>
      <c r="AO125" s="59" t="n"/>
      <c r="AP125" s="59" t="n"/>
      <c r="AQ125" s="59" t="n"/>
      <c r="AR125" s="155" t="n"/>
    </row>
    <row r="126">
      <c r="A126" s="50" t="inlineStr">
        <is>
          <t>3614001696925</t>
        </is>
      </c>
      <c r="B126" s="51" t="inlineStr">
        <is>
          <t>69604</t>
        </is>
      </c>
      <c r="C126" s="156" t="inlineStr">
        <is>
          <t>CAPSLAB</t>
        </is>
      </c>
      <c r="D126" s="156" t="inlineStr">
        <is>
          <t>CL/DBZ7/1/CT/SON</t>
        </is>
      </c>
      <c r="E126" s="156" t="inlineStr">
        <is>
          <t>CL/DBZ7/1/CT/SON-UNI</t>
        </is>
      </c>
      <c r="F126" s="156" t="inlineStr">
        <is>
          <t>Talla única</t>
        </is>
      </c>
      <c r="G126" s="156" t="inlineStr">
        <is>
          <t>One Size</t>
        </is>
      </c>
      <c r="H126" s="156" t="inlineStr">
        <is>
          <t>CAPSLAB</t>
        </is>
      </c>
      <c r="I126" s="156" t="inlineStr">
        <is>
          <t>Gorra trucker CAPSLAB Dragon Ball Saga</t>
        </is>
      </c>
      <c r="J126" s="156" t="inlineStr">
        <is>
          <t>Accesorios</t>
        </is>
      </c>
      <c r="K126" s="156" t="inlineStr">
        <is>
          <t>Gorras</t>
        </is>
      </c>
      <c r="L126" s="156" t="inlineStr">
        <is>
          <t>Unisex</t>
        </is>
      </c>
      <c r="M126" s="156" t="inlineStr">
        <is>
          <t>Dragon Ball Saga</t>
        </is>
      </c>
      <c r="N126" s="156" t="n"/>
      <c r="O126" s="156" t="n"/>
      <c r="P126" s="156" t="n"/>
      <c r="Q126" s="156" t="n"/>
      <c r="R126" s="156" t="n"/>
      <c r="S126" s="156" t="inlineStr">
        <is>
          <t>Algodón / Poliéster</t>
        </is>
      </c>
      <c r="T126" s="156" t="inlineStr">
        <is>
          <t>Gorra trucker de la marca CAPSLAB bajo licencia oficial Dragon Ball Saga. Talla única ajustable. Estilo CL/DBZ7/1/CT/SON.</t>
        </is>
      </c>
      <c r="U126" s="156" t="n"/>
      <c r="V126" s="156" t="inlineStr">
        <is>
          <t>PZS</t>
        </is>
      </c>
      <c r="W126" s="51" t="inlineStr">
        <is>
          <t>53102516</t>
        </is>
      </c>
      <c r="X126" s="156" t="inlineStr">
        <is>
          <t>https://i.ibb.co/123sb7S/CLDBZ71-CTSON.jpg</t>
        </is>
      </c>
      <c r="Y126" s="54" t="n"/>
      <c r="Z126" s="54" t="n">
        <v>699</v>
      </c>
      <c r="AA126" s="55">
        <f>IF(AND(A126="", B126="", E126=""), "", IF(AB126="", "Válido", IF((LEN(AB126)-LEN(SUBSTITUTE(AB126,"; ","")))/2+1&gt;(LEN(AB126)-LEN(SUBSTITUTE(AB126,"[Aviso]","")))/7, "Con Incidencias", "Válido")))</f>
        <v/>
      </c>
      <c r="AB126" s="56">
        <f>IF(AND(A126="", B126="", E126=""), "", TEXTJOIN("; ", TRUE, IF(OR(TRIM(A126&amp;"")="", ISNUMBER(SEARCH("FALTA", A126))), "UPC faltante/inválido", ""), IF(AND(A126&lt;&gt;"", IFERROR(_xlfn.XMATCH(A126,$A$2:$A$370,0,1)&lt;&gt;_xlfn.XMATCH(A126,$A$2:$A$370,0,-1),FALSE)), "Código de barras duplicado", ""), IF(AND(E126&lt;&gt;"", COUNTIF($E$2:$E$370, E126)&gt;1), "SKU duplicado", ""), IF(OR(J126="", J126=""), "[Aviso] División no capturada ()", IF(ISNA(MATCH(J126, Criterios!$A$123:$A$126, 0)), "División no válida", "")), IF(OR(K126="", K126=""), "[Aviso] Categoría no capturada ()", IF(ISNA(MATCH(K126, Criterios!$A$81:$A$120, 0)), "Categoría no válida", IF(AND(J126&lt;&gt;"", J126&lt;&gt;"", J126&lt;&gt;VLOOKUP(K126, Criterios!$A$81:$B$120, 2, FALSE)), "División no coincide con Categoría", ""))), IF(OR(L126="", L126=""), "[Aviso] Género no capturado ()", IF(ISNA(MATCH(L126, Criterios!$B$123:$B$127, 0)), "Género no válido", "")), IF(OR(N126="", N126=""), "[Aviso] Temporada no capturada ()", IF(ISNA(MATCH(N126, Criterios!$C$123:$C$128, 0)), "Temporada no válida", "")), IF(OR(O126="", O126=""), "[Aviso] Ciclo de vida no capturado ()", IF(ISNA(MATCH(O126, Criterios!$D$123:$D$124, 0)), "Ciclo de vida no válido", ""))))</f>
        <v/>
      </c>
      <c r="AC126" s="56" t="n"/>
      <c r="AD126" s="51" t="n">
        <v>20</v>
      </c>
      <c r="AE126" s="156" t="inlineStr">
        <is>
          <t>CL POS (4); Web (2); CL Muestras (1); CAPSLAB Warehouse (12)</t>
        </is>
      </c>
      <c r="AF126" s="51" t="n">
        <v>20</v>
      </c>
      <c r="AG126" s="156" t="inlineStr">
        <is>
          <t>Nuevo – NetSuite con existencia</t>
        </is>
      </c>
      <c r="AH126" s="156" t="inlineStr">
        <is>
          <t>Composición CAPSLAB varía por modelo (50/50, 40/60 o 100% poliéster): validar etiqueta; Color por validar; Físico total NetSuite 20 ≠ suma por ubicación 19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26" s="156" t="inlineStr">
        <is>
          <t>No</t>
        </is>
      </c>
      <c r="AJ126" s="156" t="n"/>
      <c r="AK126" s="155" t="inlineStr">
        <is>
          <t>G1522ProductosTodosloscamposSandboxResults894.xlsx: fila 47789 [X]; G1522_Extraccion_Articulos_NetSuite_2026-09-30.xlsx: fila 30334 [Z]</t>
        </is>
      </c>
      <c r="AL126" s="58" t="n"/>
      <c r="AM126" s="58" t="n"/>
      <c r="AN126" s="155" t="n"/>
      <c r="AO126" s="59" t="n"/>
      <c r="AP126" s="59" t="n"/>
      <c r="AQ126" s="59" t="n"/>
      <c r="AR126" s="155" t="n"/>
    </row>
    <row r="127">
      <c r="A127" s="50" t="inlineStr">
        <is>
          <t>3614001296965</t>
        </is>
      </c>
      <c r="B127" s="51" t="inlineStr">
        <is>
          <t>57369</t>
        </is>
      </c>
      <c r="C127" s="156" t="inlineStr">
        <is>
          <t>CAPSLAB</t>
        </is>
      </c>
      <c r="D127" s="156" t="inlineStr">
        <is>
          <t>CL/DC/TAG/1/BAT</t>
        </is>
      </c>
      <c r="E127" s="156" t="inlineStr">
        <is>
          <t>CL/DC/TAG/1/BAT-UNI</t>
        </is>
      </c>
      <c r="F127" s="156" t="inlineStr">
        <is>
          <t>Talla única</t>
        </is>
      </c>
      <c r="G127" s="156" t="inlineStr">
        <is>
          <t>One Size</t>
        </is>
      </c>
      <c r="H127" s="156" t="inlineStr">
        <is>
          <t>CAPSLAB</t>
        </is>
      </c>
      <c r="I127" s="156" t="inlineStr">
        <is>
          <t>Gorra CAPSLAB DC Comics Batman Negro</t>
        </is>
      </c>
      <c r="J127" s="156" t="inlineStr">
        <is>
          <t>Accesorios</t>
        </is>
      </c>
      <c r="K127" s="156" t="inlineStr">
        <is>
          <t>Gorras</t>
        </is>
      </c>
      <c r="L127" s="156" t="inlineStr">
        <is>
          <t>Unisex</t>
        </is>
      </c>
      <c r="M127" s="156" t="inlineStr">
        <is>
          <t>DC Comics</t>
        </is>
      </c>
      <c r="N127" s="156" t="n"/>
      <c r="O127" s="156" t="n"/>
      <c r="P127" s="156" t="inlineStr">
        <is>
          <t>Negro</t>
        </is>
      </c>
      <c r="Q127" s="156" t="n"/>
      <c r="R127" s="156" t="n"/>
      <c r="S127" s="156" t="inlineStr">
        <is>
          <t>Algodón / Poliéster</t>
        </is>
      </c>
      <c r="T127" s="156" t="inlineStr">
        <is>
          <t>Gorra de la marca CAPSLAB bajo licencia oficial DC Comics, personaje Batman. Talla única ajustable. Estilo CL/DC/TAG/1/BAT.</t>
        </is>
      </c>
      <c r="U127" s="156" t="n"/>
      <c r="V127" s="156" t="inlineStr">
        <is>
          <t>PZS</t>
        </is>
      </c>
      <c r="W127" s="51" t="inlineStr">
        <is>
          <t>53102516</t>
        </is>
      </c>
      <c r="X127" s="156" t="inlineStr">
        <is>
          <t>https://7913364.app.netsuite.com/core/media/media.nl?id=188239&amp;c=7913364&amp;h=lYFm7nvljaDBVM9ay0tioL0rToPhB9zzs0nLxt5Maeb3syfe</t>
        </is>
      </c>
      <c r="Y127" s="54" t="n">
        <v>10.75</v>
      </c>
      <c r="Z127" s="54" t="n">
        <v>799</v>
      </c>
      <c r="AA127" s="55">
        <f>IF(AND(A127="", B127="", E127=""), "", IF(AB127="", "Válido", IF((LEN(AB127)-LEN(SUBSTITUTE(AB127,"; ","")))/2+1&gt;(LEN(AB127)-LEN(SUBSTITUTE(AB127,"[Aviso]","")))/7, "Con Incidencias", "Válido")))</f>
        <v/>
      </c>
      <c r="AB127" s="56">
        <f>IF(AND(A127="", B127="", E127=""), "", TEXTJOIN("; ", TRUE, IF(OR(TRIM(A127&amp;"")="", ISNUMBER(SEARCH("FALTA", A127))), "UPC faltante/inválido", ""), IF(AND(A127&lt;&gt;"", IFERROR(_xlfn.XMATCH(A127,$A$2:$A$370,0,1)&lt;&gt;_xlfn.XMATCH(A127,$A$2:$A$370,0,-1),FALSE)), "Código de barras duplicado", ""), IF(AND(E127&lt;&gt;"", COUNTIF($E$2:$E$370, E127)&gt;1), "SKU duplicado", ""), IF(OR(J127="", J127=""), "[Aviso] División no capturada ()", IF(ISNA(MATCH(J127, Criterios!$A$123:$A$126, 0)), "División no válida", "")), IF(OR(K127="", K127=""), "[Aviso] Categoría no capturada ()", IF(ISNA(MATCH(K127, Criterios!$A$81:$A$120, 0)), "Categoría no válida", IF(AND(J127&lt;&gt;"", J127&lt;&gt;"", J127&lt;&gt;VLOOKUP(K127, Criterios!$A$81:$B$120, 2, FALSE)), "División no coincide con Categoría", ""))), IF(OR(L127="", L127=""), "[Aviso] Género no capturado ()", IF(ISNA(MATCH(L127, Criterios!$B$123:$B$127, 0)), "Género no válido", "")), IF(OR(N127="", N127=""), "[Aviso] Temporada no capturada ()", IF(ISNA(MATCH(N127, Criterios!$C$123:$C$128, 0)), "Temporada no válida", "")), IF(OR(O127="", O127=""), "[Aviso] Ciclo de vida no capturado ()", IF(ISNA(MATCH(O127, Criterios!$D$123:$D$124, 0)), "Ciclo de vida no válido", ""))))</f>
        <v/>
      </c>
      <c r="AC127" s="56" t="n"/>
      <c r="AD127" s="51" t="n">
        <v>8</v>
      </c>
      <c r="AE127" s="156" t="inlineStr">
        <is>
          <t>Web (2); CL POS (4); CAPSLAB Warehouse (1); CL Muestras (1)</t>
        </is>
      </c>
      <c r="AF127" s="51" t="n">
        <v>8</v>
      </c>
      <c r="AG127" s="156" t="inlineStr">
        <is>
          <t>Nuevo – NetSuite con existencia</t>
        </is>
      </c>
      <c r="AH12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27" s="156" t="inlineStr">
        <is>
          <t>No</t>
        </is>
      </c>
      <c r="AJ127" s="156" t="n"/>
      <c r="AK127" s="155" t="inlineStr">
        <is>
          <t>G1522ProductosTodosloscamposSandboxResults894.xlsx: fila 47791 [Y]; G1522_Extraccion_Articulos_NetSuite_2026-09-30.xlsx: fila 20752 [Z]</t>
        </is>
      </c>
      <c r="AL127" s="58" t="n">
        <v>10.75</v>
      </c>
      <c r="AM127" s="58" t="n"/>
      <c r="AN127" s="155" t="n"/>
      <c r="AO127" s="59" t="n"/>
      <c r="AP127" s="59" t="n"/>
      <c r="AQ127" s="59" t="n"/>
      <c r="AR127" s="155" t="n"/>
    </row>
    <row r="128">
      <c r="A128" s="50" t="inlineStr">
        <is>
          <t>3614001296972</t>
        </is>
      </c>
      <c r="B128" s="51" t="inlineStr">
        <is>
          <t>57370</t>
        </is>
      </c>
      <c r="C128" s="156" t="inlineStr">
        <is>
          <t>CAPSLAB</t>
        </is>
      </c>
      <c r="D128" s="156" t="inlineStr">
        <is>
          <t>CL/DC/TAG/1/HAR</t>
        </is>
      </c>
      <c r="E128" s="156" t="inlineStr">
        <is>
          <t>CL/DC/TAG/1/HAR-UNI</t>
        </is>
      </c>
      <c r="F128" s="156" t="inlineStr">
        <is>
          <t>Talla única</t>
        </is>
      </c>
      <c r="G128" s="156" t="inlineStr">
        <is>
          <t>One Size</t>
        </is>
      </c>
      <c r="H128" s="156" t="inlineStr">
        <is>
          <t>CAPSLAB</t>
        </is>
      </c>
      <c r="I128" s="156" t="inlineStr">
        <is>
          <t>Gorra CAPSLAB DC Comics Negro</t>
        </is>
      </c>
      <c r="J128" s="156" t="inlineStr">
        <is>
          <t>Accesorios</t>
        </is>
      </c>
      <c r="K128" s="156" t="inlineStr">
        <is>
          <t>Gorras</t>
        </is>
      </c>
      <c r="L128" s="156" t="inlineStr">
        <is>
          <t>Unisex</t>
        </is>
      </c>
      <c r="M128" s="156" t="inlineStr">
        <is>
          <t>DC Comics</t>
        </is>
      </c>
      <c r="N128" s="156" t="n"/>
      <c r="O128" s="156" t="n"/>
      <c r="P128" s="156" t="inlineStr">
        <is>
          <t>Negro</t>
        </is>
      </c>
      <c r="Q128" s="156" t="n"/>
      <c r="R128" s="156" t="n"/>
      <c r="S128" s="156" t="inlineStr">
        <is>
          <t>Algodón / Poliéster</t>
        </is>
      </c>
      <c r="T128" s="156" t="inlineStr">
        <is>
          <t>Gorra de la marca CAPSLAB bajo licencia oficial DC Comics. Talla única ajustable. Estilo CL/DC/TAG/1/HAR.</t>
        </is>
      </c>
      <c r="U128" s="156" t="n"/>
      <c r="V128" s="156" t="inlineStr">
        <is>
          <t>PZS</t>
        </is>
      </c>
      <c r="W128" s="51" t="inlineStr">
        <is>
          <t>53102516</t>
        </is>
      </c>
      <c r="X128" s="156" t="inlineStr">
        <is>
          <t>https://7913364.app.netsuite.com/core/media/media.nl?id=188241&amp;c=7913364&amp;h=XXPtCPYYG110wqMaKvU2qn9qSKoQGVhhWYYLlE6iNCzkBP-9</t>
        </is>
      </c>
      <c r="Y128" s="54" t="n">
        <v>10.75</v>
      </c>
      <c r="Z128" s="54" t="n">
        <v>799</v>
      </c>
      <c r="AA128" s="55">
        <f>IF(AND(A128="", B128="", E128=""), "", IF(AB128="", "Válido", IF((LEN(AB128)-LEN(SUBSTITUTE(AB128,"; ","")))/2+1&gt;(LEN(AB128)-LEN(SUBSTITUTE(AB128,"[Aviso]","")))/7, "Con Incidencias", "Válido")))</f>
        <v/>
      </c>
      <c r="AB128" s="56">
        <f>IF(AND(A128="", B128="", E128=""), "", TEXTJOIN("; ", TRUE, IF(OR(TRIM(A128&amp;"")="", ISNUMBER(SEARCH("FALTA", A128))), "UPC faltante/inválido", ""), IF(AND(A128&lt;&gt;"", IFERROR(_xlfn.XMATCH(A128,$A$2:$A$370,0,1)&lt;&gt;_xlfn.XMATCH(A128,$A$2:$A$370,0,-1),FALSE)), "Código de barras duplicado", ""), IF(AND(E128&lt;&gt;"", COUNTIF($E$2:$E$370, E128)&gt;1), "SKU duplicado", ""), IF(OR(J128="", J128=""), "[Aviso] División no capturada ()", IF(ISNA(MATCH(J128, Criterios!$A$123:$A$126, 0)), "División no válida", "")), IF(OR(K128="", K128=""), "[Aviso] Categoría no capturada ()", IF(ISNA(MATCH(K128, Criterios!$A$81:$A$120, 0)), "Categoría no válida", IF(AND(J128&lt;&gt;"", J128&lt;&gt;"", J128&lt;&gt;VLOOKUP(K128, Criterios!$A$81:$B$120, 2, FALSE)), "División no coincide con Categoría", ""))), IF(OR(L128="", L128=""), "[Aviso] Género no capturado ()", IF(ISNA(MATCH(L128, Criterios!$B$123:$B$127, 0)), "Género no válido", "")), IF(OR(N128="", N128=""), "[Aviso] Temporada no capturada ()", IF(ISNA(MATCH(N128, Criterios!$C$123:$C$128, 0)), "Temporada no válida", "")), IF(OR(O128="", O128=""), "[Aviso] Ciclo de vida no capturado ()", IF(ISNA(MATCH(O128, Criterios!$D$123:$D$124, 0)), "Ciclo de vida no válido", ""))))</f>
        <v/>
      </c>
      <c r="AC128" s="56" t="n"/>
      <c r="AD128" s="51" t="n">
        <v>5</v>
      </c>
      <c r="AE128" s="156" t="inlineStr">
        <is>
          <t>CAPSLAB Warehouse (2); Web (2)</t>
        </is>
      </c>
      <c r="AF128" s="51" t="n">
        <v>5</v>
      </c>
      <c r="AG128" s="156" t="inlineStr">
        <is>
          <t>Nuevo – NetSuite con existencia</t>
        </is>
      </c>
      <c r="AH128" s="156" t="inlineStr">
        <is>
          <t>Composición CAPSLAB varía por modelo (50/50, 40/60 o 100% poliéster): validar etiqueta; Físico total NetSuite 5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28" s="156" t="inlineStr">
        <is>
          <t>No</t>
        </is>
      </c>
      <c r="AJ128" s="156" t="n"/>
      <c r="AK128" s="155" t="inlineStr">
        <is>
          <t>G1522ProductosTodosloscamposSandboxResults894.xlsx: fila 47793 [Y]; G1522_Extraccion_Articulos_NetSuite_2026-09-30.xlsx: fila 20753 [Z]</t>
        </is>
      </c>
      <c r="AL128" s="58" t="n">
        <v>10.75</v>
      </c>
      <c r="AM128" s="58" t="n"/>
      <c r="AN128" s="155" t="n"/>
      <c r="AO128" s="59" t="n"/>
      <c r="AP128" s="59" t="n"/>
      <c r="AQ128" s="59" t="n"/>
      <c r="AR128" s="155" t="n"/>
    </row>
    <row r="129">
      <c r="A129" s="50" t="inlineStr">
        <is>
          <t>3614001296989</t>
        </is>
      </c>
      <c r="B129" s="51" t="inlineStr">
        <is>
          <t>57371</t>
        </is>
      </c>
      <c r="C129" s="156" t="inlineStr">
        <is>
          <t>CAPSLAB</t>
        </is>
      </c>
      <c r="D129" s="156" t="inlineStr">
        <is>
          <t>CL/DC/TAG/1/JOK</t>
        </is>
      </c>
      <c r="E129" s="156" t="inlineStr">
        <is>
          <t>CL/DC/TAG/1/JOK-UNI</t>
        </is>
      </c>
      <c r="F129" s="156" t="inlineStr">
        <is>
          <t>Talla única</t>
        </is>
      </c>
      <c r="G129" s="156" t="inlineStr">
        <is>
          <t>One Size</t>
        </is>
      </c>
      <c r="H129" s="156" t="inlineStr">
        <is>
          <t>CAPSLAB</t>
        </is>
      </c>
      <c r="I129" s="156" t="inlineStr">
        <is>
          <t>Gorra CAPSLAB DC Comics Joker Negro</t>
        </is>
      </c>
      <c r="J129" s="156" t="inlineStr">
        <is>
          <t>Accesorios</t>
        </is>
      </c>
      <c r="K129" s="156" t="inlineStr">
        <is>
          <t>Gorras</t>
        </is>
      </c>
      <c r="L129" s="156" t="inlineStr">
        <is>
          <t>Unisex</t>
        </is>
      </c>
      <c r="M129" s="156" t="inlineStr">
        <is>
          <t>DC Comics</t>
        </is>
      </c>
      <c r="N129" s="156" t="n"/>
      <c r="O129" s="156" t="n"/>
      <c r="P129" s="156" t="inlineStr">
        <is>
          <t>Negro</t>
        </is>
      </c>
      <c r="Q129" s="156" t="n"/>
      <c r="R129" s="156" t="n"/>
      <c r="S129" s="156" t="inlineStr">
        <is>
          <t>Algodón / Poliéster</t>
        </is>
      </c>
      <c r="T129" s="156" t="inlineStr">
        <is>
          <t>Gorra de la marca CAPSLAB bajo licencia oficial DC Comics, personaje Joker. Talla única ajustable. Estilo CL/DC/TAG/1/JOK.</t>
        </is>
      </c>
      <c r="U129" s="156" t="n"/>
      <c r="V129" s="156" t="inlineStr">
        <is>
          <t>PZS</t>
        </is>
      </c>
      <c r="W129" s="51" t="inlineStr">
        <is>
          <t>53102516</t>
        </is>
      </c>
      <c r="X129" s="156" t="inlineStr">
        <is>
          <t>https://7913364.app.netsuite.com/core/media/media.nl?id=188242&amp;c=7913364&amp;h=SK-oMJdcCDaAJ5WIkJ-6tqhNfp1KTX408eaBMrRbtzQNPI26</t>
        </is>
      </c>
      <c r="Y129" s="54" t="n">
        <v>10.75</v>
      </c>
      <c r="Z129" s="54" t="n">
        <v>799</v>
      </c>
      <c r="AA129" s="55">
        <f>IF(AND(A129="", B129="", E129=""), "", IF(AB129="", "Válido", IF((LEN(AB129)-LEN(SUBSTITUTE(AB129,"; ","")))/2+1&gt;(LEN(AB129)-LEN(SUBSTITUTE(AB129,"[Aviso]","")))/7, "Con Incidencias", "Válido")))</f>
        <v/>
      </c>
      <c r="AB129" s="56">
        <f>IF(AND(A129="", B129="", E129=""), "", TEXTJOIN("; ", TRUE, IF(OR(TRIM(A129&amp;"")="", ISNUMBER(SEARCH("FALTA", A129))), "UPC faltante/inválido", ""), IF(AND(A129&lt;&gt;"", IFERROR(_xlfn.XMATCH(A129,$A$2:$A$370,0,1)&lt;&gt;_xlfn.XMATCH(A129,$A$2:$A$370,0,-1),FALSE)), "Código de barras duplicado", ""), IF(AND(E129&lt;&gt;"", COUNTIF($E$2:$E$370, E129)&gt;1), "SKU duplicado", ""), IF(OR(J129="", J129=""), "[Aviso] División no capturada ()", IF(ISNA(MATCH(J129, Criterios!$A$123:$A$126, 0)), "División no válida", "")), IF(OR(K129="", K129=""), "[Aviso] Categoría no capturada ()", IF(ISNA(MATCH(K129, Criterios!$A$81:$A$120, 0)), "Categoría no válida", IF(AND(J129&lt;&gt;"", J129&lt;&gt;"", J129&lt;&gt;VLOOKUP(K129, Criterios!$A$81:$B$120, 2, FALSE)), "División no coincide con Categoría", ""))), IF(OR(L129="", L129=""), "[Aviso] Género no capturado ()", IF(ISNA(MATCH(L129, Criterios!$B$123:$B$127, 0)), "Género no válido", "")), IF(OR(N129="", N129=""), "[Aviso] Temporada no capturada ()", IF(ISNA(MATCH(N129, Criterios!$C$123:$C$128, 0)), "Temporada no válida", "")), IF(OR(O129="", O129=""), "[Aviso] Ciclo de vida no capturado ()", IF(ISNA(MATCH(O129, Criterios!$D$123:$D$124, 0)), "Ciclo de vida no válido", ""))))</f>
        <v/>
      </c>
      <c r="AC129" s="56" t="n"/>
      <c r="AD129" s="51" t="n">
        <v>122</v>
      </c>
      <c r="AE129" s="156" t="inlineStr">
        <is>
          <t>CL POS (4); Web (2); CL Muestras (2); CAPSLAB Warehouse (69)</t>
        </is>
      </c>
      <c r="AF129" s="51" t="n">
        <v>122</v>
      </c>
      <c r="AG129" s="156" t="inlineStr">
        <is>
          <t>Nuevo – NetSuite con existencia</t>
        </is>
      </c>
      <c r="AH129" s="156" t="inlineStr">
        <is>
          <t>Composición CAPSLAB varía por modelo (50/50, 40/60 o 100% poliéster): validar etiqueta; Físico total NetSuite 122 ≠ suma por ubicación 77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29" s="156" t="inlineStr">
        <is>
          <t>No</t>
        </is>
      </c>
      <c r="AJ129" s="156" t="n"/>
      <c r="AK129" s="155" t="inlineStr">
        <is>
          <t>G1522ProductosTodosloscamposSandboxResults894.xlsx: fila 47795 [Y]; G1522_Extraccion_Articulos_NetSuite_2026-09-30.xlsx: fila 20754 [Z]</t>
        </is>
      </c>
      <c r="AL129" s="58" t="n">
        <v>10.75</v>
      </c>
      <c r="AM129" s="58" t="n"/>
      <c r="AN129" s="155" t="n"/>
      <c r="AO129" s="59" t="n"/>
      <c r="AP129" s="59" t="n"/>
      <c r="AQ129" s="59" t="n"/>
      <c r="AR129" s="155" t="n"/>
    </row>
    <row r="130">
      <c r="A130" s="50" t="inlineStr">
        <is>
          <t>3614000884903</t>
        </is>
      </c>
      <c r="B130" s="51" t="inlineStr">
        <is>
          <t>57372</t>
        </is>
      </c>
      <c r="C130" s="156" t="inlineStr">
        <is>
          <t>CAPSLAB</t>
        </is>
      </c>
      <c r="D130" s="156" t="inlineStr">
        <is>
          <t>CL/DC2/1/BAT4</t>
        </is>
      </c>
      <c r="E130" s="156" t="inlineStr">
        <is>
          <t>CL/DC2/1/BAT4-UNI</t>
        </is>
      </c>
      <c r="F130" s="156" t="inlineStr">
        <is>
          <t>Talla única</t>
        </is>
      </c>
      <c r="G130" s="156" t="inlineStr">
        <is>
          <t>One Size</t>
        </is>
      </c>
      <c r="H130" s="156" t="inlineStr">
        <is>
          <t>CAPSLAB</t>
        </is>
      </c>
      <c r="I130" s="156" t="inlineStr">
        <is>
          <t>Gorra CAPSLAB DC Comics Batman Azul</t>
        </is>
      </c>
      <c r="J130" s="156" t="inlineStr">
        <is>
          <t>Accesorios</t>
        </is>
      </c>
      <c r="K130" s="156" t="inlineStr">
        <is>
          <t>Gorras</t>
        </is>
      </c>
      <c r="L130" s="156" t="inlineStr">
        <is>
          <t>Unisex</t>
        </is>
      </c>
      <c r="M130" s="156" t="inlineStr">
        <is>
          <t>DC Comics</t>
        </is>
      </c>
      <c r="N130" s="156" t="n"/>
      <c r="O130" s="156" t="n"/>
      <c r="P130" s="156" t="inlineStr">
        <is>
          <t>Azul</t>
        </is>
      </c>
      <c r="Q130" s="156" t="n"/>
      <c r="R130" s="156" t="n"/>
      <c r="S130" s="156" t="inlineStr">
        <is>
          <t>Algodón / Poliéster</t>
        </is>
      </c>
      <c r="T130" s="156" t="inlineStr">
        <is>
          <t>Gorra de la marca CAPSLAB bajo licencia oficial DC Comics, personaje Batman. Talla única ajustable. Estilo CL/DC2/1/BAT4.</t>
        </is>
      </c>
      <c r="U130" s="156" t="n"/>
      <c r="V130" s="156" t="inlineStr">
        <is>
          <t>PZS</t>
        </is>
      </c>
      <c r="W130" s="51" t="inlineStr">
        <is>
          <t>53102516</t>
        </is>
      </c>
      <c r="X130" s="156" t="inlineStr">
        <is>
          <t>https://7913364.app.netsuite.com/core/media/media.nl?id=188243&amp;c=7913364&amp;h=WasJaNWniLAXVPnpkbkuKD8Y4UutYhHgqGsQdKSsSU2tYrao</t>
        </is>
      </c>
      <c r="Y130" s="54" t="n">
        <v>8.5</v>
      </c>
      <c r="Z130" s="54" t="n">
        <v>699</v>
      </c>
      <c r="AA130" s="55">
        <f>IF(AND(A130="", B130="", E130=""), "", IF(AB130="", "Válido", IF((LEN(AB130)-LEN(SUBSTITUTE(AB130,"; ","")))/2+1&gt;(LEN(AB130)-LEN(SUBSTITUTE(AB130,"[Aviso]","")))/7, "Con Incidencias", "Válido")))</f>
        <v/>
      </c>
      <c r="AB130" s="56">
        <f>IF(AND(A130="", B130="", E130=""), "", TEXTJOIN("; ", TRUE, IF(OR(TRIM(A130&amp;"")="", ISNUMBER(SEARCH("FALTA", A130))), "UPC faltante/inválido", ""), IF(AND(A130&lt;&gt;"", IFERROR(_xlfn.XMATCH(A130,$A$2:$A$370,0,1)&lt;&gt;_xlfn.XMATCH(A130,$A$2:$A$370,0,-1),FALSE)), "Código de barras duplicado", ""), IF(AND(E130&lt;&gt;"", COUNTIF($E$2:$E$370, E130)&gt;1), "SKU duplicado", ""), IF(OR(J130="", J130=""), "[Aviso] División no capturada ()", IF(ISNA(MATCH(J130, Criterios!$A$123:$A$126, 0)), "División no válida", "")), IF(OR(K130="", K130=""), "[Aviso] Categoría no capturada ()", IF(ISNA(MATCH(K130, Criterios!$A$81:$A$120, 0)), "Categoría no válida", IF(AND(J130&lt;&gt;"", J130&lt;&gt;"", J130&lt;&gt;VLOOKUP(K130, Criterios!$A$81:$B$120, 2, FALSE)), "División no coincide con Categoría", ""))), IF(OR(L130="", L130=""), "[Aviso] Género no capturado ()", IF(ISNA(MATCH(L130, Criterios!$B$123:$B$127, 0)), "Género no válido", "")), IF(OR(N130="", N130=""), "[Aviso] Temporada no capturada ()", IF(ISNA(MATCH(N130, Criterios!$C$123:$C$128, 0)), "Temporada no válida", "")), IF(OR(O130="", O130=""), "[Aviso] Ciclo de vida no capturado ()", IF(ISNA(MATCH(O130, Criterios!$D$123:$D$124, 0)), "Ciclo de vida no válido", ""))))</f>
        <v/>
      </c>
      <c r="AC130" s="56" t="n"/>
      <c r="AD130" s="51" t="n">
        <v>47</v>
      </c>
      <c r="AE130" s="156" t="inlineStr">
        <is>
          <t>CAPSLAB Warehouse (39); CL POS (4); Web (2); CL Muestras (2)</t>
        </is>
      </c>
      <c r="AF130" s="51" t="n">
        <v>48</v>
      </c>
      <c r="AG130" s="156" t="inlineStr">
        <is>
          <t>Nuevo – NetSuite con existencia</t>
        </is>
      </c>
      <c r="AH13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30" s="156" t="inlineStr">
        <is>
          <t>No</t>
        </is>
      </c>
      <c r="AJ130" s="156" t="n"/>
      <c r="AK130" s="155" t="inlineStr">
        <is>
          <t>G1522ProductosTodosloscamposSandboxResults894.xlsx: fila 47797 [Y]; G1522_Extraccion_Articulos_NetSuite_2026-09-30.xlsx: fila 20755 [Z]</t>
        </is>
      </c>
      <c r="AL130" s="58" t="n">
        <v>8.5</v>
      </c>
      <c r="AM130" s="58" t="n"/>
      <c r="AN130" s="155" t="n"/>
      <c r="AO130" s="59" t="n"/>
      <c r="AP130" s="59" t="n"/>
      <c r="AQ130" s="59" t="n"/>
      <c r="AR130" s="155" t="n"/>
    </row>
    <row r="131">
      <c r="A131" s="50" t="inlineStr">
        <is>
          <t>3614000840619</t>
        </is>
      </c>
      <c r="B131" s="51" t="inlineStr">
        <is>
          <t>57373</t>
        </is>
      </c>
      <c r="C131" s="156" t="inlineStr">
        <is>
          <t>CAPSLAB</t>
        </is>
      </c>
      <c r="D131" s="156" t="inlineStr">
        <is>
          <t>CL/DC2/1/BATP1</t>
        </is>
      </c>
      <c r="E131" s="156" t="inlineStr">
        <is>
          <t>CL/DC2/1/BATP1-UNI</t>
        </is>
      </c>
      <c r="F131" s="156" t="inlineStr">
        <is>
          <t>Talla única</t>
        </is>
      </c>
      <c r="G131" s="156" t="inlineStr">
        <is>
          <t>One Size</t>
        </is>
      </c>
      <c r="H131" s="156" t="inlineStr">
        <is>
          <t>CAPSLAB</t>
        </is>
      </c>
      <c r="I131" s="156" t="inlineStr">
        <is>
          <t>Gorra CAPSLAB DC Comics Batman Negro</t>
        </is>
      </c>
      <c r="J131" s="156" t="inlineStr">
        <is>
          <t>Accesorios</t>
        </is>
      </c>
      <c r="K131" s="156" t="inlineStr">
        <is>
          <t>Gorras</t>
        </is>
      </c>
      <c r="L131" s="156" t="inlineStr">
        <is>
          <t>Unisex</t>
        </is>
      </c>
      <c r="M131" s="156" t="inlineStr">
        <is>
          <t>DC Comics</t>
        </is>
      </c>
      <c r="N131" s="156" t="n"/>
      <c r="O131" s="156" t="n"/>
      <c r="P131" s="156" t="inlineStr">
        <is>
          <t>Negro</t>
        </is>
      </c>
      <c r="Q131" s="156" t="n"/>
      <c r="R131" s="156" t="n"/>
      <c r="S131" s="156" t="inlineStr">
        <is>
          <t>Algodón / Poliéster</t>
        </is>
      </c>
      <c r="T131" s="156" t="inlineStr">
        <is>
          <t>Gorra de la marca CAPSLAB bajo licencia oficial DC Comics, personaje Batman. Talla única ajustable. Estilo CL/DC2/1/BATP1.</t>
        </is>
      </c>
      <c r="U131" s="156" t="n"/>
      <c r="V131" s="156" t="inlineStr">
        <is>
          <t>PZS</t>
        </is>
      </c>
      <c r="W131" s="51" t="inlineStr">
        <is>
          <t>53102516</t>
        </is>
      </c>
      <c r="X131" s="156" t="inlineStr">
        <is>
          <t>https://7913364.app.netsuite.com/core/media/media.nl?id=188244&amp;c=7913364&amp;h=sF5BtjZgj05NDqDpegw0M_1Pr-WRQ4cQ8e9LQQO12dOQ_Ax_</t>
        </is>
      </c>
      <c r="Y131" s="54" t="n">
        <v>8.5</v>
      </c>
      <c r="Z131" s="54" t="n">
        <v>799</v>
      </c>
      <c r="AA131" s="55">
        <f>IF(AND(A131="", B131="", E131=""), "", IF(AB131="", "Válido", IF((LEN(AB131)-LEN(SUBSTITUTE(AB131,"; ","")))/2+1&gt;(LEN(AB131)-LEN(SUBSTITUTE(AB131,"[Aviso]","")))/7, "Con Incidencias", "Válido")))</f>
        <v/>
      </c>
      <c r="AB131" s="56">
        <f>IF(AND(A131="", B131="", E131=""), "", TEXTJOIN("; ", TRUE, IF(OR(TRIM(A131&amp;"")="", ISNUMBER(SEARCH("FALTA", A131))), "UPC faltante/inválido", ""), IF(AND(A131&lt;&gt;"", IFERROR(_xlfn.XMATCH(A131,$A$2:$A$370,0,1)&lt;&gt;_xlfn.XMATCH(A131,$A$2:$A$370,0,-1),FALSE)), "Código de barras duplicado", ""), IF(AND(E131&lt;&gt;"", COUNTIF($E$2:$E$370, E131)&gt;1), "SKU duplicado", ""), IF(OR(J131="", J131=""), "[Aviso] División no capturada ()", IF(ISNA(MATCH(J131, Criterios!$A$123:$A$126, 0)), "División no válida", "")), IF(OR(K131="", K131=""), "[Aviso] Categoría no capturada ()", IF(ISNA(MATCH(K131, Criterios!$A$81:$A$120, 0)), "Categoría no válida", IF(AND(J131&lt;&gt;"", J131&lt;&gt;"", J131&lt;&gt;VLOOKUP(K131, Criterios!$A$81:$B$120, 2, FALSE)), "División no coincide con Categoría", ""))), IF(OR(L131="", L131=""), "[Aviso] Género no capturado ()", IF(ISNA(MATCH(L131, Criterios!$B$123:$B$127, 0)), "Género no válido", "")), IF(OR(N131="", N131=""), "[Aviso] Temporada no capturada ()", IF(ISNA(MATCH(N131, Criterios!$C$123:$C$128, 0)), "Temporada no válida", "")), IF(OR(O131="", O131=""), "[Aviso] Ciclo de vida no capturado ()", IF(ISNA(MATCH(O131, Criterios!$D$123:$D$124, 0)), "Ciclo de vida no válido", ""))))</f>
        <v/>
      </c>
      <c r="AC131" s="56" t="n"/>
      <c r="AD131" s="51" t="n">
        <v>2</v>
      </c>
      <c r="AE131" s="156" t="inlineStr">
        <is>
          <t>CL Muestras (2)</t>
        </is>
      </c>
      <c r="AF131" s="51" t="n">
        <v>2</v>
      </c>
      <c r="AG131" s="156" t="inlineStr">
        <is>
          <t>Nuevo – NetSuite con existencia</t>
        </is>
      </c>
      <c r="AH131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31" s="156" t="inlineStr">
        <is>
          <t>No</t>
        </is>
      </c>
      <c r="AJ131" s="156" t="n"/>
      <c r="AK131" s="155" t="inlineStr">
        <is>
          <t>G1522ProductosTodosloscamposSandboxResults894.xlsx: fila 47799 [Y]; G1522_Extraccion_Articulos_NetSuite_2026-09-30.xlsx: fila 20756 [Z]</t>
        </is>
      </c>
      <c r="AL131" s="58" t="n">
        <v>8.5</v>
      </c>
      <c r="AM131" s="58" t="n"/>
      <c r="AN131" s="155" t="n"/>
      <c r="AO131" s="59" t="n"/>
      <c r="AP131" s="59" t="n"/>
      <c r="AQ131" s="59" t="n"/>
      <c r="AR131" s="155" t="n"/>
    </row>
    <row r="132">
      <c r="A132" s="50" t="inlineStr">
        <is>
          <t>3614000806707</t>
        </is>
      </c>
      <c r="B132" s="51" t="inlineStr">
        <is>
          <t>69605</t>
        </is>
      </c>
      <c r="C132" s="156" t="inlineStr">
        <is>
          <t>CAPSLAB</t>
        </is>
      </c>
      <c r="D132" s="156" t="inlineStr">
        <is>
          <t>CL/DC2/1/MEM1</t>
        </is>
      </c>
      <c r="E132" s="156" t="inlineStr">
        <is>
          <t>CL/DC2/1/MEM1-UNI</t>
        </is>
      </c>
      <c r="F132" s="156" t="inlineStr">
        <is>
          <t>Talla única</t>
        </is>
      </c>
      <c r="G132" s="156" t="inlineStr">
        <is>
          <t>One Size</t>
        </is>
      </c>
      <c r="H132" s="156" t="inlineStr">
        <is>
          <t>CAPSLAB</t>
        </is>
      </c>
      <c r="I132" s="156" t="inlineStr">
        <is>
          <t>Gorra CAPSLAB DC Comics</t>
        </is>
      </c>
      <c r="J132" s="156" t="inlineStr">
        <is>
          <t>Accesorios</t>
        </is>
      </c>
      <c r="K132" s="156" t="inlineStr">
        <is>
          <t>Gorras</t>
        </is>
      </c>
      <c r="L132" s="156" t="inlineStr">
        <is>
          <t>Unisex</t>
        </is>
      </c>
      <c r="M132" s="156" t="inlineStr">
        <is>
          <t>DC Comics</t>
        </is>
      </c>
      <c r="N132" s="156" t="n"/>
      <c r="O132" s="156" t="n"/>
      <c r="P132" s="156" t="n"/>
      <c r="Q132" s="156" t="n"/>
      <c r="R132" s="156" t="n"/>
      <c r="S132" s="156" t="inlineStr">
        <is>
          <t>Algodón / Poliéster</t>
        </is>
      </c>
      <c r="T132" s="156" t="inlineStr">
        <is>
          <t>Gorra de la marca CAPSLAB bajo licencia oficial DC Comics. Talla única ajustable. Estilo CL/DC2/1/MEM1.</t>
        </is>
      </c>
      <c r="U132" s="156" t="n"/>
      <c r="V132" s="156" t="inlineStr">
        <is>
          <t>PZS</t>
        </is>
      </c>
      <c r="W132" s="51" t="inlineStr">
        <is>
          <t>53102516</t>
        </is>
      </c>
      <c r="X132" s="156" t="inlineStr">
        <is>
          <t>https://i.ibb.co/d0jxRm8/CLDC21-MEM1.jpg</t>
        </is>
      </c>
      <c r="Y132" s="54" t="n"/>
      <c r="Z132" s="54" t="n">
        <v>699</v>
      </c>
      <c r="AA132" s="55">
        <f>IF(AND(A132="", B132="", E132=""), "", IF(AB132="", "Válido", IF((LEN(AB132)-LEN(SUBSTITUTE(AB132,"; ","")))/2+1&gt;(LEN(AB132)-LEN(SUBSTITUTE(AB132,"[Aviso]","")))/7, "Con Incidencias", "Válido")))</f>
        <v/>
      </c>
      <c r="AB132" s="56">
        <f>IF(AND(A132="", B132="", E132=""), "", TEXTJOIN("; ", TRUE, IF(OR(TRIM(A132&amp;"")="", ISNUMBER(SEARCH("FALTA", A132))), "UPC faltante/inválido", ""), IF(AND(A132&lt;&gt;"", IFERROR(_xlfn.XMATCH(A132,$A$2:$A$370,0,1)&lt;&gt;_xlfn.XMATCH(A132,$A$2:$A$370,0,-1),FALSE)), "Código de barras duplicado", ""), IF(AND(E132&lt;&gt;"", COUNTIF($E$2:$E$370, E132)&gt;1), "SKU duplicado", ""), IF(OR(J132="", J132=""), "[Aviso] División no capturada ()", IF(ISNA(MATCH(J132, Criterios!$A$123:$A$126, 0)), "División no válida", "")), IF(OR(K132="", K132=""), "[Aviso] Categoría no capturada ()", IF(ISNA(MATCH(K132, Criterios!$A$81:$A$120, 0)), "Categoría no válida", IF(AND(J132&lt;&gt;"", J132&lt;&gt;"", J132&lt;&gt;VLOOKUP(K132, Criterios!$A$81:$B$120, 2, FALSE)), "División no coincide con Categoría", ""))), IF(OR(L132="", L132=""), "[Aviso] Género no capturado ()", IF(ISNA(MATCH(L132, Criterios!$B$123:$B$127, 0)), "Género no válido", "")), IF(OR(N132="", N132=""), "[Aviso] Temporada no capturada ()", IF(ISNA(MATCH(N132, Criterios!$C$123:$C$128, 0)), "Temporada no válida", "")), IF(OR(O132="", O132=""), "[Aviso] Ciclo de vida no capturado ()", IF(ISNA(MATCH(O132, Criterios!$D$123:$D$124, 0)), "Ciclo de vida no válido", ""))))</f>
        <v/>
      </c>
      <c r="AC132" s="56" t="n"/>
      <c r="AD132" s="51" t="n">
        <v>142</v>
      </c>
      <c r="AE132" s="156" t="inlineStr">
        <is>
          <t>CL POS (3); CAPSLAB Warehouse (86); CL Muestras (1); Web (2)</t>
        </is>
      </c>
      <c r="AF132" s="51" t="n">
        <v>141</v>
      </c>
      <c r="AG132" s="156" t="inlineStr">
        <is>
          <t>Nuevo – NetSuite con existencia</t>
        </is>
      </c>
      <c r="AH132" s="156" t="inlineStr">
        <is>
          <t>Composición CAPSLAB varía por modelo (50/50, 40/60 o 100% poliéster): validar etiqueta; Color por validar; Físico total NetSuite 142 ≠ suma por ubicación 92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32" s="156" t="inlineStr">
        <is>
          <t>No</t>
        </is>
      </c>
      <c r="AJ132" s="156" t="n"/>
      <c r="AK132" s="155" t="inlineStr">
        <is>
          <t>G1522ProductosTodosloscamposSandboxResults894.xlsx: fila 47801 [X]; G1522_Extraccion_Articulos_NetSuite_2026-09-30.xlsx: fila 30335 [Z]</t>
        </is>
      </c>
      <c r="AL132" s="58" t="n"/>
      <c r="AM132" s="58" t="n"/>
      <c r="AN132" s="155" t="n"/>
      <c r="AO132" s="59" t="n"/>
      <c r="AP132" s="59" t="n"/>
      <c r="AQ132" s="59" t="n"/>
      <c r="AR132" s="155" t="n"/>
    </row>
    <row r="133">
      <c r="A133" s="50" t="inlineStr">
        <is>
          <t>3614000806714</t>
        </is>
      </c>
      <c r="B133" s="51" t="inlineStr">
        <is>
          <t>57374</t>
        </is>
      </c>
      <c r="C133" s="156" t="inlineStr">
        <is>
          <t>CAPSLAB</t>
        </is>
      </c>
      <c r="D133" s="156" t="inlineStr">
        <is>
          <t>CL/DC2/1/MEM2</t>
        </is>
      </c>
      <c r="E133" s="156" t="inlineStr">
        <is>
          <t>CL/DC2/1/MEM2-UNI</t>
        </is>
      </c>
      <c r="F133" s="156" t="inlineStr">
        <is>
          <t>Talla única</t>
        </is>
      </c>
      <c r="G133" s="156" t="inlineStr">
        <is>
          <t>One Size</t>
        </is>
      </c>
      <c r="H133" s="156" t="inlineStr">
        <is>
          <t>CAPSLAB</t>
        </is>
      </c>
      <c r="I133" s="156" t="inlineStr">
        <is>
          <t>Gorra CAPSLAB DC Comics Negro</t>
        </is>
      </c>
      <c r="J133" s="156" t="inlineStr">
        <is>
          <t>Accesorios</t>
        </is>
      </c>
      <c r="K133" s="156" t="inlineStr">
        <is>
          <t>Gorras</t>
        </is>
      </c>
      <c r="L133" s="156" t="inlineStr">
        <is>
          <t>Unisex</t>
        </is>
      </c>
      <c r="M133" s="156" t="inlineStr">
        <is>
          <t>DC Comics</t>
        </is>
      </c>
      <c r="N133" s="156" t="n"/>
      <c r="O133" s="156" t="n"/>
      <c r="P133" s="156" t="inlineStr">
        <is>
          <t>Negro</t>
        </is>
      </c>
      <c r="Q133" s="156" t="n"/>
      <c r="R133" s="156" t="n"/>
      <c r="S133" s="156" t="inlineStr">
        <is>
          <t>Algodón / Poliéster</t>
        </is>
      </c>
      <c r="T133" s="156" t="inlineStr">
        <is>
          <t>Gorra de la marca CAPSLAB bajo licencia oficial DC Comics. Talla única ajustable. Estilo CL/DC2/1/MEM2.</t>
        </is>
      </c>
      <c r="U133" s="156" t="n"/>
      <c r="V133" s="156" t="inlineStr">
        <is>
          <t>PZS</t>
        </is>
      </c>
      <c r="W133" s="51" t="inlineStr">
        <is>
          <t>53102516</t>
        </is>
      </c>
      <c r="X133" s="156" t="inlineStr">
        <is>
          <t>https://7913364.app.netsuite.com/core/media/media.nl?id=188245&amp;c=7913364&amp;h=mcbVhL5Fim_8hKyJ-IaOeqBzQ9bRnG7LV6QMgRpihBNOHRMq</t>
        </is>
      </c>
      <c r="Y133" s="54" t="n">
        <v>8.5</v>
      </c>
      <c r="Z133" s="54" t="n">
        <v>699</v>
      </c>
      <c r="AA133" s="55">
        <f>IF(AND(A133="", B133="", E133=""), "", IF(AB133="", "Válido", IF((LEN(AB133)-LEN(SUBSTITUTE(AB133,"; ","")))/2+1&gt;(LEN(AB133)-LEN(SUBSTITUTE(AB133,"[Aviso]","")))/7, "Con Incidencias", "Válido")))</f>
        <v/>
      </c>
      <c r="AB133" s="56">
        <f>IF(AND(A133="", B133="", E133=""), "", TEXTJOIN("; ", TRUE, IF(OR(TRIM(A133&amp;"")="", ISNUMBER(SEARCH("FALTA", A133))), "UPC faltante/inválido", ""), IF(AND(A133&lt;&gt;"", IFERROR(_xlfn.XMATCH(A133,$A$2:$A$370,0,1)&lt;&gt;_xlfn.XMATCH(A133,$A$2:$A$370,0,-1),FALSE)), "Código de barras duplicado", ""), IF(AND(E133&lt;&gt;"", COUNTIF($E$2:$E$370, E133)&gt;1), "SKU duplicado", ""), IF(OR(J133="", J133=""), "[Aviso] División no capturada ()", IF(ISNA(MATCH(J133, Criterios!$A$123:$A$126, 0)), "División no válida", "")), IF(OR(K133="", K133=""), "[Aviso] Categoría no capturada ()", IF(ISNA(MATCH(K133, Criterios!$A$81:$A$120, 0)), "Categoría no válida", IF(AND(J133&lt;&gt;"", J133&lt;&gt;"", J133&lt;&gt;VLOOKUP(K133, Criterios!$A$81:$B$120, 2, FALSE)), "División no coincide con Categoría", ""))), IF(OR(L133="", L133=""), "[Aviso] Género no capturado ()", IF(ISNA(MATCH(L133, Criterios!$B$123:$B$127, 0)), "Género no válido", "")), IF(OR(N133="", N133=""), "[Aviso] Temporada no capturada ()", IF(ISNA(MATCH(N133, Criterios!$C$123:$C$128, 0)), "Temporada no válida", "")), IF(OR(O133="", O133=""), "[Aviso] Ciclo de vida no capturado ()", IF(ISNA(MATCH(O133, Criterios!$D$123:$D$124, 0)), "Ciclo de vida no válido", ""))))</f>
        <v/>
      </c>
      <c r="AC133" s="56" t="n"/>
      <c r="AD133" s="51" t="n">
        <v>0</v>
      </c>
      <c r="AE133" s="156" t="n"/>
      <c r="AF133" s="51" t="n">
        <v>0</v>
      </c>
      <c r="AG133" s="156" t="inlineStr">
        <is>
          <t>Nuevo – NetSuite sin existencia</t>
        </is>
      </c>
      <c r="AH133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33" s="156" t="inlineStr">
        <is>
          <t>No</t>
        </is>
      </c>
      <c r="AJ133" s="156" t="n"/>
      <c r="AK133" s="155" t="inlineStr">
        <is>
          <t>G1522ProductosTodosloscamposSandboxResults894.xlsx: fila 47803 [Y]; G1522_Extraccion_Articulos_NetSuite_2026-09-30.xlsx: fila 20757 [Z]</t>
        </is>
      </c>
      <c r="AL133" s="58" t="n">
        <v>8.5</v>
      </c>
      <c r="AM133" s="58" t="n"/>
      <c r="AN133" s="155" t="n"/>
      <c r="AO133" s="59" t="n"/>
      <c r="AP133" s="59" t="n"/>
      <c r="AQ133" s="59" t="n"/>
      <c r="AR133" s="155" t="n"/>
    </row>
    <row r="134">
      <c r="A134" s="50" t="inlineStr">
        <is>
          <t>3614000806721</t>
        </is>
      </c>
      <c r="B134" s="51" t="inlineStr">
        <is>
          <t>57375</t>
        </is>
      </c>
      <c r="C134" s="156" t="inlineStr">
        <is>
          <t>CAPSLAB</t>
        </is>
      </c>
      <c r="D134" s="156" t="inlineStr">
        <is>
          <t>CL/DC2/1/MEM4</t>
        </is>
      </c>
      <c r="E134" s="156" t="inlineStr">
        <is>
          <t>CL/DC2/1/MEM4-UNI</t>
        </is>
      </c>
      <c r="F134" s="156" t="inlineStr">
        <is>
          <t>Talla única</t>
        </is>
      </c>
      <c r="G134" s="156" t="inlineStr">
        <is>
          <t>One Size</t>
        </is>
      </c>
      <c r="H134" s="156" t="inlineStr">
        <is>
          <t>CAPSLAB</t>
        </is>
      </c>
      <c r="I134" s="156" t="inlineStr">
        <is>
          <t>Gorra CAPSLAB DC Comics Blanco</t>
        </is>
      </c>
      <c r="J134" s="156" t="inlineStr">
        <is>
          <t>Accesorios</t>
        </is>
      </c>
      <c r="K134" s="156" t="inlineStr">
        <is>
          <t>Gorras</t>
        </is>
      </c>
      <c r="L134" s="156" t="inlineStr">
        <is>
          <t>Unisex</t>
        </is>
      </c>
      <c r="M134" s="156" t="inlineStr">
        <is>
          <t>DC Comics</t>
        </is>
      </c>
      <c r="N134" s="156" t="n"/>
      <c r="O134" s="156" t="n"/>
      <c r="P134" s="156" t="inlineStr">
        <is>
          <t>Blanco</t>
        </is>
      </c>
      <c r="Q134" s="156" t="n"/>
      <c r="R134" s="156" t="n"/>
      <c r="S134" s="156" t="inlineStr">
        <is>
          <t>Algodón / Poliéster</t>
        </is>
      </c>
      <c r="T134" s="156" t="inlineStr">
        <is>
          <t>Gorra de la marca CAPSLAB bajo licencia oficial DC Comics. Talla única ajustable. Estilo CL/DC2/1/MEM4.</t>
        </is>
      </c>
      <c r="U134" s="156" t="n"/>
      <c r="V134" s="156" t="inlineStr">
        <is>
          <t>PZS</t>
        </is>
      </c>
      <c r="W134" s="51" t="inlineStr">
        <is>
          <t>53102516</t>
        </is>
      </c>
      <c r="X134" s="156" t="inlineStr">
        <is>
          <t>https://7913364.app.netsuite.com/core/media/media.nl?id=188246&amp;c=7913364&amp;h=aMxTkBFIXMk1waCRsDWi58ePlxmhtOYhxeqc9XSYKsVvhPEg</t>
        </is>
      </c>
      <c r="Y134" s="54" t="n">
        <v>8.5</v>
      </c>
      <c r="Z134" s="54" t="n">
        <v>699</v>
      </c>
      <c r="AA134" s="55">
        <f>IF(AND(A134="", B134="", E134=""), "", IF(AB134="", "Válido", IF((LEN(AB134)-LEN(SUBSTITUTE(AB134,"; ","")))/2+1&gt;(LEN(AB134)-LEN(SUBSTITUTE(AB134,"[Aviso]","")))/7, "Con Incidencias", "Válido")))</f>
        <v/>
      </c>
      <c r="AB134" s="56">
        <f>IF(AND(A134="", B134="", E134=""), "", TEXTJOIN("; ", TRUE, IF(OR(TRIM(A134&amp;"")="", ISNUMBER(SEARCH("FALTA", A134))), "UPC faltante/inválido", ""), IF(AND(A134&lt;&gt;"", IFERROR(_xlfn.XMATCH(A134,$A$2:$A$370,0,1)&lt;&gt;_xlfn.XMATCH(A134,$A$2:$A$370,0,-1),FALSE)), "Código de barras duplicado", ""), IF(AND(E134&lt;&gt;"", COUNTIF($E$2:$E$370, E134)&gt;1), "SKU duplicado", ""), IF(OR(J134="", J134=""), "[Aviso] División no capturada ()", IF(ISNA(MATCH(J134, Criterios!$A$123:$A$126, 0)), "División no válida", "")), IF(OR(K134="", K134=""), "[Aviso] Categoría no capturada ()", IF(ISNA(MATCH(K134, Criterios!$A$81:$A$120, 0)), "Categoría no válida", IF(AND(J134&lt;&gt;"", J134&lt;&gt;"", J134&lt;&gt;VLOOKUP(K134, Criterios!$A$81:$B$120, 2, FALSE)), "División no coincide con Categoría", ""))), IF(OR(L134="", L134=""), "[Aviso] Género no capturado ()", IF(ISNA(MATCH(L134, Criterios!$B$123:$B$127, 0)), "Género no válido", "")), IF(OR(N134="", N134=""), "[Aviso] Temporada no capturada ()", IF(ISNA(MATCH(N134, Criterios!$C$123:$C$128, 0)), "Temporada no válida", "")), IF(OR(O134="", O134=""), "[Aviso] Ciclo de vida no capturado ()", IF(ISNA(MATCH(O134, Criterios!$D$123:$D$124, 0)), "Ciclo de vida no válido", ""))))</f>
        <v/>
      </c>
      <c r="AC134" s="56" t="n"/>
      <c r="AD134" s="51" t="n">
        <v>2</v>
      </c>
      <c r="AE134" s="156" t="inlineStr">
        <is>
          <t>CL Muestras (2)</t>
        </is>
      </c>
      <c r="AF134" s="51" t="n">
        <v>2</v>
      </c>
      <c r="AG134" s="156" t="inlineStr">
        <is>
          <t>Nuevo – NetSuite con existencia</t>
        </is>
      </c>
      <c r="AH13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34" s="156" t="inlineStr">
        <is>
          <t>No</t>
        </is>
      </c>
      <c r="AJ134" s="156" t="n"/>
      <c r="AK134" s="155" t="inlineStr">
        <is>
          <t>G1522ProductosTodosloscamposSandboxResults894.xlsx: fila 47805 [Y]; G1522_Extraccion_Articulos_NetSuite_2026-09-30.xlsx: fila 20758 [Z]</t>
        </is>
      </c>
      <c r="AL134" s="58" t="n">
        <v>8.5</v>
      </c>
      <c r="AM134" s="58" t="n"/>
      <c r="AN134" s="155" t="n"/>
      <c r="AO134" s="59" t="n"/>
      <c r="AP134" s="59" t="n"/>
      <c r="AQ134" s="59" t="n"/>
      <c r="AR134" s="155" t="n"/>
    </row>
    <row r="135">
      <c r="A135" s="50" t="inlineStr">
        <is>
          <t>3614000806691</t>
        </is>
      </c>
      <c r="B135" s="51" t="inlineStr">
        <is>
          <t>69606</t>
        </is>
      </c>
      <c r="C135" s="156" t="inlineStr">
        <is>
          <t>CAPSLAB</t>
        </is>
      </c>
      <c r="D135" s="156" t="inlineStr">
        <is>
          <t>CL/DC2/1/VIN1</t>
        </is>
      </c>
      <c r="E135" s="156" t="inlineStr">
        <is>
          <t>CL/DC2/1/VIN1-UNI</t>
        </is>
      </c>
      <c r="F135" s="156" t="inlineStr">
        <is>
          <t>Talla única</t>
        </is>
      </c>
      <c r="G135" s="156" t="inlineStr">
        <is>
          <t>One Size</t>
        </is>
      </c>
      <c r="H135" s="156" t="inlineStr">
        <is>
          <t>CAPSLAB</t>
        </is>
      </c>
      <c r="I135" s="156" t="inlineStr">
        <is>
          <t>Gorra CAPSLAB DC Comics</t>
        </is>
      </c>
      <c r="J135" s="156" t="inlineStr">
        <is>
          <t>Accesorios</t>
        </is>
      </c>
      <c r="K135" s="156" t="inlineStr">
        <is>
          <t>Gorras</t>
        </is>
      </c>
      <c r="L135" s="156" t="inlineStr">
        <is>
          <t>Unisex</t>
        </is>
      </c>
      <c r="M135" s="156" t="inlineStr">
        <is>
          <t>DC Comics</t>
        </is>
      </c>
      <c r="N135" s="156" t="n"/>
      <c r="O135" s="156" t="n"/>
      <c r="P135" s="156" t="n"/>
      <c r="Q135" s="156" t="n"/>
      <c r="R135" s="156" t="n"/>
      <c r="S135" s="156" t="inlineStr">
        <is>
          <t>Algodón / Poliéster</t>
        </is>
      </c>
      <c r="T135" s="156" t="inlineStr">
        <is>
          <t>Gorra de la marca CAPSLAB bajo licencia oficial DC Comics. Talla única ajustable. Estilo CL/DC2/1/VIN1.</t>
        </is>
      </c>
      <c r="U135" s="156" t="n"/>
      <c r="V135" s="156" t="inlineStr">
        <is>
          <t>PZS</t>
        </is>
      </c>
      <c r="W135" s="51" t="inlineStr">
        <is>
          <t>53102516</t>
        </is>
      </c>
      <c r="X135" s="156" t="inlineStr">
        <is>
          <t>https://i.ibb.co/TDyPMvf/CLDC21-VIN1.jpg</t>
        </is>
      </c>
      <c r="Y135" s="54" t="n"/>
      <c r="Z135" s="54" t="n">
        <v>699</v>
      </c>
      <c r="AA135" s="55">
        <f>IF(AND(A135="", B135="", E135=""), "", IF(AB135="", "Válido", IF((LEN(AB135)-LEN(SUBSTITUTE(AB135,"; ","")))/2+1&gt;(LEN(AB135)-LEN(SUBSTITUTE(AB135,"[Aviso]","")))/7, "Con Incidencias", "Válido")))</f>
        <v/>
      </c>
      <c r="AB135" s="56">
        <f>IF(AND(A135="", B135="", E135=""), "", TEXTJOIN("; ", TRUE, IF(OR(TRIM(A135&amp;"")="", ISNUMBER(SEARCH("FALTA", A135))), "UPC faltante/inválido", ""), IF(AND(A135&lt;&gt;"", IFERROR(_xlfn.XMATCH(A135,$A$2:$A$370,0,1)&lt;&gt;_xlfn.XMATCH(A135,$A$2:$A$370,0,-1),FALSE)), "Código de barras duplicado", ""), IF(AND(E135&lt;&gt;"", COUNTIF($E$2:$E$370, E135)&gt;1), "SKU duplicado", ""), IF(OR(J135="", J135=""), "[Aviso] División no capturada ()", IF(ISNA(MATCH(J135, Criterios!$A$123:$A$126, 0)), "División no válida", "")), IF(OR(K135="", K135=""), "[Aviso] Categoría no capturada ()", IF(ISNA(MATCH(K135, Criterios!$A$81:$A$120, 0)), "Categoría no válida", IF(AND(J135&lt;&gt;"", J135&lt;&gt;"", J135&lt;&gt;VLOOKUP(K135, Criterios!$A$81:$B$120, 2, FALSE)), "División no coincide con Categoría", ""))), IF(OR(L135="", L135=""), "[Aviso] Género no capturado ()", IF(ISNA(MATCH(L135, Criterios!$B$123:$B$127, 0)), "Género no válido", "")), IF(OR(N135="", N135=""), "[Aviso] Temporada no capturada ()", IF(ISNA(MATCH(N135, Criterios!$C$123:$C$128, 0)), "Temporada no válida", "")), IF(OR(O135="", O135=""), "[Aviso] Ciclo de vida no capturado ()", IF(ISNA(MATCH(O135, Criterios!$D$123:$D$124, 0)), "Ciclo de vida no válido", ""))))</f>
        <v/>
      </c>
      <c r="AC135" s="56" t="n"/>
      <c r="AD135" s="51" t="n">
        <v>36</v>
      </c>
      <c r="AE135" s="156" t="inlineStr">
        <is>
          <t>Web (2); CL Muestras (2); CL POS (4); CAPSLAB Warehouse (27)</t>
        </is>
      </c>
      <c r="AF135" s="51" t="n">
        <v>36</v>
      </c>
      <c r="AG135" s="156" t="inlineStr">
        <is>
          <t>Nuevo – NetSuite con existencia</t>
        </is>
      </c>
      <c r="AH135" s="156" t="inlineStr">
        <is>
          <t>Composición CAPSLAB varía por modelo (50/50, 40/60 o 100% poliéster): validar etiqueta; Color por validar; Físico total NetSuite 36 ≠ suma por ubicación 35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35" s="156" t="inlineStr">
        <is>
          <t>No</t>
        </is>
      </c>
      <c r="AJ135" s="156" t="n"/>
      <c r="AK135" s="155" t="inlineStr">
        <is>
          <t>G1522ProductosTodosloscamposSandboxResults894.xlsx: fila 47807 [X]; G1522_Extraccion_Articulos_NetSuite_2026-09-30.xlsx: fila 30336 [Z]</t>
        </is>
      </c>
      <c r="AL135" s="58" t="n"/>
      <c r="AM135" s="58" t="n"/>
      <c r="AN135" s="155" t="n"/>
      <c r="AO135" s="59" t="n"/>
      <c r="AP135" s="59" t="n"/>
      <c r="AQ135" s="59" t="n"/>
      <c r="AR135" s="155" t="n"/>
    </row>
    <row r="136">
      <c r="A136" s="50" t="inlineStr">
        <is>
          <t>3614000884934</t>
        </is>
      </c>
      <c r="B136" s="51" t="inlineStr">
        <is>
          <t>69607</t>
        </is>
      </c>
      <c r="C136" s="156" t="inlineStr">
        <is>
          <t>CAPSLAB</t>
        </is>
      </c>
      <c r="D136" s="156" t="inlineStr">
        <is>
          <t>CL/DC3/1/CAS/JKR2</t>
        </is>
      </c>
      <c r="E136" s="156" t="inlineStr">
        <is>
          <t>CL/DC3/1/CAS/JKR2-UNI</t>
        </is>
      </c>
      <c r="F136" s="156" t="inlineStr">
        <is>
          <t>Talla única</t>
        </is>
      </c>
      <c r="G136" s="156" t="inlineStr">
        <is>
          <t>One Size</t>
        </is>
      </c>
      <c r="H136" s="156" t="inlineStr">
        <is>
          <t>CAPSLAB</t>
        </is>
      </c>
      <c r="I136" s="156" t="inlineStr">
        <is>
          <t>Gorra trucker CAPSLAB DC Comics</t>
        </is>
      </c>
      <c r="J136" s="156" t="inlineStr">
        <is>
          <t>Accesorios</t>
        </is>
      </c>
      <c r="K136" s="156" t="inlineStr">
        <is>
          <t>Gorras</t>
        </is>
      </c>
      <c r="L136" s="156" t="inlineStr">
        <is>
          <t>Unisex</t>
        </is>
      </c>
      <c r="M136" s="156" t="inlineStr">
        <is>
          <t>DC Comics</t>
        </is>
      </c>
      <c r="N136" s="156" t="n"/>
      <c r="O136" s="156" t="n"/>
      <c r="P136" s="156" t="n"/>
      <c r="Q136" s="156" t="n"/>
      <c r="R136" s="156" t="n"/>
      <c r="S136" s="156" t="inlineStr">
        <is>
          <t>Algodón / Poliéster</t>
        </is>
      </c>
      <c r="T136" s="156" t="inlineStr">
        <is>
          <t>Gorra trucker de la marca CAPSLAB bajo licencia oficial DC Comics. Talla única ajustable. Estilo CL/DC3/1/CAS/JKR2.</t>
        </is>
      </c>
      <c r="U136" s="156" t="n"/>
      <c r="V136" s="156" t="inlineStr">
        <is>
          <t>PZS</t>
        </is>
      </c>
      <c r="W136" s="51" t="inlineStr">
        <is>
          <t>53102516</t>
        </is>
      </c>
      <c r="X136" s="156" t="inlineStr">
        <is>
          <t>https://i.ibb.co/yhBH1RR/CLDC31-CASJKR2.jpg</t>
        </is>
      </c>
      <c r="Y136" s="54" t="n"/>
      <c r="Z136" s="54" t="n">
        <v>699</v>
      </c>
      <c r="AA136" s="55">
        <f>IF(AND(A136="", B136="", E136=""), "", IF(AB136="", "Válido", IF((LEN(AB136)-LEN(SUBSTITUTE(AB136,"; ","")))/2+1&gt;(LEN(AB136)-LEN(SUBSTITUTE(AB136,"[Aviso]","")))/7, "Con Incidencias", "Válido")))</f>
        <v/>
      </c>
      <c r="AB136" s="56">
        <f>IF(AND(A136="", B136="", E136=""), "", TEXTJOIN("; ", TRUE, IF(OR(TRIM(A136&amp;"")="", ISNUMBER(SEARCH("FALTA", A136))), "UPC faltante/inválido", ""), IF(AND(A136&lt;&gt;"", IFERROR(_xlfn.XMATCH(A136,$A$2:$A$370,0,1)&lt;&gt;_xlfn.XMATCH(A136,$A$2:$A$370,0,-1),FALSE)), "Código de barras duplicado", ""), IF(AND(E136&lt;&gt;"", COUNTIF($E$2:$E$370, E136)&gt;1), "SKU duplicado", ""), IF(OR(J136="", J136=""), "[Aviso] División no capturada ()", IF(ISNA(MATCH(J136, Criterios!$A$123:$A$126, 0)), "División no válida", "")), IF(OR(K136="", K136=""), "[Aviso] Categoría no capturada ()", IF(ISNA(MATCH(K136, Criterios!$A$81:$A$120, 0)), "Categoría no válida", IF(AND(J136&lt;&gt;"", J136&lt;&gt;"", J136&lt;&gt;VLOOKUP(K136, Criterios!$A$81:$B$120, 2, FALSE)), "División no coincide con Categoría", ""))), IF(OR(L136="", L136=""), "[Aviso] Género no capturado ()", IF(ISNA(MATCH(L136, Criterios!$B$123:$B$127, 0)), "Género no válido", "")), IF(OR(N136="", N136=""), "[Aviso] Temporada no capturada ()", IF(ISNA(MATCH(N136, Criterios!$C$123:$C$128, 0)), "Temporada no válida", "")), IF(OR(O136="", O136=""), "[Aviso] Ciclo de vida no capturado ()", IF(ISNA(MATCH(O136, Criterios!$D$123:$D$124, 0)), "Ciclo de vida no válido", ""))))</f>
        <v/>
      </c>
      <c r="AC136" s="56" t="n"/>
      <c r="AD136" s="51" t="n">
        <v>10</v>
      </c>
      <c r="AE136" s="156" t="inlineStr">
        <is>
          <t>Web (1); CAPSLAB Warehouse (4); CL POS (4); CL Muestras (1)</t>
        </is>
      </c>
      <c r="AF136" s="51" t="n">
        <v>10</v>
      </c>
      <c r="AG136" s="156" t="inlineStr">
        <is>
          <t>Nuevo – NetSuite con existencia</t>
        </is>
      </c>
      <c r="AH136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36" s="156" t="inlineStr">
        <is>
          <t>No</t>
        </is>
      </c>
      <c r="AJ136" s="156" t="n"/>
      <c r="AK136" s="155" t="inlineStr">
        <is>
          <t>G1522ProductosTodosloscamposSandboxResults894.xlsx: fila 47809 [X]; G1522_Extraccion_Articulos_NetSuite_2026-09-30.xlsx: fila 30337 [Z]</t>
        </is>
      </c>
      <c r="AL136" s="58" t="n"/>
      <c r="AM136" s="58" t="n"/>
      <c r="AN136" s="155" t="n"/>
      <c r="AO136" s="59" t="n"/>
      <c r="AP136" s="59" t="n"/>
      <c r="AQ136" s="59" t="n"/>
      <c r="AR136" s="155" t="n"/>
    </row>
    <row r="137">
      <c r="A137" s="50" t="inlineStr">
        <is>
          <t>3614001698868</t>
        </is>
      </c>
      <c r="B137" s="51" t="inlineStr">
        <is>
          <t>69608</t>
        </is>
      </c>
      <c r="C137" s="156" t="inlineStr">
        <is>
          <t>CAPSLAB</t>
        </is>
      </c>
      <c r="D137" s="156" t="inlineStr">
        <is>
          <t>CL/DC4/3/BAT1</t>
        </is>
      </c>
      <c r="E137" s="156" t="inlineStr">
        <is>
          <t>CL/DC4/3/BAT1-UNIJR</t>
        </is>
      </c>
      <c r="F137" s="156" t="inlineStr">
        <is>
          <t>Talla única</t>
        </is>
      </c>
      <c r="G137" s="156" t="inlineStr">
        <is>
          <t>One Size</t>
        </is>
      </c>
      <c r="H137" s="156" t="inlineStr">
        <is>
          <t>CAPSLAB</t>
        </is>
      </c>
      <c r="I137" s="156" t="inlineStr">
        <is>
          <t>Gorra CAPSLAB DC Comics Batman</t>
        </is>
      </c>
      <c r="J137" s="156" t="inlineStr">
        <is>
          <t>Accesorios</t>
        </is>
      </c>
      <c r="K137" s="156" t="inlineStr">
        <is>
          <t>Gorras</t>
        </is>
      </c>
      <c r="L137" s="156" t="inlineStr">
        <is>
          <t>Niño</t>
        </is>
      </c>
      <c r="M137" s="156" t="inlineStr">
        <is>
          <t>DC Comics</t>
        </is>
      </c>
      <c r="N137" s="156" t="n"/>
      <c r="O137" s="156" t="n"/>
      <c r="P137" s="156" t="n"/>
      <c r="Q137" s="156" t="n"/>
      <c r="R137" s="156" t="n"/>
      <c r="S137" s="156" t="inlineStr">
        <is>
          <t>Algodón / Poliéster</t>
        </is>
      </c>
      <c r="T137" s="156" t="inlineStr">
        <is>
          <t>Gorra de la marca CAPSLAB bajo licencia oficial DC Comics, personaje Batman. Talla única ajustable. Estilo CL/DC4/3/BAT1.</t>
        </is>
      </c>
      <c r="U137" s="156" t="n"/>
      <c r="V137" s="156" t="inlineStr">
        <is>
          <t>PZS</t>
        </is>
      </c>
      <c r="W137" s="51" t="inlineStr">
        <is>
          <t>53102516</t>
        </is>
      </c>
      <c r="X137" s="156" t="inlineStr">
        <is>
          <t>https://i.ibb.co/J20FJyn/CLDC43-BAT1.jpg</t>
        </is>
      </c>
      <c r="Y137" s="54" t="n"/>
      <c r="Z137" s="54" t="n">
        <v>699</v>
      </c>
      <c r="AA137" s="55">
        <f>IF(AND(A137="", B137="", E137=""), "", IF(AB137="", "Válido", IF((LEN(AB137)-LEN(SUBSTITUTE(AB137,"; ","")))/2+1&gt;(LEN(AB137)-LEN(SUBSTITUTE(AB137,"[Aviso]","")))/7, "Con Incidencias", "Válido")))</f>
        <v/>
      </c>
      <c r="AB137" s="56">
        <f>IF(AND(A137="", B137="", E137=""), "", TEXTJOIN("; ", TRUE, IF(OR(TRIM(A137&amp;"")="", ISNUMBER(SEARCH("FALTA", A137))), "UPC faltante/inválido", ""), IF(AND(A137&lt;&gt;"", IFERROR(_xlfn.XMATCH(A137,$A$2:$A$370,0,1)&lt;&gt;_xlfn.XMATCH(A137,$A$2:$A$370,0,-1),FALSE)), "Código de barras duplicado", ""), IF(AND(E137&lt;&gt;"", COUNTIF($E$2:$E$370, E137)&gt;1), "SKU duplicado", ""), IF(OR(J137="", J137=""), "[Aviso] División no capturada ()", IF(ISNA(MATCH(J137, Criterios!$A$123:$A$126, 0)), "División no válida", "")), IF(OR(K137="", K137=""), "[Aviso] Categoría no capturada ()", IF(ISNA(MATCH(K137, Criterios!$A$81:$A$120, 0)), "Categoría no válida", IF(AND(J137&lt;&gt;"", J137&lt;&gt;"", J137&lt;&gt;VLOOKUP(K137, Criterios!$A$81:$B$120, 2, FALSE)), "División no coincide con Categoría", ""))), IF(OR(L137="", L137=""), "[Aviso] Género no capturado ()", IF(ISNA(MATCH(L137, Criterios!$B$123:$B$127, 0)), "Género no válido", "")), IF(OR(N137="", N137=""), "[Aviso] Temporada no capturada ()", IF(ISNA(MATCH(N137, Criterios!$C$123:$C$128, 0)), "Temporada no válida", "")), IF(OR(O137="", O137=""), "[Aviso] Ciclo de vida no capturado ()", IF(ISNA(MATCH(O137, Criterios!$D$123:$D$124, 0)), "Ciclo de vida no válido", ""))))</f>
        <v/>
      </c>
      <c r="AC137" s="56" t="n"/>
      <c r="AD137" s="51" t="n">
        <v>1541</v>
      </c>
      <c r="AE137" s="156" t="inlineStr">
        <is>
          <t>Web (2); CL Muestras (1); CL POS (4); CAPSLAB Warehouse (776)</t>
        </is>
      </c>
      <c r="AF137" s="51" t="n">
        <v>1541</v>
      </c>
      <c r="AG137" s="156" t="inlineStr">
        <is>
          <t>Nuevo – NetSuite con existencia</t>
        </is>
      </c>
      <c r="AH137" s="156" t="inlineStr">
        <is>
          <t>Composición CAPSLAB varía por modelo (50/50, 40/60 o 100% poliéster): validar etiqueta; Talla: Talla infantil (JR) (origen «UNI JR»); Color por validar; Físico total NetSuite 1541 ≠ suma por ubicación 783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137" s="156" t="inlineStr">
        <is>
          <t>No</t>
        </is>
      </c>
      <c r="AJ137" s="156" t="n"/>
      <c r="AK137" s="155" t="inlineStr">
        <is>
          <t>G1522ProductosTodosloscamposSandboxResults894.xlsx: fila 47811 [X]; G1522_Extraccion_Articulos_NetSuite_2026-09-30.xlsx: fila 30338 [Z]</t>
        </is>
      </c>
      <c r="AL137" s="58" t="n"/>
      <c r="AM137" s="58" t="n"/>
      <c r="AN137" s="155" t="n"/>
      <c r="AO137" s="59" t="n"/>
      <c r="AP137" s="59" t="n"/>
      <c r="AQ137" s="59" t="n"/>
      <c r="AR137" s="155" t="n"/>
    </row>
    <row r="138">
      <c r="A138" s="50" t="inlineStr">
        <is>
          <t>3614001553129</t>
        </is>
      </c>
      <c r="B138" s="51" t="inlineStr">
        <is>
          <t>69609</t>
        </is>
      </c>
      <c r="C138" s="156" t="inlineStr">
        <is>
          <t>CAPSLAB</t>
        </is>
      </c>
      <c r="D138" s="156" t="inlineStr">
        <is>
          <t>CL/DC5/1/CAS/CRU2</t>
        </is>
      </c>
      <c r="E138" s="156" t="inlineStr">
        <is>
          <t>CL/DC5/1/CAS/CRU2-UNI</t>
        </is>
      </c>
      <c r="F138" s="156" t="inlineStr">
        <is>
          <t>Talla única</t>
        </is>
      </c>
      <c r="G138" s="156" t="inlineStr">
        <is>
          <t>One Size</t>
        </is>
      </c>
      <c r="H138" s="156" t="inlineStr">
        <is>
          <t>CAPSLAB</t>
        </is>
      </c>
      <c r="I138" s="156" t="inlineStr">
        <is>
          <t>Gorra trucker CAPSLAB DC Comics</t>
        </is>
      </c>
      <c r="J138" s="156" t="inlineStr">
        <is>
          <t>Accesorios</t>
        </is>
      </c>
      <c r="K138" s="156" t="inlineStr">
        <is>
          <t>Gorras</t>
        </is>
      </c>
      <c r="L138" s="156" t="inlineStr">
        <is>
          <t>Unisex</t>
        </is>
      </c>
      <c r="M138" s="156" t="inlineStr">
        <is>
          <t>DC Comics</t>
        </is>
      </c>
      <c r="N138" s="156" t="n"/>
      <c r="O138" s="156" t="n"/>
      <c r="P138" s="156" t="n"/>
      <c r="Q138" s="156" t="n"/>
      <c r="R138" s="156" t="n"/>
      <c r="S138" s="156" t="inlineStr">
        <is>
          <t>Algodón / Poliéster</t>
        </is>
      </c>
      <c r="T138" s="156" t="inlineStr">
        <is>
          <t>Gorra trucker de la marca CAPSLAB bajo licencia oficial DC Comics. Talla única ajustable. Estilo CL/DC5/1/CAS/CRU2.</t>
        </is>
      </c>
      <c r="U138" s="156" t="n"/>
      <c r="V138" s="156" t="inlineStr">
        <is>
          <t>PZS</t>
        </is>
      </c>
      <c r="W138" s="51" t="inlineStr">
        <is>
          <t>53102516</t>
        </is>
      </c>
      <c r="X138" s="156" t="inlineStr">
        <is>
          <t>https://i.ibb.co/C2tdspf/CLDC51-CASCRU2.jpg</t>
        </is>
      </c>
      <c r="Y138" s="54" t="n"/>
      <c r="Z138" s="54" t="n">
        <v>699</v>
      </c>
      <c r="AA138" s="55">
        <f>IF(AND(A138="", B138="", E138=""), "", IF(AB138="", "Válido", IF((LEN(AB138)-LEN(SUBSTITUTE(AB138,"; ","")))/2+1&gt;(LEN(AB138)-LEN(SUBSTITUTE(AB138,"[Aviso]","")))/7, "Con Incidencias", "Válido")))</f>
        <v/>
      </c>
      <c r="AB138" s="56">
        <f>IF(AND(A138="", B138="", E138=""), "", TEXTJOIN("; ", TRUE, IF(OR(TRIM(A138&amp;"")="", ISNUMBER(SEARCH("FALTA", A138))), "UPC faltante/inválido", ""), IF(AND(A138&lt;&gt;"", IFERROR(_xlfn.XMATCH(A138,$A$2:$A$370,0,1)&lt;&gt;_xlfn.XMATCH(A138,$A$2:$A$370,0,-1),FALSE)), "Código de barras duplicado", ""), IF(AND(E138&lt;&gt;"", COUNTIF($E$2:$E$370, E138)&gt;1), "SKU duplicado", ""), IF(OR(J138="", J138=""), "[Aviso] División no capturada ()", IF(ISNA(MATCH(J138, Criterios!$A$123:$A$126, 0)), "División no válida", "")), IF(OR(K138="", K138=""), "[Aviso] Categoría no capturada ()", IF(ISNA(MATCH(K138, Criterios!$A$81:$A$120, 0)), "Categoría no válida", IF(AND(J138&lt;&gt;"", J138&lt;&gt;"", J138&lt;&gt;VLOOKUP(K138, Criterios!$A$81:$B$120, 2, FALSE)), "División no coincide con Categoría", ""))), IF(OR(L138="", L138=""), "[Aviso] Género no capturado ()", IF(ISNA(MATCH(L138, Criterios!$B$123:$B$127, 0)), "Género no válido", "")), IF(OR(N138="", N138=""), "[Aviso] Temporada no capturada ()", IF(ISNA(MATCH(N138, Criterios!$C$123:$C$128, 0)), "Temporada no válida", "")), IF(OR(O138="", O138=""), "[Aviso] Ciclo de vida no capturado ()", IF(ISNA(MATCH(O138, Criterios!$D$123:$D$124, 0)), "Ciclo de vida no válido", ""))))</f>
        <v/>
      </c>
      <c r="AC138" s="56" t="n"/>
      <c r="AD138" s="51" t="n">
        <v>11</v>
      </c>
      <c r="AE138" s="156" t="inlineStr">
        <is>
          <t>CAPSLAB Warehouse (6); CL Muestras (1); Web (2)</t>
        </is>
      </c>
      <c r="AF138" s="51" t="n">
        <v>11</v>
      </c>
      <c r="AG138" s="156" t="inlineStr">
        <is>
          <t>Nuevo – NetSuite con existencia</t>
        </is>
      </c>
      <c r="AH138" s="156" t="inlineStr">
        <is>
          <t>Composición CAPSLAB varía por modelo (50/50, 40/60 o 100% poliéster): validar etiqueta; Color por validar; Físico total NetSuite 11 ≠ suma por ubicación 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38" s="156" t="inlineStr">
        <is>
          <t>No</t>
        </is>
      </c>
      <c r="AJ138" s="156" t="n"/>
      <c r="AK138" s="155" t="inlineStr">
        <is>
          <t>G1522ProductosTodosloscamposSandboxResults894.xlsx: fila 47813 [X]; G1522_Extraccion_Articulos_NetSuite_2026-09-30.xlsx: fila 30339 [Z]</t>
        </is>
      </c>
      <c r="AL138" s="58" t="n"/>
      <c r="AM138" s="58" t="n"/>
      <c r="AN138" s="155" t="n"/>
      <c r="AO138" s="59" t="n"/>
      <c r="AP138" s="59" t="n"/>
      <c r="AQ138" s="59" t="n"/>
      <c r="AR138" s="155" t="n"/>
    </row>
    <row r="139">
      <c r="A139" s="50" t="inlineStr">
        <is>
          <t>3614001553136</t>
        </is>
      </c>
      <c r="B139" s="51" t="inlineStr">
        <is>
          <t>57376</t>
        </is>
      </c>
      <c r="C139" s="156" t="inlineStr">
        <is>
          <t>CAPSLAB</t>
        </is>
      </c>
      <c r="D139" s="156" t="inlineStr">
        <is>
          <t>CL/DC5/1/CAS/DAR1</t>
        </is>
      </c>
      <c r="E139" s="156" t="inlineStr">
        <is>
          <t>CL/DC5/1/CAS/DAR1-UNI</t>
        </is>
      </c>
      <c r="F139" s="156" t="inlineStr">
        <is>
          <t>Talla única</t>
        </is>
      </c>
      <c r="G139" s="156" t="inlineStr">
        <is>
          <t>One Size</t>
        </is>
      </c>
      <c r="H139" s="156" t="inlineStr">
        <is>
          <t>CAPSLAB</t>
        </is>
      </c>
      <c r="I139" s="156" t="inlineStr">
        <is>
          <t>Gorra trucker CAPSLAB DC Comics Negro</t>
        </is>
      </c>
      <c r="J139" s="156" t="inlineStr">
        <is>
          <t>Accesorios</t>
        </is>
      </c>
      <c r="K139" s="156" t="inlineStr">
        <is>
          <t>Gorras</t>
        </is>
      </c>
      <c r="L139" s="156" t="inlineStr">
        <is>
          <t>Unisex</t>
        </is>
      </c>
      <c r="M139" s="156" t="inlineStr">
        <is>
          <t>DC Comics</t>
        </is>
      </c>
      <c r="N139" s="156" t="n"/>
      <c r="O139" s="156" t="n"/>
      <c r="P139" s="156" t="inlineStr">
        <is>
          <t>Negro</t>
        </is>
      </c>
      <c r="Q139" s="156" t="n"/>
      <c r="R139" s="156" t="n"/>
      <c r="S139" s="156" t="inlineStr">
        <is>
          <t>Algodón / Poliéster</t>
        </is>
      </c>
      <c r="T139" s="156" t="inlineStr">
        <is>
          <t>Gorra trucker de la marca CAPSLAB bajo licencia oficial DC Comics. Talla única ajustable. Estilo CL/DC5/1/CAS/DAR1.</t>
        </is>
      </c>
      <c r="U139" s="156" t="n"/>
      <c r="V139" s="156" t="inlineStr">
        <is>
          <t>PZS</t>
        </is>
      </c>
      <c r="W139" s="51" t="inlineStr">
        <is>
          <t>53102516</t>
        </is>
      </c>
      <c r="X139" s="156" t="inlineStr">
        <is>
          <t>https://7913364.app.netsuite.com/core/media/media.nl?id=188247&amp;c=7913364&amp;h=LVS2oSgKSZ5QdAmsxv68s5Cx7KpL6EqKHxj3JTxqlk3YCf0g</t>
        </is>
      </c>
      <c r="Y139" s="54" t="n">
        <v>8.5</v>
      </c>
      <c r="Z139" s="54" t="n">
        <v>699</v>
      </c>
      <c r="AA139" s="55">
        <f>IF(AND(A139="", B139="", E139=""), "", IF(AB139="", "Válido", IF((LEN(AB139)-LEN(SUBSTITUTE(AB139,"; ","")))/2+1&gt;(LEN(AB139)-LEN(SUBSTITUTE(AB139,"[Aviso]","")))/7, "Con Incidencias", "Válido")))</f>
        <v/>
      </c>
      <c r="AB139" s="56">
        <f>IF(AND(A139="", B139="", E139=""), "", TEXTJOIN("; ", TRUE, IF(OR(TRIM(A139&amp;"")="", ISNUMBER(SEARCH("FALTA", A139))), "UPC faltante/inválido", ""), IF(AND(A139&lt;&gt;"", IFERROR(_xlfn.XMATCH(A139,$A$2:$A$370,0,1)&lt;&gt;_xlfn.XMATCH(A139,$A$2:$A$370,0,-1),FALSE)), "Código de barras duplicado", ""), IF(AND(E139&lt;&gt;"", COUNTIF($E$2:$E$370, E139)&gt;1), "SKU duplicado", ""), IF(OR(J139="", J139=""), "[Aviso] División no capturada ()", IF(ISNA(MATCH(J139, Criterios!$A$123:$A$126, 0)), "División no válida", "")), IF(OR(K139="", K139=""), "[Aviso] Categoría no capturada ()", IF(ISNA(MATCH(K139, Criterios!$A$81:$A$120, 0)), "Categoría no válida", IF(AND(J139&lt;&gt;"", J139&lt;&gt;"", J139&lt;&gt;VLOOKUP(K139, Criterios!$A$81:$B$120, 2, FALSE)), "División no coincide con Categoría", ""))), IF(OR(L139="", L139=""), "[Aviso] Género no capturado ()", IF(ISNA(MATCH(L139, Criterios!$B$123:$B$127, 0)), "Género no válido", "")), IF(OR(N139="", N139=""), "[Aviso] Temporada no capturada ()", IF(ISNA(MATCH(N139, Criterios!$C$123:$C$128, 0)), "Temporada no válida", "")), IF(OR(O139="", O139=""), "[Aviso] Ciclo de vida no capturado ()", IF(ISNA(MATCH(O139, Criterios!$D$123:$D$124, 0)), "Ciclo de vida no válido", ""))))</f>
        <v/>
      </c>
      <c r="AC139" s="56" t="n"/>
      <c r="AD139" s="51" t="n">
        <v>75</v>
      </c>
      <c r="AE139" s="156" t="inlineStr">
        <is>
          <t>Web (2); CAPSLAB Warehouse (42); CL POS (4); CL Muestras (2)</t>
        </is>
      </c>
      <c r="AF139" s="51" t="n">
        <v>75</v>
      </c>
      <c r="AG139" s="156" t="inlineStr">
        <is>
          <t>Nuevo – NetSuite con existencia</t>
        </is>
      </c>
      <c r="AH139" s="156" t="inlineStr">
        <is>
          <t>Composición CAPSLAB varía por modelo (50/50, 40/60 o 100% poliéster): validar etiqueta; Físico total NetSuite 75 ≠ suma por ubicación 50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39" s="156" t="inlineStr">
        <is>
          <t>No</t>
        </is>
      </c>
      <c r="AJ139" s="156" t="n"/>
      <c r="AK139" s="155" t="inlineStr">
        <is>
          <t>G1522ProductosTodosloscamposSandboxResults894.xlsx: fila 47815 [Y]; G1522_Extraccion_Articulos_NetSuite_2026-09-30.xlsx: fila 20759 [Z]</t>
        </is>
      </c>
      <c r="AL139" s="58" t="n">
        <v>8.5</v>
      </c>
      <c r="AM139" s="58" t="n"/>
      <c r="AN139" s="155" t="n"/>
      <c r="AO139" s="59" t="n"/>
      <c r="AP139" s="59" t="n"/>
      <c r="AQ139" s="59" t="n"/>
      <c r="AR139" s="155" t="n"/>
    </row>
    <row r="140">
      <c r="A140" s="50" t="inlineStr">
        <is>
          <t>3614001553143</t>
        </is>
      </c>
      <c r="B140" s="51" t="inlineStr">
        <is>
          <t>57377</t>
        </is>
      </c>
      <c r="C140" s="156" t="inlineStr">
        <is>
          <t>CAPSLAB</t>
        </is>
      </c>
      <c r="D140" s="156" t="inlineStr">
        <is>
          <t>CL/DC5/1/CAS/JOK1</t>
        </is>
      </c>
      <c r="E140" s="156" t="inlineStr">
        <is>
          <t>CL/DC5/1/CAS/JOK1-UNI</t>
        </is>
      </c>
      <c r="F140" s="156" t="inlineStr">
        <is>
          <t>Talla única</t>
        </is>
      </c>
      <c r="G140" s="156" t="inlineStr">
        <is>
          <t>One Size</t>
        </is>
      </c>
      <c r="H140" s="156" t="inlineStr">
        <is>
          <t>CAPSLAB</t>
        </is>
      </c>
      <c r="I140" s="156" t="inlineStr">
        <is>
          <t>Gorra trucker CAPSLAB DC Comics Joker Negro</t>
        </is>
      </c>
      <c r="J140" s="156" t="inlineStr">
        <is>
          <t>Accesorios</t>
        </is>
      </c>
      <c r="K140" s="156" t="inlineStr">
        <is>
          <t>Gorras</t>
        </is>
      </c>
      <c r="L140" s="156" t="inlineStr">
        <is>
          <t>Unisex</t>
        </is>
      </c>
      <c r="M140" s="156" t="inlineStr">
        <is>
          <t>DC Comics</t>
        </is>
      </c>
      <c r="N140" s="156" t="n"/>
      <c r="O140" s="156" t="n"/>
      <c r="P140" s="156" t="inlineStr">
        <is>
          <t>Negro</t>
        </is>
      </c>
      <c r="Q140" s="156" t="n"/>
      <c r="R140" s="156" t="n"/>
      <c r="S140" s="156" t="inlineStr">
        <is>
          <t>Algodón / Poliéster</t>
        </is>
      </c>
      <c r="T140" s="156" t="inlineStr">
        <is>
          <t>Gorra trucker de la marca CAPSLAB bajo licencia oficial DC Comics, personaje Joker. Talla única ajustable. Estilo CL/DC5/1/CAS/JOK1.</t>
        </is>
      </c>
      <c r="U140" s="156" t="n"/>
      <c r="V140" s="156" t="inlineStr">
        <is>
          <t>PZS</t>
        </is>
      </c>
      <c r="W140" s="51" t="inlineStr">
        <is>
          <t>53102516</t>
        </is>
      </c>
      <c r="X140" s="156" t="inlineStr">
        <is>
          <t>https://7913364.app.netsuite.com/core/media/media.nl?id=188248&amp;c=7913364&amp;h=OGtiCwZBUQN-4M73piaJCh55QXenlvf7l-CrU_eDBvj3eN1t</t>
        </is>
      </c>
      <c r="Y140" s="54" t="n">
        <v>8.5</v>
      </c>
      <c r="Z140" s="54" t="n">
        <v>699</v>
      </c>
      <c r="AA140" s="55">
        <f>IF(AND(A140="", B140="", E140=""), "", IF(AB140="", "Válido", IF((LEN(AB140)-LEN(SUBSTITUTE(AB140,"; ","")))/2+1&gt;(LEN(AB140)-LEN(SUBSTITUTE(AB140,"[Aviso]","")))/7, "Con Incidencias", "Válido")))</f>
        <v/>
      </c>
      <c r="AB140" s="56">
        <f>IF(AND(A140="", B140="", E140=""), "", TEXTJOIN("; ", TRUE, IF(OR(TRIM(A140&amp;"")="", ISNUMBER(SEARCH("FALTA", A140))), "UPC faltante/inválido", ""), IF(AND(A140&lt;&gt;"", IFERROR(_xlfn.XMATCH(A140,$A$2:$A$370,0,1)&lt;&gt;_xlfn.XMATCH(A140,$A$2:$A$370,0,-1),FALSE)), "Código de barras duplicado", ""), IF(AND(E140&lt;&gt;"", COUNTIF($E$2:$E$370, E140)&gt;1), "SKU duplicado", ""), IF(OR(J140="", J140=""), "[Aviso] División no capturada ()", IF(ISNA(MATCH(J140, Criterios!$A$123:$A$126, 0)), "División no válida", "")), IF(OR(K140="", K140=""), "[Aviso] Categoría no capturada ()", IF(ISNA(MATCH(K140, Criterios!$A$81:$A$120, 0)), "Categoría no válida", IF(AND(J140&lt;&gt;"", J140&lt;&gt;"", J140&lt;&gt;VLOOKUP(K140, Criterios!$A$81:$B$120, 2, FALSE)), "División no coincide con Categoría", ""))), IF(OR(L140="", L140=""), "[Aviso] Género no capturado ()", IF(ISNA(MATCH(L140, Criterios!$B$123:$B$127, 0)), "Género no válido", "")), IF(OR(N140="", N140=""), "[Aviso] Temporada no capturada ()", IF(ISNA(MATCH(N140, Criterios!$C$123:$C$128, 0)), "Temporada no válida", "")), IF(OR(O140="", O140=""), "[Aviso] Ciclo de vida no capturado ()", IF(ISNA(MATCH(O140, Criterios!$D$123:$D$124, 0)), "Ciclo de vida no válido", ""))))</f>
        <v/>
      </c>
      <c r="AC140" s="56" t="n"/>
      <c r="AD140" s="51" t="n">
        <v>0</v>
      </c>
      <c r="AE140" s="156" t="n"/>
      <c r="AF140" s="51" t="n">
        <v>0</v>
      </c>
      <c r="AG140" s="156" t="inlineStr">
        <is>
          <t>Nuevo – NetSuite sin existencia</t>
        </is>
      </c>
      <c r="AH14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40" s="156" t="inlineStr">
        <is>
          <t>No</t>
        </is>
      </c>
      <c r="AJ140" s="156" t="n"/>
      <c r="AK140" s="155" t="inlineStr">
        <is>
          <t>G1522ProductosTodosloscamposSandboxResults894.xlsx: fila 47817 [Y]; G1522_Extraccion_Articulos_NetSuite_2026-09-30.xlsx: fila 20760 [Z]</t>
        </is>
      </c>
      <c r="AL140" s="58" t="n">
        <v>8.5</v>
      </c>
      <c r="AM140" s="58" t="n"/>
      <c r="AN140" s="155" t="n"/>
      <c r="AO140" s="59" t="n"/>
      <c r="AP140" s="59" t="n"/>
      <c r="AQ140" s="59" t="n"/>
      <c r="AR140" s="155" t="n"/>
    </row>
    <row r="141">
      <c r="A141" s="50" t="inlineStr">
        <is>
          <t>3614001553150</t>
        </is>
      </c>
      <c r="B141" s="51" t="inlineStr">
        <is>
          <t>69610</t>
        </is>
      </c>
      <c r="C141" s="156" t="inlineStr">
        <is>
          <t>CAPSLAB</t>
        </is>
      </c>
      <c r="D141" s="156" t="inlineStr">
        <is>
          <t>CL/DC5/1/CAS/JOK2</t>
        </is>
      </c>
      <c r="E141" s="156" t="inlineStr">
        <is>
          <t>CL/DC5/1/CAS/JOK2-UNI</t>
        </is>
      </c>
      <c r="F141" s="156" t="inlineStr">
        <is>
          <t>Talla única</t>
        </is>
      </c>
      <c r="G141" s="156" t="inlineStr">
        <is>
          <t>One Size</t>
        </is>
      </c>
      <c r="H141" s="156" t="inlineStr">
        <is>
          <t>CAPSLAB</t>
        </is>
      </c>
      <c r="I141" s="156" t="inlineStr">
        <is>
          <t>Gorra trucker CAPSLAB DC Comics Joker</t>
        </is>
      </c>
      <c r="J141" s="156" t="inlineStr">
        <is>
          <t>Accesorios</t>
        </is>
      </c>
      <c r="K141" s="156" t="inlineStr">
        <is>
          <t>Gorras</t>
        </is>
      </c>
      <c r="L141" s="156" t="inlineStr">
        <is>
          <t>Unisex</t>
        </is>
      </c>
      <c r="M141" s="156" t="inlineStr">
        <is>
          <t>DC Comics</t>
        </is>
      </c>
      <c r="N141" s="156" t="n"/>
      <c r="O141" s="156" t="n"/>
      <c r="P141" s="156" t="n"/>
      <c r="Q141" s="156" t="n"/>
      <c r="R141" s="156" t="n"/>
      <c r="S141" s="156" t="inlineStr">
        <is>
          <t>Algodón / Poliéster</t>
        </is>
      </c>
      <c r="T141" s="156" t="inlineStr">
        <is>
          <t>Gorra trucker de la marca CAPSLAB bajo licencia oficial DC Comics, personaje Joker. Talla única ajustable. Estilo CL/DC5/1/CAS/JOK2.</t>
        </is>
      </c>
      <c r="U141" s="156" t="n"/>
      <c r="V141" s="156" t="inlineStr">
        <is>
          <t>PZS</t>
        </is>
      </c>
      <c r="W141" s="51" t="inlineStr">
        <is>
          <t>53102516</t>
        </is>
      </c>
      <c r="X141" s="156" t="inlineStr">
        <is>
          <t>https://i.ibb.co/Mch6xdr/CLDC51-CASJOK2.jpg</t>
        </is>
      </c>
      <c r="Y141" s="54" t="n"/>
      <c r="Z141" s="54" t="n">
        <v>699</v>
      </c>
      <c r="AA141" s="55">
        <f>IF(AND(A141="", B141="", E141=""), "", IF(AB141="", "Válido", IF((LEN(AB141)-LEN(SUBSTITUTE(AB141,"; ","")))/2+1&gt;(LEN(AB141)-LEN(SUBSTITUTE(AB141,"[Aviso]","")))/7, "Con Incidencias", "Válido")))</f>
        <v/>
      </c>
      <c r="AB141" s="56">
        <f>IF(AND(A141="", B141="", E141=""), "", TEXTJOIN("; ", TRUE, IF(OR(TRIM(A141&amp;"")="", ISNUMBER(SEARCH("FALTA", A141))), "UPC faltante/inválido", ""), IF(AND(A141&lt;&gt;"", IFERROR(_xlfn.XMATCH(A141,$A$2:$A$370,0,1)&lt;&gt;_xlfn.XMATCH(A141,$A$2:$A$370,0,-1),FALSE)), "Código de barras duplicado", ""), IF(AND(E141&lt;&gt;"", COUNTIF($E$2:$E$370, E141)&gt;1), "SKU duplicado", ""), IF(OR(J141="", J141=""), "[Aviso] División no capturada ()", IF(ISNA(MATCH(J141, Criterios!$A$123:$A$126, 0)), "División no válida", "")), IF(OR(K141="", K141=""), "[Aviso] Categoría no capturada ()", IF(ISNA(MATCH(K141, Criterios!$A$81:$A$120, 0)), "Categoría no válida", IF(AND(J141&lt;&gt;"", J141&lt;&gt;"", J141&lt;&gt;VLOOKUP(K141, Criterios!$A$81:$B$120, 2, FALSE)), "División no coincide con Categoría", ""))), IF(OR(L141="", L141=""), "[Aviso] Género no capturado ()", IF(ISNA(MATCH(L141, Criterios!$B$123:$B$127, 0)), "Género no válido", "")), IF(OR(N141="", N141=""), "[Aviso] Temporada no capturada ()", IF(ISNA(MATCH(N141, Criterios!$C$123:$C$128, 0)), "Temporada no válida", "")), IF(OR(O141="", O141=""), "[Aviso] Ciclo de vida no capturado ()", IF(ISNA(MATCH(O141, Criterios!$D$123:$D$124, 0)), "Ciclo de vida no válido", ""))))</f>
        <v/>
      </c>
      <c r="AC141" s="56" t="n"/>
      <c r="AD141" s="51" t="n">
        <v>26</v>
      </c>
      <c r="AE141" s="156" t="inlineStr">
        <is>
          <t>CL Muestras (2); CL POS (4); Web (1); CAPSLAB Warehouse (18)</t>
        </is>
      </c>
      <c r="AF141" s="51" t="n">
        <v>26</v>
      </c>
      <c r="AG141" s="156" t="inlineStr">
        <is>
          <t>Nuevo – NetSuite con existencia</t>
        </is>
      </c>
      <c r="AH141" s="156" t="inlineStr">
        <is>
          <t>Composición CAPSLAB varía por modelo (50/50, 40/60 o 100% poliéster): validar etiqueta; Color por validar; Físico total NetSuite 26 ≠ suma por ubicación 25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41" s="156" t="inlineStr">
        <is>
          <t>No</t>
        </is>
      </c>
      <c r="AJ141" s="156" t="n"/>
      <c r="AK141" s="155" t="inlineStr">
        <is>
          <t>G1522ProductosTodosloscamposSandboxResults894.xlsx: fila 47819 [X]; G1522_Extraccion_Articulos_NetSuite_2026-09-30.xlsx: fila 30340 [Z]</t>
        </is>
      </c>
      <c r="AL141" s="58" t="n"/>
      <c r="AM141" s="58" t="n"/>
      <c r="AN141" s="155" t="n"/>
      <c r="AO141" s="59" t="n"/>
      <c r="AP141" s="59" t="n"/>
      <c r="AQ141" s="59" t="n"/>
      <c r="AR141" s="155" t="n"/>
    </row>
    <row r="142">
      <c r="A142" s="50" t="inlineStr">
        <is>
          <t>3614001553167</t>
        </is>
      </c>
      <c r="B142" s="51" t="inlineStr">
        <is>
          <t>57378</t>
        </is>
      </c>
      <c r="C142" s="156" t="inlineStr">
        <is>
          <t>CAPSLAB</t>
        </is>
      </c>
      <c r="D142" s="156" t="inlineStr">
        <is>
          <t>CL/DC5/1/CAS/LAU1</t>
        </is>
      </c>
      <c r="E142" s="156" t="inlineStr">
        <is>
          <t>CL/DC5/1/CAS/LAU1-UNI</t>
        </is>
      </c>
      <c r="F142" s="156" t="inlineStr">
        <is>
          <t>Talla única</t>
        </is>
      </c>
      <c r="G142" s="156" t="inlineStr">
        <is>
          <t>One Size</t>
        </is>
      </c>
      <c r="H142" s="156" t="inlineStr">
        <is>
          <t>CAPSLAB</t>
        </is>
      </c>
      <c r="I142" s="156" t="inlineStr">
        <is>
          <t>Gorra trucker CAPSLAB DC Comics Negro</t>
        </is>
      </c>
      <c r="J142" s="156" t="inlineStr">
        <is>
          <t>Accesorios</t>
        </is>
      </c>
      <c r="K142" s="156" t="inlineStr">
        <is>
          <t>Gorras</t>
        </is>
      </c>
      <c r="L142" s="156" t="inlineStr">
        <is>
          <t>Unisex</t>
        </is>
      </c>
      <c r="M142" s="156" t="inlineStr">
        <is>
          <t>DC Comics</t>
        </is>
      </c>
      <c r="N142" s="156" t="n"/>
      <c r="O142" s="156" t="n"/>
      <c r="P142" s="156" t="inlineStr">
        <is>
          <t>Negro</t>
        </is>
      </c>
      <c r="Q142" s="156" t="n"/>
      <c r="R142" s="156" t="n"/>
      <c r="S142" s="156" t="inlineStr">
        <is>
          <t>Algodón / Poliéster</t>
        </is>
      </c>
      <c r="T142" s="156" t="inlineStr">
        <is>
          <t>Gorra trucker de la marca CAPSLAB bajo licencia oficial DC Comics. Talla única ajustable. Estilo CL/DC5/1/CAS/LAU1.</t>
        </is>
      </c>
      <c r="U142" s="156" t="n"/>
      <c r="V142" s="156" t="inlineStr">
        <is>
          <t>PZS</t>
        </is>
      </c>
      <c r="W142" s="51" t="inlineStr">
        <is>
          <t>53102516</t>
        </is>
      </c>
      <c r="X142" s="156" t="inlineStr">
        <is>
          <t>https://7913364.app.netsuite.com/core/media/media.nl?id=188249&amp;c=7913364&amp;h=53bLgpXpkh2GmRPtpXXA_ZTDG6j6oFzURLLJuaU_EF3nITgd</t>
        </is>
      </c>
      <c r="Y142" s="54" t="n">
        <v>8.5</v>
      </c>
      <c r="Z142" s="54" t="n">
        <v>699</v>
      </c>
      <c r="AA142" s="55">
        <f>IF(AND(A142="", B142="", E142=""), "", IF(AB142="", "Válido", IF((LEN(AB142)-LEN(SUBSTITUTE(AB142,"; ","")))/2+1&gt;(LEN(AB142)-LEN(SUBSTITUTE(AB142,"[Aviso]","")))/7, "Con Incidencias", "Válido")))</f>
        <v/>
      </c>
      <c r="AB142" s="56">
        <f>IF(AND(A142="", B142="", E142=""), "", TEXTJOIN("; ", TRUE, IF(OR(TRIM(A142&amp;"")="", ISNUMBER(SEARCH("FALTA", A142))), "UPC faltante/inválido", ""), IF(AND(A142&lt;&gt;"", IFERROR(_xlfn.XMATCH(A142,$A$2:$A$370,0,1)&lt;&gt;_xlfn.XMATCH(A142,$A$2:$A$370,0,-1),FALSE)), "Código de barras duplicado", ""), IF(AND(E142&lt;&gt;"", COUNTIF($E$2:$E$370, E142)&gt;1), "SKU duplicado", ""), IF(OR(J142="", J142=""), "[Aviso] División no capturada ()", IF(ISNA(MATCH(J142, Criterios!$A$123:$A$126, 0)), "División no válida", "")), IF(OR(K142="", K142=""), "[Aviso] Categoría no capturada ()", IF(ISNA(MATCH(K142, Criterios!$A$81:$A$120, 0)), "Categoría no válida", IF(AND(J142&lt;&gt;"", J142&lt;&gt;"", J142&lt;&gt;VLOOKUP(K142, Criterios!$A$81:$B$120, 2, FALSE)), "División no coincide con Categoría", ""))), IF(OR(L142="", L142=""), "[Aviso] Género no capturado ()", IF(ISNA(MATCH(L142, Criterios!$B$123:$B$127, 0)), "Género no válido", "")), IF(OR(N142="", N142=""), "[Aviso] Temporada no capturada ()", IF(ISNA(MATCH(N142, Criterios!$C$123:$C$128, 0)), "Temporada no válida", "")), IF(OR(O142="", O142=""), "[Aviso] Ciclo de vida no capturado ()", IF(ISNA(MATCH(O142, Criterios!$D$123:$D$124, 0)), "Ciclo de vida no válido", ""))))</f>
        <v/>
      </c>
      <c r="AC142" s="56" t="n"/>
      <c r="AD142" s="51" t="n">
        <v>8</v>
      </c>
      <c r="AE142" s="156" t="inlineStr">
        <is>
          <t>CAPSLAB Warehouse (5); Web (2)</t>
        </is>
      </c>
      <c r="AF142" s="51" t="n">
        <v>8</v>
      </c>
      <c r="AG142" s="156" t="inlineStr">
        <is>
          <t>Nuevo – NetSuite con existencia</t>
        </is>
      </c>
      <c r="AH142" s="156" t="inlineStr">
        <is>
          <t>Composición CAPSLAB varía por modelo (50/50, 40/60 o 100% poliéster): validar etiqueta; Físico total NetSuite 8 ≠ suma por ubicación 7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42" s="156" t="inlineStr">
        <is>
          <t>No</t>
        </is>
      </c>
      <c r="AJ142" s="156" t="n"/>
      <c r="AK142" s="155" t="inlineStr">
        <is>
          <t>G1522ProductosTodosloscamposSandboxResults894.xlsx: fila 47821 [Y]; G1522_Extraccion_Articulos_NetSuite_2026-09-30.xlsx: fila 20761 [Z]</t>
        </is>
      </c>
      <c r="AL142" s="58" t="n">
        <v>8.5</v>
      </c>
      <c r="AM142" s="58" t="n"/>
      <c r="AN142" s="155" t="n"/>
      <c r="AO142" s="59" t="n"/>
      <c r="AP142" s="59" t="n"/>
      <c r="AQ142" s="59" t="n"/>
      <c r="AR142" s="155" t="n"/>
    </row>
    <row r="143">
      <c r="A143" s="50" t="inlineStr">
        <is>
          <t>3614001553174</t>
        </is>
      </c>
      <c r="B143" s="51" t="inlineStr">
        <is>
          <t>57379</t>
        </is>
      </c>
      <c r="C143" s="156" t="inlineStr">
        <is>
          <t>CAPSLAB</t>
        </is>
      </c>
      <c r="D143" s="156" t="inlineStr">
        <is>
          <t>CL/DC5/1/CAS/LAU2</t>
        </is>
      </c>
      <c r="E143" s="156" t="inlineStr">
        <is>
          <t>CL/DC5/1/CAS/LAU2-UNI</t>
        </is>
      </c>
      <c r="F143" s="156" t="inlineStr">
        <is>
          <t>Talla única</t>
        </is>
      </c>
      <c r="G143" s="156" t="inlineStr">
        <is>
          <t>One Size</t>
        </is>
      </c>
      <c r="H143" s="156" t="inlineStr">
        <is>
          <t>CAPSLAB</t>
        </is>
      </c>
      <c r="I143" s="156" t="inlineStr">
        <is>
          <t>Gorra trucker CAPSLAB DC Comics Blanco</t>
        </is>
      </c>
      <c r="J143" s="156" t="inlineStr">
        <is>
          <t>Accesorios</t>
        </is>
      </c>
      <c r="K143" s="156" t="inlineStr">
        <is>
          <t>Gorras</t>
        </is>
      </c>
      <c r="L143" s="156" t="inlineStr">
        <is>
          <t>Unisex</t>
        </is>
      </c>
      <c r="M143" s="156" t="inlineStr">
        <is>
          <t>DC Comics</t>
        </is>
      </c>
      <c r="N143" s="156" t="n"/>
      <c r="O143" s="156" t="n"/>
      <c r="P143" s="156" t="inlineStr">
        <is>
          <t>Blanco</t>
        </is>
      </c>
      <c r="Q143" s="156" t="n"/>
      <c r="R143" s="156" t="n"/>
      <c r="S143" s="156" t="inlineStr">
        <is>
          <t>Algodón / Poliéster</t>
        </is>
      </c>
      <c r="T143" s="156" t="inlineStr">
        <is>
          <t>Gorra trucker de la marca CAPSLAB bajo licencia oficial DC Comics. Talla única ajustable. Estilo CL/DC5/1/CAS/LAU2.</t>
        </is>
      </c>
      <c r="U143" s="156" t="n"/>
      <c r="V143" s="156" t="inlineStr">
        <is>
          <t>PZS</t>
        </is>
      </c>
      <c r="W143" s="51" t="inlineStr">
        <is>
          <t>53102516</t>
        </is>
      </c>
      <c r="X143" s="156" t="inlineStr">
        <is>
          <t>https://7913364.app.netsuite.com/core/media/media.nl?id=188250&amp;c=7913364&amp;h=PHC7w4F4dqkija-owVOW53iqwq45k_-NkpwEvpaoECBeX7LK</t>
        </is>
      </c>
      <c r="Y143" s="54" t="n">
        <v>8.5</v>
      </c>
      <c r="Z143" s="54" t="n">
        <v>699</v>
      </c>
      <c r="AA143" s="55">
        <f>IF(AND(A143="", B143="", E143=""), "", IF(AB143="", "Válido", IF((LEN(AB143)-LEN(SUBSTITUTE(AB143,"; ","")))/2+1&gt;(LEN(AB143)-LEN(SUBSTITUTE(AB143,"[Aviso]","")))/7, "Con Incidencias", "Válido")))</f>
        <v/>
      </c>
      <c r="AB143" s="56">
        <f>IF(AND(A143="", B143="", E143=""), "", TEXTJOIN("; ", TRUE, IF(OR(TRIM(A143&amp;"")="", ISNUMBER(SEARCH("FALTA", A143))), "UPC faltante/inválido", ""), IF(AND(A143&lt;&gt;"", IFERROR(_xlfn.XMATCH(A143,$A$2:$A$370,0,1)&lt;&gt;_xlfn.XMATCH(A143,$A$2:$A$370,0,-1),FALSE)), "Código de barras duplicado", ""), IF(AND(E143&lt;&gt;"", COUNTIF($E$2:$E$370, E143)&gt;1), "SKU duplicado", ""), IF(OR(J143="", J143=""), "[Aviso] División no capturada ()", IF(ISNA(MATCH(J143, Criterios!$A$123:$A$126, 0)), "División no válida", "")), IF(OR(K143="", K143=""), "[Aviso] Categoría no capturada ()", IF(ISNA(MATCH(K143, Criterios!$A$81:$A$120, 0)), "Categoría no válida", IF(AND(J143&lt;&gt;"", J143&lt;&gt;"", J143&lt;&gt;VLOOKUP(K143, Criterios!$A$81:$B$120, 2, FALSE)), "División no coincide con Categoría", ""))), IF(OR(L143="", L143=""), "[Aviso] Género no capturado ()", IF(ISNA(MATCH(L143, Criterios!$B$123:$B$127, 0)), "Género no válido", "")), IF(OR(N143="", N143=""), "[Aviso] Temporada no capturada ()", IF(ISNA(MATCH(N143, Criterios!$C$123:$C$128, 0)), "Temporada no válida", "")), IF(OR(O143="", O143=""), "[Aviso] Ciclo de vida no capturado ()", IF(ISNA(MATCH(O143, Criterios!$D$123:$D$124, 0)), "Ciclo de vida no válido", ""))))</f>
        <v/>
      </c>
      <c r="AC143" s="56" t="n"/>
      <c r="AD143" s="51" t="n">
        <v>4</v>
      </c>
      <c r="AE143" s="156" t="inlineStr">
        <is>
          <t>CAPSLAB Warehouse (2)</t>
        </is>
      </c>
      <c r="AF143" s="51" t="n">
        <v>4</v>
      </c>
      <c r="AG143" s="156" t="inlineStr">
        <is>
          <t>Nuevo – NetSuite con existencia</t>
        </is>
      </c>
      <c r="AH143" s="156" t="inlineStr">
        <is>
          <t>Composición CAPSLAB varía por modelo (50/50, 40/60 o 100% poliéster): validar etiqueta; Físico total NetSuite 4 ≠ suma por ubicación 2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43" s="156" t="inlineStr">
        <is>
          <t>No</t>
        </is>
      </c>
      <c r="AJ143" s="156" t="n"/>
      <c r="AK143" s="155" t="inlineStr">
        <is>
          <t>G1522ProductosTodosloscamposSandboxResults894.xlsx: fila 47823 [Y]; G1522_Extraccion_Articulos_NetSuite_2026-09-30.xlsx: fila 20762 [Z]</t>
        </is>
      </c>
      <c r="AL143" s="58" t="n">
        <v>8.5</v>
      </c>
      <c r="AM143" s="58" t="n"/>
      <c r="AN143" s="155" t="n"/>
      <c r="AO143" s="59" t="n"/>
      <c r="AP143" s="59" t="n"/>
      <c r="AQ143" s="59" t="n"/>
      <c r="AR143" s="155" t="n"/>
    </row>
    <row r="144">
      <c r="A144" s="50" t="inlineStr">
        <is>
          <t>3614001553204</t>
        </is>
      </c>
      <c r="B144" s="51" t="inlineStr">
        <is>
          <t>69611</t>
        </is>
      </c>
      <c r="C144" s="156" t="inlineStr">
        <is>
          <t>CAPSLAB</t>
        </is>
      </c>
      <c r="D144" s="156" t="inlineStr">
        <is>
          <t>CL/DC5/1/CAS/VIN2</t>
        </is>
      </c>
      <c r="E144" s="156" t="inlineStr">
        <is>
          <t>CL/DC5/1/CAS/VIN2-UNI</t>
        </is>
      </c>
      <c r="F144" s="156" t="inlineStr">
        <is>
          <t>Talla única</t>
        </is>
      </c>
      <c r="G144" s="156" t="inlineStr">
        <is>
          <t>One Size</t>
        </is>
      </c>
      <c r="H144" s="156" t="inlineStr">
        <is>
          <t>CAPSLAB</t>
        </is>
      </c>
      <c r="I144" s="156" t="inlineStr">
        <is>
          <t>Gorra trucker CAPSLAB DC Comics</t>
        </is>
      </c>
      <c r="J144" s="156" t="inlineStr">
        <is>
          <t>Accesorios</t>
        </is>
      </c>
      <c r="K144" s="156" t="inlineStr">
        <is>
          <t>Gorras</t>
        </is>
      </c>
      <c r="L144" s="156" t="inlineStr">
        <is>
          <t>Unisex</t>
        </is>
      </c>
      <c r="M144" s="156" t="inlineStr">
        <is>
          <t>DC Comics</t>
        </is>
      </c>
      <c r="N144" s="156" t="n"/>
      <c r="O144" s="156" t="n"/>
      <c r="P144" s="156" t="n"/>
      <c r="Q144" s="156" t="n"/>
      <c r="R144" s="156" t="n"/>
      <c r="S144" s="156" t="inlineStr">
        <is>
          <t>Algodón / Poliéster</t>
        </is>
      </c>
      <c r="T144" s="156" t="inlineStr">
        <is>
          <t>Gorra trucker de la marca CAPSLAB bajo licencia oficial DC Comics. Talla única ajustable. Estilo CL/DC5/1/CAS/VIN2.</t>
        </is>
      </c>
      <c r="U144" s="156" t="n"/>
      <c r="V144" s="156" t="inlineStr">
        <is>
          <t>PZS</t>
        </is>
      </c>
      <c r="W144" s="51" t="inlineStr">
        <is>
          <t>53102516</t>
        </is>
      </c>
      <c r="X144" s="156" t="inlineStr">
        <is>
          <t>https://i.ibb.co/V3W1WzB/CLDC51-CASVIN2.jpg</t>
        </is>
      </c>
      <c r="Y144" s="54" t="n"/>
      <c r="Z144" s="54" t="n">
        <v>699</v>
      </c>
      <c r="AA144" s="55">
        <f>IF(AND(A144="", B144="", E144=""), "", IF(AB144="", "Válido", IF((LEN(AB144)-LEN(SUBSTITUTE(AB144,"; ","")))/2+1&gt;(LEN(AB144)-LEN(SUBSTITUTE(AB144,"[Aviso]","")))/7, "Con Incidencias", "Válido")))</f>
        <v/>
      </c>
      <c r="AB144" s="56">
        <f>IF(AND(A144="", B144="", E144=""), "", TEXTJOIN("; ", TRUE, IF(OR(TRIM(A144&amp;"")="", ISNUMBER(SEARCH("FALTA", A144))), "UPC faltante/inválido", ""), IF(AND(A144&lt;&gt;"", IFERROR(_xlfn.XMATCH(A144,$A$2:$A$370,0,1)&lt;&gt;_xlfn.XMATCH(A144,$A$2:$A$370,0,-1),FALSE)), "Código de barras duplicado", ""), IF(AND(E144&lt;&gt;"", COUNTIF($E$2:$E$370, E144)&gt;1), "SKU duplicado", ""), IF(OR(J144="", J144=""), "[Aviso] División no capturada ()", IF(ISNA(MATCH(J144, Criterios!$A$123:$A$126, 0)), "División no válida", "")), IF(OR(K144="", K144=""), "[Aviso] Categoría no capturada ()", IF(ISNA(MATCH(K144, Criterios!$A$81:$A$120, 0)), "Categoría no válida", IF(AND(J144&lt;&gt;"", J144&lt;&gt;"", J144&lt;&gt;VLOOKUP(K144, Criterios!$A$81:$B$120, 2, FALSE)), "División no coincide con Categoría", ""))), IF(OR(L144="", L144=""), "[Aviso] Género no capturado ()", IF(ISNA(MATCH(L144, Criterios!$B$123:$B$127, 0)), "Género no válido", "")), IF(OR(N144="", N144=""), "[Aviso] Temporada no capturada ()", IF(ISNA(MATCH(N144, Criterios!$C$123:$C$128, 0)), "Temporada no válida", "")), IF(OR(O144="", O144=""), "[Aviso] Ciclo de vida no capturado ()", IF(ISNA(MATCH(O144, Criterios!$D$123:$D$124, 0)), "Ciclo de vida no válido", ""))))</f>
        <v/>
      </c>
      <c r="AC144" s="56" t="n"/>
      <c r="AD144" s="51" t="n">
        <v>1</v>
      </c>
      <c r="AE144" s="156" t="inlineStr">
        <is>
          <t>CL Muestras (1)</t>
        </is>
      </c>
      <c r="AF144" s="51" t="n">
        <v>1</v>
      </c>
      <c r="AG144" s="156" t="inlineStr">
        <is>
          <t>Nuevo – NetSuite con existencia</t>
        </is>
      </c>
      <c r="AH144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44" s="156" t="inlineStr">
        <is>
          <t>No</t>
        </is>
      </c>
      <c r="AJ144" s="156" t="n"/>
      <c r="AK144" s="155" t="inlineStr">
        <is>
          <t>G1522ProductosTodosloscamposSandboxResults894.xlsx: fila 47825 [X]; G1522_Extraccion_Articulos_NetSuite_2026-09-30.xlsx: fila 30341 [Z]</t>
        </is>
      </c>
      <c r="AL144" s="58" t="n"/>
      <c r="AM144" s="58" t="n"/>
      <c r="AN144" s="155" t="n"/>
      <c r="AO144" s="59" t="n"/>
      <c r="AP144" s="59" t="n"/>
      <c r="AQ144" s="59" t="n"/>
      <c r="AR144" s="155" t="n"/>
    </row>
    <row r="145">
      <c r="A145" s="50" t="inlineStr">
        <is>
          <t>3614001583386</t>
        </is>
      </c>
      <c r="B145" s="51" t="inlineStr">
        <is>
          <t>69612</t>
        </is>
      </c>
      <c r="C145" s="156" t="inlineStr">
        <is>
          <t>CAPSLAB</t>
        </is>
      </c>
      <c r="D145" s="156" t="inlineStr">
        <is>
          <t>CL/DC5/1/CASX/KNI1</t>
        </is>
      </c>
      <c r="E145" s="156" t="inlineStr">
        <is>
          <t>CL/DC5/1/CASX/KNI1-UNI</t>
        </is>
      </c>
      <c r="F145" s="156" t="inlineStr">
        <is>
          <t>Talla única</t>
        </is>
      </c>
      <c r="G145" s="156" t="inlineStr">
        <is>
          <t>One Size</t>
        </is>
      </c>
      <c r="H145" s="156" t="inlineStr">
        <is>
          <t>CAPSLAB</t>
        </is>
      </c>
      <c r="I145" s="156" t="inlineStr">
        <is>
          <t>Gorra CAPSLAB DC Comics</t>
        </is>
      </c>
      <c r="J145" s="156" t="inlineStr">
        <is>
          <t>Accesorios</t>
        </is>
      </c>
      <c r="K145" s="156" t="inlineStr">
        <is>
          <t>Gorras</t>
        </is>
      </c>
      <c r="L145" s="156" t="inlineStr">
        <is>
          <t>Unisex</t>
        </is>
      </c>
      <c r="M145" s="156" t="inlineStr">
        <is>
          <t>DC Comics</t>
        </is>
      </c>
      <c r="N145" s="156" t="n"/>
      <c r="O145" s="156" t="n"/>
      <c r="P145" s="156" t="n"/>
      <c r="Q145" s="156" t="n"/>
      <c r="R145" s="156" t="n"/>
      <c r="S145" s="156" t="inlineStr">
        <is>
          <t>Algodón / Poliéster</t>
        </is>
      </c>
      <c r="T145" s="156" t="inlineStr">
        <is>
          <t>Gorra de la marca CAPSLAB bajo licencia oficial DC Comics. Talla única ajustable. Estilo CL/DC5/1/CASX/KNI1.</t>
        </is>
      </c>
      <c r="U145" s="156" t="n"/>
      <c r="V145" s="156" t="inlineStr">
        <is>
          <t>PZS</t>
        </is>
      </c>
      <c r="W145" s="51" t="inlineStr">
        <is>
          <t>53102516</t>
        </is>
      </c>
      <c r="X145" s="156" t="inlineStr">
        <is>
          <t>https://i.ibb.co/3sD4Vqn/CLDC51-CASXKNI1.jpg</t>
        </is>
      </c>
      <c r="Y145" s="54" t="n"/>
      <c r="Z145" s="54" t="n">
        <v>699</v>
      </c>
      <c r="AA145" s="55">
        <f>IF(AND(A145="", B145="", E145=""), "", IF(AB145="", "Válido", IF((LEN(AB145)-LEN(SUBSTITUTE(AB145,"; ","")))/2+1&gt;(LEN(AB145)-LEN(SUBSTITUTE(AB145,"[Aviso]","")))/7, "Con Incidencias", "Válido")))</f>
        <v/>
      </c>
      <c r="AB145" s="56">
        <f>IF(AND(A145="", B145="", E145=""), "", TEXTJOIN("; ", TRUE, IF(OR(TRIM(A145&amp;"")="", ISNUMBER(SEARCH("FALTA", A145))), "UPC faltante/inválido", ""), IF(AND(A145&lt;&gt;"", IFERROR(_xlfn.XMATCH(A145,$A$2:$A$370,0,1)&lt;&gt;_xlfn.XMATCH(A145,$A$2:$A$370,0,-1),FALSE)), "Código de barras duplicado", ""), IF(AND(E145&lt;&gt;"", COUNTIF($E$2:$E$370, E145)&gt;1), "SKU duplicado", ""), IF(OR(J145="", J145=""), "[Aviso] División no capturada ()", IF(ISNA(MATCH(J145, Criterios!$A$123:$A$126, 0)), "División no válida", "")), IF(OR(K145="", K145=""), "[Aviso] Categoría no capturada ()", IF(ISNA(MATCH(K145, Criterios!$A$81:$A$120, 0)), "Categoría no válida", IF(AND(J145&lt;&gt;"", J145&lt;&gt;"", J145&lt;&gt;VLOOKUP(K145, Criterios!$A$81:$B$120, 2, FALSE)), "División no coincide con Categoría", ""))), IF(OR(L145="", L145=""), "[Aviso] Género no capturado ()", IF(ISNA(MATCH(L145, Criterios!$B$123:$B$127, 0)), "Género no válido", "")), IF(OR(N145="", N145=""), "[Aviso] Temporada no capturada ()", IF(ISNA(MATCH(N145, Criterios!$C$123:$C$128, 0)), "Temporada no válida", "")), IF(OR(O145="", O145=""), "[Aviso] Ciclo de vida no capturado ()", IF(ISNA(MATCH(O145, Criterios!$D$123:$D$124, 0)), "Ciclo de vida no válido", ""))))</f>
        <v/>
      </c>
      <c r="AC145" s="56" t="n"/>
      <c r="AD145" s="51" t="n">
        <v>12</v>
      </c>
      <c r="AE145" s="156" t="inlineStr">
        <is>
          <t>CAPSLAB Warehouse (3); Web (2); CL Muestras (3)</t>
        </is>
      </c>
      <c r="AF145" s="51" t="n">
        <v>12</v>
      </c>
      <c r="AG145" s="156" t="inlineStr">
        <is>
          <t>Nuevo – NetSuite con existencia</t>
        </is>
      </c>
      <c r="AH145" s="156" t="inlineStr">
        <is>
          <t>Composición CAPSLAB varía por modelo (50/50, 40/60 o 100% poliéster): validar etiqueta; Color por validar; Físico total NetSuite 12 ≠ suma por ubicación 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45" s="156" t="inlineStr">
        <is>
          <t>No</t>
        </is>
      </c>
      <c r="AJ145" s="156" t="n"/>
      <c r="AK145" s="155" t="inlineStr">
        <is>
          <t>G1522ProductosTodosloscamposSandboxResults894.xlsx: fila 47827 [X]; G1522_Extraccion_Articulos_NetSuite_2026-09-30.xlsx: fila 30342 [Z]</t>
        </is>
      </c>
      <c r="AL145" s="58" t="n"/>
      <c r="AM145" s="58" t="n"/>
      <c r="AN145" s="155" t="n"/>
      <c r="AO145" s="59" t="n"/>
      <c r="AP145" s="59" t="n"/>
      <c r="AQ145" s="59" t="n"/>
      <c r="AR145" s="155" t="n"/>
    </row>
    <row r="146">
      <c r="A146" s="50" t="inlineStr">
        <is>
          <t>3614001628568</t>
        </is>
      </c>
      <c r="B146" s="51" t="inlineStr">
        <is>
          <t>69613</t>
        </is>
      </c>
      <c r="C146" s="156" t="inlineStr">
        <is>
          <t>CAPSLAB</t>
        </is>
      </c>
      <c r="D146" s="156" t="inlineStr">
        <is>
          <t>CL/DC6/1/CAS/BAT1</t>
        </is>
      </c>
      <c r="E146" s="156" t="inlineStr">
        <is>
          <t>CL/DC6/1/CAS/BAT1-UNI</t>
        </is>
      </c>
      <c r="F146" s="156" t="inlineStr">
        <is>
          <t>Talla única</t>
        </is>
      </c>
      <c r="G146" s="156" t="inlineStr">
        <is>
          <t>One Size</t>
        </is>
      </c>
      <c r="H146" s="156" t="inlineStr">
        <is>
          <t>CAPSLAB</t>
        </is>
      </c>
      <c r="I146" s="156" t="inlineStr">
        <is>
          <t>Gorra trucker CAPSLAB DC Comics Batman</t>
        </is>
      </c>
      <c r="J146" s="156" t="inlineStr">
        <is>
          <t>Accesorios</t>
        </is>
      </c>
      <c r="K146" s="156" t="inlineStr">
        <is>
          <t>Gorras</t>
        </is>
      </c>
      <c r="L146" s="156" t="inlineStr">
        <is>
          <t>Unisex</t>
        </is>
      </c>
      <c r="M146" s="156" t="inlineStr">
        <is>
          <t>DC Comics</t>
        </is>
      </c>
      <c r="N146" s="156" t="n"/>
      <c r="O146" s="156" t="n"/>
      <c r="P146" s="156" t="n"/>
      <c r="Q146" s="156" t="n"/>
      <c r="R146" s="156" t="n"/>
      <c r="S146" s="156" t="inlineStr">
        <is>
          <t>Algodón / Poliéster</t>
        </is>
      </c>
      <c r="T146" s="156" t="inlineStr">
        <is>
          <t>Gorra trucker de la marca CAPSLAB bajo licencia oficial DC Comics, personaje Batman. Talla única ajustable. Estilo CL/DC6/1/CAS/BAT1.</t>
        </is>
      </c>
      <c r="U146" s="156" t="n"/>
      <c r="V146" s="156" t="inlineStr">
        <is>
          <t>PZS</t>
        </is>
      </c>
      <c r="W146" s="51" t="inlineStr">
        <is>
          <t>53102516</t>
        </is>
      </c>
      <c r="X146" s="156" t="inlineStr">
        <is>
          <t>https://i.ibb.co/5K7Sq00/CLDC61-CASBAT1.jpg</t>
        </is>
      </c>
      <c r="Y146" s="54" t="n"/>
      <c r="Z146" s="54" t="n">
        <v>699</v>
      </c>
      <c r="AA146" s="55">
        <f>IF(AND(A146="", B146="", E146=""), "", IF(AB146="", "Válido", IF((LEN(AB146)-LEN(SUBSTITUTE(AB146,"; ","")))/2+1&gt;(LEN(AB146)-LEN(SUBSTITUTE(AB146,"[Aviso]","")))/7, "Con Incidencias", "Válido")))</f>
        <v/>
      </c>
      <c r="AB146" s="56">
        <f>IF(AND(A146="", B146="", E146=""), "", TEXTJOIN("; ", TRUE, IF(OR(TRIM(A146&amp;"")="", ISNUMBER(SEARCH("FALTA", A146))), "UPC faltante/inválido", ""), IF(AND(A146&lt;&gt;"", IFERROR(_xlfn.XMATCH(A146,$A$2:$A$370,0,1)&lt;&gt;_xlfn.XMATCH(A146,$A$2:$A$370,0,-1),FALSE)), "Código de barras duplicado", ""), IF(AND(E146&lt;&gt;"", COUNTIF($E$2:$E$370, E146)&gt;1), "SKU duplicado", ""), IF(OR(J146="", J146=""), "[Aviso] División no capturada ()", IF(ISNA(MATCH(J146, Criterios!$A$123:$A$126, 0)), "División no válida", "")), IF(OR(K146="", K146=""), "[Aviso] Categoría no capturada ()", IF(ISNA(MATCH(K146, Criterios!$A$81:$A$120, 0)), "Categoría no válida", IF(AND(J146&lt;&gt;"", J146&lt;&gt;"", J146&lt;&gt;VLOOKUP(K146, Criterios!$A$81:$B$120, 2, FALSE)), "División no coincide con Categoría", ""))), IF(OR(L146="", L146=""), "[Aviso] Género no capturado ()", IF(ISNA(MATCH(L146, Criterios!$B$123:$B$127, 0)), "Género no válido", "")), IF(OR(N146="", N146=""), "[Aviso] Temporada no capturada ()", IF(ISNA(MATCH(N146, Criterios!$C$123:$C$128, 0)), "Temporada no válida", "")), IF(OR(O146="", O146=""), "[Aviso] Ciclo de vida no capturado ()", IF(ISNA(MATCH(O146, Criterios!$D$123:$D$124, 0)), "Ciclo de vida no válido", ""))))</f>
        <v/>
      </c>
      <c r="AC146" s="56" t="n"/>
      <c r="AD146" s="51" t="n">
        <v>3</v>
      </c>
      <c r="AE146" s="156" t="inlineStr">
        <is>
          <t>CL Muestras (2); Web (2)</t>
        </is>
      </c>
      <c r="AF146" s="51" t="n">
        <v>4</v>
      </c>
      <c r="AG146" s="156" t="inlineStr">
        <is>
          <t>Nuevo – NetSuite con existencia</t>
        </is>
      </c>
      <c r="AH146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46" s="156" t="inlineStr">
        <is>
          <t>Sí</t>
        </is>
      </c>
      <c r="AJ146" s="156" t="inlineStr">
        <is>
          <t>CAPSLAB Warehouse (-1)</t>
        </is>
      </c>
      <c r="AK146" s="155" t="inlineStr">
        <is>
          <t>G1522ProductosTodosloscamposSandboxResults894.xlsx: fila 47829 [X]; G1522_Extraccion_Articulos_NetSuite_2026-09-30.xlsx: fila 30343 [Z]</t>
        </is>
      </c>
      <c r="AL146" s="58" t="n"/>
      <c r="AM146" s="58" t="n"/>
      <c r="AN146" s="155" t="n"/>
      <c r="AO146" s="59" t="n"/>
      <c r="AP146" s="59" t="n"/>
      <c r="AQ146" s="59" t="n"/>
      <c r="AR146" s="155" t="n"/>
    </row>
    <row r="147">
      <c r="A147" s="50" t="inlineStr">
        <is>
          <t>3614001697625</t>
        </is>
      </c>
      <c r="B147" s="51" t="inlineStr">
        <is>
          <t>69614</t>
        </is>
      </c>
      <c r="C147" s="156" t="inlineStr">
        <is>
          <t>CAPSLAB</t>
        </is>
      </c>
      <c r="D147" s="156" t="inlineStr">
        <is>
          <t>CL/DC6/1/CD/BAT</t>
        </is>
      </c>
      <c r="E147" s="156" t="inlineStr">
        <is>
          <t>CL/DC6/1/CD/BAT-UNI</t>
        </is>
      </c>
      <c r="F147" s="156" t="inlineStr">
        <is>
          <t>Talla única</t>
        </is>
      </c>
      <c r="G147" s="156" t="inlineStr">
        <is>
          <t>One Size</t>
        </is>
      </c>
      <c r="H147" s="156" t="inlineStr">
        <is>
          <t>CAPSLAB</t>
        </is>
      </c>
      <c r="I147" s="156" t="inlineStr">
        <is>
          <t>Gorra CAPSLAB DC Comics Batman</t>
        </is>
      </c>
      <c r="J147" s="156" t="inlineStr">
        <is>
          <t>Accesorios</t>
        </is>
      </c>
      <c r="K147" s="156" t="inlineStr">
        <is>
          <t>Gorras</t>
        </is>
      </c>
      <c r="L147" s="156" t="inlineStr">
        <is>
          <t>Unisex</t>
        </is>
      </c>
      <c r="M147" s="156" t="inlineStr">
        <is>
          <t>DC Comics</t>
        </is>
      </c>
      <c r="N147" s="156" t="n"/>
      <c r="O147" s="156" t="n"/>
      <c r="P147" s="156" t="n"/>
      <c r="Q147" s="156" t="n"/>
      <c r="R147" s="156" t="n"/>
      <c r="S147" s="156" t="inlineStr">
        <is>
          <t>Algodón / Poliéster</t>
        </is>
      </c>
      <c r="T147" s="156" t="inlineStr">
        <is>
          <t>Gorra de la marca CAPSLAB bajo licencia oficial DC Comics, personaje Batman. Talla única ajustable. Estilo CL/DC6/1/CD/BAT.</t>
        </is>
      </c>
      <c r="U147" s="156" t="n"/>
      <c r="V147" s="156" t="inlineStr">
        <is>
          <t>PZS</t>
        </is>
      </c>
      <c r="W147" s="51" t="inlineStr">
        <is>
          <t>53102516</t>
        </is>
      </c>
      <c r="X147" s="156" t="inlineStr">
        <is>
          <t>https://i.ibb.co/3vvGGCL/CLDC61-CDBAT.jpg</t>
        </is>
      </c>
      <c r="Y147" s="54" t="n"/>
      <c r="Z147" s="54" t="n">
        <v>699</v>
      </c>
      <c r="AA147" s="55">
        <f>IF(AND(A147="", B147="", E147=""), "", IF(AB147="", "Válido", IF((LEN(AB147)-LEN(SUBSTITUTE(AB147,"; ","")))/2+1&gt;(LEN(AB147)-LEN(SUBSTITUTE(AB147,"[Aviso]","")))/7, "Con Incidencias", "Válido")))</f>
        <v/>
      </c>
      <c r="AB147" s="56">
        <f>IF(AND(A147="", B147="", E147=""), "", TEXTJOIN("; ", TRUE, IF(OR(TRIM(A147&amp;"")="", ISNUMBER(SEARCH("FALTA", A147))), "UPC faltante/inválido", ""), IF(AND(A147&lt;&gt;"", IFERROR(_xlfn.XMATCH(A147,$A$2:$A$370,0,1)&lt;&gt;_xlfn.XMATCH(A147,$A$2:$A$370,0,-1),FALSE)), "Código de barras duplicado", ""), IF(AND(E147&lt;&gt;"", COUNTIF($E$2:$E$370, E147)&gt;1), "SKU duplicado", ""), IF(OR(J147="", J147=""), "[Aviso] División no capturada ()", IF(ISNA(MATCH(J147, Criterios!$A$123:$A$126, 0)), "División no válida", "")), IF(OR(K147="", K147=""), "[Aviso] Categoría no capturada ()", IF(ISNA(MATCH(K147, Criterios!$A$81:$A$120, 0)), "Categoría no válida", IF(AND(J147&lt;&gt;"", J147&lt;&gt;"", J147&lt;&gt;VLOOKUP(K147, Criterios!$A$81:$B$120, 2, FALSE)), "División no coincide con Categoría", ""))), IF(OR(L147="", L147=""), "[Aviso] Género no capturado ()", IF(ISNA(MATCH(L147, Criterios!$B$123:$B$127, 0)), "Género no válido", "")), IF(OR(N147="", N147=""), "[Aviso] Temporada no capturada ()", IF(ISNA(MATCH(N147, Criterios!$C$123:$C$128, 0)), "Temporada no válida", "")), IF(OR(O147="", O147=""), "[Aviso] Ciclo de vida no capturado ()", IF(ISNA(MATCH(O147, Criterios!$D$123:$D$124, 0)), "Ciclo de vida no válido", ""))))</f>
        <v/>
      </c>
      <c r="AC147" s="56" t="n"/>
      <c r="AD147" s="51" t="n">
        <v>31</v>
      </c>
      <c r="AE147" s="156" t="inlineStr">
        <is>
          <t>CL Muestras (1); CAPSLAB Warehouse (22); CL POS (5); Web (2)</t>
        </is>
      </c>
      <c r="AF147" s="51" t="n">
        <v>31</v>
      </c>
      <c r="AG147" s="156" t="inlineStr">
        <is>
          <t>Nuevo – NetSuite con existencia</t>
        </is>
      </c>
      <c r="AH147" s="156" t="inlineStr">
        <is>
          <t>Composición CAPSLAB varía por modelo (50/50, 40/60 o 100% poliéster): validar etiqueta; Color por validar; Físico total NetSuite 31 ≠ suma por ubicación 30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47" s="156" t="inlineStr">
        <is>
          <t>No</t>
        </is>
      </c>
      <c r="AJ147" s="156" t="n"/>
      <c r="AK147" s="155" t="inlineStr">
        <is>
          <t>G1522ProductosTodosloscamposSandboxResults894.xlsx: fila 47831 [X]; G1522_Extraccion_Articulos_NetSuite_2026-09-30.xlsx: fila 30344 [Z]</t>
        </is>
      </c>
      <c r="AL147" s="58" t="n"/>
      <c r="AM147" s="58" t="n"/>
      <c r="AN147" s="155" t="n"/>
      <c r="AO147" s="59" t="n"/>
      <c r="AP147" s="59" t="n"/>
      <c r="AQ147" s="59" t="n"/>
      <c r="AR147" s="155" t="n"/>
    </row>
    <row r="148">
      <c r="A148" s="50" t="inlineStr">
        <is>
          <t>3614001698165</t>
        </is>
      </c>
      <c r="B148" s="51" t="inlineStr">
        <is>
          <t>69615</t>
        </is>
      </c>
      <c r="C148" s="156" t="inlineStr">
        <is>
          <t>CAPSLAB</t>
        </is>
      </c>
      <c r="D148" s="156" t="inlineStr">
        <is>
          <t>CL/DC6/1/CT/BAT3</t>
        </is>
      </c>
      <c r="E148" s="156" t="inlineStr">
        <is>
          <t>CL/DC6/1/CT/BAT3-UNI</t>
        </is>
      </c>
      <c r="F148" s="156" t="inlineStr">
        <is>
          <t>Talla única</t>
        </is>
      </c>
      <c r="G148" s="156" t="inlineStr">
        <is>
          <t>One Size</t>
        </is>
      </c>
      <c r="H148" s="156" t="inlineStr">
        <is>
          <t>CAPSLAB</t>
        </is>
      </c>
      <c r="I148" s="156" t="inlineStr">
        <is>
          <t>Gorra trucker CAPSLAB DC Comics Batman</t>
        </is>
      </c>
      <c r="J148" s="156" t="inlineStr">
        <is>
          <t>Accesorios</t>
        </is>
      </c>
      <c r="K148" s="156" t="inlineStr">
        <is>
          <t>Gorras</t>
        </is>
      </c>
      <c r="L148" s="156" t="inlineStr">
        <is>
          <t>Unisex</t>
        </is>
      </c>
      <c r="M148" s="156" t="inlineStr">
        <is>
          <t>DC Comics</t>
        </is>
      </c>
      <c r="N148" s="156" t="n"/>
      <c r="O148" s="156" t="n"/>
      <c r="P148" s="156" t="n"/>
      <c r="Q148" s="156" t="n"/>
      <c r="R148" s="156" t="n"/>
      <c r="S148" s="156" t="inlineStr">
        <is>
          <t>Algodón / Poliéster</t>
        </is>
      </c>
      <c r="T148" s="156" t="inlineStr">
        <is>
          <t>Gorra trucker de la marca CAPSLAB bajo licencia oficial DC Comics, personaje Batman. Talla única ajustable. Estilo CL/DC6/1/CT/BAT3.</t>
        </is>
      </c>
      <c r="U148" s="156" t="n"/>
      <c r="V148" s="156" t="inlineStr">
        <is>
          <t>PZS</t>
        </is>
      </c>
      <c r="W148" s="51" t="inlineStr">
        <is>
          <t>53102516</t>
        </is>
      </c>
      <c r="X148" s="156" t="inlineStr">
        <is>
          <t>https://i.ibb.co/8rw9DDX/CLDC61-CTBAT3.jpg</t>
        </is>
      </c>
      <c r="Y148" s="54" t="n"/>
      <c r="Z148" s="54" t="n">
        <v>799</v>
      </c>
      <c r="AA148" s="55">
        <f>IF(AND(A148="", B148="", E148=""), "", IF(AB148="", "Válido", IF((LEN(AB148)-LEN(SUBSTITUTE(AB148,"; ","")))/2+1&gt;(LEN(AB148)-LEN(SUBSTITUTE(AB148,"[Aviso]","")))/7, "Con Incidencias", "Válido")))</f>
        <v/>
      </c>
      <c r="AB148" s="56">
        <f>IF(AND(A148="", B148="", E148=""), "", TEXTJOIN("; ", TRUE, IF(OR(TRIM(A148&amp;"")="", ISNUMBER(SEARCH("FALTA", A148))), "UPC faltante/inválido", ""), IF(AND(A148&lt;&gt;"", IFERROR(_xlfn.XMATCH(A148,$A$2:$A$370,0,1)&lt;&gt;_xlfn.XMATCH(A148,$A$2:$A$370,0,-1),FALSE)), "Código de barras duplicado", ""), IF(AND(E148&lt;&gt;"", COUNTIF($E$2:$E$370, E148)&gt;1), "SKU duplicado", ""), IF(OR(J148="", J148=""), "[Aviso] División no capturada ()", IF(ISNA(MATCH(J148, Criterios!$A$123:$A$126, 0)), "División no válida", "")), IF(OR(K148="", K148=""), "[Aviso] Categoría no capturada ()", IF(ISNA(MATCH(K148, Criterios!$A$81:$A$120, 0)), "Categoría no válida", IF(AND(J148&lt;&gt;"", J148&lt;&gt;"", J148&lt;&gt;VLOOKUP(K148, Criterios!$A$81:$B$120, 2, FALSE)), "División no coincide con Categoría", ""))), IF(OR(L148="", L148=""), "[Aviso] Género no capturado ()", IF(ISNA(MATCH(L148, Criterios!$B$123:$B$127, 0)), "Género no válido", "")), IF(OR(N148="", N148=""), "[Aviso] Temporada no capturada ()", IF(ISNA(MATCH(N148, Criterios!$C$123:$C$128, 0)), "Temporada no válida", "")), IF(OR(O148="", O148=""), "[Aviso] Ciclo de vida no capturado ()", IF(ISNA(MATCH(O148, Criterios!$D$123:$D$124, 0)), "Ciclo de vida no válido", ""))))</f>
        <v/>
      </c>
      <c r="AC148" s="56" t="n"/>
      <c r="AD148" s="51" t="n">
        <v>81</v>
      </c>
      <c r="AE148" s="156" t="inlineStr">
        <is>
          <t>CL Muestras (1); Web (2); CL POS (3); CAPSLAB Warehouse (44)</t>
        </is>
      </c>
      <c r="AF148" s="51" t="n">
        <v>81</v>
      </c>
      <c r="AG148" s="156" t="inlineStr">
        <is>
          <t>Nuevo – NetSuite con existencia</t>
        </is>
      </c>
      <c r="AH148" s="156" t="inlineStr">
        <is>
          <t>Composición CAPSLAB varía por modelo (50/50, 40/60 o 100% poliéster): validar etiqueta; Color por validar; Físico total NetSuite 81 ≠ suma por ubicación 50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48" s="156" t="inlineStr">
        <is>
          <t>No</t>
        </is>
      </c>
      <c r="AJ148" s="156" t="n"/>
      <c r="AK148" s="155" t="inlineStr">
        <is>
          <t>G1522ProductosTodosloscamposSandboxResults894.xlsx: fila 47833 [X]; G1522_Extraccion_Articulos_NetSuite_2026-09-30.xlsx: fila 30345 [Z]</t>
        </is>
      </c>
      <c r="AL148" s="58" t="n"/>
      <c r="AM148" s="58" t="n"/>
      <c r="AN148" s="155" t="n"/>
      <c r="AO148" s="59" t="n"/>
      <c r="AP148" s="59" t="n"/>
      <c r="AQ148" s="59" t="n"/>
      <c r="AR148" s="155" t="n"/>
    </row>
    <row r="149">
      <c r="A149" s="50" t="inlineStr">
        <is>
          <t>3614001698189</t>
        </is>
      </c>
      <c r="B149" s="51" t="inlineStr">
        <is>
          <t>69616</t>
        </is>
      </c>
      <c r="C149" s="156" t="inlineStr">
        <is>
          <t>CAPSLAB</t>
        </is>
      </c>
      <c r="D149" s="156" t="inlineStr">
        <is>
          <t>CL/DC6/1/CT/BATV</t>
        </is>
      </c>
      <c r="E149" s="156" t="inlineStr">
        <is>
          <t>CL/DC6/1/CT/BATV-UNI</t>
        </is>
      </c>
      <c r="F149" s="156" t="inlineStr">
        <is>
          <t>Talla única</t>
        </is>
      </c>
      <c r="G149" s="156" t="inlineStr">
        <is>
          <t>One Size</t>
        </is>
      </c>
      <c r="H149" s="156" t="inlineStr">
        <is>
          <t>CAPSLAB</t>
        </is>
      </c>
      <c r="I149" s="156" t="inlineStr">
        <is>
          <t>Gorra trucker CAPSLAB DC Comics Batman</t>
        </is>
      </c>
      <c r="J149" s="156" t="inlineStr">
        <is>
          <t>Accesorios</t>
        </is>
      </c>
      <c r="K149" s="156" t="inlineStr">
        <is>
          <t>Gorras</t>
        </is>
      </c>
      <c r="L149" s="156" t="inlineStr">
        <is>
          <t>Unisex</t>
        </is>
      </c>
      <c r="M149" s="156" t="inlineStr">
        <is>
          <t>DC Comics</t>
        </is>
      </c>
      <c r="N149" s="156" t="n"/>
      <c r="O149" s="156" t="n"/>
      <c r="P149" s="156" t="n"/>
      <c r="Q149" s="156" t="n"/>
      <c r="R149" s="156" t="n"/>
      <c r="S149" s="156" t="inlineStr">
        <is>
          <t>Algodón / Poliéster</t>
        </is>
      </c>
      <c r="T149" s="156" t="inlineStr">
        <is>
          <t>Gorra trucker de la marca CAPSLAB bajo licencia oficial DC Comics, personaje Batman. Talla única ajustable. Estilo CL/DC6/1/CT/BATV.</t>
        </is>
      </c>
      <c r="U149" s="156" t="n"/>
      <c r="V149" s="156" t="inlineStr">
        <is>
          <t>PZS</t>
        </is>
      </c>
      <c r="W149" s="51" t="inlineStr">
        <is>
          <t>53102516</t>
        </is>
      </c>
      <c r="X149" s="156" t="inlineStr">
        <is>
          <t>https://i.ibb.co/rZQ7qt8/CLDC61-CTBATV.jpg</t>
        </is>
      </c>
      <c r="Y149" s="54" t="n"/>
      <c r="Z149" s="54" t="n">
        <v>799</v>
      </c>
      <c r="AA149" s="55">
        <f>IF(AND(A149="", B149="", E149=""), "", IF(AB149="", "Válido", IF((LEN(AB149)-LEN(SUBSTITUTE(AB149,"; ","")))/2+1&gt;(LEN(AB149)-LEN(SUBSTITUTE(AB149,"[Aviso]","")))/7, "Con Incidencias", "Válido")))</f>
        <v/>
      </c>
      <c r="AB149" s="56">
        <f>IF(AND(A149="", B149="", E149=""), "", TEXTJOIN("; ", TRUE, IF(OR(TRIM(A149&amp;"")="", ISNUMBER(SEARCH("FALTA", A149))), "UPC faltante/inválido", ""), IF(AND(A149&lt;&gt;"", IFERROR(_xlfn.XMATCH(A149,$A$2:$A$370,0,1)&lt;&gt;_xlfn.XMATCH(A149,$A$2:$A$370,0,-1),FALSE)), "Código de barras duplicado", ""), IF(AND(E149&lt;&gt;"", COUNTIF($E$2:$E$370, E149)&gt;1), "SKU duplicado", ""), IF(OR(J149="", J149=""), "[Aviso] División no capturada ()", IF(ISNA(MATCH(J149, Criterios!$A$123:$A$126, 0)), "División no válida", "")), IF(OR(K149="", K149=""), "[Aviso] Categoría no capturada ()", IF(ISNA(MATCH(K149, Criterios!$A$81:$A$120, 0)), "Categoría no válida", IF(AND(J149&lt;&gt;"", J149&lt;&gt;"", J149&lt;&gt;VLOOKUP(K149, Criterios!$A$81:$B$120, 2, FALSE)), "División no coincide con Categoría", ""))), IF(OR(L149="", L149=""), "[Aviso] Género no capturado ()", IF(ISNA(MATCH(L149, Criterios!$B$123:$B$127, 0)), "Género no válido", "")), IF(OR(N149="", N149=""), "[Aviso] Temporada no capturada ()", IF(ISNA(MATCH(N149, Criterios!$C$123:$C$128, 0)), "Temporada no válida", "")), IF(OR(O149="", O149=""), "[Aviso] Ciclo de vida no capturado ()", IF(ISNA(MATCH(O149, Criterios!$D$123:$D$124, 0)), "Ciclo de vida no válido", ""))))</f>
        <v/>
      </c>
      <c r="AC149" s="56" t="n"/>
      <c r="AD149" s="51" t="n">
        <v>8</v>
      </c>
      <c r="AE149" s="156" t="inlineStr">
        <is>
          <t>CAPSLAB Warehouse (6)</t>
        </is>
      </c>
      <c r="AF149" s="51" t="n">
        <v>8</v>
      </c>
      <c r="AG149" s="156" t="inlineStr">
        <is>
          <t>Nuevo – NetSuite con existencia</t>
        </is>
      </c>
      <c r="AH149" s="156" t="inlineStr">
        <is>
          <t>Composición CAPSLAB varía por modelo (50/50, 40/60 o 100% poliéster): validar etiqueta; Color por validar; Físico total NetSuite 8 ≠ suma por ubicación 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49" s="156" t="inlineStr">
        <is>
          <t>No</t>
        </is>
      </c>
      <c r="AJ149" s="156" t="n"/>
      <c r="AK149" s="155" t="inlineStr">
        <is>
          <t>G1522ProductosTodosloscamposSandboxResults894.xlsx: fila 47835 [X]; G1522_Extraccion_Articulos_NetSuite_2026-09-30.xlsx: fila 30346 [Z]</t>
        </is>
      </c>
      <c r="AL149" s="58" t="n"/>
      <c r="AM149" s="58" t="n"/>
      <c r="AN149" s="155" t="n"/>
      <c r="AO149" s="59" t="n"/>
      <c r="AP149" s="59" t="n"/>
      <c r="AQ149" s="59" t="n"/>
      <c r="AR149" s="155" t="n"/>
    </row>
    <row r="150">
      <c r="A150" s="50" t="inlineStr">
        <is>
          <t>3614001698202</t>
        </is>
      </c>
      <c r="B150" s="51" t="inlineStr">
        <is>
          <t>69617</t>
        </is>
      </c>
      <c r="C150" s="156" t="inlineStr">
        <is>
          <t>CAPSLAB</t>
        </is>
      </c>
      <c r="D150" s="156" t="inlineStr">
        <is>
          <t>CL/DC6/1/CT/BNB</t>
        </is>
      </c>
      <c r="E150" s="156" t="inlineStr">
        <is>
          <t>CL/DC6/1/CT/BNB-UNI</t>
        </is>
      </c>
      <c r="F150" s="156" t="inlineStr">
        <is>
          <t>Talla única</t>
        </is>
      </c>
      <c r="G150" s="156" t="inlineStr">
        <is>
          <t>One Size</t>
        </is>
      </c>
      <c r="H150" s="156" t="inlineStr">
        <is>
          <t>CAPSLAB</t>
        </is>
      </c>
      <c r="I150" s="156" t="inlineStr">
        <is>
          <t>Gorra trucker CAPSLAB DC Comics</t>
        </is>
      </c>
      <c r="J150" s="156" t="inlineStr">
        <is>
          <t>Accesorios</t>
        </is>
      </c>
      <c r="K150" s="156" t="inlineStr">
        <is>
          <t>Gorras</t>
        </is>
      </c>
      <c r="L150" s="156" t="inlineStr">
        <is>
          <t>Unisex</t>
        </is>
      </c>
      <c r="M150" s="156" t="inlineStr">
        <is>
          <t>DC Comics</t>
        </is>
      </c>
      <c r="N150" s="156" t="n"/>
      <c r="O150" s="156" t="n"/>
      <c r="P150" s="156" t="n"/>
      <c r="Q150" s="156" t="n"/>
      <c r="R150" s="156" t="n"/>
      <c r="S150" s="156" t="inlineStr">
        <is>
          <t>Algodón / Poliéster</t>
        </is>
      </c>
      <c r="T150" s="156" t="inlineStr">
        <is>
          <t>Gorra trucker de la marca CAPSLAB bajo licencia oficial DC Comics. Talla única ajustable. Estilo CL/DC6/1/CT/BNB.</t>
        </is>
      </c>
      <c r="U150" s="156" t="n"/>
      <c r="V150" s="156" t="inlineStr">
        <is>
          <t>PZS</t>
        </is>
      </c>
      <c r="W150" s="51" t="inlineStr">
        <is>
          <t>53102516</t>
        </is>
      </c>
      <c r="X150" s="156" t="inlineStr">
        <is>
          <t>https://i.ibb.co/7kxwp7V/CLDC61-CTBNB.jpg</t>
        </is>
      </c>
      <c r="Y150" s="54" t="n"/>
      <c r="Z150" s="54" t="n">
        <v>799</v>
      </c>
      <c r="AA150" s="55">
        <f>IF(AND(A150="", B150="", E150=""), "", IF(AB150="", "Válido", IF((LEN(AB150)-LEN(SUBSTITUTE(AB150,"; ","")))/2+1&gt;(LEN(AB150)-LEN(SUBSTITUTE(AB150,"[Aviso]","")))/7, "Con Incidencias", "Válido")))</f>
        <v/>
      </c>
      <c r="AB150" s="56">
        <f>IF(AND(A150="", B150="", E150=""), "", TEXTJOIN("; ", TRUE, IF(OR(TRIM(A150&amp;"")="", ISNUMBER(SEARCH("FALTA", A150))), "UPC faltante/inválido", ""), IF(AND(A150&lt;&gt;"", IFERROR(_xlfn.XMATCH(A150,$A$2:$A$370,0,1)&lt;&gt;_xlfn.XMATCH(A150,$A$2:$A$370,0,-1),FALSE)), "Código de barras duplicado", ""), IF(AND(E150&lt;&gt;"", COUNTIF($E$2:$E$370, E150)&gt;1), "SKU duplicado", ""), IF(OR(J150="", J150=""), "[Aviso] División no capturada ()", IF(ISNA(MATCH(J150, Criterios!$A$123:$A$126, 0)), "División no válida", "")), IF(OR(K150="", K150=""), "[Aviso] Categoría no capturada ()", IF(ISNA(MATCH(K150, Criterios!$A$81:$A$120, 0)), "Categoría no válida", IF(AND(J150&lt;&gt;"", J150&lt;&gt;"", J150&lt;&gt;VLOOKUP(K150, Criterios!$A$81:$B$120, 2, FALSE)), "División no coincide con Categoría", ""))), IF(OR(L150="", L150=""), "[Aviso] Género no capturado ()", IF(ISNA(MATCH(L150, Criterios!$B$123:$B$127, 0)), "Género no válido", "")), IF(OR(N150="", N150=""), "[Aviso] Temporada no capturada ()", IF(ISNA(MATCH(N150, Criterios!$C$123:$C$128, 0)), "Temporada no válida", "")), IF(OR(O150="", O150=""), "[Aviso] Ciclo de vida no capturado ()", IF(ISNA(MATCH(O150, Criterios!$D$123:$D$124, 0)), "Ciclo de vida no válido", ""))))</f>
        <v/>
      </c>
      <c r="AC150" s="56" t="n"/>
      <c r="AD150" s="51" t="n">
        <v>5</v>
      </c>
      <c r="AE150" s="156" t="inlineStr">
        <is>
          <t>CAPSLAB Warehouse (4)</t>
        </is>
      </c>
      <c r="AF150" s="51" t="n">
        <v>5</v>
      </c>
      <c r="AG150" s="156" t="inlineStr">
        <is>
          <t>Nuevo – NetSuite con existencia</t>
        </is>
      </c>
      <c r="AH150" s="156" t="inlineStr">
        <is>
          <t>Composición CAPSLAB varía por modelo (50/50, 40/60 o 100% poliéster): validar etiqueta; Color por validar; Físico total NetSuite 5 ≠ suma por ubicación 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50" s="156" t="inlineStr">
        <is>
          <t>No</t>
        </is>
      </c>
      <c r="AJ150" s="156" t="n"/>
      <c r="AK150" s="155" t="inlineStr">
        <is>
          <t>G1522ProductosTodosloscamposSandboxResults894.xlsx: fila 47837 [X]; G1522_Extraccion_Articulos_NetSuite_2026-09-30.xlsx: fila 30347 [Z]</t>
        </is>
      </c>
      <c r="AL150" s="58" t="n"/>
      <c r="AM150" s="58" t="n"/>
      <c r="AN150" s="155" t="n"/>
      <c r="AO150" s="59" t="n"/>
      <c r="AP150" s="59" t="n"/>
      <c r="AQ150" s="59" t="n"/>
      <c r="AR150" s="155" t="n"/>
    </row>
    <row r="151">
      <c r="A151" s="50" t="inlineStr">
        <is>
          <t>3614001697168</t>
        </is>
      </c>
      <c r="B151" s="51" t="inlineStr">
        <is>
          <t>69618</t>
        </is>
      </c>
      <c r="C151" s="156" t="inlineStr">
        <is>
          <t>CAPSLAB</t>
        </is>
      </c>
      <c r="D151" s="156" t="inlineStr">
        <is>
          <t>CL/DC6/1/CT/BTP</t>
        </is>
      </c>
      <c r="E151" s="156" t="inlineStr">
        <is>
          <t>CL/DC6/1/CT/BTP-UNI</t>
        </is>
      </c>
      <c r="F151" s="156" t="inlineStr">
        <is>
          <t>Talla única</t>
        </is>
      </c>
      <c r="G151" s="156" t="inlineStr">
        <is>
          <t>One Size</t>
        </is>
      </c>
      <c r="H151" s="156" t="inlineStr">
        <is>
          <t>CAPSLAB</t>
        </is>
      </c>
      <c r="I151" s="156" t="inlineStr">
        <is>
          <t>Gorra trucker CAPSLAB DC Comics</t>
        </is>
      </c>
      <c r="J151" s="156" t="inlineStr">
        <is>
          <t>Accesorios</t>
        </is>
      </c>
      <c r="K151" s="156" t="inlineStr">
        <is>
          <t>Gorras</t>
        </is>
      </c>
      <c r="L151" s="156" t="inlineStr">
        <is>
          <t>Unisex</t>
        </is>
      </c>
      <c r="M151" s="156" t="inlineStr">
        <is>
          <t>DC Comics</t>
        </is>
      </c>
      <c r="N151" s="156" t="n"/>
      <c r="O151" s="156" t="n"/>
      <c r="P151" s="156" t="n"/>
      <c r="Q151" s="156" t="n"/>
      <c r="R151" s="156" t="n"/>
      <c r="S151" s="156" t="inlineStr">
        <is>
          <t>Algodón / Poliéster</t>
        </is>
      </c>
      <c r="T151" s="156" t="inlineStr">
        <is>
          <t>Gorra trucker de la marca CAPSLAB bajo licencia oficial DC Comics. Talla única ajustable. Estilo CL/DC6/1/CT/BTP.</t>
        </is>
      </c>
      <c r="U151" s="156" t="n"/>
      <c r="V151" s="156" t="inlineStr">
        <is>
          <t>PZS</t>
        </is>
      </c>
      <c r="W151" s="51" t="inlineStr">
        <is>
          <t>53102516</t>
        </is>
      </c>
      <c r="X151" s="156" t="inlineStr">
        <is>
          <t>https://i.ibb.co/WH21jbW/CLDC61-CTBTP.jpg</t>
        </is>
      </c>
      <c r="Y151" s="54" t="n"/>
      <c r="Z151" s="54" t="n">
        <v>699</v>
      </c>
      <c r="AA151" s="55">
        <f>IF(AND(A151="", B151="", E151=""), "", IF(AB151="", "Válido", IF((LEN(AB151)-LEN(SUBSTITUTE(AB151,"; ","")))/2+1&gt;(LEN(AB151)-LEN(SUBSTITUTE(AB151,"[Aviso]","")))/7, "Con Incidencias", "Válido")))</f>
        <v/>
      </c>
      <c r="AB151" s="56">
        <f>IF(AND(A151="", B151="", E151=""), "", TEXTJOIN("; ", TRUE, IF(OR(TRIM(A151&amp;"")="", ISNUMBER(SEARCH("FALTA", A151))), "UPC faltante/inválido", ""), IF(AND(A151&lt;&gt;"", IFERROR(_xlfn.XMATCH(A151,$A$2:$A$370,0,1)&lt;&gt;_xlfn.XMATCH(A151,$A$2:$A$370,0,-1),FALSE)), "Código de barras duplicado", ""), IF(AND(E151&lt;&gt;"", COUNTIF($E$2:$E$370, E151)&gt;1), "SKU duplicado", ""), IF(OR(J151="", J151=""), "[Aviso] División no capturada ()", IF(ISNA(MATCH(J151, Criterios!$A$123:$A$126, 0)), "División no válida", "")), IF(OR(K151="", K151=""), "[Aviso] Categoría no capturada ()", IF(ISNA(MATCH(K151, Criterios!$A$81:$A$120, 0)), "Categoría no válida", IF(AND(J151&lt;&gt;"", J151&lt;&gt;"", J151&lt;&gt;VLOOKUP(K151, Criterios!$A$81:$B$120, 2, FALSE)), "División no coincide con Categoría", ""))), IF(OR(L151="", L151=""), "[Aviso] Género no capturado ()", IF(ISNA(MATCH(L151, Criterios!$B$123:$B$127, 0)), "Género no válido", "")), IF(OR(N151="", N151=""), "[Aviso] Temporada no capturada ()", IF(ISNA(MATCH(N151, Criterios!$C$123:$C$128, 0)), "Temporada no válida", "")), IF(OR(O151="", O151=""), "[Aviso] Ciclo de vida no capturado ()", IF(ISNA(MATCH(O151, Criterios!$D$123:$D$124, 0)), "Ciclo de vida no válido", ""))))</f>
        <v/>
      </c>
      <c r="AC151" s="56" t="n"/>
      <c r="AD151" s="51" t="n">
        <v>60</v>
      </c>
      <c r="AE151" s="156" t="inlineStr">
        <is>
          <t>CAPSLAB Warehouse (35); CL Muestras (1); Web (2); CL POS (4)</t>
        </is>
      </c>
      <c r="AF151" s="51" t="n">
        <v>60</v>
      </c>
      <c r="AG151" s="156" t="inlineStr">
        <is>
          <t>Nuevo – NetSuite con existencia</t>
        </is>
      </c>
      <c r="AH151" s="156" t="inlineStr">
        <is>
          <t>Composición CAPSLAB varía por modelo (50/50, 40/60 o 100% poliéster): validar etiqueta; Color por validar; Físico total NetSuite 60 ≠ suma por ubicación 42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51" s="156" t="inlineStr">
        <is>
          <t>No</t>
        </is>
      </c>
      <c r="AJ151" s="156" t="n"/>
      <c r="AK151" s="155" t="inlineStr">
        <is>
          <t>G1522ProductosTodosloscamposSandboxResults894.xlsx: fila 47839 [X]; G1522_Extraccion_Articulos_NetSuite_2026-09-30.xlsx: fila 30348 [Z]</t>
        </is>
      </c>
      <c r="AL151" s="58" t="n"/>
      <c r="AM151" s="58" t="n"/>
      <c r="AN151" s="155" t="n"/>
      <c r="AO151" s="59" t="n"/>
      <c r="AP151" s="59" t="n"/>
      <c r="AQ151" s="59" t="n"/>
      <c r="AR151" s="155" t="n"/>
    </row>
    <row r="152">
      <c r="A152" s="50" t="inlineStr">
        <is>
          <t>3614001697182</t>
        </is>
      </c>
      <c r="B152" s="51" t="inlineStr">
        <is>
          <t>69619</t>
        </is>
      </c>
      <c r="C152" s="156" t="inlineStr">
        <is>
          <t>CAPSLAB</t>
        </is>
      </c>
      <c r="D152" s="156" t="inlineStr">
        <is>
          <t>CL/DC6/1/CT/DAR3</t>
        </is>
      </c>
      <c r="E152" s="156" t="inlineStr">
        <is>
          <t>CL/DC6/1/CT/DAR3-UNI</t>
        </is>
      </c>
      <c r="F152" s="156" t="inlineStr">
        <is>
          <t>Talla única</t>
        </is>
      </c>
      <c r="G152" s="156" t="inlineStr">
        <is>
          <t>One Size</t>
        </is>
      </c>
      <c r="H152" s="156" t="inlineStr">
        <is>
          <t>CAPSLAB</t>
        </is>
      </c>
      <c r="I152" s="156" t="inlineStr">
        <is>
          <t>Gorra trucker CAPSLAB DC Comics</t>
        </is>
      </c>
      <c r="J152" s="156" t="inlineStr">
        <is>
          <t>Accesorios</t>
        </is>
      </c>
      <c r="K152" s="156" t="inlineStr">
        <is>
          <t>Gorras</t>
        </is>
      </c>
      <c r="L152" s="156" t="inlineStr">
        <is>
          <t>Unisex</t>
        </is>
      </c>
      <c r="M152" s="156" t="inlineStr">
        <is>
          <t>DC Comics</t>
        </is>
      </c>
      <c r="N152" s="156" t="n"/>
      <c r="O152" s="156" t="n"/>
      <c r="P152" s="156" t="n"/>
      <c r="Q152" s="156" t="n"/>
      <c r="R152" s="156" t="n"/>
      <c r="S152" s="156" t="inlineStr">
        <is>
          <t>Algodón / Poliéster</t>
        </is>
      </c>
      <c r="T152" s="156" t="inlineStr">
        <is>
          <t>Gorra trucker de la marca CAPSLAB bajo licencia oficial DC Comics. Talla única ajustable. Estilo CL/DC6/1/CT/DAR3.</t>
        </is>
      </c>
      <c r="U152" s="156" t="n"/>
      <c r="V152" s="156" t="inlineStr">
        <is>
          <t>PZS</t>
        </is>
      </c>
      <c r="W152" s="51" t="inlineStr">
        <is>
          <t>53102516</t>
        </is>
      </c>
      <c r="X152" s="156" t="inlineStr">
        <is>
          <t>https://i.ibb.co/p4Pj4Yx/CLDC61-CTDAR3.jpg</t>
        </is>
      </c>
      <c r="Y152" s="54" t="n"/>
      <c r="Z152" s="54" t="n">
        <v>699</v>
      </c>
      <c r="AA152" s="55">
        <f>IF(AND(A152="", B152="", E152=""), "", IF(AB152="", "Válido", IF((LEN(AB152)-LEN(SUBSTITUTE(AB152,"; ","")))/2+1&gt;(LEN(AB152)-LEN(SUBSTITUTE(AB152,"[Aviso]","")))/7, "Con Incidencias", "Válido")))</f>
        <v/>
      </c>
      <c r="AB152" s="56">
        <f>IF(AND(A152="", B152="", E152=""), "", TEXTJOIN("; ", TRUE, IF(OR(TRIM(A152&amp;"")="", ISNUMBER(SEARCH("FALTA", A152))), "UPC faltante/inválido", ""), IF(AND(A152&lt;&gt;"", IFERROR(_xlfn.XMATCH(A152,$A$2:$A$370,0,1)&lt;&gt;_xlfn.XMATCH(A152,$A$2:$A$370,0,-1),FALSE)), "Código de barras duplicado", ""), IF(AND(E152&lt;&gt;"", COUNTIF($E$2:$E$370, E152)&gt;1), "SKU duplicado", ""), IF(OR(J152="", J152=""), "[Aviso] División no capturada ()", IF(ISNA(MATCH(J152, Criterios!$A$123:$A$126, 0)), "División no válida", "")), IF(OR(K152="", K152=""), "[Aviso] Categoría no capturada ()", IF(ISNA(MATCH(K152, Criterios!$A$81:$A$120, 0)), "Categoría no válida", IF(AND(J152&lt;&gt;"", J152&lt;&gt;"", J152&lt;&gt;VLOOKUP(K152, Criterios!$A$81:$B$120, 2, FALSE)), "División no coincide con Categoría", ""))), IF(OR(L152="", L152=""), "[Aviso] Género no capturado ()", IF(ISNA(MATCH(L152, Criterios!$B$123:$B$127, 0)), "Género no válido", "")), IF(OR(N152="", N152=""), "[Aviso] Temporada no capturada ()", IF(ISNA(MATCH(N152, Criterios!$C$123:$C$128, 0)), "Temporada no válida", "")), IF(OR(O152="", O152=""), "[Aviso] Ciclo de vida no capturado ()", IF(ISNA(MATCH(O152, Criterios!$D$123:$D$124, 0)), "Ciclo de vida no válido", ""))))</f>
        <v/>
      </c>
      <c r="AC152" s="56" t="n"/>
      <c r="AD152" s="51" t="n">
        <v>28</v>
      </c>
      <c r="AE152" s="156" t="inlineStr">
        <is>
          <t>CAPSLAB Warehouse (18); CL Muestras (1); CL POS (4); Web (1)</t>
        </is>
      </c>
      <c r="AF152" s="51" t="n">
        <v>28</v>
      </c>
      <c r="AG152" s="156" t="inlineStr">
        <is>
          <t>Nuevo – NetSuite con existencia</t>
        </is>
      </c>
      <c r="AH152" s="156" t="inlineStr">
        <is>
          <t>Composición CAPSLAB varía por modelo (50/50, 40/60 o 100% poliéster): validar etiqueta; Color por validar; Físico total NetSuite 28 ≠ suma por ubicación 24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52" s="156" t="inlineStr">
        <is>
          <t>No</t>
        </is>
      </c>
      <c r="AJ152" s="156" t="n"/>
      <c r="AK152" s="155" t="inlineStr">
        <is>
          <t>G1522ProductosTodosloscamposSandboxResults894.xlsx: fila 47841 [X]; G1522_Extraccion_Articulos_NetSuite_2026-09-30.xlsx: fila 30349 [Z]</t>
        </is>
      </c>
      <c r="AL152" s="58" t="n"/>
      <c r="AM152" s="58" t="n"/>
      <c r="AN152" s="155" t="n"/>
      <c r="AO152" s="59" t="n"/>
      <c r="AP152" s="59" t="n"/>
      <c r="AQ152" s="59" t="n"/>
      <c r="AR152" s="155" t="n"/>
    </row>
    <row r="153">
      <c r="A153" s="50" t="inlineStr">
        <is>
          <t>3614001697229</t>
        </is>
      </c>
      <c r="B153" s="51" t="inlineStr">
        <is>
          <t>69620</t>
        </is>
      </c>
      <c r="C153" s="156" t="inlineStr">
        <is>
          <t>CAPSLAB</t>
        </is>
      </c>
      <c r="D153" s="156" t="inlineStr">
        <is>
          <t>CL/DC6/1/CT/MEM3</t>
        </is>
      </c>
      <c r="E153" s="156" t="inlineStr">
        <is>
          <t>CL/DC6/1/CT/MEM3-UNI</t>
        </is>
      </c>
      <c r="F153" s="156" t="inlineStr">
        <is>
          <t>Talla única</t>
        </is>
      </c>
      <c r="G153" s="156" t="inlineStr">
        <is>
          <t>One Size</t>
        </is>
      </c>
      <c r="H153" s="156" t="inlineStr">
        <is>
          <t>CAPSLAB</t>
        </is>
      </c>
      <c r="I153" s="156" t="inlineStr">
        <is>
          <t>Gorra trucker CAPSLAB DC Comics</t>
        </is>
      </c>
      <c r="J153" s="156" t="inlineStr">
        <is>
          <t>Accesorios</t>
        </is>
      </c>
      <c r="K153" s="156" t="inlineStr">
        <is>
          <t>Gorras</t>
        </is>
      </c>
      <c r="L153" s="156" t="inlineStr">
        <is>
          <t>Unisex</t>
        </is>
      </c>
      <c r="M153" s="156" t="inlineStr">
        <is>
          <t>DC Comics</t>
        </is>
      </c>
      <c r="N153" s="156" t="n"/>
      <c r="O153" s="156" t="n"/>
      <c r="P153" s="156" t="n"/>
      <c r="Q153" s="156" t="n"/>
      <c r="R153" s="156" t="n"/>
      <c r="S153" s="156" t="inlineStr">
        <is>
          <t>Algodón / Poliéster</t>
        </is>
      </c>
      <c r="T153" s="156" t="inlineStr">
        <is>
          <t>Gorra trucker de la marca CAPSLAB bajo licencia oficial DC Comics. Talla única ajustable. Estilo CL/DC6/1/CT/MEM3.</t>
        </is>
      </c>
      <c r="U153" s="156" t="n"/>
      <c r="V153" s="156" t="inlineStr">
        <is>
          <t>PZS</t>
        </is>
      </c>
      <c r="W153" s="51" t="inlineStr">
        <is>
          <t>53102516</t>
        </is>
      </c>
      <c r="X153" s="156" t="inlineStr">
        <is>
          <t>https://i.ibb.co/1G1WgJt/CLDC61-CTMEM3.jpg</t>
        </is>
      </c>
      <c r="Y153" s="54" t="n"/>
      <c r="Z153" s="54" t="n">
        <v>699</v>
      </c>
      <c r="AA153" s="55">
        <f>IF(AND(A153="", B153="", E153=""), "", IF(AB153="", "Válido", IF((LEN(AB153)-LEN(SUBSTITUTE(AB153,"; ","")))/2+1&gt;(LEN(AB153)-LEN(SUBSTITUTE(AB153,"[Aviso]","")))/7, "Con Incidencias", "Válido")))</f>
        <v/>
      </c>
      <c r="AB153" s="56">
        <f>IF(AND(A153="", B153="", E153=""), "", TEXTJOIN("; ", TRUE, IF(OR(TRIM(A153&amp;"")="", ISNUMBER(SEARCH("FALTA", A153))), "UPC faltante/inválido", ""), IF(AND(A153&lt;&gt;"", IFERROR(_xlfn.XMATCH(A153,$A$2:$A$370,0,1)&lt;&gt;_xlfn.XMATCH(A153,$A$2:$A$370,0,-1),FALSE)), "Código de barras duplicado", ""), IF(AND(E153&lt;&gt;"", COUNTIF($E$2:$E$370, E153)&gt;1), "SKU duplicado", ""), IF(OR(J153="", J153=""), "[Aviso] División no capturada ()", IF(ISNA(MATCH(J153, Criterios!$A$123:$A$126, 0)), "División no válida", "")), IF(OR(K153="", K153=""), "[Aviso] Categoría no capturada ()", IF(ISNA(MATCH(K153, Criterios!$A$81:$A$120, 0)), "Categoría no válida", IF(AND(J153&lt;&gt;"", J153&lt;&gt;"", J153&lt;&gt;VLOOKUP(K153, Criterios!$A$81:$B$120, 2, FALSE)), "División no coincide con Categoría", ""))), IF(OR(L153="", L153=""), "[Aviso] Género no capturado ()", IF(ISNA(MATCH(L153, Criterios!$B$123:$B$127, 0)), "Género no válido", "")), IF(OR(N153="", N153=""), "[Aviso] Temporada no capturada ()", IF(ISNA(MATCH(N153, Criterios!$C$123:$C$128, 0)), "Temporada no válida", "")), IF(OR(O153="", O153=""), "[Aviso] Ciclo de vida no capturado ()", IF(ISNA(MATCH(O153, Criterios!$D$123:$D$124, 0)), "Ciclo de vida no válido", ""))))</f>
        <v/>
      </c>
      <c r="AC153" s="56" t="n"/>
      <c r="AD153" s="51" t="n">
        <v>253</v>
      </c>
      <c r="AE153" s="156" t="inlineStr">
        <is>
          <t>CL Muestras (1); Web (2); CAPSLAB Warehouse (127); CL POS (4)</t>
        </is>
      </c>
      <c r="AF153" s="51" t="n">
        <v>252</v>
      </c>
      <c r="AG153" s="156" t="inlineStr">
        <is>
          <t>Nuevo – NetSuite con existencia</t>
        </is>
      </c>
      <c r="AH153" s="156" t="inlineStr">
        <is>
          <t>Composición CAPSLAB varía por modelo (50/50, 40/60 o 100% poliéster): validar etiqueta; Color por validar; Físico total NetSuite 253 ≠ suma por ubicación 134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53" s="156" t="inlineStr">
        <is>
          <t>No</t>
        </is>
      </c>
      <c r="AJ153" s="156" t="n"/>
      <c r="AK153" s="155" t="inlineStr">
        <is>
          <t>G1522ProductosTodosloscamposSandboxResults894.xlsx: fila 47843 [X]; G1522_Extraccion_Articulos_NetSuite_2026-09-30.xlsx: fila 30350 [Z]</t>
        </is>
      </c>
      <c r="AL153" s="58" t="n"/>
      <c r="AM153" s="58" t="n"/>
      <c r="AN153" s="155" t="n"/>
      <c r="AO153" s="59" t="n"/>
      <c r="AP153" s="59" t="n"/>
      <c r="AQ153" s="59" t="n"/>
      <c r="AR153" s="155" t="n"/>
    </row>
    <row r="154">
      <c r="A154" s="50" t="inlineStr">
        <is>
          <t>3614000833994</t>
        </is>
      </c>
      <c r="B154" s="51" t="inlineStr">
        <is>
          <t>57380</t>
        </is>
      </c>
      <c r="C154" s="156" t="inlineStr">
        <is>
          <t>CAPSLAB</t>
        </is>
      </c>
      <c r="D154" s="156" t="inlineStr">
        <is>
          <t>CL/LOO/1/BUG1</t>
        </is>
      </c>
      <c r="E154" s="156" t="inlineStr">
        <is>
          <t>CL/LOO/1/BUG1-UNI</t>
        </is>
      </c>
      <c r="F154" s="156" t="inlineStr">
        <is>
          <t>Talla única</t>
        </is>
      </c>
      <c r="G154" s="156" t="inlineStr">
        <is>
          <t>One Size</t>
        </is>
      </c>
      <c r="H154" s="156" t="inlineStr">
        <is>
          <t>CAPSLAB</t>
        </is>
      </c>
      <c r="I154" s="156" t="inlineStr">
        <is>
          <t>Gorra CAPSLAB Looney Tunes Bugs Bunny Rojo</t>
        </is>
      </c>
      <c r="J154" s="156" t="inlineStr">
        <is>
          <t>Accesorios</t>
        </is>
      </c>
      <c r="K154" s="156" t="inlineStr">
        <is>
          <t>Gorras</t>
        </is>
      </c>
      <c r="L154" s="156" t="inlineStr">
        <is>
          <t>Unisex</t>
        </is>
      </c>
      <c r="M154" s="156" t="inlineStr">
        <is>
          <t>Looney Tunes</t>
        </is>
      </c>
      <c r="N154" s="156" t="n"/>
      <c r="O154" s="156" t="n"/>
      <c r="P154" s="156" t="inlineStr">
        <is>
          <t>Rojo</t>
        </is>
      </c>
      <c r="Q154" s="156" t="n"/>
      <c r="R154" s="156" t="n"/>
      <c r="S154" s="156" t="inlineStr">
        <is>
          <t>Algodón / Poliéster</t>
        </is>
      </c>
      <c r="T154" s="156" t="inlineStr">
        <is>
          <t>Gorra de la marca CAPSLAB bajo licencia oficial Looney Tunes, personaje Bugs Bunny. Talla única ajustable. Estilo CL/LOO/1/BUG1.</t>
        </is>
      </c>
      <c r="U154" s="156" t="n"/>
      <c r="V154" s="156" t="inlineStr">
        <is>
          <t>PZS</t>
        </is>
      </c>
      <c r="W154" s="51" t="inlineStr">
        <is>
          <t>53102516</t>
        </is>
      </c>
      <c r="X154" s="156" t="inlineStr">
        <is>
          <t>https://7913364.app.netsuite.com/core/media/media.nl?id=188251&amp;c=7913364&amp;h=6PSRtaO25tBa7hv6onGwwq9VP7Pf3jNA7DJY2TPvdzNy-yS3</t>
        </is>
      </c>
      <c r="Y154" s="54" t="n">
        <v>8.5</v>
      </c>
      <c r="Z154" s="54" t="n">
        <v>699</v>
      </c>
      <c r="AA154" s="55">
        <f>IF(AND(A154="", B154="", E154=""), "", IF(AB154="", "Válido", IF((LEN(AB154)-LEN(SUBSTITUTE(AB154,"; ","")))/2+1&gt;(LEN(AB154)-LEN(SUBSTITUTE(AB154,"[Aviso]","")))/7, "Con Incidencias", "Válido")))</f>
        <v/>
      </c>
      <c r="AB154" s="56">
        <f>IF(AND(A154="", B154="", E154=""), "", TEXTJOIN("; ", TRUE, IF(OR(TRIM(A154&amp;"")="", ISNUMBER(SEARCH("FALTA", A154))), "UPC faltante/inválido", ""), IF(AND(A154&lt;&gt;"", IFERROR(_xlfn.XMATCH(A154,$A$2:$A$370,0,1)&lt;&gt;_xlfn.XMATCH(A154,$A$2:$A$370,0,-1),FALSE)), "Código de barras duplicado", ""), IF(AND(E154&lt;&gt;"", COUNTIF($E$2:$E$370, E154)&gt;1), "SKU duplicado", ""), IF(OR(J154="", J154=""), "[Aviso] División no capturada ()", IF(ISNA(MATCH(J154, Criterios!$A$123:$A$126, 0)), "División no válida", "")), IF(OR(K154="", K154=""), "[Aviso] Categoría no capturada ()", IF(ISNA(MATCH(K154, Criterios!$A$81:$A$120, 0)), "Categoría no válida", IF(AND(J154&lt;&gt;"", J154&lt;&gt;"", J154&lt;&gt;VLOOKUP(K154, Criterios!$A$81:$B$120, 2, FALSE)), "División no coincide con Categoría", ""))), IF(OR(L154="", L154=""), "[Aviso] Género no capturado ()", IF(ISNA(MATCH(L154, Criterios!$B$123:$B$127, 0)), "Género no válido", "")), IF(OR(N154="", N154=""), "[Aviso] Temporada no capturada ()", IF(ISNA(MATCH(N154, Criterios!$C$123:$C$128, 0)), "Temporada no válida", "")), IF(OR(O154="", O154=""), "[Aviso] Ciclo de vida no capturado ()", IF(ISNA(MATCH(O154, Criterios!$D$123:$D$124, 0)), "Ciclo de vida no válido", ""))))</f>
        <v/>
      </c>
      <c r="AC154" s="56" t="n"/>
      <c r="AD154" s="51" t="n">
        <v>4</v>
      </c>
      <c r="AE154" s="156" t="inlineStr">
        <is>
          <t>CL Muestras (1); CAPSLAB Warehouse (3)</t>
        </is>
      </c>
      <c r="AF154" s="51" t="n">
        <v>4</v>
      </c>
      <c r="AG154" s="156" t="inlineStr">
        <is>
          <t>Nuevo – NetSuite con existencia</t>
        </is>
      </c>
      <c r="AH15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54" s="156" t="inlineStr">
        <is>
          <t>No</t>
        </is>
      </c>
      <c r="AJ154" s="156" t="n"/>
      <c r="AK154" s="155" t="inlineStr">
        <is>
          <t>G1522ProductosTodosloscamposSandboxResults894.xlsx: fila 47846 [Y]; G1522_Extraccion_Articulos_NetSuite_2026-09-30.xlsx: fila 20763 [Z]</t>
        </is>
      </c>
      <c r="AL154" s="58" t="n">
        <v>8.5</v>
      </c>
      <c r="AM154" s="58" t="n"/>
      <c r="AN154" s="155" t="n"/>
      <c r="AO154" s="59" t="n"/>
      <c r="AP154" s="59" t="n"/>
      <c r="AQ154" s="59" t="n"/>
      <c r="AR154" s="155" t="n"/>
    </row>
    <row r="155">
      <c r="A155" s="50" t="inlineStr">
        <is>
          <t>3614000813484</t>
        </is>
      </c>
      <c r="B155" s="51" t="inlineStr">
        <is>
          <t>57381</t>
        </is>
      </c>
      <c r="C155" s="156" t="inlineStr">
        <is>
          <t>CAPSLAB</t>
        </is>
      </c>
      <c r="D155" s="156" t="inlineStr">
        <is>
          <t>CL/LOO/1/BUN1</t>
        </is>
      </c>
      <c r="E155" s="156" t="inlineStr">
        <is>
          <t>CL/LOO/1/BUN1-UNI</t>
        </is>
      </c>
      <c r="F155" s="156" t="inlineStr">
        <is>
          <t>Talla única</t>
        </is>
      </c>
      <c r="G155" s="156" t="inlineStr">
        <is>
          <t>One Size</t>
        </is>
      </c>
      <c r="H155" s="156" t="inlineStr">
        <is>
          <t>CAPSLAB</t>
        </is>
      </c>
      <c r="I155" s="156" t="inlineStr">
        <is>
          <t>Gorra CAPSLAB Looney Tunes Negro</t>
        </is>
      </c>
      <c r="J155" s="156" t="inlineStr">
        <is>
          <t>Accesorios</t>
        </is>
      </c>
      <c r="K155" s="156" t="inlineStr">
        <is>
          <t>Gorras</t>
        </is>
      </c>
      <c r="L155" s="156" t="inlineStr">
        <is>
          <t>Unisex</t>
        </is>
      </c>
      <c r="M155" s="156" t="inlineStr">
        <is>
          <t>Looney Tunes</t>
        </is>
      </c>
      <c r="N155" s="156" t="n"/>
      <c r="O155" s="156" t="n"/>
      <c r="P155" s="156" t="inlineStr">
        <is>
          <t>Negro</t>
        </is>
      </c>
      <c r="Q155" s="156" t="n"/>
      <c r="R155" s="156" t="n"/>
      <c r="S155" s="156" t="inlineStr">
        <is>
          <t>Algodón / Poliéster</t>
        </is>
      </c>
      <c r="T155" s="156" t="inlineStr">
        <is>
          <t>Gorra de la marca CAPSLAB bajo licencia oficial Looney Tunes. Talla única ajustable. Estilo CL/LOO/1/BUN1.</t>
        </is>
      </c>
      <c r="U155" s="156" t="n"/>
      <c r="V155" s="156" t="inlineStr">
        <is>
          <t>PZS</t>
        </is>
      </c>
      <c r="W155" s="51" t="inlineStr">
        <is>
          <t>53102516</t>
        </is>
      </c>
      <c r="X155" s="156" t="inlineStr">
        <is>
          <t>https://7913364.app.netsuite.com/core/media/media.nl?id=188252&amp;c=7913364&amp;h=mtvx2C9PGM5wuEVyyN_YO6biQAPRDPPsGCxo8hx9ZW943boW</t>
        </is>
      </c>
      <c r="Y155" s="54" t="n">
        <v>8.5</v>
      </c>
      <c r="Z155" s="54" t="n">
        <v>699</v>
      </c>
      <c r="AA155" s="55">
        <f>IF(AND(A155="", B155="", E155=""), "", IF(AB155="", "Válido", IF((LEN(AB155)-LEN(SUBSTITUTE(AB155,"; ","")))/2+1&gt;(LEN(AB155)-LEN(SUBSTITUTE(AB155,"[Aviso]","")))/7, "Con Incidencias", "Válido")))</f>
        <v/>
      </c>
      <c r="AB155" s="56">
        <f>IF(AND(A155="", B155="", E155=""), "", TEXTJOIN("; ", TRUE, IF(OR(TRIM(A155&amp;"")="", ISNUMBER(SEARCH("FALTA", A155))), "UPC faltante/inválido", ""), IF(AND(A155&lt;&gt;"", IFERROR(_xlfn.XMATCH(A155,$A$2:$A$370,0,1)&lt;&gt;_xlfn.XMATCH(A155,$A$2:$A$370,0,-1),FALSE)), "Código de barras duplicado", ""), IF(AND(E155&lt;&gt;"", COUNTIF($E$2:$E$370, E155)&gt;1), "SKU duplicado", ""), IF(OR(J155="", J155=""), "[Aviso] División no capturada ()", IF(ISNA(MATCH(J155, Criterios!$A$123:$A$126, 0)), "División no válida", "")), IF(OR(K155="", K155=""), "[Aviso] Categoría no capturada ()", IF(ISNA(MATCH(K155, Criterios!$A$81:$A$120, 0)), "Categoría no válida", IF(AND(J155&lt;&gt;"", J155&lt;&gt;"", J155&lt;&gt;VLOOKUP(K155, Criterios!$A$81:$B$120, 2, FALSE)), "División no coincide con Categoría", ""))), IF(OR(L155="", L155=""), "[Aviso] Género no capturado ()", IF(ISNA(MATCH(L155, Criterios!$B$123:$B$127, 0)), "Género no válido", "")), IF(OR(N155="", N155=""), "[Aviso] Temporada no capturada ()", IF(ISNA(MATCH(N155, Criterios!$C$123:$C$128, 0)), "Temporada no válida", "")), IF(OR(O155="", O155=""), "[Aviso] Ciclo de vida no capturado ()", IF(ISNA(MATCH(O155, Criterios!$D$123:$D$124, 0)), "Ciclo de vida no válido", ""))))</f>
        <v/>
      </c>
      <c r="AC155" s="56" t="n"/>
      <c r="AD155" s="51" t="n">
        <v>65</v>
      </c>
      <c r="AE155" s="156" t="inlineStr">
        <is>
          <t>CL Muestras (2); CAPSLAB Warehouse (59); Web (3)</t>
        </is>
      </c>
      <c r="AF155" s="51" t="n">
        <v>65</v>
      </c>
      <c r="AG155" s="156" t="inlineStr">
        <is>
          <t>Nuevo – NetSuite con existencia</t>
        </is>
      </c>
      <c r="AH155" s="156" t="inlineStr">
        <is>
          <t>Composición CAPSLAB varía por modelo (50/50, 40/60 o 100% poliéster): validar etiqueta; Físico total NetSuite 65 ≠ suma por ubicación 64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55" s="156" t="inlineStr">
        <is>
          <t>No</t>
        </is>
      </c>
      <c r="AJ155" s="156" t="n"/>
      <c r="AK155" s="155" t="inlineStr">
        <is>
          <t>G1522ProductosTodosloscamposSandboxResults894.xlsx: fila 47848 [Y]; G1522_Extraccion_Articulos_NetSuite_2026-09-30.xlsx: fila 20764 [Z]</t>
        </is>
      </c>
      <c r="AL155" s="58" t="n">
        <v>8.5</v>
      </c>
      <c r="AM155" s="58" t="n"/>
      <c r="AN155" s="155" t="n"/>
      <c r="AO155" s="59" t="n"/>
      <c r="AP155" s="59" t="n"/>
      <c r="AQ155" s="59" t="n"/>
      <c r="AR155" s="155" t="n"/>
    </row>
    <row r="156">
      <c r="A156" s="50" t="inlineStr">
        <is>
          <t>3614000813491</t>
        </is>
      </c>
      <c r="B156" s="51" t="inlineStr">
        <is>
          <t>57382</t>
        </is>
      </c>
      <c r="C156" s="156" t="inlineStr">
        <is>
          <t>CAPSLAB</t>
        </is>
      </c>
      <c r="D156" s="156" t="inlineStr">
        <is>
          <t>CL/LOO/1/BUN2</t>
        </is>
      </c>
      <c r="E156" s="156" t="inlineStr">
        <is>
          <t>CL/LOO/1/BUN2-UNI</t>
        </is>
      </c>
      <c r="F156" s="156" t="inlineStr">
        <is>
          <t>Talla única</t>
        </is>
      </c>
      <c r="G156" s="156" t="inlineStr">
        <is>
          <t>One Size</t>
        </is>
      </c>
      <c r="H156" s="156" t="inlineStr">
        <is>
          <t>CAPSLAB</t>
        </is>
      </c>
      <c r="I156" s="156" t="inlineStr">
        <is>
          <t>Gorra CAPSLAB Looney Tunes Café</t>
        </is>
      </c>
      <c r="J156" s="156" t="inlineStr">
        <is>
          <t>Accesorios</t>
        </is>
      </c>
      <c r="K156" s="156" t="inlineStr">
        <is>
          <t>Gorras</t>
        </is>
      </c>
      <c r="L156" s="156" t="inlineStr">
        <is>
          <t>Unisex</t>
        </is>
      </c>
      <c r="M156" s="156" t="inlineStr">
        <is>
          <t>Looney Tunes</t>
        </is>
      </c>
      <c r="N156" s="156" t="n"/>
      <c r="O156" s="156" t="n"/>
      <c r="P156" s="156" t="inlineStr">
        <is>
          <t>Cafe</t>
        </is>
      </c>
      <c r="Q156" s="156" t="n"/>
      <c r="R156" s="156" t="n"/>
      <c r="S156" s="156" t="inlineStr">
        <is>
          <t>Algodón / Poliéster</t>
        </is>
      </c>
      <c r="T156" s="156" t="inlineStr">
        <is>
          <t>Gorra de la marca CAPSLAB bajo licencia oficial Looney Tunes. Talla única ajustable. Estilo CL/LOO/1/BUN2.</t>
        </is>
      </c>
      <c r="U156" s="156" t="n"/>
      <c r="V156" s="156" t="inlineStr">
        <is>
          <t>PZS</t>
        </is>
      </c>
      <c r="W156" s="51" t="inlineStr">
        <is>
          <t>53102516</t>
        </is>
      </c>
      <c r="X156" s="156" t="inlineStr">
        <is>
          <t>https://7913364.app.netsuite.com/core/media/media.nl?id=188253&amp;c=7913364&amp;h=Xi3MD4sBf-TLvsZ5VwTE1XTXKtgIzjOD-n0ZBMQIUMu5baAj</t>
        </is>
      </c>
      <c r="Y156" s="54" t="n">
        <v>8.5</v>
      </c>
      <c r="Z156" s="54" t="n">
        <v>699</v>
      </c>
      <c r="AA156" s="55">
        <f>IF(AND(A156="", B156="", E156=""), "", IF(AB156="", "Válido", IF((LEN(AB156)-LEN(SUBSTITUTE(AB156,"; ","")))/2+1&gt;(LEN(AB156)-LEN(SUBSTITUTE(AB156,"[Aviso]","")))/7, "Con Incidencias", "Válido")))</f>
        <v/>
      </c>
      <c r="AB156" s="56">
        <f>IF(AND(A156="", B156="", E156=""), "", TEXTJOIN("; ", TRUE, IF(OR(TRIM(A156&amp;"")="", ISNUMBER(SEARCH("FALTA", A156))), "UPC faltante/inválido", ""), IF(AND(A156&lt;&gt;"", IFERROR(_xlfn.XMATCH(A156,$A$2:$A$370,0,1)&lt;&gt;_xlfn.XMATCH(A156,$A$2:$A$370,0,-1),FALSE)), "Código de barras duplicado", ""), IF(AND(E156&lt;&gt;"", COUNTIF($E$2:$E$370, E156)&gt;1), "SKU duplicado", ""), IF(OR(J156="", J156=""), "[Aviso] División no capturada ()", IF(ISNA(MATCH(J156, Criterios!$A$123:$A$126, 0)), "División no válida", "")), IF(OR(K156="", K156=""), "[Aviso] Categoría no capturada ()", IF(ISNA(MATCH(K156, Criterios!$A$81:$A$120, 0)), "Categoría no válida", IF(AND(J156&lt;&gt;"", J156&lt;&gt;"", J156&lt;&gt;VLOOKUP(K156, Criterios!$A$81:$B$120, 2, FALSE)), "División no coincide con Categoría", ""))), IF(OR(L156="", L156=""), "[Aviso] Género no capturado ()", IF(ISNA(MATCH(L156, Criterios!$B$123:$B$127, 0)), "Género no válido", "")), IF(OR(N156="", N156=""), "[Aviso] Temporada no capturada ()", IF(ISNA(MATCH(N156, Criterios!$C$123:$C$128, 0)), "Temporada no válida", "")), IF(OR(O156="", O156=""), "[Aviso] Ciclo de vida no capturado ()", IF(ISNA(MATCH(O156, Criterios!$D$123:$D$124, 0)), "Ciclo de vida no válido", ""))))</f>
        <v/>
      </c>
      <c r="AC156" s="56" t="n"/>
      <c r="AD156" s="51" t="n">
        <v>26</v>
      </c>
      <c r="AE156" s="156" t="inlineStr">
        <is>
          <t>CL Muestras (1); Web (1); CAPSLAB Warehouse (22)</t>
        </is>
      </c>
      <c r="AF156" s="51" t="n">
        <v>26</v>
      </c>
      <c r="AG156" s="156" t="inlineStr">
        <is>
          <t>Nuevo – NetSuite con existencia</t>
        </is>
      </c>
      <c r="AH156" s="156" t="inlineStr">
        <is>
          <t>Composición CAPSLAB varía por modelo (50/50, 40/60 o 100% poliéster): validar etiqueta; Físico total NetSuite 26 ≠ suma por ubicación 24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56" s="156" t="inlineStr">
        <is>
          <t>No</t>
        </is>
      </c>
      <c r="AJ156" s="156" t="n"/>
      <c r="AK156" s="155" t="inlineStr">
        <is>
          <t>G1522ProductosTodosloscamposSandboxResults894.xlsx: fila 47850 [Y]; G1522_Extraccion_Articulos_NetSuite_2026-09-30.xlsx: fila 20765 [Z]</t>
        </is>
      </c>
      <c r="AL156" s="58" t="n">
        <v>8.5</v>
      </c>
      <c r="AM156" s="58" t="n"/>
      <c r="AN156" s="155" t="n"/>
      <c r="AO156" s="59" t="n"/>
      <c r="AP156" s="59" t="n"/>
      <c r="AQ156" s="59" t="n"/>
      <c r="AR156" s="155" t="n"/>
    </row>
    <row r="157">
      <c r="A157" s="50" t="inlineStr">
        <is>
          <t>3614000885047</t>
        </is>
      </c>
      <c r="B157" s="51" t="inlineStr">
        <is>
          <t>57446</t>
        </is>
      </c>
      <c r="C157" s="156" t="inlineStr">
        <is>
          <t>CAPSLAB</t>
        </is>
      </c>
      <c r="D157" s="156" t="inlineStr">
        <is>
          <t>CL/LOO/1/BUN5</t>
        </is>
      </c>
      <c r="E157" s="156" t="inlineStr">
        <is>
          <t>CL/LOO/1/BUN5-uNI</t>
        </is>
      </c>
      <c r="F157" s="156" t="inlineStr">
        <is>
          <t>Talla única</t>
        </is>
      </c>
      <c r="G157" s="156" t="inlineStr">
        <is>
          <t>One Size</t>
        </is>
      </c>
      <c r="H157" s="156" t="inlineStr">
        <is>
          <t>CAPSLAB</t>
        </is>
      </c>
      <c r="I157" s="156" t="inlineStr">
        <is>
          <t>Gorra CAPSLAB Looney Tunes Azul</t>
        </is>
      </c>
      <c r="J157" s="156" t="inlineStr">
        <is>
          <t>Accesorios</t>
        </is>
      </c>
      <c r="K157" s="156" t="inlineStr">
        <is>
          <t>Gorras</t>
        </is>
      </c>
      <c r="L157" s="156" t="inlineStr">
        <is>
          <t>Unisex</t>
        </is>
      </c>
      <c r="M157" s="156" t="inlineStr">
        <is>
          <t>Looney Tunes</t>
        </is>
      </c>
      <c r="N157" s="156" t="n"/>
      <c r="O157" s="156" t="n"/>
      <c r="P157" s="156" t="inlineStr">
        <is>
          <t>Azul</t>
        </is>
      </c>
      <c r="Q157" s="156" t="n"/>
      <c r="R157" s="156" t="n"/>
      <c r="S157" s="156" t="inlineStr">
        <is>
          <t>Algodón / Poliéster</t>
        </is>
      </c>
      <c r="T157" s="156" t="inlineStr">
        <is>
          <t>Gorra de la marca CAPSLAB bajo licencia oficial Looney Tunes. Talla única ajustable. Estilo CL/LOO/1/BUN5.</t>
        </is>
      </c>
      <c r="U157" s="156" t="n"/>
      <c r="V157" s="156" t="inlineStr">
        <is>
          <t>PZS</t>
        </is>
      </c>
      <c r="W157" s="51" t="inlineStr">
        <is>
          <t>53102516</t>
        </is>
      </c>
      <c r="X157" s="156" t="inlineStr">
        <is>
          <t>https://7913364.app.netsuite.com/core/media/media.nl?id=188354&amp;c=7913364&amp;h=qbVqqawSsrCsbkSSTdmevDikDFec1UgNkZMMx_5J_vdViM9A</t>
        </is>
      </c>
      <c r="Y157" s="54" t="n">
        <v>8.5</v>
      </c>
      <c r="Z157" s="54" t="n">
        <v>699</v>
      </c>
      <c r="AA157" s="55">
        <f>IF(AND(A157="", B157="", E157=""), "", IF(AB157="", "Válido", IF((LEN(AB157)-LEN(SUBSTITUTE(AB157,"; ","")))/2+1&gt;(LEN(AB157)-LEN(SUBSTITUTE(AB157,"[Aviso]","")))/7, "Con Incidencias", "Válido")))</f>
        <v/>
      </c>
      <c r="AB157" s="56">
        <f>IF(AND(A157="", B157="", E157=""), "", TEXTJOIN("; ", TRUE, IF(OR(TRIM(A157&amp;"")="", ISNUMBER(SEARCH("FALTA", A157))), "UPC faltante/inválido", ""), IF(AND(A157&lt;&gt;"", IFERROR(_xlfn.XMATCH(A157,$A$2:$A$370,0,1)&lt;&gt;_xlfn.XMATCH(A157,$A$2:$A$370,0,-1),FALSE)), "Código de barras duplicado", ""), IF(AND(E157&lt;&gt;"", COUNTIF($E$2:$E$370, E157)&gt;1), "SKU duplicado", ""), IF(OR(J157="", J157=""), "[Aviso] División no capturada ()", IF(ISNA(MATCH(J157, Criterios!$A$123:$A$126, 0)), "División no válida", "")), IF(OR(K157="", K157=""), "[Aviso] Categoría no capturada ()", IF(ISNA(MATCH(K157, Criterios!$A$81:$A$120, 0)), "Categoría no válida", IF(AND(J157&lt;&gt;"", J157&lt;&gt;"", J157&lt;&gt;VLOOKUP(K157, Criterios!$A$81:$B$120, 2, FALSE)), "División no coincide con Categoría", ""))), IF(OR(L157="", L157=""), "[Aviso] Género no capturado ()", IF(ISNA(MATCH(L157, Criterios!$B$123:$B$127, 0)), "Género no válido", "")), IF(OR(N157="", N157=""), "[Aviso] Temporada no capturada ()", IF(ISNA(MATCH(N157, Criterios!$C$123:$C$128, 0)), "Temporada no válida", "")), IF(OR(O157="", O157=""), "[Aviso] Ciclo de vida no capturado ()", IF(ISNA(MATCH(O157, Criterios!$D$123:$D$124, 0)), "Ciclo de vida no válido", ""))))</f>
        <v/>
      </c>
      <c r="AC157" s="56" t="n"/>
      <c r="AD157" s="51" t="n">
        <v>67</v>
      </c>
      <c r="AE157" s="156" t="inlineStr">
        <is>
          <t>CL Muestras (1); Web (7); CAPSLAB Warehouse (41)</t>
        </is>
      </c>
      <c r="AF157" s="51" t="n">
        <v>66</v>
      </c>
      <c r="AG157" s="156" t="inlineStr">
        <is>
          <t>Nuevo – NetSuite con existencia</t>
        </is>
      </c>
      <c r="AH157" s="156" t="inlineStr">
        <is>
          <t>Composición CAPSLAB varía por modelo (50/50, 40/60 o 100% poliéster): validar etiqueta; Físico total NetSuite 67 ≠ suma por ubicación 49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57" s="156" t="inlineStr">
        <is>
          <t>No</t>
        </is>
      </c>
      <c r="AJ157" s="156" t="n"/>
      <c r="AK157" s="155" t="inlineStr">
        <is>
          <t>G1522ProductosTodosloscamposSandboxResults894.xlsx: fila 47852 [Y]; G1522_Extraccion_Articulos_NetSuite_2026-09-30.xlsx: fila 20828 [Z]</t>
        </is>
      </c>
      <c r="AL157" s="58" t="n">
        <v>8.5</v>
      </c>
      <c r="AM157" s="58" t="n"/>
      <c r="AN157" s="155" t="n"/>
      <c r="AO157" s="59" t="n"/>
      <c r="AP157" s="59" t="n"/>
      <c r="AQ157" s="59" t="n"/>
      <c r="AR157" s="155" t="n"/>
    </row>
    <row r="158">
      <c r="A158" s="50" t="inlineStr">
        <is>
          <t>3614000827658</t>
        </is>
      </c>
      <c r="B158" s="51" t="inlineStr">
        <is>
          <t>57383</t>
        </is>
      </c>
      <c r="C158" s="156" t="inlineStr">
        <is>
          <t>CAPSLAB</t>
        </is>
      </c>
      <c r="D158" s="156" t="inlineStr">
        <is>
          <t>CL/LOO/1/COY1</t>
        </is>
      </c>
      <c r="E158" s="156" t="inlineStr">
        <is>
          <t>CL/LOO/1/COY1-UNI</t>
        </is>
      </c>
      <c r="F158" s="156" t="inlineStr">
        <is>
          <t>Talla única</t>
        </is>
      </c>
      <c r="G158" s="156" t="inlineStr">
        <is>
          <t>One Size</t>
        </is>
      </c>
      <c r="H158" s="156" t="inlineStr">
        <is>
          <t>CAPSLAB</t>
        </is>
      </c>
      <c r="I158" s="156" t="inlineStr">
        <is>
          <t>Gorra CAPSLAB Looney Tunes Coyote Negro</t>
        </is>
      </c>
      <c r="J158" s="156" t="inlineStr">
        <is>
          <t>Accesorios</t>
        </is>
      </c>
      <c r="K158" s="156" t="inlineStr">
        <is>
          <t>Gorras</t>
        </is>
      </c>
      <c r="L158" s="156" t="inlineStr">
        <is>
          <t>Unisex</t>
        </is>
      </c>
      <c r="M158" s="156" t="inlineStr">
        <is>
          <t>Looney Tunes</t>
        </is>
      </c>
      <c r="N158" s="156" t="n"/>
      <c r="O158" s="156" t="n"/>
      <c r="P158" s="156" t="inlineStr">
        <is>
          <t>Negro</t>
        </is>
      </c>
      <c r="Q158" s="156" t="n"/>
      <c r="R158" s="156" t="n"/>
      <c r="S158" s="156" t="inlineStr">
        <is>
          <t>Algodón / Poliéster</t>
        </is>
      </c>
      <c r="T158" s="156" t="inlineStr">
        <is>
          <t>Gorra de la marca CAPSLAB bajo licencia oficial Looney Tunes, personaje Coyote. Talla única ajustable. Estilo CL/LOO/1/COY1.</t>
        </is>
      </c>
      <c r="U158" s="156" t="n"/>
      <c r="V158" s="156" t="inlineStr">
        <is>
          <t>PZS</t>
        </is>
      </c>
      <c r="W158" s="51" t="inlineStr">
        <is>
          <t>53102516</t>
        </is>
      </c>
      <c r="X158" s="156" t="inlineStr">
        <is>
          <t>https://7913364.app.netsuite.com/core/media/media.nl?id=188254&amp;c=7913364&amp;h=UhOXrxRoZuVMdTDDsYovTu_S7VkFhYY_oiQ_uJknOTOnnbgr</t>
        </is>
      </c>
      <c r="Y158" s="54" t="n">
        <v>8.5</v>
      </c>
      <c r="Z158" s="54" t="n">
        <v>699</v>
      </c>
      <c r="AA158" s="55">
        <f>IF(AND(A158="", B158="", E158=""), "", IF(AB158="", "Válido", IF((LEN(AB158)-LEN(SUBSTITUTE(AB158,"; ","")))/2+1&gt;(LEN(AB158)-LEN(SUBSTITUTE(AB158,"[Aviso]","")))/7, "Con Incidencias", "Válido")))</f>
        <v/>
      </c>
      <c r="AB158" s="56">
        <f>IF(AND(A158="", B158="", E158=""), "", TEXTJOIN("; ", TRUE, IF(OR(TRIM(A158&amp;"")="", ISNUMBER(SEARCH("FALTA", A158))), "UPC faltante/inválido", ""), IF(AND(A158&lt;&gt;"", IFERROR(_xlfn.XMATCH(A158,$A$2:$A$370,0,1)&lt;&gt;_xlfn.XMATCH(A158,$A$2:$A$370,0,-1),FALSE)), "Código de barras duplicado", ""), IF(AND(E158&lt;&gt;"", COUNTIF($E$2:$E$370, E158)&gt;1), "SKU duplicado", ""), IF(OR(J158="", J158=""), "[Aviso] División no capturada ()", IF(ISNA(MATCH(J158, Criterios!$A$123:$A$126, 0)), "División no válida", "")), IF(OR(K158="", K158=""), "[Aviso] Categoría no capturada ()", IF(ISNA(MATCH(K158, Criterios!$A$81:$A$120, 0)), "Categoría no válida", IF(AND(J158&lt;&gt;"", J158&lt;&gt;"", J158&lt;&gt;VLOOKUP(K158, Criterios!$A$81:$B$120, 2, FALSE)), "División no coincide con Categoría", ""))), IF(OR(L158="", L158=""), "[Aviso] Género no capturado ()", IF(ISNA(MATCH(L158, Criterios!$B$123:$B$127, 0)), "Género no válido", "")), IF(OR(N158="", N158=""), "[Aviso] Temporada no capturada ()", IF(ISNA(MATCH(N158, Criterios!$C$123:$C$128, 0)), "Temporada no válida", "")), IF(OR(O158="", O158=""), "[Aviso] Ciclo de vida no capturado ()", IF(ISNA(MATCH(O158, Criterios!$D$123:$D$124, 0)), "Ciclo de vida no válido", ""))))</f>
        <v/>
      </c>
      <c r="AC158" s="56" t="n"/>
      <c r="AD158" s="51" t="n">
        <v>211</v>
      </c>
      <c r="AE158" s="156" t="inlineStr">
        <is>
          <t>CL POS (2); Web (2); CAPSLAB Warehouse (117); CL Muestras (1)</t>
        </is>
      </c>
      <c r="AF158" s="51" t="n">
        <v>213</v>
      </c>
      <c r="AG158" s="156" t="inlineStr">
        <is>
          <t>Nuevo – NetSuite con existencia</t>
        </is>
      </c>
      <c r="AH158" s="156" t="inlineStr">
        <is>
          <t>Composición CAPSLAB varía por modelo (50/50, 40/60 o 100% poliéster): validar etiqueta; Físico total NetSuite 211 ≠ suma por ubicación 122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58" s="156" t="inlineStr">
        <is>
          <t>No</t>
        </is>
      </c>
      <c r="AJ158" s="156" t="n"/>
      <c r="AK158" s="155" t="inlineStr">
        <is>
          <t>G1522ProductosTodosloscamposSandboxResults894.xlsx: fila 47854 [Y]; G1522_Extraccion_Articulos_NetSuite_2026-09-30.xlsx: fila 20766 [Z]</t>
        </is>
      </c>
      <c r="AL158" s="58" t="n">
        <v>8.5</v>
      </c>
      <c r="AM158" s="58" t="n"/>
      <c r="AN158" s="155" t="n"/>
      <c r="AO158" s="59" t="n"/>
      <c r="AP158" s="59" t="n"/>
      <c r="AQ158" s="59" t="n"/>
      <c r="AR158" s="155" t="n"/>
    </row>
    <row r="159">
      <c r="A159" s="50" t="inlineStr">
        <is>
          <t>3614000813507</t>
        </is>
      </c>
      <c r="B159" s="51" t="inlineStr">
        <is>
          <t>57384</t>
        </is>
      </c>
      <c r="C159" s="156" t="inlineStr">
        <is>
          <t>CAPSLAB</t>
        </is>
      </c>
      <c r="D159" s="156" t="inlineStr">
        <is>
          <t>CL/LOO/1/COY2</t>
        </is>
      </c>
      <c r="E159" s="156" t="inlineStr">
        <is>
          <t>CL/LOO/1/COY2-UNI</t>
        </is>
      </c>
      <c r="F159" s="156" t="inlineStr">
        <is>
          <t>Talla única</t>
        </is>
      </c>
      <c r="G159" s="156" t="inlineStr">
        <is>
          <t>One Size</t>
        </is>
      </c>
      <c r="H159" s="156" t="inlineStr">
        <is>
          <t>CAPSLAB</t>
        </is>
      </c>
      <c r="I159" s="156" t="inlineStr">
        <is>
          <t>Gorra CAPSLAB Looney Tunes Coyote Café</t>
        </is>
      </c>
      <c r="J159" s="156" t="inlineStr">
        <is>
          <t>Accesorios</t>
        </is>
      </c>
      <c r="K159" s="156" t="inlineStr">
        <is>
          <t>Gorras</t>
        </is>
      </c>
      <c r="L159" s="156" t="inlineStr">
        <is>
          <t>Unisex</t>
        </is>
      </c>
      <c r="M159" s="156" t="inlineStr">
        <is>
          <t>Looney Tunes</t>
        </is>
      </c>
      <c r="N159" s="156" t="n"/>
      <c r="O159" s="156" t="n"/>
      <c r="P159" s="156" t="inlineStr">
        <is>
          <t>Cafe</t>
        </is>
      </c>
      <c r="Q159" s="156" t="n"/>
      <c r="R159" s="156" t="n"/>
      <c r="S159" s="156" t="inlineStr">
        <is>
          <t>Algodón / Poliéster</t>
        </is>
      </c>
      <c r="T159" s="156" t="inlineStr">
        <is>
          <t>Gorra de la marca CAPSLAB bajo licencia oficial Looney Tunes, personaje Coyote. Talla única ajustable. Estilo CL/LOO/1/COY2.</t>
        </is>
      </c>
      <c r="U159" s="156" t="n"/>
      <c r="V159" s="156" t="inlineStr">
        <is>
          <t>PZS</t>
        </is>
      </c>
      <c r="W159" s="51" t="inlineStr">
        <is>
          <t>53102516</t>
        </is>
      </c>
      <c r="X159" s="156" t="inlineStr">
        <is>
          <t>https://7913364.app.netsuite.com/core/media/media.nl?id=188255&amp;c=7913364&amp;h=7VGtg9FfzPg8g1TkKVvDauMcJUfSZRUVHLwYtTY08r-DsvxG</t>
        </is>
      </c>
      <c r="Y159" s="54" t="n">
        <v>8.5</v>
      </c>
      <c r="Z159" s="54" t="n">
        <v>699</v>
      </c>
      <c r="AA159" s="55">
        <f>IF(AND(A159="", B159="", E159=""), "", IF(AB159="", "Válido", IF((LEN(AB159)-LEN(SUBSTITUTE(AB159,"; ","")))/2+1&gt;(LEN(AB159)-LEN(SUBSTITUTE(AB159,"[Aviso]","")))/7, "Con Incidencias", "Válido")))</f>
        <v/>
      </c>
      <c r="AB159" s="56">
        <f>IF(AND(A159="", B159="", E159=""), "", TEXTJOIN("; ", TRUE, IF(OR(TRIM(A159&amp;"")="", ISNUMBER(SEARCH("FALTA", A159))), "UPC faltante/inválido", ""), IF(AND(A159&lt;&gt;"", IFERROR(_xlfn.XMATCH(A159,$A$2:$A$370,0,1)&lt;&gt;_xlfn.XMATCH(A159,$A$2:$A$370,0,-1),FALSE)), "Código de barras duplicado", ""), IF(AND(E159&lt;&gt;"", COUNTIF($E$2:$E$370, E159)&gt;1), "SKU duplicado", ""), IF(OR(J159="", J159=""), "[Aviso] División no capturada ()", IF(ISNA(MATCH(J159, Criterios!$A$123:$A$126, 0)), "División no válida", "")), IF(OR(K159="", K159=""), "[Aviso] Categoría no capturada ()", IF(ISNA(MATCH(K159, Criterios!$A$81:$A$120, 0)), "Categoría no válida", IF(AND(J159&lt;&gt;"", J159&lt;&gt;"", J159&lt;&gt;VLOOKUP(K159, Criterios!$A$81:$B$120, 2, FALSE)), "División no coincide con Categoría", ""))), IF(OR(L159="", L159=""), "[Aviso] Género no capturado ()", IF(ISNA(MATCH(L159, Criterios!$B$123:$B$127, 0)), "Género no válido", "")), IF(OR(N159="", N159=""), "[Aviso] Temporada no capturada ()", IF(ISNA(MATCH(N159, Criterios!$C$123:$C$128, 0)), "Temporada no válida", "")), IF(OR(O159="", O159=""), "[Aviso] Ciclo de vida no capturado ()", IF(ISNA(MATCH(O159, Criterios!$D$123:$D$124, 0)), "Ciclo de vida no válido", ""))))</f>
        <v/>
      </c>
      <c r="AC159" s="56" t="n"/>
      <c r="AD159" s="51" t="n">
        <v>0</v>
      </c>
      <c r="AE159" s="156" t="n"/>
      <c r="AF159" s="51" t="n">
        <v>0</v>
      </c>
      <c r="AG159" s="156" t="inlineStr">
        <is>
          <t>Nuevo – NetSuite sin existencia</t>
        </is>
      </c>
      <c r="AH15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59" s="156" t="inlineStr">
        <is>
          <t>No</t>
        </is>
      </c>
      <c r="AJ159" s="156" t="n"/>
      <c r="AK159" s="155" t="inlineStr">
        <is>
          <t>G1522ProductosTodosloscamposSandboxResults894.xlsx: fila 47856 [Y]; G1522_Extraccion_Articulos_NetSuite_2026-09-30.xlsx: fila 20767 [Z]</t>
        </is>
      </c>
      <c r="AL159" s="58" t="n">
        <v>8.5</v>
      </c>
      <c r="AM159" s="58" t="n"/>
      <c r="AN159" s="155" t="n"/>
      <c r="AO159" s="59" t="n"/>
      <c r="AP159" s="59" t="n"/>
      <c r="AQ159" s="59" t="n"/>
      <c r="AR159" s="155" t="n"/>
    </row>
    <row r="160">
      <c r="A160" s="50" t="inlineStr">
        <is>
          <t>3614000810971</t>
        </is>
      </c>
      <c r="B160" s="51" t="inlineStr">
        <is>
          <t>69621</t>
        </is>
      </c>
      <c r="C160" s="156" t="inlineStr">
        <is>
          <t>CAPSLAB</t>
        </is>
      </c>
      <c r="D160" s="156" t="inlineStr">
        <is>
          <t>CL/LOO/1/DAF1</t>
        </is>
      </c>
      <c r="E160" s="156" t="inlineStr">
        <is>
          <t>CL/LOO/1/DAF1-UNI</t>
        </is>
      </c>
      <c r="F160" s="156" t="inlineStr">
        <is>
          <t>Talla única</t>
        </is>
      </c>
      <c r="G160" s="156" t="inlineStr">
        <is>
          <t>One Size</t>
        </is>
      </c>
      <c r="H160" s="156" t="inlineStr">
        <is>
          <t>CAPSLAB</t>
        </is>
      </c>
      <c r="I160" s="156" t="inlineStr">
        <is>
          <t>Gorra CAPSLAB Looney Tunes Pato Lucas</t>
        </is>
      </c>
      <c r="J160" s="156" t="inlineStr">
        <is>
          <t>Accesorios</t>
        </is>
      </c>
      <c r="K160" s="156" t="inlineStr">
        <is>
          <t>Gorras</t>
        </is>
      </c>
      <c r="L160" s="156" t="inlineStr">
        <is>
          <t>Unisex</t>
        </is>
      </c>
      <c r="M160" s="156" t="inlineStr">
        <is>
          <t>Looney Tunes</t>
        </is>
      </c>
      <c r="N160" s="156" t="n"/>
      <c r="O160" s="156" t="n"/>
      <c r="P160" s="156" t="n"/>
      <c r="Q160" s="156" t="n"/>
      <c r="R160" s="156" t="n"/>
      <c r="S160" s="156" t="inlineStr">
        <is>
          <t>Algodón / Poliéster</t>
        </is>
      </c>
      <c r="T160" s="156" t="inlineStr">
        <is>
          <t>Gorra de la marca CAPSLAB bajo licencia oficial Looney Tunes, personaje Pato Lucas. Talla única ajustable. Estilo CL/LOO/1/DAF1.</t>
        </is>
      </c>
      <c r="U160" s="156" t="n"/>
      <c r="V160" s="156" t="inlineStr">
        <is>
          <t>PZS</t>
        </is>
      </c>
      <c r="W160" s="51" t="inlineStr">
        <is>
          <t>53102516</t>
        </is>
      </c>
      <c r="X160" s="156" t="inlineStr">
        <is>
          <t>https://i.ibb.co/2N9pP9n/CLLOO1-DAF1.jpg</t>
        </is>
      </c>
      <c r="Y160" s="54" t="n"/>
      <c r="Z160" s="54" t="n">
        <v>699</v>
      </c>
      <c r="AA160" s="55">
        <f>IF(AND(A160="", B160="", E160=""), "", IF(AB160="", "Válido", IF((LEN(AB160)-LEN(SUBSTITUTE(AB160,"; ","")))/2+1&gt;(LEN(AB160)-LEN(SUBSTITUTE(AB160,"[Aviso]","")))/7, "Con Incidencias", "Válido")))</f>
        <v/>
      </c>
      <c r="AB160" s="56">
        <f>IF(AND(A160="", B160="", E160=""), "", TEXTJOIN("; ", TRUE, IF(OR(TRIM(A160&amp;"")="", ISNUMBER(SEARCH("FALTA", A160))), "UPC faltante/inválido", ""), IF(AND(A160&lt;&gt;"", IFERROR(_xlfn.XMATCH(A160,$A$2:$A$370,0,1)&lt;&gt;_xlfn.XMATCH(A160,$A$2:$A$370,0,-1),FALSE)), "Código de barras duplicado", ""), IF(AND(E160&lt;&gt;"", COUNTIF($E$2:$E$370, E160)&gt;1), "SKU duplicado", ""), IF(OR(J160="", J160=""), "[Aviso] División no capturada ()", IF(ISNA(MATCH(J160, Criterios!$A$123:$A$126, 0)), "División no válida", "")), IF(OR(K160="", K160=""), "[Aviso] Categoría no capturada ()", IF(ISNA(MATCH(K160, Criterios!$A$81:$A$120, 0)), "Categoría no válida", IF(AND(J160&lt;&gt;"", J160&lt;&gt;"", J160&lt;&gt;VLOOKUP(K160, Criterios!$A$81:$B$120, 2, FALSE)), "División no coincide con Categoría", ""))), IF(OR(L160="", L160=""), "[Aviso] Género no capturado ()", IF(ISNA(MATCH(L160, Criterios!$B$123:$B$127, 0)), "Género no válido", "")), IF(OR(N160="", N160=""), "[Aviso] Temporada no capturada ()", IF(ISNA(MATCH(N160, Criterios!$C$123:$C$128, 0)), "Temporada no válida", "")), IF(OR(O160="", O160=""), "[Aviso] Ciclo de vida no capturado ()", IF(ISNA(MATCH(O160, Criterios!$D$123:$D$124, 0)), "Ciclo de vida no válido", ""))))</f>
        <v/>
      </c>
      <c r="AC160" s="56" t="n"/>
      <c r="AD160" s="51" t="n">
        <v>22</v>
      </c>
      <c r="AE160" s="156" t="inlineStr">
        <is>
          <t>Web (1); CL Muestras (2); CAPSLAB Warehouse (18)</t>
        </is>
      </c>
      <c r="AF160" s="51" t="n">
        <v>22</v>
      </c>
      <c r="AG160" s="156" t="inlineStr">
        <is>
          <t>Nuevo – NetSuite con existencia</t>
        </is>
      </c>
      <c r="AH160" s="156" t="inlineStr">
        <is>
          <t>Composición CAPSLAB varía por modelo (50/50, 40/60 o 100% poliéster): validar etiqueta; Color por validar; Físico total NetSuite 22 ≠ suma por ubicación 21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60" s="156" t="inlineStr">
        <is>
          <t>No</t>
        </is>
      </c>
      <c r="AJ160" s="156" t="n"/>
      <c r="AK160" s="155" t="inlineStr">
        <is>
          <t>G1522ProductosTodosloscamposSandboxResults894.xlsx: fila 47858 [X]; G1522_Extraccion_Articulos_NetSuite_2026-09-30.xlsx: fila 30351 [Z]</t>
        </is>
      </c>
      <c r="AL160" s="58" t="n"/>
      <c r="AM160" s="58" t="n"/>
      <c r="AN160" s="155" t="n"/>
      <c r="AO160" s="59" t="n"/>
      <c r="AP160" s="59" t="n"/>
      <c r="AQ160" s="59" t="n"/>
      <c r="AR160" s="155" t="n"/>
    </row>
    <row r="161">
      <c r="A161" s="50" t="inlineStr">
        <is>
          <t>3614000840633</t>
        </is>
      </c>
      <c r="B161" s="51" t="inlineStr">
        <is>
          <t>57385</t>
        </is>
      </c>
      <c r="C161" s="156" t="inlineStr">
        <is>
          <t>CAPSLAB</t>
        </is>
      </c>
      <c r="D161" s="156" t="inlineStr">
        <is>
          <t>CL/LOO/1/DAF2</t>
        </is>
      </c>
      <c r="E161" s="156" t="inlineStr">
        <is>
          <t>CL/LOO/1/DAF2-UNI</t>
        </is>
      </c>
      <c r="F161" s="156" t="inlineStr">
        <is>
          <t>Talla única</t>
        </is>
      </c>
      <c r="G161" s="156" t="inlineStr">
        <is>
          <t>One Size</t>
        </is>
      </c>
      <c r="H161" s="156" t="inlineStr">
        <is>
          <t>CAPSLAB</t>
        </is>
      </c>
      <c r="I161" s="156" t="inlineStr">
        <is>
          <t>Gorra CAPSLAB Looney Tunes Pato Lucas Café</t>
        </is>
      </c>
      <c r="J161" s="156" t="inlineStr">
        <is>
          <t>Accesorios</t>
        </is>
      </c>
      <c r="K161" s="156" t="inlineStr">
        <is>
          <t>Gorras</t>
        </is>
      </c>
      <c r="L161" s="156" t="inlineStr">
        <is>
          <t>Unisex</t>
        </is>
      </c>
      <c r="M161" s="156" t="inlineStr">
        <is>
          <t>Looney Tunes</t>
        </is>
      </c>
      <c r="N161" s="156" t="n"/>
      <c r="O161" s="156" t="n"/>
      <c r="P161" s="156" t="inlineStr">
        <is>
          <t>Cafe</t>
        </is>
      </c>
      <c r="Q161" s="156" t="n"/>
      <c r="R161" s="156" t="n"/>
      <c r="S161" s="156" t="inlineStr">
        <is>
          <t>Algodón / Poliéster</t>
        </is>
      </c>
      <c r="T161" s="156" t="inlineStr">
        <is>
          <t>Gorra de la marca CAPSLAB bajo licencia oficial Looney Tunes, personaje Pato Lucas. Talla única ajustable. Estilo CL/LOO/1/DAF2.</t>
        </is>
      </c>
      <c r="U161" s="156" t="n"/>
      <c r="V161" s="156" t="inlineStr">
        <is>
          <t>PZS</t>
        </is>
      </c>
      <c r="W161" s="51" t="inlineStr">
        <is>
          <t>53102516</t>
        </is>
      </c>
      <c r="X161" s="156" t="inlineStr">
        <is>
          <t>https://7913364.app.netsuite.com/core/media/media.nl?id=188259&amp;c=7913364&amp;h=xA7xyY_iXXnc1CYC9xIxvwGc58tcjBuP-snFeDWlcnxg8SrV</t>
        </is>
      </c>
      <c r="Y161" s="54" t="n">
        <v>8.5</v>
      </c>
      <c r="Z161" s="54" t="n">
        <v>699</v>
      </c>
      <c r="AA161" s="55">
        <f>IF(AND(A161="", B161="", E161=""), "", IF(AB161="", "Válido", IF((LEN(AB161)-LEN(SUBSTITUTE(AB161,"; ","")))/2+1&gt;(LEN(AB161)-LEN(SUBSTITUTE(AB161,"[Aviso]","")))/7, "Con Incidencias", "Válido")))</f>
        <v/>
      </c>
      <c r="AB161" s="56">
        <f>IF(AND(A161="", B161="", E161=""), "", TEXTJOIN("; ", TRUE, IF(OR(TRIM(A161&amp;"")="", ISNUMBER(SEARCH("FALTA", A161))), "UPC faltante/inválido", ""), IF(AND(A161&lt;&gt;"", IFERROR(_xlfn.XMATCH(A161,$A$2:$A$370,0,1)&lt;&gt;_xlfn.XMATCH(A161,$A$2:$A$370,0,-1),FALSE)), "Código de barras duplicado", ""), IF(AND(E161&lt;&gt;"", COUNTIF($E$2:$E$370, E161)&gt;1), "SKU duplicado", ""), IF(OR(J161="", J161=""), "[Aviso] División no capturada ()", IF(ISNA(MATCH(J161, Criterios!$A$123:$A$126, 0)), "División no válida", "")), IF(OR(K161="", K161=""), "[Aviso] Categoría no capturada ()", IF(ISNA(MATCH(K161, Criterios!$A$81:$A$120, 0)), "Categoría no válida", IF(AND(J161&lt;&gt;"", J161&lt;&gt;"", J161&lt;&gt;VLOOKUP(K161, Criterios!$A$81:$B$120, 2, FALSE)), "División no coincide con Categoría", ""))), IF(OR(L161="", L161=""), "[Aviso] Género no capturado ()", IF(ISNA(MATCH(L161, Criterios!$B$123:$B$127, 0)), "Género no válido", "")), IF(OR(N161="", N161=""), "[Aviso] Temporada no capturada ()", IF(ISNA(MATCH(N161, Criterios!$C$123:$C$128, 0)), "Temporada no válida", "")), IF(OR(O161="", O161=""), "[Aviso] Ciclo de vida no capturado ()", IF(ISNA(MATCH(O161, Criterios!$D$123:$D$124, 0)), "Ciclo de vida no válido", ""))))</f>
        <v/>
      </c>
      <c r="AC161" s="56" t="n"/>
      <c r="AD161" s="51" t="n">
        <v>81</v>
      </c>
      <c r="AE161" s="156" t="inlineStr">
        <is>
          <t>CAPSLAB Warehouse (56); CL Muestras (3); Web (2)</t>
        </is>
      </c>
      <c r="AF161" s="51" t="n">
        <v>81</v>
      </c>
      <c r="AG161" s="156" t="inlineStr">
        <is>
          <t>Nuevo – NetSuite con existencia</t>
        </is>
      </c>
      <c r="AH161" s="156" t="inlineStr">
        <is>
          <t>Composición CAPSLAB varía por modelo (50/50, 40/60 o 100% poliéster): validar etiqueta; Físico total NetSuite 81 ≠ suma por ubicación 61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61" s="156" t="inlineStr">
        <is>
          <t>No</t>
        </is>
      </c>
      <c r="AJ161" s="156" t="n"/>
      <c r="AK161" s="155" t="inlineStr">
        <is>
          <t>G1522ProductosTodosloscamposSandboxResults894.xlsx: fila 47860 [Y]; G1522_Extraccion_Articulos_NetSuite_2026-09-30.xlsx: fila 20768 [Z]</t>
        </is>
      </c>
      <c r="AL161" s="58" t="n">
        <v>8.5</v>
      </c>
      <c r="AM161" s="58" t="n"/>
      <c r="AN161" s="155" t="n"/>
      <c r="AO161" s="59" t="n"/>
      <c r="AP161" s="59" t="n"/>
      <c r="AQ161" s="59" t="n"/>
      <c r="AR161" s="155" t="n"/>
    </row>
    <row r="162">
      <c r="A162" s="50" t="inlineStr">
        <is>
          <t>3614000806646</t>
        </is>
      </c>
      <c r="B162" s="51" t="inlineStr">
        <is>
          <t>57386</t>
        </is>
      </c>
      <c r="C162" s="156" t="inlineStr">
        <is>
          <t>CAPSLAB</t>
        </is>
      </c>
      <c r="D162" s="156" t="inlineStr">
        <is>
          <t>CL/LOO/1/DAF4</t>
        </is>
      </c>
      <c r="E162" s="156" t="inlineStr">
        <is>
          <t>CL/LOO/1/DAF4-UNI</t>
        </is>
      </c>
      <c r="F162" s="156" t="inlineStr">
        <is>
          <t>Talla única</t>
        </is>
      </c>
      <c r="G162" s="156" t="inlineStr">
        <is>
          <t>One Size</t>
        </is>
      </c>
      <c r="H162" s="156" t="inlineStr">
        <is>
          <t>CAPSLAB</t>
        </is>
      </c>
      <c r="I162" s="156" t="inlineStr">
        <is>
          <t>Gorra CAPSLAB Looney Tunes Pato Lucas Verde</t>
        </is>
      </c>
      <c r="J162" s="156" t="inlineStr">
        <is>
          <t>Accesorios</t>
        </is>
      </c>
      <c r="K162" s="156" t="inlineStr">
        <is>
          <t>Gorras</t>
        </is>
      </c>
      <c r="L162" s="156" t="inlineStr">
        <is>
          <t>Unisex</t>
        </is>
      </c>
      <c r="M162" s="156" t="inlineStr">
        <is>
          <t>Looney Tunes</t>
        </is>
      </c>
      <c r="N162" s="156" t="n"/>
      <c r="O162" s="156" t="n"/>
      <c r="P162" s="156" t="inlineStr">
        <is>
          <t>Verde</t>
        </is>
      </c>
      <c r="Q162" s="156" t="n"/>
      <c r="R162" s="156" t="n"/>
      <c r="S162" s="156" t="inlineStr">
        <is>
          <t>Algodón / Poliéster</t>
        </is>
      </c>
      <c r="T162" s="156" t="inlineStr">
        <is>
          <t>Gorra de la marca CAPSLAB bajo licencia oficial Looney Tunes, personaje Pato Lucas. Talla única ajustable. Estilo CL/LOO/1/DAF4.</t>
        </is>
      </c>
      <c r="U162" s="156" t="n"/>
      <c r="V162" s="156" t="inlineStr">
        <is>
          <t>PZS</t>
        </is>
      </c>
      <c r="W162" s="51" t="inlineStr">
        <is>
          <t>53102516</t>
        </is>
      </c>
      <c r="X162" s="156" t="inlineStr">
        <is>
          <t>https://7913364.app.netsuite.com/core/media/media.nl?id=188260&amp;c=7913364&amp;h=nPTN1Yr92cV3z90CTbWK9jFB-Wrz4FpYFuRY6Wtoffwr7MnF</t>
        </is>
      </c>
      <c r="Y162" s="54" t="n">
        <v>8.5</v>
      </c>
      <c r="Z162" s="54" t="n">
        <v>699</v>
      </c>
      <c r="AA162" s="55">
        <f>IF(AND(A162="", B162="", E162=""), "", IF(AB162="", "Válido", IF((LEN(AB162)-LEN(SUBSTITUTE(AB162,"; ","")))/2+1&gt;(LEN(AB162)-LEN(SUBSTITUTE(AB162,"[Aviso]","")))/7, "Con Incidencias", "Válido")))</f>
        <v/>
      </c>
      <c r="AB162" s="56">
        <f>IF(AND(A162="", B162="", E162=""), "", TEXTJOIN("; ", TRUE, IF(OR(TRIM(A162&amp;"")="", ISNUMBER(SEARCH("FALTA", A162))), "UPC faltante/inválido", ""), IF(AND(A162&lt;&gt;"", IFERROR(_xlfn.XMATCH(A162,$A$2:$A$370,0,1)&lt;&gt;_xlfn.XMATCH(A162,$A$2:$A$370,0,-1),FALSE)), "Código de barras duplicado", ""), IF(AND(E162&lt;&gt;"", COUNTIF($E$2:$E$370, E162)&gt;1), "SKU duplicado", ""), IF(OR(J162="", J162=""), "[Aviso] División no capturada ()", IF(ISNA(MATCH(J162, Criterios!$A$123:$A$126, 0)), "División no válida", "")), IF(OR(K162="", K162=""), "[Aviso] Categoría no capturada ()", IF(ISNA(MATCH(K162, Criterios!$A$81:$A$120, 0)), "Categoría no válida", IF(AND(J162&lt;&gt;"", J162&lt;&gt;"", J162&lt;&gt;VLOOKUP(K162, Criterios!$A$81:$B$120, 2, FALSE)), "División no coincide con Categoría", ""))), IF(OR(L162="", L162=""), "[Aviso] Género no capturado ()", IF(ISNA(MATCH(L162, Criterios!$B$123:$B$127, 0)), "Género no válido", "")), IF(OR(N162="", N162=""), "[Aviso] Temporada no capturada ()", IF(ISNA(MATCH(N162, Criterios!$C$123:$C$128, 0)), "Temporada no válida", "")), IF(OR(O162="", O162=""), "[Aviso] Ciclo de vida no capturado ()", IF(ISNA(MATCH(O162, Criterios!$D$123:$D$124, 0)), "Ciclo de vida no válido", ""))))</f>
        <v/>
      </c>
      <c r="AC162" s="56" t="n"/>
      <c r="AD162" s="51" t="n">
        <v>117</v>
      </c>
      <c r="AE162" s="156" t="inlineStr">
        <is>
          <t>CAPSLAB Warehouse (76); CL Muestras (2); Web (1)</t>
        </is>
      </c>
      <c r="AF162" s="51" t="n">
        <v>116</v>
      </c>
      <c r="AG162" s="156" t="inlineStr">
        <is>
          <t>Nuevo – NetSuite con existencia</t>
        </is>
      </c>
      <c r="AH162" s="156" t="inlineStr">
        <is>
          <t>Composición CAPSLAB varía por modelo (50/50, 40/60 o 100% poliéster): validar etiqueta; Físico total NetSuite 117 ≠ suma por ubicación 79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62" s="156" t="inlineStr">
        <is>
          <t>No</t>
        </is>
      </c>
      <c r="AJ162" s="156" t="n"/>
      <c r="AK162" s="155" t="inlineStr">
        <is>
          <t>G1522ProductosTodosloscamposSandboxResults894.xlsx: fila 47862 [Y]; G1522_Extraccion_Articulos_NetSuite_2026-09-30.xlsx: fila 20769 [Z]</t>
        </is>
      </c>
      <c r="AL162" s="58" t="n">
        <v>8.5</v>
      </c>
      <c r="AM162" s="58" t="n"/>
      <c r="AN162" s="155" t="n"/>
      <c r="AO162" s="59" t="n"/>
      <c r="AP162" s="59" t="n"/>
      <c r="AQ162" s="59" t="n"/>
      <c r="AR162" s="155" t="n"/>
    </row>
    <row r="163">
      <c r="A163" s="50" t="inlineStr">
        <is>
          <t>3614001628117</t>
        </is>
      </c>
      <c r="B163" s="51" t="inlineStr">
        <is>
          <t>69622</t>
        </is>
      </c>
      <c r="C163" s="156" t="inlineStr">
        <is>
          <t>CAPSLAB</t>
        </is>
      </c>
      <c r="D163" s="156" t="inlineStr">
        <is>
          <t>CL/LOO/1/DAF6</t>
        </is>
      </c>
      <c r="E163" s="156" t="inlineStr">
        <is>
          <t>CL/LOO/1/DAF6-UNI</t>
        </is>
      </c>
      <c r="F163" s="156" t="inlineStr">
        <is>
          <t>Talla única</t>
        </is>
      </c>
      <c r="G163" s="156" t="inlineStr">
        <is>
          <t>One Size</t>
        </is>
      </c>
      <c r="H163" s="156" t="inlineStr">
        <is>
          <t>CAPSLAB</t>
        </is>
      </c>
      <c r="I163" s="156" t="inlineStr">
        <is>
          <t>Gorra CAPSLAB Looney Tunes Pato Lucas</t>
        </is>
      </c>
      <c r="J163" s="156" t="inlineStr">
        <is>
          <t>Accesorios</t>
        </is>
      </c>
      <c r="K163" s="156" t="inlineStr">
        <is>
          <t>Gorras</t>
        </is>
      </c>
      <c r="L163" s="156" t="inlineStr">
        <is>
          <t>Unisex</t>
        </is>
      </c>
      <c r="M163" s="156" t="inlineStr">
        <is>
          <t>Looney Tunes</t>
        </is>
      </c>
      <c r="N163" s="156" t="n"/>
      <c r="O163" s="156" t="n"/>
      <c r="P163" s="156" t="n"/>
      <c r="Q163" s="156" t="n"/>
      <c r="R163" s="156" t="n"/>
      <c r="S163" s="156" t="inlineStr">
        <is>
          <t>Algodón / Poliéster</t>
        </is>
      </c>
      <c r="T163" s="156" t="inlineStr">
        <is>
          <t>Gorra de la marca CAPSLAB bajo licencia oficial Looney Tunes, personaje Pato Lucas. Talla única ajustable. Estilo CL/LOO/1/DAF6.</t>
        </is>
      </c>
      <c r="U163" s="156" t="n"/>
      <c r="V163" s="156" t="inlineStr">
        <is>
          <t>PZS</t>
        </is>
      </c>
      <c r="W163" s="51" t="inlineStr">
        <is>
          <t>53102516</t>
        </is>
      </c>
      <c r="X163" s="156" t="inlineStr">
        <is>
          <t>https://i.ibb.co/phvdbnc/CLLOO1-DAF6.jpg</t>
        </is>
      </c>
      <c r="Y163" s="54" t="n"/>
      <c r="Z163" s="54" t="n">
        <v>799</v>
      </c>
      <c r="AA163" s="55">
        <f>IF(AND(A163="", B163="", E163=""), "", IF(AB163="", "Válido", IF((LEN(AB163)-LEN(SUBSTITUTE(AB163,"; ","")))/2+1&gt;(LEN(AB163)-LEN(SUBSTITUTE(AB163,"[Aviso]","")))/7, "Con Incidencias", "Válido")))</f>
        <v/>
      </c>
      <c r="AB163" s="56">
        <f>IF(AND(A163="", B163="", E163=""), "", TEXTJOIN("; ", TRUE, IF(OR(TRIM(A163&amp;"")="", ISNUMBER(SEARCH("FALTA", A163))), "UPC faltante/inválido", ""), IF(AND(A163&lt;&gt;"", IFERROR(_xlfn.XMATCH(A163,$A$2:$A$370,0,1)&lt;&gt;_xlfn.XMATCH(A163,$A$2:$A$370,0,-1),FALSE)), "Código de barras duplicado", ""), IF(AND(E163&lt;&gt;"", COUNTIF($E$2:$E$370, E163)&gt;1), "SKU duplicado", ""), IF(OR(J163="", J163=""), "[Aviso] División no capturada ()", IF(ISNA(MATCH(J163, Criterios!$A$123:$A$126, 0)), "División no válida", "")), IF(OR(K163="", K163=""), "[Aviso] Categoría no capturada ()", IF(ISNA(MATCH(K163, Criterios!$A$81:$A$120, 0)), "Categoría no válida", IF(AND(J163&lt;&gt;"", J163&lt;&gt;"", J163&lt;&gt;VLOOKUP(K163, Criterios!$A$81:$B$120, 2, FALSE)), "División no coincide con Categoría", ""))), IF(OR(L163="", L163=""), "[Aviso] Género no capturado ()", IF(ISNA(MATCH(L163, Criterios!$B$123:$B$127, 0)), "Género no válido", "")), IF(OR(N163="", N163=""), "[Aviso] Temporada no capturada ()", IF(ISNA(MATCH(N163, Criterios!$C$123:$C$128, 0)), "Temporada no válida", "")), IF(OR(O163="", O163=""), "[Aviso] Ciclo de vida no capturado ()", IF(ISNA(MATCH(O163, Criterios!$D$123:$D$124, 0)), "Ciclo de vida no válido", ""))))</f>
        <v/>
      </c>
      <c r="AC163" s="56" t="n"/>
      <c r="AD163" s="51" t="n">
        <v>64</v>
      </c>
      <c r="AE163" s="156" t="inlineStr">
        <is>
          <t>CL Muestras (2); CL POS (2); Web (4); CAPSLAB Warehouse (43)</t>
        </is>
      </c>
      <c r="AF163" s="51" t="n">
        <v>64</v>
      </c>
      <c r="AG163" s="156" t="inlineStr">
        <is>
          <t>Nuevo – NetSuite con existencia</t>
        </is>
      </c>
      <c r="AH163" s="156" t="inlineStr">
        <is>
          <t>Composición CAPSLAB varía por modelo (50/50, 40/60 o 100% poliéster): validar etiqueta; Color por validar; Físico total NetSuite 64 ≠ suma por ubicación 51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63" s="156" t="inlineStr">
        <is>
          <t>No</t>
        </is>
      </c>
      <c r="AJ163" s="156" t="n"/>
      <c r="AK163" s="155" t="inlineStr">
        <is>
          <t>G1522ProductosTodosloscamposSandboxResults894.xlsx: fila 47864 [X]; G1522_Extraccion_Articulos_NetSuite_2026-09-30.xlsx: fila 30352 [Z]</t>
        </is>
      </c>
      <c r="AL163" s="58" t="n"/>
      <c r="AM163" s="58" t="n"/>
      <c r="AN163" s="155" t="n"/>
      <c r="AO163" s="59" t="n"/>
      <c r="AP163" s="59" t="n"/>
      <c r="AQ163" s="59" t="n"/>
      <c r="AR163" s="155" t="n"/>
    </row>
    <row r="164">
      <c r="A164" s="50" t="inlineStr">
        <is>
          <t>3614000806639</t>
        </is>
      </c>
      <c r="B164" s="51" t="inlineStr">
        <is>
          <t>57387</t>
        </is>
      </c>
      <c r="C164" s="156" t="inlineStr">
        <is>
          <t>CAPSLAB</t>
        </is>
      </c>
      <c r="D164" s="156" t="inlineStr">
        <is>
          <t>CL/LOO/1/MAR1</t>
        </is>
      </c>
      <c r="E164" s="156" t="inlineStr">
        <is>
          <t>CL/LOO/1/MAR1-UNI</t>
        </is>
      </c>
      <c r="F164" s="156" t="inlineStr">
        <is>
          <t>Talla única</t>
        </is>
      </c>
      <c r="G164" s="156" t="inlineStr">
        <is>
          <t>One Size</t>
        </is>
      </c>
      <c r="H164" s="156" t="inlineStr">
        <is>
          <t>CAPSLAB</t>
        </is>
      </c>
      <c r="I164" s="156" t="inlineStr">
        <is>
          <t>Gorra CAPSLAB Looney Tunes Negro</t>
        </is>
      </c>
      <c r="J164" s="156" t="inlineStr">
        <is>
          <t>Accesorios</t>
        </is>
      </c>
      <c r="K164" s="156" t="inlineStr">
        <is>
          <t>Gorras</t>
        </is>
      </c>
      <c r="L164" s="156" t="inlineStr">
        <is>
          <t>Unisex</t>
        </is>
      </c>
      <c r="M164" s="156" t="inlineStr">
        <is>
          <t>Looney Tunes</t>
        </is>
      </c>
      <c r="N164" s="156" t="n"/>
      <c r="O164" s="156" t="n"/>
      <c r="P164" s="156" t="inlineStr">
        <is>
          <t>Negro</t>
        </is>
      </c>
      <c r="Q164" s="156" t="n"/>
      <c r="R164" s="156" t="n"/>
      <c r="S164" s="156" t="inlineStr">
        <is>
          <t>Algodón / Poliéster</t>
        </is>
      </c>
      <c r="T164" s="156" t="inlineStr">
        <is>
          <t>Gorra de la marca CAPSLAB bajo licencia oficial Looney Tunes. Talla única ajustable. Estilo CL/LOO/1/MAR1.</t>
        </is>
      </c>
      <c r="U164" s="156" t="n"/>
      <c r="V164" s="156" t="inlineStr">
        <is>
          <t>PZS</t>
        </is>
      </c>
      <c r="W164" s="51" t="inlineStr">
        <is>
          <t>53102516</t>
        </is>
      </c>
      <c r="X164" s="156" t="inlineStr">
        <is>
          <t>https://7913364.app.netsuite.com/core/media/media.nl?id=188261&amp;c=7913364&amp;h=tv_eXldQSteFtmWTmuTQLmwAifkCMJ1JoLYs44mqvXnvd5Px</t>
        </is>
      </c>
      <c r="Y164" s="54" t="n">
        <v>8.5</v>
      </c>
      <c r="Z164" s="54" t="n">
        <v>699</v>
      </c>
      <c r="AA164" s="55">
        <f>IF(AND(A164="", B164="", E164=""), "", IF(AB164="", "Válido", IF((LEN(AB164)-LEN(SUBSTITUTE(AB164,"; ","")))/2+1&gt;(LEN(AB164)-LEN(SUBSTITUTE(AB164,"[Aviso]","")))/7, "Con Incidencias", "Válido")))</f>
        <v/>
      </c>
      <c r="AB164" s="56">
        <f>IF(AND(A164="", B164="", E164=""), "", TEXTJOIN("; ", TRUE, IF(OR(TRIM(A164&amp;"")="", ISNUMBER(SEARCH("FALTA", A164))), "UPC faltante/inválido", ""), IF(AND(A164&lt;&gt;"", IFERROR(_xlfn.XMATCH(A164,$A$2:$A$370,0,1)&lt;&gt;_xlfn.XMATCH(A164,$A$2:$A$370,0,-1),FALSE)), "Código de barras duplicado", ""), IF(AND(E164&lt;&gt;"", COUNTIF($E$2:$E$370, E164)&gt;1), "SKU duplicado", ""), IF(OR(J164="", J164=""), "[Aviso] División no capturada ()", IF(ISNA(MATCH(J164, Criterios!$A$123:$A$126, 0)), "División no válida", "")), IF(OR(K164="", K164=""), "[Aviso] Categoría no capturada ()", IF(ISNA(MATCH(K164, Criterios!$A$81:$A$120, 0)), "Categoría no válida", IF(AND(J164&lt;&gt;"", J164&lt;&gt;"", J164&lt;&gt;VLOOKUP(K164, Criterios!$A$81:$B$120, 2, FALSE)), "División no coincide con Categoría", ""))), IF(OR(L164="", L164=""), "[Aviso] Género no capturado ()", IF(ISNA(MATCH(L164, Criterios!$B$123:$B$127, 0)), "Género no válido", "")), IF(OR(N164="", N164=""), "[Aviso] Temporada no capturada ()", IF(ISNA(MATCH(N164, Criterios!$C$123:$C$128, 0)), "Temporada no válida", "")), IF(OR(O164="", O164=""), "[Aviso] Ciclo de vida no capturado ()", IF(ISNA(MATCH(O164, Criterios!$D$123:$D$124, 0)), "Ciclo de vida no válido", ""))))</f>
        <v/>
      </c>
      <c r="AC164" s="56" t="n"/>
      <c r="AD164" s="51" t="n">
        <v>7</v>
      </c>
      <c r="AE164" s="156" t="inlineStr">
        <is>
          <t>CL Muestras (3); CL POS (1); CAPSLAB Warehouse (3)</t>
        </is>
      </c>
      <c r="AF164" s="51" t="n">
        <v>7</v>
      </c>
      <c r="AG164" s="156" t="inlineStr">
        <is>
          <t>Nuevo – NetSuite con existencia</t>
        </is>
      </c>
      <c r="AH16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64" s="156" t="inlineStr">
        <is>
          <t>No</t>
        </is>
      </c>
      <c r="AJ164" s="156" t="n"/>
      <c r="AK164" s="155" t="inlineStr">
        <is>
          <t>G1522ProductosTodosloscamposSandboxResults894.xlsx: fila 47866 [Y]; G1522_Extraccion_Articulos_NetSuite_2026-09-30.xlsx: fila 20770 [Z]</t>
        </is>
      </c>
      <c r="AL164" s="58" t="n">
        <v>8.5</v>
      </c>
      <c r="AM164" s="58" t="n"/>
      <c r="AN164" s="155" t="n"/>
      <c r="AO164" s="59" t="n"/>
      <c r="AP164" s="59" t="n"/>
      <c r="AQ164" s="59" t="n"/>
      <c r="AR164" s="155" t="n"/>
    </row>
    <row r="165">
      <c r="A165" s="50" t="inlineStr">
        <is>
          <t>3614000885061</t>
        </is>
      </c>
      <c r="B165" s="51" t="inlineStr">
        <is>
          <t>69623</t>
        </is>
      </c>
      <c r="C165" s="156" t="inlineStr">
        <is>
          <t>CAPSLAB</t>
        </is>
      </c>
      <c r="D165" s="156" t="inlineStr">
        <is>
          <t>CL/LOO/1/MAR2</t>
        </is>
      </c>
      <c r="E165" s="156" t="inlineStr">
        <is>
          <t>CL/LOO/1/MAR2-UNI</t>
        </is>
      </c>
      <c r="F165" s="156" t="inlineStr">
        <is>
          <t>Talla única</t>
        </is>
      </c>
      <c r="G165" s="156" t="inlineStr">
        <is>
          <t>One Size</t>
        </is>
      </c>
      <c r="H165" s="156" t="inlineStr">
        <is>
          <t>CAPSLAB</t>
        </is>
      </c>
      <c r="I165" s="156" t="inlineStr">
        <is>
          <t>Gorra CAPSLAB Looney Tunes</t>
        </is>
      </c>
      <c r="J165" s="156" t="inlineStr">
        <is>
          <t>Accesorios</t>
        </is>
      </c>
      <c r="K165" s="156" t="inlineStr">
        <is>
          <t>Gorras</t>
        </is>
      </c>
      <c r="L165" s="156" t="inlineStr">
        <is>
          <t>Unisex</t>
        </is>
      </c>
      <c r="M165" s="156" t="inlineStr">
        <is>
          <t>Looney Tunes</t>
        </is>
      </c>
      <c r="N165" s="156" t="n"/>
      <c r="O165" s="156" t="n"/>
      <c r="P165" s="156" t="n"/>
      <c r="Q165" s="156" t="n"/>
      <c r="R165" s="156" t="n"/>
      <c r="S165" s="156" t="inlineStr">
        <is>
          <t>Algodón / Poliéster</t>
        </is>
      </c>
      <c r="T165" s="156" t="inlineStr">
        <is>
          <t>Gorra de la marca CAPSLAB bajo licencia oficial Looney Tunes. Talla única ajustable. Estilo CL/LOO/1/MAR2.</t>
        </is>
      </c>
      <c r="U165" s="156" t="n"/>
      <c r="V165" s="156" t="inlineStr">
        <is>
          <t>PZS</t>
        </is>
      </c>
      <c r="W165" s="51" t="inlineStr">
        <is>
          <t>53102516</t>
        </is>
      </c>
      <c r="X165" s="156" t="inlineStr">
        <is>
          <t>https://i.ibb.co/LnsZtFZ/CLLOO1-MAR2.jpg</t>
        </is>
      </c>
      <c r="Y165" s="54" t="n"/>
      <c r="Z165" s="54" t="n">
        <v>699</v>
      </c>
      <c r="AA165" s="55">
        <f>IF(AND(A165="", B165="", E165=""), "", IF(AB165="", "Válido", IF((LEN(AB165)-LEN(SUBSTITUTE(AB165,"; ","")))/2+1&gt;(LEN(AB165)-LEN(SUBSTITUTE(AB165,"[Aviso]","")))/7, "Con Incidencias", "Válido")))</f>
        <v/>
      </c>
      <c r="AB165" s="56">
        <f>IF(AND(A165="", B165="", E165=""), "", TEXTJOIN("; ", TRUE, IF(OR(TRIM(A165&amp;"")="", ISNUMBER(SEARCH("FALTA", A165))), "UPC faltante/inválido", ""), IF(AND(A165&lt;&gt;"", IFERROR(_xlfn.XMATCH(A165,$A$2:$A$370,0,1)&lt;&gt;_xlfn.XMATCH(A165,$A$2:$A$370,0,-1),FALSE)), "Código de barras duplicado", ""), IF(AND(E165&lt;&gt;"", COUNTIF($E$2:$E$370, E165)&gt;1), "SKU duplicado", ""), IF(OR(J165="", J165=""), "[Aviso] División no capturada ()", IF(ISNA(MATCH(J165, Criterios!$A$123:$A$126, 0)), "División no válida", "")), IF(OR(K165="", K165=""), "[Aviso] Categoría no capturada ()", IF(ISNA(MATCH(K165, Criterios!$A$81:$A$120, 0)), "Categoría no válida", IF(AND(J165&lt;&gt;"", J165&lt;&gt;"", J165&lt;&gt;VLOOKUP(K165, Criterios!$A$81:$B$120, 2, FALSE)), "División no coincide con Categoría", ""))), IF(OR(L165="", L165=""), "[Aviso] Género no capturado ()", IF(ISNA(MATCH(L165, Criterios!$B$123:$B$127, 0)), "Género no válido", "")), IF(OR(N165="", N165=""), "[Aviso] Temporada no capturada ()", IF(ISNA(MATCH(N165, Criterios!$C$123:$C$128, 0)), "Temporada no válida", "")), IF(OR(O165="", O165=""), "[Aviso] Ciclo de vida no capturado ()", IF(ISNA(MATCH(O165, Criterios!$D$123:$D$124, 0)), "Ciclo de vida no válido", ""))))</f>
        <v/>
      </c>
      <c r="AC165" s="56" t="n"/>
      <c r="AD165" s="51" t="n">
        <v>39</v>
      </c>
      <c r="AE165" s="156" t="inlineStr">
        <is>
          <t>CL POS (2); Web (2); CL Muestras (2); CAPSLAB Warehouse (31)</t>
        </is>
      </c>
      <c r="AF165" s="51" t="n">
        <v>39</v>
      </c>
      <c r="AG165" s="156" t="inlineStr">
        <is>
          <t>Nuevo – NetSuite con existencia</t>
        </is>
      </c>
      <c r="AH165" s="156" t="inlineStr">
        <is>
          <t>Composición CAPSLAB varía por modelo (50/50, 40/60 o 100% poliéster): validar etiqueta; Color por validar; Físico total NetSuite 39 ≠ suma por ubicación 37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65" s="156" t="inlineStr">
        <is>
          <t>No</t>
        </is>
      </c>
      <c r="AJ165" s="156" t="n"/>
      <c r="AK165" s="155" t="inlineStr">
        <is>
          <t>G1522ProductosTodosloscamposSandboxResults894.xlsx: fila 47868 [X]; G1522_Extraccion_Articulos_NetSuite_2026-09-30.xlsx: fila 30353 [Z]</t>
        </is>
      </c>
      <c r="AL165" s="58" t="n"/>
      <c r="AM165" s="58" t="n"/>
      <c r="AN165" s="155" t="n"/>
      <c r="AO165" s="59" t="n"/>
      <c r="AP165" s="59" t="n"/>
      <c r="AQ165" s="59" t="n"/>
      <c r="AR165" s="155" t="n"/>
    </row>
    <row r="166">
      <c r="A166" s="50" t="inlineStr">
        <is>
          <t>3614000827665</t>
        </is>
      </c>
      <c r="B166" s="51" t="inlineStr">
        <is>
          <t>57388</t>
        </is>
      </c>
      <c r="C166" s="156" t="inlineStr">
        <is>
          <t>CAPSLAB</t>
        </is>
      </c>
      <c r="D166" s="156" t="inlineStr">
        <is>
          <t>CL/LOO/1/ROA1</t>
        </is>
      </c>
      <c r="E166" s="156" t="inlineStr">
        <is>
          <t>CL/LOO/1/ROA1-UNI</t>
        </is>
      </c>
      <c r="F166" s="156" t="inlineStr">
        <is>
          <t>Talla única</t>
        </is>
      </c>
      <c r="G166" s="156" t="inlineStr">
        <is>
          <t>One Size</t>
        </is>
      </c>
      <c r="H166" s="156" t="inlineStr">
        <is>
          <t>CAPSLAB</t>
        </is>
      </c>
      <c r="I166" s="156" t="inlineStr">
        <is>
          <t>Gorra CAPSLAB Looney Tunes Correcaminos Negro</t>
        </is>
      </c>
      <c r="J166" s="156" t="inlineStr">
        <is>
          <t>Accesorios</t>
        </is>
      </c>
      <c r="K166" s="156" t="inlineStr">
        <is>
          <t>Gorras</t>
        </is>
      </c>
      <c r="L166" s="156" t="inlineStr">
        <is>
          <t>Unisex</t>
        </is>
      </c>
      <c r="M166" s="156" t="inlineStr">
        <is>
          <t>Looney Tunes</t>
        </is>
      </c>
      <c r="N166" s="156" t="n"/>
      <c r="O166" s="156" t="n"/>
      <c r="P166" s="156" t="inlineStr">
        <is>
          <t>Negro</t>
        </is>
      </c>
      <c r="Q166" s="156" t="n"/>
      <c r="R166" s="156" t="n"/>
      <c r="S166" s="156" t="inlineStr">
        <is>
          <t>Algodón / Poliéster</t>
        </is>
      </c>
      <c r="T166" s="156" t="inlineStr">
        <is>
          <t>Gorra de la marca CAPSLAB bajo licencia oficial Looney Tunes, personaje Correcaminos. Talla única ajustable. Estilo CL/LOO/1/ROA1.</t>
        </is>
      </c>
      <c r="U166" s="156" t="n"/>
      <c r="V166" s="156" t="inlineStr">
        <is>
          <t>PZS</t>
        </is>
      </c>
      <c r="W166" s="51" t="inlineStr">
        <is>
          <t>53102516</t>
        </is>
      </c>
      <c r="X166" s="156" t="inlineStr">
        <is>
          <t>https://7913364.app.netsuite.com/core/media/media.nl?id=188262&amp;c=7913364&amp;h=Fy4Brxmtm3SPSYOJcYK7KIVxY23qOTmig0_yHu7uBf65-j8o</t>
        </is>
      </c>
      <c r="Y166" s="54" t="n">
        <v>8.5</v>
      </c>
      <c r="Z166" s="54" t="n">
        <v>699</v>
      </c>
      <c r="AA166" s="55">
        <f>IF(AND(A166="", B166="", E166=""), "", IF(AB166="", "Válido", IF((LEN(AB166)-LEN(SUBSTITUTE(AB166,"; ","")))/2+1&gt;(LEN(AB166)-LEN(SUBSTITUTE(AB166,"[Aviso]","")))/7, "Con Incidencias", "Válido")))</f>
        <v/>
      </c>
      <c r="AB166" s="56">
        <f>IF(AND(A166="", B166="", E166=""), "", TEXTJOIN("; ", TRUE, IF(OR(TRIM(A166&amp;"")="", ISNUMBER(SEARCH("FALTA", A166))), "UPC faltante/inválido", ""), IF(AND(A166&lt;&gt;"", IFERROR(_xlfn.XMATCH(A166,$A$2:$A$370,0,1)&lt;&gt;_xlfn.XMATCH(A166,$A$2:$A$370,0,-1),FALSE)), "Código de barras duplicado", ""), IF(AND(E166&lt;&gt;"", COUNTIF($E$2:$E$370, E166)&gt;1), "SKU duplicado", ""), IF(OR(J166="", J166=""), "[Aviso] División no capturada ()", IF(ISNA(MATCH(J166, Criterios!$A$123:$A$126, 0)), "División no válida", "")), IF(OR(K166="", K166=""), "[Aviso] Categoría no capturada ()", IF(ISNA(MATCH(K166, Criterios!$A$81:$A$120, 0)), "Categoría no válida", IF(AND(J166&lt;&gt;"", J166&lt;&gt;"", J166&lt;&gt;VLOOKUP(K166, Criterios!$A$81:$B$120, 2, FALSE)), "División no coincide con Categoría", ""))), IF(OR(L166="", L166=""), "[Aviso] Género no capturado ()", IF(ISNA(MATCH(L166, Criterios!$B$123:$B$127, 0)), "Género no válido", "")), IF(OR(N166="", N166=""), "[Aviso] Temporada no capturada ()", IF(ISNA(MATCH(N166, Criterios!$C$123:$C$128, 0)), "Temporada no válida", "")), IF(OR(O166="", O166=""), "[Aviso] Ciclo de vida no capturado ()", IF(ISNA(MATCH(O166, Criterios!$D$123:$D$124, 0)), "Ciclo de vida no válido", ""))))</f>
        <v/>
      </c>
      <c r="AC166" s="56" t="n"/>
      <c r="AD166" s="51" t="n">
        <v>15</v>
      </c>
      <c r="AE166" s="156" t="inlineStr">
        <is>
          <t>CL POS (2); Web (2); CL Muestras (1); CAPSLAB Warehouse (10)</t>
        </is>
      </c>
      <c r="AF166" s="51" t="n">
        <v>15</v>
      </c>
      <c r="AG166" s="156" t="inlineStr">
        <is>
          <t>Nuevo – NetSuite con existencia</t>
        </is>
      </c>
      <c r="AH166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66" s="156" t="inlineStr">
        <is>
          <t>No</t>
        </is>
      </c>
      <c r="AJ166" s="156" t="n"/>
      <c r="AK166" s="155" t="inlineStr">
        <is>
          <t>G1522ProductosTodosloscamposSandboxResults894.xlsx: fila 47870 [Y]; G1522_Extraccion_Articulos_NetSuite_2026-09-30.xlsx: fila 20771 [Z]</t>
        </is>
      </c>
      <c r="AL166" s="58" t="n">
        <v>8.5</v>
      </c>
      <c r="AM166" s="58" t="n"/>
      <c r="AN166" s="155" t="n"/>
      <c r="AO166" s="59" t="n"/>
      <c r="AP166" s="59" t="n"/>
      <c r="AQ166" s="59" t="n"/>
      <c r="AR166" s="155" t="n"/>
    </row>
    <row r="167">
      <c r="A167" s="50" t="inlineStr">
        <is>
          <t>3614000827672</t>
        </is>
      </c>
      <c r="B167" s="51" t="inlineStr">
        <is>
          <t>57389</t>
        </is>
      </c>
      <c r="C167" s="156" t="inlineStr">
        <is>
          <t>CAPSLAB</t>
        </is>
      </c>
      <c r="D167" s="156" t="inlineStr">
        <is>
          <t>CL/LOO/1/ROA2</t>
        </is>
      </c>
      <c r="E167" s="156" t="inlineStr">
        <is>
          <t>CL/LOO/1/ROA2-UNI</t>
        </is>
      </c>
      <c r="F167" s="156" t="inlineStr">
        <is>
          <t>Talla única</t>
        </is>
      </c>
      <c r="G167" s="156" t="inlineStr">
        <is>
          <t>One Size</t>
        </is>
      </c>
      <c r="H167" s="156" t="inlineStr">
        <is>
          <t>CAPSLAB</t>
        </is>
      </c>
      <c r="I167" s="156" t="inlineStr">
        <is>
          <t>Gorra CAPSLAB Looney Tunes Correcaminos Café</t>
        </is>
      </c>
      <c r="J167" s="156" t="inlineStr">
        <is>
          <t>Accesorios</t>
        </is>
      </c>
      <c r="K167" s="156" t="inlineStr">
        <is>
          <t>Gorras</t>
        </is>
      </c>
      <c r="L167" s="156" t="inlineStr">
        <is>
          <t>Unisex</t>
        </is>
      </c>
      <c r="M167" s="156" t="inlineStr">
        <is>
          <t>Looney Tunes</t>
        </is>
      </c>
      <c r="N167" s="156" t="n"/>
      <c r="O167" s="156" t="n"/>
      <c r="P167" s="156" t="inlineStr">
        <is>
          <t>Cafe</t>
        </is>
      </c>
      <c r="Q167" s="156" t="n"/>
      <c r="R167" s="156" t="n"/>
      <c r="S167" s="156" t="inlineStr">
        <is>
          <t>Algodón / Poliéster</t>
        </is>
      </c>
      <c r="T167" s="156" t="inlineStr">
        <is>
          <t>Gorra de la marca CAPSLAB bajo licencia oficial Looney Tunes, personaje Correcaminos. Talla única ajustable. Estilo CL/LOO/1/ROA2.</t>
        </is>
      </c>
      <c r="U167" s="156" t="n"/>
      <c r="V167" s="156" t="inlineStr">
        <is>
          <t>PZS</t>
        </is>
      </c>
      <c r="W167" s="51" t="inlineStr">
        <is>
          <t>53102516</t>
        </is>
      </c>
      <c r="X167" s="156" t="inlineStr">
        <is>
          <t>https://7913364.app.netsuite.com/core/media/media.nl?id=188264&amp;c=7913364&amp;h=X7btC_YFx5DGv8n3qvX3NLA9h0FOolOqrSXoXlTrK9S3ZZ2M</t>
        </is>
      </c>
      <c r="Y167" s="54" t="n">
        <v>8.5</v>
      </c>
      <c r="Z167" s="54" t="n">
        <v>699</v>
      </c>
      <c r="AA167" s="55">
        <f>IF(AND(A167="", B167="", E167=""), "", IF(AB167="", "Válido", IF((LEN(AB167)-LEN(SUBSTITUTE(AB167,"; ","")))/2+1&gt;(LEN(AB167)-LEN(SUBSTITUTE(AB167,"[Aviso]","")))/7, "Con Incidencias", "Válido")))</f>
        <v/>
      </c>
      <c r="AB167" s="56">
        <f>IF(AND(A167="", B167="", E167=""), "", TEXTJOIN("; ", TRUE, IF(OR(TRIM(A167&amp;"")="", ISNUMBER(SEARCH("FALTA", A167))), "UPC faltante/inválido", ""), IF(AND(A167&lt;&gt;"", IFERROR(_xlfn.XMATCH(A167,$A$2:$A$370,0,1)&lt;&gt;_xlfn.XMATCH(A167,$A$2:$A$370,0,-1),FALSE)), "Código de barras duplicado", ""), IF(AND(E167&lt;&gt;"", COUNTIF($E$2:$E$370, E167)&gt;1), "SKU duplicado", ""), IF(OR(J167="", J167=""), "[Aviso] División no capturada ()", IF(ISNA(MATCH(J167, Criterios!$A$123:$A$126, 0)), "División no válida", "")), IF(OR(K167="", K167=""), "[Aviso] Categoría no capturada ()", IF(ISNA(MATCH(K167, Criterios!$A$81:$A$120, 0)), "Categoría no válida", IF(AND(J167&lt;&gt;"", J167&lt;&gt;"", J167&lt;&gt;VLOOKUP(K167, Criterios!$A$81:$B$120, 2, FALSE)), "División no coincide con Categoría", ""))), IF(OR(L167="", L167=""), "[Aviso] Género no capturado ()", IF(ISNA(MATCH(L167, Criterios!$B$123:$B$127, 0)), "Género no válido", "")), IF(OR(N167="", N167=""), "[Aviso] Temporada no capturada ()", IF(ISNA(MATCH(N167, Criterios!$C$123:$C$128, 0)), "Temporada no válida", "")), IF(OR(O167="", O167=""), "[Aviso] Ciclo de vida no capturado ()", IF(ISNA(MATCH(O167, Criterios!$D$123:$D$124, 0)), "Ciclo de vida no válido", ""))))</f>
        <v/>
      </c>
      <c r="AC167" s="56" t="n"/>
      <c r="AD167" s="51" t="n">
        <v>0</v>
      </c>
      <c r="AE167" s="156" t="n"/>
      <c r="AF167" s="51" t="n">
        <v>0</v>
      </c>
      <c r="AG167" s="156" t="inlineStr">
        <is>
          <t>Nuevo – NetSuite sin existencia</t>
        </is>
      </c>
      <c r="AH16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67" s="156" t="inlineStr">
        <is>
          <t>No</t>
        </is>
      </c>
      <c r="AJ167" s="156" t="n"/>
      <c r="AK167" s="155" t="inlineStr">
        <is>
          <t>G1522ProductosTodosloscamposSandboxResults894.xlsx: fila 47872 [Y]; G1522_Extraccion_Articulos_NetSuite_2026-09-30.xlsx: fila 20772 [Z]</t>
        </is>
      </c>
      <c r="AL167" s="58" t="n">
        <v>8.5</v>
      </c>
      <c r="AM167" s="58" t="n"/>
      <c r="AN167" s="155" t="n"/>
      <c r="AO167" s="59" t="n"/>
      <c r="AP167" s="59" t="n"/>
      <c r="AQ167" s="59" t="n"/>
      <c r="AR167" s="155" t="n"/>
    </row>
    <row r="168">
      <c r="A168" s="50" t="inlineStr">
        <is>
          <t>3614000840640</t>
        </is>
      </c>
      <c r="B168" s="51" t="inlineStr">
        <is>
          <t>57390</t>
        </is>
      </c>
      <c r="C168" s="156" t="inlineStr">
        <is>
          <t>CAPSLAB</t>
        </is>
      </c>
      <c r="D168" s="156" t="inlineStr">
        <is>
          <t>CL/LOO/1/SAM1</t>
        </is>
      </c>
      <c r="E168" s="156" t="inlineStr">
        <is>
          <t>CL/LOO/1/SAM1-UNI</t>
        </is>
      </c>
      <c r="F168" s="156" t="inlineStr">
        <is>
          <t>Talla única</t>
        </is>
      </c>
      <c r="G168" s="156" t="inlineStr">
        <is>
          <t>One Size</t>
        </is>
      </c>
      <c r="H168" s="156" t="inlineStr">
        <is>
          <t>CAPSLAB</t>
        </is>
      </c>
      <c r="I168" s="156" t="inlineStr">
        <is>
          <t>Gorra CAPSLAB Looney Tunes Negro</t>
        </is>
      </c>
      <c r="J168" s="156" t="inlineStr">
        <is>
          <t>Accesorios</t>
        </is>
      </c>
      <c r="K168" s="156" t="inlineStr">
        <is>
          <t>Gorras</t>
        </is>
      </c>
      <c r="L168" s="156" t="inlineStr">
        <is>
          <t>Unisex</t>
        </is>
      </c>
      <c r="M168" s="156" t="inlineStr">
        <is>
          <t>Looney Tunes</t>
        </is>
      </c>
      <c r="N168" s="156" t="n"/>
      <c r="O168" s="156" t="n"/>
      <c r="P168" s="156" t="inlineStr">
        <is>
          <t>Negro</t>
        </is>
      </c>
      <c r="Q168" s="156" t="n"/>
      <c r="R168" s="156" t="n"/>
      <c r="S168" s="156" t="inlineStr">
        <is>
          <t>Algodón / Poliéster</t>
        </is>
      </c>
      <c r="T168" s="156" t="inlineStr">
        <is>
          <t>Gorra de la marca CAPSLAB bajo licencia oficial Looney Tunes. Talla única ajustable. Estilo CL/LOO/1/SAM1.</t>
        </is>
      </c>
      <c r="U168" s="156" t="n"/>
      <c r="V168" s="156" t="inlineStr">
        <is>
          <t>PZS</t>
        </is>
      </c>
      <c r="W168" s="51" t="inlineStr">
        <is>
          <t>53102516</t>
        </is>
      </c>
      <c r="X168" s="156" t="inlineStr">
        <is>
          <t>https://7913364.app.netsuite.com/core/media/media.nl?id=188265&amp;c=7913364&amp;h=REFmTp-3xZ9WL6LQltxHbFdC5vnm0Td3aQD5Jsd3CON61Uu8</t>
        </is>
      </c>
      <c r="Y168" s="54" t="n">
        <v>8.5</v>
      </c>
      <c r="Z168" s="54" t="n">
        <v>699</v>
      </c>
      <c r="AA168" s="55">
        <f>IF(AND(A168="", B168="", E168=""), "", IF(AB168="", "Válido", IF((LEN(AB168)-LEN(SUBSTITUTE(AB168,"; ","")))/2+1&gt;(LEN(AB168)-LEN(SUBSTITUTE(AB168,"[Aviso]","")))/7, "Con Incidencias", "Válido")))</f>
        <v/>
      </c>
      <c r="AB168" s="56">
        <f>IF(AND(A168="", B168="", E168=""), "", TEXTJOIN("; ", TRUE, IF(OR(TRIM(A168&amp;"")="", ISNUMBER(SEARCH("FALTA", A168))), "UPC faltante/inválido", ""), IF(AND(A168&lt;&gt;"", IFERROR(_xlfn.XMATCH(A168,$A$2:$A$370,0,1)&lt;&gt;_xlfn.XMATCH(A168,$A$2:$A$370,0,-1),FALSE)), "Código de barras duplicado", ""), IF(AND(E168&lt;&gt;"", COUNTIF($E$2:$E$370, E168)&gt;1), "SKU duplicado", ""), IF(OR(J168="", J168=""), "[Aviso] División no capturada ()", IF(ISNA(MATCH(J168, Criterios!$A$123:$A$126, 0)), "División no válida", "")), IF(OR(K168="", K168=""), "[Aviso] Categoría no capturada ()", IF(ISNA(MATCH(K168, Criterios!$A$81:$A$120, 0)), "Categoría no válida", IF(AND(J168&lt;&gt;"", J168&lt;&gt;"", J168&lt;&gt;VLOOKUP(K168, Criterios!$A$81:$B$120, 2, FALSE)), "División no coincide con Categoría", ""))), IF(OR(L168="", L168=""), "[Aviso] Género no capturado ()", IF(ISNA(MATCH(L168, Criterios!$B$123:$B$127, 0)), "Género no válido", "")), IF(OR(N168="", N168=""), "[Aviso] Temporada no capturada ()", IF(ISNA(MATCH(N168, Criterios!$C$123:$C$128, 0)), "Temporada no válida", "")), IF(OR(O168="", O168=""), "[Aviso] Ciclo de vida no capturado ()", IF(ISNA(MATCH(O168, Criterios!$D$123:$D$124, 0)), "Ciclo de vida no válido", ""))))</f>
        <v/>
      </c>
      <c r="AC168" s="56" t="n"/>
      <c r="AD168" s="51" t="n">
        <v>61</v>
      </c>
      <c r="AE168" s="156" t="inlineStr">
        <is>
          <t>Web (2); CAPSLAB Warehouse (58)</t>
        </is>
      </c>
      <c r="AF168" s="51" t="n">
        <v>60</v>
      </c>
      <c r="AG168" s="156" t="inlineStr">
        <is>
          <t>Nuevo – NetSuite con existencia</t>
        </is>
      </c>
      <c r="AH168" s="156" t="inlineStr">
        <is>
          <t>Composición CAPSLAB varía por modelo (50/50, 40/60 o 100% poliéster): validar etiqueta; Físico total NetSuite 61 ≠ suma por ubicación 60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68" s="156" t="inlineStr">
        <is>
          <t>No</t>
        </is>
      </c>
      <c r="AJ168" s="156" t="n"/>
      <c r="AK168" s="155" t="inlineStr">
        <is>
          <t>G1522ProductosTodosloscamposSandboxResults894.xlsx: fila 47874 [Y]; G1522_Extraccion_Articulos_NetSuite_2026-09-30.xlsx: fila 20773 [Z]</t>
        </is>
      </c>
      <c r="AL168" s="58" t="n">
        <v>8.5</v>
      </c>
      <c r="AM168" s="58" t="n"/>
      <c r="AN168" s="155" t="n"/>
      <c r="AO168" s="59" t="n"/>
      <c r="AP168" s="59" t="n"/>
      <c r="AQ168" s="59" t="n"/>
      <c r="AR168" s="155" t="n"/>
    </row>
    <row r="169">
      <c r="A169" s="50" t="inlineStr">
        <is>
          <t>3614000840657</t>
        </is>
      </c>
      <c r="B169" s="51" t="inlineStr">
        <is>
          <t>57391</t>
        </is>
      </c>
      <c r="C169" s="156" t="inlineStr">
        <is>
          <t>CAPSLAB</t>
        </is>
      </c>
      <c r="D169" s="156" t="inlineStr">
        <is>
          <t>CL/LOO/1/SAM2</t>
        </is>
      </c>
      <c r="E169" s="156" t="inlineStr">
        <is>
          <t>CL/LOO/1/SAM2-UNI</t>
        </is>
      </c>
      <c r="F169" s="156" t="inlineStr">
        <is>
          <t>Talla única</t>
        </is>
      </c>
      <c r="G169" s="156" t="inlineStr">
        <is>
          <t>One Size</t>
        </is>
      </c>
      <c r="H169" s="156" t="inlineStr">
        <is>
          <t>CAPSLAB</t>
        </is>
      </c>
      <c r="I169" s="156" t="inlineStr">
        <is>
          <t>Gorra CAPSLAB Looney Tunes Café</t>
        </is>
      </c>
      <c r="J169" s="156" t="inlineStr">
        <is>
          <t>Accesorios</t>
        </is>
      </c>
      <c r="K169" s="156" t="inlineStr">
        <is>
          <t>Gorras</t>
        </is>
      </c>
      <c r="L169" s="156" t="inlineStr">
        <is>
          <t>Unisex</t>
        </is>
      </c>
      <c r="M169" s="156" t="inlineStr">
        <is>
          <t>Looney Tunes</t>
        </is>
      </c>
      <c r="N169" s="156" t="n"/>
      <c r="O169" s="156" t="n"/>
      <c r="P169" s="156" t="inlineStr">
        <is>
          <t>Cafe</t>
        </is>
      </c>
      <c r="Q169" s="156" t="n"/>
      <c r="R169" s="156" t="n"/>
      <c r="S169" s="156" t="inlineStr">
        <is>
          <t>Algodón / Poliéster</t>
        </is>
      </c>
      <c r="T169" s="156" t="inlineStr">
        <is>
          <t>Gorra de la marca CAPSLAB bajo licencia oficial Looney Tunes. Talla única ajustable. Estilo CL/LOO/1/SAM2.</t>
        </is>
      </c>
      <c r="U169" s="156" t="n"/>
      <c r="V169" s="156" t="inlineStr">
        <is>
          <t>PZS</t>
        </is>
      </c>
      <c r="W169" s="51" t="inlineStr">
        <is>
          <t>53102516</t>
        </is>
      </c>
      <c r="X169" s="156" t="inlineStr">
        <is>
          <t>https://7913364.app.netsuite.com/core/media/media.nl?id=188266&amp;c=7913364&amp;h=DajxjNB6bCupm7UtqLCzuDbyhhDy2TvCN_aERyXfCmElTCHc</t>
        </is>
      </c>
      <c r="Y169" s="54" t="n">
        <v>8.5</v>
      </c>
      <c r="Z169" s="54" t="n">
        <v>699</v>
      </c>
      <c r="AA169" s="55">
        <f>IF(AND(A169="", B169="", E169=""), "", IF(AB169="", "Válido", IF((LEN(AB169)-LEN(SUBSTITUTE(AB169,"; ","")))/2+1&gt;(LEN(AB169)-LEN(SUBSTITUTE(AB169,"[Aviso]","")))/7, "Con Incidencias", "Válido")))</f>
        <v/>
      </c>
      <c r="AB169" s="56">
        <f>IF(AND(A169="", B169="", E169=""), "", TEXTJOIN("; ", TRUE, IF(OR(TRIM(A169&amp;"")="", ISNUMBER(SEARCH("FALTA", A169))), "UPC faltante/inválido", ""), IF(AND(A169&lt;&gt;"", IFERROR(_xlfn.XMATCH(A169,$A$2:$A$370,0,1)&lt;&gt;_xlfn.XMATCH(A169,$A$2:$A$370,0,-1),FALSE)), "Código de barras duplicado", ""), IF(AND(E169&lt;&gt;"", COUNTIF($E$2:$E$370, E169)&gt;1), "SKU duplicado", ""), IF(OR(J169="", J169=""), "[Aviso] División no capturada ()", IF(ISNA(MATCH(J169, Criterios!$A$123:$A$126, 0)), "División no válida", "")), IF(OR(K169="", K169=""), "[Aviso] Categoría no capturada ()", IF(ISNA(MATCH(K169, Criterios!$A$81:$A$120, 0)), "Categoría no válida", IF(AND(J169&lt;&gt;"", J169&lt;&gt;"", J169&lt;&gt;VLOOKUP(K169, Criterios!$A$81:$B$120, 2, FALSE)), "División no coincide con Categoría", ""))), IF(OR(L169="", L169=""), "[Aviso] Género no capturado ()", IF(ISNA(MATCH(L169, Criterios!$B$123:$B$127, 0)), "Género no válido", "")), IF(OR(N169="", N169=""), "[Aviso] Temporada no capturada ()", IF(ISNA(MATCH(N169, Criterios!$C$123:$C$128, 0)), "Temporada no válida", "")), IF(OR(O169="", O169=""), "[Aviso] Ciclo de vida no capturado ()", IF(ISNA(MATCH(O169, Criterios!$D$123:$D$124, 0)), "Ciclo de vida no válido", ""))))</f>
        <v/>
      </c>
      <c r="AC169" s="56" t="n"/>
      <c r="AD169" s="51" t="n">
        <v>7</v>
      </c>
      <c r="AE169" s="156" t="inlineStr">
        <is>
          <t>Web (1); CAPSLAB Warehouse (4); CL Muestras (2)</t>
        </is>
      </c>
      <c r="AF169" s="51" t="n">
        <v>7</v>
      </c>
      <c r="AG169" s="156" t="inlineStr">
        <is>
          <t>Nuevo – NetSuite con existencia</t>
        </is>
      </c>
      <c r="AH16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69" s="156" t="inlineStr">
        <is>
          <t>No</t>
        </is>
      </c>
      <c r="AJ169" s="156" t="n"/>
      <c r="AK169" s="155" t="inlineStr">
        <is>
          <t>G1522ProductosTodosloscamposSandboxResults894.xlsx: fila 47876 [Y]; G1522_Extraccion_Articulos_NetSuite_2026-09-30.xlsx: fila 20774 [Z]</t>
        </is>
      </c>
      <c r="AL169" s="58" t="n">
        <v>8.5</v>
      </c>
      <c r="AM169" s="58" t="n"/>
      <c r="AN169" s="155" t="n"/>
      <c r="AO169" s="59" t="n"/>
      <c r="AP169" s="59" t="n"/>
      <c r="AQ169" s="59" t="n"/>
      <c r="AR169" s="155" t="n"/>
    </row>
    <row r="170">
      <c r="A170" s="50" t="inlineStr">
        <is>
          <t>3614000810988</t>
        </is>
      </c>
      <c r="B170" s="51" t="inlineStr">
        <is>
          <t>57392</t>
        </is>
      </c>
      <c r="C170" s="156" t="inlineStr">
        <is>
          <t>CAPSLAB</t>
        </is>
      </c>
      <c r="D170" s="156" t="inlineStr">
        <is>
          <t>CL/LOO/1/TAZ1</t>
        </is>
      </c>
      <c r="E170" s="156" t="inlineStr">
        <is>
          <t>CL/LOO/1/TAZ1-UNI</t>
        </is>
      </c>
      <c r="F170" s="156" t="inlineStr">
        <is>
          <t>Talla única</t>
        </is>
      </c>
      <c r="G170" s="156" t="inlineStr">
        <is>
          <t>One Size</t>
        </is>
      </c>
      <c r="H170" s="156" t="inlineStr">
        <is>
          <t>CAPSLAB</t>
        </is>
      </c>
      <c r="I170" s="156" t="inlineStr">
        <is>
          <t>Gorra CAPSLAB Looney Tunes Taz Negro</t>
        </is>
      </c>
      <c r="J170" s="156" t="inlineStr">
        <is>
          <t>Accesorios</t>
        </is>
      </c>
      <c r="K170" s="156" t="inlineStr">
        <is>
          <t>Gorras</t>
        </is>
      </c>
      <c r="L170" s="156" t="inlineStr">
        <is>
          <t>Unisex</t>
        </is>
      </c>
      <c r="M170" s="156" t="inlineStr">
        <is>
          <t>Looney Tunes</t>
        </is>
      </c>
      <c r="N170" s="156" t="n"/>
      <c r="O170" s="156" t="n"/>
      <c r="P170" s="156" t="inlineStr">
        <is>
          <t>Negro</t>
        </is>
      </c>
      <c r="Q170" s="156" t="n"/>
      <c r="R170" s="156" t="n"/>
      <c r="S170" s="156" t="inlineStr">
        <is>
          <t>Algodón / Poliéster</t>
        </is>
      </c>
      <c r="T170" s="156" t="inlineStr">
        <is>
          <t>Gorra de la marca CAPSLAB bajo licencia oficial Looney Tunes, personaje Taz. Talla única ajustable. Estilo CL/LOO/1/TAZ1.</t>
        </is>
      </c>
      <c r="U170" s="156" t="n"/>
      <c r="V170" s="156" t="inlineStr">
        <is>
          <t>PZS</t>
        </is>
      </c>
      <c r="W170" s="51" t="inlineStr">
        <is>
          <t>53102516</t>
        </is>
      </c>
      <c r="X170" s="156" t="inlineStr">
        <is>
          <t>https://7913364.app.netsuite.com/core/media/media.nl?id=188267&amp;c=7913364&amp;h=rmOlm51qIdyFsouwBmlJwFcp7siVN5KaxY67RwbWQWQRldui</t>
        </is>
      </c>
      <c r="Y170" s="54" t="n">
        <v>8.5</v>
      </c>
      <c r="Z170" s="54" t="n">
        <v>699</v>
      </c>
      <c r="AA170" s="55">
        <f>IF(AND(A170="", B170="", E170=""), "", IF(AB170="", "Válido", IF((LEN(AB170)-LEN(SUBSTITUTE(AB170,"; ","")))/2+1&gt;(LEN(AB170)-LEN(SUBSTITUTE(AB170,"[Aviso]","")))/7, "Con Incidencias", "Válido")))</f>
        <v/>
      </c>
      <c r="AB170" s="56">
        <f>IF(AND(A170="", B170="", E170=""), "", TEXTJOIN("; ", TRUE, IF(OR(TRIM(A170&amp;"")="", ISNUMBER(SEARCH("FALTA", A170))), "UPC faltante/inválido", ""), IF(AND(A170&lt;&gt;"", IFERROR(_xlfn.XMATCH(A170,$A$2:$A$370,0,1)&lt;&gt;_xlfn.XMATCH(A170,$A$2:$A$370,0,-1),FALSE)), "Código de barras duplicado", ""), IF(AND(E170&lt;&gt;"", COUNTIF($E$2:$E$370, E170)&gt;1), "SKU duplicado", ""), IF(OR(J170="", J170=""), "[Aviso] División no capturada ()", IF(ISNA(MATCH(J170, Criterios!$A$123:$A$126, 0)), "División no válida", "")), IF(OR(K170="", K170=""), "[Aviso] Categoría no capturada ()", IF(ISNA(MATCH(K170, Criterios!$A$81:$A$120, 0)), "Categoría no válida", IF(AND(J170&lt;&gt;"", J170&lt;&gt;"", J170&lt;&gt;VLOOKUP(K170, Criterios!$A$81:$B$120, 2, FALSE)), "División no coincide con Categoría", ""))), IF(OR(L170="", L170=""), "[Aviso] Género no capturado ()", IF(ISNA(MATCH(L170, Criterios!$B$123:$B$127, 0)), "Género no válido", "")), IF(OR(N170="", N170=""), "[Aviso] Temporada no capturada ()", IF(ISNA(MATCH(N170, Criterios!$C$123:$C$128, 0)), "Temporada no válida", "")), IF(OR(O170="", O170=""), "[Aviso] Ciclo de vida no capturado ()", IF(ISNA(MATCH(O170, Criterios!$D$123:$D$124, 0)), "Ciclo de vida no válido", ""))))</f>
        <v/>
      </c>
      <c r="AC170" s="56" t="n"/>
      <c r="AD170" s="51" t="n">
        <v>174</v>
      </c>
      <c r="AE170" s="156" t="inlineStr">
        <is>
          <t>CL Muestras (2); CAPSLAB Warehouse (107); Web (2)</t>
        </is>
      </c>
      <c r="AF170" s="51" t="n">
        <v>174</v>
      </c>
      <c r="AG170" s="156" t="inlineStr">
        <is>
          <t>Nuevo – NetSuite con existencia</t>
        </is>
      </c>
      <c r="AH170" s="156" t="inlineStr">
        <is>
          <t>Composición CAPSLAB varía por modelo (50/50, 40/60 o 100% poliéster): validar etiqueta; Físico total NetSuite 174 ≠ suma por ubicación 111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70" s="156" t="inlineStr">
        <is>
          <t>No</t>
        </is>
      </c>
      <c r="AJ170" s="156" t="n"/>
      <c r="AK170" s="155" t="inlineStr">
        <is>
          <t>G1522ProductosTodosloscamposSandboxResults894.xlsx: fila 47878 [Y]; G1522_Extraccion_Articulos_NetSuite_2026-09-30.xlsx: fila 20775 [Z]</t>
        </is>
      </c>
      <c r="AL170" s="58" t="n">
        <v>8.5</v>
      </c>
      <c r="AM170" s="58" t="n"/>
      <c r="AN170" s="155" t="n"/>
      <c r="AO170" s="59" t="n"/>
      <c r="AP170" s="59" t="n"/>
      <c r="AQ170" s="59" t="n"/>
      <c r="AR170" s="155" t="n"/>
    </row>
    <row r="171">
      <c r="A171" s="50" t="inlineStr">
        <is>
          <t>3614000810995</t>
        </is>
      </c>
      <c r="B171" s="51" t="inlineStr">
        <is>
          <t>69624</t>
        </is>
      </c>
      <c r="C171" s="156" t="inlineStr">
        <is>
          <t>CAPSLAB</t>
        </is>
      </c>
      <c r="D171" s="156" t="inlineStr">
        <is>
          <t>CL/LOO/1/TAZ2</t>
        </is>
      </c>
      <c r="E171" s="156" t="inlineStr">
        <is>
          <t>CL/LOO/1/TAZ2-UNI</t>
        </is>
      </c>
      <c r="F171" s="156" t="inlineStr">
        <is>
          <t>Talla única</t>
        </is>
      </c>
      <c r="G171" s="156" t="inlineStr">
        <is>
          <t>One Size</t>
        </is>
      </c>
      <c r="H171" s="156" t="inlineStr">
        <is>
          <t>CAPSLAB</t>
        </is>
      </c>
      <c r="I171" s="156" t="inlineStr">
        <is>
          <t>Gorra CAPSLAB Looney Tunes Taz</t>
        </is>
      </c>
      <c r="J171" s="156" t="inlineStr">
        <is>
          <t>Accesorios</t>
        </is>
      </c>
      <c r="K171" s="156" t="inlineStr">
        <is>
          <t>Gorras</t>
        </is>
      </c>
      <c r="L171" s="156" t="inlineStr">
        <is>
          <t>Unisex</t>
        </is>
      </c>
      <c r="M171" s="156" t="inlineStr">
        <is>
          <t>Looney Tunes</t>
        </is>
      </c>
      <c r="N171" s="156" t="n"/>
      <c r="O171" s="156" t="n"/>
      <c r="P171" s="156" t="n"/>
      <c r="Q171" s="156" t="n"/>
      <c r="R171" s="156" t="n"/>
      <c r="S171" s="156" t="inlineStr">
        <is>
          <t>Algodón / Poliéster</t>
        </is>
      </c>
      <c r="T171" s="156" t="inlineStr">
        <is>
          <t>Gorra de la marca CAPSLAB bajo licencia oficial Looney Tunes, personaje Taz. Talla única ajustable. Estilo CL/LOO/1/TAZ2.</t>
        </is>
      </c>
      <c r="U171" s="156" t="n"/>
      <c r="V171" s="156" t="inlineStr">
        <is>
          <t>PZS</t>
        </is>
      </c>
      <c r="W171" s="51" t="inlineStr">
        <is>
          <t>53102516</t>
        </is>
      </c>
      <c r="X171" s="156" t="inlineStr">
        <is>
          <t>https://i.ibb.co/N3CCxTd/CLLOO1-TAZ2.jpg</t>
        </is>
      </c>
      <c r="Y171" s="54" t="n"/>
      <c r="Z171" s="54" t="n">
        <v>699</v>
      </c>
      <c r="AA171" s="55">
        <f>IF(AND(A171="", B171="", E171=""), "", IF(AB171="", "Válido", IF((LEN(AB171)-LEN(SUBSTITUTE(AB171,"; ","")))/2+1&gt;(LEN(AB171)-LEN(SUBSTITUTE(AB171,"[Aviso]","")))/7, "Con Incidencias", "Válido")))</f>
        <v/>
      </c>
      <c r="AB171" s="56">
        <f>IF(AND(A171="", B171="", E171=""), "", TEXTJOIN("; ", TRUE, IF(OR(TRIM(A171&amp;"")="", ISNUMBER(SEARCH("FALTA", A171))), "UPC faltante/inválido", ""), IF(AND(A171&lt;&gt;"", IFERROR(_xlfn.XMATCH(A171,$A$2:$A$370,0,1)&lt;&gt;_xlfn.XMATCH(A171,$A$2:$A$370,0,-1),FALSE)), "Código de barras duplicado", ""), IF(AND(E171&lt;&gt;"", COUNTIF($E$2:$E$370, E171)&gt;1), "SKU duplicado", ""), IF(OR(J171="", J171=""), "[Aviso] División no capturada ()", IF(ISNA(MATCH(J171, Criterios!$A$123:$A$126, 0)), "División no válida", "")), IF(OR(K171="", K171=""), "[Aviso] Categoría no capturada ()", IF(ISNA(MATCH(K171, Criterios!$A$81:$A$120, 0)), "Categoría no válida", IF(AND(J171&lt;&gt;"", J171&lt;&gt;"", J171&lt;&gt;VLOOKUP(K171, Criterios!$A$81:$B$120, 2, FALSE)), "División no coincide con Categoría", ""))), IF(OR(L171="", L171=""), "[Aviso] Género no capturado ()", IF(ISNA(MATCH(L171, Criterios!$B$123:$B$127, 0)), "Género no válido", "")), IF(OR(N171="", N171=""), "[Aviso] Temporada no capturada ()", IF(ISNA(MATCH(N171, Criterios!$C$123:$C$128, 0)), "Temporada no válida", "")), IF(OR(O171="", O171=""), "[Aviso] Ciclo de vida no capturado ()", IF(ISNA(MATCH(O171, Criterios!$D$123:$D$124, 0)), "Ciclo de vida no válido", ""))))</f>
        <v/>
      </c>
      <c r="AC171" s="56" t="n"/>
      <c r="AD171" s="51" t="n">
        <v>36</v>
      </c>
      <c r="AE171" s="156" t="inlineStr">
        <is>
          <t>Web (1); CAPSLAB Warehouse (35)</t>
        </is>
      </c>
      <c r="AF171" s="51" t="n">
        <v>36</v>
      </c>
      <c r="AG171" s="156" t="inlineStr">
        <is>
          <t>Nuevo – NetSuite con existencia</t>
        </is>
      </c>
      <c r="AH171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71" s="156" t="inlineStr">
        <is>
          <t>No</t>
        </is>
      </c>
      <c r="AJ171" s="156" t="n"/>
      <c r="AK171" s="155" t="inlineStr">
        <is>
          <t>G1522ProductosTodosloscamposSandboxResults894.xlsx: fila 47880 [X]; G1522_Extraccion_Articulos_NetSuite_2026-09-30.xlsx: fila 30354 [Z]</t>
        </is>
      </c>
      <c r="AL171" s="58" t="n"/>
      <c r="AM171" s="58" t="n"/>
      <c r="AN171" s="155" t="n"/>
      <c r="AO171" s="59" t="n"/>
      <c r="AP171" s="59" t="n"/>
      <c r="AQ171" s="59" t="n"/>
      <c r="AR171" s="155" t="n"/>
    </row>
    <row r="172">
      <c r="A172" s="50" t="inlineStr">
        <is>
          <t>3614000811008</t>
        </is>
      </c>
      <c r="B172" s="51" t="inlineStr">
        <is>
          <t>57393</t>
        </is>
      </c>
      <c r="C172" s="156" t="inlineStr">
        <is>
          <t>CAPSLAB</t>
        </is>
      </c>
      <c r="D172" s="156" t="inlineStr">
        <is>
          <t>CL/LOO/1/TAZ3</t>
        </is>
      </c>
      <c r="E172" s="156" t="inlineStr">
        <is>
          <t>CL/LOO/1/TAZ3-UNI</t>
        </is>
      </c>
      <c r="F172" s="156" t="inlineStr">
        <is>
          <t>Talla única</t>
        </is>
      </c>
      <c r="G172" s="156" t="inlineStr">
        <is>
          <t>One Size</t>
        </is>
      </c>
      <c r="H172" s="156" t="inlineStr">
        <is>
          <t>CAPSLAB</t>
        </is>
      </c>
      <c r="I172" s="156" t="inlineStr">
        <is>
          <t>Gorra CAPSLAB Looney Tunes Taz Negro</t>
        </is>
      </c>
      <c r="J172" s="156" t="inlineStr">
        <is>
          <t>Accesorios</t>
        </is>
      </c>
      <c r="K172" s="156" t="inlineStr">
        <is>
          <t>Gorras</t>
        </is>
      </c>
      <c r="L172" s="156" t="inlineStr">
        <is>
          <t>Unisex</t>
        </is>
      </c>
      <c r="M172" s="156" t="inlineStr">
        <is>
          <t>Looney Tunes</t>
        </is>
      </c>
      <c r="N172" s="156" t="n"/>
      <c r="O172" s="156" t="n"/>
      <c r="P172" s="156" t="inlineStr">
        <is>
          <t>Negro</t>
        </is>
      </c>
      <c r="Q172" s="156" t="n"/>
      <c r="R172" s="156" t="n"/>
      <c r="S172" s="156" t="inlineStr">
        <is>
          <t>Algodón / Poliéster</t>
        </is>
      </c>
      <c r="T172" s="156" t="inlineStr">
        <is>
          <t>Gorra de la marca CAPSLAB bajo licencia oficial Looney Tunes, personaje Taz. Talla única ajustable. Estilo CL/LOO/1/TAZ3.</t>
        </is>
      </c>
      <c r="U172" s="156" t="n"/>
      <c r="V172" s="156" t="inlineStr">
        <is>
          <t>PZS</t>
        </is>
      </c>
      <c r="W172" s="51" t="inlineStr">
        <is>
          <t>53102516</t>
        </is>
      </c>
      <c r="X172" s="156" t="inlineStr">
        <is>
          <t>https://7913364.app.netsuite.com/core/media/media.nl?id=188268&amp;c=7913364&amp;h=GrZhXXBTzCVarehFPH7TsvhFZBC63qjpLcn6Cz941MtvnSp4</t>
        </is>
      </c>
      <c r="Y172" s="54" t="n">
        <v>8.5</v>
      </c>
      <c r="Z172" s="54" t="n">
        <v>699</v>
      </c>
      <c r="AA172" s="55">
        <f>IF(AND(A172="", B172="", E172=""), "", IF(AB172="", "Válido", IF((LEN(AB172)-LEN(SUBSTITUTE(AB172,"; ","")))/2+1&gt;(LEN(AB172)-LEN(SUBSTITUTE(AB172,"[Aviso]","")))/7, "Con Incidencias", "Válido")))</f>
        <v/>
      </c>
      <c r="AB172" s="56">
        <f>IF(AND(A172="", B172="", E172=""), "", TEXTJOIN("; ", TRUE, IF(OR(TRIM(A172&amp;"")="", ISNUMBER(SEARCH("FALTA", A172))), "UPC faltante/inválido", ""), IF(AND(A172&lt;&gt;"", IFERROR(_xlfn.XMATCH(A172,$A$2:$A$370,0,1)&lt;&gt;_xlfn.XMATCH(A172,$A$2:$A$370,0,-1),FALSE)), "Código de barras duplicado", ""), IF(AND(E172&lt;&gt;"", COUNTIF($E$2:$E$370, E172)&gt;1), "SKU duplicado", ""), IF(OR(J172="", J172=""), "[Aviso] División no capturada ()", IF(ISNA(MATCH(J172, Criterios!$A$123:$A$126, 0)), "División no válida", "")), IF(OR(K172="", K172=""), "[Aviso] Categoría no capturada ()", IF(ISNA(MATCH(K172, Criterios!$A$81:$A$120, 0)), "Categoría no válida", IF(AND(J172&lt;&gt;"", J172&lt;&gt;"", J172&lt;&gt;VLOOKUP(K172, Criterios!$A$81:$B$120, 2, FALSE)), "División no coincide con Categoría", ""))), IF(OR(L172="", L172=""), "[Aviso] Género no capturado ()", IF(ISNA(MATCH(L172, Criterios!$B$123:$B$127, 0)), "Género no válido", "")), IF(OR(N172="", N172=""), "[Aviso] Temporada no capturada ()", IF(ISNA(MATCH(N172, Criterios!$C$123:$C$128, 0)), "Temporada no válida", "")), IF(OR(O172="", O172=""), "[Aviso] Ciclo de vida no capturado ()", IF(ISNA(MATCH(O172, Criterios!$D$123:$D$124, 0)), "Ciclo de vida no válido", ""))))</f>
        <v/>
      </c>
      <c r="AC172" s="56" t="n"/>
      <c r="AD172" s="51" t="n">
        <v>1</v>
      </c>
      <c r="AE172" s="156" t="inlineStr">
        <is>
          <t>CL Muestras (1)</t>
        </is>
      </c>
      <c r="AF172" s="51" t="n">
        <v>1</v>
      </c>
      <c r="AG172" s="156" t="inlineStr">
        <is>
          <t>Nuevo – NetSuite con existencia</t>
        </is>
      </c>
      <c r="AH172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72" s="156" t="inlineStr">
        <is>
          <t>No</t>
        </is>
      </c>
      <c r="AJ172" s="156" t="n"/>
      <c r="AK172" s="155" t="inlineStr">
        <is>
          <t>G1522ProductosTodosloscamposSandboxResults894.xlsx: fila 47882 [Y]; G1522_Extraccion_Articulos_NetSuite_2026-09-30.xlsx: fila 20776 [Z]</t>
        </is>
      </c>
      <c r="AL172" s="58" t="n">
        <v>8.5</v>
      </c>
      <c r="AM172" s="58" t="n"/>
      <c r="AN172" s="155" t="n"/>
      <c r="AO172" s="59" t="n"/>
      <c r="AP172" s="59" t="n"/>
      <c r="AQ172" s="59" t="n"/>
      <c r="AR172" s="155" t="n"/>
    </row>
    <row r="173">
      <c r="A173" s="50" t="inlineStr">
        <is>
          <t>3614001698806</t>
        </is>
      </c>
      <c r="B173" s="51" t="inlineStr">
        <is>
          <t>69625</t>
        </is>
      </c>
      <c r="C173" s="156" t="inlineStr">
        <is>
          <t>CAPSLAB</t>
        </is>
      </c>
      <c r="D173" s="156" t="inlineStr">
        <is>
          <t>CL/LOO/3/BUG1</t>
        </is>
      </c>
      <c r="E173" s="156" t="inlineStr">
        <is>
          <t>CL/LOO/3/BUG1-UNI</t>
        </is>
      </c>
      <c r="F173" s="156" t="inlineStr">
        <is>
          <t>Talla única</t>
        </is>
      </c>
      <c r="G173" s="156" t="inlineStr">
        <is>
          <t>One Size</t>
        </is>
      </c>
      <c r="H173" s="156" t="inlineStr">
        <is>
          <t>CAPSLAB</t>
        </is>
      </c>
      <c r="I173" s="156" t="inlineStr">
        <is>
          <t>Gorra CAPSLAB Looney Tunes Bugs Bunny</t>
        </is>
      </c>
      <c r="J173" s="156" t="inlineStr">
        <is>
          <t>Accesorios</t>
        </is>
      </c>
      <c r="K173" s="156" t="inlineStr">
        <is>
          <t>Gorras</t>
        </is>
      </c>
      <c r="L173" s="156" t="inlineStr">
        <is>
          <t>Unisex</t>
        </is>
      </c>
      <c r="M173" s="156" t="inlineStr">
        <is>
          <t>Looney Tunes</t>
        </is>
      </c>
      <c r="N173" s="156" t="n"/>
      <c r="O173" s="156" t="n"/>
      <c r="P173" s="156" t="n"/>
      <c r="Q173" s="156" t="n"/>
      <c r="R173" s="156" t="n"/>
      <c r="S173" s="156" t="inlineStr">
        <is>
          <t>Algodón / Poliéster</t>
        </is>
      </c>
      <c r="T173" s="156" t="inlineStr">
        <is>
          <t>Gorra de la marca CAPSLAB bajo licencia oficial Looney Tunes, personaje Bugs Bunny. Talla única ajustable. Estilo CL/LOO/3/BUG1.</t>
        </is>
      </c>
      <c r="U173" s="156" t="n"/>
      <c r="V173" s="156" t="inlineStr">
        <is>
          <t>PZS</t>
        </is>
      </c>
      <c r="W173" s="51" t="inlineStr">
        <is>
          <t>53102516</t>
        </is>
      </c>
      <c r="X173" s="156" t="inlineStr">
        <is>
          <t>https://i.ibb.co/mCnLn1B/CLLOO3-BUG1.jpg</t>
        </is>
      </c>
      <c r="Y173" s="54" t="n"/>
      <c r="Z173" s="54" t="n">
        <v>699</v>
      </c>
      <c r="AA173" s="55">
        <f>IF(AND(A173="", B173="", E173=""), "", IF(AB173="", "Válido", IF((LEN(AB173)-LEN(SUBSTITUTE(AB173,"; ","")))/2+1&gt;(LEN(AB173)-LEN(SUBSTITUTE(AB173,"[Aviso]","")))/7, "Con Incidencias", "Válido")))</f>
        <v/>
      </c>
      <c r="AB173" s="56">
        <f>IF(AND(A173="", B173="", E173=""), "", TEXTJOIN("; ", TRUE, IF(OR(TRIM(A173&amp;"")="", ISNUMBER(SEARCH("FALTA", A173))), "UPC faltante/inválido", ""), IF(AND(A173&lt;&gt;"", IFERROR(_xlfn.XMATCH(A173,$A$2:$A$370,0,1)&lt;&gt;_xlfn.XMATCH(A173,$A$2:$A$370,0,-1),FALSE)), "Código de barras duplicado", ""), IF(AND(E173&lt;&gt;"", COUNTIF($E$2:$E$370, E173)&gt;1), "SKU duplicado", ""), IF(OR(J173="", J173=""), "[Aviso] División no capturada ()", IF(ISNA(MATCH(J173, Criterios!$A$123:$A$126, 0)), "División no válida", "")), IF(OR(K173="", K173=""), "[Aviso] Categoría no capturada ()", IF(ISNA(MATCH(K173, Criterios!$A$81:$A$120, 0)), "Categoría no válida", IF(AND(J173&lt;&gt;"", J173&lt;&gt;"", J173&lt;&gt;VLOOKUP(K173, Criterios!$A$81:$B$120, 2, FALSE)), "División no coincide con Categoría", ""))), IF(OR(L173="", L173=""), "[Aviso] Género no capturado ()", IF(ISNA(MATCH(L173, Criterios!$B$123:$B$127, 0)), "Género no válido", "")), IF(OR(N173="", N173=""), "[Aviso] Temporada no capturada ()", IF(ISNA(MATCH(N173, Criterios!$C$123:$C$128, 0)), "Temporada no válida", "")), IF(OR(O173="", O173=""), "[Aviso] Ciclo de vida no capturado ()", IF(ISNA(MATCH(O173, Criterios!$D$123:$D$124, 0)), "Ciclo de vida no válido", ""))))</f>
        <v/>
      </c>
      <c r="AC173" s="56" t="n"/>
      <c r="AD173" s="51" t="n">
        <v>36</v>
      </c>
      <c r="AE173" s="156" t="inlineStr">
        <is>
          <t>CAPSLAB Warehouse (33); CL Muestras (1); Web (2)</t>
        </is>
      </c>
      <c r="AF173" s="51" t="n">
        <v>36</v>
      </c>
      <c r="AG173" s="156" t="inlineStr">
        <is>
          <t>Nuevo – NetSuite con existencia</t>
        </is>
      </c>
      <c r="AH173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73" s="156" t="inlineStr">
        <is>
          <t>No</t>
        </is>
      </c>
      <c r="AJ173" s="156" t="n"/>
      <c r="AK173" s="155" t="inlineStr">
        <is>
          <t>G1522ProductosTodosloscamposSandboxResults894.xlsx: fila 47884 [X]; G1522_Extraccion_Articulos_NetSuite_2026-09-30.xlsx: fila 30355 [Z]</t>
        </is>
      </c>
      <c r="AL173" s="58" t="n"/>
      <c r="AM173" s="58" t="n"/>
      <c r="AN173" s="155" t="n"/>
      <c r="AO173" s="59" t="n"/>
      <c r="AP173" s="59" t="n"/>
      <c r="AQ173" s="59" t="n"/>
      <c r="AR173" s="155" t="n"/>
    </row>
    <row r="174">
      <c r="A174" s="50" t="inlineStr">
        <is>
          <t>3614001698820</t>
        </is>
      </c>
      <c r="B174" s="51" t="inlineStr">
        <is>
          <t>69626</t>
        </is>
      </c>
      <c r="C174" s="156" t="inlineStr">
        <is>
          <t>CAPSLAB</t>
        </is>
      </c>
      <c r="D174" s="156" t="inlineStr">
        <is>
          <t>CL/LOO/3/BUN5</t>
        </is>
      </c>
      <c r="E174" s="156" t="inlineStr">
        <is>
          <t>CL/LOO/3/BUN5-UNI</t>
        </is>
      </c>
      <c r="F174" s="156" t="inlineStr">
        <is>
          <t>Talla única</t>
        </is>
      </c>
      <c r="G174" s="156" t="inlineStr">
        <is>
          <t>One Size</t>
        </is>
      </c>
      <c r="H174" s="156" t="inlineStr">
        <is>
          <t>CAPSLAB</t>
        </is>
      </c>
      <c r="I174" s="156" t="inlineStr">
        <is>
          <t>Gorra CAPSLAB Looney Tunes</t>
        </is>
      </c>
      <c r="J174" s="156" t="inlineStr">
        <is>
          <t>Accesorios</t>
        </is>
      </c>
      <c r="K174" s="156" t="inlineStr">
        <is>
          <t>Gorras</t>
        </is>
      </c>
      <c r="L174" s="156" t="inlineStr">
        <is>
          <t>Unisex</t>
        </is>
      </c>
      <c r="M174" s="156" t="inlineStr">
        <is>
          <t>Looney Tunes</t>
        </is>
      </c>
      <c r="N174" s="156" t="n"/>
      <c r="O174" s="156" t="n"/>
      <c r="P174" s="156" t="n"/>
      <c r="Q174" s="156" t="n"/>
      <c r="R174" s="156" t="n"/>
      <c r="S174" s="156" t="inlineStr">
        <is>
          <t>Algodón / Poliéster</t>
        </is>
      </c>
      <c r="T174" s="156" t="inlineStr">
        <is>
          <t>Gorra de la marca CAPSLAB bajo licencia oficial Looney Tunes. Talla única ajustable. Estilo CL/LOO/3/BUN5.</t>
        </is>
      </c>
      <c r="U174" s="156" t="n"/>
      <c r="V174" s="156" t="inlineStr">
        <is>
          <t>PZS</t>
        </is>
      </c>
      <c r="W174" s="51" t="inlineStr">
        <is>
          <t>53102516</t>
        </is>
      </c>
      <c r="X174" s="156" t="inlineStr">
        <is>
          <t>https://i.ibb.co/Z6WgWCf/CLLOO3-BUN5.jpg</t>
        </is>
      </c>
      <c r="Y174" s="54" t="n"/>
      <c r="Z174" s="54" t="n">
        <v>699</v>
      </c>
      <c r="AA174" s="55">
        <f>IF(AND(A174="", B174="", E174=""), "", IF(AB174="", "Válido", IF((LEN(AB174)-LEN(SUBSTITUTE(AB174,"; ","")))/2+1&gt;(LEN(AB174)-LEN(SUBSTITUTE(AB174,"[Aviso]","")))/7, "Con Incidencias", "Válido")))</f>
        <v/>
      </c>
      <c r="AB174" s="56">
        <f>IF(AND(A174="", B174="", E174=""), "", TEXTJOIN("; ", TRUE, IF(OR(TRIM(A174&amp;"")="", ISNUMBER(SEARCH("FALTA", A174))), "UPC faltante/inválido", ""), IF(AND(A174&lt;&gt;"", IFERROR(_xlfn.XMATCH(A174,$A$2:$A$370,0,1)&lt;&gt;_xlfn.XMATCH(A174,$A$2:$A$370,0,-1),FALSE)), "Código de barras duplicado", ""), IF(AND(E174&lt;&gt;"", COUNTIF($E$2:$E$370, E174)&gt;1), "SKU duplicado", ""), IF(OR(J174="", J174=""), "[Aviso] División no capturada ()", IF(ISNA(MATCH(J174, Criterios!$A$123:$A$126, 0)), "División no válida", "")), IF(OR(K174="", K174=""), "[Aviso] Categoría no capturada ()", IF(ISNA(MATCH(K174, Criterios!$A$81:$A$120, 0)), "Categoría no válida", IF(AND(J174&lt;&gt;"", J174&lt;&gt;"", J174&lt;&gt;VLOOKUP(K174, Criterios!$A$81:$B$120, 2, FALSE)), "División no coincide con Categoría", ""))), IF(OR(L174="", L174=""), "[Aviso] Género no capturado ()", IF(ISNA(MATCH(L174, Criterios!$B$123:$B$127, 0)), "Género no válido", "")), IF(OR(N174="", N174=""), "[Aviso] Temporada no capturada ()", IF(ISNA(MATCH(N174, Criterios!$C$123:$C$128, 0)), "Temporada no válida", "")), IF(OR(O174="", O174=""), "[Aviso] Ciclo de vida no capturado ()", IF(ISNA(MATCH(O174, Criterios!$D$123:$D$124, 0)), "Ciclo de vida no válido", ""))))</f>
        <v/>
      </c>
      <c r="AC174" s="56" t="n"/>
      <c r="AD174" s="51" t="n">
        <v>109</v>
      </c>
      <c r="AE174" s="156" t="inlineStr">
        <is>
          <t>CAPSLAB Warehouse (78); CL Muestras (1); Web (2)</t>
        </is>
      </c>
      <c r="AF174" s="51" t="n">
        <v>108</v>
      </c>
      <c r="AG174" s="156" t="inlineStr">
        <is>
          <t>Nuevo – NetSuite con existencia</t>
        </is>
      </c>
      <c r="AH174" s="156" t="inlineStr">
        <is>
          <t>Composición CAPSLAB varía por modelo (50/50, 40/60 o 100% poliéster): validar etiqueta; Color por validar; Físico total NetSuite 109 ≠ suma por ubicación 81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74" s="156" t="inlineStr">
        <is>
          <t>No</t>
        </is>
      </c>
      <c r="AJ174" s="156" t="n"/>
      <c r="AK174" s="155" t="inlineStr">
        <is>
          <t>G1522ProductosTodosloscamposSandboxResults894.xlsx: fila 47886 [X]; G1522_Extraccion_Articulos_NetSuite_2026-09-30.xlsx: fila 30356 [Z]</t>
        </is>
      </c>
      <c r="AL174" s="58" t="n"/>
      <c r="AM174" s="58" t="n"/>
      <c r="AN174" s="155" t="n"/>
      <c r="AO174" s="59" t="n"/>
      <c r="AP174" s="59" t="n"/>
      <c r="AQ174" s="59" t="n"/>
      <c r="AR174" s="155" t="n"/>
    </row>
    <row r="175">
      <c r="A175" s="50" t="inlineStr">
        <is>
          <t>3614001698844</t>
        </is>
      </c>
      <c r="B175" s="51" t="inlineStr">
        <is>
          <t>69627</t>
        </is>
      </c>
      <c r="C175" s="156" t="inlineStr">
        <is>
          <t>CAPSLAB</t>
        </is>
      </c>
      <c r="D175" s="156" t="inlineStr">
        <is>
          <t>CL/LOO/3/DAF1</t>
        </is>
      </c>
      <c r="E175" s="156" t="inlineStr">
        <is>
          <t>CL/LOO/3/DAF1-UNI</t>
        </is>
      </c>
      <c r="F175" s="156" t="inlineStr">
        <is>
          <t>Talla única</t>
        </is>
      </c>
      <c r="G175" s="156" t="inlineStr">
        <is>
          <t>One Size</t>
        </is>
      </c>
      <c r="H175" s="156" t="inlineStr">
        <is>
          <t>CAPSLAB</t>
        </is>
      </c>
      <c r="I175" s="156" t="inlineStr">
        <is>
          <t>Gorra CAPSLAB Looney Tunes Pato Lucas</t>
        </is>
      </c>
      <c r="J175" s="156" t="inlineStr">
        <is>
          <t>Accesorios</t>
        </is>
      </c>
      <c r="K175" s="156" t="inlineStr">
        <is>
          <t>Gorras</t>
        </is>
      </c>
      <c r="L175" s="156" t="inlineStr">
        <is>
          <t>Unisex</t>
        </is>
      </c>
      <c r="M175" s="156" t="inlineStr">
        <is>
          <t>Looney Tunes</t>
        </is>
      </c>
      <c r="N175" s="156" t="n"/>
      <c r="O175" s="156" t="n"/>
      <c r="P175" s="156" t="n"/>
      <c r="Q175" s="156" t="n"/>
      <c r="R175" s="156" t="n"/>
      <c r="S175" s="156" t="inlineStr">
        <is>
          <t>Algodón / Poliéster</t>
        </is>
      </c>
      <c r="T175" s="156" t="inlineStr">
        <is>
          <t>Gorra de la marca CAPSLAB bajo licencia oficial Looney Tunes, personaje Pato Lucas. Talla única ajustable. Estilo CL/LOO/3/DAF1.</t>
        </is>
      </c>
      <c r="U175" s="156" t="n"/>
      <c r="V175" s="156" t="inlineStr">
        <is>
          <t>PZS</t>
        </is>
      </c>
      <c r="W175" s="51" t="inlineStr">
        <is>
          <t>53102516</t>
        </is>
      </c>
      <c r="X175" s="156" t="inlineStr">
        <is>
          <t>https://i.ibb.co/CMhmkYJ/CLLOO3-DAF1.jpg</t>
        </is>
      </c>
      <c r="Y175" s="54" t="n"/>
      <c r="Z175" s="54" t="n">
        <v>699</v>
      </c>
      <c r="AA175" s="55">
        <f>IF(AND(A175="", B175="", E175=""), "", IF(AB175="", "Válido", IF((LEN(AB175)-LEN(SUBSTITUTE(AB175,"; ","")))/2+1&gt;(LEN(AB175)-LEN(SUBSTITUTE(AB175,"[Aviso]","")))/7, "Con Incidencias", "Válido")))</f>
        <v/>
      </c>
      <c r="AB175" s="56">
        <f>IF(AND(A175="", B175="", E175=""), "", TEXTJOIN("; ", TRUE, IF(OR(TRIM(A175&amp;"")="", ISNUMBER(SEARCH("FALTA", A175))), "UPC faltante/inválido", ""), IF(AND(A175&lt;&gt;"", IFERROR(_xlfn.XMATCH(A175,$A$2:$A$370,0,1)&lt;&gt;_xlfn.XMATCH(A175,$A$2:$A$370,0,-1),FALSE)), "Código de barras duplicado", ""), IF(AND(E175&lt;&gt;"", COUNTIF($E$2:$E$370, E175)&gt;1), "SKU duplicado", ""), IF(OR(J175="", J175=""), "[Aviso] División no capturada ()", IF(ISNA(MATCH(J175, Criterios!$A$123:$A$126, 0)), "División no válida", "")), IF(OR(K175="", K175=""), "[Aviso] Categoría no capturada ()", IF(ISNA(MATCH(K175, Criterios!$A$81:$A$120, 0)), "Categoría no válida", IF(AND(J175&lt;&gt;"", J175&lt;&gt;"", J175&lt;&gt;VLOOKUP(K175, Criterios!$A$81:$B$120, 2, FALSE)), "División no coincide con Categoría", ""))), IF(OR(L175="", L175=""), "[Aviso] Género no capturado ()", IF(ISNA(MATCH(L175, Criterios!$B$123:$B$127, 0)), "Género no válido", "")), IF(OR(N175="", N175=""), "[Aviso] Temporada no capturada ()", IF(ISNA(MATCH(N175, Criterios!$C$123:$C$128, 0)), "Temporada no válida", "")), IF(OR(O175="", O175=""), "[Aviso] Ciclo de vida no capturado ()", IF(ISNA(MATCH(O175, Criterios!$D$123:$D$124, 0)), "Ciclo de vida no válido", ""))))</f>
        <v/>
      </c>
      <c r="AC175" s="56" t="n"/>
      <c r="AD175" s="51" t="n">
        <v>140</v>
      </c>
      <c r="AE175" s="156" t="inlineStr">
        <is>
          <t>CAPSLAB Warehouse (97); CL Muestras (1)</t>
        </is>
      </c>
      <c r="AF175" s="51" t="n">
        <v>140</v>
      </c>
      <c r="AG175" s="156" t="inlineStr">
        <is>
          <t>Nuevo – NetSuite con existencia</t>
        </is>
      </c>
      <c r="AH175" s="156" t="inlineStr">
        <is>
          <t>Composición CAPSLAB varía por modelo (50/50, 40/60 o 100% poliéster): validar etiqueta; Color por validar; Físico total NetSuite 140 ≠ suma por ubicación 98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75" s="156" t="inlineStr">
        <is>
          <t>No</t>
        </is>
      </c>
      <c r="AJ175" s="156" t="n"/>
      <c r="AK175" s="155" t="inlineStr">
        <is>
          <t>G1522ProductosTodosloscamposSandboxResults894.xlsx: fila 47888 [X]; G1522_Extraccion_Articulos_NetSuite_2026-09-30.xlsx: fila 30357 [Z]</t>
        </is>
      </c>
      <c r="AL175" s="58" t="n"/>
      <c r="AM175" s="58" t="n"/>
      <c r="AN175" s="155" t="n"/>
      <c r="AO175" s="59" t="n"/>
      <c r="AP175" s="59" t="n"/>
      <c r="AQ175" s="59" t="n"/>
      <c r="AR175" s="155" t="n"/>
    </row>
    <row r="176">
      <c r="A176" s="50" t="inlineStr">
        <is>
          <t>3614000979821</t>
        </is>
      </c>
      <c r="B176" s="51" t="inlineStr">
        <is>
          <t>57394</t>
        </is>
      </c>
      <c r="C176" s="156" t="inlineStr">
        <is>
          <t>CAPSLAB</t>
        </is>
      </c>
      <c r="D176" s="156" t="inlineStr">
        <is>
          <t>CL/LOO/3/TAZ2</t>
        </is>
      </c>
      <c r="E176" s="156" t="inlineStr">
        <is>
          <t>CL/LOO/3/TAZ2-UNIJR</t>
        </is>
      </c>
      <c r="F176" s="156" t="inlineStr">
        <is>
          <t>Talla única</t>
        </is>
      </c>
      <c r="G176" s="156" t="inlineStr">
        <is>
          <t>One Size</t>
        </is>
      </c>
      <c r="H176" s="156" t="inlineStr">
        <is>
          <t>CAPSLAB</t>
        </is>
      </c>
      <c r="I176" s="156" t="inlineStr">
        <is>
          <t>Gorra CAPSLAB Looney Tunes Taz</t>
        </is>
      </c>
      <c r="J176" s="156" t="inlineStr">
        <is>
          <t>Accesorios</t>
        </is>
      </c>
      <c r="K176" s="156" t="inlineStr">
        <is>
          <t>Gorras</t>
        </is>
      </c>
      <c r="L176" s="156" t="inlineStr">
        <is>
          <t>Niño</t>
        </is>
      </c>
      <c r="M176" s="156" t="inlineStr">
        <is>
          <t>Looney Tunes</t>
        </is>
      </c>
      <c r="N176" s="156" t="n"/>
      <c r="O176" s="156" t="n"/>
      <c r="P176" s="156" t="n"/>
      <c r="Q176" s="156" t="n"/>
      <c r="R176" s="156" t="n"/>
      <c r="S176" s="156" t="inlineStr">
        <is>
          <t>Algodón / Poliéster</t>
        </is>
      </c>
      <c r="T176" s="156" t="inlineStr">
        <is>
          <t>Gorra de la marca CAPSLAB bajo licencia oficial Looney Tunes, personaje Taz. Talla única ajustable. Estilo CL/LOO/3/TAZ2.</t>
        </is>
      </c>
      <c r="U176" s="156" t="n"/>
      <c r="V176" s="156" t="inlineStr">
        <is>
          <t>PZS</t>
        </is>
      </c>
      <c r="W176" s="51" t="inlineStr">
        <is>
          <t>53102516</t>
        </is>
      </c>
      <c r="X176" s="156" t="inlineStr">
        <is>
          <t>https://7913364.app.netsuite.com/core/media/media.nl?id=188269&amp;c=7913364&amp;h=uhu5nChcTVzZivJa-7Vk2LIQdaerovY7QDlNNmuy9tbdaPLD</t>
        </is>
      </c>
      <c r="Y176" s="54" t="n">
        <v>8.5</v>
      </c>
      <c r="Z176" s="54" t="n">
        <v>699</v>
      </c>
      <c r="AA176" s="55">
        <f>IF(AND(A176="", B176="", E176=""), "", IF(AB176="", "Válido", IF((LEN(AB176)-LEN(SUBSTITUTE(AB176,"; ","")))/2+1&gt;(LEN(AB176)-LEN(SUBSTITUTE(AB176,"[Aviso]","")))/7, "Con Incidencias", "Válido")))</f>
        <v/>
      </c>
      <c r="AB176" s="56">
        <f>IF(AND(A176="", B176="", E176=""), "", TEXTJOIN("; ", TRUE, IF(OR(TRIM(A176&amp;"")="", ISNUMBER(SEARCH("FALTA", A176))), "UPC faltante/inválido", ""), IF(AND(A176&lt;&gt;"", IFERROR(_xlfn.XMATCH(A176,$A$2:$A$370,0,1)&lt;&gt;_xlfn.XMATCH(A176,$A$2:$A$370,0,-1),FALSE)), "Código de barras duplicado", ""), IF(AND(E176&lt;&gt;"", COUNTIF($E$2:$E$370, E176)&gt;1), "SKU duplicado", ""), IF(OR(J176="", J176=""), "[Aviso] División no capturada ()", IF(ISNA(MATCH(J176, Criterios!$A$123:$A$126, 0)), "División no válida", "")), IF(OR(K176="", K176=""), "[Aviso] Categoría no capturada ()", IF(ISNA(MATCH(K176, Criterios!$A$81:$A$120, 0)), "Categoría no válida", IF(AND(J176&lt;&gt;"", J176&lt;&gt;"", J176&lt;&gt;VLOOKUP(K176, Criterios!$A$81:$B$120, 2, FALSE)), "División no coincide con Categoría", ""))), IF(OR(L176="", L176=""), "[Aviso] Género no capturado ()", IF(ISNA(MATCH(L176, Criterios!$B$123:$B$127, 0)), "Género no válido", "")), IF(OR(N176="", N176=""), "[Aviso] Temporada no capturada ()", IF(ISNA(MATCH(N176, Criterios!$C$123:$C$128, 0)), "Temporada no válida", "")), IF(OR(O176="", O176=""), "[Aviso] Ciclo de vida no capturado ()", IF(ISNA(MATCH(O176, Criterios!$D$123:$D$124, 0)), "Ciclo de vida no válido", ""))))</f>
        <v/>
      </c>
      <c r="AC176" s="56" t="n"/>
      <c r="AD176" s="51" t="n">
        <v>0</v>
      </c>
      <c r="AE176" s="156" t="n"/>
      <c r="AF176" s="51" t="n">
        <v>0</v>
      </c>
      <c r="AG176" s="156" t="inlineStr">
        <is>
          <t>Nuevo – NetSuite sin existencia</t>
        </is>
      </c>
      <c r="AH176" s="156" t="inlineStr">
        <is>
          <t>Composición CAPSLAB varía por modelo (50/50, 40/60 o 100% poliéster): validar etiqueta; Talla: Talla infantil (JR) (origen «UNI JR»); Color por validar | Revisión 29/09/2026: Talla fuente Talla única sin equivalencia exacta en Criterios para Talla Niño (numérica);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76" s="156" t="inlineStr">
        <is>
          <t>No</t>
        </is>
      </c>
      <c r="AJ176" s="156" t="n"/>
      <c r="AK176" s="155" t="inlineStr">
        <is>
          <t>G1522CatalogoMaestro25Results796.csv: fila 46799 [P] | G1522ProductosTodosloscamposSandboxResults894.xlsx: fila 47890 [Y]; G1522_Extraccion_Articulos_NetSuite_2026-09-30.xlsx: fila 20777 [Z]</t>
        </is>
      </c>
      <c r="AL176" s="58" t="n">
        <v>8.5</v>
      </c>
      <c r="AM176" s="58" t="n"/>
      <c r="AN176" s="155" t="n"/>
      <c r="AO176" s="59" t="n"/>
      <c r="AP176" s="59" t="n"/>
      <c r="AQ176" s="59" t="n"/>
      <c r="AR176" s="155" t="n"/>
    </row>
    <row r="177">
      <c r="A177" s="50" t="inlineStr">
        <is>
          <t>3614001542741</t>
        </is>
      </c>
      <c r="B177" s="51" t="inlineStr">
        <is>
          <t>57395</t>
        </is>
      </c>
      <c r="C177" s="156" t="inlineStr">
        <is>
          <t>CAPSLAB</t>
        </is>
      </c>
      <c r="D177" s="156" t="inlineStr">
        <is>
          <t>CL/LOO/FUR1/COY1</t>
        </is>
      </c>
      <c r="E177" s="156" t="inlineStr">
        <is>
          <t>CL/LOO/FUR1/COY1-UNI</t>
        </is>
      </c>
      <c r="F177" s="156" t="inlineStr">
        <is>
          <t>Talla única</t>
        </is>
      </c>
      <c r="G177" s="156" t="inlineStr">
        <is>
          <t>One Size</t>
        </is>
      </c>
      <c r="H177" s="156" t="inlineStr">
        <is>
          <t>CAPSLAB</t>
        </is>
      </c>
      <c r="I177" s="156" t="inlineStr">
        <is>
          <t>Gorra CAPSLAB Looney Tunes Coyote Café</t>
        </is>
      </c>
      <c r="J177" s="156" t="inlineStr">
        <is>
          <t>Accesorios</t>
        </is>
      </c>
      <c r="K177" s="156" t="inlineStr">
        <is>
          <t>Gorras</t>
        </is>
      </c>
      <c r="L177" s="156" t="inlineStr">
        <is>
          <t>Unisex</t>
        </is>
      </c>
      <c r="M177" s="156" t="inlineStr">
        <is>
          <t>Looney Tunes</t>
        </is>
      </c>
      <c r="N177" s="156" t="n"/>
      <c r="O177" s="156" t="n"/>
      <c r="P177" s="156" t="inlineStr">
        <is>
          <t>Cafe</t>
        </is>
      </c>
      <c r="Q177" s="156" t="n"/>
      <c r="R177" s="156" t="n"/>
      <c r="S177" s="156" t="inlineStr">
        <is>
          <t>Algodón / Poliéster</t>
        </is>
      </c>
      <c r="T177" s="156" t="inlineStr">
        <is>
          <t>Gorra de la marca CAPSLAB bajo licencia oficial Looney Tunes, personaje Coyote. Talla única ajustable. Estilo CL/LOO/FUR1/COY1.</t>
        </is>
      </c>
      <c r="U177" s="156" t="n"/>
      <c r="V177" s="156" t="inlineStr">
        <is>
          <t>PZS</t>
        </is>
      </c>
      <c r="W177" s="51" t="inlineStr">
        <is>
          <t>53102516</t>
        </is>
      </c>
      <c r="X177" s="156" t="inlineStr">
        <is>
          <t>https://7913364.app.netsuite.com/core/media/media.nl?id=188270&amp;c=7913364&amp;h=LDCkClLuII25r_XOdo-vNR_k0Jgl6O3mc0-IN4ZJK2WUvsox</t>
        </is>
      </c>
      <c r="Y177" s="54" t="n">
        <v>8.5</v>
      </c>
      <c r="Z177" s="54" t="n">
        <v>699</v>
      </c>
      <c r="AA177" s="55">
        <f>IF(AND(A177="", B177="", E177=""), "", IF(AB177="", "Válido", IF((LEN(AB177)-LEN(SUBSTITUTE(AB177,"; ","")))/2+1&gt;(LEN(AB177)-LEN(SUBSTITUTE(AB177,"[Aviso]","")))/7, "Con Incidencias", "Válido")))</f>
        <v/>
      </c>
      <c r="AB177" s="56">
        <f>IF(AND(A177="", B177="", E177=""), "", TEXTJOIN("; ", TRUE, IF(OR(TRIM(A177&amp;"")="", ISNUMBER(SEARCH("FALTA", A177))), "UPC faltante/inválido", ""), IF(AND(A177&lt;&gt;"", IFERROR(_xlfn.XMATCH(A177,$A$2:$A$370,0,1)&lt;&gt;_xlfn.XMATCH(A177,$A$2:$A$370,0,-1),FALSE)), "Código de barras duplicado", ""), IF(AND(E177&lt;&gt;"", COUNTIF($E$2:$E$370, E177)&gt;1), "SKU duplicado", ""), IF(OR(J177="", J177=""), "[Aviso] División no capturada ()", IF(ISNA(MATCH(J177, Criterios!$A$123:$A$126, 0)), "División no válida", "")), IF(OR(K177="", K177=""), "[Aviso] Categoría no capturada ()", IF(ISNA(MATCH(K177, Criterios!$A$81:$A$120, 0)), "Categoría no válida", IF(AND(J177&lt;&gt;"", J177&lt;&gt;"", J177&lt;&gt;VLOOKUP(K177, Criterios!$A$81:$B$120, 2, FALSE)), "División no coincide con Categoría", ""))), IF(OR(L177="", L177=""), "[Aviso] Género no capturado ()", IF(ISNA(MATCH(L177, Criterios!$B$123:$B$127, 0)), "Género no válido", "")), IF(OR(N177="", N177=""), "[Aviso] Temporada no capturada ()", IF(ISNA(MATCH(N177, Criterios!$C$123:$C$128, 0)), "Temporada no válida", "")), IF(OR(O177="", O177=""), "[Aviso] Ciclo de vida no capturado ()", IF(ISNA(MATCH(O177, Criterios!$D$123:$D$124, 0)), "Ciclo de vida no válido", ""))))</f>
        <v/>
      </c>
      <c r="AC177" s="56" t="n"/>
      <c r="AD177" s="51" t="n">
        <v>0</v>
      </c>
      <c r="AE177" s="156" t="n"/>
      <c r="AF177" s="51" t="n">
        <v>0</v>
      </c>
      <c r="AG177" s="156" t="inlineStr">
        <is>
          <t>Nuevo – NetSuite sin existencia</t>
        </is>
      </c>
      <c r="AH17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77" s="156" t="inlineStr">
        <is>
          <t>No</t>
        </is>
      </c>
      <c r="AJ177" s="156" t="n"/>
      <c r="AK177" s="155" t="inlineStr">
        <is>
          <t>G1522ProductosTodosloscamposSandboxResults894.xlsx: fila 47892 [Y]; G1522_Extraccion_Articulos_NetSuite_2026-09-30.xlsx: fila 20778 [Z]</t>
        </is>
      </c>
      <c r="AL177" s="58" t="n">
        <v>8.5</v>
      </c>
      <c r="AM177" s="58" t="n"/>
      <c r="AN177" s="155" t="n"/>
      <c r="AO177" s="59" t="n"/>
      <c r="AP177" s="59" t="n"/>
      <c r="AQ177" s="59" t="n"/>
      <c r="AR177" s="155" t="n"/>
    </row>
    <row r="178">
      <c r="A178" s="50" t="inlineStr">
        <is>
          <t>3614001102440</t>
        </is>
      </c>
      <c r="B178" s="51" t="inlineStr">
        <is>
          <t>57396</t>
        </is>
      </c>
      <c r="C178" s="156" t="inlineStr">
        <is>
          <t>CAPSLAB</t>
        </is>
      </c>
      <c r="D178" s="156" t="inlineStr">
        <is>
          <t>CL/LOO/TAG/1/BUG</t>
        </is>
      </c>
      <c r="E178" s="156" t="inlineStr">
        <is>
          <t>CL/LOO/TAG/1/BUG-UNI</t>
        </is>
      </c>
      <c r="F178" s="156" t="inlineStr">
        <is>
          <t>Talla única</t>
        </is>
      </c>
      <c r="G178" s="156" t="inlineStr">
        <is>
          <t>One Size</t>
        </is>
      </c>
      <c r="H178" s="156" t="inlineStr">
        <is>
          <t>CAPSLAB</t>
        </is>
      </c>
      <c r="I178" s="156" t="inlineStr">
        <is>
          <t>Gorra CAPSLAB Looney Tunes Bugs Bunny Negro</t>
        </is>
      </c>
      <c r="J178" s="156" t="inlineStr">
        <is>
          <t>Accesorios</t>
        </is>
      </c>
      <c r="K178" s="156" t="inlineStr">
        <is>
          <t>Gorras</t>
        </is>
      </c>
      <c r="L178" s="156" t="inlineStr">
        <is>
          <t>Unisex</t>
        </is>
      </c>
      <c r="M178" s="156" t="inlineStr">
        <is>
          <t>Looney Tunes</t>
        </is>
      </c>
      <c r="N178" s="156" t="n"/>
      <c r="O178" s="156" t="n"/>
      <c r="P178" s="156" t="inlineStr">
        <is>
          <t>Negro</t>
        </is>
      </c>
      <c r="Q178" s="156" t="n"/>
      <c r="R178" s="156" t="n"/>
      <c r="S178" s="156" t="inlineStr">
        <is>
          <t>Algodón / Poliéster</t>
        </is>
      </c>
      <c r="T178" s="156" t="inlineStr">
        <is>
          <t>Gorra de la marca CAPSLAB bajo licencia oficial Looney Tunes, personaje Bugs Bunny. Talla única ajustable. Estilo CL/LOO/TAG/1/BUG.</t>
        </is>
      </c>
      <c r="U178" s="156" t="n"/>
      <c r="V178" s="156" t="inlineStr">
        <is>
          <t>PZS</t>
        </is>
      </c>
      <c r="W178" s="51" t="inlineStr">
        <is>
          <t>53102516</t>
        </is>
      </c>
      <c r="X178" s="156" t="inlineStr">
        <is>
          <t>https://7913364.app.netsuite.com/core/media/media.nl?id=188271&amp;c=7913364&amp;h=1ZIzmfrpI5qIQ4-VQzkL4ekHTxejcXIkguB7umWAko3ixJ4z</t>
        </is>
      </c>
      <c r="Y178" s="54" t="n">
        <v>10.75</v>
      </c>
      <c r="Z178" s="54" t="n">
        <v>799</v>
      </c>
      <c r="AA178" s="55">
        <f>IF(AND(A178="", B178="", E178=""), "", IF(AB178="", "Válido", IF((LEN(AB178)-LEN(SUBSTITUTE(AB178,"; ","")))/2+1&gt;(LEN(AB178)-LEN(SUBSTITUTE(AB178,"[Aviso]","")))/7, "Con Incidencias", "Válido")))</f>
        <v/>
      </c>
      <c r="AB178" s="56">
        <f>IF(AND(A178="", B178="", E178=""), "", TEXTJOIN("; ", TRUE, IF(OR(TRIM(A178&amp;"")="", ISNUMBER(SEARCH("FALTA", A178))), "UPC faltante/inválido", ""), IF(AND(A178&lt;&gt;"", IFERROR(_xlfn.XMATCH(A178,$A$2:$A$370,0,1)&lt;&gt;_xlfn.XMATCH(A178,$A$2:$A$370,0,-1),FALSE)), "Código de barras duplicado", ""), IF(AND(E178&lt;&gt;"", COUNTIF($E$2:$E$370, E178)&gt;1), "SKU duplicado", ""), IF(OR(J178="", J178=""), "[Aviso] División no capturada ()", IF(ISNA(MATCH(J178, Criterios!$A$123:$A$126, 0)), "División no válida", "")), IF(OR(K178="", K178=""), "[Aviso] Categoría no capturada ()", IF(ISNA(MATCH(K178, Criterios!$A$81:$A$120, 0)), "Categoría no válida", IF(AND(J178&lt;&gt;"", J178&lt;&gt;"", J178&lt;&gt;VLOOKUP(K178, Criterios!$A$81:$B$120, 2, FALSE)), "División no coincide con Categoría", ""))), IF(OR(L178="", L178=""), "[Aviso] Género no capturado ()", IF(ISNA(MATCH(L178, Criterios!$B$123:$B$127, 0)), "Género no válido", "")), IF(OR(N178="", N178=""), "[Aviso] Temporada no capturada ()", IF(ISNA(MATCH(N178, Criterios!$C$123:$C$128, 0)), "Temporada no válida", "")), IF(OR(O178="", O178=""), "[Aviso] Ciclo de vida no capturado ()", IF(ISNA(MATCH(O178, Criterios!$D$123:$D$124, 0)), "Ciclo de vida no válido", ""))))</f>
        <v/>
      </c>
      <c r="AC178" s="56" t="n"/>
      <c r="AD178" s="51" t="n">
        <v>6</v>
      </c>
      <c r="AE178" s="156" t="inlineStr">
        <is>
          <t>CAPSLAB Warehouse (2); Web (2)</t>
        </is>
      </c>
      <c r="AF178" s="51" t="n">
        <v>6</v>
      </c>
      <c r="AG178" s="156" t="inlineStr">
        <is>
          <t>Nuevo – NetSuite con existencia</t>
        </is>
      </c>
      <c r="AH178" s="156" t="inlineStr">
        <is>
          <t>Composición CAPSLAB varía por modelo (50/50, 40/60 o 100% poliéster): validar etiqueta; Físico total NetSuite 6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78" s="156" t="inlineStr">
        <is>
          <t>No</t>
        </is>
      </c>
      <c r="AJ178" s="156" t="n"/>
      <c r="AK178" s="155" t="inlineStr">
        <is>
          <t>G1522ProductosTodosloscamposSandboxResults894.xlsx: fila 47894 [Y]; G1522_Extraccion_Articulos_NetSuite_2026-09-30.xlsx: fila 20779 [Z]</t>
        </is>
      </c>
      <c r="AL178" s="58" t="n">
        <v>10.75</v>
      </c>
      <c r="AM178" s="58" t="n"/>
      <c r="AN178" s="155" t="n"/>
      <c r="AO178" s="59" t="n"/>
      <c r="AP178" s="59" t="n"/>
      <c r="AQ178" s="59" t="n"/>
      <c r="AR178" s="155" t="n"/>
    </row>
    <row r="179">
      <c r="A179" s="50" t="inlineStr">
        <is>
          <t>3614001102457</t>
        </is>
      </c>
      <c r="B179" s="51" t="inlineStr">
        <is>
          <t>57397</t>
        </is>
      </c>
      <c r="C179" s="156" t="inlineStr">
        <is>
          <t>CAPSLAB</t>
        </is>
      </c>
      <c r="D179" s="156" t="inlineStr">
        <is>
          <t>CL/LOO/TAG/1/DAF</t>
        </is>
      </c>
      <c r="E179" s="156" t="inlineStr">
        <is>
          <t>CL/LOO/TAG/1/DAF-UNI</t>
        </is>
      </c>
      <c r="F179" s="156" t="inlineStr">
        <is>
          <t>Talla única</t>
        </is>
      </c>
      <c r="G179" s="156" t="inlineStr">
        <is>
          <t>One Size</t>
        </is>
      </c>
      <c r="H179" s="156" t="inlineStr">
        <is>
          <t>CAPSLAB</t>
        </is>
      </c>
      <c r="I179" s="156" t="inlineStr">
        <is>
          <t>Gorra CAPSLAB Looney Tunes Pato Lucas Negro</t>
        </is>
      </c>
      <c r="J179" s="156" t="inlineStr">
        <is>
          <t>Accesorios</t>
        </is>
      </c>
      <c r="K179" s="156" t="inlineStr">
        <is>
          <t>Gorras</t>
        </is>
      </c>
      <c r="L179" s="156" t="inlineStr">
        <is>
          <t>Unisex</t>
        </is>
      </c>
      <c r="M179" s="156" t="inlineStr">
        <is>
          <t>Looney Tunes</t>
        </is>
      </c>
      <c r="N179" s="156" t="n"/>
      <c r="O179" s="156" t="n"/>
      <c r="P179" s="156" t="inlineStr">
        <is>
          <t>Negro</t>
        </is>
      </c>
      <c r="Q179" s="156" t="n"/>
      <c r="R179" s="156" t="n"/>
      <c r="S179" s="156" t="inlineStr">
        <is>
          <t>Algodón / Poliéster</t>
        </is>
      </c>
      <c r="T179" s="156" t="inlineStr">
        <is>
          <t>Gorra de la marca CAPSLAB bajo licencia oficial Looney Tunes, personaje Pato Lucas. Talla única ajustable. Estilo CL/LOO/TAG/1/DAF.</t>
        </is>
      </c>
      <c r="U179" s="156" t="n"/>
      <c r="V179" s="156" t="inlineStr">
        <is>
          <t>PZS</t>
        </is>
      </c>
      <c r="W179" s="51" t="inlineStr">
        <is>
          <t>53102516</t>
        </is>
      </c>
      <c r="X179" s="156" t="inlineStr">
        <is>
          <t>https://7913364.app.netsuite.com/core/media/media.nl?id=188272&amp;c=7913364&amp;h=c7SNgZrcYPIupLIoMrHaEMDtq5mzki0Q_9lpJdQ4GeI2geUM</t>
        </is>
      </c>
      <c r="Y179" s="54" t="n">
        <v>10.75</v>
      </c>
      <c r="Z179" s="54" t="n">
        <v>799</v>
      </c>
      <c r="AA179" s="55">
        <f>IF(AND(A179="", B179="", E179=""), "", IF(AB179="", "Válido", IF((LEN(AB179)-LEN(SUBSTITUTE(AB179,"; ","")))/2+1&gt;(LEN(AB179)-LEN(SUBSTITUTE(AB179,"[Aviso]","")))/7, "Con Incidencias", "Válido")))</f>
        <v/>
      </c>
      <c r="AB179" s="56">
        <f>IF(AND(A179="", B179="", E179=""), "", TEXTJOIN("; ", TRUE, IF(OR(TRIM(A179&amp;"")="", ISNUMBER(SEARCH("FALTA", A179))), "UPC faltante/inválido", ""), IF(AND(A179&lt;&gt;"", IFERROR(_xlfn.XMATCH(A179,$A$2:$A$370,0,1)&lt;&gt;_xlfn.XMATCH(A179,$A$2:$A$370,0,-1),FALSE)), "Código de barras duplicado", ""), IF(AND(E179&lt;&gt;"", COUNTIF($E$2:$E$370, E179)&gt;1), "SKU duplicado", ""), IF(OR(J179="", J179=""), "[Aviso] División no capturada ()", IF(ISNA(MATCH(J179, Criterios!$A$123:$A$126, 0)), "División no válida", "")), IF(OR(K179="", K179=""), "[Aviso] Categoría no capturada ()", IF(ISNA(MATCH(K179, Criterios!$A$81:$A$120, 0)), "Categoría no válida", IF(AND(J179&lt;&gt;"", J179&lt;&gt;"", J179&lt;&gt;VLOOKUP(K179, Criterios!$A$81:$B$120, 2, FALSE)), "División no coincide con Categoría", ""))), IF(OR(L179="", L179=""), "[Aviso] Género no capturado ()", IF(ISNA(MATCH(L179, Criterios!$B$123:$B$127, 0)), "Género no válido", "")), IF(OR(N179="", N179=""), "[Aviso] Temporada no capturada ()", IF(ISNA(MATCH(N179, Criterios!$C$123:$C$128, 0)), "Temporada no válida", "")), IF(OR(O179="", O179=""), "[Aviso] Ciclo de vida no capturado ()", IF(ISNA(MATCH(O179, Criterios!$D$123:$D$124, 0)), "Ciclo de vida no válido", ""))))</f>
        <v/>
      </c>
      <c r="AC179" s="56" t="n"/>
      <c r="AD179" s="51" t="n">
        <v>7</v>
      </c>
      <c r="AE179" s="156" t="inlineStr">
        <is>
          <t>Web (2); CAPSLAB Warehouse (2)</t>
        </is>
      </c>
      <c r="AF179" s="51" t="n">
        <v>7</v>
      </c>
      <c r="AG179" s="156" t="inlineStr">
        <is>
          <t>Nuevo – NetSuite con existencia</t>
        </is>
      </c>
      <c r="AH179" s="156" t="inlineStr">
        <is>
          <t>Composición CAPSLAB varía por modelo (50/50, 40/60 o 100% poliéster): validar etiqueta; Físico total NetSuite 7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79" s="156" t="inlineStr">
        <is>
          <t>No</t>
        </is>
      </c>
      <c r="AJ179" s="156" t="n"/>
      <c r="AK179" s="155" t="inlineStr">
        <is>
          <t>G1522ProductosTodosloscamposSandboxResults894.xlsx: fila 47896 [Y]; G1522_Extraccion_Articulos_NetSuite_2026-09-30.xlsx: fila 20780 [Z]</t>
        </is>
      </c>
      <c r="AL179" s="58" t="n">
        <v>10.75</v>
      </c>
      <c r="AM179" s="58" t="n"/>
      <c r="AN179" s="155" t="n"/>
      <c r="AO179" s="59" t="n"/>
      <c r="AP179" s="59" t="n"/>
      <c r="AQ179" s="59" t="n"/>
      <c r="AR179" s="155" t="n"/>
    </row>
    <row r="180">
      <c r="A180" s="50" t="inlineStr">
        <is>
          <t>3614000849667</t>
        </is>
      </c>
      <c r="B180" s="51" t="inlineStr">
        <is>
          <t>57398</t>
        </is>
      </c>
      <c r="C180" s="156" t="inlineStr">
        <is>
          <t>CAPSLAB</t>
        </is>
      </c>
      <c r="D180" s="156" t="inlineStr">
        <is>
          <t>CL/LOO2/1/MIN1</t>
        </is>
      </c>
      <c r="E180" s="156" t="inlineStr">
        <is>
          <t>CL/LOO2/1/MIN1-UNI</t>
        </is>
      </c>
      <c r="F180" s="156" t="inlineStr">
        <is>
          <t>Talla única</t>
        </is>
      </c>
      <c r="G180" s="156" t="inlineStr">
        <is>
          <t>One Size</t>
        </is>
      </c>
      <c r="H180" s="156" t="inlineStr">
        <is>
          <t>CAPSLAB</t>
        </is>
      </c>
      <c r="I180" s="156" t="inlineStr">
        <is>
          <t>Gorra CAPSLAB Looney Tunes Negro</t>
        </is>
      </c>
      <c r="J180" s="156" t="inlineStr">
        <is>
          <t>Accesorios</t>
        </is>
      </c>
      <c r="K180" s="156" t="inlineStr">
        <is>
          <t>Gorras</t>
        </is>
      </c>
      <c r="L180" s="156" t="inlineStr">
        <is>
          <t>Unisex</t>
        </is>
      </c>
      <c r="M180" s="156" t="inlineStr">
        <is>
          <t>Looney Tunes</t>
        </is>
      </c>
      <c r="N180" s="156" t="n"/>
      <c r="O180" s="156" t="n"/>
      <c r="P180" s="156" t="inlineStr">
        <is>
          <t>Negro</t>
        </is>
      </c>
      <c r="Q180" s="156" t="n"/>
      <c r="R180" s="156" t="n"/>
      <c r="S180" s="156" t="inlineStr">
        <is>
          <t>Algodón / Poliéster</t>
        </is>
      </c>
      <c r="T180" s="156" t="inlineStr">
        <is>
          <t>Gorra de la marca CAPSLAB bajo licencia oficial Looney Tunes. Talla única ajustable. Estilo CL/LOO2/1/MIN1.</t>
        </is>
      </c>
      <c r="U180" s="156" t="n"/>
      <c r="V180" s="156" t="inlineStr">
        <is>
          <t>PZS</t>
        </is>
      </c>
      <c r="W180" s="51" t="inlineStr">
        <is>
          <t>53102516</t>
        </is>
      </c>
      <c r="X180" s="156" t="inlineStr">
        <is>
          <t>https://7913364.app.netsuite.com/core/media/media.nl?id=188273&amp;c=7913364&amp;h=V931HMZ8fhvYfWSxqdgWAILRgtQHT4wKg18elioGehttHqai</t>
        </is>
      </c>
      <c r="Y180" s="54" t="n">
        <v>8.5</v>
      </c>
      <c r="Z180" s="54" t="n">
        <v>699</v>
      </c>
      <c r="AA180" s="55">
        <f>IF(AND(A180="", B180="", E180=""), "", IF(AB180="", "Válido", IF((LEN(AB180)-LEN(SUBSTITUTE(AB180,"; ","")))/2+1&gt;(LEN(AB180)-LEN(SUBSTITUTE(AB180,"[Aviso]","")))/7, "Con Incidencias", "Válido")))</f>
        <v/>
      </c>
      <c r="AB180" s="56">
        <f>IF(AND(A180="", B180="", E180=""), "", TEXTJOIN("; ", TRUE, IF(OR(TRIM(A180&amp;"")="", ISNUMBER(SEARCH("FALTA", A180))), "UPC faltante/inválido", ""), IF(AND(A180&lt;&gt;"", IFERROR(_xlfn.XMATCH(A180,$A$2:$A$370,0,1)&lt;&gt;_xlfn.XMATCH(A180,$A$2:$A$370,0,-1),FALSE)), "Código de barras duplicado", ""), IF(AND(E180&lt;&gt;"", COUNTIF($E$2:$E$370, E180)&gt;1), "SKU duplicado", ""), IF(OR(J180="", J180=""), "[Aviso] División no capturada ()", IF(ISNA(MATCH(J180, Criterios!$A$123:$A$126, 0)), "División no válida", "")), IF(OR(K180="", K180=""), "[Aviso] Categoría no capturada ()", IF(ISNA(MATCH(K180, Criterios!$A$81:$A$120, 0)), "Categoría no válida", IF(AND(J180&lt;&gt;"", J180&lt;&gt;"", J180&lt;&gt;VLOOKUP(K180, Criterios!$A$81:$B$120, 2, FALSE)), "División no coincide con Categoría", ""))), IF(OR(L180="", L180=""), "[Aviso] Género no capturado ()", IF(ISNA(MATCH(L180, Criterios!$B$123:$B$127, 0)), "Género no válido", "")), IF(OR(N180="", N180=""), "[Aviso] Temporada no capturada ()", IF(ISNA(MATCH(N180, Criterios!$C$123:$C$128, 0)), "Temporada no válida", "")), IF(OR(O180="", O180=""), "[Aviso] Ciclo de vida no capturado ()", IF(ISNA(MATCH(O180, Criterios!$D$123:$D$124, 0)), "Ciclo de vida no válido", ""))))</f>
        <v/>
      </c>
      <c r="AC180" s="56" t="n"/>
      <c r="AD180" s="51" t="n">
        <v>35</v>
      </c>
      <c r="AE180" s="156" t="inlineStr">
        <is>
          <t>CAPSLAB Warehouse (31); Web (2); CL Muestras (1)</t>
        </is>
      </c>
      <c r="AF180" s="51" t="n">
        <v>35</v>
      </c>
      <c r="AG180" s="156" t="inlineStr">
        <is>
          <t>Nuevo – NetSuite con existencia</t>
        </is>
      </c>
      <c r="AH180" s="156" t="inlineStr">
        <is>
          <t>Composición CAPSLAB varía por modelo (50/50, 40/60 o 100% poliéster): validar etiqueta; Físico total NetSuite 35 ≠ suma por ubicación 34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80" s="156" t="inlineStr">
        <is>
          <t>No</t>
        </is>
      </c>
      <c r="AJ180" s="156" t="n"/>
      <c r="AK180" s="155" t="inlineStr">
        <is>
          <t>G1522ProductosTodosloscamposSandboxResults894.xlsx: fila 47898 [Y]; G1522_Extraccion_Articulos_NetSuite_2026-09-30.xlsx: fila 20781 [Z]</t>
        </is>
      </c>
      <c r="AL180" s="58" t="n">
        <v>8.5</v>
      </c>
      <c r="AM180" s="58" t="n"/>
      <c r="AN180" s="155" t="n"/>
      <c r="AO180" s="59" t="n"/>
      <c r="AP180" s="59" t="n"/>
      <c r="AQ180" s="59" t="n"/>
      <c r="AR180" s="155" t="n"/>
    </row>
    <row r="181">
      <c r="A181" s="50" t="inlineStr">
        <is>
          <t>3614000841807</t>
        </is>
      </c>
      <c r="B181" s="51" t="inlineStr">
        <is>
          <t>69628</t>
        </is>
      </c>
      <c r="C181" s="156" t="inlineStr">
        <is>
          <t>CAPSLAB</t>
        </is>
      </c>
      <c r="D181" s="156" t="inlineStr">
        <is>
          <t>CL/LOO2/1/MIN2</t>
        </is>
      </c>
      <c r="E181" s="156" t="inlineStr">
        <is>
          <t>CL/LOO2/1/MIN2-UNI</t>
        </is>
      </c>
      <c r="F181" s="156" t="inlineStr">
        <is>
          <t>Talla única</t>
        </is>
      </c>
      <c r="G181" s="156" t="inlineStr">
        <is>
          <t>One Size</t>
        </is>
      </c>
      <c r="H181" s="156" t="inlineStr">
        <is>
          <t>CAPSLAB</t>
        </is>
      </c>
      <c r="I181" s="156" t="inlineStr">
        <is>
          <t>Gorra CAPSLAB Looney Tunes</t>
        </is>
      </c>
      <c r="J181" s="156" t="inlineStr">
        <is>
          <t>Accesorios</t>
        </is>
      </c>
      <c r="K181" s="156" t="inlineStr">
        <is>
          <t>Gorras</t>
        </is>
      </c>
      <c r="L181" s="156" t="inlineStr">
        <is>
          <t>Unisex</t>
        </is>
      </c>
      <c r="M181" s="156" t="inlineStr">
        <is>
          <t>Looney Tunes</t>
        </is>
      </c>
      <c r="N181" s="156" t="n"/>
      <c r="O181" s="156" t="n"/>
      <c r="P181" s="156" t="n"/>
      <c r="Q181" s="156" t="n"/>
      <c r="R181" s="156" t="n"/>
      <c r="S181" s="156" t="inlineStr">
        <is>
          <t>Algodón / Poliéster</t>
        </is>
      </c>
      <c r="T181" s="156" t="inlineStr">
        <is>
          <t>Gorra de la marca CAPSLAB bajo licencia oficial Looney Tunes. Talla única ajustable. Estilo CL/LOO2/1/MIN2.</t>
        </is>
      </c>
      <c r="U181" s="156" t="n"/>
      <c r="V181" s="156" t="inlineStr">
        <is>
          <t>PZS</t>
        </is>
      </c>
      <c r="W181" s="51" t="inlineStr">
        <is>
          <t>53102516</t>
        </is>
      </c>
      <c r="X181" s="156" t="inlineStr">
        <is>
          <t>https://i.ibb.co/3YP8q4r/CLLOO21-MIN2.jpg</t>
        </is>
      </c>
      <c r="Y181" s="54" t="n"/>
      <c r="Z181" s="54" t="n">
        <v>699</v>
      </c>
      <c r="AA181" s="55">
        <f>IF(AND(A181="", B181="", E181=""), "", IF(AB181="", "Válido", IF((LEN(AB181)-LEN(SUBSTITUTE(AB181,"; ","")))/2+1&gt;(LEN(AB181)-LEN(SUBSTITUTE(AB181,"[Aviso]","")))/7, "Con Incidencias", "Válido")))</f>
        <v/>
      </c>
      <c r="AB181" s="56">
        <f>IF(AND(A181="", B181="", E181=""), "", TEXTJOIN("; ", TRUE, IF(OR(TRIM(A181&amp;"")="", ISNUMBER(SEARCH("FALTA", A181))), "UPC faltante/inválido", ""), IF(AND(A181&lt;&gt;"", IFERROR(_xlfn.XMATCH(A181,$A$2:$A$370,0,1)&lt;&gt;_xlfn.XMATCH(A181,$A$2:$A$370,0,-1),FALSE)), "Código de barras duplicado", ""), IF(AND(E181&lt;&gt;"", COUNTIF($E$2:$E$370, E181)&gt;1), "SKU duplicado", ""), IF(OR(J181="", J181=""), "[Aviso] División no capturada ()", IF(ISNA(MATCH(J181, Criterios!$A$123:$A$126, 0)), "División no válida", "")), IF(OR(K181="", K181=""), "[Aviso] Categoría no capturada ()", IF(ISNA(MATCH(K181, Criterios!$A$81:$A$120, 0)), "Categoría no válida", IF(AND(J181&lt;&gt;"", J181&lt;&gt;"", J181&lt;&gt;VLOOKUP(K181, Criterios!$A$81:$B$120, 2, FALSE)), "División no coincide con Categoría", ""))), IF(OR(L181="", L181=""), "[Aviso] Género no capturado ()", IF(ISNA(MATCH(L181, Criterios!$B$123:$B$127, 0)), "Género no válido", "")), IF(OR(N181="", N181=""), "[Aviso] Temporada no capturada ()", IF(ISNA(MATCH(N181, Criterios!$C$123:$C$128, 0)), "Temporada no válida", "")), IF(OR(O181="", O181=""), "[Aviso] Ciclo de vida no capturado ()", IF(ISNA(MATCH(O181, Criterios!$D$123:$D$124, 0)), "Ciclo de vida no válido", ""))))</f>
        <v/>
      </c>
      <c r="AC181" s="56" t="n"/>
      <c r="AD181" s="51" t="n">
        <v>8</v>
      </c>
      <c r="AE181" s="156" t="inlineStr">
        <is>
          <t>CL Muestras (1); CAPSLAB Warehouse (5)</t>
        </is>
      </c>
      <c r="AF181" s="51" t="n">
        <v>8</v>
      </c>
      <c r="AG181" s="156" t="inlineStr">
        <is>
          <t>Nuevo – NetSuite con existencia</t>
        </is>
      </c>
      <c r="AH181" s="156" t="inlineStr">
        <is>
          <t>Composición CAPSLAB varía por modelo (50/50, 40/60 o 100% poliéster): validar etiqueta; Color por validar; Físico total NetSuite 8 ≠ suma por ubicación 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81" s="156" t="inlineStr">
        <is>
          <t>No</t>
        </is>
      </c>
      <c r="AJ181" s="156" t="n"/>
      <c r="AK181" s="155" t="inlineStr">
        <is>
          <t>G1522ProductosTodosloscamposSandboxResults894.xlsx: fila 47900 [X]; G1522_Extraccion_Articulos_NetSuite_2026-09-30.xlsx: fila 30358 [Z]</t>
        </is>
      </c>
      <c r="AL181" s="58" t="n"/>
      <c r="AM181" s="58" t="n"/>
      <c r="AN181" s="155" t="n"/>
      <c r="AO181" s="59" t="n"/>
      <c r="AP181" s="59" t="n"/>
      <c r="AQ181" s="59" t="n"/>
      <c r="AR181" s="155" t="n"/>
    </row>
    <row r="182">
      <c r="A182" s="50" t="inlineStr">
        <is>
          <t>3614000841814</t>
        </is>
      </c>
      <c r="B182" s="51" t="inlineStr">
        <is>
          <t>57399</t>
        </is>
      </c>
      <c r="C182" s="156" t="inlineStr">
        <is>
          <t>CAPSLAB</t>
        </is>
      </c>
      <c r="D182" s="156" t="inlineStr">
        <is>
          <t>CL/LOO2/1/SPE2</t>
        </is>
      </c>
      <c r="E182" s="156" t="inlineStr">
        <is>
          <t>CL/LOO2/1/SPE2-UNI-57399</t>
        </is>
      </c>
      <c r="F182" s="156" t="inlineStr">
        <is>
          <t>Talla única</t>
        </is>
      </c>
      <c r="G182" s="156" t="inlineStr">
        <is>
          <t>One Size</t>
        </is>
      </c>
      <c r="H182" s="156" t="inlineStr">
        <is>
          <t>CAPSLAB</t>
        </is>
      </c>
      <c r="I182" s="156" t="inlineStr">
        <is>
          <t>Gorra CAPSLAB Looney Tunes Speedy Gonzales Negro</t>
        </is>
      </c>
      <c r="J182" s="156" t="inlineStr">
        <is>
          <t>Accesorios</t>
        </is>
      </c>
      <c r="K182" s="156" t="inlineStr">
        <is>
          <t>Gorras</t>
        </is>
      </c>
      <c r="L182" s="156" t="inlineStr">
        <is>
          <t>Unisex</t>
        </is>
      </c>
      <c r="M182" s="156" t="inlineStr">
        <is>
          <t>Looney Tunes</t>
        </is>
      </c>
      <c r="N182" s="156" t="n"/>
      <c r="O182" s="156" t="n"/>
      <c r="P182" s="156" t="inlineStr">
        <is>
          <t>Negro</t>
        </is>
      </c>
      <c r="Q182" s="156" t="n"/>
      <c r="R182" s="156" t="n"/>
      <c r="S182" s="156" t="inlineStr">
        <is>
          <t>Algodón / Poliéster</t>
        </is>
      </c>
      <c r="T182" s="156" t="inlineStr">
        <is>
          <t>Gorra de la marca CAPSLAB bajo licencia oficial Looney Tunes, personaje Speedy Gonzales. Talla única ajustable. Estilo CL/LOO2/1/SPE2.</t>
        </is>
      </c>
      <c r="U182" s="156" t="n"/>
      <c r="V182" s="156" t="inlineStr">
        <is>
          <t>PZS</t>
        </is>
      </c>
      <c r="W182" s="51" t="inlineStr">
        <is>
          <t>53102516</t>
        </is>
      </c>
      <c r="X182" s="156" t="inlineStr">
        <is>
          <t>https://7913364.app.netsuite.com/core/media/media.nl?id=188274&amp;c=7913364&amp;h=_8GCWAKJ3J_BdbVozJtGc_kaimSiNKrH18YI9BkixBg0zDVl</t>
        </is>
      </c>
      <c r="Y182" s="54" t="n">
        <v>8.5</v>
      </c>
      <c r="Z182" s="54" t="n"/>
      <c r="AA182" s="55">
        <f>IF(AND(A182="", B182="", E182=""), "", IF(AB182="", "Válido", IF((LEN(AB182)-LEN(SUBSTITUTE(AB182,"; ","")))/2+1&gt;(LEN(AB182)-LEN(SUBSTITUTE(AB182,"[Aviso]","")))/7, "Con Incidencias", "Válido")))</f>
        <v/>
      </c>
      <c r="AB182" s="56">
        <f>IF(AND(A182="", B182="", E182=""), "", TEXTJOIN("; ", TRUE, IF(OR(TRIM(A182&amp;"")="", ISNUMBER(SEARCH("FALTA", A182))), "UPC faltante/inválido", ""), IF(AND(A182&lt;&gt;"", IFERROR(_xlfn.XMATCH(A182,$A$2:$A$370,0,1)&lt;&gt;_xlfn.XMATCH(A182,$A$2:$A$370,0,-1),FALSE)), "Código de barras duplicado", ""), IF(AND(E182&lt;&gt;"", COUNTIF($E$2:$E$370, E182)&gt;1), "SKU duplicado", ""), IF(OR(J182="", J182=""), "[Aviso] División no capturada ()", IF(ISNA(MATCH(J182, Criterios!$A$123:$A$126, 0)), "División no válida", "")), IF(OR(K182="", K182=""), "[Aviso] Categoría no capturada ()", IF(ISNA(MATCH(K182, Criterios!$A$81:$A$120, 0)), "Categoría no válida", IF(AND(J182&lt;&gt;"", J182&lt;&gt;"", J182&lt;&gt;VLOOKUP(K182, Criterios!$A$81:$B$120, 2, FALSE)), "División no coincide con Categoría", ""))), IF(OR(L182="", L182=""), "[Aviso] Género no capturado ()", IF(ISNA(MATCH(L182, Criterios!$B$123:$B$127, 0)), "Género no válido", "")), IF(OR(N182="", N182=""), "[Aviso] Temporada no capturada ()", IF(ISNA(MATCH(N182, Criterios!$C$123:$C$128, 0)), "Temporada no válida", "")), IF(OR(O182="", O182=""), "[Aviso] Ciclo de vida no capturado ()", IF(ISNA(MATCH(O182, Criterios!$D$123:$D$124, 0)), "Ciclo de vida no válido", ""))))</f>
        <v/>
      </c>
      <c r="AC182" s="56" t="n"/>
      <c r="AD182" s="51" t="n">
        <v>0</v>
      </c>
      <c r="AE182" s="156" t="inlineStr">
        <is>
          <t>Sin existencia</t>
        </is>
      </c>
      <c r="AF182" s="51" t="n"/>
      <c r="AG182" s="156" t="inlineStr">
        <is>
          <t>Nuevo – NetSuite sin existencia</t>
        </is>
      </c>
      <c r="AH182" s="156" t="inlineStr">
        <is>
          <t>Composición CAPSLAB varía por modelo (50/50, 40/60 o 100% poliéster): validar etiqueta; SKU base «CL/LOO2/1/SPE2-UNI» repetido en NetSuite; se agregó el ID interno | Revisión 29/09/2026: Marca CAPSLAB fuera de lista Criterios; Campos sin respaldo: N, O, U; Auditoría 30/09/2026: ID no viene en la extracción NetSuite de artículos activos (posible inactivo); revisar</t>
        </is>
      </c>
      <c r="AI182" s="156" t="inlineStr">
        <is>
          <t>No</t>
        </is>
      </c>
      <c r="AJ182" s="156" t="n"/>
      <c r="AK182" s="155" t="inlineStr">
        <is>
          <t>G1522ProductosTodosloscamposSandboxResults894.xlsx: fila 47902 [Y]</t>
        </is>
      </c>
      <c r="AL182" s="58" t="n">
        <v>8.5</v>
      </c>
      <c r="AM182" s="58" t="n"/>
      <c r="AN182" s="155" t="n"/>
      <c r="AO182" s="59" t="n"/>
      <c r="AP182" s="59" t="n"/>
      <c r="AQ182" s="59" t="n"/>
      <c r="AR182" s="155" t="n"/>
    </row>
    <row r="183">
      <c r="A183" s="50" t="inlineStr">
        <is>
          <t>3614001679409</t>
        </is>
      </c>
      <c r="B183" s="51" t="inlineStr">
        <is>
          <t>69629</t>
        </is>
      </c>
      <c r="C183" s="156" t="inlineStr">
        <is>
          <t>CAPSLAB</t>
        </is>
      </c>
      <c r="D183" s="156" t="inlineStr">
        <is>
          <t>CL/LOO2/1/SPE2</t>
        </is>
      </c>
      <c r="E183" s="156" t="inlineStr">
        <is>
          <t>CL/LOO2/1/SPE2-UNI-69629</t>
        </is>
      </c>
      <c r="F183" s="156" t="inlineStr">
        <is>
          <t>Talla única</t>
        </is>
      </c>
      <c r="G183" s="156" t="inlineStr">
        <is>
          <t>One Size</t>
        </is>
      </c>
      <c r="H183" s="156" t="inlineStr">
        <is>
          <t>CAPSLAB</t>
        </is>
      </c>
      <c r="I183" s="156" t="inlineStr">
        <is>
          <t>Gorra CAPSLAB Looney Tunes Speedy Gonzales</t>
        </is>
      </c>
      <c r="J183" s="156" t="inlineStr">
        <is>
          <t>Accesorios</t>
        </is>
      </c>
      <c r="K183" s="156" t="inlineStr">
        <is>
          <t>Gorras</t>
        </is>
      </c>
      <c r="L183" s="156" t="inlineStr">
        <is>
          <t>Unisex</t>
        </is>
      </c>
      <c r="M183" s="156" t="inlineStr">
        <is>
          <t>Looney Tunes</t>
        </is>
      </c>
      <c r="N183" s="156" t="n"/>
      <c r="O183" s="156" t="n"/>
      <c r="P183" s="156" t="n"/>
      <c r="Q183" s="156" t="n"/>
      <c r="R183" s="156" t="n"/>
      <c r="S183" s="156" t="inlineStr">
        <is>
          <t>Algodón / Poliéster</t>
        </is>
      </c>
      <c r="T183" s="156" t="inlineStr">
        <is>
          <t>Gorra de la marca CAPSLAB bajo licencia oficial Looney Tunes, personaje Speedy Gonzales. Talla única ajustable. Estilo CL/LOO2/1/SPE2.</t>
        </is>
      </c>
      <c r="U183" s="156" t="n"/>
      <c r="V183" s="156" t="inlineStr">
        <is>
          <t>PZS</t>
        </is>
      </c>
      <c r="W183" s="51" t="inlineStr">
        <is>
          <t>53102516</t>
        </is>
      </c>
      <c r="X183" s="156" t="inlineStr">
        <is>
          <t>https://7913364.app.netsuite.com/core/media/media.nl?id=188274&amp;c=7913364&amp;h=_8GCWAKJ3J_BdbVozJtGc_kaimSiNKrH18YI9BkixBg0zDVl</t>
        </is>
      </c>
      <c r="Y183" s="54" t="n"/>
      <c r="Z183" s="54" t="n">
        <v>602.5862069</v>
      </c>
      <c r="AA183" s="55">
        <f>IF(AND(A183="", B183="", E183=""), "", IF(AB183="", "Válido", IF((LEN(AB183)-LEN(SUBSTITUTE(AB183,"; ","")))/2+1&gt;(LEN(AB183)-LEN(SUBSTITUTE(AB183,"[Aviso]","")))/7, "Con Incidencias", "Válido")))</f>
        <v/>
      </c>
      <c r="AB183" s="56">
        <f>IF(AND(A183="", B183="", E183=""), "", TEXTJOIN("; ", TRUE, IF(OR(TRIM(A183&amp;"")="", ISNUMBER(SEARCH("FALTA", A183))), "UPC faltante/inválido", ""), IF(AND(A183&lt;&gt;"", IFERROR(_xlfn.XMATCH(A183,$A$2:$A$370,0,1)&lt;&gt;_xlfn.XMATCH(A183,$A$2:$A$370,0,-1),FALSE)), "Código de barras duplicado", ""), IF(AND(E183&lt;&gt;"", COUNTIF($E$2:$E$370, E183)&gt;1), "SKU duplicado", ""), IF(OR(J183="", J183=""), "[Aviso] División no capturada ()", IF(ISNA(MATCH(J183, Criterios!$A$123:$A$126, 0)), "División no válida", "")), IF(OR(K183="", K183=""), "[Aviso] Categoría no capturada ()", IF(ISNA(MATCH(K183, Criterios!$A$81:$A$120, 0)), "Categoría no válida", IF(AND(J183&lt;&gt;"", J183&lt;&gt;"", J183&lt;&gt;VLOOKUP(K183, Criterios!$A$81:$B$120, 2, FALSE)), "División no coincide con Categoría", ""))), IF(OR(L183="", L183=""), "[Aviso] Género no capturado ()", IF(ISNA(MATCH(L183, Criterios!$B$123:$B$127, 0)), "Género no válido", "")), IF(OR(N183="", N183=""), "[Aviso] Temporada no capturada ()", IF(ISNA(MATCH(N183, Criterios!$C$123:$C$128, 0)), "Temporada no válida", "")), IF(OR(O183="", O183=""), "[Aviso] Ciclo de vida no capturado ()", IF(ISNA(MATCH(O183, Criterios!$D$123:$D$124, 0)), "Ciclo de vida no válido", ""))))</f>
        <v/>
      </c>
      <c r="AC183" s="56" t="n"/>
      <c r="AD183" s="51" t="n">
        <v>0</v>
      </c>
      <c r="AE183" s="156" t="n"/>
      <c r="AF183" s="51" t="n">
        <v>0</v>
      </c>
      <c r="AG183" s="156" t="inlineStr">
        <is>
          <t>Nuevo – NetSuite sin existencia</t>
        </is>
      </c>
      <c r="AH183" s="156" t="inlineStr">
        <is>
          <t>Composición CAPSLAB varía por modelo (50/50, 40/60 o 100% poliéster): validar etiqueta; Color por validar; SKU base «CL/LOO2/1/SPE2-UNI» repetido en NetSuite; se agregó el ID interno</t>
        </is>
      </c>
      <c r="AI183" s="156" t="inlineStr">
        <is>
          <t>No</t>
        </is>
      </c>
      <c r="AJ183" s="156" t="n"/>
      <c r="AK183" s="155" t="n"/>
      <c r="AL183" s="58" t="n"/>
      <c r="AM183" s="58" t="n">
        <v>602.5862069</v>
      </c>
      <c r="AN183" s="155" t="n"/>
      <c r="AO183" s="59" t="n"/>
      <c r="AP183" s="59" t="n"/>
      <c r="AQ183" s="59" t="n"/>
      <c r="AR183" s="155" t="n"/>
    </row>
    <row r="184">
      <c r="A184" s="50" t="inlineStr">
        <is>
          <t>3614000841821</t>
        </is>
      </c>
      <c r="B184" s="51" t="inlineStr">
        <is>
          <t>57400</t>
        </is>
      </c>
      <c r="C184" s="156" t="inlineStr">
        <is>
          <t>CAPSLAB</t>
        </is>
      </c>
      <c r="D184" s="156" t="inlineStr">
        <is>
          <t>CL/LOO2/1/TIT1</t>
        </is>
      </c>
      <c r="E184" s="156" t="inlineStr">
        <is>
          <t>CL/LOO2/1/TIT1-UNI</t>
        </is>
      </c>
      <c r="F184" s="156" t="inlineStr">
        <is>
          <t>Talla única</t>
        </is>
      </c>
      <c r="G184" s="156" t="inlineStr">
        <is>
          <t>One Size</t>
        </is>
      </c>
      <c r="H184" s="156" t="inlineStr">
        <is>
          <t>CAPSLAB</t>
        </is>
      </c>
      <c r="I184" s="156" t="inlineStr">
        <is>
          <t>Gorra CAPSLAB Looney Tunes Café</t>
        </is>
      </c>
      <c r="J184" s="156" t="inlineStr">
        <is>
          <t>Accesorios</t>
        </is>
      </c>
      <c r="K184" s="156" t="inlineStr">
        <is>
          <t>Gorras</t>
        </is>
      </c>
      <c r="L184" s="156" t="inlineStr">
        <is>
          <t>Unisex</t>
        </is>
      </c>
      <c r="M184" s="156" t="inlineStr">
        <is>
          <t>Looney Tunes</t>
        </is>
      </c>
      <c r="N184" s="156" t="n"/>
      <c r="O184" s="156" t="n"/>
      <c r="P184" s="156" t="inlineStr">
        <is>
          <t>Cafe</t>
        </is>
      </c>
      <c r="Q184" s="156" t="n"/>
      <c r="R184" s="156" t="n"/>
      <c r="S184" s="156" t="inlineStr">
        <is>
          <t>Algodón / Poliéster</t>
        </is>
      </c>
      <c r="T184" s="156" t="inlineStr">
        <is>
          <t>Gorra de la marca CAPSLAB bajo licencia oficial Looney Tunes. Talla única ajustable. Estilo CL/LOO2/1/TIT1.</t>
        </is>
      </c>
      <c r="U184" s="156" t="n"/>
      <c r="V184" s="156" t="inlineStr">
        <is>
          <t>PZS</t>
        </is>
      </c>
      <c r="W184" s="51" t="inlineStr">
        <is>
          <t>53102516</t>
        </is>
      </c>
      <c r="X184" s="156" t="inlineStr">
        <is>
          <t>https://7913364.app.netsuite.com/core/media/media.nl?id=188275&amp;c=7913364&amp;h=Lulxgjcwiw19i1zFIrk8TBMPiWDq_JXntPrhB5FWmMDhXsfI</t>
        </is>
      </c>
      <c r="Y184" s="54" t="n">
        <v>8.5</v>
      </c>
      <c r="Z184" s="54" t="n">
        <v>699</v>
      </c>
      <c r="AA184" s="55">
        <f>IF(AND(A184="", B184="", E184=""), "", IF(AB184="", "Válido", IF((LEN(AB184)-LEN(SUBSTITUTE(AB184,"; ","")))/2+1&gt;(LEN(AB184)-LEN(SUBSTITUTE(AB184,"[Aviso]","")))/7, "Con Incidencias", "Válido")))</f>
        <v/>
      </c>
      <c r="AB184" s="56">
        <f>IF(AND(A184="", B184="", E184=""), "", TEXTJOIN("; ", TRUE, IF(OR(TRIM(A184&amp;"")="", ISNUMBER(SEARCH("FALTA", A184))), "UPC faltante/inválido", ""), IF(AND(A184&lt;&gt;"", IFERROR(_xlfn.XMATCH(A184,$A$2:$A$370,0,1)&lt;&gt;_xlfn.XMATCH(A184,$A$2:$A$370,0,-1),FALSE)), "Código de barras duplicado", ""), IF(AND(E184&lt;&gt;"", COUNTIF($E$2:$E$370, E184)&gt;1), "SKU duplicado", ""), IF(OR(J184="", J184=""), "[Aviso] División no capturada ()", IF(ISNA(MATCH(J184, Criterios!$A$123:$A$126, 0)), "División no válida", "")), IF(OR(K184="", K184=""), "[Aviso] Categoría no capturada ()", IF(ISNA(MATCH(K184, Criterios!$A$81:$A$120, 0)), "Categoría no válida", IF(AND(J184&lt;&gt;"", J184&lt;&gt;"", J184&lt;&gt;VLOOKUP(K184, Criterios!$A$81:$B$120, 2, FALSE)), "División no coincide con Categoría", ""))), IF(OR(L184="", L184=""), "[Aviso] Género no capturado ()", IF(ISNA(MATCH(L184, Criterios!$B$123:$B$127, 0)), "Género no válido", "")), IF(OR(N184="", N184=""), "[Aviso] Temporada no capturada ()", IF(ISNA(MATCH(N184, Criterios!$C$123:$C$128, 0)), "Temporada no válida", "")), IF(OR(O184="", O184=""), "[Aviso] Ciclo de vida no capturado ()", IF(ISNA(MATCH(O184, Criterios!$D$123:$D$124, 0)), "Ciclo de vida no válido", ""))))</f>
        <v/>
      </c>
      <c r="AC184" s="56" t="n"/>
      <c r="AD184" s="51" t="n">
        <v>5</v>
      </c>
      <c r="AE184" s="156" t="inlineStr">
        <is>
          <t>Web (2); CL Muestras (3)</t>
        </is>
      </c>
      <c r="AF184" s="51" t="n">
        <v>5</v>
      </c>
      <c r="AG184" s="156" t="inlineStr">
        <is>
          <t>Nuevo – NetSuite con existencia</t>
        </is>
      </c>
      <c r="AH18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84" s="156" t="inlineStr">
        <is>
          <t>No</t>
        </is>
      </c>
      <c r="AJ184" s="156" t="n"/>
      <c r="AK184" s="155" t="inlineStr">
        <is>
          <t>G1522ProductosTodosloscamposSandboxResults894.xlsx: fila 47906 [Y]; G1522_Extraccion_Articulos_NetSuite_2026-09-30.xlsx: fila 20782 [Z]</t>
        </is>
      </c>
      <c r="AL184" s="58" t="n">
        <v>8.5</v>
      </c>
      <c r="AM184" s="58" t="n"/>
      <c r="AN184" s="155" t="n"/>
      <c r="AO184" s="59" t="n"/>
      <c r="AP184" s="59" t="n"/>
      <c r="AQ184" s="59" t="n"/>
      <c r="AR184" s="155" t="n"/>
    </row>
    <row r="185">
      <c r="A185" s="50" t="inlineStr">
        <is>
          <t>3614000841852</t>
        </is>
      </c>
      <c r="B185" s="51" t="inlineStr">
        <is>
          <t>57401</t>
        </is>
      </c>
      <c r="C185" s="156" t="inlineStr">
        <is>
          <t>CAPSLAB</t>
        </is>
      </c>
      <c r="D185" s="156" t="inlineStr">
        <is>
          <t>CL/LOO2/1/TVG2</t>
        </is>
      </c>
      <c r="E185" s="156" t="inlineStr">
        <is>
          <t>CL/LOO2/1/TVG2-UNI</t>
        </is>
      </c>
      <c r="F185" s="156" t="inlineStr">
        <is>
          <t>Talla única</t>
        </is>
      </c>
      <c r="G185" s="156" t="inlineStr">
        <is>
          <t>One Size</t>
        </is>
      </c>
      <c r="H185" s="156" t="inlineStr">
        <is>
          <t>CAPSLAB</t>
        </is>
      </c>
      <c r="I185" s="156" t="inlineStr">
        <is>
          <t>Gorra CAPSLAB Looney Tunes Gris</t>
        </is>
      </c>
      <c r="J185" s="156" t="inlineStr">
        <is>
          <t>Accesorios</t>
        </is>
      </c>
      <c r="K185" s="156" t="inlineStr">
        <is>
          <t>Gorras</t>
        </is>
      </c>
      <c r="L185" s="156" t="inlineStr">
        <is>
          <t>Unisex</t>
        </is>
      </c>
      <c r="M185" s="156" t="inlineStr">
        <is>
          <t>Looney Tunes</t>
        </is>
      </c>
      <c r="N185" s="156" t="n"/>
      <c r="O185" s="156" t="n"/>
      <c r="P185" s="156" t="inlineStr">
        <is>
          <t>Gris</t>
        </is>
      </c>
      <c r="Q185" s="156" t="n"/>
      <c r="R185" s="156" t="n"/>
      <c r="S185" s="156" t="inlineStr">
        <is>
          <t>Algodón / Poliéster</t>
        </is>
      </c>
      <c r="T185" s="156" t="inlineStr">
        <is>
          <t>Gorra de la marca CAPSLAB bajo licencia oficial Looney Tunes. Talla única ajustable. Estilo CL/LOO2/1/TVG2.</t>
        </is>
      </c>
      <c r="U185" s="156" t="n"/>
      <c r="V185" s="156" t="inlineStr">
        <is>
          <t>PZS</t>
        </is>
      </c>
      <c r="W185" s="51" t="inlineStr">
        <is>
          <t>53102516</t>
        </is>
      </c>
      <c r="X185" s="156" t="inlineStr">
        <is>
          <t>https://7913364.app.netsuite.com/core/media/media.nl?id=188276&amp;c=7913364&amp;h=PPCgoaFPdgQ2MzuCBJTmvwP7-xxdUccZSrzLIu0ZPDiraU2z</t>
        </is>
      </c>
      <c r="Y185" s="54" t="n">
        <v>8.5</v>
      </c>
      <c r="Z185" s="54" t="n">
        <v>699</v>
      </c>
      <c r="AA185" s="55">
        <f>IF(AND(A185="", B185="", E185=""), "", IF(AB185="", "Válido", IF((LEN(AB185)-LEN(SUBSTITUTE(AB185,"; ","")))/2+1&gt;(LEN(AB185)-LEN(SUBSTITUTE(AB185,"[Aviso]","")))/7, "Con Incidencias", "Válido")))</f>
        <v/>
      </c>
      <c r="AB185" s="56">
        <f>IF(AND(A185="", B185="", E185=""), "", TEXTJOIN("; ", TRUE, IF(OR(TRIM(A185&amp;"")="", ISNUMBER(SEARCH("FALTA", A185))), "UPC faltante/inválido", ""), IF(AND(A185&lt;&gt;"", IFERROR(_xlfn.XMATCH(A185,$A$2:$A$370,0,1)&lt;&gt;_xlfn.XMATCH(A185,$A$2:$A$370,0,-1),FALSE)), "Código de barras duplicado", ""), IF(AND(E185&lt;&gt;"", COUNTIF($E$2:$E$370, E185)&gt;1), "SKU duplicado", ""), IF(OR(J185="", J185=""), "[Aviso] División no capturada ()", IF(ISNA(MATCH(J185, Criterios!$A$123:$A$126, 0)), "División no válida", "")), IF(OR(K185="", K185=""), "[Aviso] Categoría no capturada ()", IF(ISNA(MATCH(K185, Criterios!$A$81:$A$120, 0)), "Categoría no válida", IF(AND(J185&lt;&gt;"", J185&lt;&gt;"", J185&lt;&gt;VLOOKUP(K185, Criterios!$A$81:$B$120, 2, FALSE)), "División no coincide con Categoría", ""))), IF(OR(L185="", L185=""), "[Aviso] Género no capturado ()", IF(ISNA(MATCH(L185, Criterios!$B$123:$B$127, 0)), "Género no válido", "")), IF(OR(N185="", N185=""), "[Aviso] Temporada no capturada ()", IF(ISNA(MATCH(N185, Criterios!$C$123:$C$128, 0)), "Temporada no válida", "")), IF(OR(O185="", O185=""), "[Aviso] Ciclo de vida no capturado ()", IF(ISNA(MATCH(O185, Criterios!$D$123:$D$124, 0)), "Ciclo de vida no válido", ""))))</f>
        <v/>
      </c>
      <c r="AC185" s="56" t="n"/>
      <c r="AD185" s="51" t="n">
        <v>0</v>
      </c>
      <c r="AE185" s="156" t="n"/>
      <c r="AF185" s="51" t="n">
        <v>0</v>
      </c>
      <c r="AG185" s="156" t="inlineStr">
        <is>
          <t>Nuevo – NetSuite sin existencia</t>
        </is>
      </c>
      <c r="AH18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85" s="156" t="inlineStr">
        <is>
          <t>No</t>
        </is>
      </c>
      <c r="AJ185" s="156" t="n"/>
      <c r="AK185" s="155" t="inlineStr">
        <is>
          <t>G1522ProductosTodosloscamposSandboxResults894.xlsx: fila 47908 [Y]; G1522_Extraccion_Articulos_NetSuite_2026-09-30.xlsx: fila 20783 [Z]</t>
        </is>
      </c>
      <c r="AL185" s="58" t="n">
        <v>8.5</v>
      </c>
      <c r="AM185" s="58" t="n"/>
      <c r="AN185" s="155" t="n"/>
      <c r="AO185" s="59" t="n"/>
      <c r="AP185" s="59" t="n"/>
      <c r="AQ185" s="59" t="n"/>
      <c r="AR185" s="155" t="n"/>
    </row>
    <row r="186">
      <c r="A186" s="50" t="inlineStr">
        <is>
          <t>3614000841869</t>
        </is>
      </c>
      <c r="B186" s="51" t="inlineStr">
        <is>
          <t>57447</t>
        </is>
      </c>
      <c r="C186" s="156" t="inlineStr">
        <is>
          <t>CAPSLAB</t>
        </is>
      </c>
      <c r="D186" s="156" t="inlineStr">
        <is>
          <t>CL/LOO2/2/TWE1</t>
        </is>
      </c>
      <c r="E186" s="156" t="inlineStr">
        <is>
          <t>CL/LOO2/2/TWE1-UNI</t>
        </is>
      </c>
      <c r="F186" s="156" t="inlineStr">
        <is>
          <t>Talla única</t>
        </is>
      </c>
      <c r="G186" s="156" t="inlineStr">
        <is>
          <t>One Size</t>
        </is>
      </c>
      <c r="H186" s="156" t="inlineStr">
        <is>
          <t>CAPSLAB</t>
        </is>
      </c>
      <c r="I186" s="156" t="inlineStr">
        <is>
          <t>Gorra CAPSLAB Looney Tunes Piolín Rosa</t>
        </is>
      </c>
      <c r="J186" s="156" t="inlineStr">
        <is>
          <t>Accesorios</t>
        </is>
      </c>
      <c r="K186" s="156" t="inlineStr">
        <is>
          <t>Gorras</t>
        </is>
      </c>
      <c r="L186" s="156" t="inlineStr">
        <is>
          <t>Unisex</t>
        </is>
      </c>
      <c r="M186" s="156" t="inlineStr">
        <is>
          <t>Looney Tunes</t>
        </is>
      </c>
      <c r="N186" s="156" t="n"/>
      <c r="O186" s="156" t="n"/>
      <c r="P186" s="156" t="inlineStr">
        <is>
          <t>Rosa</t>
        </is>
      </c>
      <c r="Q186" s="156" t="n"/>
      <c r="R186" s="156" t="n"/>
      <c r="S186" s="156" t="inlineStr">
        <is>
          <t>Algodón / Poliéster</t>
        </is>
      </c>
      <c r="T186" s="156" t="inlineStr">
        <is>
          <t>Gorra de la marca CAPSLAB bajo licencia oficial Looney Tunes, personaje Piolín. Talla única ajustable. Estilo CL/LOO2/2/TWE1.</t>
        </is>
      </c>
      <c r="U186" s="156" t="n"/>
      <c r="V186" s="156" t="inlineStr">
        <is>
          <t>PZS</t>
        </is>
      </c>
      <c r="W186" s="51" t="inlineStr">
        <is>
          <t>53102516</t>
        </is>
      </c>
      <c r="X186" s="156" t="inlineStr">
        <is>
          <t>https://7913364.app.netsuite.com/core/media/media.nl?id=188355&amp;c=7913364&amp;h=LuyhV4Jlng7syhdnrEctoN6l021Wvwjm0VsJt2J5ogH4bvhZ</t>
        </is>
      </c>
      <c r="Y186" s="54" t="n">
        <v>8.5</v>
      </c>
      <c r="Z186" s="54" t="n">
        <v>699</v>
      </c>
      <c r="AA186" s="55">
        <f>IF(AND(A186="", B186="", E186=""), "", IF(AB186="", "Válido", IF((LEN(AB186)-LEN(SUBSTITUTE(AB186,"; ","")))/2+1&gt;(LEN(AB186)-LEN(SUBSTITUTE(AB186,"[Aviso]","")))/7, "Con Incidencias", "Válido")))</f>
        <v/>
      </c>
      <c r="AB186" s="56">
        <f>IF(AND(A186="", B186="", E186=""), "", TEXTJOIN("; ", TRUE, IF(OR(TRIM(A186&amp;"")="", ISNUMBER(SEARCH("FALTA", A186))), "UPC faltante/inválido", ""), IF(AND(A186&lt;&gt;"", IFERROR(_xlfn.XMATCH(A186,$A$2:$A$370,0,1)&lt;&gt;_xlfn.XMATCH(A186,$A$2:$A$370,0,-1),FALSE)), "Código de barras duplicado", ""), IF(AND(E186&lt;&gt;"", COUNTIF($E$2:$E$370, E186)&gt;1), "SKU duplicado", ""), IF(OR(J186="", J186=""), "[Aviso] División no capturada ()", IF(ISNA(MATCH(J186, Criterios!$A$123:$A$126, 0)), "División no válida", "")), IF(OR(K186="", K186=""), "[Aviso] Categoría no capturada ()", IF(ISNA(MATCH(K186, Criterios!$A$81:$A$120, 0)), "Categoría no válida", IF(AND(J186&lt;&gt;"", J186&lt;&gt;"", J186&lt;&gt;VLOOKUP(K186, Criterios!$A$81:$B$120, 2, FALSE)), "División no coincide con Categoría", ""))), IF(OR(L186="", L186=""), "[Aviso] Género no capturado ()", IF(ISNA(MATCH(L186, Criterios!$B$123:$B$127, 0)), "Género no válido", "")), IF(OR(N186="", N186=""), "[Aviso] Temporada no capturada ()", IF(ISNA(MATCH(N186, Criterios!$C$123:$C$128, 0)), "Temporada no válida", "")), IF(OR(O186="", O186=""), "[Aviso] Ciclo de vida no capturado ()", IF(ISNA(MATCH(O186, Criterios!$D$123:$D$124, 0)), "Ciclo de vida no válido", ""))))</f>
        <v/>
      </c>
      <c r="AC186" s="56" t="n"/>
      <c r="AD186" s="51" t="n">
        <v>0</v>
      </c>
      <c r="AE186" s="156" t="n"/>
      <c r="AF186" s="51" t="n">
        <v>0</v>
      </c>
      <c r="AG186" s="156" t="inlineStr">
        <is>
          <t>Nuevo – NetSuite sin existencia</t>
        </is>
      </c>
      <c r="AH186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86" s="156" t="inlineStr">
        <is>
          <t>No</t>
        </is>
      </c>
      <c r="AJ186" s="156" t="n"/>
      <c r="AK186" s="155" t="inlineStr">
        <is>
          <t>G1522ProductosTodosloscamposSandboxResults894.xlsx: fila 47910 [Y]; G1522_Extraccion_Articulos_NetSuite_2026-09-30.xlsx: fila 20829 [Z]</t>
        </is>
      </c>
      <c r="AL186" s="58" t="n">
        <v>8.5</v>
      </c>
      <c r="AM186" s="58" t="n"/>
      <c r="AN186" s="155" t="n"/>
      <c r="AO186" s="59" t="n"/>
      <c r="AP186" s="59" t="n"/>
      <c r="AQ186" s="59" t="n"/>
      <c r="AR186" s="155" t="n"/>
    </row>
    <row r="187">
      <c r="A187" s="50" t="inlineStr">
        <is>
          <t>3614000980285</t>
        </is>
      </c>
      <c r="B187" s="51" t="inlineStr">
        <is>
          <t>57402</t>
        </is>
      </c>
      <c r="C187" s="156" t="inlineStr">
        <is>
          <t>CAPSLAB</t>
        </is>
      </c>
      <c r="D187" s="156" t="inlineStr">
        <is>
          <t>CL/LOO3/1/AFF1</t>
        </is>
      </c>
      <c r="E187" s="156" t="inlineStr">
        <is>
          <t>CL/LOO3/1/AFF1-UNI</t>
        </is>
      </c>
      <c r="F187" s="156" t="inlineStr">
        <is>
          <t>Talla única</t>
        </is>
      </c>
      <c r="G187" s="156" t="inlineStr">
        <is>
          <t>One Size</t>
        </is>
      </c>
      <c r="H187" s="156" t="inlineStr">
        <is>
          <t>CAPSLAB</t>
        </is>
      </c>
      <c r="I187" s="156" t="inlineStr">
        <is>
          <t>Gorra CAPSLAB Looney Tunes Negro</t>
        </is>
      </c>
      <c r="J187" s="156" t="inlineStr">
        <is>
          <t>Accesorios</t>
        </is>
      </c>
      <c r="K187" s="156" t="inlineStr">
        <is>
          <t>Gorras</t>
        </is>
      </c>
      <c r="L187" s="156" t="inlineStr">
        <is>
          <t>Unisex</t>
        </is>
      </c>
      <c r="M187" s="156" t="inlineStr">
        <is>
          <t>Looney Tunes</t>
        </is>
      </c>
      <c r="N187" s="156" t="n"/>
      <c r="O187" s="156" t="n"/>
      <c r="P187" s="156" t="inlineStr">
        <is>
          <t>Negro</t>
        </is>
      </c>
      <c r="Q187" s="156" t="n"/>
      <c r="R187" s="156" t="n"/>
      <c r="S187" s="156" t="inlineStr">
        <is>
          <t>Algodón / Poliéster</t>
        </is>
      </c>
      <c r="T187" s="156" t="inlineStr">
        <is>
          <t>Gorra de la marca CAPSLAB bajo licencia oficial Looney Tunes. Talla única ajustable. Estilo CL/LOO3/1/AFF1.</t>
        </is>
      </c>
      <c r="U187" s="156" t="n"/>
      <c r="V187" s="156" t="inlineStr">
        <is>
          <t>PZS</t>
        </is>
      </c>
      <c r="W187" s="51" t="inlineStr">
        <is>
          <t>53102516</t>
        </is>
      </c>
      <c r="X187" s="156" t="inlineStr">
        <is>
          <t>https://7913364.app.netsuite.com/core/media/media.nl?id=188277&amp;c=7913364&amp;h=ByrhbQrgV6YR3kBk0RW5-JLmejondet6p30AfdI9O0Dve6ao</t>
        </is>
      </c>
      <c r="Y187" s="54" t="n">
        <v>8.5</v>
      </c>
      <c r="Z187" s="54" t="n">
        <v>699</v>
      </c>
      <c r="AA187" s="55">
        <f>IF(AND(A187="", B187="", E187=""), "", IF(AB187="", "Válido", IF((LEN(AB187)-LEN(SUBSTITUTE(AB187,"; ","")))/2+1&gt;(LEN(AB187)-LEN(SUBSTITUTE(AB187,"[Aviso]","")))/7, "Con Incidencias", "Válido")))</f>
        <v/>
      </c>
      <c r="AB187" s="56">
        <f>IF(AND(A187="", B187="", E187=""), "", TEXTJOIN("; ", TRUE, IF(OR(TRIM(A187&amp;"")="", ISNUMBER(SEARCH("FALTA", A187))), "UPC faltante/inválido", ""), IF(AND(A187&lt;&gt;"", IFERROR(_xlfn.XMATCH(A187,$A$2:$A$370,0,1)&lt;&gt;_xlfn.XMATCH(A187,$A$2:$A$370,0,-1),FALSE)), "Código de barras duplicado", ""), IF(AND(E187&lt;&gt;"", COUNTIF($E$2:$E$370, E187)&gt;1), "SKU duplicado", ""), IF(OR(J187="", J187=""), "[Aviso] División no capturada ()", IF(ISNA(MATCH(J187, Criterios!$A$123:$A$126, 0)), "División no válida", "")), IF(OR(K187="", K187=""), "[Aviso] Categoría no capturada ()", IF(ISNA(MATCH(K187, Criterios!$A$81:$A$120, 0)), "Categoría no válida", IF(AND(J187&lt;&gt;"", J187&lt;&gt;"", J187&lt;&gt;VLOOKUP(K187, Criterios!$A$81:$B$120, 2, FALSE)), "División no coincide con Categoría", ""))), IF(OR(L187="", L187=""), "[Aviso] Género no capturado ()", IF(ISNA(MATCH(L187, Criterios!$B$123:$B$127, 0)), "Género no válido", "")), IF(OR(N187="", N187=""), "[Aviso] Temporada no capturada ()", IF(ISNA(MATCH(N187, Criterios!$C$123:$C$128, 0)), "Temporada no válida", "")), IF(OR(O187="", O187=""), "[Aviso] Ciclo de vida no capturado ()", IF(ISNA(MATCH(O187, Criterios!$D$123:$D$124, 0)), "Ciclo de vida no válido", ""))))</f>
        <v/>
      </c>
      <c r="AC187" s="56" t="n"/>
      <c r="AD187" s="51" t="n">
        <v>7</v>
      </c>
      <c r="AE187" s="156" t="inlineStr">
        <is>
          <t>Web (2); CAPSLAB Warehouse (3)</t>
        </is>
      </c>
      <c r="AF187" s="51" t="n">
        <v>7</v>
      </c>
      <c r="AG187" s="156" t="inlineStr">
        <is>
          <t>Nuevo – NetSuite con existencia</t>
        </is>
      </c>
      <c r="AH187" s="156" t="inlineStr">
        <is>
          <t>Composición CAPSLAB varía por modelo (50/50, 40/60 o 100% poliéster): validar etiqueta; Físico total NetSuite 7 ≠ suma por ubicación 5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87" s="156" t="inlineStr">
        <is>
          <t>No</t>
        </is>
      </c>
      <c r="AJ187" s="156" t="n"/>
      <c r="AK187" s="155" t="inlineStr">
        <is>
          <t>G1522ProductosTodosloscamposSandboxResults894.xlsx: fila 47912 [Y]; G1522_Extraccion_Articulos_NetSuite_2026-09-30.xlsx: fila 20784 [Z]</t>
        </is>
      </c>
      <c r="AL187" s="58" t="n">
        <v>8.5</v>
      </c>
      <c r="AM187" s="58" t="n"/>
      <c r="AN187" s="155" t="n"/>
      <c r="AO187" s="59" t="n"/>
      <c r="AP187" s="59" t="n"/>
      <c r="AQ187" s="59" t="n"/>
      <c r="AR187" s="155" t="n"/>
    </row>
    <row r="188">
      <c r="A188" s="50" t="inlineStr">
        <is>
          <t>3614000980292</t>
        </is>
      </c>
      <c r="B188" s="51" t="inlineStr">
        <is>
          <t>57403</t>
        </is>
      </c>
      <c r="C188" s="156" t="inlineStr">
        <is>
          <t>CAPSLAB</t>
        </is>
      </c>
      <c r="D188" s="156" t="inlineStr">
        <is>
          <t>CL/LOO3/1/ALL2</t>
        </is>
      </c>
      <c r="E188" s="156" t="inlineStr">
        <is>
          <t>CL/LOO3/1/ALL2-UNI</t>
        </is>
      </c>
      <c r="F188" s="156" t="inlineStr">
        <is>
          <t>Talla única</t>
        </is>
      </c>
      <c r="G188" s="156" t="inlineStr">
        <is>
          <t>One Size</t>
        </is>
      </c>
      <c r="H188" s="156" t="inlineStr">
        <is>
          <t>CAPSLAB</t>
        </is>
      </c>
      <c r="I188" s="156" t="inlineStr">
        <is>
          <t>Gorra CAPSLAB Looney Tunes Gris</t>
        </is>
      </c>
      <c r="J188" s="156" t="inlineStr">
        <is>
          <t>Accesorios</t>
        </is>
      </c>
      <c r="K188" s="156" t="inlineStr">
        <is>
          <t>Gorras</t>
        </is>
      </c>
      <c r="L188" s="156" t="inlineStr">
        <is>
          <t>Unisex</t>
        </is>
      </c>
      <c r="M188" s="156" t="inlineStr">
        <is>
          <t>Looney Tunes</t>
        </is>
      </c>
      <c r="N188" s="156" t="n"/>
      <c r="O188" s="156" t="n"/>
      <c r="P188" s="156" t="inlineStr">
        <is>
          <t>Gris</t>
        </is>
      </c>
      <c r="Q188" s="156" t="n"/>
      <c r="R188" s="156" t="n"/>
      <c r="S188" s="156" t="inlineStr">
        <is>
          <t>Algodón / Poliéster</t>
        </is>
      </c>
      <c r="T188" s="156" t="inlineStr">
        <is>
          <t>Gorra de la marca CAPSLAB bajo licencia oficial Looney Tunes. Talla única ajustable. Estilo CL/LOO3/1/ALL2.</t>
        </is>
      </c>
      <c r="U188" s="156" t="n"/>
      <c r="V188" s="156" t="inlineStr">
        <is>
          <t>PZS</t>
        </is>
      </c>
      <c r="W188" s="51" t="inlineStr">
        <is>
          <t>53102516</t>
        </is>
      </c>
      <c r="X188" s="156" t="inlineStr">
        <is>
          <t>https://7913364.app.netsuite.com/core/media/media.nl?id=188278&amp;c=7913364&amp;h=BjU7lBAqc13jm4NaYACCRsAwWrA9p0110Nf01q0LxyWxFw5b</t>
        </is>
      </c>
      <c r="Y188" s="54" t="n">
        <v>8.5</v>
      </c>
      <c r="Z188" s="54" t="n">
        <v>699</v>
      </c>
      <c r="AA188" s="55">
        <f>IF(AND(A188="", B188="", E188=""), "", IF(AB188="", "Válido", IF((LEN(AB188)-LEN(SUBSTITUTE(AB188,"; ","")))/2+1&gt;(LEN(AB188)-LEN(SUBSTITUTE(AB188,"[Aviso]","")))/7, "Con Incidencias", "Válido")))</f>
        <v/>
      </c>
      <c r="AB188" s="56">
        <f>IF(AND(A188="", B188="", E188=""), "", TEXTJOIN("; ", TRUE, IF(OR(TRIM(A188&amp;"")="", ISNUMBER(SEARCH("FALTA", A188))), "UPC faltante/inválido", ""), IF(AND(A188&lt;&gt;"", IFERROR(_xlfn.XMATCH(A188,$A$2:$A$370,0,1)&lt;&gt;_xlfn.XMATCH(A188,$A$2:$A$370,0,-1),FALSE)), "Código de barras duplicado", ""), IF(AND(E188&lt;&gt;"", COUNTIF($E$2:$E$370, E188)&gt;1), "SKU duplicado", ""), IF(OR(J188="", J188=""), "[Aviso] División no capturada ()", IF(ISNA(MATCH(J188, Criterios!$A$123:$A$126, 0)), "División no válida", "")), IF(OR(K188="", K188=""), "[Aviso] Categoría no capturada ()", IF(ISNA(MATCH(K188, Criterios!$A$81:$A$120, 0)), "Categoría no válida", IF(AND(J188&lt;&gt;"", J188&lt;&gt;"", J188&lt;&gt;VLOOKUP(K188, Criterios!$A$81:$B$120, 2, FALSE)), "División no coincide con Categoría", ""))), IF(OR(L188="", L188=""), "[Aviso] Género no capturado ()", IF(ISNA(MATCH(L188, Criterios!$B$123:$B$127, 0)), "Género no válido", "")), IF(OR(N188="", N188=""), "[Aviso] Temporada no capturada ()", IF(ISNA(MATCH(N188, Criterios!$C$123:$C$128, 0)), "Temporada no válida", "")), IF(OR(O188="", O188=""), "[Aviso] Ciclo de vida no capturado ()", IF(ISNA(MATCH(O188, Criterios!$D$123:$D$124, 0)), "Ciclo de vida no válido", ""))))</f>
        <v/>
      </c>
      <c r="AC188" s="56" t="n"/>
      <c r="AD188" s="51" t="n">
        <v>2</v>
      </c>
      <c r="AE188" s="156" t="inlineStr">
        <is>
          <t>CAPSLAB Warehouse (2)</t>
        </is>
      </c>
      <c r="AF188" s="51" t="n">
        <v>2</v>
      </c>
      <c r="AG188" s="156" t="inlineStr">
        <is>
          <t>Nuevo – NetSuite con existencia</t>
        </is>
      </c>
      <c r="AH18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88" s="156" t="inlineStr">
        <is>
          <t>No</t>
        </is>
      </c>
      <c r="AJ188" s="156" t="n"/>
      <c r="AK188" s="155" t="inlineStr">
        <is>
          <t>G1522ProductosTodosloscamposSandboxResults894.xlsx: fila 47914 [Y]; G1522_Extraccion_Articulos_NetSuite_2026-09-30.xlsx: fila 20785 [Z]</t>
        </is>
      </c>
      <c r="AL188" s="58" t="n">
        <v>8.5</v>
      </c>
      <c r="AM188" s="58" t="n"/>
      <c r="AN188" s="155" t="n"/>
      <c r="AO188" s="59" t="n"/>
      <c r="AP188" s="59" t="n"/>
      <c r="AQ188" s="59" t="n"/>
      <c r="AR188" s="155" t="n"/>
    </row>
    <row r="189">
      <c r="A189" s="50" t="inlineStr">
        <is>
          <t>3614000980315</t>
        </is>
      </c>
      <c r="B189" s="51" t="inlineStr">
        <is>
          <t>57404</t>
        </is>
      </c>
      <c r="C189" s="156" t="inlineStr">
        <is>
          <t>CAPSLAB</t>
        </is>
      </c>
      <c r="D189" s="156" t="inlineStr">
        <is>
          <t>CL/LOO3/1/BUG1</t>
        </is>
      </c>
      <c r="E189" s="156" t="inlineStr">
        <is>
          <t>CL/LOO3/1/BUG1-UNI</t>
        </is>
      </c>
      <c r="F189" s="156" t="inlineStr">
        <is>
          <t>Talla única</t>
        </is>
      </c>
      <c r="G189" s="156" t="inlineStr">
        <is>
          <t>One Size</t>
        </is>
      </c>
      <c r="H189" s="156" t="inlineStr">
        <is>
          <t>CAPSLAB</t>
        </is>
      </c>
      <c r="I189" s="156" t="inlineStr">
        <is>
          <t>Gorra CAPSLAB Looney Tunes Bugs Bunny Rojo</t>
        </is>
      </c>
      <c r="J189" s="156" t="inlineStr">
        <is>
          <t>Accesorios</t>
        </is>
      </c>
      <c r="K189" s="156" t="inlineStr">
        <is>
          <t>Gorras</t>
        </is>
      </c>
      <c r="L189" s="156" t="inlineStr">
        <is>
          <t>Unisex</t>
        </is>
      </c>
      <c r="M189" s="156" t="inlineStr">
        <is>
          <t>Looney Tunes</t>
        </is>
      </c>
      <c r="N189" s="156" t="n"/>
      <c r="O189" s="156" t="n"/>
      <c r="P189" s="156" t="inlineStr">
        <is>
          <t>Rojo</t>
        </is>
      </c>
      <c r="Q189" s="156" t="n"/>
      <c r="R189" s="156" t="n"/>
      <c r="S189" s="156" t="inlineStr">
        <is>
          <t>Algodón / Poliéster</t>
        </is>
      </c>
      <c r="T189" s="156" t="inlineStr">
        <is>
          <t>Gorra de la marca CAPSLAB bajo licencia oficial Looney Tunes, personaje Bugs Bunny. Talla única ajustable. Estilo CL/LOO3/1/BUG1.</t>
        </is>
      </c>
      <c r="U189" s="156" t="n"/>
      <c r="V189" s="156" t="inlineStr">
        <is>
          <t>PZS</t>
        </is>
      </c>
      <c r="W189" s="51" t="inlineStr">
        <is>
          <t>53102516</t>
        </is>
      </c>
      <c r="X189" s="156" t="inlineStr">
        <is>
          <t>https://7913364.app.netsuite.com/core/media/media.nl?id=188279&amp;c=7913364&amp;h=Etxso7wBOCPEfN5us5m21hak7Xuj24rFYC9qhuZCRyyZv-iy</t>
        </is>
      </c>
      <c r="Y189" s="54" t="n">
        <v>8.5</v>
      </c>
      <c r="Z189" s="54" t="n">
        <v>699</v>
      </c>
      <c r="AA189" s="55">
        <f>IF(AND(A189="", B189="", E189=""), "", IF(AB189="", "Válido", IF((LEN(AB189)-LEN(SUBSTITUTE(AB189,"; ","")))/2+1&gt;(LEN(AB189)-LEN(SUBSTITUTE(AB189,"[Aviso]","")))/7, "Con Incidencias", "Válido")))</f>
        <v/>
      </c>
      <c r="AB189" s="56">
        <f>IF(AND(A189="", B189="", E189=""), "", TEXTJOIN("; ", TRUE, IF(OR(TRIM(A189&amp;"")="", ISNUMBER(SEARCH("FALTA", A189))), "UPC faltante/inválido", ""), IF(AND(A189&lt;&gt;"", IFERROR(_xlfn.XMATCH(A189,$A$2:$A$370,0,1)&lt;&gt;_xlfn.XMATCH(A189,$A$2:$A$370,0,-1),FALSE)), "Código de barras duplicado", ""), IF(AND(E189&lt;&gt;"", COUNTIF($E$2:$E$370, E189)&gt;1), "SKU duplicado", ""), IF(OR(J189="", J189=""), "[Aviso] División no capturada ()", IF(ISNA(MATCH(J189, Criterios!$A$123:$A$126, 0)), "División no válida", "")), IF(OR(K189="", K189=""), "[Aviso] Categoría no capturada ()", IF(ISNA(MATCH(K189, Criterios!$A$81:$A$120, 0)), "Categoría no válida", IF(AND(J189&lt;&gt;"", J189&lt;&gt;"", J189&lt;&gt;VLOOKUP(K189, Criterios!$A$81:$B$120, 2, FALSE)), "División no coincide con Categoría", ""))), IF(OR(L189="", L189=""), "[Aviso] Género no capturado ()", IF(ISNA(MATCH(L189, Criterios!$B$123:$B$127, 0)), "Género no válido", "")), IF(OR(N189="", N189=""), "[Aviso] Temporada no capturada ()", IF(ISNA(MATCH(N189, Criterios!$C$123:$C$128, 0)), "Temporada no válida", "")), IF(OR(O189="", O189=""), "[Aviso] Ciclo de vida no capturado ()", IF(ISNA(MATCH(O189, Criterios!$D$123:$D$124, 0)), "Ciclo de vida no válido", ""))))</f>
        <v/>
      </c>
      <c r="AC189" s="56" t="n"/>
      <c r="AD189" s="51" t="n">
        <v>37</v>
      </c>
      <c r="AE189" s="156" t="inlineStr">
        <is>
          <t>CAPSLAB Warehouse (17); Web (2)</t>
        </is>
      </c>
      <c r="AF189" s="51" t="n">
        <v>37</v>
      </c>
      <c r="AG189" s="156" t="inlineStr">
        <is>
          <t>Nuevo – NetSuite con existencia</t>
        </is>
      </c>
      <c r="AH189" s="156" t="inlineStr">
        <is>
          <t>Composición CAPSLAB varía por modelo (50/50, 40/60 o 100% poliéster): validar etiqueta; Físico total NetSuite 37 ≠ suma por ubicación 19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89" s="156" t="inlineStr">
        <is>
          <t>No</t>
        </is>
      </c>
      <c r="AJ189" s="156" t="n"/>
      <c r="AK189" s="155" t="inlineStr">
        <is>
          <t>G1522ProductosTodosloscamposSandboxResults894.xlsx: fila 47916 [Y]; G1522_Extraccion_Articulos_NetSuite_2026-09-30.xlsx: fila 20786 [Z]</t>
        </is>
      </c>
      <c r="AL189" s="58" t="n">
        <v>8.5</v>
      </c>
      <c r="AM189" s="58" t="n"/>
      <c r="AN189" s="155" t="n"/>
      <c r="AO189" s="59" t="n"/>
      <c r="AP189" s="59" t="n"/>
      <c r="AQ189" s="59" t="n"/>
      <c r="AR189" s="155" t="n"/>
    </row>
    <row r="190">
      <c r="A190" s="50" t="inlineStr">
        <is>
          <t>3614000980339</t>
        </is>
      </c>
      <c r="B190" s="51" t="inlineStr">
        <is>
          <t>57405</t>
        </is>
      </c>
      <c r="C190" s="156" t="inlineStr">
        <is>
          <t>CAPSLAB</t>
        </is>
      </c>
      <c r="D190" s="156" t="inlineStr">
        <is>
          <t>CL/LOO3/1/CHA</t>
        </is>
      </c>
      <c r="E190" s="156" t="inlineStr">
        <is>
          <t>CL/LOO3/1/CHA-UNI</t>
        </is>
      </c>
      <c r="F190" s="156" t="inlineStr">
        <is>
          <t>Talla única</t>
        </is>
      </c>
      <c r="G190" s="156" t="inlineStr">
        <is>
          <t>One Size</t>
        </is>
      </c>
      <c r="H190" s="156" t="inlineStr">
        <is>
          <t>CAPSLAB</t>
        </is>
      </c>
      <c r="I190" s="156" t="inlineStr">
        <is>
          <t>Gorra CAPSLAB Looney Tunes Blanco</t>
        </is>
      </c>
      <c r="J190" s="156" t="inlineStr">
        <is>
          <t>Accesorios</t>
        </is>
      </c>
      <c r="K190" s="156" t="inlineStr">
        <is>
          <t>Gorras</t>
        </is>
      </c>
      <c r="L190" s="156" t="inlineStr">
        <is>
          <t>Unisex</t>
        </is>
      </c>
      <c r="M190" s="156" t="inlineStr">
        <is>
          <t>Looney Tunes</t>
        </is>
      </c>
      <c r="N190" s="156" t="n"/>
      <c r="O190" s="156" t="n"/>
      <c r="P190" s="156" t="inlineStr">
        <is>
          <t>Blanco</t>
        </is>
      </c>
      <c r="Q190" s="156" t="n"/>
      <c r="R190" s="156" t="n"/>
      <c r="S190" s="156" t="inlineStr">
        <is>
          <t>Algodón / Poliéster</t>
        </is>
      </c>
      <c r="T190" s="156" t="inlineStr">
        <is>
          <t>Gorra de la marca CAPSLAB bajo licencia oficial Looney Tunes. Talla única ajustable. Estilo CL/LOO3/1/CHA.</t>
        </is>
      </c>
      <c r="U190" s="156" t="n"/>
      <c r="V190" s="156" t="inlineStr">
        <is>
          <t>PZS</t>
        </is>
      </c>
      <c r="W190" s="51" t="inlineStr">
        <is>
          <t>53102516</t>
        </is>
      </c>
      <c r="X190" s="156" t="inlineStr">
        <is>
          <t>https://7913364.app.netsuite.com/core/media/media.nl?id=188280&amp;c=7913364&amp;h=PRLOYq8fDFJxIS-7UV69v_YtoUl1aLTeurggLVH0E2CIeeEa</t>
        </is>
      </c>
      <c r="Y190" s="54" t="n">
        <v>8.5</v>
      </c>
      <c r="Z190" s="54" t="n">
        <v>699</v>
      </c>
      <c r="AA190" s="55">
        <f>IF(AND(A190="", B190="", E190=""), "", IF(AB190="", "Válido", IF((LEN(AB190)-LEN(SUBSTITUTE(AB190,"; ","")))/2+1&gt;(LEN(AB190)-LEN(SUBSTITUTE(AB190,"[Aviso]","")))/7, "Con Incidencias", "Válido")))</f>
        <v/>
      </c>
      <c r="AB190" s="56">
        <f>IF(AND(A190="", B190="", E190=""), "", TEXTJOIN("; ", TRUE, IF(OR(TRIM(A190&amp;"")="", ISNUMBER(SEARCH("FALTA", A190))), "UPC faltante/inválido", ""), IF(AND(A190&lt;&gt;"", IFERROR(_xlfn.XMATCH(A190,$A$2:$A$370,0,1)&lt;&gt;_xlfn.XMATCH(A190,$A$2:$A$370,0,-1),FALSE)), "Código de barras duplicado", ""), IF(AND(E190&lt;&gt;"", COUNTIF($E$2:$E$370, E190)&gt;1), "SKU duplicado", ""), IF(OR(J190="", J190=""), "[Aviso] División no capturada ()", IF(ISNA(MATCH(J190, Criterios!$A$123:$A$126, 0)), "División no válida", "")), IF(OR(K190="", K190=""), "[Aviso] Categoría no capturada ()", IF(ISNA(MATCH(K190, Criterios!$A$81:$A$120, 0)), "Categoría no válida", IF(AND(J190&lt;&gt;"", J190&lt;&gt;"", J190&lt;&gt;VLOOKUP(K190, Criterios!$A$81:$B$120, 2, FALSE)), "División no coincide con Categoría", ""))), IF(OR(L190="", L190=""), "[Aviso] Género no capturado ()", IF(ISNA(MATCH(L190, Criterios!$B$123:$B$127, 0)), "Género no válido", "")), IF(OR(N190="", N190=""), "[Aviso] Temporada no capturada ()", IF(ISNA(MATCH(N190, Criterios!$C$123:$C$128, 0)), "Temporada no válida", "")), IF(OR(O190="", O190=""), "[Aviso] Ciclo de vida no capturado ()", IF(ISNA(MATCH(O190, Criterios!$D$123:$D$124, 0)), "Ciclo de vida no válido", ""))))</f>
        <v/>
      </c>
      <c r="AC190" s="56" t="n"/>
      <c r="AD190" s="51" t="n">
        <v>1</v>
      </c>
      <c r="AE190" s="156" t="inlineStr">
        <is>
          <t>CL Muestras (1)</t>
        </is>
      </c>
      <c r="AF190" s="51" t="n">
        <v>1</v>
      </c>
      <c r="AG190" s="156" t="inlineStr">
        <is>
          <t>Nuevo – NetSuite con existencia</t>
        </is>
      </c>
      <c r="AH19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90" s="156" t="inlineStr">
        <is>
          <t>No</t>
        </is>
      </c>
      <c r="AJ190" s="156" t="n"/>
      <c r="AK190" s="155" t="inlineStr">
        <is>
          <t>G1522ProductosTodosloscamposSandboxResults894.xlsx: fila 47918 [Y]; G1522_Extraccion_Articulos_NetSuite_2026-09-30.xlsx: fila 20787 [Z]</t>
        </is>
      </c>
      <c r="AL190" s="58" t="n">
        <v>8.5</v>
      </c>
      <c r="AM190" s="58" t="n"/>
      <c r="AN190" s="155" t="n"/>
      <c r="AO190" s="59" t="n"/>
      <c r="AP190" s="59" t="n"/>
      <c r="AQ190" s="59" t="n"/>
      <c r="AR190" s="155" t="n"/>
    </row>
    <row r="191">
      <c r="A191" s="50" t="inlineStr">
        <is>
          <t>3614000980346</t>
        </is>
      </c>
      <c r="B191" s="51" t="inlineStr">
        <is>
          <t>57406</t>
        </is>
      </c>
      <c r="C191" s="156" t="inlineStr">
        <is>
          <t>CAPSLAB</t>
        </is>
      </c>
      <c r="D191" s="156" t="inlineStr">
        <is>
          <t>CL/LOO3/1/DAF1</t>
        </is>
      </c>
      <c r="E191" s="156" t="inlineStr">
        <is>
          <t>CL/LOO3/1/DAF1-UNI</t>
        </is>
      </c>
      <c r="F191" s="156" t="inlineStr">
        <is>
          <t>Talla única</t>
        </is>
      </c>
      <c r="G191" s="156" t="inlineStr">
        <is>
          <t>One Size</t>
        </is>
      </c>
      <c r="H191" s="156" t="inlineStr">
        <is>
          <t>CAPSLAB</t>
        </is>
      </c>
      <c r="I191" s="156" t="inlineStr">
        <is>
          <t>Gorra CAPSLAB Looney Tunes Pato Lucas Rojo</t>
        </is>
      </c>
      <c r="J191" s="156" t="inlineStr">
        <is>
          <t>Accesorios</t>
        </is>
      </c>
      <c r="K191" s="156" t="inlineStr">
        <is>
          <t>Gorras</t>
        </is>
      </c>
      <c r="L191" s="156" t="inlineStr">
        <is>
          <t>Unisex</t>
        </is>
      </c>
      <c r="M191" s="156" t="inlineStr">
        <is>
          <t>Looney Tunes</t>
        </is>
      </c>
      <c r="N191" s="156" t="n"/>
      <c r="O191" s="156" t="n"/>
      <c r="P191" s="156" t="inlineStr">
        <is>
          <t>Rojo</t>
        </is>
      </c>
      <c r="Q191" s="156" t="n"/>
      <c r="R191" s="156" t="n"/>
      <c r="S191" s="156" t="inlineStr">
        <is>
          <t>Algodón / Poliéster</t>
        </is>
      </c>
      <c r="T191" s="156" t="inlineStr">
        <is>
          <t>Gorra de la marca CAPSLAB bajo licencia oficial Looney Tunes, personaje Pato Lucas. Talla única ajustable. Estilo CL/LOO3/1/DAF1.</t>
        </is>
      </c>
      <c r="U191" s="156" t="n"/>
      <c r="V191" s="156" t="inlineStr">
        <is>
          <t>PZS</t>
        </is>
      </c>
      <c r="W191" s="51" t="inlineStr">
        <is>
          <t>53102516</t>
        </is>
      </c>
      <c r="X191" s="156" t="inlineStr">
        <is>
          <t>https://7913364.app.netsuite.com/core/media/media.nl?id=188281&amp;c=7913364&amp;h=UtPb6vKY3mxuBm1d55f97V3xUuibK1us-udl0fSNWBEWyz5M</t>
        </is>
      </c>
      <c r="Y191" s="54" t="n">
        <v>8.5</v>
      </c>
      <c r="Z191" s="54" t="n">
        <v>699</v>
      </c>
      <c r="AA191" s="55">
        <f>IF(AND(A191="", B191="", E191=""), "", IF(AB191="", "Válido", IF((LEN(AB191)-LEN(SUBSTITUTE(AB191,"; ","")))/2+1&gt;(LEN(AB191)-LEN(SUBSTITUTE(AB191,"[Aviso]","")))/7, "Con Incidencias", "Válido")))</f>
        <v/>
      </c>
      <c r="AB191" s="56">
        <f>IF(AND(A191="", B191="", E191=""), "", TEXTJOIN("; ", TRUE, IF(OR(TRIM(A191&amp;"")="", ISNUMBER(SEARCH("FALTA", A191))), "UPC faltante/inválido", ""), IF(AND(A191&lt;&gt;"", IFERROR(_xlfn.XMATCH(A191,$A$2:$A$370,0,1)&lt;&gt;_xlfn.XMATCH(A191,$A$2:$A$370,0,-1),FALSE)), "Código de barras duplicado", ""), IF(AND(E191&lt;&gt;"", COUNTIF($E$2:$E$370, E191)&gt;1), "SKU duplicado", ""), IF(OR(J191="", J191=""), "[Aviso] División no capturada ()", IF(ISNA(MATCH(J191, Criterios!$A$123:$A$126, 0)), "División no válida", "")), IF(OR(K191="", K191=""), "[Aviso] Categoría no capturada ()", IF(ISNA(MATCH(K191, Criterios!$A$81:$A$120, 0)), "Categoría no válida", IF(AND(J191&lt;&gt;"", J191&lt;&gt;"", J191&lt;&gt;VLOOKUP(K191, Criterios!$A$81:$B$120, 2, FALSE)), "División no coincide con Categoría", ""))), IF(OR(L191="", L191=""), "[Aviso] Género no capturado ()", IF(ISNA(MATCH(L191, Criterios!$B$123:$B$127, 0)), "Género no válido", "")), IF(OR(N191="", N191=""), "[Aviso] Temporada no capturada ()", IF(ISNA(MATCH(N191, Criterios!$C$123:$C$128, 0)), "Temporada no válida", "")), IF(OR(O191="", O191=""), "[Aviso] Ciclo de vida no capturado ()", IF(ISNA(MATCH(O191, Criterios!$D$123:$D$124, 0)), "Ciclo de vida no válido", ""))))</f>
        <v/>
      </c>
      <c r="AC191" s="56" t="n"/>
      <c r="AD191" s="51" t="n">
        <v>4</v>
      </c>
      <c r="AE191" s="156" t="inlineStr">
        <is>
          <t>CL Muestras (2); Web (1)</t>
        </is>
      </c>
      <c r="AF191" s="51" t="n">
        <v>4</v>
      </c>
      <c r="AG191" s="156" t="inlineStr">
        <is>
          <t>Nuevo – NetSuite con existencia</t>
        </is>
      </c>
      <c r="AH191" s="156" t="inlineStr">
        <is>
          <t>Composición CAPSLAB varía por modelo (50/50, 40/60 o 100% poliéster): validar etiqueta; Físico total NetSuite 4 ≠ suma por ubicación 3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91" s="156" t="inlineStr">
        <is>
          <t>No</t>
        </is>
      </c>
      <c r="AJ191" s="156" t="n"/>
      <c r="AK191" s="155" t="inlineStr">
        <is>
          <t>G1522ProductosTodosloscamposSandboxResults894.xlsx: fila 47920 [Y]; G1522_Extraccion_Articulos_NetSuite_2026-09-30.xlsx: fila 20788 [Z]</t>
        </is>
      </c>
      <c r="AL191" s="58" t="n">
        <v>8.5</v>
      </c>
      <c r="AM191" s="58" t="n"/>
      <c r="AN191" s="155" t="n"/>
      <c r="AO191" s="59" t="n"/>
      <c r="AP191" s="59" t="n"/>
      <c r="AQ191" s="59" t="n"/>
      <c r="AR191" s="155" t="n"/>
    </row>
    <row r="192">
      <c r="A192" s="50" t="inlineStr">
        <is>
          <t>3614000980377</t>
        </is>
      </c>
      <c r="B192" s="51" t="inlineStr">
        <is>
          <t>57448</t>
        </is>
      </c>
      <c r="C192" s="156" t="inlineStr">
        <is>
          <t>CAPSLAB</t>
        </is>
      </c>
      <c r="D192" s="156" t="inlineStr">
        <is>
          <t>CL/LOO3/1/DUK</t>
        </is>
      </c>
      <c r="E192" s="156" t="inlineStr">
        <is>
          <t>CL/LOO3/1/DUK-uNI</t>
        </is>
      </c>
      <c r="F192" s="156" t="inlineStr">
        <is>
          <t>Talla única</t>
        </is>
      </c>
      <c r="G192" s="156" t="inlineStr">
        <is>
          <t>One Size</t>
        </is>
      </c>
      <c r="H192" s="156" t="inlineStr">
        <is>
          <t>CAPSLAB</t>
        </is>
      </c>
      <c r="I192" s="156" t="inlineStr">
        <is>
          <t>Gorra CAPSLAB Looney Tunes Negro</t>
        </is>
      </c>
      <c r="J192" s="156" t="inlineStr">
        <is>
          <t>Accesorios</t>
        </is>
      </c>
      <c r="K192" s="156" t="inlineStr">
        <is>
          <t>Gorras</t>
        </is>
      </c>
      <c r="L192" s="156" t="inlineStr">
        <is>
          <t>Unisex</t>
        </is>
      </c>
      <c r="M192" s="156" t="inlineStr">
        <is>
          <t>Looney Tunes</t>
        </is>
      </c>
      <c r="N192" s="156" t="n"/>
      <c r="O192" s="156" t="n"/>
      <c r="P192" s="156" t="inlineStr">
        <is>
          <t>Negro</t>
        </is>
      </c>
      <c r="Q192" s="156" t="n"/>
      <c r="R192" s="156" t="n"/>
      <c r="S192" s="156" t="inlineStr">
        <is>
          <t>Algodón / Poliéster</t>
        </is>
      </c>
      <c r="T192" s="156" t="inlineStr">
        <is>
          <t>Gorra de la marca CAPSLAB bajo licencia oficial Looney Tunes. Talla única ajustable. Estilo CL/LOO3/1/DUK.</t>
        </is>
      </c>
      <c r="U192" s="156" t="n"/>
      <c r="V192" s="156" t="inlineStr">
        <is>
          <t>PZS</t>
        </is>
      </c>
      <c r="W192" s="51" t="inlineStr">
        <is>
          <t>53102516</t>
        </is>
      </c>
      <c r="X192" s="156" t="inlineStr">
        <is>
          <t>https://7913364.app.netsuite.com/core/media/media.nl?id=188356&amp;c=7913364&amp;h=s_N0feKuvpEQgfdfBbz-LwkThDGuNWG7STm7UWk7WbdL0t9g</t>
        </is>
      </c>
      <c r="Y192" s="54" t="n">
        <v>8.5</v>
      </c>
      <c r="Z192" s="54" t="n">
        <v>699</v>
      </c>
      <c r="AA192" s="55">
        <f>IF(AND(A192="", B192="", E192=""), "", IF(AB192="", "Válido", IF((LEN(AB192)-LEN(SUBSTITUTE(AB192,"; ","")))/2+1&gt;(LEN(AB192)-LEN(SUBSTITUTE(AB192,"[Aviso]","")))/7, "Con Incidencias", "Válido")))</f>
        <v/>
      </c>
      <c r="AB192" s="56">
        <f>IF(AND(A192="", B192="", E192=""), "", TEXTJOIN("; ", TRUE, IF(OR(TRIM(A192&amp;"")="", ISNUMBER(SEARCH("FALTA", A192))), "UPC faltante/inválido", ""), IF(AND(A192&lt;&gt;"", IFERROR(_xlfn.XMATCH(A192,$A$2:$A$370,0,1)&lt;&gt;_xlfn.XMATCH(A192,$A$2:$A$370,0,-1),FALSE)), "Código de barras duplicado", ""), IF(AND(E192&lt;&gt;"", COUNTIF($E$2:$E$370, E192)&gt;1), "SKU duplicado", ""), IF(OR(J192="", J192=""), "[Aviso] División no capturada ()", IF(ISNA(MATCH(J192, Criterios!$A$123:$A$126, 0)), "División no válida", "")), IF(OR(K192="", K192=""), "[Aviso] Categoría no capturada ()", IF(ISNA(MATCH(K192, Criterios!$A$81:$A$120, 0)), "Categoría no válida", IF(AND(J192&lt;&gt;"", J192&lt;&gt;"", J192&lt;&gt;VLOOKUP(K192, Criterios!$A$81:$B$120, 2, FALSE)), "División no coincide con Categoría", ""))), IF(OR(L192="", L192=""), "[Aviso] Género no capturado ()", IF(ISNA(MATCH(L192, Criterios!$B$123:$B$127, 0)), "Género no válido", "")), IF(OR(N192="", N192=""), "[Aviso] Temporada no capturada ()", IF(ISNA(MATCH(N192, Criterios!$C$123:$C$128, 0)), "Temporada no válida", "")), IF(OR(O192="", O192=""), "[Aviso] Ciclo de vida no capturado ()", IF(ISNA(MATCH(O192, Criterios!$D$123:$D$124, 0)), "Ciclo de vida no válido", ""))))</f>
        <v/>
      </c>
      <c r="AC192" s="56" t="n"/>
      <c r="AD192" s="51" t="n">
        <v>0</v>
      </c>
      <c r="AE192" s="156" t="n"/>
      <c r="AF192" s="51" t="n">
        <v>0</v>
      </c>
      <c r="AG192" s="156" t="inlineStr">
        <is>
          <t>Nuevo – NetSuite sin existencia</t>
        </is>
      </c>
      <c r="AH192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92" s="156" t="inlineStr">
        <is>
          <t>No</t>
        </is>
      </c>
      <c r="AJ192" s="156" t="n"/>
      <c r="AK192" s="155" t="inlineStr">
        <is>
          <t>G1522ProductosTodosloscamposSandboxResults894.xlsx: fila 47922 [Y]; G1522_Extraccion_Articulos_NetSuite_2026-09-30.xlsx: fila 20830 [Z]</t>
        </is>
      </c>
      <c r="AL192" s="58" t="n">
        <v>8.5</v>
      </c>
      <c r="AM192" s="58" t="n"/>
      <c r="AN192" s="155" t="n"/>
      <c r="AO192" s="59" t="n"/>
      <c r="AP192" s="59" t="n"/>
      <c r="AQ192" s="59" t="n"/>
      <c r="AR192" s="155" t="n"/>
    </row>
    <row r="193">
      <c r="A193" s="50" t="inlineStr">
        <is>
          <t>3614000980384</t>
        </is>
      </c>
      <c r="B193" s="51" t="inlineStr">
        <is>
          <t>69630</t>
        </is>
      </c>
      <c r="C193" s="156" t="inlineStr">
        <is>
          <t>CAPSLAB</t>
        </is>
      </c>
      <c r="D193" s="156" t="inlineStr">
        <is>
          <t>CL/LOO3/1/DUK2</t>
        </is>
      </c>
      <c r="E193" s="156" t="inlineStr">
        <is>
          <t>CL/LOO3/1/DUK2-UNI</t>
        </is>
      </c>
      <c r="F193" s="156" t="inlineStr">
        <is>
          <t>Talla única</t>
        </is>
      </c>
      <c r="G193" s="156" t="inlineStr">
        <is>
          <t>One Size</t>
        </is>
      </c>
      <c r="H193" s="156" t="inlineStr">
        <is>
          <t>CAPSLAB</t>
        </is>
      </c>
      <c r="I193" s="156" t="inlineStr">
        <is>
          <t>Gorra CAPSLAB Looney Tunes</t>
        </is>
      </c>
      <c r="J193" s="156" t="inlineStr">
        <is>
          <t>Accesorios</t>
        </is>
      </c>
      <c r="K193" s="156" t="inlineStr">
        <is>
          <t>Gorras</t>
        </is>
      </c>
      <c r="L193" s="156" t="inlineStr">
        <is>
          <t>Unisex</t>
        </is>
      </c>
      <c r="M193" s="156" t="inlineStr">
        <is>
          <t>Looney Tunes</t>
        </is>
      </c>
      <c r="N193" s="156" t="n"/>
      <c r="O193" s="156" t="n"/>
      <c r="P193" s="156" t="n"/>
      <c r="Q193" s="156" t="n"/>
      <c r="R193" s="156" t="n"/>
      <c r="S193" s="156" t="inlineStr">
        <is>
          <t>Algodón / Poliéster</t>
        </is>
      </c>
      <c r="T193" s="156" t="inlineStr">
        <is>
          <t>Gorra de la marca CAPSLAB bajo licencia oficial Looney Tunes. Talla única ajustable. Estilo CL/LOO3/1/DUK2.</t>
        </is>
      </c>
      <c r="U193" s="156" t="n"/>
      <c r="V193" s="156" t="inlineStr">
        <is>
          <t>PZS</t>
        </is>
      </c>
      <c r="W193" s="51" t="inlineStr">
        <is>
          <t>53102516</t>
        </is>
      </c>
      <c r="X193" s="156" t="inlineStr">
        <is>
          <t>https://i.ibb.co/fvzYWBB/CLLOO31-DUK2.jpg</t>
        </is>
      </c>
      <c r="Y193" s="54" t="n"/>
      <c r="Z193" s="54" t="n">
        <v>699</v>
      </c>
      <c r="AA193" s="55">
        <f>IF(AND(A193="", B193="", E193=""), "", IF(AB193="", "Válido", IF((LEN(AB193)-LEN(SUBSTITUTE(AB193,"; ","")))/2+1&gt;(LEN(AB193)-LEN(SUBSTITUTE(AB193,"[Aviso]","")))/7, "Con Incidencias", "Válido")))</f>
        <v/>
      </c>
      <c r="AB193" s="56">
        <f>IF(AND(A193="", B193="", E193=""), "", TEXTJOIN("; ", TRUE, IF(OR(TRIM(A193&amp;"")="", ISNUMBER(SEARCH("FALTA", A193))), "UPC faltante/inválido", ""), IF(AND(A193&lt;&gt;"", IFERROR(_xlfn.XMATCH(A193,$A$2:$A$370,0,1)&lt;&gt;_xlfn.XMATCH(A193,$A$2:$A$370,0,-1),FALSE)), "Código de barras duplicado", ""), IF(AND(E193&lt;&gt;"", COUNTIF($E$2:$E$370, E193)&gt;1), "SKU duplicado", ""), IF(OR(J193="", J193=""), "[Aviso] División no capturada ()", IF(ISNA(MATCH(J193, Criterios!$A$123:$A$126, 0)), "División no válida", "")), IF(OR(K193="", K193=""), "[Aviso] Categoría no capturada ()", IF(ISNA(MATCH(K193, Criterios!$A$81:$A$120, 0)), "Categoría no válida", IF(AND(J193&lt;&gt;"", J193&lt;&gt;"", J193&lt;&gt;VLOOKUP(K193, Criterios!$A$81:$B$120, 2, FALSE)), "División no coincide con Categoría", ""))), IF(OR(L193="", L193=""), "[Aviso] Género no capturado ()", IF(ISNA(MATCH(L193, Criterios!$B$123:$B$127, 0)), "Género no válido", "")), IF(OR(N193="", N193=""), "[Aviso] Temporada no capturada ()", IF(ISNA(MATCH(N193, Criterios!$C$123:$C$128, 0)), "Temporada no válida", "")), IF(OR(O193="", O193=""), "[Aviso] Ciclo de vida no capturado ()", IF(ISNA(MATCH(O193, Criterios!$D$123:$D$124, 0)), "Ciclo de vida no válido", ""))))</f>
        <v/>
      </c>
      <c r="AC193" s="56" t="n"/>
      <c r="AD193" s="51" t="n">
        <v>0</v>
      </c>
      <c r="AE193" s="156" t="inlineStr">
        <is>
          <t>CL Muestras (1)</t>
        </is>
      </c>
      <c r="AF193" s="51" t="n">
        <v>1</v>
      </c>
      <c r="AG193" s="156" t="inlineStr">
        <is>
          <t>Nuevo – NetSuite con existencia</t>
        </is>
      </c>
      <c r="AH193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93" s="156" t="inlineStr">
        <is>
          <t>No</t>
        </is>
      </c>
      <c r="AJ193" s="156" t="n"/>
      <c r="AK193" s="155" t="inlineStr">
        <is>
          <t>G1522ProductosTodosloscamposSandboxResults894.xlsx: fila 47924 [X]; G1522_Extraccion_Articulos_NetSuite_2026-09-30.xlsx: fila 30360 [Z]</t>
        </is>
      </c>
      <c r="AL193" s="58" t="n"/>
      <c r="AM193" s="58" t="n"/>
      <c r="AN193" s="155" t="n"/>
      <c r="AO193" s="59" t="n"/>
      <c r="AP193" s="59" t="n"/>
      <c r="AQ193" s="59" t="n"/>
      <c r="AR193" s="155" t="n"/>
    </row>
    <row r="194">
      <c r="A194" s="50" t="inlineStr">
        <is>
          <t>3614000980391</t>
        </is>
      </c>
      <c r="B194" s="51" t="inlineStr">
        <is>
          <t>69631</t>
        </is>
      </c>
      <c r="C194" s="156" t="inlineStr">
        <is>
          <t>CAPSLAB</t>
        </is>
      </c>
      <c r="D194" s="156" t="inlineStr">
        <is>
          <t>CL/LOO3/1/GON2</t>
        </is>
      </c>
      <c r="E194" s="156" t="inlineStr">
        <is>
          <t>CL/LOO3/1/GON2-UNI</t>
        </is>
      </c>
      <c r="F194" s="156" t="inlineStr">
        <is>
          <t>Talla única</t>
        </is>
      </c>
      <c r="G194" s="156" t="inlineStr">
        <is>
          <t>One Size</t>
        </is>
      </c>
      <c r="H194" s="156" t="inlineStr">
        <is>
          <t>CAPSLAB</t>
        </is>
      </c>
      <c r="I194" s="156" t="inlineStr">
        <is>
          <t>Gorra CAPSLAB Looney Tunes</t>
        </is>
      </c>
      <c r="J194" s="156" t="inlineStr">
        <is>
          <t>Accesorios</t>
        </is>
      </c>
      <c r="K194" s="156" t="inlineStr">
        <is>
          <t>Gorras</t>
        </is>
      </c>
      <c r="L194" s="156" t="inlineStr">
        <is>
          <t>Unisex</t>
        </is>
      </c>
      <c r="M194" s="156" t="inlineStr">
        <is>
          <t>Looney Tunes</t>
        </is>
      </c>
      <c r="N194" s="156" t="n"/>
      <c r="O194" s="156" t="n"/>
      <c r="P194" s="156" t="n"/>
      <c r="Q194" s="156" t="n"/>
      <c r="R194" s="156" t="n"/>
      <c r="S194" s="156" t="inlineStr">
        <is>
          <t>Algodón / Poliéster</t>
        </is>
      </c>
      <c r="T194" s="156" t="inlineStr">
        <is>
          <t>Gorra de la marca CAPSLAB bajo licencia oficial Looney Tunes. Talla única ajustable. Estilo CL/LOO3/1/GON2.</t>
        </is>
      </c>
      <c r="U194" s="156" t="n"/>
      <c r="V194" s="156" t="inlineStr">
        <is>
          <t>PZS</t>
        </is>
      </c>
      <c r="W194" s="51" t="inlineStr">
        <is>
          <t>53102516</t>
        </is>
      </c>
      <c r="X194" s="156" t="inlineStr">
        <is>
          <t>https://i.ibb.co/T26JQkT/CLLOO31-GON2.jpg</t>
        </is>
      </c>
      <c r="Y194" s="54" t="n"/>
      <c r="Z194" s="54" t="n">
        <v>699</v>
      </c>
      <c r="AA194" s="55">
        <f>IF(AND(A194="", B194="", E194=""), "", IF(AB194="", "Válido", IF((LEN(AB194)-LEN(SUBSTITUTE(AB194,"; ","")))/2+1&gt;(LEN(AB194)-LEN(SUBSTITUTE(AB194,"[Aviso]","")))/7, "Con Incidencias", "Válido")))</f>
        <v/>
      </c>
      <c r="AB194" s="56">
        <f>IF(AND(A194="", B194="", E194=""), "", TEXTJOIN("; ", TRUE, IF(OR(TRIM(A194&amp;"")="", ISNUMBER(SEARCH("FALTA", A194))), "UPC faltante/inválido", ""), IF(AND(A194&lt;&gt;"", IFERROR(_xlfn.XMATCH(A194,$A$2:$A$370,0,1)&lt;&gt;_xlfn.XMATCH(A194,$A$2:$A$370,0,-1),FALSE)), "Código de barras duplicado", ""), IF(AND(E194&lt;&gt;"", COUNTIF($E$2:$E$370, E194)&gt;1), "SKU duplicado", ""), IF(OR(J194="", J194=""), "[Aviso] División no capturada ()", IF(ISNA(MATCH(J194, Criterios!$A$123:$A$126, 0)), "División no válida", "")), IF(OR(K194="", K194=""), "[Aviso] Categoría no capturada ()", IF(ISNA(MATCH(K194, Criterios!$A$81:$A$120, 0)), "Categoría no válida", IF(AND(J194&lt;&gt;"", J194&lt;&gt;"", J194&lt;&gt;VLOOKUP(K194, Criterios!$A$81:$B$120, 2, FALSE)), "División no coincide con Categoría", ""))), IF(OR(L194="", L194=""), "[Aviso] Género no capturado ()", IF(ISNA(MATCH(L194, Criterios!$B$123:$B$127, 0)), "Género no válido", "")), IF(OR(N194="", N194=""), "[Aviso] Temporada no capturada ()", IF(ISNA(MATCH(N194, Criterios!$C$123:$C$128, 0)), "Temporada no válida", "")), IF(OR(O194="", O194=""), "[Aviso] Ciclo de vida no capturado ()", IF(ISNA(MATCH(O194, Criterios!$D$123:$D$124, 0)), "Ciclo de vida no válido", ""))))</f>
        <v/>
      </c>
      <c r="AC194" s="56" t="n"/>
      <c r="AD194" s="51" t="n">
        <v>88</v>
      </c>
      <c r="AE194" s="156" t="inlineStr">
        <is>
          <t>CAPSLAB Warehouse (63); CL Muestras (2); Web (2)</t>
        </is>
      </c>
      <c r="AF194" s="51" t="n">
        <v>87</v>
      </c>
      <c r="AG194" s="156" t="inlineStr">
        <is>
          <t>Nuevo – NetSuite con existencia</t>
        </is>
      </c>
      <c r="AH194" s="156" t="inlineStr">
        <is>
          <t>Composición CAPSLAB varía por modelo (50/50, 40/60 o 100% poliéster): validar etiqueta; Color por validar; Físico total NetSuite 88 ≠ suma por ubicación 67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94" s="156" t="inlineStr">
        <is>
          <t>No</t>
        </is>
      </c>
      <c r="AJ194" s="156" t="n"/>
      <c r="AK194" s="155" t="inlineStr">
        <is>
          <t>G1522ProductosTodosloscamposSandboxResults894.xlsx: fila 47926 [X]; G1522_Extraccion_Articulos_NetSuite_2026-09-30.xlsx: fila 30361 [Z]</t>
        </is>
      </c>
      <c r="AL194" s="58" t="n"/>
      <c r="AM194" s="58" t="n"/>
      <c r="AN194" s="155" t="n"/>
      <c r="AO194" s="59" t="n"/>
      <c r="AP194" s="59" t="n"/>
      <c r="AQ194" s="59" t="n"/>
      <c r="AR194" s="155" t="n"/>
    </row>
    <row r="195">
      <c r="A195" s="50" t="inlineStr">
        <is>
          <t>3614000980414</t>
        </is>
      </c>
      <c r="B195" s="51" t="inlineStr">
        <is>
          <t>69632</t>
        </is>
      </c>
      <c r="C195" s="156" t="inlineStr">
        <is>
          <t>CAPSLAB</t>
        </is>
      </c>
      <c r="D195" s="156" t="inlineStr">
        <is>
          <t>CL/LOO3/1/MAR1</t>
        </is>
      </c>
      <c r="E195" s="156" t="inlineStr">
        <is>
          <t>CL/LOO3/1/MAR1-UNI</t>
        </is>
      </c>
      <c r="F195" s="156" t="inlineStr">
        <is>
          <t>Talla única</t>
        </is>
      </c>
      <c r="G195" s="156" t="inlineStr">
        <is>
          <t>One Size</t>
        </is>
      </c>
      <c r="H195" s="156" t="inlineStr">
        <is>
          <t>CAPSLAB</t>
        </is>
      </c>
      <c r="I195" s="156" t="inlineStr">
        <is>
          <t>Gorra CAPSLAB Looney Tunes</t>
        </is>
      </c>
      <c r="J195" s="156" t="inlineStr">
        <is>
          <t>Accesorios</t>
        </is>
      </c>
      <c r="K195" s="156" t="inlineStr">
        <is>
          <t>Gorras</t>
        </is>
      </c>
      <c r="L195" s="156" t="inlineStr">
        <is>
          <t>Unisex</t>
        </is>
      </c>
      <c r="M195" s="156" t="inlineStr">
        <is>
          <t>Looney Tunes</t>
        </is>
      </c>
      <c r="N195" s="156" t="n"/>
      <c r="O195" s="156" t="n"/>
      <c r="P195" s="156" t="n"/>
      <c r="Q195" s="156" t="n"/>
      <c r="R195" s="156" t="n"/>
      <c r="S195" s="156" t="inlineStr">
        <is>
          <t>Algodón / Poliéster</t>
        </is>
      </c>
      <c r="T195" s="156" t="inlineStr">
        <is>
          <t>Gorra de la marca CAPSLAB bajo licencia oficial Looney Tunes. Talla única ajustable. Estilo CL/LOO3/1/MAR1.</t>
        </is>
      </c>
      <c r="U195" s="156" t="n"/>
      <c r="V195" s="156" t="inlineStr">
        <is>
          <t>PZS</t>
        </is>
      </c>
      <c r="W195" s="51" t="inlineStr">
        <is>
          <t>53102516</t>
        </is>
      </c>
      <c r="X195" s="156" t="inlineStr">
        <is>
          <t>https://i.ibb.co/hXr819P/CLLOO31-MAR1.jpg</t>
        </is>
      </c>
      <c r="Y195" s="54" t="n"/>
      <c r="Z195" s="54" t="n">
        <v>699</v>
      </c>
      <c r="AA195" s="55">
        <f>IF(AND(A195="", B195="", E195=""), "", IF(AB195="", "Válido", IF((LEN(AB195)-LEN(SUBSTITUTE(AB195,"; ","")))/2+1&gt;(LEN(AB195)-LEN(SUBSTITUTE(AB195,"[Aviso]","")))/7, "Con Incidencias", "Válido")))</f>
        <v/>
      </c>
      <c r="AB195" s="56">
        <f>IF(AND(A195="", B195="", E195=""), "", TEXTJOIN("; ", TRUE, IF(OR(TRIM(A195&amp;"")="", ISNUMBER(SEARCH("FALTA", A195))), "UPC faltante/inválido", ""), IF(AND(A195&lt;&gt;"", IFERROR(_xlfn.XMATCH(A195,$A$2:$A$370,0,1)&lt;&gt;_xlfn.XMATCH(A195,$A$2:$A$370,0,-1),FALSE)), "Código de barras duplicado", ""), IF(AND(E195&lt;&gt;"", COUNTIF($E$2:$E$370, E195)&gt;1), "SKU duplicado", ""), IF(OR(J195="", J195=""), "[Aviso] División no capturada ()", IF(ISNA(MATCH(J195, Criterios!$A$123:$A$126, 0)), "División no válida", "")), IF(OR(K195="", K195=""), "[Aviso] Categoría no capturada ()", IF(ISNA(MATCH(K195, Criterios!$A$81:$A$120, 0)), "Categoría no válida", IF(AND(J195&lt;&gt;"", J195&lt;&gt;"", J195&lt;&gt;VLOOKUP(K195, Criterios!$A$81:$B$120, 2, FALSE)), "División no coincide con Categoría", ""))), IF(OR(L195="", L195=""), "[Aviso] Género no capturado ()", IF(ISNA(MATCH(L195, Criterios!$B$123:$B$127, 0)), "Género no válido", "")), IF(OR(N195="", N195=""), "[Aviso] Temporada no capturada ()", IF(ISNA(MATCH(N195, Criterios!$C$123:$C$128, 0)), "Temporada no válida", "")), IF(OR(O195="", O195=""), "[Aviso] Ciclo de vida no capturado ()", IF(ISNA(MATCH(O195, Criterios!$D$123:$D$124, 0)), "Ciclo de vida no válido", ""))))</f>
        <v/>
      </c>
      <c r="AC195" s="56" t="n"/>
      <c r="AD195" s="51" t="n">
        <v>2</v>
      </c>
      <c r="AE195" s="156" t="inlineStr">
        <is>
          <t>Web (2); CL Muestras (1)</t>
        </is>
      </c>
      <c r="AF195" s="51" t="n">
        <v>3</v>
      </c>
      <c r="AG195" s="156" t="inlineStr">
        <is>
          <t>Nuevo – NetSuite con existencia</t>
        </is>
      </c>
      <c r="AH195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95" s="156" t="inlineStr">
        <is>
          <t>Sí</t>
        </is>
      </c>
      <c r="AJ195" s="156" t="inlineStr">
        <is>
          <t>CAPSLAB Warehouse (-1)</t>
        </is>
      </c>
      <c r="AK195" s="155" t="inlineStr">
        <is>
          <t>G1522ProductosTodosloscamposSandboxResults894.xlsx: fila 47928 [X]; G1522_Extraccion_Articulos_NetSuite_2026-09-30.xlsx: fila 30362 [Z]</t>
        </is>
      </c>
      <c r="AL195" s="58" t="n"/>
      <c r="AM195" s="58" t="n"/>
      <c r="AN195" s="155" t="n"/>
      <c r="AO195" s="59" t="n"/>
      <c r="AP195" s="59" t="n"/>
      <c r="AQ195" s="59" t="n"/>
      <c r="AR195" s="155" t="n"/>
    </row>
    <row r="196">
      <c r="A196" s="50" t="inlineStr">
        <is>
          <t>3614000980438</t>
        </is>
      </c>
      <c r="B196" s="51" t="inlineStr">
        <is>
          <t>57449</t>
        </is>
      </c>
      <c r="C196" s="156" t="inlineStr">
        <is>
          <t>CAPSLAB</t>
        </is>
      </c>
      <c r="D196" s="156" t="inlineStr">
        <is>
          <t>CL/LOO3/1/PEO1</t>
        </is>
      </c>
      <c r="E196" s="156" t="inlineStr">
        <is>
          <t>CL/LOO3/1/PEO1-UNI</t>
        </is>
      </c>
      <c r="F196" s="156" t="inlineStr">
        <is>
          <t>Talla única</t>
        </is>
      </c>
      <c r="G196" s="156" t="inlineStr">
        <is>
          <t>One Size</t>
        </is>
      </c>
      <c r="H196" s="156" t="inlineStr">
        <is>
          <t>CAPSLAB</t>
        </is>
      </c>
      <c r="I196" s="156" t="inlineStr">
        <is>
          <t>Gorra CAPSLAB Looney Tunes Gris</t>
        </is>
      </c>
      <c r="J196" s="156" t="inlineStr">
        <is>
          <t>Accesorios</t>
        </is>
      </c>
      <c r="K196" s="156" t="inlineStr">
        <is>
          <t>Gorras</t>
        </is>
      </c>
      <c r="L196" s="156" t="inlineStr">
        <is>
          <t>Unisex</t>
        </is>
      </c>
      <c r="M196" s="156" t="inlineStr">
        <is>
          <t>Looney Tunes</t>
        </is>
      </c>
      <c r="N196" s="156" t="n"/>
      <c r="O196" s="156" t="n"/>
      <c r="P196" s="156" t="inlineStr">
        <is>
          <t>Gris</t>
        </is>
      </c>
      <c r="Q196" s="156" t="n"/>
      <c r="R196" s="156" t="n"/>
      <c r="S196" s="156" t="inlineStr">
        <is>
          <t>Algodón / Poliéster</t>
        </is>
      </c>
      <c r="T196" s="156" t="inlineStr">
        <is>
          <t>Gorra de la marca CAPSLAB bajo licencia oficial Looney Tunes. Talla única ajustable. Estilo CL/LOO3/1/PEO1.</t>
        </is>
      </c>
      <c r="U196" s="156" t="n"/>
      <c r="V196" s="156" t="inlineStr">
        <is>
          <t>PZS</t>
        </is>
      </c>
      <c r="W196" s="51" t="inlineStr">
        <is>
          <t>53102516</t>
        </is>
      </c>
      <c r="X196" s="156" t="inlineStr">
        <is>
          <t>https://7913364.app.netsuite.com/core/media/media.nl?id=188357&amp;c=7913364&amp;h=QJ4V7k-kvkqxC7WrXtjIYlLEtsahL-S6vbfJlX1PCHAS-Dxw</t>
        </is>
      </c>
      <c r="Y196" s="54" t="n">
        <v>8.5</v>
      </c>
      <c r="Z196" s="54" t="n">
        <v>699</v>
      </c>
      <c r="AA196" s="55">
        <f>IF(AND(A196="", B196="", E196=""), "", IF(AB196="", "Válido", IF((LEN(AB196)-LEN(SUBSTITUTE(AB196,"; ","")))/2+1&gt;(LEN(AB196)-LEN(SUBSTITUTE(AB196,"[Aviso]","")))/7, "Con Incidencias", "Válido")))</f>
        <v/>
      </c>
      <c r="AB196" s="56">
        <f>IF(AND(A196="", B196="", E196=""), "", TEXTJOIN("; ", TRUE, IF(OR(TRIM(A196&amp;"")="", ISNUMBER(SEARCH("FALTA", A196))), "UPC faltante/inválido", ""), IF(AND(A196&lt;&gt;"", IFERROR(_xlfn.XMATCH(A196,$A$2:$A$370,0,1)&lt;&gt;_xlfn.XMATCH(A196,$A$2:$A$370,0,-1),FALSE)), "Código de barras duplicado", ""), IF(AND(E196&lt;&gt;"", COUNTIF($E$2:$E$370, E196)&gt;1), "SKU duplicado", ""), IF(OR(J196="", J196=""), "[Aviso] División no capturada ()", IF(ISNA(MATCH(J196, Criterios!$A$123:$A$126, 0)), "División no válida", "")), IF(OR(K196="", K196=""), "[Aviso] Categoría no capturada ()", IF(ISNA(MATCH(K196, Criterios!$A$81:$A$120, 0)), "Categoría no válida", IF(AND(J196&lt;&gt;"", J196&lt;&gt;"", J196&lt;&gt;VLOOKUP(K196, Criterios!$A$81:$B$120, 2, FALSE)), "División no coincide con Categoría", ""))), IF(OR(L196="", L196=""), "[Aviso] Género no capturado ()", IF(ISNA(MATCH(L196, Criterios!$B$123:$B$127, 0)), "Género no válido", "")), IF(OR(N196="", N196=""), "[Aviso] Temporada no capturada ()", IF(ISNA(MATCH(N196, Criterios!$C$123:$C$128, 0)), "Temporada no válida", "")), IF(OR(O196="", O196=""), "[Aviso] Ciclo de vida no capturado ()", IF(ISNA(MATCH(O196, Criterios!$D$123:$D$124, 0)), "Ciclo de vida no válido", ""))))</f>
        <v/>
      </c>
      <c r="AC196" s="56" t="n"/>
      <c r="AD196" s="51" t="n">
        <v>0</v>
      </c>
      <c r="AE196" s="156" t="n"/>
      <c r="AF196" s="51" t="n">
        <v>0</v>
      </c>
      <c r="AG196" s="156" t="inlineStr">
        <is>
          <t>Nuevo – NetSuite sin existencia</t>
        </is>
      </c>
      <c r="AH196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96" s="156" t="inlineStr">
        <is>
          <t>No</t>
        </is>
      </c>
      <c r="AJ196" s="156" t="n"/>
      <c r="AK196" s="155" t="inlineStr">
        <is>
          <t>G1522ProductosTodosloscamposSandboxResults894.xlsx: fila 47930 [Y]; G1522_Extraccion_Articulos_NetSuite_2026-09-30.xlsx: fila 20831 [Z]</t>
        </is>
      </c>
      <c r="AL196" s="58" t="n">
        <v>8.5</v>
      </c>
      <c r="AM196" s="58" t="n"/>
      <c r="AN196" s="155" t="n"/>
      <c r="AO196" s="59" t="n"/>
      <c r="AP196" s="59" t="n"/>
      <c r="AQ196" s="59" t="n"/>
      <c r="AR196" s="155" t="n"/>
    </row>
    <row r="197">
      <c r="A197" s="50" t="inlineStr">
        <is>
          <t>3614000980452</t>
        </is>
      </c>
      <c r="B197" s="51" t="inlineStr">
        <is>
          <t>57442</t>
        </is>
      </c>
      <c r="C197" s="156" t="inlineStr">
        <is>
          <t>CAPSLAB</t>
        </is>
      </c>
      <c r="D197" s="156" t="inlineStr">
        <is>
          <t>CL/LOO3/1/RIN1</t>
        </is>
      </c>
      <c r="E197" s="156" t="inlineStr">
        <is>
          <t>CL/LOO3/1/RIN1-UNI</t>
        </is>
      </c>
      <c r="F197" s="156" t="inlineStr">
        <is>
          <t>Talla única</t>
        </is>
      </c>
      <c r="G197" s="156" t="inlineStr">
        <is>
          <t>One Size</t>
        </is>
      </c>
      <c r="H197" s="156" t="inlineStr">
        <is>
          <t>CAPSLAB</t>
        </is>
      </c>
      <c r="I197" s="156" t="inlineStr">
        <is>
          <t>Gorra CAPSLAB Looney Tunes Gris</t>
        </is>
      </c>
      <c r="J197" s="156" t="inlineStr">
        <is>
          <t>Accesorios</t>
        </is>
      </c>
      <c r="K197" s="156" t="inlineStr">
        <is>
          <t>Gorras</t>
        </is>
      </c>
      <c r="L197" s="156" t="inlineStr">
        <is>
          <t>Unisex</t>
        </is>
      </c>
      <c r="M197" s="156" t="inlineStr">
        <is>
          <t>Looney Tunes</t>
        </is>
      </c>
      <c r="N197" s="156" t="n"/>
      <c r="O197" s="156" t="n"/>
      <c r="P197" s="156" t="inlineStr">
        <is>
          <t>Gris</t>
        </is>
      </c>
      <c r="Q197" s="156" t="n"/>
      <c r="R197" s="156" t="n"/>
      <c r="S197" s="156" t="inlineStr">
        <is>
          <t>Algodón / Poliéster</t>
        </is>
      </c>
      <c r="T197" s="156" t="inlineStr">
        <is>
          <t>Gorra de la marca CAPSLAB bajo licencia oficial Looney Tunes. Talla única ajustable. Estilo CL/LOO3/1/RIN1.</t>
        </is>
      </c>
      <c r="U197" s="156" t="n"/>
      <c r="V197" s="156" t="inlineStr">
        <is>
          <t>PZS</t>
        </is>
      </c>
      <c r="W197" s="51" t="inlineStr">
        <is>
          <t>53102516</t>
        </is>
      </c>
      <c r="X197" s="156" t="inlineStr">
        <is>
          <t>https://7913364.app.netsuite.com/core/media/media.nl?id=188317&amp;c=7913364&amp;h=DnZj5-okp77CFjxPH1YbVNpL23GX1tEmrom6kPCaDy3GKRGW</t>
        </is>
      </c>
      <c r="Y197" s="54" t="n">
        <v>8.5</v>
      </c>
      <c r="Z197" s="54" t="n">
        <v>699</v>
      </c>
      <c r="AA197" s="55">
        <f>IF(AND(A197="", B197="", E197=""), "", IF(AB197="", "Válido", IF((LEN(AB197)-LEN(SUBSTITUTE(AB197,"; ","")))/2+1&gt;(LEN(AB197)-LEN(SUBSTITUTE(AB197,"[Aviso]","")))/7, "Con Incidencias", "Válido")))</f>
        <v/>
      </c>
      <c r="AB197" s="56">
        <f>IF(AND(A197="", B197="", E197=""), "", TEXTJOIN("; ", TRUE, IF(OR(TRIM(A197&amp;"")="", ISNUMBER(SEARCH("FALTA", A197))), "UPC faltante/inválido", ""), IF(AND(A197&lt;&gt;"", IFERROR(_xlfn.XMATCH(A197,$A$2:$A$370,0,1)&lt;&gt;_xlfn.XMATCH(A197,$A$2:$A$370,0,-1),FALSE)), "Código de barras duplicado", ""), IF(AND(E197&lt;&gt;"", COUNTIF($E$2:$E$370, E197)&gt;1), "SKU duplicado", ""), IF(OR(J197="", J197=""), "[Aviso] División no capturada ()", IF(ISNA(MATCH(J197, Criterios!$A$123:$A$126, 0)), "División no válida", "")), IF(OR(K197="", K197=""), "[Aviso] Categoría no capturada ()", IF(ISNA(MATCH(K197, Criterios!$A$81:$A$120, 0)), "Categoría no válida", IF(AND(J197&lt;&gt;"", J197&lt;&gt;"", J197&lt;&gt;VLOOKUP(K197, Criterios!$A$81:$B$120, 2, FALSE)), "División no coincide con Categoría", ""))), IF(OR(L197="", L197=""), "[Aviso] Género no capturado ()", IF(ISNA(MATCH(L197, Criterios!$B$123:$B$127, 0)), "Género no válido", "")), IF(OR(N197="", N197=""), "[Aviso] Temporada no capturada ()", IF(ISNA(MATCH(N197, Criterios!$C$123:$C$128, 0)), "Temporada no válida", "")), IF(OR(O197="", O197=""), "[Aviso] Ciclo de vida no capturado ()", IF(ISNA(MATCH(O197, Criterios!$D$123:$D$124, 0)), "Ciclo de vida no válido", ""))))</f>
        <v/>
      </c>
      <c r="AC197" s="56" t="n"/>
      <c r="AD197" s="51" t="n">
        <v>7</v>
      </c>
      <c r="AE197" s="156" t="inlineStr">
        <is>
          <t>Web (1); CL Muestras (2); CAPSLAB Warehouse (4)</t>
        </is>
      </c>
      <c r="AF197" s="51" t="n">
        <v>7</v>
      </c>
      <c r="AG197" s="156" t="inlineStr">
        <is>
          <t>Nuevo – NetSuite con existencia</t>
        </is>
      </c>
      <c r="AH19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97" s="156" t="inlineStr">
        <is>
          <t>No</t>
        </is>
      </c>
      <c r="AJ197" s="156" t="n"/>
      <c r="AK197" s="155" t="inlineStr">
        <is>
          <t>G1522ProductosTodosloscamposSandboxResults894.xlsx: fila 47932 [Y]; G1522_Extraccion_Articulos_NetSuite_2026-09-30.xlsx: fila 20824 [Z]</t>
        </is>
      </c>
      <c r="AL197" s="58" t="n">
        <v>8.5</v>
      </c>
      <c r="AM197" s="58" t="n"/>
      <c r="AN197" s="155" t="n"/>
      <c r="AO197" s="59" t="n"/>
      <c r="AP197" s="59" t="n"/>
      <c r="AQ197" s="59" t="n"/>
      <c r="AR197" s="155" t="n"/>
    </row>
    <row r="198">
      <c r="A198" s="50" t="inlineStr">
        <is>
          <t>3614000980469</t>
        </is>
      </c>
      <c r="B198" s="51" t="inlineStr">
        <is>
          <t>57407</t>
        </is>
      </c>
      <c r="C198" s="156" t="inlineStr">
        <is>
          <t>CAPSLAB</t>
        </is>
      </c>
      <c r="D198" s="156" t="inlineStr">
        <is>
          <t>CL/LOO3/1/TAZ1</t>
        </is>
      </c>
      <c r="E198" s="156" t="inlineStr">
        <is>
          <t>CL/LOO3/1/TAZ1-UNI</t>
        </is>
      </c>
      <c r="F198" s="156" t="inlineStr">
        <is>
          <t>Talla única</t>
        </is>
      </c>
      <c r="G198" s="156" t="inlineStr">
        <is>
          <t>One Size</t>
        </is>
      </c>
      <c r="H198" s="156" t="inlineStr">
        <is>
          <t>CAPSLAB</t>
        </is>
      </c>
      <c r="I198" s="156" t="inlineStr">
        <is>
          <t>Gorra CAPSLAB Looney Tunes Taz Rojo</t>
        </is>
      </c>
      <c r="J198" s="156" t="inlineStr">
        <is>
          <t>Accesorios</t>
        </is>
      </c>
      <c r="K198" s="156" t="inlineStr">
        <is>
          <t>Gorras</t>
        </is>
      </c>
      <c r="L198" s="156" t="inlineStr">
        <is>
          <t>Unisex</t>
        </is>
      </c>
      <c r="M198" s="156" t="inlineStr">
        <is>
          <t>Looney Tunes</t>
        </is>
      </c>
      <c r="N198" s="156" t="n"/>
      <c r="O198" s="156" t="n"/>
      <c r="P198" s="156" t="inlineStr">
        <is>
          <t>Rojo</t>
        </is>
      </c>
      <c r="Q198" s="156" t="n"/>
      <c r="R198" s="156" t="n"/>
      <c r="S198" s="156" t="inlineStr">
        <is>
          <t>Algodón / Poliéster</t>
        </is>
      </c>
      <c r="T198" s="156" t="inlineStr">
        <is>
          <t>Gorra de la marca CAPSLAB bajo licencia oficial Looney Tunes, personaje Taz. Talla única ajustable. Estilo CL/LOO3/1/TAZ1.</t>
        </is>
      </c>
      <c r="U198" s="156" t="n"/>
      <c r="V198" s="156" t="inlineStr">
        <is>
          <t>PZS</t>
        </is>
      </c>
      <c r="W198" s="51" t="inlineStr">
        <is>
          <t>53102516</t>
        </is>
      </c>
      <c r="X198" s="156" t="inlineStr">
        <is>
          <t>https://7913364.app.netsuite.com/core/media/media.nl?id=188282&amp;c=7913364&amp;h=6BdLoY4E3JnPCDyJr2e92DBThe3EoJEBDGuH9yQhVm5PgOLK</t>
        </is>
      </c>
      <c r="Y198" s="54" t="n">
        <v>8.5</v>
      </c>
      <c r="Z198" s="54" t="n">
        <v>699</v>
      </c>
      <c r="AA198" s="55">
        <f>IF(AND(A198="", B198="", E198=""), "", IF(AB198="", "Válido", IF((LEN(AB198)-LEN(SUBSTITUTE(AB198,"; ","")))/2+1&gt;(LEN(AB198)-LEN(SUBSTITUTE(AB198,"[Aviso]","")))/7, "Con Incidencias", "Válido")))</f>
        <v/>
      </c>
      <c r="AB198" s="56">
        <f>IF(AND(A198="", B198="", E198=""), "", TEXTJOIN("; ", TRUE, IF(OR(TRIM(A198&amp;"")="", ISNUMBER(SEARCH("FALTA", A198))), "UPC faltante/inválido", ""), IF(AND(A198&lt;&gt;"", IFERROR(_xlfn.XMATCH(A198,$A$2:$A$370,0,1)&lt;&gt;_xlfn.XMATCH(A198,$A$2:$A$370,0,-1),FALSE)), "Código de barras duplicado", ""), IF(AND(E198&lt;&gt;"", COUNTIF($E$2:$E$370, E198)&gt;1), "SKU duplicado", ""), IF(OR(J198="", J198=""), "[Aviso] División no capturada ()", IF(ISNA(MATCH(J198, Criterios!$A$123:$A$126, 0)), "División no válida", "")), IF(OR(K198="", K198=""), "[Aviso] Categoría no capturada ()", IF(ISNA(MATCH(K198, Criterios!$A$81:$A$120, 0)), "Categoría no válida", IF(AND(J198&lt;&gt;"", J198&lt;&gt;"", J198&lt;&gt;VLOOKUP(K198, Criterios!$A$81:$B$120, 2, FALSE)), "División no coincide con Categoría", ""))), IF(OR(L198="", L198=""), "[Aviso] Género no capturado ()", IF(ISNA(MATCH(L198, Criterios!$B$123:$B$127, 0)), "Género no válido", "")), IF(OR(N198="", N198=""), "[Aviso] Temporada no capturada ()", IF(ISNA(MATCH(N198, Criterios!$C$123:$C$128, 0)), "Temporada no válida", "")), IF(OR(O198="", O198=""), "[Aviso] Ciclo de vida no capturado ()", IF(ISNA(MATCH(O198, Criterios!$D$123:$D$124, 0)), "Ciclo de vida no válido", ""))))</f>
        <v/>
      </c>
      <c r="AC198" s="56" t="n"/>
      <c r="AD198" s="51" t="n">
        <v>2</v>
      </c>
      <c r="AE198" s="156" t="inlineStr">
        <is>
          <t>Web (2)</t>
        </is>
      </c>
      <c r="AF198" s="51" t="n">
        <v>2</v>
      </c>
      <c r="AG198" s="156" t="inlineStr">
        <is>
          <t>Nuevo – NetSuite con existencia</t>
        </is>
      </c>
      <c r="AH19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98" s="156" t="inlineStr">
        <is>
          <t>No</t>
        </is>
      </c>
      <c r="AJ198" s="156" t="n"/>
      <c r="AK198" s="155" t="inlineStr">
        <is>
          <t>G1522ProductosTodosloscamposSandboxResults894.xlsx: fila 47934 [Y]; G1522_Extraccion_Articulos_NetSuite_2026-09-30.xlsx: fila 20789 [Z]</t>
        </is>
      </c>
      <c r="AL198" s="58" t="n">
        <v>8.5</v>
      </c>
      <c r="AM198" s="58" t="n"/>
      <c r="AN198" s="155" t="n"/>
      <c r="AO198" s="59" t="n"/>
      <c r="AP198" s="59" t="n"/>
      <c r="AQ198" s="59" t="n"/>
      <c r="AR198" s="155" t="n"/>
    </row>
    <row r="199">
      <c r="A199" s="50" t="inlineStr">
        <is>
          <t>3614001104895</t>
        </is>
      </c>
      <c r="B199" s="51" t="inlineStr">
        <is>
          <t>69633</t>
        </is>
      </c>
      <c r="C199" s="156" t="inlineStr">
        <is>
          <t>CAPSLAB</t>
        </is>
      </c>
      <c r="D199" s="156" t="inlineStr">
        <is>
          <t>CL/LOO4/1/BUG1</t>
        </is>
      </c>
      <c r="E199" s="156" t="inlineStr">
        <is>
          <t>CL/LOO4/1/BUG1-UNI</t>
        </is>
      </c>
      <c r="F199" s="156" t="inlineStr">
        <is>
          <t>Talla única</t>
        </is>
      </c>
      <c r="G199" s="156" t="inlineStr">
        <is>
          <t>One Size</t>
        </is>
      </c>
      <c r="H199" s="156" t="inlineStr">
        <is>
          <t>CAPSLAB</t>
        </is>
      </c>
      <c r="I199" s="156" t="inlineStr">
        <is>
          <t>Gorra CAPSLAB Looney Tunes Bugs Bunny</t>
        </is>
      </c>
      <c r="J199" s="156" t="inlineStr">
        <is>
          <t>Accesorios</t>
        </is>
      </c>
      <c r="K199" s="156" t="inlineStr">
        <is>
          <t>Gorras</t>
        </is>
      </c>
      <c r="L199" s="156" t="inlineStr">
        <is>
          <t>Unisex</t>
        </is>
      </c>
      <c r="M199" s="156" t="inlineStr">
        <is>
          <t>Looney Tunes</t>
        </is>
      </c>
      <c r="N199" s="156" t="n"/>
      <c r="O199" s="156" t="n"/>
      <c r="P199" s="156" t="n"/>
      <c r="Q199" s="156" t="n"/>
      <c r="R199" s="156" t="n"/>
      <c r="S199" s="156" t="inlineStr">
        <is>
          <t>Algodón / Poliéster</t>
        </is>
      </c>
      <c r="T199" s="156" t="inlineStr">
        <is>
          <t>Gorra de la marca CAPSLAB bajo licencia oficial Looney Tunes, personaje Bugs Bunny. Talla única ajustable. Estilo CL/LOO4/1/BUG1.</t>
        </is>
      </c>
      <c r="U199" s="156" t="n"/>
      <c r="V199" s="156" t="inlineStr">
        <is>
          <t>PZS</t>
        </is>
      </c>
      <c r="W199" s="51" t="inlineStr">
        <is>
          <t>53102516</t>
        </is>
      </c>
      <c r="X199" s="156" t="inlineStr">
        <is>
          <t>https://i.ibb.co/H7hKqZJ/CLLOO41-BUG1.jpg</t>
        </is>
      </c>
      <c r="Y199" s="54" t="n"/>
      <c r="Z199" s="54" t="n">
        <v>699</v>
      </c>
      <c r="AA199" s="55">
        <f>IF(AND(A199="", B199="", E199=""), "", IF(AB199="", "Válido", IF((LEN(AB199)-LEN(SUBSTITUTE(AB199,"; ","")))/2+1&gt;(LEN(AB199)-LEN(SUBSTITUTE(AB199,"[Aviso]","")))/7, "Con Incidencias", "Válido")))</f>
        <v/>
      </c>
      <c r="AB199" s="56">
        <f>IF(AND(A199="", B199="", E199=""), "", TEXTJOIN("; ", TRUE, IF(OR(TRIM(A199&amp;"")="", ISNUMBER(SEARCH("FALTA", A199))), "UPC faltante/inválido", ""), IF(AND(A199&lt;&gt;"", IFERROR(_xlfn.XMATCH(A199,$A$2:$A$370,0,1)&lt;&gt;_xlfn.XMATCH(A199,$A$2:$A$370,0,-1),FALSE)), "Código de barras duplicado", ""), IF(AND(E199&lt;&gt;"", COUNTIF($E$2:$E$370, E199)&gt;1), "SKU duplicado", ""), IF(OR(J199="", J199=""), "[Aviso] División no capturada ()", IF(ISNA(MATCH(J199, Criterios!$A$123:$A$126, 0)), "División no válida", "")), IF(OR(K199="", K199=""), "[Aviso] Categoría no capturada ()", IF(ISNA(MATCH(K199, Criterios!$A$81:$A$120, 0)), "Categoría no válida", IF(AND(J199&lt;&gt;"", J199&lt;&gt;"", J199&lt;&gt;VLOOKUP(K199, Criterios!$A$81:$B$120, 2, FALSE)), "División no coincide con Categoría", ""))), IF(OR(L199="", L199=""), "[Aviso] Género no capturado ()", IF(ISNA(MATCH(L199, Criterios!$B$123:$B$127, 0)), "Género no válido", "")), IF(OR(N199="", N199=""), "[Aviso] Temporada no capturada ()", IF(ISNA(MATCH(N199, Criterios!$C$123:$C$128, 0)), "Temporada no válida", "")), IF(OR(O199="", O199=""), "[Aviso] Ciclo de vida no capturado ()", IF(ISNA(MATCH(O199, Criterios!$D$123:$D$124, 0)), "Ciclo de vida no válido", ""))))</f>
        <v/>
      </c>
      <c r="AC199" s="56" t="n"/>
      <c r="AD199" s="51" t="n">
        <v>15</v>
      </c>
      <c r="AE199" s="156" t="inlineStr">
        <is>
          <t>CAPSLAB Warehouse (13); Web (1); CL Muestras (1)</t>
        </is>
      </c>
      <c r="AF199" s="51" t="n">
        <v>15</v>
      </c>
      <c r="AG199" s="156" t="inlineStr">
        <is>
          <t>Nuevo – NetSuite con existencia</t>
        </is>
      </c>
      <c r="AH199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199" s="156" t="inlineStr">
        <is>
          <t>No</t>
        </is>
      </c>
      <c r="AJ199" s="156" t="n"/>
      <c r="AK199" s="155" t="inlineStr">
        <is>
          <t>G1522ProductosTodosloscamposSandboxResults894.xlsx: fila 47936 [X]; G1522_Extraccion_Articulos_NetSuite_2026-09-30.xlsx: fila 30363 [Z]</t>
        </is>
      </c>
      <c r="AL199" s="58" t="n"/>
      <c r="AM199" s="58" t="n"/>
      <c r="AN199" s="155" t="n"/>
      <c r="AO199" s="59" t="n"/>
      <c r="AP199" s="59" t="n"/>
      <c r="AQ199" s="59" t="n"/>
      <c r="AR199" s="155" t="n"/>
    </row>
    <row r="200">
      <c r="A200" s="50" t="inlineStr">
        <is>
          <t>3614001104901</t>
        </is>
      </c>
      <c r="B200" s="51" t="inlineStr">
        <is>
          <t>69634</t>
        </is>
      </c>
      <c r="C200" s="156" t="inlineStr">
        <is>
          <t>CAPSLAB</t>
        </is>
      </c>
      <c r="D200" s="156" t="inlineStr">
        <is>
          <t>CL/LOO4/1/COY1</t>
        </is>
      </c>
      <c r="E200" s="156" t="inlineStr">
        <is>
          <t>CL/LOO4/1/COY1-UNI</t>
        </is>
      </c>
      <c r="F200" s="156" t="inlineStr">
        <is>
          <t>Talla única</t>
        </is>
      </c>
      <c r="G200" s="156" t="inlineStr">
        <is>
          <t>One Size</t>
        </is>
      </c>
      <c r="H200" s="156" t="inlineStr">
        <is>
          <t>CAPSLAB</t>
        </is>
      </c>
      <c r="I200" s="156" t="inlineStr">
        <is>
          <t>Gorra CAPSLAB Looney Tunes Coyote</t>
        </is>
      </c>
      <c r="J200" s="156" t="inlineStr">
        <is>
          <t>Accesorios</t>
        </is>
      </c>
      <c r="K200" s="156" t="inlineStr">
        <is>
          <t>Gorras</t>
        </is>
      </c>
      <c r="L200" s="156" t="inlineStr">
        <is>
          <t>Unisex</t>
        </is>
      </c>
      <c r="M200" s="156" t="inlineStr">
        <is>
          <t>Looney Tunes</t>
        </is>
      </c>
      <c r="N200" s="156" t="n"/>
      <c r="O200" s="156" t="n"/>
      <c r="P200" s="156" t="n"/>
      <c r="Q200" s="156" t="n"/>
      <c r="R200" s="156" t="n"/>
      <c r="S200" s="156" t="inlineStr">
        <is>
          <t>Algodón / Poliéster</t>
        </is>
      </c>
      <c r="T200" s="156" t="inlineStr">
        <is>
          <t>Gorra de la marca CAPSLAB bajo licencia oficial Looney Tunes, personaje Coyote. Talla única ajustable. Estilo CL/LOO4/1/COY1.</t>
        </is>
      </c>
      <c r="U200" s="156" t="n"/>
      <c r="V200" s="156" t="inlineStr">
        <is>
          <t>PZS</t>
        </is>
      </c>
      <c r="W200" s="51" t="inlineStr">
        <is>
          <t>53102516</t>
        </is>
      </c>
      <c r="X200" s="156" t="inlineStr">
        <is>
          <t>https://i.ibb.co/kgTBfPR/CLLOO41-COY1.jpg</t>
        </is>
      </c>
      <c r="Y200" s="54" t="n"/>
      <c r="Z200" s="54" t="n">
        <v>699</v>
      </c>
      <c r="AA200" s="55">
        <f>IF(AND(A200="", B200="", E200=""), "", IF(AB200="", "Válido", IF((LEN(AB200)-LEN(SUBSTITUTE(AB200,"; ","")))/2+1&gt;(LEN(AB200)-LEN(SUBSTITUTE(AB200,"[Aviso]","")))/7, "Con Incidencias", "Válido")))</f>
        <v/>
      </c>
      <c r="AB200" s="56">
        <f>IF(AND(A200="", B200="", E200=""), "", TEXTJOIN("; ", TRUE, IF(OR(TRIM(A200&amp;"")="", ISNUMBER(SEARCH("FALTA", A200))), "UPC faltante/inválido", ""), IF(AND(A200&lt;&gt;"", IFERROR(_xlfn.XMATCH(A200,$A$2:$A$370,0,1)&lt;&gt;_xlfn.XMATCH(A200,$A$2:$A$370,0,-1),FALSE)), "Código de barras duplicado", ""), IF(AND(E200&lt;&gt;"", COUNTIF($E$2:$E$370, E200)&gt;1), "SKU duplicado", ""), IF(OR(J200="", J200=""), "[Aviso] División no capturada ()", IF(ISNA(MATCH(J200, Criterios!$A$123:$A$126, 0)), "División no válida", "")), IF(OR(K200="", K200=""), "[Aviso] Categoría no capturada ()", IF(ISNA(MATCH(K200, Criterios!$A$81:$A$120, 0)), "Categoría no válida", IF(AND(J200&lt;&gt;"", J200&lt;&gt;"", J200&lt;&gt;VLOOKUP(K200, Criterios!$A$81:$B$120, 2, FALSE)), "División no coincide con Categoría", ""))), IF(OR(L200="", L200=""), "[Aviso] Género no capturado ()", IF(ISNA(MATCH(L200, Criterios!$B$123:$B$127, 0)), "Género no válido", "")), IF(OR(N200="", N200=""), "[Aviso] Temporada no capturada ()", IF(ISNA(MATCH(N200, Criterios!$C$123:$C$128, 0)), "Temporada no válida", "")), IF(OR(O200="", O200=""), "[Aviso] Ciclo de vida no capturado ()", IF(ISNA(MATCH(O200, Criterios!$D$123:$D$124, 0)), "Ciclo de vida no válido", ""))))</f>
        <v/>
      </c>
      <c r="AC200" s="56" t="n"/>
      <c r="AD200" s="51" t="n">
        <v>6</v>
      </c>
      <c r="AE200" s="156" t="inlineStr">
        <is>
          <t>CAPSLAB Warehouse (6)</t>
        </is>
      </c>
      <c r="AF200" s="51" t="n">
        <v>6</v>
      </c>
      <c r="AG200" s="156" t="inlineStr">
        <is>
          <t>Nuevo – NetSuite con existencia</t>
        </is>
      </c>
      <c r="AH200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00" s="156" t="inlineStr">
        <is>
          <t>No</t>
        </is>
      </c>
      <c r="AJ200" s="156" t="n"/>
      <c r="AK200" s="155" t="inlineStr">
        <is>
          <t>G1522ProductosTodosloscamposSandboxResults894.xlsx: fila 47938 [X]; G1522_Extraccion_Articulos_NetSuite_2026-09-30.xlsx: fila 30364 [Z]</t>
        </is>
      </c>
      <c r="AL200" s="58" t="n"/>
      <c r="AM200" s="58" t="n"/>
      <c r="AN200" s="155" t="n"/>
      <c r="AO200" s="59" t="n"/>
      <c r="AP200" s="59" t="n"/>
      <c r="AQ200" s="59" t="n"/>
      <c r="AR200" s="155" t="n"/>
    </row>
    <row r="201">
      <c r="A201" s="50" t="inlineStr">
        <is>
          <t>3614001104925</t>
        </is>
      </c>
      <c r="B201" s="51" t="inlineStr">
        <is>
          <t>57408</t>
        </is>
      </c>
      <c r="C201" s="156" t="inlineStr">
        <is>
          <t>CAPSLAB</t>
        </is>
      </c>
      <c r="D201" s="156" t="inlineStr">
        <is>
          <t>CL/LOO4/1/DUF1</t>
        </is>
      </c>
      <c r="E201" s="156" t="inlineStr">
        <is>
          <t>CL/LOO4/1/DUF1-UNI</t>
        </is>
      </c>
      <c r="F201" s="156" t="inlineStr">
        <is>
          <t>Talla única</t>
        </is>
      </c>
      <c r="G201" s="156" t="inlineStr">
        <is>
          <t>One Size</t>
        </is>
      </c>
      <c r="H201" s="156" t="inlineStr">
        <is>
          <t>CAPSLAB</t>
        </is>
      </c>
      <c r="I201" s="156" t="inlineStr">
        <is>
          <t>Gorra CAPSLAB Looney Tunes Amarillo</t>
        </is>
      </c>
      <c r="J201" s="156" t="inlineStr">
        <is>
          <t>Accesorios</t>
        </is>
      </c>
      <c r="K201" s="156" t="inlineStr">
        <is>
          <t>Gorras</t>
        </is>
      </c>
      <c r="L201" s="156" t="inlineStr">
        <is>
          <t>Unisex</t>
        </is>
      </c>
      <c r="M201" s="156" t="inlineStr">
        <is>
          <t>Looney Tunes</t>
        </is>
      </c>
      <c r="N201" s="156" t="n"/>
      <c r="O201" s="156" t="n"/>
      <c r="P201" s="156" t="inlineStr">
        <is>
          <t>Amarillo</t>
        </is>
      </c>
      <c r="Q201" s="156" t="n"/>
      <c r="R201" s="156" t="n"/>
      <c r="S201" s="156" t="inlineStr">
        <is>
          <t>Algodón / Poliéster</t>
        </is>
      </c>
      <c r="T201" s="156" t="inlineStr">
        <is>
          <t>Gorra de la marca CAPSLAB bajo licencia oficial Looney Tunes. Talla única ajustable. Estilo CL/LOO4/1/DUF1.</t>
        </is>
      </c>
      <c r="U201" s="156" t="n"/>
      <c r="V201" s="156" t="inlineStr">
        <is>
          <t>PZS</t>
        </is>
      </c>
      <c r="W201" s="51" t="inlineStr">
        <is>
          <t>53102516</t>
        </is>
      </c>
      <c r="X201" s="156" t="inlineStr">
        <is>
          <t>https://7913364.app.netsuite.com/core/media/media.nl?id=188283&amp;c=7913364&amp;h=ZNd23qPyQDqmeWc0bhIutjDtUtI62K-BpsnzH7DuXnFWFlGt</t>
        </is>
      </c>
      <c r="Y201" s="54" t="n">
        <v>8.5</v>
      </c>
      <c r="Z201" s="54" t="n">
        <v>699</v>
      </c>
      <c r="AA201" s="55">
        <f>IF(AND(A201="", B201="", E201=""), "", IF(AB201="", "Válido", IF((LEN(AB201)-LEN(SUBSTITUTE(AB201,"; ","")))/2+1&gt;(LEN(AB201)-LEN(SUBSTITUTE(AB201,"[Aviso]","")))/7, "Con Incidencias", "Válido")))</f>
        <v/>
      </c>
      <c r="AB201" s="56">
        <f>IF(AND(A201="", B201="", E201=""), "", TEXTJOIN("; ", TRUE, IF(OR(TRIM(A201&amp;"")="", ISNUMBER(SEARCH("FALTA", A201))), "UPC faltante/inválido", ""), IF(AND(A201&lt;&gt;"", IFERROR(_xlfn.XMATCH(A201,$A$2:$A$370,0,1)&lt;&gt;_xlfn.XMATCH(A201,$A$2:$A$370,0,-1),FALSE)), "Código de barras duplicado", ""), IF(AND(E201&lt;&gt;"", COUNTIF($E$2:$E$370, E201)&gt;1), "SKU duplicado", ""), IF(OR(J201="", J201=""), "[Aviso] División no capturada ()", IF(ISNA(MATCH(J201, Criterios!$A$123:$A$126, 0)), "División no válida", "")), IF(OR(K201="", K201=""), "[Aviso] Categoría no capturada ()", IF(ISNA(MATCH(K201, Criterios!$A$81:$A$120, 0)), "Categoría no válida", IF(AND(J201&lt;&gt;"", J201&lt;&gt;"", J201&lt;&gt;VLOOKUP(K201, Criterios!$A$81:$B$120, 2, FALSE)), "División no coincide con Categoría", ""))), IF(OR(L201="", L201=""), "[Aviso] Género no capturado ()", IF(ISNA(MATCH(L201, Criterios!$B$123:$B$127, 0)), "Género no válido", "")), IF(OR(N201="", N201=""), "[Aviso] Temporada no capturada ()", IF(ISNA(MATCH(N201, Criterios!$C$123:$C$128, 0)), "Temporada no válida", "")), IF(OR(O201="", O201=""), "[Aviso] Ciclo de vida no capturado ()", IF(ISNA(MATCH(O201, Criterios!$D$123:$D$124, 0)), "Ciclo de vida no válido", ""))))</f>
        <v/>
      </c>
      <c r="AC201" s="56" t="n"/>
      <c r="AD201" s="51" t="n">
        <v>11</v>
      </c>
      <c r="AE201" s="156" t="inlineStr">
        <is>
          <t>CAPSLAB Warehouse (6); CL Muestras (2); CL POS (2); Web (1)</t>
        </is>
      </c>
      <c r="AF201" s="51" t="n">
        <v>11</v>
      </c>
      <c r="AG201" s="156" t="inlineStr">
        <is>
          <t>Nuevo – NetSuite con existencia</t>
        </is>
      </c>
      <c r="AH201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1" s="156" t="inlineStr">
        <is>
          <t>No</t>
        </is>
      </c>
      <c r="AJ201" s="156" t="n"/>
      <c r="AK201" s="155" t="inlineStr">
        <is>
          <t>G1522ProductosTodosloscamposSandboxResults894.xlsx: fila 47940 [Y]; G1522_Extraccion_Articulos_NetSuite_2026-09-30.xlsx: fila 20790 [Z]</t>
        </is>
      </c>
      <c r="AL201" s="58" t="n">
        <v>8.5</v>
      </c>
      <c r="AM201" s="58" t="n"/>
      <c r="AN201" s="155" t="n"/>
      <c r="AO201" s="59" t="n"/>
      <c r="AP201" s="59" t="n"/>
      <c r="AQ201" s="59" t="n"/>
      <c r="AR201" s="155" t="n"/>
    </row>
    <row r="202">
      <c r="A202" s="50" t="inlineStr">
        <is>
          <t>3614001297146</t>
        </is>
      </c>
      <c r="B202" s="51" t="inlineStr">
        <is>
          <t>57409</t>
        </is>
      </c>
      <c r="C202" s="156" t="inlineStr">
        <is>
          <t>CAPSLAB</t>
        </is>
      </c>
      <c r="D202" s="156" t="inlineStr">
        <is>
          <t>CL/LOO5/1/BUN1</t>
        </is>
      </c>
      <c r="E202" s="156" t="inlineStr">
        <is>
          <t>CL/LOO5/1/BUN1-UNI</t>
        </is>
      </c>
      <c r="F202" s="156" t="inlineStr">
        <is>
          <t>Talla única</t>
        </is>
      </c>
      <c r="G202" s="156" t="inlineStr">
        <is>
          <t>One Size</t>
        </is>
      </c>
      <c r="H202" s="156" t="inlineStr">
        <is>
          <t>CAPSLAB</t>
        </is>
      </c>
      <c r="I202" s="156" t="inlineStr">
        <is>
          <t>Gorra CAPSLAB Looney Tunes Gris</t>
        </is>
      </c>
      <c r="J202" s="156" t="inlineStr">
        <is>
          <t>Accesorios</t>
        </is>
      </c>
      <c r="K202" s="156" t="inlineStr">
        <is>
          <t>Gorras</t>
        </is>
      </c>
      <c r="L202" s="156" t="inlineStr">
        <is>
          <t>Unisex</t>
        </is>
      </c>
      <c r="M202" s="156" t="inlineStr">
        <is>
          <t>Looney Tunes</t>
        </is>
      </c>
      <c r="N202" s="156" t="n"/>
      <c r="O202" s="156" t="n"/>
      <c r="P202" s="156" t="inlineStr">
        <is>
          <t>Gris</t>
        </is>
      </c>
      <c r="Q202" s="156" t="n"/>
      <c r="R202" s="156" t="n"/>
      <c r="S202" s="156" t="inlineStr">
        <is>
          <t>Algodón / Poliéster</t>
        </is>
      </c>
      <c r="T202" s="156" t="inlineStr">
        <is>
          <t>Gorra de la marca CAPSLAB bajo licencia oficial Looney Tunes. Talla única ajustable. Estilo CL/LOO5/1/BUN1.</t>
        </is>
      </c>
      <c r="U202" s="156" t="n"/>
      <c r="V202" s="156" t="inlineStr">
        <is>
          <t>PZS</t>
        </is>
      </c>
      <c r="W202" s="51" t="inlineStr">
        <is>
          <t>53102516</t>
        </is>
      </c>
      <c r="X202" s="156" t="inlineStr">
        <is>
          <t>https://7913364.app.netsuite.com/core/media/media.nl?id=188284&amp;c=7913364&amp;h=upKAbiIP7nQGHgsCZFyfoyN90JR6Tfi2pCuOjBafC6ipCOKc</t>
        </is>
      </c>
      <c r="Y202" s="54" t="n">
        <v>8.5</v>
      </c>
      <c r="Z202" s="54" t="n">
        <v>699</v>
      </c>
      <c r="AA202" s="55">
        <f>IF(AND(A202="", B202="", E202=""), "", IF(AB202="", "Válido", IF((LEN(AB202)-LEN(SUBSTITUTE(AB202,"; ","")))/2+1&gt;(LEN(AB202)-LEN(SUBSTITUTE(AB202,"[Aviso]","")))/7, "Con Incidencias", "Válido")))</f>
        <v/>
      </c>
      <c r="AB202" s="56">
        <f>IF(AND(A202="", B202="", E202=""), "", TEXTJOIN("; ", TRUE, IF(OR(TRIM(A202&amp;"")="", ISNUMBER(SEARCH("FALTA", A202))), "UPC faltante/inválido", ""), IF(AND(A202&lt;&gt;"", IFERROR(_xlfn.XMATCH(A202,$A$2:$A$370,0,1)&lt;&gt;_xlfn.XMATCH(A202,$A$2:$A$370,0,-1),FALSE)), "Código de barras duplicado", ""), IF(AND(E202&lt;&gt;"", COUNTIF($E$2:$E$370, E202)&gt;1), "SKU duplicado", ""), IF(OR(J202="", J202=""), "[Aviso] División no capturada ()", IF(ISNA(MATCH(J202, Criterios!$A$123:$A$126, 0)), "División no válida", "")), IF(OR(K202="", K202=""), "[Aviso] Categoría no capturada ()", IF(ISNA(MATCH(K202, Criterios!$A$81:$A$120, 0)), "Categoría no válida", IF(AND(J202&lt;&gt;"", J202&lt;&gt;"", J202&lt;&gt;VLOOKUP(K202, Criterios!$A$81:$B$120, 2, FALSE)), "División no coincide con Categoría", ""))), IF(OR(L202="", L202=""), "[Aviso] Género no capturado ()", IF(ISNA(MATCH(L202, Criterios!$B$123:$B$127, 0)), "Género no válido", "")), IF(OR(N202="", N202=""), "[Aviso] Temporada no capturada ()", IF(ISNA(MATCH(N202, Criterios!$C$123:$C$128, 0)), "Temporada no válida", "")), IF(OR(O202="", O202=""), "[Aviso] Ciclo de vida no capturado ()", IF(ISNA(MATCH(O202, Criterios!$D$123:$D$124, 0)), "Ciclo de vida no válido", ""))))</f>
        <v/>
      </c>
      <c r="AC202" s="56" t="n"/>
      <c r="AD202" s="51" t="n">
        <v>6</v>
      </c>
      <c r="AE202" s="156" t="inlineStr">
        <is>
          <t>CL Muestras (1); Web (3)</t>
        </is>
      </c>
      <c r="AF202" s="51" t="n">
        <v>6</v>
      </c>
      <c r="AG202" s="156" t="inlineStr">
        <is>
          <t>Nuevo – NetSuite con existencia</t>
        </is>
      </c>
      <c r="AH202" s="156" t="inlineStr">
        <is>
          <t>Composición CAPSLAB varía por modelo (50/50, 40/60 o 100% poliéster): validar etiqueta; Físico total NetSuite 6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2" s="156" t="inlineStr">
        <is>
          <t>No</t>
        </is>
      </c>
      <c r="AJ202" s="156" t="n"/>
      <c r="AK202" s="155" t="inlineStr">
        <is>
          <t>G1522ProductosTodosloscamposSandboxResults894.xlsx: fila 47942 [Y]; G1522_Extraccion_Articulos_NetSuite_2026-09-30.xlsx: fila 20791 [Z]</t>
        </is>
      </c>
      <c r="AL202" s="58" t="n">
        <v>8.5</v>
      </c>
      <c r="AM202" s="58" t="n"/>
      <c r="AN202" s="155" t="n"/>
      <c r="AO202" s="59" t="n"/>
      <c r="AP202" s="59" t="n"/>
      <c r="AQ202" s="59" t="n"/>
      <c r="AR202" s="155" t="n"/>
    </row>
    <row r="203">
      <c r="A203" s="50" t="inlineStr">
        <is>
          <t>3614001297177</t>
        </is>
      </c>
      <c r="B203" s="51" t="inlineStr">
        <is>
          <t>57410</t>
        </is>
      </c>
      <c r="C203" s="156" t="inlineStr">
        <is>
          <t>CAPSLAB</t>
        </is>
      </c>
      <c r="D203" s="156" t="inlineStr">
        <is>
          <t>CL/LOO5/1/COY2</t>
        </is>
      </c>
      <c r="E203" s="156" t="inlineStr">
        <is>
          <t>CL/LOO5/1/COY2-UNI:</t>
        </is>
      </c>
      <c r="F203" s="156" t="inlineStr">
        <is>
          <t>Talla única</t>
        </is>
      </c>
      <c r="G203" s="156" t="inlineStr">
        <is>
          <t>One Size</t>
        </is>
      </c>
      <c r="H203" s="156" t="inlineStr">
        <is>
          <t>CAPSLAB</t>
        </is>
      </c>
      <c r="I203" s="156" t="inlineStr">
        <is>
          <t>Gorra CAPSLAB Looney Tunes Coyote</t>
        </is>
      </c>
      <c r="J203" s="156" t="inlineStr">
        <is>
          <t>Accesorios</t>
        </is>
      </c>
      <c r="K203" s="156" t="inlineStr">
        <is>
          <t>Gorras</t>
        </is>
      </c>
      <c r="L203" s="156" t="inlineStr">
        <is>
          <t>Unisex</t>
        </is>
      </c>
      <c r="M203" s="156" t="inlineStr">
        <is>
          <t>Looney Tunes</t>
        </is>
      </c>
      <c r="N203" s="156" t="n"/>
      <c r="O203" s="156" t="n"/>
      <c r="P203" s="156" t="n"/>
      <c r="Q203" s="156" t="n"/>
      <c r="R203" s="156" t="n"/>
      <c r="S203" s="156" t="inlineStr">
        <is>
          <t>Algodón / Poliéster</t>
        </is>
      </c>
      <c r="T203" s="156" t="inlineStr">
        <is>
          <t>Gorra de la marca CAPSLAB bajo licencia oficial Looney Tunes, personaje Coyote. Talla única ajustable. Estilo CL/LOO5/1/COY2.</t>
        </is>
      </c>
      <c r="U203" s="156" t="n"/>
      <c r="V203" s="156" t="inlineStr">
        <is>
          <t>PZS</t>
        </is>
      </c>
      <c r="W203" s="51" t="inlineStr">
        <is>
          <t>53102516</t>
        </is>
      </c>
      <c r="X203" s="156" t="inlineStr">
        <is>
          <t>https://7913364.app.netsuite.com/core/media/media.nl?id=188285&amp;c=7913364&amp;h=tTILrdTcLl9-9byTRDJ3QmgYEgmbvJB4HeJQU8v3udOwmKtG</t>
        </is>
      </c>
      <c r="Y203" s="54" t="n">
        <v>8.5</v>
      </c>
      <c r="Z203" s="54" t="n">
        <v>699</v>
      </c>
      <c r="AA203" s="55">
        <f>IF(AND(A203="", B203="", E203=""), "", IF(AB203="", "Válido", IF((LEN(AB203)-LEN(SUBSTITUTE(AB203,"; ","")))/2+1&gt;(LEN(AB203)-LEN(SUBSTITUTE(AB203,"[Aviso]","")))/7, "Con Incidencias", "Válido")))</f>
        <v/>
      </c>
      <c r="AB203" s="56">
        <f>IF(AND(A203="", B203="", E203=""), "", TEXTJOIN("; ", TRUE, IF(OR(TRIM(A203&amp;"")="", ISNUMBER(SEARCH("FALTA", A203))), "UPC faltante/inválido", ""), IF(AND(A203&lt;&gt;"", IFERROR(_xlfn.XMATCH(A203,$A$2:$A$370,0,1)&lt;&gt;_xlfn.XMATCH(A203,$A$2:$A$370,0,-1),FALSE)), "Código de barras duplicado", ""), IF(AND(E203&lt;&gt;"", COUNTIF($E$2:$E$370, E203)&gt;1), "SKU duplicado", ""), IF(OR(J203="", J203=""), "[Aviso] División no capturada ()", IF(ISNA(MATCH(J203, Criterios!$A$123:$A$126, 0)), "División no válida", "")), IF(OR(K203="", K203=""), "[Aviso] Categoría no capturada ()", IF(ISNA(MATCH(K203, Criterios!$A$81:$A$120, 0)), "Categoría no válida", IF(AND(J203&lt;&gt;"", J203&lt;&gt;"", J203&lt;&gt;VLOOKUP(K203, Criterios!$A$81:$B$120, 2, FALSE)), "División no coincide con Categoría", ""))), IF(OR(L203="", L203=""), "[Aviso] Género no capturado ()", IF(ISNA(MATCH(L203, Criterios!$B$123:$B$127, 0)), "Género no válido", "")), IF(OR(N203="", N203=""), "[Aviso] Temporada no capturada ()", IF(ISNA(MATCH(N203, Criterios!$C$123:$C$128, 0)), "Temporada no válida", "")), IF(OR(O203="", O203=""), "[Aviso] Ciclo de vida no capturado ()", IF(ISNA(MATCH(O203, Criterios!$D$123:$D$124, 0)), "Ciclo de vida no válido", ""))))</f>
        <v/>
      </c>
      <c r="AC203" s="56" t="n"/>
      <c r="AD203" s="51" t="n">
        <v>0</v>
      </c>
      <c r="AE203" s="156" t="n"/>
      <c r="AF203" s="51" t="n">
        <v>0</v>
      </c>
      <c r="AG203" s="156" t="inlineStr">
        <is>
          <t>Nuevo – NetSuite sin existencia</t>
        </is>
      </c>
      <c r="AH203" s="156" t="inlineStr">
        <is>
          <t>Composición CAPSLAB varía por modelo (50/50, 40/60 o 100% poliéster): validar etiqueta; Talla: Talla no reconocida (origen «UNI :»); Color por validar | Revisión 29/09/2026: Marca CAPSLAB fuera de lista Criterios; Campos sin respaldo: N, O, P, U; Auditoría NetSuite 30/09/2026: llenado desde NetSuite [Z] | Homologación G1522 06/10/2026: Validación G1522: [Aviso] Precio de compra posiblemente en USD · Validador Shopify: WB: precio con IVA no termina en 9</t>
        </is>
      </c>
      <c r="AI203" s="156" t="inlineStr">
        <is>
          <t>No</t>
        </is>
      </c>
      <c r="AJ203" s="156" t="n"/>
      <c r="AK203" s="155" t="inlineStr">
        <is>
          <t>G1522ProductosTodosloscamposSandboxResults894.xlsx: fila 47944 [Y]; G1522_Extraccion_Articulos_NetSuite_2026-09-30.xlsx: fila 20792 [Z]</t>
        </is>
      </c>
      <c r="AL203" s="58" t="n">
        <v>8.5</v>
      </c>
      <c r="AM203" s="58" t="n"/>
      <c r="AN203" s="155" t="n"/>
      <c r="AO203" s="59" t="n"/>
      <c r="AP203" s="59" t="n"/>
      <c r="AQ203" s="59" t="n"/>
      <c r="AR203" s="155" t="n"/>
    </row>
    <row r="204">
      <c r="A204" s="50" t="inlineStr">
        <is>
          <t>3614001305278</t>
        </is>
      </c>
      <c r="B204" s="51" t="inlineStr">
        <is>
          <t>57411</t>
        </is>
      </c>
      <c r="C204" s="156" t="inlineStr">
        <is>
          <t>CAPSLAB</t>
        </is>
      </c>
      <c r="D204" s="156" t="inlineStr">
        <is>
          <t>CL/LOO5/1/DAF1</t>
        </is>
      </c>
      <c r="E204" s="156" t="inlineStr">
        <is>
          <t>CL/LOO5/1/DAF1-UNI</t>
        </is>
      </c>
      <c r="F204" s="156" t="inlineStr">
        <is>
          <t>Talla única</t>
        </is>
      </c>
      <c r="G204" s="156" t="inlineStr">
        <is>
          <t>One Size</t>
        </is>
      </c>
      <c r="H204" s="156" t="inlineStr">
        <is>
          <t>CAPSLAB</t>
        </is>
      </c>
      <c r="I204" s="156" t="inlineStr">
        <is>
          <t>Gorra CAPSLAB Looney Tunes Pato Lucas Blanco</t>
        </is>
      </c>
      <c r="J204" s="156" t="inlineStr">
        <is>
          <t>Accesorios</t>
        </is>
      </c>
      <c r="K204" s="156" t="inlineStr">
        <is>
          <t>Gorras</t>
        </is>
      </c>
      <c r="L204" s="156" t="inlineStr">
        <is>
          <t>Unisex</t>
        </is>
      </c>
      <c r="M204" s="156" t="inlineStr">
        <is>
          <t>Looney Tunes</t>
        </is>
      </c>
      <c r="N204" s="156" t="n"/>
      <c r="O204" s="156" t="n"/>
      <c r="P204" s="156" t="inlineStr">
        <is>
          <t>Blanco</t>
        </is>
      </c>
      <c r="Q204" s="156" t="n"/>
      <c r="R204" s="156" t="n"/>
      <c r="S204" s="156" t="inlineStr">
        <is>
          <t>Algodón / Poliéster</t>
        </is>
      </c>
      <c r="T204" s="156" t="inlineStr">
        <is>
          <t>Gorra de la marca CAPSLAB bajo licencia oficial Looney Tunes, personaje Pato Lucas. Talla única ajustable. Estilo CL/LOO5/1/DAF1.</t>
        </is>
      </c>
      <c r="U204" s="156" t="n"/>
      <c r="V204" s="156" t="inlineStr">
        <is>
          <t>PZS</t>
        </is>
      </c>
      <c r="W204" s="51" t="inlineStr">
        <is>
          <t>53102516</t>
        </is>
      </c>
      <c r="X204" s="156" t="inlineStr">
        <is>
          <t>https://7913364.app.netsuite.com/core/media/media.nl?id=188286&amp;c=7913364&amp;h=ZsP7cpEijnn74sDXzZjZaa3NzXHf-Uyn10SjobZEmwDCYHqh</t>
        </is>
      </c>
      <c r="Y204" s="54" t="n">
        <v>8.5</v>
      </c>
      <c r="Z204" s="54" t="n">
        <v>699</v>
      </c>
      <c r="AA204" s="55">
        <f>IF(AND(A204="", B204="", E204=""), "", IF(AB204="", "Válido", IF((LEN(AB204)-LEN(SUBSTITUTE(AB204,"; ","")))/2+1&gt;(LEN(AB204)-LEN(SUBSTITUTE(AB204,"[Aviso]","")))/7, "Con Incidencias", "Válido")))</f>
        <v/>
      </c>
      <c r="AB204" s="56">
        <f>IF(AND(A204="", B204="", E204=""), "", TEXTJOIN("; ", TRUE, IF(OR(TRIM(A204&amp;"")="", ISNUMBER(SEARCH("FALTA", A204))), "UPC faltante/inválido", ""), IF(AND(A204&lt;&gt;"", IFERROR(_xlfn.XMATCH(A204,$A$2:$A$370,0,1)&lt;&gt;_xlfn.XMATCH(A204,$A$2:$A$370,0,-1),FALSE)), "Código de barras duplicado", ""), IF(AND(E204&lt;&gt;"", COUNTIF($E$2:$E$370, E204)&gt;1), "SKU duplicado", ""), IF(OR(J204="", J204=""), "[Aviso] División no capturada ()", IF(ISNA(MATCH(J204, Criterios!$A$123:$A$126, 0)), "División no válida", "")), IF(OR(K204="", K204=""), "[Aviso] Categoría no capturada ()", IF(ISNA(MATCH(K204, Criterios!$A$81:$A$120, 0)), "Categoría no válida", IF(AND(J204&lt;&gt;"", J204&lt;&gt;"", J204&lt;&gt;VLOOKUP(K204, Criterios!$A$81:$B$120, 2, FALSE)), "División no coincide con Categoría", ""))), IF(OR(L204="", L204=""), "[Aviso] Género no capturado ()", IF(ISNA(MATCH(L204, Criterios!$B$123:$B$127, 0)), "Género no válido", "")), IF(OR(N204="", N204=""), "[Aviso] Temporada no capturada ()", IF(ISNA(MATCH(N204, Criterios!$C$123:$C$128, 0)), "Temporada no válida", "")), IF(OR(O204="", O204=""), "[Aviso] Ciclo de vida no capturado ()", IF(ISNA(MATCH(O204, Criterios!$D$123:$D$124, 0)), "Ciclo de vida no válido", ""))))</f>
        <v/>
      </c>
      <c r="AC204" s="56" t="n"/>
      <c r="AD204" s="51" t="n">
        <v>0</v>
      </c>
      <c r="AE204" s="156" t="n"/>
      <c r="AF204" s="51" t="n">
        <v>0</v>
      </c>
      <c r="AG204" s="156" t="inlineStr">
        <is>
          <t>Nuevo – NetSuite sin existencia</t>
        </is>
      </c>
      <c r="AH20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4" s="156" t="inlineStr">
        <is>
          <t>No</t>
        </is>
      </c>
      <c r="AJ204" s="156" t="n"/>
      <c r="AK204" s="155" t="inlineStr">
        <is>
          <t>G1522ProductosTodosloscamposSandboxResults894.xlsx: fila 47946 [Y]; G1522_Extraccion_Articulos_NetSuite_2026-09-30.xlsx: fila 20793 [Z]</t>
        </is>
      </c>
      <c r="AL204" s="58" t="n">
        <v>8.5</v>
      </c>
      <c r="AM204" s="58" t="n"/>
      <c r="AN204" s="155" t="n"/>
      <c r="AO204" s="59" t="n"/>
      <c r="AP204" s="59" t="n"/>
      <c r="AQ204" s="59" t="n"/>
      <c r="AR204" s="155" t="n"/>
    </row>
    <row r="205">
      <c r="A205" s="50" t="inlineStr">
        <is>
          <t>3614001297184</t>
        </is>
      </c>
      <c r="B205" s="51" t="inlineStr">
        <is>
          <t>57412</t>
        </is>
      </c>
      <c r="C205" s="156" t="inlineStr">
        <is>
          <t>CAPSLAB</t>
        </is>
      </c>
      <c r="D205" s="156" t="inlineStr">
        <is>
          <t>CL/LOO5/1/DAF2</t>
        </is>
      </c>
      <c r="E205" s="156" t="inlineStr">
        <is>
          <t>CL/LOO5/1/DAF2-UNI</t>
        </is>
      </c>
      <c r="F205" s="156" t="inlineStr">
        <is>
          <t>Talla única</t>
        </is>
      </c>
      <c r="G205" s="156" t="inlineStr">
        <is>
          <t>One Size</t>
        </is>
      </c>
      <c r="H205" s="156" t="inlineStr">
        <is>
          <t>CAPSLAB</t>
        </is>
      </c>
      <c r="I205" s="156" t="inlineStr">
        <is>
          <t>Gorra CAPSLAB Looney Tunes Pato Lucas Azul</t>
        </is>
      </c>
      <c r="J205" s="156" t="inlineStr">
        <is>
          <t>Accesorios</t>
        </is>
      </c>
      <c r="K205" s="156" t="inlineStr">
        <is>
          <t>Gorras</t>
        </is>
      </c>
      <c r="L205" s="156" t="inlineStr">
        <is>
          <t>Unisex</t>
        </is>
      </c>
      <c r="M205" s="156" t="inlineStr">
        <is>
          <t>Looney Tunes</t>
        </is>
      </c>
      <c r="N205" s="156" t="n"/>
      <c r="O205" s="156" t="n"/>
      <c r="P205" s="156" t="inlineStr">
        <is>
          <t>Azul</t>
        </is>
      </c>
      <c r="Q205" s="156" t="n"/>
      <c r="R205" s="156" t="n"/>
      <c r="S205" s="156" t="inlineStr">
        <is>
          <t>Algodón / Poliéster</t>
        </is>
      </c>
      <c r="T205" s="156" t="inlineStr">
        <is>
          <t>Gorra de la marca CAPSLAB bajo licencia oficial Looney Tunes, personaje Pato Lucas. Talla única ajustable. Estilo CL/LOO5/1/DAF2.</t>
        </is>
      </c>
      <c r="U205" s="156" t="n"/>
      <c r="V205" s="156" t="inlineStr">
        <is>
          <t>PZS</t>
        </is>
      </c>
      <c r="W205" s="51" t="inlineStr">
        <is>
          <t>53102516</t>
        </is>
      </c>
      <c r="X205" s="156" t="inlineStr">
        <is>
          <t>https://7913364.app.netsuite.com/core/media/media.nl?id=188287&amp;c=7913364&amp;h=GKjm0wXMgwhTGUKfm0AmH208S1T64k45uDiaP-VwK81AXkoD</t>
        </is>
      </c>
      <c r="Y205" s="54" t="n">
        <v>8.5</v>
      </c>
      <c r="Z205" s="54" t="n">
        <v>699</v>
      </c>
      <c r="AA205" s="55">
        <f>IF(AND(A205="", B205="", E205=""), "", IF(AB205="", "Válido", IF((LEN(AB205)-LEN(SUBSTITUTE(AB205,"; ","")))/2+1&gt;(LEN(AB205)-LEN(SUBSTITUTE(AB205,"[Aviso]","")))/7, "Con Incidencias", "Válido")))</f>
        <v/>
      </c>
      <c r="AB205" s="56">
        <f>IF(AND(A205="", B205="", E205=""), "", TEXTJOIN("; ", TRUE, IF(OR(TRIM(A205&amp;"")="", ISNUMBER(SEARCH("FALTA", A205))), "UPC faltante/inválido", ""), IF(AND(A205&lt;&gt;"", IFERROR(_xlfn.XMATCH(A205,$A$2:$A$370,0,1)&lt;&gt;_xlfn.XMATCH(A205,$A$2:$A$370,0,-1),FALSE)), "Código de barras duplicado", ""), IF(AND(E205&lt;&gt;"", COUNTIF($E$2:$E$370, E205)&gt;1), "SKU duplicado", ""), IF(OR(J205="", J205=""), "[Aviso] División no capturada ()", IF(ISNA(MATCH(J205, Criterios!$A$123:$A$126, 0)), "División no válida", "")), IF(OR(K205="", K205=""), "[Aviso] Categoría no capturada ()", IF(ISNA(MATCH(K205, Criterios!$A$81:$A$120, 0)), "Categoría no válida", IF(AND(J205&lt;&gt;"", J205&lt;&gt;"", J205&lt;&gt;VLOOKUP(K205, Criterios!$A$81:$B$120, 2, FALSE)), "División no coincide con Categoría", ""))), IF(OR(L205="", L205=""), "[Aviso] Género no capturado ()", IF(ISNA(MATCH(L205, Criterios!$B$123:$B$127, 0)), "Género no válido", "")), IF(OR(N205="", N205=""), "[Aviso] Temporada no capturada ()", IF(ISNA(MATCH(N205, Criterios!$C$123:$C$128, 0)), "Temporada no válida", "")), IF(OR(O205="", O205=""), "[Aviso] Ciclo de vida no capturado ()", IF(ISNA(MATCH(O205, Criterios!$D$123:$D$124, 0)), "Ciclo de vida no válido", ""))))</f>
        <v/>
      </c>
      <c r="AC205" s="56" t="n"/>
      <c r="AD205" s="51" t="n">
        <v>0</v>
      </c>
      <c r="AE205" s="156" t="n"/>
      <c r="AF205" s="51" t="n">
        <v>0</v>
      </c>
      <c r="AG205" s="156" t="inlineStr">
        <is>
          <t>Nuevo – NetSuite sin existencia</t>
        </is>
      </c>
      <c r="AH20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5" s="156" t="inlineStr">
        <is>
          <t>No</t>
        </is>
      </c>
      <c r="AJ205" s="156" t="n"/>
      <c r="AK205" s="155" t="inlineStr">
        <is>
          <t>G1522ProductosTodosloscamposSandboxResults894.xlsx: fila 47948 [Y]; G1522_Extraccion_Articulos_NetSuite_2026-09-30.xlsx: fila 20794 [Z]</t>
        </is>
      </c>
      <c r="AL205" s="58" t="n">
        <v>8.5</v>
      </c>
      <c r="AM205" s="58" t="n"/>
      <c r="AN205" s="155" t="n"/>
      <c r="AO205" s="59" t="n"/>
      <c r="AP205" s="59" t="n"/>
      <c r="AQ205" s="59" t="n"/>
      <c r="AR205" s="155" t="n"/>
    </row>
    <row r="206">
      <c r="A206" s="50" t="inlineStr">
        <is>
          <t>3614001297207</t>
        </is>
      </c>
      <c r="B206" s="51" t="inlineStr">
        <is>
          <t>57413</t>
        </is>
      </c>
      <c r="C206" s="156" t="inlineStr">
        <is>
          <t>CAPSLAB</t>
        </is>
      </c>
      <c r="D206" s="156" t="inlineStr">
        <is>
          <t>CL/LOO5/1/TAZ2</t>
        </is>
      </c>
      <c r="E206" s="156" t="inlineStr">
        <is>
          <t>CL/LOO5/1/TAZ2-UNI</t>
        </is>
      </c>
      <c r="F206" s="156" t="inlineStr">
        <is>
          <t>Talla única</t>
        </is>
      </c>
      <c r="G206" s="156" t="inlineStr">
        <is>
          <t>One Size</t>
        </is>
      </c>
      <c r="H206" s="156" t="inlineStr">
        <is>
          <t>CAPSLAB</t>
        </is>
      </c>
      <c r="I206" s="156" t="inlineStr">
        <is>
          <t>Gorra CAPSLAB Looney Tunes Taz Azul</t>
        </is>
      </c>
      <c r="J206" s="156" t="inlineStr">
        <is>
          <t>Accesorios</t>
        </is>
      </c>
      <c r="K206" s="156" t="inlineStr">
        <is>
          <t>Gorras</t>
        </is>
      </c>
      <c r="L206" s="156" t="inlineStr">
        <is>
          <t>Unisex</t>
        </is>
      </c>
      <c r="M206" s="156" t="inlineStr">
        <is>
          <t>Looney Tunes</t>
        </is>
      </c>
      <c r="N206" s="156" t="n"/>
      <c r="O206" s="156" t="n"/>
      <c r="P206" s="156" t="inlineStr">
        <is>
          <t>Azul</t>
        </is>
      </c>
      <c r="Q206" s="156" t="n"/>
      <c r="R206" s="156" t="n"/>
      <c r="S206" s="156" t="inlineStr">
        <is>
          <t>Algodón / Poliéster</t>
        </is>
      </c>
      <c r="T206" s="156" t="inlineStr">
        <is>
          <t>Gorra de la marca CAPSLAB bajo licencia oficial Looney Tunes, personaje Taz. Talla única ajustable. Estilo CL/LOO5/1/TAZ2.</t>
        </is>
      </c>
      <c r="U206" s="156" t="n"/>
      <c r="V206" s="156" t="inlineStr">
        <is>
          <t>PZS</t>
        </is>
      </c>
      <c r="W206" s="51" t="inlineStr">
        <is>
          <t>53102516</t>
        </is>
      </c>
      <c r="X206" s="156" t="inlineStr">
        <is>
          <t>https://7913364.app.netsuite.com/core/media/media.nl?id=188288&amp;c=7913364&amp;h=IeonxOCkYK1kgsUIuoPZj38vtQ7euxxWM586i_NtUW6Jws8Y</t>
        </is>
      </c>
      <c r="Y206" s="54" t="n">
        <v>8.5</v>
      </c>
      <c r="Z206" s="54" t="n">
        <v>699</v>
      </c>
      <c r="AA206" s="55">
        <f>IF(AND(A206="", B206="", E206=""), "", IF(AB206="", "Válido", IF((LEN(AB206)-LEN(SUBSTITUTE(AB206,"; ","")))/2+1&gt;(LEN(AB206)-LEN(SUBSTITUTE(AB206,"[Aviso]","")))/7, "Con Incidencias", "Válido")))</f>
        <v/>
      </c>
      <c r="AB206" s="56">
        <f>IF(AND(A206="", B206="", E206=""), "", TEXTJOIN("; ", TRUE, IF(OR(TRIM(A206&amp;"")="", ISNUMBER(SEARCH("FALTA", A206))), "UPC faltante/inválido", ""), IF(AND(A206&lt;&gt;"", IFERROR(_xlfn.XMATCH(A206,$A$2:$A$370,0,1)&lt;&gt;_xlfn.XMATCH(A206,$A$2:$A$370,0,-1),FALSE)), "Código de barras duplicado", ""), IF(AND(E206&lt;&gt;"", COUNTIF($E$2:$E$370, E206)&gt;1), "SKU duplicado", ""), IF(OR(J206="", J206=""), "[Aviso] División no capturada ()", IF(ISNA(MATCH(J206, Criterios!$A$123:$A$126, 0)), "División no válida", "")), IF(OR(K206="", K206=""), "[Aviso] Categoría no capturada ()", IF(ISNA(MATCH(K206, Criterios!$A$81:$A$120, 0)), "Categoría no válida", IF(AND(J206&lt;&gt;"", J206&lt;&gt;"", J206&lt;&gt;VLOOKUP(K206, Criterios!$A$81:$B$120, 2, FALSE)), "División no coincide con Categoría", ""))), IF(OR(L206="", L206=""), "[Aviso] Género no capturado ()", IF(ISNA(MATCH(L206, Criterios!$B$123:$B$127, 0)), "Género no válido", "")), IF(OR(N206="", N206=""), "[Aviso] Temporada no capturada ()", IF(ISNA(MATCH(N206, Criterios!$C$123:$C$128, 0)), "Temporada no válida", "")), IF(OR(O206="", O206=""), "[Aviso] Ciclo de vida no capturado ()", IF(ISNA(MATCH(O206, Criterios!$D$123:$D$124, 0)), "Ciclo de vida no válido", ""))))</f>
        <v/>
      </c>
      <c r="AC206" s="56" t="n"/>
      <c r="AD206" s="51" t="n">
        <v>6</v>
      </c>
      <c r="AE206" s="156" t="inlineStr">
        <is>
          <t>Web (1); CAPSLAB Warehouse (3)</t>
        </is>
      </c>
      <c r="AF206" s="51" t="n">
        <v>6</v>
      </c>
      <c r="AG206" s="156" t="inlineStr">
        <is>
          <t>Nuevo – NetSuite con existencia</t>
        </is>
      </c>
      <c r="AH206" s="156" t="inlineStr">
        <is>
          <t>Composición CAPSLAB varía por modelo (50/50, 40/60 o 100% poliéster): validar etiqueta; Físico total NetSuite 6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6" s="156" t="inlineStr">
        <is>
          <t>No</t>
        </is>
      </c>
      <c r="AJ206" s="156" t="n"/>
      <c r="AK206" s="155" t="inlineStr">
        <is>
          <t>G1522ProductosTodosloscamposSandboxResults894.xlsx: fila 47950 [Y]; G1522_Extraccion_Articulos_NetSuite_2026-09-30.xlsx: fila 20795 [Z]</t>
        </is>
      </c>
      <c r="AL206" s="58" t="n">
        <v>8.5</v>
      </c>
      <c r="AM206" s="58" t="n"/>
      <c r="AN206" s="155" t="n"/>
      <c r="AO206" s="59" t="n"/>
      <c r="AP206" s="59" t="n"/>
      <c r="AQ206" s="59" t="n"/>
      <c r="AR206" s="155" t="n"/>
    </row>
    <row r="207">
      <c r="A207" s="50" t="inlineStr">
        <is>
          <t>3614001583331</t>
        </is>
      </c>
      <c r="B207" s="51" t="inlineStr">
        <is>
          <t>57451</t>
        </is>
      </c>
      <c r="C207" s="156" t="inlineStr">
        <is>
          <t>CAPSLAB</t>
        </is>
      </c>
      <c r="D207" s="156" t="inlineStr">
        <is>
          <t>CL/LOO7/1/CAS/DA1</t>
        </is>
      </c>
      <c r="E207" s="156" t="inlineStr">
        <is>
          <t>CL/LOO7/1/CAS/DA1-UNI</t>
        </is>
      </c>
      <c r="F207" s="156" t="inlineStr">
        <is>
          <t>Talla única</t>
        </is>
      </c>
      <c r="G207" s="156" t="inlineStr">
        <is>
          <t>One Size</t>
        </is>
      </c>
      <c r="H207" s="156" t="inlineStr">
        <is>
          <t>CAPSLAB</t>
        </is>
      </c>
      <c r="I207" s="156" t="inlineStr">
        <is>
          <t>Gorra trucker CAPSLAB Looney Tunes Negro</t>
        </is>
      </c>
      <c r="J207" s="156" t="inlineStr">
        <is>
          <t>Accesorios</t>
        </is>
      </c>
      <c r="K207" s="156" t="inlineStr">
        <is>
          <t>Gorras</t>
        </is>
      </c>
      <c r="L207" s="156" t="inlineStr">
        <is>
          <t>Unisex</t>
        </is>
      </c>
      <c r="M207" s="156" t="inlineStr">
        <is>
          <t>Looney Tunes</t>
        </is>
      </c>
      <c r="N207" s="156" t="n"/>
      <c r="O207" s="156" t="n"/>
      <c r="P207" s="156" t="inlineStr">
        <is>
          <t>Negro</t>
        </is>
      </c>
      <c r="Q207" s="156" t="n"/>
      <c r="R207" s="156" t="n"/>
      <c r="S207" s="156" t="inlineStr">
        <is>
          <t>Algodón / Poliéster</t>
        </is>
      </c>
      <c r="T207" s="156" t="inlineStr">
        <is>
          <t>Gorra trucker de la marca CAPSLAB bajo licencia oficial Looney Tunes. Talla única ajustable. Estilo CL/LOO7/1/CAS/DA1.</t>
        </is>
      </c>
      <c r="U207" s="156" t="n"/>
      <c r="V207" s="156" t="inlineStr">
        <is>
          <t>PZS</t>
        </is>
      </c>
      <c r="W207" s="51" t="inlineStr">
        <is>
          <t>53102516</t>
        </is>
      </c>
      <c r="X207" s="156" t="inlineStr">
        <is>
          <t>https://7913364.app.netsuite.com/core/media/media.nl?id=188359&amp;c=7913364&amp;h=R78qPw1DNX8IyeB-HxJ0OrcBWwHOE2dDYgpZzjjhCpvPKamc</t>
        </is>
      </c>
      <c r="Y207" s="54" t="n">
        <v>8.5</v>
      </c>
      <c r="Z207" s="54" t="n">
        <v>699</v>
      </c>
      <c r="AA207" s="55">
        <f>IF(AND(A207="", B207="", E207=""), "", IF(AB207="", "Válido", IF((LEN(AB207)-LEN(SUBSTITUTE(AB207,"; ","")))/2+1&gt;(LEN(AB207)-LEN(SUBSTITUTE(AB207,"[Aviso]","")))/7, "Con Incidencias", "Válido")))</f>
        <v/>
      </c>
      <c r="AB207" s="56">
        <f>IF(AND(A207="", B207="", E207=""), "", TEXTJOIN("; ", TRUE, IF(OR(TRIM(A207&amp;"")="", ISNUMBER(SEARCH("FALTA", A207))), "UPC faltante/inválido", ""), IF(AND(A207&lt;&gt;"", IFERROR(_xlfn.XMATCH(A207,$A$2:$A$370,0,1)&lt;&gt;_xlfn.XMATCH(A207,$A$2:$A$370,0,-1),FALSE)), "Código de barras duplicado", ""), IF(AND(E207&lt;&gt;"", COUNTIF($E$2:$E$370, E207)&gt;1), "SKU duplicado", ""), IF(OR(J207="", J207=""), "[Aviso] División no capturada ()", IF(ISNA(MATCH(J207, Criterios!$A$123:$A$126, 0)), "División no válida", "")), IF(OR(K207="", K207=""), "[Aviso] Categoría no capturada ()", IF(ISNA(MATCH(K207, Criterios!$A$81:$A$120, 0)), "Categoría no válida", IF(AND(J207&lt;&gt;"", J207&lt;&gt;"", J207&lt;&gt;VLOOKUP(K207, Criterios!$A$81:$B$120, 2, FALSE)), "División no coincide con Categoría", ""))), IF(OR(L207="", L207=""), "[Aviso] Género no capturado ()", IF(ISNA(MATCH(L207, Criterios!$B$123:$B$127, 0)), "Género no válido", "")), IF(OR(N207="", N207=""), "[Aviso] Temporada no capturada ()", IF(ISNA(MATCH(N207, Criterios!$C$123:$C$128, 0)), "Temporada no válida", "")), IF(OR(O207="", O207=""), "[Aviso] Ciclo de vida no capturado ()", IF(ISNA(MATCH(O207, Criterios!$D$123:$D$124, 0)), "Ciclo de vida no válido", ""))))</f>
        <v/>
      </c>
      <c r="AC207" s="56" t="n"/>
      <c r="AD207" s="51" t="n">
        <v>0</v>
      </c>
      <c r="AE207" s="156" t="n"/>
      <c r="AF207" s="51" t="n">
        <v>0</v>
      </c>
      <c r="AG207" s="156" t="inlineStr">
        <is>
          <t>Nuevo – NetSuite sin existencia</t>
        </is>
      </c>
      <c r="AH20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7" s="156" t="inlineStr">
        <is>
          <t>No</t>
        </is>
      </c>
      <c r="AJ207" s="156" t="n"/>
      <c r="AK207" s="155" t="inlineStr">
        <is>
          <t>G1522ProductosTodosloscamposSandboxResults894.xlsx: fila 47952 [Y]; G1522_Extraccion_Articulos_NetSuite_2026-09-30.xlsx: fila 20833 [Z]</t>
        </is>
      </c>
      <c r="AL207" s="58" t="n">
        <v>8.5</v>
      </c>
      <c r="AM207" s="58" t="n"/>
      <c r="AN207" s="155" t="n"/>
      <c r="AO207" s="59" t="n"/>
      <c r="AP207" s="59" t="n"/>
      <c r="AQ207" s="59" t="n"/>
      <c r="AR207" s="155" t="n"/>
    </row>
    <row r="208">
      <c r="A208" s="50" t="inlineStr">
        <is>
          <t>3614001552740</t>
        </is>
      </c>
      <c r="B208" s="51" t="inlineStr">
        <is>
          <t>57414</t>
        </is>
      </c>
      <c r="C208" s="156" t="inlineStr">
        <is>
          <t>CAPSLAB</t>
        </is>
      </c>
      <c r="D208" s="156" t="inlineStr">
        <is>
          <t>CL/LOO7/1/CAS/LO1</t>
        </is>
      </c>
      <c r="E208" s="156" t="inlineStr">
        <is>
          <t>CL/LOO7/1/CAS/LO1-UNI</t>
        </is>
      </c>
      <c r="F208" s="156" t="inlineStr">
        <is>
          <t>Talla única</t>
        </is>
      </c>
      <c r="G208" s="156" t="inlineStr">
        <is>
          <t>One Size</t>
        </is>
      </c>
      <c r="H208" s="156" t="inlineStr">
        <is>
          <t>CAPSLAB</t>
        </is>
      </c>
      <c r="I208" s="156" t="inlineStr">
        <is>
          <t>Gorra trucker CAPSLAB Looney Tunes Negro</t>
        </is>
      </c>
      <c r="J208" s="156" t="inlineStr">
        <is>
          <t>Accesorios</t>
        </is>
      </c>
      <c r="K208" s="156" t="inlineStr">
        <is>
          <t>Gorras</t>
        </is>
      </c>
      <c r="L208" s="156" t="inlineStr">
        <is>
          <t>Unisex</t>
        </is>
      </c>
      <c r="M208" s="156" t="inlineStr">
        <is>
          <t>Looney Tunes</t>
        </is>
      </c>
      <c r="N208" s="156" t="n"/>
      <c r="O208" s="156" t="n"/>
      <c r="P208" s="156" t="inlineStr">
        <is>
          <t>Negro</t>
        </is>
      </c>
      <c r="Q208" s="156" t="n"/>
      <c r="R208" s="156" t="n"/>
      <c r="S208" s="156" t="inlineStr">
        <is>
          <t>Algodón / Poliéster</t>
        </is>
      </c>
      <c r="T208" s="156" t="inlineStr">
        <is>
          <t>Gorra trucker de la marca CAPSLAB bajo licencia oficial Looney Tunes. Talla única ajustable. Estilo CL/LOO7/1/CAS/LO1.</t>
        </is>
      </c>
      <c r="U208" s="156" t="n"/>
      <c r="V208" s="156" t="inlineStr">
        <is>
          <t>PZS</t>
        </is>
      </c>
      <c r="W208" s="51" t="inlineStr">
        <is>
          <t>53102516</t>
        </is>
      </c>
      <c r="X208" s="156" t="inlineStr">
        <is>
          <t>https://7913364.app.netsuite.com/core/media/media.nl?id=188289&amp;c=7913364&amp;h=QHxwFL0dk2jD56SH7ngGcSHn8Ym92vvIDk16adv4LC3czcGz</t>
        </is>
      </c>
      <c r="Y208" s="54" t="n">
        <v>8.5</v>
      </c>
      <c r="Z208" s="54" t="n">
        <v>699</v>
      </c>
      <c r="AA208" s="55">
        <f>IF(AND(A208="", B208="", E208=""), "", IF(AB208="", "Válido", IF((LEN(AB208)-LEN(SUBSTITUTE(AB208,"; ","")))/2+1&gt;(LEN(AB208)-LEN(SUBSTITUTE(AB208,"[Aviso]","")))/7, "Con Incidencias", "Válido")))</f>
        <v/>
      </c>
      <c r="AB208" s="56">
        <f>IF(AND(A208="", B208="", E208=""), "", TEXTJOIN("; ", TRUE, IF(OR(TRIM(A208&amp;"")="", ISNUMBER(SEARCH("FALTA", A208))), "UPC faltante/inválido", ""), IF(AND(A208&lt;&gt;"", IFERROR(_xlfn.XMATCH(A208,$A$2:$A$370,0,1)&lt;&gt;_xlfn.XMATCH(A208,$A$2:$A$370,0,-1),FALSE)), "Código de barras duplicado", ""), IF(AND(E208&lt;&gt;"", COUNTIF($E$2:$E$370, E208)&gt;1), "SKU duplicado", ""), IF(OR(J208="", J208=""), "[Aviso] División no capturada ()", IF(ISNA(MATCH(J208, Criterios!$A$123:$A$126, 0)), "División no válida", "")), IF(OR(K208="", K208=""), "[Aviso] Categoría no capturada ()", IF(ISNA(MATCH(K208, Criterios!$A$81:$A$120, 0)), "Categoría no válida", IF(AND(J208&lt;&gt;"", J208&lt;&gt;"", J208&lt;&gt;VLOOKUP(K208, Criterios!$A$81:$B$120, 2, FALSE)), "División no coincide con Categoría", ""))), IF(OR(L208="", L208=""), "[Aviso] Género no capturado ()", IF(ISNA(MATCH(L208, Criterios!$B$123:$B$127, 0)), "Género no válido", "")), IF(OR(N208="", N208=""), "[Aviso] Temporada no capturada ()", IF(ISNA(MATCH(N208, Criterios!$C$123:$C$128, 0)), "Temporada no válida", "")), IF(OR(O208="", O208=""), "[Aviso] Ciclo de vida no capturado ()", IF(ISNA(MATCH(O208, Criterios!$D$123:$D$124, 0)), "Ciclo de vida no válido", ""))))</f>
        <v/>
      </c>
      <c r="AC208" s="56" t="n"/>
      <c r="AD208" s="51" t="n">
        <v>1</v>
      </c>
      <c r="AE208" s="156" t="inlineStr">
        <is>
          <t>CL Muestras (1)</t>
        </is>
      </c>
      <c r="AF208" s="51" t="n">
        <v>1</v>
      </c>
      <c r="AG208" s="156" t="inlineStr">
        <is>
          <t>Nuevo – NetSuite con existencia</t>
        </is>
      </c>
      <c r="AH20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8" s="156" t="inlineStr">
        <is>
          <t>No</t>
        </is>
      </c>
      <c r="AJ208" s="156" t="n"/>
      <c r="AK208" s="155" t="inlineStr">
        <is>
          <t>G1522ProductosTodosloscamposSandboxResults894.xlsx: fila 47954 [Y]; G1522_Extraccion_Articulos_NetSuite_2026-09-30.xlsx: fila 20796 [Z]</t>
        </is>
      </c>
      <c r="AL208" s="58" t="n">
        <v>8.5</v>
      </c>
      <c r="AM208" s="58" t="n"/>
      <c r="AN208" s="155" t="n"/>
      <c r="AO208" s="59" t="n"/>
      <c r="AP208" s="59" t="n"/>
      <c r="AQ208" s="59" t="n"/>
      <c r="AR208" s="155" t="n"/>
    </row>
    <row r="209">
      <c r="A209" s="50" t="inlineStr">
        <is>
          <t>3614001552764</t>
        </is>
      </c>
      <c r="B209" s="51" t="inlineStr">
        <is>
          <t>57415</t>
        </is>
      </c>
      <c r="C209" s="156" t="inlineStr">
        <is>
          <t>CAPSLAB</t>
        </is>
      </c>
      <c r="D209" s="156" t="inlineStr">
        <is>
          <t>CL/LOO7/1/CAS/SY1</t>
        </is>
      </c>
      <c r="E209" s="156" t="inlineStr">
        <is>
          <t>CL/LOO7/1/CAS/SY1-UNI</t>
        </is>
      </c>
      <c r="F209" s="156" t="inlineStr">
        <is>
          <t>Talla única</t>
        </is>
      </c>
      <c r="G209" s="156" t="inlineStr">
        <is>
          <t>One Size</t>
        </is>
      </c>
      <c r="H209" s="156" t="inlineStr">
        <is>
          <t>CAPSLAB</t>
        </is>
      </c>
      <c r="I209" s="156" t="inlineStr">
        <is>
          <t>Gorra trucker CAPSLAB Looney Tunes Negro</t>
        </is>
      </c>
      <c r="J209" s="156" t="inlineStr">
        <is>
          <t>Accesorios</t>
        </is>
      </c>
      <c r="K209" s="156" t="inlineStr">
        <is>
          <t>Gorras</t>
        </is>
      </c>
      <c r="L209" s="156" t="inlineStr">
        <is>
          <t>Unisex</t>
        </is>
      </c>
      <c r="M209" s="156" t="inlineStr">
        <is>
          <t>Looney Tunes</t>
        </is>
      </c>
      <c r="N209" s="156" t="n"/>
      <c r="O209" s="156" t="n"/>
      <c r="P209" s="156" t="inlineStr">
        <is>
          <t>Negro</t>
        </is>
      </c>
      <c r="Q209" s="156" t="n"/>
      <c r="R209" s="156" t="n"/>
      <c r="S209" s="156" t="inlineStr">
        <is>
          <t>Algodón / Poliéster</t>
        </is>
      </c>
      <c r="T209" s="156" t="inlineStr">
        <is>
          <t>Gorra trucker de la marca CAPSLAB bajo licencia oficial Looney Tunes. Talla única ajustable. Estilo CL/LOO7/1/CAS/SY1.</t>
        </is>
      </c>
      <c r="U209" s="156" t="n"/>
      <c r="V209" s="156" t="inlineStr">
        <is>
          <t>PZS</t>
        </is>
      </c>
      <c r="W209" s="51" t="inlineStr">
        <is>
          <t>53102516</t>
        </is>
      </c>
      <c r="X209" s="156" t="inlineStr">
        <is>
          <t>https://7913364.app.netsuite.com/core/media/media.nl?id=188290&amp;c=7913364&amp;h=LUTua0kLqEGMu-4_WNbi9Ul3z4Dsmek3dy7x6qLeqdK1oa8L</t>
        </is>
      </c>
      <c r="Y209" s="54" t="n">
        <v>8.5</v>
      </c>
      <c r="Z209" s="54" t="n">
        <v>699</v>
      </c>
      <c r="AA209" s="55">
        <f>IF(AND(A209="", B209="", E209=""), "", IF(AB209="", "Válido", IF((LEN(AB209)-LEN(SUBSTITUTE(AB209,"; ","")))/2+1&gt;(LEN(AB209)-LEN(SUBSTITUTE(AB209,"[Aviso]","")))/7, "Con Incidencias", "Válido")))</f>
        <v/>
      </c>
      <c r="AB209" s="56">
        <f>IF(AND(A209="", B209="", E209=""), "", TEXTJOIN("; ", TRUE, IF(OR(TRIM(A209&amp;"")="", ISNUMBER(SEARCH("FALTA", A209))), "UPC faltante/inválido", ""), IF(AND(A209&lt;&gt;"", IFERROR(_xlfn.XMATCH(A209,$A$2:$A$370,0,1)&lt;&gt;_xlfn.XMATCH(A209,$A$2:$A$370,0,-1),FALSE)), "Código de barras duplicado", ""), IF(AND(E209&lt;&gt;"", COUNTIF($E$2:$E$370, E209)&gt;1), "SKU duplicado", ""), IF(OR(J209="", J209=""), "[Aviso] División no capturada ()", IF(ISNA(MATCH(J209, Criterios!$A$123:$A$126, 0)), "División no válida", "")), IF(OR(K209="", K209=""), "[Aviso] Categoría no capturada ()", IF(ISNA(MATCH(K209, Criterios!$A$81:$A$120, 0)), "Categoría no válida", IF(AND(J209&lt;&gt;"", J209&lt;&gt;"", J209&lt;&gt;VLOOKUP(K209, Criterios!$A$81:$B$120, 2, FALSE)), "División no coincide con Categoría", ""))), IF(OR(L209="", L209=""), "[Aviso] Género no capturado ()", IF(ISNA(MATCH(L209, Criterios!$B$123:$B$127, 0)), "Género no válido", "")), IF(OR(N209="", N209=""), "[Aviso] Temporada no capturada ()", IF(ISNA(MATCH(N209, Criterios!$C$123:$C$128, 0)), "Temporada no válida", "")), IF(OR(O209="", O209=""), "[Aviso] Ciclo de vida no capturado ()", IF(ISNA(MATCH(O209, Criterios!$D$123:$D$124, 0)), "Ciclo de vida no válido", ""))))</f>
        <v/>
      </c>
      <c r="AC209" s="56" t="n"/>
      <c r="AD209" s="51" t="n">
        <v>1</v>
      </c>
      <c r="AE209" s="156" t="inlineStr">
        <is>
          <t>CL Muestras (1)</t>
        </is>
      </c>
      <c r="AF209" s="51" t="n">
        <v>1</v>
      </c>
      <c r="AG209" s="156" t="inlineStr">
        <is>
          <t>Nuevo – NetSuite con existencia</t>
        </is>
      </c>
      <c r="AH20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9" s="156" t="inlineStr">
        <is>
          <t>No</t>
        </is>
      </c>
      <c r="AJ209" s="156" t="n"/>
      <c r="AK209" s="155" t="inlineStr">
        <is>
          <t>G1522ProductosTodosloscamposSandboxResults894.xlsx: fila 47956 [Y]; G1522_Extraccion_Articulos_NetSuite_2026-09-30.xlsx: fila 20797 [Z]</t>
        </is>
      </c>
      <c r="AL209" s="58" t="n">
        <v>8.5</v>
      </c>
      <c r="AM209" s="58" t="n"/>
      <c r="AN209" s="155" t="n"/>
      <c r="AO209" s="59" t="n"/>
      <c r="AP209" s="59" t="n"/>
      <c r="AQ209" s="59" t="n"/>
      <c r="AR209" s="155" t="n"/>
    </row>
    <row r="210">
      <c r="A210" s="50" t="inlineStr">
        <is>
          <t>3614001552788</t>
        </is>
      </c>
      <c r="B210" s="51" t="inlineStr">
        <is>
          <t>69635</t>
        </is>
      </c>
      <c r="C210" s="156" t="inlineStr">
        <is>
          <t>CAPSLAB</t>
        </is>
      </c>
      <c r="D210" s="156" t="inlineStr">
        <is>
          <t>CL/LOO7/1/CAS/TA1</t>
        </is>
      </c>
      <c r="E210" s="156" t="inlineStr">
        <is>
          <t>CL/LOO7/1/CAS/TA1-UNI</t>
        </is>
      </c>
      <c r="F210" s="156" t="inlineStr">
        <is>
          <t>Talla única</t>
        </is>
      </c>
      <c r="G210" s="156" t="inlineStr">
        <is>
          <t>One Size</t>
        </is>
      </c>
      <c r="H210" s="156" t="inlineStr">
        <is>
          <t>CAPSLAB</t>
        </is>
      </c>
      <c r="I210" s="156" t="inlineStr">
        <is>
          <t>Gorra trucker CAPSLAB Looney Tunes</t>
        </is>
      </c>
      <c r="J210" s="156" t="inlineStr">
        <is>
          <t>Accesorios</t>
        </is>
      </c>
      <c r="K210" s="156" t="inlineStr">
        <is>
          <t>Gorras</t>
        </is>
      </c>
      <c r="L210" s="156" t="inlineStr">
        <is>
          <t>Unisex</t>
        </is>
      </c>
      <c r="M210" s="156" t="inlineStr">
        <is>
          <t>Looney Tunes</t>
        </is>
      </c>
      <c r="N210" s="156" t="n"/>
      <c r="O210" s="156" t="n"/>
      <c r="P210" s="156" t="n"/>
      <c r="Q210" s="156" t="n"/>
      <c r="R210" s="156" t="n"/>
      <c r="S210" s="156" t="inlineStr">
        <is>
          <t>Algodón / Poliéster</t>
        </is>
      </c>
      <c r="T210" s="156" t="inlineStr">
        <is>
          <t>Gorra trucker de la marca CAPSLAB bajo licencia oficial Looney Tunes. Talla única ajustable. Estilo CL/LOO7/1/CAS/TA1.</t>
        </is>
      </c>
      <c r="U210" s="156" t="n"/>
      <c r="V210" s="156" t="inlineStr">
        <is>
          <t>PZS</t>
        </is>
      </c>
      <c r="W210" s="51" t="inlineStr">
        <is>
          <t>53102516</t>
        </is>
      </c>
      <c r="X210" s="156" t="inlineStr">
        <is>
          <t>https://i.ibb.co/SmpWtYX/CLLOO71-CASTA1.jpg</t>
        </is>
      </c>
      <c r="Y210" s="54" t="n"/>
      <c r="Z210" s="54" t="n">
        <v>699</v>
      </c>
      <c r="AA210" s="55">
        <f>IF(AND(A210="", B210="", E210=""), "", IF(AB210="", "Válido", IF((LEN(AB210)-LEN(SUBSTITUTE(AB210,"; ","")))/2+1&gt;(LEN(AB210)-LEN(SUBSTITUTE(AB210,"[Aviso]","")))/7, "Con Incidencias", "Válido")))</f>
        <v/>
      </c>
      <c r="AB210" s="56">
        <f>IF(AND(A210="", B210="", E210=""), "", TEXTJOIN("; ", TRUE, IF(OR(TRIM(A210&amp;"")="", ISNUMBER(SEARCH("FALTA", A210))), "UPC faltante/inválido", ""), IF(AND(A210&lt;&gt;"", IFERROR(_xlfn.XMATCH(A210,$A$2:$A$370,0,1)&lt;&gt;_xlfn.XMATCH(A210,$A$2:$A$370,0,-1),FALSE)), "Código de barras duplicado", ""), IF(AND(E210&lt;&gt;"", COUNTIF($E$2:$E$370, E210)&gt;1), "SKU duplicado", ""), IF(OR(J210="", J210=""), "[Aviso] División no capturada ()", IF(ISNA(MATCH(J210, Criterios!$A$123:$A$126, 0)), "División no válida", "")), IF(OR(K210="", K210=""), "[Aviso] Categoría no capturada ()", IF(ISNA(MATCH(K210, Criterios!$A$81:$A$120, 0)), "Categoría no válida", IF(AND(J210&lt;&gt;"", J210&lt;&gt;"", J210&lt;&gt;VLOOKUP(K210, Criterios!$A$81:$B$120, 2, FALSE)), "División no coincide con Categoría", ""))), IF(OR(L210="", L210=""), "[Aviso] Género no capturado ()", IF(ISNA(MATCH(L210, Criterios!$B$123:$B$127, 0)), "Género no válido", "")), IF(OR(N210="", N210=""), "[Aviso] Temporada no capturada ()", IF(ISNA(MATCH(N210, Criterios!$C$123:$C$128, 0)), "Temporada no válida", "")), IF(OR(O210="", O210=""), "[Aviso] Ciclo de vida no capturado ()", IF(ISNA(MATCH(O210, Criterios!$D$123:$D$124, 0)), "Ciclo de vida no válido", ""))))</f>
        <v/>
      </c>
      <c r="AC210" s="56" t="n"/>
      <c r="AD210" s="51" t="n">
        <v>13</v>
      </c>
      <c r="AE210" s="156" t="inlineStr">
        <is>
          <t>CL Muestras (1); CAPSLAB Warehouse (8)</t>
        </is>
      </c>
      <c r="AF210" s="51" t="n">
        <v>13</v>
      </c>
      <c r="AG210" s="156" t="inlineStr">
        <is>
          <t>Nuevo – NetSuite con existencia</t>
        </is>
      </c>
      <c r="AH210" s="156" t="inlineStr">
        <is>
          <t>Composición CAPSLAB varía por modelo (50/50, 40/60 o 100% poliéster): validar etiqueta; Color por validar; Físico total NetSuite 13 ≠ suma por ubicación 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10" s="156" t="inlineStr">
        <is>
          <t>No</t>
        </is>
      </c>
      <c r="AJ210" s="156" t="n"/>
      <c r="AK210" s="155" t="inlineStr">
        <is>
          <t>G1522ProductosTodosloscamposSandboxResults894.xlsx: fila 47958 [X]; G1522_Extraccion_Articulos_NetSuite_2026-09-30.xlsx: fila 30365 [Z]</t>
        </is>
      </c>
      <c r="AL210" s="58" t="n"/>
      <c r="AM210" s="58" t="n"/>
      <c r="AN210" s="155" t="n"/>
      <c r="AO210" s="59" t="n"/>
      <c r="AP210" s="59" t="n"/>
      <c r="AQ210" s="59" t="n"/>
      <c r="AR210" s="155" t="n"/>
    </row>
    <row r="211">
      <c r="A211" s="50" t="inlineStr">
        <is>
          <t>3614001583478</t>
        </is>
      </c>
      <c r="B211" s="51" t="inlineStr">
        <is>
          <t>57452</t>
        </is>
      </c>
      <c r="C211" s="156" t="inlineStr">
        <is>
          <t>CAPSLAB</t>
        </is>
      </c>
      <c r="D211" s="156" t="inlineStr">
        <is>
          <t>CL/LOO7/1/CASB/BU4</t>
        </is>
      </c>
      <c r="E211" s="156" t="inlineStr">
        <is>
          <t>CL/LOO7/1/CASB/BU4-uNI</t>
        </is>
      </c>
      <c r="F211" s="156" t="inlineStr">
        <is>
          <t>Talla única</t>
        </is>
      </c>
      <c r="G211" s="156" t="inlineStr">
        <is>
          <t>One Size</t>
        </is>
      </c>
      <c r="H211" s="156" t="inlineStr">
        <is>
          <t>CAPSLAB</t>
        </is>
      </c>
      <c r="I211" s="156" t="inlineStr">
        <is>
          <t>Gorra CAPSLAB Looney Tunes Gris</t>
        </is>
      </c>
      <c r="J211" s="156" t="inlineStr">
        <is>
          <t>Accesorios</t>
        </is>
      </c>
      <c r="K211" s="156" t="inlineStr">
        <is>
          <t>Gorras</t>
        </is>
      </c>
      <c r="L211" s="156" t="inlineStr">
        <is>
          <t>Unisex</t>
        </is>
      </c>
      <c r="M211" s="156" t="inlineStr">
        <is>
          <t>Looney Tunes</t>
        </is>
      </c>
      <c r="N211" s="156" t="n"/>
      <c r="O211" s="156" t="n"/>
      <c r="P211" s="156" t="inlineStr">
        <is>
          <t>Gris</t>
        </is>
      </c>
      <c r="Q211" s="156" t="n"/>
      <c r="R211" s="156" t="n"/>
      <c r="S211" s="156" t="inlineStr">
        <is>
          <t>Algodón / Poliéster</t>
        </is>
      </c>
      <c r="T211" s="156" t="inlineStr">
        <is>
          <t>Gorra de la marca CAPSLAB bajo licencia oficial Looney Tunes. Talla única ajustable. Estilo CL/LOO7/1/CASB/BU4.</t>
        </is>
      </c>
      <c r="U211" s="156" t="n"/>
      <c r="V211" s="156" t="inlineStr">
        <is>
          <t>PZS</t>
        </is>
      </c>
      <c r="W211" s="51" t="inlineStr">
        <is>
          <t>53102516</t>
        </is>
      </c>
      <c r="X211" s="156" t="inlineStr">
        <is>
          <t>https://7913364.app.netsuite.com/core/media/media.nl?id=188360&amp;c=7913364&amp;h=qBY1kmX0JcpNerA1GQa5RFiH4JxIR87eYNPqrTXN1ZBV8Wkc</t>
        </is>
      </c>
      <c r="Y211" s="54" t="n">
        <v>8.5</v>
      </c>
      <c r="Z211" s="54" t="n">
        <v>699</v>
      </c>
      <c r="AA211" s="55">
        <f>IF(AND(A211="", B211="", E211=""), "", IF(AB211="", "Válido", IF((LEN(AB211)-LEN(SUBSTITUTE(AB211,"; ","")))/2+1&gt;(LEN(AB211)-LEN(SUBSTITUTE(AB211,"[Aviso]","")))/7, "Con Incidencias", "Válido")))</f>
        <v/>
      </c>
      <c r="AB211" s="56">
        <f>IF(AND(A211="", B211="", E211=""), "", TEXTJOIN("; ", TRUE, IF(OR(TRIM(A211&amp;"")="", ISNUMBER(SEARCH("FALTA", A211))), "UPC faltante/inválido", ""), IF(AND(A211&lt;&gt;"", IFERROR(_xlfn.XMATCH(A211,$A$2:$A$370,0,1)&lt;&gt;_xlfn.XMATCH(A211,$A$2:$A$370,0,-1),FALSE)), "Código de barras duplicado", ""), IF(AND(E211&lt;&gt;"", COUNTIF($E$2:$E$370, E211)&gt;1), "SKU duplicado", ""), IF(OR(J211="", J211=""), "[Aviso] División no capturada ()", IF(ISNA(MATCH(J211, Criterios!$A$123:$A$126, 0)), "División no válida", "")), IF(OR(K211="", K211=""), "[Aviso] Categoría no capturada ()", IF(ISNA(MATCH(K211, Criterios!$A$81:$A$120, 0)), "Categoría no válida", IF(AND(J211&lt;&gt;"", J211&lt;&gt;"", J211&lt;&gt;VLOOKUP(K211, Criterios!$A$81:$B$120, 2, FALSE)), "División no coincide con Categoría", ""))), IF(OR(L211="", L211=""), "[Aviso] Género no capturado ()", IF(ISNA(MATCH(L211, Criterios!$B$123:$B$127, 0)), "Género no válido", "")), IF(OR(N211="", N211=""), "[Aviso] Temporada no capturada ()", IF(ISNA(MATCH(N211, Criterios!$C$123:$C$128, 0)), "Temporada no válida", "")), IF(OR(O211="", O211=""), "[Aviso] Ciclo de vida no capturado ()", IF(ISNA(MATCH(O211, Criterios!$D$123:$D$124, 0)), "Ciclo de vida no válido", ""))))</f>
        <v/>
      </c>
      <c r="AC211" s="56" t="n"/>
      <c r="AD211" s="51" t="n">
        <v>0</v>
      </c>
      <c r="AE211" s="156" t="n"/>
      <c r="AF211" s="51" t="n">
        <v>0</v>
      </c>
      <c r="AG211" s="156" t="inlineStr">
        <is>
          <t>Nuevo – NetSuite sin existencia</t>
        </is>
      </c>
      <c r="AH211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1" s="156" t="inlineStr">
        <is>
          <t>No</t>
        </is>
      </c>
      <c r="AJ211" s="156" t="n"/>
      <c r="AK211" s="155" t="inlineStr">
        <is>
          <t>G1522ProductosTodosloscamposSandboxResults894.xlsx: fila 47960 [Y]; G1522_Extraccion_Articulos_NetSuite_2026-09-30.xlsx: fila 20834 [Z]</t>
        </is>
      </c>
      <c r="AL211" s="58" t="n">
        <v>8.5</v>
      </c>
      <c r="AM211" s="58" t="n"/>
      <c r="AN211" s="155" t="n"/>
      <c r="AO211" s="59" t="n"/>
      <c r="AP211" s="59" t="n"/>
      <c r="AQ211" s="59" t="n"/>
      <c r="AR211" s="155" t="n"/>
    </row>
    <row r="212">
      <c r="A212" s="50" t="inlineStr">
        <is>
          <t>3614001552801</t>
        </is>
      </c>
      <c r="B212" s="51" t="inlineStr">
        <is>
          <t>57416</t>
        </is>
      </c>
      <c r="C212" s="156" t="inlineStr">
        <is>
          <t>CAPSLAB</t>
        </is>
      </c>
      <c r="D212" s="156" t="inlineStr">
        <is>
          <t>CL/LOO7/1/CASF/WI3</t>
        </is>
      </c>
      <c r="E212" s="156" t="inlineStr">
        <is>
          <t>CL/LOO7/1/CASF/WI3-UNI</t>
        </is>
      </c>
      <c r="F212" s="156" t="inlineStr">
        <is>
          <t>Talla única</t>
        </is>
      </c>
      <c r="G212" s="156" t="inlineStr">
        <is>
          <t>One Size</t>
        </is>
      </c>
      <c r="H212" s="156" t="inlineStr">
        <is>
          <t>CAPSLAB</t>
        </is>
      </c>
      <c r="I212" s="156" t="inlineStr">
        <is>
          <t>Gorra CAPSLAB Looney Tunes Negra</t>
        </is>
      </c>
      <c r="J212" s="156" t="inlineStr">
        <is>
          <t>Accesorios</t>
        </is>
      </c>
      <c r="K212" s="156" t="inlineStr">
        <is>
          <t>Gorras</t>
        </is>
      </c>
      <c r="L212" s="156" t="inlineStr">
        <is>
          <t>Unisex</t>
        </is>
      </c>
      <c r="M212" s="156" t="inlineStr">
        <is>
          <t>Looney Tunes</t>
        </is>
      </c>
      <c r="N212" s="156" t="n"/>
      <c r="O212" s="156" t="n"/>
      <c r="P212" s="156" t="inlineStr">
        <is>
          <t>Negro</t>
        </is>
      </c>
      <c r="Q212" s="156" t="n"/>
      <c r="R212" s="156" t="n"/>
      <c r="S212" s="156" t="inlineStr">
        <is>
          <t>Algodón / Poliéster</t>
        </is>
      </c>
      <c r="T212" s="156" t="inlineStr">
        <is>
          <t>Gorra de la marca CAPSLAB bajo licencia oficial Looney Tunes. Talla única ajustable. Estilo CL/LOO7/1/CASF/WI3.</t>
        </is>
      </c>
      <c r="U212" s="156" t="n"/>
      <c r="V212" s="156" t="inlineStr">
        <is>
          <t>PZS</t>
        </is>
      </c>
      <c r="W212" s="51" t="inlineStr">
        <is>
          <t>53102516</t>
        </is>
      </c>
      <c r="X212" s="156" t="inlineStr">
        <is>
          <t>https://7913364.app.netsuite.com/core/media/media.nl?id=188291&amp;c=7913364&amp;h=Ci4J9c8KI7avECXkPdY7EehFcflGkqVFfMOrhidlL_PpI_lw</t>
        </is>
      </c>
      <c r="Y212" s="54" t="n">
        <v>8.5</v>
      </c>
      <c r="Z212" s="54" t="n">
        <v>699</v>
      </c>
      <c r="AA212" s="55">
        <f>IF(AND(A212="", B212="", E212=""), "", IF(AB212="", "Válido", IF((LEN(AB212)-LEN(SUBSTITUTE(AB212,"; ","")))/2+1&gt;(LEN(AB212)-LEN(SUBSTITUTE(AB212,"[Aviso]","")))/7, "Con Incidencias", "Válido")))</f>
        <v/>
      </c>
      <c r="AB212" s="56">
        <f>IF(AND(A212="", B212="", E212=""), "", TEXTJOIN("; ", TRUE, IF(OR(TRIM(A212&amp;"")="", ISNUMBER(SEARCH("FALTA", A212))), "UPC faltante/inválido", ""), IF(AND(A212&lt;&gt;"", IFERROR(_xlfn.XMATCH(A212,$A$2:$A$370,0,1)&lt;&gt;_xlfn.XMATCH(A212,$A$2:$A$370,0,-1),FALSE)), "Código de barras duplicado", ""), IF(AND(E212&lt;&gt;"", COUNTIF($E$2:$E$370, E212)&gt;1), "SKU duplicado", ""), IF(OR(J212="", J212=""), "[Aviso] División no capturada ()", IF(ISNA(MATCH(J212, Criterios!$A$123:$A$126, 0)), "División no válida", "")), IF(OR(K212="", K212=""), "[Aviso] Categoría no capturada ()", IF(ISNA(MATCH(K212, Criterios!$A$81:$A$120, 0)), "Categoría no válida", IF(AND(J212&lt;&gt;"", J212&lt;&gt;"", J212&lt;&gt;VLOOKUP(K212, Criterios!$A$81:$B$120, 2, FALSE)), "División no coincide con Categoría", ""))), IF(OR(L212="", L212=""), "[Aviso] Género no capturado ()", IF(ISNA(MATCH(L212, Criterios!$B$123:$B$127, 0)), "Género no válido", "")), IF(OR(N212="", N212=""), "[Aviso] Temporada no capturada ()", IF(ISNA(MATCH(N212, Criterios!$C$123:$C$128, 0)), "Temporada no válida", "")), IF(OR(O212="", O212=""), "[Aviso] Ciclo de vida no capturado ()", IF(ISNA(MATCH(O212, Criterios!$D$123:$D$124, 0)), "Ciclo de vida no válido", ""))))</f>
        <v/>
      </c>
      <c r="AC212" s="56" t="n"/>
      <c r="AD212" s="51" t="n">
        <v>16</v>
      </c>
      <c r="AE212" s="156" t="inlineStr">
        <is>
          <t>Web (1); CAPSLAB Warehouse (8)</t>
        </is>
      </c>
      <c r="AF212" s="51" t="n">
        <v>16</v>
      </c>
      <c r="AG212" s="156" t="inlineStr">
        <is>
          <t>Nuevo – NetSuite con existencia</t>
        </is>
      </c>
      <c r="AH212" s="156" t="inlineStr">
        <is>
          <t>Composición CAPSLAB varía por modelo (50/50, 40/60 o 100% poliéster): validar etiqueta; Físico total NetSuite 16 ≠ suma por ubicación 9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2" s="156" t="inlineStr">
        <is>
          <t>No</t>
        </is>
      </c>
      <c r="AJ212" s="156" t="n"/>
      <c r="AK212" s="155" t="inlineStr">
        <is>
          <t>G1522ProductosTodosloscamposSandboxResults894.xlsx: fila 47962 [Y]; G1522_Extraccion_Articulos_NetSuite_2026-09-30.xlsx: fila 20798 [Z]</t>
        </is>
      </c>
      <c r="AL212" s="58" t="n">
        <v>8.5</v>
      </c>
      <c r="AM212" s="58" t="n"/>
      <c r="AN212" s="155" t="n"/>
      <c r="AO212" s="59" t="n"/>
      <c r="AP212" s="59" t="n"/>
      <c r="AQ212" s="59" t="n"/>
      <c r="AR212" s="155" t="n"/>
    </row>
    <row r="213">
      <c r="A213" s="50" t="inlineStr">
        <is>
          <t>3614001552825</t>
        </is>
      </c>
      <c r="B213" s="51" t="inlineStr">
        <is>
          <t>57478</t>
        </is>
      </c>
      <c r="C213" s="156" t="inlineStr">
        <is>
          <t>CAPSLAB</t>
        </is>
      </c>
      <c r="D213" s="156" t="inlineStr">
        <is>
          <t>CL/LOO7/1/CASX/BU5</t>
        </is>
      </c>
      <c r="E213" s="156" t="inlineStr">
        <is>
          <t>CL/LOO7/1/CASX/BU5-UNI</t>
        </is>
      </c>
      <c r="F213" s="156" t="inlineStr">
        <is>
          <t>Talla única</t>
        </is>
      </c>
      <c r="G213" s="156" t="inlineStr">
        <is>
          <t>One Size</t>
        </is>
      </c>
      <c r="H213" s="156" t="inlineStr">
        <is>
          <t>CAPSLAB</t>
        </is>
      </c>
      <c r="I213" s="156" t="inlineStr">
        <is>
          <t>Gorra CAPSLAB Looney Tunes Negro</t>
        </is>
      </c>
      <c r="J213" s="156" t="inlineStr">
        <is>
          <t>Accesorios</t>
        </is>
      </c>
      <c r="K213" s="156" t="inlineStr">
        <is>
          <t>Gorras</t>
        </is>
      </c>
      <c r="L213" s="156" t="inlineStr">
        <is>
          <t>Unisex</t>
        </is>
      </c>
      <c r="M213" s="156" t="inlineStr">
        <is>
          <t>Looney Tunes</t>
        </is>
      </c>
      <c r="N213" s="156" t="n"/>
      <c r="O213" s="156" t="n"/>
      <c r="P213" s="156" t="inlineStr">
        <is>
          <t>Negro</t>
        </is>
      </c>
      <c r="Q213" s="156" t="n"/>
      <c r="R213" s="156" t="n"/>
      <c r="S213" s="156" t="inlineStr">
        <is>
          <t>Algodón / Poliéster</t>
        </is>
      </c>
      <c r="T213" s="156" t="inlineStr">
        <is>
          <t>Gorra de la marca CAPSLAB bajo licencia oficial Looney Tunes. Talla única ajustable. Estilo CL/LOO7/1/CASX/BU5.</t>
        </is>
      </c>
      <c r="U213" s="156" t="n"/>
      <c r="V213" s="156" t="inlineStr">
        <is>
          <t>PZS</t>
        </is>
      </c>
      <c r="W213" s="51" t="inlineStr">
        <is>
          <t>53102516</t>
        </is>
      </c>
      <c r="X213" s="156" t="inlineStr">
        <is>
          <t>https://7913364.app.netsuite.com/core/media/media.nl?id=188386&amp;c=7913364&amp;h=KfvwSfTaE7VxxKENDRDi9FjYvutZYRM9vUgZWONuHmvkVwWt</t>
        </is>
      </c>
      <c r="Y213" s="54" t="n">
        <v>8.5</v>
      </c>
      <c r="Z213" s="54" t="n">
        <v>699</v>
      </c>
      <c r="AA213" s="55">
        <f>IF(AND(A213="", B213="", E213=""), "", IF(AB213="", "Válido", IF((LEN(AB213)-LEN(SUBSTITUTE(AB213,"; ","")))/2+1&gt;(LEN(AB213)-LEN(SUBSTITUTE(AB213,"[Aviso]","")))/7, "Con Incidencias", "Válido")))</f>
        <v/>
      </c>
      <c r="AB213" s="56">
        <f>IF(AND(A213="", B213="", E213=""), "", TEXTJOIN("; ", TRUE, IF(OR(TRIM(A213&amp;"")="", ISNUMBER(SEARCH("FALTA", A213))), "UPC faltante/inválido", ""), IF(AND(A213&lt;&gt;"", IFERROR(_xlfn.XMATCH(A213,$A$2:$A$370,0,1)&lt;&gt;_xlfn.XMATCH(A213,$A$2:$A$370,0,-1),FALSE)), "Código de barras duplicado", ""), IF(AND(E213&lt;&gt;"", COUNTIF($E$2:$E$370, E213)&gt;1), "SKU duplicado", ""), IF(OR(J213="", J213=""), "[Aviso] División no capturada ()", IF(ISNA(MATCH(J213, Criterios!$A$123:$A$126, 0)), "División no válida", "")), IF(OR(K213="", K213=""), "[Aviso] Categoría no capturada ()", IF(ISNA(MATCH(K213, Criterios!$A$81:$A$120, 0)), "Categoría no válida", IF(AND(J213&lt;&gt;"", J213&lt;&gt;"", J213&lt;&gt;VLOOKUP(K213, Criterios!$A$81:$B$120, 2, FALSE)), "División no coincide con Categoría", ""))), IF(OR(L213="", L213=""), "[Aviso] Género no capturado ()", IF(ISNA(MATCH(L213, Criterios!$B$123:$B$127, 0)), "Género no válido", "")), IF(OR(N213="", N213=""), "[Aviso] Temporada no capturada ()", IF(ISNA(MATCH(N213, Criterios!$C$123:$C$128, 0)), "Temporada no válida", "")), IF(OR(O213="", O213=""), "[Aviso] Ciclo de vida no capturado ()", IF(ISNA(MATCH(O213, Criterios!$D$123:$D$124, 0)), "Ciclo de vida no válido", ""))))</f>
        <v/>
      </c>
      <c r="AC213" s="56" t="n"/>
      <c r="AD213" s="51" t="n">
        <v>0</v>
      </c>
      <c r="AE213" s="156" t="n"/>
      <c r="AF213" s="51" t="n">
        <v>0</v>
      </c>
      <c r="AG213" s="156" t="inlineStr">
        <is>
          <t>Nuevo – NetSuite sin existencia</t>
        </is>
      </c>
      <c r="AH213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3" s="156" t="inlineStr">
        <is>
          <t>No</t>
        </is>
      </c>
      <c r="AJ213" s="156" t="n"/>
      <c r="AK213" s="155" t="inlineStr">
        <is>
          <t>G1522ProductosTodosloscamposSandboxResults894.xlsx: fila 47964 [Y]; G1522_Extraccion_Articulos_NetSuite_2026-09-30.xlsx: fila 20860 [Z]</t>
        </is>
      </c>
      <c r="AL213" s="58" t="n">
        <v>8.5</v>
      </c>
      <c r="AM213" s="58" t="n"/>
      <c r="AN213" s="155" t="n"/>
      <c r="AO213" s="59" t="n"/>
      <c r="AP213" s="59" t="n"/>
      <c r="AQ213" s="59" t="n"/>
      <c r="AR213" s="155" t="n"/>
    </row>
    <row r="214">
      <c r="A214" s="50" t="inlineStr">
        <is>
          <t>3614001552832</t>
        </is>
      </c>
      <c r="B214" s="51" t="inlineStr">
        <is>
          <t>57453</t>
        </is>
      </c>
      <c r="C214" s="156" t="inlineStr">
        <is>
          <t>CAPSLAB</t>
        </is>
      </c>
      <c r="D214" s="156" t="inlineStr">
        <is>
          <t>CL/LOO7/1/CASX/BU6</t>
        </is>
      </c>
      <c r="E214" s="156" t="inlineStr">
        <is>
          <t>CL/LOO7/1/CASX/BU6-UNI</t>
        </is>
      </c>
      <c r="F214" s="156" t="inlineStr">
        <is>
          <t>Talla única</t>
        </is>
      </c>
      <c r="G214" s="156" t="inlineStr">
        <is>
          <t>One Size</t>
        </is>
      </c>
      <c r="H214" s="156" t="inlineStr">
        <is>
          <t>CAPSLAB</t>
        </is>
      </c>
      <c r="I214" s="156" t="inlineStr">
        <is>
          <t>Gorra CAPSLAB Looney Tunes Café</t>
        </is>
      </c>
      <c r="J214" s="156" t="inlineStr">
        <is>
          <t>Accesorios</t>
        </is>
      </c>
      <c r="K214" s="156" t="inlineStr">
        <is>
          <t>Gorras</t>
        </is>
      </c>
      <c r="L214" s="156" t="inlineStr">
        <is>
          <t>Unisex</t>
        </is>
      </c>
      <c r="M214" s="156" t="inlineStr">
        <is>
          <t>Looney Tunes</t>
        </is>
      </c>
      <c r="N214" s="156" t="n"/>
      <c r="O214" s="156" t="n"/>
      <c r="P214" s="156" t="inlineStr">
        <is>
          <t>Cafe</t>
        </is>
      </c>
      <c r="Q214" s="156" t="n"/>
      <c r="R214" s="156" t="n"/>
      <c r="S214" s="156" t="inlineStr">
        <is>
          <t>Algodón / Poliéster</t>
        </is>
      </c>
      <c r="T214" s="156" t="inlineStr">
        <is>
          <t>Gorra de la marca CAPSLAB bajo licencia oficial Looney Tunes. Talla única ajustable. Estilo CL/LOO7/1/CASX/BU6.</t>
        </is>
      </c>
      <c r="U214" s="156" t="n"/>
      <c r="V214" s="156" t="inlineStr">
        <is>
          <t>PZS</t>
        </is>
      </c>
      <c r="W214" s="51" t="inlineStr">
        <is>
          <t>53102516</t>
        </is>
      </c>
      <c r="X214" s="156" t="inlineStr">
        <is>
          <t>https://7913364.app.netsuite.com/core/media/media.nl?id=188361&amp;c=7913364&amp;h=cQEiv6UU8KO2WAlXcxbuv6hoEIDITU8EbhyuTz_qcSy2IwMu</t>
        </is>
      </c>
      <c r="Y214" s="54" t="n">
        <v>8.5</v>
      </c>
      <c r="Z214" s="54" t="n">
        <v>699</v>
      </c>
      <c r="AA214" s="55">
        <f>IF(AND(A214="", B214="", E214=""), "", IF(AB214="", "Válido", IF((LEN(AB214)-LEN(SUBSTITUTE(AB214,"; ","")))/2+1&gt;(LEN(AB214)-LEN(SUBSTITUTE(AB214,"[Aviso]","")))/7, "Con Incidencias", "Válido")))</f>
        <v/>
      </c>
      <c r="AB214" s="56">
        <f>IF(AND(A214="", B214="", E214=""), "", TEXTJOIN("; ", TRUE, IF(OR(TRIM(A214&amp;"")="", ISNUMBER(SEARCH("FALTA", A214))), "UPC faltante/inválido", ""), IF(AND(A214&lt;&gt;"", IFERROR(_xlfn.XMATCH(A214,$A$2:$A$370,0,1)&lt;&gt;_xlfn.XMATCH(A214,$A$2:$A$370,0,-1),FALSE)), "Código de barras duplicado", ""), IF(AND(E214&lt;&gt;"", COUNTIF($E$2:$E$370, E214)&gt;1), "SKU duplicado", ""), IF(OR(J214="", J214=""), "[Aviso] División no capturada ()", IF(ISNA(MATCH(J214, Criterios!$A$123:$A$126, 0)), "División no válida", "")), IF(OR(K214="", K214=""), "[Aviso] Categoría no capturada ()", IF(ISNA(MATCH(K214, Criterios!$A$81:$A$120, 0)), "Categoría no válida", IF(AND(J214&lt;&gt;"", J214&lt;&gt;"", J214&lt;&gt;VLOOKUP(K214, Criterios!$A$81:$B$120, 2, FALSE)), "División no coincide con Categoría", ""))), IF(OR(L214="", L214=""), "[Aviso] Género no capturado ()", IF(ISNA(MATCH(L214, Criterios!$B$123:$B$127, 0)), "Género no válido", "")), IF(OR(N214="", N214=""), "[Aviso] Temporada no capturada ()", IF(ISNA(MATCH(N214, Criterios!$C$123:$C$128, 0)), "Temporada no válida", "")), IF(OR(O214="", O214=""), "[Aviso] Ciclo de vida no capturado ()", IF(ISNA(MATCH(O214, Criterios!$D$123:$D$124, 0)), "Ciclo de vida no válido", ""))))</f>
        <v/>
      </c>
      <c r="AC214" s="56" t="n"/>
      <c r="AD214" s="51" t="n">
        <v>0</v>
      </c>
      <c r="AE214" s="156" t="n"/>
      <c r="AF214" s="51" t="n">
        <v>0</v>
      </c>
      <c r="AG214" s="156" t="inlineStr">
        <is>
          <t>Nuevo – NetSuite sin existencia</t>
        </is>
      </c>
      <c r="AH21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4" s="156" t="inlineStr">
        <is>
          <t>No</t>
        </is>
      </c>
      <c r="AJ214" s="156" t="n"/>
      <c r="AK214" s="155" t="inlineStr">
        <is>
          <t>G1522ProductosTodosloscamposSandboxResults894.xlsx: fila 47966 [Y]; G1522_Extraccion_Articulos_NetSuite_2026-09-30.xlsx: fila 20835 [Z]</t>
        </is>
      </c>
      <c r="AL214" s="58" t="n">
        <v>8.5</v>
      </c>
      <c r="AM214" s="58" t="n"/>
      <c r="AN214" s="155" t="n"/>
      <c r="AO214" s="59" t="n"/>
      <c r="AP214" s="59" t="n"/>
      <c r="AQ214" s="59" t="n"/>
      <c r="AR214" s="155" t="n"/>
    </row>
    <row r="215">
      <c r="A215" s="50" t="inlineStr">
        <is>
          <t>3614001697564</t>
        </is>
      </c>
      <c r="B215" s="51" t="inlineStr">
        <is>
          <t>69636</t>
        </is>
      </c>
      <c r="C215" s="156" t="inlineStr">
        <is>
          <t>CAPSLAB</t>
        </is>
      </c>
      <c r="D215" s="156" t="inlineStr">
        <is>
          <t>CL/LOO8/1/CD/DAF</t>
        </is>
      </c>
      <c r="E215" s="156" t="inlineStr">
        <is>
          <t>CL/LOO8/1/CD/DAF-UNI</t>
        </is>
      </c>
      <c r="F215" s="156" t="inlineStr">
        <is>
          <t>Talla única</t>
        </is>
      </c>
      <c r="G215" s="156" t="inlineStr">
        <is>
          <t>One Size</t>
        </is>
      </c>
      <c r="H215" s="156" t="inlineStr">
        <is>
          <t>CAPSLAB</t>
        </is>
      </c>
      <c r="I215" s="156" t="inlineStr">
        <is>
          <t>Gorra CAPSLAB Looney Tunes Pato Lucas</t>
        </is>
      </c>
      <c r="J215" s="156" t="inlineStr">
        <is>
          <t>Accesorios</t>
        </is>
      </c>
      <c r="K215" s="156" t="inlineStr">
        <is>
          <t>Gorras</t>
        </is>
      </c>
      <c r="L215" s="156" t="inlineStr">
        <is>
          <t>Unisex</t>
        </is>
      </c>
      <c r="M215" s="156" t="inlineStr">
        <is>
          <t>Looney Tunes</t>
        </is>
      </c>
      <c r="N215" s="156" t="n"/>
      <c r="O215" s="156" t="n"/>
      <c r="P215" s="156" t="n"/>
      <c r="Q215" s="156" t="n"/>
      <c r="R215" s="156" t="n"/>
      <c r="S215" s="156" t="inlineStr">
        <is>
          <t>Algodón / Poliéster</t>
        </is>
      </c>
      <c r="T215" s="156" t="inlineStr">
        <is>
          <t>Gorra de la marca CAPSLAB bajo licencia oficial Looney Tunes, personaje Pato Lucas. Talla única ajustable. Estilo CL/LOO8/1/CD/DAF.</t>
        </is>
      </c>
      <c r="U215" s="156" t="n"/>
      <c r="V215" s="156" t="inlineStr">
        <is>
          <t>PZS</t>
        </is>
      </c>
      <c r="W215" s="51" t="inlineStr">
        <is>
          <t>53102516</t>
        </is>
      </c>
      <c r="X215" s="156" t="inlineStr">
        <is>
          <t>https://i.ibb.co/MsR205p/CLLOO81-CDDAF.jpg</t>
        </is>
      </c>
      <c r="Y215" s="54" t="n"/>
      <c r="Z215" s="54" t="n">
        <v>699</v>
      </c>
      <c r="AA215" s="55">
        <f>IF(AND(A215="", B215="", E215=""), "", IF(AB215="", "Válido", IF((LEN(AB215)-LEN(SUBSTITUTE(AB215,"; ","")))/2+1&gt;(LEN(AB215)-LEN(SUBSTITUTE(AB215,"[Aviso]","")))/7, "Con Incidencias", "Válido")))</f>
        <v/>
      </c>
      <c r="AB215" s="56">
        <f>IF(AND(A215="", B215="", E215=""), "", TEXTJOIN("; ", TRUE, IF(OR(TRIM(A215&amp;"")="", ISNUMBER(SEARCH("FALTA", A215))), "UPC faltante/inválido", ""), IF(AND(A215&lt;&gt;"", IFERROR(_xlfn.XMATCH(A215,$A$2:$A$370,0,1)&lt;&gt;_xlfn.XMATCH(A215,$A$2:$A$370,0,-1),FALSE)), "Código de barras duplicado", ""), IF(AND(E215&lt;&gt;"", COUNTIF($E$2:$E$370, E215)&gt;1), "SKU duplicado", ""), IF(OR(J215="", J215=""), "[Aviso] División no capturada ()", IF(ISNA(MATCH(J215, Criterios!$A$123:$A$126, 0)), "División no válida", "")), IF(OR(K215="", K215=""), "[Aviso] Categoría no capturada ()", IF(ISNA(MATCH(K215, Criterios!$A$81:$A$120, 0)), "Categoría no válida", IF(AND(J215&lt;&gt;"", J215&lt;&gt;"", J215&lt;&gt;VLOOKUP(K215, Criterios!$A$81:$B$120, 2, FALSE)), "División no coincide con Categoría", ""))), IF(OR(L215="", L215=""), "[Aviso] Género no capturado ()", IF(ISNA(MATCH(L215, Criterios!$B$123:$B$127, 0)), "Género no válido", "")), IF(OR(N215="", N215=""), "[Aviso] Temporada no capturada ()", IF(ISNA(MATCH(N215, Criterios!$C$123:$C$128, 0)), "Temporada no válida", "")), IF(OR(O215="", O215=""), "[Aviso] Ciclo de vida no capturado ()", IF(ISNA(MATCH(O215, Criterios!$D$123:$D$124, 0)), "Ciclo de vida no válido", ""))))</f>
        <v/>
      </c>
      <c r="AC215" s="56" t="n"/>
      <c r="AD215" s="51" t="n">
        <v>133</v>
      </c>
      <c r="AE215" s="156" t="inlineStr">
        <is>
          <t>Web (2); CL POS (2); CL Muestras (1); CAPSLAB Warehouse (70)</t>
        </is>
      </c>
      <c r="AF215" s="51" t="n">
        <v>133</v>
      </c>
      <c r="AG215" s="156" t="inlineStr">
        <is>
          <t>Nuevo – NetSuite con existencia</t>
        </is>
      </c>
      <c r="AH215" s="156" t="inlineStr">
        <is>
          <t>Composición CAPSLAB varía por modelo (50/50, 40/60 o 100% poliéster): validar etiqueta; Color por validar; Físico total NetSuite 133 ≠ suma por ubicación 75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15" s="156" t="inlineStr">
        <is>
          <t>No</t>
        </is>
      </c>
      <c r="AJ215" s="156" t="n"/>
      <c r="AK215" s="155" t="inlineStr">
        <is>
          <t>G1522ProductosTodosloscamposSandboxResults894.xlsx: fila 47968 [X]; G1522_Extraccion_Articulos_NetSuite_2026-09-30.xlsx: fila 30366 [Z]</t>
        </is>
      </c>
      <c r="AL215" s="58" t="n"/>
      <c r="AM215" s="58" t="n"/>
      <c r="AN215" s="155" t="n"/>
      <c r="AO215" s="59" t="n"/>
      <c r="AP215" s="59" t="n"/>
      <c r="AQ215" s="59" t="n"/>
      <c r="AR215" s="155" t="n"/>
    </row>
    <row r="216">
      <c r="A216" s="50" t="inlineStr">
        <is>
          <t>3614001698646</t>
        </is>
      </c>
      <c r="B216" s="51" t="inlineStr">
        <is>
          <t>69637</t>
        </is>
      </c>
      <c r="C216" s="156" t="inlineStr">
        <is>
          <t>CAPSLAB</t>
        </is>
      </c>
      <c r="D216" s="156" t="inlineStr">
        <is>
          <t>CL/LOO8/1/CF/BUG</t>
        </is>
      </c>
      <c r="E216" s="156" t="inlineStr">
        <is>
          <t>CL/LOO8/1/CF/BUG-UNI</t>
        </is>
      </c>
      <c r="F216" s="156" t="inlineStr">
        <is>
          <t>Talla única</t>
        </is>
      </c>
      <c r="G216" s="156" t="inlineStr">
        <is>
          <t>One Size</t>
        </is>
      </c>
      <c r="H216" s="156" t="inlineStr">
        <is>
          <t>CAPSLAB</t>
        </is>
      </c>
      <c r="I216" s="156" t="inlineStr">
        <is>
          <t>Gorra CAPSLAB Looney Tunes Bugs Bunny</t>
        </is>
      </c>
      <c r="J216" s="156" t="inlineStr">
        <is>
          <t>Accesorios</t>
        </is>
      </c>
      <c r="K216" s="156" t="inlineStr">
        <is>
          <t>Gorras</t>
        </is>
      </c>
      <c r="L216" s="156" t="inlineStr">
        <is>
          <t>Unisex</t>
        </is>
      </c>
      <c r="M216" s="156" t="inlineStr">
        <is>
          <t>Looney Tunes</t>
        </is>
      </c>
      <c r="N216" s="156" t="n"/>
      <c r="O216" s="156" t="n"/>
      <c r="P216" s="156" t="n"/>
      <c r="Q216" s="156" t="n"/>
      <c r="R216" s="156" t="n"/>
      <c r="S216" s="156" t="inlineStr">
        <is>
          <t>Algodón / Poliéster</t>
        </is>
      </c>
      <c r="T216" s="156" t="inlineStr">
        <is>
          <t>Gorra de la marca CAPSLAB bajo licencia oficial Looney Tunes, personaje Bugs Bunny. Talla única ajustable. Estilo CL/LOO8/1/CF/BUG.</t>
        </is>
      </c>
      <c r="U216" s="156" t="n"/>
      <c r="V216" s="156" t="inlineStr">
        <is>
          <t>PZS</t>
        </is>
      </c>
      <c r="W216" s="51" t="inlineStr">
        <is>
          <t>53102516</t>
        </is>
      </c>
      <c r="X216" s="156" t="inlineStr">
        <is>
          <t>https://i.ibb.co/bdFjXJz/CLLOO81-CFBUG.jpg</t>
        </is>
      </c>
      <c r="Y216" s="54" t="n"/>
      <c r="Z216" s="54" t="n">
        <v>699</v>
      </c>
      <c r="AA216" s="55">
        <f>IF(AND(A216="", B216="", E216=""), "", IF(AB216="", "Válido", IF((LEN(AB216)-LEN(SUBSTITUTE(AB216,"; ","")))/2+1&gt;(LEN(AB216)-LEN(SUBSTITUTE(AB216,"[Aviso]","")))/7, "Con Incidencias", "Válido")))</f>
        <v/>
      </c>
      <c r="AB216" s="56">
        <f>IF(AND(A216="", B216="", E216=""), "", TEXTJOIN("; ", TRUE, IF(OR(TRIM(A216&amp;"")="", ISNUMBER(SEARCH("FALTA", A216))), "UPC faltante/inválido", ""), IF(AND(A216&lt;&gt;"", IFERROR(_xlfn.XMATCH(A216,$A$2:$A$370,0,1)&lt;&gt;_xlfn.XMATCH(A216,$A$2:$A$370,0,-1),FALSE)), "Código de barras duplicado", ""), IF(AND(E216&lt;&gt;"", COUNTIF($E$2:$E$370, E216)&gt;1), "SKU duplicado", ""), IF(OR(J216="", J216=""), "[Aviso] División no capturada ()", IF(ISNA(MATCH(J216, Criterios!$A$123:$A$126, 0)), "División no válida", "")), IF(OR(K216="", K216=""), "[Aviso] Categoría no capturada ()", IF(ISNA(MATCH(K216, Criterios!$A$81:$A$120, 0)), "Categoría no válida", IF(AND(J216&lt;&gt;"", J216&lt;&gt;"", J216&lt;&gt;VLOOKUP(K216, Criterios!$A$81:$B$120, 2, FALSE)), "División no coincide con Categoría", ""))), IF(OR(L216="", L216=""), "[Aviso] Género no capturado ()", IF(ISNA(MATCH(L216, Criterios!$B$123:$B$127, 0)), "Género no válido", "")), IF(OR(N216="", N216=""), "[Aviso] Temporada no capturada ()", IF(ISNA(MATCH(N216, Criterios!$C$123:$C$128, 0)), "Temporada no válida", "")), IF(OR(O216="", O216=""), "[Aviso] Ciclo de vida no capturado ()", IF(ISNA(MATCH(O216, Criterios!$D$123:$D$124, 0)), "Ciclo de vida no válido", ""))))</f>
        <v/>
      </c>
      <c r="AC216" s="56" t="n"/>
      <c r="AD216" s="51" t="n">
        <v>93</v>
      </c>
      <c r="AE216" s="156" t="inlineStr">
        <is>
          <t>CAPSLAB Warehouse (48); CL Muestras (1); Web (2)</t>
        </is>
      </c>
      <c r="AF216" s="51" t="n">
        <v>93</v>
      </c>
      <c r="AG216" s="156" t="inlineStr">
        <is>
          <t>Nuevo – NetSuite con existencia</t>
        </is>
      </c>
      <c r="AH216" s="156" t="inlineStr">
        <is>
          <t>Composición CAPSLAB varía por modelo (50/50, 40/60 o 100% poliéster): validar etiqueta; Color por validar; Físico total NetSuite 93 ≠ suma por ubicación 51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16" s="156" t="inlineStr">
        <is>
          <t>No</t>
        </is>
      </c>
      <c r="AJ216" s="156" t="n"/>
      <c r="AK216" s="155" t="inlineStr">
        <is>
          <t>G1522ProductosTodosloscamposSandboxResults894.xlsx: fila 47970 [X]; G1522_Extraccion_Articulos_NetSuite_2026-09-30.xlsx: fila 30367 [Z]</t>
        </is>
      </c>
      <c r="AL216" s="58" t="n"/>
      <c r="AM216" s="58" t="n"/>
      <c r="AN216" s="155" t="n"/>
      <c r="AO216" s="59" t="n"/>
      <c r="AP216" s="59" t="n"/>
      <c r="AQ216" s="59" t="n"/>
      <c r="AR216" s="155" t="n"/>
    </row>
    <row r="217">
      <c r="A217" s="50" t="inlineStr">
        <is>
          <t>3614001696963</t>
        </is>
      </c>
      <c r="B217" s="51" t="inlineStr">
        <is>
          <t>69638</t>
        </is>
      </c>
      <c r="C217" s="156" t="inlineStr">
        <is>
          <t>CAPSLAB</t>
        </is>
      </c>
      <c r="D217" s="156" t="inlineStr">
        <is>
          <t>CL/LOO8/1/CT/BUG1</t>
        </is>
      </c>
      <c r="E217" s="156" t="inlineStr">
        <is>
          <t>CL/LOO8/1/CT/BUG1-UNI</t>
        </is>
      </c>
      <c r="F217" s="156" t="inlineStr">
        <is>
          <t>Talla única</t>
        </is>
      </c>
      <c r="G217" s="156" t="inlineStr">
        <is>
          <t>One Size</t>
        </is>
      </c>
      <c r="H217" s="156" t="inlineStr">
        <is>
          <t>CAPSLAB</t>
        </is>
      </c>
      <c r="I217" s="156" t="inlineStr">
        <is>
          <t>Gorra trucker CAPSLAB Looney Tunes Bugs Bunny</t>
        </is>
      </c>
      <c r="J217" s="156" t="inlineStr">
        <is>
          <t>Accesorios</t>
        </is>
      </c>
      <c r="K217" s="156" t="inlineStr">
        <is>
          <t>Gorras</t>
        </is>
      </c>
      <c r="L217" s="156" t="inlineStr">
        <is>
          <t>Unisex</t>
        </is>
      </c>
      <c r="M217" s="156" t="inlineStr">
        <is>
          <t>Looney Tunes</t>
        </is>
      </c>
      <c r="N217" s="156" t="n"/>
      <c r="O217" s="156" t="n"/>
      <c r="P217" s="156" t="n"/>
      <c r="Q217" s="156" t="n"/>
      <c r="R217" s="156" t="n"/>
      <c r="S217" s="156" t="inlineStr">
        <is>
          <t>Algodón / Poliéster</t>
        </is>
      </c>
      <c r="T217" s="156" t="inlineStr">
        <is>
          <t>Gorra trucker de la marca CAPSLAB bajo licencia oficial Looney Tunes, personaje Bugs Bunny. Talla única ajustable. Estilo CL/LOO8/1/CT/BUG1.</t>
        </is>
      </c>
      <c r="U217" s="156" t="n"/>
      <c r="V217" s="156" t="inlineStr">
        <is>
          <t>PZS</t>
        </is>
      </c>
      <c r="W217" s="51" t="inlineStr">
        <is>
          <t>53102516</t>
        </is>
      </c>
      <c r="X217" s="156" t="inlineStr">
        <is>
          <t>https://i.ibb.co/0yg2vP5/CLLOO81-CTBUG1.jpg</t>
        </is>
      </c>
      <c r="Y217" s="54" t="n"/>
      <c r="Z217" s="54" t="n">
        <v>699</v>
      </c>
      <c r="AA217" s="55">
        <f>IF(AND(A217="", B217="", E217=""), "", IF(AB217="", "Válido", IF((LEN(AB217)-LEN(SUBSTITUTE(AB217,"; ","")))/2+1&gt;(LEN(AB217)-LEN(SUBSTITUTE(AB217,"[Aviso]","")))/7, "Con Incidencias", "Válido")))</f>
        <v/>
      </c>
      <c r="AB217" s="56">
        <f>IF(AND(A217="", B217="", E217=""), "", TEXTJOIN("; ", TRUE, IF(OR(TRIM(A217&amp;"")="", ISNUMBER(SEARCH("FALTA", A217))), "UPC faltante/inválido", ""), IF(AND(A217&lt;&gt;"", IFERROR(_xlfn.XMATCH(A217,$A$2:$A$370,0,1)&lt;&gt;_xlfn.XMATCH(A217,$A$2:$A$370,0,-1),FALSE)), "Código de barras duplicado", ""), IF(AND(E217&lt;&gt;"", COUNTIF($E$2:$E$370, E217)&gt;1), "SKU duplicado", ""), IF(OR(J217="", J217=""), "[Aviso] División no capturada ()", IF(ISNA(MATCH(J217, Criterios!$A$123:$A$126, 0)), "División no válida", "")), IF(OR(K217="", K217=""), "[Aviso] Categoría no capturada ()", IF(ISNA(MATCH(K217, Criterios!$A$81:$A$120, 0)), "Categoría no válida", IF(AND(J217&lt;&gt;"", J217&lt;&gt;"", J217&lt;&gt;VLOOKUP(K217, Criterios!$A$81:$B$120, 2, FALSE)), "División no coincide con Categoría", ""))), IF(OR(L217="", L217=""), "[Aviso] Género no capturado ()", IF(ISNA(MATCH(L217, Criterios!$B$123:$B$127, 0)), "Género no válido", "")), IF(OR(N217="", N217=""), "[Aviso] Temporada no capturada ()", IF(ISNA(MATCH(N217, Criterios!$C$123:$C$128, 0)), "Temporada no válida", "")), IF(OR(O217="", O217=""), "[Aviso] Ciclo de vida no capturado ()", IF(ISNA(MATCH(O217, Criterios!$D$123:$D$124, 0)), "Ciclo de vida no válido", ""))))</f>
        <v/>
      </c>
      <c r="AC217" s="56" t="n"/>
      <c r="AD217" s="51" t="n">
        <v>183</v>
      </c>
      <c r="AE217" s="156" t="inlineStr">
        <is>
          <t>Web (2); CAPSLAB Warehouse (97); CL Muestras (1)</t>
        </is>
      </c>
      <c r="AF217" s="51" t="n">
        <v>183</v>
      </c>
      <c r="AG217" s="156" t="inlineStr">
        <is>
          <t>Nuevo – NetSuite con existencia</t>
        </is>
      </c>
      <c r="AH217" s="156" t="inlineStr">
        <is>
          <t>Composición CAPSLAB varía por modelo (50/50, 40/60 o 100% poliéster): validar etiqueta; Color por validar; Físico total NetSuite 183 ≠ suma por ubicación 100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17" s="156" t="inlineStr">
        <is>
          <t>No</t>
        </is>
      </c>
      <c r="AJ217" s="156" t="n"/>
      <c r="AK217" s="155" t="inlineStr">
        <is>
          <t>G1522ProductosTodosloscamposSandboxResults894.xlsx: fila 47972 [X]; G1522_Extraccion_Articulos_NetSuite_2026-09-30.xlsx: fila 30368 [Z]</t>
        </is>
      </c>
      <c r="AL217" s="58" t="n"/>
      <c r="AM217" s="58" t="n"/>
      <c r="AN217" s="155" t="n"/>
      <c r="AO217" s="59" t="n"/>
      <c r="AP217" s="59" t="n"/>
      <c r="AQ217" s="59" t="n"/>
      <c r="AR217" s="155" t="n"/>
    </row>
    <row r="218">
      <c r="A218" s="50" t="inlineStr">
        <is>
          <t>3614001696987</t>
        </is>
      </c>
      <c r="B218" s="51" t="inlineStr">
        <is>
          <t>69639</t>
        </is>
      </c>
      <c r="C218" s="156" t="inlineStr">
        <is>
          <t>CAPSLAB</t>
        </is>
      </c>
      <c r="D218" s="156" t="inlineStr">
        <is>
          <t>CL/LOO8/1/CT/BUG2</t>
        </is>
      </c>
      <c r="E218" s="156" t="inlineStr">
        <is>
          <t>CL/LOO8/1/CT/BUG2-UNI</t>
        </is>
      </c>
      <c r="F218" s="156" t="inlineStr">
        <is>
          <t>Talla única</t>
        </is>
      </c>
      <c r="G218" s="156" t="inlineStr">
        <is>
          <t>One Size</t>
        </is>
      </c>
      <c r="H218" s="156" t="inlineStr">
        <is>
          <t>CAPSLAB</t>
        </is>
      </c>
      <c r="I218" s="156" t="inlineStr">
        <is>
          <t>Gorra trucker CAPSLAB Looney Tunes Bugs Bunny</t>
        </is>
      </c>
      <c r="J218" s="156" t="inlineStr">
        <is>
          <t>Accesorios</t>
        </is>
      </c>
      <c r="K218" s="156" t="inlineStr">
        <is>
          <t>Gorras</t>
        </is>
      </c>
      <c r="L218" s="156" t="inlineStr">
        <is>
          <t>Unisex</t>
        </is>
      </c>
      <c r="M218" s="156" t="inlineStr">
        <is>
          <t>Looney Tunes</t>
        </is>
      </c>
      <c r="N218" s="156" t="n"/>
      <c r="O218" s="156" t="n"/>
      <c r="P218" s="156" t="n"/>
      <c r="Q218" s="156" t="n"/>
      <c r="R218" s="156" t="n"/>
      <c r="S218" s="156" t="inlineStr">
        <is>
          <t>Algodón / Poliéster</t>
        </is>
      </c>
      <c r="T218" s="156" t="inlineStr">
        <is>
          <t>Gorra trucker de la marca CAPSLAB bajo licencia oficial Looney Tunes, personaje Bugs Bunny. Talla única ajustable. Estilo CL/LOO8/1/CT/BUG2.</t>
        </is>
      </c>
      <c r="U218" s="156" t="n"/>
      <c r="V218" s="156" t="inlineStr">
        <is>
          <t>PZS</t>
        </is>
      </c>
      <c r="W218" s="51" t="inlineStr">
        <is>
          <t>53102516</t>
        </is>
      </c>
      <c r="X218" s="156" t="inlineStr">
        <is>
          <t>https://i.ibb.co/JFVN6hS/CLLOO81-CTBUG2.jpg</t>
        </is>
      </c>
      <c r="Y218" s="54" t="n"/>
      <c r="Z218" s="54" t="n">
        <v>699</v>
      </c>
      <c r="AA218" s="55">
        <f>IF(AND(A218="", B218="", E218=""), "", IF(AB218="", "Válido", IF((LEN(AB218)-LEN(SUBSTITUTE(AB218,"; ","")))/2+1&gt;(LEN(AB218)-LEN(SUBSTITUTE(AB218,"[Aviso]","")))/7, "Con Incidencias", "Válido")))</f>
        <v/>
      </c>
      <c r="AB218" s="56">
        <f>IF(AND(A218="", B218="", E218=""), "", TEXTJOIN("; ", TRUE, IF(OR(TRIM(A218&amp;"")="", ISNUMBER(SEARCH("FALTA", A218))), "UPC faltante/inválido", ""), IF(AND(A218&lt;&gt;"", IFERROR(_xlfn.XMATCH(A218,$A$2:$A$370,0,1)&lt;&gt;_xlfn.XMATCH(A218,$A$2:$A$370,0,-1),FALSE)), "Código de barras duplicado", ""), IF(AND(E218&lt;&gt;"", COUNTIF($E$2:$E$370, E218)&gt;1), "SKU duplicado", ""), IF(OR(J218="", J218=""), "[Aviso] División no capturada ()", IF(ISNA(MATCH(J218, Criterios!$A$123:$A$126, 0)), "División no válida", "")), IF(OR(K218="", K218=""), "[Aviso] Categoría no capturada ()", IF(ISNA(MATCH(K218, Criterios!$A$81:$A$120, 0)), "Categoría no válida", IF(AND(J218&lt;&gt;"", J218&lt;&gt;"", J218&lt;&gt;VLOOKUP(K218, Criterios!$A$81:$B$120, 2, FALSE)), "División no coincide con Categoría", ""))), IF(OR(L218="", L218=""), "[Aviso] Género no capturado ()", IF(ISNA(MATCH(L218, Criterios!$B$123:$B$127, 0)), "Género no válido", "")), IF(OR(N218="", N218=""), "[Aviso] Temporada no capturada ()", IF(ISNA(MATCH(N218, Criterios!$C$123:$C$128, 0)), "Temporada no válida", "")), IF(OR(O218="", O218=""), "[Aviso] Ciclo de vida no capturado ()", IF(ISNA(MATCH(O218, Criterios!$D$123:$D$124, 0)), "Ciclo de vida no válido", ""))))</f>
        <v/>
      </c>
      <c r="AC218" s="56" t="n"/>
      <c r="AD218" s="51" t="n">
        <v>44</v>
      </c>
      <c r="AE218" s="156" t="inlineStr">
        <is>
          <t>Web (2); CL Muestras (1); CAPSLAB Warehouse (38)</t>
        </is>
      </c>
      <c r="AF218" s="51" t="n">
        <v>44</v>
      </c>
      <c r="AG218" s="156" t="inlineStr">
        <is>
          <t>Nuevo – NetSuite con existencia</t>
        </is>
      </c>
      <c r="AH218" s="156" t="inlineStr">
        <is>
          <t>Composición CAPSLAB varía por modelo (50/50, 40/60 o 100% poliéster): validar etiqueta; Color por validar; Físico total NetSuite 44 ≠ suma por ubicación 41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18" s="156" t="inlineStr">
        <is>
          <t>No</t>
        </is>
      </c>
      <c r="AJ218" s="156" t="n"/>
      <c r="AK218" s="155" t="inlineStr">
        <is>
          <t>G1522ProductosTodosloscamposSandboxResults894.xlsx: fila 47974 [X]; G1522_Extraccion_Articulos_NetSuite_2026-09-30.xlsx: fila 30369 [Z]</t>
        </is>
      </c>
      <c r="AL218" s="58" t="n"/>
      <c r="AM218" s="58" t="n"/>
      <c r="AN218" s="155" t="n"/>
      <c r="AO218" s="59" t="n"/>
      <c r="AP218" s="59" t="n"/>
      <c r="AQ218" s="59" t="n"/>
      <c r="AR218" s="155" t="n"/>
    </row>
    <row r="219">
      <c r="A219" s="50" t="inlineStr">
        <is>
          <t>3614001697144</t>
        </is>
      </c>
      <c r="B219" s="51" t="inlineStr">
        <is>
          <t>69640</t>
        </is>
      </c>
      <c r="C219" s="156" t="inlineStr">
        <is>
          <t>CAPSLAB</t>
        </is>
      </c>
      <c r="D219" s="156" t="inlineStr">
        <is>
          <t>CL/LOO8/1/CT/BUG3</t>
        </is>
      </c>
      <c r="E219" s="156" t="inlineStr">
        <is>
          <t>CL/LOO8/1/CT/BUG3-UNI</t>
        </is>
      </c>
      <c r="F219" s="156" t="inlineStr">
        <is>
          <t>Talla única</t>
        </is>
      </c>
      <c r="G219" s="156" t="inlineStr">
        <is>
          <t>One Size</t>
        </is>
      </c>
      <c r="H219" s="156" t="inlineStr">
        <is>
          <t>CAPSLAB</t>
        </is>
      </c>
      <c r="I219" s="156" t="inlineStr">
        <is>
          <t>Gorra trucker CAPSLAB Looney Tunes Bugs Bunny</t>
        </is>
      </c>
      <c r="J219" s="156" t="inlineStr">
        <is>
          <t>Accesorios</t>
        </is>
      </c>
      <c r="K219" s="156" t="inlineStr">
        <is>
          <t>Gorras</t>
        </is>
      </c>
      <c r="L219" s="156" t="inlineStr">
        <is>
          <t>Unisex</t>
        </is>
      </c>
      <c r="M219" s="156" t="inlineStr">
        <is>
          <t>Looney Tunes</t>
        </is>
      </c>
      <c r="N219" s="156" t="n"/>
      <c r="O219" s="156" t="n"/>
      <c r="P219" s="156" t="n"/>
      <c r="Q219" s="156" t="n"/>
      <c r="R219" s="156" t="n"/>
      <c r="S219" s="156" t="inlineStr">
        <is>
          <t>Algodón / Poliéster</t>
        </is>
      </c>
      <c r="T219" s="156" t="inlineStr">
        <is>
          <t>Gorra trucker de la marca CAPSLAB bajo licencia oficial Looney Tunes, personaje Bugs Bunny. Talla única ajustable. Estilo CL/LOO8/1/CT/BUG3.</t>
        </is>
      </c>
      <c r="U219" s="156" t="n"/>
      <c r="V219" s="156" t="inlineStr">
        <is>
          <t>PZS</t>
        </is>
      </c>
      <c r="W219" s="51" t="inlineStr">
        <is>
          <t>53102516</t>
        </is>
      </c>
      <c r="X219" s="156" t="inlineStr">
        <is>
          <t>https://i.ibb.co/M83TvLZ/CLLOO81-CTBUG3.jpg</t>
        </is>
      </c>
      <c r="Y219" s="54" t="n"/>
      <c r="Z219" s="54" t="n">
        <v>799</v>
      </c>
      <c r="AA219" s="55">
        <f>IF(AND(A219="", B219="", E219=""), "", IF(AB219="", "Válido", IF((LEN(AB219)-LEN(SUBSTITUTE(AB219,"; ","")))/2+1&gt;(LEN(AB219)-LEN(SUBSTITUTE(AB219,"[Aviso]","")))/7, "Con Incidencias", "Válido")))</f>
        <v/>
      </c>
      <c r="AB219" s="56">
        <f>IF(AND(A219="", B219="", E219=""), "", TEXTJOIN("; ", TRUE, IF(OR(TRIM(A219&amp;"")="", ISNUMBER(SEARCH("FALTA", A219))), "UPC faltante/inválido", ""), IF(AND(A219&lt;&gt;"", IFERROR(_xlfn.XMATCH(A219,$A$2:$A$370,0,1)&lt;&gt;_xlfn.XMATCH(A219,$A$2:$A$370,0,-1),FALSE)), "Código de barras duplicado", ""), IF(AND(E219&lt;&gt;"", COUNTIF($E$2:$E$370, E219)&gt;1), "SKU duplicado", ""), IF(OR(J219="", J219=""), "[Aviso] División no capturada ()", IF(ISNA(MATCH(J219, Criterios!$A$123:$A$126, 0)), "División no válida", "")), IF(OR(K219="", K219=""), "[Aviso] Categoría no capturada ()", IF(ISNA(MATCH(K219, Criterios!$A$81:$A$120, 0)), "Categoría no válida", IF(AND(J219&lt;&gt;"", J219&lt;&gt;"", J219&lt;&gt;VLOOKUP(K219, Criterios!$A$81:$B$120, 2, FALSE)), "División no coincide con Categoría", ""))), IF(OR(L219="", L219=""), "[Aviso] Género no capturado ()", IF(ISNA(MATCH(L219, Criterios!$B$123:$B$127, 0)), "Género no válido", "")), IF(OR(N219="", N219=""), "[Aviso] Temporada no capturada ()", IF(ISNA(MATCH(N219, Criterios!$C$123:$C$128, 0)), "Temporada no válida", "")), IF(OR(O219="", O219=""), "[Aviso] Ciclo de vida no capturado ()", IF(ISNA(MATCH(O219, Criterios!$D$123:$D$124, 0)), "Ciclo de vida no válido", ""))))</f>
        <v/>
      </c>
      <c r="AC219" s="56" t="n"/>
      <c r="AD219" s="51" t="n">
        <v>186</v>
      </c>
      <c r="AE219" s="156" t="inlineStr">
        <is>
          <t>CL POS (2); CAPSLAB Warehouse (114); Web (2); CL Muestras (1)</t>
        </is>
      </c>
      <c r="AF219" s="51" t="n">
        <v>187</v>
      </c>
      <c r="AG219" s="156" t="inlineStr">
        <is>
          <t>Nuevo – NetSuite con existencia</t>
        </is>
      </c>
      <c r="AH219" s="156" t="inlineStr">
        <is>
          <t>Composición CAPSLAB varía por modelo (50/50, 40/60 o 100% poliéster): validar etiqueta; Color por validar; Físico total NetSuite 186 ≠ suma por ubicación 119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19" s="156" t="inlineStr">
        <is>
          <t>No</t>
        </is>
      </c>
      <c r="AJ219" s="156" t="n"/>
      <c r="AK219" s="155" t="inlineStr">
        <is>
          <t>G1522ProductosTodosloscamposSandboxResults894.xlsx: fila 47976 [X]; G1522_Extraccion_Articulos_NetSuite_2026-09-30.xlsx: fila 30370 [Z]</t>
        </is>
      </c>
      <c r="AL219" s="58" t="n"/>
      <c r="AM219" s="58" t="n"/>
      <c r="AN219" s="155" t="n"/>
      <c r="AO219" s="59" t="n"/>
      <c r="AP219" s="59" t="n"/>
      <c r="AQ219" s="59" t="n"/>
      <c r="AR219" s="155" t="n"/>
    </row>
    <row r="220">
      <c r="A220" s="50" t="inlineStr">
        <is>
          <t>3614001697984</t>
        </is>
      </c>
      <c r="B220" s="51" t="inlineStr">
        <is>
          <t>69641</t>
        </is>
      </c>
      <c r="C220" s="156" t="inlineStr">
        <is>
          <t>CAPSLAB</t>
        </is>
      </c>
      <c r="D220" s="156" t="inlineStr">
        <is>
          <t>CL/LOO8/1/CT/BUG4</t>
        </is>
      </c>
      <c r="E220" s="156" t="inlineStr">
        <is>
          <t>CL/LOO8/1/CT/BUG4-UNI</t>
        </is>
      </c>
      <c r="F220" s="156" t="inlineStr">
        <is>
          <t>Talla única</t>
        </is>
      </c>
      <c r="G220" s="156" t="inlineStr">
        <is>
          <t>One Size</t>
        </is>
      </c>
      <c r="H220" s="156" t="inlineStr">
        <is>
          <t>CAPSLAB</t>
        </is>
      </c>
      <c r="I220" s="156" t="inlineStr">
        <is>
          <t>Gorra trucker CAPSLAB Looney Tunes Bugs Bunny</t>
        </is>
      </c>
      <c r="J220" s="156" t="inlineStr">
        <is>
          <t>Accesorios</t>
        </is>
      </c>
      <c r="K220" s="156" t="inlineStr">
        <is>
          <t>Gorras</t>
        </is>
      </c>
      <c r="L220" s="156" t="inlineStr">
        <is>
          <t>Unisex</t>
        </is>
      </c>
      <c r="M220" s="156" t="inlineStr">
        <is>
          <t>Looney Tunes</t>
        </is>
      </c>
      <c r="N220" s="156" t="n"/>
      <c r="O220" s="156" t="n"/>
      <c r="P220" s="156" t="n"/>
      <c r="Q220" s="156" t="n"/>
      <c r="R220" s="156" t="n"/>
      <c r="S220" s="156" t="inlineStr">
        <is>
          <t>Algodón / Poliéster</t>
        </is>
      </c>
      <c r="T220" s="156" t="inlineStr">
        <is>
          <t>Gorra trucker de la marca CAPSLAB bajo licencia oficial Looney Tunes, personaje Bugs Bunny. Talla única ajustable. Estilo CL/LOO8/1/CT/BUG4.</t>
        </is>
      </c>
      <c r="U220" s="156" t="n"/>
      <c r="V220" s="156" t="inlineStr">
        <is>
          <t>PZS</t>
        </is>
      </c>
      <c r="W220" s="51" t="inlineStr">
        <is>
          <t>53102516</t>
        </is>
      </c>
      <c r="X220" s="156" t="inlineStr">
        <is>
          <t>https://i.ibb.co/mRSx2BF/CLLOO81-CTBUG4.jpg</t>
        </is>
      </c>
      <c r="Y220" s="54" t="n"/>
      <c r="Z220" s="54" t="n">
        <v>799</v>
      </c>
      <c r="AA220" s="55">
        <f>IF(AND(A220="", B220="", E220=""), "", IF(AB220="", "Válido", IF((LEN(AB220)-LEN(SUBSTITUTE(AB220,"; ","")))/2+1&gt;(LEN(AB220)-LEN(SUBSTITUTE(AB220,"[Aviso]","")))/7, "Con Incidencias", "Válido")))</f>
        <v/>
      </c>
      <c r="AB220" s="56">
        <f>IF(AND(A220="", B220="", E220=""), "", TEXTJOIN("; ", TRUE, IF(OR(TRIM(A220&amp;"")="", ISNUMBER(SEARCH("FALTA", A220))), "UPC faltante/inválido", ""), IF(AND(A220&lt;&gt;"", IFERROR(_xlfn.XMATCH(A220,$A$2:$A$370,0,1)&lt;&gt;_xlfn.XMATCH(A220,$A$2:$A$370,0,-1),FALSE)), "Código de barras duplicado", ""), IF(AND(E220&lt;&gt;"", COUNTIF($E$2:$E$370, E220)&gt;1), "SKU duplicado", ""), IF(OR(J220="", J220=""), "[Aviso] División no capturada ()", IF(ISNA(MATCH(J220, Criterios!$A$123:$A$126, 0)), "División no válida", "")), IF(OR(K220="", K220=""), "[Aviso] Categoría no capturada ()", IF(ISNA(MATCH(K220, Criterios!$A$81:$A$120, 0)), "Categoría no válida", IF(AND(J220&lt;&gt;"", J220&lt;&gt;"", J220&lt;&gt;VLOOKUP(K220, Criterios!$A$81:$B$120, 2, FALSE)), "División no coincide con Categoría", ""))), IF(OR(L220="", L220=""), "[Aviso] Género no capturado ()", IF(ISNA(MATCH(L220, Criterios!$B$123:$B$127, 0)), "Género no válido", "")), IF(OR(N220="", N220=""), "[Aviso] Temporada no capturada ()", IF(ISNA(MATCH(N220, Criterios!$C$123:$C$128, 0)), "Temporada no válida", "")), IF(OR(O220="", O220=""), "[Aviso] Ciclo de vida no capturado ()", IF(ISNA(MATCH(O220, Criterios!$D$123:$D$124, 0)), "Ciclo de vida no válido", ""))))</f>
        <v/>
      </c>
      <c r="AC220" s="56" t="n"/>
      <c r="AD220" s="51" t="n">
        <v>40</v>
      </c>
      <c r="AE220" s="156" t="inlineStr">
        <is>
          <t>CL Muestras (1); Web (2); CAPSLAB Warehouse (35)</t>
        </is>
      </c>
      <c r="AF220" s="51" t="n">
        <v>40</v>
      </c>
      <c r="AG220" s="156" t="inlineStr">
        <is>
          <t>Nuevo – NetSuite con existencia</t>
        </is>
      </c>
      <c r="AH220" s="156" t="inlineStr">
        <is>
          <t>Composición CAPSLAB varía por modelo (50/50, 40/60 o 100% poliéster): validar etiqueta; Color por validar; Físico total NetSuite 40 ≠ suma por ubicación 38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0" s="156" t="inlineStr">
        <is>
          <t>No</t>
        </is>
      </c>
      <c r="AJ220" s="156" t="n"/>
      <c r="AK220" s="155" t="inlineStr">
        <is>
          <t>G1522ProductosTodosloscamposSandboxResults894.xlsx: fila 47978 [X]; G1522_Extraccion_Articulos_NetSuite_2026-09-30.xlsx: fila 30371 [Z]</t>
        </is>
      </c>
      <c r="AL220" s="58" t="n"/>
      <c r="AM220" s="58" t="n"/>
      <c r="AN220" s="155" t="n"/>
      <c r="AO220" s="59" t="n"/>
      <c r="AP220" s="59" t="n"/>
      <c r="AQ220" s="59" t="n"/>
      <c r="AR220" s="155" t="n"/>
    </row>
    <row r="221">
      <c r="A221" s="50" t="inlineStr">
        <is>
          <t>3614001698004</t>
        </is>
      </c>
      <c r="B221" s="51" t="inlineStr">
        <is>
          <t>69642</t>
        </is>
      </c>
      <c r="C221" s="156" t="inlineStr">
        <is>
          <t>CAPSLAB</t>
        </is>
      </c>
      <c r="D221" s="156" t="inlineStr">
        <is>
          <t>CL/LOO8/1/CT/BUG5</t>
        </is>
      </c>
      <c r="E221" s="156" t="inlineStr">
        <is>
          <t>CL/LOO8/1/CT/BUG5-UNI</t>
        </is>
      </c>
      <c r="F221" s="156" t="inlineStr">
        <is>
          <t>Talla única</t>
        </is>
      </c>
      <c r="G221" s="156" t="inlineStr">
        <is>
          <t>One Size</t>
        </is>
      </c>
      <c r="H221" s="156" t="inlineStr">
        <is>
          <t>CAPSLAB</t>
        </is>
      </c>
      <c r="I221" s="156" t="inlineStr">
        <is>
          <t>Gorra trucker CAPSLAB Looney Tunes Bugs Bunny</t>
        </is>
      </c>
      <c r="J221" s="156" t="inlineStr">
        <is>
          <t>Accesorios</t>
        </is>
      </c>
      <c r="K221" s="156" t="inlineStr">
        <is>
          <t>Gorras</t>
        </is>
      </c>
      <c r="L221" s="156" t="inlineStr">
        <is>
          <t>Unisex</t>
        </is>
      </c>
      <c r="M221" s="156" t="inlineStr">
        <is>
          <t>Looney Tunes</t>
        </is>
      </c>
      <c r="N221" s="156" t="n"/>
      <c r="O221" s="156" t="n"/>
      <c r="P221" s="156" t="n"/>
      <c r="Q221" s="156" t="n"/>
      <c r="R221" s="156" t="n"/>
      <c r="S221" s="156" t="inlineStr">
        <is>
          <t>Algodón / Poliéster</t>
        </is>
      </c>
      <c r="T221" s="156" t="inlineStr">
        <is>
          <t>Gorra trucker de la marca CAPSLAB bajo licencia oficial Looney Tunes, personaje Bugs Bunny. Talla única ajustable. Estilo CL/LOO8/1/CT/BUG5.</t>
        </is>
      </c>
      <c r="U221" s="156" t="n"/>
      <c r="V221" s="156" t="inlineStr">
        <is>
          <t>PZS</t>
        </is>
      </c>
      <c r="W221" s="51" t="inlineStr">
        <is>
          <t>53102516</t>
        </is>
      </c>
      <c r="X221" s="156" t="inlineStr">
        <is>
          <t>https://i.ibb.co/XYdh844/CLLOO81-CTBUG5.jpg</t>
        </is>
      </c>
      <c r="Y221" s="54" t="n"/>
      <c r="Z221" s="54" t="n">
        <v>799</v>
      </c>
      <c r="AA221" s="55">
        <f>IF(AND(A221="", B221="", E221=""), "", IF(AB221="", "Válido", IF((LEN(AB221)-LEN(SUBSTITUTE(AB221,"; ","")))/2+1&gt;(LEN(AB221)-LEN(SUBSTITUTE(AB221,"[Aviso]","")))/7, "Con Incidencias", "Válido")))</f>
        <v/>
      </c>
      <c r="AB221" s="56">
        <f>IF(AND(A221="", B221="", E221=""), "", TEXTJOIN("; ", TRUE, IF(OR(TRIM(A221&amp;"")="", ISNUMBER(SEARCH("FALTA", A221))), "UPC faltante/inválido", ""), IF(AND(A221&lt;&gt;"", IFERROR(_xlfn.XMATCH(A221,$A$2:$A$370,0,1)&lt;&gt;_xlfn.XMATCH(A221,$A$2:$A$370,0,-1),FALSE)), "Código de barras duplicado", ""), IF(AND(E221&lt;&gt;"", COUNTIF($E$2:$E$370, E221)&gt;1), "SKU duplicado", ""), IF(OR(J221="", J221=""), "[Aviso] División no capturada ()", IF(ISNA(MATCH(J221, Criterios!$A$123:$A$126, 0)), "División no válida", "")), IF(OR(K221="", K221=""), "[Aviso] Categoría no capturada ()", IF(ISNA(MATCH(K221, Criterios!$A$81:$A$120, 0)), "Categoría no válida", IF(AND(J221&lt;&gt;"", J221&lt;&gt;"", J221&lt;&gt;VLOOKUP(K221, Criterios!$A$81:$B$120, 2, FALSE)), "División no coincide con Categoría", ""))), IF(OR(L221="", L221=""), "[Aviso] Género no capturado ()", IF(ISNA(MATCH(L221, Criterios!$B$123:$B$127, 0)), "Género no válido", "")), IF(OR(N221="", N221=""), "[Aviso] Temporada no capturada ()", IF(ISNA(MATCH(N221, Criterios!$C$123:$C$128, 0)), "Temporada no válida", "")), IF(OR(O221="", O221=""), "[Aviso] Ciclo de vida no capturado ()", IF(ISNA(MATCH(O221, Criterios!$D$123:$D$124, 0)), "Ciclo de vida no válido", ""))))</f>
        <v/>
      </c>
      <c r="AC221" s="56" t="n"/>
      <c r="AD221" s="51" t="n">
        <v>23</v>
      </c>
      <c r="AE221" s="156" t="inlineStr">
        <is>
          <t>CL Muestras (1); Web (1); CAPSLAB Warehouse (20)</t>
        </is>
      </c>
      <c r="AF221" s="51" t="n">
        <v>23</v>
      </c>
      <c r="AG221" s="156" t="inlineStr">
        <is>
          <t>Nuevo – NetSuite con existencia</t>
        </is>
      </c>
      <c r="AH221" s="156" t="inlineStr">
        <is>
          <t>Composición CAPSLAB varía por modelo (50/50, 40/60 o 100% poliéster): validar etiqueta; Color por validar; Físico total NetSuite 23 ≠ suma por ubicación 22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1" s="156" t="inlineStr">
        <is>
          <t>No</t>
        </is>
      </c>
      <c r="AJ221" s="156" t="n"/>
      <c r="AK221" s="155" t="inlineStr">
        <is>
          <t>G1522ProductosTodosloscamposSandboxResults894.xlsx: fila 47980 [X]; G1522_Extraccion_Articulos_NetSuite_2026-09-30.xlsx: fila 30372 [Z]</t>
        </is>
      </c>
      <c r="AL221" s="58" t="n"/>
      <c r="AM221" s="58" t="n"/>
      <c r="AN221" s="155" t="n"/>
      <c r="AO221" s="59" t="n"/>
      <c r="AP221" s="59" t="n"/>
      <c r="AQ221" s="59" t="n"/>
      <c r="AR221" s="155" t="n"/>
    </row>
    <row r="222">
      <c r="A222" s="50" t="inlineStr">
        <is>
          <t>3614001698028</t>
        </is>
      </c>
      <c r="B222" s="51" t="inlineStr">
        <is>
          <t>69643</t>
        </is>
      </c>
      <c r="C222" s="156" t="inlineStr">
        <is>
          <t>CAPSLAB</t>
        </is>
      </c>
      <c r="D222" s="156" t="inlineStr">
        <is>
          <t>CL/LOO8/1/CT/BUG6</t>
        </is>
      </c>
      <c r="E222" s="156" t="inlineStr">
        <is>
          <t>CL/LOO8/1/CT/BUG6-UNI</t>
        </is>
      </c>
      <c r="F222" s="156" t="inlineStr">
        <is>
          <t>Talla única</t>
        </is>
      </c>
      <c r="G222" s="156" t="inlineStr">
        <is>
          <t>One Size</t>
        </is>
      </c>
      <c r="H222" s="156" t="inlineStr">
        <is>
          <t>CAPSLAB</t>
        </is>
      </c>
      <c r="I222" s="156" t="inlineStr">
        <is>
          <t>Gorra trucker CAPSLAB Looney Tunes Bugs Bunny</t>
        </is>
      </c>
      <c r="J222" s="156" t="inlineStr">
        <is>
          <t>Accesorios</t>
        </is>
      </c>
      <c r="K222" s="156" t="inlineStr">
        <is>
          <t>Gorras</t>
        </is>
      </c>
      <c r="L222" s="156" t="inlineStr">
        <is>
          <t>Unisex</t>
        </is>
      </c>
      <c r="M222" s="156" t="inlineStr">
        <is>
          <t>Looney Tunes</t>
        </is>
      </c>
      <c r="N222" s="156" t="n"/>
      <c r="O222" s="156" t="n"/>
      <c r="P222" s="156" t="n"/>
      <c r="Q222" s="156" t="n"/>
      <c r="R222" s="156" t="n"/>
      <c r="S222" s="156" t="inlineStr">
        <is>
          <t>Algodón / Poliéster</t>
        </is>
      </c>
      <c r="T222" s="156" t="inlineStr">
        <is>
          <t>Gorra trucker de la marca CAPSLAB bajo licencia oficial Looney Tunes, personaje Bugs Bunny. Talla única ajustable. Estilo CL/LOO8/1/CT/BUG6.</t>
        </is>
      </c>
      <c r="U222" s="156" t="n"/>
      <c r="V222" s="156" t="inlineStr">
        <is>
          <t>PZS</t>
        </is>
      </c>
      <c r="W222" s="51" t="inlineStr">
        <is>
          <t>53102516</t>
        </is>
      </c>
      <c r="X222" s="156" t="inlineStr">
        <is>
          <t>https://i.ibb.co/qsCH8J3/CLLOO81-CTBUG6.jpg</t>
        </is>
      </c>
      <c r="Y222" s="54" t="n"/>
      <c r="Z222" s="54" t="n">
        <v>799</v>
      </c>
      <c r="AA222" s="55">
        <f>IF(AND(A222="", B222="", E222=""), "", IF(AB222="", "Válido", IF((LEN(AB222)-LEN(SUBSTITUTE(AB222,"; ","")))/2+1&gt;(LEN(AB222)-LEN(SUBSTITUTE(AB222,"[Aviso]","")))/7, "Con Incidencias", "Válido")))</f>
        <v/>
      </c>
      <c r="AB222" s="56">
        <f>IF(AND(A222="", B222="", E222=""), "", TEXTJOIN("; ", TRUE, IF(OR(TRIM(A222&amp;"")="", ISNUMBER(SEARCH("FALTA", A222))), "UPC faltante/inválido", ""), IF(AND(A222&lt;&gt;"", IFERROR(_xlfn.XMATCH(A222,$A$2:$A$370,0,1)&lt;&gt;_xlfn.XMATCH(A222,$A$2:$A$370,0,-1),FALSE)), "Código de barras duplicado", ""), IF(AND(E222&lt;&gt;"", COUNTIF($E$2:$E$370, E222)&gt;1), "SKU duplicado", ""), IF(OR(J222="", J222=""), "[Aviso] División no capturada ()", IF(ISNA(MATCH(J222, Criterios!$A$123:$A$126, 0)), "División no válida", "")), IF(OR(K222="", K222=""), "[Aviso] Categoría no capturada ()", IF(ISNA(MATCH(K222, Criterios!$A$81:$A$120, 0)), "Categoría no válida", IF(AND(J222&lt;&gt;"", J222&lt;&gt;"", J222&lt;&gt;VLOOKUP(K222, Criterios!$A$81:$B$120, 2, FALSE)), "División no coincide con Categoría", ""))), IF(OR(L222="", L222=""), "[Aviso] Género no capturado ()", IF(ISNA(MATCH(L222, Criterios!$B$123:$B$127, 0)), "Género no válido", "")), IF(OR(N222="", N222=""), "[Aviso] Temporada no capturada ()", IF(ISNA(MATCH(N222, Criterios!$C$123:$C$128, 0)), "Temporada no válida", "")), IF(OR(O222="", O222=""), "[Aviso] Ciclo de vida no capturado ()", IF(ISNA(MATCH(O222, Criterios!$D$123:$D$124, 0)), "Ciclo de vida no válido", ""))))</f>
        <v/>
      </c>
      <c r="AC222" s="56" t="n"/>
      <c r="AD222" s="51" t="n">
        <v>67</v>
      </c>
      <c r="AE222" s="156" t="inlineStr">
        <is>
          <t>Web (2); CAPSLAB Warehouse (59)</t>
        </is>
      </c>
      <c r="AF222" s="51" t="n">
        <v>67</v>
      </c>
      <c r="AG222" s="156" t="inlineStr">
        <is>
          <t>Nuevo – NetSuite con existencia</t>
        </is>
      </c>
      <c r="AH222" s="156" t="inlineStr">
        <is>
          <t>Composición CAPSLAB varía por modelo (50/50, 40/60 o 100% poliéster): validar etiqueta; Color por validar; Físico total NetSuite 67 ≠ suma por ubicación 61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2" s="156" t="inlineStr">
        <is>
          <t>No</t>
        </is>
      </c>
      <c r="AJ222" s="156" t="n"/>
      <c r="AK222" s="155" t="inlineStr">
        <is>
          <t>G1522ProductosTodosloscamposSandboxResults894.xlsx: fila 47982 [X]; G1522_Extraccion_Articulos_NetSuite_2026-09-30.xlsx: fila 30373 [Z]</t>
        </is>
      </c>
      <c r="AL222" s="58" t="n"/>
      <c r="AM222" s="58" t="n"/>
      <c r="AN222" s="155" t="n"/>
      <c r="AO222" s="59" t="n"/>
      <c r="AP222" s="59" t="n"/>
      <c r="AQ222" s="59" t="n"/>
      <c r="AR222" s="155" t="n"/>
    </row>
    <row r="223">
      <c r="A223" s="50" t="inlineStr">
        <is>
          <t>3614001697007</t>
        </is>
      </c>
      <c r="B223" s="51" t="inlineStr">
        <is>
          <t>69644</t>
        </is>
      </c>
      <c r="C223" s="156" t="inlineStr">
        <is>
          <t>CAPSLAB</t>
        </is>
      </c>
      <c r="D223" s="156" t="inlineStr">
        <is>
          <t>CL/LOO8/1/CT/BUG7</t>
        </is>
      </c>
      <c r="E223" s="156" t="inlineStr">
        <is>
          <t>CL/LOO8/1/CT/BUG7-UNI</t>
        </is>
      </c>
      <c r="F223" s="156" t="inlineStr">
        <is>
          <t>Talla única</t>
        </is>
      </c>
      <c r="G223" s="156" t="inlineStr">
        <is>
          <t>One Size</t>
        </is>
      </c>
      <c r="H223" s="156" t="inlineStr">
        <is>
          <t>CAPSLAB</t>
        </is>
      </c>
      <c r="I223" s="156" t="inlineStr">
        <is>
          <t>Gorra trucker CAPSLAB Looney Tunes Bugs Bunny</t>
        </is>
      </c>
      <c r="J223" s="156" t="inlineStr">
        <is>
          <t>Accesorios</t>
        </is>
      </c>
      <c r="K223" s="156" t="inlineStr">
        <is>
          <t>Gorras</t>
        </is>
      </c>
      <c r="L223" s="156" t="inlineStr">
        <is>
          <t>Unisex</t>
        </is>
      </c>
      <c r="M223" s="156" t="inlineStr">
        <is>
          <t>Looney Tunes</t>
        </is>
      </c>
      <c r="N223" s="156" t="n"/>
      <c r="O223" s="156" t="n"/>
      <c r="P223" s="156" t="n"/>
      <c r="Q223" s="156" t="n"/>
      <c r="R223" s="156" t="n"/>
      <c r="S223" s="156" t="inlineStr">
        <is>
          <t>Algodón / Poliéster</t>
        </is>
      </c>
      <c r="T223" s="156" t="inlineStr">
        <is>
          <t>Gorra trucker de la marca CAPSLAB bajo licencia oficial Looney Tunes, personaje Bugs Bunny. Talla única ajustable. Estilo CL/LOO8/1/CT/BUG7.</t>
        </is>
      </c>
      <c r="U223" s="156" t="n"/>
      <c r="V223" s="156" t="inlineStr">
        <is>
          <t>PZS</t>
        </is>
      </c>
      <c r="W223" s="51" t="inlineStr">
        <is>
          <t>53102516</t>
        </is>
      </c>
      <c r="X223" s="156" t="inlineStr">
        <is>
          <t>https://i.ibb.co/R27vPmq/CLLOO81-CTBUG7.jpg</t>
        </is>
      </c>
      <c r="Y223" s="54" t="n"/>
      <c r="Z223" s="54" t="n">
        <v>699</v>
      </c>
      <c r="AA223" s="55">
        <f>IF(AND(A223="", B223="", E223=""), "", IF(AB223="", "Válido", IF((LEN(AB223)-LEN(SUBSTITUTE(AB223,"; ","")))/2+1&gt;(LEN(AB223)-LEN(SUBSTITUTE(AB223,"[Aviso]","")))/7, "Con Incidencias", "Válido")))</f>
        <v/>
      </c>
      <c r="AB223" s="56">
        <f>IF(AND(A223="", B223="", E223=""), "", TEXTJOIN("; ", TRUE, IF(OR(TRIM(A223&amp;"")="", ISNUMBER(SEARCH("FALTA", A223))), "UPC faltante/inválido", ""), IF(AND(A223&lt;&gt;"", IFERROR(_xlfn.XMATCH(A223,$A$2:$A$370,0,1)&lt;&gt;_xlfn.XMATCH(A223,$A$2:$A$370,0,-1),FALSE)), "Código de barras duplicado", ""), IF(AND(E223&lt;&gt;"", COUNTIF($E$2:$E$370, E223)&gt;1), "SKU duplicado", ""), IF(OR(J223="", J223=""), "[Aviso] División no capturada ()", IF(ISNA(MATCH(J223, Criterios!$A$123:$A$126, 0)), "División no válida", "")), IF(OR(K223="", K223=""), "[Aviso] Categoría no capturada ()", IF(ISNA(MATCH(K223, Criterios!$A$81:$A$120, 0)), "Categoría no válida", IF(AND(J223&lt;&gt;"", J223&lt;&gt;"", J223&lt;&gt;VLOOKUP(K223, Criterios!$A$81:$B$120, 2, FALSE)), "División no coincide con Categoría", ""))), IF(OR(L223="", L223=""), "[Aviso] Género no capturado ()", IF(ISNA(MATCH(L223, Criterios!$B$123:$B$127, 0)), "Género no válido", "")), IF(OR(N223="", N223=""), "[Aviso] Temporada no capturada ()", IF(ISNA(MATCH(N223, Criterios!$C$123:$C$128, 0)), "Temporada no válida", "")), IF(OR(O223="", O223=""), "[Aviso] Ciclo de vida no capturado ()", IF(ISNA(MATCH(O223, Criterios!$D$123:$D$124, 0)), "Ciclo de vida no válido", ""))))</f>
        <v/>
      </c>
      <c r="AC223" s="56" t="n"/>
      <c r="AD223" s="51" t="n">
        <v>27</v>
      </c>
      <c r="AE223" s="156" t="inlineStr">
        <is>
          <t>CL Muestras (1); Web (1); CAPSLAB Warehouse (23)</t>
        </is>
      </c>
      <c r="AF223" s="51" t="n">
        <v>27</v>
      </c>
      <c r="AG223" s="156" t="inlineStr">
        <is>
          <t>Nuevo – NetSuite con existencia</t>
        </is>
      </c>
      <c r="AH223" s="156" t="inlineStr">
        <is>
          <t>Composición CAPSLAB varía por modelo (50/50, 40/60 o 100% poliéster): validar etiqueta; Color por validar; Físico total NetSuite 27 ≠ suma por ubicación 25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3" s="156" t="inlineStr">
        <is>
          <t>No</t>
        </is>
      </c>
      <c r="AJ223" s="156" t="n"/>
      <c r="AK223" s="155" t="inlineStr">
        <is>
          <t>G1522ProductosTodosloscamposSandboxResults894.xlsx: fila 47984 [X]; G1522_Extraccion_Articulos_NetSuite_2026-09-30.xlsx: fila 30374 [Z]</t>
        </is>
      </c>
      <c r="AL223" s="58" t="n"/>
      <c r="AM223" s="58" t="n"/>
      <c r="AN223" s="155" t="n"/>
      <c r="AO223" s="59" t="n"/>
      <c r="AP223" s="59" t="n"/>
      <c r="AQ223" s="59" t="n"/>
      <c r="AR223" s="155" t="n"/>
    </row>
    <row r="224">
      <c r="A224" s="50" t="inlineStr">
        <is>
          <t>3614001697021</t>
        </is>
      </c>
      <c r="B224" s="51" t="inlineStr">
        <is>
          <t>69645</t>
        </is>
      </c>
      <c r="C224" s="156" t="inlineStr">
        <is>
          <t>CAPSLAB</t>
        </is>
      </c>
      <c r="D224" s="156" t="inlineStr">
        <is>
          <t>CL/LOO8/1/CT/DAF1</t>
        </is>
      </c>
      <c r="E224" s="156" t="inlineStr">
        <is>
          <t>CL/LOO8/1/CT/DAF1-UNI</t>
        </is>
      </c>
      <c r="F224" s="156" t="inlineStr">
        <is>
          <t>Talla única</t>
        </is>
      </c>
      <c r="G224" s="156" t="inlineStr">
        <is>
          <t>One Size</t>
        </is>
      </c>
      <c r="H224" s="156" t="inlineStr">
        <is>
          <t>CAPSLAB</t>
        </is>
      </c>
      <c r="I224" s="156" t="inlineStr">
        <is>
          <t>Gorra trucker CAPSLAB Looney Tunes Pato Lucas</t>
        </is>
      </c>
      <c r="J224" s="156" t="inlineStr">
        <is>
          <t>Accesorios</t>
        </is>
      </c>
      <c r="K224" s="156" t="inlineStr">
        <is>
          <t>Gorras</t>
        </is>
      </c>
      <c r="L224" s="156" t="inlineStr">
        <is>
          <t>Unisex</t>
        </is>
      </c>
      <c r="M224" s="156" t="inlineStr">
        <is>
          <t>Looney Tunes</t>
        </is>
      </c>
      <c r="N224" s="156" t="n"/>
      <c r="O224" s="156" t="n"/>
      <c r="P224" s="156" t="n"/>
      <c r="Q224" s="156" t="n"/>
      <c r="R224" s="156" t="n"/>
      <c r="S224" s="156" t="inlineStr">
        <is>
          <t>Algodón / Poliéster</t>
        </is>
      </c>
      <c r="T224" s="156" t="inlineStr">
        <is>
          <t>Gorra trucker de la marca CAPSLAB bajo licencia oficial Looney Tunes, personaje Pato Lucas. Talla única ajustable. Estilo CL/LOO8/1/CT/DAF1.</t>
        </is>
      </c>
      <c r="U224" s="156" t="n"/>
      <c r="V224" s="156" t="inlineStr">
        <is>
          <t>PZS</t>
        </is>
      </c>
      <c r="W224" s="51" t="inlineStr">
        <is>
          <t>53102516</t>
        </is>
      </c>
      <c r="X224" s="156" t="inlineStr">
        <is>
          <t>https://i.ibb.co/thKnxPk/CLLOO81-CTDAF1.jpg</t>
        </is>
      </c>
      <c r="Y224" s="54" t="n"/>
      <c r="Z224" s="54" t="n">
        <v>699</v>
      </c>
      <c r="AA224" s="55">
        <f>IF(AND(A224="", B224="", E224=""), "", IF(AB224="", "Válido", IF((LEN(AB224)-LEN(SUBSTITUTE(AB224,"; ","")))/2+1&gt;(LEN(AB224)-LEN(SUBSTITUTE(AB224,"[Aviso]","")))/7, "Con Incidencias", "Válido")))</f>
        <v/>
      </c>
      <c r="AB224" s="56">
        <f>IF(AND(A224="", B224="", E224=""), "", TEXTJOIN("; ", TRUE, IF(OR(TRIM(A224&amp;"")="", ISNUMBER(SEARCH("FALTA", A224))), "UPC faltante/inválido", ""), IF(AND(A224&lt;&gt;"", IFERROR(_xlfn.XMATCH(A224,$A$2:$A$370,0,1)&lt;&gt;_xlfn.XMATCH(A224,$A$2:$A$370,0,-1),FALSE)), "Código de barras duplicado", ""), IF(AND(E224&lt;&gt;"", COUNTIF($E$2:$E$370, E224)&gt;1), "SKU duplicado", ""), IF(OR(J224="", J224=""), "[Aviso] División no capturada ()", IF(ISNA(MATCH(J224, Criterios!$A$123:$A$126, 0)), "División no válida", "")), IF(OR(K224="", K224=""), "[Aviso] Categoría no capturada ()", IF(ISNA(MATCH(K224, Criterios!$A$81:$A$120, 0)), "Categoría no válida", IF(AND(J224&lt;&gt;"", J224&lt;&gt;"", J224&lt;&gt;VLOOKUP(K224, Criterios!$A$81:$B$120, 2, FALSE)), "División no coincide con Categoría", ""))), IF(OR(L224="", L224=""), "[Aviso] Género no capturado ()", IF(ISNA(MATCH(L224, Criterios!$B$123:$B$127, 0)), "Género no válido", "")), IF(OR(N224="", N224=""), "[Aviso] Temporada no capturada ()", IF(ISNA(MATCH(N224, Criterios!$C$123:$C$128, 0)), "Temporada no válida", "")), IF(OR(O224="", O224=""), "[Aviso] Ciclo de vida no capturado ()", IF(ISNA(MATCH(O224, Criterios!$D$123:$D$124, 0)), "Ciclo de vida no válido", ""))))</f>
        <v/>
      </c>
      <c r="AC224" s="56" t="n"/>
      <c r="AD224" s="51" t="n">
        <v>18</v>
      </c>
      <c r="AE224" s="156" t="inlineStr">
        <is>
          <t>CAPSLAB Warehouse (9); CL Muestras (1); Web (2); CL POS (1)</t>
        </is>
      </c>
      <c r="AF224" s="51" t="n">
        <v>18</v>
      </c>
      <c r="AG224" s="156" t="inlineStr">
        <is>
          <t>Nuevo – NetSuite con existencia</t>
        </is>
      </c>
      <c r="AH224" s="156" t="inlineStr">
        <is>
          <t>Composición CAPSLAB varía por modelo (50/50, 40/60 o 100% poliéster): validar etiqueta; Color por validar; Físico total NetSuite 18 ≠ suma por ubicación 13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4" s="156" t="inlineStr">
        <is>
          <t>No</t>
        </is>
      </c>
      <c r="AJ224" s="156" t="n"/>
      <c r="AK224" s="155" t="inlineStr">
        <is>
          <t>G1522ProductosTodosloscamposSandboxResults894.xlsx: fila 47986 [X]; G1522_Extraccion_Articulos_NetSuite_2026-09-30.xlsx: fila 30375 [Z]</t>
        </is>
      </c>
      <c r="AL224" s="58" t="n"/>
      <c r="AM224" s="58" t="n"/>
      <c r="AN224" s="155" t="n"/>
      <c r="AO224" s="59" t="n"/>
      <c r="AP224" s="59" t="n"/>
      <c r="AQ224" s="59" t="n"/>
      <c r="AR224" s="155" t="n"/>
    </row>
    <row r="225">
      <c r="A225" s="50" t="inlineStr">
        <is>
          <t>3614001698042</t>
        </is>
      </c>
      <c r="B225" s="51" t="inlineStr">
        <is>
          <t>69646</t>
        </is>
      </c>
      <c r="C225" s="156" t="inlineStr">
        <is>
          <t>CAPSLAB</t>
        </is>
      </c>
      <c r="D225" s="156" t="inlineStr">
        <is>
          <t>CL/LOO8/1/CT/DAF2</t>
        </is>
      </c>
      <c r="E225" s="156" t="inlineStr">
        <is>
          <t>CL/LOO8/1/CT/DAF2-UNI</t>
        </is>
      </c>
      <c r="F225" s="156" t="inlineStr">
        <is>
          <t>Talla única</t>
        </is>
      </c>
      <c r="G225" s="156" t="inlineStr">
        <is>
          <t>One Size</t>
        </is>
      </c>
      <c r="H225" s="156" t="inlineStr">
        <is>
          <t>CAPSLAB</t>
        </is>
      </c>
      <c r="I225" s="156" t="inlineStr">
        <is>
          <t>Gorra trucker CAPSLAB Looney Tunes Pato Lucas</t>
        </is>
      </c>
      <c r="J225" s="156" t="inlineStr">
        <is>
          <t>Accesorios</t>
        </is>
      </c>
      <c r="K225" s="156" t="inlineStr">
        <is>
          <t>Gorras</t>
        </is>
      </c>
      <c r="L225" s="156" t="inlineStr">
        <is>
          <t>Unisex</t>
        </is>
      </c>
      <c r="M225" s="156" t="inlineStr">
        <is>
          <t>Looney Tunes</t>
        </is>
      </c>
      <c r="N225" s="156" t="n"/>
      <c r="O225" s="156" t="n"/>
      <c r="P225" s="156" t="n"/>
      <c r="Q225" s="156" t="n"/>
      <c r="R225" s="156" t="n"/>
      <c r="S225" s="156" t="inlineStr">
        <is>
          <t>Algodón / Poliéster</t>
        </is>
      </c>
      <c r="T225" s="156" t="inlineStr">
        <is>
          <t>Gorra trucker de la marca CAPSLAB bajo licencia oficial Looney Tunes, personaje Pato Lucas. Talla única ajustable. Estilo CL/LOO8/1/CT/DAF2.</t>
        </is>
      </c>
      <c r="U225" s="156" t="n"/>
      <c r="V225" s="156" t="inlineStr">
        <is>
          <t>PZS</t>
        </is>
      </c>
      <c r="W225" s="51" t="inlineStr">
        <is>
          <t>53102516</t>
        </is>
      </c>
      <c r="X225" s="156" t="inlineStr">
        <is>
          <t>https://i.ibb.co/jf8G0k1/CLLOO81-CTDAF2.jpg</t>
        </is>
      </c>
      <c r="Y225" s="54" t="n"/>
      <c r="Z225" s="54" t="n">
        <v>799</v>
      </c>
      <c r="AA225" s="55">
        <f>IF(AND(A225="", B225="", E225=""), "", IF(AB225="", "Válido", IF((LEN(AB225)-LEN(SUBSTITUTE(AB225,"; ","")))/2+1&gt;(LEN(AB225)-LEN(SUBSTITUTE(AB225,"[Aviso]","")))/7, "Con Incidencias", "Válido")))</f>
        <v/>
      </c>
      <c r="AB225" s="56">
        <f>IF(AND(A225="", B225="", E225=""), "", TEXTJOIN("; ", TRUE, IF(OR(TRIM(A225&amp;"")="", ISNUMBER(SEARCH("FALTA", A225))), "UPC faltante/inválido", ""), IF(AND(A225&lt;&gt;"", IFERROR(_xlfn.XMATCH(A225,$A$2:$A$370,0,1)&lt;&gt;_xlfn.XMATCH(A225,$A$2:$A$370,0,-1),FALSE)), "Código de barras duplicado", ""), IF(AND(E225&lt;&gt;"", COUNTIF($E$2:$E$370, E225)&gt;1), "SKU duplicado", ""), IF(OR(J225="", J225=""), "[Aviso] División no capturada ()", IF(ISNA(MATCH(J225, Criterios!$A$123:$A$126, 0)), "División no válida", "")), IF(OR(K225="", K225=""), "[Aviso] Categoría no capturada ()", IF(ISNA(MATCH(K225, Criterios!$A$81:$A$120, 0)), "Categoría no válida", IF(AND(J225&lt;&gt;"", J225&lt;&gt;"", J225&lt;&gt;VLOOKUP(K225, Criterios!$A$81:$B$120, 2, FALSE)), "División no coincide con Categoría", ""))), IF(OR(L225="", L225=""), "[Aviso] Género no capturado ()", IF(ISNA(MATCH(L225, Criterios!$B$123:$B$127, 0)), "Género no válido", "")), IF(OR(N225="", N225=""), "[Aviso] Temporada no capturada ()", IF(ISNA(MATCH(N225, Criterios!$C$123:$C$128, 0)), "Temporada no válida", "")), IF(OR(O225="", O225=""), "[Aviso] Ciclo de vida no capturado ()", IF(ISNA(MATCH(O225, Criterios!$D$123:$D$124, 0)), "Ciclo de vida no válido", ""))))</f>
        <v/>
      </c>
      <c r="AC225" s="56" t="n"/>
      <c r="AD225" s="51" t="n">
        <v>45</v>
      </c>
      <c r="AE225" s="156" t="inlineStr">
        <is>
          <t>CAPSLAB Warehouse (27); CL Muestras (1); Web (2)</t>
        </is>
      </c>
      <c r="AF225" s="51" t="n">
        <v>45</v>
      </c>
      <c r="AG225" s="156" t="inlineStr">
        <is>
          <t>Nuevo – NetSuite con existencia</t>
        </is>
      </c>
      <c r="AH225" s="156" t="inlineStr">
        <is>
          <t>Composición CAPSLAB varía por modelo (50/50, 40/60 o 100% poliéster): validar etiqueta; Color por validar; Físico total NetSuite 45 ≠ suma por ubicación 30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5" s="156" t="inlineStr">
        <is>
          <t>No</t>
        </is>
      </c>
      <c r="AJ225" s="156" t="n"/>
      <c r="AK225" s="155" t="inlineStr">
        <is>
          <t>G1522ProductosTodosloscamposSandboxResults894.xlsx: fila 47988 [X]; G1522_Extraccion_Articulos_NetSuite_2026-09-30.xlsx: fila 30376 [Z]</t>
        </is>
      </c>
      <c r="AL225" s="58" t="n"/>
      <c r="AM225" s="58" t="n"/>
      <c r="AN225" s="155" t="n"/>
      <c r="AO225" s="59" t="n"/>
      <c r="AP225" s="59" t="n"/>
      <c r="AQ225" s="59" t="n"/>
      <c r="AR225" s="155" t="n"/>
    </row>
    <row r="226">
      <c r="A226" s="50" t="inlineStr">
        <is>
          <t>3614001698066</t>
        </is>
      </c>
      <c r="B226" s="51" t="inlineStr">
        <is>
          <t>69647</t>
        </is>
      </c>
      <c r="C226" s="156" t="inlineStr">
        <is>
          <t>CAPSLAB</t>
        </is>
      </c>
      <c r="D226" s="156" t="inlineStr">
        <is>
          <t>CL/LOO8/1/CT/DAF3</t>
        </is>
      </c>
      <c r="E226" s="156" t="inlineStr">
        <is>
          <t>CL/LOO8/1/CT/DAF3-UNI</t>
        </is>
      </c>
      <c r="F226" s="156" t="inlineStr">
        <is>
          <t>Talla única</t>
        </is>
      </c>
      <c r="G226" s="156" t="inlineStr">
        <is>
          <t>One Size</t>
        </is>
      </c>
      <c r="H226" s="156" t="inlineStr">
        <is>
          <t>CAPSLAB</t>
        </is>
      </c>
      <c r="I226" s="156" t="inlineStr">
        <is>
          <t>Gorra trucker CAPSLAB Looney Tunes Pato Lucas</t>
        </is>
      </c>
      <c r="J226" s="156" t="inlineStr">
        <is>
          <t>Accesorios</t>
        </is>
      </c>
      <c r="K226" s="156" t="inlineStr">
        <is>
          <t>Gorras</t>
        </is>
      </c>
      <c r="L226" s="156" t="inlineStr">
        <is>
          <t>Unisex</t>
        </is>
      </c>
      <c r="M226" s="156" t="inlineStr">
        <is>
          <t>Looney Tunes</t>
        </is>
      </c>
      <c r="N226" s="156" t="n"/>
      <c r="O226" s="156" t="n"/>
      <c r="P226" s="156" t="n"/>
      <c r="Q226" s="156" t="n"/>
      <c r="R226" s="156" t="n"/>
      <c r="S226" s="156" t="inlineStr">
        <is>
          <t>Algodón / Poliéster</t>
        </is>
      </c>
      <c r="T226" s="156" t="inlineStr">
        <is>
          <t>Gorra trucker de la marca CAPSLAB bajo licencia oficial Looney Tunes, personaje Pato Lucas. Talla única ajustable. Estilo CL/LOO8/1/CT/DAF3.</t>
        </is>
      </c>
      <c r="U226" s="156" t="n"/>
      <c r="V226" s="156" t="inlineStr">
        <is>
          <t>PZS</t>
        </is>
      </c>
      <c r="W226" s="51" t="inlineStr">
        <is>
          <t>53102516</t>
        </is>
      </c>
      <c r="X226" s="156" t="inlineStr">
        <is>
          <t>https://i.ibb.co/S0bns9s/CLLOO81-CTDAF3.jpg</t>
        </is>
      </c>
      <c r="Y226" s="54" t="n"/>
      <c r="Z226" s="54" t="n">
        <v>799</v>
      </c>
      <c r="AA226" s="55">
        <f>IF(AND(A226="", B226="", E226=""), "", IF(AB226="", "Válido", IF((LEN(AB226)-LEN(SUBSTITUTE(AB226,"; ","")))/2+1&gt;(LEN(AB226)-LEN(SUBSTITUTE(AB226,"[Aviso]","")))/7, "Con Incidencias", "Válido")))</f>
        <v/>
      </c>
      <c r="AB226" s="56">
        <f>IF(AND(A226="", B226="", E226=""), "", TEXTJOIN("; ", TRUE, IF(OR(TRIM(A226&amp;"")="", ISNUMBER(SEARCH("FALTA", A226))), "UPC faltante/inválido", ""), IF(AND(A226&lt;&gt;"", IFERROR(_xlfn.XMATCH(A226,$A$2:$A$370,0,1)&lt;&gt;_xlfn.XMATCH(A226,$A$2:$A$370,0,-1),FALSE)), "Código de barras duplicado", ""), IF(AND(E226&lt;&gt;"", COUNTIF($E$2:$E$370, E226)&gt;1), "SKU duplicado", ""), IF(OR(J226="", J226=""), "[Aviso] División no capturada ()", IF(ISNA(MATCH(J226, Criterios!$A$123:$A$126, 0)), "División no válida", "")), IF(OR(K226="", K226=""), "[Aviso] Categoría no capturada ()", IF(ISNA(MATCH(K226, Criterios!$A$81:$A$120, 0)), "Categoría no válida", IF(AND(J226&lt;&gt;"", J226&lt;&gt;"", J226&lt;&gt;VLOOKUP(K226, Criterios!$A$81:$B$120, 2, FALSE)), "División no coincide con Categoría", ""))), IF(OR(L226="", L226=""), "[Aviso] Género no capturado ()", IF(ISNA(MATCH(L226, Criterios!$B$123:$B$127, 0)), "Género no válido", "")), IF(OR(N226="", N226=""), "[Aviso] Temporada no capturada ()", IF(ISNA(MATCH(N226, Criterios!$C$123:$C$128, 0)), "Temporada no válida", "")), IF(OR(O226="", O226=""), "[Aviso] Ciclo de vida no capturado ()", IF(ISNA(MATCH(O226, Criterios!$D$123:$D$124, 0)), "Ciclo de vida no válido", ""))))</f>
        <v/>
      </c>
      <c r="AC226" s="56" t="n"/>
      <c r="AD226" s="51" t="n">
        <v>27</v>
      </c>
      <c r="AE226" s="156" t="inlineStr">
        <is>
          <t>CAPSLAB Warehouse (23); Web (2)</t>
        </is>
      </c>
      <c r="AF226" s="51" t="n">
        <v>27</v>
      </c>
      <c r="AG226" s="156" t="inlineStr">
        <is>
          <t>Nuevo – NetSuite con existencia</t>
        </is>
      </c>
      <c r="AH226" s="156" t="inlineStr">
        <is>
          <t>Composición CAPSLAB varía por modelo (50/50, 40/60 o 100% poliéster): validar etiqueta; Color por validar; Físico total NetSuite 27 ≠ suma por ubicación 25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6" s="156" t="inlineStr">
        <is>
          <t>No</t>
        </is>
      </c>
      <c r="AJ226" s="156" t="n"/>
      <c r="AK226" s="155" t="inlineStr">
        <is>
          <t>G1522ProductosTodosloscamposSandboxResults894.xlsx: fila 47990 [X]; G1522_Extraccion_Articulos_NetSuite_2026-09-30.xlsx: fila 30377 [Z]</t>
        </is>
      </c>
      <c r="AL226" s="58" t="n"/>
      <c r="AM226" s="58" t="n"/>
      <c r="AN226" s="155" t="n"/>
      <c r="AO226" s="59" t="n"/>
      <c r="AP226" s="59" t="n"/>
      <c r="AQ226" s="59" t="n"/>
      <c r="AR226" s="155" t="n"/>
    </row>
    <row r="227">
      <c r="A227" s="50" t="inlineStr">
        <is>
          <t>3614001697045</t>
        </is>
      </c>
      <c r="B227" s="51" t="inlineStr">
        <is>
          <t>69648</t>
        </is>
      </c>
      <c r="C227" s="156" t="inlineStr">
        <is>
          <t>CAPSLAB</t>
        </is>
      </c>
      <c r="D227" s="156" t="inlineStr">
        <is>
          <t>CL/LOO8/1/CT/DAF4</t>
        </is>
      </c>
      <c r="E227" s="156" t="inlineStr">
        <is>
          <t>CL/LOO8/1/CT/DAF4-UNI</t>
        </is>
      </c>
      <c r="F227" s="156" t="inlineStr">
        <is>
          <t>Talla única</t>
        </is>
      </c>
      <c r="G227" s="156" t="inlineStr">
        <is>
          <t>One Size</t>
        </is>
      </c>
      <c r="H227" s="156" t="inlineStr">
        <is>
          <t>CAPSLAB</t>
        </is>
      </c>
      <c r="I227" s="156" t="inlineStr">
        <is>
          <t>Gorra trucker CAPSLAB Looney Tunes Pato Lucas</t>
        </is>
      </c>
      <c r="J227" s="156" t="inlineStr">
        <is>
          <t>Accesorios</t>
        </is>
      </c>
      <c r="K227" s="156" t="inlineStr">
        <is>
          <t>Gorras</t>
        </is>
      </c>
      <c r="L227" s="156" t="inlineStr">
        <is>
          <t>Unisex</t>
        </is>
      </c>
      <c r="M227" s="156" t="inlineStr">
        <is>
          <t>Looney Tunes</t>
        </is>
      </c>
      <c r="N227" s="156" t="n"/>
      <c r="O227" s="156" t="n"/>
      <c r="P227" s="156" t="n"/>
      <c r="Q227" s="156" t="n"/>
      <c r="R227" s="156" t="n"/>
      <c r="S227" s="156" t="inlineStr">
        <is>
          <t>Algodón / Poliéster</t>
        </is>
      </c>
      <c r="T227" s="156" t="inlineStr">
        <is>
          <t>Gorra trucker de la marca CAPSLAB bajo licencia oficial Looney Tunes, personaje Pato Lucas. Talla única ajustable. Estilo CL/LOO8/1/CT/DAF4.</t>
        </is>
      </c>
      <c r="U227" s="156" t="n"/>
      <c r="V227" s="156" t="inlineStr">
        <is>
          <t>PZS</t>
        </is>
      </c>
      <c r="W227" s="51" t="inlineStr">
        <is>
          <t>53102516</t>
        </is>
      </c>
      <c r="X227" s="156" t="inlineStr">
        <is>
          <t>https://i.ibb.co/qYWqHTw/CLLOO81-CTDAF4.jpg</t>
        </is>
      </c>
      <c r="Y227" s="54" t="n"/>
      <c r="Z227" s="54" t="n">
        <v>699</v>
      </c>
      <c r="AA227" s="55">
        <f>IF(AND(A227="", B227="", E227=""), "", IF(AB227="", "Válido", IF((LEN(AB227)-LEN(SUBSTITUTE(AB227,"; ","")))/2+1&gt;(LEN(AB227)-LEN(SUBSTITUTE(AB227,"[Aviso]","")))/7, "Con Incidencias", "Válido")))</f>
        <v/>
      </c>
      <c r="AB227" s="56">
        <f>IF(AND(A227="", B227="", E227=""), "", TEXTJOIN("; ", TRUE, IF(OR(TRIM(A227&amp;"")="", ISNUMBER(SEARCH("FALTA", A227))), "UPC faltante/inválido", ""), IF(AND(A227&lt;&gt;"", IFERROR(_xlfn.XMATCH(A227,$A$2:$A$370,0,1)&lt;&gt;_xlfn.XMATCH(A227,$A$2:$A$370,0,-1),FALSE)), "Código de barras duplicado", ""), IF(AND(E227&lt;&gt;"", COUNTIF($E$2:$E$370, E227)&gt;1), "SKU duplicado", ""), IF(OR(J227="", J227=""), "[Aviso] División no capturada ()", IF(ISNA(MATCH(J227, Criterios!$A$123:$A$126, 0)), "División no válida", "")), IF(OR(K227="", K227=""), "[Aviso] Categoría no capturada ()", IF(ISNA(MATCH(K227, Criterios!$A$81:$A$120, 0)), "Categoría no válida", IF(AND(J227&lt;&gt;"", J227&lt;&gt;"", J227&lt;&gt;VLOOKUP(K227, Criterios!$A$81:$B$120, 2, FALSE)), "División no coincide con Categoría", ""))), IF(OR(L227="", L227=""), "[Aviso] Género no capturado ()", IF(ISNA(MATCH(L227, Criterios!$B$123:$B$127, 0)), "Género no válido", "")), IF(OR(N227="", N227=""), "[Aviso] Temporada no capturada ()", IF(ISNA(MATCH(N227, Criterios!$C$123:$C$128, 0)), "Temporada no válida", "")), IF(OR(O227="", O227=""), "[Aviso] Ciclo de vida no capturado ()", IF(ISNA(MATCH(O227, Criterios!$D$123:$D$124, 0)), "Ciclo de vida no válido", ""))))</f>
        <v/>
      </c>
      <c r="AC227" s="56" t="n"/>
      <c r="AD227" s="51" t="n">
        <v>39</v>
      </c>
      <c r="AE227" s="156" t="inlineStr">
        <is>
          <t>Web (1); CAPSLAB Warehouse (23)</t>
        </is>
      </c>
      <c r="AF227" s="51" t="n">
        <v>39</v>
      </c>
      <c r="AG227" s="156" t="inlineStr">
        <is>
          <t>Nuevo – NetSuite con existencia</t>
        </is>
      </c>
      <c r="AH227" s="156" t="inlineStr">
        <is>
          <t>Composición CAPSLAB varía por modelo (50/50, 40/60 o 100% poliéster): validar etiqueta; Color por validar; Físico total NetSuite 39 ≠ suma por ubicación 24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7" s="156" t="inlineStr">
        <is>
          <t>No</t>
        </is>
      </c>
      <c r="AJ227" s="156" t="n"/>
      <c r="AK227" s="155" t="inlineStr">
        <is>
          <t>G1522ProductosTodosloscamposSandboxResults894.xlsx: fila 47992 [X]; G1522_Extraccion_Articulos_NetSuite_2026-09-30.xlsx: fila 30378 [Z]</t>
        </is>
      </c>
      <c r="AL227" s="58" t="n"/>
      <c r="AM227" s="58" t="n"/>
      <c r="AN227" s="155" t="n"/>
      <c r="AO227" s="59" t="n"/>
      <c r="AP227" s="59" t="n"/>
      <c r="AQ227" s="59" t="n"/>
      <c r="AR227" s="155" t="n"/>
    </row>
    <row r="228">
      <c r="A228" s="50" t="inlineStr">
        <is>
          <t>3614001697069</t>
        </is>
      </c>
      <c r="B228" s="51" t="inlineStr">
        <is>
          <t>69649</t>
        </is>
      </c>
      <c r="C228" s="156" t="inlineStr">
        <is>
          <t>CAPSLAB</t>
        </is>
      </c>
      <c r="D228" s="156" t="inlineStr">
        <is>
          <t>CL/LOO8/1/CT/MAR1</t>
        </is>
      </c>
      <c r="E228" s="156" t="inlineStr">
        <is>
          <t>CL/LOO8/1/CT/MAR1-UNI</t>
        </is>
      </c>
      <c r="F228" s="156" t="inlineStr">
        <is>
          <t>Talla única</t>
        </is>
      </c>
      <c r="G228" s="156" t="inlineStr">
        <is>
          <t>One Size</t>
        </is>
      </c>
      <c r="H228" s="156" t="inlineStr">
        <is>
          <t>CAPSLAB</t>
        </is>
      </c>
      <c r="I228" s="156" t="inlineStr">
        <is>
          <t>Gorra trucker CAPSLAB Looney Tunes</t>
        </is>
      </c>
      <c r="J228" s="156" t="inlineStr">
        <is>
          <t>Accesorios</t>
        </is>
      </c>
      <c r="K228" s="156" t="inlineStr">
        <is>
          <t>Gorras</t>
        </is>
      </c>
      <c r="L228" s="156" t="inlineStr">
        <is>
          <t>Unisex</t>
        </is>
      </c>
      <c r="M228" s="156" t="inlineStr">
        <is>
          <t>Looney Tunes</t>
        </is>
      </c>
      <c r="N228" s="156" t="n"/>
      <c r="O228" s="156" t="n"/>
      <c r="P228" s="156" t="n"/>
      <c r="Q228" s="156" t="n"/>
      <c r="R228" s="156" t="n"/>
      <c r="S228" s="156" t="inlineStr">
        <is>
          <t>Algodón / Poliéster</t>
        </is>
      </c>
      <c r="T228" s="156" t="inlineStr">
        <is>
          <t>Gorra trucker de la marca CAPSLAB bajo licencia oficial Looney Tunes. Talla única ajustable. Estilo CL/LOO8/1/CT/MAR1.</t>
        </is>
      </c>
      <c r="U228" s="156" t="n"/>
      <c r="V228" s="156" t="inlineStr">
        <is>
          <t>PZS</t>
        </is>
      </c>
      <c r="W228" s="51" t="inlineStr">
        <is>
          <t>53102516</t>
        </is>
      </c>
      <c r="X228" s="156" t="inlineStr">
        <is>
          <t>https://i.ibb.co/QbJGwYv/CLLOO81-CTMAR1.jpg</t>
        </is>
      </c>
      <c r="Y228" s="54" t="n"/>
      <c r="Z228" s="54" t="n">
        <v>699</v>
      </c>
      <c r="AA228" s="55">
        <f>IF(AND(A228="", B228="", E228=""), "", IF(AB228="", "Válido", IF((LEN(AB228)-LEN(SUBSTITUTE(AB228,"; ","")))/2+1&gt;(LEN(AB228)-LEN(SUBSTITUTE(AB228,"[Aviso]","")))/7, "Con Incidencias", "Válido")))</f>
        <v/>
      </c>
      <c r="AB228" s="56">
        <f>IF(AND(A228="", B228="", E228=""), "", TEXTJOIN("; ", TRUE, IF(OR(TRIM(A228&amp;"")="", ISNUMBER(SEARCH("FALTA", A228))), "UPC faltante/inválido", ""), IF(AND(A228&lt;&gt;"", IFERROR(_xlfn.XMATCH(A228,$A$2:$A$370,0,1)&lt;&gt;_xlfn.XMATCH(A228,$A$2:$A$370,0,-1),FALSE)), "Código de barras duplicado", ""), IF(AND(E228&lt;&gt;"", COUNTIF($E$2:$E$370, E228)&gt;1), "SKU duplicado", ""), IF(OR(J228="", J228=""), "[Aviso] División no capturada ()", IF(ISNA(MATCH(J228, Criterios!$A$123:$A$126, 0)), "División no válida", "")), IF(OR(K228="", K228=""), "[Aviso] Categoría no capturada ()", IF(ISNA(MATCH(K228, Criterios!$A$81:$A$120, 0)), "Categoría no válida", IF(AND(J228&lt;&gt;"", J228&lt;&gt;"", J228&lt;&gt;VLOOKUP(K228, Criterios!$A$81:$B$120, 2, FALSE)), "División no coincide con Categoría", ""))), IF(OR(L228="", L228=""), "[Aviso] Género no capturado ()", IF(ISNA(MATCH(L228, Criterios!$B$123:$B$127, 0)), "Género no válido", "")), IF(OR(N228="", N228=""), "[Aviso] Temporada no capturada ()", IF(ISNA(MATCH(N228, Criterios!$C$123:$C$128, 0)), "Temporada no válida", "")), IF(OR(O228="", O228=""), "[Aviso] Ciclo de vida no capturado ()", IF(ISNA(MATCH(O228, Criterios!$D$123:$D$124, 0)), "Ciclo de vida no válido", ""))))</f>
        <v/>
      </c>
      <c r="AC228" s="56" t="n"/>
      <c r="AD228" s="51" t="n">
        <v>1</v>
      </c>
      <c r="AE228" s="156" t="inlineStr">
        <is>
          <t>CL Muestras (1)</t>
        </is>
      </c>
      <c r="AF228" s="51" t="n">
        <v>1</v>
      </c>
      <c r="AG228" s="156" t="inlineStr">
        <is>
          <t>Nuevo – NetSuite con existencia</t>
        </is>
      </c>
      <c r="AH228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8" s="156" t="inlineStr">
        <is>
          <t>No</t>
        </is>
      </c>
      <c r="AJ228" s="156" t="n"/>
      <c r="AK228" s="155" t="inlineStr">
        <is>
          <t>G1522ProductosTodosloscamposSandboxResults894.xlsx: fila 47994 [X]; G1522_Extraccion_Articulos_NetSuite_2026-09-30.xlsx: fila 30379 [Z]</t>
        </is>
      </c>
      <c r="AL228" s="58" t="n"/>
      <c r="AM228" s="58" t="n"/>
      <c r="AN228" s="155" t="n"/>
      <c r="AO228" s="59" t="n"/>
      <c r="AP228" s="59" t="n"/>
      <c r="AQ228" s="59" t="n"/>
      <c r="AR228" s="155" t="n"/>
    </row>
    <row r="229">
      <c r="A229" s="50" t="inlineStr">
        <is>
          <t>3614001697083</t>
        </is>
      </c>
      <c r="B229" s="51" t="inlineStr">
        <is>
          <t>69650</t>
        </is>
      </c>
      <c r="C229" s="156" t="inlineStr">
        <is>
          <t>CAPSLAB</t>
        </is>
      </c>
      <c r="D229" s="156" t="inlineStr">
        <is>
          <t>CL/LOO8/1/CT/SPE1</t>
        </is>
      </c>
      <c r="E229" s="156" t="inlineStr">
        <is>
          <t>CL/LOO8/1/CT/SPE1-UNI</t>
        </is>
      </c>
      <c r="F229" s="156" t="inlineStr">
        <is>
          <t>Talla única</t>
        </is>
      </c>
      <c r="G229" s="156" t="inlineStr">
        <is>
          <t>One Size</t>
        </is>
      </c>
      <c r="H229" s="156" t="inlineStr">
        <is>
          <t>CAPSLAB</t>
        </is>
      </c>
      <c r="I229" s="156" t="inlineStr">
        <is>
          <t>Gorra trucker CAPSLAB Looney Tunes Speedy Gonzales</t>
        </is>
      </c>
      <c r="J229" s="156" t="inlineStr">
        <is>
          <t>Accesorios</t>
        </is>
      </c>
      <c r="K229" s="156" t="inlineStr">
        <is>
          <t>Gorras</t>
        </is>
      </c>
      <c r="L229" s="156" t="inlineStr">
        <is>
          <t>Unisex</t>
        </is>
      </c>
      <c r="M229" s="156" t="inlineStr">
        <is>
          <t>Looney Tunes</t>
        </is>
      </c>
      <c r="N229" s="156" t="n"/>
      <c r="O229" s="156" t="n"/>
      <c r="P229" s="156" t="n"/>
      <c r="Q229" s="156" t="n"/>
      <c r="R229" s="156" t="n"/>
      <c r="S229" s="156" t="inlineStr">
        <is>
          <t>Algodón / Poliéster</t>
        </is>
      </c>
      <c r="T229" s="156" t="inlineStr">
        <is>
          <t>Gorra trucker de la marca CAPSLAB bajo licencia oficial Looney Tunes, personaje Speedy Gonzales. Talla única ajustable. Estilo CL/LOO8/1/CT/SPE1.</t>
        </is>
      </c>
      <c r="U229" s="156" t="n"/>
      <c r="V229" s="156" t="inlineStr">
        <is>
          <t>PZS</t>
        </is>
      </c>
      <c r="W229" s="51" t="inlineStr">
        <is>
          <t>53102516</t>
        </is>
      </c>
      <c r="X229" s="156" t="inlineStr">
        <is>
          <t>https://i.ibb.co/w7fMCqh/CLLOO81-CTSPE1.jpg</t>
        </is>
      </c>
      <c r="Y229" s="54" t="n"/>
      <c r="Z229" s="54" t="n">
        <v>699</v>
      </c>
      <c r="AA229" s="55">
        <f>IF(AND(A229="", B229="", E229=""), "", IF(AB229="", "Válido", IF((LEN(AB229)-LEN(SUBSTITUTE(AB229,"; ","")))/2+1&gt;(LEN(AB229)-LEN(SUBSTITUTE(AB229,"[Aviso]","")))/7, "Con Incidencias", "Válido")))</f>
        <v/>
      </c>
      <c r="AB229" s="56">
        <f>IF(AND(A229="", B229="", E229=""), "", TEXTJOIN("; ", TRUE, IF(OR(TRIM(A229&amp;"")="", ISNUMBER(SEARCH("FALTA", A229))), "UPC faltante/inválido", ""), IF(AND(A229&lt;&gt;"", IFERROR(_xlfn.XMATCH(A229,$A$2:$A$370,0,1)&lt;&gt;_xlfn.XMATCH(A229,$A$2:$A$370,0,-1),FALSE)), "Código de barras duplicado", ""), IF(AND(E229&lt;&gt;"", COUNTIF($E$2:$E$370, E229)&gt;1), "SKU duplicado", ""), IF(OR(J229="", J229=""), "[Aviso] División no capturada ()", IF(ISNA(MATCH(J229, Criterios!$A$123:$A$126, 0)), "División no válida", "")), IF(OR(K229="", K229=""), "[Aviso] Categoría no capturada ()", IF(ISNA(MATCH(K229, Criterios!$A$81:$A$120, 0)), "Categoría no válida", IF(AND(J229&lt;&gt;"", J229&lt;&gt;"", J229&lt;&gt;VLOOKUP(K229, Criterios!$A$81:$B$120, 2, FALSE)), "División no coincide con Categoría", ""))), IF(OR(L229="", L229=""), "[Aviso] Género no capturado ()", IF(ISNA(MATCH(L229, Criterios!$B$123:$B$127, 0)), "Género no válido", "")), IF(OR(N229="", N229=""), "[Aviso] Temporada no capturada ()", IF(ISNA(MATCH(N229, Criterios!$C$123:$C$128, 0)), "Temporada no válida", "")), IF(OR(O229="", O229=""), "[Aviso] Ciclo de vida no capturado ()", IF(ISNA(MATCH(O229, Criterios!$D$123:$D$124, 0)), "Ciclo de vida no válido", ""))))</f>
        <v/>
      </c>
      <c r="AC229" s="56" t="n"/>
      <c r="AD229" s="51" t="n">
        <v>20</v>
      </c>
      <c r="AE229" s="156" t="inlineStr">
        <is>
          <t>Web (1); CL Muestras (1); CAPSLAB Warehouse (17)</t>
        </is>
      </c>
      <c r="AF229" s="51" t="n">
        <v>20</v>
      </c>
      <c r="AG229" s="156" t="inlineStr">
        <is>
          <t>Nuevo – NetSuite con existencia</t>
        </is>
      </c>
      <c r="AH229" s="156" t="inlineStr">
        <is>
          <t>Composición CAPSLAB varía por modelo (50/50, 40/60 o 100% poliéster): validar etiqueta; Color por validar; Físico total NetSuite 20 ≠ suma por ubicación 19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29" s="156" t="inlineStr">
        <is>
          <t>No</t>
        </is>
      </c>
      <c r="AJ229" s="156" t="n"/>
      <c r="AK229" s="155" t="inlineStr">
        <is>
          <t>G1522ProductosTodosloscamposSandboxResults894.xlsx: fila 47996 [X]; G1522_Extraccion_Articulos_NetSuite_2026-09-30.xlsx: fila 30380 [Z]</t>
        </is>
      </c>
      <c r="AL229" s="58" t="n"/>
      <c r="AM229" s="58" t="n"/>
      <c r="AN229" s="155" t="n"/>
      <c r="AO229" s="59" t="n"/>
      <c r="AP229" s="59" t="n"/>
      <c r="AQ229" s="59" t="n"/>
      <c r="AR229" s="155" t="n"/>
    </row>
    <row r="230">
      <c r="A230" s="50" t="inlineStr">
        <is>
          <t>3614001697106</t>
        </is>
      </c>
      <c r="B230" s="51" t="inlineStr">
        <is>
          <t>69651</t>
        </is>
      </c>
      <c r="C230" s="156" t="inlineStr">
        <is>
          <t>CAPSLAB</t>
        </is>
      </c>
      <c r="D230" s="156" t="inlineStr">
        <is>
          <t>CL/LOO8/1/CT/TAZ1</t>
        </is>
      </c>
      <c r="E230" s="156" t="inlineStr">
        <is>
          <t>CL/LOO8/1/CT/TAZ1-UNI</t>
        </is>
      </c>
      <c r="F230" s="156" t="inlineStr">
        <is>
          <t>Talla única</t>
        </is>
      </c>
      <c r="G230" s="156" t="inlineStr">
        <is>
          <t>One Size</t>
        </is>
      </c>
      <c r="H230" s="156" t="inlineStr">
        <is>
          <t>CAPSLAB</t>
        </is>
      </c>
      <c r="I230" s="156" t="inlineStr">
        <is>
          <t>Gorra trucker CAPSLAB Looney Tunes Taz</t>
        </is>
      </c>
      <c r="J230" s="156" t="inlineStr">
        <is>
          <t>Accesorios</t>
        </is>
      </c>
      <c r="K230" s="156" t="inlineStr">
        <is>
          <t>Gorras</t>
        </is>
      </c>
      <c r="L230" s="156" t="inlineStr">
        <is>
          <t>Unisex</t>
        </is>
      </c>
      <c r="M230" s="156" t="inlineStr">
        <is>
          <t>Looney Tunes</t>
        </is>
      </c>
      <c r="N230" s="156" t="n"/>
      <c r="O230" s="156" t="n"/>
      <c r="P230" s="156" t="n"/>
      <c r="Q230" s="156" t="n"/>
      <c r="R230" s="156" t="n"/>
      <c r="S230" s="156" t="inlineStr">
        <is>
          <t>Algodón / Poliéster</t>
        </is>
      </c>
      <c r="T230" s="156" t="inlineStr">
        <is>
          <t>Gorra trucker de la marca CAPSLAB bajo licencia oficial Looney Tunes, personaje Taz. Talla única ajustable. Estilo CL/LOO8/1/CT/TAZ1.</t>
        </is>
      </c>
      <c r="U230" s="156" t="n"/>
      <c r="V230" s="156" t="inlineStr">
        <is>
          <t>PZS</t>
        </is>
      </c>
      <c r="W230" s="51" t="inlineStr">
        <is>
          <t>53102516</t>
        </is>
      </c>
      <c r="X230" s="156" t="inlineStr">
        <is>
          <t>https://i.ibb.co/DDpp02f/CLLOO81-CTTAZ1.jpg</t>
        </is>
      </c>
      <c r="Y230" s="54" t="n"/>
      <c r="Z230" s="54" t="n">
        <v>699</v>
      </c>
      <c r="AA230" s="55">
        <f>IF(AND(A230="", B230="", E230=""), "", IF(AB230="", "Válido", IF((LEN(AB230)-LEN(SUBSTITUTE(AB230,"; ","")))/2+1&gt;(LEN(AB230)-LEN(SUBSTITUTE(AB230,"[Aviso]","")))/7, "Con Incidencias", "Válido")))</f>
        <v/>
      </c>
      <c r="AB230" s="56">
        <f>IF(AND(A230="", B230="", E230=""), "", TEXTJOIN("; ", TRUE, IF(OR(TRIM(A230&amp;"")="", ISNUMBER(SEARCH("FALTA", A230))), "UPC faltante/inválido", ""), IF(AND(A230&lt;&gt;"", IFERROR(_xlfn.XMATCH(A230,$A$2:$A$370,0,1)&lt;&gt;_xlfn.XMATCH(A230,$A$2:$A$370,0,-1),FALSE)), "Código de barras duplicado", ""), IF(AND(E230&lt;&gt;"", COUNTIF($E$2:$E$370, E230)&gt;1), "SKU duplicado", ""), IF(OR(J230="", J230=""), "[Aviso] División no capturada ()", IF(ISNA(MATCH(J230, Criterios!$A$123:$A$126, 0)), "División no válida", "")), IF(OR(K230="", K230=""), "[Aviso] Categoría no capturada ()", IF(ISNA(MATCH(K230, Criterios!$A$81:$A$120, 0)), "Categoría no válida", IF(AND(J230&lt;&gt;"", J230&lt;&gt;"", J230&lt;&gt;VLOOKUP(K230, Criterios!$A$81:$B$120, 2, FALSE)), "División no coincide con Categoría", ""))), IF(OR(L230="", L230=""), "[Aviso] Género no capturado ()", IF(ISNA(MATCH(L230, Criterios!$B$123:$B$127, 0)), "Género no válido", "")), IF(OR(N230="", N230=""), "[Aviso] Temporada no capturada ()", IF(ISNA(MATCH(N230, Criterios!$C$123:$C$128, 0)), "Temporada no válida", "")), IF(OR(O230="", O230=""), "[Aviso] Ciclo de vida no capturado ()", IF(ISNA(MATCH(O230, Criterios!$D$123:$D$124, 0)), "Ciclo de vida no válido", ""))))</f>
        <v/>
      </c>
      <c r="AC230" s="56" t="n"/>
      <c r="AD230" s="51" t="n">
        <v>94</v>
      </c>
      <c r="AE230" s="156" t="inlineStr">
        <is>
          <t>CL POS (2); CL Muestras (1); CAPSLAB Warehouse (61); Web (2)</t>
        </is>
      </c>
      <c r="AF230" s="51" t="n">
        <v>94</v>
      </c>
      <c r="AG230" s="156" t="inlineStr">
        <is>
          <t>Nuevo – NetSuite con existencia</t>
        </is>
      </c>
      <c r="AH230" s="156" t="inlineStr">
        <is>
          <t>Composición CAPSLAB varía por modelo (50/50, 40/60 o 100% poliéster): validar etiqueta; Color por validar; Físico total NetSuite 94 ≠ suma por ubicación 66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30" s="156" t="inlineStr">
        <is>
          <t>No</t>
        </is>
      </c>
      <c r="AJ230" s="156" t="n"/>
      <c r="AK230" s="155" t="inlineStr">
        <is>
          <t>G1522ProductosTodosloscamposSandboxResults894.xlsx: fila 47998 [X]; G1522_Extraccion_Articulos_NetSuite_2026-09-30.xlsx: fila 30381 [Z]</t>
        </is>
      </c>
      <c r="AL230" s="58" t="n"/>
      <c r="AM230" s="58" t="n"/>
      <c r="AN230" s="155" t="n"/>
      <c r="AO230" s="59" t="n"/>
      <c r="AP230" s="59" t="n"/>
      <c r="AQ230" s="59" t="n"/>
      <c r="AR230" s="155" t="n"/>
    </row>
    <row r="231">
      <c r="A231" s="50" t="inlineStr">
        <is>
          <t>3614001697120</t>
        </is>
      </c>
      <c r="B231" s="51" t="inlineStr">
        <is>
          <t>69652</t>
        </is>
      </c>
      <c r="C231" s="156" t="inlineStr">
        <is>
          <t>CAPSLAB</t>
        </is>
      </c>
      <c r="D231" s="156" t="inlineStr">
        <is>
          <t>CL/LOO8/1/CT/TAZ2</t>
        </is>
      </c>
      <c r="E231" s="156" t="inlineStr">
        <is>
          <t>CL/LOO8/1/CT/TAZ2-UNI</t>
        </is>
      </c>
      <c r="F231" s="156" t="inlineStr">
        <is>
          <t>Talla única</t>
        </is>
      </c>
      <c r="G231" s="156" t="inlineStr">
        <is>
          <t>One Size</t>
        </is>
      </c>
      <c r="H231" s="156" t="inlineStr">
        <is>
          <t>CAPSLAB</t>
        </is>
      </c>
      <c r="I231" s="156" t="inlineStr">
        <is>
          <t>Gorra trucker CAPSLAB Looney Tunes Taz</t>
        </is>
      </c>
      <c r="J231" s="156" t="inlineStr">
        <is>
          <t>Accesorios</t>
        </is>
      </c>
      <c r="K231" s="156" t="inlineStr">
        <is>
          <t>Gorras</t>
        </is>
      </c>
      <c r="L231" s="156" t="inlineStr">
        <is>
          <t>Unisex</t>
        </is>
      </c>
      <c r="M231" s="156" t="inlineStr">
        <is>
          <t>Looney Tunes</t>
        </is>
      </c>
      <c r="N231" s="156" t="n"/>
      <c r="O231" s="156" t="n"/>
      <c r="P231" s="156" t="n"/>
      <c r="Q231" s="156" t="n"/>
      <c r="R231" s="156" t="n"/>
      <c r="S231" s="156" t="inlineStr">
        <is>
          <t>Algodón / Poliéster</t>
        </is>
      </c>
      <c r="T231" s="156" t="inlineStr">
        <is>
          <t>Gorra trucker de la marca CAPSLAB bajo licencia oficial Looney Tunes, personaje Taz. Talla única ajustable. Estilo CL/LOO8/1/CT/TAZ2.</t>
        </is>
      </c>
      <c r="U231" s="156" t="n"/>
      <c r="V231" s="156" t="inlineStr">
        <is>
          <t>PZS</t>
        </is>
      </c>
      <c r="W231" s="51" t="inlineStr">
        <is>
          <t>53102516</t>
        </is>
      </c>
      <c r="X231" s="156" t="inlineStr">
        <is>
          <t>https://i.ibb.co/rt883X2/CLLOO81-CTTAZ2.jpg</t>
        </is>
      </c>
      <c r="Y231" s="54" t="n"/>
      <c r="Z231" s="54" t="n">
        <v>699</v>
      </c>
      <c r="AA231" s="55">
        <f>IF(AND(A231="", B231="", E231=""), "", IF(AB231="", "Válido", IF((LEN(AB231)-LEN(SUBSTITUTE(AB231,"; ","")))/2+1&gt;(LEN(AB231)-LEN(SUBSTITUTE(AB231,"[Aviso]","")))/7, "Con Incidencias", "Válido")))</f>
        <v/>
      </c>
      <c r="AB231" s="56">
        <f>IF(AND(A231="", B231="", E231=""), "", TEXTJOIN("; ", TRUE, IF(OR(TRIM(A231&amp;"")="", ISNUMBER(SEARCH("FALTA", A231))), "UPC faltante/inválido", ""), IF(AND(A231&lt;&gt;"", IFERROR(_xlfn.XMATCH(A231,$A$2:$A$370,0,1)&lt;&gt;_xlfn.XMATCH(A231,$A$2:$A$370,0,-1),FALSE)), "Código de barras duplicado", ""), IF(AND(E231&lt;&gt;"", COUNTIF($E$2:$E$370, E231)&gt;1), "SKU duplicado", ""), IF(OR(J231="", J231=""), "[Aviso] División no capturada ()", IF(ISNA(MATCH(J231, Criterios!$A$123:$A$126, 0)), "División no válida", "")), IF(OR(K231="", K231=""), "[Aviso] Categoría no capturada ()", IF(ISNA(MATCH(K231, Criterios!$A$81:$A$120, 0)), "Categoría no válida", IF(AND(J231&lt;&gt;"", J231&lt;&gt;"", J231&lt;&gt;VLOOKUP(K231, Criterios!$A$81:$B$120, 2, FALSE)), "División no coincide con Categoría", ""))), IF(OR(L231="", L231=""), "[Aviso] Género no capturado ()", IF(ISNA(MATCH(L231, Criterios!$B$123:$B$127, 0)), "Género no válido", "")), IF(OR(N231="", N231=""), "[Aviso] Temporada no capturada ()", IF(ISNA(MATCH(N231, Criterios!$C$123:$C$128, 0)), "Temporada no válida", "")), IF(OR(O231="", O231=""), "[Aviso] Ciclo de vida no capturado ()", IF(ISNA(MATCH(O231, Criterios!$D$123:$D$124, 0)), "Ciclo de vida no válido", ""))))</f>
        <v/>
      </c>
      <c r="AC231" s="56" t="n"/>
      <c r="AD231" s="51" t="n">
        <v>27</v>
      </c>
      <c r="AE231" s="156" t="inlineStr">
        <is>
          <t>Web (2); CL Muestras (1); CAPSLAB Warehouse (21)</t>
        </is>
      </c>
      <c r="AF231" s="51" t="n">
        <v>27</v>
      </c>
      <c r="AG231" s="156" t="inlineStr">
        <is>
          <t>Nuevo – NetSuite con existencia</t>
        </is>
      </c>
      <c r="AH231" s="156" t="inlineStr">
        <is>
          <t>Composición CAPSLAB varía por modelo (50/50, 40/60 o 100% poliéster): validar etiqueta; Color por validar; Físico total NetSuite 27 ≠ suma por ubicación 24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31" s="156" t="inlineStr">
        <is>
          <t>No</t>
        </is>
      </c>
      <c r="AJ231" s="156" t="n"/>
      <c r="AK231" s="155" t="inlineStr">
        <is>
          <t>G1522ProductosTodosloscamposSandboxResults894.xlsx: fila 48000 [X]; G1522_Extraccion_Articulos_NetSuite_2026-09-30.xlsx: fila 30382 [Z]</t>
        </is>
      </c>
      <c r="AL231" s="58" t="n"/>
      <c r="AM231" s="58" t="n"/>
      <c r="AN231" s="155" t="n"/>
      <c r="AO231" s="59" t="n"/>
      <c r="AP231" s="59" t="n"/>
      <c r="AQ231" s="59" t="n"/>
      <c r="AR231" s="155" t="n"/>
    </row>
    <row r="232">
      <c r="A232" s="50" t="inlineStr">
        <is>
          <t>3614001698080</t>
        </is>
      </c>
      <c r="B232" s="51" t="inlineStr">
        <is>
          <t>69653</t>
        </is>
      </c>
      <c r="C232" s="156" t="inlineStr">
        <is>
          <t>CAPSLAB</t>
        </is>
      </c>
      <c r="D232" s="156" t="inlineStr">
        <is>
          <t>CL/LOO8/1/CT/TAZ3</t>
        </is>
      </c>
      <c r="E232" s="156" t="inlineStr">
        <is>
          <t>CL/LOO8/1/CT/TAZ3-UNI</t>
        </is>
      </c>
      <c r="F232" s="156" t="inlineStr">
        <is>
          <t>Talla única</t>
        </is>
      </c>
      <c r="G232" s="156" t="inlineStr">
        <is>
          <t>One Size</t>
        </is>
      </c>
      <c r="H232" s="156" t="inlineStr">
        <is>
          <t>CAPSLAB</t>
        </is>
      </c>
      <c r="I232" s="156" t="inlineStr">
        <is>
          <t>Gorra trucker CAPSLAB Looney Tunes Taz</t>
        </is>
      </c>
      <c r="J232" s="156" t="inlineStr">
        <is>
          <t>Accesorios</t>
        </is>
      </c>
      <c r="K232" s="156" t="inlineStr">
        <is>
          <t>Gorras</t>
        </is>
      </c>
      <c r="L232" s="156" t="inlineStr">
        <is>
          <t>Unisex</t>
        </is>
      </c>
      <c r="M232" s="156" t="inlineStr">
        <is>
          <t>Looney Tunes</t>
        </is>
      </c>
      <c r="N232" s="156" t="n"/>
      <c r="O232" s="156" t="n"/>
      <c r="P232" s="156" t="n"/>
      <c r="Q232" s="156" t="n"/>
      <c r="R232" s="156" t="n"/>
      <c r="S232" s="156" t="inlineStr">
        <is>
          <t>Algodón / Poliéster</t>
        </is>
      </c>
      <c r="T232" s="156" t="inlineStr">
        <is>
          <t>Gorra trucker de la marca CAPSLAB bajo licencia oficial Looney Tunes, personaje Taz. Talla única ajustable. Estilo CL/LOO8/1/CT/TAZ3.</t>
        </is>
      </c>
      <c r="U232" s="156" t="n"/>
      <c r="V232" s="156" t="inlineStr">
        <is>
          <t>PZS</t>
        </is>
      </c>
      <c r="W232" s="51" t="inlineStr">
        <is>
          <t>53102516</t>
        </is>
      </c>
      <c r="X232" s="156" t="inlineStr">
        <is>
          <t>https://i.ibb.co/cDybfDy/CLLOO81-CTTAZ3.jpg</t>
        </is>
      </c>
      <c r="Y232" s="54" t="n"/>
      <c r="Z232" s="54" t="n">
        <v>799</v>
      </c>
      <c r="AA232" s="55">
        <f>IF(AND(A232="", B232="", E232=""), "", IF(AB232="", "Válido", IF((LEN(AB232)-LEN(SUBSTITUTE(AB232,"; ","")))/2+1&gt;(LEN(AB232)-LEN(SUBSTITUTE(AB232,"[Aviso]","")))/7, "Con Incidencias", "Válido")))</f>
        <v/>
      </c>
      <c r="AB232" s="56">
        <f>IF(AND(A232="", B232="", E232=""), "", TEXTJOIN("; ", TRUE, IF(OR(TRIM(A232&amp;"")="", ISNUMBER(SEARCH("FALTA", A232))), "UPC faltante/inválido", ""), IF(AND(A232&lt;&gt;"", IFERROR(_xlfn.XMATCH(A232,$A$2:$A$370,0,1)&lt;&gt;_xlfn.XMATCH(A232,$A$2:$A$370,0,-1),FALSE)), "Código de barras duplicado", ""), IF(AND(E232&lt;&gt;"", COUNTIF($E$2:$E$370, E232)&gt;1), "SKU duplicado", ""), IF(OR(J232="", J232=""), "[Aviso] División no capturada ()", IF(ISNA(MATCH(J232, Criterios!$A$123:$A$126, 0)), "División no válida", "")), IF(OR(K232="", K232=""), "[Aviso] Categoría no capturada ()", IF(ISNA(MATCH(K232, Criterios!$A$81:$A$120, 0)), "Categoría no válida", IF(AND(J232&lt;&gt;"", J232&lt;&gt;"", J232&lt;&gt;VLOOKUP(K232, Criterios!$A$81:$B$120, 2, FALSE)), "División no coincide con Categoría", ""))), IF(OR(L232="", L232=""), "[Aviso] Género no capturado ()", IF(ISNA(MATCH(L232, Criterios!$B$123:$B$127, 0)), "Género no válido", "")), IF(OR(N232="", N232=""), "[Aviso] Temporada no capturada ()", IF(ISNA(MATCH(N232, Criterios!$C$123:$C$128, 0)), "Temporada no válida", "")), IF(OR(O232="", O232=""), "[Aviso] Ciclo de vida no capturado ()", IF(ISNA(MATCH(O232, Criterios!$D$123:$D$124, 0)), "Ciclo de vida no válido", ""))))</f>
        <v/>
      </c>
      <c r="AC232" s="56" t="n"/>
      <c r="AD232" s="51" t="n">
        <v>93</v>
      </c>
      <c r="AE232" s="156" t="inlineStr">
        <is>
          <t>CL Muestras (1); Web (2); CAPSLAB Warehouse (64)</t>
        </is>
      </c>
      <c r="AF232" s="51" t="n">
        <v>93</v>
      </c>
      <c r="AG232" s="156" t="inlineStr">
        <is>
          <t>Nuevo – NetSuite con existencia</t>
        </is>
      </c>
      <c r="AH232" s="156" t="inlineStr">
        <is>
          <t>Composición CAPSLAB varía por modelo (50/50, 40/60 o 100% poliéster): validar etiqueta; Color por validar; Físico total NetSuite 93 ≠ suma por ubicación 67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32" s="156" t="inlineStr">
        <is>
          <t>No</t>
        </is>
      </c>
      <c r="AJ232" s="156" t="n"/>
      <c r="AK232" s="155" t="inlineStr">
        <is>
          <t>G1522ProductosTodosloscamposSandboxResults894.xlsx: fila 48002 [X]; G1522_Extraccion_Articulos_NetSuite_2026-09-30.xlsx: fila 30383 [Z]</t>
        </is>
      </c>
      <c r="AL232" s="58" t="n"/>
      <c r="AM232" s="58" t="n"/>
      <c r="AN232" s="155" t="n"/>
      <c r="AO232" s="59" t="n"/>
      <c r="AP232" s="59" t="n"/>
      <c r="AQ232" s="59" t="n"/>
      <c r="AR232" s="155" t="n"/>
    </row>
    <row r="233">
      <c r="A233" s="50" t="inlineStr">
        <is>
          <t>3614001698103</t>
        </is>
      </c>
      <c r="B233" s="51" t="inlineStr">
        <is>
          <t>69654</t>
        </is>
      </c>
      <c r="C233" s="156" t="inlineStr">
        <is>
          <t>CAPSLAB</t>
        </is>
      </c>
      <c r="D233" s="156" t="inlineStr">
        <is>
          <t>CL/LOO8/1/CT/TAZ4</t>
        </is>
      </c>
      <c r="E233" s="156" t="inlineStr">
        <is>
          <t>CL/LOO8/1/CT/TAZ4-UNI</t>
        </is>
      </c>
      <c r="F233" s="156" t="inlineStr">
        <is>
          <t>Talla única</t>
        </is>
      </c>
      <c r="G233" s="156" t="inlineStr">
        <is>
          <t>One Size</t>
        </is>
      </c>
      <c r="H233" s="156" t="inlineStr">
        <is>
          <t>CAPSLAB</t>
        </is>
      </c>
      <c r="I233" s="156" t="inlineStr">
        <is>
          <t>Gorra trucker CAPSLAB Looney Tunes Taz</t>
        </is>
      </c>
      <c r="J233" s="156" t="inlineStr">
        <is>
          <t>Accesorios</t>
        </is>
      </c>
      <c r="K233" s="156" t="inlineStr">
        <is>
          <t>Gorras</t>
        </is>
      </c>
      <c r="L233" s="156" t="inlineStr">
        <is>
          <t>Unisex</t>
        </is>
      </c>
      <c r="M233" s="156" t="inlineStr">
        <is>
          <t>Looney Tunes</t>
        </is>
      </c>
      <c r="N233" s="156" t="n"/>
      <c r="O233" s="156" t="n"/>
      <c r="P233" s="156" t="n"/>
      <c r="Q233" s="156" t="n"/>
      <c r="R233" s="156" t="n"/>
      <c r="S233" s="156" t="inlineStr">
        <is>
          <t>Algodón / Poliéster</t>
        </is>
      </c>
      <c r="T233" s="156" t="inlineStr">
        <is>
          <t>Gorra trucker de la marca CAPSLAB bajo licencia oficial Looney Tunes, personaje Taz. Talla única ajustable. Estilo CL/LOO8/1/CT/TAZ4.</t>
        </is>
      </c>
      <c r="U233" s="156" t="n"/>
      <c r="V233" s="156" t="inlineStr">
        <is>
          <t>PZS</t>
        </is>
      </c>
      <c r="W233" s="51" t="inlineStr">
        <is>
          <t>53102516</t>
        </is>
      </c>
      <c r="X233" s="156" t="inlineStr">
        <is>
          <t>https://i.ibb.co/Gv4SmSS/CLLOO81-CTTAZ4.jpg</t>
        </is>
      </c>
      <c r="Y233" s="54" t="n"/>
      <c r="Z233" s="54" t="n">
        <v>799</v>
      </c>
      <c r="AA233" s="55">
        <f>IF(AND(A233="", B233="", E233=""), "", IF(AB233="", "Válido", IF((LEN(AB233)-LEN(SUBSTITUTE(AB233,"; ","")))/2+1&gt;(LEN(AB233)-LEN(SUBSTITUTE(AB233,"[Aviso]","")))/7, "Con Incidencias", "Válido")))</f>
        <v/>
      </c>
      <c r="AB233" s="56">
        <f>IF(AND(A233="", B233="", E233=""), "", TEXTJOIN("; ", TRUE, IF(OR(TRIM(A233&amp;"")="", ISNUMBER(SEARCH("FALTA", A233))), "UPC faltante/inválido", ""), IF(AND(A233&lt;&gt;"", IFERROR(_xlfn.XMATCH(A233,$A$2:$A$370,0,1)&lt;&gt;_xlfn.XMATCH(A233,$A$2:$A$370,0,-1),FALSE)), "Código de barras duplicado", ""), IF(AND(E233&lt;&gt;"", COUNTIF($E$2:$E$370, E233)&gt;1), "SKU duplicado", ""), IF(OR(J233="", J233=""), "[Aviso] División no capturada ()", IF(ISNA(MATCH(J233, Criterios!$A$123:$A$126, 0)), "División no válida", "")), IF(OR(K233="", K233=""), "[Aviso] Categoría no capturada ()", IF(ISNA(MATCH(K233, Criterios!$A$81:$A$120, 0)), "Categoría no válida", IF(AND(J233&lt;&gt;"", J233&lt;&gt;"", J233&lt;&gt;VLOOKUP(K233, Criterios!$A$81:$B$120, 2, FALSE)), "División no coincide con Categoría", ""))), IF(OR(L233="", L233=""), "[Aviso] Género no capturado ()", IF(ISNA(MATCH(L233, Criterios!$B$123:$B$127, 0)), "Género no válido", "")), IF(OR(N233="", N233=""), "[Aviso] Temporada no capturada ()", IF(ISNA(MATCH(N233, Criterios!$C$123:$C$128, 0)), "Temporada no válida", "")), IF(OR(O233="", O233=""), "[Aviso] Ciclo de vida no capturado ()", IF(ISNA(MATCH(O233, Criterios!$D$123:$D$124, 0)), "Ciclo de vida no válido", ""))))</f>
        <v/>
      </c>
      <c r="AC233" s="56" t="n"/>
      <c r="AD233" s="51" t="n">
        <v>26</v>
      </c>
      <c r="AE233" s="156" t="inlineStr">
        <is>
          <t>CL Muestras (1); CAPSLAB Warehouse (24); Web (1)</t>
        </is>
      </c>
      <c r="AF233" s="51" t="n">
        <v>27</v>
      </c>
      <c r="AG233" s="156" t="inlineStr">
        <is>
          <t>Nuevo – NetSuite con existencia</t>
        </is>
      </c>
      <c r="AH233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33" s="156" t="inlineStr">
        <is>
          <t>No</t>
        </is>
      </c>
      <c r="AJ233" s="156" t="n"/>
      <c r="AK233" s="155" t="inlineStr">
        <is>
          <t>G1522ProductosTodosloscamposSandboxResults894.xlsx: fila 48004 [X]; G1522_Extraccion_Articulos_NetSuite_2026-09-30.xlsx: fila 30384 [Z]</t>
        </is>
      </c>
      <c r="AL233" s="58" t="n"/>
      <c r="AM233" s="58" t="n"/>
      <c r="AN233" s="155" t="n"/>
      <c r="AO233" s="59" t="n"/>
      <c r="AP233" s="59" t="n"/>
      <c r="AQ233" s="59" t="n"/>
      <c r="AR233" s="155" t="n"/>
    </row>
    <row r="234">
      <c r="A234" s="50" t="inlineStr">
        <is>
          <t>3614001305162</t>
        </is>
      </c>
      <c r="B234" s="51" t="inlineStr">
        <is>
          <t>57417</t>
        </is>
      </c>
      <c r="C234" s="156" t="inlineStr">
        <is>
          <t>CAPSLAB</t>
        </is>
      </c>
      <c r="D234" s="156" t="inlineStr">
        <is>
          <t>CL/MAR/TAG/1/DEA</t>
        </is>
      </c>
      <c r="E234" s="156" t="inlineStr">
        <is>
          <t>CL/MAR/TAG/1/DEA-UNI</t>
        </is>
      </c>
      <c r="F234" s="156" t="inlineStr">
        <is>
          <t>Talla única</t>
        </is>
      </c>
      <c r="G234" s="156" t="inlineStr">
        <is>
          <t>One Size</t>
        </is>
      </c>
      <c r="H234" s="156" t="inlineStr">
        <is>
          <t>CAPSLAB</t>
        </is>
      </c>
      <c r="I234" s="156" t="inlineStr">
        <is>
          <t>Gorra CAPSLAB Marvel Negro</t>
        </is>
      </c>
      <c r="J234" s="156" t="inlineStr">
        <is>
          <t>Accesorios</t>
        </is>
      </c>
      <c r="K234" s="156" t="inlineStr">
        <is>
          <t>Gorras</t>
        </is>
      </c>
      <c r="L234" s="156" t="inlineStr">
        <is>
          <t>Unisex</t>
        </is>
      </c>
      <c r="M234" s="156" t="inlineStr">
        <is>
          <t>Marvel</t>
        </is>
      </c>
      <c r="N234" s="156" t="n"/>
      <c r="O234" s="156" t="n"/>
      <c r="P234" s="156" t="inlineStr">
        <is>
          <t>Negro</t>
        </is>
      </c>
      <c r="Q234" s="156" t="n"/>
      <c r="R234" s="156" t="n"/>
      <c r="S234" s="156" t="inlineStr">
        <is>
          <t>Algodón / Poliéster</t>
        </is>
      </c>
      <c r="T234" s="156" t="inlineStr">
        <is>
          <t>Gorra de la marca CAPSLAB bajo licencia oficial Marvel. Talla única ajustable. Estilo CL/MAR/TAG/1/DEA.</t>
        </is>
      </c>
      <c r="U234" s="156" t="n"/>
      <c r="V234" s="156" t="inlineStr">
        <is>
          <t>PZS</t>
        </is>
      </c>
      <c r="W234" s="51" t="inlineStr">
        <is>
          <t>53102516</t>
        </is>
      </c>
      <c r="X234" s="156" t="inlineStr">
        <is>
          <t>https://7913364.app.netsuite.com/core/media/media.nl?id=188292&amp;c=7913364&amp;h=rfb6FJgpLtt0r57wkYP2aoGjvLn8xu7ZZrjh-OuFRZwychOf</t>
        </is>
      </c>
      <c r="Y234" s="54" t="n">
        <v>10.75</v>
      </c>
      <c r="Z234" s="54" t="n">
        <v>799</v>
      </c>
      <c r="AA234" s="55">
        <f>IF(AND(A234="", B234="", E234=""), "", IF(AB234="", "Válido", IF((LEN(AB234)-LEN(SUBSTITUTE(AB234,"; ","")))/2+1&gt;(LEN(AB234)-LEN(SUBSTITUTE(AB234,"[Aviso]","")))/7, "Con Incidencias", "Válido")))</f>
        <v/>
      </c>
      <c r="AB234" s="56">
        <f>IF(AND(A234="", B234="", E234=""), "", TEXTJOIN("; ", TRUE, IF(OR(TRIM(A234&amp;"")="", ISNUMBER(SEARCH("FALTA", A234))), "UPC faltante/inválido", ""), IF(AND(A234&lt;&gt;"", IFERROR(_xlfn.XMATCH(A234,$A$2:$A$370,0,1)&lt;&gt;_xlfn.XMATCH(A234,$A$2:$A$370,0,-1),FALSE)), "Código de barras duplicado", ""), IF(AND(E234&lt;&gt;"", COUNTIF($E$2:$E$370, E234)&gt;1), "SKU duplicado", ""), IF(OR(J234="", J234=""), "[Aviso] División no capturada ()", IF(ISNA(MATCH(J234, Criterios!$A$123:$A$126, 0)), "División no válida", "")), IF(OR(K234="", K234=""), "[Aviso] Categoría no capturada ()", IF(ISNA(MATCH(K234, Criterios!$A$81:$A$120, 0)), "Categoría no válida", IF(AND(J234&lt;&gt;"", J234&lt;&gt;"", J234&lt;&gt;VLOOKUP(K234, Criterios!$A$81:$B$120, 2, FALSE)), "División no coincide con Categoría", ""))), IF(OR(L234="", L234=""), "[Aviso] Género no capturado ()", IF(ISNA(MATCH(L234, Criterios!$B$123:$B$127, 0)), "Género no válido", "")), IF(OR(N234="", N234=""), "[Aviso] Temporada no capturada ()", IF(ISNA(MATCH(N234, Criterios!$C$123:$C$128, 0)), "Temporada no válida", "")), IF(OR(O234="", O234=""), "[Aviso] Ciclo de vida no capturado ()", IF(ISNA(MATCH(O234, Criterios!$D$123:$D$124, 0)), "Ciclo de vida no válido", ""))))</f>
        <v/>
      </c>
      <c r="AC234" s="56" t="n"/>
      <c r="AD234" s="51" t="n">
        <v>0</v>
      </c>
      <c r="AE234" s="156" t="n"/>
      <c r="AF234" s="51" t="n">
        <v>0</v>
      </c>
      <c r="AG234" s="156" t="inlineStr">
        <is>
          <t>Nuevo – NetSuite sin existencia</t>
        </is>
      </c>
      <c r="AH23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34" s="156" t="inlineStr">
        <is>
          <t>No</t>
        </is>
      </c>
      <c r="AJ234" s="156" t="n"/>
      <c r="AK234" s="155" t="inlineStr">
        <is>
          <t>G1522ProductosTodosloscamposSandboxResults894.xlsx: fila 48006 [Y]; G1522_Extraccion_Articulos_NetSuite_2026-09-30.xlsx: fila 20799 [Z]</t>
        </is>
      </c>
      <c r="AL234" s="58" t="n">
        <v>10.75</v>
      </c>
      <c r="AM234" s="58" t="n"/>
      <c r="AN234" s="155" t="n"/>
      <c r="AO234" s="59" t="n"/>
      <c r="AP234" s="59" t="n"/>
      <c r="AQ234" s="59" t="n"/>
      <c r="AR234" s="155" t="n"/>
    </row>
    <row r="235">
      <c r="A235" s="50" t="inlineStr">
        <is>
          <t>3614001296750</t>
        </is>
      </c>
      <c r="B235" s="51" t="inlineStr">
        <is>
          <t>69655</t>
        </is>
      </c>
      <c r="C235" s="156" t="inlineStr">
        <is>
          <t>CAPSLAB</t>
        </is>
      </c>
      <c r="D235" s="156" t="inlineStr">
        <is>
          <t>CL/MAR3/1/HUL1</t>
        </is>
      </c>
      <c r="E235" s="156" t="inlineStr">
        <is>
          <t>CL/MAR3/1/HUL1-UNI</t>
        </is>
      </c>
      <c r="F235" s="156" t="inlineStr">
        <is>
          <t>Talla única</t>
        </is>
      </c>
      <c r="G235" s="156" t="inlineStr">
        <is>
          <t>One Size</t>
        </is>
      </c>
      <c r="H235" s="156" t="inlineStr">
        <is>
          <t>CAPSLAB</t>
        </is>
      </c>
      <c r="I235" s="156" t="inlineStr">
        <is>
          <t>Gorra CAPSLAB Marvel Hulk</t>
        </is>
      </c>
      <c r="J235" s="156" t="inlineStr">
        <is>
          <t>Accesorios</t>
        </is>
      </c>
      <c r="K235" s="156" t="inlineStr">
        <is>
          <t>Gorras</t>
        </is>
      </c>
      <c r="L235" s="156" t="inlineStr">
        <is>
          <t>Unisex</t>
        </is>
      </c>
      <c r="M235" s="156" t="inlineStr">
        <is>
          <t>Marvel</t>
        </is>
      </c>
      <c r="N235" s="156" t="n"/>
      <c r="O235" s="156" t="n"/>
      <c r="P235" s="156" t="n"/>
      <c r="Q235" s="156" t="n"/>
      <c r="R235" s="156" t="n"/>
      <c r="S235" s="156" t="inlineStr">
        <is>
          <t>Algodón / Poliéster</t>
        </is>
      </c>
      <c r="T235" s="156" t="inlineStr">
        <is>
          <t>Gorra de la marca CAPSLAB bajo licencia oficial Marvel, personaje Hulk. Talla única ajustable. Estilo CL/MAR3/1/HUL1.</t>
        </is>
      </c>
      <c r="U235" s="156" t="n"/>
      <c r="V235" s="156" t="inlineStr">
        <is>
          <t>PZS</t>
        </is>
      </c>
      <c r="W235" s="51" t="inlineStr">
        <is>
          <t>53102516</t>
        </is>
      </c>
      <c r="X235" s="156" t="inlineStr">
        <is>
          <t>https://i.ibb.co/mJbKPNM/CLMAR31-HUL1.jpg</t>
        </is>
      </c>
      <c r="Y235" s="54" t="n"/>
      <c r="Z235" s="54" t="n">
        <v>699</v>
      </c>
      <c r="AA235" s="55">
        <f>IF(AND(A235="", B235="", E235=""), "", IF(AB235="", "Válido", IF((LEN(AB235)-LEN(SUBSTITUTE(AB235,"; ","")))/2+1&gt;(LEN(AB235)-LEN(SUBSTITUTE(AB235,"[Aviso]","")))/7, "Con Incidencias", "Válido")))</f>
        <v/>
      </c>
      <c r="AB235" s="56">
        <f>IF(AND(A235="", B235="", E235=""), "", TEXTJOIN("; ", TRUE, IF(OR(TRIM(A235&amp;"")="", ISNUMBER(SEARCH("FALTA", A235))), "UPC faltante/inválido", ""), IF(AND(A235&lt;&gt;"", IFERROR(_xlfn.XMATCH(A235,$A$2:$A$370,0,1)&lt;&gt;_xlfn.XMATCH(A235,$A$2:$A$370,0,-1),FALSE)), "Código de barras duplicado", ""), IF(AND(E235&lt;&gt;"", COUNTIF($E$2:$E$370, E235)&gt;1), "SKU duplicado", ""), IF(OR(J235="", J235=""), "[Aviso] División no capturada ()", IF(ISNA(MATCH(J235, Criterios!$A$123:$A$126, 0)), "División no válida", "")), IF(OR(K235="", K235=""), "[Aviso] Categoría no capturada ()", IF(ISNA(MATCH(K235, Criterios!$A$81:$A$120, 0)), "Categoría no válida", IF(AND(J235&lt;&gt;"", J235&lt;&gt;"", J235&lt;&gt;VLOOKUP(K235, Criterios!$A$81:$B$120, 2, FALSE)), "División no coincide con Categoría", ""))), IF(OR(L235="", L235=""), "[Aviso] Género no capturado ()", IF(ISNA(MATCH(L235, Criterios!$B$123:$B$127, 0)), "Género no válido", "")), IF(OR(N235="", N235=""), "[Aviso] Temporada no capturada ()", IF(ISNA(MATCH(N235, Criterios!$C$123:$C$128, 0)), "Temporada no válida", "")), IF(OR(O235="", O235=""), "[Aviso] Ciclo de vida no capturado ()", IF(ISNA(MATCH(O235, Criterios!$D$123:$D$124, 0)), "Ciclo de vida no válido", ""))))</f>
        <v/>
      </c>
      <c r="AC235" s="56" t="n"/>
      <c r="AD235" s="51" t="n">
        <v>57</v>
      </c>
      <c r="AE235" s="156" t="inlineStr">
        <is>
          <t>CL POS (4); CAPSLAB Warehouse (38); CL Muestras (2); Web (1)</t>
        </is>
      </c>
      <c r="AF235" s="51" t="n">
        <v>57</v>
      </c>
      <c r="AG235" s="156" t="inlineStr">
        <is>
          <t>Nuevo – NetSuite con existencia</t>
        </is>
      </c>
      <c r="AH235" s="156" t="inlineStr">
        <is>
          <t>Composición CAPSLAB varía por modelo (50/50, 40/60 o 100% poliéster): validar etiqueta; Color por validar; Físico total NetSuite 57 ≠ suma por ubicación 45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35" s="156" t="inlineStr">
        <is>
          <t>No</t>
        </is>
      </c>
      <c r="AJ235" s="156" t="n"/>
      <c r="AK235" s="155" t="inlineStr">
        <is>
          <t>G1522ProductosTodosloscamposSandboxResults894.xlsx: fila 48008 [X]; G1522_Extraccion_Articulos_NetSuite_2026-09-30.xlsx: fila 30385 [Z]</t>
        </is>
      </c>
      <c r="AL235" s="58" t="n"/>
      <c r="AM235" s="58" t="n"/>
      <c r="AN235" s="155" t="n"/>
      <c r="AO235" s="59" t="n"/>
      <c r="AP235" s="59" t="n"/>
      <c r="AQ235" s="59" t="n"/>
      <c r="AR235" s="155" t="n"/>
    </row>
    <row r="236">
      <c r="A236" s="50" t="inlineStr">
        <is>
          <t>3614001296767</t>
        </is>
      </c>
      <c r="B236" s="51" t="inlineStr">
        <is>
          <t>57418</t>
        </is>
      </c>
      <c r="C236" s="156" t="inlineStr">
        <is>
          <t>CAPSLAB</t>
        </is>
      </c>
      <c r="D236" s="156" t="inlineStr">
        <is>
          <t>CL/MAR3/1/HUL2</t>
        </is>
      </c>
      <c r="E236" s="156" t="inlineStr">
        <is>
          <t>CL/MAR3/1/HUL2-UNI</t>
        </is>
      </c>
      <c r="F236" s="156" t="inlineStr">
        <is>
          <t>Talla única</t>
        </is>
      </c>
      <c r="G236" s="156" t="inlineStr">
        <is>
          <t>One Size</t>
        </is>
      </c>
      <c r="H236" s="156" t="inlineStr">
        <is>
          <t>CAPSLAB</t>
        </is>
      </c>
      <c r="I236" s="156" t="inlineStr">
        <is>
          <t>Gorra CAPSLAB Marvel Hulk Azul</t>
        </is>
      </c>
      <c r="J236" s="156" t="inlineStr">
        <is>
          <t>Accesorios</t>
        </is>
      </c>
      <c r="K236" s="156" t="inlineStr">
        <is>
          <t>Gorras</t>
        </is>
      </c>
      <c r="L236" s="156" t="inlineStr">
        <is>
          <t>Unisex</t>
        </is>
      </c>
      <c r="M236" s="156" t="inlineStr">
        <is>
          <t>Marvel</t>
        </is>
      </c>
      <c r="N236" s="156" t="n"/>
      <c r="O236" s="156" t="n"/>
      <c r="P236" s="156" t="inlineStr">
        <is>
          <t>Azul</t>
        </is>
      </c>
      <c r="Q236" s="156" t="n"/>
      <c r="R236" s="156" t="n"/>
      <c r="S236" s="156" t="inlineStr">
        <is>
          <t>Algodón / Poliéster</t>
        </is>
      </c>
      <c r="T236" s="156" t="inlineStr">
        <is>
          <t>Gorra de la marca CAPSLAB bajo licencia oficial Marvel, personaje Hulk. Talla única ajustable. Estilo CL/MAR3/1/HUL2.</t>
        </is>
      </c>
      <c r="U236" s="156" t="n"/>
      <c r="V236" s="156" t="inlineStr">
        <is>
          <t>PZS</t>
        </is>
      </c>
      <c r="W236" s="51" t="inlineStr">
        <is>
          <t>53102516</t>
        </is>
      </c>
      <c r="X236" s="156" t="inlineStr">
        <is>
          <t>https://7913364.app.netsuite.com/core/media/media.nl?id=188293&amp;c=7913364&amp;h=nCM7XHdwtvQ5KPXg941znU-r2pOvX795FBsKqpJAogU68BoM</t>
        </is>
      </c>
      <c r="Y236" s="54" t="n">
        <v>8.5</v>
      </c>
      <c r="Z236" s="54" t="n">
        <v>699</v>
      </c>
      <c r="AA236" s="55">
        <f>IF(AND(A236="", B236="", E236=""), "", IF(AB236="", "Válido", IF((LEN(AB236)-LEN(SUBSTITUTE(AB236,"; ","")))/2+1&gt;(LEN(AB236)-LEN(SUBSTITUTE(AB236,"[Aviso]","")))/7, "Con Incidencias", "Válido")))</f>
        <v/>
      </c>
      <c r="AB236" s="56">
        <f>IF(AND(A236="", B236="", E236=""), "", TEXTJOIN("; ", TRUE, IF(OR(TRIM(A236&amp;"")="", ISNUMBER(SEARCH("FALTA", A236))), "UPC faltante/inválido", ""), IF(AND(A236&lt;&gt;"", IFERROR(_xlfn.XMATCH(A236,$A$2:$A$370,0,1)&lt;&gt;_xlfn.XMATCH(A236,$A$2:$A$370,0,-1),FALSE)), "Código de barras duplicado", ""), IF(AND(E236&lt;&gt;"", COUNTIF($E$2:$E$370, E236)&gt;1), "SKU duplicado", ""), IF(OR(J236="", J236=""), "[Aviso] División no capturada ()", IF(ISNA(MATCH(J236, Criterios!$A$123:$A$126, 0)), "División no válida", "")), IF(OR(K236="", K236=""), "[Aviso] Categoría no capturada ()", IF(ISNA(MATCH(K236, Criterios!$A$81:$A$120, 0)), "Categoría no válida", IF(AND(J236&lt;&gt;"", J236&lt;&gt;"", J236&lt;&gt;VLOOKUP(K236, Criterios!$A$81:$B$120, 2, FALSE)), "División no coincide con Categoría", ""))), IF(OR(L236="", L236=""), "[Aviso] Género no capturado ()", IF(ISNA(MATCH(L236, Criterios!$B$123:$B$127, 0)), "Género no válido", "")), IF(OR(N236="", N236=""), "[Aviso] Temporada no capturada ()", IF(ISNA(MATCH(N236, Criterios!$C$123:$C$128, 0)), "Temporada no válida", "")), IF(OR(O236="", O236=""), "[Aviso] Ciclo de vida no capturado ()", IF(ISNA(MATCH(O236, Criterios!$D$123:$D$124, 0)), "Ciclo de vida no válido", ""))))</f>
        <v/>
      </c>
      <c r="AC236" s="56" t="n"/>
      <c r="AD236" s="51" t="n">
        <v>2</v>
      </c>
      <c r="AE236" s="156" t="inlineStr">
        <is>
          <t>CAPSLAB Warehouse (1)</t>
        </is>
      </c>
      <c r="AF236" s="51" t="n">
        <v>2</v>
      </c>
      <c r="AG236" s="156" t="inlineStr">
        <is>
          <t>Nuevo – NetSuite con existencia</t>
        </is>
      </c>
      <c r="AH236" s="156" t="inlineStr">
        <is>
          <t>Composición CAPSLAB varía por modelo (50/50, 40/60 o 100% poliéster): validar etiqueta; Físico total NetSuite 2 ≠ suma por ubicación 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36" s="156" t="inlineStr">
        <is>
          <t>No</t>
        </is>
      </c>
      <c r="AJ236" s="156" t="n"/>
      <c r="AK236" s="155" t="inlineStr">
        <is>
          <t>G1522ProductosTodosloscamposSandboxResults894.xlsx: fila 48010 [Y]; G1522_Extraccion_Articulos_NetSuite_2026-09-30.xlsx: fila 20800 [Z]</t>
        </is>
      </c>
      <c r="AL236" s="58" t="n">
        <v>8.5</v>
      </c>
      <c r="AM236" s="58" t="n"/>
      <c r="AN236" s="155" t="n"/>
      <c r="AO236" s="59" t="n"/>
      <c r="AP236" s="59" t="n"/>
      <c r="AQ236" s="59" t="n"/>
      <c r="AR236" s="155" t="n"/>
    </row>
    <row r="237">
      <c r="A237" s="50" t="inlineStr">
        <is>
          <t>3614001296774</t>
        </is>
      </c>
      <c r="B237" s="51" t="inlineStr">
        <is>
          <t>57419</t>
        </is>
      </c>
      <c r="C237" s="156" t="inlineStr">
        <is>
          <t>CAPSLAB</t>
        </is>
      </c>
      <c r="D237" s="156" t="inlineStr">
        <is>
          <t>CL/MAR3/1/PAN1</t>
        </is>
      </c>
      <c r="E237" s="156" t="inlineStr">
        <is>
          <t>CL/MAR3/1/PAN1-UNI</t>
        </is>
      </c>
      <c r="F237" s="156" t="inlineStr">
        <is>
          <t>Talla única</t>
        </is>
      </c>
      <c r="G237" s="156" t="inlineStr">
        <is>
          <t>One Size</t>
        </is>
      </c>
      <c r="H237" s="156" t="inlineStr">
        <is>
          <t>CAPSLAB</t>
        </is>
      </c>
      <c r="I237" s="156" t="inlineStr">
        <is>
          <t>Gorra CAPSLAB Marvel Negro</t>
        </is>
      </c>
      <c r="J237" s="156" t="inlineStr">
        <is>
          <t>Accesorios</t>
        </is>
      </c>
      <c r="K237" s="156" t="inlineStr">
        <is>
          <t>Gorras</t>
        </is>
      </c>
      <c r="L237" s="156" t="inlineStr">
        <is>
          <t>Unisex</t>
        </is>
      </c>
      <c r="M237" s="156" t="inlineStr">
        <is>
          <t>Marvel</t>
        </is>
      </c>
      <c r="N237" s="156" t="n"/>
      <c r="O237" s="156" t="n"/>
      <c r="P237" s="156" t="inlineStr">
        <is>
          <t>Negro</t>
        </is>
      </c>
      <c r="Q237" s="156" t="n"/>
      <c r="R237" s="156" t="n"/>
      <c r="S237" s="156" t="inlineStr">
        <is>
          <t>Algodón / Poliéster</t>
        </is>
      </c>
      <c r="T237" s="156" t="inlineStr">
        <is>
          <t>Gorra de la marca CAPSLAB bajo licencia oficial Marvel. Talla única ajustable. Estilo CL/MAR3/1/PAN1.</t>
        </is>
      </c>
      <c r="U237" s="156" t="n"/>
      <c r="V237" s="156" t="inlineStr">
        <is>
          <t>PZS</t>
        </is>
      </c>
      <c r="W237" s="51" t="inlineStr">
        <is>
          <t>53102516</t>
        </is>
      </c>
      <c r="X237" s="156" t="inlineStr">
        <is>
          <t>https://7913364.app.netsuite.com/core/media/media.nl?id=188294&amp;c=7913364&amp;h=mnDnbfljYFGBQqV3HdrcEifbctb4jTLZ6n_U7E1oJkRsKSjY</t>
        </is>
      </c>
      <c r="Y237" s="54" t="n">
        <v>8.5</v>
      </c>
      <c r="Z237" s="54" t="n">
        <v>699</v>
      </c>
      <c r="AA237" s="55">
        <f>IF(AND(A237="", B237="", E237=""), "", IF(AB237="", "Válido", IF((LEN(AB237)-LEN(SUBSTITUTE(AB237,"; ","")))/2+1&gt;(LEN(AB237)-LEN(SUBSTITUTE(AB237,"[Aviso]","")))/7, "Con Incidencias", "Válido")))</f>
        <v/>
      </c>
      <c r="AB237" s="56">
        <f>IF(AND(A237="", B237="", E237=""), "", TEXTJOIN("; ", TRUE, IF(OR(TRIM(A237&amp;"")="", ISNUMBER(SEARCH("FALTA", A237))), "UPC faltante/inválido", ""), IF(AND(A237&lt;&gt;"", IFERROR(_xlfn.XMATCH(A237,$A$2:$A$370,0,1)&lt;&gt;_xlfn.XMATCH(A237,$A$2:$A$370,0,-1),FALSE)), "Código de barras duplicado", ""), IF(AND(E237&lt;&gt;"", COUNTIF($E$2:$E$370, E237)&gt;1), "SKU duplicado", ""), IF(OR(J237="", J237=""), "[Aviso] División no capturada ()", IF(ISNA(MATCH(J237, Criterios!$A$123:$A$126, 0)), "División no válida", "")), IF(OR(K237="", K237=""), "[Aviso] Categoría no capturada ()", IF(ISNA(MATCH(K237, Criterios!$A$81:$A$120, 0)), "Categoría no válida", IF(AND(J237&lt;&gt;"", J237&lt;&gt;"", J237&lt;&gt;VLOOKUP(K237, Criterios!$A$81:$B$120, 2, FALSE)), "División no coincide con Categoría", ""))), IF(OR(L237="", L237=""), "[Aviso] Género no capturado ()", IF(ISNA(MATCH(L237, Criterios!$B$123:$B$127, 0)), "Género no válido", "")), IF(OR(N237="", N237=""), "[Aviso] Temporada no capturada ()", IF(ISNA(MATCH(N237, Criterios!$C$123:$C$128, 0)), "Temporada no válida", "")), IF(OR(O237="", O237=""), "[Aviso] Ciclo de vida no capturado ()", IF(ISNA(MATCH(O237, Criterios!$D$123:$D$124, 0)), "Ciclo de vida no válido", ""))))</f>
        <v/>
      </c>
      <c r="AC237" s="56" t="n"/>
      <c r="AD237" s="51" t="n">
        <v>0</v>
      </c>
      <c r="AE237" s="156" t="n"/>
      <c r="AF237" s="51" t="n">
        <v>0</v>
      </c>
      <c r="AG237" s="156" t="inlineStr">
        <is>
          <t>Nuevo – NetSuite sin existencia</t>
        </is>
      </c>
      <c r="AH23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37" s="156" t="inlineStr">
        <is>
          <t>No</t>
        </is>
      </c>
      <c r="AJ237" s="156" t="n"/>
      <c r="AK237" s="155" t="inlineStr">
        <is>
          <t>G1522ProductosTodosloscamposSandboxResults894.xlsx: fila 48012 [Y]; G1522_Extraccion_Articulos_NetSuite_2026-09-30.xlsx: fila 20801 [Z]</t>
        </is>
      </c>
      <c r="AL237" s="58" t="n">
        <v>8.5</v>
      </c>
      <c r="AM237" s="58" t="n"/>
      <c r="AN237" s="155" t="n"/>
      <c r="AO237" s="59" t="n"/>
      <c r="AP237" s="59" t="n"/>
      <c r="AQ237" s="59" t="n"/>
      <c r="AR237" s="155" t="n"/>
    </row>
    <row r="238">
      <c r="A238" s="50" t="inlineStr">
        <is>
          <t>3614001297023</t>
        </is>
      </c>
      <c r="B238" s="51" t="inlineStr">
        <is>
          <t>57420</t>
        </is>
      </c>
      <c r="C238" s="156" t="inlineStr">
        <is>
          <t>CAPSLAB</t>
        </is>
      </c>
      <c r="D238" s="156" t="inlineStr">
        <is>
          <t>CL/MAR4/1/DEA2</t>
        </is>
      </c>
      <c r="E238" s="156" t="inlineStr">
        <is>
          <t>CL/MAR4/1/DEA2-UNI</t>
        </is>
      </c>
      <c r="F238" s="156" t="inlineStr">
        <is>
          <t>Talla única</t>
        </is>
      </c>
      <c r="G238" s="156" t="inlineStr">
        <is>
          <t>One Size</t>
        </is>
      </c>
      <c r="H238" s="156" t="inlineStr">
        <is>
          <t>CAPSLAB</t>
        </is>
      </c>
      <c r="I238" s="156" t="inlineStr">
        <is>
          <t>Gorra CAPSLAB Marvel Azul</t>
        </is>
      </c>
      <c r="J238" s="156" t="inlineStr">
        <is>
          <t>Accesorios</t>
        </is>
      </c>
      <c r="K238" s="156" t="inlineStr">
        <is>
          <t>Gorras</t>
        </is>
      </c>
      <c r="L238" s="156" t="inlineStr">
        <is>
          <t>Unisex</t>
        </is>
      </c>
      <c r="M238" s="156" t="inlineStr">
        <is>
          <t>Marvel</t>
        </is>
      </c>
      <c r="N238" s="156" t="n"/>
      <c r="O238" s="156" t="n"/>
      <c r="P238" s="156" t="inlineStr">
        <is>
          <t>Azul</t>
        </is>
      </c>
      <c r="Q238" s="156" t="n"/>
      <c r="R238" s="156" t="n"/>
      <c r="S238" s="156" t="inlineStr">
        <is>
          <t>Algodón / Poliéster</t>
        </is>
      </c>
      <c r="T238" s="156" t="inlineStr">
        <is>
          <t>Gorra de la marca CAPSLAB bajo licencia oficial Marvel. Talla única ajustable. Estilo CL/MAR4/1/DEA2.</t>
        </is>
      </c>
      <c r="U238" s="156" t="n"/>
      <c r="V238" s="156" t="inlineStr">
        <is>
          <t>PZS</t>
        </is>
      </c>
      <c r="W238" s="51" t="inlineStr">
        <is>
          <t>53102516</t>
        </is>
      </c>
      <c r="X238" s="156" t="inlineStr">
        <is>
          <t>https://7913364.app.netsuite.com/core/media/media.nl?id=188295&amp;c=7913364&amp;h=UeY4zMcQ9-nhVW8yzL51QmMOLEn8bllLFvVTuBiDLpdRo0u2</t>
        </is>
      </c>
      <c r="Y238" s="54" t="n">
        <v>8.5</v>
      </c>
      <c r="Z238" s="54" t="n">
        <v>699</v>
      </c>
      <c r="AA238" s="55">
        <f>IF(AND(A238="", B238="", E238=""), "", IF(AB238="", "Válido", IF((LEN(AB238)-LEN(SUBSTITUTE(AB238,"; ","")))/2+1&gt;(LEN(AB238)-LEN(SUBSTITUTE(AB238,"[Aviso]","")))/7, "Con Incidencias", "Válido")))</f>
        <v/>
      </c>
      <c r="AB238" s="56">
        <f>IF(AND(A238="", B238="", E238=""), "", TEXTJOIN("; ", TRUE, IF(OR(TRIM(A238&amp;"")="", ISNUMBER(SEARCH("FALTA", A238))), "UPC faltante/inválido", ""), IF(AND(A238&lt;&gt;"", IFERROR(_xlfn.XMATCH(A238,$A$2:$A$370,0,1)&lt;&gt;_xlfn.XMATCH(A238,$A$2:$A$370,0,-1),FALSE)), "Código de barras duplicado", ""), IF(AND(E238&lt;&gt;"", COUNTIF($E$2:$E$370, E238)&gt;1), "SKU duplicado", ""), IF(OR(J238="", J238=""), "[Aviso] División no capturada ()", IF(ISNA(MATCH(J238, Criterios!$A$123:$A$126, 0)), "División no válida", "")), IF(OR(K238="", K238=""), "[Aviso] Categoría no capturada ()", IF(ISNA(MATCH(K238, Criterios!$A$81:$A$120, 0)), "Categoría no válida", IF(AND(J238&lt;&gt;"", J238&lt;&gt;"", J238&lt;&gt;VLOOKUP(K238, Criterios!$A$81:$B$120, 2, FALSE)), "División no coincide con Categoría", ""))), IF(OR(L238="", L238=""), "[Aviso] Género no capturado ()", IF(ISNA(MATCH(L238, Criterios!$B$123:$B$127, 0)), "Género no válido", "")), IF(OR(N238="", N238=""), "[Aviso] Temporada no capturada ()", IF(ISNA(MATCH(N238, Criterios!$C$123:$C$128, 0)), "Temporada no válida", "")), IF(OR(O238="", O238=""), "[Aviso] Ciclo de vida no capturado ()", IF(ISNA(MATCH(O238, Criterios!$D$123:$D$124, 0)), "Ciclo de vida no válido", ""))))</f>
        <v/>
      </c>
      <c r="AC238" s="56" t="n"/>
      <c r="AD238" s="51" t="n">
        <v>0</v>
      </c>
      <c r="AE238" s="156" t="n"/>
      <c r="AF238" s="51" t="n">
        <v>0</v>
      </c>
      <c r="AG238" s="156" t="inlineStr">
        <is>
          <t>Nuevo – NetSuite sin existencia</t>
        </is>
      </c>
      <c r="AH23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38" s="156" t="inlineStr">
        <is>
          <t>No</t>
        </is>
      </c>
      <c r="AJ238" s="156" t="n"/>
      <c r="AK238" s="155" t="inlineStr">
        <is>
          <t>G1522ProductosTodosloscamposSandboxResults894.xlsx: fila 48014 [Y]; G1522_Extraccion_Articulos_NetSuite_2026-09-30.xlsx: fila 20802 [Z]</t>
        </is>
      </c>
      <c r="AL238" s="58" t="n">
        <v>8.5</v>
      </c>
      <c r="AM238" s="58" t="n"/>
      <c r="AN238" s="155" t="n"/>
      <c r="AO238" s="59" t="n"/>
      <c r="AP238" s="59" t="n"/>
      <c r="AQ238" s="59" t="n"/>
      <c r="AR238" s="155" t="n"/>
    </row>
    <row r="239">
      <c r="A239" s="50" t="inlineStr">
        <is>
          <t>3614001305155</t>
        </is>
      </c>
      <c r="B239" s="51" t="inlineStr">
        <is>
          <t>57421</t>
        </is>
      </c>
      <c r="C239" s="156" t="inlineStr">
        <is>
          <t>CAPSLAB</t>
        </is>
      </c>
      <c r="D239" s="156" t="inlineStr">
        <is>
          <t>CL/MAR4/1/DEA3</t>
        </is>
      </c>
      <c r="E239" s="156" t="inlineStr">
        <is>
          <t>CL/MAR4/1/DEA3-UNI</t>
        </is>
      </c>
      <c r="F239" s="156" t="inlineStr">
        <is>
          <t>Talla única</t>
        </is>
      </c>
      <c r="G239" s="156" t="inlineStr">
        <is>
          <t>One Size</t>
        </is>
      </c>
      <c r="H239" s="156" t="inlineStr">
        <is>
          <t>CAPSLAB</t>
        </is>
      </c>
      <c r="I239" s="156" t="inlineStr">
        <is>
          <t>Gorra CAPSLAB Marvel Negro</t>
        </is>
      </c>
      <c r="J239" s="156" t="inlineStr">
        <is>
          <t>Accesorios</t>
        </is>
      </c>
      <c r="K239" s="156" t="inlineStr">
        <is>
          <t>Gorras</t>
        </is>
      </c>
      <c r="L239" s="156" t="inlineStr">
        <is>
          <t>Unisex</t>
        </is>
      </c>
      <c r="M239" s="156" t="inlineStr">
        <is>
          <t>Marvel</t>
        </is>
      </c>
      <c r="N239" s="156" t="n"/>
      <c r="O239" s="156" t="n"/>
      <c r="P239" s="156" t="inlineStr">
        <is>
          <t>Negro</t>
        </is>
      </c>
      <c r="Q239" s="156" t="n"/>
      <c r="R239" s="156" t="n"/>
      <c r="S239" s="156" t="inlineStr">
        <is>
          <t>Algodón / Poliéster</t>
        </is>
      </c>
      <c r="T239" s="156" t="inlineStr">
        <is>
          <t>Gorra de la marca CAPSLAB bajo licencia oficial Marvel. Talla única ajustable. Estilo CL/MAR4/1/DEA3.</t>
        </is>
      </c>
      <c r="U239" s="156" t="n"/>
      <c r="V239" s="156" t="inlineStr">
        <is>
          <t>PZS</t>
        </is>
      </c>
      <c r="W239" s="51" t="inlineStr">
        <is>
          <t>53102516</t>
        </is>
      </c>
      <c r="X239" s="156" t="inlineStr">
        <is>
          <t>https://7913364.app.netsuite.com/core/media/media.nl?id=188296&amp;c=7913364&amp;h=5AANwLkGQDDlkpvxbJvtX0sFR9F0gxWiqmKGmnGwEbdgde3c</t>
        </is>
      </c>
      <c r="Y239" s="54" t="n">
        <v>8.5</v>
      </c>
      <c r="Z239" s="54" t="n">
        <v>699</v>
      </c>
      <c r="AA239" s="55">
        <f>IF(AND(A239="", B239="", E239=""), "", IF(AB239="", "Válido", IF((LEN(AB239)-LEN(SUBSTITUTE(AB239,"; ","")))/2+1&gt;(LEN(AB239)-LEN(SUBSTITUTE(AB239,"[Aviso]","")))/7, "Con Incidencias", "Válido")))</f>
        <v/>
      </c>
      <c r="AB239" s="56">
        <f>IF(AND(A239="", B239="", E239=""), "", TEXTJOIN("; ", TRUE, IF(OR(TRIM(A239&amp;"")="", ISNUMBER(SEARCH("FALTA", A239))), "UPC faltante/inválido", ""), IF(AND(A239&lt;&gt;"", IFERROR(_xlfn.XMATCH(A239,$A$2:$A$370,0,1)&lt;&gt;_xlfn.XMATCH(A239,$A$2:$A$370,0,-1),FALSE)), "Código de barras duplicado", ""), IF(AND(E239&lt;&gt;"", COUNTIF($E$2:$E$370, E239)&gt;1), "SKU duplicado", ""), IF(OR(J239="", J239=""), "[Aviso] División no capturada ()", IF(ISNA(MATCH(J239, Criterios!$A$123:$A$126, 0)), "División no válida", "")), IF(OR(K239="", K239=""), "[Aviso] Categoría no capturada ()", IF(ISNA(MATCH(K239, Criterios!$A$81:$A$120, 0)), "Categoría no válida", IF(AND(J239&lt;&gt;"", J239&lt;&gt;"", J239&lt;&gt;VLOOKUP(K239, Criterios!$A$81:$B$120, 2, FALSE)), "División no coincide con Categoría", ""))), IF(OR(L239="", L239=""), "[Aviso] Género no capturado ()", IF(ISNA(MATCH(L239, Criterios!$B$123:$B$127, 0)), "Género no válido", "")), IF(OR(N239="", N239=""), "[Aviso] Temporada no capturada ()", IF(ISNA(MATCH(N239, Criterios!$C$123:$C$128, 0)), "Temporada no válida", "")), IF(OR(O239="", O239=""), "[Aviso] Ciclo de vida no capturado ()", IF(ISNA(MATCH(O239, Criterios!$D$123:$D$124, 0)), "Ciclo de vida no válido", ""))))</f>
        <v/>
      </c>
      <c r="AC239" s="56" t="n"/>
      <c r="AD239" s="51" t="n">
        <v>0</v>
      </c>
      <c r="AE239" s="156" t="n"/>
      <c r="AF239" s="51" t="n">
        <v>0</v>
      </c>
      <c r="AG239" s="156" t="inlineStr">
        <is>
          <t>Nuevo – NetSuite sin existencia</t>
        </is>
      </c>
      <c r="AH23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39" s="156" t="inlineStr">
        <is>
          <t>No</t>
        </is>
      </c>
      <c r="AJ239" s="156" t="n"/>
      <c r="AK239" s="155" t="inlineStr">
        <is>
          <t>G1522ProductosTodosloscamposSandboxResults894.xlsx: fila 48016 [Y]; G1522_Extraccion_Articulos_NetSuite_2026-09-30.xlsx: fila 20803 [Z]</t>
        </is>
      </c>
      <c r="AL239" s="58" t="n">
        <v>8.5</v>
      </c>
      <c r="AM239" s="58" t="n"/>
      <c r="AN239" s="155" t="n"/>
      <c r="AO239" s="59" t="n"/>
      <c r="AP239" s="59" t="n"/>
      <c r="AQ239" s="59" t="n"/>
      <c r="AR239" s="155" t="n"/>
    </row>
    <row r="240">
      <c r="A240" s="50" t="inlineStr">
        <is>
          <t>3614001297047</t>
        </is>
      </c>
      <c r="B240" s="51" t="inlineStr">
        <is>
          <t>57422</t>
        </is>
      </c>
      <c r="C240" s="156" t="inlineStr">
        <is>
          <t>CAPSLAB</t>
        </is>
      </c>
      <c r="D240" s="156" t="inlineStr">
        <is>
          <t>CL/MAR4/1/WOL2</t>
        </is>
      </c>
      <c r="E240" s="156" t="inlineStr">
        <is>
          <t>CL/MAR4/1/WOL2-UNI</t>
        </is>
      </c>
      <c r="F240" s="156" t="inlineStr">
        <is>
          <t>Talla única</t>
        </is>
      </c>
      <c r="G240" s="156" t="inlineStr">
        <is>
          <t>One Size</t>
        </is>
      </c>
      <c r="H240" s="156" t="inlineStr">
        <is>
          <t>CAPSLAB</t>
        </is>
      </c>
      <c r="I240" s="156" t="inlineStr">
        <is>
          <t>Gorra CAPSLAB Marvel Blanco</t>
        </is>
      </c>
      <c r="J240" s="156" t="inlineStr">
        <is>
          <t>Accesorios</t>
        </is>
      </c>
      <c r="K240" s="156" t="inlineStr">
        <is>
          <t>Gorras</t>
        </is>
      </c>
      <c r="L240" s="156" t="inlineStr">
        <is>
          <t>Unisex</t>
        </is>
      </c>
      <c r="M240" s="156" t="inlineStr">
        <is>
          <t>Marvel</t>
        </is>
      </c>
      <c r="N240" s="156" t="n"/>
      <c r="O240" s="156" t="n"/>
      <c r="P240" s="156" t="inlineStr">
        <is>
          <t>Blanco</t>
        </is>
      </c>
      <c r="Q240" s="156" t="n"/>
      <c r="R240" s="156" t="n"/>
      <c r="S240" s="156" t="inlineStr">
        <is>
          <t>Algodón / Poliéster</t>
        </is>
      </c>
      <c r="T240" s="156" t="inlineStr">
        <is>
          <t>Gorra de la marca CAPSLAB bajo licencia oficial Marvel. Talla única ajustable. Estilo CL/MAR4/1/WOL2.</t>
        </is>
      </c>
      <c r="U240" s="156" t="n"/>
      <c r="V240" s="156" t="inlineStr">
        <is>
          <t>PZS</t>
        </is>
      </c>
      <c r="W240" s="51" t="inlineStr">
        <is>
          <t>53102516</t>
        </is>
      </c>
      <c r="X240" s="156" t="inlineStr">
        <is>
          <t>https://7913364.app.netsuite.com/core/media/media.nl?id=188297&amp;c=7913364&amp;h=WMurDUVpZKwHC16cwxAJLxw9kXgxe9c0la90rXRnndj2oigw</t>
        </is>
      </c>
      <c r="Y240" s="54" t="n">
        <v>8.5</v>
      </c>
      <c r="Z240" s="54" t="n">
        <v>699</v>
      </c>
      <c r="AA240" s="55">
        <f>IF(AND(A240="", B240="", E240=""), "", IF(AB240="", "Válido", IF((LEN(AB240)-LEN(SUBSTITUTE(AB240,"; ","")))/2+1&gt;(LEN(AB240)-LEN(SUBSTITUTE(AB240,"[Aviso]","")))/7, "Con Incidencias", "Válido")))</f>
        <v/>
      </c>
      <c r="AB240" s="56">
        <f>IF(AND(A240="", B240="", E240=""), "", TEXTJOIN("; ", TRUE, IF(OR(TRIM(A240&amp;"")="", ISNUMBER(SEARCH("FALTA", A240))), "UPC faltante/inválido", ""), IF(AND(A240&lt;&gt;"", IFERROR(_xlfn.XMATCH(A240,$A$2:$A$370,0,1)&lt;&gt;_xlfn.XMATCH(A240,$A$2:$A$370,0,-1),FALSE)), "Código de barras duplicado", ""), IF(AND(E240&lt;&gt;"", COUNTIF($E$2:$E$370, E240)&gt;1), "SKU duplicado", ""), IF(OR(J240="", J240=""), "[Aviso] División no capturada ()", IF(ISNA(MATCH(J240, Criterios!$A$123:$A$126, 0)), "División no válida", "")), IF(OR(K240="", K240=""), "[Aviso] Categoría no capturada ()", IF(ISNA(MATCH(K240, Criterios!$A$81:$A$120, 0)), "Categoría no válida", IF(AND(J240&lt;&gt;"", J240&lt;&gt;"", J240&lt;&gt;VLOOKUP(K240, Criterios!$A$81:$B$120, 2, FALSE)), "División no coincide con Categoría", ""))), IF(OR(L240="", L240=""), "[Aviso] Género no capturado ()", IF(ISNA(MATCH(L240, Criterios!$B$123:$B$127, 0)), "Género no válido", "")), IF(OR(N240="", N240=""), "[Aviso] Temporada no capturada ()", IF(ISNA(MATCH(N240, Criterios!$C$123:$C$128, 0)), "Temporada no válida", "")), IF(OR(O240="", O240=""), "[Aviso] Ciclo de vida no capturado ()", IF(ISNA(MATCH(O240, Criterios!$D$123:$D$124, 0)), "Ciclo de vida no válido", ""))))</f>
        <v/>
      </c>
      <c r="AC240" s="56" t="n"/>
      <c r="AD240" s="51" t="n">
        <v>0</v>
      </c>
      <c r="AE240" s="156" t="n"/>
      <c r="AF240" s="51" t="n">
        <v>0</v>
      </c>
      <c r="AG240" s="156" t="inlineStr">
        <is>
          <t>Nuevo – NetSuite sin existencia</t>
        </is>
      </c>
      <c r="AH24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40" s="156" t="inlineStr">
        <is>
          <t>No</t>
        </is>
      </c>
      <c r="AJ240" s="156" t="n"/>
      <c r="AK240" s="155" t="inlineStr">
        <is>
          <t>G1522ProductosTodosloscamposSandboxResults894.xlsx: fila 48018 [Y]; G1522_Extraccion_Articulos_NetSuite_2026-09-30.xlsx: fila 20804 [Z]</t>
        </is>
      </c>
      <c r="AL240" s="58" t="n">
        <v>8.5</v>
      </c>
      <c r="AM240" s="58" t="n"/>
      <c r="AN240" s="155" t="n"/>
      <c r="AO240" s="59" t="n"/>
      <c r="AP240" s="59" t="n"/>
      <c r="AQ240" s="59" t="n"/>
      <c r="AR240" s="155" t="n"/>
    </row>
    <row r="241">
      <c r="A241" s="50" t="inlineStr">
        <is>
          <t>3614001696185</t>
        </is>
      </c>
      <c r="B241" s="51" t="inlineStr">
        <is>
          <t>69656</t>
        </is>
      </c>
      <c r="C241" s="156" t="inlineStr">
        <is>
          <t>CAPSLAB</t>
        </is>
      </c>
      <c r="D241" s="156" t="inlineStr">
        <is>
          <t>CL/MAR6/1/CD/DEA</t>
        </is>
      </c>
      <c r="E241" s="156" t="inlineStr">
        <is>
          <t>CL/MAR6/1/CD/DEA-UNI</t>
        </is>
      </c>
      <c r="F241" s="156" t="inlineStr">
        <is>
          <t>Talla única</t>
        </is>
      </c>
      <c r="G241" s="156" t="inlineStr">
        <is>
          <t>One Size</t>
        </is>
      </c>
      <c r="H241" s="156" t="inlineStr">
        <is>
          <t>CAPSLAB</t>
        </is>
      </c>
      <c r="I241" s="156" t="inlineStr">
        <is>
          <t>Gorra CAPSLAB Marvel</t>
        </is>
      </c>
      <c r="J241" s="156" t="inlineStr">
        <is>
          <t>Accesorios</t>
        </is>
      </c>
      <c r="K241" s="156" t="inlineStr">
        <is>
          <t>Gorras</t>
        </is>
      </c>
      <c r="L241" s="156" t="inlineStr">
        <is>
          <t>Unisex</t>
        </is>
      </c>
      <c r="M241" s="156" t="inlineStr">
        <is>
          <t>Marvel</t>
        </is>
      </c>
      <c r="N241" s="156" t="n"/>
      <c r="O241" s="156" t="n"/>
      <c r="P241" s="156" t="n"/>
      <c r="Q241" s="156" t="n"/>
      <c r="R241" s="156" t="n"/>
      <c r="S241" s="156" t="inlineStr">
        <is>
          <t>Algodón / Poliéster</t>
        </is>
      </c>
      <c r="T241" s="156" t="inlineStr">
        <is>
          <t>Gorra de la marca CAPSLAB bajo licencia oficial Marvel. Talla única ajustable. Estilo CL/MAR6/1/CD/DEA.</t>
        </is>
      </c>
      <c r="U241" s="156" t="n"/>
      <c r="V241" s="156" t="inlineStr">
        <is>
          <t>PZS</t>
        </is>
      </c>
      <c r="W241" s="51" t="inlineStr">
        <is>
          <t>53102516</t>
        </is>
      </c>
      <c r="X241" s="156" t="inlineStr">
        <is>
          <t>https://i.ibb.co/rsSMDnb/CLMAR61-CDDEA.jpg</t>
        </is>
      </c>
      <c r="Y241" s="54" t="n"/>
      <c r="Z241" s="54" t="n">
        <v>699</v>
      </c>
      <c r="AA241" s="55">
        <f>IF(AND(A241="", B241="", E241=""), "", IF(AB241="", "Válido", IF((LEN(AB241)-LEN(SUBSTITUTE(AB241,"; ","")))/2+1&gt;(LEN(AB241)-LEN(SUBSTITUTE(AB241,"[Aviso]","")))/7, "Con Incidencias", "Válido")))</f>
        <v/>
      </c>
      <c r="AB241" s="56">
        <f>IF(AND(A241="", B241="", E241=""), "", TEXTJOIN("; ", TRUE, IF(OR(TRIM(A241&amp;"")="", ISNUMBER(SEARCH("FALTA", A241))), "UPC faltante/inválido", ""), IF(AND(A241&lt;&gt;"", IFERROR(_xlfn.XMATCH(A241,$A$2:$A$370,0,1)&lt;&gt;_xlfn.XMATCH(A241,$A$2:$A$370,0,-1),FALSE)), "Código de barras duplicado", ""), IF(AND(E241&lt;&gt;"", COUNTIF($E$2:$E$370, E241)&gt;1), "SKU duplicado", ""), IF(OR(J241="", J241=""), "[Aviso] División no capturada ()", IF(ISNA(MATCH(J241, Criterios!$A$123:$A$126, 0)), "División no válida", "")), IF(OR(K241="", K241=""), "[Aviso] Categoría no capturada ()", IF(ISNA(MATCH(K241, Criterios!$A$81:$A$120, 0)), "Categoría no válida", IF(AND(J241&lt;&gt;"", J241&lt;&gt;"", J241&lt;&gt;VLOOKUP(K241, Criterios!$A$81:$B$120, 2, FALSE)), "División no coincide con Categoría", ""))), IF(OR(L241="", L241=""), "[Aviso] Género no capturado ()", IF(ISNA(MATCH(L241, Criterios!$B$123:$B$127, 0)), "Género no válido", "")), IF(OR(N241="", N241=""), "[Aviso] Temporada no capturada ()", IF(ISNA(MATCH(N241, Criterios!$C$123:$C$128, 0)), "Temporada no válida", "")), IF(OR(O241="", O241=""), "[Aviso] Ciclo de vida no capturado ()", IF(ISNA(MATCH(O241, Criterios!$D$123:$D$124, 0)), "Ciclo de vida no válido", ""))))</f>
        <v/>
      </c>
      <c r="AC241" s="56" t="n"/>
      <c r="AD241" s="51" t="n">
        <v>50</v>
      </c>
      <c r="AE241" s="156" t="inlineStr">
        <is>
          <t>CAPSLAB Warehouse (29); CL Muestras (1); CL POS (4); Web (1)</t>
        </is>
      </c>
      <c r="AF241" s="51" t="n">
        <v>50</v>
      </c>
      <c r="AG241" s="156" t="inlineStr">
        <is>
          <t>Nuevo – NetSuite con existencia</t>
        </is>
      </c>
      <c r="AH241" s="156" t="inlineStr">
        <is>
          <t>Composición CAPSLAB varía por modelo (50/50, 40/60 o 100% poliéster): validar etiqueta; Color por validar; Físico total NetSuite 50 ≠ suma por ubicación 35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41" s="156" t="inlineStr">
        <is>
          <t>No</t>
        </is>
      </c>
      <c r="AJ241" s="156" t="n"/>
      <c r="AK241" s="155" t="inlineStr">
        <is>
          <t>G1522ProductosTodosloscamposSandboxResults894.xlsx: fila 48020 [X]; G1522_Extraccion_Articulos_NetSuite_2026-09-30.xlsx: fila 30386 [Z]</t>
        </is>
      </c>
      <c r="AL241" s="58" t="n"/>
      <c r="AM241" s="58" t="n"/>
      <c r="AN241" s="155" t="n"/>
      <c r="AO241" s="59" t="n"/>
      <c r="AP241" s="59" t="n"/>
      <c r="AQ241" s="59" t="n"/>
      <c r="AR241" s="155" t="n"/>
    </row>
    <row r="242">
      <c r="A242" s="50" t="inlineStr">
        <is>
          <t>3614001695966</t>
        </is>
      </c>
      <c r="B242" s="51" t="inlineStr">
        <is>
          <t>69657</t>
        </is>
      </c>
      <c r="C242" s="156" t="inlineStr">
        <is>
          <t>CAPSLAB</t>
        </is>
      </c>
      <c r="D242" s="156" t="inlineStr">
        <is>
          <t>CL/MAR6/1/CF/DUO</t>
        </is>
      </c>
      <c r="E242" s="156" t="inlineStr">
        <is>
          <t>CL/MAR6/1/CF/DUO-UNI</t>
        </is>
      </c>
      <c r="F242" s="156" t="inlineStr">
        <is>
          <t>Talla única</t>
        </is>
      </c>
      <c r="G242" s="156" t="inlineStr">
        <is>
          <t>One Size</t>
        </is>
      </c>
      <c r="H242" s="156" t="inlineStr">
        <is>
          <t>CAPSLAB</t>
        </is>
      </c>
      <c r="I242" s="156" t="inlineStr">
        <is>
          <t>Gorra CAPSLAB Marvel</t>
        </is>
      </c>
      <c r="J242" s="156" t="inlineStr">
        <is>
          <t>Accesorios</t>
        </is>
      </c>
      <c r="K242" s="156" t="inlineStr">
        <is>
          <t>Gorras</t>
        </is>
      </c>
      <c r="L242" s="156" t="inlineStr">
        <is>
          <t>Unisex</t>
        </is>
      </c>
      <c r="M242" s="156" t="inlineStr">
        <is>
          <t>Marvel</t>
        </is>
      </c>
      <c r="N242" s="156" t="n"/>
      <c r="O242" s="156" t="n"/>
      <c r="P242" s="156" t="n"/>
      <c r="Q242" s="156" t="n"/>
      <c r="R242" s="156" t="n"/>
      <c r="S242" s="156" t="inlineStr">
        <is>
          <t>Algodón / Poliéster</t>
        </is>
      </c>
      <c r="T242" s="156" t="inlineStr">
        <is>
          <t>Gorra de la marca CAPSLAB bajo licencia oficial Marvel. Talla única ajustable. Estilo CL/MAR6/1/CF/DUO.</t>
        </is>
      </c>
      <c r="U242" s="156" t="n"/>
      <c r="V242" s="156" t="inlineStr">
        <is>
          <t>PZS</t>
        </is>
      </c>
      <c r="W242" s="51" t="inlineStr">
        <is>
          <t>53102516</t>
        </is>
      </c>
      <c r="X242" s="156" t="inlineStr">
        <is>
          <t>https://i.ibb.co/WgGcmvr/CLMAR61-CFDUO.jpg</t>
        </is>
      </c>
      <c r="Y242" s="54" t="n"/>
      <c r="Z242" s="54" t="n">
        <v>699</v>
      </c>
      <c r="AA242" s="55">
        <f>IF(AND(A242="", B242="", E242=""), "", IF(AB242="", "Válido", IF((LEN(AB242)-LEN(SUBSTITUTE(AB242,"; ","")))/2+1&gt;(LEN(AB242)-LEN(SUBSTITUTE(AB242,"[Aviso]","")))/7, "Con Incidencias", "Válido")))</f>
        <v/>
      </c>
      <c r="AB242" s="56">
        <f>IF(AND(A242="", B242="", E242=""), "", TEXTJOIN("; ", TRUE, IF(OR(TRIM(A242&amp;"")="", ISNUMBER(SEARCH("FALTA", A242))), "UPC faltante/inválido", ""), IF(AND(A242&lt;&gt;"", IFERROR(_xlfn.XMATCH(A242,$A$2:$A$370,0,1)&lt;&gt;_xlfn.XMATCH(A242,$A$2:$A$370,0,-1),FALSE)), "Código de barras duplicado", ""), IF(AND(E242&lt;&gt;"", COUNTIF($E$2:$E$370, E242)&gt;1), "SKU duplicado", ""), IF(OR(J242="", J242=""), "[Aviso] División no capturada ()", IF(ISNA(MATCH(J242, Criterios!$A$123:$A$126, 0)), "División no válida", "")), IF(OR(K242="", K242=""), "[Aviso] Categoría no capturada ()", IF(ISNA(MATCH(K242, Criterios!$A$81:$A$120, 0)), "Categoría no válida", IF(AND(J242&lt;&gt;"", J242&lt;&gt;"", J242&lt;&gt;VLOOKUP(K242, Criterios!$A$81:$B$120, 2, FALSE)), "División no coincide con Categoría", ""))), IF(OR(L242="", L242=""), "[Aviso] Género no capturado ()", IF(ISNA(MATCH(L242, Criterios!$B$123:$B$127, 0)), "Género no válido", "")), IF(OR(N242="", N242=""), "[Aviso] Temporada no capturada ()", IF(ISNA(MATCH(N242, Criterios!$C$123:$C$128, 0)), "Temporada no válida", "")), IF(OR(O242="", O242=""), "[Aviso] Ciclo de vida no capturado ()", IF(ISNA(MATCH(O242, Criterios!$D$123:$D$124, 0)), "Ciclo de vida no válido", ""))))</f>
        <v/>
      </c>
      <c r="AC242" s="56" t="n"/>
      <c r="AD242" s="51" t="n">
        <v>86</v>
      </c>
      <c r="AE242" s="156" t="inlineStr">
        <is>
          <t>CL Muestras (1); CAPSLAB Warehouse (45); Web (2)</t>
        </is>
      </c>
      <c r="AF242" s="51" t="n">
        <v>86</v>
      </c>
      <c r="AG242" s="156" t="inlineStr">
        <is>
          <t>Nuevo – NetSuite con existencia</t>
        </is>
      </c>
      <c r="AH242" s="156" t="inlineStr">
        <is>
          <t>Composición CAPSLAB varía por modelo (50/50, 40/60 o 100% poliéster): validar etiqueta; Color por validar; Físico total NetSuite 86 ≠ suma por ubicación 48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42" s="156" t="inlineStr">
        <is>
          <t>No</t>
        </is>
      </c>
      <c r="AJ242" s="156" t="n"/>
      <c r="AK242" s="155" t="inlineStr">
        <is>
          <t>G1522ProductosTodosloscamposSandboxResults894.xlsx: fila 48022 [X]; G1522_Extraccion_Articulos_NetSuite_2026-09-30.xlsx: fila 30387 [Z]</t>
        </is>
      </c>
      <c r="AL242" s="58" t="n"/>
      <c r="AM242" s="58" t="n"/>
      <c r="AN242" s="155" t="n"/>
      <c r="AO242" s="59" t="n"/>
      <c r="AP242" s="59" t="n"/>
      <c r="AQ242" s="59" t="n"/>
      <c r="AR242" s="155" t="n"/>
    </row>
    <row r="243">
      <c r="A243" s="50" t="inlineStr">
        <is>
          <t>3614001696024</t>
        </is>
      </c>
      <c r="B243" s="51" t="inlineStr">
        <is>
          <t>69658</t>
        </is>
      </c>
      <c r="C243" s="156" t="inlineStr">
        <is>
          <t>CAPSLAB</t>
        </is>
      </c>
      <c r="D243" s="156" t="inlineStr">
        <is>
          <t>CL/MAR6/1/CT/BAD1</t>
        </is>
      </c>
      <c r="E243" s="156" t="inlineStr">
        <is>
          <t>CL/MAR6/1/CT/BAD1-UNI</t>
        </is>
      </c>
      <c r="F243" s="156" t="inlineStr">
        <is>
          <t>Talla única</t>
        </is>
      </c>
      <c r="G243" s="156" t="inlineStr">
        <is>
          <t>One Size</t>
        </is>
      </c>
      <c r="H243" s="156" t="inlineStr">
        <is>
          <t>CAPSLAB</t>
        </is>
      </c>
      <c r="I243" s="156" t="inlineStr">
        <is>
          <t>Gorra trucker CAPSLAB Marvel</t>
        </is>
      </c>
      <c r="J243" s="156" t="inlineStr">
        <is>
          <t>Accesorios</t>
        </is>
      </c>
      <c r="K243" s="156" t="inlineStr">
        <is>
          <t>Gorras</t>
        </is>
      </c>
      <c r="L243" s="156" t="inlineStr">
        <is>
          <t>Unisex</t>
        </is>
      </c>
      <c r="M243" s="156" t="inlineStr">
        <is>
          <t>Marvel</t>
        </is>
      </c>
      <c r="N243" s="156" t="n"/>
      <c r="O243" s="156" t="n"/>
      <c r="P243" s="156" t="n"/>
      <c r="Q243" s="156" t="n"/>
      <c r="R243" s="156" t="n"/>
      <c r="S243" s="156" t="inlineStr">
        <is>
          <t>Algodón / Poliéster</t>
        </is>
      </c>
      <c r="T243" s="156" t="inlineStr">
        <is>
          <t>Gorra trucker de la marca CAPSLAB bajo licencia oficial Marvel. Talla única ajustable. Estilo CL/MAR6/1/CT/BAD1.</t>
        </is>
      </c>
      <c r="U243" s="156" t="n"/>
      <c r="V243" s="156" t="inlineStr">
        <is>
          <t>PZS</t>
        </is>
      </c>
      <c r="W243" s="51" t="inlineStr">
        <is>
          <t>53102516</t>
        </is>
      </c>
      <c r="X243" s="156" t="inlineStr">
        <is>
          <t>https://i.ibb.co/DG5DW1k/CLMAR61-CTBAD1.jpg</t>
        </is>
      </c>
      <c r="Y243" s="54" t="n"/>
      <c r="Z243" s="54" t="n">
        <v>799</v>
      </c>
      <c r="AA243" s="55">
        <f>IF(AND(A243="", B243="", E243=""), "", IF(AB243="", "Válido", IF((LEN(AB243)-LEN(SUBSTITUTE(AB243,"; ","")))/2+1&gt;(LEN(AB243)-LEN(SUBSTITUTE(AB243,"[Aviso]","")))/7, "Con Incidencias", "Válido")))</f>
        <v/>
      </c>
      <c r="AB243" s="56">
        <f>IF(AND(A243="", B243="", E243=""), "", TEXTJOIN("; ", TRUE, IF(OR(TRIM(A243&amp;"")="", ISNUMBER(SEARCH("FALTA", A243))), "UPC faltante/inválido", ""), IF(AND(A243&lt;&gt;"", IFERROR(_xlfn.XMATCH(A243,$A$2:$A$370,0,1)&lt;&gt;_xlfn.XMATCH(A243,$A$2:$A$370,0,-1),FALSE)), "Código de barras duplicado", ""), IF(AND(E243&lt;&gt;"", COUNTIF($E$2:$E$370, E243)&gt;1), "SKU duplicado", ""), IF(OR(J243="", J243=""), "[Aviso] División no capturada ()", IF(ISNA(MATCH(J243, Criterios!$A$123:$A$126, 0)), "División no válida", "")), IF(OR(K243="", K243=""), "[Aviso] Categoría no capturada ()", IF(ISNA(MATCH(K243, Criterios!$A$81:$A$120, 0)), "Categoría no válida", IF(AND(J243&lt;&gt;"", J243&lt;&gt;"", J243&lt;&gt;VLOOKUP(K243, Criterios!$A$81:$B$120, 2, FALSE)), "División no coincide con Categoría", ""))), IF(OR(L243="", L243=""), "[Aviso] Género no capturado ()", IF(ISNA(MATCH(L243, Criterios!$B$123:$B$127, 0)), "Género no válido", "")), IF(OR(N243="", N243=""), "[Aviso] Temporada no capturada ()", IF(ISNA(MATCH(N243, Criterios!$C$123:$C$128, 0)), "Temporada no válida", "")), IF(OR(O243="", O243=""), "[Aviso] Ciclo de vida no capturado ()", IF(ISNA(MATCH(O243, Criterios!$D$123:$D$124, 0)), "Ciclo de vida no válido", ""))))</f>
        <v/>
      </c>
      <c r="AC243" s="56" t="n"/>
      <c r="AD243" s="51" t="n">
        <v>23</v>
      </c>
      <c r="AE243" s="156" t="inlineStr">
        <is>
          <t>CAPSLAB Warehouse (17); CL Muestras (1); CL POS (3); Web (2)</t>
        </is>
      </c>
      <c r="AF243" s="51" t="n">
        <v>24</v>
      </c>
      <c r="AG243" s="156" t="inlineStr">
        <is>
          <t>Nuevo – NetSuite con existencia</t>
        </is>
      </c>
      <c r="AH243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43" s="156" t="inlineStr">
        <is>
          <t>No</t>
        </is>
      </c>
      <c r="AJ243" s="156" t="n"/>
      <c r="AK243" s="155" t="inlineStr">
        <is>
          <t>G1522ProductosTodosloscamposSandboxResults894.xlsx: fila 48024 [X]; G1522_Extraccion_Articulos_NetSuite_2026-09-30.xlsx: fila 30388 [Z]</t>
        </is>
      </c>
      <c r="AL243" s="58" t="n"/>
      <c r="AM243" s="58" t="n"/>
      <c r="AN243" s="155" t="n"/>
      <c r="AO243" s="59" t="n"/>
      <c r="AP243" s="59" t="n"/>
      <c r="AQ243" s="59" t="n"/>
      <c r="AR243" s="155" t="n"/>
    </row>
    <row r="244">
      <c r="A244" s="50" t="inlineStr">
        <is>
          <t>3614001696048</t>
        </is>
      </c>
      <c r="B244" s="51" t="inlineStr">
        <is>
          <t>69659</t>
        </is>
      </c>
      <c r="C244" s="156" t="inlineStr">
        <is>
          <t>CAPSLAB</t>
        </is>
      </c>
      <c r="D244" s="156" t="inlineStr">
        <is>
          <t>CL/MAR6/1/CT/GRO1</t>
        </is>
      </c>
      <c r="E244" s="156" t="inlineStr">
        <is>
          <t>CL/MAR6/1/CT/GRO1-UNI</t>
        </is>
      </c>
      <c r="F244" s="156" t="inlineStr">
        <is>
          <t>Talla única</t>
        </is>
      </c>
      <c r="G244" s="156" t="inlineStr">
        <is>
          <t>One Size</t>
        </is>
      </c>
      <c r="H244" s="156" t="inlineStr">
        <is>
          <t>CAPSLAB</t>
        </is>
      </c>
      <c r="I244" s="156" t="inlineStr">
        <is>
          <t>Gorra trucker CAPSLAB Marvel</t>
        </is>
      </c>
      <c r="J244" s="156" t="inlineStr">
        <is>
          <t>Accesorios</t>
        </is>
      </c>
      <c r="K244" s="156" t="inlineStr">
        <is>
          <t>Gorras</t>
        </is>
      </c>
      <c r="L244" s="156" t="inlineStr">
        <is>
          <t>Unisex</t>
        </is>
      </c>
      <c r="M244" s="156" t="inlineStr">
        <is>
          <t>Marvel</t>
        </is>
      </c>
      <c r="N244" s="156" t="n"/>
      <c r="O244" s="156" t="n"/>
      <c r="P244" s="156" t="n"/>
      <c r="Q244" s="156" t="n"/>
      <c r="R244" s="156" t="n"/>
      <c r="S244" s="156" t="inlineStr">
        <is>
          <t>Algodón / Poliéster</t>
        </is>
      </c>
      <c r="T244" s="156" t="inlineStr">
        <is>
          <t>Gorra trucker de la marca CAPSLAB bajo licencia oficial Marvel. Talla única ajustable. Estilo CL/MAR6/1/CT/GRO1.</t>
        </is>
      </c>
      <c r="U244" s="156" t="n"/>
      <c r="V244" s="156" t="inlineStr">
        <is>
          <t>PZS</t>
        </is>
      </c>
      <c r="W244" s="51" t="inlineStr">
        <is>
          <t>53102516</t>
        </is>
      </c>
      <c r="X244" s="156" t="inlineStr">
        <is>
          <t>https://i.ibb.co/r45W0W9/CLMAR61-CTGRO1.jpg</t>
        </is>
      </c>
      <c r="Y244" s="54" t="n"/>
      <c r="Z244" s="54" t="n">
        <v>799</v>
      </c>
      <c r="AA244" s="55">
        <f>IF(AND(A244="", B244="", E244=""), "", IF(AB244="", "Válido", IF((LEN(AB244)-LEN(SUBSTITUTE(AB244,"; ","")))/2+1&gt;(LEN(AB244)-LEN(SUBSTITUTE(AB244,"[Aviso]","")))/7, "Con Incidencias", "Válido")))</f>
        <v/>
      </c>
      <c r="AB244" s="56">
        <f>IF(AND(A244="", B244="", E244=""), "", TEXTJOIN("; ", TRUE, IF(OR(TRIM(A244&amp;"")="", ISNUMBER(SEARCH("FALTA", A244))), "UPC faltante/inválido", ""), IF(AND(A244&lt;&gt;"", IFERROR(_xlfn.XMATCH(A244,$A$2:$A$370,0,1)&lt;&gt;_xlfn.XMATCH(A244,$A$2:$A$370,0,-1),FALSE)), "Código de barras duplicado", ""), IF(AND(E244&lt;&gt;"", COUNTIF($E$2:$E$370, E244)&gt;1), "SKU duplicado", ""), IF(OR(J244="", J244=""), "[Aviso] División no capturada ()", IF(ISNA(MATCH(J244, Criterios!$A$123:$A$126, 0)), "División no válida", "")), IF(OR(K244="", K244=""), "[Aviso] Categoría no capturada ()", IF(ISNA(MATCH(K244, Criterios!$A$81:$A$120, 0)), "Categoría no válida", IF(AND(J244&lt;&gt;"", J244&lt;&gt;"", J244&lt;&gt;VLOOKUP(K244, Criterios!$A$81:$B$120, 2, FALSE)), "División no coincide con Categoría", ""))), IF(OR(L244="", L244=""), "[Aviso] Género no capturado ()", IF(ISNA(MATCH(L244, Criterios!$B$123:$B$127, 0)), "Género no válido", "")), IF(OR(N244="", N244=""), "[Aviso] Temporada no capturada ()", IF(ISNA(MATCH(N244, Criterios!$C$123:$C$128, 0)), "Temporada no válida", "")), IF(OR(O244="", O244=""), "[Aviso] Ciclo de vida no capturado ()", IF(ISNA(MATCH(O244, Criterios!$D$123:$D$124, 0)), "Ciclo de vida no válido", ""))))</f>
        <v/>
      </c>
      <c r="AC244" s="56" t="n"/>
      <c r="AD244" s="51" t="n">
        <v>99</v>
      </c>
      <c r="AE244" s="156" t="inlineStr">
        <is>
          <t>CL POS (4); CL Muestras (1); Web (1); CAPSLAB Warehouse (51)</t>
        </is>
      </c>
      <c r="AF244" s="51" t="n">
        <v>99</v>
      </c>
      <c r="AG244" s="156" t="inlineStr">
        <is>
          <t>Nuevo – NetSuite con existencia</t>
        </is>
      </c>
      <c r="AH244" s="156" t="inlineStr">
        <is>
          <t>Composición CAPSLAB varía por modelo (50/50, 40/60 o 100% poliéster): validar etiqueta; Color por validar; Físico total NetSuite 99 ≠ suma por ubicación 57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44" s="156" t="inlineStr">
        <is>
          <t>No</t>
        </is>
      </c>
      <c r="AJ244" s="156" t="n"/>
      <c r="AK244" s="155" t="inlineStr">
        <is>
          <t>G1522ProductosTodosloscamposSandboxResults894.xlsx: fila 48026 [X]; G1522_Extraccion_Articulos_NetSuite_2026-09-30.xlsx: fila 30389 [Z]</t>
        </is>
      </c>
      <c r="AL244" s="58" t="n"/>
      <c r="AM244" s="58" t="n"/>
      <c r="AN244" s="155" t="n"/>
      <c r="AO244" s="59" t="n"/>
      <c r="AP244" s="59" t="n"/>
      <c r="AQ244" s="59" t="n"/>
      <c r="AR244" s="155" t="n"/>
    </row>
    <row r="245">
      <c r="A245" s="50" t="inlineStr">
        <is>
          <t>3614001696062</t>
        </is>
      </c>
      <c r="B245" s="51" t="inlineStr">
        <is>
          <t>69660</t>
        </is>
      </c>
      <c r="C245" s="156" t="inlineStr">
        <is>
          <t>CAPSLAB</t>
        </is>
      </c>
      <c r="D245" s="156" t="inlineStr">
        <is>
          <t>CL/MAR6/1/CT/LOG1</t>
        </is>
      </c>
      <c r="E245" s="156" t="inlineStr">
        <is>
          <t>CL/MAR6/1/CT/LOG1-UNI</t>
        </is>
      </c>
      <c r="F245" s="156" t="inlineStr">
        <is>
          <t>Talla única</t>
        </is>
      </c>
      <c r="G245" s="156" t="inlineStr">
        <is>
          <t>One Size</t>
        </is>
      </c>
      <c r="H245" s="156" t="inlineStr">
        <is>
          <t>CAPSLAB</t>
        </is>
      </c>
      <c r="I245" s="156" t="inlineStr">
        <is>
          <t>Gorra trucker CAPSLAB Marvel</t>
        </is>
      </c>
      <c r="J245" s="156" t="inlineStr">
        <is>
          <t>Accesorios</t>
        </is>
      </c>
      <c r="K245" s="156" t="inlineStr">
        <is>
          <t>Gorras</t>
        </is>
      </c>
      <c r="L245" s="156" t="inlineStr">
        <is>
          <t>Unisex</t>
        </is>
      </c>
      <c r="M245" s="156" t="inlineStr">
        <is>
          <t>Marvel</t>
        </is>
      </c>
      <c r="N245" s="156" t="n"/>
      <c r="O245" s="156" t="n"/>
      <c r="P245" s="156" t="n"/>
      <c r="Q245" s="156" t="n"/>
      <c r="R245" s="156" t="n"/>
      <c r="S245" s="156" t="inlineStr">
        <is>
          <t>Algodón / Poliéster</t>
        </is>
      </c>
      <c r="T245" s="156" t="inlineStr">
        <is>
          <t>Gorra trucker de la marca CAPSLAB bajo licencia oficial Marvel. Talla única ajustable. Estilo CL/MAR6/1/CT/LOG1.</t>
        </is>
      </c>
      <c r="U245" s="156" t="n"/>
      <c r="V245" s="156" t="inlineStr">
        <is>
          <t>PZS</t>
        </is>
      </c>
      <c r="W245" s="51" t="inlineStr">
        <is>
          <t>53102516</t>
        </is>
      </c>
      <c r="X245" s="156" t="inlineStr">
        <is>
          <t>https://i.ibb.co/1Jrhc4b/CLMAR61-CTLOG1.jpg</t>
        </is>
      </c>
      <c r="Y245" s="54" t="n"/>
      <c r="Z245" s="54" t="n">
        <v>799</v>
      </c>
      <c r="AA245" s="55">
        <f>IF(AND(A245="", B245="", E245=""), "", IF(AB245="", "Válido", IF((LEN(AB245)-LEN(SUBSTITUTE(AB245,"; ","")))/2+1&gt;(LEN(AB245)-LEN(SUBSTITUTE(AB245,"[Aviso]","")))/7, "Con Incidencias", "Válido")))</f>
        <v/>
      </c>
      <c r="AB245" s="56">
        <f>IF(AND(A245="", B245="", E245=""), "", TEXTJOIN("; ", TRUE, IF(OR(TRIM(A245&amp;"")="", ISNUMBER(SEARCH("FALTA", A245))), "UPC faltante/inválido", ""), IF(AND(A245&lt;&gt;"", IFERROR(_xlfn.XMATCH(A245,$A$2:$A$370,0,1)&lt;&gt;_xlfn.XMATCH(A245,$A$2:$A$370,0,-1),FALSE)), "Código de barras duplicado", ""), IF(AND(E245&lt;&gt;"", COUNTIF($E$2:$E$370, E245)&gt;1), "SKU duplicado", ""), IF(OR(J245="", J245=""), "[Aviso] División no capturada ()", IF(ISNA(MATCH(J245, Criterios!$A$123:$A$126, 0)), "División no válida", "")), IF(OR(K245="", K245=""), "[Aviso] Categoría no capturada ()", IF(ISNA(MATCH(K245, Criterios!$A$81:$A$120, 0)), "Categoría no válida", IF(AND(J245&lt;&gt;"", J245&lt;&gt;"", J245&lt;&gt;VLOOKUP(K245, Criterios!$A$81:$B$120, 2, FALSE)), "División no coincide con Categoría", ""))), IF(OR(L245="", L245=""), "[Aviso] Género no capturado ()", IF(ISNA(MATCH(L245, Criterios!$B$123:$B$127, 0)), "Género no válido", "")), IF(OR(N245="", N245=""), "[Aviso] Temporada no capturada ()", IF(ISNA(MATCH(N245, Criterios!$C$123:$C$128, 0)), "Temporada no válida", "")), IF(OR(O245="", O245=""), "[Aviso] Ciclo de vida no capturado ()", IF(ISNA(MATCH(O245, Criterios!$D$123:$D$124, 0)), "Ciclo de vida no válido", ""))))</f>
        <v/>
      </c>
      <c r="AC245" s="56" t="n"/>
      <c r="AD245" s="51" t="n">
        <v>25</v>
      </c>
      <c r="AE245" s="156" t="inlineStr">
        <is>
          <t>CL POS (3); CL Muestras (1); Web (1); CAPSLAB Warehouse (20)</t>
        </is>
      </c>
      <c r="AF245" s="51" t="n">
        <v>27</v>
      </c>
      <c r="AG245" s="156" t="inlineStr">
        <is>
          <t>Nuevo – NetSuite con existencia</t>
        </is>
      </c>
      <c r="AH245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45" s="156" t="inlineStr">
        <is>
          <t>No</t>
        </is>
      </c>
      <c r="AJ245" s="156" t="n"/>
      <c r="AK245" s="155" t="inlineStr">
        <is>
          <t>G1522ProductosTodosloscamposSandboxResults894.xlsx: fila 48028 [X]; G1522_Extraccion_Articulos_NetSuite_2026-09-30.xlsx: fila 30390 [Z]</t>
        </is>
      </c>
      <c r="AL245" s="58" t="n"/>
      <c r="AM245" s="58" t="n"/>
      <c r="AN245" s="155" t="n"/>
      <c r="AO245" s="59" t="n"/>
      <c r="AP245" s="59" t="n"/>
      <c r="AQ245" s="59" t="n"/>
      <c r="AR245" s="155" t="n"/>
    </row>
    <row r="246">
      <c r="A246" s="50" t="inlineStr">
        <is>
          <t>3614001696086</t>
        </is>
      </c>
      <c r="B246" s="51" t="inlineStr">
        <is>
          <t>69661</t>
        </is>
      </c>
      <c r="C246" s="156" t="inlineStr">
        <is>
          <t>CAPSLAB</t>
        </is>
      </c>
      <c r="D246" s="156" t="inlineStr">
        <is>
          <t>CL/MAR6/1/CT/THO</t>
        </is>
      </c>
      <c r="E246" s="156" t="inlineStr">
        <is>
          <t>CL/MAR6/1/CT/THO-UNI</t>
        </is>
      </c>
      <c r="F246" s="156" t="inlineStr">
        <is>
          <t>Talla única</t>
        </is>
      </c>
      <c r="G246" s="156" t="inlineStr">
        <is>
          <t>One Size</t>
        </is>
      </c>
      <c r="H246" s="156" t="inlineStr">
        <is>
          <t>CAPSLAB</t>
        </is>
      </c>
      <c r="I246" s="156" t="inlineStr">
        <is>
          <t>Gorra trucker CAPSLAB Marvel</t>
        </is>
      </c>
      <c r="J246" s="156" t="inlineStr">
        <is>
          <t>Accesorios</t>
        </is>
      </c>
      <c r="K246" s="156" t="inlineStr">
        <is>
          <t>Gorras</t>
        </is>
      </c>
      <c r="L246" s="156" t="inlineStr">
        <is>
          <t>Unisex</t>
        </is>
      </c>
      <c r="M246" s="156" t="inlineStr">
        <is>
          <t>Marvel</t>
        </is>
      </c>
      <c r="N246" s="156" t="n"/>
      <c r="O246" s="156" t="n"/>
      <c r="P246" s="156" t="n"/>
      <c r="Q246" s="156" t="n"/>
      <c r="R246" s="156" t="n"/>
      <c r="S246" s="156" t="inlineStr">
        <is>
          <t>Algodón / Poliéster</t>
        </is>
      </c>
      <c r="T246" s="156" t="inlineStr">
        <is>
          <t>Gorra trucker de la marca CAPSLAB bajo licencia oficial Marvel. Talla única ajustable. Estilo CL/MAR6/1/CT/THO.</t>
        </is>
      </c>
      <c r="U246" s="156" t="n"/>
      <c r="V246" s="156" t="inlineStr">
        <is>
          <t>PZS</t>
        </is>
      </c>
      <c r="W246" s="51" t="inlineStr">
        <is>
          <t>53102516</t>
        </is>
      </c>
      <c r="X246" s="156" t="inlineStr">
        <is>
          <t>https://i.ibb.co/vkbpTNN/CLMAR61-CTTHO.jpg</t>
        </is>
      </c>
      <c r="Y246" s="54" t="n"/>
      <c r="Z246" s="54" t="n">
        <v>799</v>
      </c>
      <c r="AA246" s="55">
        <f>IF(AND(A246="", B246="", E246=""), "", IF(AB246="", "Válido", IF((LEN(AB246)-LEN(SUBSTITUTE(AB246,"; ","")))/2+1&gt;(LEN(AB246)-LEN(SUBSTITUTE(AB246,"[Aviso]","")))/7, "Con Incidencias", "Válido")))</f>
        <v/>
      </c>
      <c r="AB246" s="56">
        <f>IF(AND(A246="", B246="", E246=""), "", TEXTJOIN("; ", TRUE, IF(OR(TRIM(A246&amp;"")="", ISNUMBER(SEARCH("FALTA", A246))), "UPC faltante/inválido", ""), IF(AND(A246&lt;&gt;"", IFERROR(_xlfn.XMATCH(A246,$A$2:$A$370,0,1)&lt;&gt;_xlfn.XMATCH(A246,$A$2:$A$370,0,-1),FALSE)), "Código de barras duplicado", ""), IF(AND(E246&lt;&gt;"", COUNTIF($E$2:$E$370, E246)&gt;1), "SKU duplicado", ""), IF(OR(J246="", J246=""), "[Aviso] División no capturada ()", IF(ISNA(MATCH(J246, Criterios!$A$123:$A$126, 0)), "División no válida", "")), IF(OR(K246="", K246=""), "[Aviso] Categoría no capturada ()", IF(ISNA(MATCH(K246, Criterios!$A$81:$A$120, 0)), "Categoría no válida", IF(AND(J246&lt;&gt;"", J246&lt;&gt;"", J246&lt;&gt;VLOOKUP(K246, Criterios!$A$81:$B$120, 2, FALSE)), "División no coincide con Categoría", ""))), IF(OR(L246="", L246=""), "[Aviso] Género no capturado ()", IF(ISNA(MATCH(L246, Criterios!$B$123:$B$127, 0)), "Género no válido", "")), IF(OR(N246="", N246=""), "[Aviso] Temporada no capturada ()", IF(ISNA(MATCH(N246, Criterios!$C$123:$C$128, 0)), "Temporada no válida", "")), IF(OR(O246="", O246=""), "[Aviso] Ciclo de vida no capturado ()", IF(ISNA(MATCH(O246, Criterios!$D$123:$D$124, 0)), "Ciclo de vida no válido", ""))))</f>
        <v/>
      </c>
      <c r="AC246" s="56" t="n"/>
      <c r="AD246" s="51" t="n">
        <v>104</v>
      </c>
      <c r="AE246" s="156" t="inlineStr">
        <is>
          <t>CL POS (4); CAPSLAB Warehouse (51); Web (2)</t>
        </is>
      </c>
      <c r="AF246" s="51" t="n">
        <v>104</v>
      </c>
      <c r="AG246" s="156" t="inlineStr">
        <is>
          <t>Nuevo – NetSuite con existencia</t>
        </is>
      </c>
      <c r="AH246" s="156" t="inlineStr">
        <is>
          <t>Composición CAPSLAB varía por modelo (50/50, 40/60 o 100% poliéster): validar etiqueta; Color por validar; Físico total NetSuite 104 ≠ suma por ubicación 57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46" s="156" t="inlineStr">
        <is>
          <t>No</t>
        </is>
      </c>
      <c r="AJ246" s="156" t="n"/>
      <c r="AK246" s="155" t="inlineStr">
        <is>
          <t>G1522ProductosTodosloscamposSandboxResults894.xlsx: fila 48030 [X]; G1522_Extraccion_Articulos_NetSuite_2026-09-30.xlsx: fila 30391 [Z]</t>
        </is>
      </c>
      <c r="AL246" s="58" t="n"/>
      <c r="AM246" s="58" t="n"/>
      <c r="AN246" s="155" t="n"/>
      <c r="AO246" s="59" t="n"/>
      <c r="AP246" s="59" t="n"/>
      <c r="AQ246" s="59" t="n"/>
      <c r="AR246" s="155" t="n"/>
    </row>
    <row r="247">
      <c r="A247" s="50" t="inlineStr">
        <is>
          <t>3614001696208</t>
        </is>
      </c>
      <c r="B247" s="51" t="inlineStr">
        <is>
          <t>69662</t>
        </is>
      </c>
      <c r="C247" s="156" t="inlineStr">
        <is>
          <t>CAPSLAB</t>
        </is>
      </c>
      <c r="D247" s="156" t="inlineStr">
        <is>
          <t>CL/MAR6/3/CT/BAD1</t>
        </is>
      </c>
      <c r="E247" s="156" t="inlineStr">
        <is>
          <t>CL/MAR6/3/CT/BAD1-UNIJR</t>
        </is>
      </c>
      <c r="F247" s="156" t="inlineStr">
        <is>
          <t>Talla única</t>
        </is>
      </c>
      <c r="G247" s="156" t="inlineStr">
        <is>
          <t>One Size</t>
        </is>
      </c>
      <c r="H247" s="156" t="inlineStr">
        <is>
          <t>CAPSLAB</t>
        </is>
      </c>
      <c r="I247" s="156" t="inlineStr">
        <is>
          <t>Gorra trucker CAPSLAB Marvel</t>
        </is>
      </c>
      <c r="J247" s="156" t="inlineStr">
        <is>
          <t>Accesorios</t>
        </is>
      </c>
      <c r="K247" s="156" t="inlineStr">
        <is>
          <t>Gorras</t>
        </is>
      </c>
      <c r="L247" s="156" t="inlineStr">
        <is>
          <t>Niño</t>
        </is>
      </c>
      <c r="M247" s="156" t="inlineStr">
        <is>
          <t>Marvel</t>
        </is>
      </c>
      <c r="N247" s="156" t="n"/>
      <c r="O247" s="156" t="n"/>
      <c r="P247" s="156" t="n"/>
      <c r="Q247" s="156" t="n"/>
      <c r="R247" s="156" t="n"/>
      <c r="S247" s="156" t="inlineStr">
        <is>
          <t>Algodón / Poliéster</t>
        </is>
      </c>
      <c r="T247" s="156" t="inlineStr">
        <is>
          <t>Gorra trucker de la marca CAPSLAB bajo licencia oficial Marvel. Talla única ajustable. Estilo CL/MAR6/3/CT/BAD1.</t>
        </is>
      </c>
      <c r="U247" s="156" t="n"/>
      <c r="V247" s="156" t="inlineStr">
        <is>
          <t>PZS</t>
        </is>
      </c>
      <c r="W247" s="51" t="inlineStr">
        <is>
          <t>53102516</t>
        </is>
      </c>
      <c r="X247" s="156" t="inlineStr">
        <is>
          <t>https://i.ibb.co/yp88skK/CLMAR63-CTBAD1.jpg</t>
        </is>
      </c>
      <c r="Y247" s="54" t="n"/>
      <c r="Z247" s="54" t="n">
        <v>699</v>
      </c>
      <c r="AA247" s="55">
        <f>IF(AND(A247="", B247="", E247=""), "", IF(AB247="", "Válido", IF((LEN(AB247)-LEN(SUBSTITUTE(AB247,"; ","")))/2+1&gt;(LEN(AB247)-LEN(SUBSTITUTE(AB247,"[Aviso]","")))/7, "Con Incidencias", "Válido")))</f>
        <v/>
      </c>
      <c r="AB247" s="56">
        <f>IF(AND(A247="", B247="", E247=""), "", TEXTJOIN("; ", TRUE, IF(OR(TRIM(A247&amp;"")="", ISNUMBER(SEARCH("FALTA", A247))), "UPC faltante/inválido", ""), IF(AND(A247&lt;&gt;"", IFERROR(_xlfn.XMATCH(A247,$A$2:$A$370,0,1)&lt;&gt;_xlfn.XMATCH(A247,$A$2:$A$370,0,-1),FALSE)), "Código de barras duplicado", ""), IF(AND(E247&lt;&gt;"", COUNTIF($E$2:$E$370, E247)&gt;1), "SKU duplicado", ""), IF(OR(J247="", J247=""), "[Aviso] División no capturada ()", IF(ISNA(MATCH(J247, Criterios!$A$123:$A$126, 0)), "División no válida", "")), IF(OR(K247="", K247=""), "[Aviso] Categoría no capturada ()", IF(ISNA(MATCH(K247, Criterios!$A$81:$A$120, 0)), "Categoría no válida", IF(AND(J247&lt;&gt;"", J247&lt;&gt;"", J247&lt;&gt;VLOOKUP(K247, Criterios!$A$81:$B$120, 2, FALSE)), "División no coincide con Categoría", ""))), IF(OR(L247="", L247=""), "[Aviso] Género no capturado ()", IF(ISNA(MATCH(L247, Criterios!$B$123:$B$127, 0)), "Género no válido", "")), IF(OR(N247="", N247=""), "[Aviso] Temporada no capturada ()", IF(ISNA(MATCH(N247, Criterios!$C$123:$C$128, 0)), "Temporada no válida", "")), IF(OR(O247="", O247=""), "[Aviso] Ciclo de vida no capturado ()", IF(ISNA(MATCH(O247, Criterios!$D$123:$D$124, 0)), "Ciclo de vida no válido", ""))))</f>
        <v/>
      </c>
      <c r="AC247" s="56" t="n"/>
      <c r="AD247" s="51" t="n">
        <v>76</v>
      </c>
      <c r="AE247" s="156" t="inlineStr">
        <is>
          <t>Web (2); CAPSLAB Warehouse (47); CL Muestras (1); CL POS (4)</t>
        </is>
      </c>
      <c r="AF247" s="51" t="n">
        <v>76</v>
      </c>
      <c r="AG247" s="156" t="inlineStr">
        <is>
          <t>Nuevo – NetSuite con existencia</t>
        </is>
      </c>
      <c r="AH247" s="156" t="inlineStr">
        <is>
          <t>Composición CAPSLAB varía por modelo (50/50, 40/60 o 100% poliéster): validar etiqueta; Talla: Talla infantil (JR) (origen «UNI JR»); Color por validar; Físico total NetSuite 76 ≠ suma por ubicación 54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247" s="156" t="inlineStr">
        <is>
          <t>No</t>
        </is>
      </c>
      <c r="AJ247" s="156" t="n"/>
      <c r="AK247" s="155" t="inlineStr">
        <is>
          <t>G1522ProductosTodosloscamposSandboxResults894.xlsx: fila 48032 [X]; G1522_Extraccion_Articulos_NetSuite_2026-09-30.xlsx: fila 30392 [Z]</t>
        </is>
      </c>
      <c r="AL247" s="58" t="n"/>
      <c r="AM247" s="58" t="n"/>
      <c r="AN247" s="155" t="n"/>
      <c r="AO247" s="59" t="n"/>
      <c r="AP247" s="59" t="n"/>
      <c r="AQ247" s="59" t="n"/>
      <c r="AR247" s="155" t="n"/>
    </row>
    <row r="248">
      <c r="A248" s="50" t="inlineStr">
        <is>
          <t>3614001438075</t>
        </is>
      </c>
      <c r="B248" s="51" t="inlineStr">
        <is>
          <t>57423</t>
        </is>
      </c>
      <c r="C248" s="156" t="inlineStr">
        <is>
          <t>CAPSLAB</t>
        </is>
      </c>
      <c r="D248" s="156" t="inlineStr">
        <is>
          <t>CL/NASA/1/NAS4</t>
        </is>
      </c>
      <c r="E248" s="156" t="inlineStr">
        <is>
          <t>CL/NASA/1/NAS4-UNI</t>
        </is>
      </c>
      <c r="F248" s="156" t="inlineStr">
        <is>
          <t>Talla única</t>
        </is>
      </c>
      <c r="G248" s="156" t="inlineStr">
        <is>
          <t>One Size</t>
        </is>
      </c>
      <c r="H248" s="156" t="inlineStr">
        <is>
          <t>CAPSLAB</t>
        </is>
      </c>
      <c r="I248" s="156" t="inlineStr">
        <is>
          <t>Gorra CAPSLAB Nasa Negro</t>
        </is>
      </c>
      <c r="J248" s="156" t="inlineStr">
        <is>
          <t>Accesorios</t>
        </is>
      </c>
      <c r="K248" s="156" t="inlineStr">
        <is>
          <t>Gorras</t>
        </is>
      </c>
      <c r="L248" s="156" t="inlineStr">
        <is>
          <t>Unisex</t>
        </is>
      </c>
      <c r="M248" s="156" t="inlineStr">
        <is>
          <t>Nasa</t>
        </is>
      </c>
      <c r="N248" s="156" t="n"/>
      <c r="O248" s="156" t="n"/>
      <c r="P248" s="156" t="inlineStr">
        <is>
          <t>Negro</t>
        </is>
      </c>
      <c r="Q248" s="156" t="n"/>
      <c r="R248" s="156" t="n"/>
      <c r="S248" s="156" t="inlineStr">
        <is>
          <t>Algodón / Poliéster</t>
        </is>
      </c>
      <c r="T248" s="156" t="inlineStr">
        <is>
          <t>Gorra de la marca CAPSLAB bajo licencia oficial Nasa. Talla única ajustable. Estilo CL/NASA/1/NAS4.</t>
        </is>
      </c>
      <c r="U248" s="156" t="n"/>
      <c r="V248" s="156" t="inlineStr">
        <is>
          <t>PZS</t>
        </is>
      </c>
      <c r="W248" s="51" t="inlineStr">
        <is>
          <t>53102516</t>
        </is>
      </c>
      <c r="X248" s="156" t="inlineStr">
        <is>
          <t>https://7913364.app.netsuite.com/core/media/media.nl?id=188298&amp;c=7913364&amp;h=WIl9Erx1iAzDt0gOjpzbIWLkkKx6vix-WZww_8S1DDyrg2rG</t>
        </is>
      </c>
      <c r="Y248" s="54" t="n">
        <v>8.5</v>
      </c>
      <c r="Z248" s="54" t="n">
        <v>699</v>
      </c>
      <c r="AA248" s="55">
        <f>IF(AND(A248="", B248="", E248=""), "", IF(AB248="", "Válido", IF((LEN(AB248)-LEN(SUBSTITUTE(AB248,"; ","")))/2+1&gt;(LEN(AB248)-LEN(SUBSTITUTE(AB248,"[Aviso]","")))/7, "Con Incidencias", "Válido")))</f>
        <v/>
      </c>
      <c r="AB248" s="56">
        <f>IF(AND(A248="", B248="", E248=""), "", TEXTJOIN("; ", TRUE, IF(OR(TRIM(A248&amp;"")="", ISNUMBER(SEARCH("FALTA", A248))), "UPC faltante/inválido", ""), IF(AND(A248&lt;&gt;"", IFERROR(_xlfn.XMATCH(A248,$A$2:$A$370,0,1)&lt;&gt;_xlfn.XMATCH(A248,$A$2:$A$370,0,-1),FALSE)), "Código de barras duplicado", ""), IF(AND(E248&lt;&gt;"", COUNTIF($E$2:$E$370, E248)&gt;1), "SKU duplicado", ""), IF(OR(J248="", J248=""), "[Aviso] División no capturada ()", IF(ISNA(MATCH(J248, Criterios!$A$123:$A$126, 0)), "División no válida", "")), IF(OR(K248="", K248=""), "[Aviso] Categoría no capturada ()", IF(ISNA(MATCH(K248, Criterios!$A$81:$A$120, 0)), "Categoría no válida", IF(AND(J248&lt;&gt;"", J248&lt;&gt;"", J248&lt;&gt;VLOOKUP(K248, Criterios!$A$81:$B$120, 2, FALSE)), "División no coincide con Categoría", ""))), IF(OR(L248="", L248=""), "[Aviso] Género no capturado ()", IF(ISNA(MATCH(L248, Criterios!$B$123:$B$127, 0)), "Género no válido", "")), IF(OR(N248="", N248=""), "[Aviso] Temporada no capturada ()", IF(ISNA(MATCH(N248, Criterios!$C$123:$C$128, 0)), "Temporada no válida", "")), IF(OR(O248="", O248=""), "[Aviso] Ciclo de vida no capturado ()", IF(ISNA(MATCH(O248, Criterios!$D$123:$D$124, 0)), "Ciclo de vida no válido", ""))))</f>
        <v/>
      </c>
      <c r="AC248" s="56" t="n"/>
      <c r="AD248" s="51" t="n">
        <v>2</v>
      </c>
      <c r="AE248" s="156" t="inlineStr">
        <is>
          <t>CAPSLAB Warehouse (2)</t>
        </is>
      </c>
      <c r="AF248" s="51" t="n">
        <v>2</v>
      </c>
      <c r="AG248" s="156" t="inlineStr">
        <is>
          <t>Nuevo – NetSuite con existencia</t>
        </is>
      </c>
      <c r="AH24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48" s="156" t="inlineStr">
        <is>
          <t>No</t>
        </is>
      </c>
      <c r="AJ248" s="156" t="n"/>
      <c r="AK248" s="155" t="inlineStr">
        <is>
          <t>G1522ProductosTodosloscamposSandboxResults894.xlsx: fila 48034 [Y]; G1522_Extraccion_Articulos_NetSuite_2026-09-30.xlsx: fila 20805 [Z]</t>
        </is>
      </c>
      <c r="AL248" s="58" t="n">
        <v>8.5</v>
      </c>
      <c r="AM248" s="58" t="n"/>
      <c r="AN248" s="155" t="n"/>
      <c r="AO248" s="59" t="n"/>
      <c r="AP248" s="59" t="n"/>
      <c r="AQ248" s="59" t="n"/>
      <c r="AR248" s="155" t="n"/>
    </row>
    <row r="249">
      <c r="A249" s="50" t="inlineStr">
        <is>
          <t>3614001438082</t>
        </is>
      </c>
      <c r="B249" s="51" t="inlineStr">
        <is>
          <t>57424</t>
        </is>
      </c>
      <c r="C249" s="156" t="inlineStr">
        <is>
          <t>CAPSLAB</t>
        </is>
      </c>
      <c r="D249" s="156" t="inlineStr">
        <is>
          <t>CL/NASA/1/NAS5</t>
        </is>
      </c>
      <c r="E249" s="156" t="inlineStr">
        <is>
          <t>CL/NASA/1/NAS5-UNI</t>
        </is>
      </c>
      <c r="F249" s="156" t="inlineStr">
        <is>
          <t>Talla única</t>
        </is>
      </c>
      <c r="G249" s="156" t="inlineStr">
        <is>
          <t>One Size</t>
        </is>
      </c>
      <c r="H249" s="156" t="inlineStr">
        <is>
          <t>CAPSLAB</t>
        </is>
      </c>
      <c r="I249" s="156" t="inlineStr">
        <is>
          <t>Gorra CAPSLAB Nasa Negro</t>
        </is>
      </c>
      <c r="J249" s="156" t="inlineStr">
        <is>
          <t>Accesorios</t>
        </is>
      </c>
      <c r="K249" s="156" t="inlineStr">
        <is>
          <t>Gorras</t>
        </is>
      </c>
      <c r="L249" s="156" t="inlineStr">
        <is>
          <t>Unisex</t>
        </is>
      </c>
      <c r="M249" s="156" t="inlineStr">
        <is>
          <t>Nasa</t>
        </is>
      </c>
      <c r="N249" s="156" t="n"/>
      <c r="O249" s="156" t="n"/>
      <c r="P249" s="156" t="inlineStr">
        <is>
          <t>Negro</t>
        </is>
      </c>
      <c r="Q249" s="156" t="n"/>
      <c r="R249" s="156" t="n"/>
      <c r="S249" s="156" t="inlineStr">
        <is>
          <t>Algodón / Poliéster</t>
        </is>
      </c>
      <c r="T249" s="156" t="inlineStr">
        <is>
          <t>Gorra de la marca CAPSLAB bajo licencia oficial Nasa. Talla única ajustable. Estilo CL/NASA/1/NAS5.</t>
        </is>
      </c>
      <c r="U249" s="156" t="n"/>
      <c r="V249" s="156" t="inlineStr">
        <is>
          <t>PZS</t>
        </is>
      </c>
      <c r="W249" s="51" t="inlineStr">
        <is>
          <t>53102516</t>
        </is>
      </c>
      <c r="X249" s="156" t="inlineStr">
        <is>
          <t>https://7913364.app.netsuite.com/core/media/media.nl?id=188299&amp;c=7913364&amp;h=znOF4GDvLPGXUm-0bF1yGEOiXuv4o0rM3C56qCa5AUybpW-4</t>
        </is>
      </c>
      <c r="Y249" s="54" t="n">
        <v>8.5</v>
      </c>
      <c r="Z249" s="54" t="n">
        <v>699</v>
      </c>
      <c r="AA249" s="55">
        <f>IF(AND(A249="", B249="", E249=""), "", IF(AB249="", "Válido", IF((LEN(AB249)-LEN(SUBSTITUTE(AB249,"; ","")))/2+1&gt;(LEN(AB249)-LEN(SUBSTITUTE(AB249,"[Aviso]","")))/7, "Con Incidencias", "Válido")))</f>
        <v/>
      </c>
      <c r="AB249" s="56">
        <f>IF(AND(A249="", B249="", E249=""), "", TEXTJOIN("; ", TRUE, IF(OR(TRIM(A249&amp;"")="", ISNUMBER(SEARCH("FALTA", A249))), "UPC faltante/inválido", ""), IF(AND(A249&lt;&gt;"", IFERROR(_xlfn.XMATCH(A249,$A$2:$A$370,0,1)&lt;&gt;_xlfn.XMATCH(A249,$A$2:$A$370,0,-1),FALSE)), "Código de barras duplicado", ""), IF(AND(E249&lt;&gt;"", COUNTIF($E$2:$E$370, E249)&gt;1), "SKU duplicado", ""), IF(OR(J249="", J249=""), "[Aviso] División no capturada ()", IF(ISNA(MATCH(J249, Criterios!$A$123:$A$126, 0)), "División no válida", "")), IF(OR(K249="", K249=""), "[Aviso] Categoría no capturada ()", IF(ISNA(MATCH(K249, Criterios!$A$81:$A$120, 0)), "Categoría no válida", IF(AND(J249&lt;&gt;"", J249&lt;&gt;"", J249&lt;&gt;VLOOKUP(K249, Criterios!$A$81:$B$120, 2, FALSE)), "División no coincide con Categoría", ""))), IF(OR(L249="", L249=""), "[Aviso] Género no capturado ()", IF(ISNA(MATCH(L249, Criterios!$B$123:$B$127, 0)), "Género no válido", "")), IF(OR(N249="", N249=""), "[Aviso] Temporada no capturada ()", IF(ISNA(MATCH(N249, Criterios!$C$123:$C$128, 0)), "Temporada no válida", "")), IF(OR(O249="", O249=""), "[Aviso] Ciclo de vida no capturado ()", IF(ISNA(MATCH(O249, Criterios!$D$123:$D$124, 0)), "Ciclo de vida no válido", ""))))</f>
        <v/>
      </c>
      <c r="AC249" s="56" t="n"/>
      <c r="AD249" s="51" t="n">
        <v>0</v>
      </c>
      <c r="AE249" s="156" t="n"/>
      <c r="AF249" s="51" t="n">
        <v>0</v>
      </c>
      <c r="AG249" s="156" t="inlineStr">
        <is>
          <t>Nuevo – NetSuite sin existencia</t>
        </is>
      </c>
      <c r="AH24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49" s="156" t="inlineStr">
        <is>
          <t>No</t>
        </is>
      </c>
      <c r="AJ249" s="156" t="n"/>
      <c r="AK249" s="155" t="inlineStr">
        <is>
          <t>G1522ProductosTodosloscamposSandboxResults894.xlsx: fila 48036 [Y]; G1522_Extraccion_Articulos_NetSuite_2026-09-30.xlsx: fila 20806 [Z]</t>
        </is>
      </c>
      <c r="AL249" s="58" t="n">
        <v>8.5</v>
      </c>
      <c r="AM249" s="58" t="n"/>
      <c r="AN249" s="155" t="n"/>
      <c r="AO249" s="59" t="n"/>
      <c r="AP249" s="59" t="n"/>
      <c r="AQ249" s="59" t="n"/>
      <c r="AR249" s="155" t="n"/>
    </row>
    <row r="250">
      <c r="A250" s="50" t="inlineStr">
        <is>
          <t>3614001438112</t>
        </is>
      </c>
      <c r="B250" s="51" t="inlineStr">
        <is>
          <t>57425</t>
        </is>
      </c>
      <c r="C250" s="156" t="inlineStr">
        <is>
          <t>CAPSLAB</t>
        </is>
      </c>
      <c r="D250" s="156" t="inlineStr">
        <is>
          <t>CL/NASA/1/TAG/GLI</t>
        </is>
      </c>
      <c r="E250" s="156" t="inlineStr">
        <is>
          <t>CL/NASA/1/TAG/GLI-UNI</t>
        </is>
      </c>
      <c r="F250" s="156" t="inlineStr">
        <is>
          <t>Talla única</t>
        </is>
      </c>
      <c r="G250" s="156" t="inlineStr">
        <is>
          <t>One Size</t>
        </is>
      </c>
      <c r="H250" s="156" t="inlineStr">
        <is>
          <t>CAPSLAB</t>
        </is>
      </c>
      <c r="I250" s="156" t="inlineStr">
        <is>
          <t>Gorra CAPSLAB Nasa Negro</t>
        </is>
      </c>
      <c r="J250" s="156" t="inlineStr">
        <is>
          <t>Accesorios</t>
        </is>
      </c>
      <c r="K250" s="156" t="inlineStr">
        <is>
          <t>Gorras</t>
        </is>
      </c>
      <c r="L250" s="156" t="inlineStr">
        <is>
          <t>Unisex</t>
        </is>
      </c>
      <c r="M250" s="156" t="inlineStr">
        <is>
          <t>Nasa</t>
        </is>
      </c>
      <c r="N250" s="156" t="n"/>
      <c r="O250" s="156" t="n"/>
      <c r="P250" s="156" t="inlineStr">
        <is>
          <t>Negro</t>
        </is>
      </c>
      <c r="Q250" s="156" t="n"/>
      <c r="R250" s="156" t="n"/>
      <c r="S250" s="156" t="inlineStr">
        <is>
          <t>Algodón / Poliéster</t>
        </is>
      </c>
      <c r="T250" s="156" t="inlineStr">
        <is>
          <t>Gorra de la marca CAPSLAB bajo licencia oficial Nasa. Talla única ajustable. Estilo CL/NASA/1/TAG/GLI.</t>
        </is>
      </c>
      <c r="U250" s="156" t="n"/>
      <c r="V250" s="156" t="inlineStr">
        <is>
          <t>PZS</t>
        </is>
      </c>
      <c r="W250" s="51" t="inlineStr">
        <is>
          <t>53102516</t>
        </is>
      </c>
      <c r="X250" s="156" t="inlineStr">
        <is>
          <t>https://7913364.app.netsuite.com/core/media/media.nl?id=188300&amp;c=7913364&amp;h=kGxET1szYE7rgXNMlIUpWgQR1wHhhj_jbbBYh97iC_JTVm9X</t>
        </is>
      </c>
      <c r="Y250" s="54" t="n">
        <v>10.75</v>
      </c>
      <c r="Z250" s="54" t="n">
        <v>799</v>
      </c>
      <c r="AA250" s="55">
        <f>IF(AND(A250="", B250="", E250=""), "", IF(AB250="", "Válido", IF((LEN(AB250)-LEN(SUBSTITUTE(AB250,"; ","")))/2+1&gt;(LEN(AB250)-LEN(SUBSTITUTE(AB250,"[Aviso]","")))/7, "Con Incidencias", "Válido")))</f>
        <v/>
      </c>
      <c r="AB250" s="56">
        <f>IF(AND(A250="", B250="", E250=""), "", TEXTJOIN("; ", TRUE, IF(OR(TRIM(A250&amp;"")="", ISNUMBER(SEARCH("FALTA", A250))), "UPC faltante/inválido", ""), IF(AND(A250&lt;&gt;"", IFERROR(_xlfn.XMATCH(A250,$A$2:$A$370,0,1)&lt;&gt;_xlfn.XMATCH(A250,$A$2:$A$370,0,-1),FALSE)), "Código de barras duplicado", ""), IF(AND(E250&lt;&gt;"", COUNTIF($E$2:$E$370, E250)&gt;1), "SKU duplicado", ""), IF(OR(J250="", J250=""), "[Aviso] División no capturada ()", IF(ISNA(MATCH(J250, Criterios!$A$123:$A$126, 0)), "División no válida", "")), IF(OR(K250="", K250=""), "[Aviso] Categoría no capturada ()", IF(ISNA(MATCH(K250, Criterios!$A$81:$A$120, 0)), "Categoría no válida", IF(AND(J250&lt;&gt;"", J250&lt;&gt;"", J250&lt;&gt;VLOOKUP(K250, Criterios!$A$81:$B$120, 2, FALSE)), "División no coincide con Categoría", ""))), IF(OR(L250="", L250=""), "[Aviso] Género no capturado ()", IF(ISNA(MATCH(L250, Criterios!$B$123:$B$127, 0)), "Género no válido", "")), IF(OR(N250="", N250=""), "[Aviso] Temporada no capturada ()", IF(ISNA(MATCH(N250, Criterios!$C$123:$C$128, 0)), "Temporada no válida", "")), IF(OR(O250="", O250=""), "[Aviso] Ciclo de vida no capturado ()", IF(ISNA(MATCH(O250, Criterios!$D$123:$D$124, 0)), "Ciclo de vida no válido", ""))))</f>
        <v/>
      </c>
      <c r="AC250" s="56" t="n"/>
      <c r="AD250" s="51" t="n">
        <v>22</v>
      </c>
      <c r="AE250" s="156" t="inlineStr">
        <is>
          <t>CAPSLAB Warehouse (9); Web (2)</t>
        </is>
      </c>
      <c r="AF250" s="51" t="n">
        <v>22</v>
      </c>
      <c r="AG250" s="156" t="inlineStr">
        <is>
          <t>Nuevo – NetSuite con existencia</t>
        </is>
      </c>
      <c r="AH250" s="156" t="inlineStr">
        <is>
          <t>Composición CAPSLAB varía por modelo (50/50, 40/60 o 100% poliéster): validar etiqueta; Físico total NetSuite 22 ≠ suma por ubicación 11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50" s="156" t="inlineStr">
        <is>
          <t>No</t>
        </is>
      </c>
      <c r="AJ250" s="156" t="n"/>
      <c r="AK250" s="155" t="inlineStr">
        <is>
          <t>G1522ProductosTodosloscamposSandboxResults894.xlsx: fila 48038 [Y]; G1522_Extraccion_Articulos_NetSuite_2026-09-30.xlsx: fila 20807 [Z]</t>
        </is>
      </c>
      <c r="AL250" s="58" t="n">
        <v>10.75</v>
      </c>
      <c r="AM250" s="58" t="n"/>
      <c r="AN250" s="155" t="n"/>
      <c r="AO250" s="59" t="n"/>
      <c r="AP250" s="59" t="n"/>
      <c r="AQ250" s="59" t="n"/>
      <c r="AR250" s="155" t="n"/>
    </row>
    <row r="251">
      <c r="A251" s="50" t="inlineStr">
        <is>
          <t>3614001438099</t>
        </is>
      </c>
      <c r="B251" s="51" t="inlineStr">
        <is>
          <t>57426</t>
        </is>
      </c>
      <c r="C251" s="156" t="inlineStr">
        <is>
          <t>CAPSLAB</t>
        </is>
      </c>
      <c r="D251" s="156" t="inlineStr">
        <is>
          <t>CL/NASA/1/US1</t>
        </is>
      </c>
      <c r="E251" s="156" t="inlineStr">
        <is>
          <t>CL/NASA/1/US1-UNI</t>
        </is>
      </c>
      <c r="F251" s="156" t="inlineStr">
        <is>
          <t>Talla única</t>
        </is>
      </c>
      <c r="G251" s="156" t="inlineStr">
        <is>
          <t>One Size</t>
        </is>
      </c>
      <c r="H251" s="156" t="inlineStr">
        <is>
          <t>CAPSLAB</t>
        </is>
      </c>
      <c r="I251" s="156" t="inlineStr">
        <is>
          <t>Gorra CAPSLAB Nasa Azul</t>
        </is>
      </c>
      <c r="J251" s="156" t="inlineStr">
        <is>
          <t>Accesorios</t>
        </is>
      </c>
      <c r="K251" s="156" t="inlineStr">
        <is>
          <t>Gorras</t>
        </is>
      </c>
      <c r="L251" s="156" t="inlineStr">
        <is>
          <t>Unisex</t>
        </is>
      </c>
      <c r="M251" s="156" t="inlineStr">
        <is>
          <t>Nasa</t>
        </is>
      </c>
      <c r="N251" s="156" t="n"/>
      <c r="O251" s="156" t="n"/>
      <c r="P251" s="156" t="inlineStr">
        <is>
          <t>Azul</t>
        </is>
      </c>
      <c r="Q251" s="156" t="n"/>
      <c r="R251" s="156" t="n"/>
      <c r="S251" s="156" t="inlineStr">
        <is>
          <t>Algodón / Poliéster</t>
        </is>
      </c>
      <c r="T251" s="156" t="inlineStr">
        <is>
          <t>Gorra de la marca CAPSLAB bajo licencia oficial Nasa. Talla única ajustable. Estilo CL/NASA/1/US1.</t>
        </is>
      </c>
      <c r="U251" s="156" t="n"/>
      <c r="V251" s="156" t="inlineStr">
        <is>
          <t>PZS</t>
        </is>
      </c>
      <c r="W251" s="51" t="inlineStr">
        <is>
          <t>53102516</t>
        </is>
      </c>
      <c r="X251" s="156" t="inlineStr">
        <is>
          <t>https://7913364.app.netsuite.com/core/media/media.nl?id=188301&amp;c=7913364&amp;h=b7y-uF8RVZ8M54Ph6Dw47DLY75UvRct0AJ489U3B5DNAwV5C</t>
        </is>
      </c>
      <c r="Y251" s="54" t="n">
        <v>8.5</v>
      </c>
      <c r="Z251" s="54" t="n">
        <v>699</v>
      </c>
      <c r="AA251" s="55">
        <f>IF(AND(A251="", B251="", E251=""), "", IF(AB251="", "Válido", IF((LEN(AB251)-LEN(SUBSTITUTE(AB251,"; ","")))/2+1&gt;(LEN(AB251)-LEN(SUBSTITUTE(AB251,"[Aviso]","")))/7, "Con Incidencias", "Válido")))</f>
        <v/>
      </c>
      <c r="AB251" s="56">
        <f>IF(AND(A251="", B251="", E251=""), "", TEXTJOIN("; ", TRUE, IF(OR(TRIM(A251&amp;"")="", ISNUMBER(SEARCH("FALTA", A251))), "UPC faltante/inválido", ""), IF(AND(A251&lt;&gt;"", IFERROR(_xlfn.XMATCH(A251,$A$2:$A$370,0,1)&lt;&gt;_xlfn.XMATCH(A251,$A$2:$A$370,0,-1),FALSE)), "Código de barras duplicado", ""), IF(AND(E251&lt;&gt;"", COUNTIF($E$2:$E$370, E251)&gt;1), "SKU duplicado", ""), IF(OR(J251="", J251=""), "[Aviso] División no capturada ()", IF(ISNA(MATCH(J251, Criterios!$A$123:$A$126, 0)), "División no válida", "")), IF(OR(K251="", K251=""), "[Aviso] Categoría no capturada ()", IF(ISNA(MATCH(K251, Criterios!$A$81:$A$120, 0)), "Categoría no válida", IF(AND(J251&lt;&gt;"", J251&lt;&gt;"", J251&lt;&gt;VLOOKUP(K251, Criterios!$A$81:$B$120, 2, FALSE)), "División no coincide con Categoría", ""))), IF(OR(L251="", L251=""), "[Aviso] Género no capturado ()", IF(ISNA(MATCH(L251, Criterios!$B$123:$B$127, 0)), "Género no válido", "")), IF(OR(N251="", N251=""), "[Aviso] Temporada no capturada ()", IF(ISNA(MATCH(N251, Criterios!$C$123:$C$128, 0)), "Temporada no válida", "")), IF(OR(O251="", O251=""), "[Aviso] Ciclo de vida no capturado ()", IF(ISNA(MATCH(O251, Criterios!$D$123:$D$124, 0)), "Ciclo de vida no válido", ""))))</f>
        <v/>
      </c>
      <c r="AC251" s="56" t="n"/>
      <c r="AD251" s="51" t="n">
        <v>10</v>
      </c>
      <c r="AE251" s="156" t="inlineStr">
        <is>
          <t>CAPSLAB Warehouse (5)</t>
        </is>
      </c>
      <c r="AF251" s="51" t="n">
        <v>10</v>
      </c>
      <c r="AG251" s="156" t="inlineStr">
        <is>
          <t>Nuevo – NetSuite con existencia</t>
        </is>
      </c>
      <c r="AH251" s="156" t="inlineStr">
        <is>
          <t>Composición CAPSLAB varía por modelo (50/50, 40/60 o 100% poliéster): validar etiqueta; Físico total NetSuite 10 ≠ suma por ubicación 5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51" s="156" t="inlineStr">
        <is>
          <t>No</t>
        </is>
      </c>
      <c r="AJ251" s="156" t="n"/>
      <c r="AK251" s="155" t="inlineStr">
        <is>
          <t>G1522ProductosTodosloscamposSandboxResults894.xlsx: fila 48040 [Y]; G1522_Extraccion_Articulos_NetSuite_2026-09-30.xlsx: fila 20808 [Z]</t>
        </is>
      </c>
      <c r="AL251" s="58" t="n">
        <v>8.5</v>
      </c>
      <c r="AM251" s="58" t="n"/>
      <c r="AN251" s="155" t="n"/>
      <c r="AO251" s="59" t="n"/>
      <c r="AP251" s="59" t="n"/>
      <c r="AQ251" s="59" t="n"/>
      <c r="AR251" s="155" t="n"/>
    </row>
    <row r="252">
      <c r="A252" s="50" t="inlineStr">
        <is>
          <t>3614001438105</t>
        </is>
      </c>
      <c r="B252" s="51" t="inlineStr">
        <is>
          <t>57427</t>
        </is>
      </c>
      <c r="C252" s="156" t="inlineStr">
        <is>
          <t>CAPSLAB</t>
        </is>
      </c>
      <c r="D252" s="156" t="inlineStr">
        <is>
          <t>CL/NASA/1/US2</t>
        </is>
      </c>
      <c r="E252" s="156" t="inlineStr">
        <is>
          <t>CL/NASA/1/US2-UNI</t>
        </is>
      </c>
      <c r="F252" s="156" t="inlineStr">
        <is>
          <t>Talla única</t>
        </is>
      </c>
      <c r="G252" s="156" t="inlineStr">
        <is>
          <t>One Size</t>
        </is>
      </c>
      <c r="H252" s="156" t="inlineStr">
        <is>
          <t>CAPSLAB</t>
        </is>
      </c>
      <c r="I252" s="156" t="inlineStr">
        <is>
          <t>Gorra CAPSLAB Nasa Negro</t>
        </is>
      </c>
      <c r="J252" s="156" t="inlineStr">
        <is>
          <t>Accesorios</t>
        </is>
      </c>
      <c r="K252" s="156" t="inlineStr">
        <is>
          <t>Gorras</t>
        </is>
      </c>
      <c r="L252" s="156" t="inlineStr">
        <is>
          <t>Unisex</t>
        </is>
      </c>
      <c r="M252" s="156" t="inlineStr">
        <is>
          <t>Nasa</t>
        </is>
      </c>
      <c r="N252" s="156" t="n"/>
      <c r="O252" s="156" t="n"/>
      <c r="P252" s="156" t="inlineStr">
        <is>
          <t>Negro</t>
        </is>
      </c>
      <c r="Q252" s="156" t="n"/>
      <c r="R252" s="156" t="n"/>
      <c r="S252" s="156" t="inlineStr">
        <is>
          <t>Algodón / Poliéster</t>
        </is>
      </c>
      <c r="T252" s="156" t="inlineStr">
        <is>
          <t>Gorra de la marca CAPSLAB bajo licencia oficial Nasa. Talla única ajustable. Estilo CL/NASA/1/US2.</t>
        </is>
      </c>
      <c r="U252" s="156" t="n"/>
      <c r="V252" s="156" t="inlineStr">
        <is>
          <t>PZS</t>
        </is>
      </c>
      <c r="W252" s="51" t="inlineStr">
        <is>
          <t>53102516</t>
        </is>
      </c>
      <c r="X252" s="156" t="inlineStr">
        <is>
          <t>https://7913364.app.netsuite.com/core/media/media.nl?id=188302&amp;c=7913364&amp;h=hQXOFkD82bxI71HJ4FHYnIYayMfcQngY1wne0SJmoSHp-KSR</t>
        </is>
      </c>
      <c r="Y252" s="54" t="n">
        <v>8.5</v>
      </c>
      <c r="Z252" s="54" t="n">
        <v>699</v>
      </c>
      <c r="AA252" s="55">
        <f>IF(AND(A252="", B252="", E252=""), "", IF(AB252="", "Válido", IF((LEN(AB252)-LEN(SUBSTITUTE(AB252,"; ","")))/2+1&gt;(LEN(AB252)-LEN(SUBSTITUTE(AB252,"[Aviso]","")))/7, "Con Incidencias", "Válido")))</f>
        <v/>
      </c>
      <c r="AB252" s="56">
        <f>IF(AND(A252="", B252="", E252=""), "", TEXTJOIN("; ", TRUE, IF(OR(TRIM(A252&amp;"")="", ISNUMBER(SEARCH("FALTA", A252))), "UPC faltante/inválido", ""), IF(AND(A252&lt;&gt;"", IFERROR(_xlfn.XMATCH(A252,$A$2:$A$370,0,1)&lt;&gt;_xlfn.XMATCH(A252,$A$2:$A$370,0,-1),FALSE)), "Código de barras duplicado", ""), IF(AND(E252&lt;&gt;"", COUNTIF($E$2:$E$370, E252)&gt;1), "SKU duplicado", ""), IF(OR(J252="", J252=""), "[Aviso] División no capturada ()", IF(ISNA(MATCH(J252, Criterios!$A$123:$A$126, 0)), "División no válida", "")), IF(OR(K252="", K252=""), "[Aviso] Categoría no capturada ()", IF(ISNA(MATCH(K252, Criterios!$A$81:$A$120, 0)), "Categoría no válida", IF(AND(J252&lt;&gt;"", J252&lt;&gt;"", J252&lt;&gt;VLOOKUP(K252, Criterios!$A$81:$B$120, 2, FALSE)), "División no coincide con Categoría", ""))), IF(OR(L252="", L252=""), "[Aviso] Género no capturado ()", IF(ISNA(MATCH(L252, Criterios!$B$123:$B$127, 0)), "Género no válido", "")), IF(OR(N252="", N252=""), "[Aviso] Temporada no capturada ()", IF(ISNA(MATCH(N252, Criterios!$C$123:$C$128, 0)), "Temporada no válida", "")), IF(OR(O252="", O252=""), "[Aviso] Ciclo de vida no capturado ()", IF(ISNA(MATCH(O252, Criterios!$D$123:$D$124, 0)), "Ciclo de vida no válido", ""))))</f>
        <v/>
      </c>
      <c r="AC252" s="56" t="n"/>
      <c r="AD252" s="51" t="n">
        <v>14</v>
      </c>
      <c r="AE252" s="156" t="inlineStr">
        <is>
          <t>Web (2); CL Muestras (1); CAPSLAB Warehouse (5)</t>
        </is>
      </c>
      <c r="AF252" s="51" t="n">
        <v>14</v>
      </c>
      <c r="AG252" s="156" t="inlineStr">
        <is>
          <t>Nuevo – NetSuite con existencia</t>
        </is>
      </c>
      <c r="AH252" s="156" t="inlineStr">
        <is>
          <t>Composición CAPSLAB varía por modelo (50/50, 40/60 o 100% poliéster): validar etiqueta; Físico total NetSuite 14 ≠ suma por ubicación 8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52" s="156" t="inlineStr">
        <is>
          <t>No</t>
        </is>
      </c>
      <c r="AJ252" s="156" t="n"/>
      <c r="AK252" s="155" t="inlineStr">
        <is>
          <t>G1522ProductosTodosloscamposSandboxResults894.xlsx: fila 48042 [Y]; G1522_Extraccion_Articulos_NetSuite_2026-09-30.xlsx: fila 20809 [Z]</t>
        </is>
      </c>
      <c r="AL252" s="58" t="n">
        <v>8.5</v>
      </c>
      <c r="AM252" s="58" t="n"/>
      <c r="AN252" s="155" t="n"/>
      <c r="AO252" s="59" t="n"/>
      <c r="AP252" s="59" t="n"/>
      <c r="AQ252" s="59" t="n"/>
      <c r="AR252" s="155" t="n"/>
    </row>
    <row r="253">
      <c r="A253" s="50" t="inlineStr">
        <is>
          <t>3614001183975</t>
        </is>
      </c>
      <c r="B253" s="51" t="inlineStr">
        <is>
          <t>69663</t>
        </is>
      </c>
      <c r="C253" s="156" t="inlineStr">
        <is>
          <t>CAPSLAB</t>
        </is>
      </c>
      <c r="D253" s="156" t="inlineStr">
        <is>
          <t>CL/NS/1/AKA2</t>
        </is>
      </c>
      <c r="E253" s="156" t="inlineStr">
        <is>
          <t>CL/NS/1/AKA2-UNI</t>
        </is>
      </c>
      <c r="F253" s="156" t="inlineStr">
        <is>
          <t>Talla única</t>
        </is>
      </c>
      <c r="G253" s="156" t="inlineStr">
        <is>
          <t>One Size</t>
        </is>
      </c>
      <c r="H253" s="156" t="inlineStr">
        <is>
          <t>CAPSLAB</t>
        </is>
      </c>
      <c r="I253" s="156" t="inlineStr">
        <is>
          <t>Gorra CAPSLAB Naruto Shippuden</t>
        </is>
      </c>
      <c r="J253" s="156" t="inlineStr">
        <is>
          <t>Accesorios</t>
        </is>
      </c>
      <c r="K253" s="156" t="inlineStr">
        <is>
          <t>Gorras</t>
        </is>
      </c>
      <c r="L253" s="156" t="inlineStr">
        <is>
          <t>Unisex</t>
        </is>
      </c>
      <c r="M253" s="156" t="inlineStr">
        <is>
          <t>Naruto Shippuden</t>
        </is>
      </c>
      <c r="N253" s="156" t="n"/>
      <c r="O253" s="156" t="n"/>
      <c r="P253" s="156" t="n"/>
      <c r="Q253" s="156" t="n"/>
      <c r="R253" s="156" t="n"/>
      <c r="S253" s="156" t="inlineStr">
        <is>
          <t>Algodón / Poliéster</t>
        </is>
      </c>
      <c r="T253" s="156" t="inlineStr">
        <is>
          <t>Gorra de la marca CAPSLAB bajo licencia oficial Naruto Shippuden. Talla única ajustable. Estilo CL/NS/1/AKA2.</t>
        </is>
      </c>
      <c r="U253" s="156" t="n"/>
      <c r="V253" s="156" t="inlineStr">
        <is>
          <t>PZS</t>
        </is>
      </c>
      <c r="W253" s="51" t="inlineStr">
        <is>
          <t>53102516</t>
        </is>
      </c>
      <c r="X253" s="156" t="inlineStr">
        <is>
          <t>https://i.ibb.co/Cw3Mymr/CLNS1-AKA2.jpg</t>
        </is>
      </c>
      <c r="Y253" s="54" t="n"/>
      <c r="Z253" s="54" t="n">
        <v>699</v>
      </c>
      <c r="AA253" s="55">
        <f>IF(AND(A253="", B253="", E253=""), "", IF(AB253="", "Válido", IF((LEN(AB253)-LEN(SUBSTITUTE(AB253,"; ","")))/2+1&gt;(LEN(AB253)-LEN(SUBSTITUTE(AB253,"[Aviso]","")))/7, "Con Incidencias", "Válido")))</f>
        <v/>
      </c>
      <c r="AB253" s="56">
        <f>IF(AND(A253="", B253="", E253=""), "", TEXTJOIN("; ", TRUE, IF(OR(TRIM(A253&amp;"")="", ISNUMBER(SEARCH("FALTA", A253))), "UPC faltante/inválido", ""), IF(AND(A253&lt;&gt;"", IFERROR(_xlfn.XMATCH(A253,$A$2:$A$370,0,1)&lt;&gt;_xlfn.XMATCH(A253,$A$2:$A$370,0,-1),FALSE)), "Código de barras duplicado", ""), IF(AND(E253&lt;&gt;"", COUNTIF($E$2:$E$370, E253)&gt;1), "SKU duplicado", ""), IF(OR(J253="", J253=""), "[Aviso] División no capturada ()", IF(ISNA(MATCH(J253, Criterios!$A$123:$A$126, 0)), "División no válida", "")), IF(OR(K253="", K253=""), "[Aviso] Categoría no capturada ()", IF(ISNA(MATCH(K253, Criterios!$A$81:$A$120, 0)), "Categoría no válida", IF(AND(J253&lt;&gt;"", J253&lt;&gt;"", J253&lt;&gt;VLOOKUP(K253, Criterios!$A$81:$B$120, 2, FALSE)), "División no coincide con Categoría", ""))), IF(OR(L253="", L253=""), "[Aviso] Género no capturado ()", IF(ISNA(MATCH(L253, Criterios!$B$123:$B$127, 0)), "Género no válido", "")), IF(OR(N253="", N253=""), "[Aviso] Temporada no capturada ()", IF(ISNA(MATCH(N253, Criterios!$C$123:$C$128, 0)), "Temporada no válida", "")), IF(OR(O253="", O253=""), "[Aviso] Ciclo de vida no capturado ()", IF(ISNA(MATCH(O253, Criterios!$D$123:$D$124, 0)), "Ciclo de vida no válido", ""))))</f>
        <v/>
      </c>
      <c r="AC253" s="56" t="n"/>
      <c r="AD253" s="51" t="n">
        <v>57</v>
      </c>
      <c r="AE253" s="156" t="inlineStr">
        <is>
          <t>CAPSLAB Warehouse (32); CL POS (4); CL Muestras (2); Web (3)</t>
        </is>
      </c>
      <c r="AF253" s="51" t="n">
        <v>57</v>
      </c>
      <c r="AG253" s="156" t="inlineStr">
        <is>
          <t>Nuevo – NetSuite con existencia</t>
        </is>
      </c>
      <c r="AH253" s="156" t="inlineStr">
        <is>
          <t>Composición CAPSLAB varía por modelo (50/50, 40/60 o 100% poliéster): validar etiqueta; Color por validar; Físico total NetSuite 57 ≠ suma por ubicación 41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53" s="156" t="inlineStr">
        <is>
          <t>No</t>
        </is>
      </c>
      <c r="AJ253" s="156" t="n"/>
      <c r="AK253" s="155" t="inlineStr">
        <is>
          <t>G1522ProductosTodosloscamposSandboxResults894.xlsx: fila 48044 [X]; G1522_Extraccion_Articulos_NetSuite_2026-09-30.xlsx: fila 30393 [Z]</t>
        </is>
      </c>
      <c r="AL253" s="58" t="n"/>
      <c r="AM253" s="58" t="n"/>
      <c r="AN253" s="155" t="n"/>
      <c r="AO253" s="59" t="n"/>
      <c r="AP253" s="59" t="n"/>
      <c r="AQ253" s="59" t="n"/>
      <c r="AR253" s="155" t="n"/>
    </row>
    <row r="254">
      <c r="A254" s="50" t="inlineStr">
        <is>
          <t>3614001183982</t>
        </is>
      </c>
      <c r="B254" s="51" t="inlineStr">
        <is>
          <t>69664</t>
        </is>
      </c>
      <c r="C254" s="156" t="inlineStr">
        <is>
          <t>CAPSLAB</t>
        </is>
      </c>
      <c r="D254" s="156" t="inlineStr">
        <is>
          <t>CL/NS/1/BAN</t>
        </is>
      </c>
      <c r="E254" s="156" t="inlineStr">
        <is>
          <t>CL/NS/1/BAN-UNI</t>
        </is>
      </c>
      <c r="F254" s="156" t="inlineStr">
        <is>
          <t>Talla única</t>
        </is>
      </c>
      <c r="G254" s="156" t="inlineStr">
        <is>
          <t>One Size</t>
        </is>
      </c>
      <c r="H254" s="156" t="inlineStr">
        <is>
          <t>CAPSLAB</t>
        </is>
      </c>
      <c r="I254" s="156" t="inlineStr">
        <is>
          <t>Gorra CAPSLAB Naruto Shippuden</t>
        </is>
      </c>
      <c r="J254" s="156" t="inlineStr">
        <is>
          <t>Accesorios</t>
        </is>
      </c>
      <c r="K254" s="156" t="inlineStr">
        <is>
          <t>Gorras</t>
        </is>
      </c>
      <c r="L254" s="156" t="inlineStr">
        <is>
          <t>Unisex</t>
        </is>
      </c>
      <c r="M254" s="156" t="inlineStr">
        <is>
          <t>Naruto Shippuden</t>
        </is>
      </c>
      <c r="N254" s="156" t="n"/>
      <c r="O254" s="156" t="n"/>
      <c r="P254" s="156" t="n"/>
      <c r="Q254" s="156" t="n"/>
      <c r="R254" s="156" t="n"/>
      <c r="S254" s="156" t="inlineStr">
        <is>
          <t>Algodón / Poliéster</t>
        </is>
      </c>
      <c r="T254" s="156" t="inlineStr">
        <is>
          <t>Gorra de la marca CAPSLAB bajo licencia oficial Naruto Shippuden. Talla única ajustable. Estilo CL/NS/1/BAN.</t>
        </is>
      </c>
      <c r="U254" s="156" t="n"/>
      <c r="V254" s="156" t="inlineStr">
        <is>
          <t>PZS</t>
        </is>
      </c>
      <c r="W254" s="51" t="inlineStr">
        <is>
          <t>53102516</t>
        </is>
      </c>
      <c r="X254" s="156" t="inlineStr">
        <is>
          <t>https://i.ibb.co/0YW4d3d/CLNS1BAN.jpg</t>
        </is>
      </c>
      <c r="Y254" s="54" t="n"/>
      <c r="Z254" s="54" t="n">
        <v>699</v>
      </c>
      <c r="AA254" s="55">
        <f>IF(AND(A254="", B254="", E254=""), "", IF(AB254="", "Válido", IF((LEN(AB254)-LEN(SUBSTITUTE(AB254,"; ","")))/2+1&gt;(LEN(AB254)-LEN(SUBSTITUTE(AB254,"[Aviso]","")))/7, "Con Incidencias", "Válido")))</f>
        <v/>
      </c>
      <c r="AB254" s="56">
        <f>IF(AND(A254="", B254="", E254=""), "", TEXTJOIN("; ", TRUE, IF(OR(TRIM(A254&amp;"")="", ISNUMBER(SEARCH("FALTA", A254))), "UPC faltante/inválido", ""), IF(AND(A254&lt;&gt;"", IFERROR(_xlfn.XMATCH(A254,$A$2:$A$370,0,1)&lt;&gt;_xlfn.XMATCH(A254,$A$2:$A$370,0,-1),FALSE)), "Código de barras duplicado", ""), IF(AND(E254&lt;&gt;"", COUNTIF($E$2:$E$370, E254)&gt;1), "SKU duplicado", ""), IF(OR(J254="", J254=""), "[Aviso] División no capturada ()", IF(ISNA(MATCH(J254, Criterios!$A$123:$A$126, 0)), "División no válida", "")), IF(OR(K254="", K254=""), "[Aviso] Categoría no capturada ()", IF(ISNA(MATCH(K254, Criterios!$A$81:$A$120, 0)), "Categoría no válida", IF(AND(J254&lt;&gt;"", J254&lt;&gt;"", J254&lt;&gt;VLOOKUP(K254, Criterios!$A$81:$B$120, 2, FALSE)), "División no coincide con Categoría", ""))), IF(OR(L254="", L254=""), "[Aviso] Género no capturado ()", IF(ISNA(MATCH(L254, Criterios!$B$123:$B$127, 0)), "Género no válido", "")), IF(OR(N254="", N254=""), "[Aviso] Temporada no capturada ()", IF(ISNA(MATCH(N254, Criterios!$C$123:$C$128, 0)), "Temporada no válida", "")), IF(OR(O254="", O254=""), "[Aviso] Ciclo de vida no capturado ()", IF(ISNA(MATCH(O254, Criterios!$D$123:$D$124, 0)), "Ciclo de vida no válido", ""))))</f>
        <v/>
      </c>
      <c r="AC254" s="56" t="n"/>
      <c r="AD254" s="51" t="n">
        <v>42</v>
      </c>
      <c r="AE254" s="156" t="inlineStr">
        <is>
          <t>Web (2); CAPSLAB Warehouse (27); CL Muestras (1); CL POS (4)</t>
        </is>
      </c>
      <c r="AF254" s="51" t="n">
        <v>42</v>
      </c>
      <c r="AG254" s="156" t="inlineStr">
        <is>
          <t>Nuevo – NetSuite con existencia</t>
        </is>
      </c>
      <c r="AH254" s="156" t="inlineStr">
        <is>
          <t>Composición CAPSLAB varía por modelo (50/50, 40/60 o 100% poliéster): validar etiqueta; Color por validar; Físico total NetSuite 42 ≠ suma por ubicación 34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54" s="156" t="inlineStr">
        <is>
          <t>No</t>
        </is>
      </c>
      <c r="AJ254" s="156" t="n"/>
      <c r="AK254" s="155" t="inlineStr">
        <is>
          <t>G1522ProductosTodosloscamposSandboxResults894.xlsx: fila 48046 [X]; G1522_Extraccion_Articulos_NetSuite_2026-09-30.xlsx: fila 30394 [Z]</t>
        </is>
      </c>
      <c r="AL254" s="58" t="n"/>
      <c r="AM254" s="58" t="n"/>
      <c r="AN254" s="155" t="n"/>
      <c r="AO254" s="59" t="n"/>
      <c r="AP254" s="59" t="n"/>
      <c r="AQ254" s="59" t="n"/>
      <c r="AR254" s="155" t="n"/>
    </row>
    <row r="255">
      <c r="A255" s="50" t="inlineStr">
        <is>
          <t>3614000980117</t>
        </is>
      </c>
      <c r="B255" s="51" t="inlineStr">
        <is>
          <t>57479</t>
        </is>
      </c>
      <c r="C255" s="156" t="inlineStr">
        <is>
          <t>CAPSLAB</t>
        </is>
      </c>
      <c r="D255" s="156" t="inlineStr">
        <is>
          <t>CL/NS/1/FIR1</t>
        </is>
      </c>
      <c r="E255" s="156" t="inlineStr">
        <is>
          <t>CL/NS/1/FIR1-UNI</t>
        </is>
      </c>
      <c r="F255" s="156" t="inlineStr">
        <is>
          <t>Talla única</t>
        </is>
      </c>
      <c r="G255" s="156" t="inlineStr">
        <is>
          <t>One Size</t>
        </is>
      </c>
      <c r="H255" s="156" t="inlineStr">
        <is>
          <t>CAPSLAB</t>
        </is>
      </c>
      <c r="I255" s="156" t="inlineStr">
        <is>
          <t>Gorra CAPSLAB Naruto Shippuden Verde</t>
        </is>
      </c>
      <c r="J255" s="156" t="inlineStr">
        <is>
          <t>Accesorios</t>
        </is>
      </c>
      <c r="K255" s="156" t="inlineStr">
        <is>
          <t>Gorras</t>
        </is>
      </c>
      <c r="L255" s="156" t="inlineStr">
        <is>
          <t>Unisex</t>
        </is>
      </c>
      <c r="M255" s="156" t="inlineStr">
        <is>
          <t>Naruto Shippuden</t>
        </is>
      </c>
      <c r="N255" s="156" t="n"/>
      <c r="O255" s="156" t="n"/>
      <c r="P255" s="156" t="inlineStr">
        <is>
          <t>Verde</t>
        </is>
      </c>
      <c r="Q255" s="156" t="n"/>
      <c r="R255" s="156" t="n"/>
      <c r="S255" s="156" t="inlineStr">
        <is>
          <t>Algodón / Poliéster</t>
        </is>
      </c>
      <c r="T255" s="156" t="inlineStr">
        <is>
          <t>Gorra de la marca CAPSLAB bajo licencia oficial Naruto Shippuden. Talla única ajustable. Estilo CL/NS/1/FIR1.</t>
        </is>
      </c>
      <c r="U255" s="156" t="n"/>
      <c r="V255" s="156" t="inlineStr">
        <is>
          <t>PZS</t>
        </is>
      </c>
      <c r="W255" s="51" t="inlineStr">
        <is>
          <t>53102516</t>
        </is>
      </c>
      <c r="X255" s="156" t="inlineStr">
        <is>
          <t>https://7913364.app.netsuite.com/core/media/media.nl?id=188387&amp;c=7913364&amp;h=FIvJik9AM9-RVknqB9gNF5pQOOAv6Ww1Ql8W0-wyhgl59JMv</t>
        </is>
      </c>
      <c r="Y255" s="54" t="n">
        <v>8.5</v>
      </c>
      <c r="Z255" s="54" t="n">
        <v>699</v>
      </c>
      <c r="AA255" s="55">
        <f>IF(AND(A255="", B255="", E255=""), "", IF(AB255="", "Válido", IF((LEN(AB255)-LEN(SUBSTITUTE(AB255,"; ","")))/2+1&gt;(LEN(AB255)-LEN(SUBSTITUTE(AB255,"[Aviso]","")))/7, "Con Incidencias", "Válido")))</f>
        <v/>
      </c>
      <c r="AB255" s="56">
        <f>IF(AND(A255="", B255="", E255=""), "", TEXTJOIN("; ", TRUE, IF(OR(TRIM(A255&amp;"")="", ISNUMBER(SEARCH("FALTA", A255))), "UPC faltante/inválido", ""), IF(AND(A255&lt;&gt;"", IFERROR(_xlfn.XMATCH(A255,$A$2:$A$370,0,1)&lt;&gt;_xlfn.XMATCH(A255,$A$2:$A$370,0,-1),FALSE)), "Código de barras duplicado", ""), IF(AND(E255&lt;&gt;"", COUNTIF($E$2:$E$370, E255)&gt;1), "SKU duplicado", ""), IF(OR(J255="", J255=""), "[Aviso] División no capturada ()", IF(ISNA(MATCH(J255, Criterios!$A$123:$A$126, 0)), "División no válida", "")), IF(OR(K255="", K255=""), "[Aviso] Categoría no capturada ()", IF(ISNA(MATCH(K255, Criterios!$A$81:$A$120, 0)), "Categoría no válida", IF(AND(J255&lt;&gt;"", J255&lt;&gt;"", J255&lt;&gt;VLOOKUP(K255, Criterios!$A$81:$B$120, 2, FALSE)), "División no coincide con Categoría", ""))), IF(OR(L255="", L255=""), "[Aviso] Género no capturado ()", IF(ISNA(MATCH(L255, Criterios!$B$123:$B$127, 0)), "Género no válido", "")), IF(OR(N255="", N255=""), "[Aviso] Temporada no capturada ()", IF(ISNA(MATCH(N255, Criterios!$C$123:$C$128, 0)), "Temporada no válida", "")), IF(OR(O255="", O255=""), "[Aviso] Ciclo de vida no capturado ()", IF(ISNA(MATCH(O255, Criterios!$D$123:$D$124, 0)), "Ciclo de vida no válido", ""))))</f>
        <v/>
      </c>
      <c r="AC255" s="56" t="n"/>
      <c r="AD255" s="51" t="n">
        <v>194</v>
      </c>
      <c r="AE255" s="156" t="inlineStr">
        <is>
          <t>CL Muestras (2); CL POS (4); Web (2); CAPSLAB Warehouse (92)</t>
        </is>
      </c>
      <c r="AF255" s="51" t="n">
        <v>194</v>
      </c>
      <c r="AG255" s="156" t="inlineStr">
        <is>
          <t>Nuevo – NetSuite con existencia</t>
        </is>
      </c>
      <c r="AH255" s="156" t="inlineStr">
        <is>
          <t>Composición CAPSLAB varía por modelo (50/50, 40/60 o 100% poliéster): validar etiqueta; Físico total NetSuite 194 ≠ suma por ubicación 100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55" s="156" t="inlineStr">
        <is>
          <t>No</t>
        </is>
      </c>
      <c r="AJ255" s="156" t="n"/>
      <c r="AK255" s="155" t="inlineStr">
        <is>
          <t>G1522ProductosTodosloscamposSandboxResults894.xlsx: fila 48048 [Y]; G1522_Extraccion_Articulos_NetSuite_2026-09-30.xlsx: fila 20861 [Z]</t>
        </is>
      </c>
      <c r="AL255" s="58" t="n">
        <v>8.5</v>
      </c>
      <c r="AM255" s="58" t="n"/>
      <c r="AN255" s="155" t="n"/>
      <c r="AO255" s="59" t="n"/>
      <c r="AP255" s="59" t="n"/>
      <c r="AQ255" s="59" t="n"/>
      <c r="AR255" s="155" t="n"/>
    </row>
    <row r="256">
      <c r="A256" s="50" t="inlineStr">
        <is>
          <t>3614001183999</t>
        </is>
      </c>
      <c r="B256" s="51" t="inlineStr">
        <is>
          <t>57480</t>
        </is>
      </c>
      <c r="C256" s="156" t="inlineStr">
        <is>
          <t>CAPSLAB</t>
        </is>
      </c>
      <c r="D256" s="156" t="inlineStr">
        <is>
          <t>CL/NS/1/FIR2</t>
        </is>
      </c>
      <c r="E256" s="156" t="inlineStr">
        <is>
          <t>CL/NS/1/FIR2-UNI</t>
        </is>
      </c>
      <c r="F256" s="156" t="inlineStr">
        <is>
          <t>Talla única</t>
        </is>
      </c>
      <c r="G256" s="156" t="inlineStr">
        <is>
          <t>One Size</t>
        </is>
      </c>
      <c r="H256" s="156" t="inlineStr">
        <is>
          <t>CAPSLAB</t>
        </is>
      </c>
      <c r="I256" s="156" t="inlineStr">
        <is>
          <t>Gorra CAPSLAB Naruto Shippuden Negro</t>
        </is>
      </c>
      <c r="J256" s="156" t="inlineStr">
        <is>
          <t>Accesorios</t>
        </is>
      </c>
      <c r="K256" s="156" t="inlineStr">
        <is>
          <t>Gorras</t>
        </is>
      </c>
      <c r="L256" s="156" t="inlineStr">
        <is>
          <t>Unisex</t>
        </is>
      </c>
      <c r="M256" s="156" t="inlineStr">
        <is>
          <t>Naruto Shippuden</t>
        </is>
      </c>
      <c r="N256" s="156" t="n"/>
      <c r="O256" s="156" t="n"/>
      <c r="P256" s="156" t="inlineStr">
        <is>
          <t>Negro</t>
        </is>
      </c>
      <c r="Q256" s="156" t="n"/>
      <c r="R256" s="156" t="n"/>
      <c r="S256" s="156" t="inlineStr">
        <is>
          <t>Algodón / Poliéster</t>
        </is>
      </c>
      <c r="T256" s="156" t="inlineStr">
        <is>
          <t>Gorra de la marca CAPSLAB bajo licencia oficial Naruto Shippuden. Talla única ajustable. Estilo CL/NS/1/FIR2.</t>
        </is>
      </c>
      <c r="U256" s="156" t="n"/>
      <c r="V256" s="156" t="inlineStr">
        <is>
          <t>PZS</t>
        </is>
      </c>
      <c r="W256" s="51" t="inlineStr">
        <is>
          <t>53102516</t>
        </is>
      </c>
      <c r="X256" s="156" t="inlineStr">
        <is>
          <t>https://7913364.app.netsuite.com/core/media/media.nl?id=188388&amp;c=7913364&amp;h=FBmkNv22PZjZ43_j8nzJaAF0x6TNN0r07KA63tzo_cKZQlrR</t>
        </is>
      </c>
      <c r="Y256" s="54" t="n">
        <v>8.5</v>
      </c>
      <c r="Z256" s="54" t="n">
        <v>699</v>
      </c>
      <c r="AA256" s="55">
        <f>IF(AND(A256="", B256="", E256=""), "", IF(AB256="", "Válido", IF((LEN(AB256)-LEN(SUBSTITUTE(AB256,"; ","")))/2+1&gt;(LEN(AB256)-LEN(SUBSTITUTE(AB256,"[Aviso]","")))/7, "Con Incidencias", "Válido")))</f>
        <v/>
      </c>
      <c r="AB256" s="56">
        <f>IF(AND(A256="", B256="", E256=""), "", TEXTJOIN("; ", TRUE, IF(OR(TRIM(A256&amp;"")="", ISNUMBER(SEARCH("FALTA", A256))), "UPC faltante/inválido", ""), IF(AND(A256&lt;&gt;"", IFERROR(_xlfn.XMATCH(A256,$A$2:$A$370,0,1)&lt;&gt;_xlfn.XMATCH(A256,$A$2:$A$370,0,-1),FALSE)), "Código de barras duplicado", ""), IF(AND(E256&lt;&gt;"", COUNTIF($E$2:$E$370, E256)&gt;1), "SKU duplicado", ""), IF(OR(J256="", J256=""), "[Aviso] División no capturada ()", IF(ISNA(MATCH(J256, Criterios!$A$123:$A$126, 0)), "División no válida", "")), IF(OR(K256="", K256=""), "[Aviso] Categoría no capturada ()", IF(ISNA(MATCH(K256, Criterios!$A$81:$A$120, 0)), "Categoría no válida", IF(AND(J256&lt;&gt;"", J256&lt;&gt;"", J256&lt;&gt;VLOOKUP(K256, Criterios!$A$81:$B$120, 2, FALSE)), "División no coincide con Categoría", ""))), IF(OR(L256="", L256=""), "[Aviso] Género no capturado ()", IF(ISNA(MATCH(L256, Criterios!$B$123:$B$127, 0)), "Género no válido", "")), IF(OR(N256="", N256=""), "[Aviso] Temporada no capturada ()", IF(ISNA(MATCH(N256, Criterios!$C$123:$C$128, 0)), "Temporada no válida", "")), IF(OR(O256="", O256=""), "[Aviso] Ciclo de vida no capturado ()", IF(ISNA(MATCH(O256, Criterios!$D$123:$D$124, 0)), "Ciclo de vida no válido", ""))))</f>
        <v/>
      </c>
      <c r="AC256" s="56" t="n"/>
      <c r="AD256" s="51" t="n">
        <v>10</v>
      </c>
      <c r="AE256" s="156" t="inlineStr">
        <is>
          <t>Web (2); CAPSLAB Warehouse (3)</t>
        </is>
      </c>
      <c r="AF256" s="51" t="n">
        <v>10</v>
      </c>
      <c r="AG256" s="156" t="inlineStr">
        <is>
          <t>Nuevo – NetSuite con existencia</t>
        </is>
      </c>
      <c r="AH256" s="156" t="inlineStr">
        <is>
          <t>Composición CAPSLAB varía por modelo (50/50, 40/60 o 100% poliéster): validar etiqueta; Físico total NetSuite 10 ≠ suma por ubicación 5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56" s="156" t="inlineStr">
        <is>
          <t>No</t>
        </is>
      </c>
      <c r="AJ256" s="156" t="n"/>
      <c r="AK256" s="155" t="inlineStr">
        <is>
          <t>G1522ProductosTodosloscamposSandboxResults894.xlsx: fila 48050 [Y]; G1522_Extraccion_Articulos_NetSuite_2026-09-30.xlsx: fila 20862 [Z]</t>
        </is>
      </c>
      <c r="AL256" s="58" t="n">
        <v>8.5</v>
      </c>
      <c r="AM256" s="58" t="n"/>
      <c r="AN256" s="155" t="n"/>
      <c r="AO256" s="59" t="n"/>
      <c r="AP256" s="59" t="n"/>
      <c r="AQ256" s="59" t="n"/>
      <c r="AR256" s="155" t="n"/>
    </row>
    <row r="257">
      <c r="A257" s="50" t="inlineStr">
        <is>
          <t>3614001184019</t>
        </is>
      </c>
      <c r="B257" s="51" t="inlineStr">
        <is>
          <t>57481</t>
        </is>
      </c>
      <c r="C257" s="156" t="inlineStr">
        <is>
          <t>CAPSLAB</t>
        </is>
      </c>
      <c r="D257" s="156" t="inlineStr">
        <is>
          <t>CL/NS/1/KAK2</t>
        </is>
      </c>
      <c r="E257" s="156" t="inlineStr">
        <is>
          <t>CL/NS/1/KAK2-UNI</t>
        </is>
      </c>
      <c r="F257" s="156" t="inlineStr">
        <is>
          <t>Talla única</t>
        </is>
      </c>
      <c r="G257" s="156" t="inlineStr">
        <is>
          <t>One Size</t>
        </is>
      </c>
      <c r="H257" s="156" t="inlineStr">
        <is>
          <t>CAPSLAB</t>
        </is>
      </c>
      <c r="I257" s="156" t="inlineStr">
        <is>
          <t>Gorra CAPSLAB Naruto Shippuden Kakashi Negro</t>
        </is>
      </c>
      <c r="J257" s="156" t="inlineStr">
        <is>
          <t>Accesorios</t>
        </is>
      </c>
      <c r="K257" s="156" t="inlineStr">
        <is>
          <t>Gorras</t>
        </is>
      </c>
      <c r="L257" s="156" t="inlineStr">
        <is>
          <t>Unisex</t>
        </is>
      </c>
      <c r="M257" s="156" t="inlineStr">
        <is>
          <t>Naruto Shippuden</t>
        </is>
      </c>
      <c r="N257" s="156" t="n"/>
      <c r="O257" s="156" t="n"/>
      <c r="P257" s="156" t="inlineStr">
        <is>
          <t>Negro</t>
        </is>
      </c>
      <c r="Q257" s="156" t="n"/>
      <c r="R257" s="156" t="n"/>
      <c r="S257" s="156" t="inlineStr">
        <is>
          <t>Algodón / Poliéster</t>
        </is>
      </c>
      <c r="T257" s="156" t="inlineStr">
        <is>
          <t>Gorra de la marca CAPSLAB bajo licencia oficial Naruto Shippuden, personaje Kakashi. Talla única ajustable. Estilo CL/NS/1/KAK2.</t>
        </is>
      </c>
      <c r="U257" s="156" t="n"/>
      <c r="V257" s="156" t="inlineStr">
        <is>
          <t>PZS</t>
        </is>
      </c>
      <c r="W257" s="51" t="inlineStr">
        <is>
          <t>53102516</t>
        </is>
      </c>
      <c r="X257" s="156" t="inlineStr">
        <is>
          <t>https://7913364.app.netsuite.com/core/media/media.nl?id=188389&amp;c=7913364&amp;h=ToJzdUozKYch3KBV-i34l_UxMhQdU8popurPsmSXfHksgYJ_</t>
        </is>
      </c>
      <c r="Y257" s="54" t="n">
        <v>8.5</v>
      </c>
      <c r="Z257" s="54" t="n">
        <v>699</v>
      </c>
      <c r="AA257" s="55">
        <f>IF(AND(A257="", B257="", E257=""), "", IF(AB257="", "Válido", IF((LEN(AB257)-LEN(SUBSTITUTE(AB257,"; ","")))/2+1&gt;(LEN(AB257)-LEN(SUBSTITUTE(AB257,"[Aviso]","")))/7, "Con Incidencias", "Válido")))</f>
        <v/>
      </c>
      <c r="AB257" s="56">
        <f>IF(AND(A257="", B257="", E257=""), "", TEXTJOIN("; ", TRUE, IF(OR(TRIM(A257&amp;"")="", ISNUMBER(SEARCH("FALTA", A257))), "UPC faltante/inválido", ""), IF(AND(A257&lt;&gt;"", IFERROR(_xlfn.XMATCH(A257,$A$2:$A$370,0,1)&lt;&gt;_xlfn.XMATCH(A257,$A$2:$A$370,0,-1),FALSE)), "Código de barras duplicado", ""), IF(AND(E257&lt;&gt;"", COUNTIF($E$2:$E$370, E257)&gt;1), "SKU duplicado", ""), IF(OR(J257="", J257=""), "[Aviso] División no capturada ()", IF(ISNA(MATCH(J257, Criterios!$A$123:$A$126, 0)), "División no válida", "")), IF(OR(K257="", K257=""), "[Aviso] Categoría no capturada ()", IF(ISNA(MATCH(K257, Criterios!$A$81:$A$120, 0)), "Categoría no válida", IF(AND(J257&lt;&gt;"", J257&lt;&gt;"", J257&lt;&gt;VLOOKUP(K257, Criterios!$A$81:$B$120, 2, FALSE)), "División no coincide con Categoría", ""))), IF(OR(L257="", L257=""), "[Aviso] Género no capturado ()", IF(ISNA(MATCH(L257, Criterios!$B$123:$B$127, 0)), "Género no válido", "")), IF(OR(N257="", N257=""), "[Aviso] Temporada no capturada ()", IF(ISNA(MATCH(N257, Criterios!$C$123:$C$128, 0)), "Temporada no válida", "")), IF(OR(O257="", O257=""), "[Aviso] Ciclo de vida no capturado ()", IF(ISNA(MATCH(O257, Criterios!$D$123:$D$124, 0)), "Ciclo de vida no válido", ""))))</f>
        <v/>
      </c>
      <c r="AC257" s="56" t="n"/>
      <c r="AD257" s="51" t="n">
        <v>0</v>
      </c>
      <c r="AE257" s="156" t="n"/>
      <c r="AF257" s="51" t="n">
        <v>0</v>
      </c>
      <c r="AG257" s="156" t="inlineStr">
        <is>
          <t>Nuevo – NetSuite sin existencia</t>
        </is>
      </c>
      <c r="AH25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57" s="156" t="inlineStr">
        <is>
          <t>No</t>
        </is>
      </c>
      <c r="AJ257" s="156" t="n"/>
      <c r="AK257" s="155" t="inlineStr">
        <is>
          <t>G1522ProductosTodosloscamposSandboxResults894.xlsx: fila 48052 [Y]; G1522_Extraccion_Articulos_NetSuite_2026-09-30.xlsx: fila 20863 [Z]</t>
        </is>
      </c>
      <c r="AL257" s="58" t="n">
        <v>8.5</v>
      </c>
      <c r="AM257" s="58" t="n"/>
      <c r="AN257" s="155" t="n"/>
      <c r="AO257" s="59" t="n"/>
      <c r="AP257" s="59" t="n"/>
      <c r="AQ257" s="59" t="n"/>
      <c r="AR257" s="155" t="n"/>
    </row>
    <row r="258">
      <c r="A258" s="50" t="inlineStr">
        <is>
          <t>3614001184026</t>
        </is>
      </c>
      <c r="B258" s="51" t="inlineStr">
        <is>
          <t>69665</t>
        </is>
      </c>
      <c r="C258" s="156" t="inlineStr">
        <is>
          <t>CAPSLAB</t>
        </is>
      </c>
      <c r="D258" s="156" t="inlineStr">
        <is>
          <t>CL/NS/1/NAR1</t>
        </is>
      </c>
      <c r="E258" s="156" t="inlineStr">
        <is>
          <t>CL/NS/1/NAR1-UNI</t>
        </is>
      </c>
      <c r="F258" s="156" t="inlineStr">
        <is>
          <t>Talla única</t>
        </is>
      </c>
      <c r="G258" s="156" t="inlineStr">
        <is>
          <t>One Size</t>
        </is>
      </c>
      <c r="H258" s="156" t="inlineStr">
        <is>
          <t>CAPSLAB</t>
        </is>
      </c>
      <c r="I258" s="156" t="inlineStr">
        <is>
          <t>Gorra CAPSLAB Naruto Shippuden Naruto</t>
        </is>
      </c>
      <c r="J258" s="156" t="inlineStr">
        <is>
          <t>Accesorios</t>
        </is>
      </c>
      <c r="K258" s="156" t="inlineStr">
        <is>
          <t>Gorras</t>
        </is>
      </c>
      <c r="L258" s="156" t="inlineStr">
        <is>
          <t>Unisex</t>
        </is>
      </c>
      <c r="M258" s="156" t="inlineStr">
        <is>
          <t>Naruto Shippuden</t>
        </is>
      </c>
      <c r="N258" s="156" t="n"/>
      <c r="O258" s="156" t="n"/>
      <c r="P258" s="156" t="n"/>
      <c r="Q258" s="156" t="n"/>
      <c r="R258" s="156" t="n"/>
      <c r="S258" s="156" t="inlineStr">
        <is>
          <t>Algodón / Poliéster</t>
        </is>
      </c>
      <c r="T258" s="156" t="inlineStr">
        <is>
          <t>Gorra de la marca CAPSLAB bajo licencia oficial Naruto Shippuden, personaje Naruto. Talla única ajustable. Estilo CL/NS/1/NAR1.</t>
        </is>
      </c>
      <c r="U258" s="156" t="n"/>
      <c r="V258" s="156" t="inlineStr">
        <is>
          <t>PZS</t>
        </is>
      </c>
      <c r="W258" s="51" t="inlineStr">
        <is>
          <t>53102516</t>
        </is>
      </c>
      <c r="X258" s="156" t="inlineStr">
        <is>
          <t>https://i.ibb.co/RT854X5/CLNS1-NAR1.jpg</t>
        </is>
      </c>
      <c r="Y258" s="54" t="n"/>
      <c r="Z258" s="54" t="n">
        <v>699</v>
      </c>
      <c r="AA258" s="55">
        <f>IF(AND(A258="", B258="", E258=""), "", IF(AB258="", "Válido", IF((LEN(AB258)-LEN(SUBSTITUTE(AB258,"; ","")))/2+1&gt;(LEN(AB258)-LEN(SUBSTITUTE(AB258,"[Aviso]","")))/7, "Con Incidencias", "Válido")))</f>
        <v/>
      </c>
      <c r="AB258" s="56">
        <f>IF(AND(A258="", B258="", E258=""), "", TEXTJOIN("; ", TRUE, IF(OR(TRIM(A258&amp;"")="", ISNUMBER(SEARCH("FALTA", A258))), "UPC faltante/inválido", ""), IF(AND(A258&lt;&gt;"", IFERROR(_xlfn.XMATCH(A258,$A$2:$A$370,0,1)&lt;&gt;_xlfn.XMATCH(A258,$A$2:$A$370,0,-1),FALSE)), "Código de barras duplicado", ""), IF(AND(E258&lt;&gt;"", COUNTIF($E$2:$E$370, E258)&gt;1), "SKU duplicado", ""), IF(OR(J258="", J258=""), "[Aviso] División no capturada ()", IF(ISNA(MATCH(J258, Criterios!$A$123:$A$126, 0)), "División no válida", "")), IF(OR(K258="", K258=""), "[Aviso] Categoría no capturada ()", IF(ISNA(MATCH(K258, Criterios!$A$81:$A$120, 0)), "Categoría no válida", IF(AND(J258&lt;&gt;"", J258&lt;&gt;"", J258&lt;&gt;VLOOKUP(K258, Criterios!$A$81:$B$120, 2, FALSE)), "División no coincide con Categoría", ""))), IF(OR(L258="", L258=""), "[Aviso] Género no capturado ()", IF(ISNA(MATCH(L258, Criterios!$B$123:$B$127, 0)), "Género no válido", "")), IF(OR(N258="", N258=""), "[Aviso] Temporada no capturada ()", IF(ISNA(MATCH(N258, Criterios!$C$123:$C$128, 0)), "Temporada no válida", "")), IF(OR(O258="", O258=""), "[Aviso] Ciclo de vida no capturado ()", IF(ISNA(MATCH(O258, Criterios!$D$123:$D$124, 0)), "Ciclo de vida no válido", ""))))</f>
        <v/>
      </c>
      <c r="AC258" s="56" t="n"/>
      <c r="AD258" s="51" t="n">
        <v>28</v>
      </c>
      <c r="AE258" s="156" t="inlineStr">
        <is>
          <t>CL Muestras (2); CAPSLAB Warehouse (21); CL POS (3); Web (2)</t>
        </is>
      </c>
      <c r="AF258" s="51" t="n">
        <v>28</v>
      </c>
      <c r="AG258" s="156" t="inlineStr">
        <is>
          <t>Nuevo – NetSuite con existencia</t>
        </is>
      </c>
      <c r="AH258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58" s="156" t="inlineStr">
        <is>
          <t>No</t>
        </is>
      </c>
      <c r="AJ258" s="156" t="n"/>
      <c r="AK258" s="155" t="inlineStr">
        <is>
          <t>G1522ProductosTodosloscamposSandboxResults894.xlsx: fila 48054 [X]; G1522_Extraccion_Articulos_NetSuite_2026-09-30.xlsx: fila 30395 [Z]</t>
        </is>
      </c>
      <c r="AL258" s="58" t="n"/>
      <c r="AM258" s="58" t="n"/>
      <c r="AN258" s="155" t="n"/>
      <c r="AO258" s="59" t="n"/>
      <c r="AP258" s="59" t="n"/>
      <c r="AQ258" s="59" t="n"/>
      <c r="AR258" s="155" t="n"/>
    </row>
    <row r="259">
      <c r="A259" s="50" t="inlineStr">
        <is>
          <t>3614000980094</t>
        </is>
      </c>
      <c r="B259" s="51" t="inlineStr">
        <is>
          <t>69666</t>
        </is>
      </c>
      <c r="C259" s="156" t="inlineStr">
        <is>
          <t>CAPSLAB</t>
        </is>
      </c>
      <c r="D259" s="156" t="inlineStr">
        <is>
          <t>CL/NS/1/NAR2</t>
        </is>
      </c>
      <c r="E259" s="156" t="inlineStr">
        <is>
          <t>CL/NS/1/NAR2-UNI</t>
        </is>
      </c>
      <c r="F259" s="156" t="inlineStr">
        <is>
          <t>Talla única</t>
        </is>
      </c>
      <c r="G259" s="156" t="inlineStr">
        <is>
          <t>One Size</t>
        </is>
      </c>
      <c r="H259" s="156" t="inlineStr">
        <is>
          <t>CAPSLAB</t>
        </is>
      </c>
      <c r="I259" s="156" t="inlineStr">
        <is>
          <t>Gorra CAPSLAB Naruto Shippuden Naruto</t>
        </is>
      </c>
      <c r="J259" s="156" t="inlineStr">
        <is>
          <t>Accesorios</t>
        </is>
      </c>
      <c r="K259" s="156" t="inlineStr">
        <is>
          <t>Gorras</t>
        </is>
      </c>
      <c r="L259" s="156" t="inlineStr">
        <is>
          <t>Unisex</t>
        </is>
      </c>
      <c r="M259" s="156" t="inlineStr">
        <is>
          <t>Naruto Shippuden</t>
        </is>
      </c>
      <c r="N259" s="156" t="n"/>
      <c r="O259" s="156" t="n"/>
      <c r="P259" s="156" t="n"/>
      <c r="Q259" s="156" t="n"/>
      <c r="R259" s="156" t="n"/>
      <c r="S259" s="156" t="inlineStr">
        <is>
          <t>Algodón / Poliéster</t>
        </is>
      </c>
      <c r="T259" s="156" t="inlineStr">
        <is>
          <t>Gorra de la marca CAPSLAB bajo licencia oficial Naruto Shippuden, personaje Naruto. Talla única ajustable. Estilo CL/NS/1/NAR2.</t>
        </is>
      </c>
      <c r="U259" s="156" t="n"/>
      <c r="V259" s="156" t="inlineStr">
        <is>
          <t>PZS</t>
        </is>
      </c>
      <c r="W259" s="51" t="inlineStr">
        <is>
          <t>53102516</t>
        </is>
      </c>
      <c r="X259" s="156" t="inlineStr">
        <is>
          <t>https://i.ibb.co/4FtBNvh/CLNS1-NAR2.jpg</t>
        </is>
      </c>
      <c r="Y259" s="54" t="n"/>
      <c r="Z259" s="54" t="n">
        <v>699</v>
      </c>
      <c r="AA259" s="55">
        <f>IF(AND(A259="", B259="", E259=""), "", IF(AB259="", "Válido", IF((LEN(AB259)-LEN(SUBSTITUTE(AB259,"; ","")))/2+1&gt;(LEN(AB259)-LEN(SUBSTITUTE(AB259,"[Aviso]","")))/7, "Con Incidencias", "Válido")))</f>
        <v/>
      </c>
      <c r="AB259" s="56">
        <f>IF(AND(A259="", B259="", E259=""), "", TEXTJOIN("; ", TRUE, IF(OR(TRIM(A259&amp;"")="", ISNUMBER(SEARCH("FALTA", A259))), "UPC faltante/inválido", ""), IF(AND(A259&lt;&gt;"", IFERROR(_xlfn.XMATCH(A259,$A$2:$A$370,0,1)&lt;&gt;_xlfn.XMATCH(A259,$A$2:$A$370,0,-1),FALSE)), "Código de barras duplicado", ""), IF(AND(E259&lt;&gt;"", COUNTIF($E$2:$E$370, E259)&gt;1), "SKU duplicado", ""), IF(OR(J259="", J259=""), "[Aviso] División no capturada ()", IF(ISNA(MATCH(J259, Criterios!$A$123:$A$126, 0)), "División no válida", "")), IF(OR(K259="", K259=""), "[Aviso] Categoría no capturada ()", IF(ISNA(MATCH(K259, Criterios!$A$81:$A$120, 0)), "Categoría no válida", IF(AND(J259&lt;&gt;"", J259&lt;&gt;"", J259&lt;&gt;VLOOKUP(K259, Criterios!$A$81:$B$120, 2, FALSE)), "División no coincide con Categoría", ""))), IF(OR(L259="", L259=""), "[Aviso] Género no capturado ()", IF(ISNA(MATCH(L259, Criterios!$B$123:$B$127, 0)), "Género no válido", "")), IF(OR(N259="", N259=""), "[Aviso] Temporada no capturada ()", IF(ISNA(MATCH(N259, Criterios!$C$123:$C$128, 0)), "Temporada no válida", "")), IF(OR(O259="", O259=""), "[Aviso] Ciclo de vida no capturado ()", IF(ISNA(MATCH(O259, Criterios!$D$123:$D$124, 0)), "Ciclo de vida no válido", ""))))</f>
        <v/>
      </c>
      <c r="AC259" s="56" t="n"/>
      <c r="AD259" s="51" t="n">
        <v>135</v>
      </c>
      <c r="AE259" s="156" t="inlineStr">
        <is>
          <t>CAPSLAB Warehouse (67); Web (2); CL Muestras (1); CL POS (4)</t>
        </is>
      </c>
      <c r="AF259" s="51" t="n">
        <v>135</v>
      </c>
      <c r="AG259" s="156" t="inlineStr">
        <is>
          <t>Nuevo – NetSuite con existencia</t>
        </is>
      </c>
      <c r="AH259" s="156" t="inlineStr">
        <is>
          <t>Composición CAPSLAB varía por modelo (50/50, 40/60 o 100% poliéster): validar etiqueta; Color por validar; Físico total NetSuite 135 ≠ suma por ubicación 74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59" s="156" t="inlineStr">
        <is>
          <t>No</t>
        </is>
      </c>
      <c r="AJ259" s="156" t="n"/>
      <c r="AK259" s="155" t="inlineStr">
        <is>
          <t>G1522ProductosTodosloscamposSandboxResults894.xlsx: fila 48056 [X]; G1522_Extraccion_Articulos_NetSuite_2026-09-30.xlsx: fila 30396 [Z]</t>
        </is>
      </c>
      <c r="AL259" s="58" t="n"/>
      <c r="AM259" s="58" t="n"/>
      <c r="AN259" s="155" t="n"/>
      <c r="AO259" s="59" t="n"/>
      <c r="AP259" s="59" t="n"/>
      <c r="AQ259" s="59" t="n"/>
      <c r="AR259" s="155" t="n"/>
    </row>
    <row r="260">
      <c r="A260" s="50" t="inlineStr">
        <is>
          <t>3614000980100</t>
        </is>
      </c>
      <c r="B260" s="51" t="inlineStr">
        <is>
          <t>69667</t>
        </is>
      </c>
      <c r="C260" s="156" t="inlineStr">
        <is>
          <t>CAPSLAB</t>
        </is>
      </c>
      <c r="D260" s="156" t="inlineStr">
        <is>
          <t>CL/NS/1/RAS2</t>
        </is>
      </c>
      <c r="E260" s="156" t="inlineStr">
        <is>
          <t>CL/NS/1/RAS2-UNI</t>
        </is>
      </c>
      <c r="F260" s="156" t="inlineStr">
        <is>
          <t>Talla única</t>
        </is>
      </c>
      <c r="G260" s="156" t="inlineStr">
        <is>
          <t>One Size</t>
        </is>
      </c>
      <c r="H260" s="156" t="inlineStr">
        <is>
          <t>CAPSLAB</t>
        </is>
      </c>
      <c r="I260" s="156" t="inlineStr">
        <is>
          <t>Gorra CAPSLAB Naruto Shippuden</t>
        </is>
      </c>
      <c r="J260" s="156" t="inlineStr">
        <is>
          <t>Accesorios</t>
        </is>
      </c>
      <c r="K260" s="156" t="inlineStr">
        <is>
          <t>Gorras</t>
        </is>
      </c>
      <c r="L260" s="156" t="inlineStr">
        <is>
          <t>Unisex</t>
        </is>
      </c>
      <c r="M260" s="156" t="inlineStr">
        <is>
          <t>Naruto Shippuden</t>
        </is>
      </c>
      <c r="N260" s="156" t="n"/>
      <c r="O260" s="156" t="n"/>
      <c r="P260" s="156" t="n"/>
      <c r="Q260" s="156" t="n"/>
      <c r="R260" s="156" t="n"/>
      <c r="S260" s="156" t="inlineStr">
        <is>
          <t>Algodón / Poliéster</t>
        </is>
      </c>
      <c r="T260" s="156" t="inlineStr">
        <is>
          <t>Gorra de la marca CAPSLAB bajo licencia oficial Naruto Shippuden. Talla única ajustable. Estilo CL/NS/1/RAS2.</t>
        </is>
      </c>
      <c r="U260" s="156" t="n"/>
      <c r="V260" s="156" t="inlineStr">
        <is>
          <t>PZS</t>
        </is>
      </c>
      <c r="W260" s="51" t="inlineStr">
        <is>
          <t>53102516</t>
        </is>
      </c>
      <c r="X260" s="156" t="inlineStr">
        <is>
          <t>https://i.ibb.co/MNT3dP9/CLNS1-RAS2.jpg</t>
        </is>
      </c>
      <c r="Y260" s="54" t="n"/>
      <c r="Z260" s="54" t="n">
        <v>699</v>
      </c>
      <c r="AA260" s="55">
        <f>IF(AND(A260="", B260="", E260=""), "", IF(AB260="", "Válido", IF((LEN(AB260)-LEN(SUBSTITUTE(AB260,"; ","")))/2+1&gt;(LEN(AB260)-LEN(SUBSTITUTE(AB260,"[Aviso]","")))/7, "Con Incidencias", "Válido")))</f>
        <v/>
      </c>
      <c r="AB260" s="56">
        <f>IF(AND(A260="", B260="", E260=""), "", TEXTJOIN("; ", TRUE, IF(OR(TRIM(A260&amp;"")="", ISNUMBER(SEARCH("FALTA", A260))), "UPC faltante/inválido", ""), IF(AND(A260&lt;&gt;"", IFERROR(_xlfn.XMATCH(A260,$A$2:$A$370,0,1)&lt;&gt;_xlfn.XMATCH(A260,$A$2:$A$370,0,-1),FALSE)), "Código de barras duplicado", ""), IF(AND(E260&lt;&gt;"", COUNTIF($E$2:$E$370, E260)&gt;1), "SKU duplicado", ""), IF(OR(J260="", J260=""), "[Aviso] División no capturada ()", IF(ISNA(MATCH(J260, Criterios!$A$123:$A$126, 0)), "División no válida", "")), IF(OR(K260="", K260=""), "[Aviso] Categoría no capturada ()", IF(ISNA(MATCH(K260, Criterios!$A$81:$A$120, 0)), "Categoría no válida", IF(AND(J260&lt;&gt;"", J260&lt;&gt;"", J260&lt;&gt;VLOOKUP(K260, Criterios!$A$81:$B$120, 2, FALSE)), "División no coincide con Categoría", ""))), IF(OR(L260="", L260=""), "[Aviso] Género no capturado ()", IF(ISNA(MATCH(L260, Criterios!$B$123:$B$127, 0)), "Género no válido", "")), IF(OR(N260="", N260=""), "[Aviso] Temporada no capturada ()", IF(ISNA(MATCH(N260, Criterios!$C$123:$C$128, 0)), "Temporada no válida", "")), IF(OR(O260="", O260=""), "[Aviso] Ciclo de vida no capturado ()", IF(ISNA(MATCH(O260, Criterios!$D$123:$D$124, 0)), "Ciclo de vida no válido", ""))))</f>
        <v/>
      </c>
      <c r="AC260" s="56" t="n"/>
      <c r="AD260" s="51" t="n">
        <v>136</v>
      </c>
      <c r="AE260" s="156" t="inlineStr">
        <is>
          <t>CAPSLAB Warehouse (64); Web (2); CL POS (4); CL Muestras (1)</t>
        </is>
      </c>
      <c r="AF260" s="51" t="n">
        <v>136</v>
      </c>
      <c r="AG260" s="156" t="inlineStr">
        <is>
          <t>Nuevo – NetSuite con existencia</t>
        </is>
      </c>
      <c r="AH260" s="156" t="inlineStr">
        <is>
          <t>Composición CAPSLAB varía por modelo (50/50, 40/60 o 100% poliéster): validar etiqueta; Color por validar; Físico total NetSuite 136 ≠ suma por ubicación 71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0" s="156" t="inlineStr">
        <is>
          <t>No</t>
        </is>
      </c>
      <c r="AJ260" s="156" t="n"/>
      <c r="AK260" s="155" t="inlineStr">
        <is>
          <t>G1522ProductosTodosloscamposSandboxResults894.xlsx: fila 48058 [X]; G1522_Extraccion_Articulos_NetSuite_2026-09-30.xlsx: fila 30397 [Z]</t>
        </is>
      </c>
      <c r="AL260" s="58" t="n"/>
      <c r="AM260" s="58" t="n"/>
      <c r="AN260" s="155" t="n"/>
      <c r="AO260" s="59" t="n"/>
      <c r="AP260" s="59" t="n"/>
      <c r="AQ260" s="59" t="n"/>
      <c r="AR260" s="155" t="n"/>
    </row>
    <row r="261">
      <c r="A261" s="50" t="inlineStr">
        <is>
          <t>3614001696260</t>
        </is>
      </c>
      <c r="B261" s="51" t="inlineStr">
        <is>
          <t>69668</t>
        </is>
      </c>
      <c r="C261" s="156" t="inlineStr">
        <is>
          <t>CAPSLAB</t>
        </is>
      </c>
      <c r="D261" s="156" t="inlineStr">
        <is>
          <t>CL/NS/3/AKA2</t>
        </is>
      </c>
      <c r="E261" s="156" t="inlineStr">
        <is>
          <t>CL/NS/3/AKA2-UNIJR</t>
        </is>
      </c>
      <c r="F261" s="156" t="inlineStr">
        <is>
          <t>Talla única</t>
        </is>
      </c>
      <c r="G261" s="156" t="inlineStr">
        <is>
          <t>One Size</t>
        </is>
      </c>
      <c r="H261" s="156" t="inlineStr">
        <is>
          <t>CAPSLAB</t>
        </is>
      </c>
      <c r="I261" s="156" t="inlineStr">
        <is>
          <t>Gorra CAPSLAB Naruto Shippuden</t>
        </is>
      </c>
      <c r="J261" s="156" t="inlineStr">
        <is>
          <t>Accesorios</t>
        </is>
      </c>
      <c r="K261" s="156" t="inlineStr">
        <is>
          <t>Gorras</t>
        </is>
      </c>
      <c r="L261" s="156" t="inlineStr">
        <is>
          <t>Niño</t>
        </is>
      </c>
      <c r="M261" s="156" t="inlineStr">
        <is>
          <t>Naruto Shippuden</t>
        </is>
      </c>
      <c r="N261" s="156" t="n"/>
      <c r="O261" s="156" t="n"/>
      <c r="P261" s="156" t="n"/>
      <c r="Q261" s="156" t="n"/>
      <c r="R261" s="156" t="n"/>
      <c r="S261" s="156" t="inlineStr">
        <is>
          <t>Algodón / Poliéster</t>
        </is>
      </c>
      <c r="T261" s="156" t="inlineStr">
        <is>
          <t>Gorra de la marca CAPSLAB bajo licencia oficial Naruto Shippuden. Talla única ajustable. Estilo CL/NS/3/AKA2.</t>
        </is>
      </c>
      <c r="U261" s="156" t="n"/>
      <c r="V261" s="156" t="inlineStr">
        <is>
          <t>PZS</t>
        </is>
      </c>
      <c r="W261" s="51" t="inlineStr">
        <is>
          <t>53102516</t>
        </is>
      </c>
      <c r="X261" s="156" t="inlineStr">
        <is>
          <t>https://i.ibb.co/wS6PDPM/CLNS3-AKA2.jpg</t>
        </is>
      </c>
      <c r="Y261" s="54" t="n"/>
      <c r="Z261" s="54" t="n">
        <v>699</v>
      </c>
      <c r="AA261" s="55">
        <f>IF(AND(A261="", B261="", E261=""), "", IF(AB261="", "Válido", IF((LEN(AB261)-LEN(SUBSTITUTE(AB261,"; ","")))/2+1&gt;(LEN(AB261)-LEN(SUBSTITUTE(AB261,"[Aviso]","")))/7, "Con Incidencias", "Válido")))</f>
        <v/>
      </c>
      <c r="AB261" s="56">
        <f>IF(AND(A261="", B261="", E261=""), "", TEXTJOIN("; ", TRUE, IF(OR(TRIM(A261&amp;"")="", ISNUMBER(SEARCH("FALTA", A261))), "UPC faltante/inválido", ""), IF(AND(A261&lt;&gt;"", IFERROR(_xlfn.XMATCH(A261,$A$2:$A$370,0,1)&lt;&gt;_xlfn.XMATCH(A261,$A$2:$A$370,0,-1),FALSE)), "Código de barras duplicado", ""), IF(AND(E261&lt;&gt;"", COUNTIF($E$2:$E$370, E261)&gt;1), "SKU duplicado", ""), IF(OR(J261="", J261=""), "[Aviso] División no capturada ()", IF(ISNA(MATCH(J261, Criterios!$A$123:$A$126, 0)), "División no válida", "")), IF(OR(K261="", K261=""), "[Aviso] Categoría no capturada ()", IF(ISNA(MATCH(K261, Criterios!$A$81:$A$120, 0)), "Categoría no válida", IF(AND(J261&lt;&gt;"", J261&lt;&gt;"", J261&lt;&gt;VLOOKUP(K261, Criterios!$A$81:$B$120, 2, FALSE)), "División no coincide con Categoría", ""))), IF(OR(L261="", L261=""), "[Aviso] Género no capturado ()", IF(ISNA(MATCH(L261, Criterios!$B$123:$B$127, 0)), "Género no válido", "")), IF(OR(N261="", N261=""), "[Aviso] Temporada no capturada ()", IF(ISNA(MATCH(N261, Criterios!$C$123:$C$128, 0)), "Temporada no válida", "")), IF(OR(O261="", O261=""), "[Aviso] Ciclo de vida no capturado ()", IF(ISNA(MATCH(O261, Criterios!$D$123:$D$124, 0)), "Ciclo de vida no válido", ""))))</f>
        <v/>
      </c>
      <c r="AC261" s="56" t="n"/>
      <c r="AD261" s="51" t="n">
        <v>74</v>
      </c>
      <c r="AE261" s="156" t="inlineStr">
        <is>
          <t>CL POS (4); CAPSLAB Warehouse (48)</t>
        </is>
      </c>
      <c r="AF261" s="51" t="n">
        <v>74</v>
      </c>
      <c r="AG261" s="156" t="inlineStr">
        <is>
          <t>Nuevo – NetSuite con existencia</t>
        </is>
      </c>
      <c r="AH261" s="156" t="inlineStr">
        <is>
          <t>Composición CAPSLAB varía por modelo (50/50, 40/60 o 100% poliéster): validar etiqueta; Talla: Talla infantil (JR) (origen «UNI JR»); Color por validar; Físico total NetSuite 74 ≠ suma por ubicación 52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261" s="156" t="inlineStr">
        <is>
          <t>No</t>
        </is>
      </c>
      <c r="AJ261" s="156" t="n"/>
      <c r="AK261" s="155" t="inlineStr">
        <is>
          <t>G1522ProductosTodosloscamposSandboxResults894.xlsx: fila 48060 [X]; G1522_Extraccion_Articulos_NetSuite_2026-09-30.xlsx: fila 30398 [Z]</t>
        </is>
      </c>
      <c r="AL261" s="58" t="n"/>
      <c r="AM261" s="58" t="n"/>
      <c r="AN261" s="155" t="n"/>
      <c r="AO261" s="59" t="n"/>
      <c r="AP261" s="59" t="n"/>
      <c r="AQ261" s="59" t="n"/>
      <c r="AR261" s="155" t="n"/>
    </row>
    <row r="262">
      <c r="A262" s="50" t="inlineStr">
        <is>
          <t>3614001696284</t>
        </is>
      </c>
      <c r="B262" s="51" t="inlineStr">
        <is>
          <t>69669</t>
        </is>
      </c>
      <c r="C262" s="156" t="inlineStr">
        <is>
          <t>CAPSLAB</t>
        </is>
      </c>
      <c r="D262" s="156" t="inlineStr">
        <is>
          <t>CL/NS/3/KAK1</t>
        </is>
      </c>
      <c r="E262" s="156" t="inlineStr">
        <is>
          <t>CL/NS/3/KAK1-UNI</t>
        </is>
      </c>
      <c r="F262" s="156" t="inlineStr">
        <is>
          <t>Talla única</t>
        </is>
      </c>
      <c r="G262" s="156" t="inlineStr">
        <is>
          <t>One Size</t>
        </is>
      </c>
      <c r="H262" s="156" t="inlineStr">
        <is>
          <t>CAPSLAB</t>
        </is>
      </c>
      <c r="I262" s="156" t="inlineStr">
        <is>
          <t>Gorra CAPSLAB Naruto Shippuden Kakashi</t>
        </is>
      </c>
      <c r="J262" s="156" t="inlineStr">
        <is>
          <t>Accesorios</t>
        </is>
      </c>
      <c r="K262" s="156" t="inlineStr">
        <is>
          <t>Gorras</t>
        </is>
      </c>
      <c r="L262" s="156" t="inlineStr">
        <is>
          <t>Unisex</t>
        </is>
      </c>
      <c r="M262" s="156" t="inlineStr">
        <is>
          <t>Naruto Shippuden</t>
        </is>
      </c>
      <c r="N262" s="156" t="n"/>
      <c r="O262" s="156" t="n"/>
      <c r="P262" s="156" t="n"/>
      <c r="Q262" s="156" t="n"/>
      <c r="R262" s="156" t="n"/>
      <c r="S262" s="156" t="inlineStr">
        <is>
          <t>Algodón / Poliéster</t>
        </is>
      </c>
      <c r="T262" s="156" t="inlineStr">
        <is>
          <t>Gorra de la marca CAPSLAB bajo licencia oficial Naruto Shippuden, personaje Kakashi. Talla única ajustable. Estilo CL/NS/3/KAK1.</t>
        </is>
      </c>
      <c r="U262" s="156" t="n"/>
      <c r="V262" s="156" t="inlineStr">
        <is>
          <t>PZS</t>
        </is>
      </c>
      <c r="W262" s="51" t="inlineStr">
        <is>
          <t>53102516</t>
        </is>
      </c>
      <c r="X262" s="156" t="inlineStr">
        <is>
          <t>https://i.ibb.co/RpHhK2F/CLNS3-KAK1.jpg</t>
        </is>
      </c>
      <c r="Y262" s="54" t="n"/>
      <c r="Z262" s="54" t="n">
        <v>699</v>
      </c>
      <c r="AA262" s="55">
        <f>IF(AND(A262="", B262="", E262=""), "", IF(AB262="", "Válido", IF((LEN(AB262)-LEN(SUBSTITUTE(AB262,"; ","")))/2+1&gt;(LEN(AB262)-LEN(SUBSTITUTE(AB262,"[Aviso]","")))/7, "Con Incidencias", "Válido")))</f>
        <v/>
      </c>
      <c r="AB262" s="56">
        <f>IF(AND(A262="", B262="", E262=""), "", TEXTJOIN("; ", TRUE, IF(OR(TRIM(A262&amp;"")="", ISNUMBER(SEARCH("FALTA", A262))), "UPC faltante/inválido", ""), IF(AND(A262&lt;&gt;"", IFERROR(_xlfn.XMATCH(A262,$A$2:$A$370,0,1)&lt;&gt;_xlfn.XMATCH(A262,$A$2:$A$370,0,-1),FALSE)), "Código de barras duplicado", ""), IF(AND(E262&lt;&gt;"", COUNTIF($E$2:$E$370, E262)&gt;1), "SKU duplicado", ""), IF(OR(J262="", J262=""), "[Aviso] División no capturada ()", IF(ISNA(MATCH(J262, Criterios!$A$123:$A$126, 0)), "División no válida", "")), IF(OR(K262="", K262=""), "[Aviso] Categoría no capturada ()", IF(ISNA(MATCH(K262, Criterios!$A$81:$A$120, 0)), "Categoría no válida", IF(AND(J262&lt;&gt;"", J262&lt;&gt;"", J262&lt;&gt;VLOOKUP(K262, Criterios!$A$81:$B$120, 2, FALSE)), "División no coincide con Categoría", ""))), IF(OR(L262="", L262=""), "[Aviso] Género no capturado ()", IF(ISNA(MATCH(L262, Criterios!$B$123:$B$127, 0)), "Género no válido", "")), IF(OR(N262="", N262=""), "[Aviso] Temporada no capturada ()", IF(ISNA(MATCH(N262, Criterios!$C$123:$C$128, 0)), "Temporada no válida", "")), IF(OR(O262="", O262=""), "[Aviso] Ciclo de vida no capturado ()", IF(ISNA(MATCH(O262, Criterios!$D$123:$D$124, 0)), "Ciclo de vida no válido", ""))))</f>
        <v/>
      </c>
      <c r="AC262" s="56" t="n"/>
      <c r="AD262" s="51" t="n">
        <v>93</v>
      </c>
      <c r="AE262" s="156" t="inlineStr">
        <is>
          <t>Web (1); CL POS (4); CAPSLAB Warehouse (54)</t>
        </is>
      </c>
      <c r="AF262" s="51" t="n">
        <v>93</v>
      </c>
      <c r="AG262" s="156" t="inlineStr">
        <is>
          <t>Nuevo – NetSuite con existencia</t>
        </is>
      </c>
      <c r="AH262" s="156" t="inlineStr">
        <is>
          <t>Composición CAPSLAB varía por modelo (50/50, 40/60 o 100% poliéster): validar etiqueta; Color por validar; Físico total NetSuite 93 ≠ suma por ubicación 59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2" s="156" t="inlineStr">
        <is>
          <t>No</t>
        </is>
      </c>
      <c r="AJ262" s="156" t="n"/>
      <c r="AK262" s="155" t="inlineStr">
        <is>
          <t>G1522ProductosTodosloscamposSandboxResults894.xlsx: fila 48062 [X]; G1522_Extraccion_Articulos_NetSuite_2026-09-30.xlsx: fila 30399 [Z]</t>
        </is>
      </c>
      <c r="AL262" s="58" t="n"/>
      <c r="AM262" s="58" t="n"/>
      <c r="AN262" s="155" t="n"/>
      <c r="AO262" s="59" t="n"/>
      <c r="AP262" s="59" t="n"/>
      <c r="AQ262" s="59" t="n"/>
      <c r="AR262" s="155" t="n"/>
    </row>
    <row r="263">
      <c r="A263" s="50" t="inlineStr">
        <is>
          <t>3614001696246</t>
        </is>
      </c>
      <c r="B263" s="51" t="inlineStr">
        <is>
          <t>69670</t>
        </is>
      </c>
      <c r="C263" s="156" t="inlineStr">
        <is>
          <t>CAPSLAB</t>
        </is>
      </c>
      <c r="D263" s="156" t="inlineStr">
        <is>
          <t>CL/NS/3/NAR2</t>
        </is>
      </c>
      <c r="E263" s="156" t="inlineStr">
        <is>
          <t>CL/NS/3/NAR2-UNIJR</t>
        </is>
      </c>
      <c r="F263" s="156" t="inlineStr">
        <is>
          <t>Talla única</t>
        </is>
      </c>
      <c r="G263" s="156" t="inlineStr">
        <is>
          <t>One Size</t>
        </is>
      </c>
      <c r="H263" s="156" t="inlineStr">
        <is>
          <t>CAPSLAB</t>
        </is>
      </c>
      <c r="I263" s="156" t="inlineStr">
        <is>
          <t>Gorra CAPSLAB Naruto Shippuden Naruto</t>
        </is>
      </c>
      <c r="J263" s="156" t="inlineStr">
        <is>
          <t>Accesorios</t>
        </is>
      </c>
      <c r="K263" s="156" t="inlineStr">
        <is>
          <t>Gorras</t>
        </is>
      </c>
      <c r="L263" s="156" t="inlineStr">
        <is>
          <t>Niño</t>
        </is>
      </c>
      <c r="M263" s="156" t="inlineStr">
        <is>
          <t>Naruto Shippuden</t>
        </is>
      </c>
      <c r="N263" s="156" t="n"/>
      <c r="O263" s="156" t="n"/>
      <c r="P263" s="156" t="n"/>
      <c r="Q263" s="156" t="n"/>
      <c r="R263" s="156" t="n"/>
      <c r="S263" s="156" t="inlineStr">
        <is>
          <t>Algodón / Poliéster</t>
        </is>
      </c>
      <c r="T263" s="156" t="inlineStr">
        <is>
          <t>Gorra de la marca CAPSLAB bajo licencia oficial Naruto Shippuden, personaje Naruto. Talla única ajustable. Estilo CL/NS/3/NAR2.</t>
        </is>
      </c>
      <c r="U263" s="156" t="n"/>
      <c r="V263" s="156" t="inlineStr">
        <is>
          <t>PZS</t>
        </is>
      </c>
      <c r="W263" s="51" t="inlineStr">
        <is>
          <t>53102516</t>
        </is>
      </c>
      <c r="X263" s="156" t="inlineStr">
        <is>
          <t>https://i.ibb.co/kQ6wDMn/CLNS3-NAR2.jpg</t>
        </is>
      </c>
      <c r="Y263" s="54" t="n"/>
      <c r="Z263" s="54" t="n">
        <v>699</v>
      </c>
      <c r="AA263" s="55">
        <f>IF(AND(A263="", B263="", E263=""), "", IF(AB263="", "Válido", IF((LEN(AB263)-LEN(SUBSTITUTE(AB263,"; ","")))/2+1&gt;(LEN(AB263)-LEN(SUBSTITUTE(AB263,"[Aviso]","")))/7, "Con Incidencias", "Válido")))</f>
        <v/>
      </c>
      <c r="AB263" s="56">
        <f>IF(AND(A263="", B263="", E263=""), "", TEXTJOIN("; ", TRUE, IF(OR(TRIM(A263&amp;"")="", ISNUMBER(SEARCH("FALTA", A263))), "UPC faltante/inválido", ""), IF(AND(A263&lt;&gt;"", IFERROR(_xlfn.XMATCH(A263,$A$2:$A$370,0,1)&lt;&gt;_xlfn.XMATCH(A263,$A$2:$A$370,0,-1),FALSE)), "Código de barras duplicado", ""), IF(AND(E263&lt;&gt;"", COUNTIF($E$2:$E$370, E263)&gt;1), "SKU duplicado", ""), IF(OR(J263="", J263=""), "[Aviso] División no capturada ()", IF(ISNA(MATCH(J263, Criterios!$A$123:$A$126, 0)), "División no válida", "")), IF(OR(K263="", K263=""), "[Aviso] Categoría no capturada ()", IF(ISNA(MATCH(K263, Criterios!$A$81:$A$120, 0)), "Categoría no válida", IF(AND(J263&lt;&gt;"", J263&lt;&gt;"", J263&lt;&gt;VLOOKUP(K263, Criterios!$A$81:$B$120, 2, FALSE)), "División no coincide con Categoría", ""))), IF(OR(L263="", L263=""), "[Aviso] Género no capturado ()", IF(ISNA(MATCH(L263, Criterios!$B$123:$B$127, 0)), "Género no válido", "")), IF(OR(N263="", N263=""), "[Aviso] Temporada no capturada ()", IF(ISNA(MATCH(N263, Criterios!$C$123:$C$128, 0)), "Temporada no válida", "")), IF(OR(O263="", O263=""), "[Aviso] Ciclo de vida no capturado ()", IF(ISNA(MATCH(O263, Criterios!$D$123:$D$124, 0)), "Ciclo de vida no válido", ""))))</f>
        <v/>
      </c>
      <c r="AC263" s="56" t="n"/>
      <c r="AD263" s="51" t="n">
        <v>157</v>
      </c>
      <c r="AE263" s="156" t="inlineStr">
        <is>
          <t>CAPSLAB Warehouse (86); CL POS (4)</t>
        </is>
      </c>
      <c r="AF263" s="51" t="n">
        <v>157</v>
      </c>
      <c r="AG263" s="156" t="inlineStr">
        <is>
          <t>Nuevo – NetSuite con existencia</t>
        </is>
      </c>
      <c r="AH263" s="156" t="inlineStr">
        <is>
          <t>Composición CAPSLAB varía por modelo (50/50, 40/60 o 100% poliéster): validar etiqueta; Talla: Talla infantil (JR) (origen «UNI JR»); Color por validar; Físico total NetSuite 157 ≠ suma por ubicación 90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263" s="156" t="inlineStr">
        <is>
          <t>No</t>
        </is>
      </c>
      <c r="AJ263" s="156" t="n"/>
      <c r="AK263" s="155" t="inlineStr">
        <is>
          <t>G1522ProductosTodosloscamposSandboxResults894.xlsx: fila 48064 [X]; G1522_Extraccion_Articulos_NetSuite_2026-09-30.xlsx: fila 30400 [Z]</t>
        </is>
      </c>
      <c r="AL263" s="58" t="n"/>
      <c r="AM263" s="58" t="n"/>
      <c r="AN263" s="155" t="n"/>
      <c r="AO263" s="59" t="n"/>
      <c r="AP263" s="59" t="n"/>
      <c r="AQ263" s="59" t="n"/>
      <c r="AR263" s="155" t="n"/>
    </row>
    <row r="264">
      <c r="A264" s="50" t="inlineStr">
        <is>
          <t>3614001697366</t>
        </is>
      </c>
      <c r="B264" s="51" t="inlineStr">
        <is>
          <t>69671</t>
        </is>
      </c>
      <c r="C264" s="156" t="inlineStr">
        <is>
          <t>CAPSLAB</t>
        </is>
      </c>
      <c r="D264" s="156" t="inlineStr">
        <is>
          <t>CL/NS2/1/CD/NUA</t>
        </is>
      </c>
      <c r="E264" s="156" t="inlineStr">
        <is>
          <t>CL/NS2/1/CD/NUA-UNI</t>
        </is>
      </c>
      <c r="F264" s="156" t="inlineStr">
        <is>
          <t>Talla única</t>
        </is>
      </c>
      <c r="G264" s="156" t="inlineStr">
        <is>
          <t>One Size</t>
        </is>
      </c>
      <c r="H264" s="156" t="inlineStr">
        <is>
          <t>CAPSLAB</t>
        </is>
      </c>
      <c r="I264" s="156" t="inlineStr">
        <is>
          <t>Gorra CAPSLAB Naruto Shippuden</t>
        </is>
      </c>
      <c r="J264" s="156" t="inlineStr">
        <is>
          <t>Accesorios</t>
        </is>
      </c>
      <c r="K264" s="156" t="inlineStr">
        <is>
          <t>Gorras</t>
        </is>
      </c>
      <c r="L264" s="156" t="inlineStr">
        <is>
          <t>Unisex</t>
        </is>
      </c>
      <c r="M264" s="156" t="inlineStr">
        <is>
          <t>Naruto Shippuden</t>
        </is>
      </c>
      <c r="N264" s="156" t="n"/>
      <c r="O264" s="156" t="n"/>
      <c r="P264" s="156" t="n"/>
      <c r="Q264" s="156" t="n"/>
      <c r="R264" s="156" t="n"/>
      <c r="S264" s="156" t="inlineStr">
        <is>
          <t>Algodón / Poliéster</t>
        </is>
      </c>
      <c r="T264" s="156" t="inlineStr">
        <is>
          <t>Gorra de la marca CAPSLAB bajo licencia oficial Naruto Shippuden. Talla única ajustable. Estilo CL/NS2/1/CD/NUA.</t>
        </is>
      </c>
      <c r="U264" s="156" t="n"/>
      <c r="V264" s="156" t="inlineStr">
        <is>
          <t>PZS</t>
        </is>
      </c>
      <c r="W264" s="51" t="inlineStr">
        <is>
          <t>53102516</t>
        </is>
      </c>
      <c r="X264" s="156" t="inlineStr">
        <is>
          <t>https://i.ibb.co/wSPCszS/CLNS21-CDNUA.jpg</t>
        </is>
      </c>
      <c r="Y264" s="54" t="n"/>
      <c r="Z264" s="54" t="n">
        <v>699</v>
      </c>
      <c r="AA264" s="55">
        <f>IF(AND(A264="", B264="", E264=""), "", IF(AB264="", "Válido", IF((LEN(AB264)-LEN(SUBSTITUTE(AB264,"; ","")))/2+1&gt;(LEN(AB264)-LEN(SUBSTITUTE(AB264,"[Aviso]","")))/7, "Con Incidencias", "Válido")))</f>
        <v/>
      </c>
      <c r="AB264" s="56">
        <f>IF(AND(A264="", B264="", E264=""), "", TEXTJOIN("; ", TRUE, IF(OR(TRIM(A264&amp;"")="", ISNUMBER(SEARCH("FALTA", A264))), "UPC faltante/inválido", ""), IF(AND(A264&lt;&gt;"", IFERROR(_xlfn.XMATCH(A264,$A$2:$A$370,0,1)&lt;&gt;_xlfn.XMATCH(A264,$A$2:$A$370,0,-1),FALSE)), "Código de barras duplicado", ""), IF(AND(E264&lt;&gt;"", COUNTIF($E$2:$E$370, E264)&gt;1), "SKU duplicado", ""), IF(OR(J264="", J264=""), "[Aviso] División no capturada ()", IF(ISNA(MATCH(J264, Criterios!$A$123:$A$126, 0)), "División no válida", "")), IF(OR(K264="", K264=""), "[Aviso] Categoría no capturada ()", IF(ISNA(MATCH(K264, Criterios!$A$81:$A$120, 0)), "Categoría no válida", IF(AND(J264&lt;&gt;"", J264&lt;&gt;"", J264&lt;&gt;VLOOKUP(K264, Criterios!$A$81:$B$120, 2, FALSE)), "División no coincide con Categoría", ""))), IF(OR(L264="", L264=""), "[Aviso] Género no capturado ()", IF(ISNA(MATCH(L264, Criterios!$B$123:$B$127, 0)), "Género no válido", "")), IF(OR(N264="", N264=""), "[Aviso] Temporada no capturada ()", IF(ISNA(MATCH(N264, Criterios!$C$123:$C$128, 0)), "Temporada no válida", "")), IF(OR(O264="", O264=""), "[Aviso] Ciclo de vida no capturado ()", IF(ISNA(MATCH(O264, Criterios!$D$123:$D$124, 0)), "Ciclo de vida no válido", ""))))</f>
        <v/>
      </c>
      <c r="AC264" s="56" t="n"/>
      <c r="AD264" s="51" t="n">
        <v>92</v>
      </c>
      <c r="AE264" s="156" t="inlineStr">
        <is>
          <t>CL POS (4); CAPSLAB Warehouse (47); Web (2)</t>
        </is>
      </c>
      <c r="AF264" s="51" t="n">
        <v>94</v>
      </c>
      <c r="AG264" s="156" t="inlineStr">
        <is>
          <t>Nuevo – NetSuite con existencia</t>
        </is>
      </c>
      <c r="AH264" s="156" t="inlineStr">
        <is>
          <t>Composición CAPSLAB varía por modelo (50/50, 40/60 o 100% poliéster): validar etiqueta; Color por validar; Físico total NetSuite 92 ≠ suma por ubicación 53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4" s="156" t="inlineStr">
        <is>
          <t>No</t>
        </is>
      </c>
      <c r="AJ264" s="156" t="n"/>
      <c r="AK264" s="155" t="inlineStr">
        <is>
          <t>G1522ProductosTodosloscamposSandboxResults894.xlsx: fila 48066 [X]; G1522_Extraccion_Articulos_NetSuite_2026-09-30.xlsx: fila 30401 [Z]</t>
        </is>
      </c>
      <c r="AL264" s="58" t="n"/>
      <c r="AM264" s="58" t="n"/>
      <c r="AN264" s="155" t="n"/>
      <c r="AO264" s="59" t="n"/>
      <c r="AP264" s="59" t="n"/>
      <c r="AQ264" s="59" t="n"/>
      <c r="AR264" s="155" t="n"/>
    </row>
    <row r="265">
      <c r="A265" s="50" t="inlineStr">
        <is>
          <t>3614001696666</t>
        </is>
      </c>
      <c r="B265" s="51" t="inlineStr">
        <is>
          <t>69672</t>
        </is>
      </c>
      <c r="C265" s="156" t="inlineStr">
        <is>
          <t>CAPSLAB</t>
        </is>
      </c>
      <c r="D265" s="156" t="inlineStr">
        <is>
          <t>CL/NS2/1/CT/IGB</t>
        </is>
      </c>
      <c r="E265" s="156" t="inlineStr">
        <is>
          <t>CL/NS2/1/CT/IGB-UNI</t>
        </is>
      </c>
      <c r="F265" s="156" t="inlineStr">
        <is>
          <t>Talla única</t>
        </is>
      </c>
      <c r="G265" s="156" t="inlineStr">
        <is>
          <t>One Size</t>
        </is>
      </c>
      <c r="H265" s="156" t="inlineStr">
        <is>
          <t>CAPSLAB</t>
        </is>
      </c>
      <c r="I265" s="156" t="inlineStr">
        <is>
          <t>Gorra trucker CAPSLAB Naruto Shippuden</t>
        </is>
      </c>
      <c r="J265" s="156" t="inlineStr">
        <is>
          <t>Accesorios</t>
        </is>
      </c>
      <c r="K265" s="156" t="inlineStr">
        <is>
          <t>Gorras</t>
        </is>
      </c>
      <c r="L265" s="156" t="inlineStr">
        <is>
          <t>Unisex</t>
        </is>
      </c>
      <c r="M265" s="156" t="inlineStr">
        <is>
          <t>Naruto Shippuden</t>
        </is>
      </c>
      <c r="N265" s="156" t="n"/>
      <c r="O265" s="156" t="n"/>
      <c r="P265" s="156" t="n"/>
      <c r="Q265" s="156" t="n"/>
      <c r="R265" s="156" t="n"/>
      <c r="S265" s="156" t="inlineStr">
        <is>
          <t>Algodón / Poliéster</t>
        </is>
      </c>
      <c r="T265" s="156" t="inlineStr">
        <is>
          <t>Gorra trucker de la marca CAPSLAB bajo licencia oficial Naruto Shippuden. Talla única ajustable. Estilo CL/NS2/1/CT/IGB.</t>
        </is>
      </c>
      <c r="U265" s="156" t="n"/>
      <c r="V265" s="156" t="inlineStr">
        <is>
          <t>PZS</t>
        </is>
      </c>
      <c r="W265" s="51" t="inlineStr">
        <is>
          <t>53102516</t>
        </is>
      </c>
      <c r="X265" s="156" t="inlineStr">
        <is>
          <t>https://i.ibb.co/tzc9n1d/CLNS21-CTIGB.jpg</t>
        </is>
      </c>
      <c r="Y265" s="54" t="n"/>
      <c r="Z265" s="54" t="n">
        <v>699</v>
      </c>
      <c r="AA265" s="55">
        <f>IF(AND(A265="", B265="", E265=""), "", IF(AB265="", "Válido", IF((LEN(AB265)-LEN(SUBSTITUTE(AB265,"; ","")))/2+1&gt;(LEN(AB265)-LEN(SUBSTITUTE(AB265,"[Aviso]","")))/7, "Con Incidencias", "Válido")))</f>
        <v/>
      </c>
      <c r="AB265" s="56">
        <f>IF(AND(A265="", B265="", E265=""), "", TEXTJOIN("; ", TRUE, IF(OR(TRIM(A265&amp;"")="", ISNUMBER(SEARCH("FALTA", A265))), "UPC faltante/inválido", ""), IF(AND(A265&lt;&gt;"", IFERROR(_xlfn.XMATCH(A265,$A$2:$A$370,0,1)&lt;&gt;_xlfn.XMATCH(A265,$A$2:$A$370,0,-1),FALSE)), "Código de barras duplicado", ""), IF(AND(E265&lt;&gt;"", COUNTIF($E$2:$E$370, E265)&gt;1), "SKU duplicado", ""), IF(OR(J265="", J265=""), "[Aviso] División no capturada ()", IF(ISNA(MATCH(J265, Criterios!$A$123:$A$126, 0)), "División no válida", "")), IF(OR(K265="", K265=""), "[Aviso] Categoría no capturada ()", IF(ISNA(MATCH(K265, Criterios!$A$81:$A$120, 0)), "Categoría no válida", IF(AND(J265&lt;&gt;"", J265&lt;&gt;"", J265&lt;&gt;VLOOKUP(K265, Criterios!$A$81:$B$120, 2, FALSE)), "División no coincide con Categoría", ""))), IF(OR(L265="", L265=""), "[Aviso] Género no capturado ()", IF(ISNA(MATCH(L265, Criterios!$B$123:$B$127, 0)), "Género no válido", "")), IF(OR(N265="", N265=""), "[Aviso] Temporada no capturada ()", IF(ISNA(MATCH(N265, Criterios!$C$123:$C$128, 0)), "Temporada no válida", "")), IF(OR(O265="", O265=""), "[Aviso] Ciclo de vida no capturado ()", IF(ISNA(MATCH(O265, Criterios!$D$123:$D$124, 0)), "Ciclo de vida no válido", ""))))</f>
        <v/>
      </c>
      <c r="AC265" s="56" t="n"/>
      <c r="AD265" s="51" t="n">
        <v>18</v>
      </c>
      <c r="AE265" s="156" t="inlineStr">
        <is>
          <t>CL POS (4); CAPSLAB Warehouse (12); Web (2)</t>
        </is>
      </c>
      <c r="AF265" s="51" t="n">
        <v>18</v>
      </c>
      <c r="AG265" s="156" t="inlineStr">
        <is>
          <t>Nuevo – NetSuite con existencia</t>
        </is>
      </c>
      <c r="AH265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5" s="156" t="inlineStr">
        <is>
          <t>No</t>
        </is>
      </c>
      <c r="AJ265" s="156" t="n"/>
      <c r="AK265" s="155" t="inlineStr">
        <is>
          <t>G1522ProductosTodosloscamposSandboxResults894.xlsx: fila 48068 [X]; G1522_Extraccion_Articulos_NetSuite_2026-09-30.xlsx: fila 30402 [Z]</t>
        </is>
      </c>
      <c r="AL265" s="58" t="n"/>
      <c r="AM265" s="58" t="n"/>
      <c r="AN265" s="155" t="n"/>
      <c r="AO265" s="59" t="n"/>
      <c r="AP265" s="59" t="n"/>
      <c r="AQ265" s="59" t="n"/>
      <c r="AR265" s="155" t="n"/>
    </row>
    <row r="266">
      <c r="A266" s="50" t="inlineStr">
        <is>
          <t>3614001696680</t>
        </is>
      </c>
      <c r="B266" s="51" t="inlineStr">
        <is>
          <t>69673</t>
        </is>
      </c>
      <c r="C266" s="156" t="inlineStr">
        <is>
          <t>CAPSLAB</t>
        </is>
      </c>
      <c r="D266" s="156" t="inlineStr">
        <is>
          <t>CL/NS2/1/CT/INU</t>
        </is>
      </c>
      <c r="E266" s="156" t="inlineStr">
        <is>
          <t>CL/NS2/1/CT/INU-UNI</t>
        </is>
      </c>
      <c r="F266" s="156" t="inlineStr">
        <is>
          <t>Talla única</t>
        </is>
      </c>
      <c r="G266" s="156" t="inlineStr">
        <is>
          <t>One Size</t>
        </is>
      </c>
      <c r="H266" s="156" t="inlineStr">
        <is>
          <t>CAPSLAB</t>
        </is>
      </c>
      <c r="I266" s="156" t="inlineStr">
        <is>
          <t>Gorra trucker CAPSLAB Naruto Shippuden</t>
        </is>
      </c>
      <c r="J266" s="156" t="inlineStr">
        <is>
          <t>Accesorios</t>
        </is>
      </c>
      <c r="K266" s="156" t="inlineStr">
        <is>
          <t>Gorras</t>
        </is>
      </c>
      <c r="L266" s="156" t="inlineStr">
        <is>
          <t>Unisex</t>
        </is>
      </c>
      <c r="M266" s="156" t="inlineStr">
        <is>
          <t>Naruto Shippuden</t>
        </is>
      </c>
      <c r="N266" s="156" t="n"/>
      <c r="O266" s="156" t="n"/>
      <c r="P266" s="156" t="n"/>
      <c r="Q266" s="156" t="n"/>
      <c r="R266" s="156" t="n"/>
      <c r="S266" s="156" t="inlineStr">
        <is>
          <t>Algodón / Poliéster</t>
        </is>
      </c>
      <c r="T266" s="156" t="inlineStr">
        <is>
          <t>Gorra trucker de la marca CAPSLAB bajo licencia oficial Naruto Shippuden. Talla única ajustable. Estilo CL/NS2/1/CT/INU.</t>
        </is>
      </c>
      <c r="U266" s="156" t="n"/>
      <c r="V266" s="156" t="inlineStr">
        <is>
          <t>PZS</t>
        </is>
      </c>
      <c r="W266" s="51" t="inlineStr">
        <is>
          <t>53102516</t>
        </is>
      </c>
      <c r="X266" s="156" t="inlineStr">
        <is>
          <t>https://i.ibb.co/DGFc6P1/CLNS21-CTINU.jpg</t>
        </is>
      </c>
      <c r="Y266" s="54" t="n"/>
      <c r="Z266" s="54" t="n">
        <v>699</v>
      </c>
      <c r="AA266" s="55">
        <f>IF(AND(A266="", B266="", E266=""), "", IF(AB266="", "Válido", IF((LEN(AB266)-LEN(SUBSTITUTE(AB266,"; ","")))/2+1&gt;(LEN(AB266)-LEN(SUBSTITUTE(AB266,"[Aviso]","")))/7, "Con Incidencias", "Válido")))</f>
        <v/>
      </c>
      <c r="AB266" s="56">
        <f>IF(AND(A266="", B266="", E266=""), "", TEXTJOIN("; ", TRUE, IF(OR(TRIM(A266&amp;"")="", ISNUMBER(SEARCH("FALTA", A266))), "UPC faltante/inválido", ""), IF(AND(A266&lt;&gt;"", IFERROR(_xlfn.XMATCH(A266,$A$2:$A$370,0,1)&lt;&gt;_xlfn.XMATCH(A266,$A$2:$A$370,0,-1),FALSE)), "Código de barras duplicado", ""), IF(AND(E266&lt;&gt;"", COUNTIF($E$2:$E$370, E266)&gt;1), "SKU duplicado", ""), IF(OR(J266="", J266=""), "[Aviso] División no capturada ()", IF(ISNA(MATCH(J266, Criterios!$A$123:$A$126, 0)), "División no válida", "")), IF(OR(K266="", K266=""), "[Aviso] Categoría no capturada ()", IF(ISNA(MATCH(K266, Criterios!$A$81:$A$120, 0)), "Categoría no válida", IF(AND(J266&lt;&gt;"", J266&lt;&gt;"", J266&lt;&gt;VLOOKUP(K266, Criterios!$A$81:$B$120, 2, FALSE)), "División no coincide con Categoría", ""))), IF(OR(L266="", L266=""), "[Aviso] Género no capturado ()", IF(ISNA(MATCH(L266, Criterios!$B$123:$B$127, 0)), "Género no válido", "")), IF(OR(N266="", N266=""), "[Aviso] Temporada no capturada ()", IF(ISNA(MATCH(N266, Criterios!$C$123:$C$128, 0)), "Temporada no válida", "")), IF(OR(O266="", O266=""), "[Aviso] Ciclo de vida no capturado ()", IF(ISNA(MATCH(O266, Criterios!$D$123:$D$124, 0)), "Ciclo de vida no válido", ""))))</f>
        <v/>
      </c>
      <c r="AC266" s="56" t="n"/>
      <c r="AD266" s="51" t="n">
        <v>91</v>
      </c>
      <c r="AE266" s="156" t="inlineStr">
        <is>
          <t>CL POS (4); Web (2); CAPSLAB Warehouse (48)</t>
        </is>
      </c>
      <c r="AF266" s="51" t="n">
        <v>91</v>
      </c>
      <c r="AG266" s="156" t="inlineStr">
        <is>
          <t>Nuevo – NetSuite con existencia</t>
        </is>
      </c>
      <c r="AH266" s="156" t="inlineStr">
        <is>
          <t>Composición CAPSLAB varía por modelo (50/50, 40/60 o 100% poliéster): validar etiqueta; Color por validar; Físico total NetSuite 91 ≠ suma por ubicación 54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6" s="156" t="inlineStr">
        <is>
          <t>No</t>
        </is>
      </c>
      <c r="AJ266" s="156" t="n"/>
      <c r="AK266" s="155" t="inlineStr">
        <is>
          <t>G1522ProductosTodosloscamposSandboxResults894.xlsx: fila 48070 [X]; G1522_Extraccion_Articulos_NetSuite_2026-09-30.xlsx: fila 30403 [Z]</t>
        </is>
      </c>
      <c r="AL266" s="58" t="n"/>
      <c r="AM266" s="58" t="n"/>
      <c r="AN266" s="155" t="n"/>
      <c r="AO266" s="59" t="n"/>
      <c r="AP266" s="59" t="n"/>
      <c r="AQ266" s="59" t="n"/>
      <c r="AR266" s="155" t="n"/>
    </row>
    <row r="267">
      <c r="A267" s="50" t="inlineStr">
        <is>
          <t>3614001696703</t>
        </is>
      </c>
      <c r="B267" s="51" t="inlineStr">
        <is>
          <t>69674</t>
        </is>
      </c>
      <c r="C267" s="156" t="inlineStr">
        <is>
          <t>CAPSLAB</t>
        </is>
      </c>
      <c r="D267" s="156" t="inlineStr">
        <is>
          <t>CL/NS2/1/CT/NGJ</t>
        </is>
      </c>
      <c r="E267" s="156" t="inlineStr">
        <is>
          <t>CL/NS2/1/CT/NGJ-UNI</t>
        </is>
      </c>
      <c r="F267" s="156" t="inlineStr">
        <is>
          <t>Talla única</t>
        </is>
      </c>
      <c r="G267" s="156" t="inlineStr">
        <is>
          <t>One Size</t>
        </is>
      </c>
      <c r="H267" s="156" t="inlineStr">
        <is>
          <t>CAPSLAB</t>
        </is>
      </c>
      <c r="I267" s="156" t="inlineStr">
        <is>
          <t>Gorra trucker CAPSLAB Naruto Shippuden</t>
        </is>
      </c>
      <c r="J267" s="156" t="inlineStr">
        <is>
          <t>Accesorios</t>
        </is>
      </c>
      <c r="K267" s="156" t="inlineStr">
        <is>
          <t>Gorras</t>
        </is>
      </c>
      <c r="L267" s="156" t="inlineStr">
        <is>
          <t>Unisex</t>
        </is>
      </c>
      <c r="M267" s="156" t="inlineStr">
        <is>
          <t>Naruto Shippuden</t>
        </is>
      </c>
      <c r="N267" s="156" t="n"/>
      <c r="O267" s="156" t="n"/>
      <c r="P267" s="156" t="n"/>
      <c r="Q267" s="156" t="n"/>
      <c r="R267" s="156" t="n"/>
      <c r="S267" s="156" t="inlineStr">
        <is>
          <t>Algodón / Poliéster</t>
        </is>
      </c>
      <c r="T267" s="156" t="inlineStr">
        <is>
          <t>Gorra trucker de la marca CAPSLAB bajo licencia oficial Naruto Shippuden. Talla única ajustable. Estilo CL/NS2/1/CT/NGJ.</t>
        </is>
      </c>
      <c r="U267" s="156" t="n"/>
      <c r="V267" s="156" t="inlineStr">
        <is>
          <t>PZS</t>
        </is>
      </c>
      <c r="W267" s="51" t="inlineStr">
        <is>
          <t>53102516</t>
        </is>
      </c>
      <c r="X267" s="156" t="inlineStr">
        <is>
          <t>https://i.ibb.co/FsRXBLy/CLNS21-CTNGJ.jpg</t>
        </is>
      </c>
      <c r="Y267" s="54" t="n"/>
      <c r="Z267" s="54" t="n">
        <v>699</v>
      </c>
      <c r="AA267" s="55">
        <f>IF(AND(A267="", B267="", E267=""), "", IF(AB267="", "Válido", IF((LEN(AB267)-LEN(SUBSTITUTE(AB267,"; ","")))/2+1&gt;(LEN(AB267)-LEN(SUBSTITUTE(AB267,"[Aviso]","")))/7, "Con Incidencias", "Válido")))</f>
        <v/>
      </c>
      <c r="AB267" s="56">
        <f>IF(AND(A267="", B267="", E267=""), "", TEXTJOIN("; ", TRUE, IF(OR(TRIM(A267&amp;"")="", ISNUMBER(SEARCH("FALTA", A267))), "UPC faltante/inválido", ""), IF(AND(A267&lt;&gt;"", IFERROR(_xlfn.XMATCH(A267,$A$2:$A$370,0,1)&lt;&gt;_xlfn.XMATCH(A267,$A$2:$A$370,0,-1),FALSE)), "Código de barras duplicado", ""), IF(AND(E267&lt;&gt;"", COUNTIF($E$2:$E$370, E267)&gt;1), "SKU duplicado", ""), IF(OR(J267="", J267=""), "[Aviso] División no capturada ()", IF(ISNA(MATCH(J267, Criterios!$A$123:$A$126, 0)), "División no válida", "")), IF(OR(K267="", K267=""), "[Aviso] Categoría no capturada ()", IF(ISNA(MATCH(K267, Criterios!$A$81:$A$120, 0)), "Categoría no válida", IF(AND(J267&lt;&gt;"", J267&lt;&gt;"", J267&lt;&gt;VLOOKUP(K267, Criterios!$A$81:$B$120, 2, FALSE)), "División no coincide con Categoría", ""))), IF(OR(L267="", L267=""), "[Aviso] Género no capturado ()", IF(ISNA(MATCH(L267, Criterios!$B$123:$B$127, 0)), "Género no válido", "")), IF(OR(N267="", N267=""), "[Aviso] Temporada no capturada ()", IF(ISNA(MATCH(N267, Criterios!$C$123:$C$128, 0)), "Temporada no válida", "")), IF(OR(O267="", O267=""), "[Aviso] Ciclo de vida no capturado ()", IF(ISNA(MATCH(O267, Criterios!$D$123:$D$124, 0)), "Ciclo de vida no válido", ""))))</f>
        <v/>
      </c>
      <c r="AC267" s="56" t="n"/>
      <c r="AD267" s="51" t="n">
        <v>103</v>
      </c>
      <c r="AE267" s="156" t="inlineStr">
        <is>
          <t>Web (2); CAPSLAB Warehouse (50); CL POS (4)</t>
        </is>
      </c>
      <c r="AF267" s="51" t="n">
        <v>103</v>
      </c>
      <c r="AG267" s="156" t="inlineStr">
        <is>
          <t>Nuevo – NetSuite con existencia</t>
        </is>
      </c>
      <c r="AH267" s="156" t="inlineStr">
        <is>
          <t>Composición CAPSLAB varía por modelo (50/50, 40/60 o 100% poliéster): validar etiqueta; Color por validar; Físico total NetSuite 103 ≠ suma por ubicación 56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7" s="156" t="inlineStr">
        <is>
          <t>No</t>
        </is>
      </c>
      <c r="AJ267" s="156" t="n"/>
      <c r="AK267" s="155" t="inlineStr">
        <is>
          <t>G1522ProductosTodosloscamposSandboxResults894.xlsx: fila 48072 [X]; G1522_Extraccion_Articulos_NetSuite_2026-09-30.xlsx: fila 30404 [Z]</t>
        </is>
      </c>
      <c r="AL267" s="58" t="n"/>
      <c r="AM267" s="58" t="n"/>
      <c r="AN267" s="155" t="n"/>
      <c r="AO267" s="59" t="n"/>
      <c r="AP267" s="59" t="n"/>
      <c r="AQ267" s="59" t="n"/>
      <c r="AR267" s="155" t="n"/>
    </row>
    <row r="268">
      <c r="A268" s="50" t="inlineStr">
        <is>
          <t>3614001697687</t>
        </is>
      </c>
      <c r="B268" s="51" t="inlineStr">
        <is>
          <t>69675</t>
        </is>
      </c>
      <c r="C268" s="156" t="inlineStr">
        <is>
          <t>CAPSLAB</t>
        </is>
      </c>
      <c r="D268" s="156" t="inlineStr">
        <is>
          <t>CL/NS2/1/CT/NME</t>
        </is>
      </c>
      <c r="E268" s="156" t="inlineStr">
        <is>
          <t>CL/NS2/1/CT/NME-UNI</t>
        </is>
      </c>
      <c r="F268" s="156" t="inlineStr">
        <is>
          <t>Talla única</t>
        </is>
      </c>
      <c r="G268" s="156" t="inlineStr">
        <is>
          <t>One Size</t>
        </is>
      </c>
      <c r="H268" s="156" t="inlineStr">
        <is>
          <t>CAPSLAB</t>
        </is>
      </c>
      <c r="I268" s="156" t="inlineStr">
        <is>
          <t>Gorra trucker CAPSLAB Naruto Shippuden</t>
        </is>
      </c>
      <c r="J268" s="156" t="inlineStr">
        <is>
          <t>Accesorios</t>
        </is>
      </c>
      <c r="K268" s="156" t="inlineStr">
        <is>
          <t>Gorras</t>
        </is>
      </c>
      <c r="L268" s="156" t="inlineStr">
        <is>
          <t>Unisex</t>
        </is>
      </c>
      <c r="M268" s="156" t="inlineStr">
        <is>
          <t>Naruto Shippuden</t>
        </is>
      </c>
      <c r="N268" s="156" t="n"/>
      <c r="O268" s="156" t="n"/>
      <c r="P268" s="156" t="n"/>
      <c r="Q268" s="156" t="n"/>
      <c r="R268" s="156" t="n"/>
      <c r="S268" s="156" t="inlineStr">
        <is>
          <t>Algodón / Poliéster</t>
        </is>
      </c>
      <c r="T268" s="156" t="inlineStr">
        <is>
          <t>Gorra trucker de la marca CAPSLAB bajo licencia oficial Naruto Shippuden. Talla única ajustable. Estilo CL/NS2/1/CT/NME.</t>
        </is>
      </c>
      <c r="U268" s="156" t="n"/>
      <c r="V268" s="156" t="inlineStr">
        <is>
          <t>PZS</t>
        </is>
      </c>
      <c r="W268" s="51" t="inlineStr">
        <is>
          <t>53102516</t>
        </is>
      </c>
      <c r="X268" s="156" t="inlineStr">
        <is>
          <t>https://i.ibb.co/9wb45p7/CLNS21-CTNME.jpg</t>
        </is>
      </c>
      <c r="Y268" s="54" t="n"/>
      <c r="Z268" s="54" t="n">
        <v>799</v>
      </c>
      <c r="AA268" s="55">
        <f>IF(AND(A268="", B268="", E268=""), "", IF(AB268="", "Válido", IF((LEN(AB268)-LEN(SUBSTITUTE(AB268,"; ","")))/2+1&gt;(LEN(AB268)-LEN(SUBSTITUTE(AB268,"[Aviso]","")))/7, "Con Incidencias", "Válido")))</f>
        <v/>
      </c>
      <c r="AB268" s="56">
        <f>IF(AND(A268="", B268="", E268=""), "", TEXTJOIN("; ", TRUE, IF(OR(TRIM(A268&amp;"")="", ISNUMBER(SEARCH("FALTA", A268))), "UPC faltante/inválido", ""), IF(AND(A268&lt;&gt;"", IFERROR(_xlfn.XMATCH(A268,$A$2:$A$370,0,1)&lt;&gt;_xlfn.XMATCH(A268,$A$2:$A$370,0,-1),FALSE)), "Código de barras duplicado", ""), IF(AND(E268&lt;&gt;"", COUNTIF($E$2:$E$370, E268)&gt;1), "SKU duplicado", ""), IF(OR(J268="", J268=""), "[Aviso] División no capturada ()", IF(ISNA(MATCH(J268, Criterios!$A$123:$A$126, 0)), "División no válida", "")), IF(OR(K268="", K268=""), "[Aviso] Categoría no capturada ()", IF(ISNA(MATCH(K268, Criterios!$A$81:$A$120, 0)), "Categoría no válida", IF(AND(J268&lt;&gt;"", J268&lt;&gt;"", J268&lt;&gt;VLOOKUP(K268, Criterios!$A$81:$B$120, 2, FALSE)), "División no coincide con Categoría", ""))), IF(OR(L268="", L268=""), "[Aviso] Género no capturado ()", IF(ISNA(MATCH(L268, Criterios!$B$123:$B$127, 0)), "Género no válido", "")), IF(OR(N268="", N268=""), "[Aviso] Temporada no capturada ()", IF(ISNA(MATCH(N268, Criterios!$C$123:$C$128, 0)), "Temporada no válida", "")), IF(OR(O268="", O268=""), "[Aviso] Ciclo de vida no capturado ()", IF(ISNA(MATCH(O268, Criterios!$D$123:$D$124, 0)), "Ciclo de vida no válido", ""))))</f>
        <v/>
      </c>
      <c r="AC268" s="56" t="n"/>
      <c r="AD268" s="51" t="n">
        <v>89</v>
      </c>
      <c r="AE268" s="156" t="inlineStr">
        <is>
          <t>CAPSLAB Warehouse (42); Web (1); CL POS (4); CL Muestras (1)</t>
        </is>
      </c>
      <c r="AF268" s="51" t="n">
        <v>89</v>
      </c>
      <c r="AG268" s="156" t="inlineStr">
        <is>
          <t>Nuevo – NetSuite con existencia</t>
        </is>
      </c>
      <c r="AH268" s="156" t="inlineStr">
        <is>
          <t>Composición CAPSLAB varía por modelo (50/50, 40/60 o 100% poliéster): validar etiqueta; Color por validar; Físico total NetSuite 89 ≠ suma por ubicación 48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8" s="156" t="inlineStr">
        <is>
          <t>No</t>
        </is>
      </c>
      <c r="AJ268" s="156" t="n"/>
      <c r="AK268" s="155" t="inlineStr">
        <is>
          <t>G1522ProductosTodosloscamposSandboxResults894.xlsx: fila 48074 [X]; G1522_Extraccion_Articulos_NetSuite_2026-09-30.xlsx: fila 30405 [Z]</t>
        </is>
      </c>
      <c r="AL268" s="58" t="n"/>
      <c r="AM268" s="58" t="n"/>
      <c r="AN268" s="155" t="n"/>
      <c r="AO268" s="59" t="n"/>
      <c r="AP268" s="59" t="n"/>
      <c r="AQ268" s="59" t="n"/>
      <c r="AR268" s="155" t="n"/>
    </row>
    <row r="269">
      <c r="A269" s="50" t="inlineStr">
        <is>
          <t>3614001697700</t>
        </is>
      </c>
      <c r="B269" s="51" t="inlineStr">
        <is>
          <t>69676</t>
        </is>
      </c>
      <c r="C269" s="156" t="inlineStr">
        <is>
          <t>CAPSLAB</t>
        </is>
      </c>
      <c r="D269" s="156" t="inlineStr">
        <is>
          <t>CL/NS2/1/CT/NOE</t>
        </is>
      </c>
      <c r="E269" s="156" t="inlineStr">
        <is>
          <t>CL/NS2/1/CT/NOE-UNI</t>
        </is>
      </c>
      <c r="F269" s="156" t="inlineStr">
        <is>
          <t>Talla única</t>
        </is>
      </c>
      <c r="G269" s="156" t="inlineStr">
        <is>
          <t>One Size</t>
        </is>
      </c>
      <c r="H269" s="156" t="inlineStr">
        <is>
          <t>CAPSLAB</t>
        </is>
      </c>
      <c r="I269" s="156" t="inlineStr">
        <is>
          <t>Gorra trucker CAPSLAB Naruto Shippuden</t>
        </is>
      </c>
      <c r="J269" s="156" t="inlineStr">
        <is>
          <t>Accesorios</t>
        </is>
      </c>
      <c r="K269" s="156" t="inlineStr">
        <is>
          <t>Gorras</t>
        </is>
      </c>
      <c r="L269" s="156" t="inlineStr">
        <is>
          <t>Unisex</t>
        </is>
      </c>
      <c r="M269" s="156" t="inlineStr">
        <is>
          <t>Naruto Shippuden</t>
        </is>
      </c>
      <c r="N269" s="156" t="n"/>
      <c r="O269" s="156" t="n"/>
      <c r="P269" s="156" t="n"/>
      <c r="Q269" s="156" t="n"/>
      <c r="R269" s="156" t="n"/>
      <c r="S269" s="156" t="inlineStr">
        <is>
          <t>Algodón / Poliéster</t>
        </is>
      </c>
      <c r="T269" s="156" t="inlineStr">
        <is>
          <t>Gorra trucker de la marca CAPSLAB bajo licencia oficial Naruto Shippuden. Talla única ajustable. Estilo CL/NS2/1/CT/NOE.</t>
        </is>
      </c>
      <c r="U269" s="156" t="n"/>
      <c r="V269" s="156" t="inlineStr">
        <is>
          <t>PZS</t>
        </is>
      </c>
      <c r="W269" s="51" t="inlineStr">
        <is>
          <t>53102516</t>
        </is>
      </c>
      <c r="X269" s="156" t="inlineStr">
        <is>
          <t>https://i.ibb.co/PGGHwFF/CLNS21-CTNOE.jpg</t>
        </is>
      </c>
      <c r="Y269" s="54" t="n"/>
      <c r="Z269" s="54" t="n">
        <v>799</v>
      </c>
      <c r="AA269" s="55">
        <f>IF(AND(A269="", B269="", E269=""), "", IF(AB269="", "Válido", IF((LEN(AB269)-LEN(SUBSTITUTE(AB269,"; ","")))/2+1&gt;(LEN(AB269)-LEN(SUBSTITUTE(AB269,"[Aviso]","")))/7, "Con Incidencias", "Válido")))</f>
        <v/>
      </c>
      <c r="AB269" s="56">
        <f>IF(AND(A269="", B269="", E269=""), "", TEXTJOIN("; ", TRUE, IF(OR(TRIM(A269&amp;"")="", ISNUMBER(SEARCH("FALTA", A269))), "UPC faltante/inválido", ""), IF(AND(A269&lt;&gt;"", IFERROR(_xlfn.XMATCH(A269,$A$2:$A$370,0,1)&lt;&gt;_xlfn.XMATCH(A269,$A$2:$A$370,0,-1),FALSE)), "Código de barras duplicado", ""), IF(AND(E269&lt;&gt;"", COUNTIF($E$2:$E$370, E269)&gt;1), "SKU duplicado", ""), IF(OR(J269="", J269=""), "[Aviso] División no capturada ()", IF(ISNA(MATCH(J269, Criterios!$A$123:$A$126, 0)), "División no válida", "")), IF(OR(K269="", K269=""), "[Aviso] Categoría no capturada ()", IF(ISNA(MATCH(K269, Criterios!$A$81:$A$120, 0)), "Categoría no válida", IF(AND(J269&lt;&gt;"", J269&lt;&gt;"", J269&lt;&gt;VLOOKUP(K269, Criterios!$A$81:$B$120, 2, FALSE)), "División no coincide con Categoría", ""))), IF(OR(L269="", L269=""), "[Aviso] Género no capturado ()", IF(ISNA(MATCH(L269, Criterios!$B$123:$B$127, 0)), "Género no válido", "")), IF(OR(N269="", N269=""), "[Aviso] Temporada no capturada ()", IF(ISNA(MATCH(N269, Criterios!$C$123:$C$128, 0)), "Temporada no válida", "")), IF(OR(O269="", O269=""), "[Aviso] Ciclo de vida no capturado ()", IF(ISNA(MATCH(O269, Criterios!$D$123:$D$124, 0)), "Ciclo de vida no válido", ""))))</f>
        <v/>
      </c>
      <c r="AC269" s="56" t="n"/>
      <c r="AD269" s="51" t="n">
        <v>37</v>
      </c>
      <c r="AE269" s="156" t="inlineStr">
        <is>
          <t>CL Muestras (1); CL POS (4); CAPSLAB Warehouse (16); Web (2)</t>
        </is>
      </c>
      <c r="AF269" s="51" t="n">
        <v>37</v>
      </c>
      <c r="AG269" s="156" t="inlineStr">
        <is>
          <t>Nuevo – NetSuite con existencia</t>
        </is>
      </c>
      <c r="AH269" s="156" t="inlineStr">
        <is>
          <t>Composición CAPSLAB varía por modelo (50/50, 40/60 o 100% poliéster): validar etiqueta; Color por validar; Físico total NetSuite 37 ≠ suma por ubicación 23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69" s="156" t="inlineStr">
        <is>
          <t>No</t>
        </is>
      </c>
      <c r="AJ269" s="156" t="n"/>
      <c r="AK269" s="155" t="inlineStr">
        <is>
          <t>G1522ProductosTodosloscamposSandboxResults894.xlsx: fila 48076 [X]; G1522_Extraccion_Articulos_NetSuite_2026-09-30.xlsx: fila 30406 [Z]</t>
        </is>
      </c>
      <c r="AL269" s="58" t="n"/>
      <c r="AM269" s="58" t="n"/>
      <c r="AN269" s="155" t="n"/>
      <c r="AO269" s="59" t="n"/>
      <c r="AP269" s="59" t="n"/>
      <c r="AQ269" s="59" t="n"/>
      <c r="AR269" s="155" t="n"/>
    </row>
    <row r="270">
      <c r="A270" s="50" t="inlineStr">
        <is>
          <t>3614001697724</t>
        </is>
      </c>
      <c r="B270" s="51" t="inlineStr">
        <is>
          <t>69677</t>
        </is>
      </c>
      <c r="C270" s="156" t="inlineStr">
        <is>
          <t>CAPSLAB</t>
        </is>
      </c>
      <c r="D270" s="156" t="inlineStr">
        <is>
          <t>CL/NS2/1/CT/NSA</t>
        </is>
      </c>
      <c r="E270" s="156" t="inlineStr">
        <is>
          <t>CL/NS2/1/CT/NSA-UNI</t>
        </is>
      </c>
      <c r="F270" s="156" t="inlineStr">
        <is>
          <t>Talla única</t>
        </is>
      </c>
      <c r="G270" s="156" t="inlineStr">
        <is>
          <t>One Size</t>
        </is>
      </c>
      <c r="H270" s="156" t="inlineStr">
        <is>
          <t>CAPSLAB</t>
        </is>
      </c>
      <c r="I270" s="156" t="inlineStr">
        <is>
          <t>Gorra trucker CAPSLAB Naruto Shippuden</t>
        </is>
      </c>
      <c r="J270" s="156" t="inlineStr">
        <is>
          <t>Accesorios</t>
        </is>
      </c>
      <c r="K270" s="156" t="inlineStr">
        <is>
          <t>Gorras</t>
        </is>
      </c>
      <c r="L270" s="156" t="inlineStr">
        <is>
          <t>Unisex</t>
        </is>
      </c>
      <c r="M270" s="156" t="inlineStr">
        <is>
          <t>Naruto Shippuden</t>
        </is>
      </c>
      <c r="N270" s="156" t="n"/>
      <c r="O270" s="156" t="n"/>
      <c r="P270" s="156" t="n"/>
      <c r="Q270" s="156" t="n"/>
      <c r="R270" s="156" t="n"/>
      <c r="S270" s="156" t="inlineStr">
        <is>
          <t>Algodón / Poliéster</t>
        </is>
      </c>
      <c r="T270" s="156" t="inlineStr">
        <is>
          <t>Gorra trucker de la marca CAPSLAB bajo licencia oficial Naruto Shippuden. Talla única ajustable. Estilo CL/NS2/1/CT/NSA.</t>
        </is>
      </c>
      <c r="U270" s="156" t="n"/>
      <c r="V270" s="156" t="inlineStr">
        <is>
          <t>PZS</t>
        </is>
      </c>
      <c r="W270" s="51" t="inlineStr">
        <is>
          <t>53102516</t>
        </is>
      </c>
      <c r="X270" s="156" t="inlineStr">
        <is>
          <t>https://i.ibb.co/7KCQF5Z/CLNS21-CTNSA.jpg</t>
        </is>
      </c>
      <c r="Y270" s="54" t="n"/>
      <c r="Z270" s="54" t="n">
        <v>799</v>
      </c>
      <c r="AA270" s="55">
        <f>IF(AND(A270="", B270="", E270=""), "", IF(AB270="", "Válido", IF((LEN(AB270)-LEN(SUBSTITUTE(AB270,"; ","")))/2+1&gt;(LEN(AB270)-LEN(SUBSTITUTE(AB270,"[Aviso]","")))/7, "Con Incidencias", "Válido")))</f>
        <v/>
      </c>
      <c r="AB270" s="56">
        <f>IF(AND(A270="", B270="", E270=""), "", TEXTJOIN("; ", TRUE, IF(OR(TRIM(A270&amp;"")="", ISNUMBER(SEARCH("FALTA", A270))), "UPC faltante/inválido", ""), IF(AND(A270&lt;&gt;"", IFERROR(_xlfn.XMATCH(A270,$A$2:$A$370,0,1)&lt;&gt;_xlfn.XMATCH(A270,$A$2:$A$370,0,-1),FALSE)), "Código de barras duplicado", ""), IF(AND(E270&lt;&gt;"", COUNTIF($E$2:$E$370, E270)&gt;1), "SKU duplicado", ""), IF(OR(J270="", J270=""), "[Aviso] División no capturada ()", IF(ISNA(MATCH(J270, Criterios!$A$123:$A$126, 0)), "División no válida", "")), IF(OR(K270="", K270=""), "[Aviso] Categoría no capturada ()", IF(ISNA(MATCH(K270, Criterios!$A$81:$A$120, 0)), "Categoría no válida", IF(AND(J270&lt;&gt;"", J270&lt;&gt;"", J270&lt;&gt;VLOOKUP(K270, Criterios!$A$81:$B$120, 2, FALSE)), "División no coincide con Categoría", ""))), IF(OR(L270="", L270=""), "[Aviso] Género no capturado ()", IF(ISNA(MATCH(L270, Criterios!$B$123:$B$127, 0)), "Género no válido", "")), IF(OR(N270="", N270=""), "[Aviso] Temporada no capturada ()", IF(ISNA(MATCH(N270, Criterios!$C$123:$C$128, 0)), "Temporada no válida", "")), IF(OR(O270="", O270=""), "[Aviso] Ciclo de vida no capturado ()", IF(ISNA(MATCH(O270, Criterios!$D$123:$D$124, 0)), "Ciclo de vida no válido", ""))))</f>
        <v/>
      </c>
      <c r="AC270" s="56" t="n"/>
      <c r="AD270" s="51" t="n">
        <v>66</v>
      </c>
      <c r="AE270" s="156" t="inlineStr">
        <is>
          <t>Web (2); CL POS (4); CAPSLAB Warehouse (29)</t>
        </is>
      </c>
      <c r="AF270" s="51" t="n">
        <v>66</v>
      </c>
      <c r="AG270" s="156" t="inlineStr">
        <is>
          <t>Nuevo – NetSuite con existencia</t>
        </is>
      </c>
      <c r="AH270" s="156" t="inlineStr">
        <is>
          <t>Composición CAPSLAB varía por modelo (50/50, 40/60 o 100% poliéster): validar etiqueta; Color por validar; Físico total NetSuite 66 ≠ suma por ubicación 35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0" s="156" t="inlineStr">
        <is>
          <t>No</t>
        </is>
      </c>
      <c r="AJ270" s="156" t="n"/>
      <c r="AK270" s="155" t="inlineStr">
        <is>
          <t>G1522ProductosTodosloscamposSandboxResults894.xlsx: fila 48078 [X]; G1522_Extraccion_Articulos_NetSuite_2026-09-30.xlsx: fila 30407 [Z]</t>
        </is>
      </c>
      <c r="AL270" s="58" t="n"/>
      <c r="AM270" s="58" t="n"/>
      <c r="AN270" s="155" t="n"/>
      <c r="AO270" s="59" t="n"/>
      <c r="AP270" s="59" t="n"/>
      <c r="AQ270" s="59" t="n"/>
      <c r="AR270" s="155" t="n"/>
    </row>
    <row r="271">
      <c r="A271" s="50" t="inlineStr">
        <is>
          <t>3614001696765</t>
        </is>
      </c>
      <c r="B271" s="51" t="inlineStr">
        <is>
          <t>69678</t>
        </is>
      </c>
      <c r="C271" s="156" t="inlineStr">
        <is>
          <t>CAPSLAB</t>
        </is>
      </c>
      <c r="D271" s="156" t="inlineStr">
        <is>
          <t>CL/NS2/1/CT/SAR</t>
        </is>
      </c>
      <c r="E271" s="156" t="inlineStr">
        <is>
          <t>CL/NS2/1/CT/SAR-UNI</t>
        </is>
      </c>
      <c r="F271" s="156" t="inlineStr">
        <is>
          <t>Talla única</t>
        </is>
      </c>
      <c r="G271" s="156" t="inlineStr">
        <is>
          <t>One Size</t>
        </is>
      </c>
      <c r="H271" s="156" t="inlineStr">
        <is>
          <t>CAPSLAB</t>
        </is>
      </c>
      <c r="I271" s="156" t="inlineStr">
        <is>
          <t>Gorra trucker CAPSLAB Naruto Shippuden</t>
        </is>
      </c>
      <c r="J271" s="156" t="inlineStr">
        <is>
          <t>Accesorios</t>
        </is>
      </c>
      <c r="K271" s="156" t="inlineStr">
        <is>
          <t>Gorras</t>
        </is>
      </c>
      <c r="L271" s="156" t="inlineStr">
        <is>
          <t>Unisex</t>
        </is>
      </c>
      <c r="M271" s="156" t="inlineStr">
        <is>
          <t>Naruto Shippuden</t>
        </is>
      </c>
      <c r="N271" s="156" t="n"/>
      <c r="O271" s="156" t="n"/>
      <c r="P271" s="156" t="n"/>
      <c r="Q271" s="156" t="n"/>
      <c r="R271" s="156" t="n"/>
      <c r="S271" s="156" t="inlineStr">
        <is>
          <t>Algodón / Poliéster</t>
        </is>
      </c>
      <c r="T271" s="156" t="inlineStr">
        <is>
          <t>Gorra trucker de la marca CAPSLAB bajo licencia oficial Naruto Shippuden. Talla única ajustable. Estilo CL/NS2/1/CT/SAR.</t>
        </is>
      </c>
      <c r="U271" s="156" t="n"/>
      <c r="V271" s="156" t="inlineStr">
        <is>
          <t>PZS</t>
        </is>
      </c>
      <c r="W271" s="51" t="inlineStr">
        <is>
          <t>53102516</t>
        </is>
      </c>
      <c r="X271" s="156" t="inlineStr">
        <is>
          <t>https://i.ibb.co/Ms5NFLx/CLNS21-CTSAR.jpg</t>
        </is>
      </c>
      <c r="Y271" s="54" t="n"/>
      <c r="Z271" s="54" t="n">
        <v>699</v>
      </c>
      <c r="AA271" s="55">
        <f>IF(AND(A271="", B271="", E271=""), "", IF(AB271="", "Válido", IF((LEN(AB271)-LEN(SUBSTITUTE(AB271,"; ","")))/2+1&gt;(LEN(AB271)-LEN(SUBSTITUTE(AB271,"[Aviso]","")))/7, "Con Incidencias", "Válido")))</f>
        <v/>
      </c>
      <c r="AB271" s="56">
        <f>IF(AND(A271="", B271="", E271=""), "", TEXTJOIN("; ", TRUE, IF(OR(TRIM(A271&amp;"")="", ISNUMBER(SEARCH("FALTA", A271))), "UPC faltante/inválido", ""), IF(AND(A271&lt;&gt;"", IFERROR(_xlfn.XMATCH(A271,$A$2:$A$370,0,1)&lt;&gt;_xlfn.XMATCH(A271,$A$2:$A$370,0,-1),FALSE)), "Código de barras duplicado", ""), IF(AND(E271&lt;&gt;"", COUNTIF($E$2:$E$370, E271)&gt;1), "SKU duplicado", ""), IF(OR(J271="", J271=""), "[Aviso] División no capturada ()", IF(ISNA(MATCH(J271, Criterios!$A$123:$A$126, 0)), "División no válida", "")), IF(OR(K271="", K271=""), "[Aviso] Categoría no capturada ()", IF(ISNA(MATCH(K271, Criterios!$A$81:$A$120, 0)), "Categoría no válida", IF(AND(J271&lt;&gt;"", J271&lt;&gt;"", J271&lt;&gt;VLOOKUP(K271, Criterios!$A$81:$B$120, 2, FALSE)), "División no coincide con Categoría", ""))), IF(OR(L271="", L271=""), "[Aviso] Género no capturado ()", IF(ISNA(MATCH(L271, Criterios!$B$123:$B$127, 0)), "Género no válido", "")), IF(OR(N271="", N271=""), "[Aviso] Temporada no capturada ()", IF(ISNA(MATCH(N271, Criterios!$C$123:$C$128, 0)), "Temporada no válida", "")), IF(OR(O271="", O271=""), "[Aviso] Ciclo de vida no capturado ()", IF(ISNA(MATCH(O271, Criterios!$D$123:$D$124, 0)), "Ciclo de vida no válido", ""))))</f>
        <v/>
      </c>
      <c r="AC271" s="56" t="n"/>
      <c r="AD271" s="51" t="n">
        <v>51</v>
      </c>
      <c r="AE271" s="156" t="inlineStr">
        <is>
          <t>Web (2); CL POS (4); CAPSLAB Warehouse (22)</t>
        </is>
      </c>
      <c r="AF271" s="51" t="n">
        <v>51</v>
      </c>
      <c r="AG271" s="156" t="inlineStr">
        <is>
          <t>Nuevo – NetSuite con existencia</t>
        </is>
      </c>
      <c r="AH271" s="156" t="inlineStr">
        <is>
          <t>Composición CAPSLAB varía por modelo (50/50, 40/60 o 100% poliéster): validar etiqueta; Color por validar; Físico total NetSuite 51 ≠ suma por ubicación 28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1" s="156" t="inlineStr">
        <is>
          <t>No</t>
        </is>
      </c>
      <c r="AJ271" s="156" t="n"/>
      <c r="AK271" s="155" t="inlineStr">
        <is>
          <t>G1522ProductosTodosloscamposSandboxResults894.xlsx: fila 48080 [X]; G1522_Extraccion_Articulos_NetSuite_2026-09-30.xlsx: fila 30408 [Z]</t>
        </is>
      </c>
      <c r="AL271" s="58" t="n"/>
      <c r="AM271" s="58" t="n"/>
      <c r="AN271" s="155" t="n"/>
      <c r="AO271" s="59" t="n"/>
      <c r="AP271" s="59" t="n"/>
      <c r="AQ271" s="59" t="n"/>
      <c r="AR271" s="155" t="n"/>
    </row>
    <row r="272">
      <c r="A272" s="50" t="inlineStr">
        <is>
          <t>3614001346981</t>
        </is>
      </c>
      <c r="B272" s="51" t="inlineStr">
        <is>
          <t>69679</t>
        </is>
      </c>
      <c r="C272" s="156" t="inlineStr">
        <is>
          <t>CAPSLAB</t>
        </is>
      </c>
      <c r="D272" s="156" t="inlineStr">
        <is>
          <t>CL/OP/TAG/1/LOG1</t>
        </is>
      </c>
      <c r="E272" s="156" t="inlineStr">
        <is>
          <t>CL/OP/TAG/1/LOG1-UNI</t>
        </is>
      </c>
      <c r="F272" s="156" t="inlineStr">
        <is>
          <t>Talla única</t>
        </is>
      </c>
      <c r="G272" s="156" t="inlineStr">
        <is>
          <t>One Size</t>
        </is>
      </c>
      <c r="H272" s="156" t="inlineStr">
        <is>
          <t>CAPSLAB</t>
        </is>
      </c>
      <c r="I272" s="156" t="inlineStr">
        <is>
          <t>Gorra CAPSLAB One Piece</t>
        </is>
      </c>
      <c r="J272" s="156" t="inlineStr">
        <is>
          <t>Accesorios</t>
        </is>
      </c>
      <c r="K272" s="156" t="inlineStr">
        <is>
          <t>Gorras</t>
        </is>
      </c>
      <c r="L272" s="156" t="inlineStr">
        <is>
          <t>Unisex</t>
        </is>
      </c>
      <c r="M272" s="156" t="inlineStr">
        <is>
          <t>One Piece</t>
        </is>
      </c>
      <c r="N272" s="156" t="n"/>
      <c r="O272" s="156" t="n"/>
      <c r="P272" s="156" t="n"/>
      <c r="Q272" s="156" t="n"/>
      <c r="R272" s="156" t="n"/>
      <c r="S272" s="156" t="inlineStr">
        <is>
          <t>Algodón / Poliéster</t>
        </is>
      </c>
      <c r="T272" s="156" t="inlineStr">
        <is>
          <t>Gorra de la marca CAPSLAB bajo licencia oficial One Piece. Talla única ajustable. Estilo CL/OP/TAG/1/LOG1.</t>
        </is>
      </c>
      <c r="U272" s="156" t="n"/>
      <c r="V272" s="156" t="inlineStr">
        <is>
          <t>PZS</t>
        </is>
      </c>
      <c r="W272" s="51" t="inlineStr">
        <is>
          <t>53102516</t>
        </is>
      </c>
      <c r="X272" s="156" t="inlineStr">
        <is>
          <t>https://i.ibb.co/mRKf7k9/CLOPTAG1-LOG1.jpg</t>
        </is>
      </c>
      <c r="Y272" s="54" t="n"/>
      <c r="Z272" s="54" t="n">
        <v>799</v>
      </c>
      <c r="AA272" s="55">
        <f>IF(AND(A272="", B272="", E272=""), "", IF(AB272="", "Válido", IF((LEN(AB272)-LEN(SUBSTITUTE(AB272,"; ","")))/2+1&gt;(LEN(AB272)-LEN(SUBSTITUTE(AB272,"[Aviso]","")))/7, "Con Incidencias", "Válido")))</f>
        <v/>
      </c>
      <c r="AB272" s="56">
        <f>IF(AND(A272="", B272="", E272=""), "", TEXTJOIN("; ", TRUE, IF(OR(TRIM(A272&amp;"")="", ISNUMBER(SEARCH("FALTA", A272))), "UPC faltante/inválido", ""), IF(AND(A272&lt;&gt;"", IFERROR(_xlfn.XMATCH(A272,$A$2:$A$370,0,1)&lt;&gt;_xlfn.XMATCH(A272,$A$2:$A$370,0,-1),FALSE)), "Código de barras duplicado", ""), IF(AND(E272&lt;&gt;"", COUNTIF($E$2:$E$370, E272)&gt;1), "SKU duplicado", ""), IF(OR(J272="", J272=""), "[Aviso] División no capturada ()", IF(ISNA(MATCH(J272, Criterios!$A$123:$A$126, 0)), "División no válida", "")), IF(OR(K272="", K272=""), "[Aviso] Categoría no capturada ()", IF(ISNA(MATCH(K272, Criterios!$A$81:$A$120, 0)), "Categoría no válida", IF(AND(J272&lt;&gt;"", J272&lt;&gt;"", J272&lt;&gt;VLOOKUP(K272, Criterios!$A$81:$B$120, 2, FALSE)), "División no coincide con Categoría", ""))), IF(OR(L272="", L272=""), "[Aviso] Género no capturado ()", IF(ISNA(MATCH(L272, Criterios!$B$123:$B$127, 0)), "Género no válido", "")), IF(OR(N272="", N272=""), "[Aviso] Temporada no capturada ()", IF(ISNA(MATCH(N272, Criterios!$C$123:$C$128, 0)), "Temporada no válida", "")), IF(OR(O272="", O272=""), "[Aviso] Ciclo de vida no capturado ()", IF(ISNA(MATCH(O272, Criterios!$D$123:$D$124, 0)), "Ciclo de vida no válido", ""))))</f>
        <v/>
      </c>
      <c r="AC272" s="56" t="n"/>
      <c r="AD272" s="51" t="n">
        <v>85</v>
      </c>
      <c r="AE272" s="156" t="inlineStr">
        <is>
          <t>CAPSLAB Warehouse (49); Web (1); CL Muestras (1)</t>
        </is>
      </c>
      <c r="AF272" s="51" t="n">
        <v>85</v>
      </c>
      <c r="AG272" s="156" t="inlineStr">
        <is>
          <t>Nuevo – NetSuite con existencia</t>
        </is>
      </c>
      <c r="AH272" s="156" t="inlineStr">
        <is>
          <t>Composición CAPSLAB varía por modelo (50/50, 40/60 o 100% poliéster): validar etiqueta; Color por validar; Físico total NetSuite 85 ≠ suma por ubicación 51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2" s="156" t="inlineStr">
        <is>
          <t>No</t>
        </is>
      </c>
      <c r="AJ272" s="156" t="n"/>
      <c r="AK272" s="155" t="inlineStr">
        <is>
          <t>G1522ProductosTodosloscamposSandboxResults894.xlsx: fila 48082 [X]; G1522_Extraccion_Articulos_NetSuite_2026-09-30.xlsx: fila 30409 [Z]</t>
        </is>
      </c>
      <c r="AL272" s="58" t="n"/>
      <c r="AM272" s="58" t="n"/>
      <c r="AN272" s="155" t="n"/>
      <c r="AO272" s="59" t="n"/>
      <c r="AP272" s="59" t="n"/>
      <c r="AQ272" s="59" t="n"/>
      <c r="AR272" s="155" t="n"/>
    </row>
    <row r="273">
      <c r="A273" s="50" t="inlineStr">
        <is>
          <t>3614001296699</t>
        </is>
      </c>
      <c r="B273" s="51" t="inlineStr">
        <is>
          <t>69680</t>
        </is>
      </c>
      <c r="C273" s="156" t="inlineStr">
        <is>
          <t>CAPSLAB</t>
        </is>
      </c>
      <c r="D273" s="156" t="inlineStr">
        <is>
          <t>CL/OP1/1/LUF1</t>
        </is>
      </c>
      <c r="E273" s="156" t="inlineStr">
        <is>
          <t>CL/OP1/1/LUF1-UNI</t>
        </is>
      </c>
      <c r="F273" s="156" t="inlineStr">
        <is>
          <t>Talla única</t>
        </is>
      </c>
      <c r="G273" s="156" t="inlineStr">
        <is>
          <t>One Size</t>
        </is>
      </c>
      <c r="H273" s="156" t="inlineStr">
        <is>
          <t>CAPSLAB</t>
        </is>
      </c>
      <c r="I273" s="156" t="inlineStr">
        <is>
          <t>Gorra CAPSLAB One Piece Luffy</t>
        </is>
      </c>
      <c r="J273" s="156" t="inlineStr">
        <is>
          <t>Accesorios</t>
        </is>
      </c>
      <c r="K273" s="156" t="inlineStr">
        <is>
          <t>Gorras</t>
        </is>
      </c>
      <c r="L273" s="156" t="inlineStr">
        <is>
          <t>Unisex</t>
        </is>
      </c>
      <c r="M273" s="156" t="inlineStr">
        <is>
          <t>One Piece</t>
        </is>
      </c>
      <c r="N273" s="156" t="n"/>
      <c r="O273" s="156" t="n"/>
      <c r="P273" s="156" t="n"/>
      <c r="Q273" s="156" t="n"/>
      <c r="R273" s="156" t="n"/>
      <c r="S273" s="156" t="inlineStr">
        <is>
          <t>Algodón / Poliéster</t>
        </is>
      </c>
      <c r="T273" s="156" t="inlineStr">
        <is>
          <t>Gorra de la marca CAPSLAB bajo licencia oficial One Piece, personaje Luffy. Talla única ajustable. Estilo CL/OP1/1/LUF1.</t>
        </is>
      </c>
      <c r="U273" s="156" t="n"/>
      <c r="V273" s="156" t="inlineStr">
        <is>
          <t>PZS</t>
        </is>
      </c>
      <c r="W273" s="51" t="inlineStr">
        <is>
          <t>53102516</t>
        </is>
      </c>
      <c r="X273" s="156" t="inlineStr">
        <is>
          <t>https://i.ibb.co/fFd32Q0/CLOP11-LUF1.jpg</t>
        </is>
      </c>
      <c r="Y273" s="54" t="n"/>
      <c r="Z273" s="54" t="n">
        <v>699</v>
      </c>
      <c r="AA273" s="55">
        <f>IF(AND(A273="", B273="", E273=""), "", IF(AB273="", "Válido", IF((LEN(AB273)-LEN(SUBSTITUTE(AB273,"; ","")))/2+1&gt;(LEN(AB273)-LEN(SUBSTITUTE(AB273,"[Aviso]","")))/7, "Con Incidencias", "Válido")))</f>
        <v/>
      </c>
      <c r="AB273" s="56">
        <f>IF(AND(A273="", B273="", E273=""), "", TEXTJOIN("; ", TRUE, IF(OR(TRIM(A273&amp;"")="", ISNUMBER(SEARCH("FALTA", A273))), "UPC faltante/inválido", ""), IF(AND(A273&lt;&gt;"", IFERROR(_xlfn.XMATCH(A273,$A$2:$A$370,0,1)&lt;&gt;_xlfn.XMATCH(A273,$A$2:$A$370,0,-1),FALSE)), "Código de barras duplicado", ""), IF(AND(E273&lt;&gt;"", COUNTIF($E$2:$E$370, E273)&gt;1), "SKU duplicado", ""), IF(OR(J273="", J273=""), "[Aviso] División no capturada ()", IF(ISNA(MATCH(J273, Criterios!$A$123:$A$126, 0)), "División no válida", "")), IF(OR(K273="", K273=""), "[Aviso] Categoría no capturada ()", IF(ISNA(MATCH(K273, Criterios!$A$81:$A$120, 0)), "Categoría no válida", IF(AND(J273&lt;&gt;"", J273&lt;&gt;"", J273&lt;&gt;VLOOKUP(K273, Criterios!$A$81:$B$120, 2, FALSE)), "División no coincide con Categoría", ""))), IF(OR(L273="", L273=""), "[Aviso] Género no capturado ()", IF(ISNA(MATCH(L273, Criterios!$B$123:$B$127, 0)), "Género no válido", "")), IF(OR(N273="", N273=""), "[Aviso] Temporada no capturada ()", IF(ISNA(MATCH(N273, Criterios!$C$123:$C$128, 0)), "Temporada no válida", "")), IF(OR(O273="", O273=""), "[Aviso] Ciclo de vida no capturado ()", IF(ISNA(MATCH(O273, Criterios!$D$123:$D$124, 0)), "Ciclo de vida no válido", ""))))</f>
        <v/>
      </c>
      <c r="AC273" s="56" t="n"/>
      <c r="AD273" s="51" t="n">
        <v>3</v>
      </c>
      <c r="AE273" s="156" t="inlineStr">
        <is>
          <t>Web (2)</t>
        </is>
      </c>
      <c r="AF273" s="51" t="n">
        <v>3</v>
      </c>
      <c r="AG273" s="156" t="inlineStr">
        <is>
          <t>Nuevo – NetSuite con existencia</t>
        </is>
      </c>
      <c r="AH273" s="156" t="inlineStr">
        <is>
          <t>Composición CAPSLAB varía por modelo (50/50, 40/60 o 100% poliéster): validar etiqueta; Color por validar; Físico total NetSuite 3 ≠ suma por ubicación 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3" s="156" t="inlineStr">
        <is>
          <t>No</t>
        </is>
      </c>
      <c r="AJ273" s="156" t="n"/>
      <c r="AK273" s="155" t="inlineStr">
        <is>
          <t>G1522ProductosTodosloscamposSandboxResults894.xlsx: fila 48084 [X]; G1522_Extraccion_Articulos_NetSuite_2026-09-30.xlsx: fila 30410 [Z]</t>
        </is>
      </c>
      <c r="AL273" s="58" t="n"/>
      <c r="AM273" s="58" t="n"/>
      <c r="AN273" s="155" t="n"/>
      <c r="AO273" s="59" t="n"/>
      <c r="AP273" s="59" t="n"/>
      <c r="AQ273" s="59" t="n"/>
      <c r="AR273" s="155" t="n"/>
    </row>
    <row r="274">
      <c r="A274" s="50" t="inlineStr">
        <is>
          <t>3614001296705</t>
        </is>
      </c>
      <c r="B274" s="51" t="inlineStr">
        <is>
          <t>69681</t>
        </is>
      </c>
      <c r="C274" s="156" t="inlineStr">
        <is>
          <t>CAPSLAB</t>
        </is>
      </c>
      <c r="D274" s="156" t="inlineStr">
        <is>
          <t>CL/OP1/1/LUF2</t>
        </is>
      </c>
      <c r="E274" s="156" t="inlineStr">
        <is>
          <t>CL/OP1/1/LUF2-UNI</t>
        </is>
      </c>
      <c r="F274" s="156" t="inlineStr">
        <is>
          <t>Talla única</t>
        </is>
      </c>
      <c r="G274" s="156" t="inlineStr">
        <is>
          <t>One Size</t>
        </is>
      </c>
      <c r="H274" s="156" t="inlineStr">
        <is>
          <t>CAPSLAB</t>
        </is>
      </c>
      <c r="I274" s="156" t="inlineStr">
        <is>
          <t>Gorra CAPSLAB One Piece Luffy</t>
        </is>
      </c>
      <c r="J274" s="156" t="inlineStr">
        <is>
          <t>Accesorios</t>
        </is>
      </c>
      <c r="K274" s="156" t="inlineStr">
        <is>
          <t>Gorras</t>
        </is>
      </c>
      <c r="L274" s="156" t="inlineStr">
        <is>
          <t>Unisex</t>
        </is>
      </c>
      <c r="M274" s="156" t="inlineStr">
        <is>
          <t>One Piece</t>
        </is>
      </c>
      <c r="N274" s="156" t="n"/>
      <c r="O274" s="156" t="n"/>
      <c r="P274" s="156" t="n"/>
      <c r="Q274" s="156" t="n"/>
      <c r="R274" s="156" t="n"/>
      <c r="S274" s="156" t="inlineStr">
        <is>
          <t>Algodón / Poliéster</t>
        </is>
      </c>
      <c r="T274" s="156" t="inlineStr">
        <is>
          <t>Gorra de la marca CAPSLAB bajo licencia oficial One Piece, personaje Luffy. Talla única ajustable. Estilo CL/OP1/1/LUF2.</t>
        </is>
      </c>
      <c r="U274" s="156" t="n"/>
      <c r="V274" s="156" t="inlineStr">
        <is>
          <t>PZS</t>
        </is>
      </c>
      <c r="W274" s="51" t="inlineStr">
        <is>
          <t>53102516</t>
        </is>
      </c>
      <c r="X274" s="156" t="inlineStr">
        <is>
          <t>https://i.ibb.co/ZGRRFMz/CLOP11-LUF2.jpg</t>
        </is>
      </c>
      <c r="Y274" s="54" t="n"/>
      <c r="Z274" s="54" t="n">
        <v>699</v>
      </c>
      <c r="AA274" s="55">
        <f>IF(AND(A274="", B274="", E274=""), "", IF(AB274="", "Válido", IF((LEN(AB274)-LEN(SUBSTITUTE(AB274,"; ","")))/2+1&gt;(LEN(AB274)-LEN(SUBSTITUTE(AB274,"[Aviso]","")))/7, "Con Incidencias", "Válido")))</f>
        <v/>
      </c>
      <c r="AB274" s="56">
        <f>IF(AND(A274="", B274="", E274=""), "", TEXTJOIN("; ", TRUE, IF(OR(TRIM(A274&amp;"")="", ISNUMBER(SEARCH("FALTA", A274))), "UPC faltante/inválido", ""), IF(AND(A274&lt;&gt;"", IFERROR(_xlfn.XMATCH(A274,$A$2:$A$370,0,1)&lt;&gt;_xlfn.XMATCH(A274,$A$2:$A$370,0,-1),FALSE)), "Código de barras duplicado", ""), IF(AND(E274&lt;&gt;"", COUNTIF($E$2:$E$370, E274)&gt;1), "SKU duplicado", ""), IF(OR(J274="", J274=""), "[Aviso] División no capturada ()", IF(ISNA(MATCH(J274, Criterios!$A$123:$A$126, 0)), "División no válida", "")), IF(OR(K274="", K274=""), "[Aviso] Categoría no capturada ()", IF(ISNA(MATCH(K274, Criterios!$A$81:$A$120, 0)), "Categoría no válida", IF(AND(J274&lt;&gt;"", J274&lt;&gt;"", J274&lt;&gt;VLOOKUP(K274, Criterios!$A$81:$B$120, 2, FALSE)), "División no coincide con Categoría", ""))), IF(OR(L274="", L274=""), "[Aviso] Género no capturado ()", IF(ISNA(MATCH(L274, Criterios!$B$123:$B$127, 0)), "Género no válido", "")), IF(OR(N274="", N274=""), "[Aviso] Temporada no capturada ()", IF(ISNA(MATCH(N274, Criterios!$C$123:$C$128, 0)), "Temporada no válida", "")), IF(OR(O274="", O274=""), "[Aviso] Ciclo de vida no capturado ()", IF(ISNA(MATCH(O274, Criterios!$D$123:$D$124, 0)), "Ciclo de vida no válido", ""))))</f>
        <v/>
      </c>
      <c r="AC274" s="56" t="n"/>
      <c r="AD274" s="51" t="n">
        <v>173</v>
      </c>
      <c r="AE274" s="156" t="inlineStr">
        <is>
          <t>CAPSLAB Warehouse (91); CL Muestras (3); Web (1)</t>
        </is>
      </c>
      <c r="AF274" s="51" t="n">
        <v>173</v>
      </c>
      <c r="AG274" s="156" t="inlineStr">
        <is>
          <t>Nuevo – NetSuite con existencia</t>
        </is>
      </c>
      <c r="AH274" s="156" t="inlineStr">
        <is>
          <t>Composición CAPSLAB varía por modelo (50/50, 40/60 o 100% poliéster): validar etiqueta; Color por validar; Físico total NetSuite 173 ≠ suma por ubicación 95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4" s="156" t="inlineStr">
        <is>
          <t>No</t>
        </is>
      </c>
      <c r="AJ274" s="156" t="n"/>
      <c r="AK274" s="155" t="inlineStr">
        <is>
          <t>G1522ProductosTodosloscamposSandboxResults894.xlsx: fila 48086 [X]; G1522_Extraccion_Articulos_NetSuite_2026-09-30.xlsx: fila 30411 [Z]</t>
        </is>
      </c>
      <c r="AL274" s="58" t="n"/>
      <c r="AM274" s="58" t="n"/>
      <c r="AN274" s="155" t="n"/>
      <c r="AO274" s="59" t="n"/>
      <c r="AP274" s="59" t="n"/>
      <c r="AQ274" s="59" t="n"/>
      <c r="AR274" s="155" t="n"/>
    </row>
    <row r="275">
      <c r="A275" s="50" t="inlineStr">
        <is>
          <t>3614001296712</t>
        </is>
      </c>
      <c r="B275" s="51" t="inlineStr">
        <is>
          <t>69683</t>
        </is>
      </c>
      <c r="C275" s="156" t="inlineStr">
        <is>
          <t>CAPSLAB</t>
        </is>
      </c>
      <c r="D275" s="156" t="inlineStr">
        <is>
          <t>CL/OP1/1/SKU1</t>
        </is>
      </c>
      <c r="E275" s="156" t="inlineStr">
        <is>
          <t>CL/OP1/1/SKU1-UNI</t>
        </is>
      </c>
      <c r="F275" s="156" t="inlineStr">
        <is>
          <t>Talla única</t>
        </is>
      </c>
      <c r="G275" s="156" t="inlineStr">
        <is>
          <t>One Size</t>
        </is>
      </c>
      <c r="H275" s="156" t="inlineStr">
        <is>
          <t>CAPSLAB</t>
        </is>
      </c>
      <c r="I275" s="156" t="inlineStr">
        <is>
          <t>Gorra CAPSLAB One Piece</t>
        </is>
      </c>
      <c r="J275" s="156" t="inlineStr">
        <is>
          <t>Accesorios</t>
        </is>
      </c>
      <c r="K275" s="156" t="inlineStr">
        <is>
          <t>Gorras</t>
        </is>
      </c>
      <c r="L275" s="156" t="inlineStr">
        <is>
          <t>Unisex</t>
        </is>
      </c>
      <c r="M275" s="156" t="inlineStr">
        <is>
          <t>One Piece</t>
        </is>
      </c>
      <c r="N275" s="156" t="n"/>
      <c r="O275" s="156" t="n"/>
      <c r="P275" s="156" t="n"/>
      <c r="Q275" s="156" t="n"/>
      <c r="R275" s="156" t="n"/>
      <c r="S275" s="156" t="inlineStr">
        <is>
          <t>Algodón / Poliéster</t>
        </is>
      </c>
      <c r="T275" s="156" t="inlineStr">
        <is>
          <t>Gorra de la marca CAPSLAB bajo licencia oficial One Piece. Talla única ajustable. Estilo CL/OP1/1/SKU1.</t>
        </is>
      </c>
      <c r="U275" s="156" t="n"/>
      <c r="V275" s="156" t="inlineStr">
        <is>
          <t>PZS</t>
        </is>
      </c>
      <c r="W275" s="51" t="inlineStr">
        <is>
          <t>53102516</t>
        </is>
      </c>
      <c r="X275" s="156" t="inlineStr">
        <is>
          <t>https://i.ibb.co/gwMD5Mp/CLOP11-SKU1.jpg</t>
        </is>
      </c>
      <c r="Y275" s="54" t="n"/>
      <c r="Z275" s="54" t="n">
        <v>699</v>
      </c>
      <c r="AA275" s="55">
        <f>IF(AND(A275="", B275="", E275=""), "", IF(AB275="", "Válido", IF((LEN(AB275)-LEN(SUBSTITUTE(AB275,"; ","")))/2+1&gt;(LEN(AB275)-LEN(SUBSTITUTE(AB275,"[Aviso]","")))/7, "Con Incidencias", "Válido")))</f>
        <v/>
      </c>
      <c r="AB275" s="56">
        <f>IF(AND(A275="", B275="", E275=""), "", TEXTJOIN("; ", TRUE, IF(OR(TRIM(A275&amp;"")="", ISNUMBER(SEARCH("FALTA", A275))), "UPC faltante/inválido", ""), IF(AND(A275&lt;&gt;"", IFERROR(_xlfn.XMATCH(A275,$A$2:$A$370,0,1)&lt;&gt;_xlfn.XMATCH(A275,$A$2:$A$370,0,-1),FALSE)), "Código de barras duplicado", ""), IF(AND(E275&lt;&gt;"", COUNTIF($E$2:$E$370, E275)&gt;1), "SKU duplicado", ""), IF(OR(J275="", J275=""), "[Aviso] División no capturada ()", IF(ISNA(MATCH(J275, Criterios!$A$123:$A$126, 0)), "División no válida", "")), IF(OR(K275="", K275=""), "[Aviso] Categoría no capturada ()", IF(ISNA(MATCH(K275, Criterios!$A$81:$A$120, 0)), "Categoría no válida", IF(AND(J275&lt;&gt;"", J275&lt;&gt;"", J275&lt;&gt;VLOOKUP(K275, Criterios!$A$81:$B$120, 2, FALSE)), "División no coincide con Categoría", ""))), IF(OR(L275="", L275=""), "[Aviso] Género no capturado ()", IF(ISNA(MATCH(L275, Criterios!$B$123:$B$127, 0)), "Género no válido", "")), IF(OR(N275="", N275=""), "[Aviso] Temporada no capturada ()", IF(ISNA(MATCH(N275, Criterios!$C$123:$C$128, 0)), "Temporada no válida", "")), IF(OR(O275="", O275=""), "[Aviso] Ciclo de vida no capturado ()", IF(ISNA(MATCH(O275, Criterios!$D$123:$D$124, 0)), "Ciclo de vida no válido", ""))))</f>
        <v/>
      </c>
      <c r="AC275" s="56" t="n"/>
      <c r="AD275" s="51" t="n">
        <v>110</v>
      </c>
      <c r="AE275" s="156" t="inlineStr">
        <is>
          <t>CAPSLAB Warehouse (54); Web (2); CL Muestras (2); CL POS (3)</t>
        </is>
      </c>
      <c r="AF275" s="51" t="n">
        <v>110</v>
      </c>
      <c r="AG275" s="156" t="inlineStr">
        <is>
          <t>Nuevo – NetSuite con existencia</t>
        </is>
      </c>
      <c r="AH275" s="156" t="inlineStr">
        <is>
          <t>Composición CAPSLAB varía por modelo (50/50, 40/60 o 100% poliéster): validar etiqueta; Color por validar; Físico total NetSuite 110 ≠ suma por ubicación 61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5" s="156" t="inlineStr">
        <is>
          <t>No</t>
        </is>
      </c>
      <c r="AJ275" s="156" t="n"/>
      <c r="AK275" s="155" t="inlineStr">
        <is>
          <t>G1522ProductosTodosloscamposSandboxResults894.xlsx: fila 48088 [X]; G1522_Extraccion_Articulos_NetSuite_2026-09-30.xlsx: fila 30412 [Z]</t>
        </is>
      </c>
      <c r="AL275" s="58" t="n"/>
      <c r="AM275" s="58" t="n"/>
      <c r="AN275" s="155" t="n"/>
      <c r="AO275" s="59" t="n"/>
      <c r="AP275" s="59" t="n"/>
      <c r="AQ275" s="59" t="n"/>
      <c r="AR275" s="155" t="n"/>
    </row>
    <row r="276">
      <c r="A276" s="50" t="inlineStr">
        <is>
          <t>3614001296729</t>
        </is>
      </c>
      <c r="B276" s="51" t="inlineStr">
        <is>
          <t>69685</t>
        </is>
      </c>
      <c r="C276" s="156" t="inlineStr">
        <is>
          <t>CAPSLAB</t>
        </is>
      </c>
      <c r="D276" s="156" t="inlineStr">
        <is>
          <t>CL/OP1/1/SKU2</t>
        </is>
      </c>
      <c r="E276" s="156" t="inlineStr">
        <is>
          <t>CL/OP1/1/SKU2-UNI</t>
        </is>
      </c>
      <c r="F276" s="156" t="inlineStr">
        <is>
          <t>Talla única</t>
        </is>
      </c>
      <c r="G276" s="156" t="inlineStr">
        <is>
          <t>One Size</t>
        </is>
      </c>
      <c r="H276" s="156" t="inlineStr">
        <is>
          <t>CAPSLAB</t>
        </is>
      </c>
      <c r="I276" s="156" t="inlineStr">
        <is>
          <t>Gorra CAPSLAB One Piece</t>
        </is>
      </c>
      <c r="J276" s="156" t="inlineStr">
        <is>
          <t>Accesorios</t>
        </is>
      </c>
      <c r="K276" s="156" t="inlineStr">
        <is>
          <t>Gorras</t>
        </is>
      </c>
      <c r="L276" s="156" t="inlineStr">
        <is>
          <t>Unisex</t>
        </is>
      </c>
      <c r="M276" s="156" t="inlineStr">
        <is>
          <t>One Piece</t>
        </is>
      </c>
      <c r="N276" s="156" t="n"/>
      <c r="O276" s="156" t="n"/>
      <c r="P276" s="156" t="n"/>
      <c r="Q276" s="156" t="n"/>
      <c r="R276" s="156" t="n"/>
      <c r="S276" s="156" t="inlineStr">
        <is>
          <t>Algodón / Poliéster</t>
        </is>
      </c>
      <c r="T276" s="156" t="inlineStr">
        <is>
          <t>Gorra de la marca CAPSLAB bajo licencia oficial One Piece. Talla única ajustable. Estilo CL/OP1/1/SKU2.</t>
        </is>
      </c>
      <c r="U276" s="156" t="n"/>
      <c r="V276" s="156" t="inlineStr">
        <is>
          <t>PZS</t>
        </is>
      </c>
      <c r="W276" s="51" t="inlineStr">
        <is>
          <t>53102516</t>
        </is>
      </c>
      <c r="X276" s="156" t="inlineStr">
        <is>
          <t>https://i.ibb.co/0qQqWhd/CLOP11-SKU2.jpg</t>
        </is>
      </c>
      <c r="Y276" s="54" t="n"/>
      <c r="Z276" s="54" t="n">
        <v>699</v>
      </c>
      <c r="AA276" s="55">
        <f>IF(AND(A276="", B276="", E276=""), "", IF(AB276="", "Válido", IF((LEN(AB276)-LEN(SUBSTITUTE(AB276,"; ","")))/2+1&gt;(LEN(AB276)-LEN(SUBSTITUTE(AB276,"[Aviso]","")))/7, "Con Incidencias", "Válido")))</f>
        <v/>
      </c>
      <c r="AB276" s="56">
        <f>IF(AND(A276="", B276="", E276=""), "", TEXTJOIN("; ", TRUE, IF(OR(TRIM(A276&amp;"")="", ISNUMBER(SEARCH("FALTA", A276))), "UPC faltante/inválido", ""), IF(AND(A276&lt;&gt;"", IFERROR(_xlfn.XMATCH(A276,$A$2:$A$370,0,1)&lt;&gt;_xlfn.XMATCH(A276,$A$2:$A$370,0,-1),FALSE)), "Código de barras duplicado", ""), IF(AND(E276&lt;&gt;"", COUNTIF($E$2:$E$370, E276)&gt;1), "SKU duplicado", ""), IF(OR(J276="", J276=""), "[Aviso] División no capturada ()", IF(ISNA(MATCH(J276, Criterios!$A$123:$A$126, 0)), "División no válida", "")), IF(OR(K276="", K276=""), "[Aviso] Categoría no capturada ()", IF(ISNA(MATCH(K276, Criterios!$A$81:$A$120, 0)), "Categoría no válida", IF(AND(J276&lt;&gt;"", J276&lt;&gt;"", J276&lt;&gt;VLOOKUP(K276, Criterios!$A$81:$B$120, 2, FALSE)), "División no coincide con Categoría", ""))), IF(OR(L276="", L276=""), "[Aviso] Género no capturado ()", IF(ISNA(MATCH(L276, Criterios!$B$123:$B$127, 0)), "Género no válido", "")), IF(OR(N276="", N276=""), "[Aviso] Temporada no capturada ()", IF(ISNA(MATCH(N276, Criterios!$C$123:$C$128, 0)), "Temporada no válida", "")), IF(OR(O276="", O276=""), "[Aviso] Ciclo de vida no capturado ()", IF(ISNA(MATCH(O276, Criterios!$D$123:$D$124, 0)), "Ciclo de vida no válido", ""))))</f>
        <v/>
      </c>
      <c r="AC276" s="56" t="n"/>
      <c r="AD276" s="51" t="n">
        <v>170</v>
      </c>
      <c r="AE276" s="156" t="inlineStr">
        <is>
          <t>CAPSLAB Warehouse (90); Web (2); CL Muestras (3)</t>
        </is>
      </c>
      <c r="AF276" s="51" t="n">
        <v>170</v>
      </c>
      <c r="AG276" s="156" t="inlineStr">
        <is>
          <t>Nuevo – NetSuite con existencia</t>
        </is>
      </c>
      <c r="AH276" s="156" t="inlineStr">
        <is>
          <t>Composición CAPSLAB varía por modelo (50/50, 40/60 o 100% poliéster): validar etiqueta; Color por validar; Físico total NetSuite 170 ≠ suma por ubicación 95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6" s="156" t="inlineStr">
        <is>
          <t>No</t>
        </is>
      </c>
      <c r="AJ276" s="156" t="n"/>
      <c r="AK276" s="155" t="inlineStr">
        <is>
          <t>G1522ProductosTodosloscamposSandboxResults894.xlsx: fila 48090 [X]; G1522_Extraccion_Articulos_NetSuite_2026-09-30.xlsx: fila 30413 [Z]</t>
        </is>
      </c>
      <c r="AL276" s="58" t="n"/>
      <c r="AM276" s="58" t="n"/>
      <c r="AN276" s="155" t="n"/>
      <c r="AO276" s="59" t="n"/>
      <c r="AP276" s="59" t="n"/>
      <c r="AQ276" s="59" t="n"/>
      <c r="AR276" s="155" t="n"/>
    </row>
    <row r="277">
      <c r="A277" s="50" t="inlineStr">
        <is>
          <t>3614001296736</t>
        </is>
      </c>
      <c r="B277" s="51" t="inlineStr">
        <is>
          <t>69687</t>
        </is>
      </c>
      <c r="C277" s="156" t="inlineStr">
        <is>
          <t>CAPSLAB</t>
        </is>
      </c>
      <c r="D277" s="156" t="inlineStr">
        <is>
          <t>CL/OP1/1/ZOR1</t>
        </is>
      </c>
      <c r="E277" s="156" t="inlineStr">
        <is>
          <t>CL/OP1/1/ZOR1-UNI</t>
        </is>
      </c>
      <c r="F277" s="156" t="inlineStr">
        <is>
          <t>Talla única</t>
        </is>
      </c>
      <c r="G277" s="156" t="inlineStr">
        <is>
          <t>One Size</t>
        </is>
      </c>
      <c r="H277" s="156" t="inlineStr">
        <is>
          <t>CAPSLAB</t>
        </is>
      </c>
      <c r="I277" s="156" t="inlineStr">
        <is>
          <t>Gorra CAPSLAB One Piece Zoro</t>
        </is>
      </c>
      <c r="J277" s="156" t="inlineStr">
        <is>
          <t>Accesorios</t>
        </is>
      </c>
      <c r="K277" s="156" t="inlineStr">
        <is>
          <t>Gorras</t>
        </is>
      </c>
      <c r="L277" s="156" t="inlineStr">
        <is>
          <t>Unisex</t>
        </is>
      </c>
      <c r="M277" s="156" t="inlineStr">
        <is>
          <t>One Piece</t>
        </is>
      </c>
      <c r="N277" s="156" t="n"/>
      <c r="O277" s="156" t="n"/>
      <c r="P277" s="156" t="n"/>
      <c r="Q277" s="156" t="n"/>
      <c r="R277" s="156" t="n"/>
      <c r="S277" s="156" t="inlineStr">
        <is>
          <t>Algodón / Poliéster</t>
        </is>
      </c>
      <c r="T277" s="156" t="inlineStr">
        <is>
          <t>Gorra de la marca CAPSLAB bajo licencia oficial One Piece, personaje Zoro. Talla única ajustable. Estilo CL/OP1/1/ZOR1.</t>
        </is>
      </c>
      <c r="U277" s="156" t="n"/>
      <c r="V277" s="156" t="inlineStr">
        <is>
          <t>PZS</t>
        </is>
      </c>
      <c r="W277" s="51" t="inlineStr">
        <is>
          <t>53102516</t>
        </is>
      </c>
      <c r="X277" s="156" t="inlineStr">
        <is>
          <t>https://i.ibb.co/j5sfycr/CLOP11-ZOR1.jpg</t>
        </is>
      </c>
      <c r="Y277" s="54" t="n"/>
      <c r="Z277" s="54" t="n">
        <v>699</v>
      </c>
      <c r="AA277" s="55">
        <f>IF(AND(A277="", B277="", E277=""), "", IF(AB277="", "Válido", IF((LEN(AB277)-LEN(SUBSTITUTE(AB277,"; ","")))/2+1&gt;(LEN(AB277)-LEN(SUBSTITUTE(AB277,"[Aviso]","")))/7, "Con Incidencias", "Válido")))</f>
        <v/>
      </c>
      <c r="AB277" s="56">
        <f>IF(AND(A277="", B277="", E277=""), "", TEXTJOIN("; ", TRUE, IF(OR(TRIM(A277&amp;"")="", ISNUMBER(SEARCH("FALTA", A277))), "UPC faltante/inválido", ""), IF(AND(A277&lt;&gt;"", IFERROR(_xlfn.XMATCH(A277,$A$2:$A$370,0,1)&lt;&gt;_xlfn.XMATCH(A277,$A$2:$A$370,0,-1),FALSE)), "Código de barras duplicado", ""), IF(AND(E277&lt;&gt;"", COUNTIF($E$2:$E$370, E277)&gt;1), "SKU duplicado", ""), IF(OR(J277="", J277=""), "[Aviso] División no capturada ()", IF(ISNA(MATCH(J277, Criterios!$A$123:$A$126, 0)), "División no válida", "")), IF(OR(K277="", K277=""), "[Aviso] Categoría no capturada ()", IF(ISNA(MATCH(K277, Criterios!$A$81:$A$120, 0)), "Categoría no válida", IF(AND(J277&lt;&gt;"", J277&lt;&gt;"", J277&lt;&gt;VLOOKUP(K277, Criterios!$A$81:$B$120, 2, FALSE)), "División no coincide con Categoría", ""))), IF(OR(L277="", L277=""), "[Aviso] Género no capturado ()", IF(ISNA(MATCH(L277, Criterios!$B$123:$B$127, 0)), "Género no válido", "")), IF(OR(N277="", N277=""), "[Aviso] Temporada no capturada ()", IF(ISNA(MATCH(N277, Criterios!$C$123:$C$128, 0)), "Temporada no válida", "")), IF(OR(O277="", O277=""), "[Aviso] Ciclo de vida no capturado ()", IF(ISNA(MATCH(O277, Criterios!$D$123:$D$124, 0)), "Ciclo de vida no válido", ""))))</f>
        <v/>
      </c>
      <c r="AC277" s="56" t="n"/>
      <c r="AD277" s="51" t="n">
        <v>99</v>
      </c>
      <c r="AE277" s="156" t="inlineStr">
        <is>
          <t>CAPSLAB Warehouse (50); CL Muestras (2)</t>
        </is>
      </c>
      <c r="AF277" s="51" t="n">
        <v>99</v>
      </c>
      <c r="AG277" s="156" t="inlineStr">
        <is>
          <t>Nuevo – NetSuite con existencia</t>
        </is>
      </c>
      <c r="AH277" s="156" t="inlineStr">
        <is>
          <t>Composición CAPSLAB varía por modelo (50/50, 40/60 o 100% poliéster): validar etiqueta; Color por validar; Físico total NetSuite 99 ≠ suma por ubicación 52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77" s="156" t="inlineStr">
        <is>
          <t>No</t>
        </is>
      </c>
      <c r="AJ277" s="156" t="n"/>
      <c r="AK277" s="155" t="inlineStr">
        <is>
          <t>G1522ProductosTodosloscamposSandboxResults894.xlsx: fila 48092 [X]; G1522_Extraccion_Articulos_NetSuite_2026-09-30.xlsx: fila 30414 [Z]</t>
        </is>
      </c>
      <c r="AL277" s="58" t="n"/>
      <c r="AM277" s="58" t="n"/>
      <c r="AN277" s="155" t="n"/>
      <c r="AO277" s="59" t="n"/>
      <c r="AP277" s="59" t="n"/>
      <c r="AQ277" s="59" t="n"/>
      <c r="AR277" s="155" t="n"/>
    </row>
    <row r="278">
      <c r="A278" s="50" t="inlineStr">
        <is>
          <t>3614001296743</t>
        </is>
      </c>
      <c r="B278" s="51" t="inlineStr">
        <is>
          <t>57482</t>
        </is>
      </c>
      <c r="C278" s="156" t="inlineStr">
        <is>
          <t>CAPSLAB</t>
        </is>
      </c>
      <c r="D278" s="156" t="inlineStr">
        <is>
          <t>CL/OP1/1/ZOR2</t>
        </is>
      </c>
      <c r="E278" s="156" t="inlineStr">
        <is>
          <t>CL/OP1/1/ZOR2-uNI</t>
        </is>
      </c>
      <c r="F278" s="156" t="inlineStr">
        <is>
          <t>Talla única</t>
        </is>
      </c>
      <c r="G278" s="156" t="inlineStr">
        <is>
          <t>One Size</t>
        </is>
      </c>
      <c r="H278" s="156" t="inlineStr">
        <is>
          <t>CAPSLAB</t>
        </is>
      </c>
      <c r="I278" s="156" t="inlineStr">
        <is>
          <t>Gorra CAPSLAB One Piece Zoro Negro</t>
        </is>
      </c>
      <c r="J278" s="156" t="inlineStr">
        <is>
          <t>Accesorios</t>
        </is>
      </c>
      <c r="K278" s="156" t="inlineStr">
        <is>
          <t>Gorras</t>
        </is>
      </c>
      <c r="L278" s="156" t="inlineStr">
        <is>
          <t>Unisex</t>
        </is>
      </c>
      <c r="M278" s="156" t="inlineStr">
        <is>
          <t>One Piece</t>
        </is>
      </c>
      <c r="N278" s="156" t="n"/>
      <c r="O278" s="156" t="n"/>
      <c r="P278" s="156" t="inlineStr">
        <is>
          <t>Negro</t>
        </is>
      </c>
      <c r="Q278" s="156" t="n"/>
      <c r="R278" s="156" t="n"/>
      <c r="S278" s="156" t="inlineStr">
        <is>
          <t>Algodón / Poliéster</t>
        </is>
      </c>
      <c r="T278" s="156" t="inlineStr">
        <is>
          <t>Gorra de la marca CAPSLAB bajo licencia oficial One Piece, personaje Zoro. Talla única ajustable. Estilo CL/OP1/1/ZOR2.</t>
        </is>
      </c>
      <c r="U278" s="156" t="n"/>
      <c r="V278" s="156" t="inlineStr">
        <is>
          <t>PZS</t>
        </is>
      </c>
      <c r="W278" s="51" t="inlineStr">
        <is>
          <t>53102516</t>
        </is>
      </c>
      <c r="X278" s="156" t="inlineStr">
        <is>
          <t>https://7913364.app.netsuite.com/core/media/media.nl?id=188390&amp;c=7913364&amp;h=Ls3M1dTuAJvG1gIbIRpbka3zhFoUxYFUfHBwdpvwL7QrR7Lu</t>
        </is>
      </c>
      <c r="Y278" s="54" t="n">
        <v>8.5</v>
      </c>
      <c r="Z278" s="54" t="n">
        <v>699</v>
      </c>
      <c r="AA278" s="55">
        <f>IF(AND(A278="", B278="", E278=""), "", IF(AB278="", "Válido", IF((LEN(AB278)-LEN(SUBSTITUTE(AB278,"; ","")))/2+1&gt;(LEN(AB278)-LEN(SUBSTITUTE(AB278,"[Aviso]","")))/7, "Con Incidencias", "Válido")))</f>
        <v/>
      </c>
      <c r="AB278" s="56">
        <f>IF(AND(A278="", B278="", E278=""), "", TEXTJOIN("; ", TRUE, IF(OR(TRIM(A278&amp;"")="", ISNUMBER(SEARCH("FALTA", A278))), "UPC faltante/inválido", ""), IF(AND(A278&lt;&gt;"", IFERROR(_xlfn.XMATCH(A278,$A$2:$A$370,0,1)&lt;&gt;_xlfn.XMATCH(A278,$A$2:$A$370,0,-1),FALSE)), "Código de barras duplicado", ""), IF(AND(E278&lt;&gt;"", COUNTIF($E$2:$E$370, E278)&gt;1), "SKU duplicado", ""), IF(OR(J278="", J278=""), "[Aviso] División no capturada ()", IF(ISNA(MATCH(J278, Criterios!$A$123:$A$126, 0)), "División no válida", "")), IF(OR(K278="", K278=""), "[Aviso] Categoría no capturada ()", IF(ISNA(MATCH(K278, Criterios!$A$81:$A$120, 0)), "Categoría no válida", IF(AND(J278&lt;&gt;"", J278&lt;&gt;"", J278&lt;&gt;VLOOKUP(K278, Criterios!$A$81:$B$120, 2, FALSE)), "División no coincide con Categoría", ""))), IF(OR(L278="", L278=""), "[Aviso] Género no capturado ()", IF(ISNA(MATCH(L278, Criterios!$B$123:$B$127, 0)), "Género no válido", "")), IF(OR(N278="", N278=""), "[Aviso] Temporada no capturada ()", IF(ISNA(MATCH(N278, Criterios!$C$123:$C$128, 0)), "Temporada no válida", "")), IF(OR(O278="", O278=""), "[Aviso] Ciclo de vida no capturado ()", IF(ISNA(MATCH(O278, Criterios!$D$123:$D$124, 0)), "Ciclo de vida no válido", ""))))</f>
        <v/>
      </c>
      <c r="AC278" s="56" t="n"/>
      <c r="AD278" s="51" t="n">
        <v>0</v>
      </c>
      <c r="AE278" s="156" t="n"/>
      <c r="AF278" s="51" t="n">
        <v>0</v>
      </c>
      <c r="AG278" s="156" t="inlineStr">
        <is>
          <t>Nuevo – NetSuite sin existencia</t>
        </is>
      </c>
      <c r="AH27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78" s="156" t="inlineStr">
        <is>
          <t>No</t>
        </is>
      </c>
      <c r="AJ278" s="156" t="n"/>
      <c r="AK278" s="155" t="inlineStr">
        <is>
          <t>G1522ProductosTodosloscamposSandboxResults894.xlsx: fila 48094 [Y]; G1522_Extraccion_Articulos_NetSuite_2026-09-30.xlsx: fila 20864 [Z]</t>
        </is>
      </c>
      <c r="AL278" s="58" t="n">
        <v>8.5</v>
      </c>
      <c r="AM278" s="58" t="n"/>
      <c r="AN278" s="155" t="n"/>
      <c r="AO278" s="59" t="n"/>
      <c r="AP278" s="59" t="n"/>
      <c r="AQ278" s="59" t="n"/>
      <c r="AR278" s="155" t="n"/>
    </row>
    <row r="279">
      <c r="A279" s="50" t="inlineStr">
        <is>
          <t>3614001696345</t>
        </is>
      </c>
      <c r="B279" s="51" t="inlineStr">
        <is>
          <t>69688</t>
        </is>
      </c>
      <c r="C279" s="156" t="inlineStr">
        <is>
          <t>CAPSLAB</t>
        </is>
      </c>
      <c r="D279" s="156" t="inlineStr">
        <is>
          <t>CL/OP1/3/LUF1</t>
        </is>
      </c>
      <c r="E279" s="156" t="inlineStr">
        <is>
          <t>CL/OP1/3/LUF1-UNIJR</t>
        </is>
      </c>
      <c r="F279" s="156" t="inlineStr">
        <is>
          <t>Talla única</t>
        </is>
      </c>
      <c r="G279" s="156" t="inlineStr">
        <is>
          <t>One Size</t>
        </is>
      </c>
      <c r="H279" s="156" t="inlineStr">
        <is>
          <t>CAPSLAB</t>
        </is>
      </c>
      <c r="I279" s="156" t="inlineStr">
        <is>
          <t>Gorra CAPSLAB One Piece Luffy</t>
        </is>
      </c>
      <c r="J279" s="156" t="inlineStr">
        <is>
          <t>Accesorios</t>
        </is>
      </c>
      <c r="K279" s="156" t="inlineStr">
        <is>
          <t>Gorras</t>
        </is>
      </c>
      <c r="L279" s="156" t="inlineStr">
        <is>
          <t>Niño</t>
        </is>
      </c>
      <c r="M279" s="156" t="inlineStr">
        <is>
          <t>One Piece</t>
        </is>
      </c>
      <c r="N279" s="156" t="n"/>
      <c r="O279" s="156" t="n"/>
      <c r="P279" s="156" t="n"/>
      <c r="Q279" s="156" t="n"/>
      <c r="R279" s="156" t="n"/>
      <c r="S279" s="156" t="inlineStr">
        <is>
          <t>Algodón / Poliéster</t>
        </is>
      </c>
      <c r="T279" s="156" t="inlineStr">
        <is>
          <t>Gorra de la marca CAPSLAB bajo licencia oficial One Piece, personaje Luffy. Talla única ajustable. Estilo CL/OP1/3/LUF1.</t>
        </is>
      </c>
      <c r="U279" s="156" t="n"/>
      <c r="V279" s="156" t="inlineStr">
        <is>
          <t>PZS</t>
        </is>
      </c>
      <c r="W279" s="51" t="inlineStr">
        <is>
          <t>53102516</t>
        </is>
      </c>
      <c r="X279" s="156" t="inlineStr">
        <is>
          <t>https://i.ibb.co/WGkVyHz/CLOP13-LUF1.jpg</t>
        </is>
      </c>
      <c r="Y279" s="54" t="n"/>
      <c r="Z279" s="54" t="n">
        <v>699</v>
      </c>
      <c r="AA279" s="55">
        <f>IF(AND(A279="", B279="", E279=""), "", IF(AB279="", "Válido", IF((LEN(AB279)-LEN(SUBSTITUTE(AB279,"; ","")))/2+1&gt;(LEN(AB279)-LEN(SUBSTITUTE(AB279,"[Aviso]","")))/7, "Con Incidencias", "Válido")))</f>
        <v/>
      </c>
      <c r="AB279" s="56">
        <f>IF(AND(A279="", B279="", E279=""), "", TEXTJOIN("; ", TRUE, IF(OR(TRIM(A279&amp;"")="", ISNUMBER(SEARCH("FALTA", A279))), "UPC faltante/inválido", ""), IF(AND(A279&lt;&gt;"", IFERROR(_xlfn.XMATCH(A279,$A$2:$A$370,0,1)&lt;&gt;_xlfn.XMATCH(A279,$A$2:$A$370,0,-1),FALSE)), "Código de barras duplicado", ""), IF(AND(E279&lt;&gt;"", COUNTIF($E$2:$E$370, E279)&gt;1), "SKU duplicado", ""), IF(OR(J279="", J279=""), "[Aviso] División no capturada ()", IF(ISNA(MATCH(J279, Criterios!$A$123:$A$126, 0)), "División no válida", "")), IF(OR(K279="", K279=""), "[Aviso] Categoría no capturada ()", IF(ISNA(MATCH(K279, Criterios!$A$81:$A$120, 0)), "Categoría no válida", IF(AND(J279&lt;&gt;"", J279&lt;&gt;"", J279&lt;&gt;VLOOKUP(K279, Criterios!$A$81:$B$120, 2, FALSE)), "División no coincide con Categoría", ""))), IF(OR(L279="", L279=""), "[Aviso] Género no capturado ()", IF(ISNA(MATCH(L279, Criterios!$B$123:$B$127, 0)), "Género no válido", "")), IF(OR(N279="", N279=""), "[Aviso] Temporada no capturada ()", IF(ISNA(MATCH(N279, Criterios!$C$123:$C$128, 0)), "Temporada no válida", "")), IF(OR(O279="", O279=""), "[Aviso] Ciclo de vida no capturado ()", IF(ISNA(MATCH(O279, Criterios!$D$123:$D$124, 0)), "Ciclo de vida no válido", ""))))</f>
        <v/>
      </c>
      <c r="AC279" s="56" t="n"/>
      <c r="AD279" s="51" t="n">
        <v>74</v>
      </c>
      <c r="AE279" s="156" t="inlineStr">
        <is>
          <t>CAPSLAB Warehouse (47); Web (2)</t>
        </is>
      </c>
      <c r="AF279" s="51" t="n">
        <v>74</v>
      </c>
      <c r="AG279" s="156" t="inlineStr">
        <is>
          <t>Nuevo – NetSuite con existencia</t>
        </is>
      </c>
      <c r="AH279" s="156" t="inlineStr">
        <is>
          <t>Composición CAPSLAB varía por modelo (50/50, 40/60 o 100% poliéster): validar etiqueta; Talla: Talla infantil (JR) (origen «UNI JR»); Color por validar; Físico total NetSuite 74 ≠ suma por ubicación 49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279" s="156" t="inlineStr">
        <is>
          <t>No</t>
        </is>
      </c>
      <c r="AJ279" s="156" t="n"/>
      <c r="AK279" s="155" t="inlineStr">
        <is>
          <t>G1522ProductosTodosloscamposSandboxResults894.xlsx: fila 48096 [X]; G1522_Extraccion_Articulos_NetSuite_2026-09-30.xlsx: fila 30415 [Z]</t>
        </is>
      </c>
      <c r="AL279" s="58" t="n"/>
      <c r="AM279" s="58" t="n"/>
      <c r="AN279" s="155" t="n"/>
      <c r="AO279" s="59" t="n"/>
      <c r="AP279" s="59" t="n"/>
      <c r="AQ279" s="59" t="n"/>
      <c r="AR279" s="155" t="n"/>
    </row>
    <row r="280">
      <c r="A280" s="50" t="inlineStr">
        <is>
          <t>3614001696369</t>
        </is>
      </c>
      <c r="B280" s="51" t="inlineStr">
        <is>
          <t>69689</t>
        </is>
      </c>
      <c r="C280" s="156" t="inlineStr">
        <is>
          <t>CAPSLAB</t>
        </is>
      </c>
      <c r="D280" s="156" t="inlineStr">
        <is>
          <t>CL/OP1/3/SKU2</t>
        </is>
      </c>
      <c r="E280" s="156" t="inlineStr">
        <is>
          <t>CL/OP1/3/SKU2-UNIJR</t>
        </is>
      </c>
      <c r="F280" s="156" t="inlineStr">
        <is>
          <t>Talla única</t>
        </is>
      </c>
      <c r="G280" s="156" t="inlineStr">
        <is>
          <t>One Size</t>
        </is>
      </c>
      <c r="H280" s="156" t="inlineStr">
        <is>
          <t>CAPSLAB</t>
        </is>
      </c>
      <c r="I280" s="156" t="inlineStr">
        <is>
          <t>Gorra CAPSLAB One Piece</t>
        </is>
      </c>
      <c r="J280" s="156" t="inlineStr">
        <is>
          <t>Accesorios</t>
        </is>
      </c>
      <c r="K280" s="156" t="inlineStr">
        <is>
          <t>Gorras</t>
        </is>
      </c>
      <c r="L280" s="156" t="inlineStr">
        <is>
          <t>Niño</t>
        </is>
      </c>
      <c r="M280" s="156" t="inlineStr">
        <is>
          <t>One Piece</t>
        </is>
      </c>
      <c r="N280" s="156" t="n"/>
      <c r="O280" s="156" t="n"/>
      <c r="P280" s="156" t="n"/>
      <c r="Q280" s="156" t="n"/>
      <c r="R280" s="156" t="n"/>
      <c r="S280" s="156" t="inlineStr">
        <is>
          <t>Algodón / Poliéster</t>
        </is>
      </c>
      <c r="T280" s="156" t="inlineStr">
        <is>
          <t>Gorra de la marca CAPSLAB bajo licencia oficial One Piece. Talla única ajustable. Estilo CL/OP1/3/SKU2.</t>
        </is>
      </c>
      <c r="U280" s="156" t="n"/>
      <c r="V280" s="156" t="inlineStr">
        <is>
          <t>PZS</t>
        </is>
      </c>
      <c r="W280" s="51" t="inlineStr">
        <is>
          <t>53102516</t>
        </is>
      </c>
      <c r="X280" s="156" t="inlineStr">
        <is>
          <t>https://i.ibb.co/JqQmLRV/CLOP13-SKU2.jpg</t>
        </is>
      </c>
      <c r="Y280" s="54" t="n"/>
      <c r="Z280" s="54" t="n">
        <v>699</v>
      </c>
      <c r="AA280" s="55">
        <f>IF(AND(A280="", B280="", E280=""), "", IF(AB280="", "Válido", IF((LEN(AB280)-LEN(SUBSTITUTE(AB280,"; ","")))/2+1&gt;(LEN(AB280)-LEN(SUBSTITUTE(AB280,"[Aviso]","")))/7, "Con Incidencias", "Válido")))</f>
        <v/>
      </c>
      <c r="AB280" s="56">
        <f>IF(AND(A280="", B280="", E280=""), "", TEXTJOIN("; ", TRUE, IF(OR(TRIM(A280&amp;"")="", ISNUMBER(SEARCH("FALTA", A280))), "UPC faltante/inválido", ""), IF(AND(A280&lt;&gt;"", IFERROR(_xlfn.XMATCH(A280,$A$2:$A$370,0,1)&lt;&gt;_xlfn.XMATCH(A280,$A$2:$A$370,0,-1),FALSE)), "Código de barras duplicado", ""), IF(AND(E280&lt;&gt;"", COUNTIF($E$2:$E$370, E280)&gt;1), "SKU duplicado", ""), IF(OR(J280="", J280=""), "[Aviso] División no capturada ()", IF(ISNA(MATCH(J280, Criterios!$A$123:$A$126, 0)), "División no válida", "")), IF(OR(K280="", K280=""), "[Aviso] Categoría no capturada ()", IF(ISNA(MATCH(K280, Criterios!$A$81:$A$120, 0)), "Categoría no válida", IF(AND(J280&lt;&gt;"", J280&lt;&gt;"", J280&lt;&gt;VLOOKUP(K280, Criterios!$A$81:$B$120, 2, FALSE)), "División no coincide con Categoría", ""))), IF(OR(L280="", L280=""), "[Aviso] Género no capturado ()", IF(ISNA(MATCH(L280, Criterios!$B$123:$B$127, 0)), "Género no válido", "")), IF(OR(N280="", N280=""), "[Aviso] Temporada no capturada ()", IF(ISNA(MATCH(N280, Criterios!$C$123:$C$128, 0)), "Temporada no válida", "")), IF(OR(O280="", O280=""), "[Aviso] Ciclo de vida no capturado ()", IF(ISNA(MATCH(O280, Criterios!$D$123:$D$124, 0)), "Ciclo de vida no válido", ""))))</f>
        <v/>
      </c>
      <c r="AC280" s="56" t="n"/>
      <c r="AD280" s="51" t="n">
        <v>94</v>
      </c>
      <c r="AE280" s="156" t="inlineStr">
        <is>
          <t>CAPSLAB Warehouse (53); Web (2)</t>
        </is>
      </c>
      <c r="AF280" s="51" t="n">
        <v>94</v>
      </c>
      <c r="AG280" s="156" t="inlineStr">
        <is>
          <t>Nuevo – NetSuite con existencia</t>
        </is>
      </c>
      <c r="AH280" s="156" t="inlineStr">
        <is>
          <t>Composición CAPSLAB varía por modelo (50/50, 40/60 o 100% poliéster): validar etiqueta; Talla: Talla infantil (JR) (origen «UNI JR»); Color por validar; Físico total NetSuite 94 ≠ suma por ubicación 55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280" s="156" t="inlineStr">
        <is>
          <t>No</t>
        </is>
      </c>
      <c r="AJ280" s="156" t="n"/>
      <c r="AK280" s="155" t="inlineStr">
        <is>
          <t>G1522ProductosTodosloscamposSandboxResults894.xlsx: fila 48098 [X]; G1522_Extraccion_Articulos_NetSuite_2026-09-30.xlsx: fila 30416 [Z]</t>
        </is>
      </c>
      <c r="AL280" s="58" t="n"/>
      <c r="AM280" s="58" t="n"/>
      <c r="AN280" s="155" t="n"/>
      <c r="AO280" s="59" t="n"/>
      <c r="AP280" s="59" t="n"/>
      <c r="AQ280" s="59" t="n"/>
      <c r="AR280" s="155" t="n"/>
    </row>
    <row r="281">
      <c r="A281" s="50" t="inlineStr">
        <is>
          <t>3614001696383</t>
        </is>
      </c>
      <c r="B281" s="51" t="inlineStr">
        <is>
          <t>69690</t>
        </is>
      </c>
      <c r="C281" s="156" t="inlineStr">
        <is>
          <t>CAPSLAB</t>
        </is>
      </c>
      <c r="D281" s="156" t="inlineStr">
        <is>
          <t>CL/OP1/3/ZOR1</t>
        </is>
      </c>
      <c r="E281" s="156" t="inlineStr">
        <is>
          <t>CL/OP1/3/ZOR1-UNIJR</t>
        </is>
      </c>
      <c r="F281" s="156" t="inlineStr">
        <is>
          <t>Talla única</t>
        </is>
      </c>
      <c r="G281" s="156" t="inlineStr">
        <is>
          <t>One Size</t>
        </is>
      </c>
      <c r="H281" s="156" t="inlineStr">
        <is>
          <t>CAPSLAB</t>
        </is>
      </c>
      <c r="I281" s="156" t="inlineStr">
        <is>
          <t>Gorra CAPSLAB One Piece Zoro</t>
        </is>
      </c>
      <c r="J281" s="156" t="inlineStr">
        <is>
          <t>Accesorios</t>
        </is>
      </c>
      <c r="K281" s="156" t="inlineStr">
        <is>
          <t>Gorras</t>
        </is>
      </c>
      <c r="L281" s="156" t="inlineStr">
        <is>
          <t>Niño</t>
        </is>
      </c>
      <c r="M281" s="156" t="inlineStr">
        <is>
          <t>One Piece</t>
        </is>
      </c>
      <c r="N281" s="156" t="n"/>
      <c r="O281" s="156" t="n"/>
      <c r="P281" s="156" t="n"/>
      <c r="Q281" s="156" t="n"/>
      <c r="R281" s="156" t="n"/>
      <c r="S281" s="156" t="inlineStr">
        <is>
          <t>Algodón / Poliéster</t>
        </is>
      </c>
      <c r="T281" s="156" t="inlineStr">
        <is>
          <t>Gorra de la marca CAPSLAB bajo licencia oficial One Piece, personaje Zoro. Talla única ajustable. Estilo CL/OP1/3/ZOR1.</t>
        </is>
      </c>
      <c r="U281" s="156" t="n"/>
      <c r="V281" s="156" t="inlineStr">
        <is>
          <t>PZS</t>
        </is>
      </c>
      <c r="W281" s="51" t="inlineStr">
        <is>
          <t>53102516</t>
        </is>
      </c>
      <c r="X281" s="156" t="inlineStr">
        <is>
          <t>https://i.ibb.co/xghQzHR/CLOP13-ZOR1.jpg</t>
        </is>
      </c>
      <c r="Y281" s="54" t="n"/>
      <c r="Z281" s="54" t="n">
        <v>699</v>
      </c>
      <c r="AA281" s="55">
        <f>IF(AND(A281="", B281="", E281=""), "", IF(AB281="", "Válido", IF((LEN(AB281)-LEN(SUBSTITUTE(AB281,"; ","")))/2+1&gt;(LEN(AB281)-LEN(SUBSTITUTE(AB281,"[Aviso]","")))/7, "Con Incidencias", "Válido")))</f>
        <v/>
      </c>
      <c r="AB281" s="56">
        <f>IF(AND(A281="", B281="", E281=""), "", TEXTJOIN("; ", TRUE, IF(OR(TRIM(A281&amp;"")="", ISNUMBER(SEARCH("FALTA", A281))), "UPC faltante/inválido", ""), IF(AND(A281&lt;&gt;"", IFERROR(_xlfn.XMATCH(A281,$A$2:$A$370,0,1)&lt;&gt;_xlfn.XMATCH(A281,$A$2:$A$370,0,-1),FALSE)), "Código de barras duplicado", ""), IF(AND(E281&lt;&gt;"", COUNTIF($E$2:$E$370, E281)&gt;1), "SKU duplicado", ""), IF(OR(J281="", J281=""), "[Aviso] División no capturada ()", IF(ISNA(MATCH(J281, Criterios!$A$123:$A$126, 0)), "División no válida", "")), IF(OR(K281="", K281=""), "[Aviso] Categoría no capturada ()", IF(ISNA(MATCH(K281, Criterios!$A$81:$A$120, 0)), "Categoría no válida", IF(AND(J281&lt;&gt;"", J281&lt;&gt;"", J281&lt;&gt;VLOOKUP(K281, Criterios!$A$81:$B$120, 2, FALSE)), "División no coincide con Categoría", ""))), IF(OR(L281="", L281=""), "[Aviso] Género no capturado ()", IF(ISNA(MATCH(L281, Criterios!$B$123:$B$127, 0)), "Género no válido", "")), IF(OR(N281="", N281=""), "[Aviso] Temporada no capturada ()", IF(ISNA(MATCH(N281, Criterios!$C$123:$C$128, 0)), "Temporada no válida", "")), IF(OR(O281="", O281=""), "[Aviso] Ciclo de vida no capturado ()", IF(ISNA(MATCH(O281, Criterios!$D$123:$D$124, 0)), "Ciclo de vida no válido", ""))))</f>
        <v/>
      </c>
      <c r="AC281" s="56" t="n"/>
      <c r="AD281" s="51" t="n">
        <v>112</v>
      </c>
      <c r="AE281" s="156" t="inlineStr">
        <is>
          <t>CAPSLAB Warehouse (58); Web (2)</t>
        </is>
      </c>
      <c r="AF281" s="51" t="n">
        <v>112</v>
      </c>
      <c r="AG281" s="156" t="inlineStr">
        <is>
          <t>Nuevo – NetSuite con existencia</t>
        </is>
      </c>
      <c r="AH281" s="156" t="inlineStr">
        <is>
          <t>Composición CAPSLAB varía por modelo (50/50, 40/60 o 100% poliéster): validar etiqueta; Talla: Talla infantil (JR) (origen «UNI JR»); Color por validar; Físico total NetSuite 112 ≠ suma por ubicación 60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281" s="156" t="inlineStr">
        <is>
          <t>No</t>
        </is>
      </c>
      <c r="AJ281" s="156" t="n"/>
      <c r="AK281" s="155" t="inlineStr">
        <is>
          <t>G1522ProductosTodosloscamposSandboxResults894.xlsx: fila 48100 [X]; G1522_Extraccion_Articulos_NetSuite_2026-09-30.xlsx: fila 30417 [Z]</t>
        </is>
      </c>
      <c r="AL281" s="58" t="n"/>
      <c r="AM281" s="58" t="n"/>
      <c r="AN281" s="155" t="n"/>
      <c r="AO281" s="59" t="n"/>
      <c r="AP281" s="59" t="n"/>
      <c r="AQ281" s="59" t="n"/>
      <c r="AR281" s="155" t="n"/>
    </row>
    <row r="282">
      <c r="A282" s="50" t="inlineStr">
        <is>
          <t>3614001696406</t>
        </is>
      </c>
      <c r="B282" s="51" t="inlineStr">
        <is>
          <t>69691</t>
        </is>
      </c>
      <c r="C282" s="156" t="inlineStr">
        <is>
          <t>CAPSLAB</t>
        </is>
      </c>
      <c r="D282" s="156" t="inlineStr">
        <is>
          <t>CL/OP1/3/ZOR2</t>
        </is>
      </c>
      <c r="E282" s="156" t="inlineStr">
        <is>
          <t>CL/OP1/3/ZOR2-UNIJR</t>
        </is>
      </c>
      <c r="F282" s="156" t="inlineStr">
        <is>
          <t>Talla única</t>
        </is>
      </c>
      <c r="G282" s="156" t="inlineStr">
        <is>
          <t>One Size</t>
        </is>
      </c>
      <c r="H282" s="156" t="inlineStr">
        <is>
          <t>CAPSLAB</t>
        </is>
      </c>
      <c r="I282" s="156" t="inlineStr">
        <is>
          <t>Gorra CAPSLAB One Piece Zoro</t>
        </is>
      </c>
      <c r="J282" s="156" t="inlineStr">
        <is>
          <t>Accesorios</t>
        </is>
      </c>
      <c r="K282" s="156" t="inlineStr">
        <is>
          <t>Gorras</t>
        </is>
      </c>
      <c r="L282" s="156" t="inlineStr">
        <is>
          <t>Niño</t>
        </is>
      </c>
      <c r="M282" s="156" t="inlineStr">
        <is>
          <t>One Piece</t>
        </is>
      </c>
      <c r="N282" s="156" t="n"/>
      <c r="O282" s="156" t="n"/>
      <c r="P282" s="156" t="n"/>
      <c r="Q282" s="156" t="n"/>
      <c r="R282" s="156" t="n"/>
      <c r="S282" s="156" t="inlineStr">
        <is>
          <t>Algodón / Poliéster</t>
        </is>
      </c>
      <c r="T282" s="156" t="inlineStr">
        <is>
          <t>Gorra de la marca CAPSLAB bajo licencia oficial One Piece, personaje Zoro. Talla única ajustable. Estilo CL/OP1/3/ZOR2.</t>
        </is>
      </c>
      <c r="U282" s="156" t="n"/>
      <c r="V282" s="156" t="inlineStr">
        <is>
          <t>PZS</t>
        </is>
      </c>
      <c r="W282" s="51" t="inlineStr">
        <is>
          <t>53102516</t>
        </is>
      </c>
      <c r="X282" s="156" t="inlineStr">
        <is>
          <t>https://i.ibb.co/wYd03qp/CLOP13-ZOR2.jpg</t>
        </is>
      </c>
      <c r="Y282" s="54" t="n"/>
      <c r="Z282" s="54" t="n">
        <v>699</v>
      </c>
      <c r="AA282" s="55">
        <f>IF(AND(A282="", B282="", E282=""), "", IF(AB282="", "Válido", IF((LEN(AB282)-LEN(SUBSTITUTE(AB282,"; ","")))/2+1&gt;(LEN(AB282)-LEN(SUBSTITUTE(AB282,"[Aviso]","")))/7, "Con Incidencias", "Válido")))</f>
        <v/>
      </c>
      <c r="AB282" s="56">
        <f>IF(AND(A282="", B282="", E282=""), "", TEXTJOIN("; ", TRUE, IF(OR(TRIM(A282&amp;"")="", ISNUMBER(SEARCH("FALTA", A282))), "UPC faltante/inválido", ""), IF(AND(A282&lt;&gt;"", IFERROR(_xlfn.XMATCH(A282,$A$2:$A$370,0,1)&lt;&gt;_xlfn.XMATCH(A282,$A$2:$A$370,0,-1),FALSE)), "Código de barras duplicado", ""), IF(AND(E282&lt;&gt;"", COUNTIF($E$2:$E$370, E282)&gt;1), "SKU duplicado", ""), IF(OR(J282="", J282=""), "[Aviso] División no capturada ()", IF(ISNA(MATCH(J282, Criterios!$A$123:$A$126, 0)), "División no válida", "")), IF(OR(K282="", K282=""), "[Aviso] Categoría no capturada ()", IF(ISNA(MATCH(K282, Criterios!$A$81:$A$120, 0)), "Categoría no válida", IF(AND(J282&lt;&gt;"", J282&lt;&gt;"", J282&lt;&gt;VLOOKUP(K282, Criterios!$A$81:$B$120, 2, FALSE)), "División no coincide con Categoría", ""))), IF(OR(L282="", L282=""), "[Aviso] Género no capturado ()", IF(ISNA(MATCH(L282, Criterios!$B$123:$B$127, 0)), "Género no válido", "")), IF(OR(N282="", N282=""), "[Aviso] Temporada no capturada ()", IF(ISNA(MATCH(N282, Criterios!$C$123:$C$128, 0)), "Temporada no válida", "")), IF(OR(O282="", O282=""), "[Aviso] Ciclo de vida no capturado ()", IF(ISNA(MATCH(O282, Criterios!$D$123:$D$124, 0)), "Ciclo de vida no válido", ""))))</f>
        <v/>
      </c>
      <c r="AC282" s="56" t="n"/>
      <c r="AD282" s="51" t="n">
        <v>104</v>
      </c>
      <c r="AE282" s="156" t="inlineStr">
        <is>
          <t>Web (2); CAPSLAB Warehouse (54)</t>
        </is>
      </c>
      <c r="AF282" s="51" t="n">
        <v>104</v>
      </c>
      <c r="AG282" s="156" t="inlineStr">
        <is>
          <t>Nuevo – NetSuite con existencia</t>
        </is>
      </c>
      <c r="AH282" s="156" t="inlineStr">
        <is>
          <t>Composición CAPSLAB varía por modelo (50/50, 40/60 o 100% poliéster): validar etiqueta; Talla: Talla infantil (JR) (origen «UNI JR»); Color por validar; Físico total NetSuite 104 ≠ suma por ubicación 56 | Revisión 29/09/2026: Talla fuente Talla única sin equivalencia exacta en Criterios para Talla Niño (numérica); Marca CAPSLAB fuera de lista Criterios; Campos sin respaldo: N, O, P, U, Y; Auditoría NetSuite 30/09/2026: llenado desde NetSuite [Z] | Homologación G1522 06/10/2026: Validador Shopify: WB: precio con IVA no termina en 9</t>
        </is>
      </c>
      <c r="AI282" s="156" t="inlineStr">
        <is>
          <t>No</t>
        </is>
      </c>
      <c r="AJ282" s="156" t="n"/>
      <c r="AK282" s="155" t="inlineStr">
        <is>
          <t>G1522ProductosTodosloscamposSandboxResults894.xlsx: fila 48102 [X]; G1522_Extraccion_Articulos_NetSuite_2026-09-30.xlsx: fila 30418 [Z]</t>
        </is>
      </c>
      <c r="AL282" s="58" t="n"/>
      <c r="AM282" s="58" t="n"/>
      <c r="AN282" s="155" t="n"/>
      <c r="AO282" s="59" t="n"/>
      <c r="AP282" s="59" t="n"/>
      <c r="AQ282" s="59" t="n"/>
      <c r="AR282" s="155" t="n"/>
    </row>
    <row r="283">
      <c r="A283" s="50" t="inlineStr">
        <is>
          <t>3614001629091</t>
        </is>
      </c>
      <c r="B283" s="51" t="inlineStr">
        <is>
          <t>69692</t>
        </is>
      </c>
      <c r="C283" s="156" t="inlineStr">
        <is>
          <t>CAPSLAB</t>
        </is>
      </c>
      <c r="D283" s="156" t="inlineStr">
        <is>
          <t>CL/OP2/1/CAS/CHO3</t>
        </is>
      </c>
      <c r="E283" s="156" t="inlineStr">
        <is>
          <t>CL/OP2/1/CAS/CHO3-UNI</t>
        </is>
      </c>
      <c r="F283" s="156" t="inlineStr">
        <is>
          <t>Talla única</t>
        </is>
      </c>
      <c r="G283" s="156" t="inlineStr">
        <is>
          <t>One Size</t>
        </is>
      </c>
      <c r="H283" s="156" t="inlineStr">
        <is>
          <t>CAPSLAB</t>
        </is>
      </c>
      <c r="I283" s="156" t="inlineStr">
        <is>
          <t>Gorra trucker CAPSLAB One Piece</t>
        </is>
      </c>
      <c r="J283" s="156" t="inlineStr">
        <is>
          <t>Accesorios</t>
        </is>
      </c>
      <c r="K283" s="156" t="inlineStr">
        <is>
          <t>Gorras</t>
        </is>
      </c>
      <c r="L283" s="156" t="inlineStr">
        <is>
          <t>Unisex</t>
        </is>
      </c>
      <c r="M283" s="156" t="inlineStr">
        <is>
          <t>One Piece</t>
        </is>
      </c>
      <c r="N283" s="156" t="n"/>
      <c r="O283" s="156" t="n"/>
      <c r="P283" s="156" t="n"/>
      <c r="Q283" s="156" t="n"/>
      <c r="R283" s="156" t="n"/>
      <c r="S283" s="156" t="inlineStr">
        <is>
          <t>Algodón / Poliéster</t>
        </is>
      </c>
      <c r="T283" s="156" t="inlineStr">
        <is>
          <t>Gorra trucker de la marca CAPSLAB bajo licencia oficial One Piece. Talla única ajustable. Estilo CL/OP2/1/CAS/CHO3.</t>
        </is>
      </c>
      <c r="U283" s="156" t="n"/>
      <c r="V283" s="156" t="inlineStr">
        <is>
          <t>PZS</t>
        </is>
      </c>
      <c r="W283" s="51" t="inlineStr">
        <is>
          <t>53102516</t>
        </is>
      </c>
      <c r="X283" s="156" t="inlineStr">
        <is>
          <t>https://i.ibb.co/Bjv9J47/CLOP21-CASCHO3.jpg</t>
        </is>
      </c>
      <c r="Y283" s="54" t="n"/>
      <c r="Z283" s="54" t="n">
        <v>699</v>
      </c>
      <c r="AA283" s="55">
        <f>IF(AND(A283="", B283="", E283=""), "", IF(AB283="", "Válido", IF((LEN(AB283)-LEN(SUBSTITUTE(AB283,"; ","")))/2+1&gt;(LEN(AB283)-LEN(SUBSTITUTE(AB283,"[Aviso]","")))/7, "Con Incidencias", "Válido")))</f>
        <v/>
      </c>
      <c r="AB283" s="56">
        <f>IF(AND(A283="", B283="", E283=""), "", TEXTJOIN("; ", TRUE, IF(OR(TRIM(A283&amp;"")="", ISNUMBER(SEARCH("FALTA", A283))), "UPC faltante/inválido", ""), IF(AND(A283&lt;&gt;"", IFERROR(_xlfn.XMATCH(A283,$A$2:$A$370,0,1)&lt;&gt;_xlfn.XMATCH(A283,$A$2:$A$370,0,-1),FALSE)), "Código de barras duplicado", ""), IF(AND(E283&lt;&gt;"", COUNTIF($E$2:$E$370, E283)&gt;1), "SKU duplicado", ""), IF(OR(J283="", J283=""), "[Aviso] División no capturada ()", IF(ISNA(MATCH(J283, Criterios!$A$123:$A$126, 0)), "División no válida", "")), IF(OR(K283="", K283=""), "[Aviso] Categoría no capturada ()", IF(ISNA(MATCH(K283, Criterios!$A$81:$A$120, 0)), "Categoría no válida", IF(AND(J283&lt;&gt;"", J283&lt;&gt;"", J283&lt;&gt;VLOOKUP(K283, Criterios!$A$81:$B$120, 2, FALSE)), "División no coincide con Categoría", ""))), IF(OR(L283="", L283=""), "[Aviso] Género no capturado ()", IF(ISNA(MATCH(L283, Criterios!$B$123:$B$127, 0)), "Género no válido", "")), IF(OR(N283="", N283=""), "[Aviso] Temporada no capturada ()", IF(ISNA(MATCH(N283, Criterios!$C$123:$C$128, 0)), "Temporada no válida", "")), IF(OR(O283="", O283=""), "[Aviso] Ciclo de vida no capturado ()", IF(ISNA(MATCH(O283, Criterios!$D$123:$D$124, 0)), "Ciclo de vida no válido", ""))))</f>
        <v/>
      </c>
      <c r="AC283" s="56" t="n"/>
      <c r="AD283" s="51" t="n">
        <v>0</v>
      </c>
      <c r="AE283" s="156" t="n"/>
      <c r="AF283" s="51" t="n">
        <v>0</v>
      </c>
      <c r="AG283" s="156" t="inlineStr">
        <is>
          <t>Nuevo – NetSuite sin existencia</t>
        </is>
      </c>
      <c r="AH283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83" s="156" t="inlineStr">
        <is>
          <t>No</t>
        </is>
      </c>
      <c r="AJ283" s="156" t="n"/>
      <c r="AK283" s="155" t="inlineStr">
        <is>
          <t>G1522ProductosTodosloscamposSandboxResults894.xlsx: fila 48104 [X]; G1522_Extraccion_Articulos_NetSuite_2026-09-30.xlsx: fila 30419 [Z]</t>
        </is>
      </c>
      <c r="AL283" s="58" t="n"/>
      <c r="AM283" s="58" t="n"/>
      <c r="AN283" s="155" t="n"/>
      <c r="AO283" s="59" t="n"/>
      <c r="AP283" s="59" t="n"/>
      <c r="AQ283" s="59" t="n"/>
      <c r="AR283" s="155" t="n"/>
    </row>
    <row r="284">
      <c r="A284" s="50" t="inlineStr">
        <is>
          <t>3614001553471</t>
        </is>
      </c>
      <c r="B284" s="51" t="inlineStr">
        <is>
          <t>69693</t>
        </is>
      </c>
      <c r="C284" s="156" t="inlineStr">
        <is>
          <t>CAPSLAB</t>
        </is>
      </c>
      <c r="D284" s="156" t="inlineStr">
        <is>
          <t>CL/OP2/1/CAS/LUF1</t>
        </is>
      </c>
      <c r="E284" s="156" t="inlineStr">
        <is>
          <t>CL/OP2/1/CAS/LUF1-UNI</t>
        </is>
      </c>
      <c r="F284" s="156" t="inlineStr">
        <is>
          <t>Talla única</t>
        </is>
      </c>
      <c r="G284" s="156" t="inlineStr">
        <is>
          <t>One Size</t>
        </is>
      </c>
      <c r="H284" s="156" t="inlineStr">
        <is>
          <t>CAPSLAB</t>
        </is>
      </c>
      <c r="I284" s="156" t="inlineStr">
        <is>
          <t>Gorra trucker CAPSLAB One Piece Luffy</t>
        </is>
      </c>
      <c r="J284" s="156" t="inlineStr">
        <is>
          <t>Accesorios</t>
        </is>
      </c>
      <c r="K284" s="156" t="inlineStr">
        <is>
          <t>Gorras</t>
        </is>
      </c>
      <c r="L284" s="156" t="inlineStr">
        <is>
          <t>Unisex</t>
        </is>
      </c>
      <c r="M284" s="156" t="inlineStr">
        <is>
          <t>One Piece</t>
        </is>
      </c>
      <c r="N284" s="156" t="n"/>
      <c r="O284" s="156" t="n"/>
      <c r="P284" s="156" t="n"/>
      <c r="Q284" s="156" t="n"/>
      <c r="R284" s="156" t="n"/>
      <c r="S284" s="156" t="inlineStr">
        <is>
          <t>Algodón / Poliéster</t>
        </is>
      </c>
      <c r="T284" s="156" t="inlineStr">
        <is>
          <t>Gorra trucker de la marca CAPSLAB bajo licencia oficial One Piece, personaje Luffy. Talla única ajustable. Estilo CL/OP2/1/CAS/LUF1.</t>
        </is>
      </c>
      <c r="U284" s="156" t="n"/>
      <c r="V284" s="156" t="inlineStr">
        <is>
          <t>PZS</t>
        </is>
      </c>
      <c r="W284" s="51" t="inlineStr">
        <is>
          <t>53102516</t>
        </is>
      </c>
      <c r="X284" s="156" t="inlineStr">
        <is>
          <t>https://i.ibb.co/GxbN5mf/CLOP21-CASLUF1.jpg</t>
        </is>
      </c>
      <c r="Y284" s="54" t="n"/>
      <c r="Z284" s="54" t="n">
        <v>699</v>
      </c>
      <c r="AA284" s="55">
        <f>IF(AND(A284="", B284="", E284=""), "", IF(AB284="", "Válido", IF((LEN(AB284)-LEN(SUBSTITUTE(AB284,"; ","")))/2+1&gt;(LEN(AB284)-LEN(SUBSTITUTE(AB284,"[Aviso]","")))/7, "Con Incidencias", "Válido")))</f>
        <v/>
      </c>
      <c r="AB284" s="56">
        <f>IF(AND(A284="", B284="", E284=""), "", TEXTJOIN("; ", TRUE, IF(OR(TRIM(A284&amp;"")="", ISNUMBER(SEARCH("FALTA", A284))), "UPC faltante/inválido", ""), IF(AND(A284&lt;&gt;"", IFERROR(_xlfn.XMATCH(A284,$A$2:$A$370,0,1)&lt;&gt;_xlfn.XMATCH(A284,$A$2:$A$370,0,-1),FALSE)), "Código de barras duplicado", ""), IF(AND(E284&lt;&gt;"", COUNTIF($E$2:$E$370, E284)&gt;1), "SKU duplicado", ""), IF(OR(J284="", J284=""), "[Aviso] División no capturada ()", IF(ISNA(MATCH(J284, Criterios!$A$123:$A$126, 0)), "División no válida", "")), IF(OR(K284="", K284=""), "[Aviso] Categoría no capturada ()", IF(ISNA(MATCH(K284, Criterios!$A$81:$A$120, 0)), "Categoría no válida", IF(AND(J284&lt;&gt;"", J284&lt;&gt;"", J284&lt;&gt;VLOOKUP(K284, Criterios!$A$81:$B$120, 2, FALSE)), "División no coincide con Categoría", ""))), IF(OR(L284="", L284=""), "[Aviso] Género no capturado ()", IF(ISNA(MATCH(L284, Criterios!$B$123:$B$127, 0)), "Género no válido", "")), IF(OR(N284="", N284=""), "[Aviso] Temporada no capturada ()", IF(ISNA(MATCH(N284, Criterios!$C$123:$C$128, 0)), "Temporada no válida", "")), IF(OR(O284="", O284=""), "[Aviso] Ciclo de vida no capturado ()", IF(ISNA(MATCH(O284, Criterios!$D$123:$D$124, 0)), "Ciclo de vida no válido", ""))))</f>
        <v/>
      </c>
      <c r="AC284" s="56" t="n"/>
      <c r="AD284" s="51" t="n">
        <v>113</v>
      </c>
      <c r="AE284" s="156" t="inlineStr">
        <is>
          <t>CL Muestras (2); Web (2); CAPSLAB Warehouse (62)</t>
        </is>
      </c>
      <c r="AF284" s="51" t="n">
        <v>113</v>
      </c>
      <c r="AG284" s="156" t="inlineStr">
        <is>
          <t>Nuevo – NetSuite con existencia</t>
        </is>
      </c>
      <c r="AH284" s="156" t="inlineStr">
        <is>
          <t>Composición CAPSLAB varía por modelo (50/50, 40/60 o 100% poliéster): validar etiqueta; Color por validar; Físico total NetSuite 113 ≠ suma por ubicación 66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84" s="156" t="inlineStr">
        <is>
          <t>No</t>
        </is>
      </c>
      <c r="AJ284" s="156" t="n"/>
      <c r="AK284" s="155" t="inlineStr">
        <is>
          <t>G1522ProductosTodosloscamposSandboxResults894.xlsx: fila 48106 [X]; G1522_Extraccion_Articulos_NetSuite_2026-09-30.xlsx: fila 30420 [Z]</t>
        </is>
      </c>
      <c r="AL284" s="58" t="n"/>
      <c r="AM284" s="58" t="n"/>
      <c r="AN284" s="155" t="n"/>
      <c r="AO284" s="59" t="n"/>
      <c r="AP284" s="59" t="n"/>
      <c r="AQ284" s="59" t="n"/>
      <c r="AR284" s="155" t="n"/>
    </row>
    <row r="285">
      <c r="A285" s="50" t="inlineStr">
        <is>
          <t>3614001553488</t>
        </is>
      </c>
      <c r="B285" s="51" t="inlineStr">
        <is>
          <t>69695</t>
        </is>
      </c>
      <c r="C285" s="156" t="inlineStr">
        <is>
          <t>CAPSLAB</t>
        </is>
      </c>
      <c r="D285" s="156" t="inlineStr">
        <is>
          <t>CL/OP2/1/CAS/LUF4</t>
        </is>
      </c>
      <c r="E285" s="156" t="inlineStr">
        <is>
          <t>CL/OP2/1/CAS/LUF4-UNI</t>
        </is>
      </c>
      <c r="F285" s="156" t="inlineStr">
        <is>
          <t>Talla única</t>
        </is>
      </c>
      <c r="G285" s="156" t="inlineStr">
        <is>
          <t>One Size</t>
        </is>
      </c>
      <c r="H285" s="156" t="inlineStr">
        <is>
          <t>CAPSLAB</t>
        </is>
      </c>
      <c r="I285" s="156" t="inlineStr">
        <is>
          <t>Gorra trucker CAPSLAB One Piece Luffy</t>
        </is>
      </c>
      <c r="J285" s="156" t="inlineStr">
        <is>
          <t>Accesorios</t>
        </is>
      </c>
      <c r="K285" s="156" t="inlineStr">
        <is>
          <t>Gorras</t>
        </is>
      </c>
      <c r="L285" s="156" t="inlineStr">
        <is>
          <t>Unisex</t>
        </is>
      </c>
      <c r="M285" s="156" t="inlineStr">
        <is>
          <t>One Piece</t>
        </is>
      </c>
      <c r="N285" s="156" t="n"/>
      <c r="O285" s="156" t="n"/>
      <c r="P285" s="156" t="n"/>
      <c r="Q285" s="156" t="n"/>
      <c r="R285" s="156" t="n"/>
      <c r="S285" s="156" t="inlineStr">
        <is>
          <t>Algodón / Poliéster</t>
        </is>
      </c>
      <c r="T285" s="156" t="inlineStr">
        <is>
          <t>Gorra trucker de la marca CAPSLAB bajo licencia oficial One Piece, personaje Luffy. Talla única ajustable. Estilo CL/OP2/1/CAS/LUF4.</t>
        </is>
      </c>
      <c r="U285" s="156" t="n"/>
      <c r="V285" s="156" t="inlineStr">
        <is>
          <t>PZS</t>
        </is>
      </c>
      <c r="W285" s="51" t="inlineStr">
        <is>
          <t>53102516</t>
        </is>
      </c>
      <c r="X285" s="156" t="inlineStr">
        <is>
          <t>https://i.ibb.co/5L3W06D/CLOP21-CASLUF4.jpg</t>
        </is>
      </c>
      <c r="Y285" s="54" t="n"/>
      <c r="Z285" s="54" t="n">
        <v>699</v>
      </c>
      <c r="AA285" s="55">
        <f>IF(AND(A285="", B285="", E285=""), "", IF(AB285="", "Válido", IF((LEN(AB285)-LEN(SUBSTITUTE(AB285,"; ","")))/2+1&gt;(LEN(AB285)-LEN(SUBSTITUTE(AB285,"[Aviso]","")))/7, "Con Incidencias", "Válido")))</f>
        <v/>
      </c>
      <c r="AB285" s="56">
        <f>IF(AND(A285="", B285="", E285=""), "", TEXTJOIN("; ", TRUE, IF(OR(TRIM(A285&amp;"")="", ISNUMBER(SEARCH("FALTA", A285))), "UPC faltante/inválido", ""), IF(AND(A285&lt;&gt;"", IFERROR(_xlfn.XMATCH(A285,$A$2:$A$370,0,1)&lt;&gt;_xlfn.XMATCH(A285,$A$2:$A$370,0,-1),FALSE)), "Código de barras duplicado", ""), IF(AND(E285&lt;&gt;"", COUNTIF($E$2:$E$370, E285)&gt;1), "SKU duplicado", ""), IF(OR(J285="", J285=""), "[Aviso] División no capturada ()", IF(ISNA(MATCH(J285, Criterios!$A$123:$A$126, 0)), "División no válida", "")), IF(OR(K285="", K285=""), "[Aviso] Categoría no capturada ()", IF(ISNA(MATCH(K285, Criterios!$A$81:$A$120, 0)), "Categoría no válida", IF(AND(J285&lt;&gt;"", J285&lt;&gt;"", J285&lt;&gt;VLOOKUP(K285, Criterios!$A$81:$B$120, 2, FALSE)), "División no coincide con Categoría", ""))), IF(OR(L285="", L285=""), "[Aviso] Género no capturado ()", IF(ISNA(MATCH(L285, Criterios!$B$123:$B$127, 0)), "Género no válido", "")), IF(OR(N285="", N285=""), "[Aviso] Temporada no capturada ()", IF(ISNA(MATCH(N285, Criterios!$C$123:$C$128, 0)), "Temporada no válida", "")), IF(OR(O285="", O285=""), "[Aviso] Ciclo de vida no capturado ()", IF(ISNA(MATCH(O285, Criterios!$D$123:$D$124, 0)), "Ciclo de vida no válido", ""))))</f>
        <v/>
      </c>
      <c r="AC285" s="56" t="n"/>
      <c r="AD285" s="51" t="n">
        <v>4</v>
      </c>
      <c r="AE285" s="156" t="inlineStr">
        <is>
          <t>CAPSLAB Warehouse (1); Web (2)</t>
        </is>
      </c>
      <c r="AF285" s="51" t="n">
        <v>4</v>
      </c>
      <c r="AG285" s="156" t="inlineStr">
        <is>
          <t>Nuevo – NetSuite con existencia</t>
        </is>
      </c>
      <c r="AH285" s="156" t="inlineStr">
        <is>
          <t>Composición CAPSLAB varía por modelo (50/50, 40/60 o 100% poliéster): validar etiqueta; Color por validar; Físico total NetSuite 4 ≠ suma por ubicación 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85" s="156" t="inlineStr">
        <is>
          <t>No</t>
        </is>
      </c>
      <c r="AJ285" s="156" t="n"/>
      <c r="AK285" s="155" t="inlineStr">
        <is>
          <t>G1522ProductosTodosloscamposSandboxResults894.xlsx: fila 48108 [X]; G1522_Extraccion_Articulos_NetSuite_2026-09-30.xlsx: fila 30421 [Z]</t>
        </is>
      </c>
      <c r="AL285" s="58" t="n"/>
      <c r="AM285" s="58" t="n"/>
      <c r="AN285" s="155" t="n"/>
      <c r="AO285" s="59" t="n"/>
      <c r="AP285" s="59" t="n"/>
      <c r="AQ285" s="59" t="n"/>
      <c r="AR285" s="155" t="n"/>
    </row>
    <row r="286">
      <c r="A286" s="50" t="inlineStr">
        <is>
          <t>3614001553495</t>
        </is>
      </c>
      <c r="B286" s="51" t="inlineStr">
        <is>
          <t>69696</t>
        </is>
      </c>
      <c r="C286" s="156" t="inlineStr">
        <is>
          <t>CAPSLAB</t>
        </is>
      </c>
      <c r="D286" s="156" t="inlineStr">
        <is>
          <t>CL/OP2/1/CAS/ONE1</t>
        </is>
      </c>
      <c r="E286" s="156" t="inlineStr">
        <is>
          <t>CL/OP2/1/CAS/ONE1-UNI</t>
        </is>
      </c>
      <c r="F286" s="156" t="inlineStr">
        <is>
          <t>Talla única</t>
        </is>
      </c>
      <c r="G286" s="156" t="inlineStr">
        <is>
          <t>One Size</t>
        </is>
      </c>
      <c r="H286" s="156" t="inlineStr">
        <is>
          <t>CAPSLAB</t>
        </is>
      </c>
      <c r="I286" s="156" t="inlineStr">
        <is>
          <t>Gorra trucker CAPSLAB One Piece</t>
        </is>
      </c>
      <c r="J286" s="156" t="inlineStr">
        <is>
          <t>Accesorios</t>
        </is>
      </c>
      <c r="K286" s="156" t="inlineStr">
        <is>
          <t>Gorras</t>
        </is>
      </c>
      <c r="L286" s="156" t="inlineStr">
        <is>
          <t>Unisex</t>
        </is>
      </c>
      <c r="M286" s="156" t="inlineStr">
        <is>
          <t>One Piece</t>
        </is>
      </c>
      <c r="N286" s="156" t="n"/>
      <c r="O286" s="156" t="n"/>
      <c r="P286" s="156" t="n"/>
      <c r="Q286" s="156" t="n"/>
      <c r="R286" s="156" t="n"/>
      <c r="S286" s="156" t="inlineStr">
        <is>
          <t>Algodón / Poliéster</t>
        </is>
      </c>
      <c r="T286" s="156" t="inlineStr">
        <is>
          <t>Gorra trucker de la marca CAPSLAB bajo licencia oficial One Piece. Talla única ajustable. Estilo CL/OP2/1/CAS/ONE1.</t>
        </is>
      </c>
      <c r="U286" s="156" t="n"/>
      <c r="V286" s="156" t="inlineStr">
        <is>
          <t>PZS</t>
        </is>
      </c>
      <c r="W286" s="51" t="inlineStr">
        <is>
          <t>53102516</t>
        </is>
      </c>
      <c r="X286" s="156" t="inlineStr">
        <is>
          <t>https://i.ibb.co/Dr7QR7d/CLOP21-CASONE1.jpg</t>
        </is>
      </c>
      <c r="Y286" s="54" t="n"/>
      <c r="Z286" s="54" t="n">
        <v>699</v>
      </c>
      <c r="AA286" s="55">
        <f>IF(AND(A286="", B286="", E286=""), "", IF(AB286="", "Válido", IF((LEN(AB286)-LEN(SUBSTITUTE(AB286,"; ","")))/2+1&gt;(LEN(AB286)-LEN(SUBSTITUTE(AB286,"[Aviso]","")))/7, "Con Incidencias", "Válido")))</f>
        <v/>
      </c>
      <c r="AB286" s="56">
        <f>IF(AND(A286="", B286="", E286=""), "", TEXTJOIN("; ", TRUE, IF(OR(TRIM(A286&amp;"")="", ISNUMBER(SEARCH("FALTA", A286))), "UPC faltante/inválido", ""), IF(AND(A286&lt;&gt;"", IFERROR(_xlfn.XMATCH(A286,$A$2:$A$370,0,1)&lt;&gt;_xlfn.XMATCH(A286,$A$2:$A$370,0,-1),FALSE)), "Código de barras duplicado", ""), IF(AND(E286&lt;&gt;"", COUNTIF($E$2:$E$370, E286)&gt;1), "SKU duplicado", ""), IF(OR(J286="", J286=""), "[Aviso] División no capturada ()", IF(ISNA(MATCH(J286, Criterios!$A$123:$A$126, 0)), "División no válida", "")), IF(OR(K286="", K286=""), "[Aviso] Categoría no capturada ()", IF(ISNA(MATCH(K286, Criterios!$A$81:$A$120, 0)), "Categoría no válida", IF(AND(J286&lt;&gt;"", J286&lt;&gt;"", J286&lt;&gt;VLOOKUP(K286, Criterios!$A$81:$B$120, 2, FALSE)), "División no coincide con Categoría", ""))), IF(OR(L286="", L286=""), "[Aviso] Género no capturado ()", IF(ISNA(MATCH(L286, Criterios!$B$123:$B$127, 0)), "Género no válido", "")), IF(OR(N286="", N286=""), "[Aviso] Temporada no capturada ()", IF(ISNA(MATCH(N286, Criterios!$C$123:$C$128, 0)), "Temporada no válida", "")), IF(OR(O286="", O286=""), "[Aviso] Ciclo de vida no capturado ()", IF(ISNA(MATCH(O286, Criterios!$D$123:$D$124, 0)), "Ciclo de vida no válido", ""))))</f>
        <v/>
      </c>
      <c r="AC286" s="56" t="n"/>
      <c r="AD286" s="51" t="n">
        <v>21</v>
      </c>
      <c r="AE286" s="156" t="inlineStr">
        <is>
          <t>Web (2); CL Muestras (2); CAPSLAB Warehouse (18)</t>
        </is>
      </c>
      <c r="AF286" s="51" t="n">
        <v>22</v>
      </c>
      <c r="AG286" s="156" t="inlineStr">
        <is>
          <t>Nuevo – NetSuite con existencia</t>
        </is>
      </c>
      <c r="AH286" s="156" t="inlineStr">
        <is>
          <t>Composición CAPSLAB varía por modelo (50/50, 40/60 o 100% poliéster): validar etiqueta; Color por validar; Físico total NetSuite 21 ≠ suma por ubicación 22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86" s="156" t="inlineStr">
        <is>
          <t>No</t>
        </is>
      </c>
      <c r="AJ286" s="156" t="n"/>
      <c r="AK286" s="155" t="inlineStr">
        <is>
          <t>G1522ProductosTodosloscamposSandboxResults894.xlsx: fila 48110 [X]; G1522_Extraccion_Articulos_NetSuite_2026-09-30.xlsx: fila 30422 [Z]</t>
        </is>
      </c>
      <c r="AL286" s="58" t="n"/>
      <c r="AM286" s="58" t="n"/>
      <c r="AN286" s="155" t="n"/>
      <c r="AO286" s="59" t="n"/>
      <c r="AP286" s="59" t="n"/>
      <c r="AQ286" s="59" t="n"/>
      <c r="AR286" s="155" t="n"/>
    </row>
    <row r="287">
      <c r="A287" s="50" t="inlineStr">
        <is>
          <t>3614001553501</t>
        </is>
      </c>
      <c r="B287" s="51" t="inlineStr">
        <is>
          <t>69698</t>
        </is>
      </c>
      <c r="C287" s="156" t="inlineStr">
        <is>
          <t>CAPSLAB</t>
        </is>
      </c>
      <c r="D287" s="156" t="inlineStr">
        <is>
          <t>CL/OP2/1/CAS/ONE2</t>
        </is>
      </c>
      <c r="E287" s="156" t="inlineStr">
        <is>
          <t>CL/OP2/1/CAS/ONE2-UNI</t>
        </is>
      </c>
      <c r="F287" s="156" t="inlineStr">
        <is>
          <t>Talla única</t>
        </is>
      </c>
      <c r="G287" s="156" t="inlineStr">
        <is>
          <t>One Size</t>
        </is>
      </c>
      <c r="H287" s="156" t="inlineStr">
        <is>
          <t>CAPSLAB</t>
        </is>
      </c>
      <c r="I287" s="156" t="inlineStr">
        <is>
          <t>Gorra trucker CAPSLAB One Piece</t>
        </is>
      </c>
      <c r="J287" s="156" t="inlineStr">
        <is>
          <t>Accesorios</t>
        </is>
      </c>
      <c r="K287" s="156" t="inlineStr">
        <is>
          <t>Gorras</t>
        </is>
      </c>
      <c r="L287" s="156" t="inlineStr">
        <is>
          <t>Unisex</t>
        </is>
      </c>
      <c r="M287" s="156" t="inlineStr">
        <is>
          <t>One Piece</t>
        </is>
      </c>
      <c r="N287" s="156" t="n"/>
      <c r="O287" s="156" t="n"/>
      <c r="P287" s="156" t="n"/>
      <c r="Q287" s="156" t="n"/>
      <c r="R287" s="156" t="n"/>
      <c r="S287" s="156" t="inlineStr">
        <is>
          <t>Algodón / Poliéster</t>
        </is>
      </c>
      <c r="T287" s="156" t="inlineStr">
        <is>
          <t>Gorra trucker de la marca CAPSLAB bajo licencia oficial One Piece. Talla única ajustable. Estilo CL/OP2/1/CAS/ONE2.</t>
        </is>
      </c>
      <c r="U287" s="156" t="n"/>
      <c r="V287" s="156" t="inlineStr">
        <is>
          <t>PZS</t>
        </is>
      </c>
      <c r="W287" s="51" t="inlineStr">
        <is>
          <t>53102516</t>
        </is>
      </c>
      <c r="X287" s="156" t="inlineStr">
        <is>
          <t>https://i.ibb.co/svvwTg7/CLOP21-CASONE2.jpg</t>
        </is>
      </c>
      <c r="Y287" s="54" t="n"/>
      <c r="Z287" s="54" t="n">
        <v>699</v>
      </c>
      <c r="AA287" s="55">
        <f>IF(AND(A287="", B287="", E287=""), "", IF(AB287="", "Válido", IF((LEN(AB287)-LEN(SUBSTITUTE(AB287,"; ","")))/2+1&gt;(LEN(AB287)-LEN(SUBSTITUTE(AB287,"[Aviso]","")))/7, "Con Incidencias", "Válido")))</f>
        <v/>
      </c>
      <c r="AB287" s="56">
        <f>IF(AND(A287="", B287="", E287=""), "", TEXTJOIN("; ", TRUE, IF(OR(TRIM(A287&amp;"")="", ISNUMBER(SEARCH("FALTA", A287))), "UPC faltante/inválido", ""), IF(AND(A287&lt;&gt;"", IFERROR(_xlfn.XMATCH(A287,$A$2:$A$370,0,1)&lt;&gt;_xlfn.XMATCH(A287,$A$2:$A$370,0,-1),FALSE)), "Código de barras duplicado", ""), IF(AND(E287&lt;&gt;"", COUNTIF($E$2:$E$370, E287)&gt;1), "SKU duplicado", ""), IF(OR(J287="", J287=""), "[Aviso] División no capturada ()", IF(ISNA(MATCH(J287, Criterios!$A$123:$A$126, 0)), "División no válida", "")), IF(OR(K287="", K287=""), "[Aviso] Categoría no capturada ()", IF(ISNA(MATCH(K287, Criterios!$A$81:$A$120, 0)), "Categoría no válida", IF(AND(J287&lt;&gt;"", J287&lt;&gt;"", J287&lt;&gt;VLOOKUP(K287, Criterios!$A$81:$B$120, 2, FALSE)), "División no coincide con Categoría", ""))), IF(OR(L287="", L287=""), "[Aviso] Género no capturado ()", IF(ISNA(MATCH(L287, Criterios!$B$123:$B$127, 0)), "Género no válido", "")), IF(OR(N287="", N287=""), "[Aviso] Temporada no capturada ()", IF(ISNA(MATCH(N287, Criterios!$C$123:$C$128, 0)), "Temporada no válida", "")), IF(OR(O287="", O287=""), "[Aviso] Ciclo de vida no capturado ()", IF(ISNA(MATCH(O287, Criterios!$D$123:$D$124, 0)), "Ciclo de vida no válido", ""))))</f>
        <v/>
      </c>
      <c r="AC287" s="56" t="n"/>
      <c r="AD287" s="51" t="n">
        <v>66</v>
      </c>
      <c r="AE287" s="156" t="inlineStr">
        <is>
          <t>CL Muestras (2); CAPSLAB Warehouse (41); Web (3)</t>
        </is>
      </c>
      <c r="AF287" s="51" t="n">
        <v>66</v>
      </c>
      <c r="AG287" s="156" t="inlineStr">
        <is>
          <t>Nuevo – NetSuite con existencia</t>
        </is>
      </c>
      <c r="AH287" s="156" t="inlineStr">
        <is>
          <t>Composición CAPSLAB varía por modelo (50/50, 40/60 o 100% poliéster): validar etiqueta; Color por validar; Físico total NetSuite 66 ≠ suma por ubicación 46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87" s="156" t="inlineStr">
        <is>
          <t>No</t>
        </is>
      </c>
      <c r="AJ287" s="156" t="n"/>
      <c r="AK287" s="155" t="inlineStr">
        <is>
          <t>G1522ProductosTodosloscamposSandboxResults894.xlsx: fila 48112 [X]; G1522_Extraccion_Articulos_NetSuite_2026-09-30.xlsx: fila 30423 [Z]</t>
        </is>
      </c>
      <c r="AL287" s="58" t="n"/>
      <c r="AM287" s="58" t="n"/>
      <c r="AN287" s="155" t="n"/>
      <c r="AO287" s="59" t="n"/>
      <c r="AP287" s="59" t="n"/>
      <c r="AQ287" s="59" t="n"/>
      <c r="AR287" s="155" t="n"/>
    </row>
    <row r="288">
      <c r="A288" s="50" t="inlineStr">
        <is>
          <t>3614001553518</t>
        </is>
      </c>
      <c r="B288" s="51" t="inlineStr">
        <is>
          <t>69699</t>
        </is>
      </c>
      <c r="C288" s="156" t="inlineStr">
        <is>
          <t>CAPSLAB</t>
        </is>
      </c>
      <c r="D288" s="156" t="inlineStr">
        <is>
          <t>CL/OP2/1/CAS/WAN1</t>
        </is>
      </c>
      <c r="E288" s="156" t="inlineStr">
        <is>
          <t>CL/OP2/1/CAS/WAN1-UNI</t>
        </is>
      </c>
      <c r="F288" s="156" t="inlineStr">
        <is>
          <t>Talla única</t>
        </is>
      </c>
      <c r="G288" s="156" t="inlineStr">
        <is>
          <t>One Size</t>
        </is>
      </c>
      <c r="H288" s="156" t="inlineStr">
        <is>
          <t>CAPSLAB</t>
        </is>
      </c>
      <c r="I288" s="156" t="inlineStr">
        <is>
          <t>Gorra trucker CAPSLAB One Piece</t>
        </is>
      </c>
      <c r="J288" s="156" t="inlineStr">
        <is>
          <t>Accesorios</t>
        </is>
      </c>
      <c r="K288" s="156" t="inlineStr">
        <is>
          <t>Gorras</t>
        </is>
      </c>
      <c r="L288" s="156" t="inlineStr">
        <is>
          <t>Unisex</t>
        </is>
      </c>
      <c r="M288" s="156" t="inlineStr">
        <is>
          <t>One Piece</t>
        </is>
      </c>
      <c r="N288" s="156" t="n"/>
      <c r="O288" s="156" t="n"/>
      <c r="P288" s="156" t="n"/>
      <c r="Q288" s="156" t="n"/>
      <c r="R288" s="156" t="n"/>
      <c r="S288" s="156" t="inlineStr">
        <is>
          <t>Algodón / Poliéster</t>
        </is>
      </c>
      <c r="T288" s="156" t="inlineStr">
        <is>
          <t>Gorra trucker de la marca CAPSLAB bajo licencia oficial One Piece. Talla única ajustable. Estilo CL/OP2/1/CAS/WAN1.</t>
        </is>
      </c>
      <c r="U288" s="156" t="n"/>
      <c r="V288" s="156" t="inlineStr">
        <is>
          <t>PZS</t>
        </is>
      </c>
      <c r="W288" s="51" t="inlineStr">
        <is>
          <t>53102516</t>
        </is>
      </c>
      <c r="X288" s="156" t="inlineStr">
        <is>
          <t>https://i.ibb.co/wsBwVqt/CLOP21-CASWAN1.jpg</t>
        </is>
      </c>
      <c r="Y288" s="54" t="n"/>
      <c r="Z288" s="54" t="n">
        <v>699</v>
      </c>
      <c r="AA288" s="55">
        <f>IF(AND(A288="", B288="", E288=""), "", IF(AB288="", "Válido", IF((LEN(AB288)-LEN(SUBSTITUTE(AB288,"; ","")))/2+1&gt;(LEN(AB288)-LEN(SUBSTITUTE(AB288,"[Aviso]","")))/7, "Con Incidencias", "Válido")))</f>
        <v/>
      </c>
      <c r="AB288" s="56">
        <f>IF(AND(A288="", B288="", E288=""), "", TEXTJOIN("; ", TRUE, IF(OR(TRIM(A288&amp;"")="", ISNUMBER(SEARCH("FALTA", A288))), "UPC faltante/inválido", ""), IF(AND(A288&lt;&gt;"", IFERROR(_xlfn.XMATCH(A288,$A$2:$A$370,0,1)&lt;&gt;_xlfn.XMATCH(A288,$A$2:$A$370,0,-1),FALSE)), "Código de barras duplicado", ""), IF(AND(E288&lt;&gt;"", COUNTIF($E$2:$E$370, E288)&gt;1), "SKU duplicado", ""), IF(OR(J288="", J288=""), "[Aviso] División no capturada ()", IF(ISNA(MATCH(J288, Criterios!$A$123:$A$126, 0)), "División no válida", "")), IF(OR(K288="", K288=""), "[Aviso] Categoría no capturada ()", IF(ISNA(MATCH(K288, Criterios!$A$81:$A$120, 0)), "Categoría no válida", IF(AND(J288&lt;&gt;"", J288&lt;&gt;"", J288&lt;&gt;VLOOKUP(K288, Criterios!$A$81:$B$120, 2, FALSE)), "División no coincide con Categoría", ""))), IF(OR(L288="", L288=""), "[Aviso] Género no capturado ()", IF(ISNA(MATCH(L288, Criterios!$B$123:$B$127, 0)), "Género no válido", "")), IF(OR(N288="", N288=""), "[Aviso] Temporada no capturada ()", IF(ISNA(MATCH(N288, Criterios!$C$123:$C$128, 0)), "Temporada no válida", "")), IF(OR(O288="", O288=""), "[Aviso] Ciclo de vida no capturado ()", IF(ISNA(MATCH(O288, Criterios!$D$123:$D$124, 0)), "Ciclo de vida no válido", ""))))</f>
        <v/>
      </c>
      <c r="AC288" s="56" t="n"/>
      <c r="AD288" s="51" t="n">
        <v>42</v>
      </c>
      <c r="AE288" s="156" t="inlineStr">
        <is>
          <t>CL Muestras (2); CAPSLAB Warehouse (36); Web (1)</t>
        </is>
      </c>
      <c r="AF288" s="51" t="n">
        <v>42</v>
      </c>
      <c r="AG288" s="156" t="inlineStr">
        <is>
          <t>Nuevo – NetSuite con existencia</t>
        </is>
      </c>
      <c r="AH288" s="156" t="inlineStr">
        <is>
          <t>Composición CAPSLAB varía por modelo (50/50, 40/60 o 100% poliéster): validar etiqueta; Color por validar; Físico total NetSuite 42 ≠ suma por ubicación 39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88" s="156" t="inlineStr">
        <is>
          <t>No</t>
        </is>
      </c>
      <c r="AJ288" s="156" t="n"/>
      <c r="AK288" s="155" t="inlineStr">
        <is>
          <t>G1522ProductosTodosloscamposSandboxResults894.xlsx: fila 48114 [X]; G1522_Extraccion_Articulos_NetSuite_2026-09-30.xlsx: fila 30424 [Z]</t>
        </is>
      </c>
      <c r="AL288" s="58" t="n"/>
      <c r="AM288" s="58" t="n"/>
      <c r="AN288" s="155" t="n"/>
      <c r="AO288" s="59" t="n"/>
      <c r="AP288" s="59" t="n"/>
      <c r="AQ288" s="59" t="n"/>
      <c r="AR288" s="155" t="n"/>
    </row>
    <row r="289">
      <c r="A289" s="50" t="inlineStr">
        <is>
          <t>3614001629244</t>
        </is>
      </c>
      <c r="B289" s="51" t="inlineStr">
        <is>
          <t>69700</t>
        </is>
      </c>
      <c r="C289" s="156" t="inlineStr">
        <is>
          <t>CAPSLAB</t>
        </is>
      </c>
      <c r="D289" s="156" t="inlineStr">
        <is>
          <t>CL/OP2/1/CASX/LUF9</t>
        </is>
      </c>
      <c r="E289" s="156" t="inlineStr">
        <is>
          <t>CL/OP2/1/CASX/LUF9-UNI</t>
        </is>
      </c>
      <c r="F289" s="156" t="inlineStr">
        <is>
          <t>Talla única</t>
        </is>
      </c>
      <c r="G289" s="156" t="inlineStr">
        <is>
          <t>One Size</t>
        </is>
      </c>
      <c r="H289" s="156" t="inlineStr">
        <is>
          <t>CAPSLAB</t>
        </is>
      </c>
      <c r="I289" s="156" t="inlineStr">
        <is>
          <t>Gorra CAPSLAB One Piece Luffy</t>
        </is>
      </c>
      <c r="J289" s="156" t="inlineStr">
        <is>
          <t>Accesorios</t>
        </is>
      </c>
      <c r="K289" s="156" t="inlineStr">
        <is>
          <t>Gorras</t>
        </is>
      </c>
      <c r="L289" s="156" t="inlineStr">
        <is>
          <t>Unisex</t>
        </is>
      </c>
      <c r="M289" s="156" t="inlineStr">
        <is>
          <t>One Piece</t>
        </is>
      </c>
      <c r="N289" s="156" t="n"/>
      <c r="O289" s="156" t="n"/>
      <c r="P289" s="156" t="n"/>
      <c r="Q289" s="156" t="n"/>
      <c r="R289" s="156" t="n"/>
      <c r="S289" s="156" t="inlineStr">
        <is>
          <t>Algodón / Poliéster</t>
        </is>
      </c>
      <c r="T289" s="156" t="inlineStr">
        <is>
          <t>Gorra de la marca CAPSLAB bajo licencia oficial One Piece, personaje Luffy. Talla única ajustable. Estilo CL/OP2/1/CASX/LUF9.</t>
        </is>
      </c>
      <c r="U289" s="156" t="n"/>
      <c r="V289" s="156" t="inlineStr">
        <is>
          <t>PZS</t>
        </is>
      </c>
      <c r="W289" s="51" t="inlineStr">
        <is>
          <t>53102516</t>
        </is>
      </c>
      <c r="X289" s="156" t="inlineStr">
        <is>
          <t>https://i.ibb.co/ryRPyfM/CLOP21-CASXLUF9.jpg</t>
        </is>
      </c>
      <c r="Y289" s="54" t="n"/>
      <c r="Z289" s="54" t="n">
        <v>699</v>
      </c>
      <c r="AA289" s="55">
        <f>IF(AND(A289="", B289="", E289=""), "", IF(AB289="", "Válido", IF((LEN(AB289)-LEN(SUBSTITUTE(AB289,"; ","")))/2+1&gt;(LEN(AB289)-LEN(SUBSTITUTE(AB289,"[Aviso]","")))/7, "Con Incidencias", "Válido")))</f>
        <v/>
      </c>
      <c r="AB289" s="56">
        <f>IF(AND(A289="", B289="", E289=""), "", TEXTJOIN("; ", TRUE, IF(OR(TRIM(A289&amp;"")="", ISNUMBER(SEARCH("FALTA", A289))), "UPC faltante/inválido", ""), IF(AND(A289&lt;&gt;"", IFERROR(_xlfn.XMATCH(A289,$A$2:$A$370,0,1)&lt;&gt;_xlfn.XMATCH(A289,$A$2:$A$370,0,-1),FALSE)), "Código de barras duplicado", ""), IF(AND(E289&lt;&gt;"", COUNTIF($E$2:$E$370, E289)&gt;1), "SKU duplicado", ""), IF(OR(J289="", J289=""), "[Aviso] División no capturada ()", IF(ISNA(MATCH(J289, Criterios!$A$123:$A$126, 0)), "División no válida", "")), IF(OR(K289="", K289=""), "[Aviso] Categoría no capturada ()", IF(ISNA(MATCH(K289, Criterios!$A$81:$A$120, 0)), "Categoría no válida", IF(AND(J289&lt;&gt;"", J289&lt;&gt;"", J289&lt;&gt;VLOOKUP(K289, Criterios!$A$81:$B$120, 2, FALSE)), "División no coincide con Categoría", ""))), IF(OR(L289="", L289=""), "[Aviso] Género no capturado ()", IF(ISNA(MATCH(L289, Criterios!$B$123:$B$127, 0)), "Género no válido", "")), IF(OR(N289="", N289=""), "[Aviso] Temporada no capturada ()", IF(ISNA(MATCH(N289, Criterios!$C$123:$C$128, 0)), "Temporada no válida", "")), IF(OR(O289="", O289=""), "[Aviso] Ciclo de vida no capturado ()", IF(ISNA(MATCH(O289, Criterios!$D$123:$D$124, 0)), "Ciclo de vida no válido", ""))))</f>
        <v/>
      </c>
      <c r="AC289" s="56" t="n"/>
      <c r="AD289" s="51" t="n">
        <v>13</v>
      </c>
      <c r="AE289" s="156" t="inlineStr">
        <is>
          <t>CAPSLAB Warehouse (5); CL Muestras (1); Web (2)</t>
        </is>
      </c>
      <c r="AF289" s="51" t="n">
        <v>13</v>
      </c>
      <c r="AG289" s="156" t="inlineStr">
        <is>
          <t>Nuevo – NetSuite con existencia</t>
        </is>
      </c>
      <c r="AH289" s="156" t="inlineStr">
        <is>
          <t>Composición CAPSLAB varía por modelo (50/50, 40/60 o 100% poliéster): validar etiqueta; Color por validar; Físico total NetSuite 13 ≠ suma por ubicación 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89" s="156" t="inlineStr">
        <is>
          <t>No</t>
        </is>
      </c>
      <c r="AJ289" s="156" t="n"/>
      <c r="AK289" s="155" t="inlineStr">
        <is>
          <t>G1522ProductosTodosloscamposSandboxResults894.xlsx: fila 48116 [X]; G1522_Extraccion_Articulos_NetSuite_2026-09-30.xlsx: fila 30425 [Z]</t>
        </is>
      </c>
      <c r="AL289" s="58" t="n"/>
      <c r="AM289" s="58" t="n"/>
      <c r="AN289" s="155" t="n"/>
      <c r="AO289" s="59" t="n"/>
      <c r="AP289" s="59" t="n"/>
      <c r="AQ289" s="59" t="n"/>
      <c r="AR289" s="155" t="n"/>
    </row>
    <row r="290">
      <c r="A290" s="50" t="inlineStr">
        <is>
          <t>3614001553587</t>
        </is>
      </c>
      <c r="B290" s="51" t="inlineStr">
        <is>
          <t>69701</t>
        </is>
      </c>
      <c r="C290" s="156" t="inlineStr">
        <is>
          <t>CAPSLAB</t>
        </is>
      </c>
      <c r="D290" s="156" t="inlineStr">
        <is>
          <t>CL/OP2/1/HAT/CHO2</t>
        </is>
      </c>
      <c r="E290" s="156" t="inlineStr">
        <is>
          <t>CL/OP2/1/HAT/CHO2-L/XL</t>
        </is>
      </c>
      <c r="F290" s="156" t="n"/>
      <c r="G290" s="156" t="inlineStr">
        <is>
          <t>L/XL</t>
        </is>
      </c>
      <c r="H290" s="156" t="inlineStr">
        <is>
          <t>CAPSLAB</t>
        </is>
      </c>
      <c r="I290" s="156" t="inlineStr">
        <is>
          <t>Bucket hat CAPSLAB One Piece</t>
        </is>
      </c>
      <c r="J290" s="156" t="inlineStr">
        <is>
          <t>Accesorios</t>
        </is>
      </c>
      <c r="K290" s="156" t="inlineStr">
        <is>
          <t>Sombreros</t>
        </is>
      </c>
      <c r="L290" s="156" t="inlineStr">
        <is>
          <t>Unisex</t>
        </is>
      </c>
      <c r="M290" s="156" t="inlineStr">
        <is>
          <t>One Piece</t>
        </is>
      </c>
      <c r="N290" s="156" t="n"/>
      <c r="O290" s="156" t="n"/>
      <c r="P290" s="156" t="n"/>
      <c r="Q290" s="156" t="n"/>
      <c r="R290" s="156" t="n"/>
      <c r="S290" s="156" t="inlineStr">
        <is>
          <t>Algodón / Poliéster</t>
        </is>
      </c>
      <c r="T290" s="156" t="inlineStr">
        <is>
          <t>Bucket hat de la marca CAPSLAB bajo licencia oficial One Piece. Talla única ajustable. Estilo CL/OP2/1/HAT/CHO2.</t>
        </is>
      </c>
      <c r="U290" s="156" t="n"/>
      <c r="V290" s="156" t="inlineStr">
        <is>
          <t>PZS</t>
        </is>
      </c>
      <c r="W290" s="51" t="inlineStr">
        <is>
          <t>53102503</t>
        </is>
      </c>
      <c r="X290" s="156" t="inlineStr">
        <is>
          <t>https://i.ibb.co/kMc78yX/CLOP21-HATCHO2.jpg</t>
        </is>
      </c>
      <c r="Y290" s="54" t="n"/>
      <c r="Z290" s="54" t="n">
        <v>699</v>
      </c>
      <c r="AA290" s="55">
        <f>IF(AND(A290="", B290="", E290=""), "", IF(AB290="", "Válido", IF((LEN(AB290)-LEN(SUBSTITUTE(AB290,"; ","")))/2+1&gt;(LEN(AB290)-LEN(SUBSTITUTE(AB290,"[Aviso]","")))/7, "Con Incidencias", "Válido")))</f>
        <v/>
      </c>
      <c r="AB290" s="56">
        <f>IF(AND(A290="", B290="", E290=""), "", TEXTJOIN("; ", TRUE, IF(OR(TRIM(A290&amp;"")="", ISNUMBER(SEARCH("FALTA", A290))), "UPC faltante/inválido", ""), IF(AND(A290&lt;&gt;"", IFERROR(_xlfn.XMATCH(A290,$A$2:$A$370,0,1)&lt;&gt;_xlfn.XMATCH(A290,$A$2:$A$370,0,-1),FALSE)), "Código de barras duplicado", ""), IF(AND(E290&lt;&gt;"", COUNTIF($E$2:$E$370, E290)&gt;1), "SKU duplicado", ""), IF(OR(J290="", J290=""), "[Aviso] División no capturada ()", IF(ISNA(MATCH(J290, Criterios!$A$123:$A$126, 0)), "División no válida", "")), IF(OR(K290="", K290=""), "[Aviso] Categoría no capturada ()", IF(ISNA(MATCH(K290, Criterios!$A$81:$A$120, 0)), "Categoría no válida", IF(AND(J290&lt;&gt;"", J290&lt;&gt;"", J290&lt;&gt;VLOOKUP(K290, Criterios!$A$81:$B$120, 2, FALSE)), "División no coincide con Categoría", ""))), IF(OR(L290="", L290=""), "[Aviso] Género no capturado ()", IF(ISNA(MATCH(L290, Criterios!$B$123:$B$127, 0)), "Género no válido", "")), IF(OR(N290="", N290=""), "[Aviso] Temporada no capturada ()", IF(ISNA(MATCH(N290, Criterios!$C$123:$C$128, 0)), "Temporada no válida", "")), IF(OR(O290="", O290=""), "[Aviso] Ciclo de vida no capturado ()", IF(ISNA(MATCH(O290, Criterios!$D$123:$D$124, 0)), "Ciclo de vida no válido", ""))))</f>
        <v/>
      </c>
      <c r="AC290" s="56" t="n"/>
      <c r="AD290" s="51" t="n">
        <v>37</v>
      </c>
      <c r="AE290" s="156" t="inlineStr">
        <is>
          <t>CL Muestras (1); Web (2); CAPSLAB Warehouse (16)</t>
        </is>
      </c>
      <c r="AF290" s="51" t="n">
        <v>37</v>
      </c>
      <c r="AG290" s="156" t="inlineStr">
        <is>
          <t>Nuevo – NetSuite con existencia</t>
        </is>
      </c>
      <c r="AH290" s="156" t="inlineStr">
        <is>
          <t>Bucket hat clasificado como Sombrero: validar; Composición CAPSLAB varía por modelo (50/50, 40/60 o 100% poliéster): validar etiqueta; Talla: Talla de sombrero no reconocida (origen «L/XL»); Color por validar; Físico total NetSuite 37 ≠ suma por ubicación 19 | Revisión 29/09/2026: Talla fuente OS sin equivalencia exacta en Criterios para Talla Sombrero; Marca CAPSLAB fuera de lista Criterios; Campos sin respaldo: F, N, O, P, R, U, Y; Auditoría NetSuite 30/09/2026: llenado desde NetSuite [Z] | Homologación G1522 06/10/2026: Validador NetSuite / Odoo: N2: talla cero o vacía · Validador Shopify: WB: precio con IVA no termina en 9</t>
        </is>
      </c>
      <c r="AI290" s="156" t="inlineStr">
        <is>
          <t>No</t>
        </is>
      </c>
      <c r="AJ290" s="156" t="n"/>
      <c r="AK290" s="155" t="inlineStr">
        <is>
          <t>G1522ProductosTodosloscamposSandboxResults894.xlsx: fila 48118 [X]; G1522_Extraccion_Articulos_NetSuite_2026-09-30.xlsx: fila 30426 [Z]</t>
        </is>
      </c>
      <c r="AL290" s="58" t="n"/>
      <c r="AM290" s="58" t="n"/>
      <c r="AN290" s="155" t="n"/>
      <c r="AO290" s="59" t="n"/>
      <c r="AP290" s="59" t="n"/>
      <c r="AQ290" s="59" t="n"/>
      <c r="AR290" s="155" t="n"/>
    </row>
    <row r="291">
      <c r="A291" s="50" t="inlineStr">
        <is>
          <t>3614001553570</t>
        </is>
      </c>
      <c r="B291" s="51" t="inlineStr">
        <is>
          <t>69702</t>
        </is>
      </c>
      <c r="C291" s="156" t="inlineStr">
        <is>
          <t>CAPSLAB</t>
        </is>
      </c>
      <c r="D291" s="156" t="inlineStr">
        <is>
          <t>CL/OP2/1/HAT/CHO2</t>
        </is>
      </c>
      <c r="E291" s="156" t="inlineStr">
        <is>
          <t>CL/OP2/1/HAT/CHO2-S/M</t>
        </is>
      </c>
      <c r="F291" s="156" t="n"/>
      <c r="G291" s="156" t="inlineStr">
        <is>
          <t>S/M</t>
        </is>
      </c>
      <c r="H291" s="156" t="inlineStr">
        <is>
          <t>CAPSLAB</t>
        </is>
      </c>
      <c r="I291" s="156" t="inlineStr">
        <is>
          <t>Bucket hat CAPSLAB One Piece</t>
        </is>
      </c>
      <c r="J291" s="156" t="inlineStr">
        <is>
          <t>Accesorios</t>
        </is>
      </c>
      <c r="K291" s="156" t="inlineStr">
        <is>
          <t>Sombreros</t>
        </is>
      </c>
      <c r="L291" s="156" t="inlineStr">
        <is>
          <t>Unisex</t>
        </is>
      </c>
      <c r="M291" s="156" t="inlineStr">
        <is>
          <t>One Piece</t>
        </is>
      </c>
      <c r="N291" s="156" t="n"/>
      <c r="O291" s="156" t="n"/>
      <c r="P291" s="156" t="n"/>
      <c r="Q291" s="156" t="n"/>
      <c r="R291" s="156" t="n"/>
      <c r="S291" s="156" t="inlineStr">
        <is>
          <t>Algodón / Poliéster</t>
        </is>
      </c>
      <c r="T291" s="156" t="inlineStr">
        <is>
          <t>Bucket hat de la marca CAPSLAB bajo licencia oficial One Piece. Talla única ajustable. Estilo CL/OP2/1/HAT/CHO2.</t>
        </is>
      </c>
      <c r="U291" s="156" t="n"/>
      <c r="V291" s="156" t="inlineStr">
        <is>
          <t>PZS</t>
        </is>
      </c>
      <c r="W291" s="51" t="inlineStr">
        <is>
          <t>53102503</t>
        </is>
      </c>
      <c r="X291" s="156" t="inlineStr">
        <is>
          <t>https://i.ibb.co/kMc78yX/CLOP21-HATCHO2.jpg</t>
        </is>
      </c>
      <c r="Y291" s="54" t="n"/>
      <c r="Z291" s="54" t="n">
        <v>699</v>
      </c>
      <c r="AA291" s="55">
        <f>IF(AND(A291="", B291="", E291=""), "", IF(AB291="", "Válido", IF((LEN(AB291)-LEN(SUBSTITUTE(AB291,"; ","")))/2+1&gt;(LEN(AB291)-LEN(SUBSTITUTE(AB291,"[Aviso]","")))/7, "Con Incidencias", "Válido")))</f>
        <v/>
      </c>
      <c r="AB291" s="56">
        <f>IF(AND(A291="", B291="", E291=""), "", TEXTJOIN("; ", TRUE, IF(OR(TRIM(A291&amp;"")="", ISNUMBER(SEARCH("FALTA", A291))), "UPC faltante/inválido", ""), IF(AND(A291&lt;&gt;"", IFERROR(_xlfn.XMATCH(A291,$A$2:$A$370,0,1)&lt;&gt;_xlfn.XMATCH(A291,$A$2:$A$370,0,-1),FALSE)), "Código de barras duplicado", ""), IF(AND(E291&lt;&gt;"", COUNTIF($E$2:$E$370, E291)&gt;1), "SKU duplicado", ""), IF(OR(J291="", J291=""), "[Aviso] División no capturada ()", IF(ISNA(MATCH(J291, Criterios!$A$123:$A$126, 0)), "División no válida", "")), IF(OR(K291="", K291=""), "[Aviso] Categoría no capturada ()", IF(ISNA(MATCH(K291, Criterios!$A$81:$A$120, 0)), "Categoría no válida", IF(AND(J291&lt;&gt;"", J291&lt;&gt;"", J291&lt;&gt;VLOOKUP(K291, Criterios!$A$81:$B$120, 2, FALSE)), "División no coincide con Categoría", ""))), IF(OR(L291="", L291=""), "[Aviso] Género no capturado ()", IF(ISNA(MATCH(L291, Criterios!$B$123:$B$127, 0)), "Género no válido", "")), IF(OR(N291="", N291=""), "[Aviso] Temporada no capturada ()", IF(ISNA(MATCH(N291, Criterios!$C$123:$C$128, 0)), "Temporada no válida", "")), IF(OR(O291="", O291=""), "[Aviso] Ciclo de vida no capturado ()", IF(ISNA(MATCH(O291, Criterios!$D$123:$D$124, 0)), "Ciclo de vida no válido", ""))))</f>
        <v/>
      </c>
      <c r="AC291" s="56" t="n"/>
      <c r="AD291" s="51" t="n">
        <v>38</v>
      </c>
      <c r="AE291" s="156" t="inlineStr">
        <is>
          <t>Web (2); CAPSLAB Warehouse (18)</t>
        </is>
      </c>
      <c r="AF291" s="51" t="n">
        <v>38</v>
      </c>
      <c r="AG291" s="156" t="inlineStr">
        <is>
          <t>Nuevo – NetSuite con existencia</t>
        </is>
      </c>
      <c r="AH291" s="156" t="inlineStr">
        <is>
          <t>Bucket hat clasificado como Sombrero: validar; Composición CAPSLAB varía por modelo (50/50, 40/60 o 100% poliéster): validar etiqueta; Talla: Talla de sombrero no reconocida (origen «S/M»); Color por validar; Físico total NetSuite 38 ≠ suma por ubicación 20 | Revisión 29/09/2026: Talla fuente OS sin equivalencia exacta en Criterios para Talla Sombrero; Marca CAPSLAB fuera de lista Criterios; Campos sin respaldo: F, N, O, P, R, U, Y; Auditoría NetSuite 30/09/2026: llenado desde NetSuite [Z] | Homologación G1522 06/10/2026: Validador NetSuite / Odoo: N2: talla cero o vacía · Validador Shopify: WB: precio con IVA no termina en 9</t>
        </is>
      </c>
      <c r="AI291" s="156" t="inlineStr">
        <is>
          <t>No</t>
        </is>
      </c>
      <c r="AJ291" s="156" t="n"/>
      <c r="AK291" s="155" t="inlineStr">
        <is>
          <t>G1522ProductosTodosloscamposSandboxResults894.xlsx: fila 48120 [X]; G1522_Extraccion_Articulos_NetSuite_2026-09-30.xlsx: fila 30427 [Z]</t>
        </is>
      </c>
      <c r="AL291" s="58" t="n"/>
      <c r="AM291" s="58" t="n"/>
      <c r="AN291" s="155" t="n"/>
      <c r="AO291" s="59" t="n"/>
      <c r="AP291" s="59" t="n"/>
      <c r="AQ291" s="59" t="n"/>
      <c r="AR291" s="155" t="n"/>
    </row>
    <row r="292">
      <c r="A292" s="50" t="inlineStr">
        <is>
          <t>3614001553617</t>
        </is>
      </c>
      <c r="B292" s="51" t="inlineStr">
        <is>
          <t>69703</t>
        </is>
      </c>
      <c r="C292" s="156" t="inlineStr">
        <is>
          <t>CAPSLAB</t>
        </is>
      </c>
      <c r="D292" s="156" t="inlineStr">
        <is>
          <t>CL/OP2/1/HAT/ONE3</t>
        </is>
      </c>
      <c r="E292" s="156" t="inlineStr">
        <is>
          <t>CL/OP2/1/HAT/ONE3-L/XL</t>
        </is>
      </c>
      <c r="F292" s="156" t="n"/>
      <c r="G292" s="156" t="inlineStr">
        <is>
          <t>L/XL</t>
        </is>
      </c>
      <c r="H292" s="156" t="inlineStr">
        <is>
          <t>CAPSLAB</t>
        </is>
      </c>
      <c r="I292" s="156" t="inlineStr">
        <is>
          <t>Bucket hat CAPSLAB One Piece</t>
        </is>
      </c>
      <c r="J292" s="156" t="inlineStr">
        <is>
          <t>Accesorios</t>
        </is>
      </c>
      <c r="K292" s="156" t="inlineStr">
        <is>
          <t>Sombreros</t>
        </is>
      </c>
      <c r="L292" s="156" t="inlineStr">
        <is>
          <t>Unisex</t>
        </is>
      </c>
      <c r="M292" s="156" t="inlineStr">
        <is>
          <t>One Piece</t>
        </is>
      </c>
      <c r="N292" s="156" t="n"/>
      <c r="O292" s="156" t="n"/>
      <c r="P292" s="156" t="n"/>
      <c r="Q292" s="156" t="n"/>
      <c r="R292" s="156" t="n"/>
      <c r="S292" s="156" t="inlineStr">
        <is>
          <t>Algodón / Poliéster</t>
        </is>
      </c>
      <c r="T292" s="156" t="inlineStr">
        <is>
          <t>Bucket hat de la marca CAPSLAB bajo licencia oficial One Piece. Talla única ajustable. Estilo CL/OP2/1/HAT/ONE3.</t>
        </is>
      </c>
      <c r="U292" s="156" t="n"/>
      <c r="V292" s="156" t="inlineStr">
        <is>
          <t>PZS</t>
        </is>
      </c>
      <c r="W292" s="51" t="inlineStr">
        <is>
          <t>53102503</t>
        </is>
      </c>
      <c r="X292" s="156" t="inlineStr">
        <is>
          <t>https://i.ibb.co/0cqtjZy/CLOP21-HATONE3.jpg</t>
        </is>
      </c>
      <c r="Y292" s="54" t="n"/>
      <c r="Z292" s="54" t="n">
        <v>699</v>
      </c>
      <c r="AA292" s="55">
        <f>IF(AND(A292="", B292="", E292=""), "", IF(AB292="", "Válido", IF((LEN(AB292)-LEN(SUBSTITUTE(AB292,"; ","")))/2+1&gt;(LEN(AB292)-LEN(SUBSTITUTE(AB292,"[Aviso]","")))/7, "Con Incidencias", "Válido")))</f>
        <v/>
      </c>
      <c r="AB292" s="56">
        <f>IF(AND(A292="", B292="", E292=""), "", TEXTJOIN("; ", TRUE, IF(OR(TRIM(A292&amp;"")="", ISNUMBER(SEARCH("FALTA", A292))), "UPC faltante/inválido", ""), IF(AND(A292&lt;&gt;"", IFERROR(_xlfn.XMATCH(A292,$A$2:$A$370,0,1)&lt;&gt;_xlfn.XMATCH(A292,$A$2:$A$370,0,-1),FALSE)), "Código de barras duplicado", ""), IF(AND(E292&lt;&gt;"", COUNTIF($E$2:$E$370, E292)&gt;1), "SKU duplicado", ""), IF(OR(J292="", J292=""), "[Aviso] División no capturada ()", IF(ISNA(MATCH(J292, Criterios!$A$123:$A$126, 0)), "División no válida", "")), IF(OR(K292="", K292=""), "[Aviso] Categoría no capturada ()", IF(ISNA(MATCH(K292, Criterios!$A$81:$A$120, 0)), "Categoría no válida", IF(AND(J292&lt;&gt;"", J292&lt;&gt;"", J292&lt;&gt;VLOOKUP(K292, Criterios!$A$81:$B$120, 2, FALSE)), "División no coincide con Categoría", ""))), IF(OR(L292="", L292=""), "[Aviso] Género no capturado ()", IF(ISNA(MATCH(L292, Criterios!$B$123:$B$127, 0)), "Género no válido", "")), IF(OR(N292="", N292=""), "[Aviso] Temporada no capturada ()", IF(ISNA(MATCH(N292, Criterios!$C$123:$C$128, 0)), "Temporada no válida", "")), IF(OR(O292="", O292=""), "[Aviso] Ciclo de vida no capturado ()", IF(ISNA(MATCH(O292, Criterios!$D$123:$D$124, 0)), "Ciclo de vida no válido", ""))))</f>
        <v/>
      </c>
      <c r="AC292" s="56" t="n"/>
      <c r="AD292" s="51" t="n">
        <v>43</v>
      </c>
      <c r="AE292" s="156" t="inlineStr">
        <is>
          <t>CL Muestras (1); Web (2); CAPSLAB Warehouse (19)</t>
        </is>
      </c>
      <c r="AF292" s="51" t="n">
        <v>43</v>
      </c>
      <c r="AG292" s="156" t="inlineStr">
        <is>
          <t>Nuevo – NetSuite con existencia</t>
        </is>
      </c>
      <c r="AH292" s="156" t="inlineStr">
        <is>
          <t>Bucket hat clasificado como Sombrero: validar; Composición CAPSLAB varía por modelo (50/50, 40/60 o 100% poliéster): validar etiqueta; Talla: Talla de sombrero no reconocida (origen «L/XL»); Color por validar; Físico total NetSuite 43 ≠ suma por ubicación 22 | Revisión 29/09/2026: Talla fuente OS sin equivalencia exacta en Criterios para Talla Sombrero; Marca CAPSLAB fuera de lista Criterios; Campos sin respaldo: F, N, O, P, R, U, Y; Auditoría NetSuite 30/09/2026: llenado desde NetSuite [Z] | Homologación G1522 06/10/2026: Validador NetSuite / Odoo: N2: talla cero o vacía · Validador Shopify: WB: precio con IVA no termina en 9</t>
        </is>
      </c>
      <c r="AI292" s="156" t="inlineStr">
        <is>
          <t>No</t>
        </is>
      </c>
      <c r="AJ292" s="156" t="n"/>
      <c r="AK292" s="155" t="inlineStr">
        <is>
          <t>G1522ProductosTodosloscamposSandboxResults894.xlsx: fila 48122 [X]; G1522_Extraccion_Articulos_NetSuite_2026-09-30.xlsx: fila 30428 [Z]</t>
        </is>
      </c>
      <c r="AL292" s="58" t="n"/>
      <c r="AM292" s="58" t="n"/>
      <c r="AN292" s="155" t="n"/>
      <c r="AO292" s="59" t="n"/>
      <c r="AP292" s="59" t="n"/>
      <c r="AQ292" s="59" t="n"/>
      <c r="AR292" s="155" t="n"/>
    </row>
    <row r="293">
      <c r="A293" s="50" t="inlineStr">
        <is>
          <t>3614001553600</t>
        </is>
      </c>
      <c r="B293" s="51" t="inlineStr">
        <is>
          <t>69704</t>
        </is>
      </c>
      <c r="C293" s="156" t="inlineStr">
        <is>
          <t>CAPSLAB</t>
        </is>
      </c>
      <c r="D293" s="156" t="inlineStr">
        <is>
          <t>CL/OP2/1/HAT/ONE3</t>
        </is>
      </c>
      <c r="E293" s="156" t="inlineStr">
        <is>
          <t>CL/OP2/1/HAT/ONE3-S/M</t>
        </is>
      </c>
      <c r="F293" s="156" t="n"/>
      <c r="G293" s="156" t="inlineStr">
        <is>
          <t>S/M</t>
        </is>
      </c>
      <c r="H293" s="156" t="inlineStr">
        <is>
          <t>CAPSLAB</t>
        </is>
      </c>
      <c r="I293" s="156" t="inlineStr">
        <is>
          <t>Bucket hat CAPSLAB One Piece</t>
        </is>
      </c>
      <c r="J293" s="156" t="inlineStr">
        <is>
          <t>Accesorios</t>
        </is>
      </c>
      <c r="K293" s="156" t="inlineStr">
        <is>
          <t>Sombreros</t>
        </is>
      </c>
      <c r="L293" s="156" t="inlineStr">
        <is>
          <t>Unisex</t>
        </is>
      </c>
      <c r="M293" s="156" t="inlineStr">
        <is>
          <t>One Piece</t>
        </is>
      </c>
      <c r="N293" s="156" t="n"/>
      <c r="O293" s="156" t="n"/>
      <c r="P293" s="156" t="n"/>
      <c r="Q293" s="156" t="n"/>
      <c r="R293" s="156" t="n"/>
      <c r="S293" s="156" t="inlineStr">
        <is>
          <t>Algodón / Poliéster</t>
        </is>
      </c>
      <c r="T293" s="156" t="inlineStr">
        <is>
          <t>Bucket hat de la marca CAPSLAB bajo licencia oficial One Piece. Talla única ajustable. Estilo CL/OP2/1/HAT/ONE3.</t>
        </is>
      </c>
      <c r="U293" s="156" t="n"/>
      <c r="V293" s="156" t="inlineStr">
        <is>
          <t>PZS</t>
        </is>
      </c>
      <c r="W293" s="51" t="inlineStr">
        <is>
          <t>53102503</t>
        </is>
      </c>
      <c r="X293" s="156" t="inlineStr">
        <is>
          <t>https://i.ibb.co/0cqtjZy/CLOP21-HATONE3.jpg</t>
        </is>
      </c>
      <c r="Y293" s="54" t="n"/>
      <c r="Z293" s="54" t="n">
        <v>699</v>
      </c>
      <c r="AA293" s="55">
        <f>IF(AND(A293="", B293="", E293=""), "", IF(AB293="", "Válido", IF((LEN(AB293)-LEN(SUBSTITUTE(AB293,"; ","")))/2+1&gt;(LEN(AB293)-LEN(SUBSTITUTE(AB293,"[Aviso]","")))/7, "Con Incidencias", "Válido")))</f>
        <v/>
      </c>
      <c r="AB293" s="56">
        <f>IF(AND(A293="", B293="", E293=""), "", TEXTJOIN("; ", TRUE, IF(OR(TRIM(A293&amp;"")="", ISNUMBER(SEARCH("FALTA", A293))), "UPC faltante/inválido", ""), IF(AND(A293&lt;&gt;"", IFERROR(_xlfn.XMATCH(A293,$A$2:$A$370,0,1)&lt;&gt;_xlfn.XMATCH(A293,$A$2:$A$370,0,-1),FALSE)), "Código de barras duplicado", ""), IF(AND(E293&lt;&gt;"", COUNTIF($E$2:$E$370, E293)&gt;1), "SKU duplicado", ""), IF(OR(J293="", J293=""), "[Aviso] División no capturada ()", IF(ISNA(MATCH(J293, Criterios!$A$123:$A$126, 0)), "División no válida", "")), IF(OR(K293="", K293=""), "[Aviso] Categoría no capturada ()", IF(ISNA(MATCH(K293, Criterios!$A$81:$A$120, 0)), "Categoría no válida", IF(AND(J293&lt;&gt;"", J293&lt;&gt;"", J293&lt;&gt;VLOOKUP(K293, Criterios!$A$81:$B$120, 2, FALSE)), "División no coincide con Categoría", ""))), IF(OR(L293="", L293=""), "[Aviso] Género no capturado ()", IF(ISNA(MATCH(L293, Criterios!$B$123:$B$127, 0)), "Género no válido", "")), IF(OR(N293="", N293=""), "[Aviso] Temporada no capturada ()", IF(ISNA(MATCH(N293, Criterios!$C$123:$C$128, 0)), "Temporada no válida", "")), IF(OR(O293="", O293=""), "[Aviso] Ciclo de vida no capturado ()", IF(ISNA(MATCH(O293, Criterios!$D$123:$D$124, 0)), "Ciclo de vida no válido", ""))))</f>
        <v/>
      </c>
      <c r="AC293" s="56" t="n"/>
      <c r="AD293" s="51" t="n">
        <v>37</v>
      </c>
      <c r="AE293" s="156" t="inlineStr">
        <is>
          <t>Web (2); CAPSLAB Warehouse (17)</t>
        </is>
      </c>
      <c r="AF293" s="51" t="n">
        <v>37</v>
      </c>
      <c r="AG293" s="156" t="inlineStr">
        <is>
          <t>Nuevo – NetSuite con existencia</t>
        </is>
      </c>
      <c r="AH293" s="156" t="inlineStr">
        <is>
          <t>Bucket hat clasificado como Sombrero: validar; Composición CAPSLAB varía por modelo (50/50, 40/60 o 100% poliéster): validar etiqueta; Talla: Talla de sombrero no reconocida (origen «S/M»); Color por validar; Físico total NetSuite 37 ≠ suma por ubicación 19 | Revisión 29/09/2026: Talla fuente OS sin equivalencia exacta en Criterios para Talla Sombrero; Marca CAPSLAB fuera de lista Criterios; Campos sin respaldo: F, N, O, P, R, U, Y; Auditoría NetSuite 30/09/2026: llenado desde NetSuite [Z] | Homologación G1522 06/10/2026: Validador NetSuite / Odoo: N2: talla cero o vacía · Validador Shopify: WB: precio con IVA no termina en 9</t>
        </is>
      </c>
      <c r="AI293" s="156" t="inlineStr">
        <is>
          <t>No</t>
        </is>
      </c>
      <c r="AJ293" s="156" t="n"/>
      <c r="AK293" s="155" t="inlineStr">
        <is>
          <t>G1522ProductosTodosloscamposSandboxResults894.xlsx: fila 48124 [X]; G1522_Extraccion_Articulos_NetSuite_2026-09-30.xlsx: fila 30429 [Z]</t>
        </is>
      </c>
      <c r="AL293" s="58" t="n"/>
      <c r="AM293" s="58" t="n"/>
      <c r="AN293" s="155" t="n"/>
      <c r="AO293" s="59" t="n"/>
      <c r="AP293" s="59" t="n"/>
      <c r="AQ293" s="59" t="n"/>
      <c r="AR293" s="155" t="n"/>
    </row>
    <row r="294">
      <c r="A294" s="50" t="inlineStr">
        <is>
          <t>3614001553648</t>
        </is>
      </c>
      <c r="B294" s="51" t="inlineStr">
        <is>
          <t>69705</t>
        </is>
      </c>
      <c r="C294" s="156" t="inlineStr">
        <is>
          <t>CAPSLAB</t>
        </is>
      </c>
      <c r="D294" s="156" t="inlineStr">
        <is>
          <t>CL/OP2/1/HAT/ONE4</t>
        </is>
      </c>
      <c r="E294" s="156" t="inlineStr">
        <is>
          <t>CL/OP2/1/HAT/ONE4-L/XL</t>
        </is>
      </c>
      <c r="F294" s="156" t="n"/>
      <c r="G294" s="156" t="inlineStr">
        <is>
          <t>L/XL</t>
        </is>
      </c>
      <c r="H294" s="156" t="inlineStr">
        <is>
          <t>CAPSLAB</t>
        </is>
      </c>
      <c r="I294" s="156" t="inlineStr">
        <is>
          <t>Bucket hat CAPSLAB One Piece</t>
        </is>
      </c>
      <c r="J294" s="156" t="inlineStr">
        <is>
          <t>Accesorios</t>
        </is>
      </c>
      <c r="K294" s="156" t="inlineStr">
        <is>
          <t>Sombreros</t>
        </is>
      </c>
      <c r="L294" s="156" t="inlineStr">
        <is>
          <t>Unisex</t>
        </is>
      </c>
      <c r="M294" s="156" t="inlineStr">
        <is>
          <t>One Piece</t>
        </is>
      </c>
      <c r="N294" s="156" t="n"/>
      <c r="O294" s="156" t="n"/>
      <c r="P294" s="156" t="n"/>
      <c r="Q294" s="156" t="n"/>
      <c r="R294" s="156" t="n"/>
      <c r="S294" s="156" t="inlineStr">
        <is>
          <t>Algodón / Poliéster</t>
        </is>
      </c>
      <c r="T294" s="156" t="inlineStr">
        <is>
          <t>Bucket hat de la marca CAPSLAB bajo licencia oficial One Piece. Talla única ajustable. Estilo CL/OP2/1/HAT/ONE4.</t>
        </is>
      </c>
      <c r="U294" s="156" t="n"/>
      <c r="V294" s="156" t="inlineStr">
        <is>
          <t>PZS</t>
        </is>
      </c>
      <c r="W294" s="51" t="inlineStr">
        <is>
          <t>53102503</t>
        </is>
      </c>
      <c r="X294" s="156" t="inlineStr">
        <is>
          <t>https://i.ibb.co/DttsfRc/CLOP21-HATONE4.jpg</t>
        </is>
      </c>
      <c r="Y294" s="54" t="n"/>
      <c r="Z294" s="54" t="n">
        <v>699</v>
      </c>
      <c r="AA294" s="55">
        <f>IF(AND(A294="", B294="", E294=""), "", IF(AB294="", "Válido", IF((LEN(AB294)-LEN(SUBSTITUTE(AB294,"; ","")))/2+1&gt;(LEN(AB294)-LEN(SUBSTITUTE(AB294,"[Aviso]","")))/7, "Con Incidencias", "Válido")))</f>
        <v/>
      </c>
      <c r="AB294" s="56">
        <f>IF(AND(A294="", B294="", E294=""), "", TEXTJOIN("; ", TRUE, IF(OR(TRIM(A294&amp;"")="", ISNUMBER(SEARCH("FALTA", A294))), "UPC faltante/inválido", ""), IF(AND(A294&lt;&gt;"", IFERROR(_xlfn.XMATCH(A294,$A$2:$A$370,0,1)&lt;&gt;_xlfn.XMATCH(A294,$A$2:$A$370,0,-1),FALSE)), "Código de barras duplicado", ""), IF(AND(E294&lt;&gt;"", COUNTIF($E$2:$E$370, E294)&gt;1), "SKU duplicado", ""), IF(OR(J294="", J294=""), "[Aviso] División no capturada ()", IF(ISNA(MATCH(J294, Criterios!$A$123:$A$126, 0)), "División no válida", "")), IF(OR(K294="", K294=""), "[Aviso] Categoría no capturada ()", IF(ISNA(MATCH(K294, Criterios!$A$81:$A$120, 0)), "Categoría no válida", IF(AND(J294&lt;&gt;"", J294&lt;&gt;"", J294&lt;&gt;VLOOKUP(K294, Criterios!$A$81:$B$120, 2, FALSE)), "División no coincide con Categoría", ""))), IF(OR(L294="", L294=""), "[Aviso] Género no capturado ()", IF(ISNA(MATCH(L294, Criterios!$B$123:$B$127, 0)), "Género no válido", "")), IF(OR(N294="", N294=""), "[Aviso] Temporada no capturada ()", IF(ISNA(MATCH(N294, Criterios!$C$123:$C$128, 0)), "Temporada no válida", "")), IF(OR(O294="", O294=""), "[Aviso] Ciclo de vida no capturado ()", IF(ISNA(MATCH(O294, Criterios!$D$123:$D$124, 0)), "Ciclo de vida no válido", ""))))</f>
        <v/>
      </c>
      <c r="AC294" s="56" t="n"/>
      <c r="AD294" s="51" t="n">
        <v>17</v>
      </c>
      <c r="AE294" s="156" t="inlineStr">
        <is>
          <t>CL Muestras (1); CAPSLAB Warehouse (8)</t>
        </is>
      </c>
      <c r="AF294" s="51" t="n">
        <v>17</v>
      </c>
      <c r="AG294" s="156" t="inlineStr">
        <is>
          <t>Nuevo – NetSuite con existencia</t>
        </is>
      </c>
      <c r="AH294" s="156" t="inlineStr">
        <is>
          <t>Bucket hat clasificado como Sombrero: validar; Composición CAPSLAB varía por modelo (50/50, 40/60 o 100% poliéster): validar etiqueta; Talla: Talla de sombrero no reconocida (origen «L/XL»); Color por validar; Físico total NetSuite 17 ≠ suma por ubicación 9 | Revisión 29/09/2026: Talla fuente OS sin equivalencia exacta en Criterios para Talla Sombrero; Marca CAPSLAB fuera de lista Criterios; Campos sin respaldo: F, N, O, P, R, U, Y; Auditoría NetSuite 30/09/2026: llenado desde NetSuite [Z] | Homologación G1522 06/10/2026: Validador NetSuite / Odoo: N2: talla cero o vacía · Validador Shopify: WB: precio con IVA no termina en 9</t>
        </is>
      </c>
      <c r="AI294" s="156" t="inlineStr">
        <is>
          <t>No</t>
        </is>
      </c>
      <c r="AJ294" s="156" t="n"/>
      <c r="AK294" s="155" t="inlineStr">
        <is>
          <t>G1522ProductosTodosloscamposSandboxResults894.xlsx: fila 48126 [X]; G1522_Extraccion_Articulos_NetSuite_2026-09-30.xlsx: fila 30430 [Z]</t>
        </is>
      </c>
      <c r="AL294" s="58" t="n"/>
      <c r="AM294" s="58" t="n"/>
      <c r="AN294" s="155" t="n"/>
      <c r="AO294" s="59" t="n"/>
      <c r="AP294" s="59" t="n"/>
      <c r="AQ294" s="59" t="n"/>
      <c r="AR294" s="155" t="n"/>
    </row>
    <row r="295">
      <c r="A295" s="50" t="inlineStr">
        <is>
          <t>3614001553631</t>
        </is>
      </c>
      <c r="B295" s="51" t="inlineStr">
        <is>
          <t>69706</t>
        </is>
      </c>
      <c r="C295" s="156" t="inlineStr">
        <is>
          <t>CAPSLAB</t>
        </is>
      </c>
      <c r="D295" s="156" t="inlineStr">
        <is>
          <t>CL/OP2/1/HAT/ONE4</t>
        </is>
      </c>
      <c r="E295" s="156" t="inlineStr">
        <is>
          <t>CL/OP2/1/HAT/ONE4-S/M</t>
        </is>
      </c>
      <c r="F295" s="156" t="n"/>
      <c r="G295" s="156" t="inlineStr">
        <is>
          <t>S/M</t>
        </is>
      </c>
      <c r="H295" s="156" t="inlineStr">
        <is>
          <t>CAPSLAB</t>
        </is>
      </c>
      <c r="I295" s="156" t="inlineStr">
        <is>
          <t>Bucket hat CAPSLAB One Piece</t>
        </is>
      </c>
      <c r="J295" s="156" t="inlineStr">
        <is>
          <t>Accesorios</t>
        </is>
      </c>
      <c r="K295" s="156" t="inlineStr">
        <is>
          <t>Sombreros</t>
        </is>
      </c>
      <c r="L295" s="156" t="inlineStr">
        <is>
          <t>Unisex</t>
        </is>
      </c>
      <c r="M295" s="156" t="inlineStr">
        <is>
          <t>One Piece</t>
        </is>
      </c>
      <c r="N295" s="156" t="n"/>
      <c r="O295" s="156" t="n"/>
      <c r="P295" s="156" t="n"/>
      <c r="Q295" s="156" t="n"/>
      <c r="R295" s="156" t="n"/>
      <c r="S295" s="156" t="inlineStr">
        <is>
          <t>Algodón / Poliéster</t>
        </is>
      </c>
      <c r="T295" s="156" t="inlineStr">
        <is>
          <t>Bucket hat de la marca CAPSLAB bajo licencia oficial One Piece. Talla única ajustable. Estilo CL/OP2/1/HAT/ONE4.</t>
        </is>
      </c>
      <c r="U295" s="156" t="n"/>
      <c r="V295" s="156" t="inlineStr">
        <is>
          <t>PZS</t>
        </is>
      </c>
      <c r="W295" s="51" t="inlineStr">
        <is>
          <t>53102503</t>
        </is>
      </c>
      <c r="X295" s="156" t="inlineStr">
        <is>
          <t>https://i.ibb.co/DttsfRc/CLOP21-HATONE4.jpg</t>
        </is>
      </c>
      <c r="Y295" s="54" t="n"/>
      <c r="Z295" s="54" t="n">
        <v>699</v>
      </c>
      <c r="AA295" s="55">
        <f>IF(AND(A295="", B295="", E295=""), "", IF(AB295="", "Válido", IF((LEN(AB295)-LEN(SUBSTITUTE(AB295,"; ","")))/2+1&gt;(LEN(AB295)-LEN(SUBSTITUTE(AB295,"[Aviso]","")))/7, "Con Incidencias", "Válido")))</f>
        <v/>
      </c>
      <c r="AB295" s="56">
        <f>IF(AND(A295="", B295="", E295=""), "", TEXTJOIN("; ", TRUE, IF(OR(TRIM(A295&amp;"")="", ISNUMBER(SEARCH("FALTA", A295))), "UPC faltante/inválido", ""), IF(AND(A295&lt;&gt;"", IFERROR(_xlfn.XMATCH(A295,$A$2:$A$370,0,1)&lt;&gt;_xlfn.XMATCH(A295,$A$2:$A$370,0,-1),FALSE)), "Código de barras duplicado", ""), IF(AND(E295&lt;&gt;"", COUNTIF($E$2:$E$370, E295)&gt;1), "SKU duplicado", ""), IF(OR(J295="", J295=""), "[Aviso] División no capturada ()", IF(ISNA(MATCH(J295, Criterios!$A$123:$A$126, 0)), "División no válida", "")), IF(OR(K295="", K295=""), "[Aviso] Categoría no capturada ()", IF(ISNA(MATCH(K295, Criterios!$A$81:$A$120, 0)), "Categoría no válida", IF(AND(J295&lt;&gt;"", J295&lt;&gt;"", J295&lt;&gt;VLOOKUP(K295, Criterios!$A$81:$B$120, 2, FALSE)), "División no coincide con Categoría", ""))), IF(OR(L295="", L295=""), "[Aviso] Género no capturado ()", IF(ISNA(MATCH(L295, Criterios!$B$123:$B$127, 0)), "Género no válido", "")), IF(OR(N295="", N295=""), "[Aviso] Temporada no capturada ()", IF(ISNA(MATCH(N295, Criterios!$C$123:$C$128, 0)), "Temporada no válida", "")), IF(OR(O295="", O295=""), "[Aviso] Ciclo de vida no capturado ()", IF(ISNA(MATCH(O295, Criterios!$D$123:$D$124, 0)), "Ciclo de vida no válido", ""))))</f>
        <v/>
      </c>
      <c r="AC295" s="56" t="n"/>
      <c r="AD295" s="51" t="n">
        <v>16</v>
      </c>
      <c r="AE295" s="156" t="inlineStr">
        <is>
          <t>CAPSLAB Warehouse (9)</t>
        </is>
      </c>
      <c r="AF295" s="51" t="n">
        <v>16</v>
      </c>
      <c r="AG295" s="156" t="inlineStr">
        <is>
          <t>Nuevo – NetSuite con existencia</t>
        </is>
      </c>
      <c r="AH295" s="156" t="inlineStr">
        <is>
          <t>Bucket hat clasificado como Sombrero: validar; Composición CAPSLAB varía por modelo (50/50, 40/60 o 100% poliéster): validar etiqueta; Talla: Talla de sombrero no reconocida (origen «S/M»); Color por validar; Físico total NetSuite 16 ≠ suma por ubicación 9 | Revisión 29/09/2026: Talla fuente OS sin equivalencia exacta en Criterios para Talla Sombrero; Marca CAPSLAB fuera de lista Criterios; Campos sin respaldo: F, N, O, P, R, U, Y; Auditoría NetSuite 30/09/2026: llenado desde NetSuite [Z] | Homologación G1522 06/10/2026: Validador NetSuite / Odoo: N2: talla cero o vacía · Validador Shopify: WB: precio con IVA no termina en 9</t>
        </is>
      </c>
      <c r="AI295" s="156" t="inlineStr">
        <is>
          <t>No</t>
        </is>
      </c>
      <c r="AJ295" s="156" t="n"/>
      <c r="AK295" s="155" t="inlineStr">
        <is>
          <t>G1522ProductosTodosloscamposSandboxResults894.xlsx: fila 48128 [X]; G1522_Extraccion_Articulos_NetSuite_2026-09-30.xlsx: fila 30431 [Z]</t>
        </is>
      </c>
      <c r="AL295" s="58" t="n"/>
      <c r="AM295" s="58" t="n"/>
      <c r="AN295" s="155" t="n"/>
      <c r="AO295" s="59" t="n"/>
      <c r="AP295" s="59" t="n"/>
      <c r="AQ295" s="59" t="n"/>
      <c r="AR295" s="155" t="n"/>
    </row>
    <row r="296">
      <c r="A296" s="50" t="inlineStr">
        <is>
          <t>3614001697403</t>
        </is>
      </c>
      <c r="B296" s="51" t="inlineStr">
        <is>
          <t>69707</t>
        </is>
      </c>
      <c r="C296" s="156" t="inlineStr">
        <is>
          <t>CAPSLAB</t>
        </is>
      </c>
      <c r="D296" s="156" t="inlineStr">
        <is>
          <t>CL/OP3/1/CD/SKU</t>
        </is>
      </c>
      <c r="E296" s="156" t="inlineStr">
        <is>
          <t>CL/OP3/1/CD/SKU-UNI</t>
        </is>
      </c>
      <c r="F296" s="156" t="inlineStr">
        <is>
          <t>Talla única</t>
        </is>
      </c>
      <c r="G296" s="156" t="inlineStr">
        <is>
          <t>One Size</t>
        </is>
      </c>
      <c r="H296" s="156" t="inlineStr">
        <is>
          <t>CAPSLAB</t>
        </is>
      </c>
      <c r="I296" s="156" t="inlineStr">
        <is>
          <t>Gorra CAPSLAB One Piece</t>
        </is>
      </c>
      <c r="J296" s="156" t="inlineStr">
        <is>
          <t>Accesorios</t>
        </is>
      </c>
      <c r="K296" s="156" t="inlineStr">
        <is>
          <t>Gorras</t>
        </is>
      </c>
      <c r="L296" s="156" t="inlineStr">
        <is>
          <t>Unisex</t>
        </is>
      </c>
      <c r="M296" s="156" t="inlineStr">
        <is>
          <t>One Piece</t>
        </is>
      </c>
      <c r="N296" s="156" t="n"/>
      <c r="O296" s="156" t="n"/>
      <c r="P296" s="156" t="n"/>
      <c r="Q296" s="156" t="n"/>
      <c r="R296" s="156" t="n"/>
      <c r="S296" s="156" t="inlineStr">
        <is>
          <t>Algodón / Poliéster</t>
        </is>
      </c>
      <c r="T296" s="156" t="inlineStr">
        <is>
          <t>Gorra de la marca CAPSLAB bajo licencia oficial One Piece. Talla única ajustable. Estilo CL/OP3/1/CD/SKU.</t>
        </is>
      </c>
      <c r="U296" s="156" t="n"/>
      <c r="V296" s="156" t="inlineStr">
        <is>
          <t>PZS</t>
        </is>
      </c>
      <c r="W296" s="51" t="inlineStr">
        <is>
          <t>53102516</t>
        </is>
      </c>
      <c r="X296" s="156" t="inlineStr">
        <is>
          <t>https://i.ibb.co/F3nPx9x/CLOP31-CDSKU.jpg</t>
        </is>
      </c>
      <c r="Y296" s="54" t="n"/>
      <c r="Z296" s="54" t="n">
        <v>699</v>
      </c>
      <c r="AA296" s="55">
        <f>IF(AND(A296="", B296="", E296=""), "", IF(AB296="", "Válido", IF((LEN(AB296)-LEN(SUBSTITUTE(AB296,"; ","")))/2+1&gt;(LEN(AB296)-LEN(SUBSTITUTE(AB296,"[Aviso]","")))/7, "Con Incidencias", "Válido")))</f>
        <v/>
      </c>
      <c r="AB296" s="56">
        <f>IF(AND(A296="", B296="", E296=""), "", TEXTJOIN("; ", TRUE, IF(OR(TRIM(A296&amp;"")="", ISNUMBER(SEARCH("FALTA", A296))), "UPC faltante/inválido", ""), IF(AND(A296&lt;&gt;"", IFERROR(_xlfn.XMATCH(A296,$A$2:$A$370,0,1)&lt;&gt;_xlfn.XMATCH(A296,$A$2:$A$370,0,-1),FALSE)), "Código de barras duplicado", ""), IF(AND(E296&lt;&gt;"", COUNTIF($E$2:$E$370, E296)&gt;1), "SKU duplicado", ""), IF(OR(J296="", J296=""), "[Aviso] División no capturada ()", IF(ISNA(MATCH(J296, Criterios!$A$123:$A$126, 0)), "División no válida", "")), IF(OR(K296="", K296=""), "[Aviso] Categoría no capturada ()", IF(ISNA(MATCH(K296, Criterios!$A$81:$A$120, 0)), "Categoría no válida", IF(AND(J296&lt;&gt;"", J296&lt;&gt;"", J296&lt;&gt;VLOOKUP(K296, Criterios!$A$81:$B$120, 2, FALSE)), "División no coincide con Categoría", ""))), IF(OR(L296="", L296=""), "[Aviso] Género no capturado ()", IF(ISNA(MATCH(L296, Criterios!$B$123:$B$127, 0)), "Género no válido", "")), IF(OR(N296="", N296=""), "[Aviso] Temporada no capturada ()", IF(ISNA(MATCH(N296, Criterios!$C$123:$C$128, 0)), "Temporada no válida", "")), IF(OR(O296="", O296=""), "[Aviso] Ciclo de vida no capturado ()", IF(ISNA(MATCH(O296, Criterios!$D$123:$D$124, 0)), "Ciclo de vida no válido", ""))))</f>
        <v/>
      </c>
      <c r="AC296" s="56" t="n"/>
      <c r="AD296" s="51" t="n">
        <v>42</v>
      </c>
      <c r="AE296" s="156" t="inlineStr">
        <is>
          <t>Web (2); CL Muestras (1); CAPSLAB Warehouse (29)</t>
        </is>
      </c>
      <c r="AF296" s="51" t="n">
        <v>42</v>
      </c>
      <c r="AG296" s="156" t="inlineStr">
        <is>
          <t>Nuevo – NetSuite con existencia</t>
        </is>
      </c>
      <c r="AH296" s="156" t="inlineStr">
        <is>
          <t>Composición CAPSLAB varía por modelo (50/50, 40/60 o 100% poliéster): validar etiqueta; Color por validar; Físico total NetSuite 42 ≠ suma por ubicación 32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96" s="156" t="inlineStr">
        <is>
          <t>No</t>
        </is>
      </c>
      <c r="AJ296" s="156" t="n"/>
      <c r="AK296" s="155" t="inlineStr">
        <is>
          <t>G1522ProductosTodosloscamposSandboxResults894.xlsx: fila 48130 [X]; G1522_Extraccion_Articulos_NetSuite_2026-09-30.xlsx: fila 30432 [Z]</t>
        </is>
      </c>
      <c r="AL296" s="58" t="n"/>
      <c r="AM296" s="58" t="n"/>
      <c r="AN296" s="155" t="n"/>
      <c r="AO296" s="59" t="n"/>
      <c r="AP296" s="59" t="n"/>
      <c r="AQ296" s="59" t="n"/>
      <c r="AR296" s="155" t="n"/>
    </row>
    <row r="297">
      <c r="A297" s="50" t="inlineStr">
        <is>
          <t>3614001696789</t>
        </is>
      </c>
      <c r="B297" s="51" t="inlineStr">
        <is>
          <t>69708</t>
        </is>
      </c>
      <c r="C297" s="156" t="inlineStr">
        <is>
          <t>CAPSLAB</t>
        </is>
      </c>
      <c r="D297" s="156" t="inlineStr">
        <is>
          <t>CL/OP3/1/CT/LUF1</t>
        </is>
      </c>
      <c r="E297" s="156" t="inlineStr">
        <is>
          <t>CL/OP3/1/CT/LUF1-UNI</t>
        </is>
      </c>
      <c r="F297" s="156" t="inlineStr">
        <is>
          <t>Talla única</t>
        </is>
      </c>
      <c r="G297" s="156" t="inlineStr">
        <is>
          <t>One Size</t>
        </is>
      </c>
      <c r="H297" s="156" t="inlineStr">
        <is>
          <t>CAPSLAB</t>
        </is>
      </c>
      <c r="I297" s="156" t="inlineStr">
        <is>
          <t>Gorra trucker CAPSLAB One Piece Luffy</t>
        </is>
      </c>
      <c r="J297" s="156" t="inlineStr">
        <is>
          <t>Accesorios</t>
        </is>
      </c>
      <c r="K297" s="156" t="inlineStr">
        <is>
          <t>Gorras</t>
        </is>
      </c>
      <c r="L297" s="156" t="inlineStr">
        <is>
          <t>Unisex</t>
        </is>
      </c>
      <c r="M297" s="156" t="inlineStr">
        <is>
          <t>One Piece</t>
        </is>
      </c>
      <c r="N297" s="156" t="n"/>
      <c r="O297" s="156" t="n"/>
      <c r="P297" s="156" t="n"/>
      <c r="Q297" s="156" t="n"/>
      <c r="R297" s="156" t="n"/>
      <c r="S297" s="156" t="inlineStr">
        <is>
          <t>Algodón / Poliéster</t>
        </is>
      </c>
      <c r="T297" s="156" t="inlineStr">
        <is>
          <t>Gorra trucker de la marca CAPSLAB bajo licencia oficial One Piece, personaje Luffy. Talla única ajustable. Estilo CL/OP3/1/CT/LUF1.</t>
        </is>
      </c>
      <c r="U297" s="156" t="n"/>
      <c r="V297" s="156" t="inlineStr">
        <is>
          <t>PZS</t>
        </is>
      </c>
      <c r="W297" s="51" t="inlineStr">
        <is>
          <t>53102516</t>
        </is>
      </c>
      <c r="X297" s="156" t="inlineStr">
        <is>
          <t>https://i.ibb.co/BLy00cg/CLOP31-CTLUF1.jpg</t>
        </is>
      </c>
      <c r="Y297" s="54" t="n"/>
      <c r="Z297" s="54" t="n">
        <v>699</v>
      </c>
      <c r="AA297" s="55">
        <f>IF(AND(A297="", B297="", E297=""), "", IF(AB297="", "Válido", IF((LEN(AB297)-LEN(SUBSTITUTE(AB297,"; ","")))/2+1&gt;(LEN(AB297)-LEN(SUBSTITUTE(AB297,"[Aviso]","")))/7, "Con Incidencias", "Válido")))</f>
        <v/>
      </c>
      <c r="AB297" s="56">
        <f>IF(AND(A297="", B297="", E297=""), "", TEXTJOIN("; ", TRUE, IF(OR(TRIM(A297&amp;"")="", ISNUMBER(SEARCH("FALTA", A297))), "UPC faltante/inválido", ""), IF(AND(A297&lt;&gt;"", IFERROR(_xlfn.XMATCH(A297,$A$2:$A$370,0,1)&lt;&gt;_xlfn.XMATCH(A297,$A$2:$A$370,0,-1),FALSE)), "Código de barras duplicado", ""), IF(AND(E297&lt;&gt;"", COUNTIF($E$2:$E$370, E297)&gt;1), "SKU duplicado", ""), IF(OR(J297="", J297=""), "[Aviso] División no capturada ()", IF(ISNA(MATCH(J297, Criterios!$A$123:$A$126, 0)), "División no válida", "")), IF(OR(K297="", K297=""), "[Aviso] Categoría no capturada ()", IF(ISNA(MATCH(K297, Criterios!$A$81:$A$120, 0)), "Categoría no válida", IF(AND(J297&lt;&gt;"", J297&lt;&gt;"", J297&lt;&gt;VLOOKUP(K297, Criterios!$A$81:$B$120, 2, FALSE)), "División no coincide con Categoría", ""))), IF(OR(L297="", L297=""), "[Aviso] Género no capturado ()", IF(ISNA(MATCH(L297, Criterios!$B$123:$B$127, 0)), "Género no válido", "")), IF(OR(N297="", N297=""), "[Aviso] Temporada no capturada ()", IF(ISNA(MATCH(N297, Criterios!$C$123:$C$128, 0)), "Temporada no válida", "")), IF(OR(O297="", O297=""), "[Aviso] Ciclo de vida no capturado ()", IF(ISNA(MATCH(O297, Criterios!$D$123:$D$124, 0)), "Ciclo de vida no válido", ""))))</f>
        <v/>
      </c>
      <c r="AC297" s="56" t="n"/>
      <c r="AD297" s="51" t="n">
        <v>32</v>
      </c>
      <c r="AE297" s="156" t="inlineStr">
        <is>
          <t>Web (2); CAPSLAB Warehouse (20); CL Muestras (1)</t>
        </is>
      </c>
      <c r="AF297" s="51" t="n">
        <v>32</v>
      </c>
      <c r="AG297" s="156" t="inlineStr">
        <is>
          <t>Nuevo – NetSuite con existencia</t>
        </is>
      </c>
      <c r="AH297" s="156" t="inlineStr">
        <is>
          <t>Composición CAPSLAB varía por modelo (50/50, 40/60 o 100% poliéster): validar etiqueta; Color por validar; Físico total NetSuite 32 ≠ suma por ubicación 23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97" s="156" t="inlineStr">
        <is>
          <t>No</t>
        </is>
      </c>
      <c r="AJ297" s="156" t="n"/>
      <c r="AK297" s="155" t="inlineStr">
        <is>
          <t>G1522ProductosTodosloscamposSandboxResults894.xlsx: fila 48132 [X]; G1522_Extraccion_Articulos_NetSuite_2026-09-30.xlsx: fila 30433 [Z]</t>
        </is>
      </c>
      <c r="AL297" s="58" t="n"/>
      <c r="AM297" s="58" t="n"/>
      <c r="AN297" s="155" t="n"/>
      <c r="AO297" s="59" t="n"/>
      <c r="AP297" s="59" t="n"/>
      <c r="AQ297" s="59" t="n"/>
      <c r="AR297" s="155" t="n"/>
    </row>
    <row r="298">
      <c r="A298" s="50" t="inlineStr">
        <is>
          <t>3614001696802</t>
        </is>
      </c>
      <c r="B298" s="51" t="inlineStr">
        <is>
          <t>69709</t>
        </is>
      </c>
      <c r="C298" s="156" t="inlineStr">
        <is>
          <t>CAPSLAB</t>
        </is>
      </c>
      <c r="D298" s="156" t="inlineStr">
        <is>
          <t>CL/OP3/1/CT/MON1</t>
        </is>
      </c>
      <c r="E298" s="156" t="inlineStr">
        <is>
          <t>CL/OP3/1/CT/MON1-UNI</t>
        </is>
      </c>
      <c r="F298" s="156" t="inlineStr">
        <is>
          <t>Talla única</t>
        </is>
      </c>
      <c r="G298" s="156" t="inlineStr">
        <is>
          <t>One Size</t>
        </is>
      </c>
      <c r="H298" s="156" t="inlineStr">
        <is>
          <t>CAPSLAB</t>
        </is>
      </c>
      <c r="I298" s="156" t="inlineStr">
        <is>
          <t>Gorra trucker CAPSLAB One Piece</t>
        </is>
      </c>
      <c r="J298" s="156" t="inlineStr">
        <is>
          <t>Accesorios</t>
        </is>
      </c>
      <c r="K298" s="156" t="inlineStr">
        <is>
          <t>Gorras</t>
        </is>
      </c>
      <c r="L298" s="156" t="inlineStr">
        <is>
          <t>Unisex</t>
        </is>
      </c>
      <c r="M298" s="156" t="inlineStr">
        <is>
          <t>One Piece</t>
        </is>
      </c>
      <c r="N298" s="156" t="n"/>
      <c r="O298" s="156" t="n"/>
      <c r="P298" s="156" t="n"/>
      <c r="Q298" s="156" t="n"/>
      <c r="R298" s="156" t="n"/>
      <c r="S298" s="156" t="inlineStr">
        <is>
          <t>Algodón / Poliéster</t>
        </is>
      </c>
      <c r="T298" s="156" t="inlineStr">
        <is>
          <t>Gorra trucker de la marca CAPSLAB bajo licencia oficial One Piece. Talla única ajustable. Estilo CL/OP3/1/CT/MON1.</t>
        </is>
      </c>
      <c r="U298" s="156" t="n"/>
      <c r="V298" s="156" t="inlineStr">
        <is>
          <t>PZS</t>
        </is>
      </c>
      <c r="W298" s="51" t="inlineStr">
        <is>
          <t>53102516</t>
        </is>
      </c>
      <c r="X298" s="156" t="inlineStr">
        <is>
          <t>https://i.ibb.co/dffrxzk/CLOP31-CTMON1.jpg</t>
        </is>
      </c>
      <c r="Y298" s="54" t="n"/>
      <c r="Z298" s="54" t="n">
        <v>699</v>
      </c>
      <c r="AA298" s="55">
        <f>IF(AND(A298="", B298="", E298=""), "", IF(AB298="", "Válido", IF((LEN(AB298)-LEN(SUBSTITUTE(AB298,"; ","")))/2+1&gt;(LEN(AB298)-LEN(SUBSTITUTE(AB298,"[Aviso]","")))/7, "Con Incidencias", "Válido")))</f>
        <v/>
      </c>
      <c r="AB298" s="56">
        <f>IF(AND(A298="", B298="", E298=""), "", TEXTJOIN("; ", TRUE, IF(OR(TRIM(A298&amp;"")="", ISNUMBER(SEARCH("FALTA", A298))), "UPC faltante/inválido", ""), IF(AND(A298&lt;&gt;"", IFERROR(_xlfn.XMATCH(A298,$A$2:$A$370,0,1)&lt;&gt;_xlfn.XMATCH(A298,$A$2:$A$370,0,-1),FALSE)), "Código de barras duplicado", ""), IF(AND(E298&lt;&gt;"", COUNTIF($E$2:$E$370, E298)&gt;1), "SKU duplicado", ""), IF(OR(J298="", J298=""), "[Aviso] División no capturada ()", IF(ISNA(MATCH(J298, Criterios!$A$123:$A$126, 0)), "División no válida", "")), IF(OR(K298="", K298=""), "[Aviso] Categoría no capturada ()", IF(ISNA(MATCH(K298, Criterios!$A$81:$A$120, 0)), "Categoría no válida", IF(AND(J298&lt;&gt;"", J298&lt;&gt;"", J298&lt;&gt;VLOOKUP(K298, Criterios!$A$81:$B$120, 2, FALSE)), "División no coincide con Categoría", ""))), IF(OR(L298="", L298=""), "[Aviso] Género no capturado ()", IF(ISNA(MATCH(L298, Criterios!$B$123:$B$127, 0)), "Género no válido", "")), IF(OR(N298="", N298=""), "[Aviso] Temporada no capturada ()", IF(ISNA(MATCH(N298, Criterios!$C$123:$C$128, 0)), "Temporada no válida", "")), IF(OR(O298="", O298=""), "[Aviso] Ciclo de vida no capturado ()", IF(ISNA(MATCH(O298, Criterios!$D$123:$D$124, 0)), "Ciclo de vida no válido", ""))))</f>
        <v/>
      </c>
      <c r="AC298" s="56" t="n"/>
      <c r="AD298" s="51" t="n">
        <v>106</v>
      </c>
      <c r="AE298" s="156" t="inlineStr">
        <is>
          <t>Web (2); CAPSLAB Warehouse (57); CL Muestras (1)</t>
        </is>
      </c>
      <c r="AF298" s="51" t="n">
        <v>106</v>
      </c>
      <c r="AG298" s="156" t="inlineStr">
        <is>
          <t>Nuevo – NetSuite con existencia</t>
        </is>
      </c>
      <c r="AH298" s="156" t="inlineStr">
        <is>
          <t>Composición CAPSLAB varía por modelo (50/50, 40/60 o 100% poliéster): validar etiqueta; Color por validar; Físico total NetSuite 106 ≠ suma por ubicación 60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98" s="156" t="inlineStr">
        <is>
          <t>No</t>
        </is>
      </c>
      <c r="AJ298" s="156" t="n"/>
      <c r="AK298" s="155" t="inlineStr">
        <is>
          <t>G1522ProductosTodosloscamposSandboxResults894.xlsx: fila 48134 [X]; G1522_Extraccion_Articulos_NetSuite_2026-09-30.xlsx: fila 30434 [Z]</t>
        </is>
      </c>
      <c r="AL298" s="58" t="n"/>
      <c r="AM298" s="58" t="n"/>
      <c r="AN298" s="155" t="n"/>
      <c r="AO298" s="59" t="n"/>
      <c r="AP298" s="59" t="n"/>
      <c r="AQ298" s="59" t="n"/>
      <c r="AR298" s="155" t="n"/>
    </row>
    <row r="299">
      <c r="A299" s="50" t="inlineStr">
        <is>
          <t>3614001697762</t>
        </is>
      </c>
      <c r="B299" s="51" t="inlineStr">
        <is>
          <t>69710</t>
        </is>
      </c>
      <c r="C299" s="156" t="inlineStr">
        <is>
          <t>CAPSLAB</t>
        </is>
      </c>
      <c r="D299" s="156" t="inlineStr">
        <is>
          <t>CL/OP3/1/CT/STRA</t>
        </is>
      </c>
      <c r="E299" s="156" t="inlineStr">
        <is>
          <t>CL/OP3/1/CT/STRA-UNI</t>
        </is>
      </c>
      <c r="F299" s="156" t="inlineStr">
        <is>
          <t>Talla única</t>
        </is>
      </c>
      <c r="G299" s="156" t="inlineStr">
        <is>
          <t>One Size</t>
        </is>
      </c>
      <c r="H299" s="156" t="inlineStr">
        <is>
          <t>CAPSLAB</t>
        </is>
      </c>
      <c r="I299" s="156" t="inlineStr">
        <is>
          <t>Gorra trucker CAPSLAB One Piece</t>
        </is>
      </c>
      <c r="J299" s="156" t="inlineStr">
        <is>
          <t>Accesorios</t>
        </is>
      </c>
      <c r="K299" s="156" t="inlineStr">
        <is>
          <t>Gorras</t>
        </is>
      </c>
      <c r="L299" s="156" t="inlineStr">
        <is>
          <t>Unisex</t>
        </is>
      </c>
      <c r="M299" s="156" t="inlineStr">
        <is>
          <t>One Piece</t>
        </is>
      </c>
      <c r="N299" s="156" t="n"/>
      <c r="O299" s="156" t="n"/>
      <c r="P299" s="156" t="n"/>
      <c r="Q299" s="156" t="n"/>
      <c r="R299" s="156" t="n"/>
      <c r="S299" s="156" t="inlineStr">
        <is>
          <t>Algodón / Poliéster</t>
        </is>
      </c>
      <c r="T299" s="156" t="inlineStr">
        <is>
          <t>Gorra trucker de la marca CAPSLAB bajo licencia oficial One Piece. Talla única ajustable. Estilo CL/OP3/1/CT/STRA.</t>
        </is>
      </c>
      <c r="U299" s="156" t="n"/>
      <c r="V299" s="156" t="inlineStr">
        <is>
          <t>PZS</t>
        </is>
      </c>
      <c r="W299" s="51" t="inlineStr">
        <is>
          <t>53102516</t>
        </is>
      </c>
      <c r="X299" s="156" t="inlineStr">
        <is>
          <t>https://i.ibb.co/4RTGZ8W/CLOP31-CTSTRA.jpg</t>
        </is>
      </c>
      <c r="Y299" s="54" t="n"/>
      <c r="Z299" s="54" t="n">
        <v>799</v>
      </c>
      <c r="AA299" s="55">
        <f>IF(AND(A299="", B299="", E299=""), "", IF(AB299="", "Válido", IF((LEN(AB299)-LEN(SUBSTITUTE(AB299,"; ","")))/2+1&gt;(LEN(AB299)-LEN(SUBSTITUTE(AB299,"[Aviso]","")))/7, "Con Incidencias", "Válido")))</f>
        <v/>
      </c>
      <c r="AB299" s="56">
        <f>IF(AND(A299="", B299="", E299=""), "", TEXTJOIN("; ", TRUE, IF(OR(TRIM(A299&amp;"")="", ISNUMBER(SEARCH("FALTA", A299))), "UPC faltante/inválido", ""), IF(AND(A299&lt;&gt;"", IFERROR(_xlfn.XMATCH(A299,$A$2:$A$370,0,1)&lt;&gt;_xlfn.XMATCH(A299,$A$2:$A$370,0,-1),FALSE)), "Código de barras duplicado", ""), IF(AND(E299&lt;&gt;"", COUNTIF($E$2:$E$370, E299)&gt;1), "SKU duplicado", ""), IF(OR(J299="", J299=""), "[Aviso] División no capturada ()", IF(ISNA(MATCH(J299, Criterios!$A$123:$A$126, 0)), "División no válida", "")), IF(OR(K299="", K299=""), "[Aviso] Categoría no capturada ()", IF(ISNA(MATCH(K299, Criterios!$A$81:$A$120, 0)), "Categoría no válida", IF(AND(J299&lt;&gt;"", J299&lt;&gt;"", J299&lt;&gt;VLOOKUP(K299, Criterios!$A$81:$B$120, 2, FALSE)), "División no coincide con Categoría", ""))), IF(OR(L299="", L299=""), "[Aviso] Género no capturado ()", IF(ISNA(MATCH(L299, Criterios!$B$123:$B$127, 0)), "Género no válido", "")), IF(OR(N299="", N299=""), "[Aviso] Temporada no capturada ()", IF(ISNA(MATCH(N299, Criterios!$C$123:$C$128, 0)), "Temporada no válida", "")), IF(OR(O299="", O299=""), "[Aviso] Ciclo de vida no capturado ()", IF(ISNA(MATCH(O299, Criterios!$D$123:$D$124, 0)), "Ciclo de vida no válido", ""))))</f>
        <v/>
      </c>
      <c r="AC299" s="56" t="n"/>
      <c r="AD299" s="51" t="n">
        <v>3</v>
      </c>
      <c r="AE299" s="156" t="inlineStr">
        <is>
          <t>CAPSLAB Warehouse (2); CL Muestras (1)</t>
        </is>
      </c>
      <c r="AF299" s="51" t="n">
        <v>3</v>
      </c>
      <c r="AG299" s="156" t="inlineStr">
        <is>
          <t>Nuevo – NetSuite con existencia</t>
        </is>
      </c>
      <c r="AH299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299" s="156" t="inlineStr">
        <is>
          <t>No</t>
        </is>
      </c>
      <c r="AJ299" s="156" t="n"/>
      <c r="AK299" s="155" t="inlineStr">
        <is>
          <t>G1522ProductosTodosloscamposSandboxResults894.xlsx: fila 48136 [X]; G1522_Extraccion_Articulos_NetSuite_2026-09-30.xlsx: fila 30435 [Z]</t>
        </is>
      </c>
      <c r="AL299" s="58" t="n"/>
      <c r="AM299" s="58" t="n"/>
      <c r="AN299" s="155" t="n"/>
      <c r="AO299" s="59" t="n"/>
      <c r="AP299" s="59" t="n"/>
      <c r="AQ299" s="59" t="n"/>
      <c r="AR299" s="155" t="n"/>
    </row>
    <row r="300">
      <c r="A300" s="50" t="inlineStr">
        <is>
          <t>3614001696826</t>
        </is>
      </c>
      <c r="B300" s="51" t="inlineStr">
        <is>
          <t>69711</t>
        </is>
      </c>
      <c r="C300" s="156" t="inlineStr">
        <is>
          <t>CAPSLAB</t>
        </is>
      </c>
      <c r="D300" s="156" t="inlineStr">
        <is>
          <t>CL/OP3/1/CT/ZOR1</t>
        </is>
      </c>
      <c r="E300" s="156" t="inlineStr">
        <is>
          <t>CL/OP3/1/CT/ZOR1-UNI</t>
        </is>
      </c>
      <c r="F300" s="156" t="inlineStr">
        <is>
          <t>Talla única</t>
        </is>
      </c>
      <c r="G300" s="156" t="inlineStr">
        <is>
          <t>One Size</t>
        </is>
      </c>
      <c r="H300" s="156" t="inlineStr">
        <is>
          <t>CAPSLAB</t>
        </is>
      </c>
      <c r="I300" s="156" t="inlineStr">
        <is>
          <t>Gorra trucker CAPSLAB One Piece Zoro</t>
        </is>
      </c>
      <c r="J300" s="156" t="inlineStr">
        <is>
          <t>Accesorios</t>
        </is>
      </c>
      <c r="K300" s="156" t="inlineStr">
        <is>
          <t>Gorras</t>
        </is>
      </c>
      <c r="L300" s="156" t="inlineStr">
        <is>
          <t>Unisex</t>
        </is>
      </c>
      <c r="M300" s="156" t="inlineStr">
        <is>
          <t>One Piece</t>
        </is>
      </c>
      <c r="N300" s="156" t="n"/>
      <c r="O300" s="156" t="n"/>
      <c r="P300" s="156" t="n"/>
      <c r="Q300" s="156" t="n"/>
      <c r="R300" s="156" t="n"/>
      <c r="S300" s="156" t="inlineStr">
        <is>
          <t>Algodón / Poliéster</t>
        </is>
      </c>
      <c r="T300" s="156" t="inlineStr">
        <is>
          <t>Gorra trucker de la marca CAPSLAB bajo licencia oficial One Piece, personaje Zoro. Talla única ajustable. Estilo CL/OP3/1/CT/ZOR1.</t>
        </is>
      </c>
      <c r="U300" s="156" t="n"/>
      <c r="V300" s="156" t="inlineStr">
        <is>
          <t>PZS</t>
        </is>
      </c>
      <c r="W300" s="51" t="inlineStr">
        <is>
          <t>53102516</t>
        </is>
      </c>
      <c r="X300" s="156" t="inlineStr">
        <is>
          <t>https://i.ibb.co/RT3nW7H/CLOP31-CTZOR1.jpg</t>
        </is>
      </c>
      <c r="Y300" s="54" t="n"/>
      <c r="Z300" s="54" t="n">
        <v>699</v>
      </c>
      <c r="AA300" s="55">
        <f>IF(AND(A300="", B300="", E300=""), "", IF(AB300="", "Válido", IF((LEN(AB300)-LEN(SUBSTITUTE(AB300,"; ","")))/2+1&gt;(LEN(AB300)-LEN(SUBSTITUTE(AB300,"[Aviso]","")))/7, "Con Incidencias", "Válido")))</f>
        <v/>
      </c>
      <c r="AB300" s="56">
        <f>IF(AND(A300="", B300="", E300=""), "", TEXTJOIN("; ", TRUE, IF(OR(TRIM(A300&amp;"")="", ISNUMBER(SEARCH("FALTA", A300))), "UPC faltante/inválido", ""), IF(AND(A300&lt;&gt;"", IFERROR(_xlfn.XMATCH(A300,$A$2:$A$370,0,1)&lt;&gt;_xlfn.XMATCH(A300,$A$2:$A$370,0,-1),FALSE)), "Código de barras duplicado", ""), IF(AND(E300&lt;&gt;"", COUNTIF($E$2:$E$370, E300)&gt;1), "SKU duplicado", ""), IF(OR(J300="", J300=""), "[Aviso] División no capturada ()", IF(ISNA(MATCH(J300, Criterios!$A$123:$A$126, 0)), "División no válida", "")), IF(OR(K300="", K300=""), "[Aviso] Categoría no capturada ()", IF(ISNA(MATCH(K300, Criterios!$A$81:$A$120, 0)), "Categoría no válida", IF(AND(J300&lt;&gt;"", J300&lt;&gt;"", J300&lt;&gt;VLOOKUP(K300, Criterios!$A$81:$B$120, 2, FALSE)), "División no coincide con Categoría", ""))), IF(OR(L300="", L300=""), "[Aviso] Género no capturado ()", IF(ISNA(MATCH(L300, Criterios!$B$123:$B$127, 0)), "Género no válido", "")), IF(OR(N300="", N300=""), "[Aviso] Temporada no capturada ()", IF(ISNA(MATCH(N300, Criterios!$C$123:$C$128, 0)), "Temporada no válida", "")), IF(OR(O300="", O300=""), "[Aviso] Ciclo de vida no capturado ()", IF(ISNA(MATCH(O300, Criterios!$D$123:$D$124, 0)), "Ciclo de vida no válido", ""))))</f>
        <v/>
      </c>
      <c r="AC300" s="56" t="n"/>
      <c r="AD300" s="51" t="n">
        <v>40</v>
      </c>
      <c r="AE300" s="156" t="inlineStr">
        <is>
          <t>Web (1); CAPSLAB Warehouse (27); CL Muestras (1)</t>
        </is>
      </c>
      <c r="AF300" s="51" t="n">
        <v>40</v>
      </c>
      <c r="AG300" s="156" t="inlineStr">
        <is>
          <t>Nuevo – NetSuite con existencia</t>
        </is>
      </c>
      <c r="AH300" s="156" t="inlineStr">
        <is>
          <t>Composición CAPSLAB varía por modelo (50/50, 40/60 o 100% poliéster): validar etiqueta; Color por validar; Físico total NetSuite 40 ≠ suma por ubicación 29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00" s="156" t="inlineStr">
        <is>
          <t>No</t>
        </is>
      </c>
      <c r="AJ300" s="156" t="n"/>
      <c r="AK300" s="155" t="inlineStr">
        <is>
          <t>G1522ProductosTodosloscamposSandboxResults894.xlsx: fila 48138 [X]; G1522_Extraccion_Articulos_NetSuite_2026-09-30.xlsx: fila 30436 [Z]</t>
        </is>
      </c>
      <c r="AL300" s="58" t="n"/>
      <c r="AM300" s="58" t="n"/>
      <c r="AN300" s="155" t="n"/>
      <c r="AO300" s="59" t="n"/>
      <c r="AP300" s="59" t="n"/>
      <c r="AQ300" s="59" t="n"/>
      <c r="AR300" s="155" t="n"/>
    </row>
    <row r="301">
      <c r="A301" s="50" t="inlineStr">
        <is>
          <t>3614000917007</t>
        </is>
      </c>
      <c r="B301" s="51" t="inlineStr">
        <is>
          <t>57483</t>
        </is>
      </c>
      <c r="C301" s="156" t="inlineStr">
        <is>
          <t>CAPSLAB</t>
        </is>
      </c>
      <c r="D301" s="156" t="inlineStr">
        <is>
          <t>CL/REM/1/CKL2</t>
        </is>
      </c>
      <c r="E301" s="156" t="inlineStr">
        <is>
          <t>CL/REM/1/CKL2-UNI</t>
        </is>
      </c>
      <c r="F301" s="156" t="inlineStr">
        <is>
          <t>Talla única</t>
        </is>
      </c>
      <c r="G301" s="156" t="inlineStr">
        <is>
          <t>One Size</t>
        </is>
      </c>
      <c r="H301" s="156" t="inlineStr">
        <is>
          <t>CAPSLAB</t>
        </is>
      </c>
      <c r="I301" s="156" t="inlineStr">
        <is>
          <t>Gorra CAPSLAB Rick And Morty Negro</t>
        </is>
      </c>
      <c r="J301" s="156" t="inlineStr">
        <is>
          <t>Accesorios</t>
        </is>
      </c>
      <c r="K301" s="156" t="inlineStr">
        <is>
          <t>Gorras</t>
        </is>
      </c>
      <c r="L301" s="156" t="inlineStr">
        <is>
          <t>Unisex</t>
        </is>
      </c>
      <c r="M301" s="156" t="inlineStr">
        <is>
          <t>Rick &amp; Morty</t>
        </is>
      </c>
      <c r="N301" s="156" t="n"/>
      <c r="O301" s="156" t="n"/>
      <c r="P301" s="156" t="inlineStr">
        <is>
          <t>Negro</t>
        </is>
      </c>
      <c r="Q301" s="156" t="n"/>
      <c r="R301" s="156" t="n"/>
      <c r="S301" s="156" t="inlineStr">
        <is>
          <t>Algodón / Poliéster</t>
        </is>
      </c>
      <c r="T301" s="156" t="inlineStr">
        <is>
          <t>Gorra de la marca CAPSLAB bajo licencia oficial Rick And Morty. Talla única ajustable. Estilo CL/REM/1/CKL2.</t>
        </is>
      </c>
      <c r="U301" s="156" t="n"/>
      <c r="V301" s="156" t="inlineStr">
        <is>
          <t>PZS</t>
        </is>
      </c>
      <c r="W301" s="51" t="inlineStr">
        <is>
          <t>53102516</t>
        </is>
      </c>
      <c r="X301" s="156" t="inlineStr">
        <is>
          <t>https://7913364.app.netsuite.com/core/media/media.nl?id=188391&amp;c=7913364&amp;h=J-Qh6m6h7yvihnC-qc6raX8ONU_-iwSz30jkfGZwAbAJc_ME</t>
        </is>
      </c>
      <c r="Y301" s="54" t="n">
        <v>8.5</v>
      </c>
      <c r="Z301" s="54" t="n">
        <v>699</v>
      </c>
      <c r="AA301" s="55">
        <f>IF(AND(A301="", B301="", E301=""), "", IF(AB301="", "Válido", IF((LEN(AB301)-LEN(SUBSTITUTE(AB301,"; ","")))/2+1&gt;(LEN(AB301)-LEN(SUBSTITUTE(AB301,"[Aviso]","")))/7, "Con Incidencias", "Válido")))</f>
        <v/>
      </c>
      <c r="AB301" s="56">
        <f>IF(AND(A301="", B301="", E301=""), "", TEXTJOIN("; ", TRUE, IF(OR(TRIM(A301&amp;"")="", ISNUMBER(SEARCH("FALTA", A301))), "UPC faltante/inválido", ""), IF(AND(A301&lt;&gt;"", IFERROR(_xlfn.XMATCH(A301,$A$2:$A$370,0,1)&lt;&gt;_xlfn.XMATCH(A301,$A$2:$A$370,0,-1),FALSE)), "Código de barras duplicado", ""), IF(AND(E301&lt;&gt;"", COUNTIF($E$2:$E$370, E301)&gt;1), "SKU duplicado", ""), IF(OR(J301="", J301=""), "[Aviso] División no capturada ()", IF(ISNA(MATCH(J301, Criterios!$A$123:$A$126, 0)), "División no válida", "")), IF(OR(K301="", K301=""), "[Aviso] Categoría no capturada ()", IF(ISNA(MATCH(K301, Criterios!$A$81:$A$120, 0)), "Categoría no válida", IF(AND(J301&lt;&gt;"", J301&lt;&gt;"", J301&lt;&gt;VLOOKUP(K301, Criterios!$A$81:$B$120, 2, FALSE)), "División no coincide con Categoría", ""))), IF(OR(L301="", L301=""), "[Aviso] Género no capturado ()", IF(ISNA(MATCH(L301, Criterios!$B$123:$B$127, 0)), "Género no válido", "")), IF(OR(N301="", N301=""), "[Aviso] Temporada no capturada ()", IF(ISNA(MATCH(N301, Criterios!$C$123:$C$128, 0)), "Temporada no válida", "")), IF(OR(O301="", O301=""), "[Aviso] Ciclo de vida no capturado ()", IF(ISNA(MATCH(O301, Criterios!$D$123:$D$124, 0)), "Ciclo de vida no válido", ""))))</f>
        <v/>
      </c>
      <c r="AC301" s="56" t="n"/>
      <c r="AD301" s="51" t="n">
        <v>0</v>
      </c>
      <c r="AE301" s="156" t="n"/>
      <c r="AF301" s="51" t="n">
        <v>0</v>
      </c>
      <c r="AG301" s="156" t="inlineStr">
        <is>
          <t>Nuevo – NetSuite sin existencia</t>
        </is>
      </c>
      <c r="AH301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«Rick And Morty» → «Rick &amp; Morty» (Corrección aplicada) · Validación G1522: [Aviso] Precio de compra posiblemente en USD · Validador Shopify: WB: precio con IVA no termina en 9</t>
        </is>
      </c>
      <c r="AI301" s="156" t="inlineStr">
        <is>
          <t>No</t>
        </is>
      </c>
      <c r="AJ301" s="156" t="n"/>
      <c r="AK301" s="155" t="inlineStr">
        <is>
          <t>G1522ProductosTodosloscamposSandboxResults894.xlsx: fila 48140 [Y]; G1522_Extraccion_Articulos_NetSuite_2026-09-30.xlsx: fila 20865 [Z]</t>
        </is>
      </c>
      <c r="AL301" s="58" t="n">
        <v>8.5</v>
      </c>
      <c r="AM301" s="58" t="n"/>
      <c r="AN301" s="155" t="n"/>
      <c r="AO301" s="59" t="n"/>
      <c r="AP301" s="59" t="n"/>
      <c r="AQ301" s="59" t="n"/>
      <c r="AR301" s="155" t="n"/>
    </row>
    <row r="302">
      <c r="A302" s="50" t="inlineStr">
        <is>
          <t>3614000917014</t>
        </is>
      </c>
      <c r="B302" s="51" t="inlineStr">
        <is>
          <t>69712</t>
        </is>
      </c>
      <c r="C302" s="156" t="inlineStr">
        <is>
          <t>CAPSLAB</t>
        </is>
      </c>
      <c r="D302" s="156" t="inlineStr">
        <is>
          <t>CL/REM/1/LOO1</t>
        </is>
      </c>
      <c r="E302" s="156" t="inlineStr">
        <is>
          <t>CL/REM/1/LOO1-UNI</t>
        </is>
      </c>
      <c r="F302" s="156" t="inlineStr">
        <is>
          <t>Talla única</t>
        </is>
      </c>
      <c r="G302" s="156" t="inlineStr">
        <is>
          <t>One Size</t>
        </is>
      </c>
      <c r="H302" s="156" t="inlineStr">
        <is>
          <t>CAPSLAB</t>
        </is>
      </c>
      <c r="I302" s="156" t="inlineStr">
        <is>
          <t>Gorra CAPSLAB Rick &amp; Morty</t>
        </is>
      </c>
      <c r="J302" s="156" t="inlineStr">
        <is>
          <t>Accesorios</t>
        </is>
      </c>
      <c r="K302" s="156" t="inlineStr">
        <is>
          <t>Gorras</t>
        </is>
      </c>
      <c r="L302" s="156" t="inlineStr">
        <is>
          <t>Unisex</t>
        </is>
      </c>
      <c r="M302" s="156" t="inlineStr">
        <is>
          <t>Rick &amp; Morty</t>
        </is>
      </c>
      <c r="N302" s="156" t="n"/>
      <c r="O302" s="156" t="n"/>
      <c r="P302" s="156" t="n"/>
      <c r="Q302" s="156" t="n"/>
      <c r="R302" s="156" t="n"/>
      <c r="S302" s="156" t="inlineStr">
        <is>
          <t>Algodón / Poliéster</t>
        </is>
      </c>
      <c r="T302" s="156" t="inlineStr">
        <is>
          <t>Gorra de la marca CAPSLAB bajo licencia oficial Rick &amp; Morty. Talla única ajustable. Estilo CL/REM/1/LOO1.</t>
        </is>
      </c>
      <c r="U302" s="156" t="n"/>
      <c r="V302" s="156" t="inlineStr">
        <is>
          <t>PZS</t>
        </is>
      </c>
      <c r="W302" s="51" t="inlineStr">
        <is>
          <t>53102516</t>
        </is>
      </c>
      <c r="X302" s="156" t="inlineStr">
        <is>
          <t>https://i.ibb.co/g9913d0/CLREM1-LOO1.jpg</t>
        </is>
      </c>
      <c r="Y302" s="54" t="n"/>
      <c r="Z302" s="54" t="n">
        <v>699</v>
      </c>
      <c r="AA302" s="55">
        <f>IF(AND(A302="", B302="", E302=""), "", IF(AB302="", "Válido", IF((LEN(AB302)-LEN(SUBSTITUTE(AB302,"; ","")))/2+1&gt;(LEN(AB302)-LEN(SUBSTITUTE(AB302,"[Aviso]","")))/7, "Con Incidencias", "Válido")))</f>
        <v/>
      </c>
      <c r="AB302" s="56">
        <f>IF(AND(A302="", B302="", E302=""), "", TEXTJOIN("; ", TRUE, IF(OR(TRIM(A302&amp;"")="", ISNUMBER(SEARCH("FALTA", A302))), "UPC faltante/inválido", ""), IF(AND(A302&lt;&gt;"", IFERROR(_xlfn.XMATCH(A302,$A$2:$A$370,0,1)&lt;&gt;_xlfn.XMATCH(A302,$A$2:$A$370,0,-1),FALSE)), "Código de barras duplicado", ""), IF(AND(E302&lt;&gt;"", COUNTIF($E$2:$E$370, E302)&gt;1), "SKU duplicado", ""), IF(OR(J302="", J302=""), "[Aviso] División no capturada ()", IF(ISNA(MATCH(J302, Criterios!$A$123:$A$126, 0)), "División no válida", "")), IF(OR(K302="", K302=""), "[Aviso] Categoría no capturada ()", IF(ISNA(MATCH(K302, Criterios!$A$81:$A$120, 0)), "Categoría no válida", IF(AND(J302&lt;&gt;"", J302&lt;&gt;"", J302&lt;&gt;VLOOKUP(K302, Criterios!$A$81:$B$120, 2, FALSE)), "División no coincide con Categoría", ""))), IF(OR(L302="", L302=""), "[Aviso] Género no capturado ()", IF(ISNA(MATCH(L302, Criterios!$B$123:$B$127, 0)), "Género no válido", "")), IF(OR(N302="", N302=""), "[Aviso] Temporada no capturada ()", IF(ISNA(MATCH(N302, Criterios!$C$123:$C$128, 0)), "Temporada no válida", "")), IF(OR(O302="", O302=""), "[Aviso] Ciclo de vida no capturado ()", IF(ISNA(MATCH(O302, Criterios!$D$123:$D$124, 0)), "Ciclo de vida no válido", ""))))</f>
        <v/>
      </c>
      <c r="AC302" s="56" t="n"/>
      <c r="AD302" s="51" t="n">
        <v>23</v>
      </c>
      <c r="AE302" s="156" t="inlineStr">
        <is>
          <t>CL POS (5); Web (2); CAPSLAB Warehouse (14); CL Muestras (2)</t>
        </is>
      </c>
      <c r="AF302" s="51" t="n">
        <v>23</v>
      </c>
      <c r="AG302" s="156" t="inlineStr">
        <is>
          <t>Nuevo – NetSuite con existencia</t>
        </is>
      </c>
      <c r="AH302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02" s="156" t="inlineStr">
        <is>
          <t>No</t>
        </is>
      </c>
      <c r="AJ302" s="156" t="n"/>
      <c r="AK302" s="155" t="inlineStr">
        <is>
          <t>G1522ProductosTodosloscamposSandboxResults894.xlsx: fila 48142 [X]; G1522_Extraccion_Articulos_NetSuite_2026-09-30.xlsx: fila 30437 [Z]</t>
        </is>
      </c>
      <c r="AL302" s="58" t="n"/>
      <c r="AM302" s="58" t="n"/>
      <c r="AN302" s="155" t="n"/>
      <c r="AO302" s="59" t="n"/>
      <c r="AP302" s="59" t="n"/>
      <c r="AQ302" s="59" t="n"/>
      <c r="AR302" s="155" t="n"/>
    </row>
    <row r="303">
      <c r="A303" s="50" t="inlineStr">
        <is>
          <t>3614001628216</t>
        </is>
      </c>
      <c r="B303" s="51" t="inlineStr">
        <is>
          <t>69713</t>
        </is>
      </c>
      <c r="C303" s="156" t="inlineStr">
        <is>
          <t>CAPSLAB</t>
        </is>
      </c>
      <c r="D303" s="156" t="inlineStr">
        <is>
          <t>CL/REM/1/LOO3</t>
        </is>
      </c>
      <c r="E303" s="156" t="inlineStr">
        <is>
          <t>CL/REM/1/LOO3-UNI</t>
        </is>
      </c>
      <c r="F303" s="156" t="inlineStr">
        <is>
          <t>Talla única</t>
        </is>
      </c>
      <c r="G303" s="156" t="inlineStr">
        <is>
          <t>One Size</t>
        </is>
      </c>
      <c r="H303" s="156" t="inlineStr">
        <is>
          <t>CAPSLAB</t>
        </is>
      </c>
      <c r="I303" s="156" t="inlineStr">
        <is>
          <t>Gorra CAPSLAB Rick &amp; Morty</t>
        </is>
      </c>
      <c r="J303" s="156" t="inlineStr">
        <is>
          <t>Accesorios</t>
        </is>
      </c>
      <c r="K303" s="156" t="inlineStr">
        <is>
          <t>Gorras</t>
        </is>
      </c>
      <c r="L303" s="156" t="inlineStr">
        <is>
          <t>Unisex</t>
        </is>
      </c>
      <c r="M303" s="156" t="inlineStr">
        <is>
          <t>Rick &amp; Morty</t>
        </is>
      </c>
      <c r="N303" s="156" t="n"/>
      <c r="O303" s="156" t="n"/>
      <c r="P303" s="156" t="n"/>
      <c r="Q303" s="156" t="n"/>
      <c r="R303" s="156" t="n"/>
      <c r="S303" s="156" t="inlineStr">
        <is>
          <t>Algodón / Poliéster</t>
        </is>
      </c>
      <c r="T303" s="156" t="inlineStr">
        <is>
          <t>Gorra de la marca CAPSLAB bajo licencia oficial Rick &amp; Morty. Talla única ajustable. Estilo CL/REM/1/LOO3.</t>
        </is>
      </c>
      <c r="U303" s="156" t="n"/>
      <c r="V303" s="156" t="inlineStr">
        <is>
          <t>PZS</t>
        </is>
      </c>
      <c r="W303" s="51" t="inlineStr">
        <is>
          <t>53102516</t>
        </is>
      </c>
      <c r="X303" s="156" t="inlineStr">
        <is>
          <t>https://i.ibb.co/ZXr2XRK/CLREM1-LOO3.jpg</t>
        </is>
      </c>
      <c r="Y303" s="54" t="n"/>
      <c r="Z303" s="54" t="n">
        <v>699</v>
      </c>
      <c r="AA303" s="55">
        <f>IF(AND(A303="", B303="", E303=""), "", IF(AB303="", "Válido", IF((LEN(AB303)-LEN(SUBSTITUTE(AB303,"; ","")))/2+1&gt;(LEN(AB303)-LEN(SUBSTITUTE(AB303,"[Aviso]","")))/7, "Con Incidencias", "Válido")))</f>
        <v/>
      </c>
      <c r="AB303" s="56">
        <f>IF(AND(A303="", B303="", E303=""), "", TEXTJOIN("; ", TRUE, IF(OR(TRIM(A303&amp;"")="", ISNUMBER(SEARCH("FALTA", A303))), "UPC faltante/inválido", ""), IF(AND(A303&lt;&gt;"", IFERROR(_xlfn.XMATCH(A303,$A$2:$A$370,0,1)&lt;&gt;_xlfn.XMATCH(A303,$A$2:$A$370,0,-1),FALSE)), "Código de barras duplicado", ""), IF(AND(E303&lt;&gt;"", COUNTIF($E$2:$E$370, E303)&gt;1), "SKU duplicado", ""), IF(OR(J303="", J303=""), "[Aviso] División no capturada ()", IF(ISNA(MATCH(J303, Criterios!$A$123:$A$126, 0)), "División no válida", "")), IF(OR(K303="", K303=""), "[Aviso] Categoría no capturada ()", IF(ISNA(MATCH(K303, Criterios!$A$81:$A$120, 0)), "Categoría no válida", IF(AND(J303&lt;&gt;"", J303&lt;&gt;"", J303&lt;&gt;VLOOKUP(K303, Criterios!$A$81:$B$120, 2, FALSE)), "División no coincide con Categoría", ""))), IF(OR(L303="", L303=""), "[Aviso] Género no capturado ()", IF(ISNA(MATCH(L303, Criterios!$B$123:$B$127, 0)), "Género no válido", "")), IF(OR(N303="", N303=""), "[Aviso] Temporada no capturada ()", IF(ISNA(MATCH(N303, Criterios!$C$123:$C$128, 0)), "Temporada no válida", "")), IF(OR(O303="", O303=""), "[Aviso] Ciclo de vida no capturado ()", IF(ISNA(MATCH(O303, Criterios!$D$123:$D$124, 0)), "Ciclo de vida no válido", ""))))</f>
        <v/>
      </c>
      <c r="AC303" s="56" t="n"/>
      <c r="AD303" s="51" t="n">
        <v>110</v>
      </c>
      <c r="AE303" s="156" t="inlineStr">
        <is>
          <t>CL Muestras (1); CL POS (5); Web (2); CAPSLAB Warehouse (69)</t>
        </is>
      </c>
      <c r="AF303" s="51" t="n">
        <v>112</v>
      </c>
      <c r="AG303" s="156" t="inlineStr">
        <is>
          <t>Nuevo – NetSuite con existencia</t>
        </is>
      </c>
      <c r="AH303" s="156" t="inlineStr">
        <is>
          <t>Composición CAPSLAB varía por modelo (50/50, 40/60 o 100% poliéster): validar etiqueta; Color por validar; Físico total NetSuite 110 ≠ suma por ubicación 77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03" s="156" t="inlineStr">
        <is>
          <t>No</t>
        </is>
      </c>
      <c r="AJ303" s="156" t="n"/>
      <c r="AK303" s="155" t="inlineStr">
        <is>
          <t>G1522ProductosTodosloscamposSandboxResults894.xlsx: fila 48144 [X]; G1522_Extraccion_Articulos_NetSuite_2026-09-30.xlsx: fila 30438 [Z]</t>
        </is>
      </c>
      <c r="AL303" s="58" t="n"/>
      <c r="AM303" s="58" t="n"/>
      <c r="AN303" s="155" t="n"/>
      <c r="AO303" s="59" t="n"/>
      <c r="AP303" s="59" t="n"/>
      <c r="AQ303" s="59" t="n"/>
      <c r="AR303" s="155" t="n"/>
    </row>
    <row r="304">
      <c r="A304" s="50" t="inlineStr">
        <is>
          <t>3614000917021</t>
        </is>
      </c>
      <c r="B304" s="51" t="inlineStr">
        <is>
          <t>57484</t>
        </is>
      </c>
      <c r="C304" s="156" t="inlineStr">
        <is>
          <t>CAPSLAB</t>
        </is>
      </c>
      <c r="D304" s="156" t="inlineStr">
        <is>
          <t>CL/REM/1/MOR1</t>
        </is>
      </c>
      <c r="E304" s="156" t="inlineStr">
        <is>
          <t>CL/REM/1/MOR1-UNI</t>
        </is>
      </c>
      <c r="F304" s="156" t="inlineStr">
        <is>
          <t>Talla única</t>
        </is>
      </c>
      <c r="G304" s="156" t="inlineStr">
        <is>
          <t>One Size</t>
        </is>
      </c>
      <c r="H304" s="156" t="inlineStr">
        <is>
          <t>CAPSLAB</t>
        </is>
      </c>
      <c r="I304" s="156" t="inlineStr">
        <is>
          <t>Gorra CAPSLAB Rick And Morty Morty Negro</t>
        </is>
      </c>
      <c r="J304" s="156" t="inlineStr">
        <is>
          <t>Accesorios</t>
        </is>
      </c>
      <c r="K304" s="156" t="inlineStr">
        <is>
          <t>Gorras</t>
        </is>
      </c>
      <c r="L304" s="156" t="inlineStr">
        <is>
          <t>Unisex</t>
        </is>
      </c>
      <c r="M304" s="156" t="inlineStr">
        <is>
          <t>Rick &amp; Morty</t>
        </is>
      </c>
      <c r="N304" s="156" t="n"/>
      <c r="O304" s="156" t="n"/>
      <c r="P304" s="156" t="inlineStr">
        <is>
          <t>Negro</t>
        </is>
      </c>
      <c r="Q304" s="156" t="n"/>
      <c r="R304" s="156" t="n"/>
      <c r="S304" s="156" t="inlineStr">
        <is>
          <t>Algodón / Poliéster</t>
        </is>
      </c>
      <c r="T304" s="156" t="inlineStr">
        <is>
          <t>Gorra de la marca CAPSLAB bajo licencia oficial Rick And Morty, personaje Morty. Talla única ajustable. Estilo CL/REM/1/MOR1.</t>
        </is>
      </c>
      <c r="U304" s="156" t="n"/>
      <c r="V304" s="156" t="inlineStr">
        <is>
          <t>PZS</t>
        </is>
      </c>
      <c r="W304" s="51" t="inlineStr">
        <is>
          <t>53102516</t>
        </is>
      </c>
      <c r="X304" s="156" t="inlineStr">
        <is>
          <t>https://7913364.app.netsuite.com/core/media/media.nl?id=188392&amp;c=7913364&amp;h=xjRAS8q_LzGN80g7-66fQfm3Rthsc_c2QTPIVWSopCzFSY5W</t>
        </is>
      </c>
      <c r="Y304" s="54" t="n">
        <v>8.5</v>
      </c>
      <c r="Z304" s="54" t="n">
        <v>699</v>
      </c>
      <c r="AA304" s="55">
        <f>IF(AND(A304="", B304="", E304=""), "", IF(AB304="", "Válido", IF((LEN(AB304)-LEN(SUBSTITUTE(AB304,"; ","")))/2+1&gt;(LEN(AB304)-LEN(SUBSTITUTE(AB304,"[Aviso]","")))/7, "Con Incidencias", "Válido")))</f>
        <v/>
      </c>
      <c r="AB304" s="56">
        <f>IF(AND(A304="", B304="", E304=""), "", TEXTJOIN("; ", TRUE, IF(OR(TRIM(A304&amp;"")="", ISNUMBER(SEARCH("FALTA", A304))), "UPC faltante/inválido", ""), IF(AND(A304&lt;&gt;"", IFERROR(_xlfn.XMATCH(A304,$A$2:$A$370,0,1)&lt;&gt;_xlfn.XMATCH(A304,$A$2:$A$370,0,-1),FALSE)), "Código de barras duplicado", ""), IF(AND(E304&lt;&gt;"", COUNTIF($E$2:$E$370, E304)&gt;1), "SKU duplicado", ""), IF(OR(J304="", J304=""), "[Aviso] División no capturada ()", IF(ISNA(MATCH(J304, Criterios!$A$123:$A$126, 0)), "División no válida", "")), IF(OR(K304="", K304=""), "[Aviso] Categoría no capturada ()", IF(ISNA(MATCH(K304, Criterios!$A$81:$A$120, 0)), "Categoría no válida", IF(AND(J304&lt;&gt;"", J304&lt;&gt;"", J304&lt;&gt;VLOOKUP(K304, Criterios!$A$81:$B$120, 2, FALSE)), "División no coincide con Categoría", ""))), IF(OR(L304="", L304=""), "[Aviso] Género no capturado ()", IF(ISNA(MATCH(L304, Criterios!$B$123:$B$127, 0)), "Género no válido", "")), IF(OR(N304="", N304=""), "[Aviso] Temporada no capturada ()", IF(ISNA(MATCH(N304, Criterios!$C$123:$C$128, 0)), "Temporada no válida", "")), IF(OR(O304="", O304=""), "[Aviso] Ciclo de vida no capturado ()", IF(ISNA(MATCH(O304, Criterios!$D$123:$D$124, 0)), "Ciclo de vida no válido", ""))))</f>
        <v/>
      </c>
      <c r="AC304" s="56" t="n"/>
      <c r="AD304" s="51" t="n">
        <v>0</v>
      </c>
      <c r="AE304" s="156" t="n"/>
      <c r="AF304" s="51" t="n">
        <v>0</v>
      </c>
      <c r="AG304" s="156" t="inlineStr">
        <is>
          <t>Nuevo – NetSuite sin existencia</t>
        </is>
      </c>
      <c r="AH30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«Rick And Morty» → «Rick &amp; Morty» (Corrección aplicada) · Validación G1522: [Aviso] Precio de compra posiblemente en USD · Validador Shopify: WB: precio con IVA no termina en 9</t>
        </is>
      </c>
      <c r="AI304" s="156" t="inlineStr">
        <is>
          <t>No</t>
        </is>
      </c>
      <c r="AJ304" s="156" t="n"/>
      <c r="AK304" s="155" t="inlineStr">
        <is>
          <t>G1522ProductosTodosloscamposSandboxResults894.xlsx: fila 48146 [Y]; G1522_Extraccion_Articulos_NetSuite_2026-09-30.xlsx: fila 20866 [Z]</t>
        </is>
      </c>
      <c r="AL304" s="58" t="n">
        <v>8.5</v>
      </c>
      <c r="AM304" s="58" t="n"/>
      <c r="AN304" s="155" t="n"/>
      <c r="AO304" s="59" t="n"/>
      <c r="AP304" s="59" t="n"/>
      <c r="AQ304" s="59" t="n"/>
      <c r="AR304" s="155" t="n"/>
    </row>
    <row r="305">
      <c r="A305" s="50" t="inlineStr">
        <is>
          <t>3614001183951</t>
        </is>
      </c>
      <c r="B305" s="51" t="inlineStr">
        <is>
          <t>57485</t>
        </is>
      </c>
      <c r="C305" s="156" t="inlineStr">
        <is>
          <t>CAPSLAB</t>
        </is>
      </c>
      <c r="D305" s="156" t="inlineStr">
        <is>
          <t>CL/REM/1/PSY2</t>
        </is>
      </c>
      <c r="E305" s="156" t="inlineStr">
        <is>
          <t>CL/REM/1/PSY2-UNI</t>
        </is>
      </c>
      <c r="F305" s="156" t="inlineStr">
        <is>
          <t>Talla única</t>
        </is>
      </c>
      <c r="G305" s="156" t="inlineStr">
        <is>
          <t>One Size</t>
        </is>
      </c>
      <c r="H305" s="156" t="inlineStr">
        <is>
          <t>CAPSLAB</t>
        </is>
      </c>
      <c r="I305" s="156" t="inlineStr">
        <is>
          <t>Gorra CAPSLAB Rick And Morty Negro</t>
        </is>
      </c>
      <c r="J305" s="156" t="inlineStr">
        <is>
          <t>Accesorios</t>
        </is>
      </c>
      <c r="K305" s="156" t="inlineStr">
        <is>
          <t>Gorras</t>
        </is>
      </c>
      <c r="L305" s="156" t="inlineStr">
        <is>
          <t>Unisex</t>
        </is>
      </c>
      <c r="M305" s="156" t="inlineStr">
        <is>
          <t>Rick &amp; Morty</t>
        </is>
      </c>
      <c r="N305" s="156" t="n"/>
      <c r="O305" s="156" t="n"/>
      <c r="P305" s="156" t="inlineStr">
        <is>
          <t>Negro</t>
        </is>
      </c>
      <c r="Q305" s="156" t="n"/>
      <c r="R305" s="156" t="n"/>
      <c r="S305" s="156" t="inlineStr">
        <is>
          <t>Algodón / Poliéster</t>
        </is>
      </c>
      <c r="T305" s="156" t="inlineStr">
        <is>
          <t>Gorra de la marca CAPSLAB bajo licencia oficial Rick And Morty. Talla única ajustable. Estilo CL/REM/1/PSY2.</t>
        </is>
      </c>
      <c r="U305" s="156" t="n"/>
      <c r="V305" s="156" t="inlineStr">
        <is>
          <t>PZS</t>
        </is>
      </c>
      <c r="W305" s="51" t="inlineStr">
        <is>
          <t>53102516</t>
        </is>
      </c>
      <c r="X305" s="156" t="inlineStr">
        <is>
          <t>https://7913364.app.netsuite.com/core/media/media.nl?id=188393&amp;c=7913364&amp;h=kCckYy3GTEdCXWNXfNt9VIkYjXlRt5fAlAtMqpbkn2rn302d</t>
        </is>
      </c>
      <c r="Y305" s="54" t="n">
        <v>8.5</v>
      </c>
      <c r="Z305" s="54" t="n">
        <v>699</v>
      </c>
      <c r="AA305" s="55">
        <f>IF(AND(A305="", B305="", E305=""), "", IF(AB305="", "Válido", IF((LEN(AB305)-LEN(SUBSTITUTE(AB305,"; ","")))/2+1&gt;(LEN(AB305)-LEN(SUBSTITUTE(AB305,"[Aviso]","")))/7, "Con Incidencias", "Válido")))</f>
        <v/>
      </c>
      <c r="AB305" s="56">
        <f>IF(AND(A305="", B305="", E305=""), "", TEXTJOIN("; ", TRUE, IF(OR(TRIM(A305&amp;"")="", ISNUMBER(SEARCH("FALTA", A305))), "UPC faltante/inválido", ""), IF(AND(A305&lt;&gt;"", IFERROR(_xlfn.XMATCH(A305,$A$2:$A$370,0,1)&lt;&gt;_xlfn.XMATCH(A305,$A$2:$A$370,0,-1),FALSE)), "Código de barras duplicado", ""), IF(AND(E305&lt;&gt;"", COUNTIF($E$2:$E$370, E305)&gt;1), "SKU duplicado", ""), IF(OR(J305="", J305=""), "[Aviso] División no capturada ()", IF(ISNA(MATCH(J305, Criterios!$A$123:$A$126, 0)), "División no válida", "")), IF(OR(K305="", K305=""), "[Aviso] Categoría no capturada ()", IF(ISNA(MATCH(K305, Criterios!$A$81:$A$120, 0)), "Categoría no válida", IF(AND(J305&lt;&gt;"", J305&lt;&gt;"", J305&lt;&gt;VLOOKUP(K305, Criterios!$A$81:$B$120, 2, FALSE)), "División no coincide con Categoría", ""))), IF(OR(L305="", L305=""), "[Aviso] Género no capturado ()", IF(ISNA(MATCH(L305, Criterios!$B$123:$B$127, 0)), "Género no válido", "")), IF(OR(N305="", N305=""), "[Aviso] Temporada no capturada ()", IF(ISNA(MATCH(N305, Criterios!$C$123:$C$128, 0)), "Temporada no válida", "")), IF(OR(O305="", O305=""), "[Aviso] Ciclo de vida no capturado ()", IF(ISNA(MATCH(O305, Criterios!$D$123:$D$124, 0)), "Ciclo de vida no válido", ""))))</f>
        <v/>
      </c>
      <c r="AC305" s="56" t="n"/>
      <c r="AD305" s="51" t="n">
        <v>0</v>
      </c>
      <c r="AE305" s="156" t="n"/>
      <c r="AF305" s="51" t="n">
        <v>0</v>
      </c>
      <c r="AG305" s="156" t="inlineStr">
        <is>
          <t>Nuevo – NetSuite sin existencia</t>
        </is>
      </c>
      <c r="AH30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«Rick And Morty» → «Rick &amp; Morty» (Corrección aplicada) · Validación G1522: [Aviso] Precio de compra posiblemente en USD · Validador Shopify: WB: precio con IVA no termina en 9</t>
        </is>
      </c>
      <c r="AI305" s="156" t="inlineStr">
        <is>
          <t>No</t>
        </is>
      </c>
      <c r="AJ305" s="156" t="n"/>
      <c r="AK305" s="155" t="inlineStr">
        <is>
          <t>G1522ProductosTodosloscamposSandboxResults894.xlsx: fila 48148 [Y]; G1522_Extraccion_Articulos_NetSuite_2026-09-30.xlsx: fila 20867 [Z]</t>
        </is>
      </c>
      <c r="AL305" s="58" t="n">
        <v>8.5</v>
      </c>
      <c r="AM305" s="58" t="n"/>
      <c r="AN305" s="155" t="n"/>
      <c r="AO305" s="59" t="n"/>
      <c r="AP305" s="59" t="n"/>
      <c r="AQ305" s="59" t="n"/>
      <c r="AR305" s="155" t="n"/>
    </row>
    <row r="306">
      <c r="A306" s="50" t="inlineStr">
        <is>
          <t>3614001697427</t>
        </is>
      </c>
      <c r="B306" s="51" t="inlineStr">
        <is>
          <t>69714</t>
        </is>
      </c>
      <c r="C306" s="156" t="inlineStr">
        <is>
          <t>CAPSLAB</t>
        </is>
      </c>
      <c r="D306" s="156" t="inlineStr">
        <is>
          <t>CL/REM4/1/CD/HEA</t>
        </is>
      </c>
      <c r="E306" s="156" t="inlineStr">
        <is>
          <t>CL/REM4/1/CD/HEA-UNI</t>
        </is>
      </c>
      <c r="F306" s="156" t="inlineStr">
        <is>
          <t>Talla única</t>
        </is>
      </c>
      <c r="G306" s="156" t="inlineStr">
        <is>
          <t>One Size</t>
        </is>
      </c>
      <c r="H306" s="156" t="inlineStr">
        <is>
          <t>CAPSLAB</t>
        </is>
      </c>
      <c r="I306" s="156" t="inlineStr">
        <is>
          <t>Gorra CAPSLAB Rick &amp; Morty</t>
        </is>
      </c>
      <c r="J306" s="156" t="inlineStr">
        <is>
          <t>Accesorios</t>
        </is>
      </c>
      <c r="K306" s="156" t="inlineStr">
        <is>
          <t>Gorras</t>
        </is>
      </c>
      <c r="L306" s="156" t="inlineStr">
        <is>
          <t>Unisex</t>
        </is>
      </c>
      <c r="M306" s="156" t="inlineStr">
        <is>
          <t>Rick &amp; Morty</t>
        </is>
      </c>
      <c r="N306" s="156" t="n"/>
      <c r="O306" s="156" t="n"/>
      <c r="P306" s="156" t="n"/>
      <c r="Q306" s="156" t="n"/>
      <c r="R306" s="156" t="n"/>
      <c r="S306" s="156" t="inlineStr">
        <is>
          <t>Algodón / Poliéster</t>
        </is>
      </c>
      <c r="T306" s="156" t="inlineStr">
        <is>
          <t>Gorra de la marca CAPSLAB bajo licencia oficial Rick &amp; Morty. Talla única ajustable. Estilo CL/REM4/1/CD/HEA.</t>
        </is>
      </c>
      <c r="U306" s="156" t="n"/>
      <c r="V306" s="156" t="inlineStr">
        <is>
          <t>PZS</t>
        </is>
      </c>
      <c r="W306" s="51" t="inlineStr">
        <is>
          <t>53102516</t>
        </is>
      </c>
      <c r="X306" s="156" t="inlineStr">
        <is>
          <t>https://i.ibb.co/PrdWk9z/CLREM41-CDHEA.jpg</t>
        </is>
      </c>
      <c r="Y306" s="54" t="n"/>
      <c r="Z306" s="54" t="n">
        <v>699</v>
      </c>
      <c r="AA306" s="55">
        <f>IF(AND(A306="", B306="", E306=""), "", IF(AB306="", "Válido", IF((LEN(AB306)-LEN(SUBSTITUTE(AB306,"; ","")))/2+1&gt;(LEN(AB306)-LEN(SUBSTITUTE(AB306,"[Aviso]","")))/7, "Con Incidencias", "Válido")))</f>
        <v/>
      </c>
      <c r="AB306" s="56">
        <f>IF(AND(A306="", B306="", E306=""), "", TEXTJOIN("; ", TRUE, IF(OR(TRIM(A306&amp;"")="", ISNUMBER(SEARCH("FALTA", A306))), "UPC faltante/inválido", ""), IF(AND(A306&lt;&gt;"", IFERROR(_xlfn.XMATCH(A306,$A$2:$A$370,0,1)&lt;&gt;_xlfn.XMATCH(A306,$A$2:$A$370,0,-1),FALSE)), "Código de barras duplicado", ""), IF(AND(E306&lt;&gt;"", COUNTIF($E$2:$E$370, E306)&gt;1), "SKU duplicado", ""), IF(OR(J306="", J306=""), "[Aviso] División no capturada ()", IF(ISNA(MATCH(J306, Criterios!$A$123:$A$126, 0)), "División no válida", "")), IF(OR(K306="", K306=""), "[Aviso] Categoría no capturada ()", IF(ISNA(MATCH(K306, Criterios!$A$81:$A$120, 0)), "Categoría no válida", IF(AND(J306&lt;&gt;"", J306&lt;&gt;"", J306&lt;&gt;VLOOKUP(K306, Criterios!$A$81:$B$120, 2, FALSE)), "División no coincide con Categoría", ""))), IF(OR(L306="", L306=""), "[Aviso] Género no capturado ()", IF(ISNA(MATCH(L306, Criterios!$B$123:$B$127, 0)), "Género no válido", "")), IF(OR(N306="", N306=""), "[Aviso] Temporada no capturada ()", IF(ISNA(MATCH(N306, Criterios!$C$123:$C$128, 0)), "Temporada no válida", "")), IF(OR(O306="", O306=""), "[Aviso] Ciclo de vida no capturado ()", IF(ISNA(MATCH(O306, Criterios!$D$123:$D$124, 0)), "Ciclo de vida no válido", ""))))</f>
        <v/>
      </c>
      <c r="AC306" s="56" t="n"/>
      <c r="AD306" s="51" t="n">
        <v>75</v>
      </c>
      <c r="AE306" s="156" t="inlineStr">
        <is>
          <t>CAPSLAB Warehouse (41); CL POS (4); Web (1)</t>
        </is>
      </c>
      <c r="AF306" s="51" t="n">
        <v>75</v>
      </c>
      <c r="AG306" s="156" t="inlineStr">
        <is>
          <t>Nuevo – NetSuite con existencia</t>
        </is>
      </c>
      <c r="AH306" s="156" t="inlineStr">
        <is>
          <t>Composición CAPSLAB varía por modelo (50/50, 40/60 o 100% poliéster): validar etiqueta; Color por validar; Físico total NetSuite 75 ≠ suma por ubicación 46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06" s="156" t="inlineStr">
        <is>
          <t>No</t>
        </is>
      </c>
      <c r="AJ306" s="156" t="n"/>
      <c r="AK306" s="155" t="inlineStr">
        <is>
          <t>G1522ProductosTodosloscamposSandboxResults894.xlsx: fila 48150 [X]; G1522_Extraccion_Articulos_NetSuite_2026-09-30.xlsx: fila 30439 [Z]</t>
        </is>
      </c>
      <c r="AL306" s="58" t="n"/>
      <c r="AM306" s="58" t="n"/>
      <c r="AN306" s="155" t="n"/>
      <c r="AO306" s="59" t="n"/>
      <c r="AP306" s="59" t="n"/>
      <c r="AQ306" s="59" t="n"/>
      <c r="AR306" s="155" t="n"/>
    </row>
    <row r="307">
      <c r="A307" s="50" t="inlineStr">
        <is>
          <t>3614001697786</t>
        </is>
      </c>
      <c r="B307" s="51" t="inlineStr">
        <is>
          <t>69715</t>
        </is>
      </c>
      <c r="C307" s="156" t="inlineStr">
        <is>
          <t>CAPSLAB</t>
        </is>
      </c>
      <c r="D307" s="156" t="inlineStr">
        <is>
          <t>CL/REM4/1/CT/GLA</t>
        </is>
      </c>
      <c r="E307" s="156" t="inlineStr">
        <is>
          <t>CL/REM4/1/CT/GLA-UNI</t>
        </is>
      </c>
      <c r="F307" s="156" t="inlineStr">
        <is>
          <t>Talla única</t>
        </is>
      </c>
      <c r="G307" s="156" t="inlineStr">
        <is>
          <t>One Size</t>
        </is>
      </c>
      <c r="H307" s="156" t="inlineStr">
        <is>
          <t>CAPSLAB</t>
        </is>
      </c>
      <c r="I307" s="156" t="inlineStr">
        <is>
          <t>Gorra trucker CAPSLAB Rick &amp; Morty</t>
        </is>
      </c>
      <c r="J307" s="156" t="inlineStr">
        <is>
          <t>Accesorios</t>
        </is>
      </c>
      <c r="K307" s="156" t="inlineStr">
        <is>
          <t>Gorras</t>
        </is>
      </c>
      <c r="L307" s="156" t="inlineStr">
        <is>
          <t>Unisex</t>
        </is>
      </c>
      <c r="M307" s="156" t="inlineStr">
        <is>
          <t>Rick &amp; Morty</t>
        </is>
      </c>
      <c r="N307" s="156" t="n"/>
      <c r="O307" s="156" t="n"/>
      <c r="P307" s="156" t="n"/>
      <c r="Q307" s="156" t="n"/>
      <c r="R307" s="156" t="n"/>
      <c r="S307" s="156" t="inlineStr">
        <is>
          <t>Algodón / Poliéster</t>
        </is>
      </c>
      <c r="T307" s="156" t="inlineStr">
        <is>
          <t>Gorra trucker de la marca CAPSLAB bajo licencia oficial Rick &amp; Morty. Talla única ajustable. Estilo CL/REM4/1/CT/GLA.</t>
        </is>
      </c>
      <c r="U307" s="156" t="n"/>
      <c r="V307" s="156" t="inlineStr">
        <is>
          <t>PZS</t>
        </is>
      </c>
      <c r="W307" s="51" t="inlineStr">
        <is>
          <t>53102516</t>
        </is>
      </c>
      <c r="X307" s="156" t="inlineStr">
        <is>
          <t>https://i.ibb.co/JpmGb96/CLREM41-CTGLA.jpg</t>
        </is>
      </c>
      <c r="Y307" s="54" t="n"/>
      <c r="Z307" s="54" t="n">
        <v>799</v>
      </c>
      <c r="AA307" s="55">
        <f>IF(AND(A307="", B307="", E307=""), "", IF(AB307="", "Válido", IF((LEN(AB307)-LEN(SUBSTITUTE(AB307,"; ","")))/2+1&gt;(LEN(AB307)-LEN(SUBSTITUTE(AB307,"[Aviso]","")))/7, "Con Incidencias", "Válido")))</f>
        <v/>
      </c>
      <c r="AB307" s="56">
        <f>IF(AND(A307="", B307="", E307=""), "", TEXTJOIN("; ", TRUE, IF(OR(TRIM(A307&amp;"")="", ISNUMBER(SEARCH("FALTA", A307))), "UPC faltante/inválido", ""), IF(AND(A307&lt;&gt;"", IFERROR(_xlfn.XMATCH(A307,$A$2:$A$370,0,1)&lt;&gt;_xlfn.XMATCH(A307,$A$2:$A$370,0,-1),FALSE)), "Código de barras duplicado", ""), IF(AND(E307&lt;&gt;"", COUNTIF($E$2:$E$370, E307)&gt;1), "SKU duplicado", ""), IF(OR(J307="", J307=""), "[Aviso] División no capturada ()", IF(ISNA(MATCH(J307, Criterios!$A$123:$A$126, 0)), "División no válida", "")), IF(OR(K307="", K307=""), "[Aviso] Categoría no capturada ()", IF(ISNA(MATCH(K307, Criterios!$A$81:$A$120, 0)), "Categoría no válida", IF(AND(J307&lt;&gt;"", J307&lt;&gt;"", J307&lt;&gt;VLOOKUP(K307, Criterios!$A$81:$B$120, 2, FALSE)), "División no coincide con Categoría", ""))), IF(OR(L307="", L307=""), "[Aviso] Género no capturado ()", IF(ISNA(MATCH(L307, Criterios!$B$123:$B$127, 0)), "Género no válido", "")), IF(OR(N307="", N307=""), "[Aviso] Temporada no capturada ()", IF(ISNA(MATCH(N307, Criterios!$C$123:$C$128, 0)), "Temporada no válida", "")), IF(OR(O307="", O307=""), "[Aviso] Ciclo de vida no capturado ()", IF(ISNA(MATCH(O307, Criterios!$D$123:$D$124, 0)), "Ciclo de vida no válido", ""))))</f>
        <v/>
      </c>
      <c r="AC307" s="56" t="n"/>
      <c r="AD307" s="51" t="n">
        <v>91</v>
      </c>
      <c r="AE307" s="156" t="inlineStr">
        <is>
          <t>CL POS (5); CL Muestras (1); Web (1); CAPSLAB Warehouse (49)</t>
        </is>
      </c>
      <c r="AF307" s="51" t="n">
        <v>91</v>
      </c>
      <c r="AG307" s="156" t="inlineStr">
        <is>
          <t>Nuevo – NetSuite con existencia</t>
        </is>
      </c>
      <c r="AH307" s="156" t="inlineStr">
        <is>
          <t>Composición CAPSLAB varía por modelo (50/50, 40/60 o 100% poliéster): validar etiqueta; Color por validar; Físico total NetSuite 91 ≠ suma por ubicación 56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07" s="156" t="inlineStr">
        <is>
          <t>No</t>
        </is>
      </c>
      <c r="AJ307" s="156" t="n"/>
      <c r="AK307" s="155" t="inlineStr">
        <is>
          <t>G1522ProductosTodosloscamposSandboxResults894.xlsx: fila 48152 [X]; G1522_Extraccion_Articulos_NetSuite_2026-09-30.xlsx: fila 30440 [Z]</t>
        </is>
      </c>
      <c r="AL307" s="58" t="n"/>
      <c r="AM307" s="58" t="n"/>
      <c r="AN307" s="155" t="n"/>
      <c r="AO307" s="59" t="n"/>
      <c r="AP307" s="59" t="n"/>
      <c r="AQ307" s="59" t="n"/>
      <c r="AR307" s="155" t="n"/>
    </row>
    <row r="308">
      <c r="A308" s="50" t="inlineStr">
        <is>
          <t>3614001697809</t>
        </is>
      </c>
      <c r="B308" s="51" t="inlineStr">
        <is>
          <t>69716</t>
        </is>
      </c>
      <c r="C308" s="156" t="inlineStr">
        <is>
          <t>CAPSLAB</t>
        </is>
      </c>
      <c r="D308" s="156" t="inlineStr">
        <is>
          <t>CL/REM4/1/CT/OPE</t>
        </is>
      </c>
      <c r="E308" s="156" t="inlineStr">
        <is>
          <t>CL/REM4/1/CT/OPE-UNI</t>
        </is>
      </c>
      <c r="F308" s="156" t="inlineStr">
        <is>
          <t>Talla única</t>
        </is>
      </c>
      <c r="G308" s="156" t="inlineStr">
        <is>
          <t>One Size</t>
        </is>
      </c>
      <c r="H308" s="156" t="inlineStr">
        <is>
          <t>CAPSLAB</t>
        </is>
      </c>
      <c r="I308" s="156" t="inlineStr">
        <is>
          <t>Gorra trucker CAPSLAB Rick &amp; Morty</t>
        </is>
      </c>
      <c r="J308" s="156" t="inlineStr">
        <is>
          <t>Accesorios</t>
        </is>
      </c>
      <c r="K308" s="156" t="inlineStr">
        <is>
          <t>Gorras</t>
        </is>
      </c>
      <c r="L308" s="156" t="inlineStr">
        <is>
          <t>Unisex</t>
        </is>
      </c>
      <c r="M308" s="156" t="inlineStr">
        <is>
          <t>Rick &amp; Morty</t>
        </is>
      </c>
      <c r="N308" s="156" t="n"/>
      <c r="O308" s="156" t="n"/>
      <c r="P308" s="156" t="n"/>
      <c r="Q308" s="156" t="n"/>
      <c r="R308" s="156" t="n"/>
      <c r="S308" s="156" t="inlineStr">
        <is>
          <t>Algodón / Poliéster</t>
        </is>
      </c>
      <c r="T308" s="156" t="inlineStr">
        <is>
          <t>Gorra trucker de la marca CAPSLAB bajo licencia oficial Rick &amp; Morty. Talla única ajustable. Estilo CL/REM4/1/CT/OPE.</t>
        </is>
      </c>
      <c r="U308" s="156" t="n"/>
      <c r="V308" s="156" t="inlineStr">
        <is>
          <t>PZS</t>
        </is>
      </c>
      <c r="W308" s="51" t="inlineStr">
        <is>
          <t>53102516</t>
        </is>
      </c>
      <c r="X308" s="156" t="inlineStr">
        <is>
          <t>https://i.ibb.co/1qdqbxp/CLREM41-CTOPE.jpg</t>
        </is>
      </c>
      <c r="Y308" s="54" t="n"/>
      <c r="Z308" s="54" t="n">
        <v>799</v>
      </c>
      <c r="AA308" s="55">
        <f>IF(AND(A308="", B308="", E308=""), "", IF(AB308="", "Válido", IF((LEN(AB308)-LEN(SUBSTITUTE(AB308,"; ","")))/2+1&gt;(LEN(AB308)-LEN(SUBSTITUTE(AB308,"[Aviso]","")))/7, "Con Incidencias", "Válido")))</f>
        <v/>
      </c>
      <c r="AB308" s="56">
        <f>IF(AND(A308="", B308="", E308=""), "", TEXTJOIN("; ", TRUE, IF(OR(TRIM(A308&amp;"")="", ISNUMBER(SEARCH("FALTA", A308))), "UPC faltante/inválido", ""), IF(AND(A308&lt;&gt;"", IFERROR(_xlfn.XMATCH(A308,$A$2:$A$370,0,1)&lt;&gt;_xlfn.XMATCH(A308,$A$2:$A$370,0,-1),FALSE)), "Código de barras duplicado", ""), IF(AND(E308&lt;&gt;"", COUNTIF($E$2:$E$370, E308)&gt;1), "SKU duplicado", ""), IF(OR(J308="", J308=""), "[Aviso] División no capturada ()", IF(ISNA(MATCH(J308, Criterios!$A$123:$A$126, 0)), "División no válida", "")), IF(OR(K308="", K308=""), "[Aviso] Categoría no capturada ()", IF(ISNA(MATCH(K308, Criterios!$A$81:$A$120, 0)), "Categoría no válida", IF(AND(J308&lt;&gt;"", J308&lt;&gt;"", J308&lt;&gt;VLOOKUP(K308, Criterios!$A$81:$B$120, 2, FALSE)), "División no coincide con Categoría", ""))), IF(OR(L308="", L308=""), "[Aviso] Género no capturado ()", IF(ISNA(MATCH(L308, Criterios!$B$123:$B$127, 0)), "Género no válido", "")), IF(OR(N308="", N308=""), "[Aviso] Temporada no capturada ()", IF(ISNA(MATCH(N308, Criterios!$C$123:$C$128, 0)), "Temporada no válida", "")), IF(OR(O308="", O308=""), "[Aviso] Ciclo de vida no capturado ()", IF(ISNA(MATCH(O308, Criterios!$D$123:$D$124, 0)), "Ciclo de vida no válido", ""))))</f>
        <v/>
      </c>
      <c r="AC308" s="56" t="n"/>
      <c r="AD308" s="51" t="n">
        <v>94</v>
      </c>
      <c r="AE308" s="156" t="inlineStr">
        <is>
          <t>Web (1); CL POS (5); CL Muestras (1); CAPSLAB Warehouse (50)</t>
        </is>
      </c>
      <c r="AF308" s="51" t="n">
        <v>94</v>
      </c>
      <c r="AG308" s="156" t="inlineStr">
        <is>
          <t>Nuevo – NetSuite con existencia</t>
        </is>
      </c>
      <c r="AH308" s="156" t="inlineStr">
        <is>
          <t>Composición CAPSLAB varía por modelo (50/50, 40/60 o 100% poliéster): validar etiqueta; Color por validar; Físico total NetSuite 94 ≠ suma por ubicación 57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08" s="156" t="inlineStr">
        <is>
          <t>No</t>
        </is>
      </c>
      <c r="AJ308" s="156" t="n"/>
      <c r="AK308" s="155" t="inlineStr">
        <is>
          <t>G1522ProductosTodosloscamposSandboxResults894.xlsx: fila 48154 [X]; G1522_Extraccion_Articulos_NetSuite_2026-09-30.xlsx: fila 30441 [Z]</t>
        </is>
      </c>
      <c r="AL308" s="58" t="n"/>
      <c r="AM308" s="58" t="n"/>
      <c r="AN308" s="155" t="n"/>
      <c r="AO308" s="59" t="n"/>
      <c r="AP308" s="59" t="n"/>
      <c r="AQ308" s="59" t="n"/>
      <c r="AR308" s="155" t="n"/>
    </row>
    <row r="309">
      <c r="A309" s="50" t="inlineStr">
        <is>
          <t>3614001183883</t>
        </is>
      </c>
      <c r="B309" s="51" t="inlineStr">
        <is>
          <t>57428</t>
        </is>
      </c>
      <c r="C309" s="156" t="inlineStr">
        <is>
          <t>CAPSLAB</t>
        </is>
      </c>
      <c r="D309" s="156" t="inlineStr">
        <is>
          <t>CL/SD1/1/HEE</t>
        </is>
      </c>
      <c r="E309" s="156" t="inlineStr">
        <is>
          <t>CL/SD1/1/HEE-UNI</t>
        </is>
      </c>
      <c r="F309" s="156" t="inlineStr">
        <is>
          <t>Talla única</t>
        </is>
      </c>
      <c r="G309" s="156" t="inlineStr">
        <is>
          <t>One Size</t>
        </is>
      </c>
      <c r="H309" s="156" t="inlineStr">
        <is>
          <t>CAPSLAB</t>
        </is>
      </c>
      <c r="I309" s="156" t="inlineStr">
        <is>
          <t>Gorra CAPSLAB Scooby Doo Gris</t>
        </is>
      </c>
      <c r="J309" s="156" t="inlineStr">
        <is>
          <t>Accesorios</t>
        </is>
      </c>
      <c r="K309" s="156" t="inlineStr">
        <is>
          <t>Gorras</t>
        </is>
      </c>
      <c r="L309" s="156" t="inlineStr">
        <is>
          <t>Unisex</t>
        </is>
      </c>
      <c r="M309" s="156" t="inlineStr">
        <is>
          <t>Scooby Doo</t>
        </is>
      </c>
      <c r="N309" s="156" t="n"/>
      <c r="O309" s="156" t="n"/>
      <c r="P309" s="156" t="inlineStr">
        <is>
          <t>Gris</t>
        </is>
      </c>
      <c r="Q309" s="156" t="n"/>
      <c r="R309" s="156" t="n"/>
      <c r="S309" s="156" t="inlineStr">
        <is>
          <t>Algodón / Poliéster</t>
        </is>
      </c>
      <c r="T309" s="156" t="inlineStr">
        <is>
          <t>Gorra de la marca CAPSLAB bajo licencia oficial Scooby Doo. Talla única ajustable. Estilo CL/SD1/1/HEE.</t>
        </is>
      </c>
      <c r="U309" s="156" t="n"/>
      <c r="V309" s="156" t="inlineStr">
        <is>
          <t>PZS</t>
        </is>
      </c>
      <c r="W309" s="51" t="inlineStr">
        <is>
          <t>53102516</t>
        </is>
      </c>
      <c r="X309" s="156" t="inlineStr">
        <is>
          <t>https://7913364.app.netsuite.com/core/media/media.nl?id=188303&amp;c=7913364&amp;h=2pyw3dLg8RC1uNH0IoddfjRcWf0r8DKmTxgrF-_X-M7qzqdA</t>
        </is>
      </c>
      <c r="Y309" s="54" t="n">
        <v>8.5</v>
      </c>
      <c r="Z309" s="54" t="n">
        <v>699</v>
      </c>
      <c r="AA309" s="55">
        <f>IF(AND(A309="", B309="", E309=""), "", IF(AB309="", "Válido", IF((LEN(AB309)-LEN(SUBSTITUTE(AB309,"; ","")))/2+1&gt;(LEN(AB309)-LEN(SUBSTITUTE(AB309,"[Aviso]","")))/7, "Con Incidencias", "Válido")))</f>
        <v/>
      </c>
      <c r="AB309" s="56">
        <f>IF(AND(A309="", B309="", E309=""), "", TEXTJOIN("; ", TRUE, IF(OR(TRIM(A309&amp;"")="", ISNUMBER(SEARCH("FALTA", A309))), "UPC faltante/inválido", ""), IF(AND(A309&lt;&gt;"", IFERROR(_xlfn.XMATCH(A309,$A$2:$A$370,0,1)&lt;&gt;_xlfn.XMATCH(A309,$A$2:$A$370,0,-1),FALSE)), "Código de barras duplicado", ""), IF(AND(E309&lt;&gt;"", COUNTIF($E$2:$E$370, E309)&gt;1), "SKU duplicado", ""), IF(OR(J309="", J309=""), "[Aviso] División no capturada ()", IF(ISNA(MATCH(J309, Criterios!$A$123:$A$126, 0)), "División no válida", "")), IF(OR(K309="", K309=""), "[Aviso] Categoría no capturada ()", IF(ISNA(MATCH(K309, Criterios!$A$81:$A$120, 0)), "Categoría no válida", IF(AND(J309&lt;&gt;"", J309&lt;&gt;"", J309&lt;&gt;VLOOKUP(K309, Criterios!$A$81:$B$120, 2, FALSE)), "División no coincide con Categoría", ""))), IF(OR(L309="", L309=""), "[Aviso] Género no capturado ()", IF(ISNA(MATCH(L309, Criterios!$B$123:$B$127, 0)), "Género no válido", "")), IF(OR(N309="", N309=""), "[Aviso] Temporada no capturada ()", IF(ISNA(MATCH(N309, Criterios!$C$123:$C$128, 0)), "Temporada no válida", "")), IF(OR(O309="", O309=""), "[Aviso] Ciclo de vida no capturado ()", IF(ISNA(MATCH(O309, Criterios!$D$123:$D$124, 0)), "Ciclo de vida no válido", ""))))</f>
        <v/>
      </c>
      <c r="AC309" s="56" t="n"/>
      <c r="AD309" s="51" t="n">
        <v>0</v>
      </c>
      <c r="AE309" s="156" t="n"/>
      <c r="AF309" s="51" t="n">
        <v>0</v>
      </c>
      <c r="AG309" s="156" t="inlineStr">
        <is>
          <t>Nuevo – NetSuite sin existencia</t>
        </is>
      </c>
      <c r="AH30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09" s="156" t="inlineStr">
        <is>
          <t>No</t>
        </is>
      </c>
      <c r="AJ309" s="156" t="n"/>
      <c r="AK309" s="155" t="inlineStr">
        <is>
          <t>G1522ProductosTodosloscamposSandboxResults894.xlsx: fila 48156 [Y]; G1522_Extraccion_Articulos_NetSuite_2026-09-30.xlsx: fila 20810 [Z]</t>
        </is>
      </c>
      <c r="AL309" s="58" t="n">
        <v>8.5</v>
      </c>
      <c r="AM309" s="58" t="n"/>
      <c r="AN309" s="155" t="n"/>
      <c r="AO309" s="59" t="n"/>
      <c r="AP309" s="59" t="n"/>
      <c r="AQ309" s="59" t="n"/>
      <c r="AR309" s="155" t="n"/>
    </row>
    <row r="310">
      <c r="A310" s="50" t="inlineStr">
        <is>
          <t>3614001553259</t>
        </is>
      </c>
      <c r="B310" s="51" t="inlineStr">
        <is>
          <t>57454</t>
        </is>
      </c>
      <c r="C310" s="156" t="inlineStr">
        <is>
          <t>CAPSLAB</t>
        </is>
      </c>
      <c r="D310" s="156" t="inlineStr">
        <is>
          <t>CL/SD1/1/HEE2</t>
        </is>
      </c>
      <c r="E310" s="156" t="inlineStr">
        <is>
          <t>CL/SD1/1/HEE2-UNI</t>
        </is>
      </c>
      <c r="F310" s="156" t="inlineStr">
        <is>
          <t>Talla única</t>
        </is>
      </c>
      <c r="G310" s="156" t="inlineStr">
        <is>
          <t>One Size</t>
        </is>
      </c>
      <c r="H310" s="156" t="inlineStr">
        <is>
          <t>CAPSLAB</t>
        </is>
      </c>
      <c r="I310" s="156" t="inlineStr">
        <is>
          <t>Gorra CAPSLAB Scooby Doo Negro</t>
        </is>
      </c>
      <c r="J310" s="156" t="inlineStr">
        <is>
          <t>Accesorios</t>
        </is>
      </c>
      <c r="K310" s="156" t="inlineStr">
        <is>
          <t>Gorras</t>
        </is>
      </c>
      <c r="L310" s="156" t="inlineStr">
        <is>
          <t>Unisex</t>
        </is>
      </c>
      <c r="M310" s="156" t="inlineStr">
        <is>
          <t>Scooby Doo</t>
        </is>
      </c>
      <c r="N310" s="156" t="n"/>
      <c r="O310" s="156" t="n"/>
      <c r="P310" s="156" t="inlineStr">
        <is>
          <t>Negro</t>
        </is>
      </c>
      <c r="Q310" s="156" t="n"/>
      <c r="R310" s="156" t="n"/>
      <c r="S310" s="156" t="inlineStr">
        <is>
          <t>Algodón / Poliéster</t>
        </is>
      </c>
      <c r="T310" s="156" t="inlineStr">
        <is>
          <t>Gorra de la marca CAPSLAB bajo licencia oficial Scooby Doo. Talla única ajustable. Estilo CL/SD1/1/HEE2.</t>
        </is>
      </c>
      <c r="U310" s="156" t="n"/>
      <c r="V310" s="156" t="inlineStr">
        <is>
          <t>PZS</t>
        </is>
      </c>
      <c r="W310" s="51" t="inlineStr">
        <is>
          <t>53102516</t>
        </is>
      </c>
      <c r="X310" s="156" t="inlineStr">
        <is>
          <t>https://7913364.app.netsuite.com/core/media/media.nl?id=188362&amp;c=7913364&amp;h=CgWNQlo6fgYdUMn5A_tU5MNhZDAz5xmGxkCFLSjvpiDJvH-B</t>
        </is>
      </c>
      <c r="Y310" s="54" t="n">
        <v>8.5</v>
      </c>
      <c r="Z310" s="54" t="n">
        <v>699</v>
      </c>
      <c r="AA310" s="55">
        <f>IF(AND(A310="", B310="", E310=""), "", IF(AB310="", "Válido", IF((LEN(AB310)-LEN(SUBSTITUTE(AB310,"; ","")))/2+1&gt;(LEN(AB310)-LEN(SUBSTITUTE(AB310,"[Aviso]","")))/7, "Con Incidencias", "Válido")))</f>
        <v/>
      </c>
      <c r="AB310" s="56">
        <f>IF(AND(A310="", B310="", E310=""), "", TEXTJOIN("; ", TRUE, IF(OR(TRIM(A310&amp;"")="", ISNUMBER(SEARCH("FALTA", A310))), "UPC faltante/inválido", ""), IF(AND(A310&lt;&gt;"", IFERROR(_xlfn.XMATCH(A310,$A$2:$A$370,0,1)&lt;&gt;_xlfn.XMATCH(A310,$A$2:$A$370,0,-1),FALSE)), "Código de barras duplicado", ""), IF(AND(E310&lt;&gt;"", COUNTIF($E$2:$E$370, E310)&gt;1), "SKU duplicado", ""), IF(OR(J310="", J310=""), "[Aviso] División no capturada ()", IF(ISNA(MATCH(J310, Criterios!$A$123:$A$126, 0)), "División no válida", "")), IF(OR(K310="", K310=""), "[Aviso] Categoría no capturada ()", IF(ISNA(MATCH(K310, Criterios!$A$81:$A$120, 0)), "Categoría no válida", IF(AND(J310&lt;&gt;"", J310&lt;&gt;"", J310&lt;&gt;VLOOKUP(K310, Criterios!$A$81:$B$120, 2, FALSE)), "División no coincide con Categoría", ""))), IF(OR(L310="", L310=""), "[Aviso] Género no capturado ()", IF(ISNA(MATCH(L310, Criterios!$B$123:$B$127, 0)), "Género no válido", "")), IF(OR(N310="", N310=""), "[Aviso] Temporada no capturada ()", IF(ISNA(MATCH(N310, Criterios!$C$123:$C$128, 0)), "Temporada no válida", "")), IF(OR(O310="", O310=""), "[Aviso] Ciclo de vida no capturado ()", IF(ISNA(MATCH(O310, Criterios!$D$123:$D$124, 0)), "Ciclo de vida no válido", ""))))</f>
        <v/>
      </c>
      <c r="AC310" s="56" t="n"/>
      <c r="AD310" s="51" t="n">
        <v>0</v>
      </c>
      <c r="AE310" s="156" t="n"/>
      <c r="AF310" s="51" t="n">
        <v>0</v>
      </c>
      <c r="AG310" s="156" t="inlineStr">
        <is>
          <t>Nuevo – NetSuite sin existencia</t>
        </is>
      </c>
      <c r="AH31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10" s="156" t="inlineStr">
        <is>
          <t>No</t>
        </is>
      </c>
      <c r="AJ310" s="156" t="n"/>
      <c r="AK310" s="155" t="inlineStr">
        <is>
          <t>G1522ProductosTodosloscamposSandboxResults894.xlsx: fila 48158 [Y]; G1522_Extraccion_Articulos_NetSuite_2026-09-30.xlsx: fila 20836 [Z]</t>
        </is>
      </c>
      <c r="AL310" s="58" t="n">
        <v>8.5</v>
      </c>
      <c r="AM310" s="58" t="n"/>
      <c r="AN310" s="155" t="n"/>
      <c r="AO310" s="59" t="n"/>
      <c r="AP310" s="59" t="n"/>
      <c r="AQ310" s="59" t="n"/>
      <c r="AR310" s="155" t="n"/>
    </row>
    <row r="311">
      <c r="A311" s="50" t="inlineStr">
        <is>
          <t>3614001183890</t>
        </is>
      </c>
      <c r="B311" s="51" t="inlineStr">
        <is>
          <t>57429</t>
        </is>
      </c>
      <c r="C311" s="156" t="inlineStr">
        <is>
          <t>CAPSLAB</t>
        </is>
      </c>
      <c r="D311" s="156" t="inlineStr">
        <is>
          <t>CL/SD1/1/MAC</t>
        </is>
      </c>
      <c r="E311" s="156" t="inlineStr">
        <is>
          <t>CL/SD1/1/MAC-UNI</t>
        </is>
      </c>
      <c r="F311" s="156" t="inlineStr">
        <is>
          <t>Talla única</t>
        </is>
      </c>
      <c r="G311" s="156" t="inlineStr">
        <is>
          <t>One Size</t>
        </is>
      </c>
      <c r="H311" s="156" t="inlineStr">
        <is>
          <t>CAPSLAB</t>
        </is>
      </c>
      <c r="I311" s="156" t="inlineStr">
        <is>
          <t>Gorra CAPSLAB Scooby Doo Blanco</t>
        </is>
      </c>
      <c r="J311" s="156" t="inlineStr">
        <is>
          <t>Accesorios</t>
        </is>
      </c>
      <c r="K311" s="156" t="inlineStr">
        <is>
          <t>Gorras</t>
        </is>
      </c>
      <c r="L311" s="156" t="inlineStr">
        <is>
          <t>Unisex</t>
        </is>
      </c>
      <c r="M311" s="156" t="inlineStr">
        <is>
          <t>Scooby Doo</t>
        </is>
      </c>
      <c r="N311" s="156" t="n"/>
      <c r="O311" s="156" t="n"/>
      <c r="P311" s="156" t="inlineStr">
        <is>
          <t>Blanco</t>
        </is>
      </c>
      <c r="Q311" s="156" t="n"/>
      <c r="R311" s="156" t="n"/>
      <c r="S311" s="156" t="inlineStr">
        <is>
          <t>Algodón / Poliéster</t>
        </is>
      </c>
      <c r="T311" s="156" t="inlineStr">
        <is>
          <t>Gorra de la marca CAPSLAB bajo licencia oficial Scooby Doo. Talla única ajustable. Estilo CL/SD1/1/MAC.</t>
        </is>
      </c>
      <c r="U311" s="156" t="n"/>
      <c r="V311" s="156" t="inlineStr">
        <is>
          <t>PZS</t>
        </is>
      </c>
      <c r="W311" s="51" t="inlineStr">
        <is>
          <t>53102516</t>
        </is>
      </c>
      <c r="X311" s="156" t="inlineStr">
        <is>
          <t>https://7913364.app.netsuite.com/core/media/media.nl?id=188304&amp;c=7913364&amp;h=k8awX4s5BmNOecNGuFNNSzNvQTyaNoI53jkDPiASawS-NTVk</t>
        </is>
      </c>
      <c r="Y311" s="54" t="n">
        <v>8.5</v>
      </c>
      <c r="Z311" s="54" t="n">
        <v>699</v>
      </c>
      <c r="AA311" s="55">
        <f>IF(AND(A311="", B311="", E311=""), "", IF(AB311="", "Válido", IF((LEN(AB311)-LEN(SUBSTITUTE(AB311,"; ","")))/2+1&gt;(LEN(AB311)-LEN(SUBSTITUTE(AB311,"[Aviso]","")))/7, "Con Incidencias", "Válido")))</f>
        <v/>
      </c>
      <c r="AB311" s="56">
        <f>IF(AND(A311="", B311="", E311=""), "", TEXTJOIN("; ", TRUE, IF(OR(TRIM(A311&amp;"")="", ISNUMBER(SEARCH("FALTA", A311))), "UPC faltante/inválido", ""), IF(AND(A311&lt;&gt;"", IFERROR(_xlfn.XMATCH(A311,$A$2:$A$370,0,1)&lt;&gt;_xlfn.XMATCH(A311,$A$2:$A$370,0,-1),FALSE)), "Código de barras duplicado", ""), IF(AND(E311&lt;&gt;"", COUNTIF($E$2:$E$370, E311)&gt;1), "SKU duplicado", ""), IF(OR(J311="", J311=""), "[Aviso] División no capturada ()", IF(ISNA(MATCH(J311, Criterios!$A$123:$A$126, 0)), "División no válida", "")), IF(OR(K311="", K311=""), "[Aviso] Categoría no capturada ()", IF(ISNA(MATCH(K311, Criterios!$A$81:$A$120, 0)), "Categoría no válida", IF(AND(J311&lt;&gt;"", J311&lt;&gt;"", J311&lt;&gt;VLOOKUP(K311, Criterios!$A$81:$B$120, 2, FALSE)), "División no coincide con Categoría", ""))), IF(OR(L311="", L311=""), "[Aviso] Género no capturado ()", IF(ISNA(MATCH(L311, Criterios!$B$123:$B$127, 0)), "Género no válido", "")), IF(OR(N311="", N311=""), "[Aviso] Temporada no capturada ()", IF(ISNA(MATCH(N311, Criterios!$C$123:$C$128, 0)), "Temporada no válida", "")), IF(OR(O311="", O311=""), "[Aviso] Ciclo de vida no capturado ()", IF(ISNA(MATCH(O311, Criterios!$D$123:$D$124, 0)), "Ciclo de vida no válido", ""))))</f>
        <v/>
      </c>
      <c r="AC311" s="56" t="n"/>
      <c r="AD311" s="51" t="n">
        <v>0</v>
      </c>
      <c r="AE311" s="156" t="n"/>
      <c r="AF311" s="51" t="n">
        <v>0</v>
      </c>
      <c r="AG311" s="156" t="inlineStr">
        <is>
          <t>Nuevo – NetSuite sin existencia</t>
        </is>
      </c>
      <c r="AH311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11" s="156" t="inlineStr">
        <is>
          <t>No</t>
        </is>
      </c>
      <c r="AJ311" s="156" t="n"/>
      <c r="AK311" s="155" t="inlineStr">
        <is>
          <t>G1522ProductosTodosloscamposSandboxResults894.xlsx: fila 48160 [Y]; G1522_Extraccion_Articulos_NetSuite_2026-09-30.xlsx: fila 20811 [Z]</t>
        </is>
      </c>
      <c r="AL311" s="58" t="n">
        <v>8.5</v>
      </c>
      <c r="AM311" s="58" t="n"/>
      <c r="AN311" s="155" t="n"/>
      <c r="AO311" s="59" t="n"/>
      <c r="AP311" s="59" t="n"/>
      <c r="AQ311" s="59" t="n"/>
      <c r="AR311" s="155" t="n"/>
    </row>
    <row r="312">
      <c r="A312" s="50" t="inlineStr">
        <is>
          <t>3614001696550</t>
        </is>
      </c>
      <c r="B312" s="51" t="inlineStr">
        <is>
          <t>57455</t>
        </is>
      </c>
      <c r="C312" s="156" t="inlineStr">
        <is>
          <t>CAPSLAB</t>
        </is>
      </c>
      <c r="D312" s="156" t="inlineStr">
        <is>
          <t>CL/SD1/1/REL</t>
        </is>
      </c>
      <c r="E312" s="156" t="inlineStr">
        <is>
          <t>CL/SD1/1/REL-uNI</t>
        </is>
      </c>
      <c r="F312" s="156" t="inlineStr">
        <is>
          <t>Talla única</t>
        </is>
      </c>
      <c r="G312" s="156" t="inlineStr">
        <is>
          <t>One Size</t>
        </is>
      </c>
      <c r="H312" s="156" t="inlineStr">
        <is>
          <t>CAPSLAB</t>
        </is>
      </c>
      <c r="I312" s="156" t="inlineStr">
        <is>
          <t>Gorra CAPSLAB Scooby Doo Blanco</t>
        </is>
      </c>
      <c r="J312" s="156" t="inlineStr">
        <is>
          <t>Accesorios</t>
        </is>
      </c>
      <c r="K312" s="156" t="inlineStr">
        <is>
          <t>Gorras</t>
        </is>
      </c>
      <c r="L312" s="156" t="inlineStr">
        <is>
          <t>Unisex</t>
        </is>
      </c>
      <c r="M312" s="156" t="inlineStr">
        <is>
          <t>Scooby Doo</t>
        </is>
      </c>
      <c r="N312" s="156" t="n"/>
      <c r="O312" s="156" t="n"/>
      <c r="P312" s="156" t="inlineStr">
        <is>
          <t>Blanco</t>
        </is>
      </c>
      <c r="Q312" s="156" t="n"/>
      <c r="R312" s="156" t="n"/>
      <c r="S312" s="156" t="inlineStr">
        <is>
          <t>Algodón / Poliéster</t>
        </is>
      </c>
      <c r="T312" s="156" t="inlineStr">
        <is>
          <t>Gorra de la marca CAPSLAB bajo licencia oficial Scooby Doo. Talla única ajustable. Estilo CL/SD1/1/REL.</t>
        </is>
      </c>
      <c r="U312" s="156" t="n"/>
      <c r="V312" s="156" t="inlineStr">
        <is>
          <t>PZS</t>
        </is>
      </c>
      <c r="W312" s="51" t="inlineStr">
        <is>
          <t>53102516</t>
        </is>
      </c>
      <c r="X312" s="156" t="inlineStr">
        <is>
          <t>https://7913364.app.netsuite.com/core/media/media.nl?id=188363&amp;c=7913364&amp;h=Oaeo_DI0NBBRsQgaoFZXsyZrZj3PwLbZoDkge11l7H3uDdgM</t>
        </is>
      </c>
      <c r="Y312" s="54" t="n">
        <v>8.5</v>
      </c>
      <c r="Z312" s="54" t="n">
        <v>699</v>
      </c>
      <c r="AA312" s="55">
        <f>IF(AND(A312="", B312="", E312=""), "", IF(AB312="", "Válido", IF((LEN(AB312)-LEN(SUBSTITUTE(AB312,"; ","")))/2+1&gt;(LEN(AB312)-LEN(SUBSTITUTE(AB312,"[Aviso]","")))/7, "Con Incidencias", "Válido")))</f>
        <v/>
      </c>
      <c r="AB312" s="56">
        <f>IF(AND(A312="", B312="", E312=""), "", TEXTJOIN("; ", TRUE, IF(OR(TRIM(A312&amp;"")="", ISNUMBER(SEARCH("FALTA", A312))), "UPC faltante/inválido", ""), IF(AND(A312&lt;&gt;"", IFERROR(_xlfn.XMATCH(A312,$A$2:$A$370,0,1)&lt;&gt;_xlfn.XMATCH(A312,$A$2:$A$370,0,-1),FALSE)), "Código de barras duplicado", ""), IF(AND(E312&lt;&gt;"", COUNTIF($E$2:$E$370, E312)&gt;1), "SKU duplicado", ""), IF(OR(J312="", J312=""), "[Aviso] División no capturada ()", IF(ISNA(MATCH(J312, Criterios!$A$123:$A$126, 0)), "División no válida", "")), IF(OR(K312="", K312=""), "[Aviso] Categoría no capturada ()", IF(ISNA(MATCH(K312, Criterios!$A$81:$A$120, 0)), "Categoría no válida", IF(AND(J312&lt;&gt;"", J312&lt;&gt;"", J312&lt;&gt;VLOOKUP(K312, Criterios!$A$81:$B$120, 2, FALSE)), "División no coincide con Categoría", ""))), IF(OR(L312="", L312=""), "[Aviso] Género no capturado ()", IF(ISNA(MATCH(L312, Criterios!$B$123:$B$127, 0)), "Género no válido", "")), IF(OR(N312="", N312=""), "[Aviso] Temporada no capturada ()", IF(ISNA(MATCH(N312, Criterios!$C$123:$C$128, 0)), "Temporada no válida", "")), IF(OR(O312="", O312=""), "[Aviso] Ciclo de vida no capturado ()", IF(ISNA(MATCH(O312, Criterios!$D$123:$D$124, 0)), "Ciclo de vida no válido", ""))))</f>
        <v/>
      </c>
      <c r="AC312" s="56" t="n"/>
      <c r="AD312" s="51" t="n">
        <v>80</v>
      </c>
      <c r="AE312" s="156" t="inlineStr">
        <is>
          <t>Web (5); CAPSLAB Warehouse (41)</t>
        </is>
      </c>
      <c r="AF312" s="51" t="n">
        <v>79</v>
      </c>
      <c r="AG312" s="156" t="inlineStr">
        <is>
          <t>Nuevo – NetSuite con existencia</t>
        </is>
      </c>
      <c r="AH312" s="156" t="inlineStr">
        <is>
          <t>Composición CAPSLAB varía por modelo (50/50, 40/60 o 100% poliéster): validar etiqueta; Físico total NetSuite 80 ≠ suma por ubicación 46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12" s="156" t="inlineStr">
        <is>
          <t>No</t>
        </is>
      </c>
      <c r="AJ312" s="156" t="n"/>
      <c r="AK312" s="155" t="inlineStr">
        <is>
          <t>G1522ProductosTodosloscamposSandboxResults894.xlsx: fila 48162 [Y]; G1522_Extraccion_Articulos_NetSuite_2026-09-30.xlsx: fila 20837 [Z]</t>
        </is>
      </c>
      <c r="AL312" s="58" t="n">
        <v>8.5</v>
      </c>
      <c r="AM312" s="58" t="n"/>
      <c r="AN312" s="155" t="n"/>
      <c r="AO312" s="59" t="n"/>
      <c r="AP312" s="59" t="n"/>
      <c r="AQ312" s="59" t="n"/>
      <c r="AR312" s="155" t="n"/>
    </row>
    <row r="313">
      <c r="A313" s="50" t="inlineStr">
        <is>
          <t>3614001553235</t>
        </is>
      </c>
      <c r="B313" s="51" t="inlineStr">
        <is>
          <t>57456</t>
        </is>
      </c>
      <c r="C313" s="156" t="inlineStr">
        <is>
          <t>CAPSLAB</t>
        </is>
      </c>
      <c r="D313" s="156" t="inlineStr">
        <is>
          <t>CL/SD1/1/REL2</t>
        </is>
      </c>
      <c r="E313" s="156" t="inlineStr">
        <is>
          <t>CL/SD1/1/REL2-UNI</t>
        </is>
      </c>
      <c r="F313" s="156" t="inlineStr">
        <is>
          <t>Talla única</t>
        </is>
      </c>
      <c r="G313" s="156" t="inlineStr">
        <is>
          <t>One Size</t>
        </is>
      </c>
      <c r="H313" s="156" t="inlineStr">
        <is>
          <t>CAPSLAB</t>
        </is>
      </c>
      <c r="I313" s="156" t="inlineStr">
        <is>
          <t>Gorra CAPSLAB Scooby Doo Negra</t>
        </is>
      </c>
      <c r="J313" s="156" t="inlineStr">
        <is>
          <t>Accesorios</t>
        </is>
      </c>
      <c r="K313" s="156" t="inlineStr">
        <is>
          <t>Gorras</t>
        </is>
      </c>
      <c r="L313" s="156" t="inlineStr">
        <is>
          <t>Unisex</t>
        </is>
      </c>
      <c r="M313" s="156" t="inlineStr">
        <is>
          <t>Scooby Doo</t>
        </is>
      </c>
      <c r="N313" s="156" t="n"/>
      <c r="O313" s="156" t="n"/>
      <c r="P313" s="156" t="inlineStr">
        <is>
          <t>Negro</t>
        </is>
      </c>
      <c r="Q313" s="156" t="n"/>
      <c r="R313" s="156" t="n"/>
      <c r="S313" s="156" t="inlineStr">
        <is>
          <t>Algodón / Poliéster</t>
        </is>
      </c>
      <c r="T313" s="156" t="inlineStr">
        <is>
          <t>Gorra de la marca CAPSLAB bajo licencia oficial Scooby Doo. Talla única ajustable. Estilo CL/SD1/1/REL2.</t>
        </is>
      </c>
      <c r="U313" s="156" t="n"/>
      <c r="V313" s="156" t="inlineStr">
        <is>
          <t>PZS</t>
        </is>
      </c>
      <c r="W313" s="51" t="inlineStr">
        <is>
          <t>53102516</t>
        </is>
      </c>
      <c r="X313" s="156" t="inlineStr">
        <is>
          <t>https://7913364.app.netsuite.com/core/media/media.nl?id=188364&amp;c=7913364&amp;h=g5Chr_eIQyM3fzY-QqP2zPRr4ZJ9yKQFvBH-Ry6kE4nieDPA</t>
        </is>
      </c>
      <c r="Y313" s="54" t="n">
        <v>8.5</v>
      </c>
      <c r="Z313" s="54" t="n">
        <v>699</v>
      </c>
      <c r="AA313" s="55">
        <f>IF(AND(A313="", B313="", E313=""), "", IF(AB313="", "Válido", IF((LEN(AB313)-LEN(SUBSTITUTE(AB313,"; ","")))/2+1&gt;(LEN(AB313)-LEN(SUBSTITUTE(AB313,"[Aviso]","")))/7, "Con Incidencias", "Válido")))</f>
        <v/>
      </c>
      <c r="AB313" s="56">
        <f>IF(AND(A313="", B313="", E313=""), "", TEXTJOIN("; ", TRUE, IF(OR(TRIM(A313&amp;"")="", ISNUMBER(SEARCH("FALTA", A313))), "UPC faltante/inválido", ""), IF(AND(A313&lt;&gt;"", IFERROR(_xlfn.XMATCH(A313,$A$2:$A$370,0,1)&lt;&gt;_xlfn.XMATCH(A313,$A$2:$A$370,0,-1),FALSE)), "Código de barras duplicado", ""), IF(AND(E313&lt;&gt;"", COUNTIF($E$2:$E$370, E313)&gt;1), "SKU duplicado", ""), IF(OR(J313="", J313=""), "[Aviso] División no capturada ()", IF(ISNA(MATCH(J313, Criterios!$A$123:$A$126, 0)), "División no válida", "")), IF(OR(K313="", K313=""), "[Aviso] Categoría no capturada ()", IF(ISNA(MATCH(K313, Criterios!$A$81:$A$120, 0)), "Categoría no válida", IF(AND(J313&lt;&gt;"", J313&lt;&gt;"", J313&lt;&gt;VLOOKUP(K313, Criterios!$A$81:$B$120, 2, FALSE)), "División no coincide con Categoría", ""))), IF(OR(L313="", L313=""), "[Aviso] Género no capturado ()", IF(ISNA(MATCH(L313, Criterios!$B$123:$B$127, 0)), "Género no válido", "")), IF(OR(N313="", N313=""), "[Aviso] Temporada no capturada ()", IF(ISNA(MATCH(N313, Criterios!$C$123:$C$128, 0)), "Temporada no válida", "")), IF(OR(O313="", O313=""), "[Aviso] Ciclo de vida no capturado ()", IF(ISNA(MATCH(O313, Criterios!$D$123:$D$124, 0)), "Ciclo de vida no válido", ""))))</f>
        <v/>
      </c>
      <c r="AC313" s="56" t="n"/>
      <c r="AD313" s="51" t="n">
        <v>5</v>
      </c>
      <c r="AE313" s="156" t="inlineStr">
        <is>
          <t>Web (2); CAPSLAB Warehouse (2)</t>
        </is>
      </c>
      <c r="AF313" s="51" t="n">
        <v>5</v>
      </c>
      <c r="AG313" s="156" t="inlineStr">
        <is>
          <t>Nuevo – NetSuite con existencia</t>
        </is>
      </c>
      <c r="AH313" s="156" t="inlineStr">
        <is>
          <t>Composición CAPSLAB varía por modelo (50/50, 40/60 o 100% poliéster): validar etiqueta; Físico total NetSuite 5 ≠ suma por ubicación 4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13" s="156" t="inlineStr">
        <is>
          <t>No</t>
        </is>
      </c>
      <c r="AJ313" s="156" t="n"/>
      <c r="AK313" s="155" t="inlineStr">
        <is>
          <t>G1522ProductosTodosloscamposSandboxResults894.xlsx: fila 48164 [Y]; G1522_Extraccion_Articulos_NetSuite_2026-09-30.xlsx: fila 20838 [Z]</t>
        </is>
      </c>
      <c r="AL313" s="58" t="n">
        <v>8.5</v>
      </c>
      <c r="AM313" s="58" t="n"/>
      <c r="AN313" s="155" t="n"/>
      <c r="AO313" s="59" t="n"/>
      <c r="AP313" s="59" t="n"/>
      <c r="AQ313" s="59" t="n"/>
      <c r="AR313" s="155" t="n"/>
    </row>
    <row r="314">
      <c r="A314" s="50" t="inlineStr">
        <is>
          <t>3614001696567</t>
        </is>
      </c>
      <c r="B314" s="51" t="inlineStr">
        <is>
          <t>69717</t>
        </is>
      </c>
      <c r="C314" s="156" t="inlineStr">
        <is>
          <t>CAPSLAB</t>
        </is>
      </c>
      <c r="D314" s="156" t="inlineStr">
        <is>
          <t>CL/SD1/1/STU</t>
        </is>
      </c>
      <c r="E314" s="156" t="inlineStr">
        <is>
          <t>CL/SD1/1/STU-UNI</t>
        </is>
      </c>
      <c r="F314" s="156" t="inlineStr">
        <is>
          <t>Talla única</t>
        </is>
      </c>
      <c r="G314" s="156" t="inlineStr">
        <is>
          <t>One Size</t>
        </is>
      </c>
      <c r="H314" s="156" t="inlineStr">
        <is>
          <t>CAPSLAB</t>
        </is>
      </c>
      <c r="I314" s="156" t="inlineStr">
        <is>
          <t>Gorra CAPSLAB Scooby Doo</t>
        </is>
      </c>
      <c r="J314" s="156" t="inlineStr">
        <is>
          <t>Accesorios</t>
        </is>
      </c>
      <c r="K314" s="156" t="inlineStr">
        <is>
          <t>Gorras</t>
        </is>
      </c>
      <c r="L314" s="156" t="inlineStr">
        <is>
          <t>Unisex</t>
        </is>
      </c>
      <c r="M314" s="156" t="inlineStr">
        <is>
          <t>Scooby Doo</t>
        </is>
      </c>
      <c r="N314" s="156" t="n"/>
      <c r="O314" s="156" t="n"/>
      <c r="P314" s="156" t="n"/>
      <c r="Q314" s="156" t="n"/>
      <c r="R314" s="156" t="n"/>
      <c r="S314" s="156" t="inlineStr">
        <is>
          <t>Algodón / Poliéster</t>
        </is>
      </c>
      <c r="T314" s="156" t="inlineStr">
        <is>
          <t>Gorra de la marca CAPSLAB bajo licencia oficial Scooby Doo. Talla única ajustable. Estilo CL/SD1/1/STU.</t>
        </is>
      </c>
      <c r="U314" s="156" t="n"/>
      <c r="V314" s="156" t="inlineStr">
        <is>
          <t>PZS</t>
        </is>
      </c>
      <c r="W314" s="51" t="inlineStr">
        <is>
          <t>53102516</t>
        </is>
      </c>
      <c r="X314" s="156" t="inlineStr">
        <is>
          <t>https://i.ibb.co/VtNvg2W/CLSD11-STU.jpg</t>
        </is>
      </c>
      <c r="Y314" s="54" t="n"/>
      <c r="Z314" s="54" t="n">
        <v>699</v>
      </c>
      <c r="AA314" s="55">
        <f>IF(AND(A314="", B314="", E314=""), "", IF(AB314="", "Válido", IF((LEN(AB314)-LEN(SUBSTITUTE(AB314,"; ","")))/2+1&gt;(LEN(AB314)-LEN(SUBSTITUTE(AB314,"[Aviso]","")))/7, "Con Incidencias", "Válido")))</f>
        <v/>
      </c>
      <c r="AB314" s="56">
        <f>IF(AND(A314="", B314="", E314=""), "", TEXTJOIN("; ", TRUE, IF(OR(TRIM(A314&amp;"")="", ISNUMBER(SEARCH("FALTA", A314))), "UPC faltante/inválido", ""), IF(AND(A314&lt;&gt;"", IFERROR(_xlfn.XMATCH(A314,$A$2:$A$370,0,1)&lt;&gt;_xlfn.XMATCH(A314,$A$2:$A$370,0,-1),FALSE)), "Código de barras duplicado", ""), IF(AND(E314&lt;&gt;"", COUNTIF($E$2:$E$370, E314)&gt;1), "SKU duplicado", ""), IF(OR(J314="", J314=""), "[Aviso] División no capturada ()", IF(ISNA(MATCH(J314, Criterios!$A$123:$A$126, 0)), "División no válida", "")), IF(OR(K314="", K314=""), "[Aviso] Categoría no capturada ()", IF(ISNA(MATCH(K314, Criterios!$A$81:$A$120, 0)), "Categoría no válida", IF(AND(J314&lt;&gt;"", J314&lt;&gt;"", J314&lt;&gt;VLOOKUP(K314, Criterios!$A$81:$B$120, 2, FALSE)), "División no coincide con Categoría", ""))), IF(OR(L314="", L314=""), "[Aviso] Género no capturado ()", IF(ISNA(MATCH(L314, Criterios!$B$123:$B$127, 0)), "Género no válido", "")), IF(OR(N314="", N314=""), "[Aviso] Temporada no capturada ()", IF(ISNA(MATCH(N314, Criterios!$C$123:$C$128, 0)), "Temporada no válida", "")), IF(OR(O314="", O314=""), "[Aviso] Ciclo de vida no capturado ()", IF(ISNA(MATCH(O314, Criterios!$D$123:$D$124, 0)), "Ciclo de vida no válido", ""))))</f>
        <v/>
      </c>
      <c r="AC314" s="56" t="n"/>
      <c r="AD314" s="51" t="n">
        <v>21</v>
      </c>
      <c r="AE314" s="156" t="inlineStr">
        <is>
          <t>CL Muestras (1); CAPSLAB Warehouse (16); Web (4)</t>
        </is>
      </c>
      <c r="AF314" s="51" t="n">
        <v>21</v>
      </c>
      <c r="AG314" s="156" t="inlineStr">
        <is>
          <t>Nuevo – NetSuite con existencia</t>
        </is>
      </c>
      <c r="AH314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14" s="156" t="inlineStr">
        <is>
          <t>No</t>
        </is>
      </c>
      <c r="AJ314" s="156" t="n"/>
      <c r="AK314" s="155" t="inlineStr">
        <is>
          <t>G1522ProductosTodosloscamposSandboxResults894.xlsx: fila 48166 [X]; G1522_Extraccion_Articulos_NetSuite_2026-09-30.xlsx: fila 30442 [Z]</t>
        </is>
      </c>
      <c r="AL314" s="58" t="n"/>
      <c r="AM314" s="58" t="n"/>
      <c r="AN314" s="155" t="n"/>
      <c r="AO314" s="59" t="n"/>
      <c r="AP314" s="59" t="n"/>
      <c r="AQ314" s="59" t="n"/>
      <c r="AR314" s="155" t="n"/>
    </row>
    <row r="315">
      <c r="A315" s="50" t="inlineStr">
        <is>
          <t>3614001553242</t>
        </is>
      </c>
      <c r="B315" s="51" t="inlineStr">
        <is>
          <t>57430</t>
        </is>
      </c>
      <c r="C315" s="156" t="inlineStr">
        <is>
          <t>CAPSLAB</t>
        </is>
      </c>
      <c r="D315" s="156" t="inlineStr">
        <is>
          <t>CL/SD1/1/STU2</t>
        </is>
      </c>
      <c r="E315" s="156" t="inlineStr">
        <is>
          <t>CL/SD1/1/STU2-UNI</t>
        </is>
      </c>
      <c r="F315" s="156" t="inlineStr">
        <is>
          <t>Talla única</t>
        </is>
      </c>
      <c r="G315" s="156" t="inlineStr">
        <is>
          <t>One Size</t>
        </is>
      </c>
      <c r="H315" s="156" t="inlineStr">
        <is>
          <t>CAPSLAB</t>
        </is>
      </c>
      <c r="I315" s="156" t="inlineStr">
        <is>
          <t>Gorra CAPSLAB Scooby Doo Negro</t>
        </is>
      </c>
      <c r="J315" s="156" t="inlineStr">
        <is>
          <t>Accesorios</t>
        </is>
      </c>
      <c r="K315" s="156" t="inlineStr">
        <is>
          <t>Gorras</t>
        </is>
      </c>
      <c r="L315" s="156" t="inlineStr">
        <is>
          <t>Unisex</t>
        </is>
      </c>
      <c r="M315" s="156" t="inlineStr">
        <is>
          <t>Scooby Doo</t>
        </is>
      </c>
      <c r="N315" s="156" t="n"/>
      <c r="O315" s="156" t="n"/>
      <c r="P315" s="156" t="inlineStr">
        <is>
          <t>Negro</t>
        </is>
      </c>
      <c r="Q315" s="156" t="n"/>
      <c r="R315" s="156" t="n"/>
      <c r="S315" s="156" t="inlineStr">
        <is>
          <t>Algodón / Poliéster</t>
        </is>
      </c>
      <c r="T315" s="156" t="inlineStr">
        <is>
          <t>Gorra de la marca CAPSLAB bajo licencia oficial Scooby Doo. Talla única ajustable. Estilo CL/SD1/1/STU2.</t>
        </is>
      </c>
      <c r="U315" s="156" t="n"/>
      <c r="V315" s="156" t="inlineStr">
        <is>
          <t>PZS</t>
        </is>
      </c>
      <c r="W315" s="51" t="inlineStr">
        <is>
          <t>53102516</t>
        </is>
      </c>
      <c r="X315" s="156" t="inlineStr">
        <is>
          <t>https://7913364.app.netsuite.com/core/media/media.nl?id=188305&amp;c=7913364&amp;h=ftd3yxowwApTmrJjbgBMQweRA7WTWt4CgTaYGLKMR2JBmJ3A</t>
        </is>
      </c>
      <c r="Y315" s="54" t="n">
        <v>8.5</v>
      </c>
      <c r="Z315" s="54" t="n">
        <v>699</v>
      </c>
      <c r="AA315" s="55">
        <f>IF(AND(A315="", B315="", E315=""), "", IF(AB315="", "Válido", IF((LEN(AB315)-LEN(SUBSTITUTE(AB315,"; ","")))/2+1&gt;(LEN(AB315)-LEN(SUBSTITUTE(AB315,"[Aviso]","")))/7, "Con Incidencias", "Válido")))</f>
        <v/>
      </c>
      <c r="AB315" s="56">
        <f>IF(AND(A315="", B315="", E315=""), "", TEXTJOIN("; ", TRUE, IF(OR(TRIM(A315&amp;"")="", ISNUMBER(SEARCH("FALTA", A315))), "UPC faltante/inválido", ""), IF(AND(A315&lt;&gt;"", IFERROR(_xlfn.XMATCH(A315,$A$2:$A$370,0,1)&lt;&gt;_xlfn.XMATCH(A315,$A$2:$A$370,0,-1),FALSE)), "Código de barras duplicado", ""), IF(AND(E315&lt;&gt;"", COUNTIF($E$2:$E$370, E315)&gt;1), "SKU duplicado", ""), IF(OR(J315="", J315=""), "[Aviso] División no capturada ()", IF(ISNA(MATCH(J315, Criterios!$A$123:$A$126, 0)), "División no válida", "")), IF(OR(K315="", K315=""), "[Aviso] Categoría no capturada ()", IF(ISNA(MATCH(K315, Criterios!$A$81:$A$120, 0)), "Categoría no válida", IF(AND(J315&lt;&gt;"", J315&lt;&gt;"", J315&lt;&gt;VLOOKUP(K315, Criterios!$A$81:$B$120, 2, FALSE)), "División no coincide con Categoría", ""))), IF(OR(L315="", L315=""), "[Aviso] Género no capturado ()", IF(ISNA(MATCH(L315, Criterios!$B$123:$B$127, 0)), "Género no válido", "")), IF(OR(N315="", N315=""), "[Aviso] Temporada no capturada ()", IF(ISNA(MATCH(N315, Criterios!$C$123:$C$128, 0)), "Temporada no válida", "")), IF(OR(O315="", O315=""), "[Aviso] Ciclo de vida no capturado ()", IF(ISNA(MATCH(O315, Criterios!$D$123:$D$124, 0)), "Ciclo de vida no válido", ""))))</f>
        <v/>
      </c>
      <c r="AC315" s="56" t="n"/>
      <c r="AD315" s="51" t="n">
        <v>0</v>
      </c>
      <c r="AE315" s="156" t="n"/>
      <c r="AF315" s="51" t="n">
        <v>0</v>
      </c>
      <c r="AG315" s="156" t="inlineStr">
        <is>
          <t>Nuevo – NetSuite sin existencia</t>
        </is>
      </c>
      <c r="AH31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15" s="156" t="inlineStr">
        <is>
          <t>No</t>
        </is>
      </c>
      <c r="AJ315" s="156" t="n"/>
      <c r="AK315" s="155" t="inlineStr">
        <is>
          <t>G1522ProductosTodosloscamposSandboxResults894.xlsx: fila 48168 [Y]; G1522_Extraccion_Articulos_NetSuite_2026-09-30.xlsx: fila 20812 [Z]</t>
        </is>
      </c>
      <c r="AL315" s="58" t="n">
        <v>8.5</v>
      </c>
      <c r="AM315" s="58" t="n"/>
      <c r="AN315" s="155" t="n"/>
      <c r="AO315" s="59" t="n"/>
      <c r="AP315" s="59" t="n"/>
      <c r="AQ315" s="59" t="n"/>
      <c r="AR315" s="155" t="n"/>
    </row>
    <row r="316">
      <c r="A316" s="50" t="inlineStr">
        <is>
          <t>3614001552849</t>
        </is>
      </c>
      <c r="B316" s="51" t="inlineStr">
        <is>
          <t>57431</t>
        </is>
      </c>
      <c r="C316" s="156" t="inlineStr">
        <is>
          <t>CAPSLAB</t>
        </is>
      </c>
      <c r="D316" s="156" t="inlineStr">
        <is>
          <t>CL/SPE1/1/CAS/SPE1</t>
        </is>
      </c>
      <c r="E316" s="156" t="inlineStr">
        <is>
          <t>CL/SPE1/1/CAS/SPE1-UNI</t>
        </is>
      </c>
      <c r="F316" s="156" t="inlineStr">
        <is>
          <t>Talla única</t>
        </is>
      </c>
      <c r="G316" s="156" t="inlineStr">
        <is>
          <t>One Size</t>
        </is>
      </c>
      <c r="H316" s="156" t="inlineStr">
        <is>
          <t>CAPSLAB</t>
        </is>
      </c>
      <c r="I316" s="156" t="inlineStr">
        <is>
          <t>Gorra trucker CAPSLAB Speedy Gonzales Speedy Gonzales Negro</t>
        </is>
      </c>
      <c r="J316" s="156" t="inlineStr">
        <is>
          <t>Accesorios</t>
        </is>
      </c>
      <c r="K316" s="156" t="inlineStr">
        <is>
          <t>Gorras</t>
        </is>
      </c>
      <c r="L316" s="156" t="inlineStr">
        <is>
          <t>Unisex</t>
        </is>
      </c>
      <c r="M316" s="156" t="inlineStr">
        <is>
          <t>Speedy Gonzales</t>
        </is>
      </c>
      <c r="N316" s="156" t="n"/>
      <c r="O316" s="156" t="n"/>
      <c r="P316" s="156" t="inlineStr">
        <is>
          <t>Negro</t>
        </is>
      </c>
      <c r="Q316" s="156" t="n"/>
      <c r="R316" s="156" t="n"/>
      <c r="S316" s="156" t="inlineStr">
        <is>
          <t>Algodón / Poliéster</t>
        </is>
      </c>
      <c r="T316" s="156" t="inlineStr">
        <is>
          <t>Gorra trucker de la marca CAPSLAB bajo licencia oficial Speedy Gonzales, personaje Speedy Gonzales. Talla única ajustable. Estilo CL/SPE1/1/CAS/SPE1.</t>
        </is>
      </c>
      <c r="U316" s="156" t="n"/>
      <c r="V316" s="156" t="inlineStr">
        <is>
          <t>PZS</t>
        </is>
      </c>
      <c r="W316" s="51" t="inlineStr">
        <is>
          <t>53102516</t>
        </is>
      </c>
      <c r="X316" s="156" t="inlineStr">
        <is>
          <t>https://7913364.app.netsuite.com/core/media/media.nl?id=188306&amp;c=7913364&amp;h=oaQLvDTGVoStGegjklESCvO5hLsS1WjOUuox3Mikfi2FQ0-E</t>
        </is>
      </c>
      <c r="Y316" s="54" t="n">
        <v>8.5</v>
      </c>
      <c r="Z316" s="54" t="n">
        <v>699</v>
      </c>
      <c r="AA316" s="55">
        <f>IF(AND(A316="", B316="", E316=""), "", IF(AB316="", "Válido", IF((LEN(AB316)-LEN(SUBSTITUTE(AB316,"; ","")))/2+1&gt;(LEN(AB316)-LEN(SUBSTITUTE(AB316,"[Aviso]","")))/7, "Con Incidencias", "Válido")))</f>
        <v/>
      </c>
      <c r="AB316" s="56">
        <f>IF(AND(A316="", B316="", E316=""), "", TEXTJOIN("; ", TRUE, IF(OR(TRIM(A316&amp;"")="", ISNUMBER(SEARCH("FALTA", A316))), "UPC faltante/inválido", ""), IF(AND(A316&lt;&gt;"", IFERROR(_xlfn.XMATCH(A316,$A$2:$A$370,0,1)&lt;&gt;_xlfn.XMATCH(A316,$A$2:$A$370,0,-1),FALSE)), "Código de barras duplicado", ""), IF(AND(E316&lt;&gt;"", COUNTIF($E$2:$E$370, E316)&gt;1), "SKU duplicado", ""), IF(OR(J316="", J316=""), "[Aviso] División no capturada ()", IF(ISNA(MATCH(J316, Criterios!$A$123:$A$126, 0)), "División no válida", "")), IF(OR(K316="", K316=""), "[Aviso] Categoría no capturada ()", IF(ISNA(MATCH(K316, Criterios!$A$81:$A$120, 0)), "Categoría no válida", IF(AND(J316&lt;&gt;"", J316&lt;&gt;"", J316&lt;&gt;VLOOKUP(K316, Criterios!$A$81:$B$120, 2, FALSE)), "División no coincide con Categoría", ""))), IF(OR(L316="", L316=""), "[Aviso] Género no capturado ()", IF(ISNA(MATCH(L316, Criterios!$B$123:$B$127, 0)), "Género no válido", "")), IF(OR(N316="", N316=""), "[Aviso] Temporada no capturada ()", IF(ISNA(MATCH(N316, Criterios!$C$123:$C$128, 0)), "Temporada no válida", "")), IF(OR(O316="", O316=""), "[Aviso] Ciclo de vida no capturado ()", IF(ISNA(MATCH(O316, Criterios!$D$123:$D$124, 0)), "Ciclo de vida no válido", ""))))</f>
        <v/>
      </c>
      <c r="AC316" s="56" t="n"/>
      <c r="AD316" s="51" t="n">
        <v>0</v>
      </c>
      <c r="AE316" s="156" t="n"/>
      <c r="AF316" s="51" t="n">
        <v>0</v>
      </c>
      <c r="AG316" s="156" t="inlineStr">
        <is>
          <t>Nuevo – NetSuite sin existencia</t>
        </is>
      </c>
      <c r="AH316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16" s="156" t="inlineStr">
        <is>
          <t>No</t>
        </is>
      </c>
      <c r="AJ316" s="156" t="n"/>
      <c r="AK316" s="155" t="inlineStr">
        <is>
          <t>G1522ProductosTodosloscamposSandboxResults894.xlsx: fila 48170 [Y]; G1522_Extraccion_Articulos_NetSuite_2026-09-30.xlsx: fila 20813 [Z]</t>
        </is>
      </c>
      <c r="AL316" s="58" t="n">
        <v>8.5</v>
      </c>
      <c r="AM316" s="58" t="n"/>
      <c r="AN316" s="155" t="n"/>
      <c r="AO316" s="59" t="n"/>
      <c r="AP316" s="59" t="n"/>
      <c r="AQ316" s="59" t="n"/>
      <c r="AR316" s="155" t="n"/>
    </row>
    <row r="317">
      <c r="A317" s="50" t="inlineStr">
        <is>
          <t>3614001552856</t>
        </is>
      </c>
      <c r="B317" s="51" t="inlineStr">
        <is>
          <t>57457</t>
        </is>
      </c>
      <c r="C317" s="156" t="inlineStr">
        <is>
          <t>CAPSLAB</t>
        </is>
      </c>
      <c r="D317" s="156" t="inlineStr">
        <is>
          <t>CL/SPE1/1/CAS/SPE2</t>
        </is>
      </c>
      <c r="E317" s="156" t="inlineStr">
        <is>
          <t>CL/SPE1/1/CAS/SPE2-UNI</t>
        </is>
      </c>
      <c r="F317" s="156" t="inlineStr">
        <is>
          <t>Talla única</t>
        </is>
      </c>
      <c r="G317" s="156" t="inlineStr">
        <is>
          <t>One Size</t>
        </is>
      </c>
      <c r="H317" s="156" t="inlineStr">
        <is>
          <t>CAPSLAB</t>
        </is>
      </c>
      <c r="I317" s="156" t="inlineStr">
        <is>
          <t>Gorra trucker CAPSLAB Speedy Gonzales Speedy Gonzales Café</t>
        </is>
      </c>
      <c r="J317" s="156" t="inlineStr">
        <is>
          <t>Accesorios</t>
        </is>
      </c>
      <c r="K317" s="156" t="inlineStr">
        <is>
          <t>Gorras</t>
        </is>
      </c>
      <c r="L317" s="156" t="inlineStr">
        <is>
          <t>Unisex</t>
        </is>
      </c>
      <c r="M317" s="156" t="inlineStr">
        <is>
          <t>Speedy Gonzales</t>
        </is>
      </c>
      <c r="N317" s="156" t="n"/>
      <c r="O317" s="156" t="n"/>
      <c r="P317" s="156" t="inlineStr">
        <is>
          <t>Cafe</t>
        </is>
      </c>
      <c r="Q317" s="156" t="n"/>
      <c r="R317" s="156" t="n"/>
      <c r="S317" s="156" t="inlineStr">
        <is>
          <t>Algodón / Poliéster</t>
        </is>
      </c>
      <c r="T317" s="156" t="inlineStr">
        <is>
          <t>Gorra trucker de la marca CAPSLAB bajo licencia oficial Speedy Gonzales, personaje Speedy Gonzales. Talla única ajustable. Estilo CL/SPE1/1/CAS/SPE2.</t>
        </is>
      </c>
      <c r="U317" s="156" t="n"/>
      <c r="V317" s="156" t="inlineStr">
        <is>
          <t>PZS</t>
        </is>
      </c>
      <c r="W317" s="51" t="inlineStr">
        <is>
          <t>53102516</t>
        </is>
      </c>
      <c r="X317" s="156" t="inlineStr">
        <is>
          <t>https://7913364.app.netsuite.com/core/media/media.nl?id=188365&amp;c=7913364&amp;h=9J0ltbwwJQ5_E3OZdQL--j2-FXnnSF9jTRdbpjv0Y2yG90j0</t>
        </is>
      </c>
      <c r="Y317" s="54" t="n">
        <v>8.5</v>
      </c>
      <c r="Z317" s="54" t="n">
        <v>699</v>
      </c>
      <c r="AA317" s="55">
        <f>IF(AND(A317="", B317="", E317=""), "", IF(AB317="", "Válido", IF((LEN(AB317)-LEN(SUBSTITUTE(AB317,"; ","")))/2+1&gt;(LEN(AB317)-LEN(SUBSTITUTE(AB317,"[Aviso]","")))/7, "Con Incidencias", "Válido")))</f>
        <v/>
      </c>
      <c r="AB317" s="56">
        <f>IF(AND(A317="", B317="", E317=""), "", TEXTJOIN("; ", TRUE, IF(OR(TRIM(A317&amp;"")="", ISNUMBER(SEARCH("FALTA", A317))), "UPC faltante/inválido", ""), IF(AND(A317&lt;&gt;"", IFERROR(_xlfn.XMATCH(A317,$A$2:$A$370,0,1)&lt;&gt;_xlfn.XMATCH(A317,$A$2:$A$370,0,-1),FALSE)), "Código de barras duplicado", ""), IF(AND(E317&lt;&gt;"", COUNTIF($E$2:$E$370, E317)&gt;1), "SKU duplicado", ""), IF(OR(J317="", J317=""), "[Aviso] División no capturada ()", IF(ISNA(MATCH(J317, Criterios!$A$123:$A$126, 0)), "División no válida", "")), IF(OR(K317="", K317=""), "[Aviso] Categoría no capturada ()", IF(ISNA(MATCH(K317, Criterios!$A$81:$A$120, 0)), "Categoría no válida", IF(AND(J317&lt;&gt;"", J317&lt;&gt;"", J317&lt;&gt;VLOOKUP(K317, Criterios!$A$81:$B$120, 2, FALSE)), "División no coincide con Categoría", ""))), IF(OR(L317="", L317=""), "[Aviso] Género no capturado ()", IF(ISNA(MATCH(L317, Criterios!$B$123:$B$127, 0)), "Género no válido", "")), IF(OR(N317="", N317=""), "[Aviso] Temporada no capturada ()", IF(ISNA(MATCH(N317, Criterios!$C$123:$C$128, 0)), "Temporada no válida", "")), IF(OR(O317="", O317=""), "[Aviso] Ciclo de vida no capturado ()", IF(ISNA(MATCH(O317, Criterios!$D$123:$D$124, 0)), "Ciclo de vida no válido", ""))))</f>
        <v/>
      </c>
      <c r="AC317" s="56" t="n"/>
      <c r="AD317" s="51" t="n">
        <v>0</v>
      </c>
      <c r="AE317" s="156" t="n"/>
      <c r="AF317" s="51" t="n">
        <v>0</v>
      </c>
      <c r="AG317" s="156" t="inlineStr">
        <is>
          <t>Nuevo – NetSuite sin existencia</t>
        </is>
      </c>
      <c r="AH317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17" s="156" t="inlineStr">
        <is>
          <t>No</t>
        </is>
      </c>
      <c r="AJ317" s="156" t="n"/>
      <c r="AK317" s="155" t="inlineStr">
        <is>
          <t>G1522ProductosTodosloscamposSandboxResults894.xlsx: fila 48172 [Y]; G1522_Extraccion_Articulos_NetSuite_2026-09-30.xlsx: fila 20839 [Z]</t>
        </is>
      </c>
      <c r="AL317" s="58" t="n">
        <v>8.5</v>
      </c>
      <c r="AM317" s="58" t="n"/>
      <c r="AN317" s="155" t="n"/>
      <c r="AO317" s="59" t="n"/>
      <c r="AP317" s="59" t="n"/>
      <c r="AQ317" s="59" t="n"/>
      <c r="AR317" s="155" t="n"/>
    </row>
    <row r="318">
      <c r="A318" s="50" t="inlineStr">
        <is>
          <t>3614001552863</t>
        </is>
      </c>
      <c r="B318" s="51" t="inlineStr">
        <is>
          <t>57432</t>
        </is>
      </c>
      <c r="C318" s="156" t="inlineStr">
        <is>
          <t>CAPSLAB</t>
        </is>
      </c>
      <c r="D318" s="156" t="inlineStr">
        <is>
          <t>CL/SPE1/1/CAS/SPE3</t>
        </is>
      </c>
      <c r="E318" s="156" t="inlineStr">
        <is>
          <t>CL/SPE1/1/CAS/SPE3-UNI</t>
        </is>
      </c>
      <c r="F318" s="156" t="inlineStr">
        <is>
          <t>Talla única</t>
        </is>
      </c>
      <c r="G318" s="156" t="inlineStr">
        <is>
          <t>One Size</t>
        </is>
      </c>
      <c r="H318" s="156" t="inlineStr">
        <is>
          <t>CAPSLAB</t>
        </is>
      </c>
      <c r="I318" s="156" t="inlineStr">
        <is>
          <t>Gorra trucker CAPSLAB Speedy Gonzales Speedy Gonzales Negro</t>
        </is>
      </c>
      <c r="J318" s="156" t="inlineStr">
        <is>
          <t>Accesorios</t>
        </is>
      </c>
      <c r="K318" s="156" t="inlineStr">
        <is>
          <t>Gorras</t>
        </is>
      </c>
      <c r="L318" s="156" t="inlineStr">
        <is>
          <t>Unisex</t>
        </is>
      </c>
      <c r="M318" s="156" t="inlineStr">
        <is>
          <t>Speedy Gonzales</t>
        </is>
      </c>
      <c r="N318" s="156" t="n"/>
      <c r="O318" s="156" t="n"/>
      <c r="P318" s="156" t="inlineStr">
        <is>
          <t>Negro</t>
        </is>
      </c>
      <c r="Q318" s="156" t="n"/>
      <c r="R318" s="156" t="n"/>
      <c r="S318" s="156" t="inlineStr">
        <is>
          <t>Algodón / Poliéster</t>
        </is>
      </c>
      <c r="T318" s="156" t="inlineStr">
        <is>
          <t>Gorra trucker de la marca CAPSLAB bajo licencia oficial Speedy Gonzales, personaje Speedy Gonzales. Talla única ajustable. Estilo CL/SPE1/1/CAS/SPE3.</t>
        </is>
      </c>
      <c r="U318" s="156" t="n"/>
      <c r="V318" s="156" t="inlineStr">
        <is>
          <t>PZS</t>
        </is>
      </c>
      <c r="W318" s="51" t="inlineStr">
        <is>
          <t>53102516</t>
        </is>
      </c>
      <c r="X318" s="156" t="inlineStr">
        <is>
          <t>https://7913364.app.netsuite.com/core/media/media.nl?id=188307&amp;c=7913364&amp;h=nAIO00J7GjFXbrvhMu5id0ycIaVPPPhF_pab4Ep7aZI03u5X</t>
        </is>
      </c>
      <c r="Y318" s="54" t="n">
        <v>8.5</v>
      </c>
      <c r="Z318" s="54" t="n">
        <v>699</v>
      </c>
      <c r="AA318" s="55">
        <f>IF(AND(A318="", B318="", E318=""), "", IF(AB318="", "Válido", IF((LEN(AB318)-LEN(SUBSTITUTE(AB318,"; ","")))/2+1&gt;(LEN(AB318)-LEN(SUBSTITUTE(AB318,"[Aviso]","")))/7, "Con Incidencias", "Válido")))</f>
        <v/>
      </c>
      <c r="AB318" s="56">
        <f>IF(AND(A318="", B318="", E318=""), "", TEXTJOIN("; ", TRUE, IF(OR(TRIM(A318&amp;"")="", ISNUMBER(SEARCH("FALTA", A318))), "UPC faltante/inválido", ""), IF(AND(A318&lt;&gt;"", IFERROR(_xlfn.XMATCH(A318,$A$2:$A$370,0,1)&lt;&gt;_xlfn.XMATCH(A318,$A$2:$A$370,0,-1),FALSE)), "Código de barras duplicado", ""), IF(AND(E318&lt;&gt;"", COUNTIF($E$2:$E$370, E318)&gt;1), "SKU duplicado", ""), IF(OR(J318="", J318=""), "[Aviso] División no capturada ()", IF(ISNA(MATCH(J318, Criterios!$A$123:$A$126, 0)), "División no válida", "")), IF(OR(K318="", K318=""), "[Aviso] Categoría no capturada ()", IF(ISNA(MATCH(K318, Criterios!$A$81:$A$120, 0)), "Categoría no válida", IF(AND(J318&lt;&gt;"", J318&lt;&gt;"", J318&lt;&gt;VLOOKUP(K318, Criterios!$A$81:$B$120, 2, FALSE)), "División no coincide con Categoría", ""))), IF(OR(L318="", L318=""), "[Aviso] Género no capturado ()", IF(ISNA(MATCH(L318, Criterios!$B$123:$B$127, 0)), "Género no válido", "")), IF(OR(N318="", N318=""), "[Aviso] Temporada no capturada ()", IF(ISNA(MATCH(N318, Criterios!$C$123:$C$128, 0)), "Temporada no válida", "")), IF(OR(O318="", O318=""), "[Aviso] Ciclo de vida no capturado ()", IF(ISNA(MATCH(O318, Criterios!$D$123:$D$124, 0)), "Ciclo de vida no válido", ""))))</f>
        <v/>
      </c>
      <c r="AC318" s="56" t="n"/>
      <c r="AD318" s="51" t="n">
        <v>1</v>
      </c>
      <c r="AE318" s="156" t="inlineStr">
        <is>
          <t>CAPSLAB Warehouse (1)</t>
        </is>
      </c>
      <c r="AF318" s="51" t="n">
        <v>1</v>
      </c>
      <c r="AG318" s="156" t="inlineStr">
        <is>
          <t>Nuevo – NetSuite con existencia</t>
        </is>
      </c>
      <c r="AH31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318" s="156" t="inlineStr">
        <is>
          <t>No</t>
        </is>
      </c>
      <c r="AJ318" s="156" t="n"/>
      <c r="AK318" s="155" t="inlineStr">
        <is>
          <t>G1522ProductosTodosloscamposSandboxResults894.xlsx: fila 48174 [Y]; G1522_Extraccion_Articulos_NetSuite_2026-09-30.xlsx: fila 20814 [Z]</t>
        </is>
      </c>
      <c r="AL318" s="58" t="n">
        <v>8.5</v>
      </c>
      <c r="AM318" s="58" t="n"/>
      <c r="AN318" s="155" t="n"/>
      <c r="AO318" s="59" t="n"/>
      <c r="AP318" s="59" t="n"/>
      <c r="AQ318" s="59" t="n"/>
      <c r="AR318" s="155" t="n"/>
    </row>
    <row r="319">
      <c r="A319" s="50" t="inlineStr">
        <is>
          <t>3614001553013</t>
        </is>
      </c>
      <c r="B319" s="51" t="inlineStr">
        <is>
          <t>57458</t>
        </is>
      </c>
      <c r="C319" s="156" t="inlineStr">
        <is>
          <t>CAPSLAB</t>
        </is>
      </c>
      <c r="D319" s="156" t="inlineStr">
        <is>
          <t>CL/TAJ1/1/CAS/TJ1</t>
        </is>
      </c>
      <c r="E319" s="156" t="inlineStr">
        <is>
          <t>CL/TAJ1/1/CAS/TJ1-UNI</t>
        </is>
      </c>
      <c r="F319" s="156" t="inlineStr">
        <is>
          <t>Talla única</t>
        </is>
      </c>
      <c r="G319" s="156" t="inlineStr">
        <is>
          <t>One Size</t>
        </is>
      </c>
      <c r="H319" s="156" t="inlineStr">
        <is>
          <t>CAPSLAB</t>
        </is>
      </c>
      <c r="I319" s="156" t="inlineStr">
        <is>
          <t>Gorra trucker CAPSLAB Tom And Jerry Negro</t>
        </is>
      </c>
      <c r="J319" s="156" t="inlineStr">
        <is>
          <t>Accesorios</t>
        </is>
      </c>
      <c r="K319" s="156" t="inlineStr">
        <is>
          <t>Gorras</t>
        </is>
      </c>
      <c r="L319" s="156" t="inlineStr">
        <is>
          <t>Unisex</t>
        </is>
      </c>
      <c r="M319" s="156" t="inlineStr">
        <is>
          <t>Tom &amp; Jerry</t>
        </is>
      </c>
      <c r="N319" s="156" t="n"/>
      <c r="O319" s="156" t="n"/>
      <c r="P319" s="156" t="inlineStr">
        <is>
          <t>Negro</t>
        </is>
      </c>
      <c r="Q319" s="156" t="n"/>
      <c r="R319" s="156" t="n"/>
      <c r="S319" s="156" t="inlineStr">
        <is>
          <t>Algodón / Poliéster</t>
        </is>
      </c>
      <c r="T319" s="156" t="inlineStr">
        <is>
          <t>Gorra trucker de la marca CAPSLAB bajo licencia oficial Tom And Jerry. Talla única ajustable. Estilo CL/TAJ1/1/CAS/TJ1.</t>
        </is>
      </c>
      <c r="U319" s="156" t="n"/>
      <c r="V319" s="156" t="inlineStr">
        <is>
          <t>PZS</t>
        </is>
      </c>
      <c r="W319" s="51" t="inlineStr">
        <is>
          <t>53102516</t>
        </is>
      </c>
      <c r="X319" s="156" t="inlineStr">
        <is>
          <t>https://7913364.app.netsuite.com/core/media/media.nl?id=188366&amp;c=7913364&amp;h=xQmOt17kiBfcUsvFlwd8lAZYp3xoTQY8Se8kr-Vw-2QOpYnU</t>
        </is>
      </c>
      <c r="Y319" s="54" t="n">
        <v>8.5</v>
      </c>
      <c r="Z319" s="54" t="n">
        <v>699</v>
      </c>
      <c r="AA319" s="55">
        <f>IF(AND(A319="", B319="", E319=""), "", IF(AB319="", "Válido", IF((LEN(AB319)-LEN(SUBSTITUTE(AB319,"; ","")))/2+1&gt;(LEN(AB319)-LEN(SUBSTITUTE(AB319,"[Aviso]","")))/7, "Con Incidencias", "Válido")))</f>
        <v/>
      </c>
      <c r="AB319" s="56">
        <f>IF(AND(A319="", B319="", E319=""), "", TEXTJOIN("; ", TRUE, IF(OR(TRIM(A319&amp;"")="", ISNUMBER(SEARCH("FALTA", A319))), "UPC faltante/inválido", ""), IF(AND(A319&lt;&gt;"", IFERROR(_xlfn.XMATCH(A319,$A$2:$A$370,0,1)&lt;&gt;_xlfn.XMATCH(A319,$A$2:$A$370,0,-1),FALSE)), "Código de barras duplicado", ""), IF(AND(E319&lt;&gt;"", COUNTIF($E$2:$E$370, E319)&gt;1), "SKU duplicado", ""), IF(OR(J319="", J319=""), "[Aviso] División no capturada ()", IF(ISNA(MATCH(J319, Criterios!$A$123:$A$126, 0)), "División no válida", "")), IF(OR(K319="", K319=""), "[Aviso] Categoría no capturada ()", IF(ISNA(MATCH(K319, Criterios!$A$81:$A$120, 0)), "Categoría no válida", IF(AND(J319&lt;&gt;"", J319&lt;&gt;"", J319&lt;&gt;VLOOKUP(K319, Criterios!$A$81:$B$120, 2, FALSE)), "División no coincide con Categoría", ""))), IF(OR(L319="", L319=""), "[Aviso] Género no capturado ()", IF(ISNA(MATCH(L319, Criterios!$B$123:$B$127, 0)), "Género no válido", "")), IF(OR(N319="", N319=""), "[Aviso] Temporada no capturada ()", IF(ISNA(MATCH(N319, Criterios!$C$123:$C$128, 0)), "Temporada no válida", "")), IF(OR(O319="", O319=""), "[Aviso] Ciclo de vida no capturado ()", IF(ISNA(MATCH(O319, Criterios!$D$123:$D$124, 0)), "Ciclo de vida no válido", ""))))</f>
        <v/>
      </c>
      <c r="AC319" s="56" t="n"/>
      <c r="AD319" s="51" t="n">
        <v>0</v>
      </c>
      <c r="AE319" s="156" t="n"/>
      <c r="AF319" s="51" t="n">
        <v>0</v>
      </c>
      <c r="AG319" s="156" t="inlineStr">
        <is>
          <t>Nuevo – NetSuite sin existencia</t>
        </is>
      </c>
      <c r="AH31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19" s="156" t="inlineStr">
        <is>
          <t>No</t>
        </is>
      </c>
      <c r="AJ319" s="156" t="n"/>
      <c r="AK319" s="155" t="inlineStr">
        <is>
          <t>G1522ProductosTodosloscamposSandboxResults894.xlsx: fila 48176 [Y]; G1522_Extraccion_Articulos_NetSuite_2026-09-30.xlsx: fila 20840 [Z]</t>
        </is>
      </c>
      <c r="AL319" s="58" t="n">
        <v>8.5</v>
      </c>
      <c r="AM319" s="58" t="n"/>
      <c r="AN319" s="155" t="n"/>
      <c r="AO319" s="59" t="n"/>
      <c r="AP319" s="59" t="n"/>
      <c r="AQ319" s="59" t="n"/>
      <c r="AR319" s="155" t="n"/>
    </row>
    <row r="320">
      <c r="A320" s="50" t="inlineStr">
        <is>
          <t>3614001553020</t>
        </is>
      </c>
      <c r="B320" s="51" t="inlineStr">
        <is>
          <t>57433</t>
        </is>
      </c>
      <c r="C320" s="156" t="inlineStr">
        <is>
          <t>CAPSLAB</t>
        </is>
      </c>
      <c r="D320" s="156" t="inlineStr">
        <is>
          <t>CL/TAJ1/1/CAS/TJ2</t>
        </is>
      </c>
      <c r="E320" s="156" t="inlineStr">
        <is>
          <t>CL/TAJ1/1/CAS/TJ2-UNI</t>
        </is>
      </c>
      <c r="F320" s="156" t="inlineStr">
        <is>
          <t>Talla única</t>
        </is>
      </c>
      <c r="G320" s="156" t="inlineStr">
        <is>
          <t>One Size</t>
        </is>
      </c>
      <c r="H320" s="156" t="inlineStr">
        <is>
          <t>CAPSLAB</t>
        </is>
      </c>
      <c r="I320" s="156" t="inlineStr">
        <is>
          <t>Gorra trucker CAPSLAB Tom And Jerry Rosa</t>
        </is>
      </c>
      <c r="J320" s="156" t="inlineStr">
        <is>
          <t>Accesorios</t>
        </is>
      </c>
      <c r="K320" s="156" t="inlineStr">
        <is>
          <t>Gorras</t>
        </is>
      </c>
      <c r="L320" s="156" t="inlineStr">
        <is>
          <t>Unisex</t>
        </is>
      </c>
      <c r="M320" s="156" t="inlineStr">
        <is>
          <t>Tom &amp; Jerry</t>
        </is>
      </c>
      <c r="N320" s="156" t="n"/>
      <c r="O320" s="156" t="n"/>
      <c r="P320" s="156" t="inlineStr">
        <is>
          <t>Rosa</t>
        </is>
      </c>
      <c r="Q320" s="156" t="n"/>
      <c r="R320" s="156" t="n"/>
      <c r="S320" s="156" t="inlineStr">
        <is>
          <t>Algodón / Poliéster</t>
        </is>
      </c>
      <c r="T320" s="156" t="inlineStr">
        <is>
          <t>Gorra trucker de la marca CAPSLAB bajo licencia oficial Tom And Jerry. Talla única ajustable. Estilo CL/TAJ1/1/CAS/TJ2.</t>
        </is>
      </c>
      <c r="U320" s="156" t="n"/>
      <c r="V320" s="156" t="inlineStr">
        <is>
          <t>PZS</t>
        </is>
      </c>
      <c r="W320" s="51" t="inlineStr">
        <is>
          <t>53102516</t>
        </is>
      </c>
      <c r="X320" s="156" t="inlineStr">
        <is>
          <t>https://7913364.app.netsuite.com/core/media/media.nl?id=188308&amp;c=7913364&amp;h=oV49RzWxMfNG96fRaTUOqNKy1s5IT_JgOAgQVa3iYdLhyQDQ</t>
        </is>
      </c>
      <c r="Y320" s="54" t="n">
        <v>8.5</v>
      </c>
      <c r="Z320" s="54" t="n">
        <v>699</v>
      </c>
      <c r="AA320" s="55">
        <f>IF(AND(A320="", B320="", E320=""), "", IF(AB320="", "Válido", IF((LEN(AB320)-LEN(SUBSTITUTE(AB320,"; ","")))/2+1&gt;(LEN(AB320)-LEN(SUBSTITUTE(AB320,"[Aviso]","")))/7, "Con Incidencias", "Válido")))</f>
        <v/>
      </c>
      <c r="AB320" s="56">
        <f>IF(AND(A320="", B320="", E320=""), "", TEXTJOIN("; ", TRUE, IF(OR(TRIM(A320&amp;"")="", ISNUMBER(SEARCH("FALTA", A320))), "UPC faltante/inválido", ""), IF(AND(A320&lt;&gt;"", IFERROR(_xlfn.XMATCH(A320,$A$2:$A$370,0,1)&lt;&gt;_xlfn.XMATCH(A320,$A$2:$A$370,0,-1),FALSE)), "Código de barras duplicado", ""), IF(AND(E320&lt;&gt;"", COUNTIF($E$2:$E$370, E320)&gt;1), "SKU duplicado", ""), IF(OR(J320="", J320=""), "[Aviso] División no capturada ()", IF(ISNA(MATCH(J320, Criterios!$A$123:$A$126, 0)), "División no válida", "")), IF(OR(K320="", K320=""), "[Aviso] Categoría no capturada ()", IF(ISNA(MATCH(K320, Criterios!$A$81:$A$120, 0)), "Categoría no válida", IF(AND(J320&lt;&gt;"", J320&lt;&gt;"", J320&lt;&gt;VLOOKUP(K320, Criterios!$A$81:$B$120, 2, FALSE)), "División no coincide con Categoría", ""))), IF(OR(L320="", L320=""), "[Aviso] Género no capturado ()", IF(ISNA(MATCH(L320, Criterios!$B$123:$B$127, 0)), "Género no válido", "")), IF(OR(N320="", N320=""), "[Aviso] Temporada no capturada ()", IF(ISNA(MATCH(N320, Criterios!$C$123:$C$128, 0)), "Temporada no válida", "")), IF(OR(O320="", O320=""), "[Aviso] Ciclo de vida no capturado ()", IF(ISNA(MATCH(O320, Criterios!$D$123:$D$124, 0)), "Ciclo de vida no válido", ""))))</f>
        <v/>
      </c>
      <c r="AC320" s="56" t="n"/>
      <c r="AD320" s="51" t="n">
        <v>0</v>
      </c>
      <c r="AE320" s="156" t="n"/>
      <c r="AF320" s="51" t="n">
        <v>0</v>
      </c>
      <c r="AG320" s="156" t="inlineStr">
        <is>
          <t>Nuevo – NetSuite sin existencia</t>
        </is>
      </c>
      <c r="AH320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20" s="156" t="inlineStr">
        <is>
          <t>No</t>
        </is>
      </c>
      <c r="AJ320" s="156" t="n"/>
      <c r="AK320" s="155" t="inlineStr">
        <is>
          <t>G1522ProductosTodosloscamposSandboxResults894.xlsx: fila 48178 [Y]; G1522_Extraccion_Articulos_NetSuite_2026-09-30.xlsx: fila 20815 [Z]</t>
        </is>
      </c>
      <c r="AL320" s="58" t="n">
        <v>8.5</v>
      </c>
      <c r="AM320" s="58" t="n"/>
      <c r="AN320" s="155" t="n"/>
      <c r="AO320" s="59" t="n"/>
      <c r="AP320" s="59" t="n"/>
      <c r="AQ320" s="59" t="n"/>
      <c r="AR320" s="155" t="n"/>
    </row>
    <row r="321">
      <c r="A321" s="50" t="inlineStr">
        <is>
          <t>3614001553037</t>
        </is>
      </c>
      <c r="B321" s="51" t="inlineStr">
        <is>
          <t>57434</t>
        </is>
      </c>
      <c r="C321" s="156" t="inlineStr">
        <is>
          <t>CAPSLAB</t>
        </is>
      </c>
      <c r="D321" s="156" t="inlineStr">
        <is>
          <t>CL/TAJ1/1/CAS/TO4</t>
        </is>
      </c>
      <c r="E321" s="156" t="inlineStr">
        <is>
          <t>CL/TAJ1/1/CAS/TO4-UNI</t>
        </is>
      </c>
      <c r="F321" s="156" t="inlineStr">
        <is>
          <t>Talla única</t>
        </is>
      </c>
      <c r="G321" s="156" t="inlineStr">
        <is>
          <t>One Size</t>
        </is>
      </c>
      <c r="H321" s="156" t="inlineStr">
        <is>
          <t>CAPSLAB</t>
        </is>
      </c>
      <c r="I321" s="156" t="inlineStr">
        <is>
          <t>Gorra trucker CAPSLAB Tom And Jerry Rojo</t>
        </is>
      </c>
      <c r="J321" s="156" t="inlineStr">
        <is>
          <t>Accesorios</t>
        </is>
      </c>
      <c r="K321" s="156" t="inlineStr">
        <is>
          <t>Gorras</t>
        </is>
      </c>
      <c r="L321" s="156" t="inlineStr">
        <is>
          <t>Unisex</t>
        </is>
      </c>
      <c r="M321" s="156" t="inlineStr">
        <is>
          <t>Tom &amp; Jerry</t>
        </is>
      </c>
      <c r="N321" s="156" t="n"/>
      <c r="O321" s="156" t="n"/>
      <c r="P321" s="156" t="inlineStr">
        <is>
          <t>Rojo</t>
        </is>
      </c>
      <c r="Q321" s="156" t="n"/>
      <c r="R321" s="156" t="n"/>
      <c r="S321" s="156" t="inlineStr">
        <is>
          <t>Algodón / Poliéster</t>
        </is>
      </c>
      <c r="T321" s="156" t="inlineStr">
        <is>
          <t>Gorra trucker de la marca CAPSLAB bajo licencia oficial Tom And Jerry. Talla única ajustable. Estilo CL/TAJ1/1/CAS/TO4.</t>
        </is>
      </c>
      <c r="U321" s="156" t="n"/>
      <c r="V321" s="156" t="inlineStr">
        <is>
          <t>PZS</t>
        </is>
      </c>
      <c r="W321" s="51" t="inlineStr">
        <is>
          <t>53102516</t>
        </is>
      </c>
      <c r="X321" s="156" t="inlineStr">
        <is>
          <t>https://7913364.app.netsuite.com/core/media/media.nl?id=188309&amp;c=7913364&amp;h=REKyqfnKwUZGAAyGZZA_hvlHPlTI9CXveT-HuoMT2nsMpsUs</t>
        </is>
      </c>
      <c r="Y321" s="54" t="n">
        <v>8.5</v>
      </c>
      <c r="Z321" s="54" t="n">
        <v>699</v>
      </c>
      <c r="AA321" s="55">
        <f>IF(AND(A321="", B321="", E321=""), "", IF(AB321="", "Válido", IF((LEN(AB321)-LEN(SUBSTITUTE(AB321,"; ","")))/2+1&gt;(LEN(AB321)-LEN(SUBSTITUTE(AB321,"[Aviso]","")))/7, "Con Incidencias", "Válido")))</f>
        <v/>
      </c>
      <c r="AB321" s="56">
        <f>IF(AND(A321="", B321="", E321=""), "", TEXTJOIN("; ", TRUE, IF(OR(TRIM(A321&amp;"")="", ISNUMBER(SEARCH("FALTA", A321))), "UPC faltante/inválido", ""), IF(AND(A321&lt;&gt;"", IFERROR(_xlfn.XMATCH(A321,$A$2:$A$370,0,1)&lt;&gt;_xlfn.XMATCH(A321,$A$2:$A$370,0,-1),FALSE)), "Código de barras duplicado", ""), IF(AND(E321&lt;&gt;"", COUNTIF($E$2:$E$370, E321)&gt;1), "SKU duplicado", ""), IF(OR(J321="", J321=""), "[Aviso] División no capturada ()", IF(ISNA(MATCH(J321, Criterios!$A$123:$A$126, 0)), "División no válida", "")), IF(OR(K321="", K321=""), "[Aviso] Categoría no capturada ()", IF(ISNA(MATCH(K321, Criterios!$A$81:$A$120, 0)), "Categoría no válida", IF(AND(J321&lt;&gt;"", J321&lt;&gt;"", J321&lt;&gt;VLOOKUP(K321, Criterios!$A$81:$B$120, 2, FALSE)), "División no coincide con Categoría", ""))), IF(OR(L321="", L321=""), "[Aviso] Género no capturado ()", IF(ISNA(MATCH(L321, Criterios!$B$123:$B$127, 0)), "Género no válido", "")), IF(OR(N321="", N321=""), "[Aviso] Temporada no capturada ()", IF(ISNA(MATCH(N321, Criterios!$C$123:$C$128, 0)), "Temporada no válida", "")), IF(OR(O321="", O321=""), "[Aviso] Ciclo de vida no capturado ()", IF(ISNA(MATCH(O321, Criterios!$D$123:$D$124, 0)), "Ciclo de vida no válido", ""))))</f>
        <v/>
      </c>
      <c r="AC321" s="56" t="n"/>
      <c r="AD321" s="51" t="n">
        <v>7</v>
      </c>
      <c r="AE321" s="156" t="inlineStr">
        <is>
          <t>CAPSLAB Warehouse (3); Web (2)</t>
        </is>
      </c>
      <c r="AF321" s="51" t="n">
        <v>7</v>
      </c>
      <c r="AG321" s="156" t="inlineStr">
        <is>
          <t>Nuevo – NetSuite con existencia</t>
        </is>
      </c>
      <c r="AH321" s="156" t="inlineStr">
        <is>
          <t>Composición CAPSLAB varía por modelo (50/50, 40/60 o 100% poliéster): validar etiqueta; Físico total NetSuite 7 ≠ suma por ubicación 5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21" s="156" t="inlineStr">
        <is>
          <t>No</t>
        </is>
      </c>
      <c r="AJ321" s="156" t="n"/>
      <c r="AK321" s="155" t="inlineStr">
        <is>
          <t>G1522ProductosTodosloscamposSandboxResults894.xlsx: fila 48180 [Y]; G1522_Extraccion_Articulos_NetSuite_2026-09-30.xlsx: fila 20816 [Z]</t>
        </is>
      </c>
      <c r="AL321" s="58" t="n">
        <v>8.5</v>
      </c>
      <c r="AM321" s="58" t="n"/>
      <c r="AN321" s="155" t="n"/>
      <c r="AO321" s="59" t="n"/>
      <c r="AP321" s="59" t="n"/>
      <c r="AQ321" s="59" t="n"/>
      <c r="AR321" s="155" t="n"/>
    </row>
    <row r="322">
      <c r="A322" s="50" t="inlineStr">
        <is>
          <t>3614001553051</t>
        </is>
      </c>
      <c r="B322" s="51" t="inlineStr">
        <is>
          <t>57435</t>
        </is>
      </c>
      <c r="C322" s="156" t="inlineStr">
        <is>
          <t>CAPSLAB</t>
        </is>
      </c>
      <c r="D322" s="156" t="inlineStr">
        <is>
          <t>CL/TAJ1/1/CAS/TO6</t>
        </is>
      </c>
      <c r="E322" s="156" t="inlineStr">
        <is>
          <t>CL/TAJ1/1/CAS/TO6-UNI</t>
        </is>
      </c>
      <c r="F322" s="156" t="inlineStr">
        <is>
          <t>Talla única</t>
        </is>
      </c>
      <c r="G322" s="156" t="inlineStr">
        <is>
          <t>One Size</t>
        </is>
      </c>
      <c r="H322" s="156" t="inlineStr">
        <is>
          <t>CAPSLAB</t>
        </is>
      </c>
      <c r="I322" s="156" t="inlineStr">
        <is>
          <t>Gorra trucker CAPSLAB Tom And Jerry Negro</t>
        </is>
      </c>
      <c r="J322" s="156" t="inlineStr">
        <is>
          <t>Accesorios</t>
        </is>
      </c>
      <c r="K322" s="156" t="inlineStr">
        <is>
          <t>Gorras</t>
        </is>
      </c>
      <c r="L322" s="156" t="inlineStr">
        <is>
          <t>Unisex</t>
        </is>
      </c>
      <c r="M322" s="156" t="inlineStr">
        <is>
          <t>Tom &amp; Jerry</t>
        </is>
      </c>
      <c r="N322" s="156" t="n"/>
      <c r="O322" s="156" t="n"/>
      <c r="P322" s="156" t="inlineStr">
        <is>
          <t>Negro</t>
        </is>
      </c>
      <c r="Q322" s="156" t="n"/>
      <c r="R322" s="156" t="n"/>
      <c r="S322" s="156" t="inlineStr">
        <is>
          <t>Algodón / Poliéster</t>
        </is>
      </c>
      <c r="T322" s="156" t="inlineStr">
        <is>
          <t>Gorra trucker de la marca CAPSLAB bajo licencia oficial Tom And Jerry. Talla única ajustable. Estilo CL/TAJ1/1/CAS/TO6.</t>
        </is>
      </c>
      <c r="U322" s="156" t="n"/>
      <c r="V322" s="156" t="inlineStr">
        <is>
          <t>PZS</t>
        </is>
      </c>
      <c r="W322" s="51" t="inlineStr">
        <is>
          <t>53102516</t>
        </is>
      </c>
      <c r="X322" s="156" t="inlineStr">
        <is>
          <t>https://7913364.app.netsuite.com/core/media/media.nl?id=188310&amp;c=7913364&amp;h=0m_o3VVux9Eqh97uMJc8JokcdCGvjCOdBzk8m-CVHaa99avK</t>
        </is>
      </c>
      <c r="Y322" s="54" t="n">
        <v>8.5</v>
      </c>
      <c r="Z322" s="54" t="n">
        <v>699</v>
      </c>
      <c r="AA322" s="55">
        <f>IF(AND(A322="", B322="", E322=""), "", IF(AB322="", "Válido", IF((LEN(AB322)-LEN(SUBSTITUTE(AB322,"; ","")))/2+1&gt;(LEN(AB322)-LEN(SUBSTITUTE(AB322,"[Aviso]","")))/7, "Con Incidencias", "Válido")))</f>
        <v/>
      </c>
      <c r="AB322" s="56">
        <f>IF(AND(A322="", B322="", E322=""), "", TEXTJOIN("; ", TRUE, IF(OR(TRIM(A322&amp;"")="", ISNUMBER(SEARCH("FALTA", A322))), "UPC faltante/inválido", ""), IF(AND(A322&lt;&gt;"", IFERROR(_xlfn.XMATCH(A322,$A$2:$A$370,0,1)&lt;&gt;_xlfn.XMATCH(A322,$A$2:$A$370,0,-1),FALSE)), "Código de barras duplicado", ""), IF(AND(E322&lt;&gt;"", COUNTIF($E$2:$E$370, E322)&gt;1), "SKU duplicado", ""), IF(OR(J322="", J322=""), "[Aviso] División no capturada ()", IF(ISNA(MATCH(J322, Criterios!$A$123:$A$126, 0)), "División no válida", "")), IF(OR(K322="", K322=""), "[Aviso] Categoría no capturada ()", IF(ISNA(MATCH(K322, Criterios!$A$81:$A$120, 0)), "Categoría no válida", IF(AND(J322&lt;&gt;"", J322&lt;&gt;"", J322&lt;&gt;VLOOKUP(K322, Criterios!$A$81:$B$120, 2, FALSE)), "División no coincide con Categoría", ""))), IF(OR(L322="", L322=""), "[Aviso] Género no capturado ()", IF(ISNA(MATCH(L322, Criterios!$B$123:$B$127, 0)), "Género no válido", "")), IF(OR(N322="", N322=""), "[Aviso] Temporada no capturada ()", IF(ISNA(MATCH(N322, Criterios!$C$123:$C$128, 0)), "Temporada no válida", "")), IF(OR(O322="", O322=""), "[Aviso] Ciclo de vida no capturado ()", IF(ISNA(MATCH(O322, Criterios!$D$123:$D$124, 0)), "Ciclo de vida no válido", ""))))</f>
        <v/>
      </c>
      <c r="AC322" s="56" t="n"/>
      <c r="AD322" s="51" t="n">
        <v>0</v>
      </c>
      <c r="AE322" s="156" t="n"/>
      <c r="AF322" s="51" t="n">
        <v>0</v>
      </c>
      <c r="AG322" s="156" t="inlineStr">
        <is>
          <t>Nuevo – NetSuite sin existencia</t>
        </is>
      </c>
      <c r="AH322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22" s="156" t="inlineStr">
        <is>
          <t>No</t>
        </is>
      </c>
      <c r="AJ322" s="156" t="n"/>
      <c r="AK322" s="155" t="inlineStr">
        <is>
          <t>G1522ProductosTodosloscamposSandboxResults894.xlsx: fila 48182 [Y]; G1522_Extraccion_Articulos_NetSuite_2026-09-30.xlsx: fila 20817 [Z]</t>
        </is>
      </c>
      <c r="AL322" s="58" t="n">
        <v>8.5</v>
      </c>
      <c r="AM322" s="58" t="n"/>
      <c r="AN322" s="155" t="n"/>
      <c r="AO322" s="59" t="n"/>
      <c r="AP322" s="59" t="n"/>
      <c r="AQ322" s="59" t="n"/>
      <c r="AR322" s="155" t="n"/>
    </row>
    <row r="323">
      <c r="A323" s="50" t="inlineStr">
        <is>
          <t>3614001583461</t>
        </is>
      </c>
      <c r="B323" s="51" t="inlineStr">
        <is>
          <t>57477</t>
        </is>
      </c>
      <c r="C323" s="156" t="inlineStr">
        <is>
          <t>CAPSLAB</t>
        </is>
      </c>
      <c r="D323" s="156" t="inlineStr">
        <is>
          <t>CL/TAJ1/1/CAS/TO8</t>
        </is>
      </c>
      <c r="E323" s="156" t="inlineStr">
        <is>
          <t>CL/TAJ1/1/CAS/TO8-UNI</t>
        </is>
      </c>
      <c r="F323" s="156" t="inlineStr">
        <is>
          <t>Talla única</t>
        </is>
      </c>
      <c r="G323" s="156" t="inlineStr">
        <is>
          <t>One Size</t>
        </is>
      </c>
      <c r="H323" s="156" t="inlineStr">
        <is>
          <t>CAPSLAB</t>
        </is>
      </c>
      <c r="I323" s="156" t="inlineStr">
        <is>
          <t>Gorra trucker CAPSLAB Tom And Jerry Blanco</t>
        </is>
      </c>
      <c r="J323" s="156" t="inlineStr">
        <is>
          <t>Accesorios</t>
        </is>
      </c>
      <c r="K323" s="156" t="inlineStr">
        <is>
          <t>Gorras</t>
        </is>
      </c>
      <c r="L323" s="156" t="inlineStr">
        <is>
          <t>Unisex</t>
        </is>
      </c>
      <c r="M323" s="156" t="inlineStr">
        <is>
          <t>Tom &amp; Jerry</t>
        </is>
      </c>
      <c r="N323" s="156" t="n"/>
      <c r="O323" s="156" t="n"/>
      <c r="P323" s="156" t="inlineStr">
        <is>
          <t>Blanco</t>
        </is>
      </c>
      <c r="Q323" s="156" t="n"/>
      <c r="R323" s="156" t="n"/>
      <c r="S323" s="156" t="inlineStr">
        <is>
          <t>Algodón / Poliéster</t>
        </is>
      </c>
      <c r="T323" s="156" t="inlineStr">
        <is>
          <t>Gorra trucker de la marca CAPSLAB bajo licencia oficial Tom And Jerry. Talla única ajustable. Estilo CL/TAJ1/1/CAS/TO8.</t>
        </is>
      </c>
      <c r="U323" s="156" t="n"/>
      <c r="V323" s="156" t="inlineStr">
        <is>
          <t>PZS</t>
        </is>
      </c>
      <c r="W323" s="51" t="inlineStr">
        <is>
          <t>53102516</t>
        </is>
      </c>
      <c r="X323" s="156" t="inlineStr">
        <is>
          <t>https://7913364.app.netsuite.com/core/media/media.nl?id=188385&amp;c=7913364&amp;h=MxTJT0e8YhknIDiE3GnMbI5_fPUXJfvSCC1akadfM6jX3c73</t>
        </is>
      </c>
      <c r="Y323" s="54" t="n">
        <v>8.5</v>
      </c>
      <c r="Z323" s="54" t="n">
        <v>699</v>
      </c>
      <c r="AA323" s="55">
        <f>IF(AND(A323="", B323="", E323=""), "", IF(AB323="", "Válido", IF((LEN(AB323)-LEN(SUBSTITUTE(AB323,"; ","")))/2+1&gt;(LEN(AB323)-LEN(SUBSTITUTE(AB323,"[Aviso]","")))/7, "Con Incidencias", "Válido")))</f>
        <v/>
      </c>
      <c r="AB323" s="56">
        <f>IF(AND(A323="", B323="", E323=""), "", TEXTJOIN("; ", TRUE, IF(OR(TRIM(A323&amp;"")="", ISNUMBER(SEARCH("FALTA", A323))), "UPC faltante/inválido", ""), IF(AND(A323&lt;&gt;"", IFERROR(_xlfn.XMATCH(A323,$A$2:$A$370,0,1)&lt;&gt;_xlfn.XMATCH(A323,$A$2:$A$370,0,-1),FALSE)), "Código de barras duplicado", ""), IF(AND(E323&lt;&gt;"", COUNTIF($E$2:$E$370, E323)&gt;1), "SKU duplicado", ""), IF(OR(J323="", J323=""), "[Aviso] División no capturada ()", IF(ISNA(MATCH(J323, Criterios!$A$123:$A$126, 0)), "División no válida", "")), IF(OR(K323="", K323=""), "[Aviso] Categoría no capturada ()", IF(ISNA(MATCH(K323, Criterios!$A$81:$A$120, 0)), "Categoría no válida", IF(AND(J323&lt;&gt;"", J323&lt;&gt;"", J323&lt;&gt;VLOOKUP(K323, Criterios!$A$81:$B$120, 2, FALSE)), "División no coincide con Categoría", ""))), IF(OR(L323="", L323=""), "[Aviso] Género no capturado ()", IF(ISNA(MATCH(L323, Criterios!$B$123:$B$127, 0)), "Género no válido", "")), IF(OR(N323="", N323=""), "[Aviso] Temporada no capturada ()", IF(ISNA(MATCH(N323, Criterios!$C$123:$C$128, 0)), "Temporada no válida", "")), IF(OR(O323="", O323=""), "[Aviso] Ciclo de vida no capturado ()", IF(ISNA(MATCH(O323, Criterios!$D$123:$D$124, 0)), "Ciclo de vida no válido", ""))))</f>
        <v/>
      </c>
      <c r="AC323" s="56" t="n"/>
      <c r="AD323" s="51" t="n">
        <v>1</v>
      </c>
      <c r="AE323" s="156" t="inlineStr">
        <is>
          <t>CL Muestras (1)</t>
        </is>
      </c>
      <c r="AF323" s="51" t="n">
        <v>1</v>
      </c>
      <c r="AG323" s="156" t="inlineStr">
        <is>
          <t>Nuevo – NetSuite con existencia</t>
        </is>
      </c>
      <c r="AH323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23" s="156" t="inlineStr">
        <is>
          <t>No</t>
        </is>
      </c>
      <c r="AJ323" s="156" t="n"/>
      <c r="AK323" s="155" t="inlineStr">
        <is>
          <t>G1522ProductosTodosloscamposSandboxResults894.xlsx: fila 48184 [Y]; G1522_Extraccion_Articulos_NetSuite_2026-09-30.xlsx: fila 20859 [Z]</t>
        </is>
      </c>
      <c r="AL323" s="58" t="n">
        <v>8.5</v>
      </c>
      <c r="AM323" s="58" t="n"/>
      <c r="AN323" s="155" t="n"/>
      <c r="AO323" s="59" t="n"/>
      <c r="AP323" s="59" t="n"/>
      <c r="AQ323" s="59" t="n"/>
      <c r="AR323" s="155" t="n"/>
    </row>
    <row r="324">
      <c r="A324" s="50" t="inlineStr">
        <is>
          <t>3614001553112</t>
        </is>
      </c>
      <c r="B324" s="51" t="inlineStr">
        <is>
          <t>57436</t>
        </is>
      </c>
      <c r="C324" s="156" t="inlineStr">
        <is>
          <t>CAPSLAB</t>
        </is>
      </c>
      <c r="D324" s="156" t="inlineStr">
        <is>
          <t>CL/TAJ1/1/CASB/TJ4</t>
        </is>
      </c>
      <c r="E324" s="156" t="inlineStr">
        <is>
          <t>CL/TAJ1/1/CASB/TJ4-UNI</t>
        </is>
      </c>
      <c r="F324" s="156" t="inlineStr">
        <is>
          <t>Talla única</t>
        </is>
      </c>
      <c r="G324" s="156" t="inlineStr">
        <is>
          <t>One Size</t>
        </is>
      </c>
      <c r="H324" s="156" t="inlineStr">
        <is>
          <t>CAPSLAB</t>
        </is>
      </c>
      <c r="I324" s="156" t="inlineStr">
        <is>
          <t>Gorra CAPSLAB Tom And Jerry Gris</t>
        </is>
      </c>
      <c r="J324" s="156" t="inlineStr">
        <is>
          <t>Accesorios</t>
        </is>
      </c>
      <c r="K324" s="156" t="inlineStr">
        <is>
          <t>Gorras</t>
        </is>
      </c>
      <c r="L324" s="156" t="inlineStr">
        <is>
          <t>Unisex</t>
        </is>
      </c>
      <c r="M324" s="156" t="inlineStr">
        <is>
          <t>Tom &amp; Jerry</t>
        </is>
      </c>
      <c r="N324" s="156" t="n"/>
      <c r="O324" s="156" t="n"/>
      <c r="P324" s="156" t="inlineStr">
        <is>
          <t>Gris</t>
        </is>
      </c>
      <c r="Q324" s="156" t="n"/>
      <c r="R324" s="156" t="n"/>
      <c r="S324" s="156" t="inlineStr">
        <is>
          <t>Algodón / Poliéster</t>
        </is>
      </c>
      <c r="T324" s="156" t="inlineStr">
        <is>
          <t>Gorra de la marca CAPSLAB bajo licencia oficial Tom And Jerry. Talla única ajustable. Estilo CL/TAJ1/1/CASB/TJ4.</t>
        </is>
      </c>
      <c r="U324" s="156" t="n"/>
      <c r="V324" s="156" t="inlineStr">
        <is>
          <t>PZS</t>
        </is>
      </c>
      <c r="W324" s="51" t="inlineStr">
        <is>
          <t>53102516</t>
        </is>
      </c>
      <c r="X324" s="156" t="inlineStr">
        <is>
          <t>https://7913364.app.netsuite.com/core/media/media.nl?id=188311&amp;c=7913364&amp;h=ppqqCQ4Yfj2Dzz3jrS1_kgxtPhgX0nVyImffjOGhgXUqVK_r</t>
        </is>
      </c>
      <c r="Y324" s="54" t="n">
        <v>8.5</v>
      </c>
      <c r="Z324" s="54" t="n">
        <v>699</v>
      </c>
      <c r="AA324" s="55">
        <f>IF(AND(A324="", B324="", E324=""), "", IF(AB324="", "Válido", IF((LEN(AB324)-LEN(SUBSTITUTE(AB324,"; ","")))/2+1&gt;(LEN(AB324)-LEN(SUBSTITUTE(AB324,"[Aviso]","")))/7, "Con Incidencias", "Válido")))</f>
        <v/>
      </c>
      <c r="AB324" s="56">
        <f>IF(AND(A324="", B324="", E324=""), "", TEXTJOIN("; ", TRUE, IF(OR(TRIM(A324&amp;"")="", ISNUMBER(SEARCH("FALTA", A324))), "UPC faltante/inválido", ""), IF(AND(A324&lt;&gt;"", IFERROR(_xlfn.XMATCH(A324,$A$2:$A$370,0,1)&lt;&gt;_xlfn.XMATCH(A324,$A$2:$A$370,0,-1),FALSE)), "Código de barras duplicado", ""), IF(AND(E324&lt;&gt;"", COUNTIF($E$2:$E$370, E324)&gt;1), "SKU duplicado", ""), IF(OR(J324="", J324=""), "[Aviso] División no capturada ()", IF(ISNA(MATCH(J324, Criterios!$A$123:$A$126, 0)), "División no válida", "")), IF(OR(K324="", K324=""), "[Aviso] Categoría no capturada ()", IF(ISNA(MATCH(K324, Criterios!$A$81:$A$120, 0)), "Categoría no válida", IF(AND(J324&lt;&gt;"", J324&lt;&gt;"", J324&lt;&gt;VLOOKUP(K324, Criterios!$A$81:$B$120, 2, FALSE)), "División no coincide con Categoría", ""))), IF(OR(L324="", L324=""), "[Aviso] Género no capturado ()", IF(ISNA(MATCH(L324, Criterios!$B$123:$B$127, 0)), "Género no válido", "")), IF(OR(N324="", N324=""), "[Aviso] Temporada no capturada ()", IF(ISNA(MATCH(N324, Criterios!$C$123:$C$128, 0)), "Temporada no válida", "")), IF(OR(O324="", O324=""), "[Aviso] Ciclo de vida no capturado ()", IF(ISNA(MATCH(O324, Criterios!$D$123:$D$124, 0)), "Ciclo de vida no válido", ""))))</f>
        <v/>
      </c>
      <c r="AC324" s="56" t="n"/>
      <c r="AD324" s="51" t="n">
        <v>6</v>
      </c>
      <c r="AE324" s="156" t="inlineStr">
        <is>
          <t>CAPSLAB Warehouse (2); CL Muestras (3); Web (1)</t>
        </is>
      </c>
      <c r="AF324" s="51" t="n">
        <v>6</v>
      </c>
      <c r="AG324" s="156" t="inlineStr">
        <is>
          <t>Nuevo – NetSuite con existencia</t>
        </is>
      </c>
      <c r="AH324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24" s="156" t="inlineStr">
        <is>
          <t>No</t>
        </is>
      </c>
      <c r="AJ324" s="156" t="n"/>
      <c r="AK324" s="155" t="inlineStr">
        <is>
          <t>G1522ProductosTodosloscamposSandboxResults894.xlsx: fila 48186 [Y]; G1522_Extraccion_Articulos_NetSuite_2026-09-30.xlsx: fila 20818 [Z]</t>
        </is>
      </c>
      <c r="AL324" s="58" t="n">
        <v>8.5</v>
      </c>
      <c r="AM324" s="58" t="n"/>
      <c r="AN324" s="155" t="n"/>
      <c r="AO324" s="59" t="n"/>
      <c r="AP324" s="59" t="n"/>
      <c r="AQ324" s="59" t="n"/>
      <c r="AR324" s="155" t="n"/>
    </row>
    <row r="325">
      <c r="A325" s="50" t="inlineStr">
        <is>
          <t>3614001553082</t>
        </is>
      </c>
      <c r="B325" s="51" t="inlineStr">
        <is>
          <t>57437</t>
        </is>
      </c>
      <c r="C325" s="156" t="inlineStr">
        <is>
          <t>CAPSLAB</t>
        </is>
      </c>
      <c r="D325" s="156" t="inlineStr">
        <is>
          <t>CL/TAJ1/1/CASX/T11</t>
        </is>
      </c>
      <c r="E325" s="156" t="inlineStr">
        <is>
          <t>CL/TAJ1/1/CASX/T11-UNI</t>
        </is>
      </c>
      <c r="F325" s="156" t="inlineStr">
        <is>
          <t>Talla única</t>
        </is>
      </c>
      <c r="G325" s="156" t="inlineStr">
        <is>
          <t>One Size</t>
        </is>
      </c>
      <c r="H325" s="156" t="inlineStr">
        <is>
          <t>CAPSLAB</t>
        </is>
      </c>
      <c r="I325" s="156" t="inlineStr">
        <is>
          <t>Gorra CAPSLAB Tom And Jerry Negro</t>
        </is>
      </c>
      <c r="J325" s="156" t="inlineStr">
        <is>
          <t>Accesorios</t>
        </is>
      </c>
      <c r="K325" s="156" t="inlineStr">
        <is>
          <t>Gorras</t>
        </is>
      </c>
      <c r="L325" s="156" t="inlineStr">
        <is>
          <t>Unisex</t>
        </is>
      </c>
      <c r="M325" s="156" t="inlineStr">
        <is>
          <t>Tom &amp; Jerry</t>
        </is>
      </c>
      <c r="N325" s="156" t="n"/>
      <c r="O325" s="156" t="n"/>
      <c r="P325" s="156" t="inlineStr">
        <is>
          <t>Negro</t>
        </is>
      </c>
      <c r="Q325" s="156" t="n"/>
      <c r="R325" s="156" t="n"/>
      <c r="S325" s="156" t="inlineStr">
        <is>
          <t>Algodón / Poliéster</t>
        </is>
      </c>
      <c r="T325" s="156" t="inlineStr">
        <is>
          <t>Gorra de la marca CAPSLAB bajo licencia oficial Tom And Jerry. Talla única ajustable. Estilo CL/TAJ1/1/CASX/T11.</t>
        </is>
      </c>
      <c r="U325" s="156" t="n"/>
      <c r="V325" s="156" t="inlineStr">
        <is>
          <t>PZS</t>
        </is>
      </c>
      <c r="W325" s="51" t="inlineStr">
        <is>
          <t>53102516</t>
        </is>
      </c>
      <c r="X325" s="156" t="inlineStr">
        <is>
          <t>https://7913364.app.netsuite.com/core/media/media.nl?id=188312&amp;c=7913364&amp;h=HyD2T4brMJzVoSDKdqpUuLk68zqFXxoFdO38R8C0Zf9cvLZm</t>
        </is>
      </c>
      <c r="Y325" s="54" t="n">
        <v>8.5</v>
      </c>
      <c r="Z325" s="54" t="n">
        <v>699</v>
      </c>
      <c r="AA325" s="55">
        <f>IF(AND(A325="", B325="", E325=""), "", IF(AB325="", "Válido", IF((LEN(AB325)-LEN(SUBSTITUTE(AB325,"; ","")))/2+1&gt;(LEN(AB325)-LEN(SUBSTITUTE(AB325,"[Aviso]","")))/7, "Con Incidencias", "Válido")))</f>
        <v/>
      </c>
      <c r="AB325" s="56">
        <f>IF(AND(A325="", B325="", E325=""), "", TEXTJOIN("; ", TRUE, IF(OR(TRIM(A325&amp;"")="", ISNUMBER(SEARCH("FALTA", A325))), "UPC faltante/inválido", ""), IF(AND(A325&lt;&gt;"", IFERROR(_xlfn.XMATCH(A325,$A$2:$A$370,0,1)&lt;&gt;_xlfn.XMATCH(A325,$A$2:$A$370,0,-1),FALSE)), "Código de barras duplicado", ""), IF(AND(E325&lt;&gt;"", COUNTIF($E$2:$E$370, E325)&gt;1), "SKU duplicado", ""), IF(OR(J325="", J325=""), "[Aviso] División no capturada ()", IF(ISNA(MATCH(J325, Criterios!$A$123:$A$126, 0)), "División no válida", "")), IF(OR(K325="", K325=""), "[Aviso] Categoría no capturada ()", IF(ISNA(MATCH(K325, Criterios!$A$81:$A$120, 0)), "Categoría no válida", IF(AND(J325&lt;&gt;"", J325&lt;&gt;"", J325&lt;&gt;VLOOKUP(K325, Criterios!$A$81:$B$120, 2, FALSE)), "División no coincide con Categoría", ""))), IF(OR(L325="", L325=""), "[Aviso] Género no capturado ()", IF(ISNA(MATCH(L325, Criterios!$B$123:$B$127, 0)), "Género no válido", "")), IF(OR(N325="", N325=""), "[Aviso] Temporada no capturada ()", IF(ISNA(MATCH(N325, Criterios!$C$123:$C$128, 0)), "Temporada no válida", "")), IF(OR(O325="", O325=""), "[Aviso] Ciclo de vida no capturado ()", IF(ISNA(MATCH(O325, Criterios!$D$123:$D$124, 0)), "Ciclo de vida no válido", ""))))</f>
        <v/>
      </c>
      <c r="AC325" s="56" t="n"/>
      <c r="AD325" s="51" t="n">
        <v>0</v>
      </c>
      <c r="AE325" s="156" t="n"/>
      <c r="AF325" s="51" t="n">
        <v>0</v>
      </c>
      <c r="AG325" s="156" t="inlineStr">
        <is>
          <t>Nuevo – NetSuite sin existencia</t>
        </is>
      </c>
      <c r="AH325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25" s="156" t="inlineStr">
        <is>
          <t>No</t>
        </is>
      </c>
      <c r="AJ325" s="156" t="n"/>
      <c r="AK325" s="155" t="inlineStr">
        <is>
          <t>G1522ProductosTodosloscamposSandboxResults894.xlsx: fila 48188 [Y]; G1522_Extraccion_Articulos_NetSuite_2026-09-30.xlsx: fila 20819 [Z]</t>
        </is>
      </c>
      <c r="AL325" s="58" t="n">
        <v>8.5</v>
      </c>
      <c r="AM325" s="58" t="n"/>
      <c r="AN325" s="155" t="n"/>
      <c r="AO325" s="59" t="n"/>
      <c r="AP325" s="59" t="n"/>
      <c r="AQ325" s="59" t="n"/>
      <c r="AR325" s="155" t="n"/>
    </row>
    <row r="326">
      <c r="A326" s="50" t="inlineStr">
        <is>
          <t>3614001296873</t>
        </is>
      </c>
      <c r="B326" s="51" t="inlineStr">
        <is>
          <t>69718</t>
        </is>
      </c>
      <c r="C326" s="156" t="inlineStr">
        <is>
          <t>CAPSLAB</t>
        </is>
      </c>
      <c r="D326" s="156" t="inlineStr">
        <is>
          <t>CL/TAJ1/1/JER1</t>
        </is>
      </c>
      <c r="E326" s="156" t="inlineStr">
        <is>
          <t>CL/TAJ1/1/JER1-UNI</t>
        </is>
      </c>
      <c r="F326" s="156" t="inlineStr">
        <is>
          <t>Talla única</t>
        </is>
      </c>
      <c r="G326" s="156" t="inlineStr">
        <is>
          <t>One Size</t>
        </is>
      </c>
      <c r="H326" s="156" t="inlineStr">
        <is>
          <t>CAPSLAB</t>
        </is>
      </c>
      <c r="I326" s="156" t="inlineStr">
        <is>
          <t>Gorra CAPSLAB Tom &amp; Jerry Jerry</t>
        </is>
      </c>
      <c r="J326" s="156" t="inlineStr">
        <is>
          <t>Accesorios</t>
        </is>
      </c>
      <c r="K326" s="156" t="inlineStr">
        <is>
          <t>Gorras</t>
        </is>
      </c>
      <c r="L326" s="156" t="inlineStr">
        <is>
          <t>Unisex</t>
        </is>
      </c>
      <c r="M326" s="156" t="inlineStr">
        <is>
          <t>Tom &amp; Jerry</t>
        </is>
      </c>
      <c r="N326" s="156" t="n"/>
      <c r="O326" s="156" t="n"/>
      <c r="P326" s="156" t="n"/>
      <c r="Q326" s="156" t="n"/>
      <c r="R326" s="156" t="n"/>
      <c r="S326" s="156" t="inlineStr">
        <is>
          <t>Algodón / Poliéster</t>
        </is>
      </c>
      <c r="T326" s="156" t="inlineStr">
        <is>
          <t>Gorra de la marca CAPSLAB bajo licencia oficial Tom &amp; Jerry, personaje Jerry. Talla única ajustable. Estilo CL/TAJ1/1/JER1.</t>
        </is>
      </c>
      <c r="U326" s="156" t="n"/>
      <c r="V326" s="156" t="inlineStr">
        <is>
          <t>PZS</t>
        </is>
      </c>
      <c r="W326" s="51" t="inlineStr">
        <is>
          <t>53102516</t>
        </is>
      </c>
      <c r="X326" s="156" t="inlineStr">
        <is>
          <t>https://i.ibb.co/6JNy6HY/CLTAJ11-JER1.jpg</t>
        </is>
      </c>
      <c r="Y326" s="54" t="n"/>
      <c r="Z326" s="54" t="n">
        <v>699</v>
      </c>
      <c r="AA326" s="55">
        <f>IF(AND(A326="", B326="", E326=""), "", IF(AB326="", "Válido", IF((LEN(AB326)-LEN(SUBSTITUTE(AB326,"; ","")))/2+1&gt;(LEN(AB326)-LEN(SUBSTITUTE(AB326,"[Aviso]","")))/7, "Con Incidencias", "Válido")))</f>
        <v/>
      </c>
      <c r="AB326" s="56">
        <f>IF(AND(A326="", B326="", E326=""), "", TEXTJOIN("; ", TRUE, IF(OR(TRIM(A326&amp;"")="", ISNUMBER(SEARCH("FALTA", A326))), "UPC faltante/inválido", ""), IF(AND(A326&lt;&gt;"", IFERROR(_xlfn.XMATCH(A326,$A$2:$A$370,0,1)&lt;&gt;_xlfn.XMATCH(A326,$A$2:$A$370,0,-1),FALSE)), "Código de barras duplicado", ""), IF(AND(E326&lt;&gt;"", COUNTIF($E$2:$E$370, E326)&gt;1), "SKU duplicado", ""), IF(OR(J326="", J326=""), "[Aviso] División no capturada ()", IF(ISNA(MATCH(J326, Criterios!$A$123:$A$126, 0)), "División no válida", "")), IF(OR(K326="", K326=""), "[Aviso] Categoría no capturada ()", IF(ISNA(MATCH(K326, Criterios!$A$81:$A$120, 0)), "Categoría no válida", IF(AND(J326&lt;&gt;"", J326&lt;&gt;"", J326&lt;&gt;VLOOKUP(K326, Criterios!$A$81:$B$120, 2, FALSE)), "División no coincide con Categoría", ""))), IF(OR(L326="", L326=""), "[Aviso] Género no capturado ()", IF(ISNA(MATCH(L326, Criterios!$B$123:$B$127, 0)), "Género no válido", "")), IF(OR(N326="", N326=""), "[Aviso] Temporada no capturada ()", IF(ISNA(MATCH(N326, Criterios!$C$123:$C$128, 0)), "Temporada no válida", "")), IF(OR(O326="", O326=""), "[Aviso] Ciclo de vida no capturado ()", IF(ISNA(MATCH(O326, Criterios!$D$123:$D$124, 0)), "Ciclo de vida no válido", ""))))</f>
        <v/>
      </c>
      <c r="AC326" s="56" t="n"/>
      <c r="AD326" s="51" t="n">
        <v>84</v>
      </c>
      <c r="AE326" s="156" t="inlineStr">
        <is>
          <t>CAPSLAB Warehouse (46); CL Muestras (2); Web (2)</t>
        </is>
      </c>
      <c r="AF326" s="51" t="n">
        <v>83</v>
      </c>
      <c r="AG326" s="156" t="inlineStr">
        <is>
          <t>Nuevo – NetSuite con existencia</t>
        </is>
      </c>
      <c r="AH326" s="156" t="inlineStr">
        <is>
          <t>Composición CAPSLAB varía por modelo (50/50, 40/60 o 100% poliéster): validar etiqueta; Color por validar; Físico total NetSuite 84 ≠ suma por ubicación 50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26" s="156" t="inlineStr">
        <is>
          <t>No</t>
        </is>
      </c>
      <c r="AJ326" s="156" t="n"/>
      <c r="AK326" s="155" t="inlineStr">
        <is>
          <t>G1522ProductosTodosloscamposSandboxResults894.xlsx: fila 48190 [X]; G1522_Extraccion_Articulos_NetSuite_2026-09-30.xlsx: fila 30443 [Z]</t>
        </is>
      </c>
      <c r="AL326" s="58" t="n"/>
      <c r="AM326" s="58" t="n"/>
      <c r="AN326" s="155" t="n"/>
      <c r="AO326" s="59" t="n"/>
      <c r="AP326" s="59" t="n"/>
      <c r="AQ326" s="59" t="n"/>
      <c r="AR326" s="155" t="n"/>
    </row>
    <row r="327">
      <c r="A327" s="50" t="inlineStr">
        <is>
          <t>3614001296880</t>
        </is>
      </c>
      <c r="B327" s="51" t="inlineStr">
        <is>
          <t>69719</t>
        </is>
      </c>
      <c r="C327" s="156" t="inlineStr">
        <is>
          <t>CAPSLAB</t>
        </is>
      </c>
      <c r="D327" s="156" t="inlineStr">
        <is>
          <t>CL/TAJ1/1/JER2</t>
        </is>
      </c>
      <c r="E327" s="156" t="inlineStr">
        <is>
          <t>CL/TAJ1/1/JER2-UNI</t>
        </is>
      </c>
      <c r="F327" s="156" t="inlineStr">
        <is>
          <t>Talla única</t>
        </is>
      </c>
      <c r="G327" s="156" t="inlineStr">
        <is>
          <t>One Size</t>
        </is>
      </c>
      <c r="H327" s="156" t="inlineStr">
        <is>
          <t>CAPSLAB</t>
        </is>
      </c>
      <c r="I327" s="156" t="inlineStr">
        <is>
          <t>Gorra CAPSLAB Tom &amp; Jerry Jerry</t>
        </is>
      </c>
      <c r="J327" s="156" t="inlineStr">
        <is>
          <t>Accesorios</t>
        </is>
      </c>
      <c r="K327" s="156" t="inlineStr">
        <is>
          <t>Gorras</t>
        </is>
      </c>
      <c r="L327" s="156" t="inlineStr">
        <is>
          <t>Unisex</t>
        </is>
      </c>
      <c r="M327" s="156" t="inlineStr">
        <is>
          <t>Tom &amp; Jerry</t>
        </is>
      </c>
      <c r="N327" s="156" t="n"/>
      <c r="O327" s="156" t="n"/>
      <c r="P327" s="156" t="n"/>
      <c r="Q327" s="156" t="n"/>
      <c r="R327" s="156" t="n"/>
      <c r="S327" s="156" t="inlineStr">
        <is>
          <t>Algodón / Poliéster</t>
        </is>
      </c>
      <c r="T327" s="156" t="inlineStr">
        <is>
          <t>Gorra de la marca CAPSLAB bajo licencia oficial Tom &amp; Jerry, personaje Jerry. Talla única ajustable. Estilo CL/TAJ1/1/JER2.</t>
        </is>
      </c>
      <c r="U327" s="156" t="n"/>
      <c r="V327" s="156" t="inlineStr">
        <is>
          <t>PZS</t>
        </is>
      </c>
      <c r="W327" s="51" t="inlineStr">
        <is>
          <t>53102516</t>
        </is>
      </c>
      <c r="X327" s="156" t="inlineStr">
        <is>
          <t>https://i.ibb.co/qs2vsJr/CLTAJ11-JER2.jpg</t>
        </is>
      </c>
      <c r="Y327" s="54" t="n"/>
      <c r="Z327" s="54" t="n">
        <v>699</v>
      </c>
      <c r="AA327" s="55">
        <f>IF(AND(A327="", B327="", E327=""), "", IF(AB327="", "Válido", IF((LEN(AB327)-LEN(SUBSTITUTE(AB327,"; ","")))/2+1&gt;(LEN(AB327)-LEN(SUBSTITUTE(AB327,"[Aviso]","")))/7, "Con Incidencias", "Válido")))</f>
        <v/>
      </c>
      <c r="AB327" s="56">
        <f>IF(AND(A327="", B327="", E327=""), "", TEXTJOIN("; ", TRUE, IF(OR(TRIM(A327&amp;"")="", ISNUMBER(SEARCH("FALTA", A327))), "UPC faltante/inválido", ""), IF(AND(A327&lt;&gt;"", IFERROR(_xlfn.XMATCH(A327,$A$2:$A$370,0,1)&lt;&gt;_xlfn.XMATCH(A327,$A$2:$A$370,0,-1),FALSE)), "Código de barras duplicado", ""), IF(AND(E327&lt;&gt;"", COUNTIF($E$2:$E$370, E327)&gt;1), "SKU duplicado", ""), IF(OR(J327="", J327=""), "[Aviso] División no capturada ()", IF(ISNA(MATCH(J327, Criterios!$A$123:$A$126, 0)), "División no válida", "")), IF(OR(K327="", K327=""), "[Aviso] Categoría no capturada ()", IF(ISNA(MATCH(K327, Criterios!$A$81:$A$120, 0)), "Categoría no válida", IF(AND(J327&lt;&gt;"", J327&lt;&gt;"", J327&lt;&gt;VLOOKUP(K327, Criterios!$A$81:$B$120, 2, FALSE)), "División no coincide con Categoría", ""))), IF(OR(L327="", L327=""), "[Aviso] Género no capturado ()", IF(ISNA(MATCH(L327, Criterios!$B$123:$B$127, 0)), "Género no válido", "")), IF(OR(N327="", N327=""), "[Aviso] Temporada no capturada ()", IF(ISNA(MATCH(N327, Criterios!$C$123:$C$128, 0)), "Temporada no válida", "")), IF(OR(O327="", O327=""), "[Aviso] Ciclo de vida no capturado ()", IF(ISNA(MATCH(O327, Criterios!$D$123:$D$124, 0)), "Ciclo de vida no válido", ""))))</f>
        <v/>
      </c>
      <c r="AC327" s="56" t="n"/>
      <c r="AD327" s="51" t="n">
        <v>59</v>
      </c>
      <c r="AE327" s="156" t="inlineStr">
        <is>
          <t>CAPSLAB Warehouse (47); Web (1); CL Muestras (2)</t>
        </is>
      </c>
      <c r="AF327" s="51" t="n">
        <v>59</v>
      </c>
      <c r="AG327" s="156" t="inlineStr">
        <is>
          <t>Nuevo – NetSuite con existencia</t>
        </is>
      </c>
      <c r="AH327" s="156" t="inlineStr">
        <is>
          <t>Composición CAPSLAB varía por modelo (50/50, 40/60 o 100% poliéster): validar etiqueta; Color por validar; Físico total NetSuite 59 ≠ suma por ubicación 50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27" s="156" t="inlineStr">
        <is>
          <t>No</t>
        </is>
      </c>
      <c r="AJ327" s="156" t="n"/>
      <c r="AK327" s="155" t="inlineStr">
        <is>
          <t>G1522ProductosTodosloscamposSandboxResults894.xlsx: fila 48192 [X]; G1522_Extraccion_Articulos_NetSuite_2026-09-30.xlsx: fila 30444 [Z]</t>
        </is>
      </c>
      <c r="AL327" s="58" t="n"/>
      <c r="AM327" s="58" t="n"/>
      <c r="AN327" s="155" t="n"/>
      <c r="AO327" s="59" t="n"/>
      <c r="AP327" s="59" t="n"/>
      <c r="AQ327" s="59" t="n"/>
      <c r="AR327" s="155" t="n"/>
    </row>
    <row r="328">
      <c r="A328" s="50" t="inlineStr">
        <is>
          <t>3614001296897</t>
        </is>
      </c>
      <c r="B328" s="51" t="inlineStr">
        <is>
          <t>57438</t>
        </is>
      </c>
      <c r="C328" s="156" t="inlineStr">
        <is>
          <t>CAPSLAB</t>
        </is>
      </c>
      <c r="D328" s="156" t="inlineStr">
        <is>
          <t>CL/TAJ1/1/TAJ1</t>
        </is>
      </c>
      <c r="E328" s="156" t="inlineStr">
        <is>
          <t>CL/TAJ1/1/TAJ1-UNI</t>
        </is>
      </c>
      <c r="F328" s="156" t="inlineStr">
        <is>
          <t>Talla única</t>
        </is>
      </c>
      <c r="G328" s="156" t="inlineStr">
        <is>
          <t>One Size</t>
        </is>
      </c>
      <c r="H328" s="156" t="inlineStr">
        <is>
          <t>CAPSLAB</t>
        </is>
      </c>
      <c r="I328" s="156" t="inlineStr">
        <is>
          <t>Gorra CAPSLAB Tom And Jerry Azul</t>
        </is>
      </c>
      <c r="J328" s="156" t="inlineStr">
        <is>
          <t>Accesorios</t>
        </is>
      </c>
      <c r="K328" s="156" t="inlineStr">
        <is>
          <t>Gorras</t>
        </is>
      </c>
      <c r="L328" s="156" t="inlineStr">
        <is>
          <t>Unisex</t>
        </is>
      </c>
      <c r="M328" s="156" t="inlineStr">
        <is>
          <t>Tom &amp; Jerry</t>
        </is>
      </c>
      <c r="N328" s="156" t="n"/>
      <c r="O328" s="156" t="n"/>
      <c r="P328" s="156" t="inlineStr">
        <is>
          <t>Azul</t>
        </is>
      </c>
      <c r="Q328" s="156" t="n"/>
      <c r="R328" s="156" t="n"/>
      <c r="S328" s="156" t="inlineStr">
        <is>
          <t>Algodón / Poliéster</t>
        </is>
      </c>
      <c r="T328" s="156" t="inlineStr">
        <is>
          <t>Gorra de la marca CAPSLAB bajo licencia oficial Tom And Jerry. Talla única ajustable. Estilo CL/TAJ1/1/TAJ1.</t>
        </is>
      </c>
      <c r="U328" s="156" t="n"/>
      <c r="V328" s="156" t="inlineStr">
        <is>
          <t>PZS</t>
        </is>
      </c>
      <c r="W328" s="51" t="inlineStr">
        <is>
          <t>53102516</t>
        </is>
      </c>
      <c r="X328" s="156" t="inlineStr">
        <is>
          <t>https://7913364.app.netsuite.com/core/media/media.nl?id=188313&amp;c=7913364&amp;h=fKK5k6Y0D-cEdySPVauE4FevESa0Ap8mzp7itTac7tDMYqmI</t>
        </is>
      </c>
      <c r="Y328" s="54" t="n">
        <v>8.5</v>
      </c>
      <c r="Z328" s="54" t="n">
        <v>699</v>
      </c>
      <c r="AA328" s="55">
        <f>IF(AND(A328="", B328="", E328=""), "", IF(AB328="", "Válido", IF((LEN(AB328)-LEN(SUBSTITUTE(AB328,"; ","")))/2+1&gt;(LEN(AB328)-LEN(SUBSTITUTE(AB328,"[Aviso]","")))/7, "Con Incidencias", "Válido")))</f>
        <v/>
      </c>
      <c r="AB328" s="56">
        <f>IF(AND(A328="", B328="", E328=""), "", TEXTJOIN("; ", TRUE, IF(OR(TRIM(A328&amp;"")="", ISNUMBER(SEARCH("FALTA", A328))), "UPC faltante/inválido", ""), IF(AND(A328&lt;&gt;"", IFERROR(_xlfn.XMATCH(A328,$A$2:$A$370,0,1)&lt;&gt;_xlfn.XMATCH(A328,$A$2:$A$370,0,-1),FALSE)), "Código de barras duplicado", ""), IF(AND(E328&lt;&gt;"", COUNTIF($E$2:$E$370, E328)&gt;1), "SKU duplicado", ""), IF(OR(J328="", J328=""), "[Aviso] División no capturada ()", IF(ISNA(MATCH(J328, Criterios!$A$123:$A$126, 0)), "División no válida", "")), IF(OR(K328="", K328=""), "[Aviso] Categoría no capturada ()", IF(ISNA(MATCH(K328, Criterios!$A$81:$A$120, 0)), "Categoría no válida", IF(AND(J328&lt;&gt;"", J328&lt;&gt;"", J328&lt;&gt;VLOOKUP(K328, Criterios!$A$81:$B$120, 2, FALSE)), "División no coincide con Categoría", ""))), IF(OR(L328="", L328=""), "[Aviso] Género no capturado ()", IF(ISNA(MATCH(L328, Criterios!$B$123:$B$127, 0)), "Género no válido", "")), IF(OR(N328="", N328=""), "[Aviso] Temporada no capturada ()", IF(ISNA(MATCH(N328, Criterios!$C$123:$C$128, 0)), "Temporada no válida", "")), IF(OR(O328="", O328=""), "[Aviso] Ciclo de vida no capturado ()", IF(ISNA(MATCH(O328, Criterios!$D$123:$D$124, 0)), "Ciclo de vida no válido", ""))))</f>
        <v/>
      </c>
      <c r="AC328" s="56" t="n"/>
      <c r="AD328" s="51" t="n">
        <v>0</v>
      </c>
      <c r="AE328" s="156" t="n"/>
      <c r="AF328" s="51" t="n">
        <v>0</v>
      </c>
      <c r="AG328" s="156" t="inlineStr">
        <is>
          <t>Nuevo – NetSuite sin existencia</t>
        </is>
      </c>
      <c r="AH328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28" s="156" t="inlineStr">
        <is>
          <t>No</t>
        </is>
      </c>
      <c r="AJ328" s="156" t="n"/>
      <c r="AK328" s="155" t="inlineStr">
        <is>
          <t>G1522ProductosTodosloscamposSandboxResults894.xlsx: fila 48194 [Y]; G1522_Extraccion_Articulos_NetSuite_2026-09-30.xlsx: fila 20820 [Z]</t>
        </is>
      </c>
      <c r="AL328" s="58" t="n">
        <v>8.5</v>
      </c>
      <c r="AM328" s="58" t="n"/>
      <c r="AN328" s="155" t="n"/>
      <c r="AO328" s="59" t="n"/>
      <c r="AP328" s="59" t="n"/>
      <c r="AQ328" s="59" t="n"/>
      <c r="AR328" s="155" t="n"/>
    </row>
    <row r="329">
      <c r="A329" s="50" t="inlineStr">
        <is>
          <t>3614001296910</t>
        </is>
      </c>
      <c r="B329" s="51" t="inlineStr">
        <is>
          <t>57439</t>
        </is>
      </c>
      <c r="C329" s="156" t="inlineStr">
        <is>
          <t>CAPSLAB</t>
        </is>
      </c>
      <c r="D329" s="156" t="inlineStr">
        <is>
          <t>CL/TAJ1/1/TOM2</t>
        </is>
      </c>
      <c r="E329" s="156" t="inlineStr">
        <is>
          <t>CL/TAJ1/1/TOM2-UNI</t>
        </is>
      </c>
      <c r="F329" s="156" t="inlineStr">
        <is>
          <t>Talla única</t>
        </is>
      </c>
      <c r="G329" s="156" t="inlineStr">
        <is>
          <t>One Size</t>
        </is>
      </c>
      <c r="H329" s="156" t="inlineStr">
        <is>
          <t>CAPSLAB</t>
        </is>
      </c>
      <c r="I329" s="156" t="inlineStr">
        <is>
          <t>Gorra CAPSLAB Tom And Jerry Tom Negro</t>
        </is>
      </c>
      <c r="J329" s="156" t="inlineStr">
        <is>
          <t>Accesorios</t>
        </is>
      </c>
      <c r="K329" s="156" t="inlineStr">
        <is>
          <t>Gorras</t>
        </is>
      </c>
      <c r="L329" s="156" t="inlineStr">
        <is>
          <t>Unisex</t>
        </is>
      </c>
      <c r="M329" s="156" t="inlineStr">
        <is>
          <t>Tom &amp; Jerry</t>
        </is>
      </c>
      <c r="N329" s="156" t="n"/>
      <c r="O329" s="156" t="n"/>
      <c r="P329" s="156" t="inlineStr">
        <is>
          <t>Negro</t>
        </is>
      </c>
      <c r="Q329" s="156" t="n"/>
      <c r="R329" s="156" t="n"/>
      <c r="S329" s="156" t="inlineStr">
        <is>
          <t>Algodón / Poliéster</t>
        </is>
      </c>
      <c r="T329" s="156" t="inlineStr">
        <is>
          <t>Gorra de la marca CAPSLAB bajo licencia oficial Tom And Jerry, personaje Tom. Talla única ajustable. Estilo CL/TAJ1/1/TOM2.</t>
        </is>
      </c>
      <c r="U329" s="156" t="n"/>
      <c r="V329" s="156" t="inlineStr">
        <is>
          <t>PZS</t>
        </is>
      </c>
      <c r="W329" s="51" t="inlineStr">
        <is>
          <t>53102516</t>
        </is>
      </c>
      <c r="X329" s="156" t="inlineStr">
        <is>
          <t>https://7913364.app.netsuite.com/core/media/media.nl?id=188314&amp;c=7913364&amp;h=votQAdKH6fbDk-J6u17Ztt-WLYZYxmAG6EGuDjvVFyhRSbnY</t>
        </is>
      </c>
      <c r="Y329" s="54" t="n">
        <v>8.5</v>
      </c>
      <c r="Z329" s="54" t="n">
        <v>699</v>
      </c>
      <c r="AA329" s="55">
        <f>IF(AND(A329="", B329="", E329=""), "", IF(AB329="", "Válido", IF((LEN(AB329)-LEN(SUBSTITUTE(AB329,"; ","")))/2+1&gt;(LEN(AB329)-LEN(SUBSTITUTE(AB329,"[Aviso]","")))/7, "Con Incidencias", "Válido")))</f>
        <v/>
      </c>
      <c r="AB329" s="56">
        <f>IF(AND(A329="", B329="", E329=""), "", TEXTJOIN("; ", TRUE, IF(OR(TRIM(A329&amp;"")="", ISNUMBER(SEARCH("FALTA", A329))), "UPC faltante/inválido", ""), IF(AND(A329&lt;&gt;"", IFERROR(_xlfn.XMATCH(A329,$A$2:$A$370,0,1)&lt;&gt;_xlfn.XMATCH(A329,$A$2:$A$370,0,-1),FALSE)), "Código de barras duplicado", ""), IF(AND(E329&lt;&gt;"", COUNTIF($E$2:$E$370, E329)&gt;1), "SKU duplicado", ""), IF(OR(J329="", J329=""), "[Aviso] División no capturada ()", IF(ISNA(MATCH(J329, Criterios!$A$123:$A$126, 0)), "División no válida", "")), IF(OR(K329="", K329=""), "[Aviso] Categoría no capturada ()", IF(ISNA(MATCH(K329, Criterios!$A$81:$A$120, 0)), "Categoría no válida", IF(AND(J329&lt;&gt;"", J329&lt;&gt;"", J329&lt;&gt;VLOOKUP(K329, Criterios!$A$81:$B$120, 2, FALSE)), "División no coincide con Categoría", ""))), IF(OR(L329="", L329=""), "[Aviso] Género no capturado ()", IF(ISNA(MATCH(L329, Criterios!$B$123:$B$127, 0)), "Género no válido", "")), IF(OR(N329="", N329=""), "[Aviso] Temporada no capturada ()", IF(ISNA(MATCH(N329, Criterios!$C$123:$C$128, 0)), "Temporada no válida", "")), IF(OR(O329="", O329=""), "[Aviso] Ciclo de vida no capturado ()", IF(ISNA(MATCH(O329, Criterios!$D$123:$D$124, 0)), "Ciclo de vida no válido", ""))))</f>
        <v/>
      </c>
      <c r="AC329" s="56" t="n"/>
      <c r="AD329" s="51" t="n">
        <v>2</v>
      </c>
      <c r="AE329" s="156" t="inlineStr">
        <is>
          <t>CAPSLAB Warehouse (2)</t>
        </is>
      </c>
      <c r="AF329" s="51" t="n">
        <v>2</v>
      </c>
      <c r="AG329" s="156" t="inlineStr">
        <is>
          <t>Nuevo – NetSuite con existencia</t>
        </is>
      </c>
      <c r="AH329" s="156" t="inlineStr">
        <is>
          <t>Composición CAPSLAB varía por modelo (50/50, 40/60 o 100% poliéster): validar etiqueta | Revisión 29/09/2026: Marca CAPSLAB fuera de lista Criterios; Campos sin respaldo: N, O, U; Auditoría NetSuite 30/09/2026: llenado desde NetSuite [Z] | Homologación G1522 06/10/2026: WB Licencia: «Tom And Jerry» → «Tom &amp; Jerry» (Corrección aplicada) · Validación G1522: [Aviso] Precio de compra posiblemente en USD · Validador Shopify: WB: precio con IVA no termina en 9</t>
        </is>
      </c>
      <c r="AI329" s="156" t="inlineStr">
        <is>
          <t>No</t>
        </is>
      </c>
      <c r="AJ329" s="156" t="n"/>
      <c r="AK329" s="155" t="inlineStr">
        <is>
          <t>G1522ProductosTodosloscamposSandboxResults894.xlsx: fila 48196 [Y]; G1522_Extraccion_Articulos_NetSuite_2026-09-30.xlsx: fila 20821 [Z]</t>
        </is>
      </c>
      <c r="AL329" s="58" t="n">
        <v>8.5</v>
      </c>
      <c r="AM329" s="58" t="n"/>
      <c r="AN329" s="155" t="n"/>
      <c r="AO329" s="59" t="n"/>
      <c r="AP329" s="59" t="n"/>
      <c r="AQ329" s="59" t="n"/>
      <c r="AR329" s="155" t="n"/>
    </row>
    <row r="330">
      <c r="A330" s="50" t="inlineStr">
        <is>
          <t>3614001696444</t>
        </is>
      </c>
      <c r="B330" s="51" t="inlineStr">
        <is>
          <t>69720</t>
        </is>
      </c>
      <c r="C330" s="156" t="inlineStr">
        <is>
          <t>CAPSLAB</t>
        </is>
      </c>
      <c r="D330" s="156" t="inlineStr">
        <is>
          <t>CL/TAJ4/1/CD/CAT</t>
        </is>
      </c>
      <c r="E330" s="156" t="inlineStr">
        <is>
          <t>CL/TAJ4/1/CD/CAT-UNI</t>
        </is>
      </c>
      <c r="F330" s="156" t="inlineStr">
        <is>
          <t>Talla única</t>
        </is>
      </c>
      <c r="G330" s="156" t="inlineStr">
        <is>
          <t>One Size</t>
        </is>
      </c>
      <c r="H330" s="156" t="inlineStr">
        <is>
          <t>CAPSLAB</t>
        </is>
      </c>
      <c r="I330" s="156" t="inlineStr">
        <is>
          <t>Gorra CAPSLAB Tom &amp; Jerry</t>
        </is>
      </c>
      <c r="J330" s="156" t="inlineStr">
        <is>
          <t>Accesorios</t>
        </is>
      </c>
      <c r="K330" s="156" t="inlineStr">
        <is>
          <t>Gorras</t>
        </is>
      </c>
      <c r="L330" s="156" t="inlineStr">
        <is>
          <t>Unisex</t>
        </is>
      </c>
      <c r="M330" s="156" t="inlineStr">
        <is>
          <t>Tom &amp; Jerry</t>
        </is>
      </c>
      <c r="N330" s="156" t="n"/>
      <c r="O330" s="156" t="n"/>
      <c r="P330" s="156" t="n"/>
      <c r="Q330" s="156" t="n"/>
      <c r="R330" s="156" t="n"/>
      <c r="S330" s="156" t="inlineStr">
        <is>
          <t>Algodón / Poliéster</t>
        </is>
      </c>
      <c r="T330" s="156" t="inlineStr">
        <is>
          <t>Gorra de la marca CAPSLAB bajo licencia oficial Tom &amp; Jerry. Talla única ajustable. Estilo CL/TAJ4/1/CD/CAT.</t>
        </is>
      </c>
      <c r="U330" s="156" t="n"/>
      <c r="V330" s="156" t="inlineStr">
        <is>
          <t>PZS</t>
        </is>
      </c>
      <c r="W330" s="51" t="inlineStr">
        <is>
          <t>53102516</t>
        </is>
      </c>
      <c r="X330" s="156" t="inlineStr">
        <is>
          <t>https://i.ibb.co/xCvG5ZH/CLTAJ41-CDCAT.jpg</t>
        </is>
      </c>
      <c r="Y330" s="54" t="n"/>
      <c r="Z330" s="54" t="n">
        <v>699</v>
      </c>
      <c r="AA330" s="55">
        <f>IF(AND(A330="", B330="", E330=""), "", IF(AB330="", "Válido", IF((LEN(AB330)-LEN(SUBSTITUTE(AB330,"; ","")))/2+1&gt;(LEN(AB330)-LEN(SUBSTITUTE(AB330,"[Aviso]","")))/7, "Con Incidencias", "Válido")))</f>
        <v/>
      </c>
      <c r="AB330" s="56">
        <f>IF(AND(A330="", B330="", E330=""), "", TEXTJOIN("; ", TRUE, IF(OR(TRIM(A330&amp;"")="", ISNUMBER(SEARCH("FALTA", A330))), "UPC faltante/inválido", ""), IF(AND(A330&lt;&gt;"", IFERROR(_xlfn.XMATCH(A330,$A$2:$A$370,0,1)&lt;&gt;_xlfn.XMATCH(A330,$A$2:$A$370,0,-1),FALSE)), "Código de barras duplicado", ""), IF(AND(E330&lt;&gt;"", COUNTIF($E$2:$E$370, E330)&gt;1), "SKU duplicado", ""), IF(OR(J330="", J330=""), "[Aviso] División no capturada ()", IF(ISNA(MATCH(J330, Criterios!$A$123:$A$126, 0)), "División no válida", "")), IF(OR(K330="", K330=""), "[Aviso] Categoría no capturada ()", IF(ISNA(MATCH(K330, Criterios!$A$81:$A$120, 0)), "Categoría no válida", IF(AND(J330&lt;&gt;"", J330&lt;&gt;"", J330&lt;&gt;VLOOKUP(K330, Criterios!$A$81:$B$120, 2, FALSE)), "División no coincide con Categoría", ""))), IF(OR(L330="", L330=""), "[Aviso] Género no capturado ()", IF(ISNA(MATCH(L330, Criterios!$B$123:$B$127, 0)), "Género no válido", "")), IF(OR(N330="", N330=""), "[Aviso] Temporada no capturada ()", IF(ISNA(MATCH(N330, Criterios!$C$123:$C$128, 0)), "Temporada no válida", "")), IF(OR(O330="", O330=""), "[Aviso] Ciclo de vida no capturado ()", IF(ISNA(MATCH(O330, Criterios!$D$123:$D$124, 0)), "Ciclo de vida no válido", ""))))</f>
        <v/>
      </c>
      <c r="AC330" s="56" t="n"/>
      <c r="AD330" s="51" t="n">
        <v>85</v>
      </c>
      <c r="AE330" s="156" t="inlineStr">
        <is>
          <t>Web (2); CAPSLAB Warehouse (47)</t>
        </is>
      </c>
      <c r="AF330" s="51" t="n">
        <v>84</v>
      </c>
      <c r="AG330" s="156" t="inlineStr">
        <is>
          <t>Nuevo – NetSuite con existencia</t>
        </is>
      </c>
      <c r="AH330" s="156" t="inlineStr">
        <is>
          <t>Composición CAPSLAB varía por modelo (50/50, 40/60 o 100% poliéster): validar etiqueta; Color por validar; Físico total NetSuite 85 ≠ suma por ubicación 49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0" s="156" t="inlineStr">
        <is>
          <t>No</t>
        </is>
      </c>
      <c r="AJ330" s="156" t="n"/>
      <c r="AK330" s="155" t="inlineStr">
        <is>
          <t>G1522ProductosTodosloscamposSandboxResults894.xlsx: fila 48198 [X]; G1522_Extraccion_Articulos_NetSuite_2026-09-30.xlsx: fila 30445 [Z]</t>
        </is>
      </c>
      <c r="AL330" s="58" t="n"/>
      <c r="AM330" s="58" t="n"/>
      <c r="AN330" s="155" t="n"/>
      <c r="AO330" s="59" t="n"/>
      <c r="AP330" s="59" t="n"/>
      <c r="AQ330" s="59" t="n"/>
      <c r="AR330" s="155" t="n"/>
    </row>
    <row r="331">
      <c r="A331" s="50" t="inlineStr">
        <is>
          <t>3614001696468</t>
        </is>
      </c>
      <c r="B331" s="51" t="inlineStr">
        <is>
          <t>69721</t>
        </is>
      </c>
      <c r="C331" s="156" t="inlineStr">
        <is>
          <t>CAPSLAB</t>
        </is>
      </c>
      <c r="D331" s="156" t="inlineStr">
        <is>
          <t>CL/TAJ4/1/CD/MOU</t>
        </is>
      </c>
      <c r="E331" s="156" t="inlineStr">
        <is>
          <t>CL/TAJ4/1/CD/MOU-UNI</t>
        </is>
      </c>
      <c r="F331" s="156" t="inlineStr">
        <is>
          <t>Talla única</t>
        </is>
      </c>
      <c r="G331" s="156" t="inlineStr">
        <is>
          <t>One Size</t>
        </is>
      </c>
      <c r="H331" s="156" t="inlineStr">
        <is>
          <t>CAPSLAB</t>
        </is>
      </c>
      <c r="I331" s="156" t="inlineStr">
        <is>
          <t>Gorra CAPSLAB Tom &amp; Jerry</t>
        </is>
      </c>
      <c r="J331" s="156" t="inlineStr">
        <is>
          <t>Accesorios</t>
        </is>
      </c>
      <c r="K331" s="156" t="inlineStr">
        <is>
          <t>Gorras</t>
        </is>
      </c>
      <c r="L331" s="156" t="inlineStr">
        <is>
          <t>Unisex</t>
        </is>
      </c>
      <c r="M331" s="156" t="inlineStr">
        <is>
          <t>Tom &amp; Jerry</t>
        </is>
      </c>
      <c r="N331" s="156" t="n"/>
      <c r="O331" s="156" t="n"/>
      <c r="P331" s="156" t="n"/>
      <c r="Q331" s="156" t="n"/>
      <c r="R331" s="156" t="n"/>
      <c r="S331" s="156" t="inlineStr">
        <is>
          <t>Algodón / Poliéster</t>
        </is>
      </c>
      <c r="T331" s="156" t="inlineStr">
        <is>
          <t>Gorra de la marca CAPSLAB bajo licencia oficial Tom &amp; Jerry. Talla única ajustable. Estilo CL/TAJ4/1/CD/MOU.</t>
        </is>
      </c>
      <c r="U331" s="156" t="n"/>
      <c r="V331" s="156" t="inlineStr">
        <is>
          <t>PZS</t>
        </is>
      </c>
      <c r="W331" s="51" t="inlineStr">
        <is>
          <t>53102516</t>
        </is>
      </c>
      <c r="X331" s="156" t="inlineStr">
        <is>
          <t>https://i.ibb.co/8rSVtLt/CLTAJ41-CDMOU.jpg</t>
        </is>
      </c>
      <c r="Y331" s="54" t="n"/>
      <c r="Z331" s="54" t="n">
        <v>699</v>
      </c>
      <c r="AA331" s="55">
        <f>IF(AND(A331="", B331="", E331=""), "", IF(AB331="", "Válido", IF((LEN(AB331)-LEN(SUBSTITUTE(AB331,"; ","")))/2+1&gt;(LEN(AB331)-LEN(SUBSTITUTE(AB331,"[Aviso]","")))/7, "Con Incidencias", "Válido")))</f>
        <v/>
      </c>
      <c r="AB331" s="56">
        <f>IF(AND(A331="", B331="", E331=""), "", TEXTJOIN("; ", TRUE, IF(OR(TRIM(A331&amp;"")="", ISNUMBER(SEARCH("FALTA", A331))), "UPC faltante/inválido", ""), IF(AND(A331&lt;&gt;"", IFERROR(_xlfn.XMATCH(A331,$A$2:$A$370,0,1)&lt;&gt;_xlfn.XMATCH(A331,$A$2:$A$370,0,-1),FALSE)), "Código de barras duplicado", ""), IF(AND(E331&lt;&gt;"", COUNTIF($E$2:$E$370, E331)&gt;1), "SKU duplicado", ""), IF(OR(J331="", J331=""), "[Aviso] División no capturada ()", IF(ISNA(MATCH(J331, Criterios!$A$123:$A$126, 0)), "División no válida", "")), IF(OR(K331="", K331=""), "[Aviso] Categoría no capturada ()", IF(ISNA(MATCH(K331, Criterios!$A$81:$A$120, 0)), "Categoría no válida", IF(AND(J331&lt;&gt;"", J331&lt;&gt;"", J331&lt;&gt;VLOOKUP(K331, Criterios!$A$81:$B$120, 2, FALSE)), "División no coincide con Categoría", ""))), IF(OR(L331="", L331=""), "[Aviso] Género no capturado ()", IF(ISNA(MATCH(L331, Criterios!$B$123:$B$127, 0)), "Género no válido", "")), IF(OR(N331="", N331=""), "[Aviso] Temporada no capturada ()", IF(ISNA(MATCH(N331, Criterios!$C$123:$C$128, 0)), "Temporada no válida", "")), IF(OR(O331="", O331=""), "[Aviso] Ciclo de vida no capturado ()", IF(ISNA(MATCH(O331, Criterios!$D$123:$D$124, 0)), "Ciclo de vida no válido", ""))))</f>
        <v/>
      </c>
      <c r="AC331" s="56" t="n"/>
      <c r="AD331" s="51" t="n">
        <v>80</v>
      </c>
      <c r="AE331" s="156" t="inlineStr">
        <is>
          <t>CAPSLAB Warehouse (45); Web (1); CL Muestras (1)</t>
        </is>
      </c>
      <c r="AF331" s="51" t="n">
        <v>79</v>
      </c>
      <c r="AG331" s="156" t="inlineStr">
        <is>
          <t>Nuevo – NetSuite con existencia</t>
        </is>
      </c>
      <c r="AH331" s="156" t="inlineStr">
        <is>
          <t>Composición CAPSLAB varía por modelo (50/50, 40/60 o 100% poliéster): validar etiqueta; Color por validar; Físico total NetSuite 80 ≠ suma por ubicación 47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1" s="156" t="inlineStr">
        <is>
          <t>No</t>
        </is>
      </c>
      <c r="AJ331" s="156" t="n"/>
      <c r="AK331" s="155" t="inlineStr">
        <is>
          <t>G1522ProductosTodosloscamposSandboxResults894.xlsx: fila 48200 [X]; G1522_Extraccion_Articulos_NetSuite_2026-09-30.xlsx: fila 30446 [Z]</t>
        </is>
      </c>
      <c r="AL331" s="58" t="n"/>
      <c r="AM331" s="58" t="n"/>
      <c r="AN331" s="155" t="n"/>
      <c r="AO331" s="59" t="n"/>
      <c r="AP331" s="59" t="n"/>
      <c r="AQ331" s="59" t="n"/>
      <c r="AR331" s="155" t="n"/>
    </row>
    <row r="332">
      <c r="A332" s="50" t="inlineStr">
        <is>
          <t>3614001696482</t>
        </is>
      </c>
      <c r="B332" s="51" t="inlineStr">
        <is>
          <t>69722</t>
        </is>
      </c>
      <c r="C332" s="156" t="inlineStr">
        <is>
          <t>CAPSLAB</t>
        </is>
      </c>
      <c r="D332" s="156" t="inlineStr">
        <is>
          <t>CL/TAJ4/1/CT/CHE</t>
        </is>
      </c>
      <c r="E332" s="156" t="inlineStr">
        <is>
          <t>CL/TAJ4/1/CT/CHE-UNI</t>
        </is>
      </c>
      <c r="F332" s="156" t="inlineStr">
        <is>
          <t>Talla única</t>
        </is>
      </c>
      <c r="G332" s="156" t="inlineStr">
        <is>
          <t>One Size</t>
        </is>
      </c>
      <c r="H332" s="156" t="inlineStr">
        <is>
          <t>CAPSLAB</t>
        </is>
      </c>
      <c r="I332" s="156" t="inlineStr">
        <is>
          <t>Gorra trucker CAPSLAB Tom &amp; Jerry</t>
        </is>
      </c>
      <c r="J332" s="156" t="inlineStr">
        <is>
          <t>Accesorios</t>
        </is>
      </c>
      <c r="K332" s="156" t="inlineStr">
        <is>
          <t>Gorras</t>
        </is>
      </c>
      <c r="L332" s="156" t="inlineStr">
        <is>
          <t>Unisex</t>
        </is>
      </c>
      <c r="M332" s="156" t="inlineStr">
        <is>
          <t>Tom &amp; Jerry</t>
        </is>
      </c>
      <c r="N332" s="156" t="n"/>
      <c r="O332" s="156" t="n"/>
      <c r="P332" s="156" t="n"/>
      <c r="Q332" s="156" t="n"/>
      <c r="R332" s="156" t="n"/>
      <c r="S332" s="156" t="inlineStr">
        <is>
          <t>Algodón / Poliéster</t>
        </is>
      </c>
      <c r="T332" s="156" t="inlineStr">
        <is>
          <t>Gorra trucker de la marca CAPSLAB bajo licencia oficial Tom &amp; Jerry. Talla única ajustable. Estilo CL/TAJ4/1/CT/CHE.</t>
        </is>
      </c>
      <c r="U332" s="156" t="n"/>
      <c r="V332" s="156" t="inlineStr">
        <is>
          <t>PZS</t>
        </is>
      </c>
      <c r="W332" s="51" t="inlineStr">
        <is>
          <t>53102516</t>
        </is>
      </c>
      <c r="X332" s="156" t="inlineStr">
        <is>
          <t>https://i.ibb.co/hWmrQ7Z/CLTAJ41-CTCHE.jpg</t>
        </is>
      </c>
      <c r="Y332" s="54" t="n"/>
      <c r="Z332" s="54" t="n">
        <v>699</v>
      </c>
      <c r="AA332" s="55">
        <f>IF(AND(A332="", B332="", E332=""), "", IF(AB332="", "Válido", IF((LEN(AB332)-LEN(SUBSTITUTE(AB332,"; ","")))/2+1&gt;(LEN(AB332)-LEN(SUBSTITUTE(AB332,"[Aviso]","")))/7, "Con Incidencias", "Válido")))</f>
        <v/>
      </c>
      <c r="AB332" s="56">
        <f>IF(AND(A332="", B332="", E332=""), "", TEXTJOIN("; ", TRUE, IF(OR(TRIM(A332&amp;"")="", ISNUMBER(SEARCH("FALTA", A332))), "UPC faltante/inválido", ""), IF(AND(A332&lt;&gt;"", IFERROR(_xlfn.XMATCH(A332,$A$2:$A$370,0,1)&lt;&gt;_xlfn.XMATCH(A332,$A$2:$A$370,0,-1),FALSE)), "Código de barras duplicado", ""), IF(AND(E332&lt;&gt;"", COUNTIF($E$2:$E$370, E332)&gt;1), "SKU duplicado", ""), IF(OR(J332="", J332=""), "[Aviso] División no capturada ()", IF(ISNA(MATCH(J332, Criterios!$A$123:$A$126, 0)), "División no válida", "")), IF(OR(K332="", K332=""), "[Aviso] Categoría no capturada ()", IF(ISNA(MATCH(K332, Criterios!$A$81:$A$120, 0)), "Categoría no válida", IF(AND(J332&lt;&gt;"", J332&lt;&gt;"", J332&lt;&gt;VLOOKUP(K332, Criterios!$A$81:$B$120, 2, FALSE)), "División no coincide con Categoría", ""))), IF(OR(L332="", L332=""), "[Aviso] Género no capturado ()", IF(ISNA(MATCH(L332, Criterios!$B$123:$B$127, 0)), "Género no válido", "")), IF(OR(N332="", N332=""), "[Aviso] Temporada no capturada ()", IF(ISNA(MATCH(N332, Criterios!$C$123:$C$128, 0)), "Temporada no válida", "")), IF(OR(O332="", O332=""), "[Aviso] Ciclo de vida no capturado ()", IF(ISNA(MATCH(O332, Criterios!$D$123:$D$124, 0)), "Ciclo de vida no válido", ""))))</f>
        <v/>
      </c>
      <c r="AC332" s="56" t="n"/>
      <c r="AD332" s="51" t="n">
        <v>65</v>
      </c>
      <c r="AE332" s="156" t="inlineStr">
        <is>
          <t>Web (2); CL Muestras (1); CAPSLAB Warehouse (41)</t>
        </is>
      </c>
      <c r="AF332" s="51" t="n">
        <v>65</v>
      </c>
      <c r="AG332" s="156" t="inlineStr">
        <is>
          <t>Nuevo – NetSuite con existencia</t>
        </is>
      </c>
      <c r="AH332" s="156" t="inlineStr">
        <is>
          <t>Composición CAPSLAB varía por modelo (50/50, 40/60 o 100% poliéster): validar etiqueta; Color por validar; Físico total NetSuite 65 ≠ suma por ubicación 44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2" s="156" t="inlineStr">
        <is>
          <t>No</t>
        </is>
      </c>
      <c r="AJ332" s="156" t="n"/>
      <c r="AK332" s="155" t="inlineStr">
        <is>
          <t>G1522ProductosTodosloscamposSandboxResults894.xlsx: fila 48202 [X]; G1522_Extraccion_Articulos_NetSuite_2026-09-30.xlsx: fila 30447 [Z]</t>
        </is>
      </c>
      <c r="AL332" s="58" t="n"/>
      <c r="AM332" s="58" t="n"/>
      <c r="AN332" s="155" t="n"/>
      <c r="AO332" s="59" t="n"/>
      <c r="AP332" s="59" t="n"/>
      <c r="AQ332" s="59" t="n"/>
      <c r="AR332" s="155" t="n"/>
    </row>
    <row r="333">
      <c r="A333" s="50" t="inlineStr">
        <is>
          <t>3614001696109</t>
        </is>
      </c>
      <c r="B333" s="51" t="inlineStr">
        <is>
          <t>69723</t>
        </is>
      </c>
      <c r="C333" s="156" t="inlineStr">
        <is>
          <t>CAPSLAB</t>
        </is>
      </c>
      <c r="D333" s="156" t="inlineStr">
        <is>
          <t>CL/TAJ4/1/CT/GAT</t>
        </is>
      </c>
      <c r="E333" s="156" t="inlineStr">
        <is>
          <t>CL/TAJ4/1/CT/GAT-UNI</t>
        </is>
      </c>
      <c r="F333" s="156" t="inlineStr">
        <is>
          <t>Talla única</t>
        </is>
      </c>
      <c r="G333" s="156" t="inlineStr">
        <is>
          <t>One Size</t>
        </is>
      </c>
      <c r="H333" s="156" t="inlineStr">
        <is>
          <t>CAPSLAB</t>
        </is>
      </c>
      <c r="I333" s="156" t="inlineStr">
        <is>
          <t>Gorra trucker CAPSLAB Tom &amp; Jerry</t>
        </is>
      </c>
      <c r="J333" s="156" t="inlineStr">
        <is>
          <t>Accesorios</t>
        </is>
      </c>
      <c r="K333" s="156" t="inlineStr">
        <is>
          <t>Gorras</t>
        </is>
      </c>
      <c r="L333" s="156" t="inlineStr">
        <is>
          <t>Unisex</t>
        </is>
      </c>
      <c r="M333" s="156" t="inlineStr">
        <is>
          <t>Tom &amp; Jerry</t>
        </is>
      </c>
      <c r="N333" s="156" t="n"/>
      <c r="O333" s="156" t="n"/>
      <c r="P333" s="156" t="n"/>
      <c r="Q333" s="156" t="n"/>
      <c r="R333" s="156" t="n"/>
      <c r="S333" s="156" t="inlineStr">
        <is>
          <t>Algodón / Poliéster</t>
        </is>
      </c>
      <c r="T333" s="156" t="inlineStr">
        <is>
          <t>Gorra trucker de la marca CAPSLAB bajo licencia oficial Tom &amp; Jerry. Talla única ajustable. Estilo CL/TAJ4/1/CT/GAT.</t>
        </is>
      </c>
      <c r="U333" s="156" t="n"/>
      <c r="V333" s="156" t="inlineStr">
        <is>
          <t>PZS</t>
        </is>
      </c>
      <c r="W333" s="51" t="inlineStr">
        <is>
          <t>53102516</t>
        </is>
      </c>
      <c r="X333" s="156" t="inlineStr">
        <is>
          <t>https://i.ibb.co/PmL8YLN/CLTAJ41-CTGAT.jpg</t>
        </is>
      </c>
      <c r="Y333" s="54" t="n"/>
      <c r="Z333" s="54" t="n">
        <v>799</v>
      </c>
      <c r="AA333" s="55">
        <f>IF(AND(A333="", B333="", E333=""), "", IF(AB333="", "Válido", IF((LEN(AB333)-LEN(SUBSTITUTE(AB333,"; ","")))/2+1&gt;(LEN(AB333)-LEN(SUBSTITUTE(AB333,"[Aviso]","")))/7, "Con Incidencias", "Válido")))</f>
        <v/>
      </c>
      <c r="AB333" s="56">
        <f>IF(AND(A333="", B333="", E333=""), "", TEXTJOIN("; ", TRUE, IF(OR(TRIM(A333&amp;"")="", ISNUMBER(SEARCH("FALTA", A333))), "UPC faltante/inválido", ""), IF(AND(A333&lt;&gt;"", IFERROR(_xlfn.XMATCH(A333,$A$2:$A$370,0,1)&lt;&gt;_xlfn.XMATCH(A333,$A$2:$A$370,0,-1),FALSE)), "Código de barras duplicado", ""), IF(AND(E333&lt;&gt;"", COUNTIF($E$2:$E$370, E333)&gt;1), "SKU duplicado", ""), IF(OR(J333="", J333=""), "[Aviso] División no capturada ()", IF(ISNA(MATCH(J333, Criterios!$A$123:$A$126, 0)), "División no válida", "")), IF(OR(K333="", K333=""), "[Aviso] Categoría no capturada ()", IF(ISNA(MATCH(K333, Criterios!$A$81:$A$120, 0)), "Categoría no válida", IF(AND(J333&lt;&gt;"", J333&lt;&gt;"", J333&lt;&gt;VLOOKUP(K333, Criterios!$A$81:$B$120, 2, FALSE)), "División no coincide con Categoría", ""))), IF(OR(L333="", L333=""), "[Aviso] Género no capturado ()", IF(ISNA(MATCH(L333, Criterios!$B$123:$B$127, 0)), "Género no válido", "")), IF(OR(N333="", N333=""), "[Aviso] Temporada no capturada ()", IF(ISNA(MATCH(N333, Criterios!$C$123:$C$128, 0)), "Temporada no válida", "")), IF(OR(O333="", O333=""), "[Aviso] Ciclo de vida no capturado ()", IF(ISNA(MATCH(O333, Criterios!$D$123:$D$124, 0)), "Ciclo de vida no válido", ""))))</f>
        <v/>
      </c>
      <c r="AC333" s="56" t="n"/>
      <c r="AD333" s="51" t="n">
        <v>45</v>
      </c>
      <c r="AE333" s="156" t="inlineStr">
        <is>
          <t>CAPSLAB Warehouse (39); Web (1); CL Muestras (1)</t>
        </is>
      </c>
      <c r="AF333" s="51" t="n">
        <v>45</v>
      </c>
      <c r="AG333" s="156" t="inlineStr">
        <is>
          <t>Nuevo – NetSuite con existencia</t>
        </is>
      </c>
      <c r="AH333" s="156" t="inlineStr">
        <is>
          <t>Composición CAPSLAB varía por modelo (50/50, 40/60 o 100% poliéster): validar etiqueta; Color por validar; Físico total NetSuite 45 ≠ suma por ubicación 41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3" s="156" t="inlineStr">
        <is>
          <t>No</t>
        </is>
      </c>
      <c r="AJ333" s="156" t="n"/>
      <c r="AK333" s="155" t="inlineStr">
        <is>
          <t>G1522ProductosTodosloscamposSandboxResults894.xlsx: fila 48204 [X]; G1522_Extraccion_Articulos_NetSuite_2026-09-30.xlsx: fila 30448 [Z]</t>
        </is>
      </c>
      <c r="AL333" s="58" t="n"/>
      <c r="AM333" s="58" t="n"/>
      <c r="AN333" s="155" t="n"/>
      <c r="AO333" s="59" t="n"/>
      <c r="AP333" s="59" t="n"/>
      <c r="AQ333" s="59" t="n"/>
      <c r="AR333" s="155" t="n"/>
    </row>
    <row r="334">
      <c r="A334" s="50" t="inlineStr">
        <is>
          <t>3614001696123</t>
        </is>
      </c>
      <c r="B334" s="51" t="inlineStr">
        <is>
          <t>69724</t>
        </is>
      </c>
      <c r="C334" s="156" t="inlineStr">
        <is>
          <t>CAPSLAB</t>
        </is>
      </c>
      <c r="D334" s="156" t="inlineStr">
        <is>
          <t>CL/TAJ4/1/CT/GRI</t>
        </is>
      </c>
      <c r="E334" s="156" t="inlineStr">
        <is>
          <t>CL/TAJ4/1/CT/GRI-UNI</t>
        </is>
      </c>
      <c r="F334" s="156" t="inlineStr">
        <is>
          <t>Talla única</t>
        </is>
      </c>
      <c r="G334" s="156" t="inlineStr">
        <is>
          <t>One Size</t>
        </is>
      </c>
      <c r="H334" s="156" t="inlineStr">
        <is>
          <t>CAPSLAB</t>
        </is>
      </c>
      <c r="I334" s="156" t="inlineStr">
        <is>
          <t>Gorra trucker CAPSLAB Tom &amp; Jerry</t>
        </is>
      </c>
      <c r="J334" s="156" t="inlineStr">
        <is>
          <t>Accesorios</t>
        </is>
      </c>
      <c r="K334" s="156" t="inlineStr">
        <is>
          <t>Gorras</t>
        </is>
      </c>
      <c r="L334" s="156" t="inlineStr">
        <is>
          <t>Unisex</t>
        </is>
      </c>
      <c r="M334" s="156" t="inlineStr">
        <is>
          <t>Tom &amp; Jerry</t>
        </is>
      </c>
      <c r="N334" s="156" t="n"/>
      <c r="O334" s="156" t="n"/>
      <c r="P334" s="156" t="n"/>
      <c r="Q334" s="156" t="n"/>
      <c r="R334" s="156" t="n"/>
      <c r="S334" s="156" t="inlineStr">
        <is>
          <t>Algodón / Poliéster</t>
        </is>
      </c>
      <c r="T334" s="156" t="inlineStr">
        <is>
          <t>Gorra trucker de la marca CAPSLAB bajo licencia oficial Tom &amp; Jerry. Talla única ajustable. Estilo CL/TAJ4/1/CT/GRI.</t>
        </is>
      </c>
      <c r="U334" s="156" t="n"/>
      <c r="V334" s="156" t="inlineStr">
        <is>
          <t>PZS</t>
        </is>
      </c>
      <c r="W334" s="51" t="inlineStr">
        <is>
          <t>53102516</t>
        </is>
      </c>
      <c r="X334" s="156" t="inlineStr">
        <is>
          <t>https://i.ibb.co/HxKSJhT/CLTAJ41-CTGRI.jpg</t>
        </is>
      </c>
      <c r="Y334" s="54" t="n"/>
      <c r="Z334" s="54" t="n">
        <v>799</v>
      </c>
      <c r="AA334" s="55">
        <f>IF(AND(A334="", B334="", E334=""), "", IF(AB334="", "Válido", IF((LEN(AB334)-LEN(SUBSTITUTE(AB334,"; ","")))/2+1&gt;(LEN(AB334)-LEN(SUBSTITUTE(AB334,"[Aviso]","")))/7, "Con Incidencias", "Válido")))</f>
        <v/>
      </c>
      <c r="AB334" s="56">
        <f>IF(AND(A334="", B334="", E334=""), "", TEXTJOIN("; ", TRUE, IF(OR(TRIM(A334&amp;"")="", ISNUMBER(SEARCH("FALTA", A334))), "UPC faltante/inválido", ""), IF(AND(A334&lt;&gt;"", IFERROR(_xlfn.XMATCH(A334,$A$2:$A$370,0,1)&lt;&gt;_xlfn.XMATCH(A334,$A$2:$A$370,0,-1),FALSE)), "Código de barras duplicado", ""), IF(AND(E334&lt;&gt;"", COUNTIF($E$2:$E$370, E334)&gt;1), "SKU duplicado", ""), IF(OR(J334="", J334=""), "[Aviso] División no capturada ()", IF(ISNA(MATCH(J334, Criterios!$A$123:$A$126, 0)), "División no válida", "")), IF(OR(K334="", K334=""), "[Aviso] Categoría no capturada ()", IF(ISNA(MATCH(K334, Criterios!$A$81:$A$120, 0)), "Categoría no válida", IF(AND(J334&lt;&gt;"", J334&lt;&gt;"", J334&lt;&gt;VLOOKUP(K334, Criterios!$A$81:$B$120, 2, FALSE)), "División no coincide con Categoría", ""))), IF(OR(L334="", L334=""), "[Aviso] Género no capturado ()", IF(ISNA(MATCH(L334, Criterios!$B$123:$B$127, 0)), "Género no válido", "")), IF(OR(N334="", N334=""), "[Aviso] Temporada no capturada ()", IF(ISNA(MATCH(N334, Criterios!$C$123:$C$128, 0)), "Temporada no válida", "")), IF(OR(O334="", O334=""), "[Aviso] Ciclo de vida no capturado ()", IF(ISNA(MATCH(O334, Criterios!$D$123:$D$124, 0)), "Ciclo de vida no válido", ""))))</f>
        <v/>
      </c>
      <c r="AC334" s="56" t="n"/>
      <c r="AD334" s="51" t="n">
        <v>90</v>
      </c>
      <c r="AE334" s="156" t="inlineStr">
        <is>
          <t>Web (2); CL Muestras (1); CAPSLAB Warehouse (48)</t>
        </is>
      </c>
      <c r="AF334" s="51" t="n">
        <v>90</v>
      </c>
      <c r="AG334" s="156" t="inlineStr">
        <is>
          <t>Nuevo – NetSuite con existencia</t>
        </is>
      </c>
      <c r="AH334" s="156" t="inlineStr">
        <is>
          <t>Composición CAPSLAB varía por modelo (50/50, 40/60 o 100% poliéster): validar etiqueta; Color por validar; Físico total NetSuite 90 ≠ suma por ubicación 51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4" s="156" t="inlineStr">
        <is>
          <t>No</t>
        </is>
      </c>
      <c r="AJ334" s="156" t="n"/>
      <c r="AK334" s="155" t="inlineStr">
        <is>
          <t>G1522ProductosTodosloscamposSandboxResults894.xlsx: fila 48206 [X]; G1522_Extraccion_Articulos_NetSuite_2026-09-30.xlsx: fila 30449 [Z]</t>
        </is>
      </c>
      <c r="AL334" s="58" t="n"/>
      <c r="AM334" s="58" t="n"/>
      <c r="AN334" s="155" t="n"/>
      <c r="AO334" s="59" t="n"/>
      <c r="AP334" s="59" t="n"/>
      <c r="AQ334" s="59" t="n"/>
      <c r="AR334" s="155" t="n"/>
    </row>
    <row r="335">
      <c r="A335" s="50" t="inlineStr">
        <is>
          <t>3614001696505</t>
        </is>
      </c>
      <c r="B335" s="51" t="inlineStr">
        <is>
          <t>69725</t>
        </is>
      </c>
      <c r="C335" s="156" t="inlineStr">
        <is>
          <t>CAPSLAB</t>
        </is>
      </c>
      <c r="D335" s="156" t="inlineStr">
        <is>
          <t>CL/TAJ4/1/CT/JER</t>
        </is>
      </c>
      <c r="E335" s="156" t="inlineStr">
        <is>
          <t>CL/TAJ4/1/CT/JER-UNI</t>
        </is>
      </c>
      <c r="F335" s="156" t="inlineStr">
        <is>
          <t>Talla única</t>
        </is>
      </c>
      <c r="G335" s="156" t="inlineStr">
        <is>
          <t>One Size</t>
        </is>
      </c>
      <c r="H335" s="156" t="inlineStr">
        <is>
          <t>CAPSLAB</t>
        </is>
      </c>
      <c r="I335" s="156" t="inlineStr">
        <is>
          <t>Gorra trucker CAPSLAB Tom &amp; Jerry Jerry</t>
        </is>
      </c>
      <c r="J335" s="156" t="inlineStr">
        <is>
          <t>Accesorios</t>
        </is>
      </c>
      <c r="K335" s="156" t="inlineStr">
        <is>
          <t>Gorras</t>
        </is>
      </c>
      <c r="L335" s="156" t="inlineStr">
        <is>
          <t>Unisex</t>
        </is>
      </c>
      <c r="M335" s="156" t="inlineStr">
        <is>
          <t>Tom &amp; Jerry</t>
        </is>
      </c>
      <c r="N335" s="156" t="n"/>
      <c r="O335" s="156" t="n"/>
      <c r="P335" s="156" t="n"/>
      <c r="Q335" s="156" t="n"/>
      <c r="R335" s="156" t="n"/>
      <c r="S335" s="156" t="inlineStr">
        <is>
          <t>Algodón / Poliéster</t>
        </is>
      </c>
      <c r="T335" s="156" t="inlineStr">
        <is>
          <t>Gorra trucker de la marca CAPSLAB bajo licencia oficial Tom &amp; Jerry, personaje Jerry. Talla única ajustable. Estilo CL/TAJ4/1/CT/JER.</t>
        </is>
      </c>
      <c r="U335" s="156" t="n"/>
      <c r="V335" s="156" t="inlineStr">
        <is>
          <t>PZS</t>
        </is>
      </c>
      <c r="W335" s="51" t="inlineStr">
        <is>
          <t>53102516</t>
        </is>
      </c>
      <c r="X335" s="156" t="inlineStr">
        <is>
          <t>https://i.ibb.co/5Rp35q6/CLTAJ41-CTJER.jpg</t>
        </is>
      </c>
      <c r="Y335" s="54" t="n"/>
      <c r="Z335" s="54" t="n">
        <v>699</v>
      </c>
      <c r="AA335" s="55">
        <f>IF(AND(A335="", B335="", E335=""), "", IF(AB335="", "Válido", IF((LEN(AB335)-LEN(SUBSTITUTE(AB335,"; ","")))/2+1&gt;(LEN(AB335)-LEN(SUBSTITUTE(AB335,"[Aviso]","")))/7, "Con Incidencias", "Válido")))</f>
        <v/>
      </c>
      <c r="AB335" s="56">
        <f>IF(AND(A335="", B335="", E335=""), "", TEXTJOIN("; ", TRUE, IF(OR(TRIM(A335&amp;"")="", ISNUMBER(SEARCH("FALTA", A335))), "UPC faltante/inválido", ""), IF(AND(A335&lt;&gt;"", IFERROR(_xlfn.XMATCH(A335,$A$2:$A$370,0,1)&lt;&gt;_xlfn.XMATCH(A335,$A$2:$A$370,0,-1),FALSE)), "Código de barras duplicado", ""), IF(AND(E335&lt;&gt;"", COUNTIF($E$2:$E$370, E335)&gt;1), "SKU duplicado", ""), IF(OR(J335="", J335=""), "[Aviso] División no capturada ()", IF(ISNA(MATCH(J335, Criterios!$A$123:$A$126, 0)), "División no válida", "")), IF(OR(K335="", K335=""), "[Aviso] Categoría no capturada ()", IF(ISNA(MATCH(K335, Criterios!$A$81:$A$120, 0)), "Categoría no válida", IF(AND(J335&lt;&gt;"", J335&lt;&gt;"", J335&lt;&gt;VLOOKUP(K335, Criterios!$A$81:$B$120, 2, FALSE)), "División no coincide con Categoría", ""))), IF(OR(L335="", L335=""), "[Aviso] Género no capturado ()", IF(ISNA(MATCH(L335, Criterios!$B$123:$B$127, 0)), "Género no válido", "")), IF(OR(N335="", N335=""), "[Aviso] Temporada no capturada ()", IF(ISNA(MATCH(N335, Criterios!$C$123:$C$128, 0)), "Temporada no válida", "")), IF(OR(O335="", O335=""), "[Aviso] Ciclo de vida no capturado ()", IF(ISNA(MATCH(O335, Criterios!$D$123:$D$124, 0)), "Ciclo de vida no válido", ""))))</f>
        <v/>
      </c>
      <c r="AC335" s="56" t="n"/>
      <c r="AD335" s="51" t="n">
        <v>45</v>
      </c>
      <c r="AE335" s="156" t="inlineStr">
        <is>
          <t>CL POS (1); CL Muestras (1); Web (2); CAPSLAB Warehouse (39)</t>
        </is>
      </c>
      <c r="AF335" s="51" t="n">
        <v>45</v>
      </c>
      <c r="AG335" s="156" t="inlineStr">
        <is>
          <t>Nuevo – NetSuite con existencia</t>
        </is>
      </c>
      <c r="AH335" s="156" t="inlineStr">
        <is>
          <t>Composición CAPSLAB varía por modelo (50/50, 40/60 o 100% poliéster): validar etiqueta; Color por validar; Físico total NetSuite 45 ≠ suma por ubicación 43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5" s="156" t="inlineStr">
        <is>
          <t>No</t>
        </is>
      </c>
      <c r="AJ335" s="156" t="n"/>
      <c r="AK335" s="155" t="inlineStr">
        <is>
          <t>G1522ProductosTodosloscamposSandboxResults894.xlsx: fila 48208 [X]; G1522_Extraccion_Articulos_NetSuite_2026-09-30.xlsx: fila 30450 [Z]</t>
        </is>
      </c>
      <c r="AL335" s="58" t="n"/>
      <c r="AM335" s="58" t="n"/>
      <c r="AN335" s="155" t="n"/>
      <c r="AO335" s="59" t="n"/>
      <c r="AP335" s="59" t="n"/>
      <c r="AQ335" s="59" t="n"/>
      <c r="AR335" s="155" t="n"/>
    </row>
    <row r="336">
      <c r="A336" s="50" t="inlineStr">
        <is>
          <t>3614001696147</t>
        </is>
      </c>
      <c r="B336" s="51" t="inlineStr">
        <is>
          <t>69726</t>
        </is>
      </c>
      <c r="C336" s="156" t="inlineStr">
        <is>
          <t>CAPSLAB</t>
        </is>
      </c>
      <c r="D336" s="156" t="inlineStr">
        <is>
          <t>CL/TAJ4/1/CT/RID</t>
        </is>
      </c>
      <c r="E336" s="156" t="inlineStr">
        <is>
          <t>CL/TAJ4/1/CT/RID-UNI</t>
        </is>
      </c>
      <c r="F336" s="156" t="inlineStr">
        <is>
          <t>Talla única</t>
        </is>
      </c>
      <c r="G336" s="156" t="inlineStr">
        <is>
          <t>One Size</t>
        </is>
      </c>
      <c r="H336" s="156" t="inlineStr">
        <is>
          <t>CAPSLAB</t>
        </is>
      </c>
      <c r="I336" s="156" t="inlineStr">
        <is>
          <t>Gorra trucker CAPSLAB Tom &amp; Jerry</t>
        </is>
      </c>
      <c r="J336" s="156" t="inlineStr">
        <is>
          <t>Accesorios</t>
        </is>
      </c>
      <c r="K336" s="156" t="inlineStr">
        <is>
          <t>Gorras</t>
        </is>
      </c>
      <c r="L336" s="156" t="inlineStr">
        <is>
          <t>Unisex</t>
        </is>
      </c>
      <c r="M336" s="156" t="inlineStr">
        <is>
          <t>Tom &amp; Jerry</t>
        </is>
      </c>
      <c r="N336" s="156" t="n"/>
      <c r="O336" s="156" t="n"/>
      <c r="P336" s="156" t="n"/>
      <c r="Q336" s="156" t="n"/>
      <c r="R336" s="156" t="n"/>
      <c r="S336" s="156" t="inlineStr">
        <is>
          <t>Algodón / Poliéster</t>
        </is>
      </c>
      <c r="T336" s="156" t="inlineStr">
        <is>
          <t>Gorra trucker de la marca CAPSLAB bajo licencia oficial Tom &amp; Jerry. Talla única ajustable. Estilo CL/TAJ4/1/CT/RID.</t>
        </is>
      </c>
      <c r="U336" s="156" t="n"/>
      <c r="V336" s="156" t="inlineStr">
        <is>
          <t>PZS</t>
        </is>
      </c>
      <c r="W336" s="51" t="inlineStr">
        <is>
          <t>53102516</t>
        </is>
      </c>
      <c r="X336" s="156" t="inlineStr">
        <is>
          <t>https://i.ibb.co/ZmKV8Bb/CLTAJ41-CTRID.jpg</t>
        </is>
      </c>
      <c r="Y336" s="54" t="n"/>
      <c r="Z336" s="54" t="n">
        <v>799</v>
      </c>
      <c r="AA336" s="55">
        <f>IF(AND(A336="", B336="", E336=""), "", IF(AB336="", "Válido", IF((LEN(AB336)-LEN(SUBSTITUTE(AB336,"; ","")))/2+1&gt;(LEN(AB336)-LEN(SUBSTITUTE(AB336,"[Aviso]","")))/7, "Con Incidencias", "Válido")))</f>
        <v/>
      </c>
      <c r="AB336" s="56">
        <f>IF(AND(A336="", B336="", E336=""), "", TEXTJOIN("; ", TRUE, IF(OR(TRIM(A336&amp;"")="", ISNUMBER(SEARCH("FALTA", A336))), "UPC faltante/inválido", ""), IF(AND(A336&lt;&gt;"", IFERROR(_xlfn.XMATCH(A336,$A$2:$A$370,0,1)&lt;&gt;_xlfn.XMATCH(A336,$A$2:$A$370,0,-1),FALSE)), "Código de barras duplicado", ""), IF(AND(E336&lt;&gt;"", COUNTIF($E$2:$E$370, E336)&gt;1), "SKU duplicado", ""), IF(OR(J336="", J336=""), "[Aviso] División no capturada ()", IF(ISNA(MATCH(J336, Criterios!$A$123:$A$126, 0)), "División no válida", "")), IF(OR(K336="", K336=""), "[Aviso] Categoría no capturada ()", IF(ISNA(MATCH(K336, Criterios!$A$81:$A$120, 0)), "Categoría no válida", IF(AND(J336&lt;&gt;"", J336&lt;&gt;"", J336&lt;&gt;VLOOKUP(K336, Criterios!$A$81:$B$120, 2, FALSE)), "División no coincide con Categoría", ""))), IF(OR(L336="", L336=""), "[Aviso] Género no capturado ()", IF(ISNA(MATCH(L336, Criterios!$B$123:$B$127, 0)), "Género no válido", "")), IF(OR(N336="", N336=""), "[Aviso] Temporada no capturada ()", IF(ISNA(MATCH(N336, Criterios!$C$123:$C$128, 0)), "Temporada no válida", "")), IF(OR(O336="", O336=""), "[Aviso] Ciclo de vida no capturado ()", IF(ISNA(MATCH(O336, Criterios!$D$123:$D$124, 0)), "Ciclo de vida no válido", ""))))</f>
        <v/>
      </c>
      <c r="AC336" s="56" t="n"/>
      <c r="AD336" s="51" t="n">
        <v>10</v>
      </c>
      <c r="AE336" s="156" t="inlineStr">
        <is>
          <t>CL Muestras (1); CAPSLAB Warehouse (9)</t>
        </is>
      </c>
      <c r="AF336" s="51" t="n">
        <v>10</v>
      </c>
      <c r="AG336" s="156" t="inlineStr">
        <is>
          <t>Nuevo – NetSuite con existencia</t>
        </is>
      </c>
      <c r="AH336" s="156" t="inlineStr">
        <is>
          <t>Composición CAPSLAB varía por modelo (50/50, 40/60 o 100% poliéster): validar etiqueta; Color por validar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6" s="156" t="inlineStr">
        <is>
          <t>No</t>
        </is>
      </c>
      <c r="AJ336" s="156" t="n"/>
      <c r="AK336" s="155" t="inlineStr">
        <is>
          <t>G1522ProductosTodosloscamposSandboxResults894.xlsx: fila 48210 [X]; G1522_Extraccion_Articulos_NetSuite_2026-09-30.xlsx: fila 30451 [Z]</t>
        </is>
      </c>
      <c r="AL336" s="58" t="n"/>
      <c r="AM336" s="58" t="n"/>
      <c r="AN336" s="155" t="n"/>
      <c r="AO336" s="59" t="n"/>
      <c r="AP336" s="59" t="n"/>
      <c r="AQ336" s="59" t="n"/>
      <c r="AR336" s="155" t="n"/>
    </row>
    <row r="337">
      <c r="A337" s="50" t="inlineStr">
        <is>
          <t>3614001696529</t>
        </is>
      </c>
      <c r="B337" s="51" t="inlineStr">
        <is>
          <t>69727</t>
        </is>
      </c>
      <c r="C337" s="156" t="inlineStr">
        <is>
          <t>CAPSLAB</t>
        </is>
      </c>
      <c r="D337" s="156" t="inlineStr">
        <is>
          <t>CL/TAJ4/1/CT/SCA</t>
        </is>
      </c>
      <c r="E337" s="156" t="inlineStr">
        <is>
          <t>CL/TAJ4/1/CT/SCA-UNI</t>
        </is>
      </c>
      <c r="F337" s="156" t="inlineStr">
        <is>
          <t>Talla única</t>
        </is>
      </c>
      <c r="G337" s="156" t="inlineStr">
        <is>
          <t>One Size</t>
        </is>
      </c>
      <c r="H337" s="156" t="inlineStr">
        <is>
          <t>CAPSLAB</t>
        </is>
      </c>
      <c r="I337" s="156" t="inlineStr">
        <is>
          <t>Gorra trucker CAPSLAB Tom &amp; Jerry</t>
        </is>
      </c>
      <c r="J337" s="156" t="inlineStr">
        <is>
          <t>Accesorios</t>
        </is>
      </c>
      <c r="K337" s="156" t="inlineStr">
        <is>
          <t>Gorras</t>
        </is>
      </c>
      <c r="L337" s="156" t="inlineStr">
        <is>
          <t>Unisex</t>
        </is>
      </c>
      <c r="M337" s="156" t="inlineStr">
        <is>
          <t>Tom &amp; Jerry</t>
        </is>
      </c>
      <c r="N337" s="156" t="n"/>
      <c r="O337" s="156" t="n"/>
      <c r="P337" s="156" t="n"/>
      <c r="Q337" s="156" t="n"/>
      <c r="R337" s="156" t="n"/>
      <c r="S337" s="156" t="inlineStr">
        <is>
          <t>Algodón / Poliéster</t>
        </is>
      </c>
      <c r="T337" s="156" t="inlineStr">
        <is>
          <t>Gorra trucker de la marca CAPSLAB bajo licencia oficial Tom &amp; Jerry. Talla única ajustable. Estilo CL/TAJ4/1/CT/SCA.</t>
        </is>
      </c>
      <c r="U337" s="156" t="n"/>
      <c r="V337" s="156" t="inlineStr">
        <is>
          <t>PZS</t>
        </is>
      </c>
      <c r="W337" s="51" t="inlineStr">
        <is>
          <t>53102516</t>
        </is>
      </c>
      <c r="X337" s="156" t="inlineStr">
        <is>
          <t>https://i.ibb.co/cJv4MqP/CLTAJ41-CTSCA.jpg</t>
        </is>
      </c>
      <c r="Y337" s="54" t="n"/>
      <c r="Z337" s="54" t="n">
        <v>699</v>
      </c>
      <c r="AA337" s="55">
        <f>IF(AND(A337="", B337="", E337=""), "", IF(AB337="", "Válido", IF((LEN(AB337)-LEN(SUBSTITUTE(AB337,"; ","")))/2+1&gt;(LEN(AB337)-LEN(SUBSTITUTE(AB337,"[Aviso]","")))/7, "Con Incidencias", "Válido")))</f>
        <v/>
      </c>
      <c r="AB337" s="56">
        <f>IF(AND(A337="", B337="", E337=""), "", TEXTJOIN("; ", TRUE, IF(OR(TRIM(A337&amp;"")="", ISNUMBER(SEARCH("FALTA", A337))), "UPC faltante/inválido", ""), IF(AND(A337&lt;&gt;"", IFERROR(_xlfn.XMATCH(A337,$A$2:$A$370,0,1)&lt;&gt;_xlfn.XMATCH(A337,$A$2:$A$370,0,-1),FALSE)), "Código de barras duplicado", ""), IF(AND(E337&lt;&gt;"", COUNTIF($E$2:$E$370, E337)&gt;1), "SKU duplicado", ""), IF(OR(J337="", J337=""), "[Aviso] División no capturada ()", IF(ISNA(MATCH(J337, Criterios!$A$123:$A$126, 0)), "División no válida", "")), IF(OR(K337="", K337=""), "[Aviso] Categoría no capturada ()", IF(ISNA(MATCH(K337, Criterios!$A$81:$A$120, 0)), "Categoría no válida", IF(AND(J337&lt;&gt;"", J337&lt;&gt;"", J337&lt;&gt;VLOOKUP(K337, Criterios!$A$81:$B$120, 2, FALSE)), "División no coincide con Categoría", ""))), IF(OR(L337="", L337=""), "[Aviso] Género no capturado ()", IF(ISNA(MATCH(L337, Criterios!$B$123:$B$127, 0)), "Género no válido", "")), IF(OR(N337="", N337=""), "[Aviso] Temporada no capturada ()", IF(ISNA(MATCH(N337, Criterios!$C$123:$C$128, 0)), "Temporada no válida", "")), IF(OR(O337="", O337=""), "[Aviso] Ciclo de vida no capturado ()", IF(ISNA(MATCH(O337, Criterios!$D$123:$D$124, 0)), "Ciclo de vida no válido", ""))))</f>
        <v/>
      </c>
      <c r="AC337" s="56" t="n"/>
      <c r="AD337" s="51" t="n">
        <v>52</v>
      </c>
      <c r="AE337" s="156" t="inlineStr">
        <is>
          <t>Web (2); CL Muestras (1); CAPSLAB Warehouse (34); CL POS (1)</t>
        </is>
      </c>
      <c r="AF337" s="51" t="n">
        <v>52</v>
      </c>
      <c r="AG337" s="156" t="inlineStr">
        <is>
          <t>Nuevo – NetSuite con existencia</t>
        </is>
      </c>
      <c r="AH337" s="156" t="inlineStr">
        <is>
          <t>Composición CAPSLAB varía por modelo (50/50, 40/60 o 100% poliéster): validar etiqueta; Color por validar; Físico total NetSuite 52 ≠ suma por ubicación 38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7" s="156" t="inlineStr">
        <is>
          <t>No</t>
        </is>
      </c>
      <c r="AJ337" s="156" t="n"/>
      <c r="AK337" s="155" t="inlineStr">
        <is>
          <t>G1522ProductosTodosloscamposSandboxResults894.xlsx: fila 48212 [X]; G1522_Extraccion_Articulos_NetSuite_2026-09-30.xlsx: fila 30452 [Z]</t>
        </is>
      </c>
      <c r="AL337" s="58" t="n"/>
      <c r="AM337" s="58" t="n"/>
      <c r="AN337" s="155" t="n"/>
      <c r="AO337" s="59" t="n"/>
      <c r="AP337" s="59" t="n"/>
      <c r="AQ337" s="59" t="n"/>
      <c r="AR337" s="155" t="n"/>
    </row>
    <row r="338">
      <c r="A338" s="50" t="inlineStr">
        <is>
          <t>3614001696161</t>
        </is>
      </c>
      <c r="B338" s="51" t="inlineStr">
        <is>
          <t>69728</t>
        </is>
      </c>
      <c r="C338" s="156" t="inlineStr">
        <is>
          <t>CAPSLAB</t>
        </is>
      </c>
      <c r="D338" s="156" t="inlineStr">
        <is>
          <t>CL/TAJ4/1/CT/SMI</t>
        </is>
      </c>
      <c r="E338" s="156" t="inlineStr">
        <is>
          <t>CL/TAJ4/1/CT/SMI-UNI</t>
        </is>
      </c>
      <c r="F338" s="156" t="inlineStr">
        <is>
          <t>Talla única</t>
        </is>
      </c>
      <c r="G338" s="156" t="inlineStr">
        <is>
          <t>One Size</t>
        </is>
      </c>
      <c r="H338" s="156" t="inlineStr">
        <is>
          <t>CAPSLAB</t>
        </is>
      </c>
      <c r="I338" s="156" t="inlineStr">
        <is>
          <t>Gorra trucker CAPSLAB Tom &amp; Jerry</t>
        </is>
      </c>
      <c r="J338" s="156" t="inlineStr">
        <is>
          <t>Accesorios</t>
        </is>
      </c>
      <c r="K338" s="156" t="inlineStr">
        <is>
          <t>Gorras</t>
        </is>
      </c>
      <c r="L338" s="156" t="inlineStr">
        <is>
          <t>Unisex</t>
        </is>
      </c>
      <c r="M338" s="156" t="inlineStr">
        <is>
          <t>Tom &amp; Jerry</t>
        </is>
      </c>
      <c r="N338" s="156" t="n"/>
      <c r="O338" s="156" t="n"/>
      <c r="P338" s="156" t="n"/>
      <c r="Q338" s="156" t="n"/>
      <c r="R338" s="156" t="n"/>
      <c r="S338" s="156" t="inlineStr">
        <is>
          <t>Algodón / Poliéster</t>
        </is>
      </c>
      <c r="T338" s="156" t="inlineStr">
        <is>
          <t>Gorra trucker de la marca CAPSLAB bajo licencia oficial Tom &amp; Jerry. Talla única ajustable. Estilo CL/TAJ4/1/CT/SMI.</t>
        </is>
      </c>
      <c r="U338" s="156" t="n"/>
      <c r="V338" s="156" t="inlineStr">
        <is>
          <t>PZS</t>
        </is>
      </c>
      <c r="W338" s="51" t="inlineStr">
        <is>
          <t>53102516</t>
        </is>
      </c>
      <c r="X338" s="156" t="inlineStr">
        <is>
          <t>https://i.ibb.co/SNT82RF/CLTAJ41-CTSMI.jpg</t>
        </is>
      </c>
      <c r="Y338" s="54" t="n"/>
      <c r="Z338" s="54" t="n">
        <v>799</v>
      </c>
      <c r="AA338" s="55">
        <f>IF(AND(A338="", B338="", E338=""), "", IF(AB338="", "Válido", IF((LEN(AB338)-LEN(SUBSTITUTE(AB338,"; ","")))/2+1&gt;(LEN(AB338)-LEN(SUBSTITUTE(AB338,"[Aviso]","")))/7, "Con Incidencias", "Válido")))</f>
        <v/>
      </c>
      <c r="AB338" s="56">
        <f>IF(AND(A338="", B338="", E338=""), "", TEXTJOIN("; ", TRUE, IF(OR(TRIM(A338&amp;"")="", ISNUMBER(SEARCH("FALTA", A338))), "UPC faltante/inválido", ""), IF(AND(A338&lt;&gt;"", IFERROR(_xlfn.XMATCH(A338,$A$2:$A$370,0,1)&lt;&gt;_xlfn.XMATCH(A338,$A$2:$A$370,0,-1),FALSE)), "Código de barras duplicado", ""), IF(AND(E338&lt;&gt;"", COUNTIF($E$2:$E$370, E338)&gt;1), "SKU duplicado", ""), IF(OR(J338="", J338=""), "[Aviso] División no capturada ()", IF(ISNA(MATCH(J338, Criterios!$A$123:$A$126, 0)), "División no válida", "")), IF(OR(K338="", K338=""), "[Aviso] Categoría no capturada ()", IF(ISNA(MATCH(K338, Criterios!$A$81:$A$120, 0)), "Categoría no válida", IF(AND(J338&lt;&gt;"", J338&lt;&gt;"", J338&lt;&gt;VLOOKUP(K338, Criterios!$A$81:$B$120, 2, FALSE)), "División no coincide con Categoría", ""))), IF(OR(L338="", L338=""), "[Aviso] Género no capturado ()", IF(ISNA(MATCH(L338, Criterios!$B$123:$B$127, 0)), "Género no válido", "")), IF(OR(N338="", N338=""), "[Aviso] Temporada no capturada ()", IF(ISNA(MATCH(N338, Criterios!$C$123:$C$128, 0)), "Temporada no válida", "")), IF(OR(O338="", O338=""), "[Aviso] Ciclo de vida no capturado ()", IF(ISNA(MATCH(O338, Criterios!$D$123:$D$124, 0)), "Ciclo de vida no válido", ""))))</f>
        <v/>
      </c>
      <c r="AC338" s="56" t="n"/>
      <c r="AD338" s="51" t="n">
        <v>49</v>
      </c>
      <c r="AE338" s="156" t="inlineStr">
        <is>
          <t>CL Muestras (1); CAPSLAB Warehouse (26); Web (2)</t>
        </is>
      </c>
      <c r="AF338" s="51" t="n">
        <v>48</v>
      </c>
      <c r="AG338" s="156" t="inlineStr">
        <is>
          <t>Nuevo – NetSuite con existencia</t>
        </is>
      </c>
      <c r="AH338" s="156" t="inlineStr">
        <is>
          <t>Composición CAPSLAB varía por modelo (50/50, 40/60 o 100% poliéster): validar etiqueta; Color por validar; Físico total NetSuite 49 ≠ suma por ubicación 29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8" s="156" t="inlineStr">
        <is>
          <t>No</t>
        </is>
      </c>
      <c r="AJ338" s="156" t="n"/>
      <c r="AK338" s="155" t="inlineStr">
        <is>
          <t>G1522ProductosTodosloscamposSandboxResults894.xlsx: fila 48214 [X]; G1522_Extraccion_Articulos_NetSuite_2026-09-30.xlsx: fila 30453 [Z]</t>
        </is>
      </c>
      <c r="AL338" s="58" t="n"/>
      <c r="AM338" s="58" t="n"/>
      <c r="AN338" s="155" t="n"/>
      <c r="AO338" s="59" t="n"/>
      <c r="AP338" s="59" t="n"/>
      <c r="AQ338" s="59" t="n"/>
      <c r="AR338" s="155" t="n"/>
    </row>
    <row r="339">
      <c r="A339" s="50" t="inlineStr">
        <is>
          <t>3614001696543</t>
        </is>
      </c>
      <c r="B339" s="51" t="inlineStr">
        <is>
          <t>69729</t>
        </is>
      </c>
      <c r="C339" s="156" t="inlineStr">
        <is>
          <t>CAPSLAB</t>
        </is>
      </c>
      <c r="D339" s="156" t="inlineStr">
        <is>
          <t>CL/TAJ4/1/CT/TOM</t>
        </is>
      </c>
      <c r="E339" s="156" t="inlineStr">
        <is>
          <t>CL/TAJ4/1/CT/TOM-UNI</t>
        </is>
      </c>
      <c r="F339" s="156" t="inlineStr">
        <is>
          <t>Talla única</t>
        </is>
      </c>
      <c r="G339" s="156" t="inlineStr">
        <is>
          <t>One Size</t>
        </is>
      </c>
      <c r="H339" s="156" t="inlineStr">
        <is>
          <t>CAPSLAB</t>
        </is>
      </c>
      <c r="I339" s="156" t="inlineStr">
        <is>
          <t>Gorra trucker CAPSLAB Tom &amp; Jerry Tom</t>
        </is>
      </c>
      <c r="J339" s="156" t="inlineStr">
        <is>
          <t>Accesorios</t>
        </is>
      </c>
      <c r="K339" s="156" t="inlineStr">
        <is>
          <t>Gorras</t>
        </is>
      </c>
      <c r="L339" s="156" t="inlineStr">
        <is>
          <t>Unisex</t>
        </is>
      </c>
      <c r="M339" s="156" t="inlineStr">
        <is>
          <t>Tom &amp; Jerry</t>
        </is>
      </c>
      <c r="N339" s="156" t="n"/>
      <c r="O339" s="156" t="n"/>
      <c r="P339" s="156" t="n"/>
      <c r="Q339" s="156" t="n"/>
      <c r="R339" s="156" t="n"/>
      <c r="S339" s="156" t="inlineStr">
        <is>
          <t>Algodón / Poliéster</t>
        </is>
      </c>
      <c r="T339" s="156" t="inlineStr">
        <is>
          <t>Gorra trucker de la marca CAPSLAB bajo licencia oficial Tom &amp; Jerry, personaje Tom. Talla única ajustable. Estilo CL/TAJ4/1/CT/TOM.</t>
        </is>
      </c>
      <c r="U339" s="156" t="n"/>
      <c r="V339" s="156" t="inlineStr">
        <is>
          <t>PZS</t>
        </is>
      </c>
      <c r="W339" s="51" t="inlineStr">
        <is>
          <t>53102516</t>
        </is>
      </c>
      <c r="X339" s="156" t="inlineStr">
        <is>
          <t>https://i.ibb.co/vHnMck4/CLTAJ41-CTTOM.jpg</t>
        </is>
      </c>
      <c r="Y339" s="54" t="n"/>
      <c r="Z339" s="54" t="n">
        <v>699</v>
      </c>
      <c r="AA339" s="55">
        <f>IF(AND(A339="", B339="", E339=""), "", IF(AB339="", "Válido", IF((LEN(AB339)-LEN(SUBSTITUTE(AB339,"; ","")))/2+1&gt;(LEN(AB339)-LEN(SUBSTITUTE(AB339,"[Aviso]","")))/7, "Con Incidencias", "Válido")))</f>
        <v/>
      </c>
      <c r="AB339" s="56">
        <f>IF(AND(A339="", B339="", E339=""), "", TEXTJOIN("; ", TRUE, IF(OR(TRIM(A339&amp;"")="", ISNUMBER(SEARCH("FALTA", A339))), "UPC faltante/inválido", ""), IF(AND(A339&lt;&gt;"", IFERROR(_xlfn.XMATCH(A339,$A$2:$A$370,0,1)&lt;&gt;_xlfn.XMATCH(A339,$A$2:$A$370,0,-1),FALSE)), "Código de barras duplicado", ""), IF(AND(E339&lt;&gt;"", COUNTIF($E$2:$E$370, E339)&gt;1), "SKU duplicado", ""), IF(OR(J339="", J339=""), "[Aviso] División no capturada ()", IF(ISNA(MATCH(J339, Criterios!$A$123:$A$126, 0)), "División no válida", "")), IF(OR(K339="", K339=""), "[Aviso] Categoría no capturada ()", IF(ISNA(MATCH(K339, Criterios!$A$81:$A$120, 0)), "Categoría no válida", IF(AND(J339&lt;&gt;"", J339&lt;&gt;"", J339&lt;&gt;VLOOKUP(K339, Criterios!$A$81:$B$120, 2, FALSE)), "División no coincide con Categoría", ""))), IF(OR(L339="", L339=""), "[Aviso] Género no capturado ()", IF(ISNA(MATCH(L339, Criterios!$B$123:$B$127, 0)), "Género no válido", "")), IF(OR(N339="", N339=""), "[Aviso] Temporada no capturada ()", IF(ISNA(MATCH(N339, Criterios!$C$123:$C$128, 0)), "Temporada no válida", "")), IF(OR(O339="", O339=""), "[Aviso] Ciclo de vida no capturado ()", IF(ISNA(MATCH(O339, Criterios!$D$123:$D$124, 0)), "Ciclo de vida no válido", ""))))</f>
        <v/>
      </c>
      <c r="AC339" s="56" t="n"/>
      <c r="AD339" s="51" t="n">
        <v>62</v>
      </c>
      <c r="AE339" s="156" t="inlineStr">
        <is>
          <t>Web (1); CL Muestras (1); CAPSLAB Warehouse (41)</t>
        </is>
      </c>
      <c r="AF339" s="51" t="n">
        <v>62</v>
      </c>
      <c r="AG339" s="156" t="inlineStr">
        <is>
          <t>Nuevo – NetSuite con existencia</t>
        </is>
      </c>
      <c r="AH339" s="156" t="inlineStr">
        <is>
          <t>Composición CAPSLAB varía por modelo (50/50, 40/60 o 100% poliéster): validar etiqueta; Color por validar; Físico total NetSuite 62 ≠ suma por ubicación 43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39" s="156" t="inlineStr">
        <is>
          <t>No</t>
        </is>
      </c>
      <c r="AJ339" s="156" t="n"/>
      <c r="AK339" s="155" t="inlineStr">
        <is>
          <t>G1522ProductosTodosloscamposSandboxResults894.xlsx: fila 48216 [X]; G1522_Extraccion_Articulos_NetSuite_2026-09-30.xlsx: fila 30454 [Z]</t>
        </is>
      </c>
      <c r="AL339" s="58" t="n"/>
      <c r="AM339" s="58" t="n"/>
      <c r="AN339" s="155" t="n"/>
      <c r="AO339" s="59" t="n"/>
      <c r="AP339" s="59" t="n"/>
      <c r="AQ339" s="59" t="n"/>
      <c r="AR339" s="155" t="n"/>
    </row>
    <row r="340">
      <c r="A340" s="50" t="inlineStr">
        <is>
          <t>3614001720415</t>
        </is>
      </c>
      <c r="B340" s="51" t="inlineStr">
        <is>
          <t>69730</t>
        </is>
      </c>
      <c r="C340" s="156" t="inlineStr">
        <is>
          <t>CAPSLAB</t>
        </is>
      </c>
      <c r="D340" s="156" t="inlineStr">
        <is>
          <t>CL4/1/CF/LUC</t>
        </is>
      </c>
      <c r="E340" s="156" t="inlineStr">
        <is>
          <t>CL4/1/CF/LUC-UNI</t>
        </is>
      </c>
      <c r="F340" s="156" t="inlineStr">
        <is>
          <t>Talla única</t>
        </is>
      </c>
      <c r="G340" s="156" t="inlineStr">
        <is>
          <t>One Size</t>
        </is>
      </c>
      <c r="H340" s="156" t="inlineStr">
        <is>
          <t>CAPSLAB</t>
        </is>
      </c>
      <c r="I340" s="156" t="inlineStr">
        <is>
          <t>Gorra CAPSLAB Lucky</t>
        </is>
      </c>
      <c r="J340" s="156" t="inlineStr">
        <is>
          <t>Accesorios</t>
        </is>
      </c>
      <c r="K340" s="156" t="inlineStr">
        <is>
          <t>Gorras</t>
        </is>
      </c>
      <c r="L340" s="156" t="inlineStr">
        <is>
          <t>Unisex</t>
        </is>
      </c>
      <c r="M340" s="156" t="inlineStr">
        <is>
          <t>Lucky</t>
        </is>
      </c>
      <c r="N340" s="156" t="n"/>
      <c r="O340" s="156" t="n"/>
      <c r="P340" s="156" t="n"/>
      <c r="Q340" s="156" t="n"/>
      <c r="R340" s="156" t="n"/>
      <c r="S340" s="156" t="inlineStr">
        <is>
          <t>Algodón / Poliéster</t>
        </is>
      </c>
      <c r="T340" s="156" t="inlineStr">
        <is>
          <t>Gorra de la marca CAPSLAB bajo licencia oficial Lucky. Talla única ajustable. Estilo CL4/1/CF/LUC.</t>
        </is>
      </c>
      <c r="U340" s="156" t="n"/>
      <c r="V340" s="156" t="inlineStr">
        <is>
          <t>PZS</t>
        </is>
      </c>
      <c r="W340" s="51" t="inlineStr">
        <is>
          <t>53102516</t>
        </is>
      </c>
      <c r="X340" s="156" t="inlineStr">
        <is>
          <t>https://i.ibb.co/4PTwYLw/CL41-CFLUC-1.jpg</t>
        </is>
      </c>
      <c r="Y340" s="54" t="n"/>
      <c r="Z340" s="54" t="n">
        <v>599</v>
      </c>
      <c r="AA340" s="55">
        <f>IF(AND(A340="", B340="", E340=""), "", IF(AB340="", "Válido", IF((LEN(AB340)-LEN(SUBSTITUTE(AB340,"; ","")))/2+1&gt;(LEN(AB340)-LEN(SUBSTITUTE(AB340,"[Aviso]","")))/7, "Con Incidencias", "Válido")))</f>
        <v/>
      </c>
      <c r="AB340" s="56">
        <f>IF(AND(A340="", B340="", E340=""), "", TEXTJOIN("; ", TRUE, IF(OR(TRIM(A340&amp;"")="", ISNUMBER(SEARCH("FALTA", A340))), "UPC faltante/inválido", ""), IF(AND(A340&lt;&gt;"", IFERROR(_xlfn.XMATCH(A340,$A$2:$A$370,0,1)&lt;&gt;_xlfn.XMATCH(A340,$A$2:$A$370,0,-1),FALSE)), "Código de barras duplicado", ""), IF(AND(E340&lt;&gt;"", COUNTIF($E$2:$E$370, E340)&gt;1), "SKU duplicado", ""), IF(OR(J340="", J340=""), "[Aviso] División no capturada ()", IF(ISNA(MATCH(J340, Criterios!$A$123:$A$126, 0)), "División no válida", "")), IF(OR(K340="", K340=""), "[Aviso] Categoría no capturada ()", IF(ISNA(MATCH(K340, Criterios!$A$81:$A$120, 0)), "Categoría no válida", IF(AND(J340&lt;&gt;"", J340&lt;&gt;"", J340&lt;&gt;VLOOKUP(K340, Criterios!$A$81:$B$120, 2, FALSE)), "División no coincide con Categoría", ""))), IF(OR(L340="", L340=""), "[Aviso] Género no capturado ()", IF(ISNA(MATCH(L340, Criterios!$B$123:$B$127, 0)), "Género no válido", "")), IF(OR(N340="", N340=""), "[Aviso] Temporada no capturada ()", IF(ISNA(MATCH(N340, Criterios!$C$123:$C$128, 0)), "Temporada no válida", "")), IF(OR(O340="", O340=""), "[Aviso] Ciclo de vida no capturado ()", IF(ISNA(MATCH(O340, Criterios!$D$123:$D$124, 0)), "Ciclo de vida no válido", ""))))</f>
        <v/>
      </c>
      <c r="AC340" s="56" t="n"/>
      <c r="AD340" s="51" t="n">
        <v>113</v>
      </c>
      <c r="AE340" s="156" t="inlineStr">
        <is>
          <t>CL POS (2); CAPSLAB Warehouse (54); CL Muestras (1); Web (2)</t>
        </is>
      </c>
      <c r="AF340" s="51" t="n">
        <v>113</v>
      </c>
      <c r="AG340" s="156" t="inlineStr">
        <is>
          <t>Nuevo – NetSuite con existencia</t>
        </is>
      </c>
      <c r="AH340" s="156" t="inlineStr">
        <is>
          <t>Composición CAPSLAB varía por modelo (50/50, 40/60 o 100% poliéster): validar etiqueta; Color por validar; Físico total NetSuite 113 ≠ suma por ubicación 59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0" s="156" t="inlineStr">
        <is>
          <t>No</t>
        </is>
      </c>
      <c r="AJ340" s="156" t="n"/>
      <c r="AK340" s="155" t="inlineStr">
        <is>
          <t>G1522ProductosTodosloscamposSandboxResults894.xlsx: fila 48218 [X]; G1522_Extraccion_Articulos_NetSuite_2026-09-30.xlsx: fila 30455 [Z]</t>
        </is>
      </c>
      <c r="AL340" s="58" t="n"/>
      <c r="AM340" s="58" t="n"/>
      <c r="AN340" s="155" t="n"/>
      <c r="AO340" s="59" t="n"/>
      <c r="AP340" s="59" t="n"/>
      <c r="AQ340" s="59" t="n"/>
      <c r="AR340" s="155" t="n"/>
    </row>
    <row r="341">
      <c r="A341" s="50" t="inlineStr">
        <is>
          <t>3614001714049</t>
        </is>
      </c>
      <c r="B341" s="51" t="inlineStr">
        <is>
          <t>69731</t>
        </is>
      </c>
      <c r="C341" s="156" t="inlineStr">
        <is>
          <t>CAPSLAB</t>
        </is>
      </c>
      <c r="D341" s="156" t="inlineStr">
        <is>
          <t>CL4/1/CT/BEE</t>
        </is>
      </c>
      <c r="E341" s="156" t="inlineStr">
        <is>
          <t>CL4/1/CT/BEE-UNI</t>
        </is>
      </c>
      <c r="F341" s="156" t="inlineStr">
        <is>
          <t>Talla única</t>
        </is>
      </c>
      <c r="G341" s="156" t="inlineStr">
        <is>
          <t>One Size</t>
        </is>
      </c>
      <c r="H341" s="156" t="inlineStr">
        <is>
          <t>CAPSLAB</t>
        </is>
      </c>
      <c r="I341" s="156" t="inlineStr">
        <is>
          <t>Gorra trucker CAPSLAB Cocktails</t>
        </is>
      </c>
      <c r="J341" s="156" t="inlineStr">
        <is>
          <t>Accesorios</t>
        </is>
      </c>
      <c r="K341" s="156" t="inlineStr">
        <is>
          <t>Gorras</t>
        </is>
      </c>
      <c r="L341" s="156" t="inlineStr">
        <is>
          <t>Unisex</t>
        </is>
      </c>
      <c r="M341" s="156" t="inlineStr">
        <is>
          <t>Cocktails</t>
        </is>
      </c>
      <c r="N341" s="156" t="n"/>
      <c r="O341" s="156" t="n"/>
      <c r="P341" s="156" t="n"/>
      <c r="Q341" s="156" t="n"/>
      <c r="R341" s="156" t="n"/>
      <c r="S341" s="156" t="inlineStr">
        <is>
          <t>Algodón / Poliéster</t>
        </is>
      </c>
      <c r="T341" s="156" t="inlineStr">
        <is>
          <t>Gorra trucker de la marca CAPSLAB bajo licencia oficial Cocktails. Talla única ajustable. Estilo CL4/1/CT/BEE.</t>
        </is>
      </c>
      <c r="U341" s="156" t="n"/>
      <c r="V341" s="156" t="inlineStr">
        <is>
          <t>PZS</t>
        </is>
      </c>
      <c r="W341" s="51" t="inlineStr">
        <is>
          <t>53102516</t>
        </is>
      </c>
      <c r="X341" s="156" t="inlineStr">
        <is>
          <t>https://i.ibb.co/mN0j3GC/CL41-CTBEE.jpg</t>
        </is>
      </c>
      <c r="Y341" s="54" t="n"/>
      <c r="Z341" s="54" t="n">
        <v>599</v>
      </c>
      <c r="AA341" s="55">
        <f>IF(AND(A341="", B341="", E341=""), "", IF(AB341="", "Válido", IF((LEN(AB341)-LEN(SUBSTITUTE(AB341,"; ","")))/2+1&gt;(LEN(AB341)-LEN(SUBSTITUTE(AB341,"[Aviso]","")))/7, "Con Incidencias", "Válido")))</f>
        <v/>
      </c>
      <c r="AB341" s="56">
        <f>IF(AND(A341="", B341="", E341=""), "", TEXTJOIN("; ", TRUE, IF(OR(TRIM(A341&amp;"")="", ISNUMBER(SEARCH("FALTA", A341))), "UPC faltante/inválido", ""), IF(AND(A341&lt;&gt;"", IFERROR(_xlfn.XMATCH(A341,$A$2:$A$370,0,1)&lt;&gt;_xlfn.XMATCH(A341,$A$2:$A$370,0,-1),FALSE)), "Código de barras duplicado", ""), IF(AND(E341&lt;&gt;"", COUNTIF($E$2:$E$370, E341)&gt;1), "SKU duplicado", ""), IF(OR(J341="", J341=""), "[Aviso] División no capturada ()", IF(ISNA(MATCH(J341, Criterios!$A$123:$A$126, 0)), "División no válida", "")), IF(OR(K341="", K341=""), "[Aviso] Categoría no capturada ()", IF(ISNA(MATCH(K341, Criterios!$A$81:$A$120, 0)), "Categoría no válida", IF(AND(J341&lt;&gt;"", J341&lt;&gt;"", J341&lt;&gt;VLOOKUP(K341, Criterios!$A$81:$B$120, 2, FALSE)), "División no coincide con Categoría", ""))), IF(OR(L341="", L341=""), "[Aviso] Género no capturado ()", IF(ISNA(MATCH(L341, Criterios!$B$123:$B$127, 0)), "Género no válido", "")), IF(OR(N341="", N341=""), "[Aviso] Temporada no capturada ()", IF(ISNA(MATCH(N341, Criterios!$C$123:$C$128, 0)), "Temporada no válida", "")), IF(OR(O341="", O341=""), "[Aviso] Ciclo de vida no capturado ()", IF(ISNA(MATCH(O341, Criterios!$D$123:$D$124, 0)), "Ciclo de vida no válido", ""))))</f>
        <v/>
      </c>
      <c r="AC341" s="56" t="n"/>
      <c r="AD341" s="51" t="n">
        <v>100</v>
      </c>
      <c r="AE341" s="156" t="inlineStr">
        <is>
          <t>CAPSLAB Warehouse (49); Web (2); CL Muestras (1)</t>
        </is>
      </c>
      <c r="AF341" s="51" t="n">
        <v>100</v>
      </c>
      <c r="AG341" s="156" t="inlineStr">
        <is>
          <t>Nuevo – NetSuite con existencia</t>
        </is>
      </c>
      <c r="AH341" s="156" t="inlineStr">
        <is>
          <t>Composición CAPSLAB varía por modelo (50/50, 40/60 o 100% poliéster): validar etiqueta; Color por validar; Físico total NetSuite 100 ≠ suma por ubicación 52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1" s="156" t="inlineStr">
        <is>
          <t>No</t>
        </is>
      </c>
      <c r="AJ341" s="156" t="n"/>
      <c r="AK341" s="155" t="inlineStr">
        <is>
          <t>G1522ProductosTodosloscamposSandboxResults894.xlsx: fila 48220 [X]; G1522_Extraccion_Articulos_NetSuite_2026-09-30.xlsx: fila 30456 [Z]</t>
        </is>
      </c>
      <c r="AL341" s="58" t="n"/>
      <c r="AM341" s="58" t="n"/>
      <c r="AN341" s="155" t="n"/>
      <c r="AO341" s="59" t="n"/>
      <c r="AP341" s="59" t="n"/>
      <c r="AQ341" s="59" t="n"/>
      <c r="AR341" s="155" t="n"/>
    </row>
    <row r="342">
      <c r="A342" s="50" t="inlineStr">
        <is>
          <t>3614001714261</t>
        </is>
      </c>
      <c r="B342" s="51" t="inlineStr">
        <is>
          <t>69732</t>
        </is>
      </c>
      <c r="C342" s="156" t="inlineStr">
        <is>
          <t>CAPSLAB</t>
        </is>
      </c>
      <c r="D342" s="156" t="inlineStr">
        <is>
          <t>CL4/1/CT/BLA</t>
        </is>
      </c>
      <c r="E342" s="156" t="inlineStr">
        <is>
          <t>CL4/1/CT/BLA-UNI</t>
        </is>
      </c>
      <c r="F342" s="156" t="inlineStr">
        <is>
          <t>Talla única</t>
        </is>
      </c>
      <c r="G342" s="156" t="inlineStr">
        <is>
          <t>One Size</t>
        </is>
      </c>
      <c r="H342" s="156" t="inlineStr">
        <is>
          <t>CAPSLAB</t>
        </is>
      </c>
      <c r="I342" s="156" t="inlineStr">
        <is>
          <t>Gorra trucker CAPSLAB Lucky</t>
        </is>
      </c>
      <c r="J342" s="156" t="inlineStr">
        <is>
          <t>Accesorios</t>
        </is>
      </c>
      <c r="K342" s="156" t="inlineStr">
        <is>
          <t>Gorras</t>
        </is>
      </c>
      <c r="L342" s="156" t="inlineStr">
        <is>
          <t>Unisex</t>
        </is>
      </c>
      <c r="M342" s="156" t="inlineStr">
        <is>
          <t>Lucky</t>
        </is>
      </c>
      <c r="N342" s="156" t="n"/>
      <c r="O342" s="156" t="n"/>
      <c r="P342" s="156" t="n"/>
      <c r="Q342" s="156" t="n"/>
      <c r="R342" s="156" t="n"/>
      <c r="S342" s="156" t="inlineStr">
        <is>
          <t>Algodón / Poliéster</t>
        </is>
      </c>
      <c r="T342" s="156" t="inlineStr">
        <is>
          <t>Gorra trucker de la marca CAPSLAB bajo licencia oficial Lucky. Talla única ajustable. Estilo CL4/1/CT/BLA.</t>
        </is>
      </c>
      <c r="U342" s="156" t="n"/>
      <c r="V342" s="156" t="inlineStr">
        <is>
          <t>PZS</t>
        </is>
      </c>
      <c r="W342" s="51" t="inlineStr">
        <is>
          <t>53102516</t>
        </is>
      </c>
      <c r="X342" s="156" t="inlineStr">
        <is>
          <t>https://i.ibb.co/Jk7t9KG/CL41-CTBLA.jpg</t>
        </is>
      </c>
      <c r="Y342" s="54" t="n"/>
      <c r="Z342" s="54" t="n">
        <v>599</v>
      </c>
      <c r="AA342" s="55">
        <f>IF(AND(A342="", B342="", E342=""), "", IF(AB342="", "Válido", IF((LEN(AB342)-LEN(SUBSTITUTE(AB342,"; ","")))/2+1&gt;(LEN(AB342)-LEN(SUBSTITUTE(AB342,"[Aviso]","")))/7, "Con Incidencias", "Válido")))</f>
        <v/>
      </c>
      <c r="AB342" s="56">
        <f>IF(AND(A342="", B342="", E342=""), "", TEXTJOIN("; ", TRUE, IF(OR(TRIM(A342&amp;"")="", ISNUMBER(SEARCH("FALTA", A342))), "UPC faltante/inválido", ""), IF(AND(A342&lt;&gt;"", IFERROR(_xlfn.XMATCH(A342,$A$2:$A$370,0,1)&lt;&gt;_xlfn.XMATCH(A342,$A$2:$A$370,0,-1),FALSE)), "Código de barras duplicado", ""), IF(AND(E342&lt;&gt;"", COUNTIF($E$2:$E$370, E342)&gt;1), "SKU duplicado", ""), IF(OR(J342="", J342=""), "[Aviso] División no capturada ()", IF(ISNA(MATCH(J342, Criterios!$A$123:$A$126, 0)), "División no válida", "")), IF(OR(K342="", K342=""), "[Aviso] Categoría no capturada ()", IF(ISNA(MATCH(K342, Criterios!$A$81:$A$120, 0)), "Categoría no válida", IF(AND(J342&lt;&gt;"", J342&lt;&gt;"", J342&lt;&gt;VLOOKUP(K342, Criterios!$A$81:$B$120, 2, FALSE)), "División no coincide con Categoría", ""))), IF(OR(L342="", L342=""), "[Aviso] Género no capturado ()", IF(ISNA(MATCH(L342, Criterios!$B$123:$B$127, 0)), "Género no válido", "")), IF(OR(N342="", N342=""), "[Aviso] Temporada no capturada ()", IF(ISNA(MATCH(N342, Criterios!$C$123:$C$128, 0)), "Temporada no válida", "")), IF(OR(O342="", O342=""), "[Aviso] Ciclo de vida no capturado ()", IF(ISNA(MATCH(O342, Criterios!$D$123:$D$124, 0)), "Ciclo de vida no válido", ""))))</f>
        <v/>
      </c>
      <c r="AC342" s="56" t="n"/>
      <c r="AD342" s="51" t="n">
        <v>47</v>
      </c>
      <c r="AE342" s="156" t="inlineStr">
        <is>
          <t>CAPSLAB Warehouse (27)</t>
        </is>
      </c>
      <c r="AF342" s="51" t="n">
        <v>47</v>
      </c>
      <c r="AG342" s="156" t="inlineStr">
        <is>
          <t>Nuevo – NetSuite con existencia</t>
        </is>
      </c>
      <c r="AH342" s="156" t="inlineStr">
        <is>
          <t>Composición CAPSLAB varía por modelo (50/50, 40/60 o 100% poliéster): validar etiqueta; Color por validar; Físico total NetSuite 47 ≠ suma por ubicación 27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2" s="156" t="inlineStr">
        <is>
          <t>No</t>
        </is>
      </c>
      <c r="AJ342" s="156" t="n"/>
      <c r="AK342" s="155" t="inlineStr">
        <is>
          <t>G1522ProductosTodosloscamposSandboxResults894.xlsx: fila 48222 [X]; G1522_Extraccion_Articulos_NetSuite_2026-09-30.xlsx: fila 30457 [Z]</t>
        </is>
      </c>
      <c r="AL342" s="58" t="n"/>
      <c r="AM342" s="58" t="n"/>
      <c r="AN342" s="155" t="n"/>
      <c r="AO342" s="59" t="n"/>
      <c r="AP342" s="59" t="n"/>
      <c r="AQ342" s="59" t="n"/>
      <c r="AR342" s="155" t="n"/>
    </row>
    <row r="343">
      <c r="A343" s="50" t="inlineStr">
        <is>
          <t>3614001714063</t>
        </is>
      </c>
      <c r="B343" s="51" t="inlineStr">
        <is>
          <t>69733</t>
        </is>
      </c>
      <c r="C343" s="156" t="inlineStr">
        <is>
          <t>CAPSLAB</t>
        </is>
      </c>
      <c r="D343" s="156" t="inlineStr">
        <is>
          <t>CL4/1/CT/CHE</t>
        </is>
      </c>
      <c r="E343" s="156" t="inlineStr">
        <is>
          <t>CL4/1/CT/CHE-UNI</t>
        </is>
      </c>
      <c r="F343" s="156" t="inlineStr">
        <is>
          <t>Talla única</t>
        </is>
      </c>
      <c r="G343" s="156" t="inlineStr">
        <is>
          <t>One Size</t>
        </is>
      </c>
      <c r="H343" s="156" t="inlineStr">
        <is>
          <t>CAPSLAB</t>
        </is>
      </c>
      <c r="I343" s="156" t="inlineStr">
        <is>
          <t>Gorra trucker CAPSLAB Cocktails</t>
        </is>
      </c>
      <c r="J343" s="156" t="inlineStr">
        <is>
          <t>Accesorios</t>
        </is>
      </c>
      <c r="K343" s="156" t="inlineStr">
        <is>
          <t>Gorras</t>
        </is>
      </c>
      <c r="L343" s="156" t="inlineStr">
        <is>
          <t>Unisex</t>
        </is>
      </c>
      <c r="M343" s="156" t="inlineStr">
        <is>
          <t>Cocktails</t>
        </is>
      </c>
      <c r="N343" s="156" t="n"/>
      <c r="O343" s="156" t="n"/>
      <c r="P343" s="156" t="n"/>
      <c r="Q343" s="156" t="n"/>
      <c r="R343" s="156" t="n"/>
      <c r="S343" s="156" t="inlineStr">
        <is>
          <t>Algodón / Poliéster</t>
        </is>
      </c>
      <c r="T343" s="156" t="inlineStr">
        <is>
          <t>Gorra trucker de la marca CAPSLAB bajo licencia oficial Cocktails. Talla única ajustable. Estilo CL4/1/CT/CHE.</t>
        </is>
      </c>
      <c r="U343" s="156" t="n"/>
      <c r="V343" s="156" t="inlineStr">
        <is>
          <t>PZS</t>
        </is>
      </c>
      <c r="W343" s="51" t="inlineStr">
        <is>
          <t>53102516</t>
        </is>
      </c>
      <c r="X343" s="156" t="inlineStr">
        <is>
          <t>https://i.ibb.co/jbtMb7C/CL41-CTCHE.jpg</t>
        </is>
      </c>
      <c r="Y343" s="54" t="n"/>
      <c r="Z343" s="54" t="n">
        <v>599</v>
      </c>
      <c r="AA343" s="55">
        <f>IF(AND(A343="", B343="", E343=""), "", IF(AB343="", "Válido", IF((LEN(AB343)-LEN(SUBSTITUTE(AB343,"; ","")))/2+1&gt;(LEN(AB343)-LEN(SUBSTITUTE(AB343,"[Aviso]","")))/7, "Con Incidencias", "Válido")))</f>
        <v/>
      </c>
      <c r="AB343" s="56">
        <f>IF(AND(A343="", B343="", E343=""), "", TEXTJOIN("; ", TRUE, IF(OR(TRIM(A343&amp;"")="", ISNUMBER(SEARCH("FALTA", A343))), "UPC faltante/inválido", ""), IF(AND(A343&lt;&gt;"", IFERROR(_xlfn.XMATCH(A343,$A$2:$A$370,0,1)&lt;&gt;_xlfn.XMATCH(A343,$A$2:$A$370,0,-1),FALSE)), "Código de barras duplicado", ""), IF(AND(E343&lt;&gt;"", COUNTIF($E$2:$E$370, E343)&gt;1), "SKU duplicado", ""), IF(OR(J343="", J343=""), "[Aviso] División no capturada ()", IF(ISNA(MATCH(J343, Criterios!$A$123:$A$126, 0)), "División no válida", "")), IF(OR(K343="", K343=""), "[Aviso] Categoría no capturada ()", IF(ISNA(MATCH(K343, Criterios!$A$81:$A$120, 0)), "Categoría no válida", IF(AND(J343&lt;&gt;"", J343&lt;&gt;"", J343&lt;&gt;VLOOKUP(K343, Criterios!$A$81:$B$120, 2, FALSE)), "División no coincide con Categoría", ""))), IF(OR(L343="", L343=""), "[Aviso] Género no capturado ()", IF(ISNA(MATCH(L343, Criterios!$B$123:$B$127, 0)), "Género no válido", "")), IF(OR(N343="", N343=""), "[Aviso] Temporada no capturada ()", IF(ISNA(MATCH(N343, Criterios!$C$123:$C$128, 0)), "Temporada no válida", "")), IF(OR(O343="", O343=""), "[Aviso] Ciclo de vida no capturado ()", IF(ISNA(MATCH(O343, Criterios!$D$123:$D$124, 0)), "Ciclo de vida no válido", ""))))</f>
        <v/>
      </c>
      <c r="AC343" s="56" t="n"/>
      <c r="AD343" s="51" t="n">
        <v>63</v>
      </c>
      <c r="AE343" s="156" t="inlineStr">
        <is>
          <t>CL Muestras (1); CAPSLAB Warehouse (32); Web (2)</t>
        </is>
      </c>
      <c r="AF343" s="51" t="n">
        <v>63</v>
      </c>
      <c r="AG343" s="156" t="inlineStr">
        <is>
          <t>Nuevo – NetSuite con existencia</t>
        </is>
      </c>
      <c r="AH343" s="156" t="inlineStr">
        <is>
          <t>Composición CAPSLAB varía por modelo (50/50, 40/60 o 100% poliéster): validar etiqueta; Color por validar; Físico total NetSuite 63 ≠ suma por ubicación 35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3" s="156" t="inlineStr">
        <is>
          <t>No</t>
        </is>
      </c>
      <c r="AJ343" s="156" t="n"/>
      <c r="AK343" s="155" t="inlineStr">
        <is>
          <t>G1522ProductosTodosloscamposSandboxResults894.xlsx: fila 48224 [X]; G1522_Extraccion_Articulos_NetSuite_2026-09-30.xlsx: fila 30458 [Z]</t>
        </is>
      </c>
      <c r="AL343" s="58" t="n"/>
      <c r="AM343" s="58" t="n"/>
      <c r="AN343" s="155" t="n"/>
      <c r="AO343" s="59" t="n"/>
      <c r="AP343" s="59" t="n"/>
      <c r="AQ343" s="59" t="n"/>
      <c r="AR343" s="155" t="n"/>
    </row>
    <row r="344">
      <c r="A344" s="50" t="inlineStr">
        <is>
          <t>3614001714087</t>
        </is>
      </c>
      <c r="B344" s="51" t="inlineStr">
        <is>
          <t>69734</t>
        </is>
      </c>
      <c r="C344" s="156" t="inlineStr">
        <is>
          <t>CAPSLAB</t>
        </is>
      </c>
      <c r="D344" s="156" t="inlineStr">
        <is>
          <t>CL4/1/CT/COS</t>
        </is>
      </c>
      <c r="E344" s="156" t="inlineStr">
        <is>
          <t>CL4/1/CT/COS-UNI</t>
        </is>
      </c>
      <c r="F344" s="156" t="inlineStr">
        <is>
          <t>Talla única</t>
        </is>
      </c>
      <c r="G344" s="156" t="inlineStr">
        <is>
          <t>One Size</t>
        </is>
      </c>
      <c r="H344" s="156" t="inlineStr">
        <is>
          <t>CAPSLAB</t>
        </is>
      </c>
      <c r="I344" s="156" t="inlineStr">
        <is>
          <t>Gorra trucker CAPSLAB Cocktails</t>
        </is>
      </c>
      <c r="J344" s="156" t="inlineStr">
        <is>
          <t>Accesorios</t>
        </is>
      </c>
      <c r="K344" s="156" t="inlineStr">
        <is>
          <t>Gorras</t>
        </is>
      </c>
      <c r="L344" s="156" t="inlineStr">
        <is>
          <t>Unisex</t>
        </is>
      </c>
      <c r="M344" s="156" t="inlineStr">
        <is>
          <t>Cocktails</t>
        </is>
      </c>
      <c r="N344" s="156" t="n"/>
      <c r="O344" s="156" t="n"/>
      <c r="P344" s="156" t="n"/>
      <c r="Q344" s="156" t="n"/>
      <c r="R344" s="156" t="n"/>
      <c r="S344" s="156" t="inlineStr">
        <is>
          <t>Algodón / Poliéster</t>
        </is>
      </c>
      <c r="T344" s="156" t="inlineStr">
        <is>
          <t>Gorra trucker de la marca CAPSLAB bajo licencia oficial Cocktails. Talla única ajustable. Estilo CL4/1/CT/COS.</t>
        </is>
      </c>
      <c r="U344" s="156" t="n"/>
      <c r="V344" s="156" t="inlineStr">
        <is>
          <t>PZS</t>
        </is>
      </c>
      <c r="W344" s="51" t="inlineStr">
        <is>
          <t>53102516</t>
        </is>
      </c>
      <c r="X344" s="156" t="inlineStr">
        <is>
          <t>https://i.ibb.co/C8w9BRX/CL41-CTCOS.jpg</t>
        </is>
      </c>
      <c r="Y344" s="54" t="n"/>
      <c r="Z344" s="54" t="n">
        <v>599</v>
      </c>
      <c r="AA344" s="55">
        <f>IF(AND(A344="", B344="", E344=""), "", IF(AB344="", "Válido", IF((LEN(AB344)-LEN(SUBSTITUTE(AB344,"; ","")))/2+1&gt;(LEN(AB344)-LEN(SUBSTITUTE(AB344,"[Aviso]","")))/7, "Con Incidencias", "Válido")))</f>
        <v/>
      </c>
      <c r="AB344" s="56">
        <f>IF(AND(A344="", B344="", E344=""), "", TEXTJOIN("; ", TRUE, IF(OR(TRIM(A344&amp;"")="", ISNUMBER(SEARCH("FALTA", A344))), "UPC faltante/inválido", ""), IF(AND(A344&lt;&gt;"", IFERROR(_xlfn.XMATCH(A344,$A$2:$A$370,0,1)&lt;&gt;_xlfn.XMATCH(A344,$A$2:$A$370,0,-1),FALSE)), "Código de barras duplicado", ""), IF(AND(E344&lt;&gt;"", COUNTIF($E$2:$E$370, E344)&gt;1), "SKU duplicado", ""), IF(OR(J344="", J344=""), "[Aviso] División no capturada ()", IF(ISNA(MATCH(J344, Criterios!$A$123:$A$126, 0)), "División no válida", "")), IF(OR(K344="", K344=""), "[Aviso] Categoría no capturada ()", IF(ISNA(MATCH(K344, Criterios!$A$81:$A$120, 0)), "Categoría no válida", IF(AND(J344&lt;&gt;"", J344&lt;&gt;"", J344&lt;&gt;VLOOKUP(K344, Criterios!$A$81:$B$120, 2, FALSE)), "División no coincide con Categoría", ""))), IF(OR(L344="", L344=""), "[Aviso] Género no capturado ()", IF(ISNA(MATCH(L344, Criterios!$B$123:$B$127, 0)), "Género no válido", "")), IF(OR(N344="", N344=""), "[Aviso] Temporada no capturada ()", IF(ISNA(MATCH(N344, Criterios!$C$123:$C$128, 0)), "Temporada no válida", "")), IF(OR(O344="", O344=""), "[Aviso] Ciclo de vida no capturado ()", IF(ISNA(MATCH(O344, Criterios!$D$123:$D$124, 0)), "Ciclo de vida no válido", ""))))</f>
        <v/>
      </c>
      <c r="AC344" s="56" t="n"/>
      <c r="AD344" s="51" t="n">
        <v>108</v>
      </c>
      <c r="AE344" s="156" t="inlineStr">
        <is>
          <t>Web (2); CAPSLAB Warehouse (53)</t>
        </is>
      </c>
      <c r="AF344" s="51" t="n">
        <v>108</v>
      </c>
      <c r="AG344" s="156" t="inlineStr">
        <is>
          <t>Nuevo – NetSuite con existencia</t>
        </is>
      </c>
      <c r="AH344" s="156" t="inlineStr">
        <is>
          <t>Composición CAPSLAB varía por modelo (50/50, 40/60 o 100% poliéster): validar etiqueta; Color por validar; Físico total NetSuite 108 ≠ suma por ubicación 55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4" s="156" t="inlineStr">
        <is>
          <t>No</t>
        </is>
      </c>
      <c r="AJ344" s="156" t="n"/>
      <c r="AK344" s="155" t="inlineStr">
        <is>
          <t>G1522ProductosTodosloscamposSandboxResults894.xlsx: fila 48226 [X]; G1522_Extraccion_Articulos_NetSuite_2026-09-30.xlsx: fila 30459 [Z]</t>
        </is>
      </c>
      <c r="AL344" s="58" t="n"/>
      <c r="AM344" s="58" t="n"/>
      <c r="AN344" s="155" t="n"/>
      <c r="AO344" s="59" t="n"/>
      <c r="AP344" s="59" t="n"/>
      <c r="AQ344" s="59" t="n"/>
      <c r="AR344" s="155" t="n"/>
    </row>
    <row r="345">
      <c r="A345" s="50" t="inlineStr">
        <is>
          <t>3614001713967</t>
        </is>
      </c>
      <c r="B345" s="51" t="inlineStr">
        <is>
          <t>69735</t>
        </is>
      </c>
      <c r="C345" s="156" t="inlineStr">
        <is>
          <t>CAPSLAB</t>
        </is>
      </c>
      <c r="D345" s="156" t="inlineStr">
        <is>
          <t>CL4/1/CT/DRA</t>
        </is>
      </c>
      <c r="E345" s="156" t="inlineStr">
        <is>
          <t>CL4/1/CT/DRA-UNI</t>
        </is>
      </c>
      <c r="F345" s="156" t="inlineStr">
        <is>
          <t>Talla única</t>
        </is>
      </c>
      <c r="G345" s="156" t="inlineStr">
        <is>
          <t>One Size</t>
        </is>
      </c>
      <c r="H345" s="156" t="inlineStr">
        <is>
          <t>CAPSLAB</t>
        </is>
      </c>
      <c r="I345" s="156" t="inlineStr">
        <is>
          <t>Gorra trucker CAPSLAB Lucky</t>
        </is>
      </c>
      <c r="J345" s="156" t="inlineStr">
        <is>
          <t>Accesorios</t>
        </is>
      </c>
      <c r="K345" s="156" t="inlineStr">
        <is>
          <t>Gorras</t>
        </is>
      </c>
      <c r="L345" s="156" t="inlineStr">
        <is>
          <t>Unisex</t>
        </is>
      </c>
      <c r="M345" s="156" t="inlineStr">
        <is>
          <t>Lucky</t>
        </is>
      </c>
      <c r="N345" s="156" t="n"/>
      <c r="O345" s="156" t="n"/>
      <c r="P345" s="156" t="n"/>
      <c r="Q345" s="156" t="n"/>
      <c r="R345" s="156" t="n"/>
      <c r="S345" s="156" t="inlineStr">
        <is>
          <t>Algodón / Poliéster</t>
        </is>
      </c>
      <c r="T345" s="156" t="inlineStr">
        <is>
          <t>Gorra trucker de la marca CAPSLAB bajo licencia oficial Lucky. Talla única ajustable. Estilo CL4/1/CT/DRA.</t>
        </is>
      </c>
      <c r="U345" s="156" t="n"/>
      <c r="V345" s="156" t="inlineStr">
        <is>
          <t>PZS</t>
        </is>
      </c>
      <c r="W345" s="51" t="inlineStr">
        <is>
          <t>53102516</t>
        </is>
      </c>
      <c r="X345" s="156" t="inlineStr">
        <is>
          <t>https://i.ibb.co/Gd57Dm7/CL41-CTDRA.jpg</t>
        </is>
      </c>
      <c r="Y345" s="54" t="n"/>
      <c r="Z345" s="54" t="n">
        <v>599</v>
      </c>
      <c r="AA345" s="55">
        <f>IF(AND(A345="", B345="", E345=""), "", IF(AB345="", "Válido", IF((LEN(AB345)-LEN(SUBSTITUTE(AB345,"; ","")))/2+1&gt;(LEN(AB345)-LEN(SUBSTITUTE(AB345,"[Aviso]","")))/7, "Con Incidencias", "Válido")))</f>
        <v/>
      </c>
      <c r="AB345" s="56">
        <f>IF(AND(A345="", B345="", E345=""), "", TEXTJOIN("; ", TRUE, IF(OR(TRIM(A345&amp;"")="", ISNUMBER(SEARCH("FALTA", A345))), "UPC faltante/inválido", ""), IF(AND(A345&lt;&gt;"", IFERROR(_xlfn.XMATCH(A345,$A$2:$A$370,0,1)&lt;&gt;_xlfn.XMATCH(A345,$A$2:$A$370,0,-1),FALSE)), "Código de barras duplicado", ""), IF(AND(E345&lt;&gt;"", COUNTIF($E$2:$E$370, E345)&gt;1), "SKU duplicado", ""), IF(OR(J345="", J345=""), "[Aviso] División no capturada ()", IF(ISNA(MATCH(J345, Criterios!$A$123:$A$126, 0)), "División no válida", "")), IF(OR(K345="", K345=""), "[Aviso] Categoría no capturada ()", IF(ISNA(MATCH(K345, Criterios!$A$81:$A$120, 0)), "Categoría no válida", IF(AND(J345&lt;&gt;"", J345&lt;&gt;"", J345&lt;&gt;VLOOKUP(K345, Criterios!$A$81:$B$120, 2, FALSE)), "División no coincide con Categoría", ""))), IF(OR(L345="", L345=""), "[Aviso] Género no capturado ()", IF(ISNA(MATCH(L345, Criterios!$B$123:$B$127, 0)), "Género no válido", "")), IF(OR(N345="", N345=""), "[Aviso] Temporada no capturada ()", IF(ISNA(MATCH(N345, Criterios!$C$123:$C$128, 0)), "Temporada no válida", "")), IF(OR(O345="", O345=""), "[Aviso] Ciclo de vida no capturado ()", IF(ISNA(MATCH(O345, Criterios!$D$123:$D$124, 0)), "Ciclo de vida no válido", ""))))</f>
        <v/>
      </c>
      <c r="AC345" s="56" t="n"/>
      <c r="AD345" s="51" t="n">
        <v>111</v>
      </c>
      <c r="AE345" s="156" t="inlineStr">
        <is>
          <t>CAPSLAB Warehouse (54); Web (2)</t>
        </is>
      </c>
      <c r="AF345" s="51" t="n">
        <v>111</v>
      </c>
      <c r="AG345" s="156" t="inlineStr">
        <is>
          <t>Nuevo – NetSuite con existencia</t>
        </is>
      </c>
      <c r="AH345" s="156" t="inlineStr">
        <is>
          <t>Composición CAPSLAB varía por modelo (50/50, 40/60 o 100% poliéster): validar etiqueta; Color por validar; Físico total NetSuite 111 ≠ suma por ubicación 56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5" s="156" t="inlineStr">
        <is>
          <t>No</t>
        </is>
      </c>
      <c r="AJ345" s="156" t="n"/>
      <c r="AK345" s="155" t="inlineStr">
        <is>
          <t>G1522ProductosTodosloscamposSandboxResults894.xlsx: fila 48228 [X]; G1522_Extraccion_Articulos_NetSuite_2026-09-30.xlsx: fila 30460 [Z]</t>
        </is>
      </c>
      <c r="AL345" s="58" t="n"/>
      <c r="AM345" s="58" t="n"/>
      <c r="AN345" s="155" t="n"/>
      <c r="AO345" s="59" t="n"/>
      <c r="AP345" s="59" t="n"/>
      <c r="AQ345" s="59" t="n"/>
      <c r="AR345" s="155" t="n"/>
    </row>
    <row r="346">
      <c r="A346" s="50" t="inlineStr">
        <is>
          <t>3614001714285</t>
        </is>
      </c>
      <c r="B346" s="51" t="inlineStr">
        <is>
          <t>69736</t>
        </is>
      </c>
      <c r="C346" s="156" t="inlineStr">
        <is>
          <t>CAPSLAB</t>
        </is>
      </c>
      <c r="D346" s="156" t="inlineStr">
        <is>
          <t>CL4/1/CT/GAM</t>
        </is>
      </c>
      <c r="E346" s="156" t="inlineStr">
        <is>
          <t>CL4/1/CT/GAM-UNI</t>
        </is>
      </c>
      <c r="F346" s="156" t="inlineStr">
        <is>
          <t>Talla única</t>
        </is>
      </c>
      <c r="G346" s="156" t="inlineStr">
        <is>
          <t>One Size</t>
        </is>
      </c>
      <c r="H346" s="156" t="inlineStr">
        <is>
          <t>CAPSLAB</t>
        </is>
      </c>
      <c r="I346" s="156" t="inlineStr">
        <is>
          <t>Gorra trucker CAPSLAB Lucky</t>
        </is>
      </c>
      <c r="J346" s="156" t="inlineStr">
        <is>
          <t>Accesorios</t>
        </is>
      </c>
      <c r="K346" s="156" t="inlineStr">
        <is>
          <t>Gorras</t>
        </is>
      </c>
      <c r="L346" s="156" t="inlineStr">
        <is>
          <t>Unisex</t>
        </is>
      </c>
      <c r="M346" s="156" t="inlineStr">
        <is>
          <t>Lucky</t>
        </is>
      </c>
      <c r="N346" s="156" t="n"/>
      <c r="O346" s="156" t="n"/>
      <c r="P346" s="156" t="n"/>
      <c r="Q346" s="156" t="n"/>
      <c r="R346" s="156" t="n"/>
      <c r="S346" s="156" t="inlineStr">
        <is>
          <t>Algodón / Poliéster</t>
        </is>
      </c>
      <c r="T346" s="156" t="inlineStr">
        <is>
          <t>Gorra trucker de la marca CAPSLAB bajo licencia oficial Lucky. Talla única ajustable. Estilo CL4/1/CT/GAM.</t>
        </is>
      </c>
      <c r="U346" s="156" t="n"/>
      <c r="V346" s="156" t="inlineStr">
        <is>
          <t>PZS</t>
        </is>
      </c>
      <c r="W346" s="51" t="inlineStr">
        <is>
          <t>53102516</t>
        </is>
      </c>
      <c r="X346" s="156" t="inlineStr">
        <is>
          <t>https://i.ibb.co/Vxq2LNC/CL41-CTGAM.jpg</t>
        </is>
      </c>
      <c r="Y346" s="54" t="n"/>
      <c r="Z346" s="54" t="n">
        <v>599</v>
      </c>
      <c r="AA346" s="55">
        <f>IF(AND(A346="", B346="", E346=""), "", IF(AB346="", "Válido", IF((LEN(AB346)-LEN(SUBSTITUTE(AB346,"; ","")))/2+1&gt;(LEN(AB346)-LEN(SUBSTITUTE(AB346,"[Aviso]","")))/7, "Con Incidencias", "Válido")))</f>
        <v/>
      </c>
      <c r="AB346" s="56">
        <f>IF(AND(A346="", B346="", E346=""), "", TEXTJOIN("; ", TRUE, IF(OR(TRIM(A346&amp;"")="", ISNUMBER(SEARCH("FALTA", A346))), "UPC faltante/inválido", ""), IF(AND(A346&lt;&gt;"", IFERROR(_xlfn.XMATCH(A346,$A$2:$A$370,0,1)&lt;&gt;_xlfn.XMATCH(A346,$A$2:$A$370,0,-1),FALSE)), "Código de barras duplicado", ""), IF(AND(E346&lt;&gt;"", COUNTIF($E$2:$E$370, E346)&gt;1), "SKU duplicado", ""), IF(OR(J346="", J346=""), "[Aviso] División no capturada ()", IF(ISNA(MATCH(J346, Criterios!$A$123:$A$126, 0)), "División no válida", "")), IF(OR(K346="", K346=""), "[Aviso] Categoría no capturada ()", IF(ISNA(MATCH(K346, Criterios!$A$81:$A$120, 0)), "Categoría no válida", IF(AND(J346&lt;&gt;"", J346&lt;&gt;"", J346&lt;&gt;VLOOKUP(K346, Criterios!$A$81:$B$120, 2, FALSE)), "División no coincide con Categoría", ""))), IF(OR(L346="", L346=""), "[Aviso] Género no capturado ()", IF(ISNA(MATCH(L346, Criterios!$B$123:$B$127, 0)), "Género no válido", "")), IF(OR(N346="", N346=""), "[Aviso] Temporada no capturada ()", IF(ISNA(MATCH(N346, Criterios!$C$123:$C$128, 0)), "Temporada no válida", "")), IF(OR(O346="", O346=""), "[Aviso] Ciclo de vida no capturado ()", IF(ISNA(MATCH(O346, Criterios!$D$123:$D$124, 0)), "Ciclo de vida no válido", ""))))</f>
        <v/>
      </c>
      <c r="AC346" s="56" t="n"/>
      <c r="AD346" s="51" t="n">
        <v>78</v>
      </c>
      <c r="AE346" s="156" t="inlineStr">
        <is>
          <t>CAPSLAB Warehouse (42); Web (1)</t>
        </is>
      </c>
      <c r="AF346" s="51" t="n">
        <v>78</v>
      </c>
      <c r="AG346" s="156" t="inlineStr">
        <is>
          <t>Nuevo – NetSuite con existencia</t>
        </is>
      </c>
      <c r="AH346" s="156" t="inlineStr">
        <is>
          <t>Composición CAPSLAB varía por modelo (50/50, 40/60 o 100% poliéster): validar etiqueta; Color por validar; Físico total NetSuite 78 ≠ suma por ubicación 43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6" s="156" t="inlineStr">
        <is>
          <t>No</t>
        </is>
      </c>
      <c r="AJ346" s="156" t="n"/>
      <c r="AK346" s="155" t="inlineStr">
        <is>
          <t>G1522ProductosTodosloscamposSandboxResults894.xlsx: fila 48230 [X]; G1522_Extraccion_Articulos_NetSuite_2026-09-30.xlsx: fila 30461 [Z]</t>
        </is>
      </c>
      <c r="AL346" s="58" t="n"/>
      <c r="AM346" s="58" t="n"/>
      <c r="AN346" s="155" t="n"/>
      <c r="AO346" s="59" t="n"/>
      <c r="AP346" s="59" t="n"/>
      <c r="AQ346" s="59" t="n"/>
      <c r="AR346" s="155" t="n"/>
    </row>
    <row r="347">
      <c r="A347" s="50" t="inlineStr">
        <is>
          <t>3614001714100</t>
        </is>
      </c>
      <c r="B347" s="51" t="inlineStr">
        <is>
          <t>69737</t>
        </is>
      </c>
      <c r="C347" s="156" t="inlineStr">
        <is>
          <t>CAPSLAB</t>
        </is>
      </c>
      <c r="D347" s="156" t="inlineStr">
        <is>
          <t>CL4/1/CT/JAG</t>
        </is>
      </c>
      <c r="E347" s="156" t="inlineStr">
        <is>
          <t>CL4/1/CT/JAG-UNI</t>
        </is>
      </c>
      <c r="F347" s="156" t="inlineStr">
        <is>
          <t>Talla única</t>
        </is>
      </c>
      <c r="G347" s="156" t="inlineStr">
        <is>
          <t>One Size</t>
        </is>
      </c>
      <c r="H347" s="156" t="inlineStr">
        <is>
          <t>CAPSLAB</t>
        </is>
      </c>
      <c r="I347" s="156" t="inlineStr">
        <is>
          <t>Gorra trucker CAPSLAB Cocktails</t>
        </is>
      </c>
      <c r="J347" s="156" t="inlineStr">
        <is>
          <t>Accesorios</t>
        </is>
      </c>
      <c r="K347" s="156" t="inlineStr">
        <is>
          <t>Gorras</t>
        </is>
      </c>
      <c r="L347" s="156" t="inlineStr">
        <is>
          <t>Unisex</t>
        </is>
      </c>
      <c r="M347" s="156" t="inlineStr">
        <is>
          <t>Cocktails</t>
        </is>
      </c>
      <c r="N347" s="156" t="n"/>
      <c r="O347" s="156" t="n"/>
      <c r="P347" s="156" t="n"/>
      <c r="Q347" s="156" t="n"/>
      <c r="R347" s="156" t="n"/>
      <c r="S347" s="156" t="inlineStr">
        <is>
          <t>Algodón / Poliéster</t>
        </is>
      </c>
      <c r="T347" s="156" t="inlineStr">
        <is>
          <t>Gorra trucker de la marca CAPSLAB bajo licencia oficial Cocktails. Talla única ajustable. Estilo CL4/1/CT/JAG.</t>
        </is>
      </c>
      <c r="U347" s="156" t="n"/>
      <c r="V347" s="156" t="inlineStr">
        <is>
          <t>PZS</t>
        </is>
      </c>
      <c r="W347" s="51" t="inlineStr">
        <is>
          <t>53102516</t>
        </is>
      </c>
      <c r="X347" s="156" t="inlineStr">
        <is>
          <t>https://i.ibb.co/FbH0H5N/CL41-CTJAG.jpg</t>
        </is>
      </c>
      <c r="Y347" s="54" t="n"/>
      <c r="Z347" s="54" t="n">
        <v>599</v>
      </c>
      <c r="AA347" s="55">
        <f>IF(AND(A347="", B347="", E347=""), "", IF(AB347="", "Válido", IF((LEN(AB347)-LEN(SUBSTITUTE(AB347,"; ","")))/2+1&gt;(LEN(AB347)-LEN(SUBSTITUTE(AB347,"[Aviso]","")))/7, "Con Incidencias", "Válido")))</f>
        <v/>
      </c>
      <c r="AB347" s="56">
        <f>IF(AND(A347="", B347="", E347=""), "", TEXTJOIN("; ", TRUE, IF(OR(TRIM(A347&amp;"")="", ISNUMBER(SEARCH("FALTA", A347))), "UPC faltante/inválido", ""), IF(AND(A347&lt;&gt;"", IFERROR(_xlfn.XMATCH(A347,$A$2:$A$370,0,1)&lt;&gt;_xlfn.XMATCH(A347,$A$2:$A$370,0,-1),FALSE)), "Código de barras duplicado", ""), IF(AND(E347&lt;&gt;"", COUNTIF($E$2:$E$370, E347)&gt;1), "SKU duplicado", ""), IF(OR(J347="", J347=""), "[Aviso] División no capturada ()", IF(ISNA(MATCH(J347, Criterios!$A$123:$A$126, 0)), "División no válida", "")), IF(OR(K347="", K347=""), "[Aviso] Categoría no capturada ()", IF(ISNA(MATCH(K347, Criterios!$A$81:$A$120, 0)), "Categoría no válida", IF(AND(J347&lt;&gt;"", J347&lt;&gt;"", J347&lt;&gt;VLOOKUP(K347, Criterios!$A$81:$B$120, 2, FALSE)), "División no coincide con Categoría", ""))), IF(OR(L347="", L347=""), "[Aviso] Género no capturado ()", IF(ISNA(MATCH(L347, Criterios!$B$123:$B$127, 0)), "Género no válido", "")), IF(OR(N347="", N347=""), "[Aviso] Temporada no capturada ()", IF(ISNA(MATCH(N347, Criterios!$C$123:$C$128, 0)), "Temporada no válida", "")), IF(OR(O347="", O347=""), "[Aviso] Ciclo de vida no capturado ()", IF(ISNA(MATCH(O347, Criterios!$D$123:$D$124, 0)), "Ciclo de vida no válido", ""))))</f>
        <v/>
      </c>
      <c r="AC347" s="56" t="n"/>
      <c r="AD347" s="51" t="n">
        <v>93</v>
      </c>
      <c r="AE347" s="156" t="inlineStr">
        <is>
          <t>CAPSLAB Warehouse (48)</t>
        </is>
      </c>
      <c r="AF347" s="51" t="n">
        <v>93</v>
      </c>
      <c r="AG347" s="156" t="inlineStr">
        <is>
          <t>Nuevo – NetSuite con existencia</t>
        </is>
      </c>
      <c r="AH347" s="156" t="inlineStr">
        <is>
          <t>Composición CAPSLAB varía por modelo (50/50, 40/60 o 100% poliéster): validar etiqueta; Color por validar; Físico total NetSuite 93 ≠ suma por ubicación 48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7" s="156" t="inlineStr">
        <is>
          <t>No</t>
        </is>
      </c>
      <c r="AJ347" s="156" t="n"/>
      <c r="AK347" s="155" t="inlineStr">
        <is>
          <t>G1522ProductosTodosloscamposSandboxResults894.xlsx: fila 48232 [X]; G1522_Extraccion_Articulos_NetSuite_2026-09-30.xlsx: fila 30462 [Z]</t>
        </is>
      </c>
      <c r="AL347" s="58" t="n"/>
      <c r="AM347" s="58" t="n"/>
      <c r="AN347" s="155" t="n"/>
      <c r="AO347" s="59" t="n"/>
      <c r="AP347" s="59" t="n"/>
      <c r="AQ347" s="59" t="n"/>
      <c r="AR347" s="155" t="n"/>
    </row>
    <row r="348">
      <c r="A348" s="50" t="inlineStr">
        <is>
          <t>3614001714124</t>
        </is>
      </c>
      <c r="B348" s="51" t="inlineStr">
        <is>
          <t>69738</t>
        </is>
      </c>
      <c r="C348" s="156" t="inlineStr">
        <is>
          <t>CAPSLAB</t>
        </is>
      </c>
      <c r="D348" s="156" t="inlineStr">
        <is>
          <t>CL4/1/CT/OLD</t>
        </is>
      </c>
      <c r="E348" s="156" t="inlineStr">
        <is>
          <t>CL4/1/CT/OLD-UNI</t>
        </is>
      </c>
      <c r="F348" s="156" t="inlineStr">
        <is>
          <t>Talla única</t>
        </is>
      </c>
      <c r="G348" s="156" t="inlineStr">
        <is>
          <t>One Size</t>
        </is>
      </c>
      <c r="H348" s="156" t="inlineStr">
        <is>
          <t>CAPSLAB</t>
        </is>
      </c>
      <c r="I348" s="156" t="inlineStr">
        <is>
          <t>Gorra trucker CAPSLAB Cocktails</t>
        </is>
      </c>
      <c r="J348" s="156" t="inlineStr">
        <is>
          <t>Accesorios</t>
        </is>
      </c>
      <c r="K348" s="156" t="inlineStr">
        <is>
          <t>Gorras</t>
        </is>
      </c>
      <c r="L348" s="156" t="inlineStr">
        <is>
          <t>Unisex</t>
        </is>
      </c>
      <c r="M348" s="156" t="inlineStr">
        <is>
          <t>Cocktails</t>
        </is>
      </c>
      <c r="N348" s="156" t="n"/>
      <c r="O348" s="156" t="n"/>
      <c r="P348" s="156" t="n"/>
      <c r="Q348" s="156" t="n"/>
      <c r="R348" s="156" t="n"/>
      <c r="S348" s="156" t="inlineStr">
        <is>
          <t>Algodón / Poliéster</t>
        </is>
      </c>
      <c r="T348" s="156" t="inlineStr">
        <is>
          <t>Gorra trucker de la marca CAPSLAB bajo licencia oficial Cocktails. Talla única ajustable. Estilo CL4/1/CT/OLD.</t>
        </is>
      </c>
      <c r="U348" s="156" t="n"/>
      <c r="V348" s="156" t="inlineStr">
        <is>
          <t>PZS</t>
        </is>
      </c>
      <c r="W348" s="51" t="inlineStr">
        <is>
          <t>53102516</t>
        </is>
      </c>
      <c r="X348" s="156" t="inlineStr">
        <is>
          <t>https://i.ibb.co/ZGqWDQb/CL41-CTOLD.jpg</t>
        </is>
      </c>
      <c r="Y348" s="54" t="n"/>
      <c r="Z348" s="54" t="n">
        <v>599</v>
      </c>
      <c r="AA348" s="55">
        <f>IF(AND(A348="", B348="", E348=""), "", IF(AB348="", "Válido", IF((LEN(AB348)-LEN(SUBSTITUTE(AB348,"; ","")))/2+1&gt;(LEN(AB348)-LEN(SUBSTITUTE(AB348,"[Aviso]","")))/7, "Con Incidencias", "Válido")))</f>
        <v/>
      </c>
      <c r="AB348" s="56">
        <f>IF(AND(A348="", B348="", E348=""), "", TEXTJOIN("; ", TRUE, IF(OR(TRIM(A348&amp;"")="", ISNUMBER(SEARCH("FALTA", A348))), "UPC faltante/inválido", ""), IF(AND(A348&lt;&gt;"", IFERROR(_xlfn.XMATCH(A348,$A$2:$A$370,0,1)&lt;&gt;_xlfn.XMATCH(A348,$A$2:$A$370,0,-1),FALSE)), "Código de barras duplicado", ""), IF(AND(E348&lt;&gt;"", COUNTIF($E$2:$E$370, E348)&gt;1), "SKU duplicado", ""), IF(OR(J348="", J348=""), "[Aviso] División no capturada ()", IF(ISNA(MATCH(J348, Criterios!$A$123:$A$126, 0)), "División no válida", "")), IF(OR(K348="", K348=""), "[Aviso] Categoría no capturada ()", IF(ISNA(MATCH(K348, Criterios!$A$81:$A$120, 0)), "Categoría no válida", IF(AND(J348&lt;&gt;"", J348&lt;&gt;"", J348&lt;&gt;VLOOKUP(K348, Criterios!$A$81:$B$120, 2, FALSE)), "División no coincide con Categoría", ""))), IF(OR(L348="", L348=""), "[Aviso] Género no capturado ()", IF(ISNA(MATCH(L348, Criterios!$B$123:$B$127, 0)), "Género no válido", "")), IF(OR(N348="", N348=""), "[Aviso] Temporada no capturada ()", IF(ISNA(MATCH(N348, Criterios!$C$123:$C$128, 0)), "Temporada no válida", "")), IF(OR(O348="", O348=""), "[Aviso] Ciclo de vida no capturado ()", IF(ISNA(MATCH(O348, Criterios!$D$123:$D$124, 0)), "Ciclo de vida no válido", ""))))</f>
        <v/>
      </c>
      <c r="AC348" s="56" t="n"/>
      <c r="AD348" s="51" t="n">
        <v>110</v>
      </c>
      <c r="AE348" s="156" t="inlineStr">
        <is>
          <t>Web (2); CAPSLAB Warehouse (54)</t>
        </is>
      </c>
      <c r="AF348" s="51" t="n">
        <v>110</v>
      </c>
      <c r="AG348" s="156" t="inlineStr">
        <is>
          <t>Nuevo – NetSuite con existencia</t>
        </is>
      </c>
      <c r="AH348" s="156" t="inlineStr">
        <is>
          <t>Composición CAPSLAB varía por modelo (50/50, 40/60 o 100% poliéster): validar etiqueta; Color por validar; Físico total NetSuite 110 ≠ suma por ubicación 56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8" s="156" t="inlineStr">
        <is>
          <t>No</t>
        </is>
      </c>
      <c r="AJ348" s="156" t="n"/>
      <c r="AK348" s="155" t="inlineStr">
        <is>
          <t>G1522ProductosTodosloscamposSandboxResults894.xlsx: fila 48234 [X]; G1522_Extraccion_Articulos_NetSuite_2026-09-30.xlsx: fila 30463 [Z]</t>
        </is>
      </c>
      <c r="AL348" s="58" t="n"/>
      <c r="AM348" s="58" t="n"/>
      <c r="AN348" s="155" t="n"/>
      <c r="AO348" s="59" t="n"/>
      <c r="AP348" s="59" t="n"/>
      <c r="AQ348" s="59" t="n"/>
      <c r="AR348" s="155" t="n"/>
    </row>
    <row r="349">
      <c r="A349" s="50" t="inlineStr">
        <is>
          <t>3614001713981</t>
        </is>
      </c>
      <c r="B349" s="51" t="inlineStr">
        <is>
          <t>69739</t>
        </is>
      </c>
      <c r="C349" s="156" t="inlineStr">
        <is>
          <t>CAPSLAB</t>
        </is>
      </c>
      <c r="D349" s="156" t="inlineStr">
        <is>
          <t>CL4/1/CT/PAN</t>
        </is>
      </c>
      <c r="E349" s="156" t="inlineStr">
        <is>
          <t>CL4/1/CT/PAN-UNI</t>
        </is>
      </c>
      <c r="F349" s="156" t="inlineStr">
        <is>
          <t>Talla única</t>
        </is>
      </c>
      <c r="G349" s="156" t="inlineStr">
        <is>
          <t>One Size</t>
        </is>
      </c>
      <c r="H349" s="156" t="inlineStr">
        <is>
          <t>CAPSLAB</t>
        </is>
      </c>
      <c r="I349" s="156" t="inlineStr">
        <is>
          <t>Gorra trucker CAPSLAB Lucky</t>
        </is>
      </c>
      <c r="J349" s="156" t="inlineStr">
        <is>
          <t>Accesorios</t>
        </is>
      </c>
      <c r="K349" s="156" t="inlineStr">
        <is>
          <t>Gorras</t>
        </is>
      </c>
      <c r="L349" s="156" t="inlineStr">
        <is>
          <t>Unisex</t>
        </is>
      </c>
      <c r="M349" s="156" t="inlineStr">
        <is>
          <t>Lucky</t>
        </is>
      </c>
      <c r="N349" s="156" t="n"/>
      <c r="O349" s="156" t="n"/>
      <c r="P349" s="156" t="n"/>
      <c r="Q349" s="156" t="n"/>
      <c r="R349" s="156" t="n"/>
      <c r="S349" s="156" t="inlineStr">
        <is>
          <t>Algodón / Poliéster</t>
        </is>
      </c>
      <c r="T349" s="156" t="inlineStr">
        <is>
          <t>Gorra trucker de la marca CAPSLAB bajo licencia oficial Lucky. Talla única ajustable. Estilo CL4/1/CT/PAN.</t>
        </is>
      </c>
      <c r="U349" s="156" t="n"/>
      <c r="V349" s="156" t="inlineStr">
        <is>
          <t>PZS</t>
        </is>
      </c>
      <c r="W349" s="51" t="inlineStr">
        <is>
          <t>53102516</t>
        </is>
      </c>
      <c r="X349" s="156" t="inlineStr">
        <is>
          <t>https://i.ibb.co/jHRtPWc/CL41-CTPAN.jpg</t>
        </is>
      </c>
      <c r="Y349" s="54" t="n"/>
      <c r="Z349" s="54" t="n">
        <v>599</v>
      </c>
      <c r="AA349" s="55">
        <f>IF(AND(A349="", B349="", E349=""), "", IF(AB349="", "Válido", IF((LEN(AB349)-LEN(SUBSTITUTE(AB349,"; ","")))/2+1&gt;(LEN(AB349)-LEN(SUBSTITUTE(AB349,"[Aviso]","")))/7, "Con Incidencias", "Válido")))</f>
        <v/>
      </c>
      <c r="AB349" s="56">
        <f>IF(AND(A349="", B349="", E349=""), "", TEXTJOIN("; ", TRUE, IF(OR(TRIM(A349&amp;"")="", ISNUMBER(SEARCH("FALTA", A349))), "UPC faltante/inválido", ""), IF(AND(A349&lt;&gt;"", IFERROR(_xlfn.XMATCH(A349,$A$2:$A$370,0,1)&lt;&gt;_xlfn.XMATCH(A349,$A$2:$A$370,0,-1),FALSE)), "Código de barras duplicado", ""), IF(AND(E349&lt;&gt;"", COUNTIF($E$2:$E$370, E349)&gt;1), "SKU duplicado", ""), IF(OR(J349="", J349=""), "[Aviso] División no capturada ()", IF(ISNA(MATCH(J349, Criterios!$A$123:$A$126, 0)), "División no válida", "")), IF(OR(K349="", K349=""), "[Aviso] Categoría no capturada ()", IF(ISNA(MATCH(K349, Criterios!$A$81:$A$120, 0)), "Categoría no válida", IF(AND(J349&lt;&gt;"", J349&lt;&gt;"", J349&lt;&gt;VLOOKUP(K349, Criterios!$A$81:$B$120, 2, FALSE)), "División no coincide con Categoría", ""))), IF(OR(L349="", L349=""), "[Aviso] Género no capturado ()", IF(ISNA(MATCH(L349, Criterios!$B$123:$B$127, 0)), "Género no válido", "")), IF(OR(N349="", N349=""), "[Aviso] Temporada no capturada ()", IF(ISNA(MATCH(N349, Criterios!$C$123:$C$128, 0)), "Temporada no válida", "")), IF(OR(O349="", O349=""), "[Aviso] Ciclo de vida no capturado ()", IF(ISNA(MATCH(O349, Criterios!$D$123:$D$124, 0)), "Ciclo de vida no válido", ""))))</f>
        <v/>
      </c>
      <c r="AC349" s="56" t="n"/>
      <c r="AD349" s="51" t="n">
        <v>97</v>
      </c>
      <c r="AE349" s="156" t="inlineStr">
        <is>
          <t>CAPSLAB Warehouse (51); Web (1)</t>
        </is>
      </c>
      <c r="AF349" s="51" t="n">
        <v>97</v>
      </c>
      <c r="AG349" s="156" t="inlineStr">
        <is>
          <t>Nuevo – NetSuite con existencia</t>
        </is>
      </c>
      <c r="AH349" s="156" t="inlineStr">
        <is>
          <t>Composición CAPSLAB varía por modelo (50/50, 40/60 o 100% poliéster): validar etiqueta; Color por validar; Físico total NetSuite 97 ≠ suma por ubicación 52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49" s="156" t="inlineStr">
        <is>
          <t>No</t>
        </is>
      </c>
      <c r="AJ349" s="156" t="n"/>
      <c r="AK349" s="155" t="inlineStr">
        <is>
          <t>G1522ProductosTodosloscamposSandboxResults894.xlsx: fila 48236 [X]; G1522_Extraccion_Articulos_NetSuite_2026-09-30.xlsx: fila 30464 [Z]</t>
        </is>
      </c>
      <c r="AL349" s="58" t="n"/>
      <c r="AM349" s="58" t="n"/>
      <c r="AN349" s="155" t="n"/>
      <c r="AO349" s="59" t="n"/>
      <c r="AP349" s="59" t="n"/>
      <c r="AQ349" s="59" t="n"/>
      <c r="AR349" s="155" t="n"/>
    </row>
    <row r="350">
      <c r="A350" s="50" t="inlineStr">
        <is>
          <t>3614001714148</t>
        </is>
      </c>
      <c r="B350" s="51" t="inlineStr">
        <is>
          <t>69740</t>
        </is>
      </c>
      <c r="C350" s="156" t="inlineStr">
        <is>
          <t>CAPSLAB</t>
        </is>
      </c>
      <c r="D350" s="156" t="inlineStr">
        <is>
          <t>CL4/1/CT/SEC</t>
        </is>
      </c>
      <c r="E350" s="156" t="inlineStr">
        <is>
          <t>CL4/1/CT/SEC-UNI</t>
        </is>
      </c>
      <c r="F350" s="156" t="inlineStr">
        <is>
          <t>Talla única</t>
        </is>
      </c>
      <c r="G350" s="156" t="inlineStr">
        <is>
          <t>One Size</t>
        </is>
      </c>
      <c r="H350" s="156" t="inlineStr">
        <is>
          <t>CAPSLAB</t>
        </is>
      </c>
      <c r="I350" s="156" t="inlineStr">
        <is>
          <t>Gorra trucker CAPSLAB Cocktails</t>
        </is>
      </c>
      <c r="J350" s="156" t="inlineStr">
        <is>
          <t>Accesorios</t>
        </is>
      </c>
      <c r="K350" s="156" t="inlineStr">
        <is>
          <t>Gorras</t>
        </is>
      </c>
      <c r="L350" s="156" t="inlineStr">
        <is>
          <t>Unisex</t>
        </is>
      </c>
      <c r="M350" s="156" t="inlineStr">
        <is>
          <t>Cocktails</t>
        </is>
      </c>
      <c r="N350" s="156" t="n"/>
      <c r="O350" s="156" t="n"/>
      <c r="P350" s="156" t="n"/>
      <c r="Q350" s="156" t="n"/>
      <c r="R350" s="156" t="n"/>
      <c r="S350" s="156" t="inlineStr">
        <is>
          <t>Algodón / Poliéster</t>
        </is>
      </c>
      <c r="T350" s="156" t="inlineStr">
        <is>
          <t>Gorra trucker de la marca CAPSLAB bajo licencia oficial Cocktails. Talla única ajustable. Estilo CL4/1/CT/SEC.</t>
        </is>
      </c>
      <c r="U350" s="156" t="n"/>
      <c r="V350" s="156" t="inlineStr">
        <is>
          <t>PZS</t>
        </is>
      </c>
      <c r="W350" s="51" t="inlineStr">
        <is>
          <t>53102516</t>
        </is>
      </c>
      <c r="X350" s="156" t="inlineStr">
        <is>
          <t>https://i.ibb.co/7nMCYxx/CL41-CTSEC.jpg</t>
        </is>
      </c>
      <c r="Y350" s="54" t="n"/>
      <c r="Z350" s="54" t="n">
        <v>599</v>
      </c>
      <c r="AA350" s="55">
        <f>IF(AND(A350="", B350="", E350=""), "", IF(AB350="", "Válido", IF((LEN(AB350)-LEN(SUBSTITUTE(AB350,"; ","")))/2+1&gt;(LEN(AB350)-LEN(SUBSTITUTE(AB350,"[Aviso]","")))/7, "Con Incidencias", "Válido")))</f>
        <v/>
      </c>
      <c r="AB350" s="56">
        <f>IF(AND(A350="", B350="", E350=""), "", TEXTJOIN("; ", TRUE, IF(OR(TRIM(A350&amp;"")="", ISNUMBER(SEARCH("FALTA", A350))), "UPC faltante/inválido", ""), IF(AND(A350&lt;&gt;"", IFERROR(_xlfn.XMATCH(A350,$A$2:$A$370,0,1)&lt;&gt;_xlfn.XMATCH(A350,$A$2:$A$370,0,-1),FALSE)), "Código de barras duplicado", ""), IF(AND(E350&lt;&gt;"", COUNTIF($E$2:$E$370, E350)&gt;1), "SKU duplicado", ""), IF(OR(J350="", J350=""), "[Aviso] División no capturada ()", IF(ISNA(MATCH(J350, Criterios!$A$123:$A$126, 0)), "División no válida", "")), IF(OR(K350="", K350=""), "[Aviso] Categoría no capturada ()", IF(ISNA(MATCH(K350, Criterios!$A$81:$A$120, 0)), "Categoría no válida", IF(AND(J350&lt;&gt;"", J350&lt;&gt;"", J350&lt;&gt;VLOOKUP(K350, Criterios!$A$81:$B$120, 2, FALSE)), "División no coincide con Categoría", ""))), IF(OR(L350="", L350=""), "[Aviso] Género no capturado ()", IF(ISNA(MATCH(L350, Criterios!$B$123:$B$127, 0)), "Género no válido", "")), IF(OR(N350="", N350=""), "[Aviso] Temporada no capturada ()", IF(ISNA(MATCH(N350, Criterios!$C$123:$C$128, 0)), "Temporada no válida", "")), IF(OR(O350="", O350=""), "[Aviso] Ciclo de vida no capturado ()", IF(ISNA(MATCH(O350, Criterios!$D$123:$D$124, 0)), "Ciclo de vida no válido", ""))))</f>
        <v/>
      </c>
      <c r="AC350" s="56" t="n"/>
      <c r="AD350" s="51" t="n">
        <v>99</v>
      </c>
      <c r="AE350" s="156" t="inlineStr">
        <is>
          <t>Web (2); CAPSLAB Warehouse (49)</t>
        </is>
      </c>
      <c r="AF350" s="51" t="n">
        <v>99</v>
      </c>
      <c r="AG350" s="156" t="inlineStr">
        <is>
          <t>Nuevo – NetSuite con existencia</t>
        </is>
      </c>
      <c r="AH350" s="156" t="inlineStr">
        <is>
          <t>Composición CAPSLAB varía por modelo (50/50, 40/60 o 100% poliéster): validar etiqueta; Color por validar; Físico total NetSuite 99 ≠ suma por ubicación 51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50" s="156" t="inlineStr">
        <is>
          <t>No</t>
        </is>
      </c>
      <c r="AJ350" s="156" t="n"/>
      <c r="AK350" s="155" t="inlineStr">
        <is>
          <t>G1522ProductosTodosloscamposSandboxResults894.xlsx: fila 48238 [X]; G1522_Extraccion_Articulos_NetSuite_2026-09-30.xlsx: fila 30465 [Z]</t>
        </is>
      </c>
      <c r="AL350" s="58" t="n"/>
      <c r="AM350" s="58" t="n"/>
      <c r="AN350" s="155" t="n"/>
      <c r="AO350" s="59" t="n"/>
      <c r="AP350" s="59" t="n"/>
      <c r="AQ350" s="59" t="n"/>
      <c r="AR350" s="155" t="n"/>
    </row>
    <row r="351">
      <c r="A351" s="50" t="inlineStr">
        <is>
          <t>3614001714162</t>
        </is>
      </c>
      <c r="B351" s="51" t="inlineStr">
        <is>
          <t>69741</t>
        </is>
      </c>
      <c r="C351" s="156" t="inlineStr">
        <is>
          <t>CAPSLAB</t>
        </is>
      </c>
      <c r="D351" s="156" t="inlineStr">
        <is>
          <t>CL4/1/CT/SEX</t>
        </is>
      </c>
      <c r="E351" s="156" t="inlineStr">
        <is>
          <t>CL4/1/CT/SEX-UNI</t>
        </is>
      </c>
      <c r="F351" s="156" t="inlineStr">
        <is>
          <t>Talla única</t>
        </is>
      </c>
      <c r="G351" s="156" t="inlineStr">
        <is>
          <t>One Size</t>
        </is>
      </c>
      <c r="H351" s="156" t="inlineStr">
        <is>
          <t>CAPSLAB</t>
        </is>
      </c>
      <c r="I351" s="156" t="inlineStr">
        <is>
          <t>Gorra trucker CAPSLAB Cocktails</t>
        </is>
      </c>
      <c r="J351" s="156" t="inlineStr">
        <is>
          <t>Accesorios</t>
        </is>
      </c>
      <c r="K351" s="156" t="inlineStr">
        <is>
          <t>Gorras</t>
        </is>
      </c>
      <c r="L351" s="156" t="inlineStr">
        <is>
          <t>Unisex</t>
        </is>
      </c>
      <c r="M351" s="156" t="inlineStr">
        <is>
          <t>Cocktails</t>
        </is>
      </c>
      <c r="N351" s="156" t="n"/>
      <c r="O351" s="156" t="n"/>
      <c r="P351" s="156" t="n"/>
      <c r="Q351" s="156" t="n"/>
      <c r="R351" s="156" t="n"/>
      <c r="S351" s="156" t="inlineStr">
        <is>
          <t>Algodón / Poliéster</t>
        </is>
      </c>
      <c r="T351" s="156" t="inlineStr">
        <is>
          <t>Gorra trucker de la marca CAPSLAB bajo licencia oficial Cocktails. Talla única ajustable. Estilo CL4/1/CT/SEX.</t>
        </is>
      </c>
      <c r="U351" s="156" t="n"/>
      <c r="V351" s="156" t="inlineStr">
        <is>
          <t>PZS</t>
        </is>
      </c>
      <c r="W351" s="51" t="inlineStr">
        <is>
          <t>53102516</t>
        </is>
      </c>
      <c r="X351" s="156" t="inlineStr">
        <is>
          <t>https://i.ibb.co/RhrbMCY/CL41-CTSEX.jpg</t>
        </is>
      </c>
      <c r="Y351" s="54" t="n"/>
      <c r="Z351" s="54" t="n">
        <v>599</v>
      </c>
      <c r="AA351" s="55">
        <f>IF(AND(A351="", B351="", E351=""), "", IF(AB351="", "Válido", IF((LEN(AB351)-LEN(SUBSTITUTE(AB351,"; ","")))/2+1&gt;(LEN(AB351)-LEN(SUBSTITUTE(AB351,"[Aviso]","")))/7, "Con Incidencias", "Válido")))</f>
        <v/>
      </c>
      <c r="AB351" s="56">
        <f>IF(AND(A351="", B351="", E351=""), "", TEXTJOIN("; ", TRUE, IF(OR(TRIM(A351&amp;"")="", ISNUMBER(SEARCH("FALTA", A351))), "UPC faltante/inválido", ""), IF(AND(A351&lt;&gt;"", IFERROR(_xlfn.XMATCH(A351,$A$2:$A$370,0,1)&lt;&gt;_xlfn.XMATCH(A351,$A$2:$A$370,0,-1),FALSE)), "Código de barras duplicado", ""), IF(AND(E351&lt;&gt;"", COUNTIF($E$2:$E$370, E351)&gt;1), "SKU duplicado", ""), IF(OR(J351="", J351=""), "[Aviso] División no capturada ()", IF(ISNA(MATCH(J351, Criterios!$A$123:$A$126, 0)), "División no válida", "")), IF(OR(K351="", K351=""), "[Aviso] Categoría no capturada ()", IF(ISNA(MATCH(K351, Criterios!$A$81:$A$120, 0)), "Categoría no válida", IF(AND(J351&lt;&gt;"", J351&lt;&gt;"", J351&lt;&gt;VLOOKUP(K351, Criterios!$A$81:$B$120, 2, FALSE)), "División no coincide con Categoría", ""))), IF(OR(L351="", L351=""), "[Aviso] Género no capturado ()", IF(ISNA(MATCH(L351, Criterios!$B$123:$B$127, 0)), "Género no válido", "")), IF(OR(N351="", N351=""), "[Aviso] Temporada no capturada ()", IF(ISNA(MATCH(N351, Criterios!$C$123:$C$128, 0)), "Temporada no válida", "")), IF(OR(O351="", O351=""), "[Aviso] Ciclo de vida no capturado ()", IF(ISNA(MATCH(O351, Criterios!$D$123:$D$124, 0)), "Ciclo de vida no válido", ""))))</f>
        <v/>
      </c>
      <c r="AC351" s="56" t="n"/>
      <c r="AD351" s="51" t="n">
        <v>105</v>
      </c>
      <c r="AE351" s="156" t="inlineStr">
        <is>
          <t>CAPSLAB Warehouse (51); Web (2)</t>
        </is>
      </c>
      <c r="AF351" s="51" t="n">
        <v>105</v>
      </c>
      <c r="AG351" s="156" t="inlineStr">
        <is>
          <t>Nuevo – NetSuite con existencia</t>
        </is>
      </c>
      <c r="AH351" s="156" t="inlineStr">
        <is>
          <t>Composición CAPSLAB varía por modelo (50/50, 40/60 o 100% poliéster): validar etiqueta; Color por validar; Físico total NetSuite 105 ≠ suma por ubicación 53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51" s="156" t="inlineStr">
        <is>
          <t>No</t>
        </is>
      </c>
      <c r="AJ351" s="156" t="n"/>
      <c r="AK351" s="155" t="inlineStr">
        <is>
          <t>G1522ProductosTodosloscamposSandboxResults894.xlsx: fila 48240 [X]; G1522_Extraccion_Articulos_NetSuite_2026-09-30.xlsx: fila 30466 [Z]</t>
        </is>
      </c>
      <c r="AL351" s="58" t="n"/>
      <c r="AM351" s="58" t="n"/>
      <c r="AN351" s="155" t="n"/>
      <c r="AO351" s="59" t="n"/>
      <c r="AP351" s="59" t="n"/>
      <c r="AQ351" s="59" t="n"/>
      <c r="AR351" s="155" t="n"/>
    </row>
    <row r="352">
      <c r="A352" s="50" t="inlineStr">
        <is>
          <t>3614001714186</t>
        </is>
      </c>
      <c r="B352" s="51" t="inlineStr">
        <is>
          <t>69742</t>
        </is>
      </c>
      <c r="C352" s="156" t="inlineStr">
        <is>
          <t>CAPSLAB</t>
        </is>
      </c>
      <c r="D352" s="156" t="inlineStr">
        <is>
          <t>CL4/1/CT/SKI</t>
        </is>
      </c>
      <c r="E352" s="156" t="inlineStr">
        <is>
          <t>CL4/1/CT/SKI-UNI</t>
        </is>
      </c>
      <c r="F352" s="156" t="inlineStr">
        <is>
          <t>Talla única</t>
        </is>
      </c>
      <c r="G352" s="156" t="inlineStr">
        <is>
          <t>One Size</t>
        </is>
      </c>
      <c r="H352" s="156" t="inlineStr">
        <is>
          <t>CAPSLAB</t>
        </is>
      </c>
      <c r="I352" s="156" t="inlineStr">
        <is>
          <t>Gorra trucker CAPSLAB Cocktails</t>
        </is>
      </c>
      <c r="J352" s="156" t="inlineStr">
        <is>
          <t>Accesorios</t>
        </is>
      </c>
      <c r="K352" s="156" t="inlineStr">
        <is>
          <t>Gorras</t>
        </is>
      </c>
      <c r="L352" s="156" t="inlineStr">
        <is>
          <t>Unisex</t>
        </is>
      </c>
      <c r="M352" s="156" t="inlineStr">
        <is>
          <t>Cocktails</t>
        </is>
      </c>
      <c r="N352" s="156" t="n"/>
      <c r="O352" s="156" t="n"/>
      <c r="P352" s="156" t="n"/>
      <c r="Q352" s="156" t="n"/>
      <c r="R352" s="156" t="n"/>
      <c r="S352" s="156" t="inlineStr">
        <is>
          <t>Algodón / Poliéster</t>
        </is>
      </c>
      <c r="T352" s="156" t="inlineStr">
        <is>
          <t>Gorra trucker de la marca CAPSLAB bajo licencia oficial Cocktails. Talla única ajustable. Estilo CL4/1/CT/SKI.</t>
        </is>
      </c>
      <c r="U352" s="156" t="n"/>
      <c r="V352" s="156" t="inlineStr">
        <is>
          <t>PZS</t>
        </is>
      </c>
      <c r="W352" s="51" t="inlineStr">
        <is>
          <t>53102516</t>
        </is>
      </c>
      <c r="X352" s="156" t="inlineStr">
        <is>
          <t>https://i.ibb.co/wrHz0ZN/CL41-CTSKI.jpg</t>
        </is>
      </c>
      <c r="Y352" s="54" t="n"/>
      <c r="Z352" s="54" t="n">
        <v>599</v>
      </c>
      <c r="AA352" s="55">
        <f>IF(AND(A352="", B352="", E352=""), "", IF(AB352="", "Válido", IF((LEN(AB352)-LEN(SUBSTITUTE(AB352,"; ","")))/2+1&gt;(LEN(AB352)-LEN(SUBSTITUTE(AB352,"[Aviso]","")))/7, "Con Incidencias", "Válido")))</f>
        <v/>
      </c>
      <c r="AB352" s="56">
        <f>IF(AND(A352="", B352="", E352=""), "", TEXTJOIN("; ", TRUE, IF(OR(TRIM(A352&amp;"")="", ISNUMBER(SEARCH("FALTA", A352))), "UPC faltante/inválido", ""), IF(AND(A352&lt;&gt;"", IFERROR(_xlfn.XMATCH(A352,$A$2:$A$370,0,1)&lt;&gt;_xlfn.XMATCH(A352,$A$2:$A$370,0,-1),FALSE)), "Código de barras duplicado", ""), IF(AND(E352&lt;&gt;"", COUNTIF($E$2:$E$370, E352)&gt;1), "SKU duplicado", ""), IF(OR(J352="", J352=""), "[Aviso] División no capturada ()", IF(ISNA(MATCH(J352, Criterios!$A$123:$A$126, 0)), "División no válida", "")), IF(OR(K352="", K352=""), "[Aviso] Categoría no capturada ()", IF(ISNA(MATCH(K352, Criterios!$A$81:$A$120, 0)), "Categoría no válida", IF(AND(J352&lt;&gt;"", J352&lt;&gt;"", J352&lt;&gt;VLOOKUP(K352, Criterios!$A$81:$B$120, 2, FALSE)), "División no coincide con Categoría", ""))), IF(OR(L352="", L352=""), "[Aviso] Género no capturado ()", IF(ISNA(MATCH(L352, Criterios!$B$123:$B$127, 0)), "Género no válido", "")), IF(OR(N352="", N352=""), "[Aviso] Temporada no capturada ()", IF(ISNA(MATCH(N352, Criterios!$C$123:$C$128, 0)), "Temporada no válida", "")), IF(OR(O352="", O352=""), "[Aviso] Ciclo de vida no capturado ()", IF(ISNA(MATCH(O352, Criterios!$D$123:$D$124, 0)), "Ciclo de vida no válido", ""))))</f>
        <v/>
      </c>
      <c r="AC352" s="56" t="n"/>
      <c r="AD352" s="51" t="n">
        <v>97</v>
      </c>
      <c r="AE352" s="156" t="inlineStr">
        <is>
          <t>CAPSLAB Warehouse (50); Web (1)</t>
        </is>
      </c>
      <c r="AF352" s="51" t="n">
        <v>97</v>
      </c>
      <c r="AG352" s="156" t="inlineStr">
        <is>
          <t>Nuevo – NetSuite con existencia</t>
        </is>
      </c>
      <c r="AH352" s="156" t="inlineStr">
        <is>
          <t>Composición CAPSLAB varía por modelo (50/50, 40/60 o 100% poliéster): validar etiqueta; Color por validar; Físico total NetSuite 97 ≠ suma por ubicación 51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52" s="156" t="inlineStr">
        <is>
          <t>No</t>
        </is>
      </c>
      <c r="AJ352" s="156" t="n"/>
      <c r="AK352" s="155" t="inlineStr">
        <is>
          <t>G1522ProductosTodosloscamposSandboxResults894.xlsx: fila 48242 [X]; G1522_Extraccion_Articulos_NetSuite_2026-09-30.xlsx: fila 30467 [Z]</t>
        </is>
      </c>
      <c r="AL352" s="58" t="n"/>
      <c r="AM352" s="58" t="n"/>
      <c r="AN352" s="155" t="n"/>
      <c r="AO352" s="59" t="n"/>
      <c r="AP352" s="59" t="n"/>
      <c r="AQ352" s="59" t="n"/>
      <c r="AR352" s="155" t="n"/>
    </row>
    <row r="353">
      <c r="A353" s="50" t="inlineStr">
        <is>
          <t>3614001714001</t>
        </is>
      </c>
      <c r="B353" s="51" t="inlineStr">
        <is>
          <t>69743</t>
        </is>
      </c>
      <c r="C353" s="156" t="inlineStr">
        <is>
          <t>CAPSLAB</t>
        </is>
      </c>
      <c r="D353" s="156" t="inlineStr">
        <is>
          <t>CL4/1/CT/SNA</t>
        </is>
      </c>
      <c r="E353" s="156" t="inlineStr">
        <is>
          <t>CL4/1/CT/SNA-UNI</t>
        </is>
      </c>
      <c r="F353" s="156" t="inlineStr">
        <is>
          <t>Talla única</t>
        </is>
      </c>
      <c r="G353" s="156" t="inlineStr">
        <is>
          <t>One Size</t>
        </is>
      </c>
      <c r="H353" s="156" t="inlineStr">
        <is>
          <t>CAPSLAB</t>
        </is>
      </c>
      <c r="I353" s="156" t="inlineStr">
        <is>
          <t>Gorra trucker CAPSLAB Lucky</t>
        </is>
      </c>
      <c r="J353" s="156" t="inlineStr">
        <is>
          <t>Accesorios</t>
        </is>
      </c>
      <c r="K353" s="156" t="inlineStr">
        <is>
          <t>Gorras</t>
        </is>
      </c>
      <c r="L353" s="156" t="inlineStr">
        <is>
          <t>Unisex</t>
        </is>
      </c>
      <c r="M353" s="156" t="inlineStr">
        <is>
          <t>Lucky</t>
        </is>
      </c>
      <c r="N353" s="156" t="n"/>
      <c r="O353" s="156" t="n"/>
      <c r="P353" s="156" t="n"/>
      <c r="Q353" s="156" t="n"/>
      <c r="R353" s="156" t="n"/>
      <c r="S353" s="156" t="inlineStr">
        <is>
          <t>Algodón / Poliéster</t>
        </is>
      </c>
      <c r="T353" s="156" t="inlineStr">
        <is>
          <t>Gorra trucker de la marca CAPSLAB bajo licencia oficial Lucky. Talla única ajustable. Estilo CL4/1/CT/SNA.</t>
        </is>
      </c>
      <c r="U353" s="156" t="n"/>
      <c r="V353" s="156" t="inlineStr">
        <is>
          <t>PZS</t>
        </is>
      </c>
      <c r="W353" s="51" t="inlineStr">
        <is>
          <t>53102516</t>
        </is>
      </c>
      <c r="X353" s="156" t="inlineStr">
        <is>
          <t>https://i.ibb.co/W5YGKNQ/CL41-CTSNA.jpg</t>
        </is>
      </c>
      <c r="Y353" s="54" t="n"/>
      <c r="Z353" s="54" t="n">
        <v>599</v>
      </c>
      <c r="AA353" s="55">
        <f>IF(AND(A353="", B353="", E353=""), "", IF(AB353="", "Válido", IF((LEN(AB353)-LEN(SUBSTITUTE(AB353,"; ","")))/2+1&gt;(LEN(AB353)-LEN(SUBSTITUTE(AB353,"[Aviso]","")))/7, "Con Incidencias", "Válido")))</f>
        <v/>
      </c>
      <c r="AB353" s="56">
        <f>IF(AND(A353="", B353="", E353=""), "", TEXTJOIN("; ", TRUE, IF(OR(TRIM(A353&amp;"")="", ISNUMBER(SEARCH("FALTA", A353))), "UPC faltante/inválido", ""), IF(AND(A353&lt;&gt;"", IFERROR(_xlfn.XMATCH(A353,$A$2:$A$370,0,1)&lt;&gt;_xlfn.XMATCH(A353,$A$2:$A$370,0,-1),FALSE)), "Código de barras duplicado", ""), IF(AND(E353&lt;&gt;"", COUNTIF($E$2:$E$370, E353)&gt;1), "SKU duplicado", ""), IF(OR(J353="", J353=""), "[Aviso] División no capturada ()", IF(ISNA(MATCH(J353, Criterios!$A$123:$A$126, 0)), "División no válida", "")), IF(OR(K353="", K353=""), "[Aviso] Categoría no capturada ()", IF(ISNA(MATCH(K353, Criterios!$A$81:$A$120, 0)), "Categoría no válida", IF(AND(J353&lt;&gt;"", J353&lt;&gt;"", J353&lt;&gt;VLOOKUP(K353, Criterios!$A$81:$B$120, 2, FALSE)), "División no coincide con Categoría", ""))), IF(OR(L353="", L353=""), "[Aviso] Género no capturado ()", IF(ISNA(MATCH(L353, Criterios!$B$123:$B$127, 0)), "Género no válido", "")), IF(OR(N353="", N353=""), "[Aviso] Temporada no capturada ()", IF(ISNA(MATCH(N353, Criterios!$C$123:$C$128, 0)), "Temporada no válida", "")), IF(OR(O353="", O353=""), "[Aviso] Ciclo de vida no capturado ()", IF(ISNA(MATCH(O353, Criterios!$D$123:$D$124, 0)), "Ciclo de vida no válido", ""))))</f>
        <v/>
      </c>
      <c r="AC353" s="56" t="n"/>
      <c r="AD353" s="51" t="n">
        <v>96</v>
      </c>
      <c r="AE353" s="156" t="inlineStr">
        <is>
          <t>Web (2); CAPSLAB Warehouse (49)</t>
        </is>
      </c>
      <c r="AF353" s="51" t="n">
        <v>96</v>
      </c>
      <c r="AG353" s="156" t="inlineStr">
        <is>
          <t>Nuevo – NetSuite con existencia</t>
        </is>
      </c>
      <c r="AH353" s="156" t="inlineStr">
        <is>
          <t>Composición CAPSLAB varía por modelo (50/50, 40/60 o 100% poliéster): validar etiqueta; Color por validar; Físico total NetSuite 96 ≠ suma por ubicación 51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53" s="156" t="inlineStr">
        <is>
          <t>No</t>
        </is>
      </c>
      <c r="AJ353" s="156" t="n"/>
      <c r="AK353" s="155" t="inlineStr">
        <is>
          <t>G1522ProductosTodosloscamposSandboxResults894.xlsx: fila 48244 [X]; G1522_Extraccion_Articulos_NetSuite_2026-09-30.xlsx: fila 30468 [Z]</t>
        </is>
      </c>
      <c r="AL353" s="58" t="n"/>
      <c r="AM353" s="58" t="n"/>
      <c r="AN353" s="155" t="n"/>
      <c r="AO353" s="59" t="n"/>
      <c r="AP353" s="59" t="n"/>
      <c r="AQ353" s="59" t="n"/>
      <c r="AR353" s="155" t="n"/>
    </row>
    <row r="354">
      <c r="A354" s="50" t="inlineStr">
        <is>
          <t>3614001714025</t>
        </is>
      </c>
      <c r="B354" s="51" t="inlineStr">
        <is>
          <t>69744</t>
        </is>
      </c>
      <c r="C354" s="156" t="inlineStr">
        <is>
          <t>CAPSLAB</t>
        </is>
      </c>
      <c r="D354" s="156" t="inlineStr">
        <is>
          <t>CL4/1/CT/TIG</t>
        </is>
      </c>
      <c r="E354" s="156" t="inlineStr">
        <is>
          <t>CL4/1/CT/TIG-UNI</t>
        </is>
      </c>
      <c r="F354" s="156" t="inlineStr">
        <is>
          <t>Talla única</t>
        </is>
      </c>
      <c r="G354" s="156" t="inlineStr">
        <is>
          <t>One Size</t>
        </is>
      </c>
      <c r="H354" s="156" t="inlineStr">
        <is>
          <t>CAPSLAB</t>
        </is>
      </c>
      <c r="I354" s="156" t="inlineStr">
        <is>
          <t>Gorra trucker CAPSLAB Lucky</t>
        </is>
      </c>
      <c r="J354" s="156" t="inlineStr">
        <is>
          <t>Accesorios</t>
        </is>
      </c>
      <c r="K354" s="156" t="inlineStr">
        <is>
          <t>Gorras</t>
        </is>
      </c>
      <c r="L354" s="156" t="inlineStr">
        <is>
          <t>Unisex</t>
        </is>
      </c>
      <c r="M354" s="156" t="inlineStr">
        <is>
          <t>Lucky</t>
        </is>
      </c>
      <c r="N354" s="156" t="n"/>
      <c r="O354" s="156" t="n"/>
      <c r="P354" s="156" t="n"/>
      <c r="Q354" s="156" t="n"/>
      <c r="R354" s="156" t="n"/>
      <c r="S354" s="156" t="inlineStr">
        <is>
          <t>Algodón / Poliéster</t>
        </is>
      </c>
      <c r="T354" s="156" t="inlineStr">
        <is>
          <t>Gorra trucker de la marca CAPSLAB bajo licencia oficial Lucky. Talla única ajustable. Estilo CL4/1/CT/TIG.</t>
        </is>
      </c>
      <c r="U354" s="156" t="n"/>
      <c r="V354" s="156" t="inlineStr">
        <is>
          <t>PZS</t>
        </is>
      </c>
      <c r="W354" s="51" t="inlineStr">
        <is>
          <t>53102516</t>
        </is>
      </c>
      <c r="X354" s="156" t="inlineStr">
        <is>
          <t>https://i.ibb.co/6gXPBPv/CL41-CTTIG.jpg</t>
        </is>
      </c>
      <c r="Y354" s="54" t="n"/>
      <c r="Z354" s="54" t="n">
        <v>599</v>
      </c>
      <c r="AA354" s="55">
        <f>IF(AND(A354="", B354="", E354=""), "", IF(AB354="", "Válido", IF((LEN(AB354)-LEN(SUBSTITUTE(AB354,"; ","")))/2+1&gt;(LEN(AB354)-LEN(SUBSTITUTE(AB354,"[Aviso]","")))/7, "Con Incidencias", "Válido")))</f>
        <v/>
      </c>
      <c r="AB354" s="56">
        <f>IF(AND(A354="", B354="", E354=""), "", TEXTJOIN("; ", TRUE, IF(OR(TRIM(A354&amp;"")="", ISNUMBER(SEARCH("FALTA", A354))), "UPC faltante/inválido", ""), IF(AND(A354&lt;&gt;"", IFERROR(_xlfn.XMATCH(A354,$A$2:$A$370,0,1)&lt;&gt;_xlfn.XMATCH(A354,$A$2:$A$370,0,-1),FALSE)), "Código de barras duplicado", ""), IF(AND(E354&lt;&gt;"", COUNTIF($E$2:$E$370, E354)&gt;1), "SKU duplicado", ""), IF(OR(J354="", J354=""), "[Aviso] División no capturada ()", IF(ISNA(MATCH(J354, Criterios!$A$123:$A$126, 0)), "División no válida", "")), IF(OR(K354="", K354=""), "[Aviso] Categoría no capturada ()", IF(ISNA(MATCH(K354, Criterios!$A$81:$A$120, 0)), "Categoría no válida", IF(AND(J354&lt;&gt;"", J354&lt;&gt;"", J354&lt;&gt;VLOOKUP(K354, Criterios!$A$81:$B$120, 2, FALSE)), "División no coincide con Categoría", ""))), IF(OR(L354="", L354=""), "[Aviso] Género no capturado ()", IF(ISNA(MATCH(L354, Criterios!$B$123:$B$127, 0)), "Género no válido", "")), IF(OR(N354="", N354=""), "[Aviso] Temporada no capturada ()", IF(ISNA(MATCH(N354, Criterios!$C$123:$C$128, 0)), "Temporada no válida", "")), IF(OR(O354="", O354=""), "[Aviso] Ciclo de vida no capturado ()", IF(ISNA(MATCH(O354, Criterios!$D$123:$D$124, 0)), "Ciclo de vida no válido", ""))))</f>
        <v/>
      </c>
      <c r="AC354" s="56" t="n"/>
      <c r="AD354" s="51" t="n">
        <v>83</v>
      </c>
      <c r="AE354" s="156" t="inlineStr">
        <is>
          <t>CAPSLAB Warehouse (45); Web (1)</t>
        </is>
      </c>
      <c r="AF354" s="51" t="n">
        <v>83</v>
      </c>
      <c r="AG354" s="156" t="inlineStr">
        <is>
          <t>Nuevo – NetSuite con existencia</t>
        </is>
      </c>
      <c r="AH354" s="156" t="inlineStr">
        <is>
          <t>Composición CAPSLAB varía por modelo (50/50, 40/60 o 100% poliéster): validar etiqueta; Color por validar; Físico total NetSuite 83 ≠ suma por ubicación 46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54" s="156" t="inlineStr">
        <is>
          <t>No</t>
        </is>
      </c>
      <c r="AJ354" s="156" t="n"/>
      <c r="AK354" s="155" t="inlineStr">
        <is>
          <t>G1522ProductosTodosloscamposSandboxResults894.xlsx: fila 48246 [X]; G1522_Extraccion_Articulos_NetSuite_2026-09-30.xlsx: fila 30469 [Z]</t>
        </is>
      </c>
      <c r="AL354" s="58" t="n"/>
      <c r="AM354" s="58" t="n"/>
      <c r="AN354" s="155" t="n"/>
      <c r="AO354" s="59" t="n"/>
      <c r="AP354" s="59" t="n"/>
      <c r="AQ354" s="59" t="n"/>
      <c r="AR354" s="155" t="n"/>
    </row>
    <row r="355">
      <c r="A355" s="50" t="inlineStr">
        <is>
          <t>3614001714308</t>
        </is>
      </c>
      <c r="B355" s="51" t="inlineStr">
        <is>
          <t>69745</t>
        </is>
      </c>
      <c r="C355" s="156" t="inlineStr">
        <is>
          <t>CAPSLAB</t>
        </is>
      </c>
      <c r="D355" s="156" t="inlineStr">
        <is>
          <t>CL4/1/CT/VEG</t>
        </is>
      </c>
      <c r="E355" s="156" t="inlineStr">
        <is>
          <t>CL4/1/CT/VEG-UNI</t>
        </is>
      </c>
      <c r="F355" s="156" t="inlineStr">
        <is>
          <t>Talla única</t>
        </is>
      </c>
      <c r="G355" s="156" t="inlineStr">
        <is>
          <t>One Size</t>
        </is>
      </c>
      <c r="H355" s="156" t="inlineStr">
        <is>
          <t>CAPSLAB</t>
        </is>
      </c>
      <c r="I355" s="156" t="inlineStr">
        <is>
          <t>Gorra trucker CAPSLAB Lucky Vegeta</t>
        </is>
      </c>
      <c r="J355" s="156" t="inlineStr">
        <is>
          <t>Accesorios</t>
        </is>
      </c>
      <c r="K355" s="156" t="inlineStr">
        <is>
          <t>Gorras</t>
        </is>
      </c>
      <c r="L355" s="156" t="inlineStr">
        <is>
          <t>Unisex</t>
        </is>
      </c>
      <c r="M355" s="156" t="inlineStr">
        <is>
          <t>Lucky</t>
        </is>
      </c>
      <c r="N355" s="156" t="n"/>
      <c r="O355" s="156" t="n"/>
      <c r="P355" s="156" t="n"/>
      <c r="Q355" s="156" t="n"/>
      <c r="R355" s="156" t="n"/>
      <c r="S355" s="156" t="inlineStr">
        <is>
          <t>Algodón / Poliéster</t>
        </is>
      </c>
      <c r="T355" s="156" t="inlineStr">
        <is>
          <t>Gorra trucker de la marca CAPSLAB bajo licencia oficial Lucky, personaje Vegeta. Talla única ajustable. Estilo CL4/1/CT/VEG.</t>
        </is>
      </c>
      <c r="U355" s="156" t="n"/>
      <c r="V355" s="156" t="inlineStr">
        <is>
          <t>PZS</t>
        </is>
      </c>
      <c r="W355" s="51" t="inlineStr">
        <is>
          <t>53102516</t>
        </is>
      </c>
      <c r="X355" s="156" t="inlineStr">
        <is>
          <t>https://i.ibb.co/7CpG481/CL41-CTVEG.jpg</t>
        </is>
      </c>
      <c r="Y355" s="54" t="n"/>
      <c r="Z355" s="54" t="n">
        <v>599</v>
      </c>
      <c r="AA355" s="55">
        <f>IF(AND(A355="", B355="", E355=""), "", IF(AB355="", "Válido", IF((LEN(AB355)-LEN(SUBSTITUTE(AB355,"; ","")))/2+1&gt;(LEN(AB355)-LEN(SUBSTITUTE(AB355,"[Aviso]","")))/7, "Con Incidencias", "Válido")))</f>
        <v/>
      </c>
      <c r="AB355" s="56">
        <f>IF(AND(A355="", B355="", E355=""), "", TEXTJOIN("; ", TRUE, IF(OR(TRIM(A355&amp;"")="", ISNUMBER(SEARCH("FALTA", A355))), "UPC faltante/inválido", ""), IF(AND(A355&lt;&gt;"", IFERROR(_xlfn.XMATCH(A355,$A$2:$A$370,0,1)&lt;&gt;_xlfn.XMATCH(A355,$A$2:$A$370,0,-1),FALSE)), "Código de barras duplicado", ""), IF(AND(E355&lt;&gt;"", COUNTIF($E$2:$E$370, E355)&gt;1), "SKU duplicado", ""), IF(OR(J355="", J355=""), "[Aviso] División no capturada ()", IF(ISNA(MATCH(J355, Criterios!$A$123:$A$126, 0)), "División no válida", "")), IF(OR(K355="", K355=""), "[Aviso] Categoría no capturada ()", IF(ISNA(MATCH(K355, Criterios!$A$81:$A$120, 0)), "Categoría no válida", IF(AND(J355&lt;&gt;"", J355&lt;&gt;"", J355&lt;&gt;VLOOKUP(K355, Criterios!$A$81:$B$120, 2, FALSE)), "División no coincide con Categoría", ""))), IF(OR(L355="", L355=""), "[Aviso] Género no capturado ()", IF(ISNA(MATCH(L355, Criterios!$B$123:$B$127, 0)), "Género no válido", "")), IF(OR(N355="", N355=""), "[Aviso] Temporada no capturada ()", IF(ISNA(MATCH(N355, Criterios!$C$123:$C$128, 0)), "Temporada no válida", "")), IF(OR(O355="", O355=""), "[Aviso] Ciclo de vida no capturado ()", IF(ISNA(MATCH(O355, Criterios!$D$123:$D$124, 0)), "Ciclo de vida no válido", ""))))</f>
        <v/>
      </c>
      <c r="AC355" s="56" t="n"/>
      <c r="AD355" s="51" t="n">
        <v>104</v>
      </c>
      <c r="AE355" s="156" t="inlineStr">
        <is>
          <t>Web (2); CAPSLAB Warehouse (50)</t>
        </is>
      </c>
      <c r="AF355" s="51" t="n">
        <v>104</v>
      </c>
      <c r="AG355" s="156" t="inlineStr">
        <is>
          <t>Nuevo – NetSuite con existencia</t>
        </is>
      </c>
      <c r="AH355" s="156" t="inlineStr">
        <is>
          <t>Composición CAPSLAB varía por modelo (50/50, 40/60 o 100% poliéster): validar etiqueta; Color por validar; Físico total NetSuite 104 ≠ suma por ubicación 52 | Revisión 29/09/2026: Marca CAPSLAB fuera de lista Criterios; Campos sin respaldo: N, O, P, U, Y; Auditoría NetSuite 30/09/2026: llenado desde NetSuite [Z] | Homologación G1522 06/10/2026: Validador Shopify: WB: precio con IVA no termina en 9</t>
        </is>
      </c>
      <c r="AI355" s="156" t="inlineStr">
        <is>
          <t>No</t>
        </is>
      </c>
      <c r="AJ355" s="156" t="n"/>
      <c r="AK355" s="155" t="inlineStr">
        <is>
          <t>G1522ProductosTodosloscamposSandboxResults894.xlsx: fila 48248 [X]; G1522_Extraccion_Articulos_NetSuite_2026-09-30.xlsx: fila 30470 [Z]</t>
        </is>
      </c>
      <c r="AL355" s="58" t="n"/>
      <c r="AM355" s="58" t="n"/>
      <c r="AN355" s="155" t="n"/>
      <c r="AO355" s="59" t="n"/>
      <c r="AP355" s="59" t="n"/>
      <c r="AQ355" s="59" t="n"/>
      <c r="AR355" s="155" t="n"/>
    </row>
    <row r="356">
      <c r="A356" s="50" t="n"/>
      <c r="B356" s="51" t="inlineStr">
        <is>
          <t>62640</t>
        </is>
      </c>
      <c r="C356" s="156" t="n"/>
      <c r="D356" s="156" t="n"/>
      <c r="E356" s="156" t="n"/>
      <c r="F356" s="156" t="inlineStr">
        <is>
          <t>Talla única</t>
        </is>
      </c>
      <c r="G356" s="156" t="inlineStr">
        <is>
          <t>One Size</t>
        </is>
      </c>
      <c r="H356" s="156" t="inlineStr">
        <is>
          <t>CAPSLAB</t>
        </is>
      </c>
      <c r="I356" s="156" t="inlineStr">
        <is>
          <t>CL/ GORRA BC</t>
        </is>
      </c>
      <c r="J356" s="156" t="inlineStr">
        <is>
          <t>Accesorios</t>
        </is>
      </c>
      <c r="K356" s="156" t="inlineStr">
        <is>
          <t>Gorras</t>
        </is>
      </c>
      <c r="L356" s="156" t="inlineStr">
        <is>
          <t>Unisex</t>
        </is>
      </c>
      <c r="M356" s="156" t="n"/>
      <c r="N356" s="156" t="n"/>
      <c r="O356" s="156" t="n"/>
      <c r="P356" s="156" t="n"/>
      <c r="Q356" s="156" t="n"/>
      <c r="R356" s="156" t="n"/>
      <c r="S356" s="156" t="n"/>
      <c r="T356" s="156" t="inlineStr">
        <is>
          <t>GORRA BC</t>
        </is>
      </c>
      <c r="U356" s="156" t="n"/>
      <c r="V356" s="156" t="inlineStr">
        <is>
          <t>PZS</t>
        </is>
      </c>
      <c r="W356" s="51" t="inlineStr">
        <is>
          <t>49221510</t>
        </is>
      </c>
      <c r="X356" s="156" t="n"/>
      <c r="Y356" s="54" t="n">
        <v>266</v>
      </c>
      <c r="Z356" s="54" t="n">
        <v>280</v>
      </c>
      <c r="AA356" s="55">
        <f>IF(AND(A356="", B356="", E356=""), "", IF(AB356="", "Válido", IF((LEN(AB356)-LEN(SUBSTITUTE(AB356,"; ","")))/2+1&gt;(LEN(AB356)-LEN(SUBSTITUTE(AB356,"[Aviso]","")))/7, "Con Incidencias", "Válido")))</f>
        <v/>
      </c>
      <c r="AB356" s="56">
        <f>IF(AND(A356="", B356="", E356=""), "", TEXTJOIN("; ", TRUE, IF(OR(TRIM(A356&amp;"")="", ISNUMBER(SEARCH("FALTA", A356))), "UPC faltante/inválido", ""), IF(AND(A356&lt;&gt;"", IFERROR(_xlfn.XMATCH(A356,$A$2:$A$370,0,1)&lt;&gt;_xlfn.XMATCH(A356,$A$2:$A$370,0,-1),FALSE)), "Código de barras duplicado", ""), IF(AND(E356&lt;&gt;"", COUNTIF($E$2:$E$370, E356)&gt;1), "SKU duplicado", ""), IF(OR(J356="", J356=""), "[Aviso] División no capturada ()", IF(ISNA(MATCH(J356, Criterios!$A$123:$A$126, 0)), "División no válida", "")), IF(OR(K356="", K356=""), "[Aviso] Categoría no capturada ()", IF(ISNA(MATCH(K356, Criterios!$A$81:$A$120, 0)), "Categoría no válida", IF(AND(J356&lt;&gt;"", J356&lt;&gt;"", J356&lt;&gt;VLOOKUP(K356, Criterios!$A$81:$B$120, 2, FALSE)), "División no coincide con Categoría", ""))), IF(OR(L356="", L356=""), "[Aviso] Género no capturado ()", IF(ISNA(MATCH(L356, Criterios!$B$123:$B$127, 0)), "Género no válido", "")), IF(OR(N356="", N356=""), "[Aviso] Temporada no capturada ()", IF(ISNA(MATCH(N356, Criterios!$C$123:$C$128, 0)), "Temporada no válida", "")), IF(OR(O356="", O356=""), "[Aviso] Ciclo de vida no capturado ()", IF(ISNA(MATCH(O356, Criterios!$D$123:$D$124, 0)), "Ciclo de vida no válido", ""))))</f>
        <v/>
      </c>
      <c r="AC356" s="56" t="n"/>
      <c r="AD356" s="51" t="n"/>
      <c r="AE356" s="156" t="n"/>
      <c r="AF356" s="51" t="n"/>
      <c r="AG356" s="156" t="inlineStr">
        <is>
          <t>Hoja a Revisar — artículo</t>
        </is>
      </c>
      <c r="AH356" s="156" t="inlineStr">
        <is>
          <t>Revisión 29/09/2026: Sin cifra de stock verificable; no se presume cero; Campos sin respaldo: A, D, E, H, N, O, P, S, U, X; Auditoría 30/09/2026: ID no viene en la extracción NetSuite de artículos activos (posible inactivo); revisar | Homologación G1522 06/10/2026: WB Marca: «» → «CAPSLAB» (Completado por regla) · Validación G1522: Código de barras faltante; WB SKU faltante · Validador NetSuite / Odoo: V1: falta código de barras · Validador Shopify: V1: falta código de barras; WB: precio con IVA no termina en 9</t>
        </is>
      </c>
      <c r="AI356" s="156" t="n"/>
      <c r="AJ356" s="156" t="n"/>
      <c r="AK356" s="155" t="inlineStr">
        <is>
          <t>G1522ProductosTodosloscamposSandboxResults894.xlsx: fila 47844 [I,T,W,Y] | Hoja a Revisar: fila 190446 [Z] | Criterios: D [K,J] | Criterios: paso 2 [L] | Criterios: I [Q] | Criterios: J [R] | Criterios: paso 7 [V] | Catálogo y Criterios: F [F,G]</t>
        </is>
      </c>
      <c r="AL356" s="58" t="n">
        <v>266</v>
      </c>
      <c r="AM356" s="58" t="n">
        <v>280</v>
      </c>
      <c r="AN356" s="155" t="n"/>
      <c r="AO356" s="59" t="n"/>
      <c r="AP356" s="59" t="n"/>
      <c r="AQ356" s="59" t="n"/>
      <c r="AR356" s="155" t="n"/>
    </row>
    <row r="357">
      <c r="A357" s="50" t="inlineStr">
        <is>
          <t>3614001628803</t>
        </is>
      </c>
      <c r="B357" s="51" t="n"/>
      <c r="C357" s="156" t="inlineStr">
        <is>
          <t>CAPSLAB</t>
        </is>
      </c>
      <c r="D357" s="156" t="inlineStr">
        <is>
          <t>CAPLOO01COY-W6</t>
        </is>
      </c>
      <c r="E357" s="156" t="inlineStr">
        <is>
          <t>CAPLOO01COY-W6-UNI</t>
        </is>
      </c>
      <c r="F357" s="156" t="inlineStr">
        <is>
          <t>Talla única</t>
        </is>
      </c>
      <c r="G357" s="156" t="inlineStr">
        <is>
          <t>One Size</t>
        </is>
      </c>
      <c r="H357" s="156" t="inlineStr">
        <is>
          <t>CAPSLAB</t>
        </is>
      </c>
      <c r="I357" s="156" t="inlineStr">
        <is>
          <t>Gorra Coyote Vaquera Capslab</t>
        </is>
      </c>
      <c r="J357" s="156" t="inlineStr">
        <is>
          <t>Accesorios</t>
        </is>
      </c>
      <c r="K357" s="156" t="inlineStr">
        <is>
          <t>Gorras</t>
        </is>
      </c>
      <c r="L357" s="156" t="inlineStr">
        <is>
          <t>Unisex</t>
        </is>
      </c>
      <c r="M357" s="156" t="inlineStr">
        <is>
          <t>Looney Tunes</t>
        </is>
      </c>
      <c r="N357" s="156" t="n"/>
      <c r="O357" s="156" t="n"/>
      <c r="P357" s="156" t="inlineStr">
        <is>
          <t>Negro</t>
        </is>
      </c>
      <c r="Q357" s="156" t="n"/>
      <c r="R357" s="156" t="n"/>
      <c r="S357" s="156" t="inlineStr">
        <is>
          <t>Algodón / Poliéster</t>
        </is>
      </c>
      <c r="T357" s="156" t="inlineStr">
        <is>
          <t>Gorra tipo trucker CAPSLAB Wile E. Coyote.</t>
        </is>
      </c>
      <c r="U357" s="156" t="n"/>
      <c r="V357" s="156" t="inlineStr">
        <is>
          <t>PZS</t>
        </is>
      </c>
      <c r="W357" s="51" t="inlineStr">
        <is>
          <t>53102516</t>
        </is>
      </c>
      <c r="X357" s="156" t="n"/>
      <c r="Y357" s="54" t="n"/>
      <c r="Z357" s="54" t="n"/>
      <c r="AA357" s="55">
        <f>IF(AND(A357="", B357="", E357=""), "", IF(AB357="", "Válido", IF((LEN(AB357)-LEN(SUBSTITUTE(AB357,"; ","")))/2+1&gt;(LEN(AB357)-LEN(SUBSTITUTE(AB357,"[Aviso]","")))/7, "Con Incidencias", "Válido")))</f>
        <v/>
      </c>
      <c r="AB357" s="56">
        <f>IF(AND(A357="", B357="", E357=""), "", TEXTJOIN("; ", TRUE, IF(OR(TRIM(A357&amp;"")="", ISNUMBER(SEARCH("FALTA", A357))), "UPC faltante/inválido", ""), IF(AND(A357&lt;&gt;"", IFERROR(_xlfn.XMATCH(A357,$A$2:$A$370,0,1)&lt;&gt;_xlfn.XMATCH(A357,$A$2:$A$370,0,-1),FALSE)), "Código de barras duplicado", ""), IF(AND(E357&lt;&gt;"", COUNTIF($E$2:$E$370, E357)&gt;1), "SKU duplicado", ""), IF(OR(J357="", J357=""), "[Aviso] División no capturada ()", IF(ISNA(MATCH(J357, Criterios!$A$123:$A$126, 0)), "División no válida", "")), IF(OR(K357="", K357=""), "[Aviso] Categoría no capturada ()", IF(ISNA(MATCH(K357, Criterios!$A$81:$A$120, 0)), "Categoría no válida", IF(AND(J357&lt;&gt;"", J357&lt;&gt;"", J357&lt;&gt;VLOOKUP(K357, Criterios!$A$81:$B$120, 2, FALSE)), "División no coincide con Categoría", ""))), IF(OR(L357="", L357=""), "[Aviso] Género no capturado ()", IF(ISNA(MATCH(L357, Criterios!$B$123:$B$127, 0)), "Género no válido", "")), IF(OR(N357="", N357=""), "[Aviso] Temporada no capturada ()", IF(ISNA(MATCH(N357, Criterios!$C$123:$C$128, 0)), "Temporada no válida", "")), IF(OR(O357="", O357=""), "[Aviso] Ciclo de vida no capturado ()", IF(ISNA(MATCH(O357, Criterios!$D$123:$D$124, 0)), "Ciclo de vida no válido", ""))))</f>
        <v/>
      </c>
      <c r="AC357" s="56" t="n"/>
      <c r="AD357" s="51" t="n"/>
      <c r="AE357" s="156" t="n"/>
      <c r="AF357" s="51" t="n"/>
      <c r="AG357" s="156" t="n"/>
      <c r="AH357" s="156" t="n"/>
      <c r="AI357" s="156" t="n"/>
      <c r="AJ357" s="156" t="n"/>
      <c r="AK357" s="155" t="n"/>
      <c r="AL357" s="58" t="n"/>
      <c r="AM357" s="58" t="n"/>
      <c r="AN357" s="155" t="n"/>
      <c r="AO357" s="59" t="n"/>
      <c r="AP357" s="59" t="n"/>
      <c r="AQ357" s="59" t="n"/>
      <c r="AR357" s="155" t="n"/>
    </row>
    <row r="358">
      <c r="A358" s="50" t="inlineStr">
        <is>
          <t>3614001297313</t>
        </is>
      </c>
      <c r="B358" s="51" t="n"/>
      <c r="C358" s="156" t="inlineStr">
        <is>
          <t>CAPSLAB</t>
        </is>
      </c>
      <c r="D358" s="156" t="inlineStr">
        <is>
          <t>CAPGEN0129731-W6</t>
        </is>
      </c>
      <c r="E358" s="156" t="inlineStr">
        <is>
          <t>CAPGEN0129731-W6-UNI</t>
        </is>
      </c>
      <c r="F358" s="156" t="inlineStr">
        <is>
          <t>Talla única</t>
        </is>
      </c>
      <c r="G358" s="156" t="inlineStr">
        <is>
          <t>One Size</t>
        </is>
      </c>
      <c r="H358" s="156" t="inlineStr">
        <is>
          <t>CAPSLAB</t>
        </is>
      </c>
      <c r="I358" s="156" t="inlineStr">
        <is>
          <t>Gorra trucker CAPSLAB Genérica</t>
        </is>
      </c>
      <c r="J358" s="156" t="inlineStr">
        <is>
          <t>Accesorios</t>
        </is>
      </c>
      <c r="K358" s="156" t="inlineStr">
        <is>
          <t>Gorras</t>
        </is>
      </c>
      <c r="L358" s="156" t="inlineStr">
        <is>
          <t>Unisex</t>
        </is>
      </c>
      <c r="M358" s="156" t="inlineStr">
        <is>
          <t>CAPSLAB</t>
        </is>
      </c>
      <c r="N358" s="156" t="n"/>
      <c r="O358" s="156" t="n"/>
      <c r="P358" s="156" t="inlineStr">
        <is>
          <t>Varios</t>
        </is>
      </c>
      <c r="Q358" s="156" t="n"/>
      <c r="R358" s="156" t="n"/>
      <c r="S358" s="156" t="inlineStr">
        <is>
          <t>Algodón / Poliéster</t>
        </is>
      </c>
      <c r="T358" s="156" t="inlineStr">
        <is>
          <t>Gorra tipo trucker CAPSLAB diseño estándar.</t>
        </is>
      </c>
      <c r="U358" s="156" t="n"/>
      <c r="V358" s="156" t="inlineStr">
        <is>
          <t>PZS</t>
        </is>
      </c>
      <c r="W358" s="51" t="inlineStr">
        <is>
          <t>53102516</t>
        </is>
      </c>
      <c r="X358" s="156" t="n"/>
      <c r="Y358" s="54" t="n"/>
      <c r="Z358" s="54" t="n"/>
      <c r="AA358" s="55">
        <f>IF(AND(A358="", B358="", E358=""), "", IF(AB358="", "Válido", IF((LEN(AB358)-LEN(SUBSTITUTE(AB358,"; ","")))/2+1&gt;(LEN(AB358)-LEN(SUBSTITUTE(AB358,"[Aviso]","")))/7, "Con Incidencias", "Válido")))</f>
        <v/>
      </c>
      <c r="AB358" s="56">
        <f>IF(AND(A358="", B358="", E358=""), "", TEXTJOIN("; ", TRUE, IF(OR(TRIM(A358&amp;"")="", ISNUMBER(SEARCH("FALTA", A358))), "UPC faltante/inválido", ""), IF(AND(A358&lt;&gt;"", IFERROR(_xlfn.XMATCH(A358,$A$2:$A$370,0,1)&lt;&gt;_xlfn.XMATCH(A358,$A$2:$A$370,0,-1),FALSE)), "Código de barras duplicado", ""), IF(AND(E358&lt;&gt;"", COUNTIF($E$2:$E$370, E358)&gt;1), "SKU duplicado", ""), IF(OR(J358="", J358=""), "[Aviso] División no capturada ()", IF(ISNA(MATCH(J358, Criterios!$A$123:$A$126, 0)), "División no válida", "")), IF(OR(K358="", K358=""), "[Aviso] Categoría no capturada ()", IF(ISNA(MATCH(K358, Criterios!$A$81:$A$120, 0)), "Categoría no válida", IF(AND(J358&lt;&gt;"", J358&lt;&gt;"", J358&lt;&gt;VLOOKUP(K358, Criterios!$A$81:$B$120, 2, FALSE)), "División no coincide con Categoría", ""))), IF(OR(L358="", L358=""), "[Aviso] Género no capturado ()", IF(ISNA(MATCH(L358, Criterios!$B$123:$B$127, 0)), "Género no válido", "")), IF(OR(N358="", N358=""), "[Aviso] Temporada no capturada ()", IF(ISNA(MATCH(N358, Criterios!$C$123:$C$128, 0)), "Temporada no válida", "")), IF(OR(O358="", O358=""), "[Aviso] Ciclo de vida no capturado ()", IF(ISNA(MATCH(O358, Criterios!$D$123:$D$124, 0)), "Ciclo de vida no válido", ""))))</f>
        <v/>
      </c>
      <c r="AC358" s="56" t="n"/>
      <c r="AD358" s="51" t="n"/>
      <c r="AE358" s="156" t="n"/>
      <c r="AF358" s="51" t="n"/>
      <c r="AG358" s="156" t="n"/>
      <c r="AH358" s="156" t="inlineStr">
        <is>
          <t>Homologación G1522 06/10/2026: WB Licencia: «Capslab» → «CAPSLAB» (Corrección aplicada)</t>
        </is>
      </c>
      <c r="AI358" s="156" t="n"/>
      <c r="AJ358" s="156" t="n"/>
      <c r="AK358" s="155" t="n"/>
      <c r="AL358" s="58" t="n"/>
      <c r="AM358" s="58" t="n"/>
      <c r="AN358" s="155" t="n"/>
      <c r="AO358" s="59" t="n"/>
      <c r="AP358" s="59" t="n"/>
      <c r="AQ358" s="59" t="n"/>
      <c r="AR358" s="155" t="n"/>
    </row>
    <row r="359">
      <c r="A359" s="50" t="inlineStr">
        <is>
          <t>3614000841883</t>
        </is>
      </c>
      <c r="B359" s="51" t="n"/>
      <c r="C359" s="156" t="inlineStr">
        <is>
          <t>CAPSLAB</t>
        </is>
      </c>
      <c r="D359" s="156" t="inlineStr">
        <is>
          <t>CL/DBZ/2/BUL1</t>
        </is>
      </c>
      <c r="E359" s="156" t="inlineStr">
        <is>
          <t>CL/DBZ/2/BUL1-UNI</t>
        </is>
      </c>
      <c r="F359" s="156" t="inlineStr">
        <is>
          <t>Talla única</t>
        </is>
      </c>
      <c r="G359" s="156" t="inlineStr">
        <is>
          <t>One Size</t>
        </is>
      </c>
      <c r="H359" s="156" t="inlineStr">
        <is>
          <t>CAPSLAB</t>
        </is>
      </c>
      <c r="I359" s="156" t="inlineStr">
        <is>
          <t>Gorra CAPSLAB Dragon Ball Z Bulma</t>
        </is>
      </c>
      <c r="J359" s="156" t="inlineStr">
        <is>
          <t>Accesorios</t>
        </is>
      </c>
      <c r="K359" s="156" t="inlineStr">
        <is>
          <t>Gorras</t>
        </is>
      </c>
      <c r="L359" s="156" t="inlineStr">
        <is>
          <t>Unisex</t>
        </is>
      </c>
      <c r="M359" s="156" t="inlineStr">
        <is>
          <t>Dragon Ball</t>
        </is>
      </c>
      <c r="N359" s="156" t="n"/>
      <c r="O359" s="156" t="n"/>
      <c r="P359" s="156" t="inlineStr">
        <is>
          <t>Gris</t>
        </is>
      </c>
      <c r="Q359" s="156" t="n"/>
      <c r="R359" s="156" t="n"/>
      <c r="S359" s="156" t="inlineStr">
        <is>
          <t>Algodón / Poliéster</t>
        </is>
      </c>
      <c r="T359" s="156" t="inlineStr">
        <is>
          <t>Gorra tipo trucker CAPSLAB con diseño de Bulma de Dragon Ball Z.</t>
        </is>
      </c>
      <c r="U359" s="156" t="n"/>
      <c r="V359" s="156" t="inlineStr">
        <is>
          <t>PZS</t>
        </is>
      </c>
      <c r="W359" s="51" t="inlineStr">
        <is>
          <t>53102516</t>
        </is>
      </c>
      <c r="X359" s="156" t="inlineStr">
        <is>
          <t>https://img.modivo.cloud/product(3/2/a/1/32a1ca8359de79c3150b99b88cafa946209196b0_3614000841883_01_ks,jpg)/capslab-cap-dragon-ball-z-bulma-cl-dbz-2-bul1-grau-3614000841883.jpg</t>
        </is>
      </c>
      <c r="Y359" s="54" t="n"/>
      <c r="Z359" s="54" t="n"/>
      <c r="AA359" s="55">
        <f>IF(AND(A359="", B359="", E359=""), "", IF(AB359="", "Válido", IF((LEN(AB359)-LEN(SUBSTITUTE(AB359,"; ","")))/2+1&gt;(LEN(AB359)-LEN(SUBSTITUTE(AB359,"[Aviso]","")))/7, "Con Incidencias", "Válido")))</f>
        <v/>
      </c>
      <c r="AB359" s="56">
        <f>IF(AND(A359="", B359="", E359=""), "", TEXTJOIN("; ", TRUE, IF(OR(TRIM(A359&amp;"")="", ISNUMBER(SEARCH("FALTA", A359))), "UPC faltante/inválido", ""), IF(AND(A359&lt;&gt;"", IFERROR(_xlfn.XMATCH(A359,$A$2:$A$370,0,1)&lt;&gt;_xlfn.XMATCH(A359,$A$2:$A$370,0,-1),FALSE)), "Código de barras duplicado", ""), IF(AND(E359&lt;&gt;"", COUNTIF($E$2:$E$370, E359)&gt;1), "SKU duplicado", ""), IF(OR(J359="", J359=""), "[Aviso] División no capturada ()", IF(ISNA(MATCH(J359, Criterios!$A$123:$A$126, 0)), "División no válida", "")), IF(OR(K359="", K359=""), "[Aviso] Categoría no capturada ()", IF(ISNA(MATCH(K359, Criterios!$A$81:$A$120, 0)), "Categoría no válida", IF(AND(J359&lt;&gt;"", J359&lt;&gt;"", J359&lt;&gt;VLOOKUP(K359, Criterios!$A$81:$B$120, 2, FALSE)), "División no coincide con Categoría", ""))), IF(OR(L359="", L359=""), "[Aviso] Género no capturado ()", IF(ISNA(MATCH(L359, Criterios!$B$123:$B$127, 0)), "Género no válido", "")), IF(OR(N359="", N359=""), "[Aviso] Temporada no capturada ()", IF(ISNA(MATCH(N359, Criterios!$C$123:$C$128, 0)), "Temporada no válida", "")), IF(OR(O359="", O359=""), "[Aviso] Ciclo de vida no capturado ()", IF(ISNA(MATCH(O359, Criterios!$D$123:$D$124, 0)), "Ciclo de vida no válido", ""))))</f>
        <v/>
      </c>
      <c r="AC359" s="56" t="n"/>
      <c r="AD359" s="51" t="n"/>
      <c r="AE359" s="156" t="n"/>
      <c r="AF359" s="51" t="n"/>
      <c r="AG359" s="156" t="n"/>
      <c r="AH359" s="156" t="n"/>
      <c r="AI359" s="156" t="n"/>
      <c r="AJ359" s="156" t="n"/>
      <c r="AK359" s="155" t="n"/>
      <c r="AL359" s="58" t="n"/>
      <c r="AM359" s="58" t="n"/>
      <c r="AN359" s="155" t="n"/>
      <c r="AO359" s="59" t="n"/>
      <c r="AP359" s="59" t="n"/>
      <c r="AQ359" s="59" t="n"/>
      <c r="AR359" s="155" t="n"/>
    </row>
    <row r="360">
      <c r="A360" s="50" t="inlineStr">
        <is>
          <t>3614001553266</t>
        </is>
      </c>
      <c r="B360" s="51" t="n"/>
      <c r="C360" s="156" t="inlineStr">
        <is>
          <t>CAPSLAB</t>
        </is>
      </c>
      <c r="D360" s="156" t="inlineStr">
        <is>
          <t>CAPGEN0153266-W6</t>
        </is>
      </c>
      <c r="E360" s="156" t="inlineStr">
        <is>
          <t>CAPGEN0153266-W6-UNI</t>
        </is>
      </c>
      <c r="F360" s="156" t="inlineStr">
        <is>
          <t>Talla única</t>
        </is>
      </c>
      <c r="G360" s="156" t="inlineStr">
        <is>
          <t>One Size</t>
        </is>
      </c>
      <c r="H360" s="156" t="inlineStr">
        <is>
          <t>CAPSLAB</t>
        </is>
      </c>
      <c r="I360" s="156" t="inlineStr">
        <is>
          <t>Gorra trucker CAPSLAB Genérica</t>
        </is>
      </c>
      <c r="J360" s="156" t="inlineStr">
        <is>
          <t>Accesorios</t>
        </is>
      </c>
      <c r="K360" s="156" t="inlineStr">
        <is>
          <t>Gorras</t>
        </is>
      </c>
      <c r="L360" s="156" t="inlineStr">
        <is>
          <t>Unisex</t>
        </is>
      </c>
      <c r="M360" s="156" t="inlineStr">
        <is>
          <t>CAPSLAB</t>
        </is>
      </c>
      <c r="N360" s="156" t="n"/>
      <c r="O360" s="156" t="n"/>
      <c r="P360" s="156" t="inlineStr">
        <is>
          <t>Varios</t>
        </is>
      </c>
      <c r="Q360" s="156" t="n"/>
      <c r="R360" s="156" t="n"/>
      <c r="S360" s="156" t="inlineStr">
        <is>
          <t>Algodón / Poliéster</t>
        </is>
      </c>
      <c r="T360" s="156" t="inlineStr">
        <is>
          <t>Gorra tipo trucker CAPSLAB diseño estándar.</t>
        </is>
      </c>
      <c r="U360" s="156" t="n"/>
      <c r="V360" s="156" t="inlineStr">
        <is>
          <t>PZS</t>
        </is>
      </c>
      <c r="W360" s="51" t="inlineStr">
        <is>
          <t>53102516</t>
        </is>
      </c>
      <c r="X360" s="156" t="n"/>
      <c r="Y360" s="54" t="n"/>
      <c r="Z360" s="54" t="n"/>
      <c r="AA360" s="55">
        <f>IF(AND(A360="", B360="", E360=""), "", IF(AB360="", "Válido", IF((LEN(AB360)-LEN(SUBSTITUTE(AB360,"; ","")))/2+1&gt;(LEN(AB360)-LEN(SUBSTITUTE(AB360,"[Aviso]","")))/7, "Con Incidencias", "Válido")))</f>
        <v/>
      </c>
      <c r="AB360" s="56">
        <f>IF(AND(A360="", B360="", E360=""), "", TEXTJOIN("; ", TRUE, IF(OR(TRIM(A360&amp;"")="", ISNUMBER(SEARCH("FALTA", A360))), "UPC faltante/inválido", ""), IF(AND(A360&lt;&gt;"", IFERROR(_xlfn.XMATCH(A360,$A$2:$A$370,0,1)&lt;&gt;_xlfn.XMATCH(A360,$A$2:$A$370,0,-1),FALSE)), "Código de barras duplicado", ""), IF(AND(E360&lt;&gt;"", COUNTIF($E$2:$E$370, E360)&gt;1), "SKU duplicado", ""), IF(OR(J360="", J360=""), "[Aviso] División no capturada ()", IF(ISNA(MATCH(J360, Criterios!$A$123:$A$126, 0)), "División no válida", "")), IF(OR(K360="", K360=""), "[Aviso] Categoría no capturada ()", IF(ISNA(MATCH(K360, Criterios!$A$81:$A$120, 0)), "Categoría no válida", IF(AND(J360&lt;&gt;"", J360&lt;&gt;"", J360&lt;&gt;VLOOKUP(K360, Criterios!$A$81:$B$120, 2, FALSE)), "División no coincide con Categoría", ""))), IF(OR(L360="", L360=""), "[Aviso] Género no capturado ()", IF(ISNA(MATCH(L360, Criterios!$B$123:$B$127, 0)), "Género no válido", "")), IF(OR(N360="", N360=""), "[Aviso] Temporada no capturada ()", IF(ISNA(MATCH(N360, Criterios!$C$123:$C$128, 0)), "Temporada no válida", "")), IF(OR(O360="", O360=""), "[Aviso] Ciclo de vida no capturado ()", IF(ISNA(MATCH(O360, Criterios!$D$123:$D$124, 0)), "Ciclo de vida no válido", ""))))</f>
        <v/>
      </c>
      <c r="AC360" s="56" t="n"/>
      <c r="AD360" s="51" t="n"/>
      <c r="AE360" s="156" t="n"/>
      <c r="AF360" s="51" t="n"/>
      <c r="AG360" s="156" t="n"/>
      <c r="AH360" s="156" t="inlineStr">
        <is>
          <t>Homologación G1522 06/10/2026: WB Licencia: «Capslab» → «CAPSLAB» (Corrección aplicada)</t>
        </is>
      </c>
      <c r="AI360" s="156" t="n"/>
      <c r="AJ360" s="156" t="n"/>
      <c r="AK360" s="155" t="n"/>
      <c r="AL360" s="58" t="n"/>
      <c r="AM360" s="58" t="n"/>
      <c r="AN360" s="155" t="n"/>
      <c r="AO360" s="59" t="n"/>
      <c r="AP360" s="59" t="n"/>
      <c r="AQ360" s="59" t="n"/>
      <c r="AR360" s="155" t="n"/>
    </row>
    <row r="361">
      <c r="A361" s="50" t="inlineStr">
        <is>
          <t>3614001466542</t>
        </is>
      </c>
      <c r="B361" s="51" t="n"/>
      <c r="C361" s="156" t="inlineStr">
        <is>
          <t>CAPSLAB</t>
        </is>
      </c>
      <c r="D361" s="156" t="inlineStr">
        <is>
          <t>CAPGEN0166542-W6</t>
        </is>
      </c>
      <c r="E361" s="156" t="inlineStr">
        <is>
          <t>CAPGEN0166542-W6-UNI</t>
        </is>
      </c>
      <c r="F361" s="156" t="inlineStr">
        <is>
          <t>Talla única</t>
        </is>
      </c>
      <c r="G361" s="156" t="inlineStr">
        <is>
          <t>One Size</t>
        </is>
      </c>
      <c r="H361" s="156" t="inlineStr">
        <is>
          <t>CAPSLAB</t>
        </is>
      </c>
      <c r="I361" s="156" t="inlineStr">
        <is>
          <t>Gorra trucker CAPSLAB Genérica</t>
        </is>
      </c>
      <c r="J361" s="156" t="inlineStr">
        <is>
          <t>Accesorios</t>
        </is>
      </c>
      <c r="K361" s="156" t="inlineStr">
        <is>
          <t>Gorras</t>
        </is>
      </c>
      <c r="L361" s="156" t="inlineStr">
        <is>
          <t>Unisex</t>
        </is>
      </c>
      <c r="M361" s="156" t="inlineStr">
        <is>
          <t>CAPSLAB</t>
        </is>
      </c>
      <c r="N361" s="156" t="n"/>
      <c r="O361" s="156" t="n"/>
      <c r="P361" s="156" t="inlineStr">
        <is>
          <t>Varios</t>
        </is>
      </c>
      <c r="Q361" s="156" t="n"/>
      <c r="R361" s="156" t="n"/>
      <c r="S361" s="156" t="inlineStr">
        <is>
          <t>Algodón / Poliéster</t>
        </is>
      </c>
      <c r="T361" s="156" t="inlineStr">
        <is>
          <t>Gorra tipo trucker CAPSLAB diseño estándar.</t>
        </is>
      </c>
      <c r="U361" s="156" t="n"/>
      <c r="V361" s="156" t="inlineStr">
        <is>
          <t>PZS</t>
        </is>
      </c>
      <c r="W361" s="51" t="inlineStr">
        <is>
          <t>53102516</t>
        </is>
      </c>
      <c r="X361" s="156" t="n"/>
      <c r="Y361" s="54" t="n"/>
      <c r="Z361" s="54" t="n"/>
      <c r="AA361" s="55">
        <f>IF(AND(A361="", B361="", E361=""), "", IF(AB361="", "Válido", IF((LEN(AB361)-LEN(SUBSTITUTE(AB361,"; ","")))/2+1&gt;(LEN(AB361)-LEN(SUBSTITUTE(AB361,"[Aviso]","")))/7, "Con Incidencias", "Válido")))</f>
        <v/>
      </c>
      <c r="AB361" s="56">
        <f>IF(AND(A361="", B361="", E361=""), "", TEXTJOIN("; ", TRUE, IF(OR(TRIM(A361&amp;"")="", ISNUMBER(SEARCH("FALTA", A361))), "UPC faltante/inválido", ""), IF(AND(A361&lt;&gt;"", IFERROR(_xlfn.XMATCH(A361,$A$2:$A$370,0,1)&lt;&gt;_xlfn.XMATCH(A361,$A$2:$A$370,0,-1),FALSE)), "Código de barras duplicado", ""), IF(AND(E361&lt;&gt;"", COUNTIF($E$2:$E$370, E361)&gt;1), "SKU duplicado", ""), IF(OR(J361="", J361=""), "[Aviso] División no capturada ()", IF(ISNA(MATCH(J361, Criterios!$A$123:$A$126, 0)), "División no válida", "")), IF(OR(K361="", K361=""), "[Aviso] Categoría no capturada ()", IF(ISNA(MATCH(K361, Criterios!$A$81:$A$120, 0)), "Categoría no válida", IF(AND(J361&lt;&gt;"", J361&lt;&gt;"", J361&lt;&gt;VLOOKUP(K361, Criterios!$A$81:$B$120, 2, FALSE)), "División no coincide con Categoría", ""))), IF(OR(L361="", L361=""), "[Aviso] Género no capturado ()", IF(ISNA(MATCH(L361, Criterios!$B$123:$B$127, 0)), "Género no válido", "")), IF(OR(N361="", N361=""), "[Aviso] Temporada no capturada ()", IF(ISNA(MATCH(N361, Criterios!$C$123:$C$128, 0)), "Temporada no válida", "")), IF(OR(O361="", O361=""), "[Aviso] Ciclo de vida no capturado ()", IF(ISNA(MATCH(O361, Criterios!$D$123:$D$124, 0)), "Ciclo de vida no válido", ""))))</f>
        <v/>
      </c>
      <c r="AC361" s="56" t="n"/>
      <c r="AD361" s="51" t="n"/>
      <c r="AE361" s="156" t="n"/>
      <c r="AF361" s="51" t="n"/>
      <c r="AG361" s="156" t="n"/>
      <c r="AH361" s="156" t="inlineStr">
        <is>
          <t>Homologación G1522 06/10/2026: WB Licencia: «Capslab» → «CAPSLAB» (Corrección aplicada)</t>
        </is>
      </c>
      <c r="AI361" s="156" t="n"/>
      <c r="AJ361" s="156" t="n"/>
      <c r="AK361" s="155" t="n"/>
      <c r="AL361" s="58" t="n"/>
      <c r="AM361" s="58" t="n"/>
      <c r="AN361" s="155" t="n"/>
      <c r="AO361" s="59" t="n"/>
      <c r="AP361" s="59" t="n"/>
      <c r="AQ361" s="59" t="n"/>
      <c r="AR361" s="155" t="n"/>
    </row>
    <row r="362">
      <c r="A362" s="50" t="inlineStr">
        <is>
          <t>3614001553532</t>
        </is>
      </c>
      <c r="B362" s="51" t="n"/>
      <c r="C362" s="156" t="inlineStr">
        <is>
          <t>CAPSLAB</t>
        </is>
      </c>
      <c r="D362" s="156" t="inlineStr">
        <is>
          <t>CAPGEN0153532-W6</t>
        </is>
      </c>
      <c r="E362" s="156" t="inlineStr">
        <is>
          <t>CAPGEN0153532-W6-UNI</t>
        </is>
      </c>
      <c r="F362" s="156" t="inlineStr">
        <is>
          <t>Talla única</t>
        </is>
      </c>
      <c r="G362" s="156" t="inlineStr">
        <is>
          <t>One Size</t>
        </is>
      </c>
      <c r="H362" s="156" t="inlineStr">
        <is>
          <t>CAPSLAB</t>
        </is>
      </c>
      <c r="I362" s="156" t="inlineStr">
        <is>
          <t>Gorra trucker CAPSLAB Genérica</t>
        </is>
      </c>
      <c r="J362" s="156" t="inlineStr">
        <is>
          <t>Accesorios</t>
        </is>
      </c>
      <c r="K362" s="156" t="inlineStr">
        <is>
          <t>Gorras</t>
        </is>
      </c>
      <c r="L362" s="156" t="inlineStr">
        <is>
          <t>Unisex</t>
        </is>
      </c>
      <c r="M362" s="156" t="inlineStr">
        <is>
          <t>CAPSLAB</t>
        </is>
      </c>
      <c r="N362" s="156" t="n"/>
      <c r="O362" s="156" t="n"/>
      <c r="P362" s="156" t="inlineStr">
        <is>
          <t>Varios</t>
        </is>
      </c>
      <c r="Q362" s="156" t="n"/>
      <c r="R362" s="156" t="n"/>
      <c r="S362" s="156" t="inlineStr">
        <is>
          <t>Algodón / Poliéster</t>
        </is>
      </c>
      <c r="T362" s="156" t="inlineStr">
        <is>
          <t>Gorra tipo trucker CAPSLAB diseño estándar.</t>
        </is>
      </c>
      <c r="U362" s="156" t="n"/>
      <c r="V362" s="156" t="inlineStr">
        <is>
          <t>PZS</t>
        </is>
      </c>
      <c r="W362" s="51" t="inlineStr">
        <is>
          <t>53102516</t>
        </is>
      </c>
      <c r="X362" s="156" t="n"/>
      <c r="Y362" s="54" t="n"/>
      <c r="Z362" s="54" t="n"/>
      <c r="AA362" s="55">
        <f>IF(AND(A362="", B362="", E362=""), "", IF(AB362="", "Válido", IF((LEN(AB362)-LEN(SUBSTITUTE(AB362,"; ","")))/2+1&gt;(LEN(AB362)-LEN(SUBSTITUTE(AB362,"[Aviso]","")))/7, "Con Incidencias", "Válido")))</f>
        <v/>
      </c>
      <c r="AB362" s="56">
        <f>IF(AND(A362="", B362="", E362=""), "", TEXTJOIN("; ", TRUE, IF(OR(TRIM(A362&amp;"")="", ISNUMBER(SEARCH("FALTA", A362))), "UPC faltante/inválido", ""), IF(AND(A362&lt;&gt;"", IFERROR(_xlfn.XMATCH(A362,$A$2:$A$370,0,1)&lt;&gt;_xlfn.XMATCH(A362,$A$2:$A$370,0,-1),FALSE)), "Código de barras duplicado", ""), IF(AND(E362&lt;&gt;"", COUNTIF($E$2:$E$370, E362)&gt;1), "SKU duplicado", ""), IF(OR(J362="", J362=""), "[Aviso] División no capturada ()", IF(ISNA(MATCH(J362, Criterios!$A$123:$A$126, 0)), "División no válida", "")), IF(OR(K362="", K362=""), "[Aviso] Categoría no capturada ()", IF(ISNA(MATCH(K362, Criterios!$A$81:$A$120, 0)), "Categoría no válida", IF(AND(J362&lt;&gt;"", J362&lt;&gt;"", J362&lt;&gt;VLOOKUP(K362, Criterios!$A$81:$B$120, 2, FALSE)), "División no coincide con Categoría", ""))), IF(OR(L362="", L362=""), "[Aviso] Género no capturado ()", IF(ISNA(MATCH(L362, Criterios!$B$123:$B$127, 0)), "Género no válido", "")), IF(OR(N362="", N362=""), "[Aviso] Temporada no capturada ()", IF(ISNA(MATCH(N362, Criterios!$C$123:$C$128, 0)), "Temporada no válida", "")), IF(OR(O362="", O362=""), "[Aviso] Ciclo de vida no capturado ()", IF(ISNA(MATCH(O362, Criterios!$D$123:$D$124, 0)), "Ciclo de vida no válido", ""))))</f>
        <v/>
      </c>
      <c r="AC362" s="56" t="n"/>
      <c r="AD362" s="51" t="n"/>
      <c r="AE362" s="156" t="n"/>
      <c r="AF362" s="51" t="n"/>
      <c r="AG362" s="156" t="n"/>
      <c r="AH362" s="156" t="inlineStr">
        <is>
          <t>Homologación G1522 06/10/2026: WB Licencia: «Capslab» → «CAPSLAB» (Corrección aplicada)</t>
        </is>
      </c>
      <c r="AI362" s="156" t="n"/>
      <c r="AJ362" s="156" t="n"/>
      <c r="AK362" s="155" t="n"/>
      <c r="AL362" s="58" t="n"/>
      <c r="AM362" s="58" t="n"/>
      <c r="AN362" s="155" t="n"/>
      <c r="AO362" s="59" t="n"/>
      <c r="AP362" s="59" t="n"/>
      <c r="AQ362" s="59" t="n"/>
      <c r="AR362" s="155" t="n"/>
    </row>
    <row r="363">
      <c r="A363" s="50" t="inlineStr">
        <is>
          <t>3614001696901</t>
        </is>
      </c>
      <c r="B363" s="51" t="n"/>
      <c r="C363" s="156" t="inlineStr">
        <is>
          <t>CAPSLAB</t>
        </is>
      </c>
      <c r="D363" s="156" t="inlineStr">
        <is>
          <t>CAPDBZ01ROS-W6</t>
        </is>
      </c>
      <c r="E363" s="156" t="inlineStr">
        <is>
          <t>CAPDBZ01ROS-W6-UNI</t>
        </is>
      </c>
      <c r="F363" s="156" t="inlineStr">
        <is>
          <t>Talla única</t>
        </is>
      </c>
      <c r="G363" s="156" t="inlineStr">
        <is>
          <t>One Size</t>
        </is>
      </c>
      <c r="H363" s="156" t="inlineStr">
        <is>
          <t>CAPSLAB</t>
        </is>
      </c>
      <c r="I363" s="156" t="inlineStr">
        <is>
          <t>Gorra trucker CAPSLAB Dragon Ball Z Maestro Roshi</t>
        </is>
      </c>
      <c r="J363" s="156" t="inlineStr">
        <is>
          <t>Accesorios</t>
        </is>
      </c>
      <c r="K363" s="156" t="inlineStr">
        <is>
          <t>Gorras</t>
        </is>
      </c>
      <c r="L363" s="156" t="inlineStr">
        <is>
          <t>Unisex</t>
        </is>
      </c>
      <c r="M363" s="156" t="inlineStr">
        <is>
          <t>Dragon Ball Z</t>
        </is>
      </c>
      <c r="N363" s="156" t="n"/>
      <c r="O363" s="156" t="n"/>
      <c r="P363" s="156" t="inlineStr">
        <is>
          <t>Varios</t>
        </is>
      </c>
      <c r="Q363" s="156" t="n"/>
      <c r="R363" s="156" t="n"/>
      <c r="S363" s="156" t="inlineStr">
        <is>
          <t>50% Algodón / 50% Poliéster</t>
        </is>
      </c>
      <c r="T363" s="156" t="inlineStr">
        <is>
          <t>Gorra tipo trucker CAPSLAB con diseño del Maestro Roshi de Dragon Ball Z.</t>
        </is>
      </c>
      <c r="U363" s="156" t="n"/>
      <c r="V363" s="156" t="inlineStr">
        <is>
          <t>PZS</t>
        </is>
      </c>
      <c r="W363" s="51" t="inlineStr">
        <is>
          <t>53102516</t>
        </is>
      </c>
      <c r="X363" s="156" t="n"/>
      <c r="Y363" s="54" t="n"/>
      <c r="Z363" s="54" t="n"/>
      <c r="AA363" s="55">
        <f>IF(AND(A363="", B363="", E363=""), "", IF(AB363="", "Válido", IF((LEN(AB363)-LEN(SUBSTITUTE(AB363,"; ","")))/2+1&gt;(LEN(AB363)-LEN(SUBSTITUTE(AB363,"[Aviso]","")))/7, "Con Incidencias", "Válido")))</f>
        <v/>
      </c>
      <c r="AB363" s="56">
        <f>IF(AND(A363="", B363="", E363=""), "", TEXTJOIN("; ", TRUE, IF(OR(TRIM(A363&amp;"")="", ISNUMBER(SEARCH("FALTA", A363))), "UPC faltante/inválido", ""), IF(AND(A363&lt;&gt;"", IFERROR(_xlfn.XMATCH(A363,$A$2:$A$370,0,1)&lt;&gt;_xlfn.XMATCH(A363,$A$2:$A$370,0,-1),FALSE)), "Código de barras duplicado", ""), IF(AND(E363&lt;&gt;"", COUNTIF($E$2:$E$370, E363)&gt;1), "SKU duplicado", ""), IF(OR(J363="", J363=""), "[Aviso] División no capturada ()", IF(ISNA(MATCH(J363, Criterios!$A$123:$A$126, 0)), "División no válida", "")), IF(OR(K363="", K363=""), "[Aviso] Categoría no capturada ()", IF(ISNA(MATCH(K363, Criterios!$A$81:$A$120, 0)), "Categoría no válida", IF(AND(J363&lt;&gt;"", J363&lt;&gt;"", J363&lt;&gt;VLOOKUP(K363, Criterios!$A$81:$B$120, 2, FALSE)), "División no coincide con Categoría", ""))), IF(OR(L363="", L363=""), "[Aviso] Género no capturado ()", IF(ISNA(MATCH(L363, Criterios!$B$123:$B$127, 0)), "Género no válido", "")), IF(OR(N363="", N363=""), "[Aviso] Temporada no capturada ()", IF(ISNA(MATCH(N363, Criterios!$C$123:$C$128, 0)), "Temporada no válida", "")), IF(OR(O363="", O363=""), "[Aviso] Ciclo de vida no capturado ()", IF(ISNA(MATCH(O363, Criterios!$D$123:$D$124, 0)), "Ciclo de vida no válido", ""))))</f>
        <v/>
      </c>
      <c r="AC363" s="56" t="n"/>
      <c r="AD363" s="51" t="n"/>
      <c r="AE363" s="156" t="n"/>
      <c r="AF363" s="51" t="n"/>
      <c r="AG363" s="156" t="n"/>
      <c r="AH363" s="156" t="n"/>
      <c r="AI363" s="156" t="n"/>
      <c r="AJ363" s="156" t="n"/>
      <c r="AK363" s="155" t="n"/>
      <c r="AL363" s="58" t="n"/>
      <c r="AM363" s="58" t="n"/>
      <c r="AN363" s="155" t="n"/>
      <c r="AO363" s="59" t="n"/>
      <c r="AP363" s="59" t="n"/>
      <c r="AQ363" s="59" t="n"/>
      <c r="AR363" s="155" t="n"/>
    </row>
    <row r="364">
      <c r="A364" s="50" t="inlineStr">
        <is>
          <t>3614001552610</t>
        </is>
      </c>
      <c r="B364" s="51" t="n"/>
      <c r="C364" s="156" t="inlineStr">
        <is>
          <t>CAPSLAB</t>
        </is>
      </c>
      <c r="D364" s="156" t="inlineStr">
        <is>
          <t>CAPRYM01MOR-W6</t>
        </is>
      </c>
      <c r="E364" s="156" t="inlineStr">
        <is>
          <t>CAPRYM01MOR-W6-UNI</t>
        </is>
      </c>
      <c r="F364" s="156" t="inlineStr">
        <is>
          <t>Talla única</t>
        </is>
      </c>
      <c r="G364" s="156" t="inlineStr">
        <is>
          <t>One Size</t>
        </is>
      </c>
      <c r="H364" s="156" t="inlineStr">
        <is>
          <t>CAPSLAB</t>
        </is>
      </c>
      <c r="I364" s="156" t="inlineStr">
        <is>
          <t>Gorra trucker CAPSLAB Rick and Morty Morty</t>
        </is>
      </c>
      <c r="J364" s="156" t="inlineStr">
        <is>
          <t>Accesorios</t>
        </is>
      </c>
      <c r="K364" s="156" t="inlineStr">
        <is>
          <t>Gorras</t>
        </is>
      </c>
      <c r="L364" s="156" t="inlineStr">
        <is>
          <t>Unisex</t>
        </is>
      </c>
      <c r="M364" s="156" t="inlineStr">
        <is>
          <t>Rick &amp; Morty</t>
        </is>
      </c>
      <c r="N364" s="156" t="n"/>
      <c r="O364" s="156" t="n"/>
      <c r="P364" s="156" t="inlineStr">
        <is>
          <t>Negro</t>
        </is>
      </c>
      <c r="Q364" s="156" t="n"/>
      <c r="R364" s="156" t="n"/>
      <c r="S364" s="156" t="inlineStr">
        <is>
          <t>50% Algodón / 50% Poliéster</t>
        </is>
      </c>
      <c r="T364" s="156" t="inlineStr">
        <is>
          <t>Gorra tipo trucker CAPSLAB con diseño de Morty.</t>
        </is>
      </c>
      <c r="U364" s="156" t="n"/>
      <c r="V364" s="156" t="inlineStr">
        <is>
          <t>PZS</t>
        </is>
      </c>
      <c r="W364" s="51" t="inlineStr">
        <is>
          <t>53102516</t>
        </is>
      </c>
      <c r="X364" s="156" t="inlineStr">
        <is>
          <t>https://capslab.fr/5163-large_default_2x/Casquette-trucker-avec-filet-Rick-and-Morty-Morty.jpg</t>
        </is>
      </c>
      <c r="Y364" s="54" t="n"/>
      <c r="Z364" s="54" t="n"/>
      <c r="AA364" s="55">
        <f>IF(AND(A364="", B364="", E364=""), "", IF(AB364="", "Válido", IF((LEN(AB364)-LEN(SUBSTITUTE(AB364,"; ","")))/2+1&gt;(LEN(AB364)-LEN(SUBSTITUTE(AB364,"[Aviso]","")))/7, "Con Incidencias", "Válido")))</f>
        <v/>
      </c>
      <c r="AB364" s="56">
        <f>IF(AND(A364="", B364="", E364=""), "", TEXTJOIN("; ", TRUE, IF(OR(TRIM(A364&amp;"")="", ISNUMBER(SEARCH("FALTA", A364))), "UPC faltante/inválido", ""), IF(AND(A364&lt;&gt;"", IFERROR(_xlfn.XMATCH(A364,$A$2:$A$370,0,1)&lt;&gt;_xlfn.XMATCH(A364,$A$2:$A$370,0,-1),FALSE)), "Código de barras duplicado", ""), IF(AND(E364&lt;&gt;"", COUNTIF($E$2:$E$370, E364)&gt;1), "SKU duplicado", ""), IF(OR(J364="", J364=""), "[Aviso] División no capturada ()", IF(ISNA(MATCH(J364, Criterios!$A$123:$A$126, 0)), "División no válida", "")), IF(OR(K364="", K364=""), "[Aviso] Categoría no capturada ()", IF(ISNA(MATCH(K364, Criterios!$A$81:$A$120, 0)), "Categoría no válida", IF(AND(J364&lt;&gt;"", J364&lt;&gt;"", J364&lt;&gt;VLOOKUP(K364, Criterios!$A$81:$B$120, 2, FALSE)), "División no coincide con Categoría", ""))), IF(OR(L364="", L364=""), "[Aviso] Género no capturado ()", IF(ISNA(MATCH(L364, Criterios!$B$123:$B$127, 0)), "Género no válido", "")), IF(OR(N364="", N364=""), "[Aviso] Temporada no capturada ()", IF(ISNA(MATCH(N364, Criterios!$C$123:$C$128, 0)), "Temporada no válida", "")), IF(OR(O364="", O364=""), "[Aviso] Ciclo de vida no capturado ()", IF(ISNA(MATCH(O364, Criterios!$D$123:$D$124, 0)), "Ciclo de vida no válido", ""))))</f>
        <v/>
      </c>
      <c r="AC364" s="56" t="n"/>
      <c r="AD364" s="51" t="n"/>
      <c r="AE364" s="156" t="n"/>
      <c r="AF364" s="51" t="n"/>
      <c r="AG364" s="156" t="n"/>
      <c r="AH364" s="156" t="inlineStr">
        <is>
          <t>Homologación G1522 06/10/2026: WB Licencia: «Rick and Morty» → «Rick &amp; Morty» (Corrección aplicada)</t>
        </is>
      </c>
      <c r="AI364" s="156" t="n"/>
      <c r="AJ364" s="156" t="n"/>
      <c r="AK364" s="155" t="n"/>
      <c r="AL364" s="58" t="n"/>
      <c r="AM364" s="58" t="n"/>
      <c r="AN364" s="155" t="n"/>
      <c r="AO364" s="59" t="n"/>
      <c r="AP364" s="59" t="n"/>
      <c r="AQ364" s="59" t="n"/>
      <c r="AR364" s="155" t="n"/>
    </row>
    <row r="365">
      <c r="A365" s="50" t="inlineStr">
        <is>
          <t>3614000835202</t>
        </is>
      </c>
      <c r="B365" s="51" t="n"/>
      <c r="C365" s="156" t="inlineStr">
        <is>
          <t>CAPSLAB</t>
        </is>
      </c>
      <c r="D365" s="156" t="inlineStr">
        <is>
          <t>CAPGEN0135202-W6</t>
        </is>
      </c>
      <c r="E365" s="156" t="inlineStr">
        <is>
          <t>CAPGEN0135202-W6-UNI</t>
        </is>
      </c>
      <c r="F365" s="156" t="inlineStr">
        <is>
          <t>Talla única</t>
        </is>
      </c>
      <c r="G365" s="156" t="inlineStr">
        <is>
          <t>One Size</t>
        </is>
      </c>
      <c r="H365" s="156" t="inlineStr">
        <is>
          <t>CAPSLAB</t>
        </is>
      </c>
      <c r="I365" s="156" t="inlineStr">
        <is>
          <t>Gorra trucker CAPSLAB Genérica</t>
        </is>
      </c>
      <c r="J365" s="156" t="inlineStr">
        <is>
          <t>Accesorios</t>
        </is>
      </c>
      <c r="K365" s="156" t="inlineStr">
        <is>
          <t>Gorras</t>
        </is>
      </c>
      <c r="L365" s="156" t="inlineStr">
        <is>
          <t>Unisex</t>
        </is>
      </c>
      <c r="M365" s="156" t="inlineStr">
        <is>
          <t>CAPSLAB</t>
        </is>
      </c>
      <c r="N365" s="156" t="n"/>
      <c r="O365" s="156" t="n"/>
      <c r="P365" s="156" t="inlineStr">
        <is>
          <t>Varios</t>
        </is>
      </c>
      <c r="Q365" s="156" t="n"/>
      <c r="R365" s="156" t="n"/>
      <c r="S365" s="156" t="inlineStr">
        <is>
          <t>Algodón / Poliéster</t>
        </is>
      </c>
      <c r="T365" s="156" t="inlineStr">
        <is>
          <t>Gorra tipo trucker CAPSLAB diseño estándar.</t>
        </is>
      </c>
      <c r="U365" s="156" t="n"/>
      <c r="V365" s="156" t="inlineStr">
        <is>
          <t>PZS</t>
        </is>
      </c>
      <c r="W365" s="51" t="inlineStr">
        <is>
          <t>53102516</t>
        </is>
      </c>
      <c r="X365" s="156" t="n"/>
      <c r="Y365" s="54" t="n"/>
      <c r="Z365" s="54" t="n"/>
      <c r="AA365" s="55">
        <f>IF(AND(A365="", B365="", E365=""), "", IF(AB365="", "Válido", IF((LEN(AB365)-LEN(SUBSTITUTE(AB365,"; ","")))/2+1&gt;(LEN(AB365)-LEN(SUBSTITUTE(AB365,"[Aviso]","")))/7, "Con Incidencias", "Válido")))</f>
        <v/>
      </c>
      <c r="AB365" s="56">
        <f>IF(AND(A365="", B365="", E365=""), "", TEXTJOIN("; ", TRUE, IF(OR(TRIM(A365&amp;"")="", ISNUMBER(SEARCH("FALTA", A365))), "UPC faltante/inválido", ""), IF(AND(A365&lt;&gt;"", IFERROR(_xlfn.XMATCH(A365,$A$2:$A$370,0,1)&lt;&gt;_xlfn.XMATCH(A365,$A$2:$A$370,0,-1),FALSE)), "Código de barras duplicado", ""), IF(AND(E365&lt;&gt;"", COUNTIF($E$2:$E$370, E365)&gt;1), "SKU duplicado", ""), IF(OR(J365="", J365=""), "[Aviso] División no capturada ()", IF(ISNA(MATCH(J365, Criterios!$A$123:$A$126, 0)), "División no válida", "")), IF(OR(K365="", K365=""), "[Aviso] Categoría no capturada ()", IF(ISNA(MATCH(K365, Criterios!$A$81:$A$120, 0)), "Categoría no válida", IF(AND(J365&lt;&gt;"", J365&lt;&gt;"", J365&lt;&gt;VLOOKUP(K365, Criterios!$A$81:$B$120, 2, FALSE)), "División no coincide con Categoría", ""))), IF(OR(L365="", L365=""), "[Aviso] Género no capturado ()", IF(ISNA(MATCH(L365, Criterios!$B$123:$B$127, 0)), "Género no válido", "")), IF(OR(N365="", N365=""), "[Aviso] Temporada no capturada ()", IF(ISNA(MATCH(N365, Criterios!$C$123:$C$128, 0)), "Temporada no válida", "")), IF(OR(O365="", O365=""), "[Aviso] Ciclo de vida no capturado ()", IF(ISNA(MATCH(O365, Criterios!$D$123:$D$124, 0)), "Ciclo de vida no válido", ""))))</f>
        <v/>
      </c>
      <c r="AC365" s="56" t="n"/>
      <c r="AD365" s="51" t="n"/>
      <c r="AE365" s="156" t="n"/>
      <c r="AF365" s="51" t="n"/>
      <c r="AG365" s="156" t="n"/>
      <c r="AH365" s="156" t="inlineStr">
        <is>
          <t>Homologación G1522 06/10/2026: WB Licencia: «Capslab» → «CAPSLAB» (Corrección aplicada)</t>
        </is>
      </c>
      <c r="AI365" s="156" t="n"/>
      <c r="AJ365" s="156" t="n"/>
      <c r="AK365" s="155" t="n"/>
      <c r="AL365" s="58" t="n"/>
      <c r="AM365" s="58" t="n"/>
      <c r="AN365" s="155" t="n"/>
      <c r="AO365" s="59" t="n"/>
      <c r="AP365" s="59" t="n"/>
      <c r="AQ365" s="59" t="n"/>
      <c r="AR365" s="155" t="n"/>
    </row>
    <row r="366">
      <c r="A366" s="50" t="inlineStr">
        <is>
          <t>3614001696628</t>
        </is>
      </c>
      <c r="B366" s="51" t="n"/>
      <c r="C366" s="156" t="inlineStr">
        <is>
          <t>CAPSLAB</t>
        </is>
      </c>
      <c r="D366" s="156" t="inlineStr">
        <is>
          <t>CAPGEN0196628-W6</t>
        </is>
      </c>
      <c r="E366" s="156" t="inlineStr">
        <is>
          <t>CAPGEN0196628-W6-UNI</t>
        </is>
      </c>
      <c r="F366" s="156" t="inlineStr">
        <is>
          <t>Talla única</t>
        </is>
      </c>
      <c r="G366" s="156" t="inlineStr">
        <is>
          <t>One Size</t>
        </is>
      </c>
      <c r="H366" s="156" t="inlineStr">
        <is>
          <t>CAPSLAB</t>
        </is>
      </c>
      <c r="I366" s="156" t="inlineStr">
        <is>
          <t>Gorra trucker CAPSLAB Genérica</t>
        </is>
      </c>
      <c r="J366" s="156" t="inlineStr">
        <is>
          <t>Accesorios</t>
        </is>
      </c>
      <c r="K366" s="156" t="inlineStr">
        <is>
          <t>Gorras</t>
        </is>
      </c>
      <c r="L366" s="156" t="inlineStr">
        <is>
          <t>Unisex</t>
        </is>
      </c>
      <c r="M366" s="156" t="inlineStr">
        <is>
          <t>CAPSLAB</t>
        </is>
      </c>
      <c r="N366" s="156" t="n"/>
      <c r="O366" s="156" t="n"/>
      <c r="P366" s="156" t="inlineStr">
        <is>
          <t>Varios</t>
        </is>
      </c>
      <c r="Q366" s="156" t="n"/>
      <c r="R366" s="156" t="n"/>
      <c r="S366" s="156" t="inlineStr">
        <is>
          <t>Algodón / Poliéster</t>
        </is>
      </c>
      <c r="T366" s="156" t="inlineStr">
        <is>
          <t>Gorra tipo trucker CAPSLAB diseño estándar.</t>
        </is>
      </c>
      <c r="U366" s="156" t="n"/>
      <c r="V366" s="156" t="inlineStr">
        <is>
          <t>PZS</t>
        </is>
      </c>
      <c r="W366" s="51" t="inlineStr">
        <is>
          <t>53102516</t>
        </is>
      </c>
      <c r="X366" s="156" t="n"/>
      <c r="Y366" s="54" t="n"/>
      <c r="Z366" s="54" t="n"/>
      <c r="AA366" s="55">
        <f>IF(AND(A366="", B366="", E366=""), "", IF(AB366="", "Válido", IF((LEN(AB366)-LEN(SUBSTITUTE(AB366,"; ","")))/2+1&gt;(LEN(AB366)-LEN(SUBSTITUTE(AB366,"[Aviso]","")))/7, "Con Incidencias", "Válido")))</f>
        <v/>
      </c>
      <c r="AB366" s="56">
        <f>IF(AND(A366="", B366="", E366=""), "", TEXTJOIN("; ", TRUE, IF(OR(TRIM(A366&amp;"")="", ISNUMBER(SEARCH("FALTA", A366))), "UPC faltante/inválido", ""), IF(AND(A366&lt;&gt;"", IFERROR(_xlfn.XMATCH(A366,$A$2:$A$370,0,1)&lt;&gt;_xlfn.XMATCH(A366,$A$2:$A$370,0,-1),FALSE)), "Código de barras duplicado", ""), IF(AND(E366&lt;&gt;"", COUNTIF($E$2:$E$370, E366)&gt;1), "SKU duplicado", ""), IF(OR(J366="", J366=""), "[Aviso] División no capturada ()", IF(ISNA(MATCH(J366, Criterios!$A$123:$A$126, 0)), "División no válida", "")), IF(OR(K366="", K366=""), "[Aviso] Categoría no capturada ()", IF(ISNA(MATCH(K366, Criterios!$A$81:$A$120, 0)), "Categoría no válida", IF(AND(J366&lt;&gt;"", J366&lt;&gt;"", J366&lt;&gt;VLOOKUP(K366, Criterios!$A$81:$B$120, 2, FALSE)), "División no coincide con Categoría", ""))), IF(OR(L366="", L366=""), "[Aviso] Género no capturado ()", IF(ISNA(MATCH(L366, Criterios!$B$123:$B$127, 0)), "Género no válido", "")), IF(OR(N366="", N366=""), "[Aviso] Temporada no capturada ()", IF(ISNA(MATCH(N366, Criterios!$C$123:$C$128, 0)), "Temporada no válida", "")), IF(OR(O366="", O366=""), "[Aviso] Ciclo de vida no capturado ()", IF(ISNA(MATCH(O366, Criterios!$D$123:$D$124, 0)), "Ciclo de vida no válido", ""))))</f>
        <v/>
      </c>
      <c r="AC366" s="56" t="n"/>
      <c r="AD366" s="51" t="n"/>
      <c r="AE366" s="156" t="n"/>
      <c r="AF366" s="51" t="n"/>
      <c r="AG366" s="156" t="n"/>
      <c r="AH366" s="156" t="inlineStr">
        <is>
          <t>Homologación G1522 06/10/2026: WB Licencia: «Capslab» → «CAPSLAB» (Corrección aplicada)</t>
        </is>
      </c>
      <c r="AI366" s="156" t="n"/>
      <c r="AJ366" s="156" t="n"/>
      <c r="AK366" s="155" t="n"/>
      <c r="AL366" s="58" t="n"/>
      <c r="AM366" s="58" t="n"/>
      <c r="AN366" s="155" t="n"/>
      <c r="AO366" s="59" t="n"/>
      <c r="AP366" s="59" t="n"/>
      <c r="AQ366" s="59" t="n"/>
      <c r="AR366" s="155" t="n"/>
    </row>
    <row r="367">
      <c r="A367" s="50" t="inlineStr">
        <is>
          <t>3614000806363</t>
        </is>
      </c>
      <c r="B367" s="51" t="n"/>
      <c r="C367" s="156" t="inlineStr">
        <is>
          <t>CAPSLAB</t>
        </is>
      </c>
      <c r="D367" s="156" t="inlineStr">
        <is>
          <t>CAPDBZ01VEG-W6</t>
        </is>
      </c>
      <c r="E367" s="156" t="inlineStr">
        <is>
          <t>CAPDBZ01VEG-W6-UNI</t>
        </is>
      </c>
      <c r="F367" s="156" t="inlineStr">
        <is>
          <t>Talla única</t>
        </is>
      </c>
      <c r="G367" s="156" t="inlineStr">
        <is>
          <t>One Size</t>
        </is>
      </c>
      <c r="H367" s="156" t="inlineStr">
        <is>
          <t>CAPSLAB</t>
        </is>
      </c>
      <c r="I367" s="156" t="inlineStr">
        <is>
          <t>Gorra trucker CAPSLAB Dragon Ball Minute of Desperation</t>
        </is>
      </c>
      <c r="J367" s="156" t="inlineStr">
        <is>
          <t>Accesorios</t>
        </is>
      </c>
      <c r="K367" s="156" t="inlineStr">
        <is>
          <t>Gorras</t>
        </is>
      </c>
      <c r="L367" s="156" t="inlineStr">
        <is>
          <t>Unisex</t>
        </is>
      </c>
      <c r="M367" s="156" t="inlineStr">
        <is>
          <t>Dragon Ball</t>
        </is>
      </c>
      <c r="N367" s="156" t="n"/>
      <c r="O367" s="156" t="n"/>
      <c r="P367" s="156" t="inlineStr">
        <is>
          <t>Gris</t>
        </is>
      </c>
      <c r="Q367" s="156" t="n"/>
      <c r="R367" s="156" t="n"/>
      <c r="S367" s="156" t="inlineStr">
        <is>
          <t>Frontal: 100% Algodón; Malla: 100% Poliéster</t>
        </is>
      </c>
      <c r="T367" s="156" t="inlineStr">
        <is>
          <t>Gorra tipo trucker CAPSLAB diseño Vegeta vs Kid Buu.</t>
        </is>
      </c>
      <c r="U367" s="156" t="n"/>
      <c r="V367" s="156" t="inlineStr">
        <is>
          <t>PZS</t>
        </is>
      </c>
      <c r="W367" s="51" t="inlineStr">
        <is>
          <t>53102516</t>
        </is>
      </c>
      <c r="X367" s="156" t="inlineStr">
        <is>
          <t>https://static.caphunters.co.uk/22446-large_default/capslab-vegeta-vs-kid-buu-minute-of-desperation-des1-dragon-ball-grey-trucker-hat.webp</t>
        </is>
      </c>
      <c r="Y367" s="54" t="n"/>
      <c r="Z367" s="54" t="n"/>
      <c r="AA367" s="55">
        <f>IF(AND(A367="", B367="", E367=""), "", IF(AB367="", "Válido", IF((LEN(AB367)-LEN(SUBSTITUTE(AB367,"; ","")))/2+1&gt;(LEN(AB367)-LEN(SUBSTITUTE(AB367,"[Aviso]","")))/7, "Con Incidencias", "Válido")))</f>
        <v/>
      </c>
      <c r="AB367" s="56">
        <f>IF(AND(A367="", B367="", E367=""), "", TEXTJOIN("; ", TRUE, IF(OR(TRIM(A367&amp;"")="", ISNUMBER(SEARCH("FALTA", A367))), "UPC faltante/inválido", ""), IF(AND(A367&lt;&gt;"", IFERROR(_xlfn.XMATCH(A367,$A$2:$A$370,0,1)&lt;&gt;_xlfn.XMATCH(A367,$A$2:$A$370,0,-1),FALSE)), "Código de barras duplicado", ""), IF(AND(E367&lt;&gt;"", COUNTIF($E$2:$E$370, E367)&gt;1), "SKU duplicado", ""), IF(OR(J367="", J367=""), "[Aviso] División no capturada ()", IF(ISNA(MATCH(J367, Criterios!$A$123:$A$126, 0)), "División no válida", "")), IF(OR(K367="", K367=""), "[Aviso] Categoría no capturada ()", IF(ISNA(MATCH(K367, Criterios!$A$81:$A$120, 0)), "Categoría no válida", IF(AND(J367&lt;&gt;"", J367&lt;&gt;"", J367&lt;&gt;VLOOKUP(K367, Criterios!$A$81:$B$120, 2, FALSE)), "División no coincide con Categoría", ""))), IF(OR(L367="", L367=""), "[Aviso] Género no capturado ()", IF(ISNA(MATCH(L367, Criterios!$B$123:$B$127, 0)), "Género no válido", "")), IF(OR(N367="", N367=""), "[Aviso] Temporada no capturada ()", IF(ISNA(MATCH(N367, Criterios!$C$123:$C$128, 0)), "Temporada no válida", "")), IF(OR(O367="", O367=""), "[Aviso] Ciclo de vida no capturado ()", IF(ISNA(MATCH(O367, Criterios!$D$123:$D$124, 0)), "Ciclo de vida no válido", ""))))</f>
        <v/>
      </c>
      <c r="AC367" s="56" t="n"/>
      <c r="AD367" s="51" t="n"/>
      <c r="AE367" s="156" t="n"/>
      <c r="AF367" s="51" t="n"/>
      <c r="AG367" s="156" t="n"/>
      <c r="AH367" s="156" t="n"/>
      <c r="AI367" s="156" t="n"/>
      <c r="AJ367" s="156" t="n"/>
      <c r="AK367" s="155" t="n"/>
      <c r="AL367" s="58" t="n"/>
      <c r="AM367" s="58" t="n"/>
      <c r="AN367" s="155" t="n"/>
      <c r="AO367" s="59" t="n"/>
      <c r="AP367" s="59" t="n"/>
      <c r="AQ367" s="59" t="n"/>
      <c r="AR367" s="155" t="n"/>
    </row>
    <row r="368">
      <c r="A368" s="50" t="inlineStr">
        <is>
          <t>3614001305186</t>
        </is>
      </c>
      <c r="B368" s="51" t="n"/>
      <c r="C368" s="156" t="inlineStr">
        <is>
          <t>CAPSLAB</t>
        </is>
      </c>
      <c r="D368" s="156" t="inlineStr">
        <is>
          <t>CAPDBZ01FRE-W6</t>
        </is>
      </c>
      <c r="E368" s="156" t="inlineStr">
        <is>
          <t>CAPDBZ01FRE-W6-UNI</t>
        </is>
      </c>
      <c r="F368" s="156" t="inlineStr">
        <is>
          <t>Talla única</t>
        </is>
      </c>
      <c r="G368" s="156" t="inlineStr">
        <is>
          <t>One Size</t>
        </is>
      </c>
      <c r="H368" s="156" t="inlineStr">
        <is>
          <t>CAPSLAB</t>
        </is>
      </c>
      <c r="I368" s="156" t="inlineStr">
        <is>
          <t>Gorra trucker CAPSLAB Dragon Ball Golden Freezer</t>
        </is>
      </c>
      <c r="J368" s="156" t="inlineStr">
        <is>
          <t>Accesorios</t>
        </is>
      </c>
      <c r="K368" s="156" t="inlineStr">
        <is>
          <t>Gorras</t>
        </is>
      </c>
      <c r="L368" s="156" t="inlineStr">
        <is>
          <t>Unisex</t>
        </is>
      </c>
      <c r="M368" s="156" t="inlineStr">
        <is>
          <t>Dragon Ball</t>
        </is>
      </c>
      <c r="N368" s="156" t="n"/>
      <c r="O368" s="156" t="n"/>
      <c r="P368" s="156" t="inlineStr">
        <is>
          <t>Blanco</t>
        </is>
      </c>
      <c r="Q368" s="156" t="n"/>
      <c r="R368" s="156" t="n"/>
      <c r="S368" s="156" t="inlineStr">
        <is>
          <t>50% Algodón / 50% Poliéster</t>
        </is>
      </c>
      <c r="T368" s="156" t="inlineStr">
        <is>
          <t>Gorra tipo trucker CAPSLAB diseño Golden Freezer.</t>
        </is>
      </c>
      <c r="U368" s="156" t="n"/>
      <c r="V368" s="156" t="inlineStr">
        <is>
          <t>PZS</t>
        </is>
      </c>
      <c r="W368" s="51" t="inlineStr">
        <is>
          <t>53102516</t>
        </is>
      </c>
      <c r="X368" s="156" t="inlineStr">
        <is>
          <t>https://a.allegroimg.com/s720/1162ec/4e7b102c4d189ca6a515d041f696/Dragon-Ball-Z-Golden-Frieza-Czapka-Capslab</t>
        </is>
      </c>
      <c r="Y368" s="54" t="n"/>
      <c r="Z368" s="54" t="n"/>
      <c r="AA368" s="55">
        <f>IF(AND(A368="", B368="", E368=""), "", IF(AB368="", "Válido", IF((LEN(AB368)-LEN(SUBSTITUTE(AB368,"; ","")))/2+1&gt;(LEN(AB368)-LEN(SUBSTITUTE(AB368,"[Aviso]","")))/7, "Con Incidencias", "Válido")))</f>
        <v/>
      </c>
      <c r="AB368" s="56">
        <f>IF(AND(A368="", B368="", E368=""), "", TEXTJOIN("; ", TRUE, IF(OR(TRIM(A368&amp;"")="", ISNUMBER(SEARCH("FALTA", A368))), "UPC faltante/inválido", ""), IF(AND(A368&lt;&gt;"", IFERROR(_xlfn.XMATCH(A368,$A$2:$A$370,0,1)&lt;&gt;_xlfn.XMATCH(A368,$A$2:$A$370,0,-1),FALSE)), "Código de barras duplicado", ""), IF(AND(E368&lt;&gt;"", COUNTIF($E$2:$E$370, E368)&gt;1), "SKU duplicado", ""), IF(OR(J368="", J368=""), "[Aviso] División no capturada ()", IF(ISNA(MATCH(J368, Criterios!$A$123:$A$126, 0)), "División no válida", "")), IF(OR(K368="", K368=""), "[Aviso] Categoría no capturada ()", IF(ISNA(MATCH(K368, Criterios!$A$81:$A$120, 0)), "Categoría no válida", IF(AND(J368&lt;&gt;"", J368&lt;&gt;"", J368&lt;&gt;VLOOKUP(K368, Criterios!$A$81:$B$120, 2, FALSE)), "División no coincide con Categoría", ""))), IF(OR(L368="", L368=""), "[Aviso] Género no capturado ()", IF(ISNA(MATCH(L368, Criterios!$B$123:$B$127, 0)), "Género no válido", "")), IF(OR(N368="", N368=""), "[Aviso] Temporada no capturada ()", IF(ISNA(MATCH(N368, Criterios!$C$123:$C$128, 0)), "Temporada no válida", "")), IF(OR(O368="", O368=""), "[Aviso] Ciclo de vida no capturado ()", IF(ISNA(MATCH(O368, Criterios!$D$123:$D$124, 0)), "Ciclo de vida no válido", ""))))</f>
        <v/>
      </c>
      <c r="AC368" s="56" t="n"/>
      <c r="AD368" s="51" t="n"/>
      <c r="AE368" s="156" t="n"/>
      <c r="AF368" s="51" t="n"/>
      <c r="AG368" s="156" t="n"/>
      <c r="AH368" s="156" t="n"/>
      <c r="AI368" s="156" t="n"/>
      <c r="AJ368" s="156" t="n"/>
      <c r="AK368" s="155" t="n"/>
      <c r="AL368" s="58" t="n"/>
      <c r="AM368" s="58" t="n"/>
      <c r="AN368" s="155" t="n"/>
      <c r="AO368" s="59" t="n"/>
      <c r="AP368" s="59" t="n"/>
      <c r="AQ368" s="59" t="n"/>
      <c r="AR368" s="155" t="n"/>
    </row>
    <row r="369">
      <c r="A369" s="50" t="inlineStr">
        <is>
          <t>3614001184057</t>
        </is>
      </c>
      <c r="B369" s="51" t="n"/>
      <c r="C369" s="156" t="inlineStr">
        <is>
          <t>CAPSLAB</t>
        </is>
      </c>
      <c r="D369" s="156" t="inlineStr">
        <is>
          <t>CAPDCC01HAR-W6</t>
        </is>
      </c>
      <c r="E369" s="156" t="inlineStr">
        <is>
          <t>CAPDCC01HAR-W6-UNI</t>
        </is>
      </c>
      <c r="F369" s="156" t="inlineStr">
        <is>
          <t>Talla única</t>
        </is>
      </c>
      <c r="G369" s="156" t="inlineStr">
        <is>
          <t>One Size</t>
        </is>
      </c>
      <c r="H369" s="156" t="inlineStr">
        <is>
          <t>CAPSLAB</t>
        </is>
      </c>
      <c r="I369" s="156" t="inlineStr">
        <is>
          <t>Gorra CAPSLAB DC Comics Harley Quinn</t>
        </is>
      </c>
      <c r="J369" s="156" t="inlineStr">
        <is>
          <t>Accesorios</t>
        </is>
      </c>
      <c r="K369" s="156" t="inlineStr">
        <is>
          <t>Gorras</t>
        </is>
      </c>
      <c r="L369" s="156" t="inlineStr">
        <is>
          <t>Unisex</t>
        </is>
      </c>
      <c r="M369" s="156" t="inlineStr">
        <is>
          <t>DC Comics</t>
        </is>
      </c>
      <c r="N369" s="156" t="n"/>
      <c r="O369" s="156" t="n"/>
      <c r="P369" s="156" t="inlineStr">
        <is>
          <t>Varios</t>
        </is>
      </c>
      <c r="Q369" s="156" t="n"/>
      <c r="R369" s="156" t="n"/>
      <c r="S369" s="156" t="inlineStr">
        <is>
          <t>40% Algodón / 60% Poliéster</t>
        </is>
      </c>
      <c r="T369" s="156" t="inlineStr">
        <is>
          <t>Gorra tipo trucker CAPSLAB diseño Harley Quinn.</t>
        </is>
      </c>
      <c r="U369" s="156" t="n"/>
      <c r="V369" s="156" t="inlineStr">
        <is>
          <t>PZS</t>
        </is>
      </c>
      <c r="W369" s="51" t="inlineStr">
        <is>
          <t>53102516</t>
        </is>
      </c>
      <c r="X369" s="156" t="inlineStr">
        <is>
          <t>https://www.dystryktzero.pl/images/ab__webp/thumbnails/80/80/detailed/338/1_2kwn-pi_jpg.webp</t>
        </is>
      </c>
      <c r="Y369" s="54" t="n"/>
      <c r="Z369" s="54" t="n"/>
      <c r="AA369" s="55">
        <f>IF(AND(A369="", B369="", E369=""), "", IF(AB369="", "Válido", IF((LEN(AB369)-LEN(SUBSTITUTE(AB369,"; ","")))/2+1&gt;(LEN(AB369)-LEN(SUBSTITUTE(AB369,"[Aviso]","")))/7, "Con Incidencias", "Válido")))</f>
        <v/>
      </c>
      <c r="AB369" s="56">
        <f>IF(AND(A369="", B369="", E369=""), "", TEXTJOIN("; ", TRUE, IF(OR(TRIM(A369&amp;"")="", ISNUMBER(SEARCH("FALTA", A369))), "UPC faltante/inválido", ""), IF(AND(A369&lt;&gt;"", IFERROR(_xlfn.XMATCH(A369,$A$2:$A$370,0,1)&lt;&gt;_xlfn.XMATCH(A369,$A$2:$A$370,0,-1),FALSE)), "Código de barras duplicado", ""), IF(AND(E369&lt;&gt;"", COUNTIF($E$2:$E$370, E369)&gt;1), "SKU duplicado", ""), IF(OR(J369="", J369=""), "[Aviso] División no capturada ()", IF(ISNA(MATCH(J369, Criterios!$A$123:$A$126, 0)), "División no válida", "")), IF(OR(K369="", K369=""), "[Aviso] Categoría no capturada ()", IF(ISNA(MATCH(K369, Criterios!$A$81:$A$120, 0)), "Categoría no válida", IF(AND(J369&lt;&gt;"", J369&lt;&gt;"", J369&lt;&gt;VLOOKUP(K369, Criterios!$A$81:$B$120, 2, FALSE)), "División no coincide con Categoría", ""))), IF(OR(L369="", L369=""), "[Aviso] Género no capturado ()", IF(ISNA(MATCH(L369, Criterios!$B$123:$B$127, 0)), "Género no válido", "")), IF(OR(N369="", N369=""), "[Aviso] Temporada no capturada ()", IF(ISNA(MATCH(N369, Criterios!$C$123:$C$128, 0)), "Temporada no válida", "")), IF(OR(O369="", O369=""), "[Aviso] Ciclo de vida no capturado ()", IF(ISNA(MATCH(O369, Criterios!$D$123:$D$124, 0)), "Ciclo de vida no válido", ""))))</f>
        <v/>
      </c>
      <c r="AC369" s="56" t="n"/>
      <c r="AD369" s="51" t="n"/>
      <c r="AE369" s="156" t="n"/>
      <c r="AF369" s="51" t="n"/>
      <c r="AG369" s="156" t="n"/>
      <c r="AH369" s="156" t="n"/>
      <c r="AI369" s="156" t="n"/>
      <c r="AJ369" s="156" t="n"/>
      <c r="AK369" s="155" t="n"/>
      <c r="AL369" s="58" t="n"/>
      <c r="AM369" s="58" t="n"/>
      <c r="AN369" s="155" t="n"/>
      <c r="AO369" s="59" t="n"/>
      <c r="AP369" s="59" t="n"/>
      <c r="AQ369" s="59" t="n"/>
      <c r="AR369" s="155" t="n"/>
    </row>
    <row r="370">
      <c r="A370" s="50" t="inlineStr">
        <is>
          <t>3614000980421</t>
        </is>
      </c>
      <c r="B370" s="51" t="n"/>
      <c r="C370" s="156" t="inlineStr">
        <is>
          <t>CAPSLAB</t>
        </is>
      </c>
      <c r="D370" s="156" t="inlineStr">
        <is>
          <t>CAPLOO01MAR-W6</t>
        </is>
      </c>
      <c r="E370" s="156" t="inlineStr">
        <is>
          <t>CAPLOO01MAR-W6-UNI</t>
        </is>
      </c>
      <c r="F370" s="156" t="inlineStr">
        <is>
          <t>Talla única</t>
        </is>
      </c>
      <c r="G370" s="156" t="inlineStr">
        <is>
          <t>One Size</t>
        </is>
      </c>
      <c r="H370" s="156" t="inlineStr">
        <is>
          <t>CAPSLAB</t>
        </is>
      </c>
      <c r="I370" s="156" t="inlineStr">
        <is>
          <t>Gorra trucker CAPSLAB Looney Tunes Marvin el Marciano</t>
        </is>
      </c>
      <c r="J370" s="156" t="inlineStr">
        <is>
          <t>Accesorios</t>
        </is>
      </c>
      <c r="K370" s="156" t="inlineStr">
        <is>
          <t>Gorras</t>
        </is>
      </c>
      <c r="L370" s="156" t="inlineStr">
        <is>
          <t>Unisex</t>
        </is>
      </c>
      <c r="M370" s="156" t="inlineStr">
        <is>
          <t>Looney Tunes</t>
        </is>
      </c>
      <c r="N370" s="156" t="n"/>
      <c r="O370" s="156" t="n"/>
      <c r="P370" s="156" t="inlineStr">
        <is>
          <t>Negro</t>
        </is>
      </c>
      <c r="Q370" s="156" t="n"/>
      <c r="R370" s="156" t="n"/>
      <c r="S370" s="156" t="inlineStr">
        <is>
          <t>50% Algodón / 50% Poliéster</t>
        </is>
      </c>
      <c r="T370" s="156" t="inlineStr">
        <is>
          <t>Gorra tipo trucker CAPSLAB diseño Marvin el Marciano.</t>
        </is>
      </c>
      <c r="U370" s="156" t="n"/>
      <c r="V370" s="156" t="inlineStr">
        <is>
          <t>PZS</t>
        </is>
      </c>
      <c r="W370" s="51" t="inlineStr">
        <is>
          <t>53102516</t>
        </is>
      </c>
      <c r="X370" s="156" t="inlineStr">
        <is>
          <t>https://selectshop.pl/modpub/_ss/product/small/052020/246677-3a0666.jpg</t>
        </is>
      </c>
      <c r="Y370" s="54" t="n"/>
      <c r="Z370" s="54" t="n"/>
      <c r="AA370" s="55">
        <f>IF(AND(A370="", B370="", E370=""), "", IF(AB370="", "Válido", IF((LEN(AB370)-LEN(SUBSTITUTE(AB370,"; ","")))/2+1&gt;(LEN(AB370)-LEN(SUBSTITUTE(AB370,"[Aviso]","")))/7, "Con Incidencias", "Válido")))</f>
        <v/>
      </c>
      <c r="AB370" s="56">
        <f>IF(AND(A370="", B370="", E370=""), "", TEXTJOIN("; ", TRUE, IF(OR(TRIM(A370&amp;"")="", ISNUMBER(SEARCH("FALTA", A370))), "UPC faltante/inválido", ""), IF(AND(A370&lt;&gt;"", IFERROR(_xlfn.XMATCH(A370,$A$2:$A$370,0,1)&lt;&gt;_xlfn.XMATCH(A370,$A$2:$A$370,0,-1),FALSE)), "Código de barras duplicado", ""), IF(AND(E370&lt;&gt;"", COUNTIF($E$2:$E$370, E370)&gt;1), "SKU duplicado", ""), IF(OR(J370="", J370=""), "[Aviso] División no capturada ()", IF(ISNA(MATCH(J370, Criterios!$A$123:$A$126, 0)), "División no válida", "")), IF(OR(K370="", K370=""), "[Aviso] Categoría no capturada ()", IF(ISNA(MATCH(K370, Criterios!$A$81:$A$120, 0)), "Categoría no válida", IF(AND(J370&lt;&gt;"", J370&lt;&gt;"", J370&lt;&gt;VLOOKUP(K370, Criterios!$A$81:$B$120, 2, FALSE)), "División no coincide con Categoría", ""))), IF(OR(L370="", L370=""), "[Aviso] Género no capturado ()", IF(ISNA(MATCH(L370, Criterios!$B$123:$B$127, 0)), "Género no válido", "")), IF(OR(N370="", N370=""), "[Aviso] Temporada no capturada ()", IF(ISNA(MATCH(N370, Criterios!$C$123:$C$128, 0)), "Temporada no válida", "")), IF(OR(O370="", O370=""), "[Aviso] Ciclo de vida no capturado ()", IF(ISNA(MATCH(O370, Criterios!$D$123:$D$124, 0)), "Ciclo de vida no válido", ""))))</f>
        <v/>
      </c>
      <c r="AC370" s="56" t="n"/>
      <c r="AD370" s="51" t="n"/>
      <c r="AE370" s="156" t="n"/>
      <c r="AF370" s="51" t="n"/>
      <c r="AG370" s="156" t="n"/>
      <c r="AH370" s="156" t="n"/>
      <c r="AI370" s="156" t="n"/>
      <c r="AJ370" s="156" t="n"/>
      <c r="AK370" s="155" t="n"/>
      <c r="AL370" s="58" t="n"/>
      <c r="AM370" s="58" t="n"/>
      <c r="AN370" s="155" t="n"/>
      <c r="AO370" s="59" t="n"/>
      <c r="AP370" s="59" t="n"/>
      <c r="AQ370" s="59" t="n"/>
      <c r="AR370" s="155" t="n"/>
    </row>
  </sheetData>
  <autoFilter ref="A1:AR370"/>
  <conditionalFormatting sqref="AA2:AA370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370">
    <cfRule type="expression" priority="3" dxfId="18" stopIfTrue="1">
      <formula>AND(AB2&lt;&gt;"", AA2="Con Incidencias")</formula>
    </cfRule>
  </conditionalFormatting>
  <dataValidations count="11">
    <dataValidation sqref="O2:O370" showDropDown="0" showInputMessage="0" showErrorMessage="0" allowBlank="1" type="list">
      <formula1>"Seasonal,Core,No Aplica"</formula1>
    </dataValidation>
    <dataValidation sqref="C2:C370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370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370" showDropDown="0" showInputMessage="0" showErrorMessage="0" allowBlank="1" type="list">
      <formula1>"Rojo,Azul,Amarillo,Verde,Naranja,Morado,Rosa,Negro,Blanco,Gris,Beige,Cafe,Varios,No Aplica"</formula1>
    </dataValidation>
    <dataValidation sqref="R2:R370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370" showDropDown="0" showInputMessage="0" showErrorMessage="1" allowBlank="1" type="list">
      <formula1>Criterios!$A$81:$A$120</formula1>
    </dataValidation>
    <dataValidation sqref="N2:N370" showDropDown="0" showInputMessage="0" showErrorMessage="0" allowBlank="1" type="list">
      <formula1>"SS26,FW26,SS27,FW27,SS28,FW28,No Aplica"</formula1>
    </dataValidation>
    <dataValidation sqref="Q2:Q370" showDropDown="0" showInputMessage="0" showErrorMessage="0" allowBlank="1" type="list">
      <formula1>"Regular,Relajado,Slim,Clásico,Moderno,Recto,Bootcut"</formula1>
    </dataValidation>
    <dataValidation sqref="J2:J370" showDropDown="0" showInputMessage="0" showErrorMessage="0" allowBlank="1" type="list">
      <formula1>"Accesorios,Ropa,Denim,Calzado,No Aplica"</formula1>
    </dataValidation>
    <dataValidation sqref="L2:L370" showDropDown="0" showInputMessage="0" showErrorMessage="0" allowBlank="1" type="list">
      <formula1>"Hombre,Mujer,Niño,Niña,Unisex,No Aplica"</formula1>
    </dataValidation>
    <dataValidation sqref="V2:V370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370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369, 16)"),"052356088867")</f>
        <v/>
      </c>
      <c r="Q2">
        <f>IFERROR(__xludf.DUMMYFUNCTION("MAP(FILTER(A2:A370, (B2:B370&lt;&gt;"""")+(D2:D370&lt;&gt;"""")), FILTER(B2:B370, (B2:B370&lt;&gt;"""")+(D2:D370&lt;&gt;"""")),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IFERROR(__xludf.DUMMYFUNCTION("MAP(FILTER(A2:A370, (B2:B370&lt;&gt;"""")+(D2:D370&lt;&gt;"""")), FILTER(B2:B370, (B2:B370&lt;&gt;"""")+(D2:D370&lt;&gt;"""")), FILTER(Q2:Q370, (B2:B370&lt;&gt;"""")+(D2:D370&lt;&gt;"""")),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7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CAPSLAB Warehouse</t>
        </is>
      </c>
      <c r="B2" s="5">
        <f>IF($I2="","",INDEX(Productos!$A:$A,$I2))</f>
        <v/>
      </c>
      <c r="C2" s="134" t="inlineStr">
        <is>
          <t>CAPASS01BLUE-W6-UNI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14</v>
      </c>
      <c r="H2" s="5">
        <f>IF($I2="","",INDEX(Productos!$AG:$AG,$I2))</f>
        <v/>
      </c>
      <c r="I2" s="136">
        <f>LET(_xlpm.r,Productos!$E$2:$E$370,_xlpm.m,IFERROR(_xlfn.XMATCH(C2,_xlpm.r),IFERROR(_xlfn.XMATCH(VALUE(C2),_xlpm.r),0)),IF(_xlpm.m=0,"",_xlpm.m+1))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CAPSLAB Warehouse</t>
        </is>
      </c>
      <c r="B3" s="5">
        <f>IF($I2="","",INDEX(Productos!$A:$A,$I2))</f>
        <v/>
      </c>
      <c r="C3" s="134" t="inlineStr">
        <is>
          <t>CAPASS01CAM2-W6-UNI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18</v>
      </c>
      <c r="H3" s="5">
        <f>IF($I2="","",INDEX(Productos!$AG:$AG,$I2))</f>
        <v/>
      </c>
      <c r="I3" s="136">
        <f>LET(_xlpm.r,Productos!$E$2:$E$370,_xlpm.m,IFERROR(_xlfn.XMATCH(C3,_xlpm.r),IFERROR(_xlfn.XMATCH(VALUE(C3),_xlpm.r),0)),IF(_xlpm.m=0,"",_xlpm.m+1))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CAPSLAB Warehouse</t>
        </is>
      </c>
      <c r="B4" s="5">
        <f>IF($I2="","",INDEX(Productos!$A:$A,$I2))</f>
        <v/>
      </c>
      <c r="C4" s="134" t="inlineStr">
        <is>
          <t>CAPASS01CAMO-W6-UNI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2</v>
      </c>
      <c r="H4" s="5">
        <f>IF($I2="","",INDEX(Productos!$AG:$AG,$I2))</f>
        <v/>
      </c>
      <c r="I4" s="136">
        <f>LET(_xlpm.r,Productos!$E$2:$E$370,_xlpm.m,IFERROR(_xlfn.XMATCH(C4,_xlpm.r),IFERROR(_xlfn.XMATCH(VALUE(C4),_xlpm.r),0)),IF(_xlpm.m=0,"",_xlpm.m+1))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CAPSLAB Warehouse</t>
        </is>
      </c>
      <c r="B5" s="5">
        <f>IF($I2="","",INDEX(Productos!$A:$A,$I2))</f>
        <v/>
      </c>
      <c r="C5" s="134" t="inlineStr">
        <is>
          <t>CAPASS01EDWA-W6-UNI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5</v>
      </c>
      <c r="H5" s="5">
        <f>IF($I2="","",INDEX(Productos!$AG:$AG,$I2))</f>
        <v/>
      </c>
      <c r="I5" s="136">
        <f>LET(_xlpm.r,Productos!$E$2:$E$370,_xlpm.m,IFERROR(_xlfn.XMATCH(C5,_xlpm.r),IFERROR(_xlfn.XMATCH(VALUE(C5),_xlpm.r),0)),IF(_xlpm.m=0,"",_xlpm.m+1))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CAPSLAB Warehouse</t>
        </is>
      </c>
      <c r="B6" s="5">
        <f>IF($I2="","",INDEX(Productos!$A:$A,$I2))</f>
        <v/>
      </c>
      <c r="C6" s="134" t="inlineStr">
        <is>
          <t>CAPBOR01CASH-W6-UNI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6</v>
      </c>
      <c r="H6" s="5">
        <f>IF($I2="","",INDEX(Productos!$AG:$AG,$I2))</f>
        <v/>
      </c>
      <c r="I6" s="136">
        <f>LET(_xlpm.r,Productos!$E$2:$E$370,_xlpm.m,IFERROR(_xlfn.XMATCH(C6,_xlpm.r),IFERROR(_xlfn.XMATCH(VALUE(C6),_xlpm.r),0)),IF(_xlpm.m=0,"",_xlpm.m+1))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CAPSLAB Warehouse</t>
        </is>
      </c>
      <c r="B7" s="5">
        <f>IF($I2="","",INDEX(Productos!$A:$A,$I2))</f>
        <v/>
      </c>
      <c r="C7" s="134" t="inlineStr">
        <is>
          <t>CAPBOR01COWB-W6-UNI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4</v>
      </c>
      <c r="H7" s="5">
        <f>IF($I2="","",INDEX(Productos!$AG:$AG,$I2))</f>
        <v/>
      </c>
      <c r="I7" s="136">
        <f>LET(_xlpm.r,Productos!$E$2:$E$370,_xlpm.m,IFERROR(_xlfn.XMATCH(C7,_xlpm.r),IFERROR(_xlfn.XMATCH(VALUE(C7),_xlpm.r),0)),IF(_xlpm.m=0,"",_xlpm.m+1))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CAPSLAB Warehouse</t>
        </is>
      </c>
      <c r="B8" s="5">
        <f>IF($I2="","",INDEX(Productos!$A:$A,$I2))</f>
        <v/>
      </c>
      <c r="C8" s="134" t="inlineStr">
        <is>
          <t>CAPBOR01LEOP-W6-UNI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7</v>
      </c>
      <c r="H8" s="5">
        <f>IF($I2="","",INDEX(Productos!$AG:$AG,$I2))</f>
        <v/>
      </c>
      <c r="I8" s="136">
        <f>LET(_xlpm.r,Productos!$E$2:$E$370,_xlpm.m,IFERROR(_xlfn.XMATCH(C8,_xlpm.r),IFERROR(_xlfn.XMATCH(VALUE(C8),_xlpm.r),0)),IF(_xlpm.m=0,"",_xlpm.m+1))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CAPSLAB Warehouse</t>
        </is>
      </c>
      <c r="B9" s="5">
        <f>IF($I2="","",INDEX(Productos!$A:$A,$I2))</f>
        <v/>
      </c>
      <c r="C9" s="134" t="inlineStr">
        <is>
          <t>CAPSMU01CHAM-W6-UNI</t>
        </is>
      </c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2</v>
      </c>
      <c r="H9" s="5">
        <f>IF($I2="","",INDEX(Productos!$AG:$AG,$I2))</f>
        <v/>
      </c>
      <c r="I9" s="136">
        <f>LET(_xlpm.r,Productos!$E$2:$E$370,_xlpm.m,IFERROR(_xlfn.XMATCH(C9,_xlpm.r),IFERROR(_xlfn.XMATCH(VALUE(C9),_xlpm.r),0)),IF(_xlpm.m=0,"",_xlpm.m+1))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CAPSLAB Warehouse</t>
        </is>
      </c>
      <c r="B10" s="5">
        <f>IF($I2="","",INDEX(Productos!$A:$A,$I2))</f>
        <v/>
      </c>
      <c r="C10" s="134" t="inlineStr">
        <is>
          <t>CAPSMU01CRAZ-W6-UNI</t>
        </is>
      </c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3</v>
      </c>
      <c r="H10" s="5">
        <f>IF($I2="","",INDEX(Productos!$AG:$AG,$I2))</f>
        <v/>
      </c>
      <c r="I10" s="136">
        <f>LET(_xlpm.r,Productos!$E$2:$E$370,_xlpm.m,IFERROR(_xlfn.XMATCH(C10,_xlpm.r),IFERROR(_xlfn.XMATCH(VALUE(C10),_xlpm.r),0)),IF(_xlpm.m=0,"",_xlpm.m+1))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CAPSLAB Warehouse</t>
        </is>
      </c>
      <c r="B11" s="5">
        <f>IF($I2="","",INDEX(Productos!$A:$A,$I2))</f>
        <v/>
      </c>
      <c r="C11" s="134" t="inlineStr">
        <is>
          <t>CAPSMU01HANDY-W6-UNI</t>
        </is>
      </c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4</v>
      </c>
      <c r="H11" s="5">
        <f>IF($I2="","",INDEX(Productos!$AG:$AG,$I2))</f>
        <v/>
      </c>
      <c r="I11" s="136">
        <f>LET(_xlpm.r,Productos!$E$2:$E$370,_xlpm.m,IFERROR(_xlfn.XMATCH(C11,_xlpm.r),IFERROR(_xlfn.XMATCH(VALUE(C11),_xlpm.r),0)),IF(_xlpm.m=0,"",_xlpm.m+1))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CAPSLAB Warehouse</t>
        </is>
      </c>
      <c r="B12" s="5">
        <f>IF($I2="","",INDEX(Productos!$A:$A,$I2))</f>
        <v/>
      </c>
      <c r="C12" s="134" t="inlineStr">
        <is>
          <t>CAPSMU01PAPA-W6-UNI</t>
        </is>
      </c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1</v>
      </c>
      <c r="H12" s="5">
        <f>IF($I2="","",INDEX(Productos!$AG:$AG,$I2))</f>
        <v/>
      </c>
      <c r="I12" s="136">
        <f>LET(_xlpm.r,Productos!$E$2:$E$370,_xlpm.m,IFERROR(_xlfn.XMATCH(C12,_xlpm.r),IFERROR(_xlfn.XMATCH(VALUE(C12),_xlpm.r),0)),IF(_xlpm.m=0,"",_xlpm.m+1))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CAPSLAB Warehouse</t>
        </is>
      </c>
      <c r="B13" s="5">
        <f>IF($I2="","",INDEX(Productos!$A:$A,$I2))</f>
        <v/>
      </c>
      <c r="C13" s="134" t="inlineStr">
        <is>
          <t>CAPSMU01STRO-W6-UNI</t>
        </is>
      </c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1</v>
      </c>
      <c r="H13" s="5">
        <f>IF($I2="","",INDEX(Productos!$AG:$AG,$I2))</f>
        <v/>
      </c>
      <c r="I13" s="136">
        <f>LET(_xlpm.r,Productos!$E$2:$E$370,_xlpm.m,IFERROR(_xlfn.XMATCH(C13,_xlpm.r),IFERROR(_xlfn.XMATCH(VALUE(C13),_xlpm.r),0)),IF(_xlpm.m=0,"",_xlpm.m+1))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CAPSLAB Warehouse</t>
        </is>
      </c>
      <c r="B14" s="5">
        <f>IF($I2="","",INDEX(Productos!$A:$A,$I2))</f>
        <v/>
      </c>
      <c r="C14" s="134" t="inlineStr">
        <is>
          <t>CAPSTF01BLA-UNI</t>
        </is>
      </c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6</v>
      </c>
      <c r="H14" s="5">
        <f>IF($I2="","",INDEX(Productos!$AG:$AG,$I2))</f>
        <v/>
      </c>
      <c r="I14" s="136">
        <f>LET(_xlpm.r,Productos!$E$2:$E$370,_xlpm.m,IFERROR(_xlfn.XMATCH(C14,_xlpm.r),IFERROR(_xlfn.XMATCH(VALUE(C14),_xlpm.r),0)),IF(_xlpm.m=0,"",_xlpm.m+1))</f>
        <v/>
      </c>
      <c r="J14" s="137" t="inlineStr">
        <is>
          <t>NetSuite</t>
        </is>
      </c>
    </row>
    <row r="15">
      <c r="A15" s="5" t="inlineStr">
        <is>
          <t>CAPSLAB Warehouse</t>
        </is>
      </c>
      <c r="B15" s="5">
        <f>IF($I2="","",INDEX(Productos!$A:$A,$I2))</f>
        <v/>
      </c>
      <c r="C15" s="134" t="inlineStr">
        <is>
          <t>CAPSTF01GUI2-W6-UNI</t>
        </is>
      </c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3</v>
      </c>
      <c r="H15" s="5">
        <f>IF($I2="","",INDEX(Productos!$AG:$AG,$I2))</f>
        <v/>
      </c>
      <c r="I15" s="136">
        <f>LET(_xlpm.r,Productos!$E$2:$E$370,_xlpm.m,IFERROR(_xlfn.XMATCH(C15,_xlpm.r),IFERROR(_xlfn.XMATCH(VALUE(C15),_xlpm.r),0)),IF(_xlpm.m=0,"",_xlpm.m+1))</f>
        <v/>
      </c>
      <c r="J15" s="137" t="inlineStr">
        <is>
          <t>NetSuite</t>
        </is>
      </c>
    </row>
    <row r="16">
      <c r="A16" s="5" t="inlineStr">
        <is>
          <t>CAPSLAB Warehouse</t>
        </is>
      </c>
      <c r="B16" s="5">
        <f>IF($I2="","",INDEX(Productos!$A:$A,$I2))</f>
        <v/>
      </c>
      <c r="C16" s="134" t="inlineStr">
        <is>
          <t>CAPSTF01KEN-W6-UNI</t>
        </is>
      </c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2</v>
      </c>
      <c r="H16" s="5">
        <f>IF($I2="","",INDEX(Productos!$AG:$AG,$I2))</f>
        <v/>
      </c>
      <c r="I16" s="136">
        <f>LET(_xlpm.r,Productos!$E$2:$E$370,_xlpm.m,IFERROR(_xlfn.XMATCH(C16,_xlpm.r),IFERROR(_xlfn.XMATCH(VALUE(C16),_xlpm.r),0)),IF(_xlpm.m=0,"",_xlpm.m+1))</f>
        <v/>
      </c>
      <c r="J16" s="137" t="inlineStr">
        <is>
          <t>NetSuite</t>
        </is>
      </c>
    </row>
    <row r="17">
      <c r="A17" s="5" t="inlineStr">
        <is>
          <t>CAPSLAB Warehouse</t>
        </is>
      </c>
      <c r="B17" s="5">
        <f>IF($I2="","",INDEX(Productos!$A:$A,$I2))</f>
        <v/>
      </c>
      <c r="C17" s="134" t="inlineStr">
        <is>
          <t>CAPSTF01RYU-UNI</t>
        </is>
      </c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4</v>
      </c>
      <c r="H17" s="5">
        <f>IF($I2="","",INDEX(Productos!$AG:$AG,$I2))</f>
        <v/>
      </c>
      <c r="I17" s="136">
        <f>LET(_xlpm.r,Productos!$E$2:$E$370,_xlpm.m,IFERROR(_xlfn.XMATCH(C17,_xlpm.r),IFERROR(_xlfn.XMATCH(VALUE(C17),_xlpm.r),0)),IF(_xlpm.m=0,"",_xlpm.m+1))</f>
        <v/>
      </c>
      <c r="J17" s="137" t="inlineStr">
        <is>
          <t>NetSuite</t>
        </is>
      </c>
    </row>
    <row r="18">
      <c r="A18" s="5" t="inlineStr">
        <is>
          <t>CAPSLAB Warehouse</t>
        </is>
      </c>
      <c r="B18" s="5">
        <f>IF($I2="","",INDEX(Productos!$A:$A,$I2))</f>
        <v/>
      </c>
      <c r="C18" s="134" t="inlineStr">
        <is>
          <t>CL/0/1/CAS2/BE1-UNI</t>
        </is>
      </c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56</v>
      </c>
      <c r="H18" s="5">
        <f>IF($I2="","",INDEX(Productos!$AG:$AG,$I2))</f>
        <v/>
      </c>
      <c r="I18" s="136">
        <f>LET(_xlpm.r,Productos!$E$2:$E$370,_xlpm.m,IFERROR(_xlfn.XMATCH(C18,_xlpm.r),IFERROR(_xlfn.XMATCH(VALUE(C18),_xlpm.r),0)),IF(_xlpm.m=0,"",_xlpm.m+1))</f>
        <v/>
      </c>
      <c r="J18" s="137" t="inlineStr">
        <is>
          <t>NetSuite</t>
        </is>
      </c>
    </row>
    <row r="19">
      <c r="A19" s="5" t="inlineStr">
        <is>
          <t>CAPSLAB Warehouse</t>
        </is>
      </c>
      <c r="B19" s="5">
        <f>IF($I2="","",INDEX(Productos!$A:$A,$I2))</f>
        <v/>
      </c>
      <c r="C19" s="134" t="inlineStr">
        <is>
          <t>CL/0/1/CAS2/BE2-UNI</t>
        </is>
      </c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51</v>
      </c>
      <c r="H19" s="5">
        <f>IF($I2="","",INDEX(Productos!$AG:$AG,$I2))</f>
        <v/>
      </c>
      <c r="I19" s="136">
        <f>LET(_xlpm.r,Productos!$E$2:$E$370,_xlpm.m,IFERROR(_xlfn.XMATCH(C19,_xlpm.r),IFERROR(_xlfn.XMATCH(VALUE(C19),_xlpm.r),0)),IF(_xlpm.m=0,"",_xlpm.m+1))</f>
        <v/>
      </c>
      <c r="J19" s="137" t="inlineStr">
        <is>
          <t>NetSuite</t>
        </is>
      </c>
    </row>
    <row r="20">
      <c r="A20" s="5" t="inlineStr">
        <is>
          <t>CAPSLAB Warehouse</t>
        </is>
      </c>
      <c r="B20" s="5">
        <f>IF($I2="","",INDEX(Productos!$A:$A,$I2))</f>
        <v/>
      </c>
      <c r="C20" s="134" t="inlineStr">
        <is>
          <t>CL/0/1/CAS2/BL1-UNI</t>
        </is>
      </c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55</v>
      </c>
      <c r="H20" s="5">
        <f>IF($I2="","",INDEX(Productos!$AG:$AG,$I2))</f>
        <v/>
      </c>
      <c r="I20" s="136">
        <f>LET(_xlpm.r,Productos!$E$2:$E$370,_xlpm.m,IFERROR(_xlfn.XMATCH(C20,_xlpm.r),IFERROR(_xlfn.XMATCH(VALUE(C20),_xlpm.r),0)),IF(_xlpm.m=0,"",_xlpm.m+1))</f>
        <v/>
      </c>
      <c r="J20" s="137" t="inlineStr">
        <is>
          <t>NetSuite</t>
        </is>
      </c>
    </row>
    <row r="21">
      <c r="A21" s="5" t="inlineStr">
        <is>
          <t>CAPSLAB Warehouse</t>
        </is>
      </c>
      <c r="B21" s="5">
        <f>IF($I2="","",INDEX(Productos!$A:$A,$I2))</f>
        <v/>
      </c>
      <c r="C21" s="134" t="inlineStr">
        <is>
          <t>CL/0/1/CAS2/DRE1-UNI</t>
        </is>
      </c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59</v>
      </c>
      <c r="H21" s="5">
        <f>IF($I2="","",INDEX(Productos!$AG:$AG,$I2))</f>
        <v/>
      </c>
      <c r="I21" s="136">
        <f>LET(_xlpm.r,Productos!$E$2:$E$370,_xlpm.m,IFERROR(_xlfn.XMATCH(C21,_xlpm.r),IFERROR(_xlfn.XMATCH(VALUE(C21),_xlpm.r),0)),IF(_xlpm.m=0,"",_xlpm.m+1))</f>
        <v/>
      </c>
      <c r="J21" s="137" t="inlineStr">
        <is>
          <t>NetSuite</t>
        </is>
      </c>
    </row>
    <row r="22">
      <c r="A22" s="5" t="inlineStr">
        <is>
          <t>CAPSLAB Warehouse</t>
        </is>
      </c>
      <c r="B22" s="5">
        <f>IF($I2="","",INDEX(Productos!$A:$A,$I2))</f>
        <v/>
      </c>
      <c r="C22" s="134" t="inlineStr">
        <is>
          <t>CL/0/1/CAS2/FOR1-UNI</t>
        </is>
      </c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52</v>
      </c>
      <c r="H22" s="5">
        <f>IF($I2="","",INDEX(Productos!$AG:$AG,$I2))</f>
        <v/>
      </c>
      <c r="I22" s="136">
        <f>LET(_xlpm.r,Productos!$E$2:$E$370,_xlpm.m,IFERROR(_xlfn.XMATCH(C22,_xlpm.r),IFERROR(_xlfn.XMATCH(VALUE(C22),_xlpm.r),0)),IF(_xlpm.m=0,"",_xlpm.m+1))</f>
        <v/>
      </c>
      <c r="J22" s="137" t="inlineStr">
        <is>
          <t>NetSuite</t>
        </is>
      </c>
    </row>
    <row r="23">
      <c r="A23" s="5" t="inlineStr">
        <is>
          <t>CAPSLAB Warehouse</t>
        </is>
      </c>
      <c r="B23" s="5">
        <f>IF($I2="","",INDEX(Productos!$A:$A,$I2))</f>
        <v/>
      </c>
      <c r="C23" s="134" t="inlineStr">
        <is>
          <t>CL/0/1/CAS2/FOR2-UNI</t>
        </is>
      </c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52</v>
      </c>
      <c r="H23" s="5">
        <f>IF($I2="","",INDEX(Productos!$AG:$AG,$I2))</f>
        <v/>
      </c>
      <c r="I23" s="136">
        <f>LET(_xlpm.r,Productos!$E$2:$E$370,_xlpm.m,IFERROR(_xlfn.XMATCH(C23,_xlpm.r),IFERROR(_xlfn.XMATCH(VALUE(C23),_xlpm.r),0)),IF(_xlpm.m=0,"",_xlpm.m+1))</f>
        <v/>
      </c>
      <c r="J23" s="137" t="inlineStr">
        <is>
          <t>NetSuite</t>
        </is>
      </c>
    </row>
    <row r="24">
      <c r="A24" s="5" t="inlineStr">
        <is>
          <t>CAPSLAB Warehouse</t>
        </is>
      </c>
      <c r="B24" s="5">
        <f>IF($I2="","",INDEX(Productos!$A:$A,$I2))</f>
        <v/>
      </c>
      <c r="C24" s="134" t="inlineStr">
        <is>
          <t>CL/0/1/CAS2/FOR3-UNI</t>
        </is>
      </c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53</v>
      </c>
      <c r="H24" s="5">
        <f>IF($I2="","",INDEX(Productos!$AG:$AG,$I2))</f>
        <v/>
      </c>
      <c r="I24" s="136">
        <f>LET(_xlpm.r,Productos!$E$2:$E$370,_xlpm.m,IFERROR(_xlfn.XMATCH(C24,_xlpm.r),IFERROR(_xlfn.XMATCH(VALUE(C24),_xlpm.r),0)),IF(_xlpm.m=0,"",_xlpm.m+1))</f>
        <v/>
      </c>
      <c r="J24" s="137" t="inlineStr">
        <is>
          <t>NetSuite</t>
        </is>
      </c>
    </row>
    <row r="25">
      <c r="A25" s="5" t="inlineStr">
        <is>
          <t>CAPSLAB Warehouse</t>
        </is>
      </c>
      <c r="B25" s="5">
        <f>IF($I2="","",INDEX(Productos!$A:$A,$I2))</f>
        <v/>
      </c>
      <c r="C25" s="134" t="inlineStr">
        <is>
          <t>CL/0/1/CAS2/JOK1-UNI</t>
        </is>
      </c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36</v>
      </c>
      <c r="H25" s="5">
        <f>IF($I2="","",INDEX(Productos!$AG:$AG,$I2))</f>
        <v/>
      </c>
      <c r="I25" s="136">
        <f>LET(_xlpm.r,Productos!$E$2:$E$370,_xlpm.m,IFERROR(_xlfn.XMATCH(C25,_xlpm.r),IFERROR(_xlfn.XMATCH(VALUE(C25),_xlpm.r),0)),IF(_xlpm.m=0,"",_xlpm.m+1))</f>
        <v/>
      </c>
      <c r="J25" s="137" t="inlineStr">
        <is>
          <t>NetSuite</t>
        </is>
      </c>
    </row>
    <row r="26">
      <c r="A26" s="5" t="inlineStr">
        <is>
          <t>CAPSLAB Warehouse</t>
        </is>
      </c>
      <c r="B26" s="5">
        <f>IF($I2="","",INDEX(Productos!$A:$A,$I2))</f>
        <v/>
      </c>
      <c r="C26" s="134" t="inlineStr">
        <is>
          <t>CL/0/1/CAS2/LA1-UNI</t>
        </is>
      </c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53</v>
      </c>
      <c r="H26" s="5">
        <f>IF($I2="","",INDEX(Productos!$AG:$AG,$I2))</f>
        <v/>
      </c>
      <c r="I26" s="136">
        <f>LET(_xlpm.r,Productos!$E$2:$E$370,_xlpm.m,IFERROR(_xlfn.XMATCH(C26,_xlpm.r),IFERROR(_xlfn.XMATCH(VALUE(C26),_xlpm.r),0)),IF(_xlpm.m=0,"",_xlpm.m+1))</f>
        <v/>
      </c>
      <c r="J26" s="137" t="inlineStr">
        <is>
          <t>NetSuite</t>
        </is>
      </c>
    </row>
    <row r="27">
      <c r="A27" s="5" t="inlineStr">
        <is>
          <t>CAPSLAB Warehouse</t>
        </is>
      </c>
      <c r="B27" s="5">
        <f>IF($I2="","",INDEX(Productos!$A:$A,$I2))</f>
        <v/>
      </c>
      <c r="C27" s="134" t="inlineStr">
        <is>
          <t>CL/0/1/CAS2/MA1-UNI</t>
        </is>
      </c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54</v>
      </c>
      <c r="H27" s="5">
        <f>IF($I2="","",INDEX(Productos!$AG:$AG,$I2))</f>
        <v/>
      </c>
      <c r="I27" s="136">
        <f>LET(_xlpm.r,Productos!$E$2:$E$370,_xlpm.m,IFERROR(_xlfn.XMATCH(C27,_xlpm.r),IFERROR(_xlfn.XMATCH(VALUE(C27),_xlpm.r),0)),IF(_xlpm.m=0,"",_xlpm.m+1))</f>
        <v/>
      </c>
      <c r="J27" s="137" t="inlineStr">
        <is>
          <t>NetSuite</t>
        </is>
      </c>
    </row>
    <row r="28">
      <c r="A28" s="5" t="inlineStr">
        <is>
          <t>CAPSLAB Warehouse</t>
        </is>
      </c>
      <c r="B28" s="5">
        <f>IF($I2="","",INDEX(Productos!$A:$A,$I2))</f>
        <v/>
      </c>
      <c r="C28" s="134" t="inlineStr">
        <is>
          <t>CL/0/1/CAS2/MO1-UNI</t>
        </is>
      </c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48</v>
      </c>
      <c r="H28" s="5">
        <f>IF($I2="","",INDEX(Productos!$AG:$AG,$I2))</f>
        <v/>
      </c>
      <c r="I28" s="136">
        <f>LET(_xlpm.r,Productos!$E$2:$E$370,_xlpm.m,IFERROR(_xlfn.XMATCH(C28,_xlpm.r),IFERROR(_xlfn.XMATCH(VALUE(C28),_xlpm.r),0)),IF(_xlpm.m=0,"",_xlpm.m+1))</f>
        <v/>
      </c>
      <c r="J28" s="137" t="inlineStr">
        <is>
          <t>NetSuite</t>
        </is>
      </c>
    </row>
    <row r="29">
      <c r="A29" s="5" t="inlineStr">
        <is>
          <t>CAPSLAB Warehouse</t>
        </is>
      </c>
      <c r="B29" s="5">
        <f>IF($I2="","",INDEX(Productos!$A:$A,$I2))</f>
        <v/>
      </c>
      <c r="C29" s="134" t="inlineStr">
        <is>
          <t>CL/0/1/CAS2/MUS2-UNI</t>
        </is>
      </c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39</v>
      </c>
      <c r="H29" s="5">
        <f>IF($I2="","",INDEX(Productos!$AG:$AG,$I2))</f>
        <v/>
      </c>
      <c r="I29" s="136">
        <f>LET(_xlpm.r,Productos!$E$2:$E$370,_xlpm.m,IFERROR(_xlfn.XMATCH(C29,_xlpm.r),IFERROR(_xlfn.XMATCH(VALUE(C29),_xlpm.r),0)),IF(_xlpm.m=0,"",_xlpm.m+1))</f>
        <v/>
      </c>
      <c r="J29" s="137" t="inlineStr">
        <is>
          <t>NetSuite</t>
        </is>
      </c>
    </row>
    <row r="30">
      <c r="A30" s="5" t="inlineStr">
        <is>
          <t>CAPSLAB Warehouse</t>
        </is>
      </c>
      <c r="B30" s="5">
        <f>IF($I2="","",INDEX(Productos!$A:$A,$I2))</f>
        <v/>
      </c>
      <c r="C30" s="134" t="inlineStr">
        <is>
          <t>CL/0/1/CAS2/PH2-UNI</t>
        </is>
      </c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54</v>
      </c>
      <c r="H30" s="5">
        <f>IF($I2="","",INDEX(Productos!$AG:$AG,$I2))</f>
        <v/>
      </c>
      <c r="I30" s="136">
        <f>LET(_xlpm.r,Productos!$E$2:$E$370,_xlpm.m,IFERROR(_xlfn.XMATCH(C30,_xlpm.r),IFERROR(_xlfn.XMATCH(VALUE(C30),_xlpm.r),0)),IF(_xlpm.m=0,"",_xlpm.m+1))</f>
        <v/>
      </c>
      <c r="J30" s="137" t="inlineStr">
        <is>
          <t>NetSuite</t>
        </is>
      </c>
    </row>
    <row r="31">
      <c r="A31" s="5" t="inlineStr">
        <is>
          <t>CAPSLAB Warehouse</t>
        </is>
      </c>
      <c r="B31" s="5">
        <f>IF($I2="","",INDEX(Productos!$A:$A,$I2))</f>
        <v/>
      </c>
      <c r="C31" s="134" t="inlineStr">
        <is>
          <t>CL/1/CT/GOR2-UNI</t>
        </is>
      </c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170</v>
      </c>
      <c r="H31" s="5">
        <f>IF($I2="","",INDEX(Productos!$AG:$AG,$I2))</f>
        <v/>
      </c>
      <c r="I31" s="136">
        <f>LET(_xlpm.r,Productos!$E$2:$E$370,_xlpm.m,IFERROR(_xlfn.XMATCH(C31,_xlpm.r),IFERROR(_xlfn.XMATCH(VALUE(C31),_xlpm.r),0)),IF(_xlpm.m=0,"",_xlpm.m+1))</f>
        <v/>
      </c>
      <c r="J31" s="137" t="inlineStr">
        <is>
          <t>NetSuite</t>
        </is>
      </c>
    </row>
    <row r="32">
      <c r="A32" s="5" t="inlineStr">
        <is>
          <t>CAPSLAB Warehouse</t>
        </is>
      </c>
      <c r="B32" s="5">
        <f>IF($I2="","",INDEX(Productos!$A:$A,$I2))</f>
        <v/>
      </c>
      <c r="C32" s="134" t="inlineStr">
        <is>
          <t>CL/1/CT/GOR8-UNI</t>
        </is>
      </c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53</v>
      </c>
      <c r="H32" s="5">
        <f>IF($I2="","",INDEX(Productos!$AG:$AG,$I2))</f>
        <v/>
      </c>
      <c r="I32" s="136">
        <f>LET(_xlpm.r,Productos!$E$2:$E$370,_xlpm.m,IFERROR(_xlfn.XMATCH(C32,_xlpm.r),IFERROR(_xlfn.XMATCH(VALUE(C32),_xlpm.r),0)),IF(_xlpm.m=0,"",_xlpm.m+1))</f>
        <v/>
      </c>
      <c r="J32" s="137" t="inlineStr">
        <is>
          <t>NetSuite</t>
        </is>
      </c>
    </row>
    <row r="33">
      <c r="A33" s="5" t="inlineStr">
        <is>
          <t>CAPSLAB Warehouse</t>
        </is>
      </c>
      <c r="B33" s="5">
        <f>IF($I2="","",INDEX(Productos!$A:$A,$I2))</f>
        <v/>
      </c>
      <c r="C33" s="134" t="inlineStr">
        <is>
          <t>CL/1/CT/GOR9-UNI</t>
        </is>
      </c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48</v>
      </c>
      <c r="H33" s="5">
        <f>IF($I2="","",INDEX(Productos!$AG:$AG,$I2))</f>
        <v/>
      </c>
      <c r="I33" s="136">
        <f>LET(_xlpm.r,Productos!$E$2:$E$370,_xlpm.m,IFERROR(_xlfn.XMATCH(C33,_xlpm.r),IFERROR(_xlfn.XMATCH(VALUE(C33),_xlpm.r),0)),IF(_xlpm.m=0,"",_xlpm.m+1))</f>
        <v/>
      </c>
      <c r="J33" s="137" t="inlineStr">
        <is>
          <t>NetSuite</t>
        </is>
      </c>
    </row>
    <row r="34">
      <c r="A34" s="5" t="inlineStr">
        <is>
          <t>CAPSLAB Warehouse</t>
        </is>
      </c>
      <c r="B34" s="5">
        <f>IF($I2="","",INDEX(Productos!$A:$A,$I2))</f>
        <v/>
      </c>
      <c r="C34" s="134" t="inlineStr">
        <is>
          <t>CL/DB2/1/BUL1-UNI</t>
        </is>
      </c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9</v>
      </c>
      <c r="H34" s="5">
        <f>IF($I2="","",INDEX(Productos!$AG:$AG,$I2))</f>
        <v/>
      </c>
      <c r="I34" s="136">
        <f>LET(_xlpm.r,Productos!$E$2:$E$370,_xlpm.m,IFERROR(_xlfn.XMATCH(C34,_xlpm.r),IFERROR(_xlfn.XMATCH(VALUE(C34),_xlpm.r),0)),IF(_xlpm.m=0,"",_xlpm.m+1))</f>
        <v/>
      </c>
      <c r="J34" s="137" t="inlineStr">
        <is>
          <t>NetSuite</t>
        </is>
      </c>
    </row>
    <row r="35">
      <c r="A35" s="5" t="inlineStr">
        <is>
          <t>CAPSLAB Warehouse</t>
        </is>
      </c>
      <c r="B35" s="5">
        <f>IF($I2="","",INDEX(Productos!$A:$A,$I2))</f>
        <v/>
      </c>
      <c r="C35" s="134" t="inlineStr">
        <is>
          <t>CL/DB2/1/GOK-UNI</t>
        </is>
      </c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7</v>
      </c>
      <c r="H35" s="5">
        <f>IF($I2="","",INDEX(Productos!$AG:$AG,$I2))</f>
        <v/>
      </c>
      <c r="I35" s="136">
        <f>LET(_xlpm.r,Productos!$E$2:$E$370,_xlpm.m,IFERROR(_xlfn.XMATCH(C35,_xlpm.r),IFERROR(_xlfn.XMATCH(VALUE(C35),_xlpm.r),0)),IF(_xlpm.m=0,"",_xlpm.m+1))</f>
        <v/>
      </c>
      <c r="J35" s="137" t="inlineStr">
        <is>
          <t>NetSuite</t>
        </is>
      </c>
    </row>
    <row r="36">
      <c r="A36" s="5" t="inlineStr">
        <is>
          <t>CAPSLAB Warehouse</t>
        </is>
      </c>
      <c r="B36" s="5">
        <f>IF($I2="","",INDEX(Productos!$A:$A,$I2))</f>
        <v/>
      </c>
      <c r="C36" s="134" t="inlineStr">
        <is>
          <t>CL/DB2/1/KAM2-UNI</t>
        </is>
      </c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2</v>
      </c>
      <c r="H36" s="5">
        <f>IF($I2="","",INDEX(Productos!$AG:$AG,$I2))</f>
        <v/>
      </c>
      <c r="I36" s="136">
        <f>LET(_xlpm.r,Productos!$E$2:$E$370,_xlpm.m,IFERROR(_xlfn.XMATCH(C36,_xlpm.r),IFERROR(_xlfn.XMATCH(VALUE(C36),_xlpm.r),0)),IF(_xlpm.m=0,"",_xlpm.m+1))</f>
        <v/>
      </c>
      <c r="J36" s="137" t="inlineStr">
        <is>
          <t>NetSuite</t>
        </is>
      </c>
    </row>
    <row r="37">
      <c r="A37" s="5" t="inlineStr">
        <is>
          <t>CAPSLAB Warehouse</t>
        </is>
      </c>
      <c r="B37" s="5">
        <f>IF($I2="","",INDEX(Productos!$A:$A,$I2))</f>
        <v/>
      </c>
      <c r="C37" s="134" t="inlineStr">
        <is>
          <t>CL/DB3/1/CAS/GOK2-UNI</t>
        </is>
      </c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83</v>
      </c>
      <c r="H37" s="5">
        <f>IF($I2="","",INDEX(Productos!$AG:$AG,$I2))</f>
        <v/>
      </c>
      <c r="I37" s="136">
        <f>LET(_xlpm.r,Productos!$E$2:$E$370,_xlpm.m,IFERROR(_xlfn.XMATCH(C37,_xlpm.r),IFERROR(_xlfn.XMATCH(VALUE(C37),_xlpm.r),0)),IF(_xlpm.m=0,"",_xlpm.m+1))</f>
        <v/>
      </c>
      <c r="J37" s="137" t="inlineStr">
        <is>
          <t>NetSuite</t>
        </is>
      </c>
    </row>
    <row r="38">
      <c r="A38" s="5" t="inlineStr">
        <is>
          <t>CAPSLAB Warehouse</t>
        </is>
      </c>
      <c r="B38" s="5">
        <f>IF($I2="","",INDEX(Productos!$A:$A,$I2))</f>
        <v/>
      </c>
      <c r="C38" s="134" t="inlineStr">
        <is>
          <t>CL/DB3/1/CASF/SHE5-uNI</t>
        </is>
      </c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5</v>
      </c>
      <c r="H38" s="5">
        <f>IF($I2="","",INDEX(Productos!$AG:$AG,$I2))</f>
        <v/>
      </c>
      <c r="I38" s="136">
        <f>LET(_xlpm.r,Productos!$E$2:$E$370,_xlpm.m,IFERROR(_xlfn.XMATCH(C38,_xlpm.r),IFERROR(_xlfn.XMATCH(VALUE(C38),_xlpm.r),0)),IF(_xlpm.m=0,"",_xlpm.m+1))</f>
        <v/>
      </c>
      <c r="J38" s="137" t="inlineStr">
        <is>
          <t>NetSuite</t>
        </is>
      </c>
    </row>
    <row r="39">
      <c r="A39" s="5" t="inlineStr">
        <is>
          <t>CAPSLAB Warehouse</t>
        </is>
      </c>
      <c r="B39" s="5">
        <f>IF($I2="","",INDEX(Productos!$A:$A,$I2))</f>
        <v/>
      </c>
      <c r="C39" s="134" t="inlineStr">
        <is>
          <t>CL/DB4/1/CT/GOK-UNI</t>
        </is>
      </c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49</v>
      </c>
      <c r="H39" s="5">
        <f>IF($I2="","",INDEX(Productos!$AG:$AG,$I2))</f>
        <v/>
      </c>
      <c r="I39" s="136">
        <f>LET(_xlpm.r,Productos!$E$2:$E$370,_xlpm.m,IFERROR(_xlfn.XMATCH(C39,_xlpm.r),IFERROR(_xlfn.XMATCH(VALUE(C39),_xlpm.r),0)),IF(_xlpm.m=0,"",_xlpm.m+1))</f>
        <v/>
      </c>
      <c r="J39" s="137" t="inlineStr">
        <is>
          <t>NetSuite</t>
        </is>
      </c>
    </row>
    <row r="40">
      <c r="A40" s="5" t="inlineStr">
        <is>
          <t>CAPSLAB Warehouse</t>
        </is>
      </c>
      <c r="B40" s="5">
        <f>IF($I2="","",INDEX(Productos!$A:$A,$I2))</f>
        <v/>
      </c>
      <c r="C40" s="134" t="inlineStr">
        <is>
          <t>CL/DBS/1/ULT2-UNI</t>
        </is>
      </c>
      <c r="D40" s="5">
        <f>IF($I2="","",INDEX(Productos!$B:$B,$I2))</f>
        <v/>
      </c>
      <c r="E40" s="5">
        <f>IF($I2="","",INDEX(Productos!$H:$H,$I2))</f>
        <v/>
      </c>
      <c r="F40" s="5">
        <f>IF($I2="","",INDEX(Productos!$I:$I,$I2))</f>
        <v/>
      </c>
      <c r="G40" s="135" t="n">
        <v>31</v>
      </c>
      <c r="H40" s="5">
        <f>IF($I2="","",INDEX(Productos!$AG:$AG,$I2))</f>
        <v/>
      </c>
      <c r="I40" s="136">
        <f>LET(_xlpm.r,Productos!$E$2:$E$370,_xlpm.m,IFERROR(_xlfn.XMATCH(C40,_xlpm.r),IFERROR(_xlfn.XMATCH(VALUE(C40),_xlpm.r),0)),IF(_xlpm.m=0,"",_xlpm.m+1))</f>
        <v/>
      </c>
      <c r="J40" s="137" t="inlineStr">
        <is>
          <t>NetSuite</t>
        </is>
      </c>
    </row>
    <row r="41">
      <c r="A41" s="5" t="inlineStr">
        <is>
          <t>CAPSLAB Warehouse</t>
        </is>
      </c>
      <c r="B41" s="5">
        <f>IF($I2="","",INDEX(Productos!$A:$A,$I2))</f>
        <v/>
      </c>
      <c r="C41" s="134" t="inlineStr">
        <is>
          <t>CL/DBS/3/ULT1-UNIJR</t>
        </is>
      </c>
      <c r="D41" s="5">
        <f>IF($I2="","",INDEX(Productos!$B:$B,$I2))</f>
        <v/>
      </c>
      <c r="E41" s="5">
        <f>IF($I2="","",INDEX(Productos!$H:$H,$I2))</f>
        <v/>
      </c>
      <c r="F41" s="5">
        <f>IF($I2="","",INDEX(Productos!$I:$I,$I2))</f>
        <v/>
      </c>
      <c r="G41" s="135" t="n">
        <v>60</v>
      </c>
      <c r="H41" s="5">
        <f>IF($I2="","",INDEX(Productos!$AG:$AG,$I2))</f>
        <v/>
      </c>
      <c r="I41" s="136">
        <f>LET(_xlpm.r,Productos!$E$2:$E$370,_xlpm.m,IFERROR(_xlfn.XMATCH(C41,_xlpm.r),IFERROR(_xlfn.XMATCH(VALUE(C41),_xlpm.r),0)),IF(_xlpm.m=0,"",_xlpm.m+1))</f>
        <v/>
      </c>
      <c r="J41" s="137" t="inlineStr">
        <is>
          <t>NetSuite</t>
        </is>
      </c>
    </row>
    <row r="42">
      <c r="A42" s="5" t="inlineStr">
        <is>
          <t>CAPSLAB Warehouse</t>
        </is>
      </c>
      <c r="B42" s="5">
        <f>IF($I2="","",INDEX(Productos!$A:$A,$I2))</f>
        <v/>
      </c>
      <c r="C42" s="134" t="inlineStr">
        <is>
          <t>CL/DBS/3/ULT4-UNIJR</t>
        </is>
      </c>
      <c r="D42" s="5">
        <f>IF($I2="","",INDEX(Productos!$B:$B,$I2))</f>
        <v/>
      </c>
      <c r="E42" s="5">
        <f>IF($I2="","",INDEX(Productos!$H:$H,$I2))</f>
        <v/>
      </c>
      <c r="F42" s="5">
        <f>IF($I2="","",INDEX(Productos!$I:$I,$I2))</f>
        <v/>
      </c>
      <c r="G42" s="135" t="n">
        <v>56</v>
      </c>
      <c r="H42" s="5">
        <f>IF($I2="","",INDEX(Productos!$AG:$AG,$I2))</f>
        <v/>
      </c>
      <c r="I42" s="136">
        <f>LET(_xlpm.r,Productos!$E$2:$E$370,_xlpm.m,IFERROR(_xlfn.XMATCH(C42,_xlpm.r),IFERROR(_xlfn.XMATCH(VALUE(C42),_xlpm.r),0)),IF(_xlpm.m=0,"",_xlpm.m+1))</f>
        <v/>
      </c>
      <c r="J42" s="137" t="inlineStr">
        <is>
          <t>NetSuite</t>
        </is>
      </c>
    </row>
    <row r="43">
      <c r="A43" s="5" t="inlineStr">
        <is>
          <t>CAPSLAB Warehouse</t>
        </is>
      </c>
      <c r="B43" s="5">
        <f>IF($I2="","",INDEX(Productos!$A:$A,$I2))</f>
        <v/>
      </c>
      <c r="C43" s="134" t="inlineStr">
        <is>
          <t>CL/DBS/TAG/1/FRE-UNIJR</t>
        </is>
      </c>
      <c r="D43" s="5">
        <f>IF($I2="","",INDEX(Productos!$B:$B,$I2))</f>
        <v/>
      </c>
      <c r="E43" s="5">
        <f>IF($I2="","",INDEX(Productos!$H:$H,$I2))</f>
        <v/>
      </c>
      <c r="F43" s="5">
        <f>IF($I2="","",INDEX(Productos!$I:$I,$I2))</f>
        <v/>
      </c>
      <c r="G43" s="135" t="n">
        <v>2</v>
      </c>
      <c r="H43" s="5">
        <f>IF($I2="","",INDEX(Productos!$AG:$AG,$I2))</f>
        <v/>
      </c>
      <c r="I43" s="136">
        <f>LET(_xlpm.r,Productos!$E$2:$E$370,_xlpm.m,IFERROR(_xlfn.XMATCH(C43,_xlpm.r),IFERROR(_xlfn.XMATCH(VALUE(C43),_xlpm.r),0)),IF(_xlpm.m=0,"",_xlpm.m+1))</f>
        <v/>
      </c>
      <c r="J43" s="137" t="inlineStr">
        <is>
          <t>NetSuite</t>
        </is>
      </c>
    </row>
    <row r="44">
      <c r="A44" s="5" t="inlineStr">
        <is>
          <t>CAPSLAB Warehouse</t>
        </is>
      </c>
      <c r="B44" s="5">
        <f>IF($I2="","",INDEX(Productos!$A:$A,$I2))</f>
        <v/>
      </c>
      <c r="C44" s="134" t="inlineStr">
        <is>
          <t>CL/DBS/TAG/1/GLD-UNI</t>
        </is>
      </c>
      <c r="D44" s="5">
        <f>IF($I2="","",INDEX(Productos!$B:$B,$I2))</f>
        <v/>
      </c>
      <c r="E44" s="5">
        <f>IF($I2="","",INDEX(Productos!$H:$H,$I2))</f>
        <v/>
      </c>
      <c r="F44" s="5">
        <f>IF($I2="","",INDEX(Productos!$I:$I,$I2))</f>
        <v/>
      </c>
      <c r="G44" s="135" t="n">
        <v>1</v>
      </c>
      <c r="H44" s="5">
        <f>IF($I2="","",INDEX(Productos!$AG:$AG,$I2))</f>
        <v/>
      </c>
      <c r="I44" s="136">
        <f>LET(_xlpm.r,Productos!$E$2:$E$370,_xlpm.m,IFERROR(_xlfn.XMATCH(C44,_xlpm.r),IFERROR(_xlfn.XMATCH(VALUE(C44),_xlpm.r),0)),IF(_xlpm.m=0,"",_xlpm.m+1))</f>
        <v/>
      </c>
      <c r="J44" s="137" t="inlineStr">
        <is>
          <t>NetSuite</t>
        </is>
      </c>
    </row>
    <row r="45">
      <c r="A45" s="5" t="inlineStr">
        <is>
          <t>CAPSLAB Warehouse</t>
        </is>
      </c>
      <c r="B45" s="5">
        <f>IF($I2="","",INDEX(Productos!$A:$A,$I2))</f>
        <v/>
      </c>
      <c r="C45" s="134" t="inlineStr">
        <is>
          <t>CL/DBS/TAG/1/GOK1-UNI</t>
        </is>
      </c>
      <c r="D45" s="5">
        <f>IF($I2="","",INDEX(Productos!$B:$B,$I2))</f>
        <v/>
      </c>
      <c r="E45" s="5">
        <f>IF($I2="","",INDEX(Productos!$H:$H,$I2))</f>
        <v/>
      </c>
      <c r="F45" s="5">
        <f>IF($I2="","",INDEX(Productos!$I:$I,$I2))</f>
        <v/>
      </c>
      <c r="G45" s="135" t="n">
        <v>6</v>
      </c>
      <c r="H45" s="5">
        <f>IF($I2="","",INDEX(Productos!$AG:$AG,$I2))</f>
        <v/>
      </c>
      <c r="I45" s="136">
        <f>LET(_xlpm.r,Productos!$E$2:$E$370,_xlpm.m,IFERROR(_xlfn.XMATCH(C45,_xlpm.r),IFERROR(_xlfn.XMATCH(VALUE(C45),_xlpm.r),0)),IF(_xlpm.m=0,"",_xlpm.m+1))</f>
        <v/>
      </c>
      <c r="J45" s="137" t="inlineStr">
        <is>
          <t>NetSuite</t>
        </is>
      </c>
    </row>
    <row r="46">
      <c r="A46" s="5" t="inlineStr">
        <is>
          <t>CAPSLAB Warehouse</t>
        </is>
      </c>
      <c r="B46" s="5">
        <f>IF($I2="","",INDEX(Productos!$A:$A,$I2))</f>
        <v/>
      </c>
      <c r="C46" s="134" t="inlineStr">
        <is>
          <t>CL/DBS2/1/GLD2-UNI</t>
        </is>
      </c>
      <c r="D46" s="5">
        <f>IF($I2="","",INDEX(Productos!$B:$B,$I2))</f>
        <v/>
      </c>
      <c r="E46" s="5">
        <f>IF($I2="","",INDEX(Productos!$H:$H,$I2))</f>
        <v/>
      </c>
      <c r="F46" s="5">
        <f>IF($I2="","",INDEX(Productos!$I:$I,$I2))</f>
        <v/>
      </c>
      <c r="G46" s="135" t="n">
        <v>2</v>
      </c>
      <c r="H46" s="5">
        <f>IF($I2="","",INDEX(Productos!$AG:$AG,$I2))</f>
        <v/>
      </c>
      <c r="I46" s="136">
        <f>LET(_xlpm.r,Productos!$E$2:$E$370,_xlpm.m,IFERROR(_xlfn.XMATCH(C46,_xlpm.r),IFERROR(_xlfn.XMATCH(VALUE(C46),_xlpm.r),0)),IF(_xlpm.m=0,"",_xlpm.m+1))</f>
        <v/>
      </c>
      <c r="J46" s="137" t="inlineStr">
        <is>
          <t>NetSuite</t>
        </is>
      </c>
    </row>
    <row r="47">
      <c r="A47" s="5" t="inlineStr">
        <is>
          <t>CAPSLAB Warehouse</t>
        </is>
      </c>
      <c r="B47" s="5">
        <f>IF($I2="","",INDEX(Productos!$A:$A,$I2))</f>
        <v/>
      </c>
      <c r="C47" s="134" t="inlineStr">
        <is>
          <t>CL/DBS3/1/CAS/VEG1-UNI</t>
        </is>
      </c>
      <c r="D47" s="5">
        <f>IF($I2="","",INDEX(Productos!$B:$B,$I2))</f>
        <v/>
      </c>
      <c r="E47" s="5">
        <f>IF($I2="","",INDEX(Productos!$H:$H,$I2))</f>
        <v/>
      </c>
      <c r="F47" s="5">
        <f>IF($I2="","",INDEX(Productos!$I:$I,$I2))</f>
        <v/>
      </c>
      <c r="G47" s="135" t="n">
        <v>18</v>
      </c>
      <c r="H47" s="5">
        <f>IF($I2="","",INDEX(Productos!$AG:$AG,$I2))</f>
        <v/>
      </c>
      <c r="I47" s="136">
        <f>LET(_xlpm.r,Productos!$E$2:$E$370,_xlpm.m,IFERROR(_xlfn.XMATCH(C47,_xlpm.r),IFERROR(_xlfn.XMATCH(VALUE(C47),_xlpm.r),0)),IF(_xlpm.m=0,"",_xlpm.m+1))</f>
        <v/>
      </c>
      <c r="J47" s="137" t="inlineStr">
        <is>
          <t>NetSuite</t>
        </is>
      </c>
    </row>
    <row r="48">
      <c r="A48" s="5" t="inlineStr">
        <is>
          <t>CAPSLAB Warehouse</t>
        </is>
      </c>
      <c r="B48" s="5">
        <f>IF($I2="","",INDEX(Productos!$A:$A,$I2))</f>
        <v/>
      </c>
      <c r="C48" s="134" t="inlineStr">
        <is>
          <t>CL/DBS3/1/CASF/SA1-UNI</t>
        </is>
      </c>
      <c r="D48" s="5">
        <f>IF($I2="","",INDEX(Productos!$B:$B,$I2))</f>
        <v/>
      </c>
      <c r="E48" s="5">
        <f>IF($I2="","",INDEX(Productos!$H:$H,$I2))</f>
        <v/>
      </c>
      <c r="F48" s="5">
        <f>IF($I2="","",INDEX(Productos!$I:$I,$I2))</f>
        <v/>
      </c>
      <c r="G48" s="135" t="n">
        <v>5</v>
      </c>
      <c r="H48" s="5">
        <f>IF($I2="","",INDEX(Productos!$AG:$AG,$I2))</f>
        <v/>
      </c>
      <c r="I48" s="136">
        <f>LET(_xlpm.r,Productos!$E$2:$E$370,_xlpm.m,IFERROR(_xlfn.XMATCH(C48,_xlpm.r),IFERROR(_xlfn.XMATCH(VALUE(C48),_xlpm.r),0)),IF(_xlpm.m=0,"",_xlpm.m+1))</f>
        <v/>
      </c>
      <c r="J48" s="137" t="inlineStr">
        <is>
          <t>NetSuite</t>
        </is>
      </c>
    </row>
    <row r="49">
      <c r="A49" s="5" t="inlineStr">
        <is>
          <t>CAPSLAB Warehouse</t>
        </is>
      </c>
      <c r="B49" s="5">
        <f>IF($I2="","",INDEX(Productos!$A:$A,$I2))</f>
        <v/>
      </c>
      <c r="C49" s="134" t="inlineStr">
        <is>
          <t>CL/DBS3/1/CASF/SA2-UNI</t>
        </is>
      </c>
      <c r="D49" s="5">
        <f>IF($I2="","",INDEX(Productos!$B:$B,$I2))</f>
        <v/>
      </c>
      <c r="E49" s="5">
        <f>IF($I2="","",INDEX(Productos!$H:$H,$I2))</f>
        <v/>
      </c>
      <c r="F49" s="5">
        <f>IF($I2="","",INDEX(Productos!$I:$I,$I2))</f>
        <v/>
      </c>
      <c r="G49" s="135" t="n">
        <v>2</v>
      </c>
      <c r="H49" s="5">
        <f>IF($I2="","",INDEX(Productos!$AG:$AG,$I2))</f>
        <v/>
      </c>
      <c r="I49" s="136">
        <f>LET(_xlpm.r,Productos!$E$2:$E$370,_xlpm.m,IFERROR(_xlfn.XMATCH(C49,_xlpm.r),IFERROR(_xlfn.XMATCH(VALUE(C49),_xlpm.r),0)),IF(_xlpm.m=0,"",_xlpm.m+1))</f>
        <v/>
      </c>
      <c r="J49" s="137" t="inlineStr">
        <is>
          <t>NetSuite</t>
        </is>
      </c>
    </row>
    <row r="50">
      <c r="A50" s="5" t="inlineStr">
        <is>
          <t>CAPSLAB Warehouse</t>
        </is>
      </c>
      <c r="B50" s="5">
        <f>IF($I2="","",INDEX(Productos!$A:$A,$I2))</f>
        <v/>
      </c>
      <c r="C50" s="134" t="inlineStr">
        <is>
          <t>CL/DBS4/1/CF/GOL-UNI</t>
        </is>
      </c>
      <c r="D50" s="5">
        <f>IF($I2="","",INDEX(Productos!$B:$B,$I2))</f>
        <v/>
      </c>
      <c r="E50" s="5">
        <f>IF($I2="","",INDEX(Productos!$H:$H,$I2))</f>
        <v/>
      </c>
      <c r="F50" s="5">
        <f>IF($I2="","",INDEX(Productos!$I:$I,$I2))</f>
        <v/>
      </c>
      <c r="G50" s="135" t="n">
        <v>50</v>
      </c>
      <c r="H50" s="5">
        <f>IF($I2="","",INDEX(Productos!$AG:$AG,$I2))</f>
        <v/>
      </c>
      <c r="I50" s="136">
        <f>LET(_xlpm.r,Productos!$E$2:$E$370,_xlpm.m,IFERROR(_xlfn.XMATCH(C50,_xlpm.r),IFERROR(_xlfn.XMATCH(VALUE(C50),_xlpm.r),0)),IF(_xlpm.m=0,"",_xlpm.m+1))</f>
        <v/>
      </c>
      <c r="J50" s="137" t="inlineStr">
        <is>
          <t>NetSuite</t>
        </is>
      </c>
    </row>
    <row r="51">
      <c r="A51" s="5" t="inlineStr">
        <is>
          <t>CAPSLAB Warehouse</t>
        </is>
      </c>
      <c r="B51" s="5">
        <f>IF($I2="","",INDEX(Productos!$A:$A,$I2))</f>
        <v/>
      </c>
      <c r="C51" s="134" t="inlineStr">
        <is>
          <t>CL/DBS4/1/CT/FUS-UNI</t>
        </is>
      </c>
      <c r="D51" s="5">
        <f>IF($I2="","",INDEX(Productos!$B:$B,$I2))</f>
        <v/>
      </c>
      <c r="E51" s="5">
        <f>IF($I2="","",INDEX(Productos!$H:$H,$I2))</f>
        <v/>
      </c>
      <c r="F51" s="5">
        <f>IF($I2="","",INDEX(Productos!$I:$I,$I2))</f>
        <v/>
      </c>
      <c r="G51" s="135" t="n">
        <v>41</v>
      </c>
      <c r="H51" s="5">
        <f>IF($I2="","",INDEX(Productos!$AG:$AG,$I2))</f>
        <v/>
      </c>
      <c r="I51" s="136">
        <f>LET(_xlpm.r,Productos!$E$2:$E$370,_xlpm.m,IFERROR(_xlfn.XMATCH(C51,_xlpm.r),IFERROR(_xlfn.XMATCH(VALUE(C51),_xlpm.r),0)),IF(_xlpm.m=0,"",_xlpm.m+1))</f>
        <v/>
      </c>
      <c r="J51" s="137" t="inlineStr">
        <is>
          <t>NetSuite</t>
        </is>
      </c>
    </row>
    <row r="52">
      <c r="A52" s="5" t="inlineStr">
        <is>
          <t>CAPSLAB Warehouse</t>
        </is>
      </c>
      <c r="B52" s="5">
        <f>IF($I2="","",INDEX(Productos!$A:$A,$I2))</f>
        <v/>
      </c>
      <c r="C52" s="134" t="inlineStr">
        <is>
          <t>CL/DBZ/1/BUU-UNI</t>
        </is>
      </c>
      <c r="D52" s="5">
        <f>IF($I2="","",INDEX(Productos!$B:$B,$I2))</f>
        <v/>
      </c>
      <c r="E52" s="5">
        <f>IF($I2="","",INDEX(Productos!$H:$H,$I2))</f>
        <v/>
      </c>
      <c r="F52" s="5">
        <f>IF($I2="","",INDEX(Productos!$I:$I,$I2))</f>
        <v/>
      </c>
      <c r="G52" s="135" t="n">
        <v>8</v>
      </c>
      <c r="H52" s="5">
        <f>IF($I2="","",INDEX(Productos!$AG:$AG,$I2))</f>
        <v/>
      </c>
      <c r="I52" s="136">
        <f>LET(_xlpm.r,Productos!$E$2:$E$370,_xlpm.m,IFERROR(_xlfn.XMATCH(C52,_xlpm.r),IFERROR(_xlfn.XMATCH(VALUE(C52),_xlpm.r),0)),IF(_xlpm.m=0,"",_xlpm.m+1))</f>
        <v/>
      </c>
      <c r="J52" s="137" t="inlineStr">
        <is>
          <t>NetSuite</t>
        </is>
      </c>
    </row>
    <row r="53">
      <c r="A53" s="5" t="inlineStr">
        <is>
          <t>CAPSLAB Warehouse</t>
        </is>
      </c>
      <c r="B53" s="5">
        <f>IF($I2="","",INDEX(Productos!$A:$A,$I2))</f>
        <v/>
      </c>
      <c r="C53" s="134" t="inlineStr">
        <is>
          <t>CL/DBZ/1/FREB-UNI</t>
        </is>
      </c>
      <c r="D53" s="5">
        <f>IF($I2="","",INDEX(Productos!$B:$B,$I2))</f>
        <v/>
      </c>
      <c r="E53" s="5">
        <f>IF($I2="","",INDEX(Productos!$H:$H,$I2))</f>
        <v/>
      </c>
      <c r="F53" s="5">
        <f>IF($I2="","",INDEX(Productos!$I:$I,$I2))</f>
        <v/>
      </c>
      <c r="G53" s="135" t="n">
        <v>1</v>
      </c>
      <c r="H53" s="5">
        <f>IF($I2="","",INDEX(Productos!$AG:$AG,$I2))</f>
        <v/>
      </c>
      <c r="I53" s="136">
        <f>LET(_xlpm.r,Productos!$E$2:$E$370,_xlpm.m,IFERROR(_xlfn.XMATCH(C53,_xlpm.r),IFERROR(_xlfn.XMATCH(VALUE(C53),_xlpm.r),0)),IF(_xlpm.m=0,"",_xlpm.m+1))</f>
        <v/>
      </c>
      <c r="J53" s="137" t="inlineStr">
        <is>
          <t>NetSuite</t>
        </is>
      </c>
    </row>
    <row r="54">
      <c r="A54" s="5" t="inlineStr">
        <is>
          <t>CAPSLAB Warehouse</t>
        </is>
      </c>
      <c r="B54" s="5">
        <f>IF($I2="","",INDEX(Productos!$A:$A,$I2))</f>
        <v/>
      </c>
      <c r="C54" s="134" t="inlineStr">
        <is>
          <t>CL/DBZ/1/GO2-UNI</t>
        </is>
      </c>
      <c r="D54" s="5">
        <f>IF($I2="","",INDEX(Productos!$B:$B,$I2))</f>
        <v/>
      </c>
      <c r="E54" s="5">
        <f>IF($I2="","",INDEX(Productos!$H:$H,$I2))</f>
        <v/>
      </c>
      <c r="F54" s="5">
        <f>IF($I2="","",INDEX(Productos!$I:$I,$I2))</f>
        <v/>
      </c>
      <c r="G54" s="135" t="n">
        <v>159</v>
      </c>
      <c r="H54" s="5">
        <f>IF($I2="","",INDEX(Productos!$AG:$AG,$I2))</f>
        <v/>
      </c>
      <c r="I54" s="136">
        <f>LET(_xlpm.r,Productos!$E$2:$E$370,_xlpm.m,IFERROR(_xlfn.XMATCH(C54,_xlpm.r),IFERROR(_xlfn.XMATCH(VALUE(C54),_xlpm.r),0)),IF(_xlpm.m=0,"",_xlpm.m+1))</f>
        <v/>
      </c>
      <c r="J54" s="137" t="inlineStr">
        <is>
          <t>NetSuite</t>
        </is>
      </c>
    </row>
    <row r="55">
      <c r="A55" s="5" t="inlineStr">
        <is>
          <t>CAPSLAB Warehouse</t>
        </is>
      </c>
      <c r="B55" s="5">
        <f>IF($I2="","",INDEX(Productos!$A:$A,$I2))</f>
        <v/>
      </c>
      <c r="C55" s="134" t="inlineStr">
        <is>
          <t>CL/DBZ/1/GO3-UNI</t>
        </is>
      </c>
      <c r="D55" s="5">
        <f>IF($I2="","",INDEX(Productos!$B:$B,$I2))</f>
        <v/>
      </c>
      <c r="E55" s="5">
        <f>IF($I2="","",INDEX(Productos!$H:$H,$I2))</f>
        <v/>
      </c>
      <c r="F55" s="5">
        <f>IF($I2="","",INDEX(Productos!$I:$I,$I2))</f>
        <v/>
      </c>
      <c r="G55" s="135" t="n">
        <v>28</v>
      </c>
      <c r="H55" s="5">
        <f>IF($I2="","",INDEX(Productos!$AG:$AG,$I2))</f>
        <v/>
      </c>
      <c r="I55" s="136">
        <f>LET(_xlpm.r,Productos!$E$2:$E$370,_xlpm.m,IFERROR(_xlfn.XMATCH(C55,_xlpm.r),IFERROR(_xlfn.XMATCH(VALUE(C55),_xlpm.r),0)),IF(_xlpm.m=0,"",_xlpm.m+1))</f>
        <v/>
      </c>
      <c r="J55" s="137" t="inlineStr">
        <is>
          <t>NetSuite</t>
        </is>
      </c>
    </row>
    <row r="56">
      <c r="A56" s="5" t="inlineStr">
        <is>
          <t>CAPSLAB Warehouse</t>
        </is>
      </c>
      <c r="B56" s="5">
        <f>IF($I2="","",INDEX(Productos!$A:$A,$I2))</f>
        <v/>
      </c>
      <c r="C56" s="134" t="inlineStr">
        <is>
          <t>CL/DBZ/1/GO4-UNI</t>
        </is>
      </c>
      <c r="D56" s="5">
        <f>IF($I2="","",INDEX(Productos!$B:$B,$I2))</f>
        <v/>
      </c>
      <c r="E56" s="5">
        <f>IF($I2="","",INDEX(Productos!$H:$H,$I2))</f>
        <v/>
      </c>
      <c r="F56" s="5">
        <f>IF($I2="","",INDEX(Productos!$I:$I,$I2))</f>
        <v/>
      </c>
      <c r="G56" s="135" t="n">
        <v>100</v>
      </c>
      <c r="H56" s="5">
        <f>IF($I2="","",INDEX(Productos!$AG:$AG,$I2))</f>
        <v/>
      </c>
      <c r="I56" s="136">
        <f>LET(_xlpm.r,Productos!$E$2:$E$370,_xlpm.m,IFERROR(_xlfn.XMATCH(C56,_xlpm.r),IFERROR(_xlfn.XMATCH(VALUE(C56),_xlpm.r),0)),IF(_xlpm.m=0,"",_xlpm.m+1))</f>
        <v/>
      </c>
      <c r="J56" s="137" t="inlineStr">
        <is>
          <t>NetSuite</t>
        </is>
      </c>
    </row>
    <row r="57">
      <c r="A57" s="5" t="inlineStr">
        <is>
          <t>CAPSLAB Warehouse</t>
        </is>
      </c>
      <c r="B57" s="5">
        <f>IF($I2="","",INDEX(Productos!$A:$A,$I2))</f>
        <v/>
      </c>
      <c r="C57" s="134" t="inlineStr">
        <is>
          <t>CL/DBZ/1/GOK-UNI</t>
        </is>
      </c>
      <c r="D57" s="5">
        <f>IF($I2="","",INDEX(Productos!$B:$B,$I2))</f>
        <v/>
      </c>
      <c r="E57" s="5">
        <f>IF($I2="","",INDEX(Productos!$H:$H,$I2))</f>
        <v/>
      </c>
      <c r="F57" s="5">
        <f>IF($I2="","",INDEX(Productos!$I:$I,$I2))</f>
        <v/>
      </c>
      <c r="G57" s="135" t="n">
        <v>55</v>
      </c>
      <c r="H57" s="5">
        <f>IF($I2="","",INDEX(Productos!$AG:$AG,$I2))</f>
        <v/>
      </c>
      <c r="I57" s="136">
        <f>LET(_xlpm.r,Productos!$E$2:$E$370,_xlpm.m,IFERROR(_xlfn.XMATCH(C57,_xlpm.r),IFERROR(_xlfn.XMATCH(VALUE(C57),_xlpm.r),0)),IF(_xlpm.m=0,"",_xlpm.m+1))</f>
        <v/>
      </c>
      <c r="J57" s="137" t="inlineStr">
        <is>
          <t>NetSuite</t>
        </is>
      </c>
    </row>
    <row r="58">
      <c r="A58" s="5" t="inlineStr">
        <is>
          <t>CAPSLAB Warehouse</t>
        </is>
      </c>
      <c r="B58" s="5">
        <f>IF($I2="","",INDEX(Productos!$A:$A,$I2))</f>
        <v/>
      </c>
      <c r="C58" s="134" t="inlineStr">
        <is>
          <t>CL/DBZ/1/GOKD-UNI</t>
        </is>
      </c>
      <c r="D58" s="5">
        <f>IF($I2="","",INDEX(Productos!$B:$B,$I2))</f>
        <v/>
      </c>
      <c r="E58" s="5">
        <f>IF($I2="","",INDEX(Productos!$H:$H,$I2))</f>
        <v/>
      </c>
      <c r="F58" s="5">
        <f>IF($I2="","",INDEX(Productos!$I:$I,$I2))</f>
        <v/>
      </c>
      <c r="G58" s="135" t="n">
        <v>69</v>
      </c>
      <c r="H58" s="5">
        <f>IF($I2="","",INDEX(Productos!$AG:$AG,$I2))</f>
        <v/>
      </c>
      <c r="I58" s="136">
        <f>LET(_xlpm.r,Productos!$E$2:$E$370,_xlpm.m,IFERROR(_xlfn.XMATCH(C58,_xlpm.r),IFERROR(_xlfn.XMATCH(VALUE(C58),_xlpm.r),0)),IF(_xlpm.m=0,"",_xlpm.m+1))</f>
        <v/>
      </c>
      <c r="J58" s="137" t="inlineStr">
        <is>
          <t>NetSuite</t>
        </is>
      </c>
    </row>
    <row r="59">
      <c r="A59" s="5" t="inlineStr">
        <is>
          <t>CAPSLAB Warehouse</t>
        </is>
      </c>
      <c r="B59" s="5">
        <f>IF($I2="","",INDEX(Productos!$A:$A,$I2))</f>
        <v/>
      </c>
      <c r="C59" s="134" t="inlineStr">
        <is>
          <t>CL/DBZ/1/GOT1-UNI</t>
        </is>
      </c>
      <c r="D59" s="5">
        <f>IF($I2="","",INDEX(Productos!$B:$B,$I2))</f>
        <v/>
      </c>
      <c r="E59" s="5">
        <f>IF($I2="","",INDEX(Productos!$H:$H,$I2))</f>
        <v/>
      </c>
      <c r="F59" s="5">
        <f>IF($I2="","",INDEX(Productos!$I:$I,$I2))</f>
        <v/>
      </c>
      <c r="G59" s="135" t="n">
        <v>1</v>
      </c>
      <c r="H59" s="5">
        <f>IF($I2="","",INDEX(Productos!$AG:$AG,$I2))</f>
        <v/>
      </c>
      <c r="I59" s="136">
        <f>LET(_xlpm.r,Productos!$E$2:$E$370,_xlpm.m,IFERROR(_xlfn.XMATCH(C59,_xlpm.r),IFERROR(_xlfn.XMATCH(VALUE(C59),_xlpm.r),0)),IF(_xlpm.m=0,"",_xlpm.m+1))</f>
        <v/>
      </c>
      <c r="J59" s="137" t="inlineStr">
        <is>
          <t>NetSuite</t>
        </is>
      </c>
    </row>
    <row r="60">
      <c r="A60" s="5" t="inlineStr">
        <is>
          <t>CAPSLAB Warehouse</t>
        </is>
      </c>
      <c r="B60" s="5">
        <f>IF($I2="","",INDEX(Productos!$A:$A,$I2))</f>
        <v/>
      </c>
      <c r="C60" s="134" t="inlineStr">
        <is>
          <t>CL/DBZ/1/KAMC-UNI</t>
        </is>
      </c>
      <c r="D60" s="5">
        <f>IF($I2="","",INDEX(Productos!$B:$B,$I2))</f>
        <v/>
      </c>
      <c r="E60" s="5">
        <f>IF($I2="","",INDEX(Productos!$H:$H,$I2))</f>
        <v/>
      </c>
      <c r="F60" s="5">
        <f>IF($I2="","",INDEX(Productos!$I:$I,$I2))</f>
        <v/>
      </c>
      <c r="G60" s="135" t="n">
        <v>34</v>
      </c>
      <c r="H60" s="5">
        <f>IF($I2="","",INDEX(Productos!$AG:$AG,$I2))</f>
        <v/>
      </c>
      <c r="I60" s="136">
        <f>LET(_xlpm.r,Productos!$E$2:$E$370,_xlpm.m,IFERROR(_xlfn.XMATCH(C60,_xlpm.r),IFERROR(_xlfn.XMATCH(VALUE(C60),_xlpm.r),0)),IF(_xlpm.m=0,"",_xlpm.m+1))</f>
        <v/>
      </c>
      <c r="J60" s="137" t="inlineStr">
        <is>
          <t>NetSuite</t>
        </is>
      </c>
    </row>
    <row r="61">
      <c r="A61" s="5" t="inlineStr">
        <is>
          <t>CAPSLAB Warehouse</t>
        </is>
      </c>
      <c r="B61" s="5">
        <f>IF($I2="","",INDEX(Productos!$A:$A,$I2))</f>
        <v/>
      </c>
      <c r="C61" s="134" t="inlineStr">
        <is>
          <t>CL/DBZ/1/SAN3-UNI</t>
        </is>
      </c>
      <c r="D61" s="5">
        <f>IF($I2="","",INDEX(Productos!$B:$B,$I2))</f>
        <v/>
      </c>
      <c r="E61" s="5">
        <f>IF($I2="","",INDEX(Productos!$H:$H,$I2))</f>
        <v/>
      </c>
      <c r="F61" s="5">
        <f>IF($I2="","",INDEX(Productos!$I:$I,$I2))</f>
        <v/>
      </c>
      <c r="G61" s="135" t="n">
        <v>76</v>
      </c>
      <c r="H61" s="5">
        <f>IF($I2="","",INDEX(Productos!$AG:$AG,$I2))</f>
        <v/>
      </c>
      <c r="I61" s="136">
        <f>LET(_xlpm.r,Productos!$E$2:$E$370,_xlpm.m,IFERROR(_xlfn.XMATCH(C61,_xlpm.r),IFERROR(_xlfn.XMATCH(VALUE(C61),_xlpm.r),0)),IF(_xlpm.m=0,"",_xlpm.m+1))</f>
        <v/>
      </c>
      <c r="J61" s="137" t="inlineStr">
        <is>
          <t>NetSuite</t>
        </is>
      </c>
    </row>
    <row r="62">
      <c r="A62" s="5" t="inlineStr">
        <is>
          <t>CAPSLAB Warehouse</t>
        </is>
      </c>
      <c r="B62" s="5">
        <f>IF($I2="","",INDEX(Productos!$A:$A,$I2))</f>
        <v/>
      </c>
      <c r="C62" s="134" t="inlineStr">
        <is>
          <t>CL/DBZ/1/VE3-uNI</t>
        </is>
      </c>
      <c r="D62" s="5">
        <f>IF($I2="","",INDEX(Productos!$B:$B,$I2))</f>
        <v/>
      </c>
      <c r="E62" s="5">
        <f>IF($I2="","",INDEX(Productos!$H:$H,$I2))</f>
        <v/>
      </c>
      <c r="F62" s="5">
        <f>IF($I2="","",INDEX(Productos!$I:$I,$I2))</f>
        <v/>
      </c>
      <c r="G62" s="135" t="n">
        <v>3</v>
      </c>
      <c r="H62" s="5">
        <f>IF($I2="","",INDEX(Productos!$AG:$AG,$I2))</f>
        <v/>
      </c>
      <c r="I62" s="136">
        <f>LET(_xlpm.r,Productos!$E$2:$E$370,_xlpm.m,IFERROR(_xlfn.XMATCH(C62,_xlpm.r),IFERROR(_xlfn.XMATCH(VALUE(C62),_xlpm.r),0)),IF(_xlpm.m=0,"",_xlpm.m+1))</f>
        <v/>
      </c>
      <c r="J62" s="137" t="inlineStr">
        <is>
          <t>NetSuite</t>
        </is>
      </c>
    </row>
    <row r="63">
      <c r="A63" s="5" t="inlineStr">
        <is>
          <t>CAPSLAB Warehouse</t>
        </is>
      </c>
      <c r="B63" s="5">
        <f>IF($I2="","",INDEX(Productos!$A:$A,$I2))</f>
        <v/>
      </c>
      <c r="C63" s="134" t="inlineStr">
        <is>
          <t>CL/DBZ/1/VEG-UNI</t>
        </is>
      </c>
      <c r="D63" s="5">
        <f>IF($I2="","",INDEX(Productos!$B:$B,$I2))</f>
        <v/>
      </c>
      <c r="E63" s="5">
        <f>IF($I2="","",INDEX(Productos!$H:$H,$I2))</f>
        <v/>
      </c>
      <c r="F63" s="5">
        <f>IF($I2="","",INDEX(Productos!$I:$I,$I2))</f>
        <v/>
      </c>
      <c r="G63" s="135" t="n">
        <v>31</v>
      </c>
      <c r="H63" s="5">
        <f>IF($I2="","",INDEX(Productos!$AG:$AG,$I2))</f>
        <v/>
      </c>
      <c r="I63" s="136">
        <f>LET(_xlpm.r,Productos!$E$2:$E$370,_xlpm.m,IFERROR(_xlfn.XMATCH(C63,_xlpm.r),IFERROR(_xlfn.XMATCH(VALUE(C63),_xlpm.r),0)),IF(_xlpm.m=0,"",_xlpm.m+1))</f>
        <v/>
      </c>
      <c r="J63" s="137" t="inlineStr">
        <is>
          <t>NetSuite</t>
        </is>
      </c>
    </row>
    <row r="64">
      <c r="A64" s="5" t="inlineStr">
        <is>
          <t>CAPSLAB Warehouse</t>
        </is>
      </c>
      <c r="B64" s="5">
        <f>IF($I2="","",INDEX(Productos!$A:$A,$I2))</f>
        <v/>
      </c>
      <c r="C64" s="134" t="inlineStr">
        <is>
          <t>CL/DBZ/3/BUU-UNIJR</t>
        </is>
      </c>
      <c r="D64" s="5">
        <f>IF($I2="","",INDEX(Productos!$B:$B,$I2))</f>
        <v/>
      </c>
      <c r="E64" s="5">
        <f>IF($I2="","",INDEX(Productos!$H:$H,$I2))</f>
        <v/>
      </c>
      <c r="F64" s="5">
        <f>IF($I2="","",INDEX(Productos!$I:$I,$I2))</f>
        <v/>
      </c>
      <c r="G64" s="135" t="n">
        <v>51</v>
      </c>
      <c r="H64" s="5">
        <f>IF($I2="","",INDEX(Productos!$AG:$AG,$I2))</f>
        <v/>
      </c>
      <c r="I64" s="136">
        <f>LET(_xlpm.r,Productos!$E$2:$E$370,_xlpm.m,IFERROR(_xlfn.XMATCH(C64,_xlpm.r),IFERROR(_xlfn.XMATCH(VALUE(C64),_xlpm.r),0)),IF(_xlpm.m=0,"",_xlpm.m+1))</f>
        <v/>
      </c>
      <c r="J64" s="137" t="inlineStr">
        <is>
          <t>NetSuite</t>
        </is>
      </c>
    </row>
    <row r="65">
      <c r="A65" s="5" t="inlineStr">
        <is>
          <t>CAPSLAB Warehouse</t>
        </is>
      </c>
      <c r="B65" s="5">
        <f>IF($I2="","",INDEX(Productos!$A:$A,$I2))</f>
        <v/>
      </c>
      <c r="C65" s="134" t="inlineStr">
        <is>
          <t>CL/DBZ/3/GO3-UNIJR</t>
        </is>
      </c>
      <c r="D65" s="5">
        <f>IF($I2="","",INDEX(Productos!$B:$B,$I2))</f>
        <v/>
      </c>
      <c r="E65" s="5">
        <f>IF($I2="","",INDEX(Productos!$H:$H,$I2))</f>
        <v/>
      </c>
      <c r="F65" s="5">
        <f>IF($I2="","",INDEX(Productos!$I:$I,$I2))</f>
        <v/>
      </c>
      <c r="G65" s="135" t="n">
        <v>94</v>
      </c>
      <c r="H65" s="5">
        <f>IF($I2="","",INDEX(Productos!$AG:$AG,$I2))</f>
        <v/>
      </c>
      <c r="I65" s="136">
        <f>LET(_xlpm.r,Productos!$E$2:$E$370,_xlpm.m,IFERROR(_xlfn.XMATCH(C65,_xlpm.r),IFERROR(_xlfn.XMATCH(VALUE(C65),_xlpm.r),0)),IF(_xlpm.m=0,"",_xlpm.m+1))</f>
        <v/>
      </c>
      <c r="J65" s="137" t="inlineStr">
        <is>
          <t>NetSuite</t>
        </is>
      </c>
    </row>
    <row r="66">
      <c r="A66" s="5" t="inlineStr">
        <is>
          <t>CAPSLAB Warehouse</t>
        </is>
      </c>
      <c r="B66" s="5">
        <f>IF($I2="","",INDEX(Productos!$A:$A,$I2))</f>
        <v/>
      </c>
      <c r="C66" s="134" t="inlineStr">
        <is>
          <t>CL/DBZ/3/GOKB-UNIJR</t>
        </is>
      </c>
      <c r="D66" s="5">
        <f>IF($I2="","",INDEX(Productos!$B:$B,$I2))</f>
        <v/>
      </c>
      <c r="E66" s="5">
        <f>IF($I2="","",INDEX(Productos!$H:$H,$I2))</f>
        <v/>
      </c>
      <c r="F66" s="5">
        <f>IF($I2="","",INDEX(Productos!$I:$I,$I2))</f>
        <v/>
      </c>
      <c r="G66" s="135" t="n">
        <v>37</v>
      </c>
      <c r="H66" s="5">
        <f>IF($I2="","",INDEX(Productos!$AG:$AG,$I2))</f>
        <v/>
      </c>
      <c r="I66" s="136">
        <f>LET(_xlpm.r,Productos!$E$2:$E$370,_xlpm.m,IFERROR(_xlfn.XMATCH(C66,_xlpm.r),IFERROR(_xlfn.XMATCH(VALUE(C66),_xlpm.r),0)),IF(_xlpm.m=0,"",_xlpm.m+1))</f>
        <v/>
      </c>
      <c r="J66" s="137" t="inlineStr">
        <is>
          <t>NetSuite</t>
        </is>
      </c>
    </row>
    <row r="67">
      <c r="A67" s="5" t="inlineStr">
        <is>
          <t>CAPSLAB Warehouse</t>
        </is>
      </c>
      <c r="B67" s="5">
        <f>IF($I2="","",INDEX(Productos!$A:$A,$I2))</f>
        <v/>
      </c>
      <c r="C67" s="134" t="inlineStr">
        <is>
          <t>CL/DBZ/3/VE3-UNIJR</t>
        </is>
      </c>
      <c r="D67" s="5">
        <f>IF($I2="","",INDEX(Productos!$B:$B,$I2))</f>
        <v/>
      </c>
      <c r="E67" s="5">
        <f>IF($I2="","",INDEX(Productos!$H:$H,$I2))</f>
        <v/>
      </c>
      <c r="F67" s="5">
        <f>IF($I2="","",INDEX(Productos!$I:$I,$I2))</f>
        <v/>
      </c>
      <c r="G67" s="135" t="n">
        <v>48</v>
      </c>
      <c r="H67" s="5">
        <f>IF($I2="","",INDEX(Productos!$AG:$AG,$I2))</f>
        <v/>
      </c>
      <c r="I67" s="136">
        <f>LET(_xlpm.r,Productos!$E$2:$E$370,_xlpm.m,IFERROR(_xlfn.XMATCH(C67,_xlpm.r),IFERROR(_xlfn.XMATCH(VALUE(C67),_xlpm.r),0)),IF(_xlpm.m=0,"",_xlpm.m+1))</f>
        <v/>
      </c>
      <c r="J67" s="137" t="inlineStr">
        <is>
          <t>NetSuite</t>
        </is>
      </c>
    </row>
    <row r="68">
      <c r="A68" s="5" t="inlineStr">
        <is>
          <t>CAPSLAB Warehouse</t>
        </is>
      </c>
      <c r="B68" s="5">
        <f>IF($I2="","",INDEX(Productos!$A:$A,$I2))</f>
        <v/>
      </c>
      <c r="C68" s="134" t="inlineStr">
        <is>
          <t>CL/DBZ/3/VEGB-UNIJR</t>
        </is>
      </c>
      <c r="D68" s="5">
        <f>IF($I2="","",INDEX(Productos!$B:$B,$I2))</f>
        <v/>
      </c>
      <c r="E68" s="5">
        <f>IF($I2="","",INDEX(Productos!$H:$H,$I2))</f>
        <v/>
      </c>
      <c r="F68" s="5">
        <f>IF($I2="","",INDEX(Productos!$I:$I,$I2))</f>
        <v/>
      </c>
      <c r="G68" s="135" t="n">
        <v>63</v>
      </c>
      <c r="H68" s="5">
        <f>IF($I2="","",INDEX(Productos!$AG:$AG,$I2))</f>
        <v/>
      </c>
      <c r="I68" s="136">
        <f>LET(_xlpm.r,Productos!$E$2:$E$370,_xlpm.m,IFERROR(_xlfn.XMATCH(C68,_xlpm.r),IFERROR(_xlfn.XMATCH(VALUE(C68),_xlpm.r),0)),IF(_xlpm.m=0,"",_xlpm.m+1))</f>
        <v/>
      </c>
      <c r="J68" s="137" t="inlineStr">
        <is>
          <t>NetSuite</t>
        </is>
      </c>
    </row>
    <row r="69">
      <c r="A69" s="5" t="inlineStr">
        <is>
          <t>CAPSLAB Warehouse</t>
        </is>
      </c>
      <c r="B69" s="5">
        <f>IF($I2="","",INDEX(Productos!$A:$A,$I2))</f>
        <v/>
      </c>
      <c r="C69" s="134" t="inlineStr">
        <is>
          <t>CL/DBZ/TAG/1/KAM-UNI</t>
        </is>
      </c>
      <c r="D69" s="5">
        <f>IF($I2="","",INDEX(Productos!$B:$B,$I2))</f>
        <v/>
      </c>
      <c r="E69" s="5">
        <f>IF($I2="","",INDEX(Productos!$H:$H,$I2))</f>
        <v/>
      </c>
      <c r="F69" s="5">
        <f>IF($I2="","",INDEX(Productos!$I:$I,$I2))</f>
        <v/>
      </c>
      <c r="G69" s="135" t="n">
        <v>-1</v>
      </c>
      <c r="H69" s="5">
        <f>IF($I2="","",INDEX(Productos!$AG:$AG,$I2))</f>
        <v/>
      </c>
      <c r="I69" s="136">
        <f>LET(_xlpm.r,Productos!$E$2:$E$370,_xlpm.m,IFERROR(_xlfn.XMATCH(C69,_xlpm.r),IFERROR(_xlfn.XMATCH(VALUE(C69),_xlpm.r),0)),IF(_xlpm.m=0,"",_xlpm.m+1))</f>
        <v/>
      </c>
      <c r="J69" s="137" t="inlineStr">
        <is>
          <t>NetSuite</t>
        </is>
      </c>
    </row>
    <row r="70">
      <c r="A70" s="5" t="inlineStr">
        <is>
          <t>CAPSLAB Warehouse</t>
        </is>
      </c>
      <c r="B70" s="5">
        <f>IF($I2="","",INDEX(Productos!$A:$A,$I2))</f>
        <v/>
      </c>
      <c r="C70" s="134" t="inlineStr">
        <is>
          <t>CL/DBZ/TAG/1/SHE-UNI</t>
        </is>
      </c>
      <c r="D70" s="5">
        <f>IF($I2="","",INDEX(Productos!$B:$B,$I2))</f>
        <v/>
      </c>
      <c r="E70" s="5">
        <f>IF($I2="","",INDEX(Productos!$H:$H,$I2))</f>
        <v/>
      </c>
      <c r="F70" s="5">
        <f>IF($I2="","",INDEX(Productos!$I:$I,$I2))</f>
        <v/>
      </c>
      <c r="G70" s="135" t="n">
        <v>2</v>
      </c>
      <c r="H70" s="5">
        <f>IF($I2="","",INDEX(Productos!$AG:$AG,$I2))</f>
        <v/>
      </c>
      <c r="I70" s="136">
        <f>LET(_xlpm.r,Productos!$E$2:$E$370,_xlpm.m,IFERROR(_xlfn.XMATCH(C70,_xlpm.r),IFERROR(_xlfn.XMATCH(VALUE(C70),_xlpm.r),0)),IF(_xlpm.m=0,"",_xlpm.m+1))</f>
        <v/>
      </c>
      <c r="J70" s="137" t="inlineStr">
        <is>
          <t>NetSuite</t>
        </is>
      </c>
    </row>
    <row r="71">
      <c r="A71" s="5" t="inlineStr">
        <is>
          <t>CAPSLAB Warehouse</t>
        </is>
      </c>
      <c r="B71" s="5">
        <f>IF($I2="","",INDEX(Productos!$A:$A,$I2))</f>
        <v/>
      </c>
      <c r="C71" s="134" t="inlineStr">
        <is>
          <t>CL/DBZ2/1/KAM10-UNI</t>
        </is>
      </c>
      <c r="D71" s="5">
        <f>IF($I2="","",INDEX(Productos!$B:$B,$I2))</f>
        <v/>
      </c>
      <c r="E71" s="5">
        <f>IF($I2="","",INDEX(Productos!$H:$H,$I2))</f>
        <v/>
      </c>
      <c r="F71" s="5">
        <f>IF($I2="","",INDEX(Productos!$I:$I,$I2))</f>
        <v/>
      </c>
      <c r="G71" s="135" t="n">
        <v>2</v>
      </c>
      <c r="H71" s="5">
        <f>IF($I2="","",INDEX(Productos!$AG:$AG,$I2))</f>
        <v/>
      </c>
      <c r="I71" s="136">
        <f>LET(_xlpm.r,Productos!$E$2:$E$370,_xlpm.m,IFERROR(_xlfn.XMATCH(C71,_xlpm.r),IFERROR(_xlfn.XMATCH(VALUE(C71),_xlpm.r),0)),IF(_xlpm.m=0,"",_xlpm.m+1))</f>
        <v/>
      </c>
      <c r="J71" s="137" t="inlineStr">
        <is>
          <t>NetSuite</t>
        </is>
      </c>
    </row>
    <row r="72">
      <c r="A72" s="5" t="inlineStr">
        <is>
          <t>CAPSLAB Warehouse</t>
        </is>
      </c>
      <c r="B72" s="5">
        <f>IF($I2="","",INDEX(Productos!$A:$A,$I2))</f>
        <v/>
      </c>
      <c r="C72" s="134" t="inlineStr">
        <is>
          <t>CL/DBZ2/1/KAM4-UNI</t>
        </is>
      </c>
      <c r="D72" s="5">
        <f>IF($I2="","",INDEX(Productos!$B:$B,$I2))</f>
        <v/>
      </c>
      <c r="E72" s="5">
        <f>IF($I2="","",INDEX(Productos!$H:$H,$I2))</f>
        <v/>
      </c>
      <c r="F72" s="5">
        <f>IF($I2="","",INDEX(Productos!$I:$I,$I2))</f>
        <v/>
      </c>
      <c r="G72" s="135" t="n">
        <v>49</v>
      </c>
      <c r="H72" s="5">
        <f>IF($I2="","",INDEX(Productos!$AG:$AG,$I2))</f>
        <v/>
      </c>
      <c r="I72" s="136">
        <f>LET(_xlpm.r,Productos!$E$2:$E$370,_xlpm.m,IFERROR(_xlfn.XMATCH(C72,_xlpm.r),IFERROR(_xlfn.XMATCH(VALUE(C72),_xlpm.r),0)),IF(_xlpm.m=0,"",_xlpm.m+1))</f>
        <v/>
      </c>
      <c r="J72" s="137" t="inlineStr">
        <is>
          <t>NetSuite</t>
        </is>
      </c>
    </row>
    <row r="73">
      <c r="A73" s="5" t="inlineStr">
        <is>
          <t>CAPSLAB Warehouse</t>
        </is>
      </c>
      <c r="B73" s="5">
        <f>IF($I2="","",INDEX(Productos!$A:$A,$I2))</f>
        <v/>
      </c>
      <c r="C73" s="134" t="inlineStr">
        <is>
          <t>CL/DBZ2/1/MV1-UNI</t>
        </is>
      </c>
      <c r="D73" s="5">
        <f>IF($I2="","",INDEX(Productos!$B:$B,$I2))</f>
        <v/>
      </c>
      <c r="E73" s="5">
        <f>IF($I2="","",INDEX(Productos!$H:$H,$I2))</f>
        <v/>
      </c>
      <c r="F73" s="5">
        <f>IF($I2="","",INDEX(Productos!$I:$I,$I2))</f>
        <v/>
      </c>
      <c r="G73" s="135" t="n">
        <v>35</v>
      </c>
      <c r="H73" s="5">
        <f>IF($I2="","",INDEX(Productos!$AG:$AG,$I2))</f>
        <v/>
      </c>
      <c r="I73" s="136">
        <f>LET(_xlpm.r,Productos!$E$2:$E$370,_xlpm.m,IFERROR(_xlfn.XMATCH(C73,_xlpm.r),IFERROR(_xlfn.XMATCH(VALUE(C73),_xlpm.r),0)),IF(_xlpm.m=0,"",_xlpm.m+1))</f>
        <v/>
      </c>
      <c r="J73" s="137" t="inlineStr">
        <is>
          <t>NetSuite</t>
        </is>
      </c>
    </row>
    <row r="74">
      <c r="A74" s="5" t="inlineStr">
        <is>
          <t>CAPSLAB Warehouse</t>
        </is>
      </c>
      <c r="B74" s="5">
        <f>IF($I2="","",INDEX(Productos!$A:$A,$I2))</f>
        <v/>
      </c>
      <c r="C74" s="134" t="inlineStr">
        <is>
          <t>CL/DBZ2/1/MV2-UNI</t>
        </is>
      </c>
      <c r="D74" s="5">
        <f>IF($I2="","",INDEX(Productos!$B:$B,$I2))</f>
        <v/>
      </c>
      <c r="E74" s="5">
        <f>IF($I2="","",INDEX(Productos!$H:$H,$I2))</f>
        <v/>
      </c>
      <c r="F74" s="5">
        <f>IF($I2="","",INDEX(Productos!$I:$I,$I2))</f>
        <v/>
      </c>
      <c r="G74" s="135" t="n">
        <v>38</v>
      </c>
      <c r="H74" s="5">
        <f>IF($I2="","",INDEX(Productos!$AG:$AG,$I2))</f>
        <v/>
      </c>
      <c r="I74" s="136">
        <f>LET(_xlpm.r,Productos!$E$2:$E$370,_xlpm.m,IFERROR(_xlfn.XMATCH(C74,_xlpm.r),IFERROR(_xlfn.XMATCH(VALUE(C74),_xlpm.r),0)),IF(_xlpm.m=0,"",_xlpm.m+1))</f>
        <v/>
      </c>
      <c r="J74" s="137" t="inlineStr">
        <is>
          <t>NetSuite</t>
        </is>
      </c>
    </row>
    <row r="75">
      <c r="A75" s="5" t="inlineStr">
        <is>
          <t>CAPSLAB Warehouse</t>
        </is>
      </c>
      <c r="B75" s="5">
        <f>IF($I2="","",INDEX(Productos!$A:$A,$I2))</f>
        <v/>
      </c>
      <c r="C75" s="134" t="inlineStr">
        <is>
          <t>CL/DBZ2/1/MV3-UNI</t>
        </is>
      </c>
      <c r="D75" s="5">
        <f>IF($I2="","",INDEX(Productos!$B:$B,$I2))</f>
        <v/>
      </c>
      <c r="E75" s="5">
        <f>IF($I2="","",INDEX(Productos!$H:$H,$I2))</f>
        <v/>
      </c>
      <c r="F75" s="5">
        <f>IF($I2="","",INDEX(Productos!$I:$I,$I2))</f>
        <v/>
      </c>
      <c r="G75" s="135" t="n">
        <v>2</v>
      </c>
      <c r="H75" s="5">
        <f>IF($I2="","",INDEX(Productos!$AG:$AG,$I2))</f>
        <v/>
      </c>
      <c r="I75" s="136">
        <f>LET(_xlpm.r,Productos!$E$2:$E$370,_xlpm.m,IFERROR(_xlfn.XMATCH(C75,_xlpm.r),IFERROR(_xlfn.XMATCH(VALUE(C75),_xlpm.r),0)),IF(_xlpm.m=0,"",_xlpm.m+1))</f>
        <v/>
      </c>
      <c r="J75" s="137" t="inlineStr">
        <is>
          <t>NetSuite</t>
        </is>
      </c>
    </row>
    <row r="76">
      <c r="A76" s="5" t="inlineStr">
        <is>
          <t>CAPSLAB Warehouse</t>
        </is>
      </c>
      <c r="B76" s="5">
        <f>IF($I2="","",INDEX(Productos!$A:$A,$I2))</f>
        <v/>
      </c>
      <c r="C76" s="134" t="inlineStr">
        <is>
          <t>CL/DBZ2/1/MV4-UNI</t>
        </is>
      </c>
      <c r="D76" s="5">
        <f>IF($I2="","",INDEX(Productos!$B:$B,$I2))</f>
        <v/>
      </c>
      <c r="E76" s="5">
        <f>IF($I2="","",INDEX(Productos!$H:$H,$I2))</f>
        <v/>
      </c>
      <c r="F76" s="5">
        <f>IF($I2="","",INDEX(Productos!$I:$I,$I2))</f>
        <v/>
      </c>
      <c r="G76" s="135" t="n">
        <v>1</v>
      </c>
      <c r="H76" s="5">
        <f>IF($I2="","",INDEX(Productos!$AG:$AG,$I2))</f>
        <v/>
      </c>
      <c r="I76" s="136">
        <f>LET(_xlpm.r,Productos!$E$2:$E$370,_xlpm.m,IFERROR(_xlfn.XMATCH(C76,_xlpm.r),IFERROR(_xlfn.XMATCH(VALUE(C76),_xlpm.r),0)),IF(_xlpm.m=0,"",_xlpm.m+1))</f>
        <v/>
      </c>
      <c r="J76" s="137" t="inlineStr">
        <is>
          <t>NetSuite</t>
        </is>
      </c>
    </row>
    <row r="77">
      <c r="A77" s="5" t="inlineStr">
        <is>
          <t>CAPSLAB Warehouse</t>
        </is>
      </c>
      <c r="B77" s="5">
        <f>IF($I2="","",INDEX(Productos!$A:$A,$I2))</f>
        <v/>
      </c>
      <c r="C77" s="134" t="inlineStr">
        <is>
          <t>CL/DBZ2/1/TRK1-UNI</t>
        </is>
      </c>
      <c r="D77" s="5">
        <f>IF($I2="","",INDEX(Productos!$B:$B,$I2))</f>
        <v/>
      </c>
      <c r="E77" s="5">
        <f>IF($I2="","",INDEX(Productos!$H:$H,$I2))</f>
        <v/>
      </c>
      <c r="F77" s="5">
        <f>IF($I2="","",INDEX(Productos!$I:$I,$I2))</f>
        <v/>
      </c>
      <c r="G77" s="135" t="n">
        <v>11</v>
      </c>
      <c r="H77" s="5">
        <f>IF($I2="","",INDEX(Productos!$AG:$AG,$I2))</f>
        <v/>
      </c>
      <c r="I77" s="136">
        <f>LET(_xlpm.r,Productos!$E$2:$E$370,_xlpm.m,IFERROR(_xlfn.XMATCH(C77,_xlpm.r),IFERROR(_xlfn.XMATCH(VALUE(C77),_xlpm.r),0)),IF(_xlpm.m=0,"",_xlpm.m+1))</f>
        <v/>
      </c>
      <c r="J77" s="137" t="inlineStr">
        <is>
          <t>NetSuite</t>
        </is>
      </c>
    </row>
    <row r="78">
      <c r="A78" s="5" t="inlineStr">
        <is>
          <t>CAPSLAB Warehouse</t>
        </is>
      </c>
      <c r="B78" s="5">
        <f>IF($I2="","",INDEX(Productos!$A:$A,$I2))</f>
        <v/>
      </c>
      <c r="C78" s="134" t="inlineStr">
        <is>
          <t>CL/DBZ2/3/MV1-UNIJR</t>
        </is>
      </c>
      <c r="D78" s="5">
        <f>IF($I2="","",INDEX(Productos!$B:$B,$I2))</f>
        <v/>
      </c>
      <c r="E78" s="5">
        <f>IF($I2="","",INDEX(Productos!$H:$H,$I2))</f>
        <v/>
      </c>
      <c r="F78" s="5">
        <f>IF($I2="","",INDEX(Productos!$I:$I,$I2))</f>
        <v/>
      </c>
      <c r="G78" s="135" t="n">
        <v>45</v>
      </c>
      <c r="H78" s="5">
        <f>IF($I2="","",INDEX(Productos!$AG:$AG,$I2))</f>
        <v/>
      </c>
      <c r="I78" s="136">
        <f>LET(_xlpm.r,Productos!$E$2:$E$370,_xlpm.m,IFERROR(_xlfn.XMATCH(C78,_xlpm.r),IFERROR(_xlfn.XMATCH(VALUE(C78),_xlpm.r),0)),IF(_xlpm.m=0,"",_xlpm.m+1))</f>
        <v/>
      </c>
      <c r="J78" s="137" t="inlineStr">
        <is>
          <t>NetSuite</t>
        </is>
      </c>
    </row>
    <row r="79">
      <c r="A79" s="5" t="inlineStr">
        <is>
          <t>CAPSLAB Warehouse</t>
        </is>
      </c>
      <c r="B79" s="5">
        <f>IF($I2="","",INDEX(Productos!$A:$A,$I2))</f>
        <v/>
      </c>
      <c r="C79" s="134" t="inlineStr">
        <is>
          <t>CL/DBZ3/1/KRI4-UNI</t>
        </is>
      </c>
      <c r="D79" s="5">
        <f>IF($I2="","",INDEX(Productos!$B:$B,$I2))</f>
        <v/>
      </c>
      <c r="E79" s="5">
        <f>IF($I2="","",INDEX(Productos!$H:$H,$I2))</f>
        <v/>
      </c>
      <c r="F79" s="5">
        <f>IF($I2="","",INDEX(Productos!$I:$I,$I2))</f>
        <v/>
      </c>
      <c r="G79" s="135" t="n">
        <v>9</v>
      </c>
      <c r="H79" s="5">
        <f>IF($I2="","",INDEX(Productos!$AG:$AG,$I2))</f>
        <v/>
      </c>
      <c r="I79" s="136">
        <f>LET(_xlpm.r,Productos!$E$2:$E$370,_xlpm.m,IFERROR(_xlfn.XMATCH(C79,_xlpm.r),IFERROR(_xlfn.XMATCH(VALUE(C79),_xlpm.r),0)),IF(_xlpm.m=0,"",_xlpm.m+1))</f>
        <v/>
      </c>
      <c r="J79" s="137" t="inlineStr">
        <is>
          <t>NetSuite</t>
        </is>
      </c>
    </row>
    <row r="80">
      <c r="A80" s="5" t="inlineStr">
        <is>
          <t>CAPSLAB Warehouse</t>
        </is>
      </c>
      <c r="B80" s="5">
        <f>IF($I2="","",INDEX(Productos!$A:$A,$I2))</f>
        <v/>
      </c>
      <c r="C80" s="134" t="inlineStr">
        <is>
          <t>CL/DBZ6/1/CAS/FRI2-uNI</t>
        </is>
      </c>
      <c r="D80" s="5">
        <f>IF($I2="","",INDEX(Productos!$B:$B,$I2))</f>
        <v/>
      </c>
      <c r="E80" s="5">
        <f>IF($I2="","",INDEX(Productos!$H:$H,$I2))</f>
        <v/>
      </c>
      <c r="F80" s="5">
        <f>IF($I2="","",INDEX(Productos!$I:$I,$I2))</f>
        <v/>
      </c>
      <c r="G80" s="135" t="n">
        <v>26</v>
      </c>
      <c r="H80" s="5">
        <f>IF($I2="","",INDEX(Productos!$AG:$AG,$I2))</f>
        <v/>
      </c>
      <c r="I80" s="136">
        <f>LET(_xlpm.r,Productos!$E$2:$E$370,_xlpm.m,IFERROR(_xlfn.XMATCH(C80,_xlpm.r),IFERROR(_xlfn.XMATCH(VALUE(C80),_xlpm.r),0)),IF(_xlpm.m=0,"",_xlpm.m+1))</f>
        <v/>
      </c>
      <c r="J80" s="137" t="inlineStr">
        <is>
          <t>NetSuite</t>
        </is>
      </c>
    </row>
    <row r="81">
      <c r="A81" s="5" t="inlineStr">
        <is>
          <t>CAPSLAB Warehouse</t>
        </is>
      </c>
      <c r="B81" s="5">
        <f>IF($I2="","",INDEX(Productos!$A:$A,$I2))</f>
        <v/>
      </c>
      <c r="C81" s="134" t="inlineStr">
        <is>
          <t>CL/DBZ6/1/CAS/KID1-uNI</t>
        </is>
      </c>
      <c r="D81" s="5">
        <f>IF($I2="","",INDEX(Productos!$B:$B,$I2))</f>
        <v/>
      </c>
      <c r="E81" s="5">
        <f>IF($I2="","",INDEX(Productos!$H:$H,$I2))</f>
        <v/>
      </c>
      <c r="F81" s="5">
        <f>IF($I2="","",INDEX(Productos!$I:$I,$I2))</f>
        <v/>
      </c>
      <c r="G81" s="135" t="n">
        <v>2</v>
      </c>
      <c r="H81" s="5">
        <f>IF($I2="","",INDEX(Productos!$AG:$AG,$I2))</f>
        <v/>
      </c>
      <c r="I81" s="136">
        <f>LET(_xlpm.r,Productos!$E$2:$E$370,_xlpm.m,IFERROR(_xlfn.XMATCH(C81,_xlpm.r),IFERROR(_xlfn.XMATCH(VALUE(C81),_xlpm.r),0)),IF(_xlpm.m=0,"",_xlpm.m+1))</f>
        <v/>
      </c>
      <c r="J81" s="137" t="inlineStr">
        <is>
          <t>NetSuite</t>
        </is>
      </c>
    </row>
    <row r="82">
      <c r="A82" s="5" t="inlineStr">
        <is>
          <t>CAPSLAB Warehouse</t>
        </is>
      </c>
      <c r="B82" s="5">
        <f>IF($I2="","",INDEX(Productos!$A:$A,$I2))</f>
        <v/>
      </c>
      <c r="C82" s="134" t="inlineStr">
        <is>
          <t>CL/DBZ6/1/CAS/KID2-UNI</t>
        </is>
      </c>
      <c r="D82" s="5">
        <f>IF($I2="","",INDEX(Productos!$B:$B,$I2))</f>
        <v/>
      </c>
      <c r="E82" s="5">
        <f>IF($I2="","",INDEX(Productos!$H:$H,$I2))</f>
        <v/>
      </c>
      <c r="F82" s="5">
        <f>IF($I2="","",INDEX(Productos!$I:$I,$I2))</f>
        <v/>
      </c>
      <c r="G82" s="135" t="n">
        <v>2</v>
      </c>
      <c r="H82" s="5">
        <f>IF($I2="","",INDEX(Productos!$AG:$AG,$I2))</f>
        <v/>
      </c>
      <c r="I82" s="136">
        <f>LET(_xlpm.r,Productos!$E$2:$E$370,_xlpm.m,IFERROR(_xlfn.XMATCH(C82,_xlpm.r),IFERROR(_xlfn.XMATCH(VALUE(C82),_xlpm.r),0)),IF(_xlpm.m=0,"",_xlpm.m+1))</f>
        <v/>
      </c>
      <c r="J82" s="137" t="inlineStr">
        <is>
          <t>NetSuite</t>
        </is>
      </c>
    </row>
    <row r="83">
      <c r="A83" s="5" t="inlineStr">
        <is>
          <t>CAPSLAB Warehouse</t>
        </is>
      </c>
      <c r="B83" s="5">
        <f>IF($I2="","",INDEX(Productos!$A:$A,$I2))</f>
        <v/>
      </c>
      <c r="C83" s="134" t="inlineStr">
        <is>
          <t>CL/DBZ7/1/CT/ANG-UNI</t>
        </is>
      </c>
      <c r="D83" s="5">
        <f>IF($I2="","",INDEX(Productos!$B:$B,$I2))</f>
        <v/>
      </c>
      <c r="E83" s="5">
        <f>IF($I2="","",INDEX(Productos!$H:$H,$I2))</f>
        <v/>
      </c>
      <c r="F83" s="5">
        <f>IF($I2="","",INDEX(Productos!$I:$I,$I2))</f>
        <v/>
      </c>
      <c r="G83" s="135" t="n">
        <v>37</v>
      </c>
      <c r="H83" s="5">
        <f>IF($I2="","",INDEX(Productos!$AG:$AG,$I2))</f>
        <v/>
      </c>
      <c r="I83" s="136">
        <f>LET(_xlpm.r,Productos!$E$2:$E$370,_xlpm.m,IFERROR(_xlfn.XMATCH(C83,_xlpm.r),IFERROR(_xlfn.XMATCH(VALUE(C83),_xlpm.r),0)),IF(_xlpm.m=0,"",_xlpm.m+1))</f>
        <v/>
      </c>
      <c r="J83" s="137" t="inlineStr">
        <is>
          <t>NetSuite</t>
        </is>
      </c>
    </row>
    <row r="84">
      <c r="A84" s="5" t="inlineStr">
        <is>
          <t>CAPSLAB Warehouse</t>
        </is>
      </c>
      <c r="B84" s="5">
        <f>IF($I2="","",INDEX(Productos!$A:$A,$I2))</f>
        <v/>
      </c>
      <c r="C84" s="134" t="inlineStr">
        <is>
          <t>CL/DBZ7/1/CT/GBUU-UNI</t>
        </is>
      </c>
      <c r="D84" s="5">
        <f>IF($I2="","",INDEX(Productos!$B:$B,$I2))</f>
        <v/>
      </c>
      <c r="E84" s="5">
        <f>IF($I2="","",INDEX(Productos!$H:$H,$I2))</f>
        <v/>
      </c>
      <c r="F84" s="5">
        <f>IF($I2="","",INDEX(Productos!$I:$I,$I2))</f>
        <v/>
      </c>
      <c r="G84" s="135" t="n">
        <v>22</v>
      </c>
      <c r="H84" s="5">
        <f>IF($I2="","",INDEX(Productos!$AG:$AG,$I2))</f>
        <v/>
      </c>
      <c r="I84" s="136">
        <f>LET(_xlpm.r,Productos!$E$2:$E$370,_xlpm.m,IFERROR(_xlfn.XMATCH(C84,_xlpm.r),IFERROR(_xlfn.XMATCH(VALUE(C84),_xlpm.r),0)),IF(_xlpm.m=0,"",_xlpm.m+1))</f>
        <v/>
      </c>
      <c r="J84" s="137" t="inlineStr">
        <is>
          <t>NetSuite</t>
        </is>
      </c>
    </row>
    <row r="85">
      <c r="A85" s="5" t="inlineStr">
        <is>
          <t>CAPSLAB Warehouse</t>
        </is>
      </c>
      <c r="B85" s="5">
        <f>IF($I2="","",INDEX(Productos!$A:$A,$I2))</f>
        <v/>
      </c>
      <c r="C85" s="134" t="inlineStr">
        <is>
          <t>CL/DBZ7/1/CT/SAV-UNI</t>
        </is>
      </c>
      <c r="D85" s="5">
        <f>IF($I2="","",INDEX(Productos!$B:$B,$I2))</f>
        <v/>
      </c>
      <c r="E85" s="5">
        <f>IF($I2="","",INDEX(Productos!$H:$H,$I2))</f>
        <v/>
      </c>
      <c r="F85" s="5">
        <f>IF($I2="","",INDEX(Productos!$I:$I,$I2))</f>
        <v/>
      </c>
      <c r="G85" s="135" t="n">
        <v>38</v>
      </c>
      <c r="H85" s="5">
        <f>IF($I2="","",INDEX(Productos!$AG:$AG,$I2))</f>
        <v/>
      </c>
      <c r="I85" s="136">
        <f>LET(_xlpm.r,Productos!$E$2:$E$370,_xlpm.m,IFERROR(_xlfn.XMATCH(C85,_xlpm.r),IFERROR(_xlfn.XMATCH(VALUE(C85),_xlpm.r),0)),IF(_xlpm.m=0,"",_xlpm.m+1))</f>
        <v/>
      </c>
      <c r="J85" s="137" t="inlineStr">
        <is>
          <t>NetSuite</t>
        </is>
      </c>
    </row>
    <row r="86">
      <c r="A86" s="5" t="inlineStr">
        <is>
          <t>CAPSLAB Warehouse</t>
        </is>
      </c>
      <c r="B86" s="5">
        <f>IF($I2="","",INDEX(Productos!$A:$A,$I2))</f>
        <v/>
      </c>
      <c r="C86" s="134" t="inlineStr">
        <is>
          <t>CL/DBZ7/1/CT/SON-UNI</t>
        </is>
      </c>
      <c r="D86" s="5">
        <f>IF($I2="","",INDEX(Productos!$B:$B,$I2))</f>
        <v/>
      </c>
      <c r="E86" s="5">
        <f>IF($I2="","",INDEX(Productos!$H:$H,$I2))</f>
        <v/>
      </c>
      <c r="F86" s="5">
        <f>IF($I2="","",INDEX(Productos!$I:$I,$I2))</f>
        <v/>
      </c>
      <c r="G86" s="135" t="n">
        <v>12</v>
      </c>
      <c r="H86" s="5">
        <f>IF($I2="","",INDEX(Productos!$AG:$AG,$I2))</f>
        <v/>
      </c>
      <c r="I86" s="136">
        <f>LET(_xlpm.r,Productos!$E$2:$E$370,_xlpm.m,IFERROR(_xlfn.XMATCH(C86,_xlpm.r),IFERROR(_xlfn.XMATCH(VALUE(C86),_xlpm.r),0)),IF(_xlpm.m=0,"",_xlpm.m+1))</f>
        <v/>
      </c>
      <c r="J86" s="137" t="inlineStr">
        <is>
          <t>NetSuite</t>
        </is>
      </c>
    </row>
    <row r="87">
      <c r="A87" s="5" t="inlineStr">
        <is>
          <t>CAPSLAB Warehouse</t>
        </is>
      </c>
      <c r="B87" s="5">
        <f>IF($I2="","",INDEX(Productos!$A:$A,$I2))</f>
        <v/>
      </c>
      <c r="C87" s="134" t="inlineStr">
        <is>
          <t>CL/DC/TAG/1/BAT-UNI</t>
        </is>
      </c>
      <c r="D87" s="5">
        <f>IF($I2="","",INDEX(Productos!$B:$B,$I2))</f>
        <v/>
      </c>
      <c r="E87" s="5">
        <f>IF($I2="","",INDEX(Productos!$H:$H,$I2))</f>
        <v/>
      </c>
      <c r="F87" s="5">
        <f>IF($I2="","",INDEX(Productos!$I:$I,$I2))</f>
        <v/>
      </c>
      <c r="G87" s="135" t="n">
        <v>1</v>
      </c>
      <c r="H87" s="5">
        <f>IF($I2="","",INDEX(Productos!$AG:$AG,$I2))</f>
        <v/>
      </c>
      <c r="I87" s="136">
        <f>LET(_xlpm.r,Productos!$E$2:$E$370,_xlpm.m,IFERROR(_xlfn.XMATCH(C87,_xlpm.r),IFERROR(_xlfn.XMATCH(VALUE(C87),_xlpm.r),0)),IF(_xlpm.m=0,"",_xlpm.m+1))</f>
        <v/>
      </c>
      <c r="J87" s="137" t="inlineStr">
        <is>
          <t>NetSuite</t>
        </is>
      </c>
    </row>
    <row r="88">
      <c r="A88" s="5" t="inlineStr">
        <is>
          <t>CAPSLAB Warehouse</t>
        </is>
      </c>
      <c r="B88" s="5">
        <f>IF($I2="","",INDEX(Productos!$A:$A,$I2))</f>
        <v/>
      </c>
      <c r="C88" s="134" t="inlineStr">
        <is>
          <t>CL/DC/TAG/1/HAR-UNI</t>
        </is>
      </c>
      <c r="D88" s="5">
        <f>IF($I2="","",INDEX(Productos!$B:$B,$I2))</f>
        <v/>
      </c>
      <c r="E88" s="5">
        <f>IF($I2="","",INDEX(Productos!$H:$H,$I2))</f>
        <v/>
      </c>
      <c r="F88" s="5">
        <f>IF($I2="","",INDEX(Productos!$I:$I,$I2))</f>
        <v/>
      </c>
      <c r="G88" s="135" t="n">
        <v>2</v>
      </c>
      <c r="H88" s="5">
        <f>IF($I2="","",INDEX(Productos!$AG:$AG,$I2))</f>
        <v/>
      </c>
      <c r="I88" s="136">
        <f>LET(_xlpm.r,Productos!$E$2:$E$370,_xlpm.m,IFERROR(_xlfn.XMATCH(C88,_xlpm.r),IFERROR(_xlfn.XMATCH(VALUE(C88),_xlpm.r),0)),IF(_xlpm.m=0,"",_xlpm.m+1))</f>
        <v/>
      </c>
      <c r="J88" s="137" t="inlineStr">
        <is>
          <t>NetSuite</t>
        </is>
      </c>
    </row>
    <row r="89">
      <c r="A89" s="5" t="inlineStr">
        <is>
          <t>CAPSLAB Warehouse</t>
        </is>
      </c>
      <c r="B89" s="5">
        <f>IF($I2="","",INDEX(Productos!$A:$A,$I2))</f>
        <v/>
      </c>
      <c r="C89" s="134" t="inlineStr">
        <is>
          <t>CL/DC/TAG/1/JOK-UNI</t>
        </is>
      </c>
      <c r="D89" s="5">
        <f>IF($I2="","",INDEX(Productos!$B:$B,$I2))</f>
        <v/>
      </c>
      <c r="E89" s="5">
        <f>IF($I2="","",INDEX(Productos!$H:$H,$I2))</f>
        <v/>
      </c>
      <c r="F89" s="5">
        <f>IF($I2="","",INDEX(Productos!$I:$I,$I2))</f>
        <v/>
      </c>
      <c r="G89" s="135" t="n">
        <v>69</v>
      </c>
      <c r="H89" s="5">
        <f>IF($I2="","",INDEX(Productos!$AG:$AG,$I2))</f>
        <v/>
      </c>
      <c r="I89" s="136">
        <f>LET(_xlpm.r,Productos!$E$2:$E$370,_xlpm.m,IFERROR(_xlfn.XMATCH(C89,_xlpm.r),IFERROR(_xlfn.XMATCH(VALUE(C89),_xlpm.r),0)),IF(_xlpm.m=0,"",_xlpm.m+1))</f>
        <v/>
      </c>
      <c r="J89" s="137" t="inlineStr">
        <is>
          <t>NetSuite</t>
        </is>
      </c>
    </row>
    <row r="90">
      <c r="A90" s="5" t="inlineStr">
        <is>
          <t>CAPSLAB Warehouse</t>
        </is>
      </c>
      <c r="B90" s="5">
        <f>IF($I2="","",INDEX(Productos!$A:$A,$I2))</f>
        <v/>
      </c>
      <c r="C90" s="134" t="inlineStr">
        <is>
          <t>CL/DC2/1/BAT4-UNI</t>
        </is>
      </c>
      <c r="D90" s="5">
        <f>IF($I2="","",INDEX(Productos!$B:$B,$I2))</f>
        <v/>
      </c>
      <c r="E90" s="5">
        <f>IF($I2="","",INDEX(Productos!$H:$H,$I2))</f>
        <v/>
      </c>
      <c r="F90" s="5">
        <f>IF($I2="","",INDEX(Productos!$I:$I,$I2))</f>
        <v/>
      </c>
      <c r="G90" s="135" t="n">
        <v>39</v>
      </c>
      <c r="H90" s="5">
        <f>IF($I2="","",INDEX(Productos!$AG:$AG,$I2))</f>
        <v/>
      </c>
      <c r="I90" s="136">
        <f>LET(_xlpm.r,Productos!$E$2:$E$370,_xlpm.m,IFERROR(_xlfn.XMATCH(C90,_xlpm.r),IFERROR(_xlfn.XMATCH(VALUE(C90),_xlpm.r),0)),IF(_xlpm.m=0,"",_xlpm.m+1))</f>
        <v/>
      </c>
      <c r="J90" s="137" t="inlineStr">
        <is>
          <t>NetSuite</t>
        </is>
      </c>
    </row>
    <row r="91">
      <c r="A91" s="5" t="inlineStr">
        <is>
          <t>CAPSLAB Warehouse</t>
        </is>
      </c>
      <c r="B91" s="5">
        <f>IF($I2="","",INDEX(Productos!$A:$A,$I2))</f>
        <v/>
      </c>
      <c r="C91" s="134" t="inlineStr">
        <is>
          <t>CL/DC2/1/MEM1-UNI</t>
        </is>
      </c>
      <c r="D91" s="5">
        <f>IF($I2="","",INDEX(Productos!$B:$B,$I2))</f>
        <v/>
      </c>
      <c r="E91" s="5">
        <f>IF($I2="","",INDEX(Productos!$H:$H,$I2))</f>
        <v/>
      </c>
      <c r="F91" s="5">
        <f>IF($I2="","",INDEX(Productos!$I:$I,$I2))</f>
        <v/>
      </c>
      <c r="G91" s="135" t="n">
        <v>86</v>
      </c>
      <c r="H91" s="5">
        <f>IF($I2="","",INDEX(Productos!$AG:$AG,$I2))</f>
        <v/>
      </c>
      <c r="I91" s="136">
        <f>LET(_xlpm.r,Productos!$E$2:$E$370,_xlpm.m,IFERROR(_xlfn.XMATCH(C91,_xlpm.r),IFERROR(_xlfn.XMATCH(VALUE(C91),_xlpm.r),0)),IF(_xlpm.m=0,"",_xlpm.m+1))</f>
        <v/>
      </c>
      <c r="J91" s="137" t="inlineStr">
        <is>
          <t>NetSuite</t>
        </is>
      </c>
    </row>
    <row r="92">
      <c r="A92" s="5" t="inlineStr">
        <is>
          <t>CAPSLAB Warehouse</t>
        </is>
      </c>
      <c r="B92" s="5">
        <f>IF($I2="","",INDEX(Productos!$A:$A,$I2))</f>
        <v/>
      </c>
      <c r="C92" s="134" t="inlineStr">
        <is>
          <t>CL/DC2/1/VIN1-UNI</t>
        </is>
      </c>
      <c r="D92" s="5">
        <f>IF($I2="","",INDEX(Productos!$B:$B,$I2))</f>
        <v/>
      </c>
      <c r="E92" s="5">
        <f>IF($I2="","",INDEX(Productos!$H:$H,$I2))</f>
        <v/>
      </c>
      <c r="F92" s="5">
        <f>IF($I2="","",INDEX(Productos!$I:$I,$I2))</f>
        <v/>
      </c>
      <c r="G92" s="135" t="n">
        <v>27</v>
      </c>
      <c r="H92" s="5">
        <f>IF($I2="","",INDEX(Productos!$AG:$AG,$I2))</f>
        <v/>
      </c>
      <c r="I92" s="136">
        <f>LET(_xlpm.r,Productos!$E$2:$E$370,_xlpm.m,IFERROR(_xlfn.XMATCH(C92,_xlpm.r),IFERROR(_xlfn.XMATCH(VALUE(C92),_xlpm.r),0)),IF(_xlpm.m=0,"",_xlpm.m+1))</f>
        <v/>
      </c>
      <c r="J92" s="137" t="inlineStr">
        <is>
          <t>NetSuite</t>
        </is>
      </c>
    </row>
    <row r="93">
      <c r="A93" s="5" t="inlineStr">
        <is>
          <t>CAPSLAB Warehouse</t>
        </is>
      </c>
      <c r="B93" s="5">
        <f>IF($I2="","",INDEX(Productos!$A:$A,$I2))</f>
        <v/>
      </c>
      <c r="C93" s="134" t="inlineStr">
        <is>
          <t>CL/DC3/1/CAS/JKR2-UNI</t>
        </is>
      </c>
      <c r="D93" s="5">
        <f>IF($I2="","",INDEX(Productos!$B:$B,$I2))</f>
        <v/>
      </c>
      <c r="E93" s="5">
        <f>IF($I2="","",INDEX(Productos!$H:$H,$I2))</f>
        <v/>
      </c>
      <c r="F93" s="5">
        <f>IF($I2="","",INDEX(Productos!$I:$I,$I2))</f>
        <v/>
      </c>
      <c r="G93" s="135" t="n">
        <v>4</v>
      </c>
      <c r="H93" s="5">
        <f>IF($I2="","",INDEX(Productos!$AG:$AG,$I2))</f>
        <v/>
      </c>
      <c r="I93" s="136">
        <f>LET(_xlpm.r,Productos!$E$2:$E$370,_xlpm.m,IFERROR(_xlfn.XMATCH(C93,_xlpm.r),IFERROR(_xlfn.XMATCH(VALUE(C93),_xlpm.r),0)),IF(_xlpm.m=0,"",_xlpm.m+1))</f>
        <v/>
      </c>
      <c r="J93" s="137" t="inlineStr">
        <is>
          <t>NetSuite</t>
        </is>
      </c>
    </row>
    <row r="94">
      <c r="A94" s="5" t="inlineStr">
        <is>
          <t>CAPSLAB Warehouse</t>
        </is>
      </c>
      <c r="B94" s="5">
        <f>IF($I2="","",INDEX(Productos!$A:$A,$I2))</f>
        <v/>
      </c>
      <c r="C94" s="134" t="inlineStr">
        <is>
          <t>CL/DC4/3/BAT1-UNIJR</t>
        </is>
      </c>
      <c r="D94" s="5">
        <f>IF($I2="","",INDEX(Productos!$B:$B,$I2))</f>
        <v/>
      </c>
      <c r="E94" s="5">
        <f>IF($I2="","",INDEX(Productos!$H:$H,$I2))</f>
        <v/>
      </c>
      <c r="F94" s="5">
        <f>IF($I2="","",INDEX(Productos!$I:$I,$I2))</f>
        <v/>
      </c>
      <c r="G94" s="135" t="n">
        <v>776</v>
      </c>
      <c r="H94" s="5">
        <f>IF($I2="","",INDEX(Productos!$AG:$AG,$I2))</f>
        <v/>
      </c>
      <c r="I94" s="136">
        <f>LET(_xlpm.r,Productos!$E$2:$E$370,_xlpm.m,IFERROR(_xlfn.XMATCH(C94,_xlpm.r),IFERROR(_xlfn.XMATCH(VALUE(C94),_xlpm.r),0)),IF(_xlpm.m=0,"",_xlpm.m+1))</f>
        <v/>
      </c>
      <c r="J94" s="137" t="inlineStr">
        <is>
          <t>NetSuite</t>
        </is>
      </c>
    </row>
    <row r="95">
      <c r="A95" s="5" t="inlineStr">
        <is>
          <t>CAPSLAB Warehouse</t>
        </is>
      </c>
      <c r="B95" s="5">
        <f>IF($I2="","",INDEX(Productos!$A:$A,$I2))</f>
        <v/>
      </c>
      <c r="C95" s="134" t="inlineStr">
        <is>
          <t>CL/DC5/1/CAS/CRU2-UNI</t>
        </is>
      </c>
      <c r="D95" s="5">
        <f>IF($I2="","",INDEX(Productos!$B:$B,$I2))</f>
        <v/>
      </c>
      <c r="E95" s="5">
        <f>IF($I2="","",INDEX(Productos!$H:$H,$I2))</f>
        <v/>
      </c>
      <c r="F95" s="5">
        <f>IF($I2="","",INDEX(Productos!$I:$I,$I2))</f>
        <v/>
      </c>
      <c r="G95" s="135" t="n">
        <v>6</v>
      </c>
      <c r="H95" s="5">
        <f>IF($I2="","",INDEX(Productos!$AG:$AG,$I2))</f>
        <v/>
      </c>
      <c r="I95" s="136">
        <f>LET(_xlpm.r,Productos!$E$2:$E$370,_xlpm.m,IFERROR(_xlfn.XMATCH(C95,_xlpm.r),IFERROR(_xlfn.XMATCH(VALUE(C95),_xlpm.r),0)),IF(_xlpm.m=0,"",_xlpm.m+1))</f>
        <v/>
      </c>
      <c r="J95" s="137" t="inlineStr">
        <is>
          <t>NetSuite</t>
        </is>
      </c>
    </row>
    <row r="96">
      <c r="A96" s="5" t="inlineStr">
        <is>
          <t>CAPSLAB Warehouse</t>
        </is>
      </c>
      <c r="B96" s="5">
        <f>IF($I2="","",INDEX(Productos!$A:$A,$I2))</f>
        <v/>
      </c>
      <c r="C96" s="134" t="inlineStr">
        <is>
          <t>CL/DC5/1/CAS/DAR1-UNI</t>
        </is>
      </c>
      <c r="D96" s="5">
        <f>IF($I2="","",INDEX(Productos!$B:$B,$I2))</f>
        <v/>
      </c>
      <c r="E96" s="5">
        <f>IF($I2="","",INDEX(Productos!$H:$H,$I2))</f>
        <v/>
      </c>
      <c r="F96" s="5">
        <f>IF($I2="","",INDEX(Productos!$I:$I,$I2))</f>
        <v/>
      </c>
      <c r="G96" s="135" t="n">
        <v>42</v>
      </c>
      <c r="H96" s="5">
        <f>IF($I2="","",INDEX(Productos!$AG:$AG,$I2))</f>
        <v/>
      </c>
      <c r="I96" s="136">
        <f>LET(_xlpm.r,Productos!$E$2:$E$370,_xlpm.m,IFERROR(_xlfn.XMATCH(C96,_xlpm.r),IFERROR(_xlfn.XMATCH(VALUE(C96),_xlpm.r),0)),IF(_xlpm.m=0,"",_xlpm.m+1))</f>
        <v/>
      </c>
      <c r="J96" s="137" t="inlineStr">
        <is>
          <t>NetSuite</t>
        </is>
      </c>
    </row>
    <row r="97">
      <c r="A97" s="5" t="inlineStr">
        <is>
          <t>CAPSLAB Warehouse</t>
        </is>
      </c>
      <c r="B97" s="5">
        <f>IF($I2="","",INDEX(Productos!$A:$A,$I2))</f>
        <v/>
      </c>
      <c r="C97" s="134" t="inlineStr">
        <is>
          <t>CL/DC5/1/CAS/JOK2-UNI</t>
        </is>
      </c>
      <c r="D97" s="5">
        <f>IF($I2="","",INDEX(Productos!$B:$B,$I2))</f>
        <v/>
      </c>
      <c r="E97" s="5">
        <f>IF($I2="","",INDEX(Productos!$H:$H,$I2))</f>
        <v/>
      </c>
      <c r="F97" s="5">
        <f>IF($I2="","",INDEX(Productos!$I:$I,$I2))</f>
        <v/>
      </c>
      <c r="G97" s="135" t="n">
        <v>18</v>
      </c>
      <c r="H97" s="5">
        <f>IF($I2="","",INDEX(Productos!$AG:$AG,$I2))</f>
        <v/>
      </c>
      <c r="I97" s="136">
        <f>LET(_xlpm.r,Productos!$E$2:$E$370,_xlpm.m,IFERROR(_xlfn.XMATCH(C97,_xlpm.r),IFERROR(_xlfn.XMATCH(VALUE(C97),_xlpm.r),0)),IF(_xlpm.m=0,"",_xlpm.m+1))</f>
        <v/>
      </c>
      <c r="J97" s="137" t="inlineStr">
        <is>
          <t>NetSuite</t>
        </is>
      </c>
    </row>
    <row r="98">
      <c r="A98" s="5" t="inlineStr">
        <is>
          <t>CAPSLAB Warehouse</t>
        </is>
      </c>
      <c r="B98" s="5">
        <f>IF($I2="","",INDEX(Productos!$A:$A,$I2))</f>
        <v/>
      </c>
      <c r="C98" s="134" t="inlineStr">
        <is>
          <t>CL/DC5/1/CAS/LAU1-UNI</t>
        </is>
      </c>
      <c r="D98" s="5">
        <f>IF($I2="","",INDEX(Productos!$B:$B,$I2))</f>
        <v/>
      </c>
      <c r="E98" s="5">
        <f>IF($I2="","",INDEX(Productos!$H:$H,$I2))</f>
        <v/>
      </c>
      <c r="F98" s="5">
        <f>IF($I2="","",INDEX(Productos!$I:$I,$I2))</f>
        <v/>
      </c>
      <c r="G98" s="135" t="n">
        <v>5</v>
      </c>
      <c r="H98" s="5">
        <f>IF($I2="","",INDEX(Productos!$AG:$AG,$I2))</f>
        <v/>
      </c>
      <c r="I98" s="136">
        <f>LET(_xlpm.r,Productos!$E$2:$E$370,_xlpm.m,IFERROR(_xlfn.XMATCH(C98,_xlpm.r),IFERROR(_xlfn.XMATCH(VALUE(C98),_xlpm.r),0)),IF(_xlpm.m=0,"",_xlpm.m+1))</f>
        <v/>
      </c>
      <c r="J98" s="137" t="inlineStr">
        <is>
          <t>NetSuite</t>
        </is>
      </c>
    </row>
    <row r="99">
      <c r="A99" s="5" t="inlineStr">
        <is>
          <t>CAPSLAB Warehouse</t>
        </is>
      </c>
      <c r="B99" s="5">
        <f>IF($I2="","",INDEX(Productos!$A:$A,$I2))</f>
        <v/>
      </c>
      <c r="C99" s="134" t="inlineStr">
        <is>
          <t>CL/DC5/1/CAS/LAU2-UNI</t>
        </is>
      </c>
      <c r="D99" s="5">
        <f>IF($I2="","",INDEX(Productos!$B:$B,$I2))</f>
        <v/>
      </c>
      <c r="E99" s="5">
        <f>IF($I2="","",INDEX(Productos!$H:$H,$I2))</f>
        <v/>
      </c>
      <c r="F99" s="5">
        <f>IF($I2="","",INDEX(Productos!$I:$I,$I2))</f>
        <v/>
      </c>
      <c r="G99" s="135" t="n">
        <v>2</v>
      </c>
      <c r="H99" s="5">
        <f>IF($I2="","",INDEX(Productos!$AG:$AG,$I2))</f>
        <v/>
      </c>
      <c r="I99" s="136">
        <f>LET(_xlpm.r,Productos!$E$2:$E$370,_xlpm.m,IFERROR(_xlfn.XMATCH(C99,_xlpm.r),IFERROR(_xlfn.XMATCH(VALUE(C99),_xlpm.r),0)),IF(_xlpm.m=0,"",_xlpm.m+1))</f>
        <v/>
      </c>
      <c r="J99" s="137" t="inlineStr">
        <is>
          <t>NetSuite</t>
        </is>
      </c>
    </row>
    <row r="100">
      <c r="A100" s="5" t="inlineStr">
        <is>
          <t>CAPSLAB Warehouse</t>
        </is>
      </c>
      <c r="B100" s="5">
        <f>IF($I2="","",INDEX(Productos!$A:$A,$I2))</f>
        <v/>
      </c>
      <c r="C100" s="134" t="inlineStr">
        <is>
          <t>CL/DC5/1/CASX/KNI1-UNI</t>
        </is>
      </c>
      <c r="D100" s="5">
        <f>IF($I2="","",INDEX(Productos!$B:$B,$I2))</f>
        <v/>
      </c>
      <c r="E100" s="5">
        <f>IF($I2="","",INDEX(Productos!$H:$H,$I2))</f>
        <v/>
      </c>
      <c r="F100" s="5">
        <f>IF($I2="","",INDEX(Productos!$I:$I,$I2))</f>
        <v/>
      </c>
      <c r="G100" s="135" t="n">
        <v>3</v>
      </c>
      <c r="H100" s="5">
        <f>IF($I2="","",INDEX(Productos!$AG:$AG,$I2))</f>
        <v/>
      </c>
      <c r="I100" s="136">
        <f>LET(_xlpm.r,Productos!$E$2:$E$370,_xlpm.m,IFERROR(_xlfn.XMATCH(C100,_xlpm.r),IFERROR(_xlfn.XMATCH(VALUE(C100),_xlpm.r),0)),IF(_xlpm.m=0,"",_xlpm.m+1))</f>
        <v/>
      </c>
      <c r="J100" s="137" t="inlineStr">
        <is>
          <t>NetSuite</t>
        </is>
      </c>
    </row>
    <row r="101">
      <c r="A101" s="5" t="inlineStr">
        <is>
          <t>CAPSLAB Warehouse</t>
        </is>
      </c>
      <c r="B101" s="5">
        <f>IF($I2="","",INDEX(Productos!$A:$A,$I2))</f>
        <v/>
      </c>
      <c r="C101" s="134" t="inlineStr">
        <is>
          <t>CL/DC6/1/CAS/BAT1-UNI</t>
        </is>
      </c>
      <c r="D101" s="5">
        <f>IF($I2="","",INDEX(Productos!$B:$B,$I2))</f>
        <v/>
      </c>
      <c r="E101" s="5">
        <f>IF($I2="","",INDEX(Productos!$H:$H,$I2))</f>
        <v/>
      </c>
      <c r="F101" s="5">
        <f>IF($I2="","",INDEX(Productos!$I:$I,$I2))</f>
        <v/>
      </c>
      <c r="G101" s="135" t="n">
        <v>-1</v>
      </c>
      <c r="H101" s="5">
        <f>IF($I2="","",INDEX(Productos!$AG:$AG,$I2))</f>
        <v/>
      </c>
      <c r="I101" s="136">
        <f>LET(_xlpm.r,Productos!$E$2:$E$370,_xlpm.m,IFERROR(_xlfn.XMATCH(C101,_xlpm.r),IFERROR(_xlfn.XMATCH(VALUE(C101),_xlpm.r),0)),IF(_xlpm.m=0,"",_xlpm.m+1))</f>
        <v/>
      </c>
      <c r="J101" s="137" t="inlineStr">
        <is>
          <t>NetSuite</t>
        </is>
      </c>
    </row>
    <row r="102">
      <c r="A102" s="5" t="inlineStr">
        <is>
          <t>CAPSLAB Warehouse</t>
        </is>
      </c>
      <c r="B102" s="5">
        <f>IF($I2="","",INDEX(Productos!$A:$A,$I2))</f>
        <v/>
      </c>
      <c r="C102" s="134" t="inlineStr">
        <is>
          <t>CL/DC6/1/CD/BAT-UNI</t>
        </is>
      </c>
      <c r="D102" s="5">
        <f>IF($I2="","",INDEX(Productos!$B:$B,$I2))</f>
        <v/>
      </c>
      <c r="E102" s="5">
        <f>IF($I2="","",INDEX(Productos!$H:$H,$I2))</f>
        <v/>
      </c>
      <c r="F102" s="5">
        <f>IF($I2="","",INDEX(Productos!$I:$I,$I2))</f>
        <v/>
      </c>
      <c r="G102" s="135" t="n">
        <v>22</v>
      </c>
      <c r="H102" s="5">
        <f>IF($I2="","",INDEX(Productos!$AG:$AG,$I2))</f>
        <v/>
      </c>
      <c r="I102" s="136">
        <f>LET(_xlpm.r,Productos!$E$2:$E$370,_xlpm.m,IFERROR(_xlfn.XMATCH(C102,_xlpm.r),IFERROR(_xlfn.XMATCH(VALUE(C102),_xlpm.r),0)),IF(_xlpm.m=0,"",_xlpm.m+1))</f>
        <v/>
      </c>
      <c r="J102" s="137" t="inlineStr">
        <is>
          <t>NetSuite</t>
        </is>
      </c>
    </row>
    <row r="103">
      <c r="A103" s="5" t="inlineStr">
        <is>
          <t>CAPSLAB Warehouse</t>
        </is>
      </c>
      <c r="B103" s="5">
        <f>IF($I2="","",INDEX(Productos!$A:$A,$I2))</f>
        <v/>
      </c>
      <c r="C103" s="134" t="inlineStr">
        <is>
          <t>CL/DC6/1/CT/BAT3-UNI</t>
        </is>
      </c>
      <c r="D103" s="5">
        <f>IF($I2="","",INDEX(Productos!$B:$B,$I2))</f>
        <v/>
      </c>
      <c r="E103" s="5">
        <f>IF($I2="","",INDEX(Productos!$H:$H,$I2))</f>
        <v/>
      </c>
      <c r="F103" s="5">
        <f>IF($I2="","",INDEX(Productos!$I:$I,$I2))</f>
        <v/>
      </c>
      <c r="G103" s="135" t="n">
        <v>44</v>
      </c>
      <c r="H103" s="5">
        <f>IF($I2="","",INDEX(Productos!$AG:$AG,$I2))</f>
        <v/>
      </c>
      <c r="I103" s="136">
        <f>LET(_xlpm.r,Productos!$E$2:$E$370,_xlpm.m,IFERROR(_xlfn.XMATCH(C103,_xlpm.r),IFERROR(_xlfn.XMATCH(VALUE(C103),_xlpm.r),0)),IF(_xlpm.m=0,"",_xlpm.m+1))</f>
        <v/>
      </c>
      <c r="J103" s="137" t="inlineStr">
        <is>
          <t>NetSuite</t>
        </is>
      </c>
    </row>
    <row r="104">
      <c r="A104" s="5" t="inlineStr">
        <is>
          <t>CAPSLAB Warehouse</t>
        </is>
      </c>
      <c r="B104" s="5">
        <f>IF($I2="","",INDEX(Productos!$A:$A,$I2))</f>
        <v/>
      </c>
      <c r="C104" s="134" t="inlineStr">
        <is>
          <t>CL/DC6/1/CT/BATV-UNI</t>
        </is>
      </c>
      <c r="D104" s="5">
        <f>IF($I2="","",INDEX(Productos!$B:$B,$I2))</f>
        <v/>
      </c>
      <c r="E104" s="5">
        <f>IF($I2="","",INDEX(Productos!$H:$H,$I2))</f>
        <v/>
      </c>
      <c r="F104" s="5">
        <f>IF($I2="","",INDEX(Productos!$I:$I,$I2))</f>
        <v/>
      </c>
      <c r="G104" s="135" t="n">
        <v>6</v>
      </c>
      <c r="H104" s="5">
        <f>IF($I2="","",INDEX(Productos!$AG:$AG,$I2))</f>
        <v/>
      </c>
      <c r="I104" s="136">
        <f>LET(_xlpm.r,Productos!$E$2:$E$370,_xlpm.m,IFERROR(_xlfn.XMATCH(C104,_xlpm.r),IFERROR(_xlfn.XMATCH(VALUE(C104),_xlpm.r),0)),IF(_xlpm.m=0,"",_xlpm.m+1))</f>
        <v/>
      </c>
      <c r="J104" s="137" t="inlineStr">
        <is>
          <t>NetSuite</t>
        </is>
      </c>
    </row>
    <row r="105">
      <c r="A105" s="5" t="inlineStr">
        <is>
          <t>CAPSLAB Warehouse</t>
        </is>
      </c>
      <c r="B105" s="5">
        <f>IF($I2="","",INDEX(Productos!$A:$A,$I2))</f>
        <v/>
      </c>
      <c r="C105" s="134" t="inlineStr">
        <is>
          <t>CL/DC6/1/CT/BNB-UNI</t>
        </is>
      </c>
      <c r="D105" s="5">
        <f>IF($I2="","",INDEX(Productos!$B:$B,$I2))</f>
        <v/>
      </c>
      <c r="E105" s="5">
        <f>IF($I2="","",INDEX(Productos!$H:$H,$I2))</f>
        <v/>
      </c>
      <c r="F105" s="5">
        <f>IF($I2="","",INDEX(Productos!$I:$I,$I2))</f>
        <v/>
      </c>
      <c r="G105" s="135" t="n">
        <v>4</v>
      </c>
      <c r="H105" s="5">
        <f>IF($I2="","",INDEX(Productos!$AG:$AG,$I2))</f>
        <v/>
      </c>
      <c r="I105" s="136">
        <f>LET(_xlpm.r,Productos!$E$2:$E$370,_xlpm.m,IFERROR(_xlfn.XMATCH(C105,_xlpm.r),IFERROR(_xlfn.XMATCH(VALUE(C105),_xlpm.r),0)),IF(_xlpm.m=0,"",_xlpm.m+1))</f>
        <v/>
      </c>
      <c r="J105" s="137" t="inlineStr">
        <is>
          <t>NetSuite</t>
        </is>
      </c>
    </row>
    <row r="106">
      <c r="A106" s="5" t="inlineStr">
        <is>
          <t>CAPSLAB Warehouse</t>
        </is>
      </c>
      <c r="B106" s="5">
        <f>IF($I2="","",INDEX(Productos!$A:$A,$I2))</f>
        <v/>
      </c>
      <c r="C106" s="134" t="inlineStr">
        <is>
          <t>CL/DC6/1/CT/BTP-UNI</t>
        </is>
      </c>
      <c r="D106" s="5">
        <f>IF($I2="","",INDEX(Productos!$B:$B,$I2))</f>
        <v/>
      </c>
      <c r="E106" s="5">
        <f>IF($I2="","",INDEX(Productos!$H:$H,$I2))</f>
        <v/>
      </c>
      <c r="F106" s="5">
        <f>IF($I2="","",INDEX(Productos!$I:$I,$I2))</f>
        <v/>
      </c>
      <c r="G106" s="135" t="n">
        <v>35</v>
      </c>
      <c r="H106" s="5">
        <f>IF($I2="","",INDEX(Productos!$AG:$AG,$I2))</f>
        <v/>
      </c>
      <c r="I106" s="136">
        <f>LET(_xlpm.r,Productos!$E$2:$E$370,_xlpm.m,IFERROR(_xlfn.XMATCH(C106,_xlpm.r),IFERROR(_xlfn.XMATCH(VALUE(C106),_xlpm.r),0)),IF(_xlpm.m=0,"",_xlpm.m+1))</f>
        <v/>
      </c>
      <c r="J106" s="137" t="inlineStr">
        <is>
          <t>NetSuite</t>
        </is>
      </c>
    </row>
    <row r="107">
      <c r="A107" s="5" t="inlineStr">
        <is>
          <t>CAPSLAB Warehouse</t>
        </is>
      </c>
      <c r="B107" s="5">
        <f>IF($I2="","",INDEX(Productos!$A:$A,$I2))</f>
        <v/>
      </c>
      <c r="C107" s="134" t="inlineStr">
        <is>
          <t>CL/DC6/1/CT/DAR3-UNI</t>
        </is>
      </c>
      <c r="D107" s="5">
        <f>IF($I2="","",INDEX(Productos!$B:$B,$I2))</f>
        <v/>
      </c>
      <c r="E107" s="5">
        <f>IF($I2="","",INDEX(Productos!$H:$H,$I2))</f>
        <v/>
      </c>
      <c r="F107" s="5">
        <f>IF($I2="","",INDEX(Productos!$I:$I,$I2))</f>
        <v/>
      </c>
      <c r="G107" s="135" t="n">
        <v>18</v>
      </c>
      <c r="H107" s="5">
        <f>IF($I2="","",INDEX(Productos!$AG:$AG,$I2))</f>
        <v/>
      </c>
      <c r="I107" s="136">
        <f>LET(_xlpm.r,Productos!$E$2:$E$370,_xlpm.m,IFERROR(_xlfn.XMATCH(C107,_xlpm.r),IFERROR(_xlfn.XMATCH(VALUE(C107),_xlpm.r),0)),IF(_xlpm.m=0,"",_xlpm.m+1))</f>
        <v/>
      </c>
      <c r="J107" s="137" t="inlineStr">
        <is>
          <t>NetSuite</t>
        </is>
      </c>
    </row>
    <row r="108">
      <c r="A108" s="5" t="inlineStr">
        <is>
          <t>CAPSLAB Warehouse</t>
        </is>
      </c>
      <c r="B108" s="5">
        <f>IF($I2="","",INDEX(Productos!$A:$A,$I2))</f>
        <v/>
      </c>
      <c r="C108" s="134" t="inlineStr">
        <is>
          <t>CL/DC6/1/CT/MEM3-UNI</t>
        </is>
      </c>
      <c r="D108" s="5">
        <f>IF($I2="","",INDEX(Productos!$B:$B,$I2))</f>
        <v/>
      </c>
      <c r="E108" s="5">
        <f>IF($I2="","",INDEX(Productos!$H:$H,$I2))</f>
        <v/>
      </c>
      <c r="F108" s="5">
        <f>IF($I2="","",INDEX(Productos!$I:$I,$I2))</f>
        <v/>
      </c>
      <c r="G108" s="135" t="n">
        <v>127</v>
      </c>
      <c r="H108" s="5">
        <f>IF($I2="","",INDEX(Productos!$AG:$AG,$I2))</f>
        <v/>
      </c>
      <c r="I108" s="136">
        <f>LET(_xlpm.r,Productos!$E$2:$E$370,_xlpm.m,IFERROR(_xlfn.XMATCH(C108,_xlpm.r),IFERROR(_xlfn.XMATCH(VALUE(C108),_xlpm.r),0)),IF(_xlpm.m=0,"",_xlpm.m+1))</f>
        <v/>
      </c>
      <c r="J108" s="137" t="inlineStr">
        <is>
          <t>NetSuite</t>
        </is>
      </c>
    </row>
    <row r="109">
      <c r="A109" s="5" t="inlineStr">
        <is>
          <t>CAPSLAB Warehouse</t>
        </is>
      </c>
      <c r="B109" s="5">
        <f>IF($I2="","",INDEX(Productos!$A:$A,$I2))</f>
        <v/>
      </c>
      <c r="C109" s="134" t="inlineStr">
        <is>
          <t>CL/LOO/1/BUG1-UNI</t>
        </is>
      </c>
      <c r="D109" s="5">
        <f>IF($I2="","",INDEX(Productos!$B:$B,$I2))</f>
        <v/>
      </c>
      <c r="E109" s="5">
        <f>IF($I2="","",INDEX(Productos!$H:$H,$I2))</f>
        <v/>
      </c>
      <c r="F109" s="5">
        <f>IF($I2="","",INDEX(Productos!$I:$I,$I2))</f>
        <v/>
      </c>
      <c r="G109" s="135" t="n">
        <v>3</v>
      </c>
      <c r="H109" s="5">
        <f>IF($I2="","",INDEX(Productos!$AG:$AG,$I2))</f>
        <v/>
      </c>
      <c r="I109" s="136">
        <f>LET(_xlpm.r,Productos!$E$2:$E$370,_xlpm.m,IFERROR(_xlfn.XMATCH(C109,_xlpm.r),IFERROR(_xlfn.XMATCH(VALUE(C109),_xlpm.r),0)),IF(_xlpm.m=0,"",_xlpm.m+1))</f>
        <v/>
      </c>
      <c r="J109" s="137" t="inlineStr">
        <is>
          <t>NetSuite</t>
        </is>
      </c>
    </row>
    <row r="110">
      <c r="A110" s="5" t="inlineStr">
        <is>
          <t>CAPSLAB Warehouse</t>
        </is>
      </c>
      <c r="B110" s="5">
        <f>IF($I2="","",INDEX(Productos!$A:$A,$I2))</f>
        <v/>
      </c>
      <c r="C110" s="134" t="inlineStr">
        <is>
          <t>CL/LOO/1/BUN1-UNI</t>
        </is>
      </c>
      <c r="D110" s="5">
        <f>IF($I2="","",INDEX(Productos!$B:$B,$I2))</f>
        <v/>
      </c>
      <c r="E110" s="5">
        <f>IF($I2="","",INDEX(Productos!$H:$H,$I2))</f>
        <v/>
      </c>
      <c r="F110" s="5">
        <f>IF($I2="","",INDEX(Productos!$I:$I,$I2))</f>
        <v/>
      </c>
      <c r="G110" s="135" t="n">
        <v>59</v>
      </c>
      <c r="H110" s="5">
        <f>IF($I2="","",INDEX(Productos!$AG:$AG,$I2))</f>
        <v/>
      </c>
      <c r="I110" s="136">
        <f>LET(_xlpm.r,Productos!$E$2:$E$370,_xlpm.m,IFERROR(_xlfn.XMATCH(C110,_xlpm.r),IFERROR(_xlfn.XMATCH(VALUE(C110),_xlpm.r),0)),IF(_xlpm.m=0,"",_xlpm.m+1))</f>
        <v/>
      </c>
      <c r="J110" s="137" t="inlineStr">
        <is>
          <t>NetSuite</t>
        </is>
      </c>
    </row>
    <row r="111">
      <c r="A111" s="5" t="inlineStr">
        <is>
          <t>CAPSLAB Warehouse</t>
        </is>
      </c>
      <c r="B111" s="5">
        <f>IF($I2="","",INDEX(Productos!$A:$A,$I2))</f>
        <v/>
      </c>
      <c r="C111" s="134" t="inlineStr">
        <is>
          <t>CL/LOO/1/BUN2-UNI</t>
        </is>
      </c>
      <c r="D111" s="5">
        <f>IF($I2="","",INDEX(Productos!$B:$B,$I2))</f>
        <v/>
      </c>
      <c r="E111" s="5">
        <f>IF($I2="","",INDEX(Productos!$H:$H,$I2))</f>
        <v/>
      </c>
      <c r="F111" s="5">
        <f>IF($I2="","",INDEX(Productos!$I:$I,$I2))</f>
        <v/>
      </c>
      <c r="G111" s="135" t="n">
        <v>22</v>
      </c>
      <c r="H111" s="5">
        <f>IF($I2="","",INDEX(Productos!$AG:$AG,$I2))</f>
        <v/>
      </c>
      <c r="I111" s="136">
        <f>LET(_xlpm.r,Productos!$E$2:$E$370,_xlpm.m,IFERROR(_xlfn.XMATCH(C111,_xlpm.r),IFERROR(_xlfn.XMATCH(VALUE(C111),_xlpm.r),0)),IF(_xlpm.m=0,"",_xlpm.m+1))</f>
        <v/>
      </c>
      <c r="J111" s="137" t="inlineStr">
        <is>
          <t>NetSuite</t>
        </is>
      </c>
    </row>
    <row r="112">
      <c r="A112" s="5" t="inlineStr">
        <is>
          <t>CAPSLAB Warehouse</t>
        </is>
      </c>
      <c r="B112" s="5">
        <f>IF($I2="","",INDEX(Productos!$A:$A,$I2))</f>
        <v/>
      </c>
      <c r="C112" s="134" t="inlineStr">
        <is>
          <t>CL/LOO/1/BUN5-uNI</t>
        </is>
      </c>
      <c r="D112" s="5">
        <f>IF($I2="","",INDEX(Productos!$B:$B,$I2))</f>
        <v/>
      </c>
      <c r="E112" s="5">
        <f>IF($I2="","",INDEX(Productos!$H:$H,$I2))</f>
        <v/>
      </c>
      <c r="F112" s="5">
        <f>IF($I2="","",INDEX(Productos!$I:$I,$I2))</f>
        <v/>
      </c>
      <c r="G112" s="135" t="n">
        <v>41</v>
      </c>
      <c r="H112" s="5">
        <f>IF($I2="","",INDEX(Productos!$AG:$AG,$I2))</f>
        <v/>
      </c>
      <c r="I112" s="136">
        <f>LET(_xlpm.r,Productos!$E$2:$E$370,_xlpm.m,IFERROR(_xlfn.XMATCH(C112,_xlpm.r),IFERROR(_xlfn.XMATCH(VALUE(C112),_xlpm.r),0)),IF(_xlpm.m=0,"",_xlpm.m+1))</f>
        <v/>
      </c>
      <c r="J112" s="137" t="inlineStr">
        <is>
          <t>NetSuite</t>
        </is>
      </c>
    </row>
    <row r="113">
      <c r="A113" s="5" t="inlineStr">
        <is>
          <t>CAPSLAB Warehouse</t>
        </is>
      </c>
      <c r="B113" s="5">
        <f>IF($I2="","",INDEX(Productos!$A:$A,$I2))</f>
        <v/>
      </c>
      <c r="C113" s="134" t="inlineStr">
        <is>
          <t>CL/LOO/1/COY1-UNI</t>
        </is>
      </c>
      <c r="D113" s="5">
        <f>IF($I2="","",INDEX(Productos!$B:$B,$I2))</f>
        <v/>
      </c>
      <c r="E113" s="5">
        <f>IF($I2="","",INDEX(Productos!$H:$H,$I2))</f>
        <v/>
      </c>
      <c r="F113" s="5">
        <f>IF($I2="","",INDEX(Productos!$I:$I,$I2))</f>
        <v/>
      </c>
      <c r="G113" s="135" t="n">
        <v>117</v>
      </c>
      <c r="H113" s="5">
        <f>IF($I2="","",INDEX(Productos!$AG:$AG,$I2))</f>
        <v/>
      </c>
      <c r="I113" s="136">
        <f>LET(_xlpm.r,Productos!$E$2:$E$370,_xlpm.m,IFERROR(_xlfn.XMATCH(C113,_xlpm.r),IFERROR(_xlfn.XMATCH(VALUE(C113),_xlpm.r),0)),IF(_xlpm.m=0,"",_xlpm.m+1))</f>
        <v/>
      </c>
      <c r="J113" s="137" t="inlineStr">
        <is>
          <t>NetSuite</t>
        </is>
      </c>
    </row>
    <row r="114">
      <c r="A114" s="5" t="inlineStr">
        <is>
          <t>CAPSLAB Warehouse</t>
        </is>
      </c>
      <c r="B114" s="5">
        <f>IF($I2="","",INDEX(Productos!$A:$A,$I2))</f>
        <v/>
      </c>
      <c r="C114" s="134" t="inlineStr">
        <is>
          <t>CL/LOO/1/DAF1-UNI</t>
        </is>
      </c>
      <c r="D114" s="5">
        <f>IF($I2="","",INDEX(Productos!$B:$B,$I2))</f>
        <v/>
      </c>
      <c r="E114" s="5">
        <f>IF($I2="","",INDEX(Productos!$H:$H,$I2))</f>
        <v/>
      </c>
      <c r="F114" s="5">
        <f>IF($I2="","",INDEX(Productos!$I:$I,$I2))</f>
        <v/>
      </c>
      <c r="G114" s="135" t="n">
        <v>18</v>
      </c>
      <c r="H114" s="5">
        <f>IF($I2="","",INDEX(Productos!$AG:$AG,$I2))</f>
        <v/>
      </c>
      <c r="I114" s="136">
        <f>LET(_xlpm.r,Productos!$E$2:$E$370,_xlpm.m,IFERROR(_xlfn.XMATCH(C114,_xlpm.r),IFERROR(_xlfn.XMATCH(VALUE(C114),_xlpm.r),0)),IF(_xlpm.m=0,"",_xlpm.m+1))</f>
        <v/>
      </c>
      <c r="J114" s="137" t="inlineStr">
        <is>
          <t>NetSuite</t>
        </is>
      </c>
    </row>
    <row r="115">
      <c r="A115" s="5" t="inlineStr">
        <is>
          <t>CAPSLAB Warehouse</t>
        </is>
      </c>
      <c r="B115" s="5">
        <f>IF($I2="","",INDEX(Productos!$A:$A,$I2))</f>
        <v/>
      </c>
      <c r="C115" s="134" t="inlineStr">
        <is>
          <t>CL/LOO/1/DAF2-UNI</t>
        </is>
      </c>
      <c r="D115" s="5">
        <f>IF($I2="","",INDEX(Productos!$B:$B,$I2))</f>
        <v/>
      </c>
      <c r="E115" s="5">
        <f>IF($I2="","",INDEX(Productos!$H:$H,$I2))</f>
        <v/>
      </c>
      <c r="F115" s="5">
        <f>IF($I2="","",INDEX(Productos!$I:$I,$I2))</f>
        <v/>
      </c>
      <c r="G115" s="135" t="n">
        <v>56</v>
      </c>
      <c r="H115" s="5">
        <f>IF($I2="","",INDEX(Productos!$AG:$AG,$I2))</f>
        <v/>
      </c>
      <c r="I115" s="136">
        <f>LET(_xlpm.r,Productos!$E$2:$E$370,_xlpm.m,IFERROR(_xlfn.XMATCH(C115,_xlpm.r),IFERROR(_xlfn.XMATCH(VALUE(C115),_xlpm.r),0)),IF(_xlpm.m=0,"",_xlpm.m+1))</f>
        <v/>
      </c>
      <c r="J115" s="137" t="inlineStr">
        <is>
          <t>NetSuite</t>
        </is>
      </c>
    </row>
    <row r="116">
      <c r="A116" s="5" t="inlineStr">
        <is>
          <t>CAPSLAB Warehouse</t>
        </is>
      </c>
      <c r="B116" s="5">
        <f>IF($I2="","",INDEX(Productos!$A:$A,$I2))</f>
        <v/>
      </c>
      <c r="C116" s="134" t="inlineStr">
        <is>
          <t>CL/LOO/1/DAF4-UNI</t>
        </is>
      </c>
      <c r="D116" s="5">
        <f>IF($I2="","",INDEX(Productos!$B:$B,$I2))</f>
        <v/>
      </c>
      <c r="E116" s="5">
        <f>IF($I2="","",INDEX(Productos!$H:$H,$I2))</f>
        <v/>
      </c>
      <c r="F116" s="5">
        <f>IF($I2="","",INDEX(Productos!$I:$I,$I2))</f>
        <v/>
      </c>
      <c r="G116" s="135" t="n">
        <v>76</v>
      </c>
      <c r="H116" s="5">
        <f>IF($I2="","",INDEX(Productos!$AG:$AG,$I2))</f>
        <v/>
      </c>
      <c r="I116" s="136">
        <f>LET(_xlpm.r,Productos!$E$2:$E$370,_xlpm.m,IFERROR(_xlfn.XMATCH(C116,_xlpm.r),IFERROR(_xlfn.XMATCH(VALUE(C116),_xlpm.r),0)),IF(_xlpm.m=0,"",_xlpm.m+1))</f>
        <v/>
      </c>
      <c r="J116" s="137" t="inlineStr">
        <is>
          <t>NetSuite</t>
        </is>
      </c>
    </row>
    <row r="117">
      <c r="A117" s="5" t="inlineStr">
        <is>
          <t>CAPSLAB Warehouse</t>
        </is>
      </c>
      <c r="B117" s="5">
        <f>IF($I2="","",INDEX(Productos!$A:$A,$I2))</f>
        <v/>
      </c>
      <c r="C117" s="134" t="inlineStr">
        <is>
          <t>CL/LOO/1/DAF6-UNI</t>
        </is>
      </c>
      <c r="D117" s="5">
        <f>IF($I2="","",INDEX(Productos!$B:$B,$I2))</f>
        <v/>
      </c>
      <c r="E117" s="5">
        <f>IF($I2="","",INDEX(Productos!$H:$H,$I2))</f>
        <v/>
      </c>
      <c r="F117" s="5">
        <f>IF($I2="","",INDEX(Productos!$I:$I,$I2))</f>
        <v/>
      </c>
      <c r="G117" s="135" t="n">
        <v>43</v>
      </c>
      <c r="H117" s="5">
        <f>IF($I2="","",INDEX(Productos!$AG:$AG,$I2))</f>
        <v/>
      </c>
      <c r="I117" s="136">
        <f>LET(_xlpm.r,Productos!$E$2:$E$370,_xlpm.m,IFERROR(_xlfn.XMATCH(C117,_xlpm.r),IFERROR(_xlfn.XMATCH(VALUE(C117),_xlpm.r),0)),IF(_xlpm.m=0,"",_xlpm.m+1))</f>
        <v/>
      </c>
      <c r="J117" s="137" t="inlineStr">
        <is>
          <t>NetSuite</t>
        </is>
      </c>
    </row>
    <row r="118">
      <c r="A118" s="5" t="inlineStr">
        <is>
          <t>CAPSLAB Warehouse</t>
        </is>
      </c>
      <c r="B118" s="5">
        <f>IF($I2="","",INDEX(Productos!$A:$A,$I2))</f>
        <v/>
      </c>
      <c r="C118" s="134" t="inlineStr">
        <is>
          <t>CL/LOO/1/MAR1-UNI</t>
        </is>
      </c>
      <c r="D118" s="5">
        <f>IF($I2="","",INDEX(Productos!$B:$B,$I2))</f>
        <v/>
      </c>
      <c r="E118" s="5">
        <f>IF($I2="","",INDEX(Productos!$H:$H,$I2))</f>
        <v/>
      </c>
      <c r="F118" s="5">
        <f>IF($I2="","",INDEX(Productos!$I:$I,$I2))</f>
        <v/>
      </c>
      <c r="G118" s="135" t="n">
        <v>3</v>
      </c>
      <c r="H118" s="5">
        <f>IF($I2="","",INDEX(Productos!$AG:$AG,$I2))</f>
        <v/>
      </c>
      <c r="I118" s="136">
        <f>LET(_xlpm.r,Productos!$E$2:$E$370,_xlpm.m,IFERROR(_xlfn.XMATCH(C118,_xlpm.r),IFERROR(_xlfn.XMATCH(VALUE(C118),_xlpm.r),0)),IF(_xlpm.m=0,"",_xlpm.m+1))</f>
        <v/>
      </c>
      <c r="J118" s="137" t="inlineStr">
        <is>
          <t>NetSuite</t>
        </is>
      </c>
    </row>
    <row r="119">
      <c r="A119" s="5" t="inlineStr">
        <is>
          <t>CAPSLAB Warehouse</t>
        </is>
      </c>
      <c r="B119" s="5">
        <f>IF($I2="","",INDEX(Productos!$A:$A,$I2))</f>
        <v/>
      </c>
      <c r="C119" s="134" t="inlineStr">
        <is>
          <t>CL/LOO/1/MAR2-UNI</t>
        </is>
      </c>
      <c r="D119" s="5">
        <f>IF($I2="","",INDEX(Productos!$B:$B,$I2))</f>
        <v/>
      </c>
      <c r="E119" s="5">
        <f>IF($I2="","",INDEX(Productos!$H:$H,$I2))</f>
        <v/>
      </c>
      <c r="F119" s="5">
        <f>IF($I2="","",INDEX(Productos!$I:$I,$I2))</f>
        <v/>
      </c>
      <c r="G119" s="135" t="n">
        <v>31</v>
      </c>
      <c r="H119" s="5">
        <f>IF($I2="","",INDEX(Productos!$AG:$AG,$I2))</f>
        <v/>
      </c>
      <c r="I119" s="136">
        <f>LET(_xlpm.r,Productos!$E$2:$E$370,_xlpm.m,IFERROR(_xlfn.XMATCH(C119,_xlpm.r),IFERROR(_xlfn.XMATCH(VALUE(C119),_xlpm.r),0)),IF(_xlpm.m=0,"",_xlpm.m+1))</f>
        <v/>
      </c>
      <c r="J119" s="137" t="inlineStr">
        <is>
          <t>NetSuite</t>
        </is>
      </c>
    </row>
    <row r="120">
      <c r="A120" s="5" t="inlineStr">
        <is>
          <t>CAPSLAB Warehouse</t>
        </is>
      </c>
      <c r="B120" s="5">
        <f>IF($I2="","",INDEX(Productos!$A:$A,$I2))</f>
        <v/>
      </c>
      <c r="C120" s="134" t="inlineStr">
        <is>
          <t>CL/LOO/1/ROA1-UNI</t>
        </is>
      </c>
      <c r="D120" s="5">
        <f>IF($I2="","",INDEX(Productos!$B:$B,$I2))</f>
        <v/>
      </c>
      <c r="E120" s="5">
        <f>IF($I2="","",INDEX(Productos!$H:$H,$I2))</f>
        <v/>
      </c>
      <c r="F120" s="5">
        <f>IF($I2="","",INDEX(Productos!$I:$I,$I2))</f>
        <v/>
      </c>
      <c r="G120" s="135" t="n">
        <v>10</v>
      </c>
      <c r="H120" s="5">
        <f>IF($I2="","",INDEX(Productos!$AG:$AG,$I2))</f>
        <v/>
      </c>
      <c r="I120" s="136">
        <f>LET(_xlpm.r,Productos!$E$2:$E$370,_xlpm.m,IFERROR(_xlfn.XMATCH(C120,_xlpm.r),IFERROR(_xlfn.XMATCH(VALUE(C120),_xlpm.r),0)),IF(_xlpm.m=0,"",_xlpm.m+1))</f>
        <v/>
      </c>
      <c r="J120" s="137" t="inlineStr">
        <is>
          <t>NetSuite</t>
        </is>
      </c>
    </row>
    <row r="121">
      <c r="A121" s="5" t="inlineStr">
        <is>
          <t>CAPSLAB Warehouse</t>
        </is>
      </c>
      <c r="B121" s="5">
        <f>IF($I2="","",INDEX(Productos!$A:$A,$I2))</f>
        <v/>
      </c>
      <c r="C121" s="134" t="inlineStr">
        <is>
          <t>CL/LOO/1/SAM1-UNI</t>
        </is>
      </c>
      <c r="D121" s="5">
        <f>IF($I2="","",INDEX(Productos!$B:$B,$I2))</f>
        <v/>
      </c>
      <c r="E121" s="5">
        <f>IF($I2="","",INDEX(Productos!$H:$H,$I2))</f>
        <v/>
      </c>
      <c r="F121" s="5">
        <f>IF($I2="","",INDEX(Productos!$I:$I,$I2))</f>
        <v/>
      </c>
      <c r="G121" s="135" t="n">
        <v>58</v>
      </c>
      <c r="H121" s="5">
        <f>IF($I2="","",INDEX(Productos!$AG:$AG,$I2))</f>
        <v/>
      </c>
      <c r="I121" s="136">
        <f>LET(_xlpm.r,Productos!$E$2:$E$370,_xlpm.m,IFERROR(_xlfn.XMATCH(C121,_xlpm.r),IFERROR(_xlfn.XMATCH(VALUE(C121),_xlpm.r),0)),IF(_xlpm.m=0,"",_xlpm.m+1))</f>
        <v/>
      </c>
      <c r="J121" s="137" t="inlineStr">
        <is>
          <t>NetSuite</t>
        </is>
      </c>
    </row>
    <row r="122">
      <c r="A122" s="5" t="inlineStr">
        <is>
          <t>CAPSLAB Warehouse</t>
        </is>
      </c>
      <c r="B122" s="5">
        <f>IF($I2="","",INDEX(Productos!$A:$A,$I2))</f>
        <v/>
      </c>
      <c r="C122" s="134" t="inlineStr">
        <is>
          <t>CL/LOO/1/SAM2-UNI</t>
        </is>
      </c>
      <c r="D122" s="5">
        <f>IF($I2="","",INDEX(Productos!$B:$B,$I2))</f>
        <v/>
      </c>
      <c r="E122" s="5">
        <f>IF($I2="","",INDEX(Productos!$H:$H,$I2))</f>
        <v/>
      </c>
      <c r="F122" s="5">
        <f>IF($I2="","",INDEX(Productos!$I:$I,$I2))</f>
        <v/>
      </c>
      <c r="G122" s="135" t="n">
        <v>4</v>
      </c>
      <c r="H122" s="5">
        <f>IF($I2="","",INDEX(Productos!$AG:$AG,$I2))</f>
        <v/>
      </c>
      <c r="I122" s="136">
        <f>LET(_xlpm.r,Productos!$E$2:$E$370,_xlpm.m,IFERROR(_xlfn.XMATCH(C122,_xlpm.r),IFERROR(_xlfn.XMATCH(VALUE(C122),_xlpm.r),0)),IF(_xlpm.m=0,"",_xlpm.m+1))</f>
        <v/>
      </c>
      <c r="J122" s="137" t="inlineStr">
        <is>
          <t>NetSuite</t>
        </is>
      </c>
    </row>
    <row r="123">
      <c r="A123" s="5" t="inlineStr">
        <is>
          <t>CAPSLAB Warehouse</t>
        </is>
      </c>
      <c r="B123" s="5">
        <f>IF($I2="","",INDEX(Productos!$A:$A,$I2))</f>
        <v/>
      </c>
      <c r="C123" s="134" t="inlineStr">
        <is>
          <t>CL/LOO/1/TAZ1-UNI</t>
        </is>
      </c>
      <c r="D123" s="5">
        <f>IF($I2="","",INDEX(Productos!$B:$B,$I2))</f>
        <v/>
      </c>
      <c r="E123" s="5">
        <f>IF($I2="","",INDEX(Productos!$H:$H,$I2))</f>
        <v/>
      </c>
      <c r="F123" s="5">
        <f>IF($I2="","",INDEX(Productos!$I:$I,$I2))</f>
        <v/>
      </c>
      <c r="G123" s="135" t="n">
        <v>107</v>
      </c>
      <c r="H123" s="5">
        <f>IF($I2="","",INDEX(Productos!$AG:$AG,$I2))</f>
        <v/>
      </c>
      <c r="I123" s="136">
        <f>LET(_xlpm.r,Productos!$E$2:$E$370,_xlpm.m,IFERROR(_xlfn.XMATCH(C123,_xlpm.r),IFERROR(_xlfn.XMATCH(VALUE(C123),_xlpm.r),0)),IF(_xlpm.m=0,"",_xlpm.m+1))</f>
        <v/>
      </c>
      <c r="J123" s="137" t="inlineStr">
        <is>
          <t>NetSuite</t>
        </is>
      </c>
    </row>
    <row r="124">
      <c r="A124" s="5" t="inlineStr">
        <is>
          <t>CAPSLAB Warehouse</t>
        </is>
      </c>
      <c r="B124" s="5">
        <f>IF($I2="","",INDEX(Productos!$A:$A,$I2))</f>
        <v/>
      </c>
      <c r="C124" s="134" t="inlineStr">
        <is>
          <t>CL/LOO/1/TAZ2-UNI</t>
        </is>
      </c>
      <c r="D124" s="5">
        <f>IF($I2="","",INDEX(Productos!$B:$B,$I2))</f>
        <v/>
      </c>
      <c r="E124" s="5">
        <f>IF($I2="","",INDEX(Productos!$H:$H,$I2))</f>
        <v/>
      </c>
      <c r="F124" s="5">
        <f>IF($I2="","",INDEX(Productos!$I:$I,$I2))</f>
        <v/>
      </c>
      <c r="G124" s="135" t="n">
        <v>35</v>
      </c>
      <c r="H124" s="5">
        <f>IF($I2="","",INDEX(Productos!$AG:$AG,$I2))</f>
        <v/>
      </c>
      <c r="I124" s="136">
        <f>LET(_xlpm.r,Productos!$E$2:$E$370,_xlpm.m,IFERROR(_xlfn.XMATCH(C124,_xlpm.r),IFERROR(_xlfn.XMATCH(VALUE(C124),_xlpm.r),0)),IF(_xlpm.m=0,"",_xlpm.m+1))</f>
        <v/>
      </c>
      <c r="J124" s="137" t="inlineStr">
        <is>
          <t>NetSuite</t>
        </is>
      </c>
    </row>
    <row r="125">
      <c r="A125" s="5" t="inlineStr">
        <is>
          <t>CAPSLAB Warehouse</t>
        </is>
      </c>
      <c r="B125" s="5">
        <f>IF($I2="","",INDEX(Productos!$A:$A,$I2))</f>
        <v/>
      </c>
      <c r="C125" s="134" t="inlineStr">
        <is>
          <t>CL/LOO/3/BUG1-UNI</t>
        </is>
      </c>
      <c r="D125" s="5">
        <f>IF($I2="","",INDEX(Productos!$B:$B,$I2))</f>
        <v/>
      </c>
      <c r="E125" s="5">
        <f>IF($I2="","",INDEX(Productos!$H:$H,$I2))</f>
        <v/>
      </c>
      <c r="F125" s="5">
        <f>IF($I2="","",INDEX(Productos!$I:$I,$I2))</f>
        <v/>
      </c>
      <c r="G125" s="135" t="n">
        <v>33</v>
      </c>
      <c r="H125" s="5">
        <f>IF($I2="","",INDEX(Productos!$AG:$AG,$I2))</f>
        <v/>
      </c>
      <c r="I125" s="136">
        <f>LET(_xlpm.r,Productos!$E$2:$E$370,_xlpm.m,IFERROR(_xlfn.XMATCH(C125,_xlpm.r),IFERROR(_xlfn.XMATCH(VALUE(C125),_xlpm.r),0)),IF(_xlpm.m=0,"",_xlpm.m+1))</f>
        <v/>
      </c>
      <c r="J125" s="137" t="inlineStr">
        <is>
          <t>NetSuite</t>
        </is>
      </c>
    </row>
    <row r="126">
      <c r="A126" s="5" t="inlineStr">
        <is>
          <t>CAPSLAB Warehouse</t>
        </is>
      </c>
      <c r="B126" s="5">
        <f>IF($I2="","",INDEX(Productos!$A:$A,$I2))</f>
        <v/>
      </c>
      <c r="C126" s="134" t="inlineStr">
        <is>
          <t>CL/LOO/3/BUN5-UNI</t>
        </is>
      </c>
      <c r="D126" s="5">
        <f>IF($I2="","",INDEX(Productos!$B:$B,$I2))</f>
        <v/>
      </c>
      <c r="E126" s="5">
        <f>IF($I2="","",INDEX(Productos!$H:$H,$I2))</f>
        <v/>
      </c>
      <c r="F126" s="5">
        <f>IF($I2="","",INDEX(Productos!$I:$I,$I2))</f>
        <v/>
      </c>
      <c r="G126" s="135" t="n">
        <v>78</v>
      </c>
      <c r="H126" s="5">
        <f>IF($I2="","",INDEX(Productos!$AG:$AG,$I2))</f>
        <v/>
      </c>
      <c r="I126" s="136">
        <f>LET(_xlpm.r,Productos!$E$2:$E$370,_xlpm.m,IFERROR(_xlfn.XMATCH(C126,_xlpm.r),IFERROR(_xlfn.XMATCH(VALUE(C126),_xlpm.r),0)),IF(_xlpm.m=0,"",_xlpm.m+1))</f>
        <v/>
      </c>
      <c r="J126" s="137" t="inlineStr">
        <is>
          <t>NetSuite</t>
        </is>
      </c>
    </row>
    <row r="127">
      <c r="A127" s="5" t="inlineStr">
        <is>
          <t>CAPSLAB Warehouse</t>
        </is>
      </c>
      <c r="B127" s="5">
        <f>IF($I2="","",INDEX(Productos!$A:$A,$I2))</f>
        <v/>
      </c>
      <c r="C127" s="134" t="inlineStr">
        <is>
          <t>CL/LOO/3/DAF1-UNI</t>
        </is>
      </c>
      <c r="D127" s="5">
        <f>IF($I2="","",INDEX(Productos!$B:$B,$I2))</f>
        <v/>
      </c>
      <c r="E127" s="5">
        <f>IF($I2="","",INDEX(Productos!$H:$H,$I2))</f>
        <v/>
      </c>
      <c r="F127" s="5">
        <f>IF($I2="","",INDEX(Productos!$I:$I,$I2))</f>
        <v/>
      </c>
      <c r="G127" s="135" t="n">
        <v>97</v>
      </c>
      <c r="H127" s="5">
        <f>IF($I2="","",INDEX(Productos!$AG:$AG,$I2))</f>
        <v/>
      </c>
      <c r="I127" s="136">
        <f>LET(_xlpm.r,Productos!$E$2:$E$370,_xlpm.m,IFERROR(_xlfn.XMATCH(C127,_xlpm.r),IFERROR(_xlfn.XMATCH(VALUE(C127),_xlpm.r),0)),IF(_xlpm.m=0,"",_xlpm.m+1))</f>
        <v/>
      </c>
      <c r="J127" s="137" t="inlineStr">
        <is>
          <t>NetSuite</t>
        </is>
      </c>
    </row>
    <row r="128">
      <c r="A128" s="5" t="inlineStr">
        <is>
          <t>CAPSLAB Warehouse</t>
        </is>
      </c>
      <c r="B128" s="5">
        <f>IF($I2="","",INDEX(Productos!$A:$A,$I2))</f>
        <v/>
      </c>
      <c r="C128" s="134" t="inlineStr">
        <is>
          <t>CL/LOO/TAG/1/BUG-UNI</t>
        </is>
      </c>
      <c r="D128" s="5">
        <f>IF($I2="","",INDEX(Productos!$B:$B,$I2))</f>
        <v/>
      </c>
      <c r="E128" s="5">
        <f>IF($I2="","",INDEX(Productos!$H:$H,$I2))</f>
        <v/>
      </c>
      <c r="F128" s="5">
        <f>IF($I2="","",INDEX(Productos!$I:$I,$I2))</f>
        <v/>
      </c>
      <c r="G128" s="135" t="n">
        <v>2</v>
      </c>
      <c r="H128" s="5">
        <f>IF($I2="","",INDEX(Productos!$AG:$AG,$I2))</f>
        <v/>
      </c>
      <c r="I128" s="136">
        <f>LET(_xlpm.r,Productos!$E$2:$E$370,_xlpm.m,IFERROR(_xlfn.XMATCH(C128,_xlpm.r),IFERROR(_xlfn.XMATCH(VALUE(C128),_xlpm.r),0)),IF(_xlpm.m=0,"",_xlpm.m+1))</f>
        <v/>
      </c>
      <c r="J128" s="137" t="inlineStr">
        <is>
          <t>NetSuite</t>
        </is>
      </c>
    </row>
    <row r="129">
      <c r="A129" s="5" t="inlineStr">
        <is>
          <t>CAPSLAB Warehouse</t>
        </is>
      </c>
      <c r="B129" s="5">
        <f>IF($I2="","",INDEX(Productos!$A:$A,$I2))</f>
        <v/>
      </c>
      <c r="C129" s="134" t="inlineStr">
        <is>
          <t>CL/LOO/TAG/1/DAF-UNI</t>
        </is>
      </c>
      <c r="D129" s="5">
        <f>IF($I2="","",INDEX(Productos!$B:$B,$I2))</f>
        <v/>
      </c>
      <c r="E129" s="5">
        <f>IF($I2="","",INDEX(Productos!$H:$H,$I2))</f>
        <v/>
      </c>
      <c r="F129" s="5">
        <f>IF($I2="","",INDEX(Productos!$I:$I,$I2))</f>
        <v/>
      </c>
      <c r="G129" s="135" t="n">
        <v>2</v>
      </c>
      <c r="H129" s="5">
        <f>IF($I2="","",INDEX(Productos!$AG:$AG,$I2))</f>
        <v/>
      </c>
      <c r="I129" s="136">
        <f>LET(_xlpm.r,Productos!$E$2:$E$370,_xlpm.m,IFERROR(_xlfn.XMATCH(C129,_xlpm.r),IFERROR(_xlfn.XMATCH(VALUE(C129),_xlpm.r),0)),IF(_xlpm.m=0,"",_xlpm.m+1))</f>
        <v/>
      </c>
      <c r="J129" s="137" t="inlineStr">
        <is>
          <t>NetSuite</t>
        </is>
      </c>
    </row>
    <row r="130">
      <c r="A130" s="5" t="inlineStr">
        <is>
          <t>CAPSLAB Warehouse</t>
        </is>
      </c>
      <c r="B130" s="5">
        <f>IF($I2="","",INDEX(Productos!$A:$A,$I2))</f>
        <v/>
      </c>
      <c r="C130" s="134" t="inlineStr">
        <is>
          <t>CL/LOO2/1/MIN1-UNI</t>
        </is>
      </c>
      <c r="D130" s="5">
        <f>IF($I2="","",INDEX(Productos!$B:$B,$I2))</f>
        <v/>
      </c>
      <c r="E130" s="5">
        <f>IF($I2="","",INDEX(Productos!$H:$H,$I2))</f>
        <v/>
      </c>
      <c r="F130" s="5">
        <f>IF($I2="","",INDEX(Productos!$I:$I,$I2))</f>
        <v/>
      </c>
      <c r="G130" s="135" t="n">
        <v>31</v>
      </c>
      <c r="H130" s="5">
        <f>IF($I2="","",INDEX(Productos!$AG:$AG,$I2))</f>
        <v/>
      </c>
      <c r="I130" s="136">
        <f>LET(_xlpm.r,Productos!$E$2:$E$370,_xlpm.m,IFERROR(_xlfn.XMATCH(C130,_xlpm.r),IFERROR(_xlfn.XMATCH(VALUE(C130),_xlpm.r),0)),IF(_xlpm.m=0,"",_xlpm.m+1))</f>
        <v/>
      </c>
      <c r="J130" s="137" t="inlineStr">
        <is>
          <t>NetSuite</t>
        </is>
      </c>
    </row>
    <row r="131">
      <c r="A131" s="5" t="inlineStr">
        <is>
          <t>CAPSLAB Warehouse</t>
        </is>
      </c>
      <c r="B131" s="5">
        <f>IF($I2="","",INDEX(Productos!$A:$A,$I2))</f>
        <v/>
      </c>
      <c r="C131" s="134" t="inlineStr">
        <is>
          <t>CL/LOO2/1/MIN2-UNI</t>
        </is>
      </c>
      <c r="D131" s="5">
        <f>IF($I2="","",INDEX(Productos!$B:$B,$I2))</f>
        <v/>
      </c>
      <c r="E131" s="5">
        <f>IF($I2="","",INDEX(Productos!$H:$H,$I2))</f>
        <v/>
      </c>
      <c r="F131" s="5">
        <f>IF($I2="","",INDEX(Productos!$I:$I,$I2))</f>
        <v/>
      </c>
      <c r="G131" s="135" t="n">
        <v>5</v>
      </c>
      <c r="H131" s="5">
        <f>IF($I2="","",INDEX(Productos!$AG:$AG,$I2))</f>
        <v/>
      </c>
      <c r="I131" s="136">
        <f>LET(_xlpm.r,Productos!$E$2:$E$370,_xlpm.m,IFERROR(_xlfn.XMATCH(C131,_xlpm.r),IFERROR(_xlfn.XMATCH(VALUE(C131),_xlpm.r),0)),IF(_xlpm.m=0,"",_xlpm.m+1))</f>
        <v/>
      </c>
      <c r="J131" s="137" t="inlineStr">
        <is>
          <t>NetSuite</t>
        </is>
      </c>
    </row>
    <row r="132">
      <c r="A132" s="5" t="inlineStr">
        <is>
          <t>CAPSLAB Warehouse</t>
        </is>
      </c>
      <c r="B132" s="5">
        <f>IF($I2="","",INDEX(Productos!$A:$A,$I2))</f>
        <v/>
      </c>
      <c r="C132" s="134" t="inlineStr">
        <is>
          <t>CL/LOO3/1/AFF1-UNI</t>
        </is>
      </c>
      <c r="D132" s="5">
        <f>IF($I2="","",INDEX(Productos!$B:$B,$I2))</f>
        <v/>
      </c>
      <c r="E132" s="5">
        <f>IF($I2="","",INDEX(Productos!$H:$H,$I2))</f>
        <v/>
      </c>
      <c r="F132" s="5">
        <f>IF($I2="","",INDEX(Productos!$I:$I,$I2))</f>
        <v/>
      </c>
      <c r="G132" s="135" t="n">
        <v>3</v>
      </c>
      <c r="H132" s="5">
        <f>IF($I2="","",INDEX(Productos!$AG:$AG,$I2))</f>
        <v/>
      </c>
      <c r="I132" s="136">
        <f>LET(_xlpm.r,Productos!$E$2:$E$370,_xlpm.m,IFERROR(_xlfn.XMATCH(C132,_xlpm.r),IFERROR(_xlfn.XMATCH(VALUE(C132),_xlpm.r),0)),IF(_xlpm.m=0,"",_xlpm.m+1))</f>
        <v/>
      </c>
      <c r="J132" s="137" t="inlineStr">
        <is>
          <t>NetSuite</t>
        </is>
      </c>
    </row>
    <row r="133">
      <c r="A133" s="5" t="inlineStr">
        <is>
          <t>CAPSLAB Warehouse</t>
        </is>
      </c>
      <c r="B133" s="5">
        <f>IF($I2="","",INDEX(Productos!$A:$A,$I2))</f>
        <v/>
      </c>
      <c r="C133" s="134" t="inlineStr">
        <is>
          <t>CL/LOO3/1/ALL2-UNI</t>
        </is>
      </c>
      <c r="D133" s="5">
        <f>IF($I2="","",INDEX(Productos!$B:$B,$I2))</f>
        <v/>
      </c>
      <c r="E133" s="5">
        <f>IF($I2="","",INDEX(Productos!$H:$H,$I2))</f>
        <v/>
      </c>
      <c r="F133" s="5">
        <f>IF($I2="","",INDEX(Productos!$I:$I,$I2))</f>
        <v/>
      </c>
      <c r="G133" s="135" t="n">
        <v>2</v>
      </c>
      <c r="H133" s="5">
        <f>IF($I2="","",INDEX(Productos!$AG:$AG,$I2))</f>
        <v/>
      </c>
      <c r="I133" s="136">
        <f>LET(_xlpm.r,Productos!$E$2:$E$370,_xlpm.m,IFERROR(_xlfn.XMATCH(C133,_xlpm.r),IFERROR(_xlfn.XMATCH(VALUE(C133),_xlpm.r),0)),IF(_xlpm.m=0,"",_xlpm.m+1))</f>
        <v/>
      </c>
      <c r="J133" s="137" t="inlineStr">
        <is>
          <t>NetSuite</t>
        </is>
      </c>
    </row>
    <row r="134">
      <c r="A134" s="5" t="inlineStr">
        <is>
          <t>CAPSLAB Warehouse</t>
        </is>
      </c>
      <c r="B134" s="5">
        <f>IF($I2="","",INDEX(Productos!$A:$A,$I2))</f>
        <v/>
      </c>
      <c r="C134" s="134" t="inlineStr">
        <is>
          <t>CL/LOO3/1/BUG1-UNI</t>
        </is>
      </c>
      <c r="D134" s="5">
        <f>IF($I2="","",INDEX(Productos!$B:$B,$I2))</f>
        <v/>
      </c>
      <c r="E134" s="5">
        <f>IF($I2="","",INDEX(Productos!$H:$H,$I2))</f>
        <v/>
      </c>
      <c r="F134" s="5">
        <f>IF($I2="","",INDEX(Productos!$I:$I,$I2))</f>
        <v/>
      </c>
      <c r="G134" s="135" t="n">
        <v>17</v>
      </c>
      <c r="H134" s="5">
        <f>IF($I2="","",INDEX(Productos!$AG:$AG,$I2))</f>
        <v/>
      </c>
      <c r="I134" s="136">
        <f>LET(_xlpm.r,Productos!$E$2:$E$370,_xlpm.m,IFERROR(_xlfn.XMATCH(C134,_xlpm.r),IFERROR(_xlfn.XMATCH(VALUE(C134),_xlpm.r),0)),IF(_xlpm.m=0,"",_xlpm.m+1))</f>
        <v/>
      </c>
      <c r="J134" s="137" t="inlineStr">
        <is>
          <t>NetSuite</t>
        </is>
      </c>
    </row>
    <row r="135">
      <c r="A135" s="5" t="inlineStr">
        <is>
          <t>CAPSLAB Warehouse</t>
        </is>
      </c>
      <c r="B135" s="5">
        <f>IF($I2="","",INDEX(Productos!$A:$A,$I2))</f>
        <v/>
      </c>
      <c r="C135" s="134" t="inlineStr">
        <is>
          <t>CL/LOO3/1/GON2-UNI</t>
        </is>
      </c>
      <c r="D135" s="5">
        <f>IF($I2="","",INDEX(Productos!$B:$B,$I2))</f>
        <v/>
      </c>
      <c r="E135" s="5">
        <f>IF($I2="","",INDEX(Productos!$H:$H,$I2))</f>
        <v/>
      </c>
      <c r="F135" s="5">
        <f>IF($I2="","",INDEX(Productos!$I:$I,$I2))</f>
        <v/>
      </c>
      <c r="G135" s="135" t="n">
        <v>63</v>
      </c>
      <c r="H135" s="5">
        <f>IF($I2="","",INDEX(Productos!$AG:$AG,$I2))</f>
        <v/>
      </c>
      <c r="I135" s="136">
        <f>LET(_xlpm.r,Productos!$E$2:$E$370,_xlpm.m,IFERROR(_xlfn.XMATCH(C135,_xlpm.r),IFERROR(_xlfn.XMATCH(VALUE(C135),_xlpm.r),0)),IF(_xlpm.m=0,"",_xlpm.m+1))</f>
        <v/>
      </c>
      <c r="J135" s="137" t="inlineStr">
        <is>
          <t>NetSuite</t>
        </is>
      </c>
    </row>
    <row r="136">
      <c r="A136" s="5" t="inlineStr">
        <is>
          <t>CAPSLAB Warehouse</t>
        </is>
      </c>
      <c r="B136" s="5">
        <f>IF($I2="","",INDEX(Productos!$A:$A,$I2))</f>
        <v/>
      </c>
      <c r="C136" s="134" t="inlineStr">
        <is>
          <t>CL/LOO3/1/MAR1-UNI</t>
        </is>
      </c>
      <c r="D136" s="5">
        <f>IF($I2="","",INDEX(Productos!$B:$B,$I2))</f>
        <v/>
      </c>
      <c r="E136" s="5">
        <f>IF($I2="","",INDEX(Productos!$H:$H,$I2))</f>
        <v/>
      </c>
      <c r="F136" s="5">
        <f>IF($I2="","",INDEX(Productos!$I:$I,$I2))</f>
        <v/>
      </c>
      <c r="G136" s="135" t="n">
        <v>-1</v>
      </c>
      <c r="H136" s="5">
        <f>IF($I2="","",INDEX(Productos!$AG:$AG,$I2))</f>
        <v/>
      </c>
      <c r="I136" s="136">
        <f>LET(_xlpm.r,Productos!$E$2:$E$370,_xlpm.m,IFERROR(_xlfn.XMATCH(C136,_xlpm.r),IFERROR(_xlfn.XMATCH(VALUE(C136),_xlpm.r),0)),IF(_xlpm.m=0,"",_xlpm.m+1))</f>
        <v/>
      </c>
      <c r="J136" s="137" t="inlineStr">
        <is>
          <t>NetSuite</t>
        </is>
      </c>
    </row>
    <row r="137">
      <c r="A137" s="5" t="inlineStr">
        <is>
          <t>CAPSLAB Warehouse</t>
        </is>
      </c>
      <c r="B137" s="5">
        <f>IF($I2="","",INDEX(Productos!$A:$A,$I2))</f>
        <v/>
      </c>
      <c r="C137" s="134" t="inlineStr">
        <is>
          <t>CL/LOO3/1/RIN1-UNI</t>
        </is>
      </c>
      <c r="D137" s="5">
        <f>IF($I2="","",INDEX(Productos!$B:$B,$I2))</f>
        <v/>
      </c>
      <c r="E137" s="5">
        <f>IF($I2="","",INDEX(Productos!$H:$H,$I2))</f>
        <v/>
      </c>
      <c r="F137" s="5">
        <f>IF($I2="","",INDEX(Productos!$I:$I,$I2))</f>
        <v/>
      </c>
      <c r="G137" s="135" t="n">
        <v>4</v>
      </c>
      <c r="H137" s="5">
        <f>IF($I2="","",INDEX(Productos!$AG:$AG,$I2))</f>
        <v/>
      </c>
      <c r="I137" s="136">
        <f>LET(_xlpm.r,Productos!$E$2:$E$370,_xlpm.m,IFERROR(_xlfn.XMATCH(C137,_xlpm.r),IFERROR(_xlfn.XMATCH(VALUE(C137),_xlpm.r),0)),IF(_xlpm.m=0,"",_xlpm.m+1))</f>
        <v/>
      </c>
      <c r="J137" s="137" t="inlineStr">
        <is>
          <t>NetSuite</t>
        </is>
      </c>
    </row>
    <row r="138">
      <c r="A138" s="5" t="inlineStr">
        <is>
          <t>CAPSLAB Warehouse</t>
        </is>
      </c>
      <c r="B138" s="5">
        <f>IF($I2="","",INDEX(Productos!$A:$A,$I2))</f>
        <v/>
      </c>
      <c r="C138" s="134" t="inlineStr">
        <is>
          <t>CL/LOO4/1/BUG1-UNI</t>
        </is>
      </c>
      <c r="D138" s="5">
        <f>IF($I2="","",INDEX(Productos!$B:$B,$I2))</f>
        <v/>
      </c>
      <c r="E138" s="5">
        <f>IF($I2="","",INDEX(Productos!$H:$H,$I2))</f>
        <v/>
      </c>
      <c r="F138" s="5">
        <f>IF($I2="","",INDEX(Productos!$I:$I,$I2))</f>
        <v/>
      </c>
      <c r="G138" s="135" t="n">
        <v>13</v>
      </c>
      <c r="H138" s="5">
        <f>IF($I2="","",INDEX(Productos!$AG:$AG,$I2))</f>
        <v/>
      </c>
      <c r="I138" s="136">
        <f>LET(_xlpm.r,Productos!$E$2:$E$370,_xlpm.m,IFERROR(_xlfn.XMATCH(C138,_xlpm.r),IFERROR(_xlfn.XMATCH(VALUE(C138),_xlpm.r),0)),IF(_xlpm.m=0,"",_xlpm.m+1))</f>
        <v/>
      </c>
      <c r="J138" s="137" t="inlineStr">
        <is>
          <t>NetSuite</t>
        </is>
      </c>
    </row>
    <row r="139">
      <c r="A139" s="5" t="inlineStr">
        <is>
          <t>CAPSLAB Warehouse</t>
        </is>
      </c>
      <c r="B139" s="5">
        <f>IF($I2="","",INDEX(Productos!$A:$A,$I2))</f>
        <v/>
      </c>
      <c r="C139" s="134" t="inlineStr">
        <is>
          <t>CL/LOO4/1/COY1-UNI</t>
        </is>
      </c>
      <c r="D139" s="5">
        <f>IF($I2="","",INDEX(Productos!$B:$B,$I2))</f>
        <v/>
      </c>
      <c r="E139" s="5">
        <f>IF($I2="","",INDEX(Productos!$H:$H,$I2))</f>
        <v/>
      </c>
      <c r="F139" s="5">
        <f>IF($I2="","",INDEX(Productos!$I:$I,$I2))</f>
        <v/>
      </c>
      <c r="G139" s="135" t="n">
        <v>6</v>
      </c>
      <c r="H139" s="5">
        <f>IF($I2="","",INDEX(Productos!$AG:$AG,$I2))</f>
        <v/>
      </c>
      <c r="I139" s="136">
        <f>LET(_xlpm.r,Productos!$E$2:$E$370,_xlpm.m,IFERROR(_xlfn.XMATCH(C139,_xlpm.r),IFERROR(_xlfn.XMATCH(VALUE(C139),_xlpm.r),0)),IF(_xlpm.m=0,"",_xlpm.m+1))</f>
        <v/>
      </c>
      <c r="J139" s="137" t="inlineStr">
        <is>
          <t>NetSuite</t>
        </is>
      </c>
    </row>
    <row r="140">
      <c r="A140" s="5" t="inlineStr">
        <is>
          <t>CAPSLAB Warehouse</t>
        </is>
      </c>
      <c r="B140" s="5">
        <f>IF($I2="","",INDEX(Productos!$A:$A,$I2))</f>
        <v/>
      </c>
      <c r="C140" s="134" t="inlineStr">
        <is>
          <t>CL/LOO4/1/DUF1-UNI</t>
        </is>
      </c>
      <c r="D140" s="5">
        <f>IF($I2="","",INDEX(Productos!$B:$B,$I2))</f>
        <v/>
      </c>
      <c r="E140" s="5">
        <f>IF($I2="","",INDEX(Productos!$H:$H,$I2))</f>
        <v/>
      </c>
      <c r="F140" s="5">
        <f>IF($I2="","",INDEX(Productos!$I:$I,$I2))</f>
        <v/>
      </c>
      <c r="G140" s="135" t="n">
        <v>6</v>
      </c>
      <c r="H140" s="5">
        <f>IF($I2="","",INDEX(Productos!$AG:$AG,$I2))</f>
        <v/>
      </c>
      <c r="I140" s="136">
        <f>LET(_xlpm.r,Productos!$E$2:$E$370,_xlpm.m,IFERROR(_xlfn.XMATCH(C140,_xlpm.r),IFERROR(_xlfn.XMATCH(VALUE(C140),_xlpm.r),0)),IF(_xlpm.m=0,"",_xlpm.m+1))</f>
        <v/>
      </c>
      <c r="J140" s="137" t="inlineStr">
        <is>
          <t>NetSuite</t>
        </is>
      </c>
    </row>
    <row r="141">
      <c r="A141" s="5" t="inlineStr">
        <is>
          <t>CAPSLAB Warehouse</t>
        </is>
      </c>
      <c r="B141" s="5">
        <f>IF($I2="","",INDEX(Productos!$A:$A,$I2))</f>
        <v/>
      </c>
      <c r="C141" s="134" t="inlineStr">
        <is>
          <t>CL/LOO5/1/TAZ2-UNI</t>
        </is>
      </c>
      <c r="D141" s="5">
        <f>IF($I2="","",INDEX(Productos!$B:$B,$I2))</f>
        <v/>
      </c>
      <c r="E141" s="5">
        <f>IF($I2="","",INDEX(Productos!$H:$H,$I2))</f>
        <v/>
      </c>
      <c r="F141" s="5">
        <f>IF($I2="","",INDEX(Productos!$I:$I,$I2))</f>
        <v/>
      </c>
      <c r="G141" s="135" t="n">
        <v>3</v>
      </c>
      <c r="H141" s="5">
        <f>IF($I2="","",INDEX(Productos!$AG:$AG,$I2))</f>
        <v/>
      </c>
      <c r="I141" s="136">
        <f>LET(_xlpm.r,Productos!$E$2:$E$370,_xlpm.m,IFERROR(_xlfn.XMATCH(C141,_xlpm.r),IFERROR(_xlfn.XMATCH(VALUE(C141),_xlpm.r),0)),IF(_xlpm.m=0,"",_xlpm.m+1))</f>
        <v/>
      </c>
      <c r="J141" s="137" t="inlineStr">
        <is>
          <t>NetSuite</t>
        </is>
      </c>
    </row>
    <row r="142">
      <c r="A142" s="5" t="inlineStr">
        <is>
          <t>CAPSLAB Warehouse</t>
        </is>
      </c>
      <c r="B142" s="5">
        <f>IF($I2="","",INDEX(Productos!$A:$A,$I2))</f>
        <v/>
      </c>
      <c r="C142" s="134" t="inlineStr">
        <is>
          <t>CL/LOO7/1/CAS/TA1-UNI</t>
        </is>
      </c>
      <c r="D142" s="5">
        <f>IF($I2="","",INDEX(Productos!$B:$B,$I2))</f>
        <v/>
      </c>
      <c r="E142" s="5">
        <f>IF($I2="","",INDEX(Productos!$H:$H,$I2))</f>
        <v/>
      </c>
      <c r="F142" s="5">
        <f>IF($I2="","",INDEX(Productos!$I:$I,$I2))</f>
        <v/>
      </c>
      <c r="G142" s="135" t="n">
        <v>8</v>
      </c>
      <c r="H142" s="5">
        <f>IF($I2="","",INDEX(Productos!$AG:$AG,$I2))</f>
        <v/>
      </c>
      <c r="I142" s="136">
        <f>LET(_xlpm.r,Productos!$E$2:$E$370,_xlpm.m,IFERROR(_xlfn.XMATCH(C142,_xlpm.r),IFERROR(_xlfn.XMATCH(VALUE(C142),_xlpm.r),0)),IF(_xlpm.m=0,"",_xlpm.m+1))</f>
        <v/>
      </c>
      <c r="J142" s="137" t="inlineStr">
        <is>
          <t>NetSuite</t>
        </is>
      </c>
    </row>
    <row r="143">
      <c r="A143" s="5" t="inlineStr">
        <is>
          <t>CAPSLAB Warehouse</t>
        </is>
      </c>
      <c r="B143" s="5">
        <f>IF($I2="","",INDEX(Productos!$A:$A,$I2))</f>
        <v/>
      </c>
      <c r="C143" s="134" t="inlineStr">
        <is>
          <t>CL/LOO7/1/CASF/WI3-UNI</t>
        </is>
      </c>
      <c r="D143" s="5">
        <f>IF($I2="","",INDEX(Productos!$B:$B,$I2))</f>
        <v/>
      </c>
      <c r="E143" s="5">
        <f>IF($I2="","",INDEX(Productos!$H:$H,$I2))</f>
        <v/>
      </c>
      <c r="F143" s="5">
        <f>IF($I2="","",INDEX(Productos!$I:$I,$I2))</f>
        <v/>
      </c>
      <c r="G143" s="135" t="n">
        <v>8</v>
      </c>
      <c r="H143" s="5">
        <f>IF($I2="","",INDEX(Productos!$AG:$AG,$I2))</f>
        <v/>
      </c>
      <c r="I143" s="136">
        <f>LET(_xlpm.r,Productos!$E$2:$E$370,_xlpm.m,IFERROR(_xlfn.XMATCH(C143,_xlpm.r),IFERROR(_xlfn.XMATCH(VALUE(C143),_xlpm.r),0)),IF(_xlpm.m=0,"",_xlpm.m+1))</f>
        <v/>
      </c>
      <c r="J143" s="137" t="inlineStr">
        <is>
          <t>NetSuite</t>
        </is>
      </c>
    </row>
    <row r="144">
      <c r="A144" s="5" t="inlineStr">
        <is>
          <t>CAPSLAB Warehouse</t>
        </is>
      </c>
      <c r="B144" s="5">
        <f>IF($I2="","",INDEX(Productos!$A:$A,$I2))</f>
        <v/>
      </c>
      <c r="C144" s="134" t="inlineStr">
        <is>
          <t>CL/LOO8/1/CD/DAF-UNI</t>
        </is>
      </c>
      <c r="D144" s="5">
        <f>IF($I2="","",INDEX(Productos!$B:$B,$I2))</f>
        <v/>
      </c>
      <c r="E144" s="5">
        <f>IF($I2="","",INDEX(Productos!$H:$H,$I2))</f>
        <v/>
      </c>
      <c r="F144" s="5">
        <f>IF($I2="","",INDEX(Productos!$I:$I,$I2))</f>
        <v/>
      </c>
      <c r="G144" s="135" t="n">
        <v>70</v>
      </c>
      <c r="H144" s="5">
        <f>IF($I2="","",INDEX(Productos!$AG:$AG,$I2))</f>
        <v/>
      </c>
      <c r="I144" s="136">
        <f>LET(_xlpm.r,Productos!$E$2:$E$370,_xlpm.m,IFERROR(_xlfn.XMATCH(C144,_xlpm.r),IFERROR(_xlfn.XMATCH(VALUE(C144),_xlpm.r),0)),IF(_xlpm.m=0,"",_xlpm.m+1))</f>
        <v/>
      </c>
      <c r="J144" s="137" t="inlineStr">
        <is>
          <t>NetSuite</t>
        </is>
      </c>
    </row>
    <row r="145">
      <c r="A145" s="5" t="inlineStr">
        <is>
          <t>CAPSLAB Warehouse</t>
        </is>
      </c>
      <c r="B145" s="5">
        <f>IF($I2="","",INDEX(Productos!$A:$A,$I2))</f>
        <v/>
      </c>
      <c r="C145" s="134" t="inlineStr">
        <is>
          <t>CL/LOO8/1/CF/BUG-UNI</t>
        </is>
      </c>
      <c r="D145" s="5">
        <f>IF($I2="","",INDEX(Productos!$B:$B,$I2))</f>
        <v/>
      </c>
      <c r="E145" s="5">
        <f>IF($I2="","",INDEX(Productos!$H:$H,$I2))</f>
        <v/>
      </c>
      <c r="F145" s="5">
        <f>IF($I2="","",INDEX(Productos!$I:$I,$I2))</f>
        <v/>
      </c>
      <c r="G145" s="135" t="n">
        <v>48</v>
      </c>
      <c r="H145" s="5">
        <f>IF($I2="","",INDEX(Productos!$AG:$AG,$I2))</f>
        <v/>
      </c>
      <c r="I145" s="136">
        <f>LET(_xlpm.r,Productos!$E$2:$E$370,_xlpm.m,IFERROR(_xlfn.XMATCH(C145,_xlpm.r),IFERROR(_xlfn.XMATCH(VALUE(C145),_xlpm.r),0)),IF(_xlpm.m=0,"",_xlpm.m+1))</f>
        <v/>
      </c>
      <c r="J145" s="137" t="inlineStr">
        <is>
          <t>NetSuite</t>
        </is>
      </c>
    </row>
    <row r="146">
      <c r="A146" s="5" t="inlineStr">
        <is>
          <t>CAPSLAB Warehouse</t>
        </is>
      </c>
      <c r="B146" s="5">
        <f>IF($I2="","",INDEX(Productos!$A:$A,$I2))</f>
        <v/>
      </c>
      <c r="C146" s="134" t="inlineStr">
        <is>
          <t>CL/LOO8/1/CT/BUG1-UNI</t>
        </is>
      </c>
      <c r="D146" s="5">
        <f>IF($I2="","",INDEX(Productos!$B:$B,$I2))</f>
        <v/>
      </c>
      <c r="E146" s="5">
        <f>IF($I2="","",INDEX(Productos!$H:$H,$I2))</f>
        <v/>
      </c>
      <c r="F146" s="5">
        <f>IF($I2="","",INDEX(Productos!$I:$I,$I2))</f>
        <v/>
      </c>
      <c r="G146" s="135" t="n">
        <v>97</v>
      </c>
      <c r="H146" s="5">
        <f>IF($I2="","",INDEX(Productos!$AG:$AG,$I2))</f>
        <v/>
      </c>
      <c r="I146" s="136">
        <f>LET(_xlpm.r,Productos!$E$2:$E$370,_xlpm.m,IFERROR(_xlfn.XMATCH(C146,_xlpm.r),IFERROR(_xlfn.XMATCH(VALUE(C146),_xlpm.r),0)),IF(_xlpm.m=0,"",_xlpm.m+1))</f>
        <v/>
      </c>
      <c r="J146" s="137" t="inlineStr">
        <is>
          <t>NetSuite</t>
        </is>
      </c>
    </row>
    <row r="147">
      <c r="A147" s="5" t="inlineStr">
        <is>
          <t>CAPSLAB Warehouse</t>
        </is>
      </c>
      <c r="B147" s="5">
        <f>IF($I2="","",INDEX(Productos!$A:$A,$I2))</f>
        <v/>
      </c>
      <c r="C147" s="134" t="inlineStr">
        <is>
          <t>CL/LOO8/1/CT/BUG2-UNI</t>
        </is>
      </c>
      <c r="D147" s="5">
        <f>IF($I2="","",INDEX(Productos!$B:$B,$I2))</f>
        <v/>
      </c>
      <c r="E147" s="5">
        <f>IF($I2="","",INDEX(Productos!$H:$H,$I2))</f>
        <v/>
      </c>
      <c r="F147" s="5">
        <f>IF($I2="","",INDEX(Productos!$I:$I,$I2))</f>
        <v/>
      </c>
      <c r="G147" s="135" t="n">
        <v>38</v>
      </c>
      <c r="H147" s="5">
        <f>IF($I2="","",INDEX(Productos!$AG:$AG,$I2))</f>
        <v/>
      </c>
      <c r="I147" s="136">
        <f>LET(_xlpm.r,Productos!$E$2:$E$370,_xlpm.m,IFERROR(_xlfn.XMATCH(C147,_xlpm.r),IFERROR(_xlfn.XMATCH(VALUE(C147),_xlpm.r),0)),IF(_xlpm.m=0,"",_xlpm.m+1))</f>
        <v/>
      </c>
      <c r="J147" s="137" t="inlineStr">
        <is>
          <t>NetSuite</t>
        </is>
      </c>
    </row>
    <row r="148">
      <c r="A148" s="5" t="inlineStr">
        <is>
          <t>CAPSLAB Warehouse</t>
        </is>
      </c>
      <c r="B148" s="5">
        <f>IF($I2="","",INDEX(Productos!$A:$A,$I2))</f>
        <v/>
      </c>
      <c r="C148" s="134" t="inlineStr">
        <is>
          <t>CL/LOO8/1/CT/BUG3-UNI</t>
        </is>
      </c>
      <c r="D148" s="5">
        <f>IF($I2="","",INDEX(Productos!$B:$B,$I2))</f>
        <v/>
      </c>
      <c r="E148" s="5">
        <f>IF($I2="","",INDEX(Productos!$H:$H,$I2))</f>
        <v/>
      </c>
      <c r="F148" s="5">
        <f>IF($I2="","",INDEX(Productos!$I:$I,$I2))</f>
        <v/>
      </c>
      <c r="G148" s="135" t="n">
        <v>114</v>
      </c>
      <c r="H148" s="5">
        <f>IF($I2="","",INDEX(Productos!$AG:$AG,$I2))</f>
        <v/>
      </c>
      <c r="I148" s="136">
        <f>LET(_xlpm.r,Productos!$E$2:$E$370,_xlpm.m,IFERROR(_xlfn.XMATCH(C148,_xlpm.r),IFERROR(_xlfn.XMATCH(VALUE(C148),_xlpm.r),0)),IF(_xlpm.m=0,"",_xlpm.m+1))</f>
        <v/>
      </c>
      <c r="J148" s="137" t="inlineStr">
        <is>
          <t>NetSuite</t>
        </is>
      </c>
    </row>
    <row r="149">
      <c r="A149" s="5" t="inlineStr">
        <is>
          <t>CAPSLAB Warehouse</t>
        </is>
      </c>
      <c r="B149" s="5">
        <f>IF($I2="","",INDEX(Productos!$A:$A,$I2))</f>
        <v/>
      </c>
      <c r="C149" s="134" t="inlineStr">
        <is>
          <t>CL/LOO8/1/CT/BUG4-UNI</t>
        </is>
      </c>
      <c r="D149" s="5">
        <f>IF($I2="","",INDEX(Productos!$B:$B,$I2))</f>
        <v/>
      </c>
      <c r="E149" s="5">
        <f>IF($I2="","",INDEX(Productos!$H:$H,$I2))</f>
        <v/>
      </c>
      <c r="F149" s="5">
        <f>IF($I2="","",INDEX(Productos!$I:$I,$I2))</f>
        <v/>
      </c>
      <c r="G149" s="135" t="n">
        <v>35</v>
      </c>
      <c r="H149" s="5">
        <f>IF($I2="","",INDEX(Productos!$AG:$AG,$I2))</f>
        <v/>
      </c>
      <c r="I149" s="136">
        <f>LET(_xlpm.r,Productos!$E$2:$E$370,_xlpm.m,IFERROR(_xlfn.XMATCH(C149,_xlpm.r),IFERROR(_xlfn.XMATCH(VALUE(C149),_xlpm.r),0)),IF(_xlpm.m=0,"",_xlpm.m+1))</f>
        <v/>
      </c>
      <c r="J149" s="137" t="inlineStr">
        <is>
          <t>NetSuite</t>
        </is>
      </c>
    </row>
    <row r="150">
      <c r="A150" s="5" t="inlineStr">
        <is>
          <t>CAPSLAB Warehouse</t>
        </is>
      </c>
      <c r="B150" s="5">
        <f>IF($I2="","",INDEX(Productos!$A:$A,$I2))</f>
        <v/>
      </c>
      <c r="C150" s="134" t="inlineStr">
        <is>
          <t>CL/LOO8/1/CT/BUG5-UNI</t>
        </is>
      </c>
      <c r="D150" s="5">
        <f>IF($I2="","",INDEX(Productos!$B:$B,$I2))</f>
        <v/>
      </c>
      <c r="E150" s="5">
        <f>IF($I2="","",INDEX(Productos!$H:$H,$I2))</f>
        <v/>
      </c>
      <c r="F150" s="5">
        <f>IF($I2="","",INDEX(Productos!$I:$I,$I2))</f>
        <v/>
      </c>
      <c r="G150" s="135" t="n">
        <v>20</v>
      </c>
      <c r="H150" s="5">
        <f>IF($I2="","",INDEX(Productos!$AG:$AG,$I2))</f>
        <v/>
      </c>
      <c r="I150" s="136">
        <f>LET(_xlpm.r,Productos!$E$2:$E$370,_xlpm.m,IFERROR(_xlfn.XMATCH(C150,_xlpm.r),IFERROR(_xlfn.XMATCH(VALUE(C150),_xlpm.r),0)),IF(_xlpm.m=0,"",_xlpm.m+1))</f>
        <v/>
      </c>
      <c r="J150" s="137" t="inlineStr">
        <is>
          <t>NetSuite</t>
        </is>
      </c>
    </row>
    <row r="151">
      <c r="A151" s="5" t="inlineStr">
        <is>
          <t>CAPSLAB Warehouse</t>
        </is>
      </c>
      <c r="B151" s="5">
        <f>IF($I2="","",INDEX(Productos!$A:$A,$I2))</f>
        <v/>
      </c>
      <c r="C151" s="134" t="inlineStr">
        <is>
          <t>CL/LOO8/1/CT/BUG6-UNI</t>
        </is>
      </c>
      <c r="D151" s="5">
        <f>IF($I2="","",INDEX(Productos!$B:$B,$I2))</f>
        <v/>
      </c>
      <c r="E151" s="5">
        <f>IF($I2="","",INDEX(Productos!$H:$H,$I2))</f>
        <v/>
      </c>
      <c r="F151" s="5">
        <f>IF($I2="","",INDEX(Productos!$I:$I,$I2))</f>
        <v/>
      </c>
      <c r="G151" s="135" t="n">
        <v>59</v>
      </c>
      <c r="H151" s="5">
        <f>IF($I2="","",INDEX(Productos!$AG:$AG,$I2))</f>
        <v/>
      </c>
      <c r="I151" s="136">
        <f>LET(_xlpm.r,Productos!$E$2:$E$370,_xlpm.m,IFERROR(_xlfn.XMATCH(C151,_xlpm.r),IFERROR(_xlfn.XMATCH(VALUE(C151),_xlpm.r),0)),IF(_xlpm.m=0,"",_xlpm.m+1))</f>
        <v/>
      </c>
      <c r="J151" s="137" t="inlineStr">
        <is>
          <t>NetSuite</t>
        </is>
      </c>
    </row>
    <row r="152">
      <c r="A152" s="5" t="inlineStr">
        <is>
          <t>CAPSLAB Warehouse</t>
        </is>
      </c>
      <c r="B152" s="5">
        <f>IF($I2="","",INDEX(Productos!$A:$A,$I2))</f>
        <v/>
      </c>
      <c r="C152" s="134" t="inlineStr">
        <is>
          <t>CL/LOO8/1/CT/BUG7-UNI</t>
        </is>
      </c>
      <c r="D152" s="5">
        <f>IF($I2="","",INDEX(Productos!$B:$B,$I2))</f>
        <v/>
      </c>
      <c r="E152" s="5">
        <f>IF($I2="","",INDEX(Productos!$H:$H,$I2))</f>
        <v/>
      </c>
      <c r="F152" s="5">
        <f>IF($I2="","",INDEX(Productos!$I:$I,$I2))</f>
        <v/>
      </c>
      <c r="G152" s="135" t="n">
        <v>23</v>
      </c>
      <c r="H152" s="5">
        <f>IF($I2="","",INDEX(Productos!$AG:$AG,$I2))</f>
        <v/>
      </c>
      <c r="I152" s="136">
        <f>LET(_xlpm.r,Productos!$E$2:$E$370,_xlpm.m,IFERROR(_xlfn.XMATCH(C152,_xlpm.r),IFERROR(_xlfn.XMATCH(VALUE(C152),_xlpm.r),0)),IF(_xlpm.m=0,"",_xlpm.m+1))</f>
        <v/>
      </c>
      <c r="J152" s="137" t="inlineStr">
        <is>
          <t>NetSuite</t>
        </is>
      </c>
    </row>
    <row r="153">
      <c r="A153" s="5" t="inlineStr">
        <is>
          <t>CAPSLAB Warehouse</t>
        </is>
      </c>
      <c r="B153" s="5">
        <f>IF($I2="","",INDEX(Productos!$A:$A,$I2))</f>
        <v/>
      </c>
      <c r="C153" s="134" t="inlineStr">
        <is>
          <t>CL/LOO8/1/CT/DAF1-UNI</t>
        </is>
      </c>
      <c r="D153" s="5">
        <f>IF($I2="","",INDEX(Productos!$B:$B,$I2))</f>
        <v/>
      </c>
      <c r="E153" s="5">
        <f>IF($I2="","",INDEX(Productos!$H:$H,$I2))</f>
        <v/>
      </c>
      <c r="F153" s="5">
        <f>IF($I2="","",INDEX(Productos!$I:$I,$I2))</f>
        <v/>
      </c>
      <c r="G153" s="135" t="n">
        <v>9</v>
      </c>
      <c r="H153" s="5">
        <f>IF($I2="","",INDEX(Productos!$AG:$AG,$I2))</f>
        <v/>
      </c>
      <c r="I153" s="136">
        <f>LET(_xlpm.r,Productos!$E$2:$E$370,_xlpm.m,IFERROR(_xlfn.XMATCH(C153,_xlpm.r),IFERROR(_xlfn.XMATCH(VALUE(C153),_xlpm.r),0)),IF(_xlpm.m=0,"",_xlpm.m+1))</f>
        <v/>
      </c>
      <c r="J153" s="137" t="inlineStr">
        <is>
          <t>NetSuite</t>
        </is>
      </c>
    </row>
    <row r="154">
      <c r="A154" s="5" t="inlineStr">
        <is>
          <t>CAPSLAB Warehouse</t>
        </is>
      </c>
      <c r="B154" s="5">
        <f>IF($I2="","",INDEX(Productos!$A:$A,$I2))</f>
        <v/>
      </c>
      <c r="C154" s="134" t="inlineStr">
        <is>
          <t>CL/LOO8/1/CT/DAF2-UNI</t>
        </is>
      </c>
      <c r="D154" s="5">
        <f>IF($I2="","",INDEX(Productos!$B:$B,$I2))</f>
        <v/>
      </c>
      <c r="E154" s="5">
        <f>IF($I2="","",INDEX(Productos!$H:$H,$I2))</f>
        <v/>
      </c>
      <c r="F154" s="5">
        <f>IF($I2="","",INDEX(Productos!$I:$I,$I2))</f>
        <v/>
      </c>
      <c r="G154" s="135" t="n">
        <v>27</v>
      </c>
      <c r="H154" s="5">
        <f>IF($I2="","",INDEX(Productos!$AG:$AG,$I2))</f>
        <v/>
      </c>
      <c r="I154" s="136">
        <f>LET(_xlpm.r,Productos!$E$2:$E$370,_xlpm.m,IFERROR(_xlfn.XMATCH(C154,_xlpm.r),IFERROR(_xlfn.XMATCH(VALUE(C154),_xlpm.r),0)),IF(_xlpm.m=0,"",_xlpm.m+1))</f>
        <v/>
      </c>
      <c r="J154" s="137" t="inlineStr">
        <is>
          <t>NetSuite</t>
        </is>
      </c>
    </row>
    <row r="155">
      <c r="A155" s="5" t="inlineStr">
        <is>
          <t>CAPSLAB Warehouse</t>
        </is>
      </c>
      <c r="B155" s="5">
        <f>IF($I2="","",INDEX(Productos!$A:$A,$I2))</f>
        <v/>
      </c>
      <c r="C155" s="134" t="inlineStr">
        <is>
          <t>CL/LOO8/1/CT/DAF3-UNI</t>
        </is>
      </c>
      <c r="D155" s="5">
        <f>IF($I2="","",INDEX(Productos!$B:$B,$I2))</f>
        <v/>
      </c>
      <c r="E155" s="5">
        <f>IF($I2="","",INDEX(Productos!$H:$H,$I2))</f>
        <v/>
      </c>
      <c r="F155" s="5">
        <f>IF($I2="","",INDEX(Productos!$I:$I,$I2))</f>
        <v/>
      </c>
      <c r="G155" s="135" t="n">
        <v>23</v>
      </c>
      <c r="H155" s="5">
        <f>IF($I2="","",INDEX(Productos!$AG:$AG,$I2))</f>
        <v/>
      </c>
      <c r="I155" s="136">
        <f>LET(_xlpm.r,Productos!$E$2:$E$370,_xlpm.m,IFERROR(_xlfn.XMATCH(C155,_xlpm.r),IFERROR(_xlfn.XMATCH(VALUE(C155),_xlpm.r),0)),IF(_xlpm.m=0,"",_xlpm.m+1))</f>
        <v/>
      </c>
      <c r="J155" s="137" t="inlineStr">
        <is>
          <t>NetSuite</t>
        </is>
      </c>
    </row>
    <row r="156">
      <c r="A156" s="5" t="inlineStr">
        <is>
          <t>CAPSLAB Warehouse</t>
        </is>
      </c>
      <c r="B156" s="5">
        <f>IF($I2="","",INDEX(Productos!$A:$A,$I2))</f>
        <v/>
      </c>
      <c r="C156" s="134" t="inlineStr">
        <is>
          <t>CL/LOO8/1/CT/DAF4-UNI</t>
        </is>
      </c>
      <c r="D156" s="5">
        <f>IF($I2="","",INDEX(Productos!$B:$B,$I2))</f>
        <v/>
      </c>
      <c r="E156" s="5">
        <f>IF($I2="","",INDEX(Productos!$H:$H,$I2))</f>
        <v/>
      </c>
      <c r="F156" s="5">
        <f>IF($I2="","",INDEX(Productos!$I:$I,$I2))</f>
        <v/>
      </c>
      <c r="G156" s="135" t="n">
        <v>23</v>
      </c>
      <c r="H156" s="5">
        <f>IF($I2="","",INDEX(Productos!$AG:$AG,$I2))</f>
        <v/>
      </c>
      <c r="I156" s="136">
        <f>LET(_xlpm.r,Productos!$E$2:$E$370,_xlpm.m,IFERROR(_xlfn.XMATCH(C156,_xlpm.r),IFERROR(_xlfn.XMATCH(VALUE(C156),_xlpm.r),0)),IF(_xlpm.m=0,"",_xlpm.m+1))</f>
        <v/>
      </c>
      <c r="J156" s="137" t="inlineStr">
        <is>
          <t>NetSuite</t>
        </is>
      </c>
    </row>
    <row r="157">
      <c r="A157" s="5" t="inlineStr">
        <is>
          <t>CAPSLAB Warehouse</t>
        </is>
      </c>
      <c r="B157" s="5">
        <f>IF($I2="","",INDEX(Productos!$A:$A,$I2))</f>
        <v/>
      </c>
      <c r="C157" s="134" t="inlineStr">
        <is>
          <t>CL/LOO8/1/CT/SPE1-UNI</t>
        </is>
      </c>
      <c r="D157" s="5">
        <f>IF($I2="","",INDEX(Productos!$B:$B,$I2))</f>
        <v/>
      </c>
      <c r="E157" s="5">
        <f>IF($I2="","",INDEX(Productos!$H:$H,$I2))</f>
        <v/>
      </c>
      <c r="F157" s="5">
        <f>IF($I2="","",INDEX(Productos!$I:$I,$I2))</f>
        <v/>
      </c>
      <c r="G157" s="135" t="n">
        <v>17</v>
      </c>
      <c r="H157" s="5">
        <f>IF($I2="","",INDEX(Productos!$AG:$AG,$I2))</f>
        <v/>
      </c>
      <c r="I157" s="136">
        <f>LET(_xlpm.r,Productos!$E$2:$E$370,_xlpm.m,IFERROR(_xlfn.XMATCH(C157,_xlpm.r),IFERROR(_xlfn.XMATCH(VALUE(C157),_xlpm.r),0)),IF(_xlpm.m=0,"",_xlpm.m+1))</f>
        <v/>
      </c>
      <c r="J157" s="137" t="inlineStr">
        <is>
          <t>NetSuite</t>
        </is>
      </c>
    </row>
    <row r="158">
      <c r="A158" s="5" t="inlineStr">
        <is>
          <t>CAPSLAB Warehouse</t>
        </is>
      </c>
      <c r="B158" s="5">
        <f>IF($I2="","",INDEX(Productos!$A:$A,$I2))</f>
        <v/>
      </c>
      <c r="C158" s="134" t="inlineStr">
        <is>
          <t>CL/LOO8/1/CT/TAZ1-UNI</t>
        </is>
      </c>
      <c r="D158" s="5">
        <f>IF($I2="","",INDEX(Productos!$B:$B,$I2))</f>
        <v/>
      </c>
      <c r="E158" s="5">
        <f>IF($I2="","",INDEX(Productos!$H:$H,$I2))</f>
        <v/>
      </c>
      <c r="F158" s="5">
        <f>IF($I2="","",INDEX(Productos!$I:$I,$I2))</f>
        <v/>
      </c>
      <c r="G158" s="135" t="n">
        <v>61</v>
      </c>
      <c r="H158" s="5">
        <f>IF($I2="","",INDEX(Productos!$AG:$AG,$I2))</f>
        <v/>
      </c>
      <c r="I158" s="136">
        <f>LET(_xlpm.r,Productos!$E$2:$E$370,_xlpm.m,IFERROR(_xlfn.XMATCH(C158,_xlpm.r),IFERROR(_xlfn.XMATCH(VALUE(C158),_xlpm.r),0)),IF(_xlpm.m=0,"",_xlpm.m+1))</f>
        <v/>
      </c>
      <c r="J158" s="137" t="inlineStr">
        <is>
          <t>NetSuite</t>
        </is>
      </c>
    </row>
    <row r="159">
      <c r="A159" s="5" t="inlineStr">
        <is>
          <t>CAPSLAB Warehouse</t>
        </is>
      </c>
      <c r="B159" s="5">
        <f>IF($I2="","",INDEX(Productos!$A:$A,$I2))</f>
        <v/>
      </c>
      <c r="C159" s="134" t="inlineStr">
        <is>
          <t>CL/LOO8/1/CT/TAZ2-UNI</t>
        </is>
      </c>
      <c r="D159" s="5">
        <f>IF($I2="","",INDEX(Productos!$B:$B,$I2))</f>
        <v/>
      </c>
      <c r="E159" s="5">
        <f>IF($I2="","",INDEX(Productos!$H:$H,$I2))</f>
        <v/>
      </c>
      <c r="F159" s="5">
        <f>IF($I2="","",INDEX(Productos!$I:$I,$I2))</f>
        <v/>
      </c>
      <c r="G159" s="135" t="n">
        <v>21</v>
      </c>
      <c r="H159" s="5">
        <f>IF($I2="","",INDEX(Productos!$AG:$AG,$I2))</f>
        <v/>
      </c>
      <c r="I159" s="136">
        <f>LET(_xlpm.r,Productos!$E$2:$E$370,_xlpm.m,IFERROR(_xlfn.XMATCH(C159,_xlpm.r),IFERROR(_xlfn.XMATCH(VALUE(C159),_xlpm.r),0)),IF(_xlpm.m=0,"",_xlpm.m+1))</f>
        <v/>
      </c>
      <c r="J159" s="137" t="inlineStr">
        <is>
          <t>NetSuite</t>
        </is>
      </c>
    </row>
    <row r="160">
      <c r="A160" s="5" t="inlineStr">
        <is>
          <t>CAPSLAB Warehouse</t>
        </is>
      </c>
      <c r="B160" s="5">
        <f>IF($I2="","",INDEX(Productos!$A:$A,$I2))</f>
        <v/>
      </c>
      <c r="C160" s="134" t="inlineStr">
        <is>
          <t>CL/LOO8/1/CT/TAZ3-UNI</t>
        </is>
      </c>
      <c r="D160" s="5">
        <f>IF($I2="","",INDEX(Productos!$B:$B,$I2))</f>
        <v/>
      </c>
      <c r="E160" s="5">
        <f>IF($I2="","",INDEX(Productos!$H:$H,$I2))</f>
        <v/>
      </c>
      <c r="F160" s="5">
        <f>IF($I2="","",INDEX(Productos!$I:$I,$I2))</f>
        <v/>
      </c>
      <c r="G160" s="135" t="n">
        <v>64</v>
      </c>
      <c r="H160" s="5">
        <f>IF($I2="","",INDEX(Productos!$AG:$AG,$I2))</f>
        <v/>
      </c>
      <c r="I160" s="136">
        <f>LET(_xlpm.r,Productos!$E$2:$E$370,_xlpm.m,IFERROR(_xlfn.XMATCH(C160,_xlpm.r),IFERROR(_xlfn.XMATCH(VALUE(C160),_xlpm.r),0)),IF(_xlpm.m=0,"",_xlpm.m+1))</f>
        <v/>
      </c>
      <c r="J160" s="137" t="inlineStr">
        <is>
          <t>NetSuite</t>
        </is>
      </c>
    </row>
    <row r="161">
      <c r="A161" s="5" t="inlineStr">
        <is>
          <t>CAPSLAB Warehouse</t>
        </is>
      </c>
      <c r="B161" s="5">
        <f>IF($I2="","",INDEX(Productos!$A:$A,$I2))</f>
        <v/>
      </c>
      <c r="C161" s="134" t="inlineStr">
        <is>
          <t>CL/LOO8/1/CT/TAZ4-UNI</t>
        </is>
      </c>
      <c r="D161" s="5">
        <f>IF($I2="","",INDEX(Productos!$B:$B,$I2))</f>
        <v/>
      </c>
      <c r="E161" s="5">
        <f>IF($I2="","",INDEX(Productos!$H:$H,$I2))</f>
        <v/>
      </c>
      <c r="F161" s="5">
        <f>IF($I2="","",INDEX(Productos!$I:$I,$I2))</f>
        <v/>
      </c>
      <c r="G161" s="135" t="n">
        <v>24</v>
      </c>
      <c r="H161" s="5">
        <f>IF($I2="","",INDEX(Productos!$AG:$AG,$I2))</f>
        <v/>
      </c>
      <c r="I161" s="136">
        <f>LET(_xlpm.r,Productos!$E$2:$E$370,_xlpm.m,IFERROR(_xlfn.XMATCH(C161,_xlpm.r),IFERROR(_xlfn.XMATCH(VALUE(C161),_xlpm.r),0)),IF(_xlpm.m=0,"",_xlpm.m+1))</f>
        <v/>
      </c>
      <c r="J161" s="137" t="inlineStr">
        <is>
          <t>NetSuite</t>
        </is>
      </c>
    </row>
    <row r="162">
      <c r="A162" s="5" t="inlineStr">
        <is>
          <t>CAPSLAB Warehouse</t>
        </is>
      </c>
      <c r="B162" s="5">
        <f>IF($I2="","",INDEX(Productos!$A:$A,$I2))</f>
        <v/>
      </c>
      <c r="C162" s="134" t="inlineStr">
        <is>
          <t>CL/MAR3/1/HUL1-UNI</t>
        </is>
      </c>
      <c r="D162" s="5">
        <f>IF($I2="","",INDEX(Productos!$B:$B,$I2))</f>
        <v/>
      </c>
      <c r="E162" s="5">
        <f>IF($I2="","",INDEX(Productos!$H:$H,$I2))</f>
        <v/>
      </c>
      <c r="F162" s="5">
        <f>IF($I2="","",INDEX(Productos!$I:$I,$I2))</f>
        <v/>
      </c>
      <c r="G162" s="135" t="n">
        <v>38</v>
      </c>
      <c r="H162" s="5">
        <f>IF($I2="","",INDEX(Productos!$AG:$AG,$I2))</f>
        <v/>
      </c>
      <c r="I162" s="136">
        <f>LET(_xlpm.r,Productos!$E$2:$E$370,_xlpm.m,IFERROR(_xlfn.XMATCH(C162,_xlpm.r),IFERROR(_xlfn.XMATCH(VALUE(C162),_xlpm.r),0)),IF(_xlpm.m=0,"",_xlpm.m+1))</f>
        <v/>
      </c>
      <c r="J162" s="137" t="inlineStr">
        <is>
          <t>NetSuite</t>
        </is>
      </c>
    </row>
    <row r="163">
      <c r="A163" s="5" t="inlineStr">
        <is>
          <t>CAPSLAB Warehouse</t>
        </is>
      </c>
      <c r="B163" s="5">
        <f>IF($I2="","",INDEX(Productos!$A:$A,$I2))</f>
        <v/>
      </c>
      <c r="C163" s="134" t="inlineStr">
        <is>
          <t>CL/MAR3/1/HUL2-UNI</t>
        </is>
      </c>
      <c r="D163" s="5">
        <f>IF($I2="","",INDEX(Productos!$B:$B,$I2))</f>
        <v/>
      </c>
      <c r="E163" s="5">
        <f>IF($I2="","",INDEX(Productos!$H:$H,$I2))</f>
        <v/>
      </c>
      <c r="F163" s="5">
        <f>IF($I2="","",INDEX(Productos!$I:$I,$I2))</f>
        <v/>
      </c>
      <c r="G163" s="135" t="n">
        <v>1</v>
      </c>
      <c r="H163" s="5">
        <f>IF($I2="","",INDEX(Productos!$AG:$AG,$I2))</f>
        <v/>
      </c>
      <c r="I163" s="136">
        <f>LET(_xlpm.r,Productos!$E$2:$E$370,_xlpm.m,IFERROR(_xlfn.XMATCH(C163,_xlpm.r),IFERROR(_xlfn.XMATCH(VALUE(C163),_xlpm.r),0)),IF(_xlpm.m=0,"",_xlpm.m+1))</f>
        <v/>
      </c>
      <c r="J163" s="137" t="inlineStr">
        <is>
          <t>NetSuite</t>
        </is>
      </c>
    </row>
    <row r="164">
      <c r="A164" s="5" t="inlineStr">
        <is>
          <t>CAPSLAB Warehouse</t>
        </is>
      </c>
      <c r="B164" s="5">
        <f>IF($I2="","",INDEX(Productos!$A:$A,$I2))</f>
        <v/>
      </c>
      <c r="C164" s="134" t="inlineStr">
        <is>
          <t>CL/MAR6/1/CD/DEA-UNI</t>
        </is>
      </c>
      <c r="D164" s="5">
        <f>IF($I2="","",INDEX(Productos!$B:$B,$I2))</f>
        <v/>
      </c>
      <c r="E164" s="5">
        <f>IF($I2="","",INDEX(Productos!$H:$H,$I2))</f>
        <v/>
      </c>
      <c r="F164" s="5">
        <f>IF($I2="","",INDEX(Productos!$I:$I,$I2))</f>
        <v/>
      </c>
      <c r="G164" s="135" t="n">
        <v>29</v>
      </c>
      <c r="H164" s="5">
        <f>IF($I2="","",INDEX(Productos!$AG:$AG,$I2))</f>
        <v/>
      </c>
      <c r="I164" s="136">
        <f>LET(_xlpm.r,Productos!$E$2:$E$370,_xlpm.m,IFERROR(_xlfn.XMATCH(C164,_xlpm.r),IFERROR(_xlfn.XMATCH(VALUE(C164),_xlpm.r),0)),IF(_xlpm.m=0,"",_xlpm.m+1))</f>
        <v/>
      </c>
      <c r="J164" s="137" t="inlineStr">
        <is>
          <t>NetSuite</t>
        </is>
      </c>
    </row>
    <row r="165">
      <c r="A165" s="5" t="inlineStr">
        <is>
          <t>CAPSLAB Warehouse</t>
        </is>
      </c>
      <c r="B165" s="5">
        <f>IF($I2="","",INDEX(Productos!$A:$A,$I2))</f>
        <v/>
      </c>
      <c r="C165" s="134" t="inlineStr">
        <is>
          <t>CL/MAR6/1/CF/DUO-UNI</t>
        </is>
      </c>
      <c r="D165" s="5">
        <f>IF($I2="","",INDEX(Productos!$B:$B,$I2))</f>
        <v/>
      </c>
      <c r="E165" s="5">
        <f>IF($I2="","",INDEX(Productos!$H:$H,$I2))</f>
        <v/>
      </c>
      <c r="F165" s="5">
        <f>IF($I2="","",INDEX(Productos!$I:$I,$I2))</f>
        <v/>
      </c>
      <c r="G165" s="135" t="n">
        <v>45</v>
      </c>
      <c r="H165" s="5">
        <f>IF($I2="","",INDEX(Productos!$AG:$AG,$I2))</f>
        <v/>
      </c>
      <c r="I165" s="136">
        <f>LET(_xlpm.r,Productos!$E$2:$E$370,_xlpm.m,IFERROR(_xlfn.XMATCH(C165,_xlpm.r),IFERROR(_xlfn.XMATCH(VALUE(C165),_xlpm.r),0)),IF(_xlpm.m=0,"",_xlpm.m+1))</f>
        <v/>
      </c>
      <c r="J165" s="137" t="inlineStr">
        <is>
          <t>NetSuite</t>
        </is>
      </c>
    </row>
    <row r="166">
      <c r="A166" s="5" t="inlineStr">
        <is>
          <t>CAPSLAB Warehouse</t>
        </is>
      </c>
      <c r="B166" s="5">
        <f>IF($I2="","",INDEX(Productos!$A:$A,$I2))</f>
        <v/>
      </c>
      <c r="C166" s="134" t="inlineStr">
        <is>
          <t>CL/MAR6/1/CT/BAD1-UNI</t>
        </is>
      </c>
      <c r="D166" s="5">
        <f>IF($I2="","",INDEX(Productos!$B:$B,$I2))</f>
        <v/>
      </c>
      <c r="E166" s="5">
        <f>IF($I2="","",INDEX(Productos!$H:$H,$I2))</f>
        <v/>
      </c>
      <c r="F166" s="5">
        <f>IF($I2="","",INDEX(Productos!$I:$I,$I2))</f>
        <v/>
      </c>
      <c r="G166" s="135" t="n">
        <v>17</v>
      </c>
      <c r="H166" s="5">
        <f>IF($I2="","",INDEX(Productos!$AG:$AG,$I2))</f>
        <v/>
      </c>
      <c r="I166" s="136">
        <f>LET(_xlpm.r,Productos!$E$2:$E$370,_xlpm.m,IFERROR(_xlfn.XMATCH(C166,_xlpm.r),IFERROR(_xlfn.XMATCH(VALUE(C166),_xlpm.r),0)),IF(_xlpm.m=0,"",_xlpm.m+1))</f>
        <v/>
      </c>
      <c r="J166" s="137" t="inlineStr">
        <is>
          <t>NetSuite</t>
        </is>
      </c>
    </row>
    <row r="167">
      <c r="A167" s="5" t="inlineStr">
        <is>
          <t>CAPSLAB Warehouse</t>
        </is>
      </c>
      <c r="B167" s="5">
        <f>IF($I2="","",INDEX(Productos!$A:$A,$I2))</f>
        <v/>
      </c>
      <c r="C167" s="134" t="inlineStr">
        <is>
          <t>CL/MAR6/1/CT/GRO1-UNI</t>
        </is>
      </c>
      <c r="D167" s="5">
        <f>IF($I2="","",INDEX(Productos!$B:$B,$I2))</f>
        <v/>
      </c>
      <c r="E167" s="5">
        <f>IF($I2="","",INDEX(Productos!$H:$H,$I2))</f>
        <v/>
      </c>
      <c r="F167" s="5">
        <f>IF($I2="","",INDEX(Productos!$I:$I,$I2))</f>
        <v/>
      </c>
      <c r="G167" s="135" t="n">
        <v>51</v>
      </c>
      <c r="H167" s="5">
        <f>IF($I2="","",INDEX(Productos!$AG:$AG,$I2))</f>
        <v/>
      </c>
      <c r="I167" s="136">
        <f>LET(_xlpm.r,Productos!$E$2:$E$370,_xlpm.m,IFERROR(_xlfn.XMATCH(C167,_xlpm.r),IFERROR(_xlfn.XMATCH(VALUE(C167),_xlpm.r),0)),IF(_xlpm.m=0,"",_xlpm.m+1))</f>
        <v/>
      </c>
      <c r="J167" s="137" t="inlineStr">
        <is>
          <t>NetSuite</t>
        </is>
      </c>
    </row>
    <row r="168">
      <c r="A168" s="5" t="inlineStr">
        <is>
          <t>CAPSLAB Warehouse</t>
        </is>
      </c>
      <c r="B168" s="5">
        <f>IF($I2="","",INDEX(Productos!$A:$A,$I2))</f>
        <v/>
      </c>
      <c r="C168" s="134" t="inlineStr">
        <is>
          <t>CL/MAR6/1/CT/LOG1-UNI</t>
        </is>
      </c>
      <c r="D168" s="5">
        <f>IF($I2="","",INDEX(Productos!$B:$B,$I2))</f>
        <v/>
      </c>
      <c r="E168" s="5">
        <f>IF($I2="","",INDEX(Productos!$H:$H,$I2))</f>
        <v/>
      </c>
      <c r="F168" s="5">
        <f>IF($I2="","",INDEX(Productos!$I:$I,$I2))</f>
        <v/>
      </c>
      <c r="G168" s="135" t="n">
        <v>20</v>
      </c>
      <c r="H168" s="5">
        <f>IF($I2="","",INDEX(Productos!$AG:$AG,$I2))</f>
        <v/>
      </c>
      <c r="I168" s="136">
        <f>LET(_xlpm.r,Productos!$E$2:$E$370,_xlpm.m,IFERROR(_xlfn.XMATCH(C168,_xlpm.r),IFERROR(_xlfn.XMATCH(VALUE(C168),_xlpm.r),0)),IF(_xlpm.m=0,"",_xlpm.m+1))</f>
        <v/>
      </c>
      <c r="J168" s="137" t="inlineStr">
        <is>
          <t>NetSuite</t>
        </is>
      </c>
    </row>
    <row r="169">
      <c r="A169" s="5" t="inlineStr">
        <is>
          <t>CAPSLAB Warehouse</t>
        </is>
      </c>
      <c r="B169" s="5">
        <f>IF($I2="","",INDEX(Productos!$A:$A,$I2))</f>
        <v/>
      </c>
      <c r="C169" s="134" t="inlineStr">
        <is>
          <t>CL/MAR6/1/CT/THO-UNI</t>
        </is>
      </c>
      <c r="D169" s="5">
        <f>IF($I2="","",INDEX(Productos!$B:$B,$I2))</f>
        <v/>
      </c>
      <c r="E169" s="5">
        <f>IF($I2="","",INDEX(Productos!$H:$H,$I2))</f>
        <v/>
      </c>
      <c r="F169" s="5">
        <f>IF($I2="","",INDEX(Productos!$I:$I,$I2))</f>
        <v/>
      </c>
      <c r="G169" s="135" t="n">
        <v>51</v>
      </c>
      <c r="H169" s="5">
        <f>IF($I2="","",INDEX(Productos!$AG:$AG,$I2))</f>
        <v/>
      </c>
      <c r="I169" s="136">
        <f>LET(_xlpm.r,Productos!$E$2:$E$370,_xlpm.m,IFERROR(_xlfn.XMATCH(C169,_xlpm.r),IFERROR(_xlfn.XMATCH(VALUE(C169),_xlpm.r),0)),IF(_xlpm.m=0,"",_xlpm.m+1))</f>
        <v/>
      </c>
      <c r="J169" s="137" t="inlineStr">
        <is>
          <t>NetSuite</t>
        </is>
      </c>
    </row>
    <row r="170">
      <c r="A170" s="5" t="inlineStr">
        <is>
          <t>CAPSLAB Warehouse</t>
        </is>
      </c>
      <c r="B170" s="5">
        <f>IF($I2="","",INDEX(Productos!$A:$A,$I2))</f>
        <v/>
      </c>
      <c r="C170" s="134" t="inlineStr">
        <is>
          <t>CL/MAR6/3/CT/BAD1-UNIJR</t>
        </is>
      </c>
      <c r="D170" s="5">
        <f>IF($I2="","",INDEX(Productos!$B:$B,$I2))</f>
        <v/>
      </c>
      <c r="E170" s="5">
        <f>IF($I2="","",INDEX(Productos!$H:$H,$I2))</f>
        <v/>
      </c>
      <c r="F170" s="5">
        <f>IF($I2="","",INDEX(Productos!$I:$I,$I2))</f>
        <v/>
      </c>
      <c r="G170" s="135" t="n">
        <v>47</v>
      </c>
      <c r="H170" s="5">
        <f>IF($I2="","",INDEX(Productos!$AG:$AG,$I2))</f>
        <v/>
      </c>
      <c r="I170" s="136">
        <f>LET(_xlpm.r,Productos!$E$2:$E$370,_xlpm.m,IFERROR(_xlfn.XMATCH(C170,_xlpm.r),IFERROR(_xlfn.XMATCH(VALUE(C170),_xlpm.r),0)),IF(_xlpm.m=0,"",_xlpm.m+1))</f>
        <v/>
      </c>
      <c r="J170" s="137" t="inlineStr">
        <is>
          <t>NetSuite</t>
        </is>
      </c>
    </row>
    <row r="171">
      <c r="A171" s="5" t="inlineStr">
        <is>
          <t>CAPSLAB Warehouse</t>
        </is>
      </c>
      <c r="B171" s="5">
        <f>IF($I2="","",INDEX(Productos!$A:$A,$I2))</f>
        <v/>
      </c>
      <c r="C171" s="134" t="inlineStr">
        <is>
          <t>CL/NASA/1/NAS4-UNI</t>
        </is>
      </c>
      <c r="D171" s="5">
        <f>IF($I2="","",INDEX(Productos!$B:$B,$I2))</f>
        <v/>
      </c>
      <c r="E171" s="5">
        <f>IF($I2="","",INDEX(Productos!$H:$H,$I2))</f>
        <v/>
      </c>
      <c r="F171" s="5">
        <f>IF($I2="","",INDEX(Productos!$I:$I,$I2))</f>
        <v/>
      </c>
      <c r="G171" s="135" t="n">
        <v>2</v>
      </c>
      <c r="H171" s="5">
        <f>IF($I2="","",INDEX(Productos!$AG:$AG,$I2))</f>
        <v/>
      </c>
      <c r="I171" s="136">
        <f>LET(_xlpm.r,Productos!$E$2:$E$370,_xlpm.m,IFERROR(_xlfn.XMATCH(C171,_xlpm.r),IFERROR(_xlfn.XMATCH(VALUE(C171),_xlpm.r),0)),IF(_xlpm.m=0,"",_xlpm.m+1))</f>
        <v/>
      </c>
      <c r="J171" s="137" t="inlineStr">
        <is>
          <t>NetSuite</t>
        </is>
      </c>
    </row>
    <row r="172">
      <c r="A172" s="5" t="inlineStr">
        <is>
          <t>CAPSLAB Warehouse</t>
        </is>
      </c>
      <c r="B172" s="5">
        <f>IF($I2="","",INDEX(Productos!$A:$A,$I2))</f>
        <v/>
      </c>
      <c r="C172" s="134" t="inlineStr">
        <is>
          <t>CL/NASA/1/TAG/GLI-UNI</t>
        </is>
      </c>
      <c r="D172" s="5">
        <f>IF($I2="","",INDEX(Productos!$B:$B,$I2))</f>
        <v/>
      </c>
      <c r="E172" s="5">
        <f>IF($I2="","",INDEX(Productos!$H:$H,$I2))</f>
        <v/>
      </c>
      <c r="F172" s="5">
        <f>IF($I2="","",INDEX(Productos!$I:$I,$I2))</f>
        <v/>
      </c>
      <c r="G172" s="135" t="n">
        <v>9</v>
      </c>
      <c r="H172" s="5">
        <f>IF($I2="","",INDEX(Productos!$AG:$AG,$I2))</f>
        <v/>
      </c>
      <c r="I172" s="136">
        <f>LET(_xlpm.r,Productos!$E$2:$E$370,_xlpm.m,IFERROR(_xlfn.XMATCH(C172,_xlpm.r),IFERROR(_xlfn.XMATCH(VALUE(C172),_xlpm.r),0)),IF(_xlpm.m=0,"",_xlpm.m+1))</f>
        <v/>
      </c>
      <c r="J172" s="137" t="inlineStr">
        <is>
          <t>NetSuite</t>
        </is>
      </c>
    </row>
    <row r="173">
      <c r="A173" s="5" t="inlineStr">
        <is>
          <t>CAPSLAB Warehouse</t>
        </is>
      </c>
      <c r="B173" s="5">
        <f>IF($I2="","",INDEX(Productos!$A:$A,$I2))</f>
        <v/>
      </c>
      <c r="C173" s="134" t="inlineStr">
        <is>
          <t>CL/NASA/1/US1-UNI</t>
        </is>
      </c>
      <c r="D173" s="5">
        <f>IF($I2="","",INDEX(Productos!$B:$B,$I2))</f>
        <v/>
      </c>
      <c r="E173" s="5">
        <f>IF($I2="","",INDEX(Productos!$H:$H,$I2))</f>
        <v/>
      </c>
      <c r="F173" s="5">
        <f>IF($I2="","",INDEX(Productos!$I:$I,$I2))</f>
        <v/>
      </c>
      <c r="G173" s="135" t="n">
        <v>5</v>
      </c>
      <c r="H173" s="5">
        <f>IF($I2="","",INDEX(Productos!$AG:$AG,$I2))</f>
        <v/>
      </c>
      <c r="I173" s="136">
        <f>LET(_xlpm.r,Productos!$E$2:$E$370,_xlpm.m,IFERROR(_xlfn.XMATCH(C173,_xlpm.r),IFERROR(_xlfn.XMATCH(VALUE(C173),_xlpm.r),0)),IF(_xlpm.m=0,"",_xlpm.m+1))</f>
        <v/>
      </c>
      <c r="J173" s="137" t="inlineStr">
        <is>
          <t>NetSuite</t>
        </is>
      </c>
    </row>
    <row r="174">
      <c r="A174" s="5" t="inlineStr">
        <is>
          <t>CAPSLAB Warehouse</t>
        </is>
      </c>
      <c r="B174" s="5">
        <f>IF($I2="","",INDEX(Productos!$A:$A,$I2))</f>
        <v/>
      </c>
      <c r="C174" s="134" t="inlineStr">
        <is>
          <t>CL/NASA/1/US2-UNI</t>
        </is>
      </c>
      <c r="D174" s="5">
        <f>IF($I2="","",INDEX(Productos!$B:$B,$I2))</f>
        <v/>
      </c>
      <c r="E174" s="5">
        <f>IF($I2="","",INDEX(Productos!$H:$H,$I2))</f>
        <v/>
      </c>
      <c r="F174" s="5">
        <f>IF($I2="","",INDEX(Productos!$I:$I,$I2))</f>
        <v/>
      </c>
      <c r="G174" s="135" t="n">
        <v>5</v>
      </c>
      <c r="H174" s="5">
        <f>IF($I2="","",INDEX(Productos!$AG:$AG,$I2))</f>
        <v/>
      </c>
      <c r="I174" s="136">
        <f>LET(_xlpm.r,Productos!$E$2:$E$370,_xlpm.m,IFERROR(_xlfn.XMATCH(C174,_xlpm.r),IFERROR(_xlfn.XMATCH(VALUE(C174),_xlpm.r),0)),IF(_xlpm.m=0,"",_xlpm.m+1))</f>
        <v/>
      </c>
      <c r="J174" s="137" t="inlineStr">
        <is>
          <t>NetSuite</t>
        </is>
      </c>
    </row>
    <row r="175">
      <c r="A175" s="5" t="inlineStr">
        <is>
          <t>CAPSLAB Warehouse</t>
        </is>
      </c>
      <c r="B175" s="5">
        <f>IF($I2="","",INDEX(Productos!$A:$A,$I2))</f>
        <v/>
      </c>
      <c r="C175" s="134" t="inlineStr">
        <is>
          <t>CL/NS/1/AKA2-UNI</t>
        </is>
      </c>
      <c r="D175" s="5">
        <f>IF($I2="","",INDEX(Productos!$B:$B,$I2))</f>
        <v/>
      </c>
      <c r="E175" s="5">
        <f>IF($I2="","",INDEX(Productos!$H:$H,$I2))</f>
        <v/>
      </c>
      <c r="F175" s="5">
        <f>IF($I2="","",INDEX(Productos!$I:$I,$I2))</f>
        <v/>
      </c>
      <c r="G175" s="135" t="n">
        <v>32</v>
      </c>
      <c r="H175" s="5">
        <f>IF($I2="","",INDEX(Productos!$AG:$AG,$I2))</f>
        <v/>
      </c>
      <c r="I175" s="136">
        <f>LET(_xlpm.r,Productos!$E$2:$E$370,_xlpm.m,IFERROR(_xlfn.XMATCH(C175,_xlpm.r),IFERROR(_xlfn.XMATCH(VALUE(C175),_xlpm.r),0)),IF(_xlpm.m=0,"",_xlpm.m+1))</f>
        <v/>
      </c>
      <c r="J175" s="137" t="inlineStr">
        <is>
          <t>NetSuite</t>
        </is>
      </c>
    </row>
    <row r="176">
      <c r="A176" s="5" t="inlineStr">
        <is>
          <t>CAPSLAB Warehouse</t>
        </is>
      </c>
      <c r="B176" s="5">
        <f>IF($I2="","",INDEX(Productos!$A:$A,$I2))</f>
        <v/>
      </c>
      <c r="C176" s="134" t="inlineStr">
        <is>
          <t>CL/NS/1/BAN-UNI</t>
        </is>
      </c>
      <c r="D176" s="5">
        <f>IF($I2="","",INDEX(Productos!$B:$B,$I2))</f>
        <v/>
      </c>
      <c r="E176" s="5">
        <f>IF($I2="","",INDEX(Productos!$H:$H,$I2))</f>
        <v/>
      </c>
      <c r="F176" s="5">
        <f>IF($I2="","",INDEX(Productos!$I:$I,$I2))</f>
        <v/>
      </c>
      <c r="G176" s="135" t="n">
        <v>27</v>
      </c>
      <c r="H176" s="5">
        <f>IF($I2="","",INDEX(Productos!$AG:$AG,$I2))</f>
        <v/>
      </c>
      <c r="I176" s="136">
        <f>LET(_xlpm.r,Productos!$E$2:$E$370,_xlpm.m,IFERROR(_xlfn.XMATCH(C176,_xlpm.r),IFERROR(_xlfn.XMATCH(VALUE(C176),_xlpm.r),0)),IF(_xlpm.m=0,"",_xlpm.m+1))</f>
        <v/>
      </c>
      <c r="J176" s="137" t="inlineStr">
        <is>
          <t>NetSuite</t>
        </is>
      </c>
    </row>
    <row r="177">
      <c r="A177" s="5" t="inlineStr">
        <is>
          <t>CAPSLAB Warehouse</t>
        </is>
      </c>
      <c r="B177" s="5">
        <f>IF($I2="","",INDEX(Productos!$A:$A,$I2))</f>
        <v/>
      </c>
      <c r="C177" s="134" t="inlineStr">
        <is>
          <t>CL/NS/1/FIR1-UNI</t>
        </is>
      </c>
      <c r="D177" s="5">
        <f>IF($I2="","",INDEX(Productos!$B:$B,$I2))</f>
        <v/>
      </c>
      <c r="E177" s="5">
        <f>IF($I2="","",INDEX(Productos!$H:$H,$I2))</f>
        <v/>
      </c>
      <c r="F177" s="5">
        <f>IF($I2="","",INDEX(Productos!$I:$I,$I2))</f>
        <v/>
      </c>
      <c r="G177" s="135" t="n">
        <v>92</v>
      </c>
      <c r="H177" s="5">
        <f>IF($I2="","",INDEX(Productos!$AG:$AG,$I2))</f>
        <v/>
      </c>
      <c r="I177" s="136">
        <f>LET(_xlpm.r,Productos!$E$2:$E$370,_xlpm.m,IFERROR(_xlfn.XMATCH(C177,_xlpm.r),IFERROR(_xlfn.XMATCH(VALUE(C177),_xlpm.r),0)),IF(_xlpm.m=0,"",_xlpm.m+1))</f>
        <v/>
      </c>
      <c r="J177" s="137" t="inlineStr">
        <is>
          <t>NetSuite</t>
        </is>
      </c>
    </row>
    <row r="178">
      <c r="A178" s="5" t="inlineStr">
        <is>
          <t>CAPSLAB Warehouse</t>
        </is>
      </c>
      <c r="B178" s="5">
        <f>IF($I2="","",INDEX(Productos!$A:$A,$I2))</f>
        <v/>
      </c>
      <c r="C178" s="134" t="inlineStr">
        <is>
          <t>CL/NS/1/FIR2-UNI</t>
        </is>
      </c>
      <c r="D178" s="5">
        <f>IF($I2="","",INDEX(Productos!$B:$B,$I2))</f>
        <v/>
      </c>
      <c r="E178" s="5">
        <f>IF($I2="","",INDEX(Productos!$H:$H,$I2))</f>
        <v/>
      </c>
      <c r="F178" s="5">
        <f>IF($I2="","",INDEX(Productos!$I:$I,$I2))</f>
        <v/>
      </c>
      <c r="G178" s="135" t="n">
        <v>3</v>
      </c>
      <c r="H178" s="5">
        <f>IF($I2="","",INDEX(Productos!$AG:$AG,$I2))</f>
        <v/>
      </c>
      <c r="I178" s="136">
        <f>LET(_xlpm.r,Productos!$E$2:$E$370,_xlpm.m,IFERROR(_xlfn.XMATCH(C178,_xlpm.r),IFERROR(_xlfn.XMATCH(VALUE(C178),_xlpm.r),0)),IF(_xlpm.m=0,"",_xlpm.m+1))</f>
        <v/>
      </c>
      <c r="J178" s="137" t="inlineStr">
        <is>
          <t>NetSuite</t>
        </is>
      </c>
    </row>
    <row r="179">
      <c r="A179" s="5" t="inlineStr">
        <is>
          <t>CAPSLAB Warehouse</t>
        </is>
      </c>
      <c r="B179" s="5">
        <f>IF($I2="","",INDEX(Productos!$A:$A,$I2))</f>
        <v/>
      </c>
      <c r="C179" s="134" t="inlineStr">
        <is>
          <t>CL/NS/1/NAR1-UNI</t>
        </is>
      </c>
      <c r="D179" s="5">
        <f>IF($I2="","",INDEX(Productos!$B:$B,$I2))</f>
        <v/>
      </c>
      <c r="E179" s="5">
        <f>IF($I2="","",INDEX(Productos!$H:$H,$I2))</f>
        <v/>
      </c>
      <c r="F179" s="5">
        <f>IF($I2="","",INDEX(Productos!$I:$I,$I2))</f>
        <v/>
      </c>
      <c r="G179" s="135" t="n">
        <v>21</v>
      </c>
      <c r="H179" s="5">
        <f>IF($I2="","",INDEX(Productos!$AG:$AG,$I2))</f>
        <v/>
      </c>
      <c r="I179" s="136">
        <f>LET(_xlpm.r,Productos!$E$2:$E$370,_xlpm.m,IFERROR(_xlfn.XMATCH(C179,_xlpm.r),IFERROR(_xlfn.XMATCH(VALUE(C179),_xlpm.r),0)),IF(_xlpm.m=0,"",_xlpm.m+1))</f>
        <v/>
      </c>
      <c r="J179" s="137" t="inlineStr">
        <is>
          <t>NetSuite</t>
        </is>
      </c>
    </row>
    <row r="180">
      <c r="A180" s="5" t="inlineStr">
        <is>
          <t>CAPSLAB Warehouse</t>
        </is>
      </c>
      <c r="B180" s="5">
        <f>IF($I2="","",INDEX(Productos!$A:$A,$I2))</f>
        <v/>
      </c>
      <c r="C180" s="134" t="inlineStr">
        <is>
          <t>CL/NS/1/NAR2-UNI</t>
        </is>
      </c>
      <c r="D180" s="5">
        <f>IF($I2="","",INDEX(Productos!$B:$B,$I2))</f>
        <v/>
      </c>
      <c r="E180" s="5">
        <f>IF($I2="","",INDEX(Productos!$H:$H,$I2))</f>
        <v/>
      </c>
      <c r="F180" s="5">
        <f>IF($I2="","",INDEX(Productos!$I:$I,$I2))</f>
        <v/>
      </c>
      <c r="G180" s="135" t="n">
        <v>67</v>
      </c>
      <c r="H180" s="5">
        <f>IF($I2="","",INDEX(Productos!$AG:$AG,$I2))</f>
        <v/>
      </c>
      <c r="I180" s="136">
        <f>LET(_xlpm.r,Productos!$E$2:$E$370,_xlpm.m,IFERROR(_xlfn.XMATCH(C180,_xlpm.r),IFERROR(_xlfn.XMATCH(VALUE(C180),_xlpm.r),0)),IF(_xlpm.m=0,"",_xlpm.m+1))</f>
        <v/>
      </c>
      <c r="J180" s="137" t="inlineStr">
        <is>
          <t>NetSuite</t>
        </is>
      </c>
    </row>
    <row r="181">
      <c r="A181" s="5" t="inlineStr">
        <is>
          <t>CAPSLAB Warehouse</t>
        </is>
      </c>
      <c r="B181" s="5">
        <f>IF($I2="","",INDEX(Productos!$A:$A,$I2))</f>
        <v/>
      </c>
      <c r="C181" s="134" t="inlineStr">
        <is>
          <t>CL/NS/1/RAS2-UNI</t>
        </is>
      </c>
      <c r="D181" s="5">
        <f>IF($I2="","",INDEX(Productos!$B:$B,$I2))</f>
        <v/>
      </c>
      <c r="E181" s="5">
        <f>IF($I2="","",INDEX(Productos!$H:$H,$I2))</f>
        <v/>
      </c>
      <c r="F181" s="5">
        <f>IF($I2="","",INDEX(Productos!$I:$I,$I2))</f>
        <v/>
      </c>
      <c r="G181" s="135" t="n">
        <v>64</v>
      </c>
      <c r="H181" s="5">
        <f>IF($I2="","",INDEX(Productos!$AG:$AG,$I2))</f>
        <v/>
      </c>
      <c r="I181" s="136">
        <f>LET(_xlpm.r,Productos!$E$2:$E$370,_xlpm.m,IFERROR(_xlfn.XMATCH(C181,_xlpm.r),IFERROR(_xlfn.XMATCH(VALUE(C181),_xlpm.r),0)),IF(_xlpm.m=0,"",_xlpm.m+1))</f>
        <v/>
      </c>
      <c r="J181" s="137" t="inlineStr">
        <is>
          <t>NetSuite</t>
        </is>
      </c>
    </row>
    <row r="182">
      <c r="A182" s="5" t="inlineStr">
        <is>
          <t>CAPSLAB Warehouse</t>
        </is>
      </c>
      <c r="B182" s="5">
        <f>IF($I2="","",INDEX(Productos!$A:$A,$I2))</f>
        <v/>
      </c>
      <c r="C182" s="134" t="inlineStr">
        <is>
          <t>CL/NS/3/AKA2-UNIJR</t>
        </is>
      </c>
      <c r="D182" s="5">
        <f>IF($I2="","",INDEX(Productos!$B:$B,$I2))</f>
        <v/>
      </c>
      <c r="E182" s="5">
        <f>IF($I2="","",INDEX(Productos!$H:$H,$I2))</f>
        <v/>
      </c>
      <c r="F182" s="5">
        <f>IF($I2="","",INDEX(Productos!$I:$I,$I2))</f>
        <v/>
      </c>
      <c r="G182" s="135" t="n">
        <v>48</v>
      </c>
      <c r="H182" s="5">
        <f>IF($I2="","",INDEX(Productos!$AG:$AG,$I2))</f>
        <v/>
      </c>
      <c r="I182" s="136">
        <f>LET(_xlpm.r,Productos!$E$2:$E$370,_xlpm.m,IFERROR(_xlfn.XMATCH(C182,_xlpm.r),IFERROR(_xlfn.XMATCH(VALUE(C182),_xlpm.r),0)),IF(_xlpm.m=0,"",_xlpm.m+1))</f>
        <v/>
      </c>
      <c r="J182" s="137" t="inlineStr">
        <is>
          <t>NetSuite</t>
        </is>
      </c>
    </row>
    <row r="183">
      <c r="A183" s="5" t="inlineStr">
        <is>
          <t>CAPSLAB Warehouse</t>
        </is>
      </c>
      <c r="B183" s="5">
        <f>IF($I2="","",INDEX(Productos!$A:$A,$I2))</f>
        <v/>
      </c>
      <c r="C183" s="134" t="inlineStr">
        <is>
          <t>CL/NS/3/KAK1-UNI</t>
        </is>
      </c>
      <c r="D183" s="5">
        <f>IF($I2="","",INDEX(Productos!$B:$B,$I2))</f>
        <v/>
      </c>
      <c r="E183" s="5">
        <f>IF($I2="","",INDEX(Productos!$H:$H,$I2))</f>
        <v/>
      </c>
      <c r="F183" s="5">
        <f>IF($I2="","",INDEX(Productos!$I:$I,$I2))</f>
        <v/>
      </c>
      <c r="G183" s="135" t="n">
        <v>54</v>
      </c>
      <c r="H183" s="5">
        <f>IF($I2="","",INDEX(Productos!$AG:$AG,$I2))</f>
        <v/>
      </c>
      <c r="I183" s="136">
        <f>LET(_xlpm.r,Productos!$E$2:$E$370,_xlpm.m,IFERROR(_xlfn.XMATCH(C183,_xlpm.r),IFERROR(_xlfn.XMATCH(VALUE(C183),_xlpm.r),0)),IF(_xlpm.m=0,"",_xlpm.m+1))</f>
        <v/>
      </c>
      <c r="J183" s="137" t="inlineStr">
        <is>
          <t>NetSuite</t>
        </is>
      </c>
    </row>
    <row r="184">
      <c r="A184" s="5" t="inlineStr">
        <is>
          <t>CAPSLAB Warehouse</t>
        </is>
      </c>
      <c r="B184" s="5">
        <f>IF($I2="","",INDEX(Productos!$A:$A,$I2))</f>
        <v/>
      </c>
      <c r="C184" s="134" t="inlineStr">
        <is>
          <t>CL/NS/3/NAR2-UNIJR</t>
        </is>
      </c>
      <c r="D184" s="5">
        <f>IF($I2="","",INDEX(Productos!$B:$B,$I2))</f>
        <v/>
      </c>
      <c r="E184" s="5">
        <f>IF($I2="","",INDEX(Productos!$H:$H,$I2))</f>
        <v/>
      </c>
      <c r="F184" s="5">
        <f>IF($I2="","",INDEX(Productos!$I:$I,$I2))</f>
        <v/>
      </c>
      <c r="G184" s="135" t="n">
        <v>86</v>
      </c>
      <c r="H184" s="5">
        <f>IF($I2="","",INDEX(Productos!$AG:$AG,$I2))</f>
        <v/>
      </c>
      <c r="I184" s="136">
        <f>LET(_xlpm.r,Productos!$E$2:$E$370,_xlpm.m,IFERROR(_xlfn.XMATCH(C184,_xlpm.r),IFERROR(_xlfn.XMATCH(VALUE(C184),_xlpm.r),0)),IF(_xlpm.m=0,"",_xlpm.m+1))</f>
        <v/>
      </c>
      <c r="J184" s="137" t="inlineStr">
        <is>
          <t>NetSuite</t>
        </is>
      </c>
    </row>
    <row r="185">
      <c r="A185" s="5" t="inlineStr">
        <is>
          <t>CAPSLAB Warehouse</t>
        </is>
      </c>
      <c r="B185" s="5">
        <f>IF($I2="","",INDEX(Productos!$A:$A,$I2))</f>
        <v/>
      </c>
      <c r="C185" s="134" t="inlineStr">
        <is>
          <t>CL/NS2/1/CD/NUA-UNI</t>
        </is>
      </c>
      <c r="D185" s="5">
        <f>IF($I2="","",INDEX(Productos!$B:$B,$I2))</f>
        <v/>
      </c>
      <c r="E185" s="5">
        <f>IF($I2="","",INDEX(Productos!$H:$H,$I2))</f>
        <v/>
      </c>
      <c r="F185" s="5">
        <f>IF($I2="","",INDEX(Productos!$I:$I,$I2))</f>
        <v/>
      </c>
      <c r="G185" s="135" t="n">
        <v>47</v>
      </c>
      <c r="H185" s="5">
        <f>IF($I2="","",INDEX(Productos!$AG:$AG,$I2))</f>
        <v/>
      </c>
      <c r="I185" s="136">
        <f>LET(_xlpm.r,Productos!$E$2:$E$370,_xlpm.m,IFERROR(_xlfn.XMATCH(C185,_xlpm.r),IFERROR(_xlfn.XMATCH(VALUE(C185),_xlpm.r),0)),IF(_xlpm.m=0,"",_xlpm.m+1))</f>
        <v/>
      </c>
      <c r="J185" s="137" t="inlineStr">
        <is>
          <t>NetSuite</t>
        </is>
      </c>
    </row>
    <row r="186">
      <c r="A186" s="5" t="inlineStr">
        <is>
          <t>CAPSLAB Warehouse</t>
        </is>
      </c>
      <c r="B186" s="5">
        <f>IF($I2="","",INDEX(Productos!$A:$A,$I2))</f>
        <v/>
      </c>
      <c r="C186" s="134" t="inlineStr">
        <is>
          <t>CL/NS2/1/CT/IGB-UNI</t>
        </is>
      </c>
      <c r="D186" s="5">
        <f>IF($I2="","",INDEX(Productos!$B:$B,$I2))</f>
        <v/>
      </c>
      <c r="E186" s="5">
        <f>IF($I2="","",INDEX(Productos!$H:$H,$I2))</f>
        <v/>
      </c>
      <c r="F186" s="5">
        <f>IF($I2="","",INDEX(Productos!$I:$I,$I2))</f>
        <v/>
      </c>
      <c r="G186" s="135" t="n">
        <v>12</v>
      </c>
      <c r="H186" s="5">
        <f>IF($I2="","",INDEX(Productos!$AG:$AG,$I2))</f>
        <v/>
      </c>
      <c r="I186" s="136">
        <f>LET(_xlpm.r,Productos!$E$2:$E$370,_xlpm.m,IFERROR(_xlfn.XMATCH(C186,_xlpm.r),IFERROR(_xlfn.XMATCH(VALUE(C186),_xlpm.r),0)),IF(_xlpm.m=0,"",_xlpm.m+1))</f>
        <v/>
      </c>
      <c r="J186" s="137" t="inlineStr">
        <is>
          <t>NetSuite</t>
        </is>
      </c>
    </row>
    <row r="187">
      <c r="A187" s="5" t="inlineStr">
        <is>
          <t>CAPSLAB Warehouse</t>
        </is>
      </c>
      <c r="B187" s="5">
        <f>IF($I2="","",INDEX(Productos!$A:$A,$I2))</f>
        <v/>
      </c>
      <c r="C187" s="134" t="inlineStr">
        <is>
          <t>CL/NS2/1/CT/INU-UNI</t>
        </is>
      </c>
      <c r="D187" s="5">
        <f>IF($I2="","",INDEX(Productos!$B:$B,$I2))</f>
        <v/>
      </c>
      <c r="E187" s="5">
        <f>IF($I2="","",INDEX(Productos!$H:$H,$I2))</f>
        <v/>
      </c>
      <c r="F187" s="5">
        <f>IF($I2="","",INDEX(Productos!$I:$I,$I2))</f>
        <v/>
      </c>
      <c r="G187" s="135" t="n">
        <v>48</v>
      </c>
      <c r="H187" s="5">
        <f>IF($I2="","",INDEX(Productos!$AG:$AG,$I2))</f>
        <v/>
      </c>
      <c r="I187" s="136">
        <f>LET(_xlpm.r,Productos!$E$2:$E$370,_xlpm.m,IFERROR(_xlfn.XMATCH(C187,_xlpm.r),IFERROR(_xlfn.XMATCH(VALUE(C187),_xlpm.r),0)),IF(_xlpm.m=0,"",_xlpm.m+1))</f>
        <v/>
      </c>
      <c r="J187" s="137" t="inlineStr">
        <is>
          <t>NetSuite</t>
        </is>
      </c>
    </row>
    <row r="188">
      <c r="A188" s="5" t="inlineStr">
        <is>
          <t>CAPSLAB Warehouse</t>
        </is>
      </c>
      <c r="B188" s="5">
        <f>IF($I2="","",INDEX(Productos!$A:$A,$I2))</f>
        <v/>
      </c>
      <c r="C188" s="134" t="inlineStr">
        <is>
          <t>CL/NS2/1/CT/NGJ-UNI</t>
        </is>
      </c>
      <c r="D188" s="5">
        <f>IF($I2="","",INDEX(Productos!$B:$B,$I2))</f>
        <v/>
      </c>
      <c r="E188" s="5">
        <f>IF($I2="","",INDEX(Productos!$H:$H,$I2))</f>
        <v/>
      </c>
      <c r="F188" s="5">
        <f>IF($I2="","",INDEX(Productos!$I:$I,$I2))</f>
        <v/>
      </c>
      <c r="G188" s="135" t="n">
        <v>50</v>
      </c>
      <c r="H188" s="5">
        <f>IF($I2="","",INDEX(Productos!$AG:$AG,$I2))</f>
        <v/>
      </c>
      <c r="I188" s="136">
        <f>LET(_xlpm.r,Productos!$E$2:$E$370,_xlpm.m,IFERROR(_xlfn.XMATCH(C188,_xlpm.r),IFERROR(_xlfn.XMATCH(VALUE(C188),_xlpm.r),0)),IF(_xlpm.m=0,"",_xlpm.m+1))</f>
        <v/>
      </c>
      <c r="J188" s="137" t="inlineStr">
        <is>
          <t>NetSuite</t>
        </is>
      </c>
    </row>
    <row r="189">
      <c r="A189" s="5" t="inlineStr">
        <is>
          <t>CAPSLAB Warehouse</t>
        </is>
      </c>
      <c r="B189" s="5">
        <f>IF($I2="","",INDEX(Productos!$A:$A,$I2))</f>
        <v/>
      </c>
      <c r="C189" s="134" t="inlineStr">
        <is>
          <t>CL/NS2/1/CT/NME-UNI</t>
        </is>
      </c>
      <c r="D189" s="5">
        <f>IF($I2="","",INDEX(Productos!$B:$B,$I2))</f>
        <v/>
      </c>
      <c r="E189" s="5">
        <f>IF($I2="","",INDEX(Productos!$H:$H,$I2))</f>
        <v/>
      </c>
      <c r="F189" s="5">
        <f>IF($I2="","",INDEX(Productos!$I:$I,$I2))</f>
        <v/>
      </c>
      <c r="G189" s="135" t="n">
        <v>42</v>
      </c>
      <c r="H189" s="5">
        <f>IF($I2="","",INDEX(Productos!$AG:$AG,$I2))</f>
        <v/>
      </c>
      <c r="I189" s="136">
        <f>LET(_xlpm.r,Productos!$E$2:$E$370,_xlpm.m,IFERROR(_xlfn.XMATCH(C189,_xlpm.r),IFERROR(_xlfn.XMATCH(VALUE(C189),_xlpm.r),0)),IF(_xlpm.m=0,"",_xlpm.m+1))</f>
        <v/>
      </c>
      <c r="J189" s="137" t="inlineStr">
        <is>
          <t>NetSuite</t>
        </is>
      </c>
    </row>
    <row r="190">
      <c r="A190" s="5" t="inlineStr">
        <is>
          <t>CAPSLAB Warehouse</t>
        </is>
      </c>
      <c r="B190" s="5">
        <f>IF($I2="","",INDEX(Productos!$A:$A,$I2))</f>
        <v/>
      </c>
      <c r="C190" s="134" t="inlineStr">
        <is>
          <t>CL/NS2/1/CT/NOE-UNI</t>
        </is>
      </c>
      <c r="D190" s="5">
        <f>IF($I2="","",INDEX(Productos!$B:$B,$I2))</f>
        <v/>
      </c>
      <c r="E190" s="5">
        <f>IF($I2="","",INDEX(Productos!$H:$H,$I2))</f>
        <v/>
      </c>
      <c r="F190" s="5">
        <f>IF($I2="","",INDEX(Productos!$I:$I,$I2))</f>
        <v/>
      </c>
      <c r="G190" s="135" t="n">
        <v>16</v>
      </c>
      <c r="H190" s="5">
        <f>IF($I2="","",INDEX(Productos!$AG:$AG,$I2))</f>
        <v/>
      </c>
      <c r="I190" s="136">
        <f>LET(_xlpm.r,Productos!$E$2:$E$370,_xlpm.m,IFERROR(_xlfn.XMATCH(C190,_xlpm.r),IFERROR(_xlfn.XMATCH(VALUE(C190),_xlpm.r),0)),IF(_xlpm.m=0,"",_xlpm.m+1))</f>
        <v/>
      </c>
      <c r="J190" s="137" t="inlineStr">
        <is>
          <t>NetSuite</t>
        </is>
      </c>
    </row>
    <row r="191">
      <c r="A191" s="5" t="inlineStr">
        <is>
          <t>CAPSLAB Warehouse</t>
        </is>
      </c>
      <c r="B191" s="5">
        <f>IF($I2="","",INDEX(Productos!$A:$A,$I2))</f>
        <v/>
      </c>
      <c r="C191" s="134" t="inlineStr">
        <is>
          <t>CL/NS2/1/CT/NSA-UNI</t>
        </is>
      </c>
      <c r="D191" s="5">
        <f>IF($I2="","",INDEX(Productos!$B:$B,$I2))</f>
        <v/>
      </c>
      <c r="E191" s="5">
        <f>IF($I2="","",INDEX(Productos!$H:$H,$I2))</f>
        <v/>
      </c>
      <c r="F191" s="5">
        <f>IF($I2="","",INDEX(Productos!$I:$I,$I2))</f>
        <v/>
      </c>
      <c r="G191" s="135" t="n">
        <v>29</v>
      </c>
      <c r="H191" s="5">
        <f>IF($I2="","",INDEX(Productos!$AG:$AG,$I2))</f>
        <v/>
      </c>
      <c r="I191" s="136">
        <f>LET(_xlpm.r,Productos!$E$2:$E$370,_xlpm.m,IFERROR(_xlfn.XMATCH(C191,_xlpm.r),IFERROR(_xlfn.XMATCH(VALUE(C191),_xlpm.r),0)),IF(_xlpm.m=0,"",_xlpm.m+1))</f>
        <v/>
      </c>
      <c r="J191" s="137" t="inlineStr">
        <is>
          <t>NetSuite</t>
        </is>
      </c>
    </row>
    <row r="192">
      <c r="A192" s="5" t="inlineStr">
        <is>
          <t>CAPSLAB Warehouse</t>
        </is>
      </c>
      <c r="B192" s="5">
        <f>IF($I2="","",INDEX(Productos!$A:$A,$I2))</f>
        <v/>
      </c>
      <c r="C192" s="134" t="inlineStr">
        <is>
          <t>CL/NS2/1/CT/SAR-UNI</t>
        </is>
      </c>
      <c r="D192" s="5">
        <f>IF($I2="","",INDEX(Productos!$B:$B,$I2))</f>
        <v/>
      </c>
      <c r="E192" s="5">
        <f>IF($I2="","",INDEX(Productos!$H:$H,$I2))</f>
        <v/>
      </c>
      <c r="F192" s="5">
        <f>IF($I2="","",INDEX(Productos!$I:$I,$I2))</f>
        <v/>
      </c>
      <c r="G192" s="135" t="n">
        <v>22</v>
      </c>
      <c r="H192" s="5">
        <f>IF($I2="","",INDEX(Productos!$AG:$AG,$I2))</f>
        <v/>
      </c>
      <c r="I192" s="136">
        <f>LET(_xlpm.r,Productos!$E$2:$E$370,_xlpm.m,IFERROR(_xlfn.XMATCH(C192,_xlpm.r),IFERROR(_xlfn.XMATCH(VALUE(C192),_xlpm.r),0)),IF(_xlpm.m=0,"",_xlpm.m+1))</f>
        <v/>
      </c>
      <c r="J192" s="137" t="inlineStr">
        <is>
          <t>NetSuite</t>
        </is>
      </c>
    </row>
    <row r="193">
      <c r="A193" s="5" t="inlineStr">
        <is>
          <t>CAPSLAB Warehouse</t>
        </is>
      </c>
      <c r="B193" s="5">
        <f>IF($I2="","",INDEX(Productos!$A:$A,$I2))</f>
        <v/>
      </c>
      <c r="C193" s="134" t="inlineStr">
        <is>
          <t>CL/OP/TAG/1/LOG1-UNI</t>
        </is>
      </c>
      <c r="D193" s="5">
        <f>IF($I2="","",INDEX(Productos!$B:$B,$I2))</f>
        <v/>
      </c>
      <c r="E193" s="5">
        <f>IF($I2="","",INDEX(Productos!$H:$H,$I2))</f>
        <v/>
      </c>
      <c r="F193" s="5">
        <f>IF($I2="","",INDEX(Productos!$I:$I,$I2))</f>
        <v/>
      </c>
      <c r="G193" s="135" t="n">
        <v>49</v>
      </c>
      <c r="H193" s="5">
        <f>IF($I2="","",INDEX(Productos!$AG:$AG,$I2))</f>
        <v/>
      </c>
      <c r="I193" s="136">
        <f>LET(_xlpm.r,Productos!$E$2:$E$370,_xlpm.m,IFERROR(_xlfn.XMATCH(C193,_xlpm.r),IFERROR(_xlfn.XMATCH(VALUE(C193),_xlpm.r),0)),IF(_xlpm.m=0,"",_xlpm.m+1))</f>
        <v/>
      </c>
      <c r="J193" s="137" t="inlineStr">
        <is>
          <t>NetSuite</t>
        </is>
      </c>
    </row>
    <row r="194">
      <c r="A194" s="5" t="inlineStr">
        <is>
          <t>CAPSLAB Warehouse</t>
        </is>
      </c>
      <c r="B194" s="5">
        <f>IF($I2="","",INDEX(Productos!$A:$A,$I2))</f>
        <v/>
      </c>
      <c r="C194" s="134" t="inlineStr">
        <is>
          <t>CL/OP1/1/LUF2-UNI</t>
        </is>
      </c>
      <c r="D194" s="5">
        <f>IF($I2="","",INDEX(Productos!$B:$B,$I2))</f>
        <v/>
      </c>
      <c r="E194" s="5">
        <f>IF($I2="","",INDEX(Productos!$H:$H,$I2))</f>
        <v/>
      </c>
      <c r="F194" s="5">
        <f>IF($I2="","",INDEX(Productos!$I:$I,$I2))</f>
        <v/>
      </c>
      <c r="G194" s="135" t="n">
        <v>91</v>
      </c>
      <c r="H194" s="5">
        <f>IF($I2="","",INDEX(Productos!$AG:$AG,$I2))</f>
        <v/>
      </c>
      <c r="I194" s="136">
        <f>LET(_xlpm.r,Productos!$E$2:$E$370,_xlpm.m,IFERROR(_xlfn.XMATCH(C194,_xlpm.r),IFERROR(_xlfn.XMATCH(VALUE(C194),_xlpm.r),0)),IF(_xlpm.m=0,"",_xlpm.m+1))</f>
        <v/>
      </c>
      <c r="J194" s="137" t="inlineStr">
        <is>
          <t>NetSuite</t>
        </is>
      </c>
    </row>
    <row r="195">
      <c r="A195" s="5" t="inlineStr">
        <is>
          <t>CAPSLAB Warehouse</t>
        </is>
      </c>
      <c r="B195" s="5">
        <f>IF($I2="","",INDEX(Productos!$A:$A,$I2))</f>
        <v/>
      </c>
      <c r="C195" s="134" t="inlineStr">
        <is>
          <t>CL/OP1/1/SKU1-UNI</t>
        </is>
      </c>
      <c r="D195" s="5">
        <f>IF($I2="","",INDEX(Productos!$B:$B,$I2))</f>
        <v/>
      </c>
      <c r="E195" s="5">
        <f>IF($I2="","",INDEX(Productos!$H:$H,$I2))</f>
        <v/>
      </c>
      <c r="F195" s="5">
        <f>IF($I2="","",INDEX(Productos!$I:$I,$I2))</f>
        <v/>
      </c>
      <c r="G195" s="135" t="n">
        <v>54</v>
      </c>
      <c r="H195" s="5">
        <f>IF($I2="","",INDEX(Productos!$AG:$AG,$I2))</f>
        <v/>
      </c>
      <c r="I195" s="136">
        <f>LET(_xlpm.r,Productos!$E$2:$E$370,_xlpm.m,IFERROR(_xlfn.XMATCH(C195,_xlpm.r),IFERROR(_xlfn.XMATCH(VALUE(C195),_xlpm.r),0)),IF(_xlpm.m=0,"",_xlpm.m+1))</f>
        <v/>
      </c>
      <c r="J195" s="137" t="inlineStr">
        <is>
          <t>NetSuite</t>
        </is>
      </c>
    </row>
    <row r="196">
      <c r="A196" s="5" t="inlineStr">
        <is>
          <t>CAPSLAB Warehouse</t>
        </is>
      </c>
      <c r="B196" s="5">
        <f>IF($I2="","",INDEX(Productos!$A:$A,$I2))</f>
        <v/>
      </c>
      <c r="C196" s="134" t="inlineStr">
        <is>
          <t>CL/OP1/1/SKU2-UNI</t>
        </is>
      </c>
      <c r="D196" s="5">
        <f>IF($I2="","",INDEX(Productos!$B:$B,$I2))</f>
        <v/>
      </c>
      <c r="E196" s="5">
        <f>IF($I2="","",INDEX(Productos!$H:$H,$I2))</f>
        <v/>
      </c>
      <c r="F196" s="5">
        <f>IF($I2="","",INDEX(Productos!$I:$I,$I2))</f>
        <v/>
      </c>
      <c r="G196" s="135" t="n">
        <v>90</v>
      </c>
      <c r="H196" s="5">
        <f>IF($I2="","",INDEX(Productos!$AG:$AG,$I2))</f>
        <v/>
      </c>
      <c r="I196" s="136">
        <f>LET(_xlpm.r,Productos!$E$2:$E$370,_xlpm.m,IFERROR(_xlfn.XMATCH(C196,_xlpm.r),IFERROR(_xlfn.XMATCH(VALUE(C196),_xlpm.r),0)),IF(_xlpm.m=0,"",_xlpm.m+1))</f>
        <v/>
      </c>
      <c r="J196" s="137" t="inlineStr">
        <is>
          <t>NetSuite</t>
        </is>
      </c>
    </row>
    <row r="197">
      <c r="A197" s="5" t="inlineStr">
        <is>
          <t>CAPSLAB Warehouse</t>
        </is>
      </c>
      <c r="B197" s="5">
        <f>IF($I2="","",INDEX(Productos!$A:$A,$I2))</f>
        <v/>
      </c>
      <c r="C197" s="134" t="inlineStr">
        <is>
          <t>CL/OP1/1/ZOR1-UNI</t>
        </is>
      </c>
      <c r="D197" s="5">
        <f>IF($I2="","",INDEX(Productos!$B:$B,$I2))</f>
        <v/>
      </c>
      <c r="E197" s="5">
        <f>IF($I2="","",INDEX(Productos!$H:$H,$I2))</f>
        <v/>
      </c>
      <c r="F197" s="5">
        <f>IF($I2="","",INDEX(Productos!$I:$I,$I2))</f>
        <v/>
      </c>
      <c r="G197" s="135" t="n">
        <v>50</v>
      </c>
      <c r="H197" s="5">
        <f>IF($I2="","",INDEX(Productos!$AG:$AG,$I2))</f>
        <v/>
      </c>
      <c r="I197" s="136">
        <f>LET(_xlpm.r,Productos!$E$2:$E$370,_xlpm.m,IFERROR(_xlfn.XMATCH(C197,_xlpm.r),IFERROR(_xlfn.XMATCH(VALUE(C197),_xlpm.r),0)),IF(_xlpm.m=0,"",_xlpm.m+1))</f>
        <v/>
      </c>
      <c r="J197" s="137" t="inlineStr">
        <is>
          <t>NetSuite</t>
        </is>
      </c>
    </row>
    <row r="198">
      <c r="A198" s="5" t="inlineStr">
        <is>
          <t>CAPSLAB Warehouse</t>
        </is>
      </c>
      <c r="B198" s="5">
        <f>IF($I2="","",INDEX(Productos!$A:$A,$I2))</f>
        <v/>
      </c>
      <c r="C198" s="134" t="inlineStr">
        <is>
          <t>CL/OP1/3/LUF1-UNIJR</t>
        </is>
      </c>
      <c r="D198" s="5">
        <f>IF($I2="","",INDEX(Productos!$B:$B,$I2))</f>
        <v/>
      </c>
      <c r="E198" s="5">
        <f>IF($I2="","",INDEX(Productos!$H:$H,$I2))</f>
        <v/>
      </c>
      <c r="F198" s="5">
        <f>IF($I2="","",INDEX(Productos!$I:$I,$I2))</f>
        <v/>
      </c>
      <c r="G198" s="135" t="n">
        <v>47</v>
      </c>
      <c r="H198" s="5">
        <f>IF($I2="","",INDEX(Productos!$AG:$AG,$I2))</f>
        <v/>
      </c>
      <c r="I198" s="136">
        <f>LET(_xlpm.r,Productos!$E$2:$E$370,_xlpm.m,IFERROR(_xlfn.XMATCH(C198,_xlpm.r),IFERROR(_xlfn.XMATCH(VALUE(C198),_xlpm.r),0)),IF(_xlpm.m=0,"",_xlpm.m+1))</f>
        <v/>
      </c>
      <c r="J198" s="137" t="inlineStr">
        <is>
          <t>NetSuite</t>
        </is>
      </c>
    </row>
    <row r="199">
      <c r="A199" s="5" t="inlineStr">
        <is>
          <t>CAPSLAB Warehouse</t>
        </is>
      </c>
      <c r="B199" s="5">
        <f>IF($I2="","",INDEX(Productos!$A:$A,$I2))</f>
        <v/>
      </c>
      <c r="C199" s="134" t="inlineStr">
        <is>
          <t>CL/OP1/3/SKU2-UNIJR</t>
        </is>
      </c>
      <c r="D199" s="5">
        <f>IF($I2="","",INDEX(Productos!$B:$B,$I2))</f>
        <v/>
      </c>
      <c r="E199" s="5">
        <f>IF($I2="","",INDEX(Productos!$H:$H,$I2))</f>
        <v/>
      </c>
      <c r="F199" s="5">
        <f>IF($I2="","",INDEX(Productos!$I:$I,$I2))</f>
        <v/>
      </c>
      <c r="G199" s="135" t="n">
        <v>53</v>
      </c>
      <c r="H199" s="5">
        <f>IF($I2="","",INDEX(Productos!$AG:$AG,$I2))</f>
        <v/>
      </c>
      <c r="I199" s="136">
        <f>LET(_xlpm.r,Productos!$E$2:$E$370,_xlpm.m,IFERROR(_xlfn.XMATCH(C199,_xlpm.r),IFERROR(_xlfn.XMATCH(VALUE(C199),_xlpm.r),0)),IF(_xlpm.m=0,"",_xlpm.m+1))</f>
        <v/>
      </c>
      <c r="J199" s="137" t="inlineStr">
        <is>
          <t>NetSuite</t>
        </is>
      </c>
    </row>
    <row r="200">
      <c r="A200" s="5" t="inlineStr">
        <is>
          <t>CAPSLAB Warehouse</t>
        </is>
      </c>
      <c r="B200" s="5">
        <f>IF($I2="","",INDEX(Productos!$A:$A,$I2))</f>
        <v/>
      </c>
      <c r="C200" s="134" t="inlineStr">
        <is>
          <t>CL/OP1/3/ZOR1-UNIJR</t>
        </is>
      </c>
      <c r="D200" s="5">
        <f>IF($I2="","",INDEX(Productos!$B:$B,$I2))</f>
        <v/>
      </c>
      <c r="E200" s="5">
        <f>IF($I2="","",INDEX(Productos!$H:$H,$I2))</f>
        <v/>
      </c>
      <c r="F200" s="5">
        <f>IF($I2="","",INDEX(Productos!$I:$I,$I2))</f>
        <v/>
      </c>
      <c r="G200" s="135" t="n">
        <v>58</v>
      </c>
      <c r="H200" s="5">
        <f>IF($I2="","",INDEX(Productos!$AG:$AG,$I2))</f>
        <v/>
      </c>
      <c r="I200" s="136">
        <f>LET(_xlpm.r,Productos!$E$2:$E$370,_xlpm.m,IFERROR(_xlfn.XMATCH(C200,_xlpm.r),IFERROR(_xlfn.XMATCH(VALUE(C200),_xlpm.r),0)),IF(_xlpm.m=0,"",_xlpm.m+1))</f>
        <v/>
      </c>
      <c r="J200" s="137" t="inlineStr">
        <is>
          <t>NetSuite</t>
        </is>
      </c>
    </row>
    <row r="201">
      <c r="A201" s="5" t="inlineStr">
        <is>
          <t>CAPSLAB Warehouse</t>
        </is>
      </c>
      <c r="B201" s="5">
        <f>IF($I2="","",INDEX(Productos!$A:$A,$I2))</f>
        <v/>
      </c>
      <c r="C201" s="134" t="inlineStr">
        <is>
          <t>CL/OP1/3/ZOR2-UNIJR</t>
        </is>
      </c>
      <c r="D201" s="5">
        <f>IF($I2="","",INDEX(Productos!$B:$B,$I2))</f>
        <v/>
      </c>
      <c r="E201" s="5">
        <f>IF($I2="","",INDEX(Productos!$H:$H,$I2))</f>
        <v/>
      </c>
      <c r="F201" s="5">
        <f>IF($I2="","",INDEX(Productos!$I:$I,$I2))</f>
        <v/>
      </c>
      <c r="G201" s="135" t="n">
        <v>54</v>
      </c>
      <c r="H201" s="5">
        <f>IF($I2="","",INDEX(Productos!$AG:$AG,$I2))</f>
        <v/>
      </c>
      <c r="I201" s="136">
        <f>LET(_xlpm.r,Productos!$E$2:$E$370,_xlpm.m,IFERROR(_xlfn.XMATCH(C201,_xlpm.r),IFERROR(_xlfn.XMATCH(VALUE(C201),_xlpm.r),0)),IF(_xlpm.m=0,"",_xlpm.m+1))</f>
        <v/>
      </c>
      <c r="J201" s="137" t="inlineStr">
        <is>
          <t>NetSuite</t>
        </is>
      </c>
    </row>
    <row r="202">
      <c r="A202" s="5" t="inlineStr">
        <is>
          <t>CAPSLAB Warehouse</t>
        </is>
      </c>
      <c r="B202" s="5">
        <f>IF($I2="","",INDEX(Productos!$A:$A,$I2))</f>
        <v/>
      </c>
      <c r="C202" s="134" t="inlineStr">
        <is>
          <t>CL/OP2/1/CAS/LUF1-UNI</t>
        </is>
      </c>
      <c r="D202" s="5">
        <f>IF($I2="","",INDEX(Productos!$B:$B,$I2))</f>
        <v/>
      </c>
      <c r="E202" s="5">
        <f>IF($I2="","",INDEX(Productos!$H:$H,$I2))</f>
        <v/>
      </c>
      <c r="F202" s="5">
        <f>IF($I2="","",INDEX(Productos!$I:$I,$I2))</f>
        <v/>
      </c>
      <c r="G202" s="135" t="n">
        <v>62</v>
      </c>
      <c r="H202" s="5">
        <f>IF($I2="","",INDEX(Productos!$AG:$AG,$I2))</f>
        <v/>
      </c>
      <c r="I202" s="136">
        <f>LET(_xlpm.r,Productos!$E$2:$E$370,_xlpm.m,IFERROR(_xlfn.XMATCH(C202,_xlpm.r),IFERROR(_xlfn.XMATCH(VALUE(C202),_xlpm.r),0)),IF(_xlpm.m=0,"",_xlpm.m+1))</f>
        <v/>
      </c>
      <c r="J202" s="137" t="inlineStr">
        <is>
          <t>NetSuite</t>
        </is>
      </c>
    </row>
    <row r="203">
      <c r="A203" s="5" t="inlineStr">
        <is>
          <t>CAPSLAB Warehouse</t>
        </is>
      </c>
      <c r="B203" s="5">
        <f>IF($I2="","",INDEX(Productos!$A:$A,$I2))</f>
        <v/>
      </c>
      <c r="C203" s="134" t="inlineStr">
        <is>
          <t>CL/OP2/1/CAS/LUF4-UNI</t>
        </is>
      </c>
      <c r="D203" s="5">
        <f>IF($I2="","",INDEX(Productos!$B:$B,$I2))</f>
        <v/>
      </c>
      <c r="E203" s="5">
        <f>IF($I2="","",INDEX(Productos!$H:$H,$I2))</f>
        <v/>
      </c>
      <c r="F203" s="5">
        <f>IF($I2="","",INDEX(Productos!$I:$I,$I2))</f>
        <v/>
      </c>
      <c r="G203" s="135" t="n">
        <v>1</v>
      </c>
      <c r="H203" s="5">
        <f>IF($I2="","",INDEX(Productos!$AG:$AG,$I2))</f>
        <v/>
      </c>
      <c r="I203" s="136">
        <f>LET(_xlpm.r,Productos!$E$2:$E$370,_xlpm.m,IFERROR(_xlfn.XMATCH(C203,_xlpm.r),IFERROR(_xlfn.XMATCH(VALUE(C203),_xlpm.r),0)),IF(_xlpm.m=0,"",_xlpm.m+1))</f>
        <v/>
      </c>
      <c r="J203" s="137" t="inlineStr">
        <is>
          <t>NetSuite</t>
        </is>
      </c>
    </row>
    <row r="204">
      <c r="A204" s="5" t="inlineStr">
        <is>
          <t>CAPSLAB Warehouse</t>
        </is>
      </c>
      <c r="B204" s="5">
        <f>IF($I2="","",INDEX(Productos!$A:$A,$I2))</f>
        <v/>
      </c>
      <c r="C204" s="134" t="inlineStr">
        <is>
          <t>CL/OP2/1/CAS/ONE1-UNI</t>
        </is>
      </c>
      <c r="D204" s="5">
        <f>IF($I2="","",INDEX(Productos!$B:$B,$I2))</f>
        <v/>
      </c>
      <c r="E204" s="5">
        <f>IF($I2="","",INDEX(Productos!$H:$H,$I2))</f>
        <v/>
      </c>
      <c r="F204" s="5">
        <f>IF($I2="","",INDEX(Productos!$I:$I,$I2))</f>
        <v/>
      </c>
      <c r="G204" s="135" t="n">
        <v>18</v>
      </c>
      <c r="H204" s="5">
        <f>IF($I2="","",INDEX(Productos!$AG:$AG,$I2))</f>
        <v/>
      </c>
      <c r="I204" s="136">
        <f>LET(_xlpm.r,Productos!$E$2:$E$370,_xlpm.m,IFERROR(_xlfn.XMATCH(C204,_xlpm.r),IFERROR(_xlfn.XMATCH(VALUE(C204),_xlpm.r),0)),IF(_xlpm.m=0,"",_xlpm.m+1))</f>
        <v/>
      </c>
      <c r="J204" s="137" t="inlineStr">
        <is>
          <t>NetSuite</t>
        </is>
      </c>
    </row>
    <row r="205">
      <c r="A205" s="5" t="inlineStr">
        <is>
          <t>CAPSLAB Warehouse</t>
        </is>
      </c>
      <c r="B205" s="5">
        <f>IF($I2="","",INDEX(Productos!$A:$A,$I2))</f>
        <v/>
      </c>
      <c r="C205" s="134" t="inlineStr">
        <is>
          <t>CL/OP2/1/CAS/ONE2-UNI</t>
        </is>
      </c>
      <c r="D205" s="5">
        <f>IF($I2="","",INDEX(Productos!$B:$B,$I2))</f>
        <v/>
      </c>
      <c r="E205" s="5">
        <f>IF($I2="","",INDEX(Productos!$H:$H,$I2))</f>
        <v/>
      </c>
      <c r="F205" s="5">
        <f>IF($I2="","",INDEX(Productos!$I:$I,$I2))</f>
        <v/>
      </c>
      <c r="G205" s="135" t="n">
        <v>41</v>
      </c>
      <c r="H205" s="5">
        <f>IF($I2="","",INDEX(Productos!$AG:$AG,$I2))</f>
        <v/>
      </c>
      <c r="I205" s="136">
        <f>LET(_xlpm.r,Productos!$E$2:$E$370,_xlpm.m,IFERROR(_xlfn.XMATCH(C205,_xlpm.r),IFERROR(_xlfn.XMATCH(VALUE(C205),_xlpm.r),0)),IF(_xlpm.m=0,"",_xlpm.m+1))</f>
        <v/>
      </c>
      <c r="J205" s="137" t="inlineStr">
        <is>
          <t>NetSuite</t>
        </is>
      </c>
    </row>
    <row r="206">
      <c r="A206" s="5" t="inlineStr">
        <is>
          <t>CAPSLAB Warehouse</t>
        </is>
      </c>
      <c r="B206" s="5">
        <f>IF($I2="","",INDEX(Productos!$A:$A,$I2))</f>
        <v/>
      </c>
      <c r="C206" s="134" t="inlineStr">
        <is>
          <t>CL/OP2/1/CAS/WAN1-UNI</t>
        </is>
      </c>
      <c r="D206" s="5">
        <f>IF($I2="","",INDEX(Productos!$B:$B,$I2))</f>
        <v/>
      </c>
      <c r="E206" s="5">
        <f>IF($I2="","",INDEX(Productos!$H:$H,$I2))</f>
        <v/>
      </c>
      <c r="F206" s="5">
        <f>IF($I2="","",INDEX(Productos!$I:$I,$I2))</f>
        <v/>
      </c>
      <c r="G206" s="135" t="n">
        <v>36</v>
      </c>
      <c r="H206" s="5">
        <f>IF($I2="","",INDEX(Productos!$AG:$AG,$I2))</f>
        <v/>
      </c>
      <c r="I206" s="136">
        <f>LET(_xlpm.r,Productos!$E$2:$E$370,_xlpm.m,IFERROR(_xlfn.XMATCH(C206,_xlpm.r),IFERROR(_xlfn.XMATCH(VALUE(C206),_xlpm.r),0)),IF(_xlpm.m=0,"",_xlpm.m+1))</f>
        <v/>
      </c>
      <c r="J206" s="137" t="inlineStr">
        <is>
          <t>NetSuite</t>
        </is>
      </c>
    </row>
    <row r="207">
      <c r="A207" s="5" t="inlineStr">
        <is>
          <t>CAPSLAB Warehouse</t>
        </is>
      </c>
      <c r="B207" s="5">
        <f>IF($I2="","",INDEX(Productos!$A:$A,$I2))</f>
        <v/>
      </c>
      <c r="C207" s="134" t="inlineStr">
        <is>
          <t>CL/OP2/1/CASX/LUF9-UNI</t>
        </is>
      </c>
      <c r="D207" s="5">
        <f>IF($I2="","",INDEX(Productos!$B:$B,$I2))</f>
        <v/>
      </c>
      <c r="E207" s="5">
        <f>IF($I2="","",INDEX(Productos!$H:$H,$I2))</f>
        <v/>
      </c>
      <c r="F207" s="5">
        <f>IF($I2="","",INDEX(Productos!$I:$I,$I2))</f>
        <v/>
      </c>
      <c r="G207" s="135" t="n">
        <v>5</v>
      </c>
      <c r="H207" s="5">
        <f>IF($I2="","",INDEX(Productos!$AG:$AG,$I2))</f>
        <v/>
      </c>
      <c r="I207" s="136">
        <f>LET(_xlpm.r,Productos!$E$2:$E$370,_xlpm.m,IFERROR(_xlfn.XMATCH(C207,_xlpm.r),IFERROR(_xlfn.XMATCH(VALUE(C207),_xlpm.r),0)),IF(_xlpm.m=0,"",_xlpm.m+1))</f>
        <v/>
      </c>
      <c r="J207" s="137" t="inlineStr">
        <is>
          <t>NetSuite</t>
        </is>
      </c>
    </row>
    <row r="208">
      <c r="A208" s="5" t="inlineStr">
        <is>
          <t>CAPSLAB Warehouse</t>
        </is>
      </c>
      <c r="B208" s="5">
        <f>IF($I2="","",INDEX(Productos!$A:$A,$I2))</f>
        <v/>
      </c>
      <c r="C208" s="134" t="inlineStr">
        <is>
          <t>CL/OP2/1/HAT/CHO2-L/XL</t>
        </is>
      </c>
      <c r="D208" s="5">
        <f>IF($I2="","",INDEX(Productos!$B:$B,$I2))</f>
        <v/>
      </c>
      <c r="E208" s="5">
        <f>IF($I2="","",INDEX(Productos!$H:$H,$I2))</f>
        <v/>
      </c>
      <c r="F208" s="5">
        <f>IF($I2="","",INDEX(Productos!$I:$I,$I2))</f>
        <v/>
      </c>
      <c r="G208" s="135" t="n">
        <v>16</v>
      </c>
      <c r="H208" s="5">
        <f>IF($I2="","",INDEX(Productos!$AG:$AG,$I2))</f>
        <v/>
      </c>
      <c r="I208" s="136">
        <f>LET(_xlpm.r,Productos!$E$2:$E$370,_xlpm.m,IFERROR(_xlfn.XMATCH(C208,_xlpm.r),IFERROR(_xlfn.XMATCH(VALUE(C208),_xlpm.r),0)),IF(_xlpm.m=0,"",_xlpm.m+1))</f>
        <v/>
      </c>
      <c r="J208" s="137" t="inlineStr">
        <is>
          <t>NetSuite</t>
        </is>
      </c>
    </row>
    <row r="209">
      <c r="A209" s="5" t="inlineStr">
        <is>
          <t>CAPSLAB Warehouse</t>
        </is>
      </c>
      <c r="B209" s="5">
        <f>IF($I2="","",INDEX(Productos!$A:$A,$I2))</f>
        <v/>
      </c>
      <c r="C209" s="134" t="inlineStr">
        <is>
          <t>CL/OP2/1/HAT/CHO2-S/M</t>
        </is>
      </c>
      <c r="D209" s="5">
        <f>IF($I2="","",INDEX(Productos!$B:$B,$I2))</f>
        <v/>
      </c>
      <c r="E209" s="5">
        <f>IF($I2="","",INDEX(Productos!$H:$H,$I2))</f>
        <v/>
      </c>
      <c r="F209" s="5">
        <f>IF($I2="","",INDEX(Productos!$I:$I,$I2))</f>
        <v/>
      </c>
      <c r="G209" s="135" t="n">
        <v>18</v>
      </c>
      <c r="H209" s="5">
        <f>IF($I2="","",INDEX(Productos!$AG:$AG,$I2))</f>
        <v/>
      </c>
      <c r="I209" s="136">
        <f>LET(_xlpm.r,Productos!$E$2:$E$370,_xlpm.m,IFERROR(_xlfn.XMATCH(C209,_xlpm.r),IFERROR(_xlfn.XMATCH(VALUE(C209),_xlpm.r),0)),IF(_xlpm.m=0,"",_xlpm.m+1))</f>
        <v/>
      </c>
      <c r="J209" s="137" t="inlineStr">
        <is>
          <t>NetSuite</t>
        </is>
      </c>
    </row>
    <row r="210">
      <c r="A210" s="5" t="inlineStr">
        <is>
          <t>CAPSLAB Warehouse</t>
        </is>
      </c>
      <c r="B210" s="5">
        <f>IF($I2="","",INDEX(Productos!$A:$A,$I2))</f>
        <v/>
      </c>
      <c r="C210" s="134" t="inlineStr">
        <is>
          <t>CL/OP2/1/HAT/ONE3-L/XL</t>
        </is>
      </c>
      <c r="D210" s="5">
        <f>IF($I2="","",INDEX(Productos!$B:$B,$I2))</f>
        <v/>
      </c>
      <c r="E210" s="5">
        <f>IF($I2="","",INDEX(Productos!$H:$H,$I2))</f>
        <v/>
      </c>
      <c r="F210" s="5">
        <f>IF($I2="","",INDEX(Productos!$I:$I,$I2))</f>
        <v/>
      </c>
      <c r="G210" s="135" t="n">
        <v>19</v>
      </c>
      <c r="H210" s="5">
        <f>IF($I2="","",INDEX(Productos!$AG:$AG,$I2))</f>
        <v/>
      </c>
      <c r="I210" s="136">
        <f>LET(_xlpm.r,Productos!$E$2:$E$370,_xlpm.m,IFERROR(_xlfn.XMATCH(C210,_xlpm.r),IFERROR(_xlfn.XMATCH(VALUE(C210),_xlpm.r),0)),IF(_xlpm.m=0,"",_xlpm.m+1))</f>
        <v/>
      </c>
      <c r="J210" s="137" t="inlineStr">
        <is>
          <t>NetSuite</t>
        </is>
      </c>
    </row>
    <row r="211">
      <c r="A211" s="5" t="inlineStr">
        <is>
          <t>CAPSLAB Warehouse</t>
        </is>
      </c>
      <c r="B211" s="5">
        <f>IF($I2="","",INDEX(Productos!$A:$A,$I2))</f>
        <v/>
      </c>
      <c r="C211" s="134" t="inlineStr">
        <is>
          <t>CL/OP2/1/HAT/ONE3-S/M</t>
        </is>
      </c>
      <c r="D211" s="5">
        <f>IF($I2="","",INDEX(Productos!$B:$B,$I2))</f>
        <v/>
      </c>
      <c r="E211" s="5">
        <f>IF($I2="","",INDEX(Productos!$H:$H,$I2))</f>
        <v/>
      </c>
      <c r="F211" s="5">
        <f>IF($I2="","",INDEX(Productos!$I:$I,$I2))</f>
        <v/>
      </c>
      <c r="G211" s="135" t="n">
        <v>17</v>
      </c>
      <c r="H211" s="5">
        <f>IF($I2="","",INDEX(Productos!$AG:$AG,$I2))</f>
        <v/>
      </c>
      <c r="I211" s="136">
        <f>LET(_xlpm.r,Productos!$E$2:$E$370,_xlpm.m,IFERROR(_xlfn.XMATCH(C211,_xlpm.r),IFERROR(_xlfn.XMATCH(VALUE(C211),_xlpm.r),0)),IF(_xlpm.m=0,"",_xlpm.m+1))</f>
        <v/>
      </c>
      <c r="J211" s="137" t="inlineStr">
        <is>
          <t>NetSuite</t>
        </is>
      </c>
    </row>
    <row r="212">
      <c r="A212" s="5" t="inlineStr">
        <is>
          <t>CAPSLAB Warehouse</t>
        </is>
      </c>
      <c r="B212" s="5">
        <f>IF($I2="","",INDEX(Productos!$A:$A,$I2))</f>
        <v/>
      </c>
      <c r="C212" s="134" t="inlineStr">
        <is>
          <t>CL/OP2/1/HAT/ONE4-L/XL</t>
        </is>
      </c>
      <c r="D212" s="5">
        <f>IF($I2="","",INDEX(Productos!$B:$B,$I2))</f>
        <v/>
      </c>
      <c r="E212" s="5">
        <f>IF($I2="","",INDEX(Productos!$H:$H,$I2))</f>
        <v/>
      </c>
      <c r="F212" s="5">
        <f>IF($I2="","",INDEX(Productos!$I:$I,$I2))</f>
        <v/>
      </c>
      <c r="G212" s="135" t="n">
        <v>8</v>
      </c>
      <c r="H212" s="5">
        <f>IF($I2="","",INDEX(Productos!$AG:$AG,$I2))</f>
        <v/>
      </c>
      <c r="I212" s="136">
        <f>LET(_xlpm.r,Productos!$E$2:$E$370,_xlpm.m,IFERROR(_xlfn.XMATCH(C212,_xlpm.r),IFERROR(_xlfn.XMATCH(VALUE(C212),_xlpm.r),0)),IF(_xlpm.m=0,"",_xlpm.m+1))</f>
        <v/>
      </c>
      <c r="J212" s="137" t="inlineStr">
        <is>
          <t>NetSuite</t>
        </is>
      </c>
    </row>
    <row r="213">
      <c r="A213" s="5" t="inlineStr">
        <is>
          <t>CAPSLAB Warehouse</t>
        </is>
      </c>
      <c r="B213" s="5">
        <f>IF($I2="","",INDEX(Productos!$A:$A,$I2))</f>
        <v/>
      </c>
      <c r="C213" s="134" t="inlineStr">
        <is>
          <t>CL/OP2/1/HAT/ONE4-S/M</t>
        </is>
      </c>
      <c r="D213" s="5">
        <f>IF($I2="","",INDEX(Productos!$B:$B,$I2))</f>
        <v/>
      </c>
      <c r="E213" s="5">
        <f>IF($I2="","",INDEX(Productos!$H:$H,$I2))</f>
        <v/>
      </c>
      <c r="F213" s="5">
        <f>IF($I2="","",INDEX(Productos!$I:$I,$I2))</f>
        <v/>
      </c>
      <c r="G213" s="135" t="n">
        <v>9</v>
      </c>
      <c r="H213" s="5">
        <f>IF($I2="","",INDEX(Productos!$AG:$AG,$I2))</f>
        <v/>
      </c>
      <c r="I213" s="136">
        <f>LET(_xlpm.r,Productos!$E$2:$E$370,_xlpm.m,IFERROR(_xlfn.XMATCH(C213,_xlpm.r),IFERROR(_xlfn.XMATCH(VALUE(C213),_xlpm.r),0)),IF(_xlpm.m=0,"",_xlpm.m+1))</f>
        <v/>
      </c>
      <c r="J213" s="137" t="inlineStr">
        <is>
          <t>NetSuite</t>
        </is>
      </c>
    </row>
    <row r="214">
      <c r="A214" s="5" t="inlineStr">
        <is>
          <t>CAPSLAB Warehouse</t>
        </is>
      </c>
      <c r="B214" s="5">
        <f>IF($I2="","",INDEX(Productos!$A:$A,$I2))</f>
        <v/>
      </c>
      <c r="C214" s="134" t="inlineStr">
        <is>
          <t>CL/OP3/1/CD/SKU-UNI</t>
        </is>
      </c>
      <c r="D214" s="5">
        <f>IF($I2="","",INDEX(Productos!$B:$B,$I2))</f>
        <v/>
      </c>
      <c r="E214" s="5">
        <f>IF($I2="","",INDEX(Productos!$H:$H,$I2))</f>
        <v/>
      </c>
      <c r="F214" s="5">
        <f>IF($I2="","",INDEX(Productos!$I:$I,$I2))</f>
        <v/>
      </c>
      <c r="G214" s="135" t="n">
        <v>29</v>
      </c>
      <c r="H214" s="5">
        <f>IF($I2="","",INDEX(Productos!$AG:$AG,$I2))</f>
        <v/>
      </c>
      <c r="I214" s="136">
        <f>LET(_xlpm.r,Productos!$E$2:$E$370,_xlpm.m,IFERROR(_xlfn.XMATCH(C214,_xlpm.r),IFERROR(_xlfn.XMATCH(VALUE(C214),_xlpm.r),0)),IF(_xlpm.m=0,"",_xlpm.m+1))</f>
        <v/>
      </c>
      <c r="J214" s="137" t="inlineStr">
        <is>
          <t>NetSuite</t>
        </is>
      </c>
    </row>
    <row r="215">
      <c r="A215" s="5" t="inlineStr">
        <is>
          <t>CAPSLAB Warehouse</t>
        </is>
      </c>
      <c r="B215" s="5">
        <f>IF($I2="","",INDEX(Productos!$A:$A,$I2))</f>
        <v/>
      </c>
      <c r="C215" s="134" t="inlineStr">
        <is>
          <t>CL/OP3/1/CT/LUF1-UNI</t>
        </is>
      </c>
      <c r="D215" s="5">
        <f>IF($I2="","",INDEX(Productos!$B:$B,$I2))</f>
        <v/>
      </c>
      <c r="E215" s="5">
        <f>IF($I2="","",INDEX(Productos!$H:$H,$I2))</f>
        <v/>
      </c>
      <c r="F215" s="5">
        <f>IF($I2="","",INDEX(Productos!$I:$I,$I2))</f>
        <v/>
      </c>
      <c r="G215" s="135" t="n">
        <v>20</v>
      </c>
      <c r="H215" s="5">
        <f>IF($I2="","",INDEX(Productos!$AG:$AG,$I2))</f>
        <v/>
      </c>
      <c r="I215" s="136">
        <f>LET(_xlpm.r,Productos!$E$2:$E$370,_xlpm.m,IFERROR(_xlfn.XMATCH(C215,_xlpm.r),IFERROR(_xlfn.XMATCH(VALUE(C215),_xlpm.r),0)),IF(_xlpm.m=0,"",_xlpm.m+1))</f>
        <v/>
      </c>
      <c r="J215" s="137" t="inlineStr">
        <is>
          <t>NetSuite</t>
        </is>
      </c>
    </row>
    <row r="216">
      <c r="A216" s="5" t="inlineStr">
        <is>
          <t>CAPSLAB Warehouse</t>
        </is>
      </c>
      <c r="B216" s="5">
        <f>IF($I2="","",INDEX(Productos!$A:$A,$I2))</f>
        <v/>
      </c>
      <c r="C216" s="134" t="inlineStr">
        <is>
          <t>CL/OP3/1/CT/MON1-UNI</t>
        </is>
      </c>
      <c r="D216" s="5">
        <f>IF($I2="","",INDEX(Productos!$B:$B,$I2))</f>
        <v/>
      </c>
      <c r="E216" s="5">
        <f>IF($I2="","",INDEX(Productos!$H:$H,$I2))</f>
        <v/>
      </c>
      <c r="F216" s="5">
        <f>IF($I2="","",INDEX(Productos!$I:$I,$I2))</f>
        <v/>
      </c>
      <c r="G216" s="135" t="n">
        <v>57</v>
      </c>
      <c r="H216" s="5">
        <f>IF($I2="","",INDEX(Productos!$AG:$AG,$I2))</f>
        <v/>
      </c>
      <c r="I216" s="136">
        <f>LET(_xlpm.r,Productos!$E$2:$E$370,_xlpm.m,IFERROR(_xlfn.XMATCH(C216,_xlpm.r),IFERROR(_xlfn.XMATCH(VALUE(C216),_xlpm.r),0)),IF(_xlpm.m=0,"",_xlpm.m+1))</f>
        <v/>
      </c>
      <c r="J216" s="137" t="inlineStr">
        <is>
          <t>NetSuite</t>
        </is>
      </c>
    </row>
    <row r="217">
      <c r="A217" s="5" t="inlineStr">
        <is>
          <t>CAPSLAB Warehouse</t>
        </is>
      </c>
      <c r="B217" s="5">
        <f>IF($I2="","",INDEX(Productos!$A:$A,$I2))</f>
        <v/>
      </c>
      <c r="C217" s="134" t="inlineStr">
        <is>
          <t>CL/OP3/1/CT/STRA-UNI</t>
        </is>
      </c>
      <c r="D217" s="5">
        <f>IF($I2="","",INDEX(Productos!$B:$B,$I2))</f>
        <v/>
      </c>
      <c r="E217" s="5">
        <f>IF($I2="","",INDEX(Productos!$H:$H,$I2))</f>
        <v/>
      </c>
      <c r="F217" s="5">
        <f>IF($I2="","",INDEX(Productos!$I:$I,$I2))</f>
        <v/>
      </c>
      <c r="G217" s="135" t="n">
        <v>2</v>
      </c>
      <c r="H217" s="5">
        <f>IF($I2="","",INDEX(Productos!$AG:$AG,$I2))</f>
        <v/>
      </c>
      <c r="I217" s="136">
        <f>LET(_xlpm.r,Productos!$E$2:$E$370,_xlpm.m,IFERROR(_xlfn.XMATCH(C217,_xlpm.r),IFERROR(_xlfn.XMATCH(VALUE(C217),_xlpm.r),0)),IF(_xlpm.m=0,"",_xlpm.m+1))</f>
        <v/>
      </c>
      <c r="J217" s="137" t="inlineStr">
        <is>
          <t>NetSuite</t>
        </is>
      </c>
    </row>
    <row r="218">
      <c r="A218" s="5" t="inlineStr">
        <is>
          <t>CAPSLAB Warehouse</t>
        </is>
      </c>
      <c r="B218" s="5">
        <f>IF($I2="","",INDEX(Productos!$A:$A,$I2))</f>
        <v/>
      </c>
      <c r="C218" s="134" t="inlineStr">
        <is>
          <t>CL/OP3/1/CT/ZOR1-UNI</t>
        </is>
      </c>
      <c r="D218" s="5">
        <f>IF($I2="","",INDEX(Productos!$B:$B,$I2))</f>
        <v/>
      </c>
      <c r="E218" s="5">
        <f>IF($I2="","",INDEX(Productos!$H:$H,$I2))</f>
        <v/>
      </c>
      <c r="F218" s="5">
        <f>IF($I2="","",INDEX(Productos!$I:$I,$I2))</f>
        <v/>
      </c>
      <c r="G218" s="135" t="n">
        <v>27</v>
      </c>
      <c r="H218" s="5">
        <f>IF($I2="","",INDEX(Productos!$AG:$AG,$I2))</f>
        <v/>
      </c>
      <c r="I218" s="136">
        <f>LET(_xlpm.r,Productos!$E$2:$E$370,_xlpm.m,IFERROR(_xlfn.XMATCH(C218,_xlpm.r),IFERROR(_xlfn.XMATCH(VALUE(C218),_xlpm.r),0)),IF(_xlpm.m=0,"",_xlpm.m+1))</f>
        <v/>
      </c>
      <c r="J218" s="137" t="inlineStr">
        <is>
          <t>NetSuite</t>
        </is>
      </c>
    </row>
    <row r="219">
      <c r="A219" s="5" t="inlineStr">
        <is>
          <t>CAPSLAB Warehouse</t>
        </is>
      </c>
      <c r="B219" s="5">
        <f>IF($I2="","",INDEX(Productos!$A:$A,$I2))</f>
        <v/>
      </c>
      <c r="C219" s="134" t="inlineStr">
        <is>
          <t>CL/REM/1/LOO1-UNI</t>
        </is>
      </c>
      <c r="D219" s="5">
        <f>IF($I2="","",INDEX(Productos!$B:$B,$I2))</f>
        <v/>
      </c>
      <c r="E219" s="5">
        <f>IF($I2="","",INDEX(Productos!$H:$H,$I2))</f>
        <v/>
      </c>
      <c r="F219" s="5">
        <f>IF($I2="","",INDEX(Productos!$I:$I,$I2))</f>
        <v/>
      </c>
      <c r="G219" s="135" t="n">
        <v>14</v>
      </c>
      <c r="H219" s="5">
        <f>IF($I2="","",INDEX(Productos!$AG:$AG,$I2))</f>
        <v/>
      </c>
      <c r="I219" s="136">
        <f>LET(_xlpm.r,Productos!$E$2:$E$370,_xlpm.m,IFERROR(_xlfn.XMATCH(C219,_xlpm.r),IFERROR(_xlfn.XMATCH(VALUE(C219),_xlpm.r),0)),IF(_xlpm.m=0,"",_xlpm.m+1))</f>
        <v/>
      </c>
      <c r="J219" s="137" t="inlineStr">
        <is>
          <t>NetSuite</t>
        </is>
      </c>
    </row>
    <row r="220">
      <c r="A220" s="5" t="inlineStr">
        <is>
          <t>CAPSLAB Warehouse</t>
        </is>
      </c>
      <c r="B220" s="5">
        <f>IF($I2="","",INDEX(Productos!$A:$A,$I2))</f>
        <v/>
      </c>
      <c r="C220" s="134" t="inlineStr">
        <is>
          <t>CL/REM/1/LOO3-UNI</t>
        </is>
      </c>
      <c r="D220" s="5">
        <f>IF($I2="","",INDEX(Productos!$B:$B,$I2))</f>
        <v/>
      </c>
      <c r="E220" s="5">
        <f>IF($I2="","",INDEX(Productos!$H:$H,$I2))</f>
        <v/>
      </c>
      <c r="F220" s="5">
        <f>IF($I2="","",INDEX(Productos!$I:$I,$I2))</f>
        <v/>
      </c>
      <c r="G220" s="135" t="n">
        <v>69</v>
      </c>
      <c r="H220" s="5">
        <f>IF($I2="","",INDEX(Productos!$AG:$AG,$I2))</f>
        <v/>
      </c>
      <c r="I220" s="136">
        <f>LET(_xlpm.r,Productos!$E$2:$E$370,_xlpm.m,IFERROR(_xlfn.XMATCH(C220,_xlpm.r),IFERROR(_xlfn.XMATCH(VALUE(C220),_xlpm.r),0)),IF(_xlpm.m=0,"",_xlpm.m+1))</f>
        <v/>
      </c>
      <c r="J220" s="137" t="inlineStr">
        <is>
          <t>NetSuite</t>
        </is>
      </c>
    </row>
    <row r="221">
      <c r="A221" s="5" t="inlineStr">
        <is>
          <t>CAPSLAB Warehouse</t>
        </is>
      </c>
      <c r="B221" s="5">
        <f>IF($I2="","",INDEX(Productos!$A:$A,$I2))</f>
        <v/>
      </c>
      <c r="C221" s="134" t="inlineStr">
        <is>
          <t>CL/REM4/1/CD/HEA-UNI</t>
        </is>
      </c>
      <c r="D221" s="5">
        <f>IF($I2="","",INDEX(Productos!$B:$B,$I2))</f>
        <v/>
      </c>
      <c r="E221" s="5">
        <f>IF($I2="","",INDEX(Productos!$H:$H,$I2))</f>
        <v/>
      </c>
      <c r="F221" s="5">
        <f>IF($I2="","",INDEX(Productos!$I:$I,$I2))</f>
        <v/>
      </c>
      <c r="G221" s="135" t="n">
        <v>41</v>
      </c>
      <c r="H221" s="5">
        <f>IF($I2="","",INDEX(Productos!$AG:$AG,$I2))</f>
        <v/>
      </c>
      <c r="I221" s="136">
        <f>LET(_xlpm.r,Productos!$E$2:$E$370,_xlpm.m,IFERROR(_xlfn.XMATCH(C221,_xlpm.r),IFERROR(_xlfn.XMATCH(VALUE(C221),_xlpm.r),0)),IF(_xlpm.m=0,"",_xlpm.m+1))</f>
        <v/>
      </c>
      <c r="J221" s="137" t="inlineStr">
        <is>
          <t>NetSuite</t>
        </is>
      </c>
    </row>
    <row r="222">
      <c r="A222" s="5" t="inlineStr">
        <is>
          <t>CAPSLAB Warehouse</t>
        </is>
      </c>
      <c r="B222" s="5">
        <f>IF($I2="","",INDEX(Productos!$A:$A,$I2))</f>
        <v/>
      </c>
      <c r="C222" s="134" t="inlineStr">
        <is>
          <t>CL/REM4/1/CT/GLA-UNI</t>
        </is>
      </c>
      <c r="D222" s="5">
        <f>IF($I2="","",INDEX(Productos!$B:$B,$I2))</f>
        <v/>
      </c>
      <c r="E222" s="5">
        <f>IF($I2="","",INDEX(Productos!$H:$H,$I2))</f>
        <v/>
      </c>
      <c r="F222" s="5">
        <f>IF($I2="","",INDEX(Productos!$I:$I,$I2))</f>
        <v/>
      </c>
      <c r="G222" s="135" t="n">
        <v>49</v>
      </c>
      <c r="H222" s="5">
        <f>IF($I2="","",INDEX(Productos!$AG:$AG,$I2))</f>
        <v/>
      </c>
      <c r="I222" s="136">
        <f>LET(_xlpm.r,Productos!$E$2:$E$370,_xlpm.m,IFERROR(_xlfn.XMATCH(C222,_xlpm.r),IFERROR(_xlfn.XMATCH(VALUE(C222),_xlpm.r),0)),IF(_xlpm.m=0,"",_xlpm.m+1))</f>
        <v/>
      </c>
      <c r="J222" s="137" t="inlineStr">
        <is>
          <t>NetSuite</t>
        </is>
      </c>
    </row>
    <row r="223">
      <c r="A223" s="5" t="inlineStr">
        <is>
          <t>CAPSLAB Warehouse</t>
        </is>
      </c>
      <c r="B223" s="5">
        <f>IF($I2="","",INDEX(Productos!$A:$A,$I2))</f>
        <v/>
      </c>
      <c r="C223" s="134" t="inlineStr">
        <is>
          <t>CL/REM4/1/CT/OPE-UNI</t>
        </is>
      </c>
      <c r="D223" s="5">
        <f>IF($I2="","",INDEX(Productos!$B:$B,$I2))</f>
        <v/>
      </c>
      <c r="E223" s="5">
        <f>IF($I2="","",INDEX(Productos!$H:$H,$I2))</f>
        <v/>
      </c>
      <c r="F223" s="5">
        <f>IF($I2="","",INDEX(Productos!$I:$I,$I2))</f>
        <v/>
      </c>
      <c r="G223" s="135" t="n">
        <v>50</v>
      </c>
      <c r="H223" s="5">
        <f>IF($I2="","",INDEX(Productos!$AG:$AG,$I2))</f>
        <v/>
      </c>
      <c r="I223" s="136">
        <f>LET(_xlpm.r,Productos!$E$2:$E$370,_xlpm.m,IFERROR(_xlfn.XMATCH(C223,_xlpm.r),IFERROR(_xlfn.XMATCH(VALUE(C223),_xlpm.r),0)),IF(_xlpm.m=0,"",_xlpm.m+1))</f>
        <v/>
      </c>
      <c r="J223" s="137" t="inlineStr">
        <is>
          <t>NetSuite</t>
        </is>
      </c>
    </row>
    <row r="224">
      <c r="A224" s="5" t="inlineStr">
        <is>
          <t>CAPSLAB Warehouse</t>
        </is>
      </c>
      <c r="B224" s="5">
        <f>IF($I2="","",INDEX(Productos!$A:$A,$I2))</f>
        <v/>
      </c>
      <c r="C224" s="134" t="inlineStr">
        <is>
          <t>CL/SD1/1/REL-uNI</t>
        </is>
      </c>
      <c r="D224" s="5">
        <f>IF($I2="","",INDEX(Productos!$B:$B,$I2))</f>
        <v/>
      </c>
      <c r="E224" s="5">
        <f>IF($I2="","",INDEX(Productos!$H:$H,$I2))</f>
        <v/>
      </c>
      <c r="F224" s="5">
        <f>IF($I2="","",INDEX(Productos!$I:$I,$I2))</f>
        <v/>
      </c>
      <c r="G224" s="135" t="n">
        <v>41</v>
      </c>
      <c r="H224" s="5">
        <f>IF($I2="","",INDEX(Productos!$AG:$AG,$I2))</f>
        <v/>
      </c>
      <c r="I224" s="136">
        <f>LET(_xlpm.r,Productos!$E$2:$E$370,_xlpm.m,IFERROR(_xlfn.XMATCH(C224,_xlpm.r),IFERROR(_xlfn.XMATCH(VALUE(C224),_xlpm.r),0)),IF(_xlpm.m=0,"",_xlpm.m+1))</f>
        <v/>
      </c>
      <c r="J224" s="137" t="inlineStr">
        <is>
          <t>NetSuite</t>
        </is>
      </c>
    </row>
    <row r="225">
      <c r="A225" s="5" t="inlineStr">
        <is>
          <t>CAPSLAB Warehouse</t>
        </is>
      </c>
      <c r="B225" s="5">
        <f>IF($I2="","",INDEX(Productos!$A:$A,$I2))</f>
        <v/>
      </c>
      <c r="C225" s="134" t="inlineStr">
        <is>
          <t>CL/SD1/1/REL2-UNI</t>
        </is>
      </c>
      <c r="D225" s="5">
        <f>IF($I2="","",INDEX(Productos!$B:$B,$I2))</f>
        <v/>
      </c>
      <c r="E225" s="5">
        <f>IF($I2="","",INDEX(Productos!$H:$H,$I2))</f>
        <v/>
      </c>
      <c r="F225" s="5">
        <f>IF($I2="","",INDEX(Productos!$I:$I,$I2))</f>
        <v/>
      </c>
      <c r="G225" s="135" t="n">
        <v>2</v>
      </c>
      <c r="H225" s="5">
        <f>IF($I2="","",INDEX(Productos!$AG:$AG,$I2))</f>
        <v/>
      </c>
      <c r="I225" s="136">
        <f>LET(_xlpm.r,Productos!$E$2:$E$370,_xlpm.m,IFERROR(_xlfn.XMATCH(C225,_xlpm.r),IFERROR(_xlfn.XMATCH(VALUE(C225),_xlpm.r),0)),IF(_xlpm.m=0,"",_xlpm.m+1))</f>
        <v/>
      </c>
      <c r="J225" s="137" t="inlineStr">
        <is>
          <t>NetSuite</t>
        </is>
      </c>
    </row>
    <row r="226">
      <c r="A226" s="5" t="inlineStr">
        <is>
          <t>CAPSLAB Warehouse</t>
        </is>
      </c>
      <c r="B226" s="5">
        <f>IF($I2="","",INDEX(Productos!$A:$A,$I2))</f>
        <v/>
      </c>
      <c r="C226" s="134" t="inlineStr">
        <is>
          <t>CL/SD1/1/STU-UNI</t>
        </is>
      </c>
      <c r="D226" s="5">
        <f>IF($I2="","",INDEX(Productos!$B:$B,$I2))</f>
        <v/>
      </c>
      <c r="E226" s="5">
        <f>IF($I2="","",INDEX(Productos!$H:$H,$I2))</f>
        <v/>
      </c>
      <c r="F226" s="5">
        <f>IF($I2="","",INDEX(Productos!$I:$I,$I2))</f>
        <v/>
      </c>
      <c r="G226" s="135" t="n">
        <v>16</v>
      </c>
      <c r="H226" s="5">
        <f>IF($I2="","",INDEX(Productos!$AG:$AG,$I2))</f>
        <v/>
      </c>
      <c r="I226" s="136">
        <f>LET(_xlpm.r,Productos!$E$2:$E$370,_xlpm.m,IFERROR(_xlfn.XMATCH(C226,_xlpm.r),IFERROR(_xlfn.XMATCH(VALUE(C226),_xlpm.r),0)),IF(_xlpm.m=0,"",_xlpm.m+1))</f>
        <v/>
      </c>
      <c r="J226" s="137" t="inlineStr">
        <is>
          <t>NetSuite</t>
        </is>
      </c>
    </row>
    <row r="227">
      <c r="A227" s="5" t="inlineStr">
        <is>
          <t>CAPSLAB Warehouse</t>
        </is>
      </c>
      <c r="B227" s="5">
        <f>IF($I2="","",INDEX(Productos!$A:$A,$I2))</f>
        <v/>
      </c>
      <c r="C227" s="134" t="inlineStr">
        <is>
          <t>CL/SPE1/1/CAS/SPE3-UNI</t>
        </is>
      </c>
      <c r="D227" s="5">
        <f>IF($I2="","",INDEX(Productos!$B:$B,$I2))</f>
        <v/>
      </c>
      <c r="E227" s="5">
        <f>IF($I2="","",INDEX(Productos!$H:$H,$I2))</f>
        <v/>
      </c>
      <c r="F227" s="5">
        <f>IF($I2="","",INDEX(Productos!$I:$I,$I2))</f>
        <v/>
      </c>
      <c r="G227" s="135" t="n">
        <v>1</v>
      </c>
      <c r="H227" s="5">
        <f>IF($I2="","",INDEX(Productos!$AG:$AG,$I2))</f>
        <v/>
      </c>
      <c r="I227" s="136">
        <f>LET(_xlpm.r,Productos!$E$2:$E$370,_xlpm.m,IFERROR(_xlfn.XMATCH(C227,_xlpm.r),IFERROR(_xlfn.XMATCH(VALUE(C227),_xlpm.r),0)),IF(_xlpm.m=0,"",_xlpm.m+1))</f>
        <v/>
      </c>
      <c r="J227" s="137" t="inlineStr">
        <is>
          <t>NetSuite</t>
        </is>
      </c>
    </row>
    <row r="228">
      <c r="A228" s="5" t="inlineStr">
        <is>
          <t>CAPSLAB Warehouse</t>
        </is>
      </c>
      <c r="B228" s="5">
        <f>IF($I2="","",INDEX(Productos!$A:$A,$I2))</f>
        <v/>
      </c>
      <c r="C228" s="134" t="inlineStr">
        <is>
          <t>CL/TAJ1/1/CAS/TO4-UNI</t>
        </is>
      </c>
      <c r="D228" s="5">
        <f>IF($I2="","",INDEX(Productos!$B:$B,$I2))</f>
        <v/>
      </c>
      <c r="E228" s="5">
        <f>IF($I2="","",INDEX(Productos!$H:$H,$I2))</f>
        <v/>
      </c>
      <c r="F228" s="5">
        <f>IF($I2="","",INDEX(Productos!$I:$I,$I2))</f>
        <v/>
      </c>
      <c r="G228" s="135" t="n">
        <v>3</v>
      </c>
      <c r="H228" s="5">
        <f>IF($I2="","",INDEX(Productos!$AG:$AG,$I2))</f>
        <v/>
      </c>
      <c r="I228" s="136">
        <f>LET(_xlpm.r,Productos!$E$2:$E$370,_xlpm.m,IFERROR(_xlfn.XMATCH(C228,_xlpm.r),IFERROR(_xlfn.XMATCH(VALUE(C228),_xlpm.r),0)),IF(_xlpm.m=0,"",_xlpm.m+1))</f>
        <v/>
      </c>
      <c r="J228" s="137" t="inlineStr">
        <is>
          <t>NetSuite</t>
        </is>
      </c>
    </row>
    <row r="229">
      <c r="A229" s="5" t="inlineStr">
        <is>
          <t>CAPSLAB Warehouse</t>
        </is>
      </c>
      <c r="B229" s="5">
        <f>IF($I2="","",INDEX(Productos!$A:$A,$I2))</f>
        <v/>
      </c>
      <c r="C229" s="134" t="inlineStr">
        <is>
          <t>CL/TAJ1/1/CASB/TJ4-UNI</t>
        </is>
      </c>
      <c r="D229" s="5">
        <f>IF($I2="","",INDEX(Productos!$B:$B,$I2))</f>
        <v/>
      </c>
      <c r="E229" s="5">
        <f>IF($I2="","",INDEX(Productos!$H:$H,$I2))</f>
        <v/>
      </c>
      <c r="F229" s="5">
        <f>IF($I2="","",INDEX(Productos!$I:$I,$I2))</f>
        <v/>
      </c>
      <c r="G229" s="135" t="n">
        <v>2</v>
      </c>
      <c r="H229" s="5">
        <f>IF($I2="","",INDEX(Productos!$AG:$AG,$I2))</f>
        <v/>
      </c>
      <c r="I229" s="136">
        <f>LET(_xlpm.r,Productos!$E$2:$E$370,_xlpm.m,IFERROR(_xlfn.XMATCH(C229,_xlpm.r),IFERROR(_xlfn.XMATCH(VALUE(C229),_xlpm.r),0)),IF(_xlpm.m=0,"",_xlpm.m+1))</f>
        <v/>
      </c>
      <c r="J229" s="137" t="inlineStr">
        <is>
          <t>NetSuite</t>
        </is>
      </c>
    </row>
    <row r="230">
      <c r="A230" s="5" t="inlineStr">
        <is>
          <t>CAPSLAB Warehouse</t>
        </is>
      </c>
      <c r="B230" s="5">
        <f>IF($I2="","",INDEX(Productos!$A:$A,$I2))</f>
        <v/>
      </c>
      <c r="C230" s="134" t="inlineStr">
        <is>
          <t>CL/TAJ1/1/JER1-UNI</t>
        </is>
      </c>
      <c r="D230" s="5">
        <f>IF($I2="","",INDEX(Productos!$B:$B,$I2))</f>
        <v/>
      </c>
      <c r="E230" s="5">
        <f>IF($I2="","",INDEX(Productos!$H:$H,$I2))</f>
        <v/>
      </c>
      <c r="F230" s="5">
        <f>IF($I2="","",INDEX(Productos!$I:$I,$I2))</f>
        <v/>
      </c>
      <c r="G230" s="135" t="n">
        <v>46</v>
      </c>
      <c r="H230" s="5">
        <f>IF($I2="","",INDEX(Productos!$AG:$AG,$I2))</f>
        <v/>
      </c>
      <c r="I230" s="136">
        <f>LET(_xlpm.r,Productos!$E$2:$E$370,_xlpm.m,IFERROR(_xlfn.XMATCH(C230,_xlpm.r),IFERROR(_xlfn.XMATCH(VALUE(C230),_xlpm.r),0)),IF(_xlpm.m=0,"",_xlpm.m+1))</f>
        <v/>
      </c>
      <c r="J230" s="137" t="inlineStr">
        <is>
          <t>NetSuite</t>
        </is>
      </c>
    </row>
    <row r="231">
      <c r="A231" s="5" t="inlineStr">
        <is>
          <t>CAPSLAB Warehouse</t>
        </is>
      </c>
      <c r="B231" s="5">
        <f>IF($I2="","",INDEX(Productos!$A:$A,$I2))</f>
        <v/>
      </c>
      <c r="C231" s="134" t="inlineStr">
        <is>
          <t>CL/TAJ1/1/JER2-UNI</t>
        </is>
      </c>
      <c r="D231" s="5">
        <f>IF($I2="","",INDEX(Productos!$B:$B,$I2))</f>
        <v/>
      </c>
      <c r="E231" s="5">
        <f>IF($I2="","",INDEX(Productos!$H:$H,$I2))</f>
        <v/>
      </c>
      <c r="F231" s="5">
        <f>IF($I2="","",INDEX(Productos!$I:$I,$I2))</f>
        <v/>
      </c>
      <c r="G231" s="135" t="n">
        <v>47</v>
      </c>
      <c r="H231" s="5">
        <f>IF($I2="","",INDEX(Productos!$AG:$AG,$I2))</f>
        <v/>
      </c>
      <c r="I231" s="136">
        <f>LET(_xlpm.r,Productos!$E$2:$E$370,_xlpm.m,IFERROR(_xlfn.XMATCH(C231,_xlpm.r),IFERROR(_xlfn.XMATCH(VALUE(C231),_xlpm.r),0)),IF(_xlpm.m=0,"",_xlpm.m+1))</f>
        <v/>
      </c>
      <c r="J231" s="137" t="inlineStr">
        <is>
          <t>NetSuite</t>
        </is>
      </c>
    </row>
    <row r="232">
      <c r="A232" s="5" t="inlineStr">
        <is>
          <t>CAPSLAB Warehouse</t>
        </is>
      </c>
      <c r="B232" s="5">
        <f>IF($I2="","",INDEX(Productos!$A:$A,$I2))</f>
        <v/>
      </c>
      <c r="C232" s="134" t="inlineStr">
        <is>
          <t>CL/TAJ1/1/TOM2-UNI</t>
        </is>
      </c>
      <c r="D232" s="5">
        <f>IF($I2="","",INDEX(Productos!$B:$B,$I2))</f>
        <v/>
      </c>
      <c r="E232" s="5">
        <f>IF($I2="","",INDEX(Productos!$H:$H,$I2))</f>
        <v/>
      </c>
      <c r="F232" s="5">
        <f>IF($I2="","",INDEX(Productos!$I:$I,$I2))</f>
        <v/>
      </c>
      <c r="G232" s="135" t="n">
        <v>2</v>
      </c>
      <c r="H232" s="5">
        <f>IF($I2="","",INDEX(Productos!$AG:$AG,$I2))</f>
        <v/>
      </c>
      <c r="I232" s="136">
        <f>LET(_xlpm.r,Productos!$E$2:$E$370,_xlpm.m,IFERROR(_xlfn.XMATCH(C232,_xlpm.r),IFERROR(_xlfn.XMATCH(VALUE(C232),_xlpm.r),0)),IF(_xlpm.m=0,"",_xlpm.m+1))</f>
        <v/>
      </c>
      <c r="J232" s="137" t="inlineStr">
        <is>
          <t>NetSuite</t>
        </is>
      </c>
    </row>
    <row r="233">
      <c r="A233" s="5" t="inlineStr">
        <is>
          <t>CAPSLAB Warehouse</t>
        </is>
      </c>
      <c r="B233" s="5">
        <f>IF($I2="","",INDEX(Productos!$A:$A,$I2))</f>
        <v/>
      </c>
      <c r="C233" s="134" t="inlineStr">
        <is>
          <t>CL/TAJ4/1/CD/CAT-UNI</t>
        </is>
      </c>
      <c r="D233" s="5">
        <f>IF($I2="","",INDEX(Productos!$B:$B,$I2))</f>
        <v/>
      </c>
      <c r="E233" s="5">
        <f>IF($I2="","",INDEX(Productos!$H:$H,$I2))</f>
        <v/>
      </c>
      <c r="F233" s="5">
        <f>IF($I2="","",INDEX(Productos!$I:$I,$I2))</f>
        <v/>
      </c>
      <c r="G233" s="135" t="n">
        <v>47</v>
      </c>
      <c r="H233" s="5">
        <f>IF($I2="","",INDEX(Productos!$AG:$AG,$I2))</f>
        <v/>
      </c>
      <c r="I233" s="136">
        <f>LET(_xlpm.r,Productos!$E$2:$E$370,_xlpm.m,IFERROR(_xlfn.XMATCH(C233,_xlpm.r),IFERROR(_xlfn.XMATCH(VALUE(C233),_xlpm.r),0)),IF(_xlpm.m=0,"",_xlpm.m+1))</f>
        <v/>
      </c>
      <c r="J233" s="137" t="inlineStr">
        <is>
          <t>NetSuite</t>
        </is>
      </c>
    </row>
    <row r="234">
      <c r="A234" s="5" t="inlineStr">
        <is>
          <t>CAPSLAB Warehouse</t>
        </is>
      </c>
      <c r="B234" s="5">
        <f>IF($I2="","",INDEX(Productos!$A:$A,$I2))</f>
        <v/>
      </c>
      <c r="C234" s="134" t="inlineStr">
        <is>
          <t>CL/TAJ4/1/CD/MOU-UNI</t>
        </is>
      </c>
      <c r="D234" s="5">
        <f>IF($I2="","",INDEX(Productos!$B:$B,$I2))</f>
        <v/>
      </c>
      <c r="E234" s="5">
        <f>IF($I2="","",INDEX(Productos!$H:$H,$I2))</f>
        <v/>
      </c>
      <c r="F234" s="5">
        <f>IF($I2="","",INDEX(Productos!$I:$I,$I2))</f>
        <v/>
      </c>
      <c r="G234" s="135" t="n">
        <v>45</v>
      </c>
      <c r="H234" s="5">
        <f>IF($I2="","",INDEX(Productos!$AG:$AG,$I2))</f>
        <v/>
      </c>
      <c r="I234" s="136">
        <f>LET(_xlpm.r,Productos!$E$2:$E$370,_xlpm.m,IFERROR(_xlfn.XMATCH(C234,_xlpm.r),IFERROR(_xlfn.XMATCH(VALUE(C234),_xlpm.r),0)),IF(_xlpm.m=0,"",_xlpm.m+1))</f>
        <v/>
      </c>
      <c r="J234" s="137" t="inlineStr">
        <is>
          <t>NetSuite</t>
        </is>
      </c>
    </row>
    <row r="235">
      <c r="A235" s="5" t="inlineStr">
        <is>
          <t>CAPSLAB Warehouse</t>
        </is>
      </c>
      <c r="B235" s="5">
        <f>IF($I2="","",INDEX(Productos!$A:$A,$I2))</f>
        <v/>
      </c>
      <c r="C235" s="134" t="inlineStr">
        <is>
          <t>CL/TAJ4/1/CT/CHE-UNI</t>
        </is>
      </c>
      <c r="D235" s="5">
        <f>IF($I2="","",INDEX(Productos!$B:$B,$I2))</f>
        <v/>
      </c>
      <c r="E235" s="5">
        <f>IF($I2="","",INDEX(Productos!$H:$H,$I2))</f>
        <v/>
      </c>
      <c r="F235" s="5">
        <f>IF($I2="","",INDEX(Productos!$I:$I,$I2))</f>
        <v/>
      </c>
      <c r="G235" s="135" t="n">
        <v>41</v>
      </c>
      <c r="H235" s="5">
        <f>IF($I2="","",INDEX(Productos!$AG:$AG,$I2))</f>
        <v/>
      </c>
      <c r="I235" s="136">
        <f>LET(_xlpm.r,Productos!$E$2:$E$370,_xlpm.m,IFERROR(_xlfn.XMATCH(C235,_xlpm.r),IFERROR(_xlfn.XMATCH(VALUE(C235),_xlpm.r),0)),IF(_xlpm.m=0,"",_xlpm.m+1))</f>
        <v/>
      </c>
      <c r="J235" s="137" t="inlineStr">
        <is>
          <t>NetSuite</t>
        </is>
      </c>
    </row>
    <row r="236">
      <c r="A236" s="5" t="inlineStr">
        <is>
          <t>CAPSLAB Warehouse</t>
        </is>
      </c>
      <c r="B236" s="5">
        <f>IF($I2="","",INDEX(Productos!$A:$A,$I2))</f>
        <v/>
      </c>
      <c r="C236" s="134" t="inlineStr">
        <is>
          <t>CL/TAJ4/1/CT/GAT-UNI</t>
        </is>
      </c>
      <c r="D236" s="5">
        <f>IF($I2="","",INDEX(Productos!$B:$B,$I2))</f>
        <v/>
      </c>
      <c r="E236" s="5">
        <f>IF($I2="","",INDEX(Productos!$H:$H,$I2))</f>
        <v/>
      </c>
      <c r="F236" s="5">
        <f>IF($I2="","",INDEX(Productos!$I:$I,$I2))</f>
        <v/>
      </c>
      <c r="G236" s="135" t="n">
        <v>39</v>
      </c>
      <c r="H236" s="5">
        <f>IF($I2="","",INDEX(Productos!$AG:$AG,$I2))</f>
        <v/>
      </c>
      <c r="I236" s="136">
        <f>LET(_xlpm.r,Productos!$E$2:$E$370,_xlpm.m,IFERROR(_xlfn.XMATCH(C236,_xlpm.r),IFERROR(_xlfn.XMATCH(VALUE(C236),_xlpm.r),0)),IF(_xlpm.m=0,"",_xlpm.m+1))</f>
        <v/>
      </c>
      <c r="J236" s="137" t="inlineStr">
        <is>
          <t>NetSuite</t>
        </is>
      </c>
    </row>
    <row r="237">
      <c r="A237" s="5" t="inlineStr">
        <is>
          <t>CAPSLAB Warehouse</t>
        </is>
      </c>
      <c r="B237" s="5">
        <f>IF($I2="","",INDEX(Productos!$A:$A,$I2))</f>
        <v/>
      </c>
      <c r="C237" s="134" t="inlineStr">
        <is>
          <t>CL/TAJ4/1/CT/GRI-UNI</t>
        </is>
      </c>
      <c r="D237" s="5">
        <f>IF($I2="","",INDEX(Productos!$B:$B,$I2))</f>
        <v/>
      </c>
      <c r="E237" s="5">
        <f>IF($I2="","",INDEX(Productos!$H:$H,$I2))</f>
        <v/>
      </c>
      <c r="F237" s="5">
        <f>IF($I2="","",INDEX(Productos!$I:$I,$I2))</f>
        <v/>
      </c>
      <c r="G237" s="135" t="n">
        <v>48</v>
      </c>
      <c r="H237" s="5">
        <f>IF($I2="","",INDEX(Productos!$AG:$AG,$I2))</f>
        <v/>
      </c>
      <c r="I237" s="136">
        <f>LET(_xlpm.r,Productos!$E$2:$E$370,_xlpm.m,IFERROR(_xlfn.XMATCH(C237,_xlpm.r),IFERROR(_xlfn.XMATCH(VALUE(C237),_xlpm.r),0)),IF(_xlpm.m=0,"",_xlpm.m+1))</f>
        <v/>
      </c>
      <c r="J237" s="137" t="inlineStr">
        <is>
          <t>NetSuite</t>
        </is>
      </c>
    </row>
    <row r="238">
      <c r="A238" s="5" t="inlineStr">
        <is>
          <t>CAPSLAB Warehouse</t>
        </is>
      </c>
      <c r="B238" s="5">
        <f>IF($I2="","",INDEX(Productos!$A:$A,$I2))</f>
        <v/>
      </c>
      <c r="C238" s="134" t="inlineStr">
        <is>
          <t>CL/TAJ4/1/CT/JER-UNI</t>
        </is>
      </c>
      <c r="D238" s="5">
        <f>IF($I2="","",INDEX(Productos!$B:$B,$I2))</f>
        <v/>
      </c>
      <c r="E238" s="5">
        <f>IF($I2="","",INDEX(Productos!$H:$H,$I2))</f>
        <v/>
      </c>
      <c r="F238" s="5">
        <f>IF($I2="","",INDEX(Productos!$I:$I,$I2))</f>
        <v/>
      </c>
      <c r="G238" s="135" t="n">
        <v>39</v>
      </c>
      <c r="H238" s="5">
        <f>IF($I2="","",INDEX(Productos!$AG:$AG,$I2))</f>
        <v/>
      </c>
      <c r="I238" s="136">
        <f>LET(_xlpm.r,Productos!$E$2:$E$370,_xlpm.m,IFERROR(_xlfn.XMATCH(C238,_xlpm.r),IFERROR(_xlfn.XMATCH(VALUE(C238),_xlpm.r),0)),IF(_xlpm.m=0,"",_xlpm.m+1))</f>
        <v/>
      </c>
      <c r="J238" s="137" t="inlineStr">
        <is>
          <t>NetSuite</t>
        </is>
      </c>
    </row>
    <row r="239">
      <c r="A239" s="5" t="inlineStr">
        <is>
          <t>CAPSLAB Warehouse</t>
        </is>
      </c>
      <c r="B239" s="5">
        <f>IF($I2="","",INDEX(Productos!$A:$A,$I2))</f>
        <v/>
      </c>
      <c r="C239" s="134" t="inlineStr">
        <is>
          <t>CL/TAJ4/1/CT/RID-UNI</t>
        </is>
      </c>
      <c r="D239" s="5">
        <f>IF($I2="","",INDEX(Productos!$B:$B,$I2))</f>
        <v/>
      </c>
      <c r="E239" s="5">
        <f>IF($I2="","",INDEX(Productos!$H:$H,$I2))</f>
        <v/>
      </c>
      <c r="F239" s="5">
        <f>IF($I2="","",INDEX(Productos!$I:$I,$I2))</f>
        <v/>
      </c>
      <c r="G239" s="135" t="n">
        <v>9</v>
      </c>
      <c r="H239" s="5">
        <f>IF($I2="","",INDEX(Productos!$AG:$AG,$I2))</f>
        <v/>
      </c>
      <c r="I239" s="136">
        <f>LET(_xlpm.r,Productos!$E$2:$E$370,_xlpm.m,IFERROR(_xlfn.XMATCH(C239,_xlpm.r),IFERROR(_xlfn.XMATCH(VALUE(C239),_xlpm.r),0)),IF(_xlpm.m=0,"",_xlpm.m+1))</f>
        <v/>
      </c>
      <c r="J239" s="137" t="inlineStr">
        <is>
          <t>NetSuite</t>
        </is>
      </c>
    </row>
    <row r="240">
      <c r="A240" s="5" t="inlineStr">
        <is>
          <t>CAPSLAB Warehouse</t>
        </is>
      </c>
      <c r="B240" s="5">
        <f>IF($I2="","",INDEX(Productos!$A:$A,$I2))</f>
        <v/>
      </c>
      <c r="C240" s="134" t="inlineStr">
        <is>
          <t>CL/TAJ4/1/CT/SCA-UNI</t>
        </is>
      </c>
      <c r="D240" s="5">
        <f>IF($I2="","",INDEX(Productos!$B:$B,$I2))</f>
        <v/>
      </c>
      <c r="E240" s="5">
        <f>IF($I2="","",INDEX(Productos!$H:$H,$I2))</f>
        <v/>
      </c>
      <c r="F240" s="5">
        <f>IF($I2="","",INDEX(Productos!$I:$I,$I2))</f>
        <v/>
      </c>
      <c r="G240" s="135" t="n">
        <v>34</v>
      </c>
      <c r="H240" s="5">
        <f>IF($I2="","",INDEX(Productos!$AG:$AG,$I2))</f>
        <v/>
      </c>
      <c r="I240" s="136">
        <f>LET(_xlpm.r,Productos!$E$2:$E$370,_xlpm.m,IFERROR(_xlfn.XMATCH(C240,_xlpm.r),IFERROR(_xlfn.XMATCH(VALUE(C240),_xlpm.r),0)),IF(_xlpm.m=0,"",_xlpm.m+1))</f>
        <v/>
      </c>
      <c r="J240" s="137" t="inlineStr">
        <is>
          <t>NetSuite</t>
        </is>
      </c>
    </row>
    <row r="241">
      <c r="A241" s="5" t="inlineStr">
        <is>
          <t>CAPSLAB Warehouse</t>
        </is>
      </c>
      <c r="B241" s="5">
        <f>IF($I2="","",INDEX(Productos!$A:$A,$I2))</f>
        <v/>
      </c>
      <c r="C241" s="134" t="inlineStr">
        <is>
          <t>CL/TAJ4/1/CT/SMI-UNI</t>
        </is>
      </c>
      <c r="D241" s="5">
        <f>IF($I2="","",INDEX(Productos!$B:$B,$I2))</f>
        <v/>
      </c>
      <c r="E241" s="5">
        <f>IF($I2="","",INDEX(Productos!$H:$H,$I2))</f>
        <v/>
      </c>
      <c r="F241" s="5">
        <f>IF($I2="","",INDEX(Productos!$I:$I,$I2))</f>
        <v/>
      </c>
      <c r="G241" s="135" t="n">
        <v>26</v>
      </c>
      <c r="H241" s="5">
        <f>IF($I2="","",INDEX(Productos!$AG:$AG,$I2))</f>
        <v/>
      </c>
      <c r="I241" s="136">
        <f>LET(_xlpm.r,Productos!$E$2:$E$370,_xlpm.m,IFERROR(_xlfn.XMATCH(C241,_xlpm.r),IFERROR(_xlfn.XMATCH(VALUE(C241),_xlpm.r),0)),IF(_xlpm.m=0,"",_xlpm.m+1))</f>
        <v/>
      </c>
      <c r="J241" s="137" t="inlineStr">
        <is>
          <t>NetSuite</t>
        </is>
      </c>
    </row>
    <row r="242">
      <c r="A242" s="5" t="inlineStr">
        <is>
          <t>CAPSLAB Warehouse</t>
        </is>
      </c>
      <c r="B242" s="5">
        <f>IF($I2="","",INDEX(Productos!$A:$A,$I2))</f>
        <v/>
      </c>
      <c r="C242" s="134" t="inlineStr">
        <is>
          <t>CL/TAJ4/1/CT/TOM-UNI</t>
        </is>
      </c>
      <c r="D242" s="5">
        <f>IF($I2="","",INDEX(Productos!$B:$B,$I2))</f>
        <v/>
      </c>
      <c r="E242" s="5">
        <f>IF($I2="","",INDEX(Productos!$H:$H,$I2))</f>
        <v/>
      </c>
      <c r="F242" s="5">
        <f>IF($I2="","",INDEX(Productos!$I:$I,$I2))</f>
        <v/>
      </c>
      <c r="G242" s="135" t="n">
        <v>41</v>
      </c>
      <c r="H242" s="5">
        <f>IF($I2="","",INDEX(Productos!$AG:$AG,$I2))</f>
        <v/>
      </c>
      <c r="I242" s="136">
        <f>LET(_xlpm.r,Productos!$E$2:$E$370,_xlpm.m,IFERROR(_xlfn.XMATCH(C242,_xlpm.r),IFERROR(_xlfn.XMATCH(VALUE(C242),_xlpm.r),0)),IF(_xlpm.m=0,"",_xlpm.m+1))</f>
        <v/>
      </c>
      <c r="J242" s="137" t="inlineStr">
        <is>
          <t>NetSuite</t>
        </is>
      </c>
    </row>
    <row r="243">
      <c r="A243" s="5" t="inlineStr">
        <is>
          <t>CAPSLAB Warehouse</t>
        </is>
      </c>
      <c r="B243" s="5">
        <f>IF($I2="","",INDEX(Productos!$A:$A,$I2))</f>
        <v/>
      </c>
      <c r="C243" s="134" t="inlineStr">
        <is>
          <t>CL4/1/CF/LUC-UNI</t>
        </is>
      </c>
      <c r="D243" s="5">
        <f>IF($I2="","",INDEX(Productos!$B:$B,$I2))</f>
        <v/>
      </c>
      <c r="E243" s="5">
        <f>IF($I2="","",INDEX(Productos!$H:$H,$I2))</f>
        <v/>
      </c>
      <c r="F243" s="5">
        <f>IF($I2="","",INDEX(Productos!$I:$I,$I2))</f>
        <v/>
      </c>
      <c r="G243" s="135" t="n">
        <v>54</v>
      </c>
      <c r="H243" s="5">
        <f>IF($I2="","",INDEX(Productos!$AG:$AG,$I2))</f>
        <v/>
      </c>
      <c r="I243" s="136">
        <f>LET(_xlpm.r,Productos!$E$2:$E$370,_xlpm.m,IFERROR(_xlfn.XMATCH(C243,_xlpm.r),IFERROR(_xlfn.XMATCH(VALUE(C243),_xlpm.r),0)),IF(_xlpm.m=0,"",_xlpm.m+1))</f>
        <v/>
      </c>
      <c r="J243" s="137" t="inlineStr">
        <is>
          <t>NetSuite</t>
        </is>
      </c>
    </row>
    <row r="244">
      <c r="A244" s="5" t="inlineStr">
        <is>
          <t>CAPSLAB Warehouse</t>
        </is>
      </c>
      <c r="B244" s="5">
        <f>IF($I2="","",INDEX(Productos!$A:$A,$I2))</f>
        <v/>
      </c>
      <c r="C244" s="134" t="inlineStr">
        <is>
          <t>CL4/1/CT/BEE-UNI</t>
        </is>
      </c>
      <c r="D244" s="5">
        <f>IF($I2="","",INDEX(Productos!$B:$B,$I2))</f>
        <v/>
      </c>
      <c r="E244" s="5">
        <f>IF($I2="","",INDEX(Productos!$H:$H,$I2))</f>
        <v/>
      </c>
      <c r="F244" s="5">
        <f>IF($I2="","",INDEX(Productos!$I:$I,$I2))</f>
        <v/>
      </c>
      <c r="G244" s="135" t="n">
        <v>49</v>
      </c>
      <c r="H244" s="5">
        <f>IF($I2="","",INDEX(Productos!$AG:$AG,$I2))</f>
        <v/>
      </c>
      <c r="I244" s="136">
        <f>LET(_xlpm.r,Productos!$E$2:$E$370,_xlpm.m,IFERROR(_xlfn.XMATCH(C244,_xlpm.r),IFERROR(_xlfn.XMATCH(VALUE(C244),_xlpm.r),0)),IF(_xlpm.m=0,"",_xlpm.m+1))</f>
        <v/>
      </c>
      <c r="J244" s="137" t="inlineStr">
        <is>
          <t>NetSuite</t>
        </is>
      </c>
    </row>
    <row r="245">
      <c r="A245" s="5" t="inlineStr">
        <is>
          <t>CAPSLAB Warehouse</t>
        </is>
      </c>
      <c r="B245" s="5">
        <f>IF($I2="","",INDEX(Productos!$A:$A,$I2))</f>
        <v/>
      </c>
      <c r="C245" s="134" t="inlineStr">
        <is>
          <t>CL4/1/CT/BLA-UNI</t>
        </is>
      </c>
      <c r="D245" s="5">
        <f>IF($I2="","",INDEX(Productos!$B:$B,$I2))</f>
        <v/>
      </c>
      <c r="E245" s="5">
        <f>IF($I2="","",INDEX(Productos!$H:$H,$I2))</f>
        <v/>
      </c>
      <c r="F245" s="5">
        <f>IF($I2="","",INDEX(Productos!$I:$I,$I2))</f>
        <v/>
      </c>
      <c r="G245" s="135" t="n">
        <v>27</v>
      </c>
      <c r="H245" s="5">
        <f>IF($I2="","",INDEX(Productos!$AG:$AG,$I2))</f>
        <v/>
      </c>
      <c r="I245" s="136">
        <f>LET(_xlpm.r,Productos!$E$2:$E$370,_xlpm.m,IFERROR(_xlfn.XMATCH(C245,_xlpm.r),IFERROR(_xlfn.XMATCH(VALUE(C245),_xlpm.r),0)),IF(_xlpm.m=0,"",_xlpm.m+1))</f>
        <v/>
      </c>
      <c r="J245" s="137" t="inlineStr">
        <is>
          <t>NetSuite</t>
        </is>
      </c>
    </row>
    <row r="246">
      <c r="A246" s="5" t="inlineStr">
        <is>
          <t>CAPSLAB Warehouse</t>
        </is>
      </c>
      <c r="B246" s="5">
        <f>IF($I2="","",INDEX(Productos!$A:$A,$I2))</f>
        <v/>
      </c>
      <c r="C246" s="134" t="inlineStr">
        <is>
          <t>CL4/1/CT/CHE-UNI</t>
        </is>
      </c>
      <c r="D246" s="5">
        <f>IF($I2="","",INDEX(Productos!$B:$B,$I2))</f>
        <v/>
      </c>
      <c r="E246" s="5">
        <f>IF($I2="","",INDEX(Productos!$H:$H,$I2))</f>
        <v/>
      </c>
      <c r="F246" s="5">
        <f>IF($I2="","",INDEX(Productos!$I:$I,$I2))</f>
        <v/>
      </c>
      <c r="G246" s="135" t="n">
        <v>32</v>
      </c>
      <c r="H246" s="5">
        <f>IF($I2="","",INDEX(Productos!$AG:$AG,$I2))</f>
        <v/>
      </c>
      <c r="I246" s="136">
        <f>LET(_xlpm.r,Productos!$E$2:$E$370,_xlpm.m,IFERROR(_xlfn.XMATCH(C246,_xlpm.r),IFERROR(_xlfn.XMATCH(VALUE(C246),_xlpm.r),0)),IF(_xlpm.m=0,"",_xlpm.m+1))</f>
        <v/>
      </c>
      <c r="J246" s="137" t="inlineStr">
        <is>
          <t>NetSuite</t>
        </is>
      </c>
    </row>
    <row r="247">
      <c r="A247" s="5" t="inlineStr">
        <is>
          <t>CAPSLAB Warehouse</t>
        </is>
      </c>
      <c r="B247" s="5">
        <f>IF($I2="","",INDEX(Productos!$A:$A,$I2))</f>
        <v/>
      </c>
      <c r="C247" s="134" t="inlineStr">
        <is>
          <t>CL4/1/CT/COS-UNI</t>
        </is>
      </c>
      <c r="D247" s="5">
        <f>IF($I2="","",INDEX(Productos!$B:$B,$I2))</f>
        <v/>
      </c>
      <c r="E247" s="5">
        <f>IF($I2="","",INDEX(Productos!$H:$H,$I2))</f>
        <v/>
      </c>
      <c r="F247" s="5">
        <f>IF($I2="","",INDEX(Productos!$I:$I,$I2))</f>
        <v/>
      </c>
      <c r="G247" s="135" t="n">
        <v>53</v>
      </c>
      <c r="H247" s="5">
        <f>IF($I2="","",INDEX(Productos!$AG:$AG,$I2))</f>
        <v/>
      </c>
      <c r="I247" s="136">
        <f>LET(_xlpm.r,Productos!$E$2:$E$370,_xlpm.m,IFERROR(_xlfn.XMATCH(C247,_xlpm.r),IFERROR(_xlfn.XMATCH(VALUE(C247),_xlpm.r),0)),IF(_xlpm.m=0,"",_xlpm.m+1))</f>
        <v/>
      </c>
      <c r="J247" s="137" t="inlineStr">
        <is>
          <t>NetSuite</t>
        </is>
      </c>
    </row>
    <row r="248">
      <c r="A248" s="5" t="inlineStr">
        <is>
          <t>CAPSLAB Warehouse</t>
        </is>
      </c>
      <c r="B248" s="5">
        <f>IF($I2="","",INDEX(Productos!$A:$A,$I2))</f>
        <v/>
      </c>
      <c r="C248" s="134" t="inlineStr">
        <is>
          <t>CL4/1/CT/DRA-UNI</t>
        </is>
      </c>
      <c r="D248" s="5">
        <f>IF($I2="","",INDEX(Productos!$B:$B,$I2))</f>
        <v/>
      </c>
      <c r="E248" s="5">
        <f>IF($I2="","",INDEX(Productos!$H:$H,$I2))</f>
        <v/>
      </c>
      <c r="F248" s="5">
        <f>IF($I2="","",INDEX(Productos!$I:$I,$I2))</f>
        <v/>
      </c>
      <c r="G248" s="135" t="n">
        <v>54</v>
      </c>
      <c r="H248" s="5">
        <f>IF($I2="","",INDEX(Productos!$AG:$AG,$I2))</f>
        <v/>
      </c>
      <c r="I248" s="136">
        <f>LET(_xlpm.r,Productos!$E$2:$E$370,_xlpm.m,IFERROR(_xlfn.XMATCH(C248,_xlpm.r),IFERROR(_xlfn.XMATCH(VALUE(C248),_xlpm.r),0)),IF(_xlpm.m=0,"",_xlpm.m+1))</f>
        <v/>
      </c>
      <c r="J248" s="137" t="inlineStr">
        <is>
          <t>NetSuite</t>
        </is>
      </c>
    </row>
    <row r="249">
      <c r="A249" s="5" t="inlineStr">
        <is>
          <t>CAPSLAB Warehouse</t>
        </is>
      </c>
      <c r="B249" s="5">
        <f>IF($I2="","",INDEX(Productos!$A:$A,$I2))</f>
        <v/>
      </c>
      <c r="C249" s="134" t="inlineStr">
        <is>
          <t>CL4/1/CT/GAM-UNI</t>
        </is>
      </c>
      <c r="D249" s="5">
        <f>IF($I2="","",INDEX(Productos!$B:$B,$I2))</f>
        <v/>
      </c>
      <c r="E249" s="5">
        <f>IF($I2="","",INDEX(Productos!$H:$H,$I2))</f>
        <v/>
      </c>
      <c r="F249" s="5">
        <f>IF($I2="","",INDEX(Productos!$I:$I,$I2))</f>
        <v/>
      </c>
      <c r="G249" s="135" t="n">
        <v>42</v>
      </c>
      <c r="H249" s="5">
        <f>IF($I2="","",INDEX(Productos!$AG:$AG,$I2))</f>
        <v/>
      </c>
      <c r="I249" s="136">
        <f>LET(_xlpm.r,Productos!$E$2:$E$370,_xlpm.m,IFERROR(_xlfn.XMATCH(C249,_xlpm.r),IFERROR(_xlfn.XMATCH(VALUE(C249),_xlpm.r),0)),IF(_xlpm.m=0,"",_xlpm.m+1))</f>
        <v/>
      </c>
      <c r="J249" s="137" t="inlineStr">
        <is>
          <t>NetSuite</t>
        </is>
      </c>
    </row>
    <row r="250">
      <c r="A250" s="5" t="inlineStr">
        <is>
          <t>CAPSLAB Warehouse</t>
        </is>
      </c>
      <c r="B250" s="5">
        <f>IF($I2="","",INDEX(Productos!$A:$A,$I2))</f>
        <v/>
      </c>
      <c r="C250" s="134" t="inlineStr">
        <is>
          <t>CL4/1/CT/JAG-UNI</t>
        </is>
      </c>
      <c r="D250" s="5">
        <f>IF($I2="","",INDEX(Productos!$B:$B,$I2))</f>
        <v/>
      </c>
      <c r="E250" s="5">
        <f>IF($I2="","",INDEX(Productos!$H:$H,$I2))</f>
        <v/>
      </c>
      <c r="F250" s="5">
        <f>IF($I2="","",INDEX(Productos!$I:$I,$I2))</f>
        <v/>
      </c>
      <c r="G250" s="135" t="n">
        <v>48</v>
      </c>
      <c r="H250" s="5">
        <f>IF($I2="","",INDEX(Productos!$AG:$AG,$I2))</f>
        <v/>
      </c>
      <c r="I250" s="136">
        <f>LET(_xlpm.r,Productos!$E$2:$E$370,_xlpm.m,IFERROR(_xlfn.XMATCH(C250,_xlpm.r),IFERROR(_xlfn.XMATCH(VALUE(C250),_xlpm.r),0)),IF(_xlpm.m=0,"",_xlpm.m+1))</f>
        <v/>
      </c>
      <c r="J250" s="137" t="inlineStr">
        <is>
          <t>NetSuite</t>
        </is>
      </c>
    </row>
    <row r="251">
      <c r="A251" s="5" t="inlineStr">
        <is>
          <t>CAPSLAB Warehouse</t>
        </is>
      </c>
      <c r="B251" s="5">
        <f>IF($I2="","",INDEX(Productos!$A:$A,$I2))</f>
        <v/>
      </c>
      <c r="C251" s="134" t="inlineStr">
        <is>
          <t>CL4/1/CT/OLD-UNI</t>
        </is>
      </c>
      <c r="D251" s="5">
        <f>IF($I2="","",INDEX(Productos!$B:$B,$I2))</f>
        <v/>
      </c>
      <c r="E251" s="5">
        <f>IF($I2="","",INDEX(Productos!$H:$H,$I2))</f>
        <v/>
      </c>
      <c r="F251" s="5">
        <f>IF($I2="","",INDEX(Productos!$I:$I,$I2))</f>
        <v/>
      </c>
      <c r="G251" s="135" t="n">
        <v>54</v>
      </c>
      <c r="H251" s="5">
        <f>IF($I2="","",INDEX(Productos!$AG:$AG,$I2))</f>
        <v/>
      </c>
      <c r="I251" s="136">
        <f>LET(_xlpm.r,Productos!$E$2:$E$370,_xlpm.m,IFERROR(_xlfn.XMATCH(C251,_xlpm.r),IFERROR(_xlfn.XMATCH(VALUE(C251),_xlpm.r),0)),IF(_xlpm.m=0,"",_xlpm.m+1))</f>
        <v/>
      </c>
      <c r="J251" s="137" t="inlineStr">
        <is>
          <t>NetSuite</t>
        </is>
      </c>
    </row>
    <row r="252">
      <c r="A252" s="5" t="inlineStr">
        <is>
          <t>CAPSLAB Warehouse</t>
        </is>
      </c>
      <c r="B252" s="5">
        <f>IF($I2="","",INDEX(Productos!$A:$A,$I2))</f>
        <v/>
      </c>
      <c r="C252" s="134" t="inlineStr">
        <is>
          <t>CL4/1/CT/PAN-UNI</t>
        </is>
      </c>
      <c r="D252" s="5">
        <f>IF($I2="","",INDEX(Productos!$B:$B,$I2))</f>
        <v/>
      </c>
      <c r="E252" s="5">
        <f>IF($I2="","",INDEX(Productos!$H:$H,$I2))</f>
        <v/>
      </c>
      <c r="F252" s="5">
        <f>IF($I2="","",INDEX(Productos!$I:$I,$I2))</f>
        <v/>
      </c>
      <c r="G252" s="135" t="n">
        <v>51</v>
      </c>
      <c r="H252" s="5">
        <f>IF($I2="","",INDEX(Productos!$AG:$AG,$I2))</f>
        <v/>
      </c>
      <c r="I252" s="136">
        <f>LET(_xlpm.r,Productos!$E$2:$E$370,_xlpm.m,IFERROR(_xlfn.XMATCH(C252,_xlpm.r),IFERROR(_xlfn.XMATCH(VALUE(C252),_xlpm.r),0)),IF(_xlpm.m=0,"",_xlpm.m+1))</f>
        <v/>
      </c>
      <c r="J252" s="137" t="inlineStr">
        <is>
          <t>NetSuite</t>
        </is>
      </c>
    </row>
    <row r="253">
      <c r="A253" s="5" t="inlineStr">
        <is>
          <t>CAPSLAB Warehouse</t>
        </is>
      </c>
      <c r="B253" s="5">
        <f>IF($I2="","",INDEX(Productos!$A:$A,$I2))</f>
        <v/>
      </c>
      <c r="C253" s="134" t="inlineStr">
        <is>
          <t>CL4/1/CT/SEC-UNI</t>
        </is>
      </c>
      <c r="D253" s="5">
        <f>IF($I2="","",INDEX(Productos!$B:$B,$I2))</f>
        <v/>
      </c>
      <c r="E253" s="5">
        <f>IF($I2="","",INDEX(Productos!$H:$H,$I2))</f>
        <v/>
      </c>
      <c r="F253" s="5">
        <f>IF($I2="","",INDEX(Productos!$I:$I,$I2))</f>
        <v/>
      </c>
      <c r="G253" s="135" t="n">
        <v>49</v>
      </c>
      <c r="H253" s="5">
        <f>IF($I2="","",INDEX(Productos!$AG:$AG,$I2))</f>
        <v/>
      </c>
      <c r="I253" s="136">
        <f>LET(_xlpm.r,Productos!$E$2:$E$370,_xlpm.m,IFERROR(_xlfn.XMATCH(C253,_xlpm.r),IFERROR(_xlfn.XMATCH(VALUE(C253),_xlpm.r),0)),IF(_xlpm.m=0,"",_xlpm.m+1))</f>
        <v/>
      </c>
      <c r="J253" s="137" t="inlineStr">
        <is>
          <t>NetSuite</t>
        </is>
      </c>
    </row>
    <row r="254">
      <c r="A254" s="5" t="inlineStr">
        <is>
          <t>CAPSLAB Warehouse</t>
        </is>
      </c>
      <c r="B254" s="5">
        <f>IF($I2="","",INDEX(Productos!$A:$A,$I2))</f>
        <v/>
      </c>
      <c r="C254" s="134" t="inlineStr">
        <is>
          <t>CL4/1/CT/SEX-UNI</t>
        </is>
      </c>
      <c r="D254" s="5">
        <f>IF($I2="","",INDEX(Productos!$B:$B,$I2))</f>
        <v/>
      </c>
      <c r="E254" s="5">
        <f>IF($I2="","",INDEX(Productos!$H:$H,$I2))</f>
        <v/>
      </c>
      <c r="F254" s="5">
        <f>IF($I2="","",INDEX(Productos!$I:$I,$I2))</f>
        <v/>
      </c>
      <c r="G254" s="135" t="n">
        <v>51</v>
      </c>
      <c r="H254" s="5">
        <f>IF($I2="","",INDEX(Productos!$AG:$AG,$I2))</f>
        <v/>
      </c>
      <c r="I254" s="136">
        <f>LET(_xlpm.r,Productos!$E$2:$E$370,_xlpm.m,IFERROR(_xlfn.XMATCH(C254,_xlpm.r),IFERROR(_xlfn.XMATCH(VALUE(C254),_xlpm.r),0)),IF(_xlpm.m=0,"",_xlpm.m+1))</f>
        <v/>
      </c>
      <c r="J254" s="137" t="inlineStr">
        <is>
          <t>NetSuite</t>
        </is>
      </c>
    </row>
    <row r="255">
      <c r="A255" s="5" t="inlineStr">
        <is>
          <t>CAPSLAB Warehouse</t>
        </is>
      </c>
      <c r="B255" s="5">
        <f>IF($I2="","",INDEX(Productos!$A:$A,$I2))</f>
        <v/>
      </c>
      <c r="C255" s="134" t="inlineStr">
        <is>
          <t>CL4/1/CT/SKI-UNI</t>
        </is>
      </c>
      <c r="D255" s="5">
        <f>IF($I2="","",INDEX(Productos!$B:$B,$I2))</f>
        <v/>
      </c>
      <c r="E255" s="5">
        <f>IF($I2="","",INDEX(Productos!$H:$H,$I2))</f>
        <v/>
      </c>
      <c r="F255" s="5">
        <f>IF($I2="","",INDEX(Productos!$I:$I,$I2))</f>
        <v/>
      </c>
      <c r="G255" s="135" t="n">
        <v>50</v>
      </c>
      <c r="H255" s="5">
        <f>IF($I2="","",INDEX(Productos!$AG:$AG,$I2))</f>
        <v/>
      </c>
      <c r="I255" s="136">
        <f>LET(_xlpm.r,Productos!$E$2:$E$370,_xlpm.m,IFERROR(_xlfn.XMATCH(C255,_xlpm.r),IFERROR(_xlfn.XMATCH(VALUE(C255),_xlpm.r),0)),IF(_xlpm.m=0,"",_xlpm.m+1))</f>
        <v/>
      </c>
      <c r="J255" s="137" t="inlineStr">
        <is>
          <t>NetSuite</t>
        </is>
      </c>
    </row>
    <row r="256">
      <c r="A256" s="5" t="inlineStr">
        <is>
          <t>CAPSLAB Warehouse</t>
        </is>
      </c>
      <c r="B256" s="5">
        <f>IF($I2="","",INDEX(Productos!$A:$A,$I2))</f>
        <v/>
      </c>
      <c r="C256" s="134" t="inlineStr">
        <is>
          <t>CL4/1/CT/SNA-UNI</t>
        </is>
      </c>
      <c r="D256" s="5">
        <f>IF($I2="","",INDEX(Productos!$B:$B,$I2))</f>
        <v/>
      </c>
      <c r="E256" s="5">
        <f>IF($I2="","",INDEX(Productos!$H:$H,$I2))</f>
        <v/>
      </c>
      <c r="F256" s="5">
        <f>IF($I2="","",INDEX(Productos!$I:$I,$I2))</f>
        <v/>
      </c>
      <c r="G256" s="135" t="n">
        <v>49</v>
      </c>
      <c r="H256" s="5">
        <f>IF($I2="","",INDEX(Productos!$AG:$AG,$I2))</f>
        <v/>
      </c>
      <c r="I256" s="136">
        <f>LET(_xlpm.r,Productos!$E$2:$E$370,_xlpm.m,IFERROR(_xlfn.XMATCH(C256,_xlpm.r),IFERROR(_xlfn.XMATCH(VALUE(C256),_xlpm.r),0)),IF(_xlpm.m=0,"",_xlpm.m+1))</f>
        <v/>
      </c>
      <c r="J256" s="137" t="inlineStr">
        <is>
          <t>NetSuite</t>
        </is>
      </c>
    </row>
    <row r="257">
      <c r="A257" s="5" t="inlineStr">
        <is>
          <t>CAPSLAB Warehouse</t>
        </is>
      </c>
      <c r="B257" s="5">
        <f>IF($I2="","",INDEX(Productos!$A:$A,$I2))</f>
        <v/>
      </c>
      <c r="C257" s="134" t="inlineStr">
        <is>
          <t>CL4/1/CT/TIG-UNI</t>
        </is>
      </c>
      <c r="D257" s="5">
        <f>IF($I2="","",INDEX(Productos!$B:$B,$I2))</f>
        <v/>
      </c>
      <c r="E257" s="5">
        <f>IF($I2="","",INDEX(Productos!$H:$H,$I2))</f>
        <v/>
      </c>
      <c r="F257" s="5">
        <f>IF($I2="","",INDEX(Productos!$I:$I,$I2))</f>
        <v/>
      </c>
      <c r="G257" s="135" t="n">
        <v>45</v>
      </c>
      <c r="H257" s="5">
        <f>IF($I2="","",INDEX(Productos!$AG:$AG,$I2))</f>
        <v/>
      </c>
      <c r="I257" s="136">
        <f>LET(_xlpm.r,Productos!$E$2:$E$370,_xlpm.m,IFERROR(_xlfn.XMATCH(C257,_xlpm.r),IFERROR(_xlfn.XMATCH(VALUE(C257),_xlpm.r),0)),IF(_xlpm.m=0,"",_xlpm.m+1))</f>
        <v/>
      </c>
      <c r="J257" s="137" t="inlineStr">
        <is>
          <t>NetSuite</t>
        </is>
      </c>
    </row>
    <row r="258">
      <c r="A258" s="5" t="inlineStr">
        <is>
          <t>CAPSLAB Warehouse</t>
        </is>
      </c>
      <c r="B258" s="5">
        <f>IF($I2="","",INDEX(Productos!$A:$A,$I2))</f>
        <v/>
      </c>
      <c r="C258" s="134" t="inlineStr">
        <is>
          <t>CL4/1/CT/VEG-UNI</t>
        </is>
      </c>
      <c r="D258" s="5">
        <f>IF($I2="","",INDEX(Productos!$B:$B,$I2))</f>
        <v/>
      </c>
      <c r="E258" s="5">
        <f>IF($I2="","",INDEX(Productos!$H:$H,$I2))</f>
        <v/>
      </c>
      <c r="F258" s="5">
        <f>IF($I2="","",INDEX(Productos!$I:$I,$I2))</f>
        <v/>
      </c>
      <c r="G258" s="135" t="n">
        <v>50</v>
      </c>
      <c r="H258" s="5">
        <f>IF($I2="","",INDEX(Productos!$AG:$AG,$I2))</f>
        <v/>
      </c>
      <c r="I258" s="136">
        <f>LET(_xlpm.r,Productos!$E$2:$E$370,_xlpm.m,IFERROR(_xlfn.XMATCH(C258,_xlpm.r),IFERROR(_xlfn.XMATCH(VALUE(C258),_xlpm.r),0)),IF(_xlpm.m=0,"",_xlpm.m+1))</f>
        <v/>
      </c>
      <c r="J258" s="137" t="inlineStr">
        <is>
          <t>NetSuite</t>
        </is>
      </c>
    </row>
    <row r="259">
      <c r="A259" s="5" t="inlineStr">
        <is>
          <t>CL Muestras</t>
        </is>
      </c>
      <c r="B259" s="5">
        <f>IF($I2="","",INDEX(Productos!$A:$A,$I2))</f>
        <v/>
      </c>
      <c r="C259" s="134" t="inlineStr">
        <is>
          <t>CAPASS01BLUE-W6-UNI</t>
        </is>
      </c>
      <c r="D259" s="5">
        <f>IF($I2="","",INDEX(Productos!$B:$B,$I2))</f>
        <v/>
      </c>
      <c r="E259" s="5">
        <f>IF($I2="","",INDEX(Productos!$H:$H,$I2))</f>
        <v/>
      </c>
      <c r="F259" s="5">
        <f>IF($I2="","",INDEX(Productos!$I:$I,$I2))</f>
        <v/>
      </c>
      <c r="G259" s="135" t="n">
        <v>1</v>
      </c>
      <c r="H259" s="5">
        <f>IF($I2="","",INDEX(Productos!$AG:$AG,$I2))</f>
        <v/>
      </c>
      <c r="I259" s="136">
        <f>LET(_xlpm.r,Productos!$E$2:$E$370,_xlpm.m,IFERROR(_xlfn.XMATCH(C259,_xlpm.r),IFERROR(_xlfn.XMATCH(VALUE(C259),_xlpm.r),0)),IF(_xlpm.m=0,"",_xlpm.m+1))</f>
        <v/>
      </c>
      <c r="J259" s="137" t="inlineStr">
        <is>
          <t>NetSuite</t>
        </is>
      </c>
    </row>
    <row r="260">
      <c r="A260" s="5" t="inlineStr">
        <is>
          <t>CL Muestras</t>
        </is>
      </c>
      <c r="B260" s="5">
        <f>IF($I2="","",INDEX(Productos!$A:$A,$I2))</f>
        <v/>
      </c>
      <c r="C260" s="134" t="inlineStr">
        <is>
          <t>CAPASS01CAM2-W6-UNI</t>
        </is>
      </c>
      <c r="D260" s="5">
        <f>IF($I2="","",INDEX(Productos!$B:$B,$I2))</f>
        <v/>
      </c>
      <c r="E260" s="5">
        <f>IF($I2="","",INDEX(Productos!$H:$H,$I2))</f>
        <v/>
      </c>
      <c r="F260" s="5">
        <f>IF($I2="","",INDEX(Productos!$I:$I,$I2))</f>
        <v/>
      </c>
      <c r="G260" s="135" t="n">
        <v>1</v>
      </c>
      <c r="H260" s="5">
        <f>IF($I2="","",INDEX(Productos!$AG:$AG,$I2))</f>
        <v/>
      </c>
      <c r="I260" s="136">
        <f>LET(_xlpm.r,Productos!$E$2:$E$370,_xlpm.m,IFERROR(_xlfn.XMATCH(C260,_xlpm.r),IFERROR(_xlfn.XMATCH(VALUE(C260),_xlpm.r),0)),IF(_xlpm.m=0,"",_xlpm.m+1))</f>
        <v/>
      </c>
      <c r="J260" s="137" t="inlineStr">
        <is>
          <t>NetSuite</t>
        </is>
      </c>
    </row>
    <row r="261">
      <c r="A261" s="5" t="inlineStr">
        <is>
          <t>CL Muestras</t>
        </is>
      </c>
      <c r="B261" s="5">
        <f>IF($I2="","",INDEX(Productos!$A:$A,$I2))</f>
        <v/>
      </c>
      <c r="C261" s="134" t="inlineStr">
        <is>
          <t>CAPASS01CAMO-W6-UNI</t>
        </is>
      </c>
      <c r="D261" s="5">
        <f>IF($I2="","",INDEX(Productos!$B:$B,$I2))</f>
        <v/>
      </c>
      <c r="E261" s="5">
        <f>IF($I2="","",INDEX(Productos!$H:$H,$I2))</f>
        <v/>
      </c>
      <c r="F261" s="5">
        <f>IF($I2="","",INDEX(Productos!$I:$I,$I2))</f>
        <v/>
      </c>
      <c r="G261" s="135" t="n">
        <v>1</v>
      </c>
      <c r="H261" s="5">
        <f>IF($I2="","",INDEX(Productos!$AG:$AG,$I2))</f>
        <v/>
      </c>
      <c r="I261" s="136">
        <f>LET(_xlpm.r,Productos!$E$2:$E$370,_xlpm.m,IFERROR(_xlfn.XMATCH(C261,_xlpm.r),IFERROR(_xlfn.XMATCH(VALUE(C261),_xlpm.r),0)),IF(_xlpm.m=0,"",_xlpm.m+1))</f>
        <v/>
      </c>
      <c r="J261" s="137" t="inlineStr">
        <is>
          <t>NetSuite</t>
        </is>
      </c>
    </row>
    <row r="262">
      <c r="A262" s="5" t="inlineStr">
        <is>
          <t>CL Muestras</t>
        </is>
      </c>
      <c r="B262" s="5">
        <f>IF($I2="","",INDEX(Productos!$A:$A,$I2))</f>
        <v/>
      </c>
      <c r="C262" s="134" t="inlineStr">
        <is>
          <t>CAPASS01EDWA-W6-UNI</t>
        </is>
      </c>
      <c r="D262" s="5">
        <f>IF($I2="","",INDEX(Productos!$B:$B,$I2))</f>
        <v/>
      </c>
      <c r="E262" s="5">
        <f>IF($I2="","",INDEX(Productos!$H:$H,$I2))</f>
        <v/>
      </c>
      <c r="F262" s="5">
        <f>IF($I2="","",INDEX(Productos!$I:$I,$I2))</f>
        <v/>
      </c>
      <c r="G262" s="135" t="n">
        <v>1</v>
      </c>
      <c r="H262" s="5">
        <f>IF($I2="","",INDEX(Productos!$AG:$AG,$I2))</f>
        <v/>
      </c>
      <c r="I262" s="136">
        <f>LET(_xlpm.r,Productos!$E$2:$E$370,_xlpm.m,IFERROR(_xlfn.XMATCH(C262,_xlpm.r),IFERROR(_xlfn.XMATCH(VALUE(C262),_xlpm.r),0)),IF(_xlpm.m=0,"",_xlpm.m+1))</f>
        <v/>
      </c>
      <c r="J262" s="137" t="inlineStr">
        <is>
          <t>NetSuite</t>
        </is>
      </c>
    </row>
    <row r="263">
      <c r="A263" s="5" t="inlineStr">
        <is>
          <t>CL Muestras</t>
        </is>
      </c>
      <c r="B263" s="5">
        <f>IF($I2="","",INDEX(Productos!$A:$A,$I2))</f>
        <v/>
      </c>
      <c r="C263" s="134" t="inlineStr">
        <is>
          <t>CAPBOR01CAMO-W6-UNI</t>
        </is>
      </c>
      <c r="D263" s="5">
        <f>IF($I2="","",INDEX(Productos!$B:$B,$I2))</f>
        <v/>
      </c>
      <c r="E263" s="5">
        <f>IF($I2="","",INDEX(Productos!$H:$H,$I2))</f>
        <v/>
      </c>
      <c r="F263" s="5">
        <f>IF($I2="","",INDEX(Productos!$I:$I,$I2))</f>
        <v/>
      </c>
      <c r="G263" s="135" t="n">
        <v>1</v>
      </c>
      <c r="H263" s="5">
        <f>IF($I2="","",INDEX(Productos!$AG:$AG,$I2))</f>
        <v/>
      </c>
      <c r="I263" s="136">
        <f>LET(_xlpm.r,Productos!$E$2:$E$370,_xlpm.m,IFERROR(_xlfn.XMATCH(C263,_xlpm.r),IFERROR(_xlfn.XMATCH(VALUE(C263),_xlpm.r),0)),IF(_xlpm.m=0,"",_xlpm.m+1))</f>
        <v/>
      </c>
      <c r="J263" s="137" t="inlineStr">
        <is>
          <t>NetSuite</t>
        </is>
      </c>
    </row>
    <row r="264">
      <c r="A264" s="5" t="inlineStr">
        <is>
          <t>CL Muestras</t>
        </is>
      </c>
      <c r="B264" s="5">
        <f>IF($I2="","",INDEX(Productos!$A:$A,$I2))</f>
        <v/>
      </c>
      <c r="C264" s="134" t="inlineStr">
        <is>
          <t>CAPBOR01CASH-W6-UNI</t>
        </is>
      </c>
      <c r="D264" s="5">
        <f>IF($I2="","",INDEX(Productos!$B:$B,$I2))</f>
        <v/>
      </c>
      <c r="E264" s="5">
        <f>IF($I2="","",INDEX(Productos!$H:$H,$I2))</f>
        <v/>
      </c>
      <c r="F264" s="5">
        <f>IF($I2="","",INDEX(Productos!$I:$I,$I2))</f>
        <v/>
      </c>
      <c r="G264" s="135" t="n">
        <v>1</v>
      </c>
      <c r="H264" s="5">
        <f>IF($I2="","",INDEX(Productos!$AG:$AG,$I2))</f>
        <v/>
      </c>
      <c r="I264" s="136">
        <f>LET(_xlpm.r,Productos!$E$2:$E$370,_xlpm.m,IFERROR(_xlfn.XMATCH(C264,_xlpm.r),IFERROR(_xlfn.XMATCH(VALUE(C264),_xlpm.r),0)),IF(_xlpm.m=0,"",_xlpm.m+1))</f>
        <v/>
      </c>
      <c r="J264" s="137" t="inlineStr">
        <is>
          <t>NetSuite</t>
        </is>
      </c>
    </row>
    <row r="265">
      <c r="A265" s="5" t="inlineStr">
        <is>
          <t>CL Muestras</t>
        </is>
      </c>
      <c r="B265" s="5">
        <f>IF($I2="","",INDEX(Productos!$A:$A,$I2))</f>
        <v/>
      </c>
      <c r="C265" s="134" t="inlineStr">
        <is>
          <t>CAPBOR01COWB-W6-UNI</t>
        </is>
      </c>
      <c r="D265" s="5">
        <f>IF($I2="","",INDEX(Productos!$B:$B,$I2))</f>
        <v/>
      </c>
      <c r="E265" s="5">
        <f>IF($I2="","",INDEX(Productos!$H:$H,$I2))</f>
        <v/>
      </c>
      <c r="F265" s="5">
        <f>IF($I2="","",INDEX(Productos!$I:$I,$I2))</f>
        <v/>
      </c>
      <c r="G265" s="135" t="n">
        <v>1</v>
      </c>
      <c r="H265" s="5">
        <f>IF($I2="","",INDEX(Productos!$AG:$AG,$I2))</f>
        <v/>
      </c>
      <c r="I265" s="136">
        <f>LET(_xlpm.r,Productos!$E$2:$E$370,_xlpm.m,IFERROR(_xlfn.XMATCH(C265,_xlpm.r),IFERROR(_xlfn.XMATCH(VALUE(C265),_xlpm.r),0)),IF(_xlpm.m=0,"",_xlpm.m+1))</f>
        <v/>
      </c>
      <c r="J265" s="137" t="inlineStr">
        <is>
          <t>NetSuite</t>
        </is>
      </c>
    </row>
    <row r="266">
      <c r="A266" s="5" t="inlineStr">
        <is>
          <t>CL Muestras</t>
        </is>
      </c>
      <c r="B266" s="5">
        <f>IF($I2="","",INDEX(Productos!$A:$A,$I2))</f>
        <v/>
      </c>
      <c r="C266" s="134" t="inlineStr">
        <is>
          <t>CAPBOR01LEOP-W6-UNI</t>
        </is>
      </c>
      <c r="D266" s="5">
        <f>IF($I2="","",INDEX(Productos!$B:$B,$I2))</f>
        <v/>
      </c>
      <c r="E266" s="5">
        <f>IF($I2="","",INDEX(Productos!$H:$H,$I2))</f>
        <v/>
      </c>
      <c r="F266" s="5">
        <f>IF($I2="","",INDEX(Productos!$I:$I,$I2))</f>
        <v/>
      </c>
      <c r="G266" s="135" t="n">
        <v>1</v>
      </c>
      <c r="H266" s="5">
        <f>IF($I2="","",INDEX(Productos!$AG:$AG,$I2))</f>
        <v/>
      </c>
      <c r="I266" s="136">
        <f>LET(_xlpm.r,Productos!$E$2:$E$370,_xlpm.m,IFERROR(_xlfn.XMATCH(C266,_xlpm.r),IFERROR(_xlfn.XMATCH(VALUE(C266),_xlpm.r),0)),IF(_xlpm.m=0,"",_xlpm.m+1))</f>
        <v/>
      </c>
      <c r="J266" s="137" t="inlineStr">
        <is>
          <t>NetSuite</t>
        </is>
      </c>
    </row>
    <row r="267">
      <c r="A267" s="5" t="inlineStr">
        <is>
          <t>CL Muestras</t>
        </is>
      </c>
      <c r="B267" s="5">
        <f>IF($I2="","",INDEX(Productos!$A:$A,$I2))</f>
        <v/>
      </c>
      <c r="C267" s="134" t="inlineStr">
        <is>
          <t>CAPSMU01CRAZ-W6-UNI</t>
        </is>
      </c>
      <c r="D267" s="5">
        <f>IF($I2="","",INDEX(Productos!$B:$B,$I2))</f>
        <v/>
      </c>
      <c r="E267" s="5">
        <f>IF($I2="","",INDEX(Productos!$H:$H,$I2))</f>
        <v/>
      </c>
      <c r="F267" s="5">
        <f>IF($I2="","",INDEX(Productos!$I:$I,$I2))</f>
        <v/>
      </c>
      <c r="G267" s="135" t="n">
        <v>1</v>
      </c>
      <c r="H267" s="5">
        <f>IF($I2="","",INDEX(Productos!$AG:$AG,$I2))</f>
        <v/>
      </c>
      <c r="I267" s="136">
        <f>LET(_xlpm.r,Productos!$E$2:$E$370,_xlpm.m,IFERROR(_xlfn.XMATCH(C267,_xlpm.r),IFERROR(_xlfn.XMATCH(VALUE(C267),_xlpm.r),0)),IF(_xlpm.m=0,"",_xlpm.m+1))</f>
        <v/>
      </c>
      <c r="J267" s="137" t="inlineStr">
        <is>
          <t>NetSuite</t>
        </is>
      </c>
    </row>
    <row r="268">
      <c r="A268" s="5" t="inlineStr">
        <is>
          <t>CL Muestras</t>
        </is>
      </c>
      <c r="B268" s="5">
        <f>IF($I2="","",INDEX(Productos!$A:$A,$I2))</f>
        <v/>
      </c>
      <c r="C268" s="134" t="inlineStr">
        <is>
          <t>CAPSTF01BLA-UNI</t>
        </is>
      </c>
      <c r="D268" s="5">
        <f>IF($I2="","",INDEX(Productos!$B:$B,$I2))</f>
        <v/>
      </c>
      <c r="E268" s="5">
        <f>IF($I2="","",INDEX(Productos!$H:$H,$I2))</f>
        <v/>
      </c>
      <c r="F268" s="5">
        <f>IF($I2="","",INDEX(Productos!$I:$I,$I2))</f>
        <v/>
      </c>
      <c r="G268" s="135" t="n">
        <v>1</v>
      </c>
      <c r="H268" s="5">
        <f>IF($I2="","",INDEX(Productos!$AG:$AG,$I2))</f>
        <v/>
      </c>
      <c r="I268" s="136">
        <f>LET(_xlpm.r,Productos!$E$2:$E$370,_xlpm.m,IFERROR(_xlfn.XMATCH(C268,_xlpm.r),IFERROR(_xlfn.XMATCH(VALUE(C268),_xlpm.r),0)),IF(_xlpm.m=0,"",_xlpm.m+1))</f>
        <v/>
      </c>
      <c r="J268" s="137" t="inlineStr">
        <is>
          <t>NetSuite</t>
        </is>
      </c>
    </row>
    <row r="269">
      <c r="A269" s="5" t="inlineStr">
        <is>
          <t>CL Muestras</t>
        </is>
      </c>
      <c r="B269" s="5">
        <f>IF($I2="","",INDEX(Productos!$A:$A,$I2))</f>
        <v/>
      </c>
      <c r="C269" s="134" t="inlineStr">
        <is>
          <t>CAPSTF01GUI2-W6-UNI</t>
        </is>
      </c>
      <c r="D269" s="5">
        <f>IF($I2="","",INDEX(Productos!$B:$B,$I2))</f>
        <v/>
      </c>
      <c r="E269" s="5">
        <f>IF($I2="","",INDEX(Productos!$H:$H,$I2))</f>
        <v/>
      </c>
      <c r="F269" s="5">
        <f>IF($I2="","",INDEX(Productos!$I:$I,$I2))</f>
        <v/>
      </c>
      <c r="G269" s="135" t="n">
        <v>1</v>
      </c>
      <c r="H269" s="5">
        <f>IF($I2="","",INDEX(Productos!$AG:$AG,$I2))</f>
        <v/>
      </c>
      <c r="I269" s="136">
        <f>LET(_xlpm.r,Productos!$E$2:$E$370,_xlpm.m,IFERROR(_xlfn.XMATCH(C269,_xlpm.r),IFERROR(_xlfn.XMATCH(VALUE(C269),_xlpm.r),0)),IF(_xlpm.m=0,"",_xlpm.m+1))</f>
        <v/>
      </c>
      <c r="J269" s="137" t="inlineStr">
        <is>
          <t>NetSuite</t>
        </is>
      </c>
    </row>
    <row r="270">
      <c r="A270" s="5" t="inlineStr">
        <is>
          <t>CL Muestras</t>
        </is>
      </c>
      <c r="B270" s="5">
        <f>IF($I2="","",INDEX(Productos!$A:$A,$I2))</f>
        <v/>
      </c>
      <c r="C270" s="134" t="inlineStr">
        <is>
          <t>CL/0/1/CAS2/FOR1-UNI</t>
        </is>
      </c>
      <c r="D270" s="5">
        <f>IF($I2="","",INDEX(Productos!$B:$B,$I2))</f>
        <v/>
      </c>
      <c r="E270" s="5">
        <f>IF($I2="","",INDEX(Productos!$H:$H,$I2))</f>
        <v/>
      </c>
      <c r="F270" s="5">
        <f>IF($I2="","",INDEX(Productos!$I:$I,$I2))</f>
        <v/>
      </c>
      <c r="G270" s="135" t="n">
        <v>1</v>
      </c>
      <c r="H270" s="5">
        <f>IF($I2="","",INDEX(Productos!$AG:$AG,$I2))</f>
        <v/>
      </c>
      <c r="I270" s="136">
        <f>LET(_xlpm.r,Productos!$E$2:$E$370,_xlpm.m,IFERROR(_xlfn.XMATCH(C270,_xlpm.r),IFERROR(_xlfn.XMATCH(VALUE(C270),_xlpm.r),0)),IF(_xlpm.m=0,"",_xlpm.m+1))</f>
        <v/>
      </c>
      <c r="J270" s="137" t="inlineStr">
        <is>
          <t>NetSuite</t>
        </is>
      </c>
    </row>
    <row r="271">
      <c r="A271" s="5" t="inlineStr">
        <is>
          <t>CL Muestras</t>
        </is>
      </c>
      <c r="B271" s="5">
        <f>IF($I2="","",INDEX(Productos!$A:$A,$I2))</f>
        <v/>
      </c>
      <c r="C271" s="134" t="inlineStr">
        <is>
          <t>CL/0/1/CAS2/JOK1-UNI</t>
        </is>
      </c>
      <c r="D271" s="5">
        <f>IF($I2="","",INDEX(Productos!$B:$B,$I2))</f>
        <v/>
      </c>
      <c r="E271" s="5">
        <f>IF($I2="","",INDEX(Productos!$H:$H,$I2))</f>
        <v/>
      </c>
      <c r="F271" s="5">
        <f>IF($I2="","",INDEX(Productos!$I:$I,$I2))</f>
        <v/>
      </c>
      <c r="G271" s="135" t="n">
        <v>1</v>
      </c>
      <c r="H271" s="5">
        <f>IF($I2="","",INDEX(Productos!$AG:$AG,$I2))</f>
        <v/>
      </c>
      <c r="I271" s="136">
        <f>LET(_xlpm.r,Productos!$E$2:$E$370,_xlpm.m,IFERROR(_xlfn.XMATCH(C271,_xlpm.r),IFERROR(_xlfn.XMATCH(VALUE(C271),_xlpm.r),0)),IF(_xlpm.m=0,"",_xlpm.m+1))</f>
        <v/>
      </c>
      <c r="J271" s="137" t="inlineStr">
        <is>
          <t>NetSuite</t>
        </is>
      </c>
    </row>
    <row r="272">
      <c r="A272" s="5" t="inlineStr">
        <is>
          <t>CL Muestras</t>
        </is>
      </c>
      <c r="B272" s="5">
        <f>IF($I2="","",INDEX(Productos!$A:$A,$I2))</f>
        <v/>
      </c>
      <c r="C272" s="134" t="inlineStr">
        <is>
          <t>CL/0/1/CAS2/MUS2-UNI</t>
        </is>
      </c>
      <c r="D272" s="5">
        <f>IF($I2="","",INDEX(Productos!$B:$B,$I2))</f>
        <v/>
      </c>
      <c r="E272" s="5">
        <f>IF($I2="","",INDEX(Productos!$H:$H,$I2))</f>
        <v/>
      </c>
      <c r="F272" s="5">
        <f>IF($I2="","",INDEX(Productos!$I:$I,$I2))</f>
        <v/>
      </c>
      <c r="G272" s="135" t="n">
        <v>1</v>
      </c>
      <c r="H272" s="5">
        <f>IF($I2="","",INDEX(Productos!$AG:$AG,$I2))</f>
        <v/>
      </c>
      <c r="I272" s="136">
        <f>LET(_xlpm.r,Productos!$E$2:$E$370,_xlpm.m,IFERROR(_xlfn.XMATCH(C272,_xlpm.r),IFERROR(_xlfn.XMATCH(VALUE(C272),_xlpm.r),0)),IF(_xlpm.m=0,"",_xlpm.m+1))</f>
        <v/>
      </c>
      <c r="J272" s="137" t="inlineStr">
        <is>
          <t>NetSuite</t>
        </is>
      </c>
    </row>
    <row r="273">
      <c r="A273" s="5" t="inlineStr">
        <is>
          <t>CL Muestras</t>
        </is>
      </c>
      <c r="B273" s="5">
        <f>IF($I2="","",INDEX(Productos!$A:$A,$I2))</f>
        <v/>
      </c>
      <c r="C273" s="134" t="inlineStr">
        <is>
          <t>CL/DB2/1/GOK-UNI</t>
        </is>
      </c>
      <c r="D273" s="5">
        <f>IF($I2="","",INDEX(Productos!$B:$B,$I2))</f>
        <v/>
      </c>
      <c r="E273" s="5">
        <f>IF($I2="","",INDEX(Productos!$H:$H,$I2))</f>
        <v/>
      </c>
      <c r="F273" s="5">
        <f>IF($I2="","",INDEX(Productos!$I:$I,$I2))</f>
        <v/>
      </c>
      <c r="G273" s="135" t="n">
        <v>2</v>
      </c>
      <c r="H273" s="5">
        <f>IF($I2="","",INDEX(Productos!$AG:$AG,$I2))</f>
        <v/>
      </c>
      <c r="I273" s="136">
        <f>LET(_xlpm.r,Productos!$E$2:$E$370,_xlpm.m,IFERROR(_xlfn.XMATCH(C273,_xlpm.r),IFERROR(_xlfn.XMATCH(VALUE(C273),_xlpm.r),0)),IF(_xlpm.m=0,"",_xlpm.m+1))</f>
        <v/>
      </c>
      <c r="J273" s="137" t="inlineStr">
        <is>
          <t>NetSuite</t>
        </is>
      </c>
    </row>
    <row r="274">
      <c r="A274" s="5" t="inlineStr">
        <is>
          <t>CL Muestras</t>
        </is>
      </c>
      <c r="B274" s="5">
        <f>IF($I2="","",INDEX(Productos!$A:$A,$I2))</f>
        <v/>
      </c>
      <c r="C274" s="134" t="inlineStr">
        <is>
          <t>CL/DB3/1/CAS/BUL1-uNI</t>
        </is>
      </c>
      <c r="D274" s="5">
        <f>IF($I2="","",INDEX(Productos!$B:$B,$I2))</f>
        <v/>
      </c>
      <c r="E274" s="5">
        <f>IF($I2="","",INDEX(Productos!$H:$H,$I2))</f>
        <v/>
      </c>
      <c r="F274" s="5">
        <f>IF($I2="","",INDEX(Productos!$I:$I,$I2))</f>
        <v/>
      </c>
      <c r="G274" s="135" t="n">
        <v>2</v>
      </c>
      <c r="H274" s="5">
        <f>IF($I2="","",INDEX(Productos!$AG:$AG,$I2))</f>
        <v/>
      </c>
      <c r="I274" s="136">
        <f>LET(_xlpm.r,Productos!$E$2:$E$370,_xlpm.m,IFERROR(_xlfn.XMATCH(C274,_xlpm.r),IFERROR(_xlfn.XMATCH(VALUE(C274),_xlpm.r),0)),IF(_xlpm.m=0,"",_xlpm.m+1))</f>
        <v/>
      </c>
      <c r="J274" s="137" t="inlineStr">
        <is>
          <t>NetSuite</t>
        </is>
      </c>
    </row>
    <row r="275">
      <c r="A275" s="5" t="inlineStr">
        <is>
          <t>CL Muestras</t>
        </is>
      </c>
      <c r="B275" s="5">
        <f>IF($I2="","",INDEX(Productos!$A:$A,$I2))</f>
        <v/>
      </c>
      <c r="C275" s="134" t="inlineStr">
        <is>
          <t>CL/DB3/1/CAS/GOK2-UNI</t>
        </is>
      </c>
      <c r="D275" s="5">
        <f>IF($I2="","",INDEX(Productos!$B:$B,$I2))</f>
        <v/>
      </c>
      <c r="E275" s="5">
        <f>IF($I2="","",INDEX(Productos!$H:$H,$I2))</f>
        <v/>
      </c>
      <c r="F275" s="5">
        <f>IF($I2="","",INDEX(Productos!$I:$I,$I2))</f>
        <v/>
      </c>
      <c r="G275" s="135" t="n">
        <v>2</v>
      </c>
      <c r="H275" s="5">
        <f>IF($I2="","",INDEX(Productos!$AG:$AG,$I2))</f>
        <v/>
      </c>
      <c r="I275" s="136">
        <f>LET(_xlpm.r,Productos!$E$2:$E$370,_xlpm.m,IFERROR(_xlfn.XMATCH(C275,_xlpm.r),IFERROR(_xlfn.XMATCH(VALUE(C275),_xlpm.r),0)),IF(_xlpm.m=0,"",_xlpm.m+1))</f>
        <v/>
      </c>
      <c r="J275" s="137" t="inlineStr">
        <is>
          <t>NetSuite</t>
        </is>
      </c>
    </row>
    <row r="276">
      <c r="A276" s="5" t="inlineStr">
        <is>
          <t>CL Muestras</t>
        </is>
      </c>
      <c r="B276" s="5">
        <f>IF($I2="","",INDEX(Productos!$A:$A,$I2))</f>
        <v/>
      </c>
      <c r="C276" s="134" t="inlineStr">
        <is>
          <t>CL/DB3/1/CASF/SHE5-uNI</t>
        </is>
      </c>
      <c r="D276" s="5">
        <f>IF($I2="","",INDEX(Productos!$B:$B,$I2))</f>
        <v/>
      </c>
      <c r="E276" s="5">
        <f>IF($I2="","",INDEX(Productos!$H:$H,$I2))</f>
        <v/>
      </c>
      <c r="F276" s="5">
        <f>IF($I2="","",INDEX(Productos!$I:$I,$I2))</f>
        <v/>
      </c>
      <c r="G276" s="135" t="n">
        <v>1</v>
      </c>
      <c r="H276" s="5">
        <f>IF($I2="","",INDEX(Productos!$AG:$AG,$I2))</f>
        <v/>
      </c>
      <c r="I276" s="136">
        <f>LET(_xlpm.r,Productos!$E$2:$E$370,_xlpm.m,IFERROR(_xlfn.XMATCH(C276,_xlpm.r),IFERROR(_xlfn.XMATCH(VALUE(C276),_xlpm.r),0)),IF(_xlpm.m=0,"",_xlpm.m+1))</f>
        <v/>
      </c>
      <c r="J276" s="137" t="inlineStr">
        <is>
          <t>NetSuite</t>
        </is>
      </c>
    </row>
    <row r="277">
      <c r="A277" s="5" t="inlineStr">
        <is>
          <t>CL Muestras</t>
        </is>
      </c>
      <c r="B277" s="5">
        <f>IF($I2="","",INDEX(Productos!$A:$A,$I2))</f>
        <v/>
      </c>
      <c r="C277" s="134" t="inlineStr">
        <is>
          <t>CL/DB4/1/CT/GOK-UNI</t>
        </is>
      </c>
      <c r="D277" s="5">
        <f>IF($I2="","",INDEX(Productos!$B:$B,$I2))</f>
        <v/>
      </c>
      <c r="E277" s="5">
        <f>IF($I2="","",INDEX(Productos!$H:$H,$I2))</f>
        <v/>
      </c>
      <c r="F277" s="5">
        <f>IF($I2="","",INDEX(Productos!$I:$I,$I2))</f>
        <v/>
      </c>
      <c r="G277" s="135" t="n">
        <v>1</v>
      </c>
      <c r="H277" s="5">
        <f>IF($I2="","",INDEX(Productos!$AG:$AG,$I2))</f>
        <v/>
      </c>
      <c r="I277" s="136">
        <f>LET(_xlpm.r,Productos!$E$2:$E$370,_xlpm.m,IFERROR(_xlfn.XMATCH(C277,_xlpm.r),IFERROR(_xlfn.XMATCH(VALUE(C277),_xlpm.r),0)),IF(_xlpm.m=0,"",_xlpm.m+1))</f>
        <v/>
      </c>
      <c r="J277" s="137" t="inlineStr">
        <is>
          <t>NetSuite</t>
        </is>
      </c>
    </row>
    <row r="278">
      <c r="A278" s="5" t="inlineStr">
        <is>
          <t>CL Muestras</t>
        </is>
      </c>
      <c r="B278" s="5">
        <f>IF($I2="","",INDEX(Productos!$A:$A,$I2))</f>
        <v/>
      </c>
      <c r="C278" s="134" t="inlineStr">
        <is>
          <t>CL/DBS/1/ULT2-UNI</t>
        </is>
      </c>
      <c r="D278" s="5">
        <f>IF($I2="","",INDEX(Productos!$B:$B,$I2))</f>
        <v/>
      </c>
      <c r="E278" s="5">
        <f>IF($I2="","",INDEX(Productos!$H:$H,$I2))</f>
        <v/>
      </c>
      <c r="F278" s="5">
        <f>IF($I2="","",INDEX(Productos!$I:$I,$I2))</f>
        <v/>
      </c>
      <c r="G278" s="135" t="n">
        <v>3</v>
      </c>
      <c r="H278" s="5">
        <f>IF($I2="","",INDEX(Productos!$AG:$AG,$I2))</f>
        <v/>
      </c>
      <c r="I278" s="136">
        <f>LET(_xlpm.r,Productos!$E$2:$E$370,_xlpm.m,IFERROR(_xlfn.XMATCH(C278,_xlpm.r),IFERROR(_xlfn.XMATCH(VALUE(C278),_xlpm.r),0)),IF(_xlpm.m=0,"",_xlpm.m+1))</f>
        <v/>
      </c>
      <c r="J278" s="137" t="inlineStr">
        <is>
          <t>NetSuite</t>
        </is>
      </c>
    </row>
    <row r="279">
      <c r="A279" s="5" t="inlineStr">
        <is>
          <t>CL Muestras</t>
        </is>
      </c>
      <c r="B279" s="5">
        <f>IF($I2="","",INDEX(Productos!$A:$A,$I2))</f>
        <v/>
      </c>
      <c r="C279" s="134" t="inlineStr">
        <is>
          <t>CL/DBS/3/ULT1-UNIJR</t>
        </is>
      </c>
      <c r="D279" s="5">
        <f>IF($I2="","",INDEX(Productos!$B:$B,$I2))</f>
        <v/>
      </c>
      <c r="E279" s="5">
        <f>IF($I2="","",INDEX(Productos!$H:$H,$I2))</f>
        <v/>
      </c>
      <c r="F279" s="5">
        <f>IF($I2="","",INDEX(Productos!$I:$I,$I2))</f>
        <v/>
      </c>
      <c r="G279" s="135" t="n">
        <v>1</v>
      </c>
      <c r="H279" s="5">
        <f>IF($I2="","",INDEX(Productos!$AG:$AG,$I2))</f>
        <v/>
      </c>
      <c r="I279" s="136">
        <f>LET(_xlpm.r,Productos!$E$2:$E$370,_xlpm.m,IFERROR(_xlfn.XMATCH(C279,_xlpm.r),IFERROR(_xlfn.XMATCH(VALUE(C279),_xlpm.r),0)),IF(_xlpm.m=0,"",_xlpm.m+1))</f>
        <v/>
      </c>
      <c r="J279" s="137" t="inlineStr">
        <is>
          <t>NetSuite</t>
        </is>
      </c>
    </row>
    <row r="280">
      <c r="A280" s="5" t="inlineStr">
        <is>
          <t>CL Muestras</t>
        </is>
      </c>
      <c r="B280" s="5">
        <f>IF($I2="","",INDEX(Productos!$A:$A,$I2))</f>
        <v/>
      </c>
      <c r="C280" s="134" t="inlineStr">
        <is>
          <t>CL/DBS/3/ULT4-UNIJR</t>
        </is>
      </c>
      <c r="D280" s="5">
        <f>IF($I2="","",INDEX(Productos!$B:$B,$I2))</f>
        <v/>
      </c>
      <c r="E280" s="5">
        <f>IF($I2="","",INDEX(Productos!$H:$H,$I2))</f>
        <v/>
      </c>
      <c r="F280" s="5">
        <f>IF($I2="","",INDEX(Productos!$I:$I,$I2))</f>
        <v/>
      </c>
      <c r="G280" s="135" t="n">
        <v>2</v>
      </c>
      <c r="H280" s="5">
        <f>IF($I2="","",INDEX(Productos!$AG:$AG,$I2))</f>
        <v/>
      </c>
      <c r="I280" s="136">
        <f>LET(_xlpm.r,Productos!$E$2:$E$370,_xlpm.m,IFERROR(_xlfn.XMATCH(C280,_xlpm.r),IFERROR(_xlfn.XMATCH(VALUE(C280),_xlpm.r),0)),IF(_xlpm.m=0,"",_xlpm.m+1))</f>
        <v/>
      </c>
      <c r="J280" s="137" t="inlineStr">
        <is>
          <t>NetSuite</t>
        </is>
      </c>
    </row>
    <row r="281">
      <c r="A281" s="5" t="inlineStr">
        <is>
          <t>CL Muestras</t>
        </is>
      </c>
      <c r="B281" s="5">
        <f>IF($I2="","",INDEX(Productos!$A:$A,$I2))</f>
        <v/>
      </c>
      <c r="C281" s="134" t="inlineStr">
        <is>
          <t>CL/DBS/TAG/1/FRE-UNIJR</t>
        </is>
      </c>
      <c r="D281" s="5">
        <f>IF($I2="","",INDEX(Productos!$B:$B,$I2))</f>
        <v/>
      </c>
      <c r="E281" s="5">
        <f>IF($I2="","",INDEX(Productos!$H:$H,$I2))</f>
        <v/>
      </c>
      <c r="F281" s="5">
        <f>IF($I2="","",INDEX(Productos!$I:$I,$I2))</f>
        <v/>
      </c>
      <c r="G281" s="135" t="n">
        <v>1</v>
      </c>
      <c r="H281" s="5">
        <f>IF($I2="","",INDEX(Productos!$AG:$AG,$I2))</f>
        <v/>
      </c>
      <c r="I281" s="136">
        <f>LET(_xlpm.r,Productos!$E$2:$E$370,_xlpm.m,IFERROR(_xlfn.XMATCH(C281,_xlpm.r),IFERROR(_xlfn.XMATCH(VALUE(C281),_xlpm.r),0)),IF(_xlpm.m=0,"",_xlpm.m+1))</f>
        <v/>
      </c>
      <c r="J281" s="137" t="inlineStr">
        <is>
          <t>NetSuite</t>
        </is>
      </c>
    </row>
    <row r="282">
      <c r="A282" s="5" t="inlineStr">
        <is>
          <t>CL Muestras</t>
        </is>
      </c>
      <c r="B282" s="5">
        <f>IF($I2="","",INDEX(Productos!$A:$A,$I2))</f>
        <v/>
      </c>
      <c r="C282" s="134" t="inlineStr">
        <is>
          <t>CL/DBS/TAG/1/GLD-UNI</t>
        </is>
      </c>
      <c r="D282" s="5">
        <f>IF($I2="","",INDEX(Productos!$B:$B,$I2))</f>
        <v/>
      </c>
      <c r="E282" s="5">
        <f>IF($I2="","",INDEX(Productos!$H:$H,$I2))</f>
        <v/>
      </c>
      <c r="F282" s="5">
        <f>IF($I2="","",INDEX(Productos!$I:$I,$I2))</f>
        <v/>
      </c>
      <c r="G282" s="135" t="n">
        <v>1</v>
      </c>
      <c r="H282" s="5">
        <f>IF($I2="","",INDEX(Productos!$AG:$AG,$I2))</f>
        <v/>
      </c>
      <c r="I282" s="136">
        <f>LET(_xlpm.r,Productos!$E$2:$E$370,_xlpm.m,IFERROR(_xlfn.XMATCH(C282,_xlpm.r),IFERROR(_xlfn.XMATCH(VALUE(C282),_xlpm.r),0)),IF(_xlpm.m=0,"",_xlpm.m+1))</f>
        <v/>
      </c>
      <c r="J282" s="137" t="inlineStr">
        <is>
          <t>NetSuite</t>
        </is>
      </c>
    </row>
    <row r="283">
      <c r="A283" s="5" t="inlineStr">
        <is>
          <t>CL Muestras</t>
        </is>
      </c>
      <c r="B283" s="5">
        <f>IF($I2="","",INDEX(Productos!$A:$A,$I2))</f>
        <v/>
      </c>
      <c r="C283" s="134" t="inlineStr">
        <is>
          <t>CL/DBS/TAG/1/GOK1-UNI</t>
        </is>
      </c>
      <c r="D283" s="5">
        <f>IF($I2="","",INDEX(Productos!$B:$B,$I2))</f>
        <v/>
      </c>
      <c r="E283" s="5">
        <f>IF($I2="","",INDEX(Productos!$H:$H,$I2))</f>
        <v/>
      </c>
      <c r="F283" s="5">
        <f>IF($I2="","",INDEX(Productos!$I:$I,$I2))</f>
        <v/>
      </c>
      <c r="G283" s="135" t="n">
        <v>1</v>
      </c>
      <c r="H283" s="5">
        <f>IF($I2="","",INDEX(Productos!$AG:$AG,$I2))</f>
        <v/>
      </c>
      <c r="I283" s="136">
        <f>LET(_xlpm.r,Productos!$E$2:$E$370,_xlpm.m,IFERROR(_xlfn.XMATCH(C283,_xlpm.r),IFERROR(_xlfn.XMATCH(VALUE(C283),_xlpm.r),0)),IF(_xlpm.m=0,"",_xlpm.m+1))</f>
        <v/>
      </c>
      <c r="J283" s="137" t="inlineStr">
        <is>
          <t>NetSuite</t>
        </is>
      </c>
    </row>
    <row r="284">
      <c r="A284" s="5" t="inlineStr">
        <is>
          <t>CL Muestras</t>
        </is>
      </c>
      <c r="B284" s="5">
        <f>IF($I2="","",INDEX(Productos!$A:$A,$I2))</f>
        <v/>
      </c>
      <c r="C284" s="134" t="inlineStr">
        <is>
          <t>CL/DBS2/1/GLD2-UNI</t>
        </is>
      </c>
      <c r="D284" s="5">
        <f>IF($I2="","",INDEX(Productos!$B:$B,$I2))</f>
        <v/>
      </c>
      <c r="E284" s="5">
        <f>IF($I2="","",INDEX(Productos!$H:$H,$I2))</f>
        <v/>
      </c>
      <c r="F284" s="5">
        <f>IF($I2="","",INDEX(Productos!$I:$I,$I2))</f>
        <v/>
      </c>
      <c r="G284" s="135" t="n">
        <v>1</v>
      </c>
      <c r="H284" s="5">
        <f>IF($I2="","",INDEX(Productos!$AG:$AG,$I2))</f>
        <v/>
      </c>
      <c r="I284" s="136">
        <f>LET(_xlpm.r,Productos!$E$2:$E$370,_xlpm.m,IFERROR(_xlfn.XMATCH(C284,_xlpm.r),IFERROR(_xlfn.XMATCH(VALUE(C284),_xlpm.r),0)),IF(_xlpm.m=0,"",_xlpm.m+1))</f>
        <v/>
      </c>
      <c r="J284" s="137" t="inlineStr">
        <is>
          <t>NetSuite</t>
        </is>
      </c>
    </row>
    <row r="285">
      <c r="A285" s="5" t="inlineStr">
        <is>
          <t>CL Muestras</t>
        </is>
      </c>
      <c r="B285" s="5">
        <f>IF($I2="","",INDEX(Productos!$A:$A,$I2))</f>
        <v/>
      </c>
      <c r="C285" s="134" t="inlineStr">
        <is>
          <t>CL/DBS3/1/CAS/BLA1-UNI</t>
        </is>
      </c>
      <c r="D285" s="5">
        <f>IF($I2="","",INDEX(Productos!$B:$B,$I2))</f>
        <v/>
      </c>
      <c r="E285" s="5">
        <f>IF($I2="","",INDEX(Productos!$H:$H,$I2))</f>
        <v/>
      </c>
      <c r="F285" s="5">
        <f>IF($I2="","",INDEX(Productos!$I:$I,$I2))</f>
        <v/>
      </c>
      <c r="G285" s="135" t="n">
        <v>1</v>
      </c>
      <c r="H285" s="5">
        <f>IF($I2="","",INDEX(Productos!$AG:$AG,$I2))</f>
        <v/>
      </c>
      <c r="I285" s="136">
        <f>LET(_xlpm.r,Productos!$E$2:$E$370,_xlpm.m,IFERROR(_xlfn.XMATCH(C285,_xlpm.r),IFERROR(_xlfn.XMATCH(VALUE(C285),_xlpm.r),0)),IF(_xlpm.m=0,"",_xlpm.m+1))</f>
        <v/>
      </c>
      <c r="J285" s="137" t="inlineStr">
        <is>
          <t>NetSuite</t>
        </is>
      </c>
    </row>
    <row r="286">
      <c r="A286" s="5" t="inlineStr">
        <is>
          <t>CL Muestras</t>
        </is>
      </c>
      <c r="B286" s="5">
        <f>IF($I2="","",INDEX(Productos!$A:$A,$I2))</f>
        <v/>
      </c>
      <c r="C286" s="134" t="inlineStr">
        <is>
          <t>CL/DBS3/1/CAS/GOK1-UNI</t>
        </is>
      </c>
      <c r="D286" s="5">
        <f>IF($I2="","",INDEX(Productos!$B:$B,$I2))</f>
        <v/>
      </c>
      <c r="E286" s="5">
        <f>IF($I2="","",INDEX(Productos!$H:$H,$I2))</f>
        <v/>
      </c>
      <c r="F286" s="5">
        <f>IF($I2="","",INDEX(Productos!$I:$I,$I2))</f>
        <v/>
      </c>
      <c r="G286" s="135" t="n">
        <v>2</v>
      </c>
      <c r="H286" s="5">
        <f>IF($I2="","",INDEX(Productos!$AG:$AG,$I2))</f>
        <v/>
      </c>
      <c r="I286" s="136">
        <f>LET(_xlpm.r,Productos!$E$2:$E$370,_xlpm.m,IFERROR(_xlfn.XMATCH(C286,_xlpm.r),IFERROR(_xlfn.XMATCH(VALUE(C286),_xlpm.r),0)),IF(_xlpm.m=0,"",_xlpm.m+1))</f>
        <v/>
      </c>
      <c r="J286" s="137" t="inlineStr">
        <is>
          <t>NetSuite</t>
        </is>
      </c>
    </row>
    <row r="287">
      <c r="A287" s="5" t="inlineStr">
        <is>
          <t>CL Muestras</t>
        </is>
      </c>
      <c r="B287" s="5">
        <f>IF($I2="","",INDEX(Productos!$A:$A,$I2))</f>
        <v/>
      </c>
      <c r="C287" s="134" t="inlineStr">
        <is>
          <t>CL/DBS3/1/CAS/VEG1-UNI</t>
        </is>
      </c>
      <c r="D287" s="5">
        <f>IF($I2="","",INDEX(Productos!$B:$B,$I2))</f>
        <v/>
      </c>
      <c r="E287" s="5">
        <f>IF($I2="","",INDEX(Productos!$H:$H,$I2))</f>
        <v/>
      </c>
      <c r="F287" s="5">
        <f>IF($I2="","",INDEX(Productos!$I:$I,$I2))</f>
        <v/>
      </c>
      <c r="G287" s="135" t="n">
        <v>2</v>
      </c>
      <c r="H287" s="5">
        <f>IF($I2="","",INDEX(Productos!$AG:$AG,$I2))</f>
        <v/>
      </c>
      <c r="I287" s="136">
        <f>LET(_xlpm.r,Productos!$E$2:$E$370,_xlpm.m,IFERROR(_xlfn.XMATCH(C287,_xlpm.r),IFERROR(_xlfn.XMATCH(VALUE(C287),_xlpm.r),0)),IF(_xlpm.m=0,"",_xlpm.m+1))</f>
        <v/>
      </c>
      <c r="J287" s="137" t="inlineStr">
        <is>
          <t>NetSuite</t>
        </is>
      </c>
    </row>
    <row r="288">
      <c r="A288" s="5" t="inlineStr">
        <is>
          <t>CL Muestras</t>
        </is>
      </c>
      <c r="B288" s="5">
        <f>IF($I2="","",INDEX(Productos!$A:$A,$I2))</f>
        <v/>
      </c>
      <c r="C288" s="134" t="inlineStr">
        <is>
          <t>CL/DBS3/1/CASF/SA1-UNI</t>
        </is>
      </c>
      <c r="D288" s="5">
        <f>IF($I2="","",INDEX(Productos!$B:$B,$I2))</f>
        <v/>
      </c>
      <c r="E288" s="5">
        <f>IF($I2="","",INDEX(Productos!$H:$H,$I2))</f>
        <v/>
      </c>
      <c r="F288" s="5">
        <f>IF($I2="","",INDEX(Productos!$I:$I,$I2))</f>
        <v/>
      </c>
      <c r="G288" s="135" t="n">
        <v>2</v>
      </c>
      <c r="H288" s="5">
        <f>IF($I2="","",INDEX(Productos!$AG:$AG,$I2))</f>
        <v/>
      </c>
      <c r="I288" s="136">
        <f>LET(_xlpm.r,Productos!$E$2:$E$370,_xlpm.m,IFERROR(_xlfn.XMATCH(C288,_xlpm.r),IFERROR(_xlfn.XMATCH(VALUE(C288),_xlpm.r),0)),IF(_xlpm.m=0,"",_xlpm.m+1))</f>
        <v/>
      </c>
      <c r="J288" s="137" t="inlineStr">
        <is>
          <t>NetSuite</t>
        </is>
      </c>
    </row>
    <row r="289">
      <c r="A289" s="5" t="inlineStr">
        <is>
          <t>CL Muestras</t>
        </is>
      </c>
      <c r="B289" s="5">
        <f>IF($I2="","",INDEX(Productos!$A:$A,$I2))</f>
        <v/>
      </c>
      <c r="C289" s="134" t="inlineStr">
        <is>
          <t>CL/DBS3/1/CASF/SA2-UNI</t>
        </is>
      </c>
      <c r="D289" s="5">
        <f>IF($I2="","",INDEX(Productos!$B:$B,$I2))</f>
        <v/>
      </c>
      <c r="E289" s="5">
        <f>IF($I2="","",INDEX(Productos!$H:$H,$I2))</f>
        <v/>
      </c>
      <c r="F289" s="5">
        <f>IF($I2="","",INDEX(Productos!$I:$I,$I2))</f>
        <v/>
      </c>
      <c r="G289" s="135" t="n">
        <v>1</v>
      </c>
      <c r="H289" s="5">
        <f>IF($I2="","",INDEX(Productos!$AG:$AG,$I2))</f>
        <v/>
      </c>
      <c r="I289" s="136">
        <f>LET(_xlpm.r,Productos!$E$2:$E$370,_xlpm.m,IFERROR(_xlfn.XMATCH(C289,_xlpm.r),IFERROR(_xlfn.XMATCH(VALUE(C289),_xlpm.r),0)),IF(_xlpm.m=0,"",_xlpm.m+1))</f>
        <v/>
      </c>
      <c r="J289" s="137" t="inlineStr">
        <is>
          <t>NetSuite</t>
        </is>
      </c>
    </row>
    <row r="290">
      <c r="A290" s="5" t="inlineStr">
        <is>
          <t>CL Muestras</t>
        </is>
      </c>
      <c r="B290" s="5">
        <f>IF($I2="","",INDEX(Productos!$A:$A,$I2))</f>
        <v/>
      </c>
      <c r="C290" s="134" t="inlineStr">
        <is>
          <t>CL/DBS3/1/CASX/RO2-uNI</t>
        </is>
      </c>
      <c r="D290" s="5">
        <f>IF($I2="","",INDEX(Productos!$B:$B,$I2))</f>
        <v/>
      </c>
      <c r="E290" s="5">
        <f>IF($I2="","",INDEX(Productos!$H:$H,$I2))</f>
        <v/>
      </c>
      <c r="F290" s="5">
        <f>IF($I2="","",INDEX(Productos!$I:$I,$I2))</f>
        <v/>
      </c>
      <c r="G290" s="135" t="n">
        <v>1</v>
      </c>
      <c r="H290" s="5">
        <f>IF($I2="","",INDEX(Productos!$AG:$AG,$I2))</f>
        <v/>
      </c>
      <c r="I290" s="136">
        <f>LET(_xlpm.r,Productos!$E$2:$E$370,_xlpm.m,IFERROR(_xlfn.XMATCH(C290,_xlpm.r),IFERROR(_xlfn.XMATCH(VALUE(C290),_xlpm.r),0)),IF(_xlpm.m=0,"",_xlpm.m+1))</f>
        <v/>
      </c>
      <c r="J290" s="137" t="inlineStr">
        <is>
          <t>NetSuite</t>
        </is>
      </c>
    </row>
    <row r="291">
      <c r="A291" s="5" t="inlineStr">
        <is>
          <t>CL Muestras</t>
        </is>
      </c>
      <c r="B291" s="5">
        <f>IF($I2="","",INDEX(Productos!$A:$A,$I2))</f>
        <v/>
      </c>
      <c r="C291" s="134" t="inlineStr">
        <is>
          <t>CL/DBS4/1/CF/GOL-UNI</t>
        </is>
      </c>
      <c r="D291" s="5">
        <f>IF($I2="","",INDEX(Productos!$B:$B,$I2))</f>
        <v/>
      </c>
      <c r="E291" s="5">
        <f>IF($I2="","",INDEX(Productos!$H:$H,$I2))</f>
        <v/>
      </c>
      <c r="F291" s="5">
        <f>IF($I2="","",INDEX(Productos!$I:$I,$I2))</f>
        <v/>
      </c>
      <c r="G291" s="135" t="n">
        <v>1</v>
      </c>
      <c r="H291" s="5">
        <f>IF($I2="","",INDEX(Productos!$AG:$AG,$I2))</f>
        <v/>
      </c>
      <c r="I291" s="136">
        <f>LET(_xlpm.r,Productos!$E$2:$E$370,_xlpm.m,IFERROR(_xlfn.XMATCH(C291,_xlpm.r),IFERROR(_xlfn.XMATCH(VALUE(C291),_xlpm.r),0)),IF(_xlpm.m=0,"",_xlpm.m+1))</f>
        <v/>
      </c>
      <c r="J291" s="137" t="inlineStr">
        <is>
          <t>NetSuite</t>
        </is>
      </c>
    </row>
    <row r="292">
      <c r="A292" s="5" t="inlineStr">
        <is>
          <t>CL Muestras</t>
        </is>
      </c>
      <c r="B292" s="5">
        <f>IF($I2="","",INDEX(Productos!$A:$A,$I2))</f>
        <v/>
      </c>
      <c r="C292" s="134" t="inlineStr">
        <is>
          <t>CL/DBS4/1/CT/FUS-UNI</t>
        </is>
      </c>
      <c r="D292" s="5">
        <f>IF($I2="","",INDEX(Productos!$B:$B,$I2))</f>
        <v/>
      </c>
      <c r="E292" s="5">
        <f>IF($I2="","",INDEX(Productos!$H:$H,$I2))</f>
        <v/>
      </c>
      <c r="F292" s="5">
        <f>IF($I2="","",INDEX(Productos!$I:$I,$I2))</f>
        <v/>
      </c>
      <c r="G292" s="135" t="n">
        <v>1</v>
      </c>
      <c r="H292" s="5">
        <f>IF($I2="","",INDEX(Productos!$AG:$AG,$I2))</f>
        <v/>
      </c>
      <c r="I292" s="136">
        <f>LET(_xlpm.r,Productos!$E$2:$E$370,_xlpm.m,IFERROR(_xlfn.XMATCH(C292,_xlpm.r),IFERROR(_xlfn.XMATCH(VALUE(C292),_xlpm.r),0)),IF(_xlpm.m=0,"",_xlpm.m+1))</f>
        <v/>
      </c>
      <c r="J292" s="137" t="inlineStr">
        <is>
          <t>NetSuite</t>
        </is>
      </c>
    </row>
    <row r="293">
      <c r="A293" s="5" t="inlineStr">
        <is>
          <t>CL Muestras</t>
        </is>
      </c>
      <c r="B293" s="5">
        <f>IF($I2="","",INDEX(Productos!$A:$A,$I2))</f>
        <v/>
      </c>
      <c r="C293" s="134" t="inlineStr">
        <is>
          <t>CL/DBZ/1/BUU-UNI</t>
        </is>
      </c>
      <c r="D293" s="5">
        <f>IF($I2="","",INDEX(Productos!$B:$B,$I2))</f>
        <v/>
      </c>
      <c r="E293" s="5">
        <f>IF($I2="","",INDEX(Productos!$H:$H,$I2))</f>
        <v/>
      </c>
      <c r="F293" s="5">
        <f>IF($I2="","",INDEX(Productos!$I:$I,$I2))</f>
        <v/>
      </c>
      <c r="G293" s="135" t="n">
        <v>1</v>
      </c>
      <c r="H293" s="5">
        <f>IF($I2="","",INDEX(Productos!$AG:$AG,$I2))</f>
        <v/>
      </c>
      <c r="I293" s="136">
        <f>LET(_xlpm.r,Productos!$E$2:$E$370,_xlpm.m,IFERROR(_xlfn.XMATCH(C293,_xlpm.r),IFERROR(_xlfn.XMATCH(VALUE(C293),_xlpm.r),0)),IF(_xlpm.m=0,"",_xlpm.m+1))</f>
        <v/>
      </c>
      <c r="J293" s="137" t="inlineStr">
        <is>
          <t>NetSuite</t>
        </is>
      </c>
    </row>
    <row r="294">
      <c r="A294" s="5" t="inlineStr">
        <is>
          <t>CL Muestras</t>
        </is>
      </c>
      <c r="B294" s="5">
        <f>IF($I2="","",INDEX(Productos!$A:$A,$I2))</f>
        <v/>
      </c>
      <c r="C294" s="134" t="inlineStr">
        <is>
          <t>CL/DBZ/1/BUUB-uNI</t>
        </is>
      </c>
      <c r="D294" s="5">
        <f>IF($I2="","",INDEX(Productos!$B:$B,$I2))</f>
        <v/>
      </c>
      <c r="E294" s="5">
        <f>IF($I2="","",INDEX(Productos!$H:$H,$I2))</f>
        <v/>
      </c>
      <c r="F294" s="5">
        <f>IF($I2="","",INDEX(Productos!$I:$I,$I2))</f>
        <v/>
      </c>
      <c r="G294" s="135" t="n">
        <v>1</v>
      </c>
      <c r="H294" s="5">
        <f>IF($I2="","",INDEX(Productos!$AG:$AG,$I2))</f>
        <v/>
      </c>
      <c r="I294" s="136">
        <f>LET(_xlpm.r,Productos!$E$2:$E$370,_xlpm.m,IFERROR(_xlfn.XMATCH(C294,_xlpm.r),IFERROR(_xlfn.XMATCH(VALUE(C294),_xlpm.r),0)),IF(_xlpm.m=0,"",_xlpm.m+1))</f>
        <v/>
      </c>
      <c r="J294" s="137" t="inlineStr">
        <is>
          <t>NetSuite</t>
        </is>
      </c>
    </row>
    <row r="295">
      <c r="A295" s="5" t="inlineStr">
        <is>
          <t>CL Muestras</t>
        </is>
      </c>
      <c r="B295" s="5">
        <f>IF($I2="","",INDEX(Productos!$A:$A,$I2))</f>
        <v/>
      </c>
      <c r="C295" s="134" t="inlineStr">
        <is>
          <t>CL/DBZ/1/FREB-UNI</t>
        </is>
      </c>
      <c r="D295" s="5">
        <f>IF($I2="","",INDEX(Productos!$B:$B,$I2))</f>
        <v/>
      </c>
      <c r="E295" s="5">
        <f>IF($I2="","",INDEX(Productos!$H:$H,$I2))</f>
        <v/>
      </c>
      <c r="F295" s="5">
        <f>IF($I2="","",INDEX(Productos!$I:$I,$I2))</f>
        <v/>
      </c>
      <c r="G295" s="135" t="n">
        <v>3</v>
      </c>
      <c r="H295" s="5">
        <f>IF($I2="","",INDEX(Productos!$AG:$AG,$I2))</f>
        <v/>
      </c>
      <c r="I295" s="136">
        <f>LET(_xlpm.r,Productos!$E$2:$E$370,_xlpm.m,IFERROR(_xlfn.XMATCH(C295,_xlpm.r),IFERROR(_xlfn.XMATCH(VALUE(C295),_xlpm.r),0)),IF(_xlpm.m=0,"",_xlpm.m+1))</f>
        <v/>
      </c>
      <c r="J295" s="137" t="inlineStr">
        <is>
          <t>NetSuite</t>
        </is>
      </c>
    </row>
    <row r="296">
      <c r="A296" s="5" t="inlineStr">
        <is>
          <t>CL Muestras</t>
        </is>
      </c>
      <c r="B296" s="5">
        <f>IF($I2="","",INDEX(Productos!$A:$A,$I2))</f>
        <v/>
      </c>
      <c r="C296" s="134" t="inlineStr">
        <is>
          <t>CL/DBZ/1/GO2-UNI</t>
        </is>
      </c>
      <c r="D296" s="5">
        <f>IF($I2="","",INDEX(Productos!$B:$B,$I2))</f>
        <v/>
      </c>
      <c r="E296" s="5">
        <f>IF($I2="","",INDEX(Productos!$H:$H,$I2))</f>
        <v/>
      </c>
      <c r="F296" s="5">
        <f>IF($I2="","",INDEX(Productos!$I:$I,$I2))</f>
        <v/>
      </c>
      <c r="G296" s="135" t="n">
        <v>3</v>
      </c>
      <c r="H296" s="5">
        <f>IF($I2="","",INDEX(Productos!$AG:$AG,$I2))</f>
        <v/>
      </c>
      <c r="I296" s="136">
        <f>LET(_xlpm.r,Productos!$E$2:$E$370,_xlpm.m,IFERROR(_xlfn.XMATCH(C296,_xlpm.r),IFERROR(_xlfn.XMATCH(VALUE(C296),_xlpm.r),0)),IF(_xlpm.m=0,"",_xlpm.m+1))</f>
        <v/>
      </c>
      <c r="J296" s="137" t="inlineStr">
        <is>
          <t>NetSuite</t>
        </is>
      </c>
    </row>
    <row r="297">
      <c r="A297" s="5" t="inlineStr">
        <is>
          <t>CL Muestras</t>
        </is>
      </c>
      <c r="B297" s="5">
        <f>IF($I2="","",INDEX(Productos!$A:$A,$I2))</f>
        <v/>
      </c>
      <c r="C297" s="134" t="inlineStr">
        <is>
          <t>CL/DBZ/1/GO3-UNI</t>
        </is>
      </c>
      <c r="D297" s="5">
        <f>IF($I2="","",INDEX(Productos!$B:$B,$I2))</f>
        <v/>
      </c>
      <c r="E297" s="5">
        <f>IF($I2="","",INDEX(Productos!$H:$H,$I2))</f>
        <v/>
      </c>
      <c r="F297" s="5">
        <f>IF($I2="","",INDEX(Productos!$I:$I,$I2))</f>
        <v/>
      </c>
      <c r="G297" s="135" t="n">
        <v>2</v>
      </c>
      <c r="H297" s="5">
        <f>IF($I2="","",INDEX(Productos!$AG:$AG,$I2))</f>
        <v/>
      </c>
      <c r="I297" s="136">
        <f>LET(_xlpm.r,Productos!$E$2:$E$370,_xlpm.m,IFERROR(_xlfn.XMATCH(C297,_xlpm.r),IFERROR(_xlfn.XMATCH(VALUE(C297),_xlpm.r),0)),IF(_xlpm.m=0,"",_xlpm.m+1))</f>
        <v/>
      </c>
      <c r="J297" s="137" t="inlineStr">
        <is>
          <t>NetSuite</t>
        </is>
      </c>
    </row>
    <row r="298">
      <c r="A298" s="5" t="inlineStr">
        <is>
          <t>CL Muestras</t>
        </is>
      </c>
      <c r="B298" s="5">
        <f>IF($I2="","",INDEX(Productos!$A:$A,$I2))</f>
        <v/>
      </c>
      <c r="C298" s="134" t="inlineStr">
        <is>
          <t>CL/DBZ/1/GO4-UNI</t>
        </is>
      </c>
      <c r="D298" s="5">
        <f>IF($I2="","",INDEX(Productos!$B:$B,$I2))</f>
        <v/>
      </c>
      <c r="E298" s="5">
        <f>IF($I2="","",INDEX(Productos!$H:$H,$I2))</f>
        <v/>
      </c>
      <c r="F298" s="5">
        <f>IF($I2="","",INDEX(Productos!$I:$I,$I2))</f>
        <v/>
      </c>
      <c r="G298" s="135" t="n">
        <v>2</v>
      </c>
      <c r="H298" s="5">
        <f>IF($I2="","",INDEX(Productos!$AG:$AG,$I2))</f>
        <v/>
      </c>
      <c r="I298" s="136">
        <f>LET(_xlpm.r,Productos!$E$2:$E$370,_xlpm.m,IFERROR(_xlfn.XMATCH(C298,_xlpm.r),IFERROR(_xlfn.XMATCH(VALUE(C298),_xlpm.r),0)),IF(_xlpm.m=0,"",_xlpm.m+1))</f>
        <v/>
      </c>
      <c r="J298" s="137" t="inlineStr">
        <is>
          <t>NetSuite</t>
        </is>
      </c>
    </row>
    <row r="299">
      <c r="A299" s="5" t="inlineStr">
        <is>
          <t>CL Muestras</t>
        </is>
      </c>
      <c r="B299" s="5">
        <f>IF($I2="","",INDEX(Productos!$A:$A,$I2))</f>
        <v/>
      </c>
      <c r="C299" s="134" t="inlineStr">
        <is>
          <t>CL/DBZ/1/GOK-UNI</t>
        </is>
      </c>
      <c r="D299" s="5">
        <f>IF($I2="","",INDEX(Productos!$B:$B,$I2))</f>
        <v/>
      </c>
      <c r="E299" s="5">
        <f>IF($I2="","",INDEX(Productos!$H:$H,$I2))</f>
        <v/>
      </c>
      <c r="F299" s="5">
        <f>IF($I2="","",INDEX(Productos!$I:$I,$I2))</f>
        <v/>
      </c>
      <c r="G299" s="135" t="n">
        <v>2</v>
      </c>
      <c r="H299" s="5">
        <f>IF($I2="","",INDEX(Productos!$AG:$AG,$I2))</f>
        <v/>
      </c>
      <c r="I299" s="136">
        <f>LET(_xlpm.r,Productos!$E$2:$E$370,_xlpm.m,IFERROR(_xlfn.XMATCH(C299,_xlpm.r),IFERROR(_xlfn.XMATCH(VALUE(C299),_xlpm.r),0)),IF(_xlpm.m=0,"",_xlpm.m+1))</f>
        <v/>
      </c>
      <c r="J299" s="137" t="inlineStr">
        <is>
          <t>NetSuite</t>
        </is>
      </c>
    </row>
    <row r="300">
      <c r="A300" s="5" t="inlineStr">
        <is>
          <t>CL Muestras</t>
        </is>
      </c>
      <c r="B300" s="5">
        <f>IF($I2="","",INDEX(Productos!$A:$A,$I2))</f>
        <v/>
      </c>
      <c r="C300" s="134" t="inlineStr">
        <is>
          <t>CL/DBZ/1/GOKD-UNI</t>
        </is>
      </c>
      <c r="D300" s="5">
        <f>IF($I2="","",INDEX(Productos!$B:$B,$I2))</f>
        <v/>
      </c>
      <c r="E300" s="5">
        <f>IF($I2="","",INDEX(Productos!$H:$H,$I2))</f>
        <v/>
      </c>
      <c r="F300" s="5">
        <f>IF($I2="","",INDEX(Productos!$I:$I,$I2))</f>
        <v/>
      </c>
      <c r="G300" s="135" t="n">
        <v>2</v>
      </c>
      <c r="H300" s="5">
        <f>IF($I2="","",INDEX(Productos!$AG:$AG,$I2))</f>
        <v/>
      </c>
      <c r="I300" s="136">
        <f>LET(_xlpm.r,Productos!$E$2:$E$370,_xlpm.m,IFERROR(_xlfn.XMATCH(C300,_xlpm.r),IFERROR(_xlfn.XMATCH(VALUE(C300),_xlpm.r),0)),IF(_xlpm.m=0,"",_xlpm.m+1))</f>
        <v/>
      </c>
      <c r="J300" s="137" t="inlineStr">
        <is>
          <t>NetSuite</t>
        </is>
      </c>
    </row>
    <row r="301">
      <c r="A301" s="5" t="inlineStr">
        <is>
          <t>CL Muestras</t>
        </is>
      </c>
      <c r="B301" s="5">
        <f>IF($I2="","",INDEX(Productos!$A:$A,$I2))</f>
        <v/>
      </c>
      <c r="C301" s="134" t="inlineStr">
        <is>
          <t>CL/DBZ/1/GOT3-UNI</t>
        </is>
      </c>
      <c r="D301" s="5">
        <f>IF($I2="","",INDEX(Productos!$B:$B,$I2))</f>
        <v/>
      </c>
      <c r="E301" s="5">
        <f>IF($I2="","",INDEX(Productos!$H:$H,$I2))</f>
        <v/>
      </c>
      <c r="F301" s="5">
        <f>IF($I2="","",INDEX(Productos!$I:$I,$I2))</f>
        <v/>
      </c>
      <c r="G301" s="135" t="n">
        <v>2</v>
      </c>
      <c r="H301" s="5">
        <f>IF($I2="","",INDEX(Productos!$AG:$AG,$I2))</f>
        <v/>
      </c>
      <c r="I301" s="136">
        <f>LET(_xlpm.r,Productos!$E$2:$E$370,_xlpm.m,IFERROR(_xlfn.XMATCH(C301,_xlpm.r),IFERROR(_xlfn.XMATCH(VALUE(C301),_xlpm.r),0)),IF(_xlpm.m=0,"",_xlpm.m+1))</f>
        <v/>
      </c>
      <c r="J301" s="137" t="inlineStr">
        <is>
          <t>NetSuite</t>
        </is>
      </c>
    </row>
    <row r="302">
      <c r="A302" s="5" t="inlineStr">
        <is>
          <t>CL Muestras</t>
        </is>
      </c>
      <c r="B302" s="5">
        <f>IF($I2="","",INDEX(Productos!$A:$A,$I2))</f>
        <v/>
      </c>
      <c r="C302" s="134" t="inlineStr">
        <is>
          <t>CL/DBZ/1/KAMC-UNI</t>
        </is>
      </c>
      <c r="D302" s="5">
        <f>IF($I2="","",INDEX(Productos!$B:$B,$I2))</f>
        <v/>
      </c>
      <c r="E302" s="5">
        <f>IF($I2="","",INDEX(Productos!$H:$H,$I2))</f>
        <v/>
      </c>
      <c r="F302" s="5">
        <f>IF($I2="","",INDEX(Productos!$I:$I,$I2))</f>
        <v/>
      </c>
      <c r="G302" s="135" t="n">
        <v>1</v>
      </c>
      <c r="H302" s="5">
        <f>IF($I2="","",INDEX(Productos!$AG:$AG,$I2))</f>
        <v/>
      </c>
      <c r="I302" s="136">
        <f>LET(_xlpm.r,Productos!$E$2:$E$370,_xlpm.m,IFERROR(_xlfn.XMATCH(C302,_xlpm.r),IFERROR(_xlfn.XMATCH(VALUE(C302),_xlpm.r),0)),IF(_xlpm.m=0,"",_xlpm.m+1))</f>
        <v/>
      </c>
      <c r="J302" s="137" t="inlineStr">
        <is>
          <t>NetSuite</t>
        </is>
      </c>
    </row>
    <row r="303">
      <c r="A303" s="5" t="inlineStr">
        <is>
          <t>CL Muestras</t>
        </is>
      </c>
      <c r="B303" s="5">
        <f>IF($I2="","",INDEX(Productos!$A:$A,$I2))</f>
        <v/>
      </c>
      <c r="C303" s="134" t="inlineStr">
        <is>
          <t>CL/DBZ/1/SAN3-UNI</t>
        </is>
      </c>
      <c r="D303" s="5">
        <f>IF($I2="","",INDEX(Productos!$B:$B,$I2))</f>
        <v/>
      </c>
      <c r="E303" s="5">
        <f>IF($I2="","",INDEX(Productos!$H:$H,$I2))</f>
        <v/>
      </c>
      <c r="F303" s="5">
        <f>IF($I2="","",INDEX(Productos!$I:$I,$I2))</f>
        <v/>
      </c>
      <c r="G303" s="135" t="n">
        <v>2</v>
      </c>
      <c r="H303" s="5">
        <f>IF($I2="","",INDEX(Productos!$AG:$AG,$I2))</f>
        <v/>
      </c>
      <c r="I303" s="136">
        <f>LET(_xlpm.r,Productos!$E$2:$E$370,_xlpm.m,IFERROR(_xlfn.XMATCH(C303,_xlpm.r),IFERROR(_xlfn.XMATCH(VALUE(C303),_xlpm.r),0)),IF(_xlpm.m=0,"",_xlpm.m+1))</f>
        <v/>
      </c>
      <c r="J303" s="137" t="inlineStr">
        <is>
          <t>NetSuite</t>
        </is>
      </c>
    </row>
    <row r="304">
      <c r="A304" s="5" t="inlineStr">
        <is>
          <t>CL Muestras</t>
        </is>
      </c>
      <c r="B304" s="5">
        <f>IF($I2="","",INDEX(Productos!$A:$A,$I2))</f>
        <v/>
      </c>
      <c r="C304" s="134" t="inlineStr">
        <is>
          <t>CL/DBZ/1/SUP-UNI</t>
        </is>
      </c>
      <c r="D304" s="5">
        <f>IF($I2="","",INDEX(Productos!$B:$B,$I2))</f>
        <v/>
      </c>
      <c r="E304" s="5">
        <f>IF($I2="","",INDEX(Productos!$H:$H,$I2))</f>
        <v/>
      </c>
      <c r="F304" s="5">
        <f>IF($I2="","",INDEX(Productos!$I:$I,$I2))</f>
        <v/>
      </c>
      <c r="G304" s="135" t="n">
        <v>1</v>
      </c>
      <c r="H304" s="5">
        <f>IF($I2="","",INDEX(Productos!$AG:$AG,$I2))</f>
        <v/>
      </c>
      <c r="I304" s="136">
        <f>LET(_xlpm.r,Productos!$E$2:$E$370,_xlpm.m,IFERROR(_xlfn.XMATCH(C304,_xlpm.r),IFERROR(_xlfn.XMATCH(VALUE(C304),_xlpm.r),0)),IF(_xlpm.m=0,"",_xlpm.m+1))</f>
        <v/>
      </c>
      <c r="J304" s="137" t="inlineStr">
        <is>
          <t>NetSuite</t>
        </is>
      </c>
    </row>
    <row r="305">
      <c r="A305" s="5" t="inlineStr">
        <is>
          <t>CL Muestras</t>
        </is>
      </c>
      <c r="B305" s="5">
        <f>IF($I2="","",INDEX(Productos!$A:$A,$I2))</f>
        <v/>
      </c>
      <c r="C305" s="134" t="inlineStr">
        <is>
          <t>CL/DBZ/1/VE2-UNI</t>
        </is>
      </c>
      <c r="D305" s="5">
        <f>IF($I2="","",INDEX(Productos!$B:$B,$I2))</f>
        <v/>
      </c>
      <c r="E305" s="5">
        <f>IF($I2="","",INDEX(Productos!$H:$H,$I2))</f>
        <v/>
      </c>
      <c r="F305" s="5">
        <f>IF($I2="","",INDEX(Productos!$I:$I,$I2))</f>
        <v/>
      </c>
      <c r="G305" s="135" t="n">
        <v>1</v>
      </c>
      <c r="H305" s="5">
        <f>IF($I2="","",INDEX(Productos!$AG:$AG,$I2))</f>
        <v/>
      </c>
      <c r="I305" s="136">
        <f>LET(_xlpm.r,Productos!$E$2:$E$370,_xlpm.m,IFERROR(_xlfn.XMATCH(C305,_xlpm.r),IFERROR(_xlfn.XMATCH(VALUE(C305),_xlpm.r),0)),IF(_xlpm.m=0,"",_xlpm.m+1))</f>
        <v/>
      </c>
      <c r="J305" s="137" t="inlineStr">
        <is>
          <t>NetSuite</t>
        </is>
      </c>
    </row>
    <row r="306">
      <c r="A306" s="5" t="inlineStr">
        <is>
          <t>CL Muestras</t>
        </is>
      </c>
      <c r="B306" s="5">
        <f>IF($I2="","",INDEX(Productos!$A:$A,$I2))</f>
        <v/>
      </c>
      <c r="C306" s="134" t="inlineStr">
        <is>
          <t>CL/DBZ/1/VE3-uNI</t>
        </is>
      </c>
      <c r="D306" s="5">
        <f>IF($I2="","",INDEX(Productos!$B:$B,$I2))</f>
        <v/>
      </c>
      <c r="E306" s="5">
        <f>IF($I2="","",INDEX(Productos!$H:$H,$I2))</f>
        <v/>
      </c>
      <c r="F306" s="5">
        <f>IF($I2="","",INDEX(Productos!$I:$I,$I2))</f>
        <v/>
      </c>
      <c r="G306" s="135" t="n">
        <v>2</v>
      </c>
      <c r="H306" s="5">
        <f>IF($I2="","",INDEX(Productos!$AG:$AG,$I2))</f>
        <v/>
      </c>
      <c r="I306" s="136">
        <f>LET(_xlpm.r,Productos!$E$2:$E$370,_xlpm.m,IFERROR(_xlfn.XMATCH(C306,_xlpm.r),IFERROR(_xlfn.XMATCH(VALUE(C306),_xlpm.r),0)),IF(_xlpm.m=0,"",_xlpm.m+1))</f>
        <v/>
      </c>
      <c r="J306" s="137" t="inlineStr">
        <is>
          <t>NetSuite</t>
        </is>
      </c>
    </row>
    <row r="307">
      <c r="A307" s="5" t="inlineStr">
        <is>
          <t>CL Muestras</t>
        </is>
      </c>
      <c r="B307" s="5">
        <f>IF($I2="","",INDEX(Productos!$A:$A,$I2))</f>
        <v/>
      </c>
      <c r="C307" s="134" t="inlineStr">
        <is>
          <t>CL/DBZ/1/VEG-UNI</t>
        </is>
      </c>
      <c r="D307" s="5">
        <f>IF($I2="","",INDEX(Productos!$B:$B,$I2))</f>
        <v/>
      </c>
      <c r="E307" s="5">
        <f>IF($I2="","",INDEX(Productos!$H:$H,$I2))</f>
        <v/>
      </c>
      <c r="F307" s="5">
        <f>IF($I2="","",INDEX(Productos!$I:$I,$I2))</f>
        <v/>
      </c>
      <c r="G307" s="135" t="n">
        <v>2</v>
      </c>
      <c r="H307" s="5">
        <f>IF($I2="","",INDEX(Productos!$AG:$AG,$I2))</f>
        <v/>
      </c>
      <c r="I307" s="136">
        <f>LET(_xlpm.r,Productos!$E$2:$E$370,_xlpm.m,IFERROR(_xlfn.XMATCH(C307,_xlpm.r),IFERROR(_xlfn.XMATCH(VALUE(C307),_xlpm.r),0)),IF(_xlpm.m=0,"",_xlpm.m+1))</f>
        <v/>
      </c>
      <c r="J307" s="137" t="inlineStr">
        <is>
          <t>NetSuite</t>
        </is>
      </c>
    </row>
    <row r="308">
      <c r="A308" s="5" t="inlineStr">
        <is>
          <t>CL Muestras</t>
        </is>
      </c>
      <c r="B308" s="5">
        <f>IF($I2="","",INDEX(Productos!$A:$A,$I2))</f>
        <v/>
      </c>
      <c r="C308" s="134" t="inlineStr">
        <is>
          <t>CL/DBZ/3/BUU-UNIJR</t>
        </is>
      </c>
      <c r="D308" s="5">
        <f>IF($I2="","",INDEX(Productos!$B:$B,$I2))</f>
        <v/>
      </c>
      <c r="E308" s="5">
        <f>IF($I2="","",INDEX(Productos!$H:$H,$I2))</f>
        <v/>
      </c>
      <c r="F308" s="5">
        <f>IF($I2="","",INDEX(Productos!$I:$I,$I2))</f>
        <v/>
      </c>
      <c r="G308" s="135" t="n">
        <v>1</v>
      </c>
      <c r="H308" s="5">
        <f>IF($I2="","",INDEX(Productos!$AG:$AG,$I2))</f>
        <v/>
      </c>
      <c r="I308" s="136">
        <f>LET(_xlpm.r,Productos!$E$2:$E$370,_xlpm.m,IFERROR(_xlfn.XMATCH(C308,_xlpm.r),IFERROR(_xlfn.XMATCH(VALUE(C308),_xlpm.r),0)),IF(_xlpm.m=0,"",_xlpm.m+1))</f>
        <v/>
      </c>
      <c r="J308" s="137" t="inlineStr">
        <is>
          <t>NetSuite</t>
        </is>
      </c>
    </row>
    <row r="309">
      <c r="A309" s="5" t="inlineStr">
        <is>
          <t>CL Muestras</t>
        </is>
      </c>
      <c r="B309" s="5">
        <f>IF($I2="","",INDEX(Productos!$A:$A,$I2))</f>
        <v/>
      </c>
      <c r="C309" s="134" t="inlineStr">
        <is>
          <t>CL/DBZ/3/GO3-UNIJR</t>
        </is>
      </c>
      <c r="D309" s="5">
        <f>IF($I2="","",INDEX(Productos!$B:$B,$I2))</f>
        <v/>
      </c>
      <c r="E309" s="5">
        <f>IF($I2="","",INDEX(Productos!$H:$H,$I2))</f>
        <v/>
      </c>
      <c r="F309" s="5">
        <f>IF($I2="","",INDEX(Productos!$I:$I,$I2))</f>
        <v/>
      </c>
      <c r="G309" s="135" t="n">
        <v>2</v>
      </c>
      <c r="H309" s="5">
        <f>IF($I2="","",INDEX(Productos!$AG:$AG,$I2))</f>
        <v/>
      </c>
      <c r="I309" s="136">
        <f>LET(_xlpm.r,Productos!$E$2:$E$370,_xlpm.m,IFERROR(_xlfn.XMATCH(C309,_xlpm.r),IFERROR(_xlfn.XMATCH(VALUE(C309),_xlpm.r),0)),IF(_xlpm.m=0,"",_xlpm.m+1))</f>
        <v/>
      </c>
      <c r="J309" s="137" t="inlineStr">
        <is>
          <t>NetSuite</t>
        </is>
      </c>
    </row>
    <row r="310">
      <c r="A310" s="5" t="inlineStr">
        <is>
          <t>CL Muestras</t>
        </is>
      </c>
      <c r="B310" s="5">
        <f>IF($I2="","",INDEX(Productos!$A:$A,$I2))</f>
        <v/>
      </c>
      <c r="C310" s="134" t="inlineStr">
        <is>
          <t>CL/DBZ/3/GOKB-UNIJR</t>
        </is>
      </c>
      <c r="D310" s="5">
        <f>IF($I2="","",INDEX(Productos!$B:$B,$I2))</f>
        <v/>
      </c>
      <c r="E310" s="5">
        <f>IF($I2="","",INDEX(Productos!$H:$H,$I2))</f>
        <v/>
      </c>
      <c r="F310" s="5">
        <f>IF($I2="","",INDEX(Productos!$I:$I,$I2))</f>
        <v/>
      </c>
      <c r="G310" s="135" t="n">
        <v>2</v>
      </c>
      <c r="H310" s="5">
        <f>IF($I2="","",INDEX(Productos!$AG:$AG,$I2))</f>
        <v/>
      </c>
      <c r="I310" s="136">
        <f>LET(_xlpm.r,Productos!$E$2:$E$370,_xlpm.m,IFERROR(_xlfn.XMATCH(C310,_xlpm.r),IFERROR(_xlfn.XMATCH(VALUE(C310),_xlpm.r),0)),IF(_xlpm.m=0,"",_xlpm.m+1))</f>
        <v/>
      </c>
      <c r="J310" s="137" t="inlineStr">
        <is>
          <t>NetSuite</t>
        </is>
      </c>
    </row>
    <row r="311">
      <c r="A311" s="5" t="inlineStr">
        <is>
          <t>CL Muestras</t>
        </is>
      </c>
      <c r="B311" s="5">
        <f>IF($I2="","",INDEX(Productos!$A:$A,$I2))</f>
        <v/>
      </c>
      <c r="C311" s="134" t="inlineStr">
        <is>
          <t>CL/DBZ/3/VE3-UNIJR</t>
        </is>
      </c>
      <c r="D311" s="5">
        <f>IF($I2="","",INDEX(Productos!$B:$B,$I2))</f>
        <v/>
      </c>
      <c r="E311" s="5">
        <f>IF($I2="","",INDEX(Productos!$H:$H,$I2))</f>
        <v/>
      </c>
      <c r="F311" s="5">
        <f>IF($I2="","",INDEX(Productos!$I:$I,$I2))</f>
        <v/>
      </c>
      <c r="G311" s="135" t="n">
        <v>1</v>
      </c>
      <c r="H311" s="5">
        <f>IF($I2="","",INDEX(Productos!$AG:$AG,$I2))</f>
        <v/>
      </c>
      <c r="I311" s="136">
        <f>LET(_xlpm.r,Productos!$E$2:$E$370,_xlpm.m,IFERROR(_xlfn.XMATCH(C311,_xlpm.r),IFERROR(_xlfn.XMATCH(VALUE(C311),_xlpm.r),0)),IF(_xlpm.m=0,"",_xlpm.m+1))</f>
        <v/>
      </c>
      <c r="J311" s="137" t="inlineStr">
        <is>
          <t>NetSuite</t>
        </is>
      </c>
    </row>
    <row r="312">
      <c r="A312" s="5" t="inlineStr">
        <is>
          <t>CL Muestras</t>
        </is>
      </c>
      <c r="B312" s="5">
        <f>IF($I2="","",INDEX(Productos!$A:$A,$I2))</f>
        <v/>
      </c>
      <c r="C312" s="134" t="inlineStr">
        <is>
          <t>CL/DBZ/3/VEGB-UNIJR</t>
        </is>
      </c>
      <c r="D312" s="5">
        <f>IF($I2="","",INDEX(Productos!$B:$B,$I2))</f>
        <v/>
      </c>
      <c r="E312" s="5">
        <f>IF($I2="","",INDEX(Productos!$H:$H,$I2))</f>
        <v/>
      </c>
      <c r="F312" s="5">
        <f>IF($I2="","",INDEX(Productos!$I:$I,$I2))</f>
        <v/>
      </c>
      <c r="G312" s="135" t="n">
        <v>2</v>
      </c>
      <c r="H312" s="5">
        <f>IF($I2="","",INDEX(Productos!$AG:$AG,$I2))</f>
        <v/>
      </c>
      <c r="I312" s="136">
        <f>LET(_xlpm.r,Productos!$E$2:$E$370,_xlpm.m,IFERROR(_xlfn.XMATCH(C312,_xlpm.r),IFERROR(_xlfn.XMATCH(VALUE(C312),_xlpm.r),0)),IF(_xlpm.m=0,"",_xlpm.m+1))</f>
        <v/>
      </c>
      <c r="J312" s="137" t="inlineStr">
        <is>
          <t>NetSuite</t>
        </is>
      </c>
    </row>
    <row r="313">
      <c r="A313" s="5" t="inlineStr">
        <is>
          <t>CL Muestras</t>
        </is>
      </c>
      <c r="B313" s="5">
        <f>IF($I2="","",INDEX(Productos!$A:$A,$I2))</f>
        <v/>
      </c>
      <c r="C313" s="134" t="inlineStr">
        <is>
          <t>CL/DBZ/FUR1/OOZ1-UNI</t>
        </is>
      </c>
      <c r="D313" s="5">
        <f>IF($I2="","",INDEX(Productos!$B:$B,$I2))</f>
        <v/>
      </c>
      <c r="E313" s="5">
        <f>IF($I2="","",INDEX(Productos!$H:$H,$I2))</f>
        <v/>
      </c>
      <c r="F313" s="5">
        <f>IF($I2="","",INDEX(Productos!$I:$I,$I2))</f>
        <v/>
      </c>
      <c r="G313" s="135" t="n">
        <v>2</v>
      </c>
      <c r="H313" s="5">
        <f>IF($I2="","",INDEX(Productos!$AG:$AG,$I2))</f>
        <v/>
      </c>
      <c r="I313" s="136">
        <f>LET(_xlpm.r,Productos!$E$2:$E$370,_xlpm.m,IFERROR(_xlfn.XMATCH(C313,_xlpm.r),IFERROR(_xlfn.XMATCH(VALUE(C313),_xlpm.r),0)),IF(_xlpm.m=0,"",_xlpm.m+1))</f>
        <v/>
      </c>
      <c r="J313" s="137" t="inlineStr">
        <is>
          <t>NetSuite</t>
        </is>
      </c>
    </row>
    <row r="314">
      <c r="A314" s="5" t="inlineStr">
        <is>
          <t>CL Muestras</t>
        </is>
      </c>
      <c r="B314" s="5">
        <f>IF($I2="","",INDEX(Productos!$A:$A,$I2))</f>
        <v/>
      </c>
      <c r="C314" s="134" t="inlineStr">
        <is>
          <t>CL/DBZ/TAG/1/KAM-UNI</t>
        </is>
      </c>
      <c r="D314" s="5">
        <f>IF($I2="","",INDEX(Productos!$B:$B,$I2))</f>
        <v/>
      </c>
      <c r="E314" s="5">
        <f>IF($I2="","",INDEX(Productos!$H:$H,$I2))</f>
        <v/>
      </c>
      <c r="F314" s="5">
        <f>IF($I2="","",INDEX(Productos!$I:$I,$I2))</f>
        <v/>
      </c>
      <c r="G314" s="135" t="n">
        <v>1</v>
      </c>
      <c r="H314" s="5">
        <f>IF($I2="","",INDEX(Productos!$AG:$AG,$I2))</f>
        <v/>
      </c>
      <c r="I314" s="136">
        <f>LET(_xlpm.r,Productos!$E$2:$E$370,_xlpm.m,IFERROR(_xlfn.XMATCH(C314,_xlpm.r),IFERROR(_xlfn.XMATCH(VALUE(C314),_xlpm.r),0)),IF(_xlpm.m=0,"",_xlpm.m+1))</f>
        <v/>
      </c>
      <c r="J314" s="137" t="inlineStr">
        <is>
          <t>NetSuite</t>
        </is>
      </c>
    </row>
    <row r="315">
      <c r="A315" s="5" t="inlineStr">
        <is>
          <t>CL Muestras</t>
        </is>
      </c>
      <c r="B315" s="5">
        <f>IF($I2="","",INDEX(Productos!$A:$A,$I2))</f>
        <v/>
      </c>
      <c r="C315" s="134" t="inlineStr">
        <is>
          <t>CL/DBZ/TAG/1/SHE-UNI</t>
        </is>
      </c>
      <c r="D315" s="5">
        <f>IF($I2="","",INDEX(Productos!$B:$B,$I2))</f>
        <v/>
      </c>
      <c r="E315" s="5">
        <f>IF($I2="","",INDEX(Productos!$H:$H,$I2))</f>
        <v/>
      </c>
      <c r="F315" s="5">
        <f>IF($I2="","",INDEX(Productos!$I:$I,$I2))</f>
        <v/>
      </c>
      <c r="G315" s="135" t="n">
        <v>1</v>
      </c>
      <c r="H315" s="5">
        <f>IF($I2="","",INDEX(Productos!$AG:$AG,$I2))</f>
        <v/>
      </c>
      <c r="I315" s="136">
        <f>LET(_xlpm.r,Productos!$E$2:$E$370,_xlpm.m,IFERROR(_xlfn.XMATCH(C315,_xlpm.r),IFERROR(_xlfn.XMATCH(VALUE(C315),_xlpm.r),0)),IF(_xlpm.m=0,"",_xlpm.m+1))</f>
        <v/>
      </c>
      <c r="J315" s="137" t="inlineStr">
        <is>
          <t>NetSuite</t>
        </is>
      </c>
    </row>
    <row r="316">
      <c r="A316" s="5" t="inlineStr">
        <is>
          <t>CL Muestras</t>
        </is>
      </c>
      <c r="B316" s="5">
        <f>IF($I2="","",INDEX(Productos!$A:$A,$I2))</f>
        <v/>
      </c>
      <c r="C316" s="134" t="inlineStr">
        <is>
          <t>CL/DBZ2/1/GTN3-UNI</t>
        </is>
      </c>
      <c r="D316" s="5">
        <f>IF($I2="","",INDEX(Productos!$B:$B,$I2))</f>
        <v/>
      </c>
      <c r="E316" s="5">
        <f>IF($I2="","",INDEX(Productos!$H:$H,$I2))</f>
        <v/>
      </c>
      <c r="F316" s="5">
        <f>IF($I2="","",INDEX(Productos!$I:$I,$I2))</f>
        <v/>
      </c>
      <c r="G316" s="135" t="n">
        <v>1</v>
      </c>
      <c r="H316" s="5">
        <f>IF($I2="","",INDEX(Productos!$AG:$AG,$I2))</f>
        <v/>
      </c>
      <c r="I316" s="136">
        <f>LET(_xlpm.r,Productos!$E$2:$E$370,_xlpm.m,IFERROR(_xlfn.XMATCH(C316,_xlpm.r),IFERROR(_xlfn.XMATCH(VALUE(C316),_xlpm.r),0)),IF(_xlpm.m=0,"",_xlpm.m+1))</f>
        <v/>
      </c>
      <c r="J316" s="137" t="inlineStr">
        <is>
          <t>NetSuite</t>
        </is>
      </c>
    </row>
    <row r="317">
      <c r="A317" s="5" t="inlineStr">
        <is>
          <t>CL Muestras</t>
        </is>
      </c>
      <c r="B317" s="5">
        <f>IF($I2="","",INDEX(Productos!$A:$A,$I2))</f>
        <v/>
      </c>
      <c r="C317" s="134" t="inlineStr">
        <is>
          <t>CL/DBZ2/1/KAM10-UNI</t>
        </is>
      </c>
      <c r="D317" s="5">
        <f>IF($I2="","",INDEX(Productos!$B:$B,$I2))</f>
        <v/>
      </c>
      <c r="E317" s="5">
        <f>IF($I2="","",INDEX(Productos!$H:$H,$I2))</f>
        <v/>
      </c>
      <c r="F317" s="5">
        <f>IF($I2="","",INDEX(Productos!$I:$I,$I2))</f>
        <v/>
      </c>
      <c r="G317" s="135" t="n">
        <v>1</v>
      </c>
      <c r="H317" s="5">
        <f>IF($I2="","",INDEX(Productos!$AG:$AG,$I2))</f>
        <v/>
      </c>
      <c r="I317" s="136">
        <f>LET(_xlpm.r,Productos!$E$2:$E$370,_xlpm.m,IFERROR(_xlfn.XMATCH(C317,_xlpm.r),IFERROR(_xlfn.XMATCH(VALUE(C317),_xlpm.r),0)),IF(_xlpm.m=0,"",_xlpm.m+1))</f>
        <v/>
      </c>
      <c r="J317" s="137" t="inlineStr">
        <is>
          <t>NetSuite</t>
        </is>
      </c>
    </row>
    <row r="318">
      <c r="A318" s="5" t="inlineStr">
        <is>
          <t>CL Muestras</t>
        </is>
      </c>
      <c r="B318" s="5">
        <f>IF($I2="","",INDEX(Productos!$A:$A,$I2))</f>
        <v/>
      </c>
      <c r="C318" s="134" t="inlineStr">
        <is>
          <t>CL/DBZ2/1/KAM4-UNI</t>
        </is>
      </c>
      <c r="D318" s="5">
        <f>IF($I2="","",INDEX(Productos!$B:$B,$I2))</f>
        <v/>
      </c>
      <c r="E318" s="5">
        <f>IF($I2="","",INDEX(Productos!$H:$H,$I2))</f>
        <v/>
      </c>
      <c r="F318" s="5">
        <f>IF($I2="","",INDEX(Productos!$I:$I,$I2))</f>
        <v/>
      </c>
      <c r="G318" s="135" t="n">
        <v>2</v>
      </c>
      <c r="H318" s="5">
        <f>IF($I2="","",INDEX(Productos!$AG:$AG,$I2))</f>
        <v/>
      </c>
      <c r="I318" s="136">
        <f>LET(_xlpm.r,Productos!$E$2:$E$370,_xlpm.m,IFERROR(_xlfn.XMATCH(C318,_xlpm.r),IFERROR(_xlfn.XMATCH(VALUE(C318),_xlpm.r),0)),IF(_xlpm.m=0,"",_xlpm.m+1))</f>
        <v/>
      </c>
      <c r="J318" s="137" t="inlineStr">
        <is>
          <t>NetSuite</t>
        </is>
      </c>
    </row>
    <row r="319">
      <c r="A319" s="5" t="inlineStr">
        <is>
          <t>CL Muestras</t>
        </is>
      </c>
      <c r="B319" s="5">
        <f>IF($I2="","",INDEX(Productos!$A:$A,$I2))</f>
        <v/>
      </c>
      <c r="C319" s="134" t="inlineStr">
        <is>
          <t>CL/DBZ2/1/MV1-UNI</t>
        </is>
      </c>
      <c r="D319" s="5">
        <f>IF($I2="","",INDEX(Productos!$B:$B,$I2))</f>
        <v/>
      </c>
      <c r="E319" s="5">
        <f>IF($I2="","",INDEX(Productos!$H:$H,$I2))</f>
        <v/>
      </c>
      <c r="F319" s="5">
        <f>IF($I2="","",INDEX(Productos!$I:$I,$I2))</f>
        <v/>
      </c>
      <c r="G319" s="135" t="n">
        <v>2</v>
      </c>
      <c r="H319" s="5">
        <f>IF($I2="","",INDEX(Productos!$AG:$AG,$I2))</f>
        <v/>
      </c>
      <c r="I319" s="136">
        <f>LET(_xlpm.r,Productos!$E$2:$E$370,_xlpm.m,IFERROR(_xlfn.XMATCH(C319,_xlpm.r),IFERROR(_xlfn.XMATCH(VALUE(C319),_xlpm.r),0)),IF(_xlpm.m=0,"",_xlpm.m+1))</f>
        <v/>
      </c>
      <c r="J319" s="137" t="inlineStr">
        <is>
          <t>NetSuite</t>
        </is>
      </c>
    </row>
    <row r="320">
      <c r="A320" s="5" t="inlineStr">
        <is>
          <t>CL Muestras</t>
        </is>
      </c>
      <c r="B320" s="5">
        <f>IF($I2="","",INDEX(Productos!$A:$A,$I2))</f>
        <v/>
      </c>
      <c r="C320" s="134" t="inlineStr">
        <is>
          <t>CL/DBZ2/1/MV2-UNI</t>
        </is>
      </c>
      <c r="D320" s="5">
        <f>IF($I2="","",INDEX(Productos!$B:$B,$I2))</f>
        <v/>
      </c>
      <c r="E320" s="5">
        <f>IF($I2="","",INDEX(Productos!$H:$H,$I2))</f>
        <v/>
      </c>
      <c r="F320" s="5">
        <f>IF($I2="","",INDEX(Productos!$I:$I,$I2))</f>
        <v/>
      </c>
      <c r="G320" s="135" t="n">
        <v>1</v>
      </c>
      <c r="H320" s="5">
        <f>IF($I2="","",INDEX(Productos!$AG:$AG,$I2))</f>
        <v/>
      </c>
      <c r="I320" s="136">
        <f>LET(_xlpm.r,Productos!$E$2:$E$370,_xlpm.m,IFERROR(_xlfn.XMATCH(C320,_xlpm.r),IFERROR(_xlfn.XMATCH(VALUE(C320),_xlpm.r),0)),IF(_xlpm.m=0,"",_xlpm.m+1))</f>
        <v/>
      </c>
      <c r="J320" s="137" t="inlineStr">
        <is>
          <t>NetSuite</t>
        </is>
      </c>
    </row>
    <row r="321">
      <c r="A321" s="5" t="inlineStr">
        <is>
          <t>CL Muestras</t>
        </is>
      </c>
      <c r="B321" s="5">
        <f>IF($I2="","",INDEX(Productos!$A:$A,$I2))</f>
        <v/>
      </c>
      <c r="C321" s="134" t="inlineStr">
        <is>
          <t>CL/DBZ2/1/MV4-UNI</t>
        </is>
      </c>
      <c r="D321" s="5">
        <f>IF($I2="","",INDEX(Productos!$B:$B,$I2))</f>
        <v/>
      </c>
      <c r="E321" s="5">
        <f>IF($I2="","",INDEX(Productos!$H:$H,$I2))</f>
        <v/>
      </c>
      <c r="F321" s="5">
        <f>IF($I2="","",INDEX(Productos!$I:$I,$I2))</f>
        <v/>
      </c>
      <c r="G321" s="135" t="n">
        <v>2</v>
      </c>
      <c r="H321" s="5">
        <f>IF($I2="","",INDEX(Productos!$AG:$AG,$I2))</f>
        <v/>
      </c>
      <c r="I321" s="136">
        <f>LET(_xlpm.r,Productos!$E$2:$E$370,_xlpm.m,IFERROR(_xlfn.XMATCH(C321,_xlpm.r),IFERROR(_xlfn.XMATCH(VALUE(C321),_xlpm.r),0)),IF(_xlpm.m=0,"",_xlpm.m+1))</f>
        <v/>
      </c>
      <c r="J321" s="137" t="inlineStr">
        <is>
          <t>NetSuite</t>
        </is>
      </c>
    </row>
    <row r="322">
      <c r="A322" s="5" t="inlineStr">
        <is>
          <t>CL Muestras</t>
        </is>
      </c>
      <c r="B322" s="5">
        <f>IF($I2="","",INDEX(Productos!$A:$A,$I2))</f>
        <v/>
      </c>
      <c r="C322" s="134" t="inlineStr">
        <is>
          <t>CL/DBZ2/1/TRK1-UNI</t>
        </is>
      </c>
      <c r="D322" s="5">
        <f>IF($I2="","",INDEX(Productos!$B:$B,$I2))</f>
        <v/>
      </c>
      <c r="E322" s="5">
        <f>IF($I2="","",INDEX(Productos!$H:$H,$I2))</f>
        <v/>
      </c>
      <c r="F322" s="5">
        <f>IF($I2="","",INDEX(Productos!$I:$I,$I2))</f>
        <v/>
      </c>
      <c r="G322" s="135" t="n">
        <v>1</v>
      </c>
      <c r="H322" s="5">
        <f>IF($I2="","",INDEX(Productos!$AG:$AG,$I2))</f>
        <v/>
      </c>
      <c r="I322" s="136">
        <f>LET(_xlpm.r,Productos!$E$2:$E$370,_xlpm.m,IFERROR(_xlfn.XMATCH(C322,_xlpm.r),IFERROR(_xlfn.XMATCH(VALUE(C322),_xlpm.r),0)),IF(_xlpm.m=0,"",_xlpm.m+1))</f>
        <v/>
      </c>
      <c r="J322" s="137" t="inlineStr">
        <is>
          <t>NetSuite</t>
        </is>
      </c>
    </row>
    <row r="323">
      <c r="A323" s="5" t="inlineStr">
        <is>
          <t>CL Muestras</t>
        </is>
      </c>
      <c r="B323" s="5">
        <f>IF($I2="","",INDEX(Productos!$A:$A,$I2))</f>
        <v/>
      </c>
      <c r="C323" s="134" t="inlineStr">
        <is>
          <t>CL/DBZ2/1/TRK2-UNI</t>
        </is>
      </c>
      <c r="D323" s="5">
        <f>IF($I2="","",INDEX(Productos!$B:$B,$I2))</f>
        <v/>
      </c>
      <c r="E323" s="5">
        <f>IF($I2="","",INDEX(Productos!$H:$H,$I2))</f>
        <v/>
      </c>
      <c r="F323" s="5">
        <f>IF($I2="","",INDEX(Productos!$I:$I,$I2))</f>
        <v/>
      </c>
      <c r="G323" s="135" t="n">
        <v>1</v>
      </c>
      <c r="H323" s="5">
        <f>IF($I2="","",INDEX(Productos!$AG:$AG,$I2))</f>
        <v/>
      </c>
      <c r="I323" s="136">
        <f>LET(_xlpm.r,Productos!$E$2:$E$370,_xlpm.m,IFERROR(_xlfn.XMATCH(C323,_xlpm.r),IFERROR(_xlfn.XMATCH(VALUE(C323),_xlpm.r),0)),IF(_xlpm.m=0,"",_xlpm.m+1))</f>
        <v/>
      </c>
      <c r="J323" s="137" t="inlineStr">
        <is>
          <t>NetSuite</t>
        </is>
      </c>
    </row>
    <row r="324">
      <c r="A324" s="5" t="inlineStr">
        <is>
          <t>CL Muestras</t>
        </is>
      </c>
      <c r="B324" s="5">
        <f>IF($I2="","",INDEX(Productos!$A:$A,$I2))</f>
        <v/>
      </c>
      <c r="C324" s="134" t="inlineStr">
        <is>
          <t>CL/DBZ2/3/MV1-UNIJR</t>
        </is>
      </c>
      <c r="D324" s="5">
        <f>IF($I2="","",INDEX(Productos!$B:$B,$I2))</f>
        <v/>
      </c>
      <c r="E324" s="5">
        <f>IF($I2="","",INDEX(Productos!$H:$H,$I2))</f>
        <v/>
      </c>
      <c r="F324" s="5">
        <f>IF($I2="","",INDEX(Productos!$I:$I,$I2))</f>
        <v/>
      </c>
      <c r="G324" s="135" t="n">
        <v>2</v>
      </c>
      <c r="H324" s="5">
        <f>IF($I2="","",INDEX(Productos!$AG:$AG,$I2))</f>
        <v/>
      </c>
      <c r="I324" s="136">
        <f>LET(_xlpm.r,Productos!$E$2:$E$370,_xlpm.m,IFERROR(_xlfn.XMATCH(C324,_xlpm.r),IFERROR(_xlfn.XMATCH(VALUE(C324),_xlpm.r),0)),IF(_xlpm.m=0,"",_xlpm.m+1))</f>
        <v/>
      </c>
      <c r="J324" s="137" t="inlineStr">
        <is>
          <t>NetSuite</t>
        </is>
      </c>
    </row>
    <row r="325">
      <c r="A325" s="5" t="inlineStr">
        <is>
          <t>CL Muestras</t>
        </is>
      </c>
      <c r="B325" s="5">
        <f>IF($I2="","",INDEX(Productos!$A:$A,$I2))</f>
        <v/>
      </c>
      <c r="C325" s="134" t="inlineStr">
        <is>
          <t>CL/DBZ3/1/SAY1-UNI</t>
        </is>
      </c>
      <c r="D325" s="5">
        <f>IF($I2="","",INDEX(Productos!$B:$B,$I2))</f>
        <v/>
      </c>
      <c r="E325" s="5">
        <f>IF($I2="","",INDEX(Productos!$H:$H,$I2))</f>
        <v/>
      </c>
      <c r="F325" s="5">
        <f>IF($I2="","",INDEX(Productos!$I:$I,$I2))</f>
        <v/>
      </c>
      <c r="G325" s="135" t="n">
        <v>1</v>
      </c>
      <c r="H325" s="5">
        <f>IF($I2="","",INDEX(Productos!$AG:$AG,$I2))</f>
        <v/>
      </c>
      <c r="I325" s="136">
        <f>LET(_xlpm.r,Productos!$E$2:$E$370,_xlpm.m,IFERROR(_xlfn.XMATCH(C325,_xlpm.r),IFERROR(_xlfn.XMATCH(VALUE(C325),_xlpm.r),0)),IF(_xlpm.m=0,"",_xlpm.m+1))</f>
        <v/>
      </c>
      <c r="J325" s="137" t="inlineStr">
        <is>
          <t>NetSuite</t>
        </is>
      </c>
    </row>
    <row r="326">
      <c r="A326" s="5" t="inlineStr">
        <is>
          <t>CL Muestras</t>
        </is>
      </c>
      <c r="B326" s="5">
        <f>IF($I2="","",INDEX(Productos!$A:$A,$I2))</f>
        <v/>
      </c>
      <c r="C326" s="134" t="inlineStr">
        <is>
          <t>CL/DBZ4/1/COR-UNI</t>
        </is>
      </c>
      <c r="D326" s="5">
        <f>IF($I2="","",INDEX(Productos!$B:$B,$I2))</f>
        <v/>
      </c>
      <c r="E326" s="5">
        <f>IF($I2="","",INDEX(Productos!$H:$H,$I2))</f>
        <v/>
      </c>
      <c r="F326" s="5">
        <f>IF($I2="","",INDEX(Productos!$I:$I,$I2))</f>
        <v/>
      </c>
      <c r="G326" s="135" t="n">
        <v>1</v>
      </c>
      <c r="H326" s="5">
        <f>IF($I2="","",INDEX(Productos!$AG:$AG,$I2))</f>
        <v/>
      </c>
      <c r="I326" s="136">
        <f>LET(_xlpm.r,Productos!$E$2:$E$370,_xlpm.m,IFERROR(_xlfn.XMATCH(C326,_xlpm.r),IFERROR(_xlfn.XMATCH(VALUE(C326),_xlpm.r),0)),IF(_xlpm.m=0,"",_xlpm.m+1))</f>
        <v/>
      </c>
      <c r="J326" s="137" t="inlineStr">
        <is>
          <t>NetSuite</t>
        </is>
      </c>
    </row>
    <row r="327">
      <c r="A327" s="5" t="inlineStr">
        <is>
          <t>CL Muestras</t>
        </is>
      </c>
      <c r="B327" s="5">
        <f>IF($I2="","",INDEX(Productos!$A:$A,$I2))</f>
        <v/>
      </c>
      <c r="C327" s="134" t="inlineStr">
        <is>
          <t>CL/DBZ6/1/CAS/FRI2-uNI</t>
        </is>
      </c>
      <c r="D327" s="5">
        <f>IF($I2="","",INDEX(Productos!$B:$B,$I2))</f>
        <v/>
      </c>
      <c r="E327" s="5">
        <f>IF($I2="","",INDEX(Productos!$H:$H,$I2))</f>
        <v/>
      </c>
      <c r="F327" s="5">
        <f>IF($I2="","",INDEX(Productos!$I:$I,$I2))</f>
        <v/>
      </c>
      <c r="G327" s="135" t="n">
        <v>3</v>
      </c>
      <c r="H327" s="5">
        <f>IF($I2="","",INDEX(Productos!$AG:$AG,$I2))</f>
        <v/>
      </c>
      <c r="I327" s="136">
        <f>LET(_xlpm.r,Productos!$E$2:$E$370,_xlpm.m,IFERROR(_xlfn.XMATCH(C327,_xlpm.r),IFERROR(_xlfn.XMATCH(VALUE(C327),_xlpm.r),0)),IF(_xlpm.m=0,"",_xlpm.m+1))</f>
        <v/>
      </c>
      <c r="J327" s="137" t="inlineStr">
        <is>
          <t>NetSuite</t>
        </is>
      </c>
    </row>
    <row r="328">
      <c r="A328" s="5" t="inlineStr">
        <is>
          <t>CL Muestras</t>
        </is>
      </c>
      <c r="B328" s="5">
        <f>IF($I2="","",INDEX(Productos!$A:$A,$I2))</f>
        <v/>
      </c>
      <c r="C328" s="134" t="inlineStr">
        <is>
          <t>CL/DBZ6/1/CAS/KID2-UNI</t>
        </is>
      </c>
      <c r="D328" s="5">
        <f>IF($I2="","",INDEX(Productos!$B:$B,$I2))</f>
        <v/>
      </c>
      <c r="E328" s="5">
        <f>IF($I2="","",INDEX(Productos!$H:$H,$I2))</f>
        <v/>
      </c>
      <c r="F328" s="5">
        <f>IF($I2="","",INDEX(Productos!$I:$I,$I2))</f>
        <v/>
      </c>
      <c r="G328" s="135" t="n">
        <v>1</v>
      </c>
      <c r="H328" s="5">
        <f>IF($I2="","",INDEX(Productos!$AG:$AG,$I2))</f>
        <v/>
      </c>
      <c r="I328" s="136">
        <f>LET(_xlpm.r,Productos!$E$2:$E$370,_xlpm.m,IFERROR(_xlfn.XMATCH(C328,_xlpm.r),IFERROR(_xlfn.XMATCH(VALUE(C328),_xlpm.r),0)),IF(_xlpm.m=0,"",_xlpm.m+1))</f>
        <v/>
      </c>
      <c r="J328" s="137" t="inlineStr">
        <is>
          <t>NetSuite</t>
        </is>
      </c>
    </row>
    <row r="329">
      <c r="A329" s="5" t="inlineStr">
        <is>
          <t>CL Muestras</t>
        </is>
      </c>
      <c r="B329" s="5">
        <f>IF($I2="","",INDEX(Productos!$A:$A,$I2))</f>
        <v/>
      </c>
      <c r="C329" s="134" t="inlineStr">
        <is>
          <t>CL/DBZ7/1/CT/ANG-UNI</t>
        </is>
      </c>
      <c r="D329" s="5">
        <f>IF($I2="","",INDEX(Productos!$B:$B,$I2))</f>
        <v/>
      </c>
      <c r="E329" s="5">
        <f>IF($I2="","",INDEX(Productos!$H:$H,$I2))</f>
        <v/>
      </c>
      <c r="F329" s="5">
        <f>IF($I2="","",INDEX(Productos!$I:$I,$I2))</f>
        <v/>
      </c>
      <c r="G329" s="135" t="n">
        <v>1</v>
      </c>
      <c r="H329" s="5">
        <f>IF($I2="","",INDEX(Productos!$AG:$AG,$I2))</f>
        <v/>
      </c>
      <c r="I329" s="136">
        <f>LET(_xlpm.r,Productos!$E$2:$E$370,_xlpm.m,IFERROR(_xlfn.XMATCH(C329,_xlpm.r),IFERROR(_xlfn.XMATCH(VALUE(C329),_xlpm.r),0)),IF(_xlpm.m=0,"",_xlpm.m+1))</f>
        <v/>
      </c>
      <c r="J329" s="137" t="inlineStr">
        <is>
          <t>NetSuite</t>
        </is>
      </c>
    </row>
    <row r="330">
      <c r="A330" s="5" t="inlineStr">
        <is>
          <t>CL Muestras</t>
        </is>
      </c>
      <c r="B330" s="5">
        <f>IF($I2="","",INDEX(Productos!$A:$A,$I2))</f>
        <v/>
      </c>
      <c r="C330" s="134" t="inlineStr">
        <is>
          <t>CL/DBZ7/1/CT/GBUU-UNI</t>
        </is>
      </c>
      <c r="D330" s="5">
        <f>IF($I2="","",INDEX(Productos!$B:$B,$I2))</f>
        <v/>
      </c>
      <c r="E330" s="5">
        <f>IF($I2="","",INDEX(Productos!$H:$H,$I2))</f>
        <v/>
      </c>
      <c r="F330" s="5">
        <f>IF($I2="","",INDEX(Productos!$I:$I,$I2))</f>
        <v/>
      </c>
      <c r="G330" s="135" t="n">
        <v>1</v>
      </c>
      <c r="H330" s="5">
        <f>IF($I2="","",INDEX(Productos!$AG:$AG,$I2))</f>
        <v/>
      </c>
      <c r="I330" s="136">
        <f>LET(_xlpm.r,Productos!$E$2:$E$370,_xlpm.m,IFERROR(_xlfn.XMATCH(C330,_xlpm.r),IFERROR(_xlfn.XMATCH(VALUE(C330),_xlpm.r),0)),IF(_xlpm.m=0,"",_xlpm.m+1))</f>
        <v/>
      </c>
      <c r="J330" s="137" t="inlineStr">
        <is>
          <t>NetSuite</t>
        </is>
      </c>
    </row>
    <row r="331">
      <c r="A331" s="5" t="inlineStr">
        <is>
          <t>CL Muestras</t>
        </is>
      </c>
      <c r="B331" s="5">
        <f>IF($I2="","",INDEX(Productos!$A:$A,$I2))</f>
        <v/>
      </c>
      <c r="C331" s="134" t="inlineStr">
        <is>
          <t>CL/DBZ7/1/CT/SAV-UNI</t>
        </is>
      </c>
      <c r="D331" s="5">
        <f>IF($I2="","",INDEX(Productos!$B:$B,$I2))</f>
        <v/>
      </c>
      <c r="E331" s="5">
        <f>IF($I2="","",INDEX(Productos!$H:$H,$I2))</f>
        <v/>
      </c>
      <c r="F331" s="5">
        <f>IF($I2="","",INDEX(Productos!$I:$I,$I2))</f>
        <v/>
      </c>
      <c r="G331" s="135" t="n">
        <v>1</v>
      </c>
      <c r="H331" s="5">
        <f>IF($I2="","",INDEX(Productos!$AG:$AG,$I2))</f>
        <v/>
      </c>
      <c r="I331" s="136">
        <f>LET(_xlpm.r,Productos!$E$2:$E$370,_xlpm.m,IFERROR(_xlfn.XMATCH(C331,_xlpm.r),IFERROR(_xlfn.XMATCH(VALUE(C331),_xlpm.r),0)),IF(_xlpm.m=0,"",_xlpm.m+1))</f>
        <v/>
      </c>
      <c r="J331" s="137" t="inlineStr">
        <is>
          <t>NetSuite</t>
        </is>
      </c>
    </row>
    <row r="332">
      <c r="A332" s="5" t="inlineStr">
        <is>
          <t>CL Muestras</t>
        </is>
      </c>
      <c r="B332" s="5">
        <f>IF($I2="","",INDEX(Productos!$A:$A,$I2))</f>
        <v/>
      </c>
      <c r="C332" s="134" t="inlineStr">
        <is>
          <t>CL/DBZ7/1/CT/SON-UNI</t>
        </is>
      </c>
      <c r="D332" s="5">
        <f>IF($I2="","",INDEX(Productos!$B:$B,$I2))</f>
        <v/>
      </c>
      <c r="E332" s="5">
        <f>IF($I2="","",INDEX(Productos!$H:$H,$I2))</f>
        <v/>
      </c>
      <c r="F332" s="5">
        <f>IF($I2="","",INDEX(Productos!$I:$I,$I2))</f>
        <v/>
      </c>
      <c r="G332" s="135" t="n">
        <v>1</v>
      </c>
      <c r="H332" s="5">
        <f>IF($I2="","",INDEX(Productos!$AG:$AG,$I2))</f>
        <v/>
      </c>
      <c r="I332" s="136">
        <f>LET(_xlpm.r,Productos!$E$2:$E$370,_xlpm.m,IFERROR(_xlfn.XMATCH(C332,_xlpm.r),IFERROR(_xlfn.XMATCH(VALUE(C332),_xlpm.r),0)),IF(_xlpm.m=0,"",_xlpm.m+1))</f>
        <v/>
      </c>
      <c r="J332" s="137" t="inlineStr">
        <is>
          <t>NetSuite</t>
        </is>
      </c>
    </row>
    <row r="333">
      <c r="A333" s="5" t="inlineStr">
        <is>
          <t>CL Muestras</t>
        </is>
      </c>
      <c r="B333" s="5">
        <f>IF($I2="","",INDEX(Productos!$A:$A,$I2))</f>
        <v/>
      </c>
      <c r="C333" s="134" t="inlineStr">
        <is>
          <t>CL/DC/TAG/1/BAT-UNI</t>
        </is>
      </c>
      <c r="D333" s="5">
        <f>IF($I2="","",INDEX(Productos!$B:$B,$I2))</f>
        <v/>
      </c>
      <c r="E333" s="5">
        <f>IF($I2="","",INDEX(Productos!$H:$H,$I2))</f>
        <v/>
      </c>
      <c r="F333" s="5">
        <f>IF($I2="","",INDEX(Productos!$I:$I,$I2))</f>
        <v/>
      </c>
      <c r="G333" s="135" t="n">
        <v>1</v>
      </c>
      <c r="H333" s="5">
        <f>IF($I2="","",INDEX(Productos!$AG:$AG,$I2))</f>
        <v/>
      </c>
      <c r="I333" s="136">
        <f>LET(_xlpm.r,Productos!$E$2:$E$370,_xlpm.m,IFERROR(_xlfn.XMATCH(C333,_xlpm.r),IFERROR(_xlfn.XMATCH(VALUE(C333),_xlpm.r),0)),IF(_xlpm.m=0,"",_xlpm.m+1))</f>
        <v/>
      </c>
      <c r="J333" s="137" t="inlineStr">
        <is>
          <t>NetSuite</t>
        </is>
      </c>
    </row>
    <row r="334">
      <c r="A334" s="5" t="inlineStr">
        <is>
          <t>CL Muestras</t>
        </is>
      </c>
      <c r="B334" s="5">
        <f>IF($I2="","",INDEX(Productos!$A:$A,$I2))</f>
        <v/>
      </c>
      <c r="C334" s="134" t="inlineStr">
        <is>
          <t>CL/DC/TAG/1/JOK-UNI</t>
        </is>
      </c>
      <c r="D334" s="5">
        <f>IF($I2="","",INDEX(Productos!$B:$B,$I2))</f>
        <v/>
      </c>
      <c r="E334" s="5">
        <f>IF($I2="","",INDEX(Productos!$H:$H,$I2))</f>
        <v/>
      </c>
      <c r="F334" s="5">
        <f>IF($I2="","",INDEX(Productos!$I:$I,$I2))</f>
        <v/>
      </c>
      <c r="G334" s="135" t="n">
        <v>2</v>
      </c>
      <c r="H334" s="5">
        <f>IF($I2="","",INDEX(Productos!$AG:$AG,$I2))</f>
        <v/>
      </c>
      <c r="I334" s="136">
        <f>LET(_xlpm.r,Productos!$E$2:$E$370,_xlpm.m,IFERROR(_xlfn.XMATCH(C334,_xlpm.r),IFERROR(_xlfn.XMATCH(VALUE(C334),_xlpm.r),0)),IF(_xlpm.m=0,"",_xlpm.m+1))</f>
        <v/>
      </c>
      <c r="J334" s="137" t="inlineStr">
        <is>
          <t>NetSuite</t>
        </is>
      </c>
    </row>
    <row r="335">
      <c r="A335" s="5" t="inlineStr">
        <is>
          <t>CL Muestras</t>
        </is>
      </c>
      <c r="B335" s="5">
        <f>IF($I2="","",INDEX(Productos!$A:$A,$I2))</f>
        <v/>
      </c>
      <c r="C335" s="134" t="inlineStr">
        <is>
          <t>CL/DC2/1/BAT4-UNI</t>
        </is>
      </c>
      <c r="D335" s="5">
        <f>IF($I2="","",INDEX(Productos!$B:$B,$I2))</f>
        <v/>
      </c>
      <c r="E335" s="5">
        <f>IF($I2="","",INDEX(Productos!$H:$H,$I2))</f>
        <v/>
      </c>
      <c r="F335" s="5">
        <f>IF($I2="","",INDEX(Productos!$I:$I,$I2))</f>
        <v/>
      </c>
      <c r="G335" s="135" t="n">
        <v>2</v>
      </c>
      <c r="H335" s="5">
        <f>IF($I2="","",INDEX(Productos!$AG:$AG,$I2))</f>
        <v/>
      </c>
      <c r="I335" s="136">
        <f>LET(_xlpm.r,Productos!$E$2:$E$370,_xlpm.m,IFERROR(_xlfn.XMATCH(C335,_xlpm.r),IFERROR(_xlfn.XMATCH(VALUE(C335),_xlpm.r),0)),IF(_xlpm.m=0,"",_xlpm.m+1))</f>
        <v/>
      </c>
      <c r="J335" s="137" t="inlineStr">
        <is>
          <t>NetSuite</t>
        </is>
      </c>
    </row>
    <row r="336">
      <c r="A336" s="5" t="inlineStr">
        <is>
          <t>CL Muestras</t>
        </is>
      </c>
      <c r="B336" s="5">
        <f>IF($I2="","",INDEX(Productos!$A:$A,$I2))</f>
        <v/>
      </c>
      <c r="C336" s="134" t="inlineStr">
        <is>
          <t>CL/DC2/1/BATP1-UNI</t>
        </is>
      </c>
      <c r="D336" s="5">
        <f>IF($I2="","",INDEX(Productos!$B:$B,$I2))</f>
        <v/>
      </c>
      <c r="E336" s="5">
        <f>IF($I2="","",INDEX(Productos!$H:$H,$I2))</f>
        <v/>
      </c>
      <c r="F336" s="5">
        <f>IF($I2="","",INDEX(Productos!$I:$I,$I2))</f>
        <v/>
      </c>
      <c r="G336" s="135" t="n">
        <v>2</v>
      </c>
      <c r="H336" s="5">
        <f>IF($I2="","",INDEX(Productos!$AG:$AG,$I2))</f>
        <v/>
      </c>
      <c r="I336" s="136">
        <f>LET(_xlpm.r,Productos!$E$2:$E$370,_xlpm.m,IFERROR(_xlfn.XMATCH(C336,_xlpm.r),IFERROR(_xlfn.XMATCH(VALUE(C336),_xlpm.r),0)),IF(_xlpm.m=0,"",_xlpm.m+1))</f>
        <v/>
      </c>
      <c r="J336" s="137" t="inlineStr">
        <is>
          <t>NetSuite</t>
        </is>
      </c>
    </row>
    <row r="337">
      <c r="A337" s="5" t="inlineStr">
        <is>
          <t>CL Muestras</t>
        </is>
      </c>
      <c r="B337" s="5">
        <f>IF($I2="","",INDEX(Productos!$A:$A,$I2))</f>
        <v/>
      </c>
      <c r="C337" s="134" t="inlineStr">
        <is>
          <t>CL/DC2/1/MEM1-UNI</t>
        </is>
      </c>
      <c r="D337" s="5">
        <f>IF($I2="","",INDEX(Productos!$B:$B,$I2))</f>
        <v/>
      </c>
      <c r="E337" s="5">
        <f>IF($I2="","",INDEX(Productos!$H:$H,$I2))</f>
        <v/>
      </c>
      <c r="F337" s="5">
        <f>IF($I2="","",INDEX(Productos!$I:$I,$I2))</f>
        <v/>
      </c>
      <c r="G337" s="135" t="n">
        <v>1</v>
      </c>
      <c r="H337" s="5">
        <f>IF($I2="","",INDEX(Productos!$AG:$AG,$I2))</f>
        <v/>
      </c>
      <c r="I337" s="136">
        <f>LET(_xlpm.r,Productos!$E$2:$E$370,_xlpm.m,IFERROR(_xlfn.XMATCH(C337,_xlpm.r),IFERROR(_xlfn.XMATCH(VALUE(C337),_xlpm.r),0)),IF(_xlpm.m=0,"",_xlpm.m+1))</f>
        <v/>
      </c>
      <c r="J337" s="137" t="inlineStr">
        <is>
          <t>NetSuite</t>
        </is>
      </c>
    </row>
    <row r="338">
      <c r="A338" s="5" t="inlineStr">
        <is>
          <t>CL Muestras</t>
        </is>
      </c>
      <c r="B338" s="5">
        <f>IF($I2="","",INDEX(Productos!$A:$A,$I2))</f>
        <v/>
      </c>
      <c r="C338" s="134" t="inlineStr">
        <is>
          <t>CL/DC2/1/MEM4-UNI</t>
        </is>
      </c>
      <c r="D338" s="5">
        <f>IF($I2="","",INDEX(Productos!$B:$B,$I2))</f>
        <v/>
      </c>
      <c r="E338" s="5">
        <f>IF($I2="","",INDEX(Productos!$H:$H,$I2))</f>
        <v/>
      </c>
      <c r="F338" s="5">
        <f>IF($I2="","",INDEX(Productos!$I:$I,$I2))</f>
        <v/>
      </c>
      <c r="G338" s="135" t="n">
        <v>2</v>
      </c>
      <c r="H338" s="5">
        <f>IF($I2="","",INDEX(Productos!$AG:$AG,$I2))</f>
        <v/>
      </c>
      <c r="I338" s="136">
        <f>LET(_xlpm.r,Productos!$E$2:$E$370,_xlpm.m,IFERROR(_xlfn.XMATCH(C338,_xlpm.r),IFERROR(_xlfn.XMATCH(VALUE(C338),_xlpm.r),0)),IF(_xlpm.m=0,"",_xlpm.m+1))</f>
        <v/>
      </c>
      <c r="J338" s="137" t="inlineStr">
        <is>
          <t>NetSuite</t>
        </is>
      </c>
    </row>
    <row r="339">
      <c r="A339" s="5" t="inlineStr">
        <is>
          <t>CL Muestras</t>
        </is>
      </c>
      <c r="B339" s="5">
        <f>IF($I2="","",INDEX(Productos!$A:$A,$I2))</f>
        <v/>
      </c>
      <c r="C339" s="134" t="inlineStr">
        <is>
          <t>CL/DC2/1/VIN1-UNI</t>
        </is>
      </c>
      <c r="D339" s="5">
        <f>IF($I2="","",INDEX(Productos!$B:$B,$I2))</f>
        <v/>
      </c>
      <c r="E339" s="5">
        <f>IF($I2="","",INDEX(Productos!$H:$H,$I2))</f>
        <v/>
      </c>
      <c r="F339" s="5">
        <f>IF($I2="","",INDEX(Productos!$I:$I,$I2))</f>
        <v/>
      </c>
      <c r="G339" s="135" t="n">
        <v>2</v>
      </c>
      <c r="H339" s="5">
        <f>IF($I2="","",INDEX(Productos!$AG:$AG,$I2))</f>
        <v/>
      </c>
      <c r="I339" s="136">
        <f>LET(_xlpm.r,Productos!$E$2:$E$370,_xlpm.m,IFERROR(_xlfn.XMATCH(C339,_xlpm.r),IFERROR(_xlfn.XMATCH(VALUE(C339),_xlpm.r),0)),IF(_xlpm.m=0,"",_xlpm.m+1))</f>
        <v/>
      </c>
      <c r="J339" s="137" t="inlineStr">
        <is>
          <t>NetSuite</t>
        </is>
      </c>
    </row>
    <row r="340">
      <c r="A340" s="5" t="inlineStr">
        <is>
          <t>CL Muestras</t>
        </is>
      </c>
      <c r="B340" s="5">
        <f>IF($I2="","",INDEX(Productos!$A:$A,$I2))</f>
        <v/>
      </c>
      <c r="C340" s="134" t="inlineStr">
        <is>
          <t>CL/DC3/1/CAS/JKR2-UNI</t>
        </is>
      </c>
      <c r="D340" s="5">
        <f>IF($I2="","",INDEX(Productos!$B:$B,$I2))</f>
        <v/>
      </c>
      <c r="E340" s="5">
        <f>IF($I2="","",INDEX(Productos!$H:$H,$I2))</f>
        <v/>
      </c>
      <c r="F340" s="5">
        <f>IF($I2="","",INDEX(Productos!$I:$I,$I2))</f>
        <v/>
      </c>
      <c r="G340" s="135" t="n">
        <v>1</v>
      </c>
      <c r="H340" s="5">
        <f>IF($I2="","",INDEX(Productos!$AG:$AG,$I2))</f>
        <v/>
      </c>
      <c r="I340" s="136">
        <f>LET(_xlpm.r,Productos!$E$2:$E$370,_xlpm.m,IFERROR(_xlfn.XMATCH(C340,_xlpm.r),IFERROR(_xlfn.XMATCH(VALUE(C340),_xlpm.r),0)),IF(_xlpm.m=0,"",_xlpm.m+1))</f>
        <v/>
      </c>
      <c r="J340" s="137" t="inlineStr">
        <is>
          <t>NetSuite</t>
        </is>
      </c>
    </row>
    <row r="341">
      <c r="A341" s="5" t="inlineStr">
        <is>
          <t>CL Muestras</t>
        </is>
      </c>
      <c r="B341" s="5">
        <f>IF($I2="","",INDEX(Productos!$A:$A,$I2))</f>
        <v/>
      </c>
      <c r="C341" s="134" t="inlineStr">
        <is>
          <t>CL/DC4/3/BAT1-UNIJR</t>
        </is>
      </c>
      <c r="D341" s="5">
        <f>IF($I2="","",INDEX(Productos!$B:$B,$I2))</f>
        <v/>
      </c>
      <c r="E341" s="5">
        <f>IF($I2="","",INDEX(Productos!$H:$H,$I2))</f>
        <v/>
      </c>
      <c r="F341" s="5">
        <f>IF($I2="","",INDEX(Productos!$I:$I,$I2))</f>
        <v/>
      </c>
      <c r="G341" s="135" t="n">
        <v>1</v>
      </c>
      <c r="H341" s="5">
        <f>IF($I2="","",INDEX(Productos!$AG:$AG,$I2))</f>
        <v/>
      </c>
      <c r="I341" s="136">
        <f>LET(_xlpm.r,Productos!$E$2:$E$370,_xlpm.m,IFERROR(_xlfn.XMATCH(C341,_xlpm.r),IFERROR(_xlfn.XMATCH(VALUE(C341),_xlpm.r),0)),IF(_xlpm.m=0,"",_xlpm.m+1))</f>
        <v/>
      </c>
      <c r="J341" s="137" t="inlineStr">
        <is>
          <t>NetSuite</t>
        </is>
      </c>
    </row>
    <row r="342">
      <c r="A342" s="5" t="inlineStr">
        <is>
          <t>CL Muestras</t>
        </is>
      </c>
      <c r="B342" s="5">
        <f>IF($I2="","",INDEX(Productos!$A:$A,$I2))</f>
        <v/>
      </c>
      <c r="C342" s="134" t="inlineStr">
        <is>
          <t>CL/DC5/1/CAS/CRU2-UNI</t>
        </is>
      </c>
      <c r="D342" s="5">
        <f>IF($I2="","",INDEX(Productos!$B:$B,$I2))</f>
        <v/>
      </c>
      <c r="E342" s="5">
        <f>IF($I2="","",INDEX(Productos!$H:$H,$I2))</f>
        <v/>
      </c>
      <c r="F342" s="5">
        <f>IF($I2="","",INDEX(Productos!$I:$I,$I2))</f>
        <v/>
      </c>
      <c r="G342" s="135" t="n">
        <v>1</v>
      </c>
      <c r="H342" s="5">
        <f>IF($I2="","",INDEX(Productos!$AG:$AG,$I2))</f>
        <v/>
      </c>
      <c r="I342" s="136">
        <f>LET(_xlpm.r,Productos!$E$2:$E$370,_xlpm.m,IFERROR(_xlfn.XMATCH(C342,_xlpm.r),IFERROR(_xlfn.XMATCH(VALUE(C342),_xlpm.r),0)),IF(_xlpm.m=0,"",_xlpm.m+1))</f>
        <v/>
      </c>
      <c r="J342" s="137" t="inlineStr">
        <is>
          <t>NetSuite</t>
        </is>
      </c>
    </row>
    <row r="343">
      <c r="A343" s="5" t="inlineStr">
        <is>
          <t>CL Muestras</t>
        </is>
      </c>
      <c r="B343" s="5">
        <f>IF($I2="","",INDEX(Productos!$A:$A,$I2))</f>
        <v/>
      </c>
      <c r="C343" s="134" t="inlineStr">
        <is>
          <t>CL/DC5/1/CAS/DAR1-UNI</t>
        </is>
      </c>
      <c r="D343" s="5">
        <f>IF($I2="","",INDEX(Productos!$B:$B,$I2))</f>
        <v/>
      </c>
      <c r="E343" s="5">
        <f>IF($I2="","",INDEX(Productos!$H:$H,$I2))</f>
        <v/>
      </c>
      <c r="F343" s="5">
        <f>IF($I2="","",INDEX(Productos!$I:$I,$I2))</f>
        <v/>
      </c>
      <c r="G343" s="135" t="n">
        <v>2</v>
      </c>
      <c r="H343" s="5">
        <f>IF($I2="","",INDEX(Productos!$AG:$AG,$I2))</f>
        <v/>
      </c>
      <c r="I343" s="136">
        <f>LET(_xlpm.r,Productos!$E$2:$E$370,_xlpm.m,IFERROR(_xlfn.XMATCH(C343,_xlpm.r),IFERROR(_xlfn.XMATCH(VALUE(C343),_xlpm.r),0)),IF(_xlpm.m=0,"",_xlpm.m+1))</f>
        <v/>
      </c>
      <c r="J343" s="137" t="inlineStr">
        <is>
          <t>NetSuite</t>
        </is>
      </c>
    </row>
    <row r="344">
      <c r="A344" s="5" t="inlineStr">
        <is>
          <t>CL Muestras</t>
        </is>
      </c>
      <c r="B344" s="5">
        <f>IF($I2="","",INDEX(Productos!$A:$A,$I2))</f>
        <v/>
      </c>
      <c r="C344" s="134" t="inlineStr">
        <is>
          <t>CL/DC5/1/CAS/JOK2-UNI</t>
        </is>
      </c>
      <c r="D344" s="5">
        <f>IF($I2="","",INDEX(Productos!$B:$B,$I2))</f>
        <v/>
      </c>
      <c r="E344" s="5">
        <f>IF($I2="","",INDEX(Productos!$H:$H,$I2))</f>
        <v/>
      </c>
      <c r="F344" s="5">
        <f>IF($I2="","",INDEX(Productos!$I:$I,$I2))</f>
        <v/>
      </c>
      <c r="G344" s="135" t="n">
        <v>2</v>
      </c>
      <c r="H344" s="5">
        <f>IF($I2="","",INDEX(Productos!$AG:$AG,$I2))</f>
        <v/>
      </c>
      <c r="I344" s="136">
        <f>LET(_xlpm.r,Productos!$E$2:$E$370,_xlpm.m,IFERROR(_xlfn.XMATCH(C344,_xlpm.r),IFERROR(_xlfn.XMATCH(VALUE(C344),_xlpm.r),0)),IF(_xlpm.m=0,"",_xlpm.m+1))</f>
        <v/>
      </c>
      <c r="J344" s="137" t="inlineStr">
        <is>
          <t>NetSuite</t>
        </is>
      </c>
    </row>
    <row r="345">
      <c r="A345" s="5" t="inlineStr">
        <is>
          <t>CL Muestras</t>
        </is>
      </c>
      <c r="B345" s="5">
        <f>IF($I2="","",INDEX(Productos!$A:$A,$I2))</f>
        <v/>
      </c>
      <c r="C345" s="134" t="inlineStr">
        <is>
          <t>CL/DC5/1/CAS/VIN2-UNI</t>
        </is>
      </c>
      <c r="D345" s="5">
        <f>IF($I2="","",INDEX(Productos!$B:$B,$I2))</f>
        <v/>
      </c>
      <c r="E345" s="5">
        <f>IF($I2="","",INDEX(Productos!$H:$H,$I2))</f>
        <v/>
      </c>
      <c r="F345" s="5">
        <f>IF($I2="","",INDEX(Productos!$I:$I,$I2))</f>
        <v/>
      </c>
      <c r="G345" s="135" t="n">
        <v>1</v>
      </c>
      <c r="H345" s="5">
        <f>IF($I2="","",INDEX(Productos!$AG:$AG,$I2))</f>
        <v/>
      </c>
      <c r="I345" s="136">
        <f>LET(_xlpm.r,Productos!$E$2:$E$370,_xlpm.m,IFERROR(_xlfn.XMATCH(C345,_xlpm.r),IFERROR(_xlfn.XMATCH(VALUE(C345),_xlpm.r),0)),IF(_xlpm.m=0,"",_xlpm.m+1))</f>
        <v/>
      </c>
      <c r="J345" s="137" t="inlineStr">
        <is>
          <t>NetSuite</t>
        </is>
      </c>
    </row>
    <row r="346">
      <c r="A346" s="5" t="inlineStr">
        <is>
          <t>CL Muestras</t>
        </is>
      </c>
      <c r="B346" s="5">
        <f>IF($I2="","",INDEX(Productos!$A:$A,$I2))</f>
        <v/>
      </c>
      <c r="C346" s="134" t="inlineStr">
        <is>
          <t>CL/DC5/1/CASX/KNI1-UNI</t>
        </is>
      </c>
      <c r="D346" s="5">
        <f>IF($I2="","",INDEX(Productos!$B:$B,$I2))</f>
        <v/>
      </c>
      <c r="E346" s="5">
        <f>IF($I2="","",INDEX(Productos!$H:$H,$I2))</f>
        <v/>
      </c>
      <c r="F346" s="5">
        <f>IF($I2="","",INDEX(Productos!$I:$I,$I2))</f>
        <v/>
      </c>
      <c r="G346" s="135" t="n">
        <v>3</v>
      </c>
      <c r="H346" s="5">
        <f>IF($I2="","",INDEX(Productos!$AG:$AG,$I2))</f>
        <v/>
      </c>
      <c r="I346" s="136">
        <f>LET(_xlpm.r,Productos!$E$2:$E$370,_xlpm.m,IFERROR(_xlfn.XMATCH(C346,_xlpm.r),IFERROR(_xlfn.XMATCH(VALUE(C346),_xlpm.r),0)),IF(_xlpm.m=0,"",_xlpm.m+1))</f>
        <v/>
      </c>
      <c r="J346" s="137" t="inlineStr">
        <is>
          <t>NetSuite</t>
        </is>
      </c>
    </row>
    <row r="347">
      <c r="A347" s="5" t="inlineStr">
        <is>
          <t>CL Muestras</t>
        </is>
      </c>
      <c r="B347" s="5">
        <f>IF($I2="","",INDEX(Productos!$A:$A,$I2))</f>
        <v/>
      </c>
      <c r="C347" s="134" t="inlineStr">
        <is>
          <t>CL/DC6/1/CAS/BAT1-UNI</t>
        </is>
      </c>
      <c r="D347" s="5">
        <f>IF($I2="","",INDEX(Productos!$B:$B,$I2))</f>
        <v/>
      </c>
      <c r="E347" s="5">
        <f>IF($I2="","",INDEX(Productos!$H:$H,$I2))</f>
        <v/>
      </c>
      <c r="F347" s="5">
        <f>IF($I2="","",INDEX(Productos!$I:$I,$I2))</f>
        <v/>
      </c>
      <c r="G347" s="135" t="n">
        <v>2</v>
      </c>
      <c r="H347" s="5">
        <f>IF($I2="","",INDEX(Productos!$AG:$AG,$I2))</f>
        <v/>
      </c>
      <c r="I347" s="136">
        <f>LET(_xlpm.r,Productos!$E$2:$E$370,_xlpm.m,IFERROR(_xlfn.XMATCH(C347,_xlpm.r),IFERROR(_xlfn.XMATCH(VALUE(C347),_xlpm.r),0)),IF(_xlpm.m=0,"",_xlpm.m+1))</f>
        <v/>
      </c>
      <c r="J347" s="137" t="inlineStr">
        <is>
          <t>NetSuite</t>
        </is>
      </c>
    </row>
    <row r="348">
      <c r="A348" s="5" t="inlineStr">
        <is>
          <t>CL Muestras</t>
        </is>
      </c>
      <c r="B348" s="5">
        <f>IF($I2="","",INDEX(Productos!$A:$A,$I2))</f>
        <v/>
      </c>
      <c r="C348" s="134" t="inlineStr">
        <is>
          <t>CL/DC6/1/CD/BAT-UNI</t>
        </is>
      </c>
      <c r="D348" s="5">
        <f>IF($I2="","",INDEX(Productos!$B:$B,$I2))</f>
        <v/>
      </c>
      <c r="E348" s="5">
        <f>IF($I2="","",INDEX(Productos!$H:$H,$I2))</f>
        <v/>
      </c>
      <c r="F348" s="5">
        <f>IF($I2="","",INDEX(Productos!$I:$I,$I2))</f>
        <v/>
      </c>
      <c r="G348" s="135" t="n">
        <v>1</v>
      </c>
      <c r="H348" s="5">
        <f>IF($I2="","",INDEX(Productos!$AG:$AG,$I2))</f>
        <v/>
      </c>
      <c r="I348" s="136">
        <f>LET(_xlpm.r,Productos!$E$2:$E$370,_xlpm.m,IFERROR(_xlfn.XMATCH(C348,_xlpm.r),IFERROR(_xlfn.XMATCH(VALUE(C348),_xlpm.r),0)),IF(_xlpm.m=0,"",_xlpm.m+1))</f>
        <v/>
      </c>
      <c r="J348" s="137" t="inlineStr">
        <is>
          <t>NetSuite</t>
        </is>
      </c>
    </row>
    <row r="349">
      <c r="A349" s="5" t="inlineStr">
        <is>
          <t>CL Muestras</t>
        </is>
      </c>
      <c r="B349" s="5">
        <f>IF($I2="","",INDEX(Productos!$A:$A,$I2))</f>
        <v/>
      </c>
      <c r="C349" s="134" t="inlineStr">
        <is>
          <t>CL/DC6/1/CT/BAT3-UNI</t>
        </is>
      </c>
      <c r="D349" s="5">
        <f>IF($I2="","",INDEX(Productos!$B:$B,$I2))</f>
        <v/>
      </c>
      <c r="E349" s="5">
        <f>IF($I2="","",INDEX(Productos!$H:$H,$I2))</f>
        <v/>
      </c>
      <c r="F349" s="5">
        <f>IF($I2="","",INDEX(Productos!$I:$I,$I2))</f>
        <v/>
      </c>
      <c r="G349" s="135" t="n">
        <v>1</v>
      </c>
      <c r="H349" s="5">
        <f>IF($I2="","",INDEX(Productos!$AG:$AG,$I2))</f>
        <v/>
      </c>
      <c r="I349" s="136">
        <f>LET(_xlpm.r,Productos!$E$2:$E$370,_xlpm.m,IFERROR(_xlfn.XMATCH(C349,_xlpm.r),IFERROR(_xlfn.XMATCH(VALUE(C349),_xlpm.r),0)),IF(_xlpm.m=0,"",_xlpm.m+1))</f>
        <v/>
      </c>
      <c r="J349" s="137" t="inlineStr">
        <is>
          <t>NetSuite</t>
        </is>
      </c>
    </row>
    <row r="350">
      <c r="A350" s="5" t="inlineStr">
        <is>
          <t>CL Muestras</t>
        </is>
      </c>
      <c r="B350" s="5">
        <f>IF($I2="","",INDEX(Productos!$A:$A,$I2))</f>
        <v/>
      </c>
      <c r="C350" s="134" t="inlineStr">
        <is>
          <t>CL/DC6/1/CT/BTP-UNI</t>
        </is>
      </c>
      <c r="D350" s="5">
        <f>IF($I2="","",INDEX(Productos!$B:$B,$I2))</f>
        <v/>
      </c>
      <c r="E350" s="5">
        <f>IF($I2="","",INDEX(Productos!$H:$H,$I2))</f>
        <v/>
      </c>
      <c r="F350" s="5">
        <f>IF($I2="","",INDEX(Productos!$I:$I,$I2))</f>
        <v/>
      </c>
      <c r="G350" s="135" t="n">
        <v>1</v>
      </c>
      <c r="H350" s="5">
        <f>IF($I2="","",INDEX(Productos!$AG:$AG,$I2))</f>
        <v/>
      </c>
      <c r="I350" s="136">
        <f>LET(_xlpm.r,Productos!$E$2:$E$370,_xlpm.m,IFERROR(_xlfn.XMATCH(C350,_xlpm.r),IFERROR(_xlfn.XMATCH(VALUE(C350),_xlpm.r),0)),IF(_xlpm.m=0,"",_xlpm.m+1))</f>
        <v/>
      </c>
      <c r="J350" s="137" t="inlineStr">
        <is>
          <t>NetSuite</t>
        </is>
      </c>
    </row>
    <row r="351">
      <c r="A351" s="5" t="inlineStr">
        <is>
          <t>CL Muestras</t>
        </is>
      </c>
      <c r="B351" s="5">
        <f>IF($I2="","",INDEX(Productos!$A:$A,$I2))</f>
        <v/>
      </c>
      <c r="C351" s="134" t="inlineStr">
        <is>
          <t>CL/DC6/1/CT/DAR3-UNI</t>
        </is>
      </c>
      <c r="D351" s="5">
        <f>IF($I2="","",INDEX(Productos!$B:$B,$I2))</f>
        <v/>
      </c>
      <c r="E351" s="5">
        <f>IF($I2="","",INDEX(Productos!$H:$H,$I2))</f>
        <v/>
      </c>
      <c r="F351" s="5">
        <f>IF($I2="","",INDEX(Productos!$I:$I,$I2))</f>
        <v/>
      </c>
      <c r="G351" s="135" t="n">
        <v>1</v>
      </c>
      <c r="H351" s="5">
        <f>IF($I2="","",INDEX(Productos!$AG:$AG,$I2))</f>
        <v/>
      </c>
      <c r="I351" s="136">
        <f>LET(_xlpm.r,Productos!$E$2:$E$370,_xlpm.m,IFERROR(_xlfn.XMATCH(C351,_xlpm.r),IFERROR(_xlfn.XMATCH(VALUE(C351),_xlpm.r),0)),IF(_xlpm.m=0,"",_xlpm.m+1))</f>
        <v/>
      </c>
      <c r="J351" s="137" t="inlineStr">
        <is>
          <t>NetSuite</t>
        </is>
      </c>
    </row>
    <row r="352">
      <c r="A352" s="5" t="inlineStr">
        <is>
          <t>CL Muestras</t>
        </is>
      </c>
      <c r="B352" s="5">
        <f>IF($I2="","",INDEX(Productos!$A:$A,$I2))</f>
        <v/>
      </c>
      <c r="C352" s="134" t="inlineStr">
        <is>
          <t>CL/DC6/1/CT/MEM3-UNI</t>
        </is>
      </c>
      <c r="D352" s="5">
        <f>IF($I2="","",INDEX(Productos!$B:$B,$I2))</f>
        <v/>
      </c>
      <c r="E352" s="5">
        <f>IF($I2="","",INDEX(Productos!$H:$H,$I2))</f>
        <v/>
      </c>
      <c r="F352" s="5">
        <f>IF($I2="","",INDEX(Productos!$I:$I,$I2))</f>
        <v/>
      </c>
      <c r="G352" s="135" t="n">
        <v>1</v>
      </c>
      <c r="H352" s="5">
        <f>IF($I2="","",INDEX(Productos!$AG:$AG,$I2))</f>
        <v/>
      </c>
      <c r="I352" s="136">
        <f>LET(_xlpm.r,Productos!$E$2:$E$370,_xlpm.m,IFERROR(_xlfn.XMATCH(C352,_xlpm.r),IFERROR(_xlfn.XMATCH(VALUE(C352),_xlpm.r),0)),IF(_xlpm.m=0,"",_xlpm.m+1))</f>
        <v/>
      </c>
      <c r="J352" s="137" t="inlineStr">
        <is>
          <t>NetSuite</t>
        </is>
      </c>
    </row>
    <row r="353">
      <c r="A353" s="5" t="inlineStr">
        <is>
          <t>CL Muestras</t>
        </is>
      </c>
      <c r="B353" s="5">
        <f>IF($I2="","",INDEX(Productos!$A:$A,$I2))</f>
        <v/>
      </c>
      <c r="C353" s="134" t="inlineStr">
        <is>
          <t>CL/LOO/1/BUG1-UNI</t>
        </is>
      </c>
      <c r="D353" s="5">
        <f>IF($I2="","",INDEX(Productos!$B:$B,$I2))</f>
        <v/>
      </c>
      <c r="E353" s="5">
        <f>IF($I2="","",INDEX(Productos!$H:$H,$I2))</f>
        <v/>
      </c>
      <c r="F353" s="5">
        <f>IF($I2="","",INDEX(Productos!$I:$I,$I2))</f>
        <v/>
      </c>
      <c r="G353" s="135" t="n">
        <v>1</v>
      </c>
      <c r="H353" s="5">
        <f>IF($I2="","",INDEX(Productos!$AG:$AG,$I2))</f>
        <v/>
      </c>
      <c r="I353" s="136">
        <f>LET(_xlpm.r,Productos!$E$2:$E$370,_xlpm.m,IFERROR(_xlfn.XMATCH(C353,_xlpm.r),IFERROR(_xlfn.XMATCH(VALUE(C353),_xlpm.r),0)),IF(_xlpm.m=0,"",_xlpm.m+1))</f>
        <v/>
      </c>
      <c r="J353" s="137" t="inlineStr">
        <is>
          <t>NetSuite</t>
        </is>
      </c>
    </row>
    <row r="354">
      <c r="A354" s="5" t="inlineStr">
        <is>
          <t>CL Muestras</t>
        </is>
      </c>
      <c r="B354" s="5">
        <f>IF($I2="","",INDEX(Productos!$A:$A,$I2))</f>
        <v/>
      </c>
      <c r="C354" s="134" t="inlineStr">
        <is>
          <t>CL/LOO/1/BUN1-UNI</t>
        </is>
      </c>
      <c r="D354" s="5">
        <f>IF($I2="","",INDEX(Productos!$B:$B,$I2))</f>
        <v/>
      </c>
      <c r="E354" s="5">
        <f>IF($I2="","",INDEX(Productos!$H:$H,$I2))</f>
        <v/>
      </c>
      <c r="F354" s="5">
        <f>IF($I2="","",INDEX(Productos!$I:$I,$I2))</f>
        <v/>
      </c>
      <c r="G354" s="135" t="n">
        <v>2</v>
      </c>
      <c r="H354" s="5">
        <f>IF($I2="","",INDEX(Productos!$AG:$AG,$I2))</f>
        <v/>
      </c>
      <c r="I354" s="136">
        <f>LET(_xlpm.r,Productos!$E$2:$E$370,_xlpm.m,IFERROR(_xlfn.XMATCH(C354,_xlpm.r),IFERROR(_xlfn.XMATCH(VALUE(C354),_xlpm.r),0)),IF(_xlpm.m=0,"",_xlpm.m+1))</f>
        <v/>
      </c>
      <c r="J354" s="137" t="inlineStr">
        <is>
          <t>NetSuite</t>
        </is>
      </c>
    </row>
    <row r="355">
      <c r="A355" s="5" t="inlineStr">
        <is>
          <t>CL Muestras</t>
        </is>
      </c>
      <c r="B355" s="5">
        <f>IF($I2="","",INDEX(Productos!$A:$A,$I2))</f>
        <v/>
      </c>
      <c r="C355" s="134" t="inlineStr">
        <is>
          <t>CL/LOO/1/BUN2-UNI</t>
        </is>
      </c>
      <c r="D355" s="5">
        <f>IF($I2="","",INDEX(Productos!$B:$B,$I2))</f>
        <v/>
      </c>
      <c r="E355" s="5">
        <f>IF($I2="","",INDEX(Productos!$H:$H,$I2))</f>
        <v/>
      </c>
      <c r="F355" s="5">
        <f>IF($I2="","",INDEX(Productos!$I:$I,$I2))</f>
        <v/>
      </c>
      <c r="G355" s="135" t="n">
        <v>1</v>
      </c>
      <c r="H355" s="5">
        <f>IF($I2="","",INDEX(Productos!$AG:$AG,$I2))</f>
        <v/>
      </c>
      <c r="I355" s="136">
        <f>LET(_xlpm.r,Productos!$E$2:$E$370,_xlpm.m,IFERROR(_xlfn.XMATCH(C355,_xlpm.r),IFERROR(_xlfn.XMATCH(VALUE(C355),_xlpm.r),0)),IF(_xlpm.m=0,"",_xlpm.m+1))</f>
        <v/>
      </c>
      <c r="J355" s="137" t="inlineStr">
        <is>
          <t>NetSuite</t>
        </is>
      </c>
    </row>
    <row r="356">
      <c r="A356" s="5" t="inlineStr">
        <is>
          <t>CL Muestras</t>
        </is>
      </c>
      <c r="B356" s="5">
        <f>IF($I2="","",INDEX(Productos!$A:$A,$I2))</f>
        <v/>
      </c>
      <c r="C356" s="134" t="inlineStr">
        <is>
          <t>CL/LOO/1/BUN5-uNI</t>
        </is>
      </c>
      <c r="D356" s="5">
        <f>IF($I2="","",INDEX(Productos!$B:$B,$I2))</f>
        <v/>
      </c>
      <c r="E356" s="5">
        <f>IF($I2="","",INDEX(Productos!$H:$H,$I2))</f>
        <v/>
      </c>
      <c r="F356" s="5">
        <f>IF($I2="","",INDEX(Productos!$I:$I,$I2))</f>
        <v/>
      </c>
      <c r="G356" s="135" t="n">
        <v>1</v>
      </c>
      <c r="H356" s="5">
        <f>IF($I2="","",INDEX(Productos!$AG:$AG,$I2))</f>
        <v/>
      </c>
      <c r="I356" s="136">
        <f>LET(_xlpm.r,Productos!$E$2:$E$370,_xlpm.m,IFERROR(_xlfn.XMATCH(C356,_xlpm.r),IFERROR(_xlfn.XMATCH(VALUE(C356),_xlpm.r),0)),IF(_xlpm.m=0,"",_xlpm.m+1))</f>
        <v/>
      </c>
      <c r="J356" s="137" t="inlineStr">
        <is>
          <t>NetSuite</t>
        </is>
      </c>
    </row>
    <row r="357">
      <c r="A357" s="5" t="inlineStr">
        <is>
          <t>CL Muestras</t>
        </is>
      </c>
      <c r="B357" s="5">
        <f>IF($I2="","",INDEX(Productos!$A:$A,$I2))</f>
        <v/>
      </c>
      <c r="C357" s="134" t="inlineStr">
        <is>
          <t>CL/LOO/1/COY1-UNI</t>
        </is>
      </c>
      <c r="D357" s="5">
        <f>IF($I2="","",INDEX(Productos!$B:$B,$I2))</f>
        <v/>
      </c>
      <c r="E357" s="5">
        <f>IF($I2="","",INDEX(Productos!$H:$H,$I2))</f>
        <v/>
      </c>
      <c r="F357" s="5">
        <f>IF($I2="","",INDEX(Productos!$I:$I,$I2))</f>
        <v/>
      </c>
      <c r="G357" s="135" t="n">
        <v>1</v>
      </c>
      <c r="H357" s="5">
        <f>IF($I2="","",INDEX(Productos!$AG:$AG,$I2))</f>
        <v/>
      </c>
      <c r="I357" s="136">
        <f>LET(_xlpm.r,Productos!$E$2:$E$370,_xlpm.m,IFERROR(_xlfn.XMATCH(C357,_xlpm.r),IFERROR(_xlfn.XMATCH(VALUE(C357),_xlpm.r),0)),IF(_xlpm.m=0,"",_xlpm.m+1))</f>
        <v/>
      </c>
      <c r="J357" s="137" t="inlineStr">
        <is>
          <t>NetSuite</t>
        </is>
      </c>
    </row>
    <row r="358">
      <c r="A358" s="5" t="inlineStr">
        <is>
          <t>CL Muestras</t>
        </is>
      </c>
      <c r="B358" s="5">
        <f>IF($I2="","",INDEX(Productos!$A:$A,$I2))</f>
        <v/>
      </c>
      <c r="C358" s="134" t="inlineStr">
        <is>
          <t>CL/LOO/1/DAF1-UNI</t>
        </is>
      </c>
      <c r="D358" s="5">
        <f>IF($I2="","",INDEX(Productos!$B:$B,$I2))</f>
        <v/>
      </c>
      <c r="E358" s="5">
        <f>IF($I2="","",INDEX(Productos!$H:$H,$I2))</f>
        <v/>
      </c>
      <c r="F358" s="5">
        <f>IF($I2="","",INDEX(Productos!$I:$I,$I2))</f>
        <v/>
      </c>
      <c r="G358" s="135" t="n">
        <v>2</v>
      </c>
      <c r="H358" s="5">
        <f>IF($I2="","",INDEX(Productos!$AG:$AG,$I2))</f>
        <v/>
      </c>
      <c r="I358" s="136">
        <f>LET(_xlpm.r,Productos!$E$2:$E$370,_xlpm.m,IFERROR(_xlfn.XMATCH(C358,_xlpm.r),IFERROR(_xlfn.XMATCH(VALUE(C358),_xlpm.r),0)),IF(_xlpm.m=0,"",_xlpm.m+1))</f>
        <v/>
      </c>
      <c r="J358" s="137" t="inlineStr">
        <is>
          <t>NetSuite</t>
        </is>
      </c>
    </row>
    <row r="359">
      <c r="A359" s="5" t="inlineStr">
        <is>
          <t>CL Muestras</t>
        </is>
      </c>
      <c r="B359" s="5">
        <f>IF($I2="","",INDEX(Productos!$A:$A,$I2))</f>
        <v/>
      </c>
      <c r="C359" s="134" t="inlineStr">
        <is>
          <t>CL/LOO/1/DAF2-UNI</t>
        </is>
      </c>
      <c r="D359" s="5">
        <f>IF($I2="","",INDEX(Productos!$B:$B,$I2))</f>
        <v/>
      </c>
      <c r="E359" s="5">
        <f>IF($I2="","",INDEX(Productos!$H:$H,$I2))</f>
        <v/>
      </c>
      <c r="F359" s="5">
        <f>IF($I2="","",INDEX(Productos!$I:$I,$I2))</f>
        <v/>
      </c>
      <c r="G359" s="135" t="n">
        <v>3</v>
      </c>
      <c r="H359" s="5">
        <f>IF($I2="","",INDEX(Productos!$AG:$AG,$I2))</f>
        <v/>
      </c>
      <c r="I359" s="136">
        <f>LET(_xlpm.r,Productos!$E$2:$E$370,_xlpm.m,IFERROR(_xlfn.XMATCH(C359,_xlpm.r),IFERROR(_xlfn.XMATCH(VALUE(C359),_xlpm.r),0)),IF(_xlpm.m=0,"",_xlpm.m+1))</f>
        <v/>
      </c>
      <c r="J359" s="137" t="inlineStr">
        <is>
          <t>NetSuite</t>
        </is>
      </c>
    </row>
    <row r="360">
      <c r="A360" s="5" t="inlineStr">
        <is>
          <t>CL Muestras</t>
        </is>
      </c>
      <c r="B360" s="5">
        <f>IF($I2="","",INDEX(Productos!$A:$A,$I2))</f>
        <v/>
      </c>
      <c r="C360" s="134" t="inlineStr">
        <is>
          <t>CL/LOO/1/DAF4-UNI</t>
        </is>
      </c>
      <c r="D360" s="5">
        <f>IF($I2="","",INDEX(Productos!$B:$B,$I2))</f>
        <v/>
      </c>
      <c r="E360" s="5">
        <f>IF($I2="","",INDEX(Productos!$H:$H,$I2))</f>
        <v/>
      </c>
      <c r="F360" s="5">
        <f>IF($I2="","",INDEX(Productos!$I:$I,$I2))</f>
        <v/>
      </c>
      <c r="G360" s="135" t="n">
        <v>2</v>
      </c>
      <c r="H360" s="5">
        <f>IF($I2="","",INDEX(Productos!$AG:$AG,$I2))</f>
        <v/>
      </c>
      <c r="I360" s="136">
        <f>LET(_xlpm.r,Productos!$E$2:$E$370,_xlpm.m,IFERROR(_xlfn.XMATCH(C360,_xlpm.r),IFERROR(_xlfn.XMATCH(VALUE(C360),_xlpm.r),0)),IF(_xlpm.m=0,"",_xlpm.m+1))</f>
        <v/>
      </c>
      <c r="J360" s="137" t="inlineStr">
        <is>
          <t>NetSuite</t>
        </is>
      </c>
    </row>
    <row r="361">
      <c r="A361" s="5" t="inlineStr">
        <is>
          <t>CL Muestras</t>
        </is>
      </c>
      <c r="B361" s="5">
        <f>IF($I2="","",INDEX(Productos!$A:$A,$I2))</f>
        <v/>
      </c>
      <c r="C361" s="134" t="inlineStr">
        <is>
          <t>CL/LOO/1/DAF6-UNI</t>
        </is>
      </c>
      <c r="D361" s="5">
        <f>IF($I2="","",INDEX(Productos!$B:$B,$I2))</f>
        <v/>
      </c>
      <c r="E361" s="5">
        <f>IF($I2="","",INDEX(Productos!$H:$H,$I2))</f>
        <v/>
      </c>
      <c r="F361" s="5">
        <f>IF($I2="","",INDEX(Productos!$I:$I,$I2))</f>
        <v/>
      </c>
      <c r="G361" s="135" t="n">
        <v>2</v>
      </c>
      <c r="H361" s="5">
        <f>IF($I2="","",INDEX(Productos!$AG:$AG,$I2))</f>
        <v/>
      </c>
      <c r="I361" s="136">
        <f>LET(_xlpm.r,Productos!$E$2:$E$370,_xlpm.m,IFERROR(_xlfn.XMATCH(C361,_xlpm.r),IFERROR(_xlfn.XMATCH(VALUE(C361),_xlpm.r),0)),IF(_xlpm.m=0,"",_xlpm.m+1))</f>
        <v/>
      </c>
      <c r="J361" s="137" t="inlineStr">
        <is>
          <t>NetSuite</t>
        </is>
      </c>
    </row>
    <row r="362">
      <c r="A362" s="5" t="inlineStr">
        <is>
          <t>CL Muestras</t>
        </is>
      </c>
      <c r="B362" s="5">
        <f>IF($I2="","",INDEX(Productos!$A:$A,$I2))</f>
        <v/>
      </c>
      <c r="C362" s="134" t="inlineStr">
        <is>
          <t>CL/LOO/1/MAR1-UNI</t>
        </is>
      </c>
      <c r="D362" s="5">
        <f>IF($I2="","",INDEX(Productos!$B:$B,$I2))</f>
        <v/>
      </c>
      <c r="E362" s="5">
        <f>IF($I2="","",INDEX(Productos!$H:$H,$I2))</f>
        <v/>
      </c>
      <c r="F362" s="5">
        <f>IF($I2="","",INDEX(Productos!$I:$I,$I2))</f>
        <v/>
      </c>
      <c r="G362" s="135" t="n">
        <v>3</v>
      </c>
      <c r="H362" s="5">
        <f>IF($I2="","",INDEX(Productos!$AG:$AG,$I2))</f>
        <v/>
      </c>
      <c r="I362" s="136">
        <f>LET(_xlpm.r,Productos!$E$2:$E$370,_xlpm.m,IFERROR(_xlfn.XMATCH(C362,_xlpm.r),IFERROR(_xlfn.XMATCH(VALUE(C362),_xlpm.r),0)),IF(_xlpm.m=0,"",_xlpm.m+1))</f>
        <v/>
      </c>
      <c r="J362" s="137" t="inlineStr">
        <is>
          <t>NetSuite</t>
        </is>
      </c>
    </row>
    <row r="363">
      <c r="A363" s="5" t="inlineStr">
        <is>
          <t>CL Muestras</t>
        </is>
      </c>
      <c r="B363" s="5">
        <f>IF($I2="","",INDEX(Productos!$A:$A,$I2))</f>
        <v/>
      </c>
      <c r="C363" s="134" t="inlineStr">
        <is>
          <t>CL/LOO/1/MAR2-UNI</t>
        </is>
      </c>
      <c r="D363" s="5">
        <f>IF($I2="","",INDEX(Productos!$B:$B,$I2))</f>
        <v/>
      </c>
      <c r="E363" s="5">
        <f>IF($I2="","",INDEX(Productos!$H:$H,$I2))</f>
        <v/>
      </c>
      <c r="F363" s="5">
        <f>IF($I2="","",INDEX(Productos!$I:$I,$I2))</f>
        <v/>
      </c>
      <c r="G363" s="135" t="n">
        <v>2</v>
      </c>
      <c r="H363" s="5">
        <f>IF($I2="","",INDEX(Productos!$AG:$AG,$I2))</f>
        <v/>
      </c>
      <c r="I363" s="136">
        <f>LET(_xlpm.r,Productos!$E$2:$E$370,_xlpm.m,IFERROR(_xlfn.XMATCH(C363,_xlpm.r),IFERROR(_xlfn.XMATCH(VALUE(C363),_xlpm.r),0)),IF(_xlpm.m=0,"",_xlpm.m+1))</f>
        <v/>
      </c>
      <c r="J363" s="137" t="inlineStr">
        <is>
          <t>NetSuite</t>
        </is>
      </c>
    </row>
    <row r="364">
      <c r="A364" s="5" t="inlineStr">
        <is>
          <t>CL Muestras</t>
        </is>
      </c>
      <c r="B364" s="5">
        <f>IF($I2="","",INDEX(Productos!$A:$A,$I2))</f>
        <v/>
      </c>
      <c r="C364" s="134" t="inlineStr">
        <is>
          <t>CL/LOO/1/ROA1-UNI</t>
        </is>
      </c>
      <c r="D364" s="5">
        <f>IF($I2="","",INDEX(Productos!$B:$B,$I2))</f>
        <v/>
      </c>
      <c r="E364" s="5">
        <f>IF($I2="","",INDEX(Productos!$H:$H,$I2))</f>
        <v/>
      </c>
      <c r="F364" s="5">
        <f>IF($I2="","",INDEX(Productos!$I:$I,$I2))</f>
        <v/>
      </c>
      <c r="G364" s="135" t="n">
        <v>1</v>
      </c>
      <c r="H364" s="5">
        <f>IF($I2="","",INDEX(Productos!$AG:$AG,$I2))</f>
        <v/>
      </c>
      <c r="I364" s="136">
        <f>LET(_xlpm.r,Productos!$E$2:$E$370,_xlpm.m,IFERROR(_xlfn.XMATCH(C364,_xlpm.r),IFERROR(_xlfn.XMATCH(VALUE(C364),_xlpm.r),0)),IF(_xlpm.m=0,"",_xlpm.m+1))</f>
        <v/>
      </c>
      <c r="J364" s="137" t="inlineStr">
        <is>
          <t>NetSuite</t>
        </is>
      </c>
    </row>
    <row r="365">
      <c r="A365" s="5" t="inlineStr">
        <is>
          <t>CL Muestras</t>
        </is>
      </c>
      <c r="B365" s="5">
        <f>IF($I2="","",INDEX(Productos!$A:$A,$I2))</f>
        <v/>
      </c>
      <c r="C365" s="134" t="inlineStr">
        <is>
          <t>CL/LOO/1/SAM2-UNI</t>
        </is>
      </c>
      <c r="D365" s="5">
        <f>IF($I2="","",INDEX(Productos!$B:$B,$I2))</f>
        <v/>
      </c>
      <c r="E365" s="5">
        <f>IF($I2="","",INDEX(Productos!$H:$H,$I2))</f>
        <v/>
      </c>
      <c r="F365" s="5">
        <f>IF($I2="","",INDEX(Productos!$I:$I,$I2))</f>
        <v/>
      </c>
      <c r="G365" s="135" t="n">
        <v>2</v>
      </c>
      <c r="H365" s="5">
        <f>IF($I2="","",INDEX(Productos!$AG:$AG,$I2))</f>
        <v/>
      </c>
      <c r="I365" s="136">
        <f>LET(_xlpm.r,Productos!$E$2:$E$370,_xlpm.m,IFERROR(_xlfn.XMATCH(C365,_xlpm.r),IFERROR(_xlfn.XMATCH(VALUE(C365),_xlpm.r),0)),IF(_xlpm.m=0,"",_xlpm.m+1))</f>
        <v/>
      </c>
      <c r="J365" s="137" t="inlineStr">
        <is>
          <t>NetSuite</t>
        </is>
      </c>
    </row>
    <row r="366">
      <c r="A366" s="5" t="inlineStr">
        <is>
          <t>CL Muestras</t>
        </is>
      </c>
      <c r="B366" s="5">
        <f>IF($I2="","",INDEX(Productos!$A:$A,$I2))</f>
        <v/>
      </c>
      <c r="C366" s="134" t="inlineStr">
        <is>
          <t>CL/LOO/1/TAZ1-UNI</t>
        </is>
      </c>
      <c r="D366" s="5">
        <f>IF($I2="","",INDEX(Productos!$B:$B,$I2))</f>
        <v/>
      </c>
      <c r="E366" s="5">
        <f>IF($I2="","",INDEX(Productos!$H:$H,$I2))</f>
        <v/>
      </c>
      <c r="F366" s="5">
        <f>IF($I2="","",INDEX(Productos!$I:$I,$I2))</f>
        <v/>
      </c>
      <c r="G366" s="135" t="n">
        <v>2</v>
      </c>
      <c r="H366" s="5">
        <f>IF($I2="","",INDEX(Productos!$AG:$AG,$I2))</f>
        <v/>
      </c>
      <c r="I366" s="136">
        <f>LET(_xlpm.r,Productos!$E$2:$E$370,_xlpm.m,IFERROR(_xlfn.XMATCH(C366,_xlpm.r),IFERROR(_xlfn.XMATCH(VALUE(C366),_xlpm.r),0)),IF(_xlpm.m=0,"",_xlpm.m+1))</f>
        <v/>
      </c>
      <c r="J366" s="137" t="inlineStr">
        <is>
          <t>NetSuite</t>
        </is>
      </c>
    </row>
    <row r="367">
      <c r="A367" s="5" t="inlineStr">
        <is>
          <t>CL Muestras</t>
        </is>
      </c>
      <c r="B367" s="5">
        <f>IF($I2="","",INDEX(Productos!$A:$A,$I2))</f>
        <v/>
      </c>
      <c r="C367" s="134" t="inlineStr">
        <is>
          <t>CL/LOO/1/TAZ3-UNI</t>
        </is>
      </c>
      <c r="D367" s="5">
        <f>IF($I2="","",INDEX(Productos!$B:$B,$I2))</f>
        <v/>
      </c>
      <c r="E367" s="5">
        <f>IF($I2="","",INDEX(Productos!$H:$H,$I2))</f>
        <v/>
      </c>
      <c r="F367" s="5">
        <f>IF($I2="","",INDEX(Productos!$I:$I,$I2))</f>
        <v/>
      </c>
      <c r="G367" s="135" t="n">
        <v>1</v>
      </c>
      <c r="H367" s="5">
        <f>IF($I2="","",INDEX(Productos!$AG:$AG,$I2))</f>
        <v/>
      </c>
      <c r="I367" s="136">
        <f>LET(_xlpm.r,Productos!$E$2:$E$370,_xlpm.m,IFERROR(_xlfn.XMATCH(C367,_xlpm.r),IFERROR(_xlfn.XMATCH(VALUE(C367),_xlpm.r),0)),IF(_xlpm.m=0,"",_xlpm.m+1))</f>
        <v/>
      </c>
      <c r="J367" s="137" t="inlineStr">
        <is>
          <t>NetSuite</t>
        </is>
      </c>
    </row>
    <row r="368">
      <c r="A368" s="5" t="inlineStr">
        <is>
          <t>CL Muestras</t>
        </is>
      </c>
      <c r="B368" s="5">
        <f>IF($I2="","",INDEX(Productos!$A:$A,$I2))</f>
        <v/>
      </c>
      <c r="C368" s="134" t="inlineStr">
        <is>
          <t>CL/LOO/3/BUG1-UNI</t>
        </is>
      </c>
      <c r="D368" s="5">
        <f>IF($I2="","",INDEX(Productos!$B:$B,$I2))</f>
        <v/>
      </c>
      <c r="E368" s="5">
        <f>IF($I2="","",INDEX(Productos!$H:$H,$I2))</f>
        <v/>
      </c>
      <c r="F368" s="5">
        <f>IF($I2="","",INDEX(Productos!$I:$I,$I2))</f>
        <v/>
      </c>
      <c r="G368" s="135" t="n">
        <v>1</v>
      </c>
      <c r="H368" s="5">
        <f>IF($I2="","",INDEX(Productos!$AG:$AG,$I2))</f>
        <v/>
      </c>
      <c r="I368" s="136">
        <f>LET(_xlpm.r,Productos!$E$2:$E$370,_xlpm.m,IFERROR(_xlfn.XMATCH(C368,_xlpm.r),IFERROR(_xlfn.XMATCH(VALUE(C368),_xlpm.r),0)),IF(_xlpm.m=0,"",_xlpm.m+1))</f>
        <v/>
      </c>
      <c r="J368" s="137" t="inlineStr">
        <is>
          <t>NetSuite</t>
        </is>
      </c>
    </row>
    <row r="369">
      <c r="A369" s="5" t="inlineStr">
        <is>
          <t>CL Muestras</t>
        </is>
      </c>
      <c r="B369" s="5">
        <f>IF($I2="","",INDEX(Productos!$A:$A,$I2))</f>
        <v/>
      </c>
      <c r="C369" s="134" t="inlineStr">
        <is>
          <t>CL/LOO/3/BUN5-UNI</t>
        </is>
      </c>
      <c r="D369" s="5">
        <f>IF($I2="","",INDEX(Productos!$B:$B,$I2))</f>
        <v/>
      </c>
      <c r="E369" s="5">
        <f>IF($I2="","",INDEX(Productos!$H:$H,$I2))</f>
        <v/>
      </c>
      <c r="F369" s="5">
        <f>IF($I2="","",INDEX(Productos!$I:$I,$I2))</f>
        <v/>
      </c>
      <c r="G369" s="135" t="n">
        <v>1</v>
      </c>
      <c r="H369" s="5">
        <f>IF($I2="","",INDEX(Productos!$AG:$AG,$I2))</f>
        <v/>
      </c>
      <c r="I369" s="136">
        <f>LET(_xlpm.r,Productos!$E$2:$E$370,_xlpm.m,IFERROR(_xlfn.XMATCH(C369,_xlpm.r),IFERROR(_xlfn.XMATCH(VALUE(C369),_xlpm.r),0)),IF(_xlpm.m=0,"",_xlpm.m+1))</f>
        <v/>
      </c>
      <c r="J369" s="137" t="inlineStr">
        <is>
          <t>NetSuite</t>
        </is>
      </c>
    </row>
    <row r="370">
      <c r="A370" s="5" t="inlineStr">
        <is>
          <t>CL Muestras</t>
        </is>
      </c>
      <c r="B370" s="5">
        <f>IF($I2="","",INDEX(Productos!$A:$A,$I2))</f>
        <v/>
      </c>
      <c r="C370" s="134" t="inlineStr">
        <is>
          <t>CL/LOO/3/DAF1-UNI</t>
        </is>
      </c>
      <c r="D370" s="5">
        <f>IF($I2="","",INDEX(Productos!$B:$B,$I2))</f>
        <v/>
      </c>
      <c r="E370" s="5">
        <f>IF($I2="","",INDEX(Productos!$H:$H,$I2))</f>
        <v/>
      </c>
      <c r="F370" s="5">
        <f>IF($I2="","",INDEX(Productos!$I:$I,$I2))</f>
        <v/>
      </c>
      <c r="G370" s="135" t="n">
        <v>1</v>
      </c>
      <c r="H370" s="5">
        <f>IF($I2="","",INDEX(Productos!$AG:$AG,$I2))</f>
        <v/>
      </c>
      <c r="I370" s="136">
        <f>LET(_xlpm.r,Productos!$E$2:$E$370,_xlpm.m,IFERROR(_xlfn.XMATCH(C370,_xlpm.r),IFERROR(_xlfn.XMATCH(VALUE(C370),_xlpm.r),0)),IF(_xlpm.m=0,"",_xlpm.m+1))</f>
        <v/>
      </c>
      <c r="J370" s="137" t="inlineStr">
        <is>
          <t>NetSuite</t>
        </is>
      </c>
    </row>
    <row r="371">
      <c r="A371" s="5" t="inlineStr">
        <is>
          <t>CL Muestras</t>
        </is>
      </c>
      <c r="B371" s="5">
        <f>IF($I2="","",INDEX(Productos!$A:$A,$I2))</f>
        <v/>
      </c>
      <c r="C371" s="134" t="inlineStr">
        <is>
          <t>CL/LOO2/1/MIN1-UNI</t>
        </is>
      </c>
      <c r="D371" s="5">
        <f>IF($I2="","",INDEX(Productos!$B:$B,$I2))</f>
        <v/>
      </c>
      <c r="E371" s="5">
        <f>IF($I2="","",INDEX(Productos!$H:$H,$I2))</f>
        <v/>
      </c>
      <c r="F371" s="5">
        <f>IF($I2="","",INDEX(Productos!$I:$I,$I2))</f>
        <v/>
      </c>
      <c r="G371" s="135" t="n">
        <v>1</v>
      </c>
      <c r="H371" s="5">
        <f>IF($I2="","",INDEX(Productos!$AG:$AG,$I2))</f>
        <v/>
      </c>
      <c r="I371" s="136">
        <f>LET(_xlpm.r,Productos!$E$2:$E$370,_xlpm.m,IFERROR(_xlfn.XMATCH(C371,_xlpm.r),IFERROR(_xlfn.XMATCH(VALUE(C371),_xlpm.r),0)),IF(_xlpm.m=0,"",_xlpm.m+1))</f>
        <v/>
      </c>
      <c r="J371" s="137" t="inlineStr">
        <is>
          <t>NetSuite</t>
        </is>
      </c>
    </row>
    <row r="372">
      <c r="A372" s="5" t="inlineStr">
        <is>
          <t>CL Muestras</t>
        </is>
      </c>
      <c r="B372" s="5">
        <f>IF($I2="","",INDEX(Productos!$A:$A,$I2))</f>
        <v/>
      </c>
      <c r="C372" s="134" t="inlineStr">
        <is>
          <t>CL/LOO2/1/MIN2-UNI</t>
        </is>
      </c>
      <c r="D372" s="5">
        <f>IF($I2="","",INDEX(Productos!$B:$B,$I2))</f>
        <v/>
      </c>
      <c r="E372" s="5">
        <f>IF($I2="","",INDEX(Productos!$H:$H,$I2))</f>
        <v/>
      </c>
      <c r="F372" s="5">
        <f>IF($I2="","",INDEX(Productos!$I:$I,$I2))</f>
        <v/>
      </c>
      <c r="G372" s="135" t="n">
        <v>1</v>
      </c>
      <c r="H372" s="5">
        <f>IF($I2="","",INDEX(Productos!$AG:$AG,$I2))</f>
        <v/>
      </c>
      <c r="I372" s="136">
        <f>LET(_xlpm.r,Productos!$E$2:$E$370,_xlpm.m,IFERROR(_xlfn.XMATCH(C372,_xlpm.r),IFERROR(_xlfn.XMATCH(VALUE(C372),_xlpm.r),0)),IF(_xlpm.m=0,"",_xlpm.m+1))</f>
        <v/>
      </c>
      <c r="J372" s="137" t="inlineStr">
        <is>
          <t>NetSuite</t>
        </is>
      </c>
    </row>
    <row r="373">
      <c r="A373" s="5" t="inlineStr">
        <is>
          <t>CL Muestras</t>
        </is>
      </c>
      <c r="B373" s="5">
        <f>IF($I2="","",INDEX(Productos!$A:$A,$I2))</f>
        <v/>
      </c>
      <c r="C373" s="134" t="inlineStr">
        <is>
          <t>CL/LOO2/1/TIT1-UNI</t>
        </is>
      </c>
      <c r="D373" s="5">
        <f>IF($I2="","",INDEX(Productos!$B:$B,$I2))</f>
        <v/>
      </c>
      <c r="E373" s="5">
        <f>IF($I2="","",INDEX(Productos!$H:$H,$I2))</f>
        <v/>
      </c>
      <c r="F373" s="5">
        <f>IF($I2="","",INDEX(Productos!$I:$I,$I2))</f>
        <v/>
      </c>
      <c r="G373" s="135" t="n">
        <v>3</v>
      </c>
      <c r="H373" s="5">
        <f>IF($I2="","",INDEX(Productos!$AG:$AG,$I2))</f>
        <v/>
      </c>
      <c r="I373" s="136">
        <f>LET(_xlpm.r,Productos!$E$2:$E$370,_xlpm.m,IFERROR(_xlfn.XMATCH(C373,_xlpm.r),IFERROR(_xlfn.XMATCH(VALUE(C373),_xlpm.r),0)),IF(_xlpm.m=0,"",_xlpm.m+1))</f>
        <v/>
      </c>
      <c r="J373" s="137" t="inlineStr">
        <is>
          <t>NetSuite</t>
        </is>
      </c>
    </row>
    <row r="374">
      <c r="A374" s="5" t="inlineStr">
        <is>
          <t>CL Muestras</t>
        </is>
      </c>
      <c r="B374" s="5">
        <f>IF($I2="","",INDEX(Productos!$A:$A,$I2))</f>
        <v/>
      </c>
      <c r="C374" s="134" t="inlineStr">
        <is>
          <t>CL/LOO3/1/CHA-UNI</t>
        </is>
      </c>
      <c r="D374" s="5">
        <f>IF($I2="","",INDEX(Productos!$B:$B,$I2))</f>
        <v/>
      </c>
      <c r="E374" s="5">
        <f>IF($I2="","",INDEX(Productos!$H:$H,$I2))</f>
        <v/>
      </c>
      <c r="F374" s="5">
        <f>IF($I2="","",INDEX(Productos!$I:$I,$I2))</f>
        <v/>
      </c>
      <c r="G374" s="135" t="n">
        <v>1</v>
      </c>
      <c r="H374" s="5">
        <f>IF($I2="","",INDEX(Productos!$AG:$AG,$I2))</f>
        <v/>
      </c>
      <c r="I374" s="136">
        <f>LET(_xlpm.r,Productos!$E$2:$E$370,_xlpm.m,IFERROR(_xlfn.XMATCH(C374,_xlpm.r),IFERROR(_xlfn.XMATCH(VALUE(C374),_xlpm.r),0)),IF(_xlpm.m=0,"",_xlpm.m+1))</f>
        <v/>
      </c>
      <c r="J374" s="137" t="inlineStr">
        <is>
          <t>NetSuite</t>
        </is>
      </c>
    </row>
    <row r="375">
      <c r="A375" s="5" t="inlineStr">
        <is>
          <t>CL Muestras</t>
        </is>
      </c>
      <c r="B375" s="5">
        <f>IF($I2="","",INDEX(Productos!$A:$A,$I2))</f>
        <v/>
      </c>
      <c r="C375" s="134" t="inlineStr">
        <is>
          <t>CL/LOO3/1/DAF1-UNI</t>
        </is>
      </c>
      <c r="D375" s="5">
        <f>IF($I2="","",INDEX(Productos!$B:$B,$I2))</f>
        <v/>
      </c>
      <c r="E375" s="5">
        <f>IF($I2="","",INDEX(Productos!$H:$H,$I2))</f>
        <v/>
      </c>
      <c r="F375" s="5">
        <f>IF($I2="","",INDEX(Productos!$I:$I,$I2))</f>
        <v/>
      </c>
      <c r="G375" s="135" t="n">
        <v>2</v>
      </c>
      <c r="H375" s="5">
        <f>IF($I2="","",INDEX(Productos!$AG:$AG,$I2))</f>
        <v/>
      </c>
      <c r="I375" s="136">
        <f>LET(_xlpm.r,Productos!$E$2:$E$370,_xlpm.m,IFERROR(_xlfn.XMATCH(C375,_xlpm.r),IFERROR(_xlfn.XMATCH(VALUE(C375),_xlpm.r),0)),IF(_xlpm.m=0,"",_xlpm.m+1))</f>
        <v/>
      </c>
      <c r="J375" s="137" t="inlineStr">
        <is>
          <t>NetSuite</t>
        </is>
      </c>
    </row>
    <row r="376">
      <c r="A376" s="5" t="inlineStr">
        <is>
          <t>CL Muestras</t>
        </is>
      </c>
      <c r="B376" s="5">
        <f>IF($I2="","",INDEX(Productos!$A:$A,$I2))</f>
        <v/>
      </c>
      <c r="C376" s="134" t="inlineStr">
        <is>
          <t>CL/LOO3/1/DUK2-UNI</t>
        </is>
      </c>
      <c r="D376" s="5">
        <f>IF($I2="","",INDEX(Productos!$B:$B,$I2))</f>
        <v/>
      </c>
      <c r="E376" s="5">
        <f>IF($I2="","",INDEX(Productos!$H:$H,$I2))</f>
        <v/>
      </c>
      <c r="F376" s="5">
        <f>IF($I2="","",INDEX(Productos!$I:$I,$I2))</f>
        <v/>
      </c>
      <c r="G376" s="135" t="n">
        <v>1</v>
      </c>
      <c r="H376" s="5">
        <f>IF($I2="","",INDEX(Productos!$AG:$AG,$I2))</f>
        <v/>
      </c>
      <c r="I376" s="136">
        <f>LET(_xlpm.r,Productos!$E$2:$E$370,_xlpm.m,IFERROR(_xlfn.XMATCH(C376,_xlpm.r),IFERROR(_xlfn.XMATCH(VALUE(C376),_xlpm.r),0)),IF(_xlpm.m=0,"",_xlpm.m+1))</f>
        <v/>
      </c>
      <c r="J376" s="137" t="inlineStr">
        <is>
          <t>NetSuite</t>
        </is>
      </c>
    </row>
    <row r="377">
      <c r="A377" s="5" t="inlineStr">
        <is>
          <t>CL Muestras</t>
        </is>
      </c>
      <c r="B377" s="5">
        <f>IF($I2="","",INDEX(Productos!$A:$A,$I2))</f>
        <v/>
      </c>
      <c r="C377" s="134" t="inlineStr">
        <is>
          <t>CL/LOO3/1/GON2-UNI</t>
        </is>
      </c>
      <c r="D377" s="5">
        <f>IF($I2="","",INDEX(Productos!$B:$B,$I2))</f>
        <v/>
      </c>
      <c r="E377" s="5">
        <f>IF($I2="","",INDEX(Productos!$H:$H,$I2))</f>
        <v/>
      </c>
      <c r="F377" s="5">
        <f>IF($I2="","",INDEX(Productos!$I:$I,$I2))</f>
        <v/>
      </c>
      <c r="G377" s="135" t="n">
        <v>2</v>
      </c>
      <c r="H377" s="5">
        <f>IF($I2="","",INDEX(Productos!$AG:$AG,$I2))</f>
        <v/>
      </c>
      <c r="I377" s="136">
        <f>LET(_xlpm.r,Productos!$E$2:$E$370,_xlpm.m,IFERROR(_xlfn.XMATCH(C377,_xlpm.r),IFERROR(_xlfn.XMATCH(VALUE(C377),_xlpm.r),0)),IF(_xlpm.m=0,"",_xlpm.m+1))</f>
        <v/>
      </c>
      <c r="J377" s="137" t="inlineStr">
        <is>
          <t>NetSuite</t>
        </is>
      </c>
    </row>
    <row r="378">
      <c r="A378" s="5" t="inlineStr">
        <is>
          <t>CL Muestras</t>
        </is>
      </c>
      <c r="B378" s="5">
        <f>IF($I2="","",INDEX(Productos!$A:$A,$I2))</f>
        <v/>
      </c>
      <c r="C378" s="134" t="inlineStr">
        <is>
          <t>CL/LOO3/1/MAR1-UNI</t>
        </is>
      </c>
      <c r="D378" s="5">
        <f>IF($I2="","",INDEX(Productos!$B:$B,$I2))</f>
        <v/>
      </c>
      <c r="E378" s="5">
        <f>IF($I2="","",INDEX(Productos!$H:$H,$I2))</f>
        <v/>
      </c>
      <c r="F378" s="5">
        <f>IF($I2="","",INDEX(Productos!$I:$I,$I2))</f>
        <v/>
      </c>
      <c r="G378" s="135" t="n">
        <v>1</v>
      </c>
      <c r="H378" s="5">
        <f>IF($I2="","",INDEX(Productos!$AG:$AG,$I2))</f>
        <v/>
      </c>
      <c r="I378" s="136">
        <f>LET(_xlpm.r,Productos!$E$2:$E$370,_xlpm.m,IFERROR(_xlfn.XMATCH(C378,_xlpm.r),IFERROR(_xlfn.XMATCH(VALUE(C378),_xlpm.r),0)),IF(_xlpm.m=0,"",_xlpm.m+1))</f>
        <v/>
      </c>
      <c r="J378" s="137" t="inlineStr">
        <is>
          <t>NetSuite</t>
        </is>
      </c>
    </row>
    <row r="379">
      <c r="A379" s="5" t="inlineStr">
        <is>
          <t>CL Muestras</t>
        </is>
      </c>
      <c r="B379" s="5">
        <f>IF($I2="","",INDEX(Productos!$A:$A,$I2))</f>
        <v/>
      </c>
      <c r="C379" s="134" t="inlineStr">
        <is>
          <t>CL/LOO3/1/RIN1-UNI</t>
        </is>
      </c>
      <c r="D379" s="5">
        <f>IF($I2="","",INDEX(Productos!$B:$B,$I2))</f>
        <v/>
      </c>
      <c r="E379" s="5">
        <f>IF($I2="","",INDEX(Productos!$H:$H,$I2))</f>
        <v/>
      </c>
      <c r="F379" s="5">
        <f>IF($I2="","",INDEX(Productos!$I:$I,$I2))</f>
        <v/>
      </c>
      <c r="G379" s="135" t="n">
        <v>2</v>
      </c>
      <c r="H379" s="5">
        <f>IF($I2="","",INDEX(Productos!$AG:$AG,$I2))</f>
        <v/>
      </c>
      <c r="I379" s="136">
        <f>LET(_xlpm.r,Productos!$E$2:$E$370,_xlpm.m,IFERROR(_xlfn.XMATCH(C379,_xlpm.r),IFERROR(_xlfn.XMATCH(VALUE(C379),_xlpm.r),0)),IF(_xlpm.m=0,"",_xlpm.m+1))</f>
        <v/>
      </c>
      <c r="J379" s="137" t="inlineStr">
        <is>
          <t>NetSuite</t>
        </is>
      </c>
    </row>
    <row r="380">
      <c r="A380" s="5" t="inlineStr">
        <is>
          <t>CL Muestras</t>
        </is>
      </c>
      <c r="B380" s="5">
        <f>IF($I2="","",INDEX(Productos!$A:$A,$I2))</f>
        <v/>
      </c>
      <c r="C380" s="134" t="inlineStr">
        <is>
          <t>CL/LOO4/1/BUG1-UNI</t>
        </is>
      </c>
      <c r="D380" s="5">
        <f>IF($I2="","",INDEX(Productos!$B:$B,$I2))</f>
        <v/>
      </c>
      <c r="E380" s="5">
        <f>IF($I2="","",INDEX(Productos!$H:$H,$I2))</f>
        <v/>
      </c>
      <c r="F380" s="5">
        <f>IF($I2="","",INDEX(Productos!$I:$I,$I2))</f>
        <v/>
      </c>
      <c r="G380" s="135" t="n">
        <v>1</v>
      </c>
      <c r="H380" s="5">
        <f>IF($I2="","",INDEX(Productos!$AG:$AG,$I2))</f>
        <v/>
      </c>
      <c r="I380" s="136">
        <f>LET(_xlpm.r,Productos!$E$2:$E$370,_xlpm.m,IFERROR(_xlfn.XMATCH(C380,_xlpm.r),IFERROR(_xlfn.XMATCH(VALUE(C380),_xlpm.r),0)),IF(_xlpm.m=0,"",_xlpm.m+1))</f>
        <v/>
      </c>
      <c r="J380" s="137" t="inlineStr">
        <is>
          <t>NetSuite</t>
        </is>
      </c>
    </row>
    <row r="381">
      <c r="A381" s="5" t="inlineStr">
        <is>
          <t>CL Muestras</t>
        </is>
      </c>
      <c r="B381" s="5">
        <f>IF($I2="","",INDEX(Productos!$A:$A,$I2))</f>
        <v/>
      </c>
      <c r="C381" s="134" t="inlineStr">
        <is>
          <t>CL/LOO4/1/DUF1-UNI</t>
        </is>
      </c>
      <c r="D381" s="5">
        <f>IF($I2="","",INDEX(Productos!$B:$B,$I2))</f>
        <v/>
      </c>
      <c r="E381" s="5">
        <f>IF($I2="","",INDEX(Productos!$H:$H,$I2))</f>
        <v/>
      </c>
      <c r="F381" s="5">
        <f>IF($I2="","",INDEX(Productos!$I:$I,$I2))</f>
        <v/>
      </c>
      <c r="G381" s="135" t="n">
        <v>2</v>
      </c>
      <c r="H381" s="5">
        <f>IF($I2="","",INDEX(Productos!$AG:$AG,$I2))</f>
        <v/>
      </c>
      <c r="I381" s="136">
        <f>LET(_xlpm.r,Productos!$E$2:$E$370,_xlpm.m,IFERROR(_xlfn.XMATCH(C381,_xlpm.r),IFERROR(_xlfn.XMATCH(VALUE(C381),_xlpm.r),0)),IF(_xlpm.m=0,"",_xlpm.m+1))</f>
        <v/>
      </c>
      <c r="J381" s="137" t="inlineStr">
        <is>
          <t>NetSuite</t>
        </is>
      </c>
    </row>
    <row r="382">
      <c r="A382" s="5" t="inlineStr">
        <is>
          <t>CL Muestras</t>
        </is>
      </c>
      <c r="B382" s="5">
        <f>IF($I2="","",INDEX(Productos!$A:$A,$I2))</f>
        <v/>
      </c>
      <c r="C382" s="134" t="inlineStr">
        <is>
          <t>CL/LOO5/1/BUN1-UNI</t>
        </is>
      </c>
      <c r="D382" s="5">
        <f>IF($I2="","",INDEX(Productos!$B:$B,$I2))</f>
        <v/>
      </c>
      <c r="E382" s="5">
        <f>IF($I2="","",INDEX(Productos!$H:$H,$I2))</f>
        <v/>
      </c>
      <c r="F382" s="5">
        <f>IF($I2="","",INDEX(Productos!$I:$I,$I2))</f>
        <v/>
      </c>
      <c r="G382" s="135" t="n">
        <v>1</v>
      </c>
      <c r="H382" s="5">
        <f>IF($I2="","",INDEX(Productos!$AG:$AG,$I2))</f>
        <v/>
      </c>
      <c r="I382" s="136">
        <f>LET(_xlpm.r,Productos!$E$2:$E$370,_xlpm.m,IFERROR(_xlfn.XMATCH(C382,_xlpm.r),IFERROR(_xlfn.XMATCH(VALUE(C382),_xlpm.r),0)),IF(_xlpm.m=0,"",_xlpm.m+1))</f>
        <v/>
      </c>
      <c r="J382" s="137" t="inlineStr">
        <is>
          <t>NetSuite</t>
        </is>
      </c>
    </row>
    <row r="383">
      <c r="A383" s="5" t="inlineStr">
        <is>
          <t>CL Muestras</t>
        </is>
      </c>
      <c r="B383" s="5">
        <f>IF($I2="","",INDEX(Productos!$A:$A,$I2))</f>
        <v/>
      </c>
      <c r="C383" s="134" t="inlineStr">
        <is>
          <t>CL/LOO7/1/CAS/LO1-UNI</t>
        </is>
      </c>
      <c r="D383" s="5">
        <f>IF($I2="","",INDEX(Productos!$B:$B,$I2))</f>
        <v/>
      </c>
      <c r="E383" s="5">
        <f>IF($I2="","",INDEX(Productos!$H:$H,$I2))</f>
        <v/>
      </c>
      <c r="F383" s="5">
        <f>IF($I2="","",INDEX(Productos!$I:$I,$I2))</f>
        <v/>
      </c>
      <c r="G383" s="135" t="n">
        <v>1</v>
      </c>
      <c r="H383" s="5">
        <f>IF($I2="","",INDEX(Productos!$AG:$AG,$I2))</f>
        <v/>
      </c>
      <c r="I383" s="136">
        <f>LET(_xlpm.r,Productos!$E$2:$E$370,_xlpm.m,IFERROR(_xlfn.XMATCH(C383,_xlpm.r),IFERROR(_xlfn.XMATCH(VALUE(C383),_xlpm.r),0)),IF(_xlpm.m=0,"",_xlpm.m+1))</f>
        <v/>
      </c>
      <c r="J383" s="137" t="inlineStr">
        <is>
          <t>NetSuite</t>
        </is>
      </c>
    </row>
    <row r="384">
      <c r="A384" s="5" t="inlineStr">
        <is>
          <t>CL Muestras</t>
        </is>
      </c>
      <c r="B384" s="5">
        <f>IF($I2="","",INDEX(Productos!$A:$A,$I2))</f>
        <v/>
      </c>
      <c r="C384" s="134" t="inlineStr">
        <is>
          <t>CL/LOO7/1/CAS/SY1-UNI</t>
        </is>
      </c>
      <c r="D384" s="5">
        <f>IF($I2="","",INDEX(Productos!$B:$B,$I2))</f>
        <v/>
      </c>
      <c r="E384" s="5">
        <f>IF($I2="","",INDEX(Productos!$H:$H,$I2))</f>
        <v/>
      </c>
      <c r="F384" s="5">
        <f>IF($I2="","",INDEX(Productos!$I:$I,$I2))</f>
        <v/>
      </c>
      <c r="G384" s="135" t="n">
        <v>1</v>
      </c>
      <c r="H384" s="5">
        <f>IF($I2="","",INDEX(Productos!$AG:$AG,$I2))</f>
        <v/>
      </c>
      <c r="I384" s="136">
        <f>LET(_xlpm.r,Productos!$E$2:$E$370,_xlpm.m,IFERROR(_xlfn.XMATCH(C384,_xlpm.r),IFERROR(_xlfn.XMATCH(VALUE(C384),_xlpm.r),0)),IF(_xlpm.m=0,"",_xlpm.m+1))</f>
        <v/>
      </c>
      <c r="J384" s="137" t="inlineStr">
        <is>
          <t>NetSuite</t>
        </is>
      </c>
    </row>
    <row r="385">
      <c r="A385" s="5" t="inlineStr">
        <is>
          <t>CL Muestras</t>
        </is>
      </c>
      <c r="B385" s="5">
        <f>IF($I2="","",INDEX(Productos!$A:$A,$I2))</f>
        <v/>
      </c>
      <c r="C385" s="134" t="inlineStr">
        <is>
          <t>CL/LOO7/1/CAS/TA1-UNI</t>
        </is>
      </c>
      <c r="D385" s="5">
        <f>IF($I2="","",INDEX(Productos!$B:$B,$I2))</f>
        <v/>
      </c>
      <c r="E385" s="5">
        <f>IF($I2="","",INDEX(Productos!$H:$H,$I2))</f>
        <v/>
      </c>
      <c r="F385" s="5">
        <f>IF($I2="","",INDEX(Productos!$I:$I,$I2))</f>
        <v/>
      </c>
      <c r="G385" s="135" t="n">
        <v>1</v>
      </c>
      <c r="H385" s="5">
        <f>IF($I2="","",INDEX(Productos!$AG:$AG,$I2))</f>
        <v/>
      </c>
      <c r="I385" s="136">
        <f>LET(_xlpm.r,Productos!$E$2:$E$370,_xlpm.m,IFERROR(_xlfn.XMATCH(C385,_xlpm.r),IFERROR(_xlfn.XMATCH(VALUE(C385),_xlpm.r),0)),IF(_xlpm.m=0,"",_xlpm.m+1))</f>
        <v/>
      </c>
      <c r="J385" s="137" t="inlineStr">
        <is>
          <t>NetSuite</t>
        </is>
      </c>
    </row>
    <row r="386">
      <c r="A386" s="5" t="inlineStr">
        <is>
          <t>CL Muestras</t>
        </is>
      </c>
      <c r="B386" s="5">
        <f>IF($I2="","",INDEX(Productos!$A:$A,$I2))</f>
        <v/>
      </c>
      <c r="C386" s="134" t="inlineStr">
        <is>
          <t>CL/LOO8/1/CD/DAF-UNI</t>
        </is>
      </c>
      <c r="D386" s="5">
        <f>IF($I2="","",INDEX(Productos!$B:$B,$I2))</f>
        <v/>
      </c>
      <c r="E386" s="5">
        <f>IF($I2="","",INDEX(Productos!$H:$H,$I2))</f>
        <v/>
      </c>
      <c r="F386" s="5">
        <f>IF($I2="","",INDEX(Productos!$I:$I,$I2))</f>
        <v/>
      </c>
      <c r="G386" s="135" t="n">
        <v>1</v>
      </c>
      <c r="H386" s="5">
        <f>IF($I2="","",INDEX(Productos!$AG:$AG,$I2))</f>
        <v/>
      </c>
      <c r="I386" s="136">
        <f>LET(_xlpm.r,Productos!$E$2:$E$370,_xlpm.m,IFERROR(_xlfn.XMATCH(C386,_xlpm.r),IFERROR(_xlfn.XMATCH(VALUE(C386),_xlpm.r),0)),IF(_xlpm.m=0,"",_xlpm.m+1))</f>
        <v/>
      </c>
      <c r="J386" s="137" t="inlineStr">
        <is>
          <t>NetSuite</t>
        </is>
      </c>
    </row>
    <row r="387">
      <c r="A387" s="5" t="inlineStr">
        <is>
          <t>CL Muestras</t>
        </is>
      </c>
      <c r="B387" s="5">
        <f>IF($I2="","",INDEX(Productos!$A:$A,$I2))</f>
        <v/>
      </c>
      <c r="C387" s="134" t="inlineStr">
        <is>
          <t>CL/LOO8/1/CF/BUG-UNI</t>
        </is>
      </c>
      <c r="D387" s="5">
        <f>IF($I2="","",INDEX(Productos!$B:$B,$I2))</f>
        <v/>
      </c>
      <c r="E387" s="5">
        <f>IF($I2="","",INDEX(Productos!$H:$H,$I2))</f>
        <v/>
      </c>
      <c r="F387" s="5">
        <f>IF($I2="","",INDEX(Productos!$I:$I,$I2))</f>
        <v/>
      </c>
      <c r="G387" s="135" t="n">
        <v>1</v>
      </c>
      <c r="H387" s="5">
        <f>IF($I2="","",INDEX(Productos!$AG:$AG,$I2))</f>
        <v/>
      </c>
      <c r="I387" s="136">
        <f>LET(_xlpm.r,Productos!$E$2:$E$370,_xlpm.m,IFERROR(_xlfn.XMATCH(C387,_xlpm.r),IFERROR(_xlfn.XMATCH(VALUE(C387),_xlpm.r),0)),IF(_xlpm.m=0,"",_xlpm.m+1))</f>
        <v/>
      </c>
      <c r="J387" s="137" t="inlineStr">
        <is>
          <t>NetSuite</t>
        </is>
      </c>
    </row>
    <row r="388">
      <c r="A388" s="5" t="inlineStr">
        <is>
          <t>CL Muestras</t>
        </is>
      </c>
      <c r="B388" s="5">
        <f>IF($I2="","",INDEX(Productos!$A:$A,$I2))</f>
        <v/>
      </c>
      <c r="C388" s="134" t="inlineStr">
        <is>
          <t>CL/LOO8/1/CT/BUG1-UNI</t>
        </is>
      </c>
      <c r="D388" s="5">
        <f>IF($I2="","",INDEX(Productos!$B:$B,$I2))</f>
        <v/>
      </c>
      <c r="E388" s="5">
        <f>IF($I2="","",INDEX(Productos!$H:$H,$I2))</f>
        <v/>
      </c>
      <c r="F388" s="5">
        <f>IF($I2="","",INDEX(Productos!$I:$I,$I2))</f>
        <v/>
      </c>
      <c r="G388" s="135" t="n">
        <v>1</v>
      </c>
      <c r="H388" s="5">
        <f>IF($I2="","",INDEX(Productos!$AG:$AG,$I2))</f>
        <v/>
      </c>
      <c r="I388" s="136">
        <f>LET(_xlpm.r,Productos!$E$2:$E$370,_xlpm.m,IFERROR(_xlfn.XMATCH(C388,_xlpm.r),IFERROR(_xlfn.XMATCH(VALUE(C388),_xlpm.r),0)),IF(_xlpm.m=0,"",_xlpm.m+1))</f>
        <v/>
      </c>
      <c r="J388" s="137" t="inlineStr">
        <is>
          <t>NetSuite</t>
        </is>
      </c>
    </row>
    <row r="389">
      <c r="A389" s="5" t="inlineStr">
        <is>
          <t>CL Muestras</t>
        </is>
      </c>
      <c r="B389" s="5">
        <f>IF($I2="","",INDEX(Productos!$A:$A,$I2))</f>
        <v/>
      </c>
      <c r="C389" s="134" t="inlineStr">
        <is>
          <t>CL/LOO8/1/CT/BUG2-UNI</t>
        </is>
      </c>
      <c r="D389" s="5">
        <f>IF($I2="","",INDEX(Productos!$B:$B,$I2))</f>
        <v/>
      </c>
      <c r="E389" s="5">
        <f>IF($I2="","",INDEX(Productos!$H:$H,$I2))</f>
        <v/>
      </c>
      <c r="F389" s="5">
        <f>IF($I2="","",INDEX(Productos!$I:$I,$I2))</f>
        <v/>
      </c>
      <c r="G389" s="135" t="n">
        <v>1</v>
      </c>
      <c r="H389" s="5">
        <f>IF($I2="","",INDEX(Productos!$AG:$AG,$I2))</f>
        <v/>
      </c>
      <c r="I389" s="136">
        <f>LET(_xlpm.r,Productos!$E$2:$E$370,_xlpm.m,IFERROR(_xlfn.XMATCH(C389,_xlpm.r),IFERROR(_xlfn.XMATCH(VALUE(C389),_xlpm.r),0)),IF(_xlpm.m=0,"",_xlpm.m+1))</f>
        <v/>
      </c>
      <c r="J389" s="137" t="inlineStr">
        <is>
          <t>NetSuite</t>
        </is>
      </c>
    </row>
    <row r="390">
      <c r="A390" s="5" t="inlineStr">
        <is>
          <t>CL Muestras</t>
        </is>
      </c>
      <c r="B390" s="5">
        <f>IF($I2="","",INDEX(Productos!$A:$A,$I2))</f>
        <v/>
      </c>
      <c r="C390" s="134" t="inlineStr">
        <is>
          <t>CL/LOO8/1/CT/BUG3-UNI</t>
        </is>
      </c>
      <c r="D390" s="5">
        <f>IF($I2="","",INDEX(Productos!$B:$B,$I2))</f>
        <v/>
      </c>
      <c r="E390" s="5">
        <f>IF($I2="","",INDEX(Productos!$H:$H,$I2))</f>
        <v/>
      </c>
      <c r="F390" s="5">
        <f>IF($I2="","",INDEX(Productos!$I:$I,$I2))</f>
        <v/>
      </c>
      <c r="G390" s="135" t="n">
        <v>1</v>
      </c>
      <c r="H390" s="5">
        <f>IF($I2="","",INDEX(Productos!$AG:$AG,$I2))</f>
        <v/>
      </c>
      <c r="I390" s="136">
        <f>LET(_xlpm.r,Productos!$E$2:$E$370,_xlpm.m,IFERROR(_xlfn.XMATCH(C390,_xlpm.r),IFERROR(_xlfn.XMATCH(VALUE(C390),_xlpm.r),0)),IF(_xlpm.m=0,"",_xlpm.m+1))</f>
        <v/>
      </c>
      <c r="J390" s="137" t="inlineStr">
        <is>
          <t>NetSuite</t>
        </is>
      </c>
    </row>
    <row r="391">
      <c r="A391" s="5" t="inlineStr">
        <is>
          <t>CL Muestras</t>
        </is>
      </c>
      <c r="B391" s="5">
        <f>IF($I2="","",INDEX(Productos!$A:$A,$I2))</f>
        <v/>
      </c>
      <c r="C391" s="134" t="inlineStr">
        <is>
          <t>CL/LOO8/1/CT/BUG4-UNI</t>
        </is>
      </c>
      <c r="D391" s="5">
        <f>IF($I2="","",INDEX(Productos!$B:$B,$I2))</f>
        <v/>
      </c>
      <c r="E391" s="5">
        <f>IF($I2="","",INDEX(Productos!$H:$H,$I2))</f>
        <v/>
      </c>
      <c r="F391" s="5">
        <f>IF($I2="","",INDEX(Productos!$I:$I,$I2))</f>
        <v/>
      </c>
      <c r="G391" s="135" t="n">
        <v>1</v>
      </c>
      <c r="H391" s="5">
        <f>IF($I2="","",INDEX(Productos!$AG:$AG,$I2))</f>
        <v/>
      </c>
      <c r="I391" s="136">
        <f>LET(_xlpm.r,Productos!$E$2:$E$370,_xlpm.m,IFERROR(_xlfn.XMATCH(C391,_xlpm.r),IFERROR(_xlfn.XMATCH(VALUE(C391),_xlpm.r),0)),IF(_xlpm.m=0,"",_xlpm.m+1))</f>
        <v/>
      </c>
      <c r="J391" s="137" t="inlineStr">
        <is>
          <t>NetSuite</t>
        </is>
      </c>
    </row>
    <row r="392">
      <c r="A392" s="5" t="inlineStr">
        <is>
          <t>CL Muestras</t>
        </is>
      </c>
      <c r="B392" s="5">
        <f>IF($I2="","",INDEX(Productos!$A:$A,$I2))</f>
        <v/>
      </c>
      <c r="C392" s="134" t="inlineStr">
        <is>
          <t>CL/LOO8/1/CT/BUG5-UNI</t>
        </is>
      </c>
      <c r="D392" s="5">
        <f>IF($I2="","",INDEX(Productos!$B:$B,$I2))</f>
        <v/>
      </c>
      <c r="E392" s="5">
        <f>IF($I2="","",INDEX(Productos!$H:$H,$I2))</f>
        <v/>
      </c>
      <c r="F392" s="5">
        <f>IF($I2="","",INDEX(Productos!$I:$I,$I2))</f>
        <v/>
      </c>
      <c r="G392" s="135" t="n">
        <v>1</v>
      </c>
      <c r="H392" s="5">
        <f>IF($I2="","",INDEX(Productos!$AG:$AG,$I2))</f>
        <v/>
      </c>
      <c r="I392" s="136">
        <f>LET(_xlpm.r,Productos!$E$2:$E$370,_xlpm.m,IFERROR(_xlfn.XMATCH(C392,_xlpm.r),IFERROR(_xlfn.XMATCH(VALUE(C392),_xlpm.r),0)),IF(_xlpm.m=0,"",_xlpm.m+1))</f>
        <v/>
      </c>
      <c r="J392" s="137" t="inlineStr">
        <is>
          <t>NetSuite</t>
        </is>
      </c>
    </row>
    <row r="393">
      <c r="A393" s="5" t="inlineStr">
        <is>
          <t>CL Muestras</t>
        </is>
      </c>
      <c r="B393" s="5">
        <f>IF($I2="","",INDEX(Productos!$A:$A,$I2))</f>
        <v/>
      </c>
      <c r="C393" s="134" t="inlineStr">
        <is>
          <t>CL/LOO8/1/CT/BUG7-UNI</t>
        </is>
      </c>
      <c r="D393" s="5">
        <f>IF($I2="","",INDEX(Productos!$B:$B,$I2))</f>
        <v/>
      </c>
      <c r="E393" s="5">
        <f>IF($I2="","",INDEX(Productos!$H:$H,$I2))</f>
        <v/>
      </c>
      <c r="F393" s="5">
        <f>IF($I2="","",INDEX(Productos!$I:$I,$I2))</f>
        <v/>
      </c>
      <c r="G393" s="135" t="n">
        <v>1</v>
      </c>
      <c r="H393" s="5">
        <f>IF($I2="","",INDEX(Productos!$AG:$AG,$I2))</f>
        <v/>
      </c>
      <c r="I393" s="136">
        <f>LET(_xlpm.r,Productos!$E$2:$E$370,_xlpm.m,IFERROR(_xlfn.XMATCH(C393,_xlpm.r),IFERROR(_xlfn.XMATCH(VALUE(C393),_xlpm.r),0)),IF(_xlpm.m=0,"",_xlpm.m+1))</f>
        <v/>
      </c>
      <c r="J393" s="137" t="inlineStr">
        <is>
          <t>NetSuite</t>
        </is>
      </c>
    </row>
    <row r="394">
      <c r="A394" s="5" t="inlineStr">
        <is>
          <t>CL Muestras</t>
        </is>
      </c>
      <c r="B394" s="5">
        <f>IF($I2="","",INDEX(Productos!$A:$A,$I2))</f>
        <v/>
      </c>
      <c r="C394" s="134" t="inlineStr">
        <is>
          <t>CL/LOO8/1/CT/DAF1-UNI</t>
        </is>
      </c>
      <c r="D394" s="5">
        <f>IF($I2="","",INDEX(Productos!$B:$B,$I2))</f>
        <v/>
      </c>
      <c r="E394" s="5">
        <f>IF($I2="","",INDEX(Productos!$H:$H,$I2))</f>
        <v/>
      </c>
      <c r="F394" s="5">
        <f>IF($I2="","",INDEX(Productos!$I:$I,$I2))</f>
        <v/>
      </c>
      <c r="G394" s="135" t="n">
        <v>1</v>
      </c>
      <c r="H394" s="5">
        <f>IF($I2="","",INDEX(Productos!$AG:$AG,$I2))</f>
        <v/>
      </c>
      <c r="I394" s="136">
        <f>LET(_xlpm.r,Productos!$E$2:$E$370,_xlpm.m,IFERROR(_xlfn.XMATCH(C394,_xlpm.r),IFERROR(_xlfn.XMATCH(VALUE(C394),_xlpm.r),0)),IF(_xlpm.m=0,"",_xlpm.m+1))</f>
        <v/>
      </c>
      <c r="J394" s="137" t="inlineStr">
        <is>
          <t>NetSuite</t>
        </is>
      </c>
    </row>
    <row r="395">
      <c r="A395" s="5" t="inlineStr">
        <is>
          <t>CL Muestras</t>
        </is>
      </c>
      <c r="B395" s="5">
        <f>IF($I2="","",INDEX(Productos!$A:$A,$I2))</f>
        <v/>
      </c>
      <c r="C395" s="134" t="inlineStr">
        <is>
          <t>CL/LOO8/1/CT/DAF2-UNI</t>
        </is>
      </c>
      <c r="D395" s="5">
        <f>IF($I2="","",INDEX(Productos!$B:$B,$I2))</f>
        <v/>
      </c>
      <c r="E395" s="5">
        <f>IF($I2="","",INDEX(Productos!$H:$H,$I2))</f>
        <v/>
      </c>
      <c r="F395" s="5">
        <f>IF($I2="","",INDEX(Productos!$I:$I,$I2))</f>
        <v/>
      </c>
      <c r="G395" s="135" t="n">
        <v>1</v>
      </c>
      <c r="H395" s="5">
        <f>IF($I2="","",INDEX(Productos!$AG:$AG,$I2))</f>
        <v/>
      </c>
      <c r="I395" s="136">
        <f>LET(_xlpm.r,Productos!$E$2:$E$370,_xlpm.m,IFERROR(_xlfn.XMATCH(C395,_xlpm.r),IFERROR(_xlfn.XMATCH(VALUE(C395),_xlpm.r),0)),IF(_xlpm.m=0,"",_xlpm.m+1))</f>
        <v/>
      </c>
      <c r="J395" s="137" t="inlineStr">
        <is>
          <t>NetSuite</t>
        </is>
      </c>
    </row>
    <row r="396">
      <c r="A396" s="5" t="inlineStr">
        <is>
          <t>CL Muestras</t>
        </is>
      </c>
      <c r="B396" s="5">
        <f>IF($I2="","",INDEX(Productos!$A:$A,$I2))</f>
        <v/>
      </c>
      <c r="C396" s="134" t="inlineStr">
        <is>
          <t>CL/LOO8/1/CT/MAR1-UNI</t>
        </is>
      </c>
      <c r="D396" s="5">
        <f>IF($I2="","",INDEX(Productos!$B:$B,$I2))</f>
        <v/>
      </c>
      <c r="E396" s="5">
        <f>IF($I2="","",INDEX(Productos!$H:$H,$I2))</f>
        <v/>
      </c>
      <c r="F396" s="5">
        <f>IF($I2="","",INDEX(Productos!$I:$I,$I2))</f>
        <v/>
      </c>
      <c r="G396" s="135" t="n">
        <v>1</v>
      </c>
      <c r="H396" s="5">
        <f>IF($I2="","",INDEX(Productos!$AG:$AG,$I2))</f>
        <v/>
      </c>
      <c r="I396" s="136">
        <f>LET(_xlpm.r,Productos!$E$2:$E$370,_xlpm.m,IFERROR(_xlfn.XMATCH(C396,_xlpm.r),IFERROR(_xlfn.XMATCH(VALUE(C396),_xlpm.r),0)),IF(_xlpm.m=0,"",_xlpm.m+1))</f>
        <v/>
      </c>
      <c r="J396" s="137" t="inlineStr">
        <is>
          <t>NetSuite</t>
        </is>
      </c>
    </row>
    <row r="397">
      <c r="A397" s="5" t="inlineStr">
        <is>
          <t>CL Muestras</t>
        </is>
      </c>
      <c r="B397" s="5">
        <f>IF($I2="","",INDEX(Productos!$A:$A,$I2))</f>
        <v/>
      </c>
      <c r="C397" s="134" t="inlineStr">
        <is>
          <t>CL/LOO8/1/CT/SPE1-UNI</t>
        </is>
      </c>
      <c r="D397" s="5">
        <f>IF($I2="","",INDEX(Productos!$B:$B,$I2))</f>
        <v/>
      </c>
      <c r="E397" s="5">
        <f>IF($I2="","",INDEX(Productos!$H:$H,$I2))</f>
        <v/>
      </c>
      <c r="F397" s="5">
        <f>IF($I2="","",INDEX(Productos!$I:$I,$I2))</f>
        <v/>
      </c>
      <c r="G397" s="135" t="n">
        <v>1</v>
      </c>
      <c r="H397" s="5">
        <f>IF($I2="","",INDEX(Productos!$AG:$AG,$I2))</f>
        <v/>
      </c>
      <c r="I397" s="136">
        <f>LET(_xlpm.r,Productos!$E$2:$E$370,_xlpm.m,IFERROR(_xlfn.XMATCH(C397,_xlpm.r),IFERROR(_xlfn.XMATCH(VALUE(C397),_xlpm.r),0)),IF(_xlpm.m=0,"",_xlpm.m+1))</f>
        <v/>
      </c>
      <c r="J397" s="137" t="inlineStr">
        <is>
          <t>NetSuite</t>
        </is>
      </c>
    </row>
    <row r="398">
      <c r="A398" s="5" t="inlineStr">
        <is>
          <t>CL Muestras</t>
        </is>
      </c>
      <c r="B398" s="5">
        <f>IF($I2="","",INDEX(Productos!$A:$A,$I2))</f>
        <v/>
      </c>
      <c r="C398" s="134" t="inlineStr">
        <is>
          <t>CL/LOO8/1/CT/TAZ1-UNI</t>
        </is>
      </c>
      <c r="D398" s="5">
        <f>IF($I2="","",INDEX(Productos!$B:$B,$I2))</f>
        <v/>
      </c>
      <c r="E398" s="5">
        <f>IF($I2="","",INDEX(Productos!$H:$H,$I2))</f>
        <v/>
      </c>
      <c r="F398" s="5">
        <f>IF($I2="","",INDEX(Productos!$I:$I,$I2))</f>
        <v/>
      </c>
      <c r="G398" s="135" t="n">
        <v>1</v>
      </c>
      <c r="H398" s="5">
        <f>IF($I2="","",INDEX(Productos!$AG:$AG,$I2))</f>
        <v/>
      </c>
      <c r="I398" s="136">
        <f>LET(_xlpm.r,Productos!$E$2:$E$370,_xlpm.m,IFERROR(_xlfn.XMATCH(C398,_xlpm.r),IFERROR(_xlfn.XMATCH(VALUE(C398),_xlpm.r),0)),IF(_xlpm.m=0,"",_xlpm.m+1))</f>
        <v/>
      </c>
      <c r="J398" s="137" t="inlineStr">
        <is>
          <t>NetSuite</t>
        </is>
      </c>
    </row>
    <row r="399">
      <c r="A399" s="5" t="inlineStr">
        <is>
          <t>CL Muestras</t>
        </is>
      </c>
      <c r="B399" s="5">
        <f>IF($I2="","",INDEX(Productos!$A:$A,$I2))</f>
        <v/>
      </c>
      <c r="C399" s="134" t="inlineStr">
        <is>
          <t>CL/LOO8/1/CT/TAZ2-UNI</t>
        </is>
      </c>
      <c r="D399" s="5">
        <f>IF($I2="","",INDEX(Productos!$B:$B,$I2))</f>
        <v/>
      </c>
      <c r="E399" s="5">
        <f>IF($I2="","",INDEX(Productos!$H:$H,$I2))</f>
        <v/>
      </c>
      <c r="F399" s="5">
        <f>IF($I2="","",INDEX(Productos!$I:$I,$I2))</f>
        <v/>
      </c>
      <c r="G399" s="135" t="n">
        <v>1</v>
      </c>
      <c r="H399" s="5">
        <f>IF($I2="","",INDEX(Productos!$AG:$AG,$I2))</f>
        <v/>
      </c>
      <c r="I399" s="136">
        <f>LET(_xlpm.r,Productos!$E$2:$E$370,_xlpm.m,IFERROR(_xlfn.XMATCH(C399,_xlpm.r),IFERROR(_xlfn.XMATCH(VALUE(C399),_xlpm.r),0)),IF(_xlpm.m=0,"",_xlpm.m+1))</f>
        <v/>
      </c>
      <c r="J399" s="137" t="inlineStr">
        <is>
          <t>NetSuite</t>
        </is>
      </c>
    </row>
    <row r="400">
      <c r="A400" s="5" t="inlineStr">
        <is>
          <t>CL Muestras</t>
        </is>
      </c>
      <c r="B400" s="5">
        <f>IF($I2="","",INDEX(Productos!$A:$A,$I2))</f>
        <v/>
      </c>
      <c r="C400" s="134" t="inlineStr">
        <is>
          <t>CL/LOO8/1/CT/TAZ3-UNI</t>
        </is>
      </c>
      <c r="D400" s="5">
        <f>IF($I2="","",INDEX(Productos!$B:$B,$I2))</f>
        <v/>
      </c>
      <c r="E400" s="5">
        <f>IF($I2="","",INDEX(Productos!$H:$H,$I2))</f>
        <v/>
      </c>
      <c r="F400" s="5">
        <f>IF($I2="","",INDEX(Productos!$I:$I,$I2))</f>
        <v/>
      </c>
      <c r="G400" s="135" t="n">
        <v>1</v>
      </c>
      <c r="H400" s="5">
        <f>IF($I2="","",INDEX(Productos!$AG:$AG,$I2))</f>
        <v/>
      </c>
      <c r="I400" s="136">
        <f>LET(_xlpm.r,Productos!$E$2:$E$370,_xlpm.m,IFERROR(_xlfn.XMATCH(C400,_xlpm.r),IFERROR(_xlfn.XMATCH(VALUE(C400),_xlpm.r),0)),IF(_xlpm.m=0,"",_xlpm.m+1))</f>
        <v/>
      </c>
      <c r="J400" s="137" t="inlineStr">
        <is>
          <t>NetSuite</t>
        </is>
      </c>
    </row>
    <row r="401">
      <c r="A401" s="5" t="inlineStr">
        <is>
          <t>CL Muestras</t>
        </is>
      </c>
      <c r="B401" s="5">
        <f>IF($I2="","",INDEX(Productos!$A:$A,$I2))</f>
        <v/>
      </c>
      <c r="C401" s="134" t="inlineStr">
        <is>
          <t>CL/LOO8/1/CT/TAZ4-UNI</t>
        </is>
      </c>
      <c r="D401" s="5">
        <f>IF($I2="","",INDEX(Productos!$B:$B,$I2))</f>
        <v/>
      </c>
      <c r="E401" s="5">
        <f>IF($I2="","",INDEX(Productos!$H:$H,$I2))</f>
        <v/>
      </c>
      <c r="F401" s="5">
        <f>IF($I2="","",INDEX(Productos!$I:$I,$I2))</f>
        <v/>
      </c>
      <c r="G401" s="135" t="n">
        <v>1</v>
      </c>
      <c r="H401" s="5">
        <f>IF($I2="","",INDEX(Productos!$AG:$AG,$I2))</f>
        <v/>
      </c>
      <c r="I401" s="136">
        <f>LET(_xlpm.r,Productos!$E$2:$E$370,_xlpm.m,IFERROR(_xlfn.XMATCH(C401,_xlpm.r),IFERROR(_xlfn.XMATCH(VALUE(C401),_xlpm.r),0)),IF(_xlpm.m=0,"",_xlpm.m+1))</f>
        <v/>
      </c>
      <c r="J401" s="137" t="inlineStr">
        <is>
          <t>NetSuite</t>
        </is>
      </c>
    </row>
    <row r="402">
      <c r="A402" s="5" t="inlineStr">
        <is>
          <t>CL Muestras</t>
        </is>
      </c>
      <c r="B402" s="5">
        <f>IF($I2="","",INDEX(Productos!$A:$A,$I2))</f>
        <v/>
      </c>
      <c r="C402" s="134" t="inlineStr">
        <is>
          <t>CL/MAR3/1/HUL1-UNI</t>
        </is>
      </c>
      <c r="D402" s="5">
        <f>IF($I2="","",INDEX(Productos!$B:$B,$I2))</f>
        <v/>
      </c>
      <c r="E402" s="5">
        <f>IF($I2="","",INDEX(Productos!$H:$H,$I2))</f>
        <v/>
      </c>
      <c r="F402" s="5">
        <f>IF($I2="","",INDEX(Productos!$I:$I,$I2))</f>
        <v/>
      </c>
      <c r="G402" s="135" t="n">
        <v>2</v>
      </c>
      <c r="H402" s="5">
        <f>IF($I2="","",INDEX(Productos!$AG:$AG,$I2))</f>
        <v/>
      </c>
      <c r="I402" s="136">
        <f>LET(_xlpm.r,Productos!$E$2:$E$370,_xlpm.m,IFERROR(_xlfn.XMATCH(C402,_xlpm.r),IFERROR(_xlfn.XMATCH(VALUE(C402),_xlpm.r),0)),IF(_xlpm.m=0,"",_xlpm.m+1))</f>
        <v/>
      </c>
      <c r="J402" s="137" t="inlineStr">
        <is>
          <t>NetSuite</t>
        </is>
      </c>
    </row>
    <row r="403">
      <c r="A403" s="5" t="inlineStr">
        <is>
          <t>CL Muestras</t>
        </is>
      </c>
      <c r="B403" s="5">
        <f>IF($I2="","",INDEX(Productos!$A:$A,$I2))</f>
        <v/>
      </c>
      <c r="C403" s="134" t="inlineStr">
        <is>
          <t>CL/MAR6/1/CD/DEA-UNI</t>
        </is>
      </c>
      <c r="D403" s="5">
        <f>IF($I2="","",INDEX(Productos!$B:$B,$I2))</f>
        <v/>
      </c>
      <c r="E403" s="5">
        <f>IF($I2="","",INDEX(Productos!$H:$H,$I2))</f>
        <v/>
      </c>
      <c r="F403" s="5">
        <f>IF($I2="","",INDEX(Productos!$I:$I,$I2))</f>
        <v/>
      </c>
      <c r="G403" s="135" t="n">
        <v>1</v>
      </c>
      <c r="H403" s="5">
        <f>IF($I2="","",INDEX(Productos!$AG:$AG,$I2))</f>
        <v/>
      </c>
      <c r="I403" s="136">
        <f>LET(_xlpm.r,Productos!$E$2:$E$370,_xlpm.m,IFERROR(_xlfn.XMATCH(C403,_xlpm.r),IFERROR(_xlfn.XMATCH(VALUE(C403),_xlpm.r),0)),IF(_xlpm.m=0,"",_xlpm.m+1))</f>
        <v/>
      </c>
      <c r="J403" s="137" t="inlineStr">
        <is>
          <t>NetSuite</t>
        </is>
      </c>
    </row>
    <row r="404">
      <c r="A404" s="5" t="inlineStr">
        <is>
          <t>CL Muestras</t>
        </is>
      </c>
      <c r="B404" s="5">
        <f>IF($I2="","",INDEX(Productos!$A:$A,$I2))</f>
        <v/>
      </c>
      <c r="C404" s="134" t="inlineStr">
        <is>
          <t>CL/MAR6/1/CF/DUO-UNI</t>
        </is>
      </c>
      <c r="D404" s="5">
        <f>IF($I2="","",INDEX(Productos!$B:$B,$I2))</f>
        <v/>
      </c>
      <c r="E404" s="5">
        <f>IF($I2="","",INDEX(Productos!$H:$H,$I2))</f>
        <v/>
      </c>
      <c r="F404" s="5">
        <f>IF($I2="","",INDEX(Productos!$I:$I,$I2))</f>
        <v/>
      </c>
      <c r="G404" s="135" t="n">
        <v>1</v>
      </c>
      <c r="H404" s="5">
        <f>IF($I2="","",INDEX(Productos!$AG:$AG,$I2))</f>
        <v/>
      </c>
      <c r="I404" s="136">
        <f>LET(_xlpm.r,Productos!$E$2:$E$370,_xlpm.m,IFERROR(_xlfn.XMATCH(C404,_xlpm.r),IFERROR(_xlfn.XMATCH(VALUE(C404),_xlpm.r),0)),IF(_xlpm.m=0,"",_xlpm.m+1))</f>
        <v/>
      </c>
      <c r="J404" s="137" t="inlineStr">
        <is>
          <t>NetSuite</t>
        </is>
      </c>
    </row>
    <row r="405">
      <c r="A405" s="5" t="inlineStr">
        <is>
          <t>CL Muestras</t>
        </is>
      </c>
      <c r="B405" s="5">
        <f>IF($I2="","",INDEX(Productos!$A:$A,$I2))</f>
        <v/>
      </c>
      <c r="C405" s="134" t="inlineStr">
        <is>
          <t>CL/MAR6/1/CT/BAD1-UNI</t>
        </is>
      </c>
      <c r="D405" s="5">
        <f>IF($I2="","",INDEX(Productos!$B:$B,$I2))</f>
        <v/>
      </c>
      <c r="E405" s="5">
        <f>IF($I2="","",INDEX(Productos!$H:$H,$I2))</f>
        <v/>
      </c>
      <c r="F405" s="5">
        <f>IF($I2="","",INDEX(Productos!$I:$I,$I2))</f>
        <v/>
      </c>
      <c r="G405" s="135" t="n">
        <v>1</v>
      </c>
      <c r="H405" s="5">
        <f>IF($I2="","",INDEX(Productos!$AG:$AG,$I2))</f>
        <v/>
      </c>
      <c r="I405" s="136">
        <f>LET(_xlpm.r,Productos!$E$2:$E$370,_xlpm.m,IFERROR(_xlfn.XMATCH(C405,_xlpm.r),IFERROR(_xlfn.XMATCH(VALUE(C405),_xlpm.r),0)),IF(_xlpm.m=0,"",_xlpm.m+1))</f>
        <v/>
      </c>
      <c r="J405" s="137" t="inlineStr">
        <is>
          <t>NetSuite</t>
        </is>
      </c>
    </row>
    <row r="406">
      <c r="A406" s="5" t="inlineStr">
        <is>
          <t>CL Muestras</t>
        </is>
      </c>
      <c r="B406" s="5">
        <f>IF($I2="","",INDEX(Productos!$A:$A,$I2))</f>
        <v/>
      </c>
      <c r="C406" s="134" t="inlineStr">
        <is>
          <t>CL/MAR6/1/CT/GRO1-UNI</t>
        </is>
      </c>
      <c r="D406" s="5">
        <f>IF($I2="","",INDEX(Productos!$B:$B,$I2))</f>
        <v/>
      </c>
      <c r="E406" s="5">
        <f>IF($I2="","",INDEX(Productos!$H:$H,$I2))</f>
        <v/>
      </c>
      <c r="F406" s="5">
        <f>IF($I2="","",INDEX(Productos!$I:$I,$I2))</f>
        <v/>
      </c>
      <c r="G406" s="135" t="n">
        <v>1</v>
      </c>
      <c r="H406" s="5">
        <f>IF($I2="","",INDEX(Productos!$AG:$AG,$I2))</f>
        <v/>
      </c>
      <c r="I406" s="136">
        <f>LET(_xlpm.r,Productos!$E$2:$E$370,_xlpm.m,IFERROR(_xlfn.XMATCH(C406,_xlpm.r),IFERROR(_xlfn.XMATCH(VALUE(C406),_xlpm.r),0)),IF(_xlpm.m=0,"",_xlpm.m+1))</f>
        <v/>
      </c>
      <c r="J406" s="137" t="inlineStr">
        <is>
          <t>NetSuite</t>
        </is>
      </c>
    </row>
    <row r="407">
      <c r="A407" s="5" t="inlineStr">
        <is>
          <t>CL Muestras</t>
        </is>
      </c>
      <c r="B407" s="5">
        <f>IF($I2="","",INDEX(Productos!$A:$A,$I2))</f>
        <v/>
      </c>
      <c r="C407" s="134" t="inlineStr">
        <is>
          <t>CL/MAR6/1/CT/LOG1-UNI</t>
        </is>
      </c>
      <c r="D407" s="5">
        <f>IF($I2="","",INDEX(Productos!$B:$B,$I2))</f>
        <v/>
      </c>
      <c r="E407" s="5">
        <f>IF($I2="","",INDEX(Productos!$H:$H,$I2))</f>
        <v/>
      </c>
      <c r="F407" s="5">
        <f>IF($I2="","",INDEX(Productos!$I:$I,$I2))</f>
        <v/>
      </c>
      <c r="G407" s="135" t="n">
        <v>1</v>
      </c>
      <c r="H407" s="5">
        <f>IF($I2="","",INDEX(Productos!$AG:$AG,$I2))</f>
        <v/>
      </c>
      <c r="I407" s="136">
        <f>LET(_xlpm.r,Productos!$E$2:$E$370,_xlpm.m,IFERROR(_xlfn.XMATCH(C407,_xlpm.r),IFERROR(_xlfn.XMATCH(VALUE(C407),_xlpm.r),0)),IF(_xlpm.m=0,"",_xlpm.m+1))</f>
        <v/>
      </c>
      <c r="J407" s="137" t="inlineStr">
        <is>
          <t>NetSuite</t>
        </is>
      </c>
    </row>
    <row r="408">
      <c r="A408" s="5" t="inlineStr">
        <is>
          <t>CL Muestras</t>
        </is>
      </c>
      <c r="B408" s="5">
        <f>IF($I2="","",INDEX(Productos!$A:$A,$I2))</f>
        <v/>
      </c>
      <c r="C408" s="134" t="inlineStr">
        <is>
          <t>CL/MAR6/3/CT/BAD1-UNIJR</t>
        </is>
      </c>
      <c r="D408" s="5">
        <f>IF($I2="","",INDEX(Productos!$B:$B,$I2))</f>
        <v/>
      </c>
      <c r="E408" s="5">
        <f>IF($I2="","",INDEX(Productos!$H:$H,$I2))</f>
        <v/>
      </c>
      <c r="F408" s="5">
        <f>IF($I2="","",INDEX(Productos!$I:$I,$I2))</f>
        <v/>
      </c>
      <c r="G408" s="135" t="n">
        <v>1</v>
      </c>
      <c r="H408" s="5">
        <f>IF($I2="","",INDEX(Productos!$AG:$AG,$I2))</f>
        <v/>
      </c>
      <c r="I408" s="136">
        <f>LET(_xlpm.r,Productos!$E$2:$E$370,_xlpm.m,IFERROR(_xlfn.XMATCH(C408,_xlpm.r),IFERROR(_xlfn.XMATCH(VALUE(C408),_xlpm.r),0)),IF(_xlpm.m=0,"",_xlpm.m+1))</f>
        <v/>
      </c>
      <c r="J408" s="137" t="inlineStr">
        <is>
          <t>NetSuite</t>
        </is>
      </c>
    </row>
    <row r="409">
      <c r="A409" s="5" t="inlineStr">
        <is>
          <t>CL Muestras</t>
        </is>
      </c>
      <c r="B409" s="5">
        <f>IF($I2="","",INDEX(Productos!$A:$A,$I2))</f>
        <v/>
      </c>
      <c r="C409" s="134" t="inlineStr">
        <is>
          <t>CL/NASA/1/US2-UNI</t>
        </is>
      </c>
      <c r="D409" s="5">
        <f>IF($I2="","",INDEX(Productos!$B:$B,$I2))</f>
        <v/>
      </c>
      <c r="E409" s="5">
        <f>IF($I2="","",INDEX(Productos!$H:$H,$I2))</f>
        <v/>
      </c>
      <c r="F409" s="5">
        <f>IF($I2="","",INDEX(Productos!$I:$I,$I2))</f>
        <v/>
      </c>
      <c r="G409" s="135" t="n">
        <v>1</v>
      </c>
      <c r="H409" s="5">
        <f>IF($I2="","",INDEX(Productos!$AG:$AG,$I2))</f>
        <v/>
      </c>
      <c r="I409" s="136">
        <f>LET(_xlpm.r,Productos!$E$2:$E$370,_xlpm.m,IFERROR(_xlfn.XMATCH(C409,_xlpm.r),IFERROR(_xlfn.XMATCH(VALUE(C409),_xlpm.r),0)),IF(_xlpm.m=0,"",_xlpm.m+1))</f>
        <v/>
      </c>
      <c r="J409" s="137" t="inlineStr">
        <is>
          <t>NetSuite</t>
        </is>
      </c>
    </row>
    <row r="410">
      <c r="A410" s="5" t="inlineStr">
        <is>
          <t>CL Muestras</t>
        </is>
      </c>
      <c r="B410" s="5">
        <f>IF($I2="","",INDEX(Productos!$A:$A,$I2))</f>
        <v/>
      </c>
      <c r="C410" s="134" t="inlineStr">
        <is>
          <t>CL/NS/1/AKA2-UNI</t>
        </is>
      </c>
      <c r="D410" s="5">
        <f>IF($I2="","",INDEX(Productos!$B:$B,$I2))</f>
        <v/>
      </c>
      <c r="E410" s="5">
        <f>IF($I2="","",INDEX(Productos!$H:$H,$I2))</f>
        <v/>
      </c>
      <c r="F410" s="5">
        <f>IF($I2="","",INDEX(Productos!$I:$I,$I2))</f>
        <v/>
      </c>
      <c r="G410" s="135" t="n">
        <v>2</v>
      </c>
      <c r="H410" s="5">
        <f>IF($I2="","",INDEX(Productos!$AG:$AG,$I2))</f>
        <v/>
      </c>
      <c r="I410" s="136">
        <f>LET(_xlpm.r,Productos!$E$2:$E$370,_xlpm.m,IFERROR(_xlfn.XMATCH(C410,_xlpm.r),IFERROR(_xlfn.XMATCH(VALUE(C410),_xlpm.r),0)),IF(_xlpm.m=0,"",_xlpm.m+1))</f>
        <v/>
      </c>
      <c r="J410" s="137" t="inlineStr">
        <is>
          <t>NetSuite</t>
        </is>
      </c>
    </row>
    <row r="411">
      <c r="A411" s="5" t="inlineStr">
        <is>
          <t>CL Muestras</t>
        </is>
      </c>
      <c r="B411" s="5">
        <f>IF($I2="","",INDEX(Productos!$A:$A,$I2))</f>
        <v/>
      </c>
      <c r="C411" s="134" t="inlineStr">
        <is>
          <t>CL/NS/1/BAN-UNI</t>
        </is>
      </c>
      <c r="D411" s="5">
        <f>IF($I2="","",INDEX(Productos!$B:$B,$I2))</f>
        <v/>
      </c>
      <c r="E411" s="5">
        <f>IF($I2="","",INDEX(Productos!$H:$H,$I2))</f>
        <v/>
      </c>
      <c r="F411" s="5">
        <f>IF($I2="","",INDEX(Productos!$I:$I,$I2))</f>
        <v/>
      </c>
      <c r="G411" s="135" t="n">
        <v>1</v>
      </c>
      <c r="H411" s="5">
        <f>IF($I2="","",INDEX(Productos!$AG:$AG,$I2))</f>
        <v/>
      </c>
      <c r="I411" s="136">
        <f>LET(_xlpm.r,Productos!$E$2:$E$370,_xlpm.m,IFERROR(_xlfn.XMATCH(C411,_xlpm.r),IFERROR(_xlfn.XMATCH(VALUE(C411),_xlpm.r),0)),IF(_xlpm.m=0,"",_xlpm.m+1))</f>
        <v/>
      </c>
      <c r="J411" s="137" t="inlineStr">
        <is>
          <t>NetSuite</t>
        </is>
      </c>
    </row>
    <row r="412">
      <c r="A412" s="5" t="inlineStr">
        <is>
          <t>CL Muestras</t>
        </is>
      </c>
      <c r="B412" s="5">
        <f>IF($I2="","",INDEX(Productos!$A:$A,$I2))</f>
        <v/>
      </c>
      <c r="C412" s="134" t="inlineStr">
        <is>
          <t>CL/NS/1/FIR1-UNI</t>
        </is>
      </c>
      <c r="D412" s="5">
        <f>IF($I2="","",INDEX(Productos!$B:$B,$I2))</f>
        <v/>
      </c>
      <c r="E412" s="5">
        <f>IF($I2="","",INDEX(Productos!$H:$H,$I2))</f>
        <v/>
      </c>
      <c r="F412" s="5">
        <f>IF($I2="","",INDEX(Productos!$I:$I,$I2))</f>
        <v/>
      </c>
      <c r="G412" s="135" t="n">
        <v>2</v>
      </c>
      <c r="H412" s="5">
        <f>IF($I2="","",INDEX(Productos!$AG:$AG,$I2))</f>
        <v/>
      </c>
      <c r="I412" s="136">
        <f>LET(_xlpm.r,Productos!$E$2:$E$370,_xlpm.m,IFERROR(_xlfn.XMATCH(C412,_xlpm.r),IFERROR(_xlfn.XMATCH(VALUE(C412),_xlpm.r),0)),IF(_xlpm.m=0,"",_xlpm.m+1))</f>
        <v/>
      </c>
      <c r="J412" s="137" t="inlineStr">
        <is>
          <t>NetSuite</t>
        </is>
      </c>
    </row>
    <row r="413">
      <c r="A413" s="5" t="inlineStr">
        <is>
          <t>CL Muestras</t>
        </is>
      </c>
      <c r="B413" s="5">
        <f>IF($I2="","",INDEX(Productos!$A:$A,$I2))</f>
        <v/>
      </c>
      <c r="C413" s="134" t="inlineStr">
        <is>
          <t>CL/NS/1/NAR1-UNI</t>
        </is>
      </c>
      <c r="D413" s="5">
        <f>IF($I2="","",INDEX(Productos!$B:$B,$I2))</f>
        <v/>
      </c>
      <c r="E413" s="5">
        <f>IF($I2="","",INDEX(Productos!$H:$H,$I2))</f>
        <v/>
      </c>
      <c r="F413" s="5">
        <f>IF($I2="","",INDEX(Productos!$I:$I,$I2))</f>
        <v/>
      </c>
      <c r="G413" s="135" t="n">
        <v>2</v>
      </c>
      <c r="H413" s="5">
        <f>IF($I2="","",INDEX(Productos!$AG:$AG,$I2))</f>
        <v/>
      </c>
      <c r="I413" s="136">
        <f>LET(_xlpm.r,Productos!$E$2:$E$370,_xlpm.m,IFERROR(_xlfn.XMATCH(C413,_xlpm.r),IFERROR(_xlfn.XMATCH(VALUE(C413),_xlpm.r),0)),IF(_xlpm.m=0,"",_xlpm.m+1))</f>
        <v/>
      </c>
      <c r="J413" s="137" t="inlineStr">
        <is>
          <t>NetSuite</t>
        </is>
      </c>
    </row>
    <row r="414">
      <c r="A414" s="5" t="inlineStr">
        <is>
          <t>CL Muestras</t>
        </is>
      </c>
      <c r="B414" s="5">
        <f>IF($I2="","",INDEX(Productos!$A:$A,$I2))</f>
        <v/>
      </c>
      <c r="C414" s="134" t="inlineStr">
        <is>
          <t>CL/NS/1/NAR2-UNI</t>
        </is>
      </c>
      <c r="D414" s="5">
        <f>IF($I2="","",INDEX(Productos!$B:$B,$I2))</f>
        <v/>
      </c>
      <c r="E414" s="5">
        <f>IF($I2="","",INDEX(Productos!$H:$H,$I2))</f>
        <v/>
      </c>
      <c r="F414" s="5">
        <f>IF($I2="","",INDEX(Productos!$I:$I,$I2))</f>
        <v/>
      </c>
      <c r="G414" s="135" t="n">
        <v>1</v>
      </c>
      <c r="H414" s="5">
        <f>IF($I2="","",INDEX(Productos!$AG:$AG,$I2))</f>
        <v/>
      </c>
      <c r="I414" s="136">
        <f>LET(_xlpm.r,Productos!$E$2:$E$370,_xlpm.m,IFERROR(_xlfn.XMATCH(C414,_xlpm.r),IFERROR(_xlfn.XMATCH(VALUE(C414),_xlpm.r),0)),IF(_xlpm.m=0,"",_xlpm.m+1))</f>
        <v/>
      </c>
      <c r="J414" s="137" t="inlineStr">
        <is>
          <t>NetSuite</t>
        </is>
      </c>
    </row>
    <row r="415">
      <c r="A415" s="5" t="inlineStr">
        <is>
          <t>CL Muestras</t>
        </is>
      </c>
      <c r="B415" s="5">
        <f>IF($I2="","",INDEX(Productos!$A:$A,$I2))</f>
        <v/>
      </c>
      <c r="C415" s="134" t="inlineStr">
        <is>
          <t>CL/NS/1/RAS2-UNI</t>
        </is>
      </c>
      <c r="D415" s="5">
        <f>IF($I2="","",INDEX(Productos!$B:$B,$I2))</f>
        <v/>
      </c>
      <c r="E415" s="5">
        <f>IF($I2="","",INDEX(Productos!$H:$H,$I2))</f>
        <v/>
      </c>
      <c r="F415" s="5">
        <f>IF($I2="","",INDEX(Productos!$I:$I,$I2))</f>
        <v/>
      </c>
      <c r="G415" s="135" t="n">
        <v>1</v>
      </c>
      <c r="H415" s="5">
        <f>IF($I2="","",INDEX(Productos!$AG:$AG,$I2))</f>
        <v/>
      </c>
      <c r="I415" s="136">
        <f>LET(_xlpm.r,Productos!$E$2:$E$370,_xlpm.m,IFERROR(_xlfn.XMATCH(C415,_xlpm.r),IFERROR(_xlfn.XMATCH(VALUE(C415),_xlpm.r),0)),IF(_xlpm.m=0,"",_xlpm.m+1))</f>
        <v/>
      </c>
      <c r="J415" s="137" t="inlineStr">
        <is>
          <t>NetSuite</t>
        </is>
      </c>
    </row>
    <row r="416">
      <c r="A416" s="5" t="inlineStr">
        <is>
          <t>CL Muestras</t>
        </is>
      </c>
      <c r="B416" s="5">
        <f>IF($I2="","",INDEX(Productos!$A:$A,$I2))</f>
        <v/>
      </c>
      <c r="C416" s="134" t="inlineStr">
        <is>
          <t>CL/NS2/1/CT/NME-UNI</t>
        </is>
      </c>
      <c r="D416" s="5">
        <f>IF($I2="","",INDEX(Productos!$B:$B,$I2))</f>
        <v/>
      </c>
      <c r="E416" s="5">
        <f>IF($I2="","",INDEX(Productos!$H:$H,$I2))</f>
        <v/>
      </c>
      <c r="F416" s="5">
        <f>IF($I2="","",INDEX(Productos!$I:$I,$I2))</f>
        <v/>
      </c>
      <c r="G416" s="135" t="n">
        <v>1</v>
      </c>
      <c r="H416" s="5">
        <f>IF($I2="","",INDEX(Productos!$AG:$AG,$I2))</f>
        <v/>
      </c>
      <c r="I416" s="136">
        <f>LET(_xlpm.r,Productos!$E$2:$E$370,_xlpm.m,IFERROR(_xlfn.XMATCH(C416,_xlpm.r),IFERROR(_xlfn.XMATCH(VALUE(C416),_xlpm.r),0)),IF(_xlpm.m=0,"",_xlpm.m+1))</f>
        <v/>
      </c>
      <c r="J416" s="137" t="inlineStr">
        <is>
          <t>NetSuite</t>
        </is>
      </c>
    </row>
    <row r="417">
      <c r="A417" s="5" t="inlineStr">
        <is>
          <t>CL Muestras</t>
        </is>
      </c>
      <c r="B417" s="5">
        <f>IF($I2="","",INDEX(Productos!$A:$A,$I2))</f>
        <v/>
      </c>
      <c r="C417" s="134" t="inlineStr">
        <is>
          <t>CL/NS2/1/CT/NOE-UNI</t>
        </is>
      </c>
      <c r="D417" s="5">
        <f>IF($I2="","",INDEX(Productos!$B:$B,$I2))</f>
        <v/>
      </c>
      <c r="E417" s="5">
        <f>IF($I2="","",INDEX(Productos!$H:$H,$I2))</f>
        <v/>
      </c>
      <c r="F417" s="5">
        <f>IF($I2="","",INDEX(Productos!$I:$I,$I2))</f>
        <v/>
      </c>
      <c r="G417" s="135" t="n">
        <v>1</v>
      </c>
      <c r="H417" s="5">
        <f>IF($I2="","",INDEX(Productos!$AG:$AG,$I2))</f>
        <v/>
      </c>
      <c r="I417" s="136">
        <f>LET(_xlpm.r,Productos!$E$2:$E$370,_xlpm.m,IFERROR(_xlfn.XMATCH(C417,_xlpm.r),IFERROR(_xlfn.XMATCH(VALUE(C417),_xlpm.r),0)),IF(_xlpm.m=0,"",_xlpm.m+1))</f>
        <v/>
      </c>
      <c r="J417" s="137" t="inlineStr">
        <is>
          <t>NetSuite</t>
        </is>
      </c>
    </row>
    <row r="418">
      <c r="A418" s="5" t="inlineStr">
        <is>
          <t>CL Muestras</t>
        </is>
      </c>
      <c r="B418" s="5">
        <f>IF($I2="","",INDEX(Productos!$A:$A,$I2))</f>
        <v/>
      </c>
      <c r="C418" s="134" t="inlineStr">
        <is>
          <t>CL/OP/TAG/1/LOG1-UNI</t>
        </is>
      </c>
      <c r="D418" s="5">
        <f>IF($I2="","",INDEX(Productos!$B:$B,$I2))</f>
        <v/>
      </c>
      <c r="E418" s="5">
        <f>IF($I2="","",INDEX(Productos!$H:$H,$I2))</f>
        <v/>
      </c>
      <c r="F418" s="5">
        <f>IF($I2="","",INDEX(Productos!$I:$I,$I2))</f>
        <v/>
      </c>
      <c r="G418" s="135" t="n">
        <v>1</v>
      </c>
      <c r="H418" s="5">
        <f>IF($I2="","",INDEX(Productos!$AG:$AG,$I2))</f>
        <v/>
      </c>
      <c r="I418" s="136">
        <f>LET(_xlpm.r,Productos!$E$2:$E$370,_xlpm.m,IFERROR(_xlfn.XMATCH(C418,_xlpm.r),IFERROR(_xlfn.XMATCH(VALUE(C418),_xlpm.r),0)),IF(_xlpm.m=0,"",_xlpm.m+1))</f>
        <v/>
      </c>
      <c r="J418" s="137" t="inlineStr">
        <is>
          <t>NetSuite</t>
        </is>
      </c>
    </row>
    <row r="419">
      <c r="A419" s="5" t="inlineStr">
        <is>
          <t>CL Muestras</t>
        </is>
      </c>
      <c r="B419" s="5">
        <f>IF($I2="","",INDEX(Productos!$A:$A,$I2))</f>
        <v/>
      </c>
      <c r="C419" s="134" t="inlineStr">
        <is>
          <t>CL/OP1/1/LUF2-UNI</t>
        </is>
      </c>
      <c r="D419" s="5">
        <f>IF($I2="","",INDEX(Productos!$B:$B,$I2))</f>
        <v/>
      </c>
      <c r="E419" s="5">
        <f>IF($I2="","",INDEX(Productos!$H:$H,$I2))</f>
        <v/>
      </c>
      <c r="F419" s="5">
        <f>IF($I2="","",INDEX(Productos!$I:$I,$I2))</f>
        <v/>
      </c>
      <c r="G419" s="135" t="n">
        <v>3</v>
      </c>
      <c r="H419" s="5">
        <f>IF($I2="","",INDEX(Productos!$AG:$AG,$I2))</f>
        <v/>
      </c>
      <c r="I419" s="136">
        <f>LET(_xlpm.r,Productos!$E$2:$E$370,_xlpm.m,IFERROR(_xlfn.XMATCH(C419,_xlpm.r),IFERROR(_xlfn.XMATCH(VALUE(C419),_xlpm.r),0)),IF(_xlpm.m=0,"",_xlpm.m+1))</f>
        <v/>
      </c>
      <c r="J419" s="137" t="inlineStr">
        <is>
          <t>NetSuite</t>
        </is>
      </c>
    </row>
    <row r="420">
      <c r="A420" s="5" t="inlineStr">
        <is>
          <t>CL Muestras</t>
        </is>
      </c>
      <c r="B420" s="5">
        <f>IF($I2="","",INDEX(Productos!$A:$A,$I2))</f>
        <v/>
      </c>
      <c r="C420" s="134" t="inlineStr">
        <is>
          <t>CL/OP1/1/SKU1-UNI</t>
        </is>
      </c>
      <c r="D420" s="5">
        <f>IF($I2="","",INDEX(Productos!$B:$B,$I2))</f>
        <v/>
      </c>
      <c r="E420" s="5">
        <f>IF($I2="","",INDEX(Productos!$H:$H,$I2))</f>
        <v/>
      </c>
      <c r="F420" s="5">
        <f>IF($I2="","",INDEX(Productos!$I:$I,$I2))</f>
        <v/>
      </c>
      <c r="G420" s="135" t="n">
        <v>2</v>
      </c>
      <c r="H420" s="5">
        <f>IF($I2="","",INDEX(Productos!$AG:$AG,$I2))</f>
        <v/>
      </c>
      <c r="I420" s="136">
        <f>LET(_xlpm.r,Productos!$E$2:$E$370,_xlpm.m,IFERROR(_xlfn.XMATCH(C420,_xlpm.r),IFERROR(_xlfn.XMATCH(VALUE(C420),_xlpm.r),0)),IF(_xlpm.m=0,"",_xlpm.m+1))</f>
        <v/>
      </c>
      <c r="J420" s="137" t="inlineStr">
        <is>
          <t>NetSuite</t>
        </is>
      </c>
    </row>
    <row r="421">
      <c r="A421" s="5" t="inlineStr">
        <is>
          <t>CL Muestras</t>
        </is>
      </c>
      <c r="B421" s="5">
        <f>IF($I2="","",INDEX(Productos!$A:$A,$I2))</f>
        <v/>
      </c>
      <c r="C421" s="134" t="inlineStr">
        <is>
          <t>CL/OP1/1/SKU2-UNI</t>
        </is>
      </c>
      <c r="D421" s="5">
        <f>IF($I2="","",INDEX(Productos!$B:$B,$I2))</f>
        <v/>
      </c>
      <c r="E421" s="5">
        <f>IF($I2="","",INDEX(Productos!$H:$H,$I2))</f>
        <v/>
      </c>
      <c r="F421" s="5">
        <f>IF($I2="","",INDEX(Productos!$I:$I,$I2))</f>
        <v/>
      </c>
      <c r="G421" s="135" t="n">
        <v>3</v>
      </c>
      <c r="H421" s="5">
        <f>IF($I2="","",INDEX(Productos!$AG:$AG,$I2))</f>
        <v/>
      </c>
      <c r="I421" s="136">
        <f>LET(_xlpm.r,Productos!$E$2:$E$370,_xlpm.m,IFERROR(_xlfn.XMATCH(C421,_xlpm.r),IFERROR(_xlfn.XMATCH(VALUE(C421),_xlpm.r),0)),IF(_xlpm.m=0,"",_xlpm.m+1))</f>
        <v/>
      </c>
      <c r="J421" s="137" t="inlineStr">
        <is>
          <t>NetSuite</t>
        </is>
      </c>
    </row>
    <row r="422">
      <c r="A422" s="5" t="inlineStr">
        <is>
          <t>CL Muestras</t>
        </is>
      </c>
      <c r="B422" s="5">
        <f>IF($I2="","",INDEX(Productos!$A:$A,$I2))</f>
        <v/>
      </c>
      <c r="C422" s="134" t="inlineStr">
        <is>
          <t>CL/OP1/1/ZOR1-UNI</t>
        </is>
      </c>
      <c r="D422" s="5">
        <f>IF($I2="","",INDEX(Productos!$B:$B,$I2))</f>
        <v/>
      </c>
      <c r="E422" s="5">
        <f>IF($I2="","",INDEX(Productos!$H:$H,$I2))</f>
        <v/>
      </c>
      <c r="F422" s="5">
        <f>IF($I2="","",INDEX(Productos!$I:$I,$I2))</f>
        <v/>
      </c>
      <c r="G422" s="135" t="n">
        <v>2</v>
      </c>
      <c r="H422" s="5">
        <f>IF($I2="","",INDEX(Productos!$AG:$AG,$I2))</f>
        <v/>
      </c>
      <c r="I422" s="136">
        <f>LET(_xlpm.r,Productos!$E$2:$E$370,_xlpm.m,IFERROR(_xlfn.XMATCH(C422,_xlpm.r),IFERROR(_xlfn.XMATCH(VALUE(C422),_xlpm.r),0)),IF(_xlpm.m=0,"",_xlpm.m+1))</f>
        <v/>
      </c>
      <c r="J422" s="137" t="inlineStr">
        <is>
          <t>NetSuite</t>
        </is>
      </c>
    </row>
    <row r="423">
      <c r="A423" s="5" t="inlineStr">
        <is>
          <t>CL Muestras</t>
        </is>
      </c>
      <c r="B423" s="5">
        <f>IF($I2="","",INDEX(Productos!$A:$A,$I2))</f>
        <v/>
      </c>
      <c r="C423" s="134" t="inlineStr">
        <is>
          <t>CL/OP2/1/CAS/LUF1-UNI</t>
        </is>
      </c>
      <c r="D423" s="5">
        <f>IF($I2="","",INDEX(Productos!$B:$B,$I2))</f>
        <v/>
      </c>
      <c r="E423" s="5">
        <f>IF($I2="","",INDEX(Productos!$H:$H,$I2))</f>
        <v/>
      </c>
      <c r="F423" s="5">
        <f>IF($I2="","",INDEX(Productos!$I:$I,$I2))</f>
        <v/>
      </c>
      <c r="G423" s="135" t="n">
        <v>2</v>
      </c>
      <c r="H423" s="5">
        <f>IF($I2="","",INDEX(Productos!$AG:$AG,$I2))</f>
        <v/>
      </c>
      <c r="I423" s="136">
        <f>LET(_xlpm.r,Productos!$E$2:$E$370,_xlpm.m,IFERROR(_xlfn.XMATCH(C423,_xlpm.r),IFERROR(_xlfn.XMATCH(VALUE(C423),_xlpm.r),0)),IF(_xlpm.m=0,"",_xlpm.m+1))</f>
        <v/>
      </c>
      <c r="J423" s="137" t="inlineStr">
        <is>
          <t>NetSuite</t>
        </is>
      </c>
    </row>
    <row r="424">
      <c r="A424" s="5" t="inlineStr">
        <is>
          <t>CL Muestras</t>
        </is>
      </c>
      <c r="B424" s="5">
        <f>IF($I2="","",INDEX(Productos!$A:$A,$I2))</f>
        <v/>
      </c>
      <c r="C424" s="134" t="inlineStr">
        <is>
          <t>CL/OP2/1/CAS/ONE1-UNI</t>
        </is>
      </c>
      <c r="D424" s="5">
        <f>IF($I2="","",INDEX(Productos!$B:$B,$I2))</f>
        <v/>
      </c>
      <c r="E424" s="5">
        <f>IF($I2="","",INDEX(Productos!$H:$H,$I2))</f>
        <v/>
      </c>
      <c r="F424" s="5">
        <f>IF($I2="","",INDEX(Productos!$I:$I,$I2))</f>
        <v/>
      </c>
      <c r="G424" s="135" t="n">
        <v>2</v>
      </c>
      <c r="H424" s="5">
        <f>IF($I2="","",INDEX(Productos!$AG:$AG,$I2))</f>
        <v/>
      </c>
      <c r="I424" s="136">
        <f>LET(_xlpm.r,Productos!$E$2:$E$370,_xlpm.m,IFERROR(_xlfn.XMATCH(C424,_xlpm.r),IFERROR(_xlfn.XMATCH(VALUE(C424),_xlpm.r),0)),IF(_xlpm.m=0,"",_xlpm.m+1))</f>
        <v/>
      </c>
      <c r="J424" s="137" t="inlineStr">
        <is>
          <t>NetSuite</t>
        </is>
      </c>
    </row>
    <row r="425">
      <c r="A425" s="5" t="inlineStr">
        <is>
          <t>CL Muestras</t>
        </is>
      </c>
      <c r="B425" s="5">
        <f>IF($I2="","",INDEX(Productos!$A:$A,$I2))</f>
        <v/>
      </c>
      <c r="C425" s="134" t="inlineStr">
        <is>
          <t>CL/OP2/1/CAS/ONE2-UNI</t>
        </is>
      </c>
      <c r="D425" s="5">
        <f>IF($I2="","",INDEX(Productos!$B:$B,$I2))</f>
        <v/>
      </c>
      <c r="E425" s="5">
        <f>IF($I2="","",INDEX(Productos!$H:$H,$I2))</f>
        <v/>
      </c>
      <c r="F425" s="5">
        <f>IF($I2="","",INDEX(Productos!$I:$I,$I2))</f>
        <v/>
      </c>
      <c r="G425" s="135" t="n">
        <v>2</v>
      </c>
      <c r="H425" s="5">
        <f>IF($I2="","",INDEX(Productos!$AG:$AG,$I2))</f>
        <v/>
      </c>
      <c r="I425" s="136">
        <f>LET(_xlpm.r,Productos!$E$2:$E$370,_xlpm.m,IFERROR(_xlfn.XMATCH(C425,_xlpm.r),IFERROR(_xlfn.XMATCH(VALUE(C425),_xlpm.r),0)),IF(_xlpm.m=0,"",_xlpm.m+1))</f>
        <v/>
      </c>
      <c r="J425" s="137" t="inlineStr">
        <is>
          <t>NetSuite</t>
        </is>
      </c>
    </row>
    <row r="426">
      <c r="A426" s="5" t="inlineStr">
        <is>
          <t>CL Muestras</t>
        </is>
      </c>
      <c r="B426" s="5">
        <f>IF($I2="","",INDEX(Productos!$A:$A,$I2))</f>
        <v/>
      </c>
      <c r="C426" s="134" t="inlineStr">
        <is>
          <t>CL/OP2/1/CAS/WAN1-UNI</t>
        </is>
      </c>
      <c r="D426" s="5">
        <f>IF($I2="","",INDEX(Productos!$B:$B,$I2))</f>
        <v/>
      </c>
      <c r="E426" s="5">
        <f>IF($I2="","",INDEX(Productos!$H:$H,$I2))</f>
        <v/>
      </c>
      <c r="F426" s="5">
        <f>IF($I2="","",INDEX(Productos!$I:$I,$I2))</f>
        <v/>
      </c>
      <c r="G426" s="135" t="n">
        <v>2</v>
      </c>
      <c r="H426" s="5">
        <f>IF($I2="","",INDEX(Productos!$AG:$AG,$I2))</f>
        <v/>
      </c>
      <c r="I426" s="136">
        <f>LET(_xlpm.r,Productos!$E$2:$E$370,_xlpm.m,IFERROR(_xlfn.XMATCH(C426,_xlpm.r),IFERROR(_xlfn.XMATCH(VALUE(C426),_xlpm.r),0)),IF(_xlpm.m=0,"",_xlpm.m+1))</f>
        <v/>
      </c>
      <c r="J426" s="137" t="inlineStr">
        <is>
          <t>NetSuite</t>
        </is>
      </c>
    </row>
    <row r="427">
      <c r="A427" s="5" t="inlineStr">
        <is>
          <t>CL Muestras</t>
        </is>
      </c>
      <c r="B427" s="5">
        <f>IF($I2="","",INDEX(Productos!$A:$A,$I2))</f>
        <v/>
      </c>
      <c r="C427" s="134" t="inlineStr">
        <is>
          <t>CL/OP2/1/CASX/LUF9-UNI</t>
        </is>
      </c>
      <c r="D427" s="5">
        <f>IF($I2="","",INDEX(Productos!$B:$B,$I2))</f>
        <v/>
      </c>
      <c r="E427" s="5">
        <f>IF($I2="","",INDEX(Productos!$H:$H,$I2))</f>
        <v/>
      </c>
      <c r="F427" s="5">
        <f>IF($I2="","",INDEX(Productos!$I:$I,$I2))</f>
        <v/>
      </c>
      <c r="G427" s="135" t="n">
        <v>1</v>
      </c>
      <c r="H427" s="5">
        <f>IF($I2="","",INDEX(Productos!$AG:$AG,$I2))</f>
        <v/>
      </c>
      <c r="I427" s="136">
        <f>LET(_xlpm.r,Productos!$E$2:$E$370,_xlpm.m,IFERROR(_xlfn.XMATCH(C427,_xlpm.r),IFERROR(_xlfn.XMATCH(VALUE(C427),_xlpm.r),0)),IF(_xlpm.m=0,"",_xlpm.m+1))</f>
        <v/>
      </c>
      <c r="J427" s="137" t="inlineStr">
        <is>
          <t>NetSuite</t>
        </is>
      </c>
    </row>
    <row r="428">
      <c r="A428" s="5" t="inlineStr">
        <is>
          <t>CL Muestras</t>
        </is>
      </c>
      <c r="B428" s="5">
        <f>IF($I2="","",INDEX(Productos!$A:$A,$I2))</f>
        <v/>
      </c>
      <c r="C428" s="134" t="inlineStr">
        <is>
          <t>CL/OP2/1/HAT/CHO2-L/XL</t>
        </is>
      </c>
      <c r="D428" s="5">
        <f>IF($I2="","",INDEX(Productos!$B:$B,$I2))</f>
        <v/>
      </c>
      <c r="E428" s="5">
        <f>IF($I2="","",INDEX(Productos!$H:$H,$I2))</f>
        <v/>
      </c>
      <c r="F428" s="5">
        <f>IF($I2="","",INDEX(Productos!$I:$I,$I2))</f>
        <v/>
      </c>
      <c r="G428" s="135" t="n">
        <v>1</v>
      </c>
      <c r="H428" s="5">
        <f>IF($I2="","",INDEX(Productos!$AG:$AG,$I2))</f>
        <v/>
      </c>
      <c r="I428" s="136">
        <f>LET(_xlpm.r,Productos!$E$2:$E$370,_xlpm.m,IFERROR(_xlfn.XMATCH(C428,_xlpm.r),IFERROR(_xlfn.XMATCH(VALUE(C428),_xlpm.r),0)),IF(_xlpm.m=0,"",_xlpm.m+1))</f>
        <v/>
      </c>
      <c r="J428" s="137" t="inlineStr">
        <is>
          <t>NetSuite</t>
        </is>
      </c>
    </row>
    <row r="429">
      <c r="A429" s="5" t="inlineStr">
        <is>
          <t>CL Muestras</t>
        </is>
      </c>
      <c r="B429" s="5">
        <f>IF($I2="","",INDEX(Productos!$A:$A,$I2))</f>
        <v/>
      </c>
      <c r="C429" s="134" t="inlineStr">
        <is>
          <t>CL/OP2/1/HAT/ONE3-L/XL</t>
        </is>
      </c>
      <c r="D429" s="5">
        <f>IF($I2="","",INDEX(Productos!$B:$B,$I2))</f>
        <v/>
      </c>
      <c r="E429" s="5">
        <f>IF($I2="","",INDEX(Productos!$H:$H,$I2))</f>
        <v/>
      </c>
      <c r="F429" s="5">
        <f>IF($I2="","",INDEX(Productos!$I:$I,$I2))</f>
        <v/>
      </c>
      <c r="G429" s="135" t="n">
        <v>1</v>
      </c>
      <c r="H429" s="5">
        <f>IF($I2="","",INDEX(Productos!$AG:$AG,$I2))</f>
        <v/>
      </c>
      <c r="I429" s="136">
        <f>LET(_xlpm.r,Productos!$E$2:$E$370,_xlpm.m,IFERROR(_xlfn.XMATCH(C429,_xlpm.r),IFERROR(_xlfn.XMATCH(VALUE(C429),_xlpm.r),0)),IF(_xlpm.m=0,"",_xlpm.m+1))</f>
        <v/>
      </c>
      <c r="J429" s="137" t="inlineStr">
        <is>
          <t>NetSuite</t>
        </is>
      </c>
    </row>
    <row r="430">
      <c r="A430" s="5" t="inlineStr">
        <is>
          <t>CL Muestras</t>
        </is>
      </c>
      <c r="B430" s="5">
        <f>IF($I2="","",INDEX(Productos!$A:$A,$I2))</f>
        <v/>
      </c>
      <c r="C430" s="134" t="inlineStr">
        <is>
          <t>CL/OP2/1/HAT/ONE4-L/XL</t>
        </is>
      </c>
      <c r="D430" s="5">
        <f>IF($I2="","",INDEX(Productos!$B:$B,$I2))</f>
        <v/>
      </c>
      <c r="E430" s="5">
        <f>IF($I2="","",INDEX(Productos!$H:$H,$I2))</f>
        <v/>
      </c>
      <c r="F430" s="5">
        <f>IF($I2="","",INDEX(Productos!$I:$I,$I2))</f>
        <v/>
      </c>
      <c r="G430" s="135" t="n">
        <v>1</v>
      </c>
      <c r="H430" s="5">
        <f>IF($I2="","",INDEX(Productos!$AG:$AG,$I2))</f>
        <v/>
      </c>
      <c r="I430" s="136">
        <f>LET(_xlpm.r,Productos!$E$2:$E$370,_xlpm.m,IFERROR(_xlfn.XMATCH(C430,_xlpm.r),IFERROR(_xlfn.XMATCH(VALUE(C430),_xlpm.r),0)),IF(_xlpm.m=0,"",_xlpm.m+1))</f>
        <v/>
      </c>
      <c r="J430" s="137" t="inlineStr">
        <is>
          <t>NetSuite</t>
        </is>
      </c>
    </row>
    <row r="431">
      <c r="A431" s="5" t="inlineStr">
        <is>
          <t>CL Muestras</t>
        </is>
      </c>
      <c r="B431" s="5">
        <f>IF($I2="","",INDEX(Productos!$A:$A,$I2))</f>
        <v/>
      </c>
      <c r="C431" s="134" t="inlineStr">
        <is>
          <t>CL/OP3/1/CD/SKU-UNI</t>
        </is>
      </c>
      <c r="D431" s="5">
        <f>IF($I2="","",INDEX(Productos!$B:$B,$I2))</f>
        <v/>
      </c>
      <c r="E431" s="5">
        <f>IF($I2="","",INDEX(Productos!$H:$H,$I2))</f>
        <v/>
      </c>
      <c r="F431" s="5">
        <f>IF($I2="","",INDEX(Productos!$I:$I,$I2))</f>
        <v/>
      </c>
      <c r="G431" s="135" t="n">
        <v>1</v>
      </c>
      <c r="H431" s="5">
        <f>IF($I2="","",INDEX(Productos!$AG:$AG,$I2))</f>
        <v/>
      </c>
      <c r="I431" s="136">
        <f>LET(_xlpm.r,Productos!$E$2:$E$370,_xlpm.m,IFERROR(_xlfn.XMATCH(C431,_xlpm.r),IFERROR(_xlfn.XMATCH(VALUE(C431),_xlpm.r),0)),IF(_xlpm.m=0,"",_xlpm.m+1))</f>
        <v/>
      </c>
      <c r="J431" s="137" t="inlineStr">
        <is>
          <t>NetSuite</t>
        </is>
      </c>
    </row>
    <row r="432">
      <c r="A432" s="5" t="inlineStr">
        <is>
          <t>CL Muestras</t>
        </is>
      </c>
      <c r="B432" s="5">
        <f>IF($I2="","",INDEX(Productos!$A:$A,$I2))</f>
        <v/>
      </c>
      <c r="C432" s="134" t="inlineStr">
        <is>
          <t>CL/OP3/1/CT/LUF1-UNI</t>
        </is>
      </c>
      <c r="D432" s="5">
        <f>IF($I2="","",INDEX(Productos!$B:$B,$I2))</f>
        <v/>
      </c>
      <c r="E432" s="5">
        <f>IF($I2="","",INDEX(Productos!$H:$H,$I2))</f>
        <v/>
      </c>
      <c r="F432" s="5">
        <f>IF($I2="","",INDEX(Productos!$I:$I,$I2))</f>
        <v/>
      </c>
      <c r="G432" s="135" t="n">
        <v>1</v>
      </c>
      <c r="H432" s="5">
        <f>IF($I2="","",INDEX(Productos!$AG:$AG,$I2))</f>
        <v/>
      </c>
      <c r="I432" s="136">
        <f>LET(_xlpm.r,Productos!$E$2:$E$370,_xlpm.m,IFERROR(_xlfn.XMATCH(C432,_xlpm.r),IFERROR(_xlfn.XMATCH(VALUE(C432),_xlpm.r),0)),IF(_xlpm.m=0,"",_xlpm.m+1))</f>
        <v/>
      </c>
      <c r="J432" s="137" t="inlineStr">
        <is>
          <t>NetSuite</t>
        </is>
      </c>
    </row>
    <row r="433">
      <c r="A433" s="5" t="inlineStr">
        <is>
          <t>CL Muestras</t>
        </is>
      </c>
      <c r="B433" s="5">
        <f>IF($I2="","",INDEX(Productos!$A:$A,$I2))</f>
        <v/>
      </c>
      <c r="C433" s="134" t="inlineStr">
        <is>
          <t>CL/OP3/1/CT/MON1-UNI</t>
        </is>
      </c>
      <c r="D433" s="5">
        <f>IF($I2="","",INDEX(Productos!$B:$B,$I2))</f>
        <v/>
      </c>
      <c r="E433" s="5">
        <f>IF($I2="","",INDEX(Productos!$H:$H,$I2))</f>
        <v/>
      </c>
      <c r="F433" s="5">
        <f>IF($I2="","",INDEX(Productos!$I:$I,$I2))</f>
        <v/>
      </c>
      <c r="G433" s="135" t="n">
        <v>1</v>
      </c>
      <c r="H433" s="5">
        <f>IF($I2="","",INDEX(Productos!$AG:$AG,$I2))</f>
        <v/>
      </c>
      <c r="I433" s="136">
        <f>LET(_xlpm.r,Productos!$E$2:$E$370,_xlpm.m,IFERROR(_xlfn.XMATCH(C433,_xlpm.r),IFERROR(_xlfn.XMATCH(VALUE(C433),_xlpm.r),0)),IF(_xlpm.m=0,"",_xlpm.m+1))</f>
        <v/>
      </c>
      <c r="J433" s="137" t="inlineStr">
        <is>
          <t>NetSuite</t>
        </is>
      </c>
    </row>
    <row r="434">
      <c r="A434" s="5" t="inlineStr">
        <is>
          <t>CL Muestras</t>
        </is>
      </c>
      <c r="B434" s="5">
        <f>IF($I2="","",INDEX(Productos!$A:$A,$I2))</f>
        <v/>
      </c>
      <c r="C434" s="134" t="inlineStr">
        <is>
          <t>CL/OP3/1/CT/STRA-UNI</t>
        </is>
      </c>
      <c r="D434" s="5">
        <f>IF($I2="","",INDEX(Productos!$B:$B,$I2))</f>
        <v/>
      </c>
      <c r="E434" s="5">
        <f>IF($I2="","",INDEX(Productos!$H:$H,$I2))</f>
        <v/>
      </c>
      <c r="F434" s="5">
        <f>IF($I2="","",INDEX(Productos!$I:$I,$I2))</f>
        <v/>
      </c>
      <c r="G434" s="135" t="n">
        <v>1</v>
      </c>
      <c r="H434" s="5">
        <f>IF($I2="","",INDEX(Productos!$AG:$AG,$I2))</f>
        <v/>
      </c>
      <c r="I434" s="136">
        <f>LET(_xlpm.r,Productos!$E$2:$E$370,_xlpm.m,IFERROR(_xlfn.XMATCH(C434,_xlpm.r),IFERROR(_xlfn.XMATCH(VALUE(C434),_xlpm.r),0)),IF(_xlpm.m=0,"",_xlpm.m+1))</f>
        <v/>
      </c>
      <c r="J434" s="137" t="inlineStr">
        <is>
          <t>NetSuite</t>
        </is>
      </c>
    </row>
    <row r="435">
      <c r="A435" s="5" t="inlineStr">
        <is>
          <t>CL Muestras</t>
        </is>
      </c>
      <c r="B435" s="5">
        <f>IF($I2="","",INDEX(Productos!$A:$A,$I2))</f>
        <v/>
      </c>
      <c r="C435" s="134" t="inlineStr">
        <is>
          <t>CL/OP3/1/CT/ZOR1-UNI</t>
        </is>
      </c>
      <c r="D435" s="5">
        <f>IF($I2="","",INDEX(Productos!$B:$B,$I2))</f>
        <v/>
      </c>
      <c r="E435" s="5">
        <f>IF($I2="","",INDEX(Productos!$H:$H,$I2))</f>
        <v/>
      </c>
      <c r="F435" s="5">
        <f>IF($I2="","",INDEX(Productos!$I:$I,$I2))</f>
        <v/>
      </c>
      <c r="G435" s="135" t="n">
        <v>1</v>
      </c>
      <c r="H435" s="5">
        <f>IF($I2="","",INDEX(Productos!$AG:$AG,$I2))</f>
        <v/>
      </c>
      <c r="I435" s="136">
        <f>LET(_xlpm.r,Productos!$E$2:$E$370,_xlpm.m,IFERROR(_xlfn.XMATCH(C435,_xlpm.r),IFERROR(_xlfn.XMATCH(VALUE(C435),_xlpm.r),0)),IF(_xlpm.m=0,"",_xlpm.m+1))</f>
        <v/>
      </c>
      <c r="J435" s="137" t="inlineStr">
        <is>
          <t>NetSuite</t>
        </is>
      </c>
    </row>
    <row r="436">
      <c r="A436" s="5" t="inlineStr">
        <is>
          <t>CL Muestras</t>
        </is>
      </c>
      <c r="B436" s="5">
        <f>IF($I2="","",INDEX(Productos!$A:$A,$I2))</f>
        <v/>
      </c>
      <c r="C436" s="134" t="inlineStr">
        <is>
          <t>CL/REM/1/LOO1-UNI</t>
        </is>
      </c>
      <c r="D436" s="5">
        <f>IF($I2="","",INDEX(Productos!$B:$B,$I2))</f>
        <v/>
      </c>
      <c r="E436" s="5">
        <f>IF($I2="","",INDEX(Productos!$H:$H,$I2))</f>
        <v/>
      </c>
      <c r="F436" s="5">
        <f>IF($I2="","",INDEX(Productos!$I:$I,$I2))</f>
        <v/>
      </c>
      <c r="G436" s="135" t="n">
        <v>2</v>
      </c>
      <c r="H436" s="5">
        <f>IF($I2="","",INDEX(Productos!$AG:$AG,$I2))</f>
        <v/>
      </c>
      <c r="I436" s="136">
        <f>LET(_xlpm.r,Productos!$E$2:$E$370,_xlpm.m,IFERROR(_xlfn.XMATCH(C436,_xlpm.r),IFERROR(_xlfn.XMATCH(VALUE(C436),_xlpm.r),0)),IF(_xlpm.m=0,"",_xlpm.m+1))</f>
        <v/>
      </c>
      <c r="J436" s="137" t="inlineStr">
        <is>
          <t>NetSuite</t>
        </is>
      </c>
    </row>
    <row r="437">
      <c r="A437" s="5" t="inlineStr">
        <is>
          <t>CL Muestras</t>
        </is>
      </c>
      <c r="B437" s="5">
        <f>IF($I2="","",INDEX(Productos!$A:$A,$I2))</f>
        <v/>
      </c>
      <c r="C437" s="134" t="inlineStr">
        <is>
          <t>CL/REM/1/LOO3-UNI</t>
        </is>
      </c>
      <c r="D437" s="5">
        <f>IF($I2="","",INDEX(Productos!$B:$B,$I2))</f>
        <v/>
      </c>
      <c r="E437" s="5">
        <f>IF($I2="","",INDEX(Productos!$H:$H,$I2))</f>
        <v/>
      </c>
      <c r="F437" s="5">
        <f>IF($I2="","",INDEX(Productos!$I:$I,$I2))</f>
        <v/>
      </c>
      <c r="G437" s="135" t="n">
        <v>1</v>
      </c>
      <c r="H437" s="5">
        <f>IF($I2="","",INDEX(Productos!$AG:$AG,$I2))</f>
        <v/>
      </c>
      <c r="I437" s="136">
        <f>LET(_xlpm.r,Productos!$E$2:$E$370,_xlpm.m,IFERROR(_xlfn.XMATCH(C437,_xlpm.r),IFERROR(_xlfn.XMATCH(VALUE(C437),_xlpm.r),0)),IF(_xlpm.m=0,"",_xlpm.m+1))</f>
        <v/>
      </c>
      <c r="J437" s="137" t="inlineStr">
        <is>
          <t>NetSuite</t>
        </is>
      </c>
    </row>
    <row r="438">
      <c r="A438" s="5" t="inlineStr">
        <is>
          <t>CL Muestras</t>
        </is>
      </c>
      <c r="B438" s="5">
        <f>IF($I2="","",INDEX(Productos!$A:$A,$I2))</f>
        <v/>
      </c>
      <c r="C438" s="134" t="inlineStr">
        <is>
          <t>CL/REM4/1/CT/GLA-UNI</t>
        </is>
      </c>
      <c r="D438" s="5">
        <f>IF($I2="","",INDEX(Productos!$B:$B,$I2))</f>
        <v/>
      </c>
      <c r="E438" s="5">
        <f>IF($I2="","",INDEX(Productos!$H:$H,$I2))</f>
        <v/>
      </c>
      <c r="F438" s="5">
        <f>IF($I2="","",INDEX(Productos!$I:$I,$I2))</f>
        <v/>
      </c>
      <c r="G438" s="135" t="n">
        <v>1</v>
      </c>
      <c r="H438" s="5">
        <f>IF($I2="","",INDEX(Productos!$AG:$AG,$I2))</f>
        <v/>
      </c>
      <c r="I438" s="136">
        <f>LET(_xlpm.r,Productos!$E$2:$E$370,_xlpm.m,IFERROR(_xlfn.XMATCH(C438,_xlpm.r),IFERROR(_xlfn.XMATCH(VALUE(C438),_xlpm.r),0)),IF(_xlpm.m=0,"",_xlpm.m+1))</f>
        <v/>
      </c>
      <c r="J438" s="137" t="inlineStr">
        <is>
          <t>NetSuite</t>
        </is>
      </c>
    </row>
    <row r="439">
      <c r="A439" s="5" t="inlineStr">
        <is>
          <t>CL Muestras</t>
        </is>
      </c>
      <c r="B439" s="5">
        <f>IF($I2="","",INDEX(Productos!$A:$A,$I2))</f>
        <v/>
      </c>
      <c r="C439" s="134" t="inlineStr">
        <is>
          <t>CL/REM4/1/CT/OPE-UNI</t>
        </is>
      </c>
      <c r="D439" s="5">
        <f>IF($I2="","",INDEX(Productos!$B:$B,$I2))</f>
        <v/>
      </c>
      <c r="E439" s="5">
        <f>IF($I2="","",INDEX(Productos!$H:$H,$I2))</f>
        <v/>
      </c>
      <c r="F439" s="5">
        <f>IF($I2="","",INDEX(Productos!$I:$I,$I2))</f>
        <v/>
      </c>
      <c r="G439" s="135" t="n">
        <v>1</v>
      </c>
      <c r="H439" s="5">
        <f>IF($I2="","",INDEX(Productos!$AG:$AG,$I2))</f>
        <v/>
      </c>
      <c r="I439" s="136">
        <f>LET(_xlpm.r,Productos!$E$2:$E$370,_xlpm.m,IFERROR(_xlfn.XMATCH(C439,_xlpm.r),IFERROR(_xlfn.XMATCH(VALUE(C439),_xlpm.r),0)),IF(_xlpm.m=0,"",_xlpm.m+1))</f>
        <v/>
      </c>
      <c r="J439" s="137" t="inlineStr">
        <is>
          <t>NetSuite</t>
        </is>
      </c>
    </row>
    <row r="440">
      <c r="A440" s="5" t="inlineStr">
        <is>
          <t>CL Muestras</t>
        </is>
      </c>
      <c r="B440" s="5">
        <f>IF($I2="","",INDEX(Productos!$A:$A,$I2))</f>
        <v/>
      </c>
      <c r="C440" s="134" t="inlineStr">
        <is>
          <t>CL/SD1/1/STU-UNI</t>
        </is>
      </c>
      <c r="D440" s="5">
        <f>IF($I2="","",INDEX(Productos!$B:$B,$I2))</f>
        <v/>
      </c>
      <c r="E440" s="5">
        <f>IF($I2="","",INDEX(Productos!$H:$H,$I2))</f>
        <v/>
      </c>
      <c r="F440" s="5">
        <f>IF($I2="","",INDEX(Productos!$I:$I,$I2))</f>
        <v/>
      </c>
      <c r="G440" s="135" t="n">
        <v>1</v>
      </c>
      <c r="H440" s="5">
        <f>IF($I2="","",INDEX(Productos!$AG:$AG,$I2))</f>
        <v/>
      </c>
      <c r="I440" s="136">
        <f>LET(_xlpm.r,Productos!$E$2:$E$370,_xlpm.m,IFERROR(_xlfn.XMATCH(C440,_xlpm.r),IFERROR(_xlfn.XMATCH(VALUE(C440),_xlpm.r),0)),IF(_xlpm.m=0,"",_xlpm.m+1))</f>
        <v/>
      </c>
      <c r="J440" s="137" t="inlineStr">
        <is>
          <t>NetSuite</t>
        </is>
      </c>
    </row>
    <row r="441">
      <c r="A441" s="5" t="inlineStr">
        <is>
          <t>CL Muestras</t>
        </is>
      </c>
      <c r="B441" s="5">
        <f>IF($I2="","",INDEX(Productos!$A:$A,$I2))</f>
        <v/>
      </c>
      <c r="C441" s="134" t="inlineStr">
        <is>
          <t>CL/TAJ1/1/CAS/TO8-UNI</t>
        </is>
      </c>
      <c r="D441" s="5">
        <f>IF($I2="","",INDEX(Productos!$B:$B,$I2))</f>
        <v/>
      </c>
      <c r="E441" s="5">
        <f>IF($I2="","",INDEX(Productos!$H:$H,$I2))</f>
        <v/>
      </c>
      <c r="F441" s="5">
        <f>IF($I2="","",INDEX(Productos!$I:$I,$I2))</f>
        <v/>
      </c>
      <c r="G441" s="135" t="n">
        <v>1</v>
      </c>
      <c r="H441" s="5">
        <f>IF($I2="","",INDEX(Productos!$AG:$AG,$I2))</f>
        <v/>
      </c>
      <c r="I441" s="136">
        <f>LET(_xlpm.r,Productos!$E$2:$E$370,_xlpm.m,IFERROR(_xlfn.XMATCH(C441,_xlpm.r),IFERROR(_xlfn.XMATCH(VALUE(C441),_xlpm.r),0)),IF(_xlpm.m=0,"",_xlpm.m+1))</f>
        <v/>
      </c>
      <c r="J441" s="137" t="inlineStr">
        <is>
          <t>NetSuite</t>
        </is>
      </c>
    </row>
    <row r="442">
      <c r="A442" s="5" t="inlineStr">
        <is>
          <t>CL Muestras</t>
        </is>
      </c>
      <c r="B442" s="5">
        <f>IF($I2="","",INDEX(Productos!$A:$A,$I2))</f>
        <v/>
      </c>
      <c r="C442" s="134" t="inlineStr">
        <is>
          <t>CL/TAJ1/1/CASB/TJ4-UNI</t>
        </is>
      </c>
      <c r="D442" s="5">
        <f>IF($I2="","",INDEX(Productos!$B:$B,$I2))</f>
        <v/>
      </c>
      <c r="E442" s="5">
        <f>IF($I2="","",INDEX(Productos!$H:$H,$I2))</f>
        <v/>
      </c>
      <c r="F442" s="5">
        <f>IF($I2="","",INDEX(Productos!$I:$I,$I2))</f>
        <v/>
      </c>
      <c r="G442" s="135" t="n">
        <v>3</v>
      </c>
      <c r="H442" s="5">
        <f>IF($I2="","",INDEX(Productos!$AG:$AG,$I2))</f>
        <v/>
      </c>
      <c r="I442" s="136">
        <f>LET(_xlpm.r,Productos!$E$2:$E$370,_xlpm.m,IFERROR(_xlfn.XMATCH(C442,_xlpm.r),IFERROR(_xlfn.XMATCH(VALUE(C442),_xlpm.r),0)),IF(_xlpm.m=0,"",_xlpm.m+1))</f>
        <v/>
      </c>
      <c r="J442" s="137" t="inlineStr">
        <is>
          <t>NetSuite</t>
        </is>
      </c>
    </row>
    <row r="443">
      <c r="A443" s="5" t="inlineStr">
        <is>
          <t>CL Muestras</t>
        </is>
      </c>
      <c r="B443" s="5">
        <f>IF($I2="","",INDEX(Productos!$A:$A,$I2))</f>
        <v/>
      </c>
      <c r="C443" s="134" t="inlineStr">
        <is>
          <t>CL/TAJ1/1/JER1-UNI</t>
        </is>
      </c>
      <c r="D443" s="5">
        <f>IF($I2="","",INDEX(Productos!$B:$B,$I2))</f>
        <v/>
      </c>
      <c r="E443" s="5">
        <f>IF($I2="","",INDEX(Productos!$H:$H,$I2))</f>
        <v/>
      </c>
      <c r="F443" s="5">
        <f>IF($I2="","",INDEX(Productos!$I:$I,$I2))</f>
        <v/>
      </c>
      <c r="G443" s="135" t="n">
        <v>2</v>
      </c>
      <c r="H443" s="5">
        <f>IF($I2="","",INDEX(Productos!$AG:$AG,$I2))</f>
        <v/>
      </c>
      <c r="I443" s="136">
        <f>LET(_xlpm.r,Productos!$E$2:$E$370,_xlpm.m,IFERROR(_xlfn.XMATCH(C443,_xlpm.r),IFERROR(_xlfn.XMATCH(VALUE(C443),_xlpm.r),0)),IF(_xlpm.m=0,"",_xlpm.m+1))</f>
        <v/>
      </c>
      <c r="J443" s="137" t="inlineStr">
        <is>
          <t>NetSuite</t>
        </is>
      </c>
    </row>
    <row r="444">
      <c r="A444" s="5" t="inlineStr">
        <is>
          <t>CL Muestras</t>
        </is>
      </c>
      <c r="B444" s="5">
        <f>IF($I2="","",INDEX(Productos!$A:$A,$I2))</f>
        <v/>
      </c>
      <c r="C444" s="134" t="inlineStr">
        <is>
          <t>CL/TAJ1/1/JER2-UNI</t>
        </is>
      </c>
      <c r="D444" s="5">
        <f>IF($I2="","",INDEX(Productos!$B:$B,$I2))</f>
        <v/>
      </c>
      <c r="E444" s="5">
        <f>IF($I2="","",INDEX(Productos!$H:$H,$I2))</f>
        <v/>
      </c>
      <c r="F444" s="5">
        <f>IF($I2="","",INDEX(Productos!$I:$I,$I2))</f>
        <v/>
      </c>
      <c r="G444" s="135" t="n">
        <v>2</v>
      </c>
      <c r="H444" s="5">
        <f>IF($I2="","",INDEX(Productos!$AG:$AG,$I2))</f>
        <v/>
      </c>
      <c r="I444" s="136">
        <f>LET(_xlpm.r,Productos!$E$2:$E$370,_xlpm.m,IFERROR(_xlfn.XMATCH(C444,_xlpm.r),IFERROR(_xlfn.XMATCH(VALUE(C444),_xlpm.r),0)),IF(_xlpm.m=0,"",_xlpm.m+1))</f>
        <v/>
      </c>
      <c r="J444" s="137" t="inlineStr">
        <is>
          <t>NetSuite</t>
        </is>
      </c>
    </row>
    <row r="445">
      <c r="A445" s="5" t="inlineStr">
        <is>
          <t>CL Muestras</t>
        </is>
      </c>
      <c r="B445" s="5">
        <f>IF($I2="","",INDEX(Productos!$A:$A,$I2))</f>
        <v/>
      </c>
      <c r="C445" s="134" t="inlineStr">
        <is>
          <t>CL/TAJ4/1/CD/MOU-UNI</t>
        </is>
      </c>
      <c r="D445" s="5">
        <f>IF($I2="","",INDEX(Productos!$B:$B,$I2))</f>
        <v/>
      </c>
      <c r="E445" s="5">
        <f>IF($I2="","",INDEX(Productos!$H:$H,$I2))</f>
        <v/>
      </c>
      <c r="F445" s="5">
        <f>IF($I2="","",INDEX(Productos!$I:$I,$I2))</f>
        <v/>
      </c>
      <c r="G445" s="135" t="n">
        <v>1</v>
      </c>
      <c r="H445" s="5">
        <f>IF($I2="","",INDEX(Productos!$AG:$AG,$I2))</f>
        <v/>
      </c>
      <c r="I445" s="136">
        <f>LET(_xlpm.r,Productos!$E$2:$E$370,_xlpm.m,IFERROR(_xlfn.XMATCH(C445,_xlpm.r),IFERROR(_xlfn.XMATCH(VALUE(C445),_xlpm.r),0)),IF(_xlpm.m=0,"",_xlpm.m+1))</f>
        <v/>
      </c>
      <c r="J445" s="137" t="inlineStr">
        <is>
          <t>NetSuite</t>
        </is>
      </c>
    </row>
    <row r="446">
      <c r="A446" s="5" t="inlineStr">
        <is>
          <t>CL Muestras</t>
        </is>
      </c>
      <c r="B446" s="5">
        <f>IF($I2="","",INDEX(Productos!$A:$A,$I2))</f>
        <v/>
      </c>
      <c r="C446" s="134" t="inlineStr">
        <is>
          <t>CL/TAJ4/1/CT/CHE-UNI</t>
        </is>
      </c>
      <c r="D446" s="5">
        <f>IF($I2="","",INDEX(Productos!$B:$B,$I2))</f>
        <v/>
      </c>
      <c r="E446" s="5">
        <f>IF($I2="","",INDEX(Productos!$H:$H,$I2))</f>
        <v/>
      </c>
      <c r="F446" s="5">
        <f>IF($I2="","",INDEX(Productos!$I:$I,$I2))</f>
        <v/>
      </c>
      <c r="G446" s="135" t="n">
        <v>1</v>
      </c>
      <c r="H446" s="5">
        <f>IF($I2="","",INDEX(Productos!$AG:$AG,$I2))</f>
        <v/>
      </c>
      <c r="I446" s="136">
        <f>LET(_xlpm.r,Productos!$E$2:$E$370,_xlpm.m,IFERROR(_xlfn.XMATCH(C446,_xlpm.r),IFERROR(_xlfn.XMATCH(VALUE(C446),_xlpm.r),0)),IF(_xlpm.m=0,"",_xlpm.m+1))</f>
        <v/>
      </c>
      <c r="J446" s="137" t="inlineStr">
        <is>
          <t>NetSuite</t>
        </is>
      </c>
    </row>
    <row r="447">
      <c r="A447" s="5" t="inlineStr">
        <is>
          <t>CL Muestras</t>
        </is>
      </c>
      <c r="B447" s="5">
        <f>IF($I2="","",INDEX(Productos!$A:$A,$I2))</f>
        <v/>
      </c>
      <c r="C447" s="134" t="inlineStr">
        <is>
          <t>CL/TAJ4/1/CT/GAT-UNI</t>
        </is>
      </c>
      <c r="D447" s="5">
        <f>IF($I2="","",INDEX(Productos!$B:$B,$I2))</f>
        <v/>
      </c>
      <c r="E447" s="5">
        <f>IF($I2="","",INDEX(Productos!$H:$H,$I2))</f>
        <v/>
      </c>
      <c r="F447" s="5">
        <f>IF($I2="","",INDEX(Productos!$I:$I,$I2))</f>
        <v/>
      </c>
      <c r="G447" s="135" t="n">
        <v>1</v>
      </c>
      <c r="H447" s="5">
        <f>IF($I2="","",INDEX(Productos!$AG:$AG,$I2))</f>
        <v/>
      </c>
      <c r="I447" s="136">
        <f>LET(_xlpm.r,Productos!$E$2:$E$370,_xlpm.m,IFERROR(_xlfn.XMATCH(C447,_xlpm.r),IFERROR(_xlfn.XMATCH(VALUE(C447),_xlpm.r),0)),IF(_xlpm.m=0,"",_xlpm.m+1))</f>
        <v/>
      </c>
      <c r="J447" s="137" t="inlineStr">
        <is>
          <t>NetSuite</t>
        </is>
      </c>
    </row>
    <row r="448">
      <c r="A448" s="5" t="inlineStr">
        <is>
          <t>CL Muestras</t>
        </is>
      </c>
      <c r="B448" s="5">
        <f>IF($I2="","",INDEX(Productos!$A:$A,$I2))</f>
        <v/>
      </c>
      <c r="C448" s="134" t="inlineStr">
        <is>
          <t>CL/TAJ4/1/CT/GRI-UNI</t>
        </is>
      </c>
      <c r="D448" s="5">
        <f>IF($I2="","",INDEX(Productos!$B:$B,$I2))</f>
        <v/>
      </c>
      <c r="E448" s="5">
        <f>IF($I2="","",INDEX(Productos!$H:$H,$I2))</f>
        <v/>
      </c>
      <c r="F448" s="5">
        <f>IF($I2="","",INDEX(Productos!$I:$I,$I2))</f>
        <v/>
      </c>
      <c r="G448" s="135" t="n">
        <v>1</v>
      </c>
      <c r="H448" s="5">
        <f>IF($I2="","",INDEX(Productos!$AG:$AG,$I2))</f>
        <v/>
      </c>
      <c r="I448" s="136">
        <f>LET(_xlpm.r,Productos!$E$2:$E$370,_xlpm.m,IFERROR(_xlfn.XMATCH(C448,_xlpm.r),IFERROR(_xlfn.XMATCH(VALUE(C448),_xlpm.r),0)),IF(_xlpm.m=0,"",_xlpm.m+1))</f>
        <v/>
      </c>
      <c r="J448" s="137" t="inlineStr">
        <is>
          <t>NetSuite</t>
        </is>
      </c>
    </row>
    <row r="449">
      <c r="A449" s="5" t="inlineStr">
        <is>
          <t>CL Muestras</t>
        </is>
      </c>
      <c r="B449" s="5">
        <f>IF($I2="","",INDEX(Productos!$A:$A,$I2))</f>
        <v/>
      </c>
      <c r="C449" s="134" t="inlineStr">
        <is>
          <t>CL/TAJ4/1/CT/JER-UNI</t>
        </is>
      </c>
      <c r="D449" s="5">
        <f>IF($I2="","",INDEX(Productos!$B:$B,$I2))</f>
        <v/>
      </c>
      <c r="E449" s="5">
        <f>IF($I2="","",INDEX(Productos!$H:$H,$I2))</f>
        <v/>
      </c>
      <c r="F449" s="5">
        <f>IF($I2="","",INDEX(Productos!$I:$I,$I2))</f>
        <v/>
      </c>
      <c r="G449" s="135" t="n">
        <v>1</v>
      </c>
      <c r="H449" s="5">
        <f>IF($I2="","",INDEX(Productos!$AG:$AG,$I2))</f>
        <v/>
      </c>
      <c r="I449" s="136">
        <f>LET(_xlpm.r,Productos!$E$2:$E$370,_xlpm.m,IFERROR(_xlfn.XMATCH(C449,_xlpm.r),IFERROR(_xlfn.XMATCH(VALUE(C449),_xlpm.r),0)),IF(_xlpm.m=0,"",_xlpm.m+1))</f>
        <v/>
      </c>
      <c r="J449" s="137" t="inlineStr">
        <is>
          <t>NetSuite</t>
        </is>
      </c>
    </row>
    <row r="450">
      <c r="A450" s="5" t="inlineStr">
        <is>
          <t>CL Muestras</t>
        </is>
      </c>
      <c r="B450" s="5">
        <f>IF($I2="","",INDEX(Productos!$A:$A,$I2))</f>
        <v/>
      </c>
      <c r="C450" s="134" t="inlineStr">
        <is>
          <t>CL/TAJ4/1/CT/RID-UNI</t>
        </is>
      </c>
      <c r="D450" s="5">
        <f>IF($I2="","",INDEX(Productos!$B:$B,$I2))</f>
        <v/>
      </c>
      <c r="E450" s="5">
        <f>IF($I2="","",INDEX(Productos!$H:$H,$I2))</f>
        <v/>
      </c>
      <c r="F450" s="5">
        <f>IF($I2="","",INDEX(Productos!$I:$I,$I2))</f>
        <v/>
      </c>
      <c r="G450" s="135" t="n">
        <v>1</v>
      </c>
      <c r="H450" s="5">
        <f>IF($I2="","",INDEX(Productos!$AG:$AG,$I2))</f>
        <v/>
      </c>
      <c r="I450" s="136">
        <f>LET(_xlpm.r,Productos!$E$2:$E$370,_xlpm.m,IFERROR(_xlfn.XMATCH(C450,_xlpm.r),IFERROR(_xlfn.XMATCH(VALUE(C450),_xlpm.r),0)),IF(_xlpm.m=0,"",_xlpm.m+1))</f>
        <v/>
      </c>
      <c r="J450" s="137" t="inlineStr">
        <is>
          <t>NetSuite</t>
        </is>
      </c>
    </row>
    <row r="451">
      <c r="A451" s="5" t="inlineStr">
        <is>
          <t>CL Muestras</t>
        </is>
      </c>
      <c r="B451" s="5">
        <f>IF($I2="","",INDEX(Productos!$A:$A,$I2))</f>
        <v/>
      </c>
      <c r="C451" s="134" t="inlineStr">
        <is>
          <t>CL/TAJ4/1/CT/SCA-UNI</t>
        </is>
      </c>
      <c r="D451" s="5">
        <f>IF($I2="","",INDEX(Productos!$B:$B,$I2))</f>
        <v/>
      </c>
      <c r="E451" s="5">
        <f>IF($I2="","",INDEX(Productos!$H:$H,$I2))</f>
        <v/>
      </c>
      <c r="F451" s="5">
        <f>IF($I2="","",INDEX(Productos!$I:$I,$I2))</f>
        <v/>
      </c>
      <c r="G451" s="135" t="n">
        <v>1</v>
      </c>
      <c r="H451" s="5">
        <f>IF($I2="","",INDEX(Productos!$AG:$AG,$I2))</f>
        <v/>
      </c>
      <c r="I451" s="136">
        <f>LET(_xlpm.r,Productos!$E$2:$E$370,_xlpm.m,IFERROR(_xlfn.XMATCH(C451,_xlpm.r),IFERROR(_xlfn.XMATCH(VALUE(C451),_xlpm.r),0)),IF(_xlpm.m=0,"",_xlpm.m+1))</f>
        <v/>
      </c>
      <c r="J451" s="137" t="inlineStr">
        <is>
          <t>NetSuite</t>
        </is>
      </c>
    </row>
    <row r="452">
      <c r="A452" s="5" t="inlineStr">
        <is>
          <t>CL Muestras</t>
        </is>
      </c>
      <c r="B452" s="5">
        <f>IF($I2="","",INDEX(Productos!$A:$A,$I2))</f>
        <v/>
      </c>
      <c r="C452" s="134" t="inlineStr">
        <is>
          <t>CL/TAJ4/1/CT/SMI-UNI</t>
        </is>
      </c>
      <c r="D452" s="5">
        <f>IF($I2="","",INDEX(Productos!$B:$B,$I2))</f>
        <v/>
      </c>
      <c r="E452" s="5">
        <f>IF($I2="","",INDEX(Productos!$H:$H,$I2))</f>
        <v/>
      </c>
      <c r="F452" s="5">
        <f>IF($I2="","",INDEX(Productos!$I:$I,$I2))</f>
        <v/>
      </c>
      <c r="G452" s="135" t="n">
        <v>1</v>
      </c>
      <c r="H452" s="5">
        <f>IF($I2="","",INDEX(Productos!$AG:$AG,$I2))</f>
        <v/>
      </c>
      <c r="I452" s="136">
        <f>LET(_xlpm.r,Productos!$E$2:$E$370,_xlpm.m,IFERROR(_xlfn.XMATCH(C452,_xlpm.r),IFERROR(_xlfn.XMATCH(VALUE(C452),_xlpm.r),0)),IF(_xlpm.m=0,"",_xlpm.m+1))</f>
        <v/>
      </c>
      <c r="J452" s="137" t="inlineStr">
        <is>
          <t>NetSuite</t>
        </is>
      </c>
    </row>
    <row r="453">
      <c r="A453" s="5" t="inlineStr">
        <is>
          <t>CL Muestras</t>
        </is>
      </c>
      <c r="B453" s="5">
        <f>IF($I2="","",INDEX(Productos!$A:$A,$I2))</f>
        <v/>
      </c>
      <c r="C453" s="134" t="inlineStr">
        <is>
          <t>CL/TAJ4/1/CT/TOM-UNI</t>
        </is>
      </c>
      <c r="D453" s="5">
        <f>IF($I2="","",INDEX(Productos!$B:$B,$I2))</f>
        <v/>
      </c>
      <c r="E453" s="5">
        <f>IF($I2="","",INDEX(Productos!$H:$H,$I2))</f>
        <v/>
      </c>
      <c r="F453" s="5">
        <f>IF($I2="","",INDEX(Productos!$I:$I,$I2))</f>
        <v/>
      </c>
      <c r="G453" s="135" t="n">
        <v>1</v>
      </c>
      <c r="H453" s="5">
        <f>IF($I2="","",INDEX(Productos!$AG:$AG,$I2))</f>
        <v/>
      </c>
      <c r="I453" s="136">
        <f>LET(_xlpm.r,Productos!$E$2:$E$370,_xlpm.m,IFERROR(_xlfn.XMATCH(C453,_xlpm.r),IFERROR(_xlfn.XMATCH(VALUE(C453),_xlpm.r),0)),IF(_xlpm.m=0,"",_xlpm.m+1))</f>
        <v/>
      </c>
      <c r="J453" s="137" t="inlineStr">
        <is>
          <t>NetSuite</t>
        </is>
      </c>
    </row>
    <row r="454">
      <c r="A454" s="5" t="inlineStr">
        <is>
          <t>CL Muestras</t>
        </is>
      </c>
      <c r="B454" s="5">
        <f>IF($I2="","",INDEX(Productos!$A:$A,$I2))</f>
        <v/>
      </c>
      <c r="C454" s="134" t="inlineStr">
        <is>
          <t>CL4/1/CF/LUC-UNI</t>
        </is>
      </c>
      <c r="D454" s="5">
        <f>IF($I2="","",INDEX(Productos!$B:$B,$I2))</f>
        <v/>
      </c>
      <c r="E454" s="5">
        <f>IF($I2="","",INDEX(Productos!$H:$H,$I2))</f>
        <v/>
      </c>
      <c r="F454" s="5">
        <f>IF($I2="","",INDEX(Productos!$I:$I,$I2))</f>
        <v/>
      </c>
      <c r="G454" s="135" t="n">
        <v>1</v>
      </c>
      <c r="H454" s="5">
        <f>IF($I2="","",INDEX(Productos!$AG:$AG,$I2))</f>
        <v/>
      </c>
      <c r="I454" s="136">
        <f>LET(_xlpm.r,Productos!$E$2:$E$370,_xlpm.m,IFERROR(_xlfn.XMATCH(C454,_xlpm.r),IFERROR(_xlfn.XMATCH(VALUE(C454),_xlpm.r),0)),IF(_xlpm.m=0,"",_xlpm.m+1))</f>
        <v/>
      </c>
      <c r="J454" s="137" t="inlineStr">
        <is>
          <t>NetSuite</t>
        </is>
      </c>
    </row>
    <row r="455">
      <c r="A455" s="5" t="inlineStr">
        <is>
          <t>CL Muestras</t>
        </is>
      </c>
      <c r="B455" s="5">
        <f>IF($I2="","",INDEX(Productos!$A:$A,$I2))</f>
        <v/>
      </c>
      <c r="C455" s="134" t="inlineStr">
        <is>
          <t>CL4/1/CT/BEE-UNI</t>
        </is>
      </c>
      <c r="D455" s="5">
        <f>IF($I2="","",INDEX(Productos!$B:$B,$I2))</f>
        <v/>
      </c>
      <c r="E455" s="5">
        <f>IF($I2="","",INDEX(Productos!$H:$H,$I2))</f>
        <v/>
      </c>
      <c r="F455" s="5">
        <f>IF($I2="","",INDEX(Productos!$I:$I,$I2))</f>
        <v/>
      </c>
      <c r="G455" s="135" t="n">
        <v>1</v>
      </c>
      <c r="H455" s="5">
        <f>IF($I2="","",INDEX(Productos!$AG:$AG,$I2))</f>
        <v/>
      </c>
      <c r="I455" s="136">
        <f>LET(_xlpm.r,Productos!$E$2:$E$370,_xlpm.m,IFERROR(_xlfn.XMATCH(C455,_xlpm.r),IFERROR(_xlfn.XMATCH(VALUE(C455),_xlpm.r),0)),IF(_xlpm.m=0,"",_xlpm.m+1))</f>
        <v/>
      </c>
      <c r="J455" s="137" t="inlineStr">
        <is>
          <t>NetSuite</t>
        </is>
      </c>
    </row>
    <row r="456">
      <c r="A456" s="5" t="inlineStr">
        <is>
          <t>CL Muestras</t>
        </is>
      </c>
      <c r="B456" s="5">
        <f>IF($I2="","",INDEX(Productos!$A:$A,$I2))</f>
        <v/>
      </c>
      <c r="C456" s="134" t="inlineStr">
        <is>
          <t>CL4/1/CT/CHE-UNI</t>
        </is>
      </c>
      <c r="D456" s="5">
        <f>IF($I2="","",INDEX(Productos!$B:$B,$I2))</f>
        <v/>
      </c>
      <c r="E456" s="5">
        <f>IF($I2="","",INDEX(Productos!$H:$H,$I2))</f>
        <v/>
      </c>
      <c r="F456" s="5">
        <f>IF($I2="","",INDEX(Productos!$I:$I,$I2))</f>
        <v/>
      </c>
      <c r="G456" s="135" t="n">
        <v>1</v>
      </c>
      <c r="H456" s="5">
        <f>IF($I2="","",INDEX(Productos!$AG:$AG,$I2))</f>
        <v/>
      </c>
      <c r="I456" s="136">
        <f>LET(_xlpm.r,Productos!$E$2:$E$370,_xlpm.m,IFERROR(_xlfn.XMATCH(C456,_xlpm.r),IFERROR(_xlfn.XMATCH(VALUE(C456),_xlpm.r),0)),IF(_xlpm.m=0,"",_xlpm.m+1))</f>
        <v/>
      </c>
      <c r="J456" s="137" t="inlineStr">
        <is>
          <t>NetSuite</t>
        </is>
      </c>
    </row>
    <row r="457">
      <c r="A457" s="5" t="inlineStr">
        <is>
          <t>CL POS</t>
        </is>
      </c>
      <c r="B457" s="5">
        <f>IF($I2="","",INDEX(Productos!$A:$A,$I2))</f>
        <v/>
      </c>
      <c r="C457" s="134" t="inlineStr">
        <is>
          <t>CAPASS01BLUE-W6-UNI</t>
        </is>
      </c>
      <c r="D457" s="5">
        <f>IF($I2="","",INDEX(Productos!$B:$B,$I2))</f>
        <v/>
      </c>
      <c r="E457" s="5">
        <f>IF($I2="","",INDEX(Productos!$H:$H,$I2))</f>
        <v/>
      </c>
      <c r="F457" s="5">
        <f>IF($I2="","",INDEX(Productos!$I:$I,$I2))</f>
        <v/>
      </c>
      <c r="G457" s="135" t="n">
        <v>5</v>
      </c>
      <c r="H457" s="5">
        <f>IF($I2="","",INDEX(Productos!$AG:$AG,$I2))</f>
        <v/>
      </c>
      <c r="I457" s="136">
        <f>LET(_xlpm.r,Productos!$E$2:$E$370,_xlpm.m,IFERROR(_xlfn.XMATCH(C457,_xlpm.r),IFERROR(_xlfn.XMATCH(VALUE(C457),_xlpm.r),0)),IF(_xlpm.m=0,"",_xlpm.m+1))</f>
        <v/>
      </c>
      <c r="J457" s="137" t="inlineStr">
        <is>
          <t>NetSuite</t>
        </is>
      </c>
    </row>
    <row r="458">
      <c r="A458" s="5" t="inlineStr">
        <is>
          <t>CL POS</t>
        </is>
      </c>
      <c r="B458" s="5">
        <f>IF($I2="","",INDEX(Productos!$A:$A,$I2))</f>
        <v/>
      </c>
      <c r="C458" s="134" t="inlineStr">
        <is>
          <t>CAPASS01CAM2-W6-UNI</t>
        </is>
      </c>
      <c r="D458" s="5">
        <f>IF($I2="","",INDEX(Productos!$B:$B,$I2))</f>
        <v/>
      </c>
      <c r="E458" s="5">
        <f>IF($I2="","",INDEX(Productos!$H:$H,$I2))</f>
        <v/>
      </c>
      <c r="F458" s="5">
        <f>IF($I2="","",INDEX(Productos!$I:$I,$I2))</f>
        <v/>
      </c>
      <c r="G458" s="135" t="n">
        <v>5</v>
      </c>
      <c r="H458" s="5">
        <f>IF($I2="","",INDEX(Productos!$AG:$AG,$I2))</f>
        <v/>
      </c>
      <c r="I458" s="136">
        <f>LET(_xlpm.r,Productos!$E$2:$E$370,_xlpm.m,IFERROR(_xlfn.XMATCH(C458,_xlpm.r),IFERROR(_xlfn.XMATCH(VALUE(C458),_xlpm.r),0)),IF(_xlpm.m=0,"",_xlpm.m+1))</f>
        <v/>
      </c>
      <c r="J458" s="137" t="inlineStr">
        <is>
          <t>NetSuite</t>
        </is>
      </c>
    </row>
    <row r="459">
      <c r="A459" s="5" t="inlineStr">
        <is>
          <t>CL POS</t>
        </is>
      </c>
      <c r="B459" s="5">
        <f>IF($I2="","",INDEX(Productos!$A:$A,$I2))</f>
        <v/>
      </c>
      <c r="C459" s="134" t="inlineStr">
        <is>
          <t>CAPASS01CAMO-W6-UNI</t>
        </is>
      </c>
      <c r="D459" s="5">
        <f>IF($I2="","",INDEX(Productos!$B:$B,$I2))</f>
        <v/>
      </c>
      <c r="E459" s="5">
        <f>IF($I2="","",INDEX(Productos!$H:$H,$I2))</f>
        <v/>
      </c>
      <c r="F459" s="5">
        <f>IF($I2="","",INDEX(Productos!$I:$I,$I2))</f>
        <v/>
      </c>
      <c r="G459" s="135" t="n">
        <v>4</v>
      </c>
      <c r="H459" s="5">
        <f>IF($I2="","",INDEX(Productos!$AG:$AG,$I2))</f>
        <v/>
      </c>
      <c r="I459" s="136">
        <f>LET(_xlpm.r,Productos!$E$2:$E$370,_xlpm.m,IFERROR(_xlfn.XMATCH(C459,_xlpm.r),IFERROR(_xlfn.XMATCH(VALUE(C459),_xlpm.r),0)),IF(_xlpm.m=0,"",_xlpm.m+1))</f>
        <v/>
      </c>
      <c r="J459" s="137" t="inlineStr">
        <is>
          <t>NetSuite</t>
        </is>
      </c>
    </row>
    <row r="460">
      <c r="A460" s="5" t="inlineStr">
        <is>
          <t>CL POS</t>
        </is>
      </c>
      <c r="B460" s="5">
        <f>IF($I2="","",INDEX(Productos!$A:$A,$I2))</f>
        <v/>
      </c>
      <c r="C460" s="134" t="inlineStr">
        <is>
          <t>CAPSTF01GUI2-W6-UNI</t>
        </is>
      </c>
      <c r="D460" s="5">
        <f>IF($I2="","",INDEX(Productos!$B:$B,$I2))</f>
        <v/>
      </c>
      <c r="E460" s="5">
        <f>IF($I2="","",INDEX(Productos!$H:$H,$I2))</f>
        <v/>
      </c>
      <c r="F460" s="5">
        <f>IF($I2="","",INDEX(Productos!$I:$I,$I2))</f>
        <v/>
      </c>
      <c r="G460" s="135" t="n">
        <v>4</v>
      </c>
      <c r="H460" s="5">
        <f>IF($I2="","",INDEX(Productos!$AG:$AG,$I2))</f>
        <v/>
      </c>
      <c r="I460" s="136">
        <f>LET(_xlpm.r,Productos!$E$2:$E$370,_xlpm.m,IFERROR(_xlfn.XMATCH(C460,_xlpm.r),IFERROR(_xlfn.XMATCH(VALUE(C460),_xlpm.r),0)),IF(_xlpm.m=0,"",_xlpm.m+1))</f>
        <v/>
      </c>
      <c r="J460" s="137" t="inlineStr">
        <is>
          <t>NetSuite</t>
        </is>
      </c>
    </row>
    <row r="461">
      <c r="A461" s="5" t="inlineStr">
        <is>
          <t>CL POS</t>
        </is>
      </c>
      <c r="B461" s="5">
        <f>IF($I2="","",INDEX(Productos!$A:$A,$I2))</f>
        <v/>
      </c>
      <c r="C461" s="134" t="inlineStr">
        <is>
          <t>CL/0/1/CAS2/MUS2-UNI</t>
        </is>
      </c>
      <c r="D461" s="5">
        <f>IF($I2="","",INDEX(Productos!$B:$B,$I2))</f>
        <v/>
      </c>
      <c r="E461" s="5">
        <f>IF($I2="","",INDEX(Productos!$H:$H,$I2))</f>
        <v/>
      </c>
      <c r="F461" s="5">
        <f>IF($I2="","",INDEX(Productos!$I:$I,$I2))</f>
        <v/>
      </c>
      <c r="G461" s="135" t="n">
        <v>5</v>
      </c>
      <c r="H461" s="5">
        <f>IF($I2="","",INDEX(Productos!$AG:$AG,$I2))</f>
        <v/>
      </c>
      <c r="I461" s="136">
        <f>LET(_xlpm.r,Productos!$E$2:$E$370,_xlpm.m,IFERROR(_xlfn.XMATCH(C461,_xlpm.r),IFERROR(_xlfn.XMATCH(VALUE(C461),_xlpm.r),0)),IF(_xlpm.m=0,"",_xlpm.m+1))</f>
        <v/>
      </c>
      <c r="J461" s="137" t="inlineStr">
        <is>
          <t>NetSuite</t>
        </is>
      </c>
    </row>
    <row r="462">
      <c r="A462" s="5" t="inlineStr">
        <is>
          <t>CL POS</t>
        </is>
      </c>
      <c r="B462" s="5">
        <f>IF($I2="","",INDEX(Productos!$A:$A,$I2))</f>
        <v/>
      </c>
      <c r="C462" s="134" t="inlineStr">
        <is>
          <t>CL/DB2/1/GOK-UNI</t>
        </is>
      </c>
      <c r="D462" s="5">
        <f>IF($I2="","",INDEX(Productos!$B:$B,$I2))</f>
        <v/>
      </c>
      <c r="E462" s="5">
        <f>IF($I2="","",INDEX(Productos!$H:$H,$I2))</f>
        <v/>
      </c>
      <c r="F462" s="5">
        <f>IF($I2="","",INDEX(Productos!$I:$I,$I2))</f>
        <v/>
      </c>
      <c r="G462" s="135" t="n">
        <v>4</v>
      </c>
      <c r="H462" s="5">
        <f>IF($I2="","",INDEX(Productos!$AG:$AG,$I2))</f>
        <v/>
      </c>
      <c r="I462" s="136">
        <f>LET(_xlpm.r,Productos!$E$2:$E$370,_xlpm.m,IFERROR(_xlfn.XMATCH(C462,_xlpm.r),IFERROR(_xlfn.XMATCH(VALUE(C462),_xlpm.r),0)),IF(_xlpm.m=0,"",_xlpm.m+1))</f>
        <v/>
      </c>
      <c r="J462" s="137" t="inlineStr">
        <is>
          <t>NetSuite</t>
        </is>
      </c>
    </row>
    <row r="463">
      <c r="A463" s="5" t="inlineStr">
        <is>
          <t>CL POS</t>
        </is>
      </c>
      <c r="B463" s="5">
        <f>IF($I2="","",INDEX(Productos!$A:$A,$I2))</f>
        <v/>
      </c>
      <c r="C463" s="134" t="inlineStr">
        <is>
          <t>CL/DB3/1/CAS/GOK2-UNI</t>
        </is>
      </c>
      <c r="D463" s="5">
        <f>IF($I2="","",INDEX(Productos!$B:$B,$I2))</f>
        <v/>
      </c>
      <c r="E463" s="5">
        <f>IF($I2="","",INDEX(Productos!$H:$H,$I2))</f>
        <v/>
      </c>
      <c r="F463" s="5">
        <f>IF($I2="","",INDEX(Productos!$I:$I,$I2))</f>
        <v/>
      </c>
      <c r="G463" s="135" t="n">
        <v>4</v>
      </c>
      <c r="H463" s="5">
        <f>IF($I2="","",INDEX(Productos!$AG:$AG,$I2))</f>
        <v/>
      </c>
      <c r="I463" s="136">
        <f>LET(_xlpm.r,Productos!$E$2:$E$370,_xlpm.m,IFERROR(_xlfn.XMATCH(C463,_xlpm.r),IFERROR(_xlfn.XMATCH(VALUE(C463),_xlpm.r),0)),IF(_xlpm.m=0,"",_xlpm.m+1))</f>
        <v/>
      </c>
      <c r="J463" s="137" t="inlineStr">
        <is>
          <t>NetSuite</t>
        </is>
      </c>
    </row>
    <row r="464">
      <c r="A464" s="5" t="inlineStr">
        <is>
          <t>CL POS</t>
        </is>
      </c>
      <c r="B464" s="5">
        <f>IF($I2="","",INDEX(Productos!$A:$A,$I2))</f>
        <v/>
      </c>
      <c r="C464" s="134" t="inlineStr">
        <is>
          <t>CL/DB3/1/CASF/SHE5-uNI</t>
        </is>
      </c>
      <c r="D464" s="5">
        <f>IF($I2="","",INDEX(Productos!$B:$B,$I2))</f>
        <v/>
      </c>
      <c r="E464" s="5">
        <f>IF($I2="","",INDEX(Productos!$H:$H,$I2))</f>
        <v/>
      </c>
      <c r="F464" s="5">
        <f>IF($I2="","",INDEX(Productos!$I:$I,$I2))</f>
        <v/>
      </c>
      <c r="G464" s="135" t="n">
        <v>4</v>
      </c>
      <c r="H464" s="5">
        <f>IF($I2="","",INDEX(Productos!$AG:$AG,$I2))</f>
        <v/>
      </c>
      <c r="I464" s="136">
        <f>LET(_xlpm.r,Productos!$E$2:$E$370,_xlpm.m,IFERROR(_xlfn.XMATCH(C464,_xlpm.r),IFERROR(_xlfn.XMATCH(VALUE(C464),_xlpm.r),0)),IF(_xlpm.m=0,"",_xlpm.m+1))</f>
        <v/>
      </c>
      <c r="J464" s="137" t="inlineStr">
        <is>
          <t>NetSuite</t>
        </is>
      </c>
    </row>
    <row r="465">
      <c r="A465" s="5" t="inlineStr">
        <is>
          <t>CL POS</t>
        </is>
      </c>
      <c r="B465" s="5">
        <f>IF($I2="","",INDEX(Productos!$A:$A,$I2))</f>
        <v/>
      </c>
      <c r="C465" s="134" t="inlineStr">
        <is>
          <t>CL/DB4/1/CT/GOK-UNI</t>
        </is>
      </c>
      <c r="D465" s="5">
        <f>IF($I2="","",INDEX(Productos!$B:$B,$I2))</f>
        <v/>
      </c>
      <c r="E465" s="5">
        <f>IF($I2="","",INDEX(Productos!$H:$H,$I2))</f>
        <v/>
      </c>
      <c r="F465" s="5">
        <f>IF($I2="","",INDEX(Productos!$I:$I,$I2))</f>
        <v/>
      </c>
      <c r="G465" s="135" t="n">
        <v>4</v>
      </c>
      <c r="H465" s="5">
        <f>IF($I2="","",INDEX(Productos!$AG:$AG,$I2))</f>
        <v/>
      </c>
      <c r="I465" s="136">
        <f>LET(_xlpm.r,Productos!$E$2:$E$370,_xlpm.m,IFERROR(_xlfn.XMATCH(C465,_xlpm.r),IFERROR(_xlfn.XMATCH(VALUE(C465),_xlpm.r),0)),IF(_xlpm.m=0,"",_xlpm.m+1))</f>
        <v/>
      </c>
      <c r="J465" s="137" t="inlineStr">
        <is>
          <t>NetSuite</t>
        </is>
      </c>
    </row>
    <row r="466">
      <c r="A466" s="5" t="inlineStr">
        <is>
          <t>CL POS</t>
        </is>
      </c>
      <c r="B466" s="5">
        <f>IF($I2="","",INDEX(Productos!$A:$A,$I2))</f>
        <v/>
      </c>
      <c r="C466" s="134" t="inlineStr">
        <is>
          <t>CL/DBS/1/ULT2-UNI</t>
        </is>
      </c>
      <c r="D466" s="5">
        <f>IF($I2="","",INDEX(Productos!$B:$B,$I2))</f>
        <v/>
      </c>
      <c r="E466" s="5">
        <f>IF($I2="","",INDEX(Productos!$H:$H,$I2))</f>
        <v/>
      </c>
      <c r="F466" s="5">
        <f>IF($I2="","",INDEX(Productos!$I:$I,$I2))</f>
        <v/>
      </c>
      <c r="G466" s="135" t="n">
        <v>4</v>
      </c>
      <c r="H466" s="5">
        <f>IF($I2="","",INDEX(Productos!$AG:$AG,$I2))</f>
        <v/>
      </c>
      <c r="I466" s="136">
        <f>LET(_xlpm.r,Productos!$E$2:$E$370,_xlpm.m,IFERROR(_xlfn.XMATCH(C466,_xlpm.r),IFERROR(_xlfn.XMATCH(VALUE(C466),_xlpm.r),0)),IF(_xlpm.m=0,"",_xlpm.m+1))</f>
        <v/>
      </c>
      <c r="J466" s="137" t="inlineStr">
        <is>
          <t>NetSuite</t>
        </is>
      </c>
    </row>
    <row r="467">
      <c r="A467" s="5" t="inlineStr">
        <is>
          <t>CL POS</t>
        </is>
      </c>
      <c r="B467" s="5">
        <f>IF($I2="","",INDEX(Productos!$A:$A,$I2))</f>
        <v/>
      </c>
      <c r="C467" s="134" t="inlineStr">
        <is>
          <t>CL/DBS/3/ULT4-UNIJR</t>
        </is>
      </c>
      <c r="D467" s="5">
        <f>IF($I2="","",INDEX(Productos!$B:$B,$I2))</f>
        <v/>
      </c>
      <c r="E467" s="5">
        <f>IF($I2="","",INDEX(Productos!$H:$H,$I2))</f>
        <v/>
      </c>
      <c r="F467" s="5">
        <f>IF($I2="","",INDEX(Productos!$I:$I,$I2))</f>
        <v/>
      </c>
      <c r="G467" s="135" t="n">
        <v>4</v>
      </c>
      <c r="H467" s="5">
        <f>IF($I2="","",INDEX(Productos!$AG:$AG,$I2))</f>
        <v/>
      </c>
      <c r="I467" s="136">
        <f>LET(_xlpm.r,Productos!$E$2:$E$370,_xlpm.m,IFERROR(_xlfn.XMATCH(C467,_xlpm.r),IFERROR(_xlfn.XMATCH(VALUE(C467),_xlpm.r),0)),IF(_xlpm.m=0,"",_xlpm.m+1))</f>
        <v/>
      </c>
      <c r="J467" s="137" t="inlineStr">
        <is>
          <t>NetSuite</t>
        </is>
      </c>
    </row>
    <row r="468">
      <c r="A468" s="5" t="inlineStr">
        <is>
          <t>CL POS</t>
        </is>
      </c>
      <c r="B468" s="5">
        <f>IF($I2="","",INDEX(Productos!$A:$A,$I2))</f>
        <v/>
      </c>
      <c r="C468" s="134" t="inlineStr">
        <is>
          <t>CL/DBS/TAG/1/FRE-UNIJR</t>
        </is>
      </c>
      <c r="D468" s="5">
        <f>IF($I2="","",INDEX(Productos!$B:$B,$I2))</f>
        <v/>
      </c>
      <c r="E468" s="5">
        <f>IF($I2="","",INDEX(Productos!$H:$H,$I2))</f>
        <v/>
      </c>
      <c r="F468" s="5">
        <f>IF($I2="","",INDEX(Productos!$I:$I,$I2))</f>
        <v/>
      </c>
      <c r="G468" s="135" t="n">
        <v>4</v>
      </c>
      <c r="H468" s="5">
        <f>IF($I2="","",INDEX(Productos!$AG:$AG,$I2))</f>
        <v/>
      </c>
      <c r="I468" s="136">
        <f>LET(_xlpm.r,Productos!$E$2:$E$370,_xlpm.m,IFERROR(_xlfn.XMATCH(C468,_xlpm.r),IFERROR(_xlfn.XMATCH(VALUE(C468),_xlpm.r),0)),IF(_xlpm.m=0,"",_xlpm.m+1))</f>
        <v/>
      </c>
      <c r="J468" s="137" t="inlineStr">
        <is>
          <t>NetSuite</t>
        </is>
      </c>
    </row>
    <row r="469">
      <c r="A469" s="5" t="inlineStr">
        <is>
          <t>CL POS</t>
        </is>
      </c>
      <c r="B469" s="5">
        <f>IF($I2="","",INDEX(Productos!$A:$A,$I2))</f>
        <v/>
      </c>
      <c r="C469" s="134" t="inlineStr">
        <is>
          <t>CL/DBS/TAG/1/GLD-UNI</t>
        </is>
      </c>
      <c r="D469" s="5">
        <f>IF($I2="","",INDEX(Productos!$B:$B,$I2))</f>
        <v/>
      </c>
      <c r="E469" s="5">
        <f>IF($I2="","",INDEX(Productos!$H:$H,$I2))</f>
        <v/>
      </c>
      <c r="F469" s="5">
        <f>IF($I2="","",INDEX(Productos!$I:$I,$I2))</f>
        <v/>
      </c>
      <c r="G469" s="135" t="n">
        <v>4</v>
      </c>
      <c r="H469" s="5">
        <f>IF($I2="","",INDEX(Productos!$AG:$AG,$I2))</f>
        <v/>
      </c>
      <c r="I469" s="136">
        <f>LET(_xlpm.r,Productos!$E$2:$E$370,_xlpm.m,IFERROR(_xlfn.XMATCH(C469,_xlpm.r),IFERROR(_xlfn.XMATCH(VALUE(C469),_xlpm.r),0)),IF(_xlpm.m=0,"",_xlpm.m+1))</f>
        <v/>
      </c>
      <c r="J469" s="137" t="inlineStr">
        <is>
          <t>NetSuite</t>
        </is>
      </c>
    </row>
    <row r="470">
      <c r="A470" s="5" t="inlineStr">
        <is>
          <t>CL POS</t>
        </is>
      </c>
      <c r="B470" s="5">
        <f>IF($I2="","",INDEX(Productos!$A:$A,$I2))</f>
        <v/>
      </c>
      <c r="C470" s="134" t="inlineStr">
        <is>
          <t>CL/DBS/TAG/1/GOK1-UNI</t>
        </is>
      </c>
      <c r="D470" s="5">
        <f>IF($I2="","",INDEX(Productos!$B:$B,$I2))</f>
        <v/>
      </c>
      <c r="E470" s="5">
        <f>IF($I2="","",INDEX(Productos!$H:$H,$I2))</f>
        <v/>
      </c>
      <c r="F470" s="5">
        <f>IF($I2="","",INDEX(Productos!$I:$I,$I2))</f>
        <v/>
      </c>
      <c r="G470" s="135" t="n">
        <v>4</v>
      </c>
      <c r="H470" s="5">
        <f>IF($I2="","",INDEX(Productos!$AG:$AG,$I2))</f>
        <v/>
      </c>
      <c r="I470" s="136">
        <f>LET(_xlpm.r,Productos!$E$2:$E$370,_xlpm.m,IFERROR(_xlfn.XMATCH(C470,_xlpm.r),IFERROR(_xlfn.XMATCH(VALUE(C470),_xlpm.r),0)),IF(_xlpm.m=0,"",_xlpm.m+1))</f>
        <v/>
      </c>
      <c r="J470" s="137" t="inlineStr">
        <is>
          <t>NetSuite</t>
        </is>
      </c>
    </row>
    <row r="471">
      <c r="A471" s="5" t="inlineStr">
        <is>
          <t>CL POS</t>
        </is>
      </c>
      <c r="B471" s="5">
        <f>IF($I2="","",INDEX(Productos!$A:$A,$I2))</f>
        <v/>
      </c>
      <c r="C471" s="134" t="inlineStr">
        <is>
          <t>CL/DBS3/1/CAS/VEG1-UNI</t>
        </is>
      </c>
      <c r="D471" s="5">
        <f>IF($I2="","",INDEX(Productos!$B:$B,$I2))</f>
        <v/>
      </c>
      <c r="E471" s="5">
        <f>IF($I2="","",INDEX(Productos!$H:$H,$I2))</f>
        <v/>
      </c>
      <c r="F471" s="5">
        <f>IF($I2="","",INDEX(Productos!$I:$I,$I2))</f>
        <v/>
      </c>
      <c r="G471" s="135" t="n">
        <v>4</v>
      </c>
      <c r="H471" s="5">
        <f>IF($I2="","",INDEX(Productos!$AG:$AG,$I2))</f>
        <v/>
      </c>
      <c r="I471" s="136">
        <f>LET(_xlpm.r,Productos!$E$2:$E$370,_xlpm.m,IFERROR(_xlfn.XMATCH(C471,_xlpm.r),IFERROR(_xlfn.XMATCH(VALUE(C471),_xlpm.r),0)),IF(_xlpm.m=0,"",_xlpm.m+1))</f>
        <v/>
      </c>
      <c r="J471" s="137" t="inlineStr">
        <is>
          <t>NetSuite</t>
        </is>
      </c>
    </row>
    <row r="472">
      <c r="A472" s="5" t="inlineStr">
        <is>
          <t>CL POS</t>
        </is>
      </c>
      <c r="B472" s="5">
        <f>IF($I2="","",INDEX(Productos!$A:$A,$I2))</f>
        <v/>
      </c>
      <c r="C472" s="134" t="inlineStr">
        <is>
          <t>CL/DBS3/1/CASF/SA1-UNI</t>
        </is>
      </c>
      <c r="D472" s="5">
        <f>IF($I2="","",INDEX(Productos!$B:$B,$I2))</f>
        <v/>
      </c>
      <c r="E472" s="5">
        <f>IF($I2="","",INDEX(Productos!$H:$H,$I2))</f>
        <v/>
      </c>
      <c r="F472" s="5">
        <f>IF($I2="","",INDEX(Productos!$I:$I,$I2))</f>
        <v/>
      </c>
      <c r="G472" s="135" t="n">
        <v>4</v>
      </c>
      <c r="H472" s="5">
        <f>IF($I2="","",INDEX(Productos!$AG:$AG,$I2))</f>
        <v/>
      </c>
      <c r="I472" s="136">
        <f>LET(_xlpm.r,Productos!$E$2:$E$370,_xlpm.m,IFERROR(_xlfn.XMATCH(C472,_xlpm.r),IFERROR(_xlfn.XMATCH(VALUE(C472),_xlpm.r),0)),IF(_xlpm.m=0,"",_xlpm.m+1))</f>
        <v/>
      </c>
      <c r="J472" s="137" t="inlineStr">
        <is>
          <t>NetSuite</t>
        </is>
      </c>
    </row>
    <row r="473">
      <c r="A473" s="5" t="inlineStr">
        <is>
          <t>CL POS</t>
        </is>
      </c>
      <c r="B473" s="5">
        <f>IF($I2="","",INDEX(Productos!$A:$A,$I2))</f>
        <v/>
      </c>
      <c r="C473" s="134" t="inlineStr">
        <is>
          <t>CL/DBS3/1/CASF/SA2-UNI</t>
        </is>
      </c>
      <c r="D473" s="5">
        <f>IF($I2="","",INDEX(Productos!$B:$B,$I2))</f>
        <v/>
      </c>
      <c r="E473" s="5">
        <f>IF($I2="","",INDEX(Productos!$H:$H,$I2))</f>
        <v/>
      </c>
      <c r="F473" s="5">
        <f>IF($I2="","",INDEX(Productos!$I:$I,$I2))</f>
        <v/>
      </c>
      <c r="G473" s="135" t="n">
        <v>4</v>
      </c>
      <c r="H473" s="5">
        <f>IF($I2="","",INDEX(Productos!$AG:$AG,$I2))</f>
        <v/>
      </c>
      <c r="I473" s="136">
        <f>LET(_xlpm.r,Productos!$E$2:$E$370,_xlpm.m,IFERROR(_xlfn.XMATCH(C473,_xlpm.r),IFERROR(_xlfn.XMATCH(VALUE(C473),_xlpm.r),0)),IF(_xlpm.m=0,"",_xlpm.m+1))</f>
        <v/>
      </c>
      <c r="J473" s="137" t="inlineStr">
        <is>
          <t>NetSuite</t>
        </is>
      </c>
    </row>
    <row r="474">
      <c r="A474" s="5" t="inlineStr">
        <is>
          <t>CL POS</t>
        </is>
      </c>
      <c r="B474" s="5">
        <f>IF($I2="","",INDEX(Productos!$A:$A,$I2))</f>
        <v/>
      </c>
      <c r="C474" s="134" t="inlineStr">
        <is>
          <t>CL/DBS4/1/CF/GOL-UNI</t>
        </is>
      </c>
      <c r="D474" s="5">
        <f>IF($I2="","",INDEX(Productos!$B:$B,$I2))</f>
        <v/>
      </c>
      <c r="E474" s="5">
        <f>IF($I2="","",INDEX(Productos!$H:$H,$I2))</f>
        <v/>
      </c>
      <c r="F474" s="5">
        <f>IF($I2="","",INDEX(Productos!$I:$I,$I2))</f>
        <v/>
      </c>
      <c r="G474" s="135" t="n">
        <v>4</v>
      </c>
      <c r="H474" s="5">
        <f>IF($I2="","",INDEX(Productos!$AG:$AG,$I2))</f>
        <v/>
      </c>
      <c r="I474" s="136">
        <f>LET(_xlpm.r,Productos!$E$2:$E$370,_xlpm.m,IFERROR(_xlfn.XMATCH(C474,_xlpm.r),IFERROR(_xlfn.XMATCH(VALUE(C474),_xlpm.r),0)),IF(_xlpm.m=0,"",_xlpm.m+1))</f>
        <v/>
      </c>
      <c r="J474" s="137" t="inlineStr">
        <is>
          <t>NetSuite</t>
        </is>
      </c>
    </row>
    <row r="475">
      <c r="A475" s="5" t="inlineStr">
        <is>
          <t>CL POS</t>
        </is>
      </c>
      <c r="B475" s="5">
        <f>IF($I2="","",INDEX(Productos!$A:$A,$I2))</f>
        <v/>
      </c>
      <c r="C475" s="134" t="inlineStr">
        <is>
          <t>CL/DBS4/1/CT/FUS-UNI</t>
        </is>
      </c>
      <c r="D475" s="5">
        <f>IF($I2="","",INDEX(Productos!$B:$B,$I2))</f>
        <v/>
      </c>
      <c r="E475" s="5">
        <f>IF($I2="","",INDEX(Productos!$H:$H,$I2))</f>
        <v/>
      </c>
      <c r="F475" s="5">
        <f>IF($I2="","",INDEX(Productos!$I:$I,$I2))</f>
        <v/>
      </c>
      <c r="G475" s="135" t="n">
        <v>4</v>
      </c>
      <c r="H475" s="5">
        <f>IF($I2="","",INDEX(Productos!$AG:$AG,$I2))</f>
        <v/>
      </c>
      <c r="I475" s="136">
        <f>LET(_xlpm.r,Productos!$E$2:$E$370,_xlpm.m,IFERROR(_xlfn.XMATCH(C475,_xlpm.r),IFERROR(_xlfn.XMATCH(VALUE(C475),_xlpm.r),0)),IF(_xlpm.m=0,"",_xlpm.m+1))</f>
        <v/>
      </c>
      <c r="J475" s="137" t="inlineStr">
        <is>
          <t>NetSuite</t>
        </is>
      </c>
    </row>
    <row r="476">
      <c r="A476" s="5" t="inlineStr">
        <is>
          <t>CL POS</t>
        </is>
      </c>
      <c r="B476" s="5">
        <f>IF($I2="","",INDEX(Productos!$A:$A,$I2))</f>
        <v/>
      </c>
      <c r="C476" s="134" t="inlineStr">
        <is>
          <t>CL/DBZ/1/BUU-UNI</t>
        </is>
      </c>
      <c r="D476" s="5">
        <f>IF($I2="","",INDEX(Productos!$B:$B,$I2))</f>
        <v/>
      </c>
      <c r="E476" s="5">
        <f>IF($I2="","",INDEX(Productos!$H:$H,$I2))</f>
        <v/>
      </c>
      <c r="F476" s="5">
        <f>IF($I2="","",INDEX(Productos!$I:$I,$I2))</f>
        <v/>
      </c>
      <c r="G476" s="135" t="n">
        <v>4</v>
      </c>
      <c r="H476" s="5">
        <f>IF($I2="","",INDEX(Productos!$AG:$AG,$I2))</f>
        <v/>
      </c>
      <c r="I476" s="136">
        <f>LET(_xlpm.r,Productos!$E$2:$E$370,_xlpm.m,IFERROR(_xlfn.XMATCH(C476,_xlpm.r),IFERROR(_xlfn.XMATCH(VALUE(C476),_xlpm.r),0)),IF(_xlpm.m=0,"",_xlpm.m+1))</f>
        <v/>
      </c>
      <c r="J476" s="137" t="inlineStr">
        <is>
          <t>NetSuite</t>
        </is>
      </c>
    </row>
    <row r="477">
      <c r="A477" s="5" t="inlineStr">
        <is>
          <t>CL POS</t>
        </is>
      </c>
      <c r="B477" s="5">
        <f>IF($I2="","",INDEX(Productos!$A:$A,$I2))</f>
        <v/>
      </c>
      <c r="C477" s="134" t="inlineStr">
        <is>
          <t>CL/DBZ/1/GO2-UNI</t>
        </is>
      </c>
      <c r="D477" s="5">
        <f>IF($I2="","",INDEX(Productos!$B:$B,$I2))</f>
        <v/>
      </c>
      <c r="E477" s="5">
        <f>IF($I2="","",INDEX(Productos!$H:$H,$I2))</f>
        <v/>
      </c>
      <c r="F477" s="5">
        <f>IF($I2="","",INDEX(Productos!$I:$I,$I2))</f>
        <v/>
      </c>
      <c r="G477" s="135" t="n">
        <v>4</v>
      </c>
      <c r="H477" s="5">
        <f>IF($I2="","",INDEX(Productos!$AG:$AG,$I2))</f>
        <v/>
      </c>
      <c r="I477" s="136">
        <f>LET(_xlpm.r,Productos!$E$2:$E$370,_xlpm.m,IFERROR(_xlfn.XMATCH(C477,_xlpm.r),IFERROR(_xlfn.XMATCH(VALUE(C477),_xlpm.r),0)),IF(_xlpm.m=0,"",_xlpm.m+1))</f>
        <v/>
      </c>
      <c r="J477" s="137" t="inlineStr">
        <is>
          <t>NetSuite</t>
        </is>
      </c>
    </row>
    <row r="478">
      <c r="A478" s="5" t="inlineStr">
        <is>
          <t>CL POS</t>
        </is>
      </c>
      <c r="B478" s="5">
        <f>IF($I2="","",INDEX(Productos!$A:$A,$I2))</f>
        <v/>
      </c>
      <c r="C478" s="134" t="inlineStr">
        <is>
          <t>CL/DBZ/1/GO3-UNI</t>
        </is>
      </c>
      <c r="D478" s="5">
        <f>IF($I2="","",INDEX(Productos!$B:$B,$I2))</f>
        <v/>
      </c>
      <c r="E478" s="5">
        <f>IF($I2="","",INDEX(Productos!$H:$H,$I2))</f>
        <v/>
      </c>
      <c r="F478" s="5">
        <f>IF($I2="","",INDEX(Productos!$I:$I,$I2))</f>
        <v/>
      </c>
      <c r="G478" s="135" t="n">
        <v>3</v>
      </c>
      <c r="H478" s="5">
        <f>IF($I2="","",INDEX(Productos!$AG:$AG,$I2))</f>
        <v/>
      </c>
      <c r="I478" s="136">
        <f>LET(_xlpm.r,Productos!$E$2:$E$370,_xlpm.m,IFERROR(_xlfn.XMATCH(C478,_xlpm.r),IFERROR(_xlfn.XMATCH(VALUE(C478),_xlpm.r),0)),IF(_xlpm.m=0,"",_xlpm.m+1))</f>
        <v/>
      </c>
      <c r="J478" s="137" t="inlineStr">
        <is>
          <t>NetSuite</t>
        </is>
      </c>
    </row>
    <row r="479">
      <c r="A479" s="5" t="inlineStr">
        <is>
          <t>CL POS</t>
        </is>
      </c>
      <c r="B479" s="5">
        <f>IF($I2="","",INDEX(Productos!$A:$A,$I2))</f>
        <v/>
      </c>
      <c r="C479" s="134" t="inlineStr">
        <is>
          <t>CL/DBZ/1/GO4-UNI</t>
        </is>
      </c>
      <c r="D479" s="5">
        <f>IF($I2="","",INDEX(Productos!$B:$B,$I2))</f>
        <v/>
      </c>
      <c r="E479" s="5">
        <f>IF($I2="","",INDEX(Productos!$H:$H,$I2))</f>
        <v/>
      </c>
      <c r="F479" s="5">
        <f>IF($I2="","",INDEX(Productos!$I:$I,$I2))</f>
        <v/>
      </c>
      <c r="G479" s="135" t="n">
        <v>4</v>
      </c>
      <c r="H479" s="5">
        <f>IF($I2="","",INDEX(Productos!$AG:$AG,$I2))</f>
        <v/>
      </c>
      <c r="I479" s="136">
        <f>LET(_xlpm.r,Productos!$E$2:$E$370,_xlpm.m,IFERROR(_xlfn.XMATCH(C479,_xlpm.r),IFERROR(_xlfn.XMATCH(VALUE(C479),_xlpm.r),0)),IF(_xlpm.m=0,"",_xlpm.m+1))</f>
        <v/>
      </c>
      <c r="J479" s="137" t="inlineStr">
        <is>
          <t>NetSuite</t>
        </is>
      </c>
    </row>
    <row r="480">
      <c r="A480" s="5" t="inlineStr">
        <is>
          <t>CL POS</t>
        </is>
      </c>
      <c r="B480" s="5">
        <f>IF($I2="","",INDEX(Productos!$A:$A,$I2))</f>
        <v/>
      </c>
      <c r="C480" s="134" t="inlineStr">
        <is>
          <t>CL/DBZ/1/GOK-UNI</t>
        </is>
      </c>
      <c r="D480" s="5">
        <f>IF($I2="","",INDEX(Productos!$B:$B,$I2))</f>
        <v/>
      </c>
      <c r="E480" s="5">
        <f>IF($I2="","",INDEX(Productos!$H:$H,$I2))</f>
        <v/>
      </c>
      <c r="F480" s="5">
        <f>IF($I2="","",INDEX(Productos!$I:$I,$I2))</f>
        <v/>
      </c>
      <c r="G480" s="135" t="n">
        <v>4</v>
      </c>
      <c r="H480" s="5">
        <f>IF($I2="","",INDEX(Productos!$AG:$AG,$I2))</f>
        <v/>
      </c>
      <c r="I480" s="136">
        <f>LET(_xlpm.r,Productos!$E$2:$E$370,_xlpm.m,IFERROR(_xlfn.XMATCH(C480,_xlpm.r),IFERROR(_xlfn.XMATCH(VALUE(C480),_xlpm.r),0)),IF(_xlpm.m=0,"",_xlpm.m+1))</f>
        <v/>
      </c>
      <c r="J480" s="137" t="inlineStr">
        <is>
          <t>NetSuite</t>
        </is>
      </c>
    </row>
    <row r="481">
      <c r="A481" s="5" t="inlineStr">
        <is>
          <t>CL POS</t>
        </is>
      </c>
      <c r="B481" s="5">
        <f>IF($I2="","",INDEX(Productos!$A:$A,$I2))</f>
        <v/>
      </c>
      <c r="C481" s="134" t="inlineStr">
        <is>
          <t>CL/DBZ/1/GOKD-UNI</t>
        </is>
      </c>
      <c r="D481" s="5">
        <f>IF($I2="","",INDEX(Productos!$B:$B,$I2))</f>
        <v/>
      </c>
      <c r="E481" s="5">
        <f>IF($I2="","",INDEX(Productos!$H:$H,$I2))</f>
        <v/>
      </c>
      <c r="F481" s="5">
        <f>IF($I2="","",INDEX(Productos!$I:$I,$I2))</f>
        <v/>
      </c>
      <c r="G481" s="135" t="n">
        <v>4</v>
      </c>
      <c r="H481" s="5">
        <f>IF($I2="","",INDEX(Productos!$AG:$AG,$I2))</f>
        <v/>
      </c>
      <c r="I481" s="136">
        <f>LET(_xlpm.r,Productos!$E$2:$E$370,_xlpm.m,IFERROR(_xlfn.XMATCH(C481,_xlpm.r),IFERROR(_xlfn.XMATCH(VALUE(C481),_xlpm.r),0)),IF(_xlpm.m=0,"",_xlpm.m+1))</f>
        <v/>
      </c>
      <c r="J481" s="137" t="inlineStr">
        <is>
          <t>NetSuite</t>
        </is>
      </c>
    </row>
    <row r="482">
      <c r="A482" s="5" t="inlineStr">
        <is>
          <t>CL POS</t>
        </is>
      </c>
      <c r="B482" s="5">
        <f>IF($I2="","",INDEX(Productos!$A:$A,$I2))</f>
        <v/>
      </c>
      <c r="C482" s="134" t="inlineStr">
        <is>
          <t>CL/DBZ/1/GOT3-UNI</t>
        </is>
      </c>
      <c r="D482" s="5">
        <f>IF($I2="","",INDEX(Productos!$B:$B,$I2))</f>
        <v/>
      </c>
      <c r="E482" s="5">
        <f>IF($I2="","",INDEX(Productos!$H:$H,$I2))</f>
        <v/>
      </c>
      <c r="F482" s="5">
        <f>IF($I2="","",INDEX(Productos!$I:$I,$I2))</f>
        <v/>
      </c>
      <c r="G482" s="135" t="n">
        <v>4</v>
      </c>
      <c r="H482" s="5">
        <f>IF($I2="","",INDEX(Productos!$AG:$AG,$I2))</f>
        <v/>
      </c>
      <c r="I482" s="136">
        <f>LET(_xlpm.r,Productos!$E$2:$E$370,_xlpm.m,IFERROR(_xlfn.XMATCH(C482,_xlpm.r),IFERROR(_xlfn.XMATCH(VALUE(C482),_xlpm.r),0)),IF(_xlpm.m=0,"",_xlpm.m+1))</f>
        <v/>
      </c>
      <c r="J482" s="137" t="inlineStr">
        <is>
          <t>NetSuite</t>
        </is>
      </c>
    </row>
    <row r="483">
      <c r="A483" s="5" t="inlineStr">
        <is>
          <t>CL POS</t>
        </is>
      </c>
      <c r="B483" s="5">
        <f>IF($I2="","",INDEX(Productos!$A:$A,$I2))</f>
        <v/>
      </c>
      <c r="C483" s="134" t="inlineStr">
        <is>
          <t>CL/DBZ/1/KAMC-UNI</t>
        </is>
      </c>
      <c r="D483" s="5">
        <f>IF($I2="","",INDEX(Productos!$B:$B,$I2))</f>
        <v/>
      </c>
      <c r="E483" s="5">
        <f>IF($I2="","",INDEX(Productos!$H:$H,$I2))</f>
        <v/>
      </c>
      <c r="F483" s="5">
        <f>IF($I2="","",INDEX(Productos!$I:$I,$I2))</f>
        <v/>
      </c>
      <c r="G483" s="135" t="n">
        <v>3</v>
      </c>
      <c r="H483" s="5">
        <f>IF($I2="","",INDEX(Productos!$AG:$AG,$I2))</f>
        <v/>
      </c>
      <c r="I483" s="136">
        <f>LET(_xlpm.r,Productos!$E$2:$E$370,_xlpm.m,IFERROR(_xlfn.XMATCH(C483,_xlpm.r),IFERROR(_xlfn.XMATCH(VALUE(C483),_xlpm.r),0)),IF(_xlpm.m=0,"",_xlpm.m+1))</f>
        <v/>
      </c>
      <c r="J483" s="137" t="inlineStr">
        <is>
          <t>NetSuite</t>
        </is>
      </c>
    </row>
    <row r="484">
      <c r="A484" s="5" t="inlineStr">
        <is>
          <t>CL POS</t>
        </is>
      </c>
      <c r="B484" s="5">
        <f>IF($I2="","",INDEX(Productos!$A:$A,$I2))</f>
        <v/>
      </c>
      <c r="C484" s="134" t="inlineStr">
        <is>
          <t>CL/DBZ/1/SAN3-UNI</t>
        </is>
      </c>
      <c r="D484" s="5">
        <f>IF($I2="","",INDEX(Productos!$B:$B,$I2))</f>
        <v/>
      </c>
      <c r="E484" s="5">
        <f>IF($I2="","",INDEX(Productos!$H:$H,$I2))</f>
        <v/>
      </c>
      <c r="F484" s="5">
        <f>IF($I2="","",INDEX(Productos!$I:$I,$I2))</f>
        <v/>
      </c>
      <c r="G484" s="135" t="n">
        <v>4</v>
      </c>
      <c r="H484" s="5">
        <f>IF($I2="","",INDEX(Productos!$AG:$AG,$I2))</f>
        <v/>
      </c>
      <c r="I484" s="136">
        <f>LET(_xlpm.r,Productos!$E$2:$E$370,_xlpm.m,IFERROR(_xlfn.XMATCH(C484,_xlpm.r),IFERROR(_xlfn.XMATCH(VALUE(C484),_xlpm.r),0)),IF(_xlpm.m=0,"",_xlpm.m+1))</f>
        <v/>
      </c>
      <c r="J484" s="137" t="inlineStr">
        <is>
          <t>NetSuite</t>
        </is>
      </c>
    </row>
    <row r="485">
      <c r="A485" s="5" t="inlineStr">
        <is>
          <t>CL POS</t>
        </is>
      </c>
      <c r="B485" s="5">
        <f>IF($I2="","",INDEX(Productos!$A:$A,$I2))</f>
        <v/>
      </c>
      <c r="C485" s="134" t="inlineStr">
        <is>
          <t>CL/DBZ/1/VE3-uNI</t>
        </is>
      </c>
      <c r="D485" s="5">
        <f>IF($I2="","",INDEX(Productos!$B:$B,$I2))</f>
        <v/>
      </c>
      <c r="E485" s="5">
        <f>IF($I2="","",INDEX(Productos!$H:$H,$I2))</f>
        <v/>
      </c>
      <c r="F485" s="5">
        <f>IF($I2="","",INDEX(Productos!$I:$I,$I2))</f>
        <v/>
      </c>
      <c r="G485" s="135" t="n">
        <v>4</v>
      </c>
      <c r="H485" s="5">
        <f>IF($I2="","",INDEX(Productos!$AG:$AG,$I2))</f>
        <v/>
      </c>
      <c r="I485" s="136">
        <f>LET(_xlpm.r,Productos!$E$2:$E$370,_xlpm.m,IFERROR(_xlfn.XMATCH(C485,_xlpm.r),IFERROR(_xlfn.XMATCH(VALUE(C485),_xlpm.r),0)),IF(_xlpm.m=0,"",_xlpm.m+1))</f>
        <v/>
      </c>
      <c r="J485" s="137" t="inlineStr">
        <is>
          <t>NetSuite</t>
        </is>
      </c>
    </row>
    <row r="486">
      <c r="A486" s="5" t="inlineStr">
        <is>
          <t>CL POS</t>
        </is>
      </c>
      <c r="B486" s="5">
        <f>IF($I2="","",INDEX(Productos!$A:$A,$I2))</f>
        <v/>
      </c>
      <c r="C486" s="134" t="inlineStr">
        <is>
          <t>CL/DBZ/1/VEG-UNI</t>
        </is>
      </c>
      <c r="D486" s="5">
        <f>IF($I2="","",INDEX(Productos!$B:$B,$I2))</f>
        <v/>
      </c>
      <c r="E486" s="5">
        <f>IF($I2="","",INDEX(Productos!$H:$H,$I2))</f>
        <v/>
      </c>
      <c r="F486" s="5">
        <f>IF($I2="","",INDEX(Productos!$I:$I,$I2))</f>
        <v/>
      </c>
      <c r="G486" s="135" t="n">
        <v>3</v>
      </c>
      <c r="H486" s="5">
        <f>IF($I2="","",INDEX(Productos!$AG:$AG,$I2))</f>
        <v/>
      </c>
      <c r="I486" s="136">
        <f>LET(_xlpm.r,Productos!$E$2:$E$370,_xlpm.m,IFERROR(_xlfn.XMATCH(C486,_xlpm.r),IFERROR(_xlfn.XMATCH(VALUE(C486),_xlpm.r),0)),IF(_xlpm.m=0,"",_xlpm.m+1))</f>
        <v/>
      </c>
      <c r="J486" s="137" t="inlineStr">
        <is>
          <t>NetSuite</t>
        </is>
      </c>
    </row>
    <row r="487">
      <c r="A487" s="5" t="inlineStr">
        <is>
          <t>CL POS</t>
        </is>
      </c>
      <c r="B487" s="5">
        <f>IF($I2="","",INDEX(Productos!$A:$A,$I2))</f>
        <v/>
      </c>
      <c r="C487" s="134" t="inlineStr">
        <is>
          <t>CL/DBZ/3/BUU-UNIJR</t>
        </is>
      </c>
      <c r="D487" s="5">
        <f>IF($I2="","",INDEX(Productos!$B:$B,$I2))</f>
        <v/>
      </c>
      <c r="E487" s="5">
        <f>IF($I2="","",INDEX(Productos!$H:$H,$I2))</f>
        <v/>
      </c>
      <c r="F487" s="5">
        <f>IF($I2="","",INDEX(Productos!$I:$I,$I2))</f>
        <v/>
      </c>
      <c r="G487" s="135" t="n">
        <v>4</v>
      </c>
      <c r="H487" s="5">
        <f>IF($I2="","",INDEX(Productos!$AG:$AG,$I2))</f>
        <v/>
      </c>
      <c r="I487" s="136">
        <f>LET(_xlpm.r,Productos!$E$2:$E$370,_xlpm.m,IFERROR(_xlfn.XMATCH(C487,_xlpm.r),IFERROR(_xlfn.XMATCH(VALUE(C487),_xlpm.r),0)),IF(_xlpm.m=0,"",_xlpm.m+1))</f>
        <v/>
      </c>
      <c r="J487" s="137" t="inlineStr">
        <is>
          <t>NetSuite</t>
        </is>
      </c>
    </row>
    <row r="488">
      <c r="A488" s="5" t="inlineStr">
        <is>
          <t>CL POS</t>
        </is>
      </c>
      <c r="B488" s="5">
        <f>IF($I2="","",INDEX(Productos!$A:$A,$I2))</f>
        <v/>
      </c>
      <c r="C488" s="134" t="inlineStr">
        <is>
          <t>CL/DBZ/3/GO3-UNIJR</t>
        </is>
      </c>
      <c r="D488" s="5">
        <f>IF($I2="","",INDEX(Productos!$B:$B,$I2))</f>
        <v/>
      </c>
      <c r="E488" s="5">
        <f>IF($I2="","",INDEX(Productos!$H:$H,$I2))</f>
        <v/>
      </c>
      <c r="F488" s="5">
        <f>IF($I2="","",INDEX(Productos!$I:$I,$I2))</f>
        <v/>
      </c>
      <c r="G488" s="135" t="n">
        <v>4</v>
      </c>
      <c r="H488" s="5">
        <f>IF($I2="","",INDEX(Productos!$AG:$AG,$I2))</f>
        <v/>
      </c>
      <c r="I488" s="136">
        <f>LET(_xlpm.r,Productos!$E$2:$E$370,_xlpm.m,IFERROR(_xlfn.XMATCH(C488,_xlpm.r),IFERROR(_xlfn.XMATCH(VALUE(C488),_xlpm.r),0)),IF(_xlpm.m=0,"",_xlpm.m+1))</f>
        <v/>
      </c>
      <c r="J488" s="137" t="inlineStr">
        <is>
          <t>NetSuite</t>
        </is>
      </c>
    </row>
    <row r="489">
      <c r="A489" s="5" t="inlineStr">
        <is>
          <t>CL POS</t>
        </is>
      </c>
      <c r="B489" s="5">
        <f>IF($I2="","",INDEX(Productos!$A:$A,$I2))</f>
        <v/>
      </c>
      <c r="C489" s="134" t="inlineStr">
        <is>
          <t>CL/DBZ/3/GOKB-UNIJR</t>
        </is>
      </c>
      <c r="D489" s="5">
        <f>IF($I2="","",INDEX(Productos!$B:$B,$I2))</f>
        <v/>
      </c>
      <c r="E489" s="5">
        <f>IF($I2="","",INDEX(Productos!$H:$H,$I2))</f>
        <v/>
      </c>
      <c r="F489" s="5">
        <f>IF($I2="","",INDEX(Productos!$I:$I,$I2))</f>
        <v/>
      </c>
      <c r="G489" s="135" t="n">
        <v>4</v>
      </c>
      <c r="H489" s="5">
        <f>IF($I2="","",INDEX(Productos!$AG:$AG,$I2))</f>
        <v/>
      </c>
      <c r="I489" s="136">
        <f>LET(_xlpm.r,Productos!$E$2:$E$370,_xlpm.m,IFERROR(_xlfn.XMATCH(C489,_xlpm.r),IFERROR(_xlfn.XMATCH(VALUE(C489),_xlpm.r),0)),IF(_xlpm.m=0,"",_xlpm.m+1))</f>
        <v/>
      </c>
      <c r="J489" s="137" t="inlineStr">
        <is>
          <t>NetSuite</t>
        </is>
      </c>
    </row>
    <row r="490">
      <c r="A490" s="5" t="inlineStr">
        <is>
          <t>CL POS</t>
        </is>
      </c>
      <c r="B490" s="5">
        <f>IF($I2="","",INDEX(Productos!$A:$A,$I2))</f>
        <v/>
      </c>
      <c r="C490" s="134" t="inlineStr">
        <is>
          <t>CL/DBZ/3/VE3-UNIJR</t>
        </is>
      </c>
      <c r="D490" s="5">
        <f>IF($I2="","",INDEX(Productos!$B:$B,$I2))</f>
        <v/>
      </c>
      <c r="E490" s="5">
        <f>IF($I2="","",INDEX(Productos!$H:$H,$I2))</f>
        <v/>
      </c>
      <c r="F490" s="5">
        <f>IF($I2="","",INDEX(Productos!$I:$I,$I2))</f>
        <v/>
      </c>
      <c r="G490" s="135" t="n">
        <v>4</v>
      </c>
      <c r="H490" s="5">
        <f>IF($I2="","",INDEX(Productos!$AG:$AG,$I2))</f>
        <v/>
      </c>
      <c r="I490" s="136">
        <f>LET(_xlpm.r,Productos!$E$2:$E$370,_xlpm.m,IFERROR(_xlfn.XMATCH(C490,_xlpm.r),IFERROR(_xlfn.XMATCH(VALUE(C490),_xlpm.r),0)),IF(_xlpm.m=0,"",_xlpm.m+1))</f>
        <v/>
      </c>
      <c r="J490" s="137" t="inlineStr">
        <is>
          <t>NetSuite</t>
        </is>
      </c>
    </row>
    <row r="491">
      <c r="A491" s="5" t="inlineStr">
        <is>
          <t>CL POS</t>
        </is>
      </c>
      <c r="B491" s="5">
        <f>IF($I2="","",INDEX(Productos!$A:$A,$I2))</f>
        <v/>
      </c>
      <c r="C491" s="134" t="inlineStr">
        <is>
          <t>CL/DBZ/3/VEGB-UNIJR</t>
        </is>
      </c>
      <c r="D491" s="5">
        <f>IF($I2="","",INDEX(Productos!$B:$B,$I2))</f>
        <v/>
      </c>
      <c r="E491" s="5">
        <f>IF($I2="","",INDEX(Productos!$H:$H,$I2))</f>
        <v/>
      </c>
      <c r="F491" s="5">
        <f>IF($I2="","",INDEX(Productos!$I:$I,$I2))</f>
        <v/>
      </c>
      <c r="G491" s="135" t="n">
        <v>4</v>
      </c>
      <c r="H491" s="5">
        <f>IF($I2="","",INDEX(Productos!$AG:$AG,$I2))</f>
        <v/>
      </c>
      <c r="I491" s="136">
        <f>LET(_xlpm.r,Productos!$E$2:$E$370,_xlpm.m,IFERROR(_xlfn.XMATCH(C491,_xlpm.r),IFERROR(_xlfn.XMATCH(VALUE(C491),_xlpm.r),0)),IF(_xlpm.m=0,"",_xlpm.m+1))</f>
        <v/>
      </c>
      <c r="J491" s="137" t="inlineStr">
        <is>
          <t>NetSuite</t>
        </is>
      </c>
    </row>
    <row r="492">
      <c r="A492" s="5" t="inlineStr">
        <is>
          <t>CL POS</t>
        </is>
      </c>
      <c r="B492" s="5">
        <f>IF($I2="","",INDEX(Productos!$A:$A,$I2))</f>
        <v/>
      </c>
      <c r="C492" s="134" t="inlineStr">
        <is>
          <t>CL/DBZ/TAG/1/KAM-UNI</t>
        </is>
      </c>
      <c r="D492" s="5">
        <f>IF($I2="","",INDEX(Productos!$B:$B,$I2))</f>
        <v/>
      </c>
      <c r="E492" s="5">
        <f>IF($I2="","",INDEX(Productos!$H:$H,$I2))</f>
        <v/>
      </c>
      <c r="F492" s="5">
        <f>IF($I2="","",INDEX(Productos!$I:$I,$I2))</f>
        <v/>
      </c>
      <c r="G492" s="135" t="n">
        <v>2</v>
      </c>
      <c r="H492" s="5">
        <f>IF($I2="","",INDEX(Productos!$AG:$AG,$I2))</f>
        <v/>
      </c>
      <c r="I492" s="136">
        <f>LET(_xlpm.r,Productos!$E$2:$E$370,_xlpm.m,IFERROR(_xlfn.XMATCH(C492,_xlpm.r),IFERROR(_xlfn.XMATCH(VALUE(C492),_xlpm.r),0)),IF(_xlpm.m=0,"",_xlpm.m+1))</f>
        <v/>
      </c>
      <c r="J492" s="137" t="inlineStr">
        <is>
          <t>NetSuite</t>
        </is>
      </c>
    </row>
    <row r="493">
      <c r="A493" s="5" t="inlineStr">
        <is>
          <t>CL POS</t>
        </is>
      </c>
      <c r="B493" s="5">
        <f>IF($I2="","",INDEX(Productos!$A:$A,$I2))</f>
        <v/>
      </c>
      <c r="C493" s="134" t="inlineStr">
        <is>
          <t>CL/DBZ2/1/KAM4-UNI</t>
        </is>
      </c>
      <c r="D493" s="5">
        <f>IF($I2="","",INDEX(Productos!$B:$B,$I2))</f>
        <v/>
      </c>
      <c r="E493" s="5">
        <f>IF($I2="","",INDEX(Productos!$H:$H,$I2))</f>
        <v/>
      </c>
      <c r="F493" s="5">
        <f>IF($I2="","",INDEX(Productos!$I:$I,$I2))</f>
        <v/>
      </c>
      <c r="G493" s="135" t="n">
        <v>3</v>
      </c>
      <c r="H493" s="5">
        <f>IF($I2="","",INDEX(Productos!$AG:$AG,$I2))</f>
        <v/>
      </c>
      <c r="I493" s="136">
        <f>LET(_xlpm.r,Productos!$E$2:$E$370,_xlpm.m,IFERROR(_xlfn.XMATCH(C493,_xlpm.r),IFERROR(_xlfn.XMATCH(VALUE(C493),_xlpm.r),0)),IF(_xlpm.m=0,"",_xlpm.m+1))</f>
        <v/>
      </c>
      <c r="J493" s="137" t="inlineStr">
        <is>
          <t>NetSuite</t>
        </is>
      </c>
    </row>
    <row r="494">
      <c r="A494" s="5" t="inlineStr">
        <is>
          <t>CL POS</t>
        </is>
      </c>
      <c r="B494" s="5">
        <f>IF($I2="","",INDEX(Productos!$A:$A,$I2))</f>
        <v/>
      </c>
      <c r="C494" s="134" t="inlineStr">
        <is>
          <t>CL/DBZ2/1/MV1-UNI</t>
        </is>
      </c>
      <c r="D494" s="5">
        <f>IF($I2="","",INDEX(Productos!$B:$B,$I2))</f>
        <v/>
      </c>
      <c r="E494" s="5">
        <f>IF($I2="","",INDEX(Productos!$H:$H,$I2))</f>
        <v/>
      </c>
      <c r="F494" s="5">
        <f>IF($I2="","",INDEX(Productos!$I:$I,$I2))</f>
        <v/>
      </c>
      <c r="G494" s="135" t="n">
        <v>4</v>
      </c>
      <c r="H494" s="5">
        <f>IF($I2="","",INDEX(Productos!$AG:$AG,$I2))</f>
        <v/>
      </c>
      <c r="I494" s="136">
        <f>LET(_xlpm.r,Productos!$E$2:$E$370,_xlpm.m,IFERROR(_xlfn.XMATCH(C494,_xlpm.r),IFERROR(_xlfn.XMATCH(VALUE(C494),_xlpm.r),0)),IF(_xlpm.m=0,"",_xlpm.m+1))</f>
        <v/>
      </c>
      <c r="J494" s="137" t="inlineStr">
        <is>
          <t>NetSuite</t>
        </is>
      </c>
    </row>
    <row r="495">
      <c r="A495" s="5" t="inlineStr">
        <is>
          <t>CL POS</t>
        </is>
      </c>
      <c r="B495" s="5">
        <f>IF($I2="","",INDEX(Productos!$A:$A,$I2))</f>
        <v/>
      </c>
      <c r="C495" s="134" t="inlineStr">
        <is>
          <t>CL/DBZ2/1/MV2-UNI</t>
        </is>
      </c>
      <c r="D495" s="5">
        <f>IF($I2="","",INDEX(Productos!$B:$B,$I2))</f>
        <v/>
      </c>
      <c r="E495" s="5">
        <f>IF($I2="","",INDEX(Productos!$H:$H,$I2))</f>
        <v/>
      </c>
      <c r="F495" s="5">
        <f>IF($I2="","",INDEX(Productos!$I:$I,$I2))</f>
        <v/>
      </c>
      <c r="G495" s="135" t="n">
        <v>4</v>
      </c>
      <c r="H495" s="5">
        <f>IF($I2="","",INDEX(Productos!$AG:$AG,$I2))</f>
        <v/>
      </c>
      <c r="I495" s="136">
        <f>LET(_xlpm.r,Productos!$E$2:$E$370,_xlpm.m,IFERROR(_xlfn.XMATCH(C495,_xlpm.r),IFERROR(_xlfn.XMATCH(VALUE(C495),_xlpm.r),0)),IF(_xlpm.m=0,"",_xlpm.m+1))</f>
        <v/>
      </c>
      <c r="J495" s="137" t="inlineStr">
        <is>
          <t>NetSuite</t>
        </is>
      </c>
    </row>
    <row r="496">
      <c r="A496" s="5" t="inlineStr">
        <is>
          <t>CL POS</t>
        </is>
      </c>
      <c r="B496" s="5">
        <f>IF($I2="","",INDEX(Productos!$A:$A,$I2))</f>
        <v/>
      </c>
      <c r="C496" s="134" t="inlineStr">
        <is>
          <t>CL/DBZ2/1/MV4-UNI</t>
        </is>
      </c>
      <c r="D496" s="5">
        <f>IF($I2="","",INDEX(Productos!$B:$B,$I2))</f>
        <v/>
      </c>
      <c r="E496" s="5">
        <f>IF($I2="","",INDEX(Productos!$H:$H,$I2))</f>
        <v/>
      </c>
      <c r="F496" s="5">
        <f>IF($I2="","",INDEX(Productos!$I:$I,$I2))</f>
        <v/>
      </c>
      <c r="G496" s="135" t="n">
        <v>4</v>
      </c>
      <c r="H496" s="5">
        <f>IF($I2="","",INDEX(Productos!$AG:$AG,$I2))</f>
        <v/>
      </c>
      <c r="I496" s="136">
        <f>LET(_xlpm.r,Productos!$E$2:$E$370,_xlpm.m,IFERROR(_xlfn.XMATCH(C496,_xlpm.r),IFERROR(_xlfn.XMATCH(VALUE(C496),_xlpm.r),0)),IF(_xlpm.m=0,"",_xlpm.m+1))</f>
        <v/>
      </c>
      <c r="J496" s="137" t="inlineStr">
        <is>
          <t>NetSuite</t>
        </is>
      </c>
    </row>
    <row r="497">
      <c r="A497" s="5" t="inlineStr">
        <is>
          <t>CL POS</t>
        </is>
      </c>
      <c r="B497" s="5">
        <f>IF($I2="","",INDEX(Productos!$A:$A,$I2))</f>
        <v/>
      </c>
      <c r="C497" s="134" t="inlineStr">
        <is>
          <t>CL/DBZ2/3/MV1-UNIJR</t>
        </is>
      </c>
      <c r="D497" s="5">
        <f>IF($I2="","",INDEX(Productos!$B:$B,$I2))</f>
        <v/>
      </c>
      <c r="E497" s="5">
        <f>IF($I2="","",INDEX(Productos!$H:$H,$I2))</f>
        <v/>
      </c>
      <c r="F497" s="5">
        <f>IF($I2="","",INDEX(Productos!$I:$I,$I2))</f>
        <v/>
      </c>
      <c r="G497" s="135" t="n">
        <v>4</v>
      </c>
      <c r="H497" s="5">
        <f>IF($I2="","",INDEX(Productos!$AG:$AG,$I2))</f>
        <v/>
      </c>
      <c r="I497" s="136">
        <f>LET(_xlpm.r,Productos!$E$2:$E$370,_xlpm.m,IFERROR(_xlfn.XMATCH(C497,_xlpm.r),IFERROR(_xlfn.XMATCH(VALUE(C497),_xlpm.r),0)),IF(_xlpm.m=0,"",_xlpm.m+1))</f>
        <v/>
      </c>
      <c r="J497" s="137" t="inlineStr">
        <is>
          <t>NetSuite</t>
        </is>
      </c>
    </row>
    <row r="498">
      <c r="A498" s="5" t="inlineStr">
        <is>
          <t>CL POS</t>
        </is>
      </c>
      <c r="B498" s="5">
        <f>IF($I2="","",INDEX(Productos!$A:$A,$I2))</f>
        <v/>
      </c>
      <c r="C498" s="134" t="inlineStr">
        <is>
          <t>CL/DBZ3/1/KRI4-UNI</t>
        </is>
      </c>
      <c r="D498" s="5">
        <f>IF($I2="","",INDEX(Productos!$B:$B,$I2))</f>
        <v/>
      </c>
      <c r="E498" s="5">
        <f>IF($I2="","",INDEX(Productos!$H:$H,$I2))</f>
        <v/>
      </c>
      <c r="F498" s="5">
        <f>IF($I2="","",INDEX(Productos!$I:$I,$I2))</f>
        <v/>
      </c>
      <c r="G498" s="135" t="n">
        <v>4</v>
      </c>
      <c r="H498" s="5">
        <f>IF($I2="","",INDEX(Productos!$AG:$AG,$I2))</f>
        <v/>
      </c>
      <c r="I498" s="136">
        <f>LET(_xlpm.r,Productos!$E$2:$E$370,_xlpm.m,IFERROR(_xlfn.XMATCH(C498,_xlpm.r),IFERROR(_xlfn.XMATCH(VALUE(C498),_xlpm.r),0)),IF(_xlpm.m=0,"",_xlpm.m+1))</f>
        <v/>
      </c>
      <c r="J498" s="137" t="inlineStr">
        <is>
          <t>NetSuite</t>
        </is>
      </c>
    </row>
    <row r="499">
      <c r="A499" s="5" t="inlineStr">
        <is>
          <t>CL POS</t>
        </is>
      </c>
      <c r="B499" s="5">
        <f>IF($I2="","",INDEX(Productos!$A:$A,$I2))</f>
        <v/>
      </c>
      <c r="C499" s="134" t="inlineStr">
        <is>
          <t>CL/DBZ6/1/CAS/FRI2-uNI</t>
        </is>
      </c>
      <c r="D499" s="5">
        <f>IF($I2="","",INDEX(Productos!$B:$B,$I2))</f>
        <v/>
      </c>
      <c r="E499" s="5">
        <f>IF($I2="","",INDEX(Productos!$H:$H,$I2))</f>
        <v/>
      </c>
      <c r="F499" s="5">
        <f>IF($I2="","",INDEX(Productos!$I:$I,$I2))</f>
        <v/>
      </c>
      <c r="G499" s="135" t="n">
        <v>4</v>
      </c>
      <c r="H499" s="5">
        <f>IF($I2="","",INDEX(Productos!$AG:$AG,$I2))</f>
        <v/>
      </c>
      <c r="I499" s="136">
        <f>LET(_xlpm.r,Productos!$E$2:$E$370,_xlpm.m,IFERROR(_xlfn.XMATCH(C499,_xlpm.r),IFERROR(_xlfn.XMATCH(VALUE(C499),_xlpm.r),0)),IF(_xlpm.m=0,"",_xlpm.m+1))</f>
        <v/>
      </c>
      <c r="J499" s="137" t="inlineStr">
        <is>
          <t>NetSuite</t>
        </is>
      </c>
    </row>
    <row r="500">
      <c r="A500" s="5" t="inlineStr">
        <is>
          <t>CL POS</t>
        </is>
      </c>
      <c r="B500" s="5">
        <f>IF($I2="","",INDEX(Productos!$A:$A,$I2))</f>
        <v/>
      </c>
      <c r="C500" s="134" t="inlineStr">
        <is>
          <t>CL/DBZ6/1/CAS/KID2-UNI</t>
        </is>
      </c>
      <c r="D500" s="5">
        <f>IF($I2="","",INDEX(Productos!$B:$B,$I2))</f>
        <v/>
      </c>
      <c r="E500" s="5">
        <f>IF($I2="","",INDEX(Productos!$H:$H,$I2))</f>
        <v/>
      </c>
      <c r="F500" s="5">
        <f>IF($I2="","",INDEX(Productos!$I:$I,$I2))</f>
        <v/>
      </c>
      <c r="G500" s="135" t="n">
        <v>4</v>
      </c>
      <c r="H500" s="5">
        <f>IF($I2="","",INDEX(Productos!$AG:$AG,$I2))</f>
        <v/>
      </c>
      <c r="I500" s="136">
        <f>LET(_xlpm.r,Productos!$E$2:$E$370,_xlpm.m,IFERROR(_xlfn.XMATCH(C500,_xlpm.r),IFERROR(_xlfn.XMATCH(VALUE(C500),_xlpm.r),0)),IF(_xlpm.m=0,"",_xlpm.m+1))</f>
        <v/>
      </c>
      <c r="J500" s="137" t="inlineStr">
        <is>
          <t>NetSuite</t>
        </is>
      </c>
    </row>
    <row r="501">
      <c r="A501" s="5" t="inlineStr">
        <is>
          <t>CL POS</t>
        </is>
      </c>
      <c r="B501" s="5">
        <f>IF($I2="","",INDEX(Productos!$A:$A,$I2))</f>
        <v/>
      </c>
      <c r="C501" s="134" t="inlineStr">
        <is>
          <t>CL/DBZ7/1/CT/ANG-UNI</t>
        </is>
      </c>
      <c r="D501" s="5">
        <f>IF($I2="","",INDEX(Productos!$B:$B,$I2))</f>
        <v/>
      </c>
      <c r="E501" s="5">
        <f>IF($I2="","",INDEX(Productos!$H:$H,$I2))</f>
        <v/>
      </c>
      <c r="F501" s="5">
        <f>IF($I2="","",INDEX(Productos!$I:$I,$I2))</f>
        <v/>
      </c>
      <c r="G501" s="135" t="n">
        <v>4</v>
      </c>
      <c r="H501" s="5">
        <f>IF($I2="","",INDEX(Productos!$AG:$AG,$I2))</f>
        <v/>
      </c>
      <c r="I501" s="136">
        <f>LET(_xlpm.r,Productos!$E$2:$E$370,_xlpm.m,IFERROR(_xlfn.XMATCH(C501,_xlpm.r),IFERROR(_xlfn.XMATCH(VALUE(C501),_xlpm.r),0)),IF(_xlpm.m=0,"",_xlpm.m+1))</f>
        <v/>
      </c>
      <c r="J501" s="137" t="inlineStr">
        <is>
          <t>NetSuite</t>
        </is>
      </c>
    </row>
    <row r="502">
      <c r="A502" s="5" t="inlineStr">
        <is>
          <t>CL POS</t>
        </is>
      </c>
      <c r="B502" s="5">
        <f>IF($I2="","",INDEX(Productos!$A:$A,$I2))</f>
        <v/>
      </c>
      <c r="C502" s="134" t="inlineStr">
        <is>
          <t>CL/DBZ7/1/CT/GBUU-UNI</t>
        </is>
      </c>
      <c r="D502" s="5">
        <f>IF($I2="","",INDEX(Productos!$B:$B,$I2))</f>
        <v/>
      </c>
      <c r="E502" s="5">
        <f>IF($I2="","",INDEX(Productos!$H:$H,$I2))</f>
        <v/>
      </c>
      <c r="F502" s="5">
        <f>IF($I2="","",INDEX(Productos!$I:$I,$I2))</f>
        <v/>
      </c>
      <c r="G502" s="135" t="n">
        <v>4</v>
      </c>
      <c r="H502" s="5">
        <f>IF($I2="","",INDEX(Productos!$AG:$AG,$I2))</f>
        <v/>
      </c>
      <c r="I502" s="136">
        <f>LET(_xlpm.r,Productos!$E$2:$E$370,_xlpm.m,IFERROR(_xlfn.XMATCH(C502,_xlpm.r),IFERROR(_xlfn.XMATCH(VALUE(C502),_xlpm.r),0)),IF(_xlpm.m=0,"",_xlpm.m+1))</f>
        <v/>
      </c>
      <c r="J502" s="137" t="inlineStr">
        <is>
          <t>NetSuite</t>
        </is>
      </c>
    </row>
    <row r="503">
      <c r="A503" s="5" t="inlineStr">
        <is>
          <t>CL POS</t>
        </is>
      </c>
      <c r="B503" s="5">
        <f>IF($I2="","",INDEX(Productos!$A:$A,$I2))</f>
        <v/>
      </c>
      <c r="C503" s="134" t="inlineStr">
        <is>
          <t>CL/DBZ7/1/CT/SAV-UNI</t>
        </is>
      </c>
      <c r="D503" s="5">
        <f>IF($I2="","",INDEX(Productos!$B:$B,$I2))</f>
        <v/>
      </c>
      <c r="E503" s="5">
        <f>IF($I2="","",INDEX(Productos!$H:$H,$I2))</f>
        <v/>
      </c>
      <c r="F503" s="5">
        <f>IF($I2="","",INDEX(Productos!$I:$I,$I2))</f>
        <v/>
      </c>
      <c r="G503" s="135" t="n">
        <v>3</v>
      </c>
      <c r="H503" s="5">
        <f>IF($I2="","",INDEX(Productos!$AG:$AG,$I2))</f>
        <v/>
      </c>
      <c r="I503" s="136">
        <f>LET(_xlpm.r,Productos!$E$2:$E$370,_xlpm.m,IFERROR(_xlfn.XMATCH(C503,_xlpm.r),IFERROR(_xlfn.XMATCH(VALUE(C503),_xlpm.r),0)),IF(_xlpm.m=0,"",_xlpm.m+1))</f>
        <v/>
      </c>
      <c r="J503" s="137" t="inlineStr">
        <is>
          <t>NetSuite</t>
        </is>
      </c>
    </row>
    <row r="504">
      <c r="A504" s="5" t="inlineStr">
        <is>
          <t>CL POS</t>
        </is>
      </c>
      <c r="B504" s="5">
        <f>IF($I2="","",INDEX(Productos!$A:$A,$I2))</f>
        <v/>
      </c>
      <c r="C504" s="134" t="inlineStr">
        <is>
          <t>CL/DBZ7/1/CT/SON-UNI</t>
        </is>
      </c>
      <c r="D504" s="5">
        <f>IF($I2="","",INDEX(Productos!$B:$B,$I2))</f>
        <v/>
      </c>
      <c r="E504" s="5">
        <f>IF($I2="","",INDEX(Productos!$H:$H,$I2))</f>
        <v/>
      </c>
      <c r="F504" s="5">
        <f>IF($I2="","",INDEX(Productos!$I:$I,$I2))</f>
        <v/>
      </c>
      <c r="G504" s="135" t="n">
        <v>4</v>
      </c>
      <c r="H504" s="5">
        <f>IF($I2="","",INDEX(Productos!$AG:$AG,$I2))</f>
        <v/>
      </c>
      <c r="I504" s="136">
        <f>LET(_xlpm.r,Productos!$E$2:$E$370,_xlpm.m,IFERROR(_xlfn.XMATCH(C504,_xlpm.r),IFERROR(_xlfn.XMATCH(VALUE(C504),_xlpm.r),0)),IF(_xlpm.m=0,"",_xlpm.m+1))</f>
        <v/>
      </c>
      <c r="J504" s="137" t="inlineStr">
        <is>
          <t>NetSuite</t>
        </is>
      </c>
    </row>
    <row r="505">
      <c r="A505" s="5" t="inlineStr">
        <is>
          <t>CL POS</t>
        </is>
      </c>
      <c r="B505" s="5">
        <f>IF($I2="","",INDEX(Productos!$A:$A,$I2))</f>
        <v/>
      </c>
      <c r="C505" s="134" t="inlineStr">
        <is>
          <t>CL/DC/TAG/1/BAT-UNI</t>
        </is>
      </c>
      <c r="D505" s="5">
        <f>IF($I2="","",INDEX(Productos!$B:$B,$I2))</f>
        <v/>
      </c>
      <c r="E505" s="5">
        <f>IF($I2="","",INDEX(Productos!$H:$H,$I2))</f>
        <v/>
      </c>
      <c r="F505" s="5">
        <f>IF($I2="","",INDEX(Productos!$I:$I,$I2))</f>
        <v/>
      </c>
      <c r="G505" s="135" t="n">
        <v>4</v>
      </c>
      <c r="H505" s="5">
        <f>IF($I2="","",INDEX(Productos!$AG:$AG,$I2))</f>
        <v/>
      </c>
      <c r="I505" s="136">
        <f>LET(_xlpm.r,Productos!$E$2:$E$370,_xlpm.m,IFERROR(_xlfn.XMATCH(C505,_xlpm.r),IFERROR(_xlfn.XMATCH(VALUE(C505),_xlpm.r),0)),IF(_xlpm.m=0,"",_xlpm.m+1))</f>
        <v/>
      </c>
      <c r="J505" s="137" t="inlineStr">
        <is>
          <t>NetSuite</t>
        </is>
      </c>
    </row>
    <row r="506">
      <c r="A506" s="5" t="inlineStr">
        <is>
          <t>CL POS</t>
        </is>
      </c>
      <c r="B506" s="5">
        <f>IF($I2="","",INDEX(Productos!$A:$A,$I2))</f>
        <v/>
      </c>
      <c r="C506" s="134" t="inlineStr">
        <is>
          <t>CL/DC/TAG/1/JOK-UNI</t>
        </is>
      </c>
      <c r="D506" s="5">
        <f>IF($I2="","",INDEX(Productos!$B:$B,$I2))</f>
        <v/>
      </c>
      <c r="E506" s="5">
        <f>IF($I2="","",INDEX(Productos!$H:$H,$I2))</f>
        <v/>
      </c>
      <c r="F506" s="5">
        <f>IF($I2="","",INDEX(Productos!$I:$I,$I2))</f>
        <v/>
      </c>
      <c r="G506" s="135" t="n">
        <v>4</v>
      </c>
      <c r="H506" s="5">
        <f>IF($I2="","",INDEX(Productos!$AG:$AG,$I2))</f>
        <v/>
      </c>
      <c r="I506" s="136">
        <f>LET(_xlpm.r,Productos!$E$2:$E$370,_xlpm.m,IFERROR(_xlfn.XMATCH(C506,_xlpm.r),IFERROR(_xlfn.XMATCH(VALUE(C506),_xlpm.r),0)),IF(_xlpm.m=0,"",_xlpm.m+1))</f>
        <v/>
      </c>
      <c r="J506" s="137" t="inlineStr">
        <is>
          <t>NetSuite</t>
        </is>
      </c>
    </row>
    <row r="507">
      <c r="A507" s="5" t="inlineStr">
        <is>
          <t>CL POS</t>
        </is>
      </c>
      <c r="B507" s="5">
        <f>IF($I2="","",INDEX(Productos!$A:$A,$I2))</f>
        <v/>
      </c>
      <c r="C507" s="134" t="inlineStr">
        <is>
          <t>CL/DC2/1/BAT4-UNI</t>
        </is>
      </c>
      <c r="D507" s="5">
        <f>IF($I2="","",INDEX(Productos!$B:$B,$I2))</f>
        <v/>
      </c>
      <c r="E507" s="5">
        <f>IF($I2="","",INDEX(Productos!$H:$H,$I2))</f>
        <v/>
      </c>
      <c r="F507" s="5">
        <f>IF($I2="","",INDEX(Productos!$I:$I,$I2))</f>
        <v/>
      </c>
      <c r="G507" s="135" t="n">
        <v>4</v>
      </c>
      <c r="H507" s="5">
        <f>IF($I2="","",INDEX(Productos!$AG:$AG,$I2))</f>
        <v/>
      </c>
      <c r="I507" s="136">
        <f>LET(_xlpm.r,Productos!$E$2:$E$370,_xlpm.m,IFERROR(_xlfn.XMATCH(C507,_xlpm.r),IFERROR(_xlfn.XMATCH(VALUE(C507),_xlpm.r),0)),IF(_xlpm.m=0,"",_xlpm.m+1))</f>
        <v/>
      </c>
      <c r="J507" s="137" t="inlineStr">
        <is>
          <t>NetSuite</t>
        </is>
      </c>
    </row>
    <row r="508">
      <c r="A508" s="5" t="inlineStr">
        <is>
          <t>CL POS</t>
        </is>
      </c>
      <c r="B508" s="5">
        <f>IF($I2="","",INDEX(Productos!$A:$A,$I2))</f>
        <v/>
      </c>
      <c r="C508" s="134" t="inlineStr">
        <is>
          <t>CL/DC2/1/MEM1-UNI</t>
        </is>
      </c>
      <c r="D508" s="5">
        <f>IF($I2="","",INDEX(Productos!$B:$B,$I2))</f>
        <v/>
      </c>
      <c r="E508" s="5">
        <f>IF($I2="","",INDEX(Productos!$H:$H,$I2))</f>
        <v/>
      </c>
      <c r="F508" s="5">
        <f>IF($I2="","",INDEX(Productos!$I:$I,$I2))</f>
        <v/>
      </c>
      <c r="G508" s="135" t="n">
        <v>3</v>
      </c>
      <c r="H508" s="5">
        <f>IF($I2="","",INDEX(Productos!$AG:$AG,$I2))</f>
        <v/>
      </c>
      <c r="I508" s="136">
        <f>LET(_xlpm.r,Productos!$E$2:$E$370,_xlpm.m,IFERROR(_xlfn.XMATCH(C508,_xlpm.r),IFERROR(_xlfn.XMATCH(VALUE(C508),_xlpm.r),0)),IF(_xlpm.m=0,"",_xlpm.m+1))</f>
        <v/>
      </c>
      <c r="J508" s="137" t="inlineStr">
        <is>
          <t>NetSuite</t>
        </is>
      </c>
    </row>
    <row r="509">
      <c r="A509" s="5" t="inlineStr">
        <is>
          <t>CL POS</t>
        </is>
      </c>
      <c r="B509" s="5">
        <f>IF($I2="","",INDEX(Productos!$A:$A,$I2))</f>
        <v/>
      </c>
      <c r="C509" s="134" t="inlineStr">
        <is>
          <t>CL/DC2/1/VIN1-UNI</t>
        </is>
      </c>
      <c r="D509" s="5">
        <f>IF($I2="","",INDEX(Productos!$B:$B,$I2))</f>
        <v/>
      </c>
      <c r="E509" s="5">
        <f>IF($I2="","",INDEX(Productos!$H:$H,$I2))</f>
        <v/>
      </c>
      <c r="F509" s="5">
        <f>IF($I2="","",INDEX(Productos!$I:$I,$I2))</f>
        <v/>
      </c>
      <c r="G509" s="135" t="n">
        <v>4</v>
      </c>
      <c r="H509" s="5">
        <f>IF($I2="","",INDEX(Productos!$AG:$AG,$I2))</f>
        <v/>
      </c>
      <c r="I509" s="136">
        <f>LET(_xlpm.r,Productos!$E$2:$E$370,_xlpm.m,IFERROR(_xlfn.XMATCH(C509,_xlpm.r),IFERROR(_xlfn.XMATCH(VALUE(C509),_xlpm.r),0)),IF(_xlpm.m=0,"",_xlpm.m+1))</f>
        <v/>
      </c>
      <c r="J509" s="137" t="inlineStr">
        <is>
          <t>NetSuite</t>
        </is>
      </c>
    </row>
    <row r="510">
      <c r="A510" s="5" t="inlineStr">
        <is>
          <t>CL POS</t>
        </is>
      </c>
      <c r="B510" s="5">
        <f>IF($I2="","",INDEX(Productos!$A:$A,$I2))</f>
        <v/>
      </c>
      <c r="C510" s="134" t="inlineStr">
        <is>
          <t>CL/DC3/1/CAS/JKR2-UNI</t>
        </is>
      </c>
      <c r="D510" s="5">
        <f>IF($I2="","",INDEX(Productos!$B:$B,$I2))</f>
        <v/>
      </c>
      <c r="E510" s="5">
        <f>IF($I2="","",INDEX(Productos!$H:$H,$I2))</f>
        <v/>
      </c>
      <c r="F510" s="5">
        <f>IF($I2="","",INDEX(Productos!$I:$I,$I2))</f>
        <v/>
      </c>
      <c r="G510" s="135" t="n">
        <v>4</v>
      </c>
      <c r="H510" s="5">
        <f>IF($I2="","",INDEX(Productos!$AG:$AG,$I2))</f>
        <v/>
      </c>
      <c r="I510" s="136">
        <f>LET(_xlpm.r,Productos!$E$2:$E$370,_xlpm.m,IFERROR(_xlfn.XMATCH(C510,_xlpm.r),IFERROR(_xlfn.XMATCH(VALUE(C510),_xlpm.r),0)),IF(_xlpm.m=0,"",_xlpm.m+1))</f>
        <v/>
      </c>
      <c r="J510" s="137" t="inlineStr">
        <is>
          <t>NetSuite</t>
        </is>
      </c>
    </row>
    <row r="511">
      <c r="A511" s="5" t="inlineStr">
        <is>
          <t>CL POS</t>
        </is>
      </c>
      <c r="B511" s="5">
        <f>IF($I2="","",INDEX(Productos!$A:$A,$I2))</f>
        <v/>
      </c>
      <c r="C511" s="134" t="inlineStr">
        <is>
          <t>CL/DC4/3/BAT1-UNIJR</t>
        </is>
      </c>
      <c r="D511" s="5">
        <f>IF($I2="","",INDEX(Productos!$B:$B,$I2))</f>
        <v/>
      </c>
      <c r="E511" s="5">
        <f>IF($I2="","",INDEX(Productos!$H:$H,$I2))</f>
        <v/>
      </c>
      <c r="F511" s="5">
        <f>IF($I2="","",INDEX(Productos!$I:$I,$I2))</f>
        <v/>
      </c>
      <c r="G511" s="135" t="n">
        <v>4</v>
      </c>
      <c r="H511" s="5">
        <f>IF($I2="","",INDEX(Productos!$AG:$AG,$I2))</f>
        <v/>
      </c>
      <c r="I511" s="136">
        <f>LET(_xlpm.r,Productos!$E$2:$E$370,_xlpm.m,IFERROR(_xlfn.XMATCH(C511,_xlpm.r),IFERROR(_xlfn.XMATCH(VALUE(C511),_xlpm.r),0)),IF(_xlpm.m=0,"",_xlpm.m+1))</f>
        <v/>
      </c>
      <c r="J511" s="137" t="inlineStr">
        <is>
          <t>NetSuite</t>
        </is>
      </c>
    </row>
    <row r="512">
      <c r="A512" s="5" t="inlineStr">
        <is>
          <t>CL POS</t>
        </is>
      </c>
      <c r="B512" s="5">
        <f>IF($I2="","",INDEX(Productos!$A:$A,$I2))</f>
        <v/>
      </c>
      <c r="C512" s="134" t="inlineStr">
        <is>
          <t>CL/DC5/1/CAS/DAR1-UNI</t>
        </is>
      </c>
      <c r="D512" s="5">
        <f>IF($I2="","",INDEX(Productos!$B:$B,$I2))</f>
        <v/>
      </c>
      <c r="E512" s="5">
        <f>IF($I2="","",INDEX(Productos!$H:$H,$I2))</f>
        <v/>
      </c>
      <c r="F512" s="5">
        <f>IF($I2="","",INDEX(Productos!$I:$I,$I2))</f>
        <v/>
      </c>
      <c r="G512" s="135" t="n">
        <v>4</v>
      </c>
      <c r="H512" s="5">
        <f>IF($I2="","",INDEX(Productos!$AG:$AG,$I2))</f>
        <v/>
      </c>
      <c r="I512" s="136">
        <f>LET(_xlpm.r,Productos!$E$2:$E$370,_xlpm.m,IFERROR(_xlfn.XMATCH(C512,_xlpm.r),IFERROR(_xlfn.XMATCH(VALUE(C512),_xlpm.r),0)),IF(_xlpm.m=0,"",_xlpm.m+1))</f>
        <v/>
      </c>
      <c r="J512" s="137" t="inlineStr">
        <is>
          <t>NetSuite</t>
        </is>
      </c>
    </row>
    <row r="513">
      <c r="A513" s="5" t="inlineStr">
        <is>
          <t>CL POS</t>
        </is>
      </c>
      <c r="B513" s="5">
        <f>IF($I2="","",INDEX(Productos!$A:$A,$I2))</f>
        <v/>
      </c>
      <c r="C513" s="134" t="inlineStr">
        <is>
          <t>CL/DC5/1/CAS/JOK2-UNI</t>
        </is>
      </c>
      <c r="D513" s="5">
        <f>IF($I2="","",INDEX(Productos!$B:$B,$I2))</f>
        <v/>
      </c>
      <c r="E513" s="5">
        <f>IF($I2="","",INDEX(Productos!$H:$H,$I2))</f>
        <v/>
      </c>
      <c r="F513" s="5">
        <f>IF($I2="","",INDEX(Productos!$I:$I,$I2))</f>
        <v/>
      </c>
      <c r="G513" s="135" t="n">
        <v>4</v>
      </c>
      <c r="H513" s="5">
        <f>IF($I2="","",INDEX(Productos!$AG:$AG,$I2))</f>
        <v/>
      </c>
      <c r="I513" s="136">
        <f>LET(_xlpm.r,Productos!$E$2:$E$370,_xlpm.m,IFERROR(_xlfn.XMATCH(C513,_xlpm.r),IFERROR(_xlfn.XMATCH(VALUE(C513),_xlpm.r),0)),IF(_xlpm.m=0,"",_xlpm.m+1))</f>
        <v/>
      </c>
      <c r="J513" s="137" t="inlineStr">
        <is>
          <t>NetSuite</t>
        </is>
      </c>
    </row>
    <row r="514">
      <c r="A514" s="5" t="inlineStr">
        <is>
          <t>CL POS</t>
        </is>
      </c>
      <c r="B514" s="5">
        <f>IF($I2="","",INDEX(Productos!$A:$A,$I2))</f>
        <v/>
      </c>
      <c r="C514" s="134" t="inlineStr">
        <is>
          <t>CL/DC6/1/CD/BAT-UNI</t>
        </is>
      </c>
      <c r="D514" s="5">
        <f>IF($I2="","",INDEX(Productos!$B:$B,$I2))</f>
        <v/>
      </c>
      <c r="E514" s="5">
        <f>IF($I2="","",INDEX(Productos!$H:$H,$I2))</f>
        <v/>
      </c>
      <c r="F514" s="5">
        <f>IF($I2="","",INDEX(Productos!$I:$I,$I2))</f>
        <v/>
      </c>
      <c r="G514" s="135" t="n">
        <v>5</v>
      </c>
      <c r="H514" s="5">
        <f>IF($I2="","",INDEX(Productos!$AG:$AG,$I2))</f>
        <v/>
      </c>
      <c r="I514" s="136">
        <f>LET(_xlpm.r,Productos!$E$2:$E$370,_xlpm.m,IFERROR(_xlfn.XMATCH(C514,_xlpm.r),IFERROR(_xlfn.XMATCH(VALUE(C514),_xlpm.r),0)),IF(_xlpm.m=0,"",_xlpm.m+1))</f>
        <v/>
      </c>
      <c r="J514" s="137" t="inlineStr">
        <is>
          <t>NetSuite</t>
        </is>
      </c>
    </row>
    <row r="515">
      <c r="A515" s="5" t="inlineStr">
        <is>
          <t>CL POS</t>
        </is>
      </c>
      <c r="B515" s="5">
        <f>IF($I2="","",INDEX(Productos!$A:$A,$I2))</f>
        <v/>
      </c>
      <c r="C515" s="134" t="inlineStr">
        <is>
          <t>CL/DC6/1/CT/BAT3-UNI</t>
        </is>
      </c>
      <c r="D515" s="5">
        <f>IF($I2="","",INDEX(Productos!$B:$B,$I2))</f>
        <v/>
      </c>
      <c r="E515" s="5">
        <f>IF($I2="","",INDEX(Productos!$H:$H,$I2))</f>
        <v/>
      </c>
      <c r="F515" s="5">
        <f>IF($I2="","",INDEX(Productos!$I:$I,$I2))</f>
        <v/>
      </c>
      <c r="G515" s="135" t="n">
        <v>3</v>
      </c>
      <c r="H515" s="5">
        <f>IF($I2="","",INDEX(Productos!$AG:$AG,$I2))</f>
        <v/>
      </c>
      <c r="I515" s="136">
        <f>LET(_xlpm.r,Productos!$E$2:$E$370,_xlpm.m,IFERROR(_xlfn.XMATCH(C515,_xlpm.r),IFERROR(_xlfn.XMATCH(VALUE(C515),_xlpm.r),0)),IF(_xlpm.m=0,"",_xlpm.m+1))</f>
        <v/>
      </c>
      <c r="J515" s="137" t="inlineStr">
        <is>
          <t>NetSuite</t>
        </is>
      </c>
    </row>
    <row r="516">
      <c r="A516" s="5" t="inlineStr">
        <is>
          <t>CL POS</t>
        </is>
      </c>
      <c r="B516" s="5">
        <f>IF($I2="","",INDEX(Productos!$A:$A,$I2))</f>
        <v/>
      </c>
      <c r="C516" s="134" t="inlineStr">
        <is>
          <t>CL/DC6/1/CT/BTP-UNI</t>
        </is>
      </c>
      <c r="D516" s="5">
        <f>IF($I2="","",INDEX(Productos!$B:$B,$I2))</f>
        <v/>
      </c>
      <c r="E516" s="5">
        <f>IF($I2="","",INDEX(Productos!$H:$H,$I2))</f>
        <v/>
      </c>
      <c r="F516" s="5">
        <f>IF($I2="","",INDEX(Productos!$I:$I,$I2))</f>
        <v/>
      </c>
      <c r="G516" s="135" t="n">
        <v>4</v>
      </c>
      <c r="H516" s="5">
        <f>IF($I2="","",INDEX(Productos!$AG:$AG,$I2))</f>
        <v/>
      </c>
      <c r="I516" s="136">
        <f>LET(_xlpm.r,Productos!$E$2:$E$370,_xlpm.m,IFERROR(_xlfn.XMATCH(C516,_xlpm.r),IFERROR(_xlfn.XMATCH(VALUE(C516),_xlpm.r),0)),IF(_xlpm.m=0,"",_xlpm.m+1))</f>
        <v/>
      </c>
      <c r="J516" s="137" t="inlineStr">
        <is>
          <t>NetSuite</t>
        </is>
      </c>
    </row>
    <row r="517">
      <c r="A517" s="5" t="inlineStr">
        <is>
          <t>CL POS</t>
        </is>
      </c>
      <c r="B517" s="5">
        <f>IF($I2="","",INDEX(Productos!$A:$A,$I2))</f>
        <v/>
      </c>
      <c r="C517" s="134" t="inlineStr">
        <is>
          <t>CL/DC6/1/CT/DAR3-UNI</t>
        </is>
      </c>
      <c r="D517" s="5">
        <f>IF($I2="","",INDEX(Productos!$B:$B,$I2))</f>
        <v/>
      </c>
      <c r="E517" s="5">
        <f>IF($I2="","",INDEX(Productos!$H:$H,$I2))</f>
        <v/>
      </c>
      <c r="F517" s="5">
        <f>IF($I2="","",INDEX(Productos!$I:$I,$I2))</f>
        <v/>
      </c>
      <c r="G517" s="135" t="n">
        <v>4</v>
      </c>
      <c r="H517" s="5">
        <f>IF($I2="","",INDEX(Productos!$AG:$AG,$I2))</f>
        <v/>
      </c>
      <c r="I517" s="136">
        <f>LET(_xlpm.r,Productos!$E$2:$E$370,_xlpm.m,IFERROR(_xlfn.XMATCH(C517,_xlpm.r),IFERROR(_xlfn.XMATCH(VALUE(C517),_xlpm.r),0)),IF(_xlpm.m=0,"",_xlpm.m+1))</f>
        <v/>
      </c>
      <c r="J517" s="137" t="inlineStr">
        <is>
          <t>NetSuite</t>
        </is>
      </c>
    </row>
    <row r="518">
      <c r="A518" s="5" t="inlineStr">
        <is>
          <t>CL POS</t>
        </is>
      </c>
      <c r="B518" s="5">
        <f>IF($I2="","",INDEX(Productos!$A:$A,$I2))</f>
        <v/>
      </c>
      <c r="C518" s="134" t="inlineStr">
        <is>
          <t>CL/DC6/1/CT/MEM3-UNI</t>
        </is>
      </c>
      <c r="D518" s="5">
        <f>IF($I2="","",INDEX(Productos!$B:$B,$I2))</f>
        <v/>
      </c>
      <c r="E518" s="5">
        <f>IF($I2="","",INDEX(Productos!$H:$H,$I2))</f>
        <v/>
      </c>
      <c r="F518" s="5">
        <f>IF($I2="","",INDEX(Productos!$I:$I,$I2))</f>
        <v/>
      </c>
      <c r="G518" s="135" t="n">
        <v>4</v>
      </c>
      <c r="H518" s="5">
        <f>IF($I2="","",INDEX(Productos!$AG:$AG,$I2))</f>
        <v/>
      </c>
      <c r="I518" s="136">
        <f>LET(_xlpm.r,Productos!$E$2:$E$370,_xlpm.m,IFERROR(_xlfn.XMATCH(C518,_xlpm.r),IFERROR(_xlfn.XMATCH(VALUE(C518),_xlpm.r),0)),IF(_xlpm.m=0,"",_xlpm.m+1))</f>
        <v/>
      </c>
      <c r="J518" s="137" t="inlineStr">
        <is>
          <t>NetSuite</t>
        </is>
      </c>
    </row>
    <row r="519">
      <c r="A519" s="5" t="inlineStr">
        <is>
          <t>CL POS</t>
        </is>
      </c>
      <c r="B519" s="5">
        <f>IF($I2="","",INDEX(Productos!$A:$A,$I2))</f>
        <v/>
      </c>
      <c r="C519" s="134" t="inlineStr">
        <is>
          <t>CL/LOO/1/COY1-UNI</t>
        </is>
      </c>
      <c r="D519" s="5">
        <f>IF($I2="","",INDEX(Productos!$B:$B,$I2))</f>
        <v/>
      </c>
      <c r="E519" s="5">
        <f>IF($I2="","",INDEX(Productos!$H:$H,$I2))</f>
        <v/>
      </c>
      <c r="F519" s="5">
        <f>IF($I2="","",INDEX(Productos!$I:$I,$I2))</f>
        <v/>
      </c>
      <c r="G519" s="135" t="n">
        <v>2</v>
      </c>
      <c r="H519" s="5">
        <f>IF($I2="","",INDEX(Productos!$AG:$AG,$I2))</f>
        <v/>
      </c>
      <c r="I519" s="136">
        <f>LET(_xlpm.r,Productos!$E$2:$E$370,_xlpm.m,IFERROR(_xlfn.XMATCH(C519,_xlpm.r),IFERROR(_xlfn.XMATCH(VALUE(C519),_xlpm.r),0)),IF(_xlpm.m=0,"",_xlpm.m+1))</f>
        <v/>
      </c>
      <c r="J519" s="137" t="inlineStr">
        <is>
          <t>NetSuite</t>
        </is>
      </c>
    </row>
    <row r="520">
      <c r="A520" s="5" t="inlineStr">
        <is>
          <t>CL POS</t>
        </is>
      </c>
      <c r="B520" s="5">
        <f>IF($I2="","",INDEX(Productos!$A:$A,$I2))</f>
        <v/>
      </c>
      <c r="C520" s="134" t="inlineStr">
        <is>
          <t>CL/LOO/1/DAF6-UNI</t>
        </is>
      </c>
      <c r="D520" s="5">
        <f>IF($I2="","",INDEX(Productos!$B:$B,$I2))</f>
        <v/>
      </c>
      <c r="E520" s="5">
        <f>IF($I2="","",INDEX(Productos!$H:$H,$I2))</f>
        <v/>
      </c>
      <c r="F520" s="5">
        <f>IF($I2="","",INDEX(Productos!$I:$I,$I2))</f>
        <v/>
      </c>
      <c r="G520" s="135" t="n">
        <v>2</v>
      </c>
      <c r="H520" s="5">
        <f>IF($I2="","",INDEX(Productos!$AG:$AG,$I2))</f>
        <v/>
      </c>
      <c r="I520" s="136">
        <f>LET(_xlpm.r,Productos!$E$2:$E$370,_xlpm.m,IFERROR(_xlfn.XMATCH(C520,_xlpm.r),IFERROR(_xlfn.XMATCH(VALUE(C520),_xlpm.r),0)),IF(_xlpm.m=0,"",_xlpm.m+1))</f>
        <v/>
      </c>
      <c r="J520" s="137" t="inlineStr">
        <is>
          <t>NetSuite</t>
        </is>
      </c>
    </row>
    <row r="521">
      <c r="A521" s="5" t="inlineStr">
        <is>
          <t>CL POS</t>
        </is>
      </c>
      <c r="B521" s="5">
        <f>IF($I2="","",INDEX(Productos!$A:$A,$I2))</f>
        <v/>
      </c>
      <c r="C521" s="134" t="inlineStr">
        <is>
          <t>CL/LOO/1/MAR1-UNI</t>
        </is>
      </c>
      <c r="D521" s="5">
        <f>IF($I2="","",INDEX(Productos!$B:$B,$I2))</f>
        <v/>
      </c>
      <c r="E521" s="5">
        <f>IF($I2="","",INDEX(Productos!$H:$H,$I2))</f>
        <v/>
      </c>
      <c r="F521" s="5">
        <f>IF($I2="","",INDEX(Productos!$I:$I,$I2))</f>
        <v/>
      </c>
      <c r="G521" s="135" t="n">
        <v>1</v>
      </c>
      <c r="H521" s="5">
        <f>IF($I2="","",INDEX(Productos!$AG:$AG,$I2))</f>
        <v/>
      </c>
      <c r="I521" s="136">
        <f>LET(_xlpm.r,Productos!$E$2:$E$370,_xlpm.m,IFERROR(_xlfn.XMATCH(C521,_xlpm.r),IFERROR(_xlfn.XMATCH(VALUE(C521),_xlpm.r),0)),IF(_xlpm.m=0,"",_xlpm.m+1))</f>
        <v/>
      </c>
      <c r="J521" s="137" t="inlineStr">
        <is>
          <t>NetSuite</t>
        </is>
      </c>
    </row>
    <row r="522">
      <c r="A522" s="5" t="inlineStr">
        <is>
          <t>CL POS</t>
        </is>
      </c>
      <c r="B522" s="5">
        <f>IF($I2="","",INDEX(Productos!$A:$A,$I2))</f>
        <v/>
      </c>
      <c r="C522" s="134" t="inlineStr">
        <is>
          <t>CL/LOO/1/MAR2-UNI</t>
        </is>
      </c>
      <c r="D522" s="5">
        <f>IF($I2="","",INDEX(Productos!$B:$B,$I2))</f>
        <v/>
      </c>
      <c r="E522" s="5">
        <f>IF($I2="","",INDEX(Productos!$H:$H,$I2))</f>
        <v/>
      </c>
      <c r="F522" s="5">
        <f>IF($I2="","",INDEX(Productos!$I:$I,$I2))</f>
        <v/>
      </c>
      <c r="G522" s="135" t="n">
        <v>2</v>
      </c>
      <c r="H522" s="5">
        <f>IF($I2="","",INDEX(Productos!$AG:$AG,$I2))</f>
        <v/>
      </c>
      <c r="I522" s="136">
        <f>LET(_xlpm.r,Productos!$E$2:$E$370,_xlpm.m,IFERROR(_xlfn.XMATCH(C522,_xlpm.r),IFERROR(_xlfn.XMATCH(VALUE(C522),_xlpm.r),0)),IF(_xlpm.m=0,"",_xlpm.m+1))</f>
        <v/>
      </c>
      <c r="J522" s="137" t="inlineStr">
        <is>
          <t>NetSuite</t>
        </is>
      </c>
    </row>
    <row r="523">
      <c r="A523" s="5" t="inlineStr">
        <is>
          <t>CL POS</t>
        </is>
      </c>
      <c r="B523" s="5">
        <f>IF($I2="","",INDEX(Productos!$A:$A,$I2))</f>
        <v/>
      </c>
      <c r="C523" s="134" t="inlineStr">
        <is>
          <t>CL/LOO/1/ROA1-UNI</t>
        </is>
      </c>
      <c r="D523" s="5">
        <f>IF($I2="","",INDEX(Productos!$B:$B,$I2))</f>
        <v/>
      </c>
      <c r="E523" s="5">
        <f>IF($I2="","",INDEX(Productos!$H:$H,$I2))</f>
        <v/>
      </c>
      <c r="F523" s="5">
        <f>IF($I2="","",INDEX(Productos!$I:$I,$I2))</f>
        <v/>
      </c>
      <c r="G523" s="135" t="n">
        <v>2</v>
      </c>
      <c r="H523" s="5">
        <f>IF($I2="","",INDEX(Productos!$AG:$AG,$I2))</f>
        <v/>
      </c>
      <c r="I523" s="136">
        <f>LET(_xlpm.r,Productos!$E$2:$E$370,_xlpm.m,IFERROR(_xlfn.XMATCH(C523,_xlpm.r),IFERROR(_xlfn.XMATCH(VALUE(C523),_xlpm.r),0)),IF(_xlpm.m=0,"",_xlpm.m+1))</f>
        <v/>
      </c>
      <c r="J523" s="137" t="inlineStr">
        <is>
          <t>NetSuite</t>
        </is>
      </c>
    </row>
    <row r="524">
      <c r="A524" s="5" t="inlineStr">
        <is>
          <t>CL POS</t>
        </is>
      </c>
      <c r="B524" s="5">
        <f>IF($I2="","",INDEX(Productos!$A:$A,$I2))</f>
        <v/>
      </c>
      <c r="C524" s="134" t="inlineStr">
        <is>
          <t>CL/LOO4/1/DUF1-UNI</t>
        </is>
      </c>
      <c r="D524" s="5">
        <f>IF($I2="","",INDEX(Productos!$B:$B,$I2))</f>
        <v/>
      </c>
      <c r="E524" s="5">
        <f>IF($I2="","",INDEX(Productos!$H:$H,$I2))</f>
        <v/>
      </c>
      <c r="F524" s="5">
        <f>IF($I2="","",INDEX(Productos!$I:$I,$I2))</f>
        <v/>
      </c>
      <c r="G524" s="135" t="n">
        <v>2</v>
      </c>
      <c r="H524" s="5">
        <f>IF($I2="","",INDEX(Productos!$AG:$AG,$I2))</f>
        <v/>
      </c>
      <c r="I524" s="136">
        <f>LET(_xlpm.r,Productos!$E$2:$E$370,_xlpm.m,IFERROR(_xlfn.XMATCH(C524,_xlpm.r),IFERROR(_xlfn.XMATCH(VALUE(C524),_xlpm.r),0)),IF(_xlpm.m=0,"",_xlpm.m+1))</f>
        <v/>
      </c>
      <c r="J524" s="137" t="inlineStr">
        <is>
          <t>NetSuite</t>
        </is>
      </c>
    </row>
    <row r="525">
      <c r="A525" s="5" t="inlineStr">
        <is>
          <t>CL POS</t>
        </is>
      </c>
      <c r="B525" s="5">
        <f>IF($I2="","",INDEX(Productos!$A:$A,$I2))</f>
        <v/>
      </c>
      <c r="C525" s="134" t="inlineStr">
        <is>
          <t>CL/LOO8/1/CD/DAF-UNI</t>
        </is>
      </c>
      <c r="D525" s="5">
        <f>IF($I2="","",INDEX(Productos!$B:$B,$I2))</f>
        <v/>
      </c>
      <c r="E525" s="5">
        <f>IF($I2="","",INDEX(Productos!$H:$H,$I2))</f>
        <v/>
      </c>
      <c r="F525" s="5">
        <f>IF($I2="","",INDEX(Productos!$I:$I,$I2))</f>
        <v/>
      </c>
      <c r="G525" s="135" t="n">
        <v>2</v>
      </c>
      <c r="H525" s="5">
        <f>IF($I2="","",INDEX(Productos!$AG:$AG,$I2))</f>
        <v/>
      </c>
      <c r="I525" s="136">
        <f>LET(_xlpm.r,Productos!$E$2:$E$370,_xlpm.m,IFERROR(_xlfn.XMATCH(C525,_xlpm.r),IFERROR(_xlfn.XMATCH(VALUE(C525),_xlpm.r),0)),IF(_xlpm.m=0,"",_xlpm.m+1))</f>
        <v/>
      </c>
      <c r="J525" s="137" t="inlineStr">
        <is>
          <t>NetSuite</t>
        </is>
      </c>
    </row>
    <row r="526">
      <c r="A526" s="5" t="inlineStr">
        <is>
          <t>CL POS</t>
        </is>
      </c>
      <c r="B526" s="5">
        <f>IF($I2="","",INDEX(Productos!$A:$A,$I2))</f>
        <v/>
      </c>
      <c r="C526" s="134" t="inlineStr">
        <is>
          <t>CL/LOO8/1/CT/BUG3-UNI</t>
        </is>
      </c>
      <c r="D526" s="5">
        <f>IF($I2="","",INDEX(Productos!$B:$B,$I2))</f>
        <v/>
      </c>
      <c r="E526" s="5">
        <f>IF($I2="","",INDEX(Productos!$H:$H,$I2))</f>
        <v/>
      </c>
      <c r="F526" s="5">
        <f>IF($I2="","",INDEX(Productos!$I:$I,$I2))</f>
        <v/>
      </c>
      <c r="G526" s="135" t="n">
        <v>2</v>
      </c>
      <c r="H526" s="5">
        <f>IF($I2="","",INDEX(Productos!$AG:$AG,$I2))</f>
        <v/>
      </c>
      <c r="I526" s="136">
        <f>LET(_xlpm.r,Productos!$E$2:$E$370,_xlpm.m,IFERROR(_xlfn.XMATCH(C526,_xlpm.r),IFERROR(_xlfn.XMATCH(VALUE(C526),_xlpm.r),0)),IF(_xlpm.m=0,"",_xlpm.m+1))</f>
        <v/>
      </c>
      <c r="J526" s="137" t="inlineStr">
        <is>
          <t>NetSuite</t>
        </is>
      </c>
    </row>
    <row r="527">
      <c r="A527" s="5" t="inlineStr">
        <is>
          <t>CL POS</t>
        </is>
      </c>
      <c r="B527" s="5">
        <f>IF($I2="","",INDEX(Productos!$A:$A,$I2))</f>
        <v/>
      </c>
      <c r="C527" s="134" t="inlineStr">
        <is>
          <t>CL/LOO8/1/CT/DAF1-UNI</t>
        </is>
      </c>
      <c r="D527" s="5">
        <f>IF($I2="","",INDEX(Productos!$B:$B,$I2))</f>
        <v/>
      </c>
      <c r="E527" s="5">
        <f>IF($I2="","",INDEX(Productos!$H:$H,$I2))</f>
        <v/>
      </c>
      <c r="F527" s="5">
        <f>IF($I2="","",INDEX(Productos!$I:$I,$I2))</f>
        <v/>
      </c>
      <c r="G527" s="135" t="n">
        <v>1</v>
      </c>
      <c r="H527" s="5">
        <f>IF($I2="","",INDEX(Productos!$AG:$AG,$I2))</f>
        <v/>
      </c>
      <c r="I527" s="136">
        <f>LET(_xlpm.r,Productos!$E$2:$E$370,_xlpm.m,IFERROR(_xlfn.XMATCH(C527,_xlpm.r),IFERROR(_xlfn.XMATCH(VALUE(C527),_xlpm.r),0)),IF(_xlpm.m=0,"",_xlpm.m+1))</f>
        <v/>
      </c>
      <c r="J527" s="137" t="inlineStr">
        <is>
          <t>NetSuite</t>
        </is>
      </c>
    </row>
    <row r="528">
      <c r="A528" s="5" t="inlineStr">
        <is>
          <t>CL POS</t>
        </is>
      </c>
      <c r="B528" s="5">
        <f>IF($I2="","",INDEX(Productos!$A:$A,$I2))</f>
        <v/>
      </c>
      <c r="C528" s="134" t="inlineStr">
        <is>
          <t>CL/LOO8/1/CT/TAZ1-UNI</t>
        </is>
      </c>
      <c r="D528" s="5">
        <f>IF($I2="","",INDEX(Productos!$B:$B,$I2))</f>
        <v/>
      </c>
      <c r="E528" s="5">
        <f>IF($I2="","",INDEX(Productos!$H:$H,$I2))</f>
        <v/>
      </c>
      <c r="F528" s="5">
        <f>IF($I2="","",INDEX(Productos!$I:$I,$I2))</f>
        <v/>
      </c>
      <c r="G528" s="135" t="n">
        <v>2</v>
      </c>
      <c r="H528" s="5">
        <f>IF($I2="","",INDEX(Productos!$AG:$AG,$I2))</f>
        <v/>
      </c>
      <c r="I528" s="136">
        <f>LET(_xlpm.r,Productos!$E$2:$E$370,_xlpm.m,IFERROR(_xlfn.XMATCH(C528,_xlpm.r),IFERROR(_xlfn.XMATCH(VALUE(C528),_xlpm.r),0)),IF(_xlpm.m=0,"",_xlpm.m+1))</f>
        <v/>
      </c>
      <c r="J528" s="137" t="inlineStr">
        <is>
          <t>NetSuite</t>
        </is>
      </c>
    </row>
    <row r="529">
      <c r="A529" s="5" t="inlineStr">
        <is>
          <t>CL POS</t>
        </is>
      </c>
      <c r="B529" s="5">
        <f>IF($I2="","",INDEX(Productos!$A:$A,$I2))</f>
        <v/>
      </c>
      <c r="C529" s="134" t="inlineStr">
        <is>
          <t>CL/MAR3/1/HUL1-UNI</t>
        </is>
      </c>
      <c r="D529" s="5">
        <f>IF($I2="","",INDEX(Productos!$B:$B,$I2))</f>
        <v/>
      </c>
      <c r="E529" s="5">
        <f>IF($I2="","",INDEX(Productos!$H:$H,$I2))</f>
        <v/>
      </c>
      <c r="F529" s="5">
        <f>IF($I2="","",INDEX(Productos!$I:$I,$I2))</f>
        <v/>
      </c>
      <c r="G529" s="135" t="n">
        <v>4</v>
      </c>
      <c r="H529" s="5">
        <f>IF($I2="","",INDEX(Productos!$AG:$AG,$I2))</f>
        <v/>
      </c>
      <c r="I529" s="136">
        <f>LET(_xlpm.r,Productos!$E$2:$E$370,_xlpm.m,IFERROR(_xlfn.XMATCH(C529,_xlpm.r),IFERROR(_xlfn.XMATCH(VALUE(C529),_xlpm.r),0)),IF(_xlpm.m=0,"",_xlpm.m+1))</f>
        <v/>
      </c>
      <c r="J529" s="137" t="inlineStr">
        <is>
          <t>NetSuite</t>
        </is>
      </c>
    </row>
    <row r="530">
      <c r="A530" s="5" t="inlineStr">
        <is>
          <t>CL POS</t>
        </is>
      </c>
      <c r="B530" s="5">
        <f>IF($I2="","",INDEX(Productos!$A:$A,$I2))</f>
        <v/>
      </c>
      <c r="C530" s="134" t="inlineStr">
        <is>
          <t>CL/MAR6/1/CD/DEA-UNI</t>
        </is>
      </c>
      <c r="D530" s="5">
        <f>IF($I2="","",INDEX(Productos!$B:$B,$I2))</f>
        <v/>
      </c>
      <c r="E530" s="5">
        <f>IF($I2="","",INDEX(Productos!$H:$H,$I2))</f>
        <v/>
      </c>
      <c r="F530" s="5">
        <f>IF($I2="","",INDEX(Productos!$I:$I,$I2))</f>
        <v/>
      </c>
      <c r="G530" s="135" t="n">
        <v>4</v>
      </c>
      <c r="H530" s="5">
        <f>IF($I2="","",INDEX(Productos!$AG:$AG,$I2))</f>
        <v/>
      </c>
      <c r="I530" s="136">
        <f>LET(_xlpm.r,Productos!$E$2:$E$370,_xlpm.m,IFERROR(_xlfn.XMATCH(C530,_xlpm.r),IFERROR(_xlfn.XMATCH(VALUE(C530),_xlpm.r),0)),IF(_xlpm.m=0,"",_xlpm.m+1))</f>
        <v/>
      </c>
      <c r="J530" s="137" t="inlineStr">
        <is>
          <t>NetSuite</t>
        </is>
      </c>
    </row>
    <row r="531">
      <c r="A531" s="5" t="inlineStr">
        <is>
          <t>CL POS</t>
        </is>
      </c>
      <c r="B531" s="5">
        <f>IF($I2="","",INDEX(Productos!$A:$A,$I2))</f>
        <v/>
      </c>
      <c r="C531" s="134" t="inlineStr">
        <is>
          <t>CL/MAR6/1/CT/BAD1-UNI</t>
        </is>
      </c>
      <c r="D531" s="5">
        <f>IF($I2="","",INDEX(Productos!$B:$B,$I2))</f>
        <v/>
      </c>
      <c r="E531" s="5">
        <f>IF($I2="","",INDEX(Productos!$H:$H,$I2))</f>
        <v/>
      </c>
      <c r="F531" s="5">
        <f>IF($I2="","",INDEX(Productos!$I:$I,$I2))</f>
        <v/>
      </c>
      <c r="G531" s="135" t="n">
        <v>3</v>
      </c>
      <c r="H531" s="5">
        <f>IF($I2="","",INDEX(Productos!$AG:$AG,$I2))</f>
        <v/>
      </c>
      <c r="I531" s="136">
        <f>LET(_xlpm.r,Productos!$E$2:$E$370,_xlpm.m,IFERROR(_xlfn.XMATCH(C531,_xlpm.r),IFERROR(_xlfn.XMATCH(VALUE(C531),_xlpm.r),0)),IF(_xlpm.m=0,"",_xlpm.m+1))</f>
        <v/>
      </c>
      <c r="J531" s="137" t="inlineStr">
        <is>
          <t>NetSuite</t>
        </is>
      </c>
    </row>
    <row r="532">
      <c r="A532" s="5" t="inlineStr">
        <is>
          <t>CL POS</t>
        </is>
      </c>
      <c r="B532" s="5">
        <f>IF($I2="","",INDEX(Productos!$A:$A,$I2))</f>
        <v/>
      </c>
      <c r="C532" s="134" t="inlineStr">
        <is>
          <t>CL/MAR6/1/CT/GRO1-UNI</t>
        </is>
      </c>
      <c r="D532" s="5">
        <f>IF($I2="","",INDEX(Productos!$B:$B,$I2))</f>
        <v/>
      </c>
      <c r="E532" s="5">
        <f>IF($I2="","",INDEX(Productos!$H:$H,$I2))</f>
        <v/>
      </c>
      <c r="F532" s="5">
        <f>IF($I2="","",INDEX(Productos!$I:$I,$I2))</f>
        <v/>
      </c>
      <c r="G532" s="135" t="n">
        <v>4</v>
      </c>
      <c r="H532" s="5">
        <f>IF($I2="","",INDEX(Productos!$AG:$AG,$I2))</f>
        <v/>
      </c>
      <c r="I532" s="136">
        <f>LET(_xlpm.r,Productos!$E$2:$E$370,_xlpm.m,IFERROR(_xlfn.XMATCH(C532,_xlpm.r),IFERROR(_xlfn.XMATCH(VALUE(C532),_xlpm.r),0)),IF(_xlpm.m=0,"",_xlpm.m+1))</f>
        <v/>
      </c>
      <c r="J532" s="137" t="inlineStr">
        <is>
          <t>NetSuite</t>
        </is>
      </c>
    </row>
    <row r="533">
      <c r="A533" s="5" t="inlineStr">
        <is>
          <t>CL POS</t>
        </is>
      </c>
      <c r="B533" s="5">
        <f>IF($I2="","",INDEX(Productos!$A:$A,$I2))</f>
        <v/>
      </c>
      <c r="C533" s="134" t="inlineStr">
        <is>
          <t>CL/MAR6/1/CT/LOG1-UNI</t>
        </is>
      </c>
      <c r="D533" s="5">
        <f>IF($I2="","",INDEX(Productos!$B:$B,$I2))</f>
        <v/>
      </c>
      <c r="E533" s="5">
        <f>IF($I2="","",INDEX(Productos!$H:$H,$I2))</f>
        <v/>
      </c>
      <c r="F533" s="5">
        <f>IF($I2="","",INDEX(Productos!$I:$I,$I2))</f>
        <v/>
      </c>
      <c r="G533" s="135" t="n">
        <v>3</v>
      </c>
      <c r="H533" s="5">
        <f>IF($I2="","",INDEX(Productos!$AG:$AG,$I2))</f>
        <v/>
      </c>
      <c r="I533" s="136">
        <f>LET(_xlpm.r,Productos!$E$2:$E$370,_xlpm.m,IFERROR(_xlfn.XMATCH(C533,_xlpm.r),IFERROR(_xlfn.XMATCH(VALUE(C533),_xlpm.r),0)),IF(_xlpm.m=0,"",_xlpm.m+1))</f>
        <v/>
      </c>
      <c r="J533" s="137" t="inlineStr">
        <is>
          <t>NetSuite</t>
        </is>
      </c>
    </row>
    <row r="534">
      <c r="A534" s="5" t="inlineStr">
        <is>
          <t>CL POS</t>
        </is>
      </c>
      <c r="B534" s="5">
        <f>IF($I2="","",INDEX(Productos!$A:$A,$I2))</f>
        <v/>
      </c>
      <c r="C534" s="134" t="inlineStr">
        <is>
          <t>CL/MAR6/1/CT/THO-UNI</t>
        </is>
      </c>
      <c r="D534" s="5">
        <f>IF($I2="","",INDEX(Productos!$B:$B,$I2))</f>
        <v/>
      </c>
      <c r="E534" s="5">
        <f>IF($I2="","",INDEX(Productos!$H:$H,$I2))</f>
        <v/>
      </c>
      <c r="F534" s="5">
        <f>IF($I2="","",INDEX(Productos!$I:$I,$I2))</f>
        <v/>
      </c>
      <c r="G534" s="135" t="n">
        <v>4</v>
      </c>
      <c r="H534" s="5">
        <f>IF($I2="","",INDEX(Productos!$AG:$AG,$I2))</f>
        <v/>
      </c>
      <c r="I534" s="136">
        <f>LET(_xlpm.r,Productos!$E$2:$E$370,_xlpm.m,IFERROR(_xlfn.XMATCH(C534,_xlpm.r),IFERROR(_xlfn.XMATCH(VALUE(C534),_xlpm.r),0)),IF(_xlpm.m=0,"",_xlpm.m+1))</f>
        <v/>
      </c>
      <c r="J534" s="137" t="inlineStr">
        <is>
          <t>NetSuite</t>
        </is>
      </c>
    </row>
    <row r="535">
      <c r="A535" s="5" t="inlineStr">
        <is>
          <t>CL POS</t>
        </is>
      </c>
      <c r="B535" s="5">
        <f>IF($I2="","",INDEX(Productos!$A:$A,$I2))</f>
        <v/>
      </c>
      <c r="C535" s="134" t="inlineStr">
        <is>
          <t>CL/MAR6/3/CT/BAD1-UNIJR</t>
        </is>
      </c>
      <c r="D535" s="5">
        <f>IF($I2="","",INDEX(Productos!$B:$B,$I2))</f>
        <v/>
      </c>
      <c r="E535" s="5">
        <f>IF($I2="","",INDEX(Productos!$H:$H,$I2))</f>
        <v/>
      </c>
      <c r="F535" s="5">
        <f>IF($I2="","",INDEX(Productos!$I:$I,$I2))</f>
        <v/>
      </c>
      <c r="G535" s="135" t="n">
        <v>4</v>
      </c>
      <c r="H535" s="5">
        <f>IF($I2="","",INDEX(Productos!$AG:$AG,$I2))</f>
        <v/>
      </c>
      <c r="I535" s="136">
        <f>LET(_xlpm.r,Productos!$E$2:$E$370,_xlpm.m,IFERROR(_xlfn.XMATCH(C535,_xlpm.r),IFERROR(_xlfn.XMATCH(VALUE(C535),_xlpm.r),0)),IF(_xlpm.m=0,"",_xlpm.m+1))</f>
        <v/>
      </c>
      <c r="J535" s="137" t="inlineStr">
        <is>
          <t>NetSuite</t>
        </is>
      </c>
    </row>
    <row r="536">
      <c r="A536" s="5" t="inlineStr">
        <is>
          <t>CL POS</t>
        </is>
      </c>
      <c r="B536" s="5">
        <f>IF($I2="","",INDEX(Productos!$A:$A,$I2))</f>
        <v/>
      </c>
      <c r="C536" s="134" t="inlineStr">
        <is>
          <t>CL/NS/1/AKA2-UNI</t>
        </is>
      </c>
      <c r="D536" s="5">
        <f>IF($I2="","",INDEX(Productos!$B:$B,$I2))</f>
        <v/>
      </c>
      <c r="E536" s="5">
        <f>IF($I2="","",INDEX(Productos!$H:$H,$I2))</f>
        <v/>
      </c>
      <c r="F536" s="5">
        <f>IF($I2="","",INDEX(Productos!$I:$I,$I2))</f>
        <v/>
      </c>
      <c r="G536" s="135" t="n">
        <v>4</v>
      </c>
      <c r="H536" s="5">
        <f>IF($I2="","",INDEX(Productos!$AG:$AG,$I2))</f>
        <v/>
      </c>
      <c r="I536" s="136">
        <f>LET(_xlpm.r,Productos!$E$2:$E$370,_xlpm.m,IFERROR(_xlfn.XMATCH(C536,_xlpm.r),IFERROR(_xlfn.XMATCH(VALUE(C536),_xlpm.r),0)),IF(_xlpm.m=0,"",_xlpm.m+1))</f>
        <v/>
      </c>
      <c r="J536" s="137" t="inlineStr">
        <is>
          <t>NetSuite</t>
        </is>
      </c>
    </row>
    <row r="537">
      <c r="A537" s="5" t="inlineStr">
        <is>
          <t>CL POS</t>
        </is>
      </c>
      <c r="B537" s="5">
        <f>IF($I2="","",INDEX(Productos!$A:$A,$I2))</f>
        <v/>
      </c>
      <c r="C537" s="134" t="inlineStr">
        <is>
          <t>CL/NS/1/BAN-UNI</t>
        </is>
      </c>
      <c r="D537" s="5">
        <f>IF($I2="","",INDEX(Productos!$B:$B,$I2))</f>
        <v/>
      </c>
      <c r="E537" s="5">
        <f>IF($I2="","",INDEX(Productos!$H:$H,$I2))</f>
        <v/>
      </c>
      <c r="F537" s="5">
        <f>IF($I2="","",INDEX(Productos!$I:$I,$I2))</f>
        <v/>
      </c>
      <c r="G537" s="135" t="n">
        <v>4</v>
      </c>
      <c r="H537" s="5">
        <f>IF($I2="","",INDEX(Productos!$AG:$AG,$I2))</f>
        <v/>
      </c>
      <c r="I537" s="136">
        <f>LET(_xlpm.r,Productos!$E$2:$E$370,_xlpm.m,IFERROR(_xlfn.XMATCH(C537,_xlpm.r),IFERROR(_xlfn.XMATCH(VALUE(C537),_xlpm.r),0)),IF(_xlpm.m=0,"",_xlpm.m+1))</f>
        <v/>
      </c>
      <c r="J537" s="137" t="inlineStr">
        <is>
          <t>NetSuite</t>
        </is>
      </c>
    </row>
    <row r="538">
      <c r="A538" s="5" t="inlineStr">
        <is>
          <t>CL POS</t>
        </is>
      </c>
      <c r="B538" s="5">
        <f>IF($I2="","",INDEX(Productos!$A:$A,$I2))</f>
        <v/>
      </c>
      <c r="C538" s="134" t="inlineStr">
        <is>
          <t>CL/NS/1/FIR1-UNI</t>
        </is>
      </c>
      <c r="D538" s="5">
        <f>IF($I2="","",INDEX(Productos!$B:$B,$I2))</f>
        <v/>
      </c>
      <c r="E538" s="5">
        <f>IF($I2="","",INDEX(Productos!$H:$H,$I2))</f>
        <v/>
      </c>
      <c r="F538" s="5">
        <f>IF($I2="","",INDEX(Productos!$I:$I,$I2))</f>
        <v/>
      </c>
      <c r="G538" s="135" t="n">
        <v>4</v>
      </c>
      <c r="H538" s="5">
        <f>IF($I2="","",INDEX(Productos!$AG:$AG,$I2))</f>
        <v/>
      </c>
      <c r="I538" s="136">
        <f>LET(_xlpm.r,Productos!$E$2:$E$370,_xlpm.m,IFERROR(_xlfn.XMATCH(C538,_xlpm.r),IFERROR(_xlfn.XMATCH(VALUE(C538),_xlpm.r),0)),IF(_xlpm.m=0,"",_xlpm.m+1))</f>
        <v/>
      </c>
      <c r="J538" s="137" t="inlineStr">
        <is>
          <t>NetSuite</t>
        </is>
      </c>
    </row>
    <row r="539">
      <c r="A539" s="5" t="inlineStr">
        <is>
          <t>CL POS</t>
        </is>
      </c>
      <c r="B539" s="5">
        <f>IF($I2="","",INDEX(Productos!$A:$A,$I2))</f>
        <v/>
      </c>
      <c r="C539" s="134" t="inlineStr">
        <is>
          <t>CL/NS/1/NAR1-UNI</t>
        </is>
      </c>
      <c r="D539" s="5">
        <f>IF($I2="","",INDEX(Productos!$B:$B,$I2))</f>
        <v/>
      </c>
      <c r="E539" s="5">
        <f>IF($I2="","",INDEX(Productos!$H:$H,$I2))</f>
        <v/>
      </c>
      <c r="F539" s="5">
        <f>IF($I2="","",INDEX(Productos!$I:$I,$I2))</f>
        <v/>
      </c>
      <c r="G539" s="135" t="n">
        <v>3</v>
      </c>
      <c r="H539" s="5">
        <f>IF($I2="","",INDEX(Productos!$AG:$AG,$I2))</f>
        <v/>
      </c>
      <c r="I539" s="136">
        <f>LET(_xlpm.r,Productos!$E$2:$E$370,_xlpm.m,IFERROR(_xlfn.XMATCH(C539,_xlpm.r),IFERROR(_xlfn.XMATCH(VALUE(C539),_xlpm.r),0)),IF(_xlpm.m=0,"",_xlpm.m+1))</f>
        <v/>
      </c>
      <c r="J539" s="137" t="inlineStr">
        <is>
          <t>NetSuite</t>
        </is>
      </c>
    </row>
    <row r="540">
      <c r="A540" s="5" t="inlineStr">
        <is>
          <t>CL POS</t>
        </is>
      </c>
      <c r="B540" s="5">
        <f>IF($I2="","",INDEX(Productos!$A:$A,$I2))</f>
        <v/>
      </c>
      <c r="C540" s="134" t="inlineStr">
        <is>
          <t>CL/NS/1/NAR2-UNI</t>
        </is>
      </c>
      <c r="D540" s="5">
        <f>IF($I2="","",INDEX(Productos!$B:$B,$I2))</f>
        <v/>
      </c>
      <c r="E540" s="5">
        <f>IF($I2="","",INDEX(Productos!$H:$H,$I2))</f>
        <v/>
      </c>
      <c r="F540" s="5">
        <f>IF($I2="","",INDEX(Productos!$I:$I,$I2))</f>
        <v/>
      </c>
      <c r="G540" s="135" t="n">
        <v>4</v>
      </c>
      <c r="H540" s="5">
        <f>IF($I2="","",INDEX(Productos!$AG:$AG,$I2))</f>
        <v/>
      </c>
      <c r="I540" s="136">
        <f>LET(_xlpm.r,Productos!$E$2:$E$370,_xlpm.m,IFERROR(_xlfn.XMATCH(C540,_xlpm.r),IFERROR(_xlfn.XMATCH(VALUE(C540),_xlpm.r),0)),IF(_xlpm.m=0,"",_xlpm.m+1))</f>
        <v/>
      </c>
      <c r="J540" s="137" t="inlineStr">
        <is>
          <t>NetSuite</t>
        </is>
      </c>
    </row>
    <row r="541">
      <c r="A541" s="5" t="inlineStr">
        <is>
          <t>CL POS</t>
        </is>
      </c>
      <c r="B541" s="5">
        <f>IF($I2="","",INDEX(Productos!$A:$A,$I2))</f>
        <v/>
      </c>
      <c r="C541" s="134" t="inlineStr">
        <is>
          <t>CL/NS/1/RAS2-UNI</t>
        </is>
      </c>
      <c r="D541" s="5">
        <f>IF($I2="","",INDEX(Productos!$B:$B,$I2))</f>
        <v/>
      </c>
      <c r="E541" s="5">
        <f>IF($I2="","",INDEX(Productos!$H:$H,$I2))</f>
        <v/>
      </c>
      <c r="F541" s="5">
        <f>IF($I2="","",INDEX(Productos!$I:$I,$I2))</f>
        <v/>
      </c>
      <c r="G541" s="135" t="n">
        <v>4</v>
      </c>
      <c r="H541" s="5">
        <f>IF($I2="","",INDEX(Productos!$AG:$AG,$I2))</f>
        <v/>
      </c>
      <c r="I541" s="136">
        <f>LET(_xlpm.r,Productos!$E$2:$E$370,_xlpm.m,IFERROR(_xlfn.XMATCH(C541,_xlpm.r),IFERROR(_xlfn.XMATCH(VALUE(C541),_xlpm.r),0)),IF(_xlpm.m=0,"",_xlpm.m+1))</f>
        <v/>
      </c>
      <c r="J541" s="137" t="inlineStr">
        <is>
          <t>NetSuite</t>
        </is>
      </c>
    </row>
    <row r="542">
      <c r="A542" s="5" t="inlineStr">
        <is>
          <t>CL POS</t>
        </is>
      </c>
      <c r="B542" s="5">
        <f>IF($I2="","",INDEX(Productos!$A:$A,$I2))</f>
        <v/>
      </c>
      <c r="C542" s="134" t="inlineStr">
        <is>
          <t>CL/NS/3/AKA2-UNIJR</t>
        </is>
      </c>
      <c r="D542" s="5">
        <f>IF($I2="","",INDEX(Productos!$B:$B,$I2))</f>
        <v/>
      </c>
      <c r="E542" s="5">
        <f>IF($I2="","",INDEX(Productos!$H:$H,$I2))</f>
        <v/>
      </c>
      <c r="F542" s="5">
        <f>IF($I2="","",INDEX(Productos!$I:$I,$I2))</f>
        <v/>
      </c>
      <c r="G542" s="135" t="n">
        <v>4</v>
      </c>
      <c r="H542" s="5">
        <f>IF($I2="","",INDEX(Productos!$AG:$AG,$I2))</f>
        <v/>
      </c>
      <c r="I542" s="136">
        <f>LET(_xlpm.r,Productos!$E$2:$E$370,_xlpm.m,IFERROR(_xlfn.XMATCH(C542,_xlpm.r),IFERROR(_xlfn.XMATCH(VALUE(C542),_xlpm.r),0)),IF(_xlpm.m=0,"",_xlpm.m+1))</f>
        <v/>
      </c>
      <c r="J542" s="137" t="inlineStr">
        <is>
          <t>NetSuite</t>
        </is>
      </c>
    </row>
    <row r="543">
      <c r="A543" s="5" t="inlineStr">
        <is>
          <t>CL POS</t>
        </is>
      </c>
      <c r="B543" s="5">
        <f>IF($I2="","",INDEX(Productos!$A:$A,$I2))</f>
        <v/>
      </c>
      <c r="C543" s="134" t="inlineStr">
        <is>
          <t>CL/NS/3/KAK1-UNI</t>
        </is>
      </c>
      <c r="D543" s="5">
        <f>IF($I2="","",INDEX(Productos!$B:$B,$I2))</f>
        <v/>
      </c>
      <c r="E543" s="5">
        <f>IF($I2="","",INDEX(Productos!$H:$H,$I2))</f>
        <v/>
      </c>
      <c r="F543" s="5">
        <f>IF($I2="","",INDEX(Productos!$I:$I,$I2))</f>
        <v/>
      </c>
      <c r="G543" s="135" t="n">
        <v>4</v>
      </c>
      <c r="H543" s="5">
        <f>IF($I2="","",INDEX(Productos!$AG:$AG,$I2))</f>
        <v/>
      </c>
      <c r="I543" s="136">
        <f>LET(_xlpm.r,Productos!$E$2:$E$370,_xlpm.m,IFERROR(_xlfn.XMATCH(C543,_xlpm.r),IFERROR(_xlfn.XMATCH(VALUE(C543),_xlpm.r),0)),IF(_xlpm.m=0,"",_xlpm.m+1))</f>
        <v/>
      </c>
      <c r="J543" s="137" t="inlineStr">
        <is>
          <t>NetSuite</t>
        </is>
      </c>
    </row>
    <row r="544">
      <c r="A544" s="5" t="inlineStr">
        <is>
          <t>CL POS</t>
        </is>
      </c>
      <c r="B544" s="5">
        <f>IF($I2="","",INDEX(Productos!$A:$A,$I2))</f>
        <v/>
      </c>
      <c r="C544" s="134" t="inlineStr">
        <is>
          <t>CL/NS/3/NAR2-UNIJR</t>
        </is>
      </c>
      <c r="D544" s="5">
        <f>IF($I2="","",INDEX(Productos!$B:$B,$I2))</f>
        <v/>
      </c>
      <c r="E544" s="5">
        <f>IF($I2="","",INDEX(Productos!$H:$H,$I2))</f>
        <v/>
      </c>
      <c r="F544" s="5">
        <f>IF($I2="","",INDEX(Productos!$I:$I,$I2))</f>
        <v/>
      </c>
      <c r="G544" s="135" t="n">
        <v>4</v>
      </c>
      <c r="H544" s="5">
        <f>IF($I2="","",INDEX(Productos!$AG:$AG,$I2))</f>
        <v/>
      </c>
      <c r="I544" s="136">
        <f>LET(_xlpm.r,Productos!$E$2:$E$370,_xlpm.m,IFERROR(_xlfn.XMATCH(C544,_xlpm.r),IFERROR(_xlfn.XMATCH(VALUE(C544),_xlpm.r),0)),IF(_xlpm.m=0,"",_xlpm.m+1))</f>
        <v/>
      </c>
      <c r="J544" s="137" t="inlineStr">
        <is>
          <t>NetSuite</t>
        </is>
      </c>
    </row>
    <row r="545">
      <c r="A545" s="5" t="inlineStr">
        <is>
          <t>CL POS</t>
        </is>
      </c>
      <c r="B545" s="5">
        <f>IF($I2="","",INDEX(Productos!$A:$A,$I2))</f>
        <v/>
      </c>
      <c r="C545" s="134" t="inlineStr">
        <is>
          <t>CL/NS2/1/CD/NUA-UNI</t>
        </is>
      </c>
      <c r="D545" s="5">
        <f>IF($I2="","",INDEX(Productos!$B:$B,$I2))</f>
        <v/>
      </c>
      <c r="E545" s="5">
        <f>IF($I2="","",INDEX(Productos!$H:$H,$I2))</f>
        <v/>
      </c>
      <c r="F545" s="5">
        <f>IF($I2="","",INDEX(Productos!$I:$I,$I2))</f>
        <v/>
      </c>
      <c r="G545" s="135" t="n">
        <v>4</v>
      </c>
      <c r="H545" s="5">
        <f>IF($I2="","",INDEX(Productos!$AG:$AG,$I2))</f>
        <v/>
      </c>
      <c r="I545" s="136">
        <f>LET(_xlpm.r,Productos!$E$2:$E$370,_xlpm.m,IFERROR(_xlfn.XMATCH(C545,_xlpm.r),IFERROR(_xlfn.XMATCH(VALUE(C545),_xlpm.r),0)),IF(_xlpm.m=0,"",_xlpm.m+1))</f>
        <v/>
      </c>
      <c r="J545" s="137" t="inlineStr">
        <is>
          <t>NetSuite</t>
        </is>
      </c>
    </row>
    <row r="546">
      <c r="A546" s="5" t="inlineStr">
        <is>
          <t>CL POS</t>
        </is>
      </c>
      <c r="B546" s="5">
        <f>IF($I2="","",INDEX(Productos!$A:$A,$I2))</f>
        <v/>
      </c>
      <c r="C546" s="134" t="inlineStr">
        <is>
          <t>CL/NS2/1/CT/IGB-UNI</t>
        </is>
      </c>
      <c r="D546" s="5">
        <f>IF($I2="","",INDEX(Productos!$B:$B,$I2))</f>
        <v/>
      </c>
      <c r="E546" s="5">
        <f>IF($I2="","",INDEX(Productos!$H:$H,$I2))</f>
        <v/>
      </c>
      <c r="F546" s="5">
        <f>IF($I2="","",INDEX(Productos!$I:$I,$I2))</f>
        <v/>
      </c>
      <c r="G546" s="135" t="n">
        <v>4</v>
      </c>
      <c r="H546" s="5">
        <f>IF($I2="","",INDEX(Productos!$AG:$AG,$I2))</f>
        <v/>
      </c>
      <c r="I546" s="136">
        <f>LET(_xlpm.r,Productos!$E$2:$E$370,_xlpm.m,IFERROR(_xlfn.XMATCH(C546,_xlpm.r),IFERROR(_xlfn.XMATCH(VALUE(C546),_xlpm.r),0)),IF(_xlpm.m=0,"",_xlpm.m+1))</f>
        <v/>
      </c>
      <c r="J546" s="137" t="inlineStr">
        <is>
          <t>NetSuite</t>
        </is>
      </c>
    </row>
    <row r="547">
      <c r="A547" s="5" t="inlineStr">
        <is>
          <t>CL POS</t>
        </is>
      </c>
      <c r="B547" s="5">
        <f>IF($I2="","",INDEX(Productos!$A:$A,$I2))</f>
        <v/>
      </c>
      <c r="C547" s="134" t="inlineStr">
        <is>
          <t>CL/NS2/1/CT/INU-UNI</t>
        </is>
      </c>
      <c r="D547" s="5">
        <f>IF($I2="","",INDEX(Productos!$B:$B,$I2))</f>
        <v/>
      </c>
      <c r="E547" s="5">
        <f>IF($I2="","",INDEX(Productos!$H:$H,$I2))</f>
        <v/>
      </c>
      <c r="F547" s="5">
        <f>IF($I2="","",INDEX(Productos!$I:$I,$I2))</f>
        <v/>
      </c>
      <c r="G547" s="135" t="n">
        <v>4</v>
      </c>
      <c r="H547" s="5">
        <f>IF($I2="","",INDEX(Productos!$AG:$AG,$I2))</f>
        <v/>
      </c>
      <c r="I547" s="136">
        <f>LET(_xlpm.r,Productos!$E$2:$E$370,_xlpm.m,IFERROR(_xlfn.XMATCH(C547,_xlpm.r),IFERROR(_xlfn.XMATCH(VALUE(C547),_xlpm.r),0)),IF(_xlpm.m=0,"",_xlpm.m+1))</f>
        <v/>
      </c>
      <c r="J547" s="137" t="inlineStr">
        <is>
          <t>NetSuite</t>
        </is>
      </c>
    </row>
    <row r="548">
      <c r="A548" s="5" t="inlineStr">
        <is>
          <t>CL POS</t>
        </is>
      </c>
      <c r="B548" s="5">
        <f>IF($I2="","",INDEX(Productos!$A:$A,$I2))</f>
        <v/>
      </c>
      <c r="C548" s="134" t="inlineStr">
        <is>
          <t>CL/NS2/1/CT/NGJ-UNI</t>
        </is>
      </c>
      <c r="D548" s="5">
        <f>IF($I2="","",INDEX(Productos!$B:$B,$I2))</f>
        <v/>
      </c>
      <c r="E548" s="5">
        <f>IF($I2="","",INDEX(Productos!$H:$H,$I2))</f>
        <v/>
      </c>
      <c r="F548" s="5">
        <f>IF($I2="","",INDEX(Productos!$I:$I,$I2))</f>
        <v/>
      </c>
      <c r="G548" s="135" t="n">
        <v>4</v>
      </c>
      <c r="H548" s="5">
        <f>IF($I2="","",INDEX(Productos!$AG:$AG,$I2))</f>
        <v/>
      </c>
      <c r="I548" s="136">
        <f>LET(_xlpm.r,Productos!$E$2:$E$370,_xlpm.m,IFERROR(_xlfn.XMATCH(C548,_xlpm.r),IFERROR(_xlfn.XMATCH(VALUE(C548),_xlpm.r),0)),IF(_xlpm.m=0,"",_xlpm.m+1))</f>
        <v/>
      </c>
      <c r="J548" s="137" t="inlineStr">
        <is>
          <t>NetSuite</t>
        </is>
      </c>
    </row>
    <row r="549">
      <c r="A549" s="5" t="inlineStr">
        <is>
          <t>CL POS</t>
        </is>
      </c>
      <c r="B549" s="5">
        <f>IF($I2="","",INDEX(Productos!$A:$A,$I2))</f>
        <v/>
      </c>
      <c r="C549" s="134" t="inlineStr">
        <is>
          <t>CL/NS2/1/CT/NME-UNI</t>
        </is>
      </c>
      <c r="D549" s="5">
        <f>IF($I2="","",INDEX(Productos!$B:$B,$I2))</f>
        <v/>
      </c>
      <c r="E549" s="5">
        <f>IF($I2="","",INDEX(Productos!$H:$H,$I2))</f>
        <v/>
      </c>
      <c r="F549" s="5">
        <f>IF($I2="","",INDEX(Productos!$I:$I,$I2))</f>
        <v/>
      </c>
      <c r="G549" s="135" t="n">
        <v>4</v>
      </c>
      <c r="H549" s="5">
        <f>IF($I2="","",INDEX(Productos!$AG:$AG,$I2))</f>
        <v/>
      </c>
      <c r="I549" s="136">
        <f>LET(_xlpm.r,Productos!$E$2:$E$370,_xlpm.m,IFERROR(_xlfn.XMATCH(C549,_xlpm.r),IFERROR(_xlfn.XMATCH(VALUE(C549),_xlpm.r),0)),IF(_xlpm.m=0,"",_xlpm.m+1))</f>
        <v/>
      </c>
      <c r="J549" s="137" t="inlineStr">
        <is>
          <t>NetSuite</t>
        </is>
      </c>
    </row>
    <row r="550">
      <c r="A550" s="5" t="inlineStr">
        <is>
          <t>CL POS</t>
        </is>
      </c>
      <c r="B550" s="5">
        <f>IF($I2="","",INDEX(Productos!$A:$A,$I2))</f>
        <v/>
      </c>
      <c r="C550" s="134" t="inlineStr">
        <is>
          <t>CL/NS2/1/CT/NOE-UNI</t>
        </is>
      </c>
      <c r="D550" s="5">
        <f>IF($I2="","",INDEX(Productos!$B:$B,$I2))</f>
        <v/>
      </c>
      <c r="E550" s="5">
        <f>IF($I2="","",INDEX(Productos!$H:$H,$I2))</f>
        <v/>
      </c>
      <c r="F550" s="5">
        <f>IF($I2="","",INDEX(Productos!$I:$I,$I2))</f>
        <v/>
      </c>
      <c r="G550" s="135" t="n">
        <v>4</v>
      </c>
      <c r="H550" s="5">
        <f>IF($I2="","",INDEX(Productos!$AG:$AG,$I2))</f>
        <v/>
      </c>
      <c r="I550" s="136">
        <f>LET(_xlpm.r,Productos!$E$2:$E$370,_xlpm.m,IFERROR(_xlfn.XMATCH(C550,_xlpm.r),IFERROR(_xlfn.XMATCH(VALUE(C550),_xlpm.r),0)),IF(_xlpm.m=0,"",_xlpm.m+1))</f>
        <v/>
      </c>
      <c r="J550" s="137" t="inlineStr">
        <is>
          <t>NetSuite</t>
        </is>
      </c>
    </row>
    <row r="551">
      <c r="A551" s="5" t="inlineStr">
        <is>
          <t>CL POS</t>
        </is>
      </c>
      <c r="B551" s="5">
        <f>IF($I2="","",INDEX(Productos!$A:$A,$I2))</f>
        <v/>
      </c>
      <c r="C551" s="134" t="inlineStr">
        <is>
          <t>CL/NS2/1/CT/NSA-UNI</t>
        </is>
      </c>
      <c r="D551" s="5">
        <f>IF($I2="","",INDEX(Productos!$B:$B,$I2))</f>
        <v/>
      </c>
      <c r="E551" s="5">
        <f>IF($I2="","",INDEX(Productos!$H:$H,$I2))</f>
        <v/>
      </c>
      <c r="F551" s="5">
        <f>IF($I2="","",INDEX(Productos!$I:$I,$I2))</f>
        <v/>
      </c>
      <c r="G551" s="135" t="n">
        <v>4</v>
      </c>
      <c r="H551" s="5">
        <f>IF($I2="","",INDEX(Productos!$AG:$AG,$I2))</f>
        <v/>
      </c>
      <c r="I551" s="136">
        <f>LET(_xlpm.r,Productos!$E$2:$E$370,_xlpm.m,IFERROR(_xlfn.XMATCH(C551,_xlpm.r),IFERROR(_xlfn.XMATCH(VALUE(C551),_xlpm.r),0)),IF(_xlpm.m=0,"",_xlpm.m+1))</f>
        <v/>
      </c>
      <c r="J551" s="137" t="inlineStr">
        <is>
          <t>NetSuite</t>
        </is>
      </c>
    </row>
    <row r="552">
      <c r="A552" s="5" t="inlineStr">
        <is>
          <t>CL POS</t>
        </is>
      </c>
      <c r="B552" s="5">
        <f>IF($I2="","",INDEX(Productos!$A:$A,$I2))</f>
        <v/>
      </c>
      <c r="C552" s="134" t="inlineStr">
        <is>
          <t>CL/NS2/1/CT/SAR-UNI</t>
        </is>
      </c>
      <c r="D552" s="5">
        <f>IF($I2="","",INDEX(Productos!$B:$B,$I2))</f>
        <v/>
      </c>
      <c r="E552" s="5">
        <f>IF($I2="","",INDEX(Productos!$H:$H,$I2))</f>
        <v/>
      </c>
      <c r="F552" s="5">
        <f>IF($I2="","",INDEX(Productos!$I:$I,$I2))</f>
        <v/>
      </c>
      <c r="G552" s="135" t="n">
        <v>4</v>
      </c>
      <c r="H552" s="5">
        <f>IF($I2="","",INDEX(Productos!$AG:$AG,$I2))</f>
        <v/>
      </c>
      <c r="I552" s="136">
        <f>LET(_xlpm.r,Productos!$E$2:$E$370,_xlpm.m,IFERROR(_xlfn.XMATCH(C552,_xlpm.r),IFERROR(_xlfn.XMATCH(VALUE(C552),_xlpm.r),0)),IF(_xlpm.m=0,"",_xlpm.m+1))</f>
        <v/>
      </c>
      <c r="J552" s="137" t="inlineStr">
        <is>
          <t>NetSuite</t>
        </is>
      </c>
    </row>
    <row r="553">
      <c r="A553" s="5" t="inlineStr">
        <is>
          <t>CL POS</t>
        </is>
      </c>
      <c r="B553" s="5">
        <f>IF($I2="","",INDEX(Productos!$A:$A,$I2))</f>
        <v/>
      </c>
      <c r="C553" s="134" t="inlineStr">
        <is>
          <t>CL/OP1/1/SKU1-UNI</t>
        </is>
      </c>
      <c r="D553" s="5">
        <f>IF($I2="","",INDEX(Productos!$B:$B,$I2))</f>
        <v/>
      </c>
      <c r="E553" s="5">
        <f>IF($I2="","",INDEX(Productos!$H:$H,$I2))</f>
        <v/>
      </c>
      <c r="F553" s="5">
        <f>IF($I2="","",INDEX(Productos!$I:$I,$I2))</f>
        <v/>
      </c>
      <c r="G553" s="135" t="n">
        <v>3</v>
      </c>
      <c r="H553" s="5">
        <f>IF($I2="","",INDEX(Productos!$AG:$AG,$I2))</f>
        <v/>
      </c>
      <c r="I553" s="136">
        <f>LET(_xlpm.r,Productos!$E$2:$E$370,_xlpm.m,IFERROR(_xlfn.XMATCH(C553,_xlpm.r),IFERROR(_xlfn.XMATCH(VALUE(C553),_xlpm.r),0)),IF(_xlpm.m=0,"",_xlpm.m+1))</f>
        <v/>
      </c>
      <c r="J553" s="137" t="inlineStr">
        <is>
          <t>NetSuite</t>
        </is>
      </c>
    </row>
    <row r="554">
      <c r="A554" s="5" t="inlineStr">
        <is>
          <t>CL POS</t>
        </is>
      </c>
      <c r="B554" s="5">
        <f>IF($I2="","",INDEX(Productos!$A:$A,$I2))</f>
        <v/>
      </c>
      <c r="C554" s="134" t="inlineStr">
        <is>
          <t>CL/REM/1/LOO1-UNI</t>
        </is>
      </c>
      <c r="D554" s="5">
        <f>IF($I2="","",INDEX(Productos!$B:$B,$I2))</f>
        <v/>
      </c>
      <c r="E554" s="5">
        <f>IF($I2="","",INDEX(Productos!$H:$H,$I2))</f>
        <v/>
      </c>
      <c r="F554" s="5">
        <f>IF($I2="","",INDEX(Productos!$I:$I,$I2))</f>
        <v/>
      </c>
      <c r="G554" s="135" t="n">
        <v>5</v>
      </c>
      <c r="H554" s="5">
        <f>IF($I2="","",INDEX(Productos!$AG:$AG,$I2))</f>
        <v/>
      </c>
      <c r="I554" s="136">
        <f>LET(_xlpm.r,Productos!$E$2:$E$370,_xlpm.m,IFERROR(_xlfn.XMATCH(C554,_xlpm.r),IFERROR(_xlfn.XMATCH(VALUE(C554),_xlpm.r),0)),IF(_xlpm.m=0,"",_xlpm.m+1))</f>
        <v/>
      </c>
      <c r="J554" s="137" t="inlineStr">
        <is>
          <t>NetSuite</t>
        </is>
      </c>
    </row>
    <row r="555">
      <c r="A555" s="5" t="inlineStr">
        <is>
          <t>CL POS</t>
        </is>
      </c>
      <c r="B555" s="5">
        <f>IF($I2="","",INDEX(Productos!$A:$A,$I2))</f>
        <v/>
      </c>
      <c r="C555" s="134" t="inlineStr">
        <is>
          <t>CL/REM/1/LOO3-UNI</t>
        </is>
      </c>
      <c r="D555" s="5">
        <f>IF($I2="","",INDEX(Productos!$B:$B,$I2))</f>
        <v/>
      </c>
      <c r="E555" s="5">
        <f>IF($I2="","",INDEX(Productos!$H:$H,$I2))</f>
        <v/>
      </c>
      <c r="F555" s="5">
        <f>IF($I2="","",INDEX(Productos!$I:$I,$I2))</f>
        <v/>
      </c>
      <c r="G555" s="135" t="n">
        <v>5</v>
      </c>
      <c r="H555" s="5">
        <f>IF($I2="","",INDEX(Productos!$AG:$AG,$I2))</f>
        <v/>
      </c>
      <c r="I555" s="136">
        <f>LET(_xlpm.r,Productos!$E$2:$E$370,_xlpm.m,IFERROR(_xlfn.XMATCH(C555,_xlpm.r),IFERROR(_xlfn.XMATCH(VALUE(C555),_xlpm.r),0)),IF(_xlpm.m=0,"",_xlpm.m+1))</f>
        <v/>
      </c>
      <c r="J555" s="137" t="inlineStr">
        <is>
          <t>NetSuite</t>
        </is>
      </c>
    </row>
    <row r="556">
      <c r="A556" s="5" t="inlineStr">
        <is>
          <t>CL POS</t>
        </is>
      </c>
      <c r="B556" s="5">
        <f>IF($I2="","",INDEX(Productos!$A:$A,$I2))</f>
        <v/>
      </c>
      <c r="C556" s="134" t="inlineStr">
        <is>
          <t>CL/REM4/1/CD/HEA-UNI</t>
        </is>
      </c>
      <c r="D556" s="5">
        <f>IF($I2="","",INDEX(Productos!$B:$B,$I2))</f>
        <v/>
      </c>
      <c r="E556" s="5">
        <f>IF($I2="","",INDEX(Productos!$H:$H,$I2))</f>
        <v/>
      </c>
      <c r="F556" s="5">
        <f>IF($I2="","",INDEX(Productos!$I:$I,$I2))</f>
        <v/>
      </c>
      <c r="G556" s="135" t="n">
        <v>4</v>
      </c>
      <c r="H556" s="5">
        <f>IF($I2="","",INDEX(Productos!$AG:$AG,$I2))</f>
        <v/>
      </c>
      <c r="I556" s="136">
        <f>LET(_xlpm.r,Productos!$E$2:$E$370,_xlpm.m,IFERROR(_xlfn.XMATCH(C556,_xlpm.r),IFERROR(_xlfn.XMATCH(VALUE(C556),_xlpm.r),0)),IF(_xlpm.m=0,"",_xlpm.m+1))</f>
        <v/>
      </c>
      <c r="J556" s="137" t="inlineStr">
        <is>
          <t>NetSuite</t>
        </is>
      </c>
    </row>
    <row r="557">
      <c r="A557" s="5" t="inlineStr">
        <is>
          <t>CL POS</t>
        </is>
      </c>
      <c r="B557" s="5">
        <f>IF($I2="","",INDEX(Productos!$A:$A,$I2))</f>
        <v/>
      </c>
      <c r="C557" s="134" t="inlineStr">
        <is>
          <t>CL/REM4/1/CT/GLA-UNI</t>
        </is>
      </c>
      <c r="D557" s="5">
        <f>IF($I2="","",INDEX(Productos!$B:$B,$I2))</f>
        <v/>
      </c>
      <c r="E557" s="5">
        <f>IF($I2="","",INDEX(Productos!$H:$H,$I2))</f>
        <v/>
      </c>
      <c r="F557" s="5">
        <f>IF($I2="","",INDEX(Productos!$I:$I,$I2))</f>
        <v/>
      </c>
      <c r="G557" s="135" t="n">
        <v>5</v>
      </c>
      <c r="H557" s="5">
        <f>IF($I2="","",INDEX(Productos!$AG:$AG,$I2))</f>
        <v/>
      </c>
      <c r="I557" s="136">
        <f>LET(_xlpm.r,Productos!$E$2:$E$370,_xlpm.m,IFERROR(_xlfn.XMATCH(C557,_xlpm.r),IFERROR(_xlfn.XMATCH(VALUE(C557),_xlpm.r),0)),IF(_xlpm.m=0,"",_xlpm.m+1))</f>
        <v/>
      </c>
      <c r="J557" s="137" t="inlineStr">
        <is>
          <t>NetSuite</t>
        </is>
      </c>
    </row>
    <row r="558">
      <c r="A558" s="5" t="inlineStr">
        <is>
          <t>CL POS</t>
        </is>
      </c>
      <c r="B558" s="5">
        <f>IF($I2="","",INDEX(Productos!$A:$A,$I2))</f>
        <v/>
      </c>
      <c r="C558" s="134" t="inlineStr">
        <is>
          <t>CL/REM4/1/CT/OPE-UNI</t>
        </is>
      </c>
      <c r="D558" s="5">
        <f>IF($I2="","",INDEX(Productos!$B:$B,$I2))</f>
        <v/>
      </c>
      <c r="E558" s="5">
        <f>IF($I2="","",INDEX(Productos!$H:$H,$I2))</f>
        <v/>
      </c>
      <c r="F558" s="5">
        <f>IF($I2="","",INDEX(Productos!$I:$I,$I2))</f>
        <v/>
      </c>
      <c r="G558" s="135" t="n">
        <v>5</v>
      </c>
      <c r="H558" s="5">
        <f>IF($I2="","",INDEX(Productos!$AG:$AG,$I2))</f>
        <v/>
      </c>
      <c r="I558" s="136">
        <f>LET(_xlpm.r,Productos!$E$2:$E$370,_xlpm.m,IFERROR(_xlfn.XMATCH(C558,_xlpm.r),IFERROR(_xlfn.XMATCH(VALUE(C558),_xlpm.r),0)),IF(_xlpm.m=0,"",_xlpm.m+1))</f>
        <v/>
      </c>
      <c r="J558" s="137" t="inlineStr">
        <is>
          <t>NetSuite</t>
        </is>
      </c>
    </row>
    <row r="559">
      <c r="A559" s="5" t="inlineStr">
        <is>
          <t>CL POS</t>
        </is>
      </c>
      <c r="B559" s="5">
        <f>IF($I2="","",INDEX(Productos!$A:$A,$I2))</f>
        <v/>
      </c>
      <c r="C559" s="134" t="inlineStr">
        <is>
          <t>CL/TAJ4/1/CT/JER-UNI</t>
        </is>
      </c>
      <c r="D559" s="5">
        <f>IF($I2="","",INDEX(Productos!$B:$B,$I2))</f>
        <v/>
      </c>
      <c r="E559" s="5">
        <f>IF($I2="","",INDEX(Productos!$H:$H,$I2))</f>
        <v/>
      </c>
      <c r="F559" s="5">
        <f>IF($I2="","",INDEX(Productos!$I:$I,$I2))</f>
        <v/>
      </c>
      <c r="G559" s="135" t="n">
        <v>1</v>
      </c>
      <c r="H559" s="5">
        <f>IF($I2="","",INDEX(Productos!$AG:$AG,$I2))</f>
        <v/>
      </c>
      <c r="I559" s="136">
        <f>LET(_xlpm.r,Productos!$E$2:$E$370,_xlpm.m,IFERROR(_xlfn.XMATCH(C559,_xlpm.r),IFERROR(_xlfn.XMATCH(VALUE(C559),_xlpm.r),0)),IF(_xlpm.m=0,"",_xlpm.m+1))</f>
        <v/>
      </c>
      <c r="J559" s="137" t="inlineStr">
        <is>
          <t>NetSuite</t>
        </is>
      </c>
    </row>
    <row r="560">
      <c r="A560" s="5" t="inlineStr">
        <is>
          <t>CL POS</t>
        </is>
      </c>
      <c r="B560" s="5">
        <f>IF($I2="","",INDEX(Productos!$A:$A,$I2))</f>
        <v/>
      </c>
      <c r="C560" s="134" t="inlineStr">
        <is>
          <t>CL/TAJ4/1/CT/SCA-UNI</t>
        </is>
      </c>
      <c r="D560" s="5">
        <f>IF($I2="","",INDEX(Productos!$B:$B,$I2))</f>
        <v/>
      </c>
      <c r="E560" s="5">
        <f>IF($I2="","",INDEX(Productos!$H:$H,$I2))</f>
        <v/>
      </c>
      <c r="F560" s="5">
        <f>IF($I2="","",INDEX(Productos!$I:$I,$I2))</f>
        <v/>
      </c>
      <c r="G560" s="135" t="n">
        <v>1</v>
      </c>
      <c r="H560" s="5">
        <f>IF($I2="","",INDEX(Productos!$AG:$AG,$I2))</f>
        <v/>
      </c>
      <c r="I560" s="136">
        <f>LET(_xlpm.r,Productos!$E$2:$E$370,_xlpm.m,IFERROR(_xlfn.XMATCH(C560,_xlpm.r),IFERROR(_xlfn.XMATCH(VALUE(C560),_xlpm.r),0)),IF(_xlpm.m=0,"",_xlpm.m+1))</f>
        <v/>
      </c>
      <c r="J560" s="137" t="inlineStr">
        <is>
          <t>NetSuite</t>
        </is>
      </c>
    </row>
    <row r="561">
      <c r="A561" s="5" t="inlineStr">
        <is>
          <t>CL POS</t>
        </is>
      </c>
      <c r="B561" s="5">
        <f>IF($I2="","",INDEX(Productos!$A:$A,$I2))</f>
        <v/>
      </c>
      <c r="C561" s="134" t="inlineStr">
        <is>
          <t>CL4/1/CF/LUC-UNI</t>
        </is>
      </c>
      <c r="D561" s="5">
        <f>IF($I2="","",INDEX(Productos!$B:$B,$I2))</f>
        <v/>
      </c>
      <c r="E561" s="5">
        <f>IF($I2="","",INDEX(Productos!$H:$H,$I2))</f>
        <v/>
      </c>
      <c r="F561" s="5">
        <f>IF($I2="","",INDEX(Productos!$I:$I,$I2))</f>
        <v/>
      </c>
      <c r="G561" s="135" t="n">
        <v>2</v>
      </c>
      <c r="H561" s="5">
        <f>IF($I2="","",INDEX(Productos!$AG:$AG,$I2))</f>
        <v/>
      </c>
      <c r="I561" s="136">
        <f>LET(_xlpm.r,Productos!$E$2:$E$370,_xlpm.m,IFERROR(_xlfn.XMATCH(C561,_xlpm.r),IFERROR(_xlfn.XMATCH(VALUE(C561),_xlpm.r),0)),IF(_xlpm.m=0,"",_xlpm.m+1))</f>
        <v/>
      </c>
      <c r="J561" s="137" t="inlineStr">
        <is>
          <t>NetSuite</t>
        </is>
      </c>
    </row>
    <row r="562">
      <c r="A562" s="5" t="inlineStr">
        <is>
          <t>Web</t>
        </is>
      </c>
      <c r="B562" s="5">
        <f>IF($I2="","",INDEX(Productos!$A:$A,$I2))</f>
        <v/>
      </c>
      <c r="C562" s="134" t="inlineStr">
        <is>
          <t>CAPASS01BLUE-W6-UNI</t>
        </is>
      </c>
      <c r="D562" s="5">
        <f>IF($I2="","",INDEX(Productos!$B:$B,$I2))</f>
        <v/>
      </c>
      <c r="E562" s="5">
        <f>IF($I2="","",INDEX(Productos!$H:$H,$I2))</f>
        <v/>
      </c>
      <c r="F562" s="5">
        <f>IF($I2="","",INDEX(Productos!$I:$I,$I2))</f>
        <v/>
      </c>
      <c r="G562" s="135" t="n">
        <v>3</v>
      </c>
      <c r="H562" s="5">
        <f>IF($I2="","",INDEX(Productos!$AG:$AG,$I2))</f>
        <v/>
      </c>
      <c r="I562" s="136">
        <f>LET(_xlpm.r,Productos!$E$2:$E$370,_xlpm.m,IFERROR(_xlfn.XMATCH(C562,_xlpm.r),IFERROR(_xlfn.XMATCH(VALUE(C562),_xlpm.r),0)),IF(_xlpm.m=0,"",_xlpm.m+1))</f>
        <v/>
      </c>
      <c r="J562" s="137" t="inlineStr">
        <is>
          <t>NetSuite</t>
        </is>
      </c>
    </row>
    <row r="563">
      <c r="A563" s="5" t="inlineStr">
        <is>
          <t>Web</t>
        </is>
      </c>
      <c r="B563" s="5">
        <f>IF($I2="","",INDEX(Productos!$A:$A,$I2))</f>
        <v/>
      </c>
      <c r="C563" s="134" t="inlineStr">
        <is>
          <t>CAPASS01CAM2-W6-UNI</t>
        </is>
      </c>
      <c r="D563" s="5">
        <f>IF($I2="","",INDEX(Productos!$B:$B,$I2))</f>
        <v/>
      </c>
      <c r="E563" s="5">
        <f>IF($I2="","",INDEX(Productos!$H:$H,$I2))</f>
        <v/>
      </c>
      <c r="F563" s="5">
        <f>IF($I2="","",INDEX(Productos!$I:$I,$I2))</f>
        <v/>
      </c>
      <c r="G563" s="135" t="n">
        <v>2</v>
      </c>
      <c r="H563" s="5">
        <f>IF($I2="","",INDEX(Productos!$AG:$AG,$I2))</f>
        <v/>
      </c>
      <c r="I563" s="136">
        <f>LET(_xlpm.r,Productos!$E$2:$E$370,_xlpm.m,IFERROR(_xlfn.XMATCH(C563,_xlpm.r),IFERROR(_xlfn.XMATCH(VALUE(C563),_xlpm.r),0)),IF(_xlpm.m=0,"",_xlpm.m+1))</f>
        <v/>
      </c>
      <c r="J563" s="137" t="inlineStr">
        <is>
          <t>NetSuite</t>
        </is>
      </c>
    </row>
    <row r="564">
      <c r="A564" s="5" t="inlineStr">
        <is>
          <t>Web</t>
        </is>
      </c>
      <c r="B564" s="5">
        <f>IF($I2="","",INDEX(Productos!$A:$A,$I2))</f>
        <v/>
      </c>
      <c r="C564" s="134" t="inlineStr">
        <is>
          <t>CAPASS01CAMO-W6-UNI</t>
        </is>
      </c>
      <c r="D564" s="5">
        <f>IF($I2="","",INDEX(Productos!$B:$B,$I2))</f>
        <v/>
      </c>
      <c r="E564" s="5">
        <f>IF($I2="","",INDEX(Productos!$H:$H,$I2))</f>
        <v/>
      </c>
      <c r="F564" s="5">
        <f>IF($I2="","",INDEX(Productos!$I:$I,$I2))</f>
        <v/>
      </c>
      <c r="G564" s="135" t="n">
        <v>2</v>
      </c>
      <c r="H564" s="5">
        <f>IF($I2="","",INDEX(Productos!$AG:$AG,$I2))</f>
        <v/>
      </c>
      <c r="I564" s="136">
        <f>LET(_xlpm.r,Productos!$E$2:$E$370,_xlpm.m,IFERROR(_xlfn.XMATCH(C564,_xlpm.r),IFERROR(_xlfn.XMATCH(VALUE(C564),_xlpm.r),0)),IF(_xlpm.m=0,"",_xlpm.m+1))</f>
        <v/>
      </c>
      <c r="J564" s="137" t="inlineStr">
        <is>
          <t>NetSuite</t>
        </is>
      </c>
    </row>
    <row r="565">
      <c r="A565" s="5" t="inlineStr">
        <is>
          <t>Web</t>
        </is>
      </c>
      <c r="B565" s="5">
        <f>IF($I2="","",INDEX(Productos!$A:$A,$I2))</f>
        <v/>
      </c>
      <c r="C565" s="134" t="inlineStr">
        <is>
          <t>CAPBOR01CASH-W6-UNI</t>
        </is>
      </c>
      <c r="D565" s="5">
        <f>IF($I2="","",INDEX(Productos!$B:$B,$I2))</f>
        <v/>
      </c>
      <c r="E565" s="5">
        <f>IF($I2="","",INDEX(Productos!$H:$H,$I2))</f>
        <v/>
      </c>
      <c r="F565" s="5">
        <f>IF($I2="","",INDEX(Productos!$I:$I,$I2))</f>
        <v/>
      </c>
      <c r="G565" s="135" t="n">
        <v>3</v>
      </c>
      <c r="H565" s="5">
        <f>IF($I2="","",INDEX(Productos!$AG:$AG,$I2))</f>
        <v/>
      </c>
      <c r="I565" s="136">
        <f>LET(_xlpm.r,Productos!$E$2:$E$370,_xlpm.m,IFERROR(_xlfn.XMATCH(C565,_xlpm.r),IFERROR(_xlfn.XMATCH(VALUE(C565),_xlpm.r),0)),IF(_xlpm.m=0,"",_xlpm.m+1))</f>
        <v/>
      </c>
      <c r="J565" s="137" t="inlineStr">
        <is>
          <t>NetSuite</t>
        </is>
      </c>
    </row>
    <row r="566">
      <c r="A566" s="5" t="inlineStr">
        <is>
          <t>Web</t>
        </is>
      </c>
      <c r="B566" s="5">
        <f>IF($I2="","",INDEX(Productos!$A:$A,$I2))</f>
        <v/>
      </c>
      <c r="C566" s="134" t="inlineStr">
        <is>
          <t>CAPBOR01LEO2-W6-UNI</t>
        </is>
      </c>
      <c r="D566" s="5">
        <f>IF($I2="","",INDEX(Productos!$B:$B,$I2))</f>
        <v/>
      </c>
      <c r="E566" s="5">
        <f>IF($I2="","",INDEX(Productos!$H:$H,$I2))</f>
        <v/>
      </c>
      <c r="F566" s="5">
        <f>IF($I2="","",INDEX(Productos!$I:$I,$I2))</f>
        <v/>
      </c>
      <c r="G566" s="135" t="n">
        <v>1</v>
      </c>
      <c r="H566" s="5">
        <f>IF($I2="","",INDEX(Productos!$AG:$AG,$I2))</f>
        <v/>
      </c>
      <c r="I566" s="136">
        <f>LET(_xlpm.r,Productos!$E$2:$E$370,_xlpm.m,IFERROR(_xlfn.XMATCH(C566,_xlpm.r),IFERROR(_xlfn.XMATCH(VALUE(C566),_xlpm.r),0)),IF(_xlpm.m=0,"",_xlpm.m+1))</f>
        <v/>
      </c>
      <c r="J566" s="137" t="inlineStr">
        <is>
          <t>NetSuite</t>
        </is>
      </c>
    </row>
    <row r="567">
      <c r="A567" s="5" t="inlineStr">
        <is>
          <t>Web</t>
        </is>
      </c>
      <c r="B567" s="5">
        <f>IF($I2="","",INDEX(Productos!$A:$A,$I2))</f>
        <v/>
      </c>
      <c r="C567" s="134" t="inlineStr">
        <is>
          <t>CAPBOR01LEOP-W6-UNI</t>
        </is>
      </c>
      <c r="D567" s="5">
        <f>IF($I2="","",INDEX(Productos!$B:$B,$I2))</f>
        <v/>
      </c>
      <c r="E567" s="5">
        <f>IF($I2="","",INDEX(Productos!$H:$H,$I2))</f>
        <v/>
      </c>
      <c r="F567" s="5">
        <f>IF($I2="","",INDEX(Productos!$I:$I,$I2))</f>
        <v/>
      </c>
      <c r="G567" s="135" t="n">
        <v>2</v>
      </c>
      <c r="H567" s="5">
        <f>IF($I2="","",INDEX(Productos!$AG:$AG,$I2))</f>
        <v/>
      </c>
      <c r="I567" s="136">
        <f>LET(_xlpm.r,Productos!$E$2:$E$370,_xlpm.m,IFERROR(_xlfn.XMATCH(C567,_xlpm.r),IFERROR(_xlfn.XMATCH(VALUE(C567),_xlpm.r),0)),IF(_xlpm.m=0,"",_xlpm.m+1))</f>
        <v/>
      </c>
      <c r="J567" s="137" t="inlineStr">
        <is>
          <t>NetSuite</t>
        </is>
      </c>
    </row>
    <row r="568">
      <c r="A568" s="5" t="inlineStr">
        <is>
          <t>Web</t>
        </is>
      </c>
      <c r="B568" s="5">
        <f>IF($I2="","",INDEX(Productos!$A:$A,$I2))</f>
        <v/>
      </c>
      <c r="C568" s="134" t="inlineStr">
        <is>
          <t>CAPMHU01RATH-W6-UNI</t>
        </is>
      </c>
      <c r="D568" s="5">
        <f>IF($I2="","",INDEX(Productos!$B:$B,$I2))</f>
        <v/>
      </c>
      <c r="E568" s="5">
        <f>IF($I2="","",INDEX(Productos!$H:$H,$I2))</f>
        <v/>
      </c>
      <c r="F568" s="5">
        <f>IF($I2="","",INDEX(Productos!$I:$I,$I2))</f>
        <v/>
      </c>
      <c r="G568" s="135" t="n">
        <v>4</v>
      </c>
      <c r="H568" s="5">
        <f>IF($I2="","",INDEX(Productos!$AG:$AG,$I2))</f>
        <v/>
      </c>
      <c r="I568" s="136">
        <f>LET(_xlpm.r,Productos!$E$2:$E$370,_xlpm.m,IFERROR(_xlfn.XMATCH(C568,_xlpm.r),IFERROR(_xlfn.XMATCH(VALUE(C568),_xlpm.r),0)),IF(_xlpm.m=0,"",_xlpm.m+1))</f>
        <v/>
      </c>
      <c r="J568" s="137" t="inlineStr">
        <is>
          <t>NetSuite</t>
        </is>
      </c>
    </row>
    <row r="569">
      <c r="A569" s="5" t="inlineStr">
        <is>
          <t>Web</t>
        </is>
      </c>
      <c r="B569" s="5">
        <f>IF($I2="","",INDEX(Productos!$A:$A,$I2))</f>
        <v/>
      </c>
      <c r="C569" s="134" t="inlineStr">
        <is>
          <t>CAPMHU01TGRX-W6-UNI</t>
        </is>
      </c>
      <c r="D569" s="5">
        <f>IF($I2="","",INDEX(Productos!$B:$B,$I2))</f>
        <v/>
      </c>
      <c r="E569" s="5">
        <f>IF($I2="","",INDEX(Productos!$H:$H,$I2))</f>
        <v/>
      </c>
      <c r="F569" s="5">
        <f>IF($I2="","",INDEX(Productos!$I:$I,$I2))</f>
        <v/>
      </c>
      <c r="G569" s="135" t="n">
        <v>1</v>
      </c>
      <c r="H569" s="5">
        <f>IF($I2="","",INDEX(Productos!$AG:$AG,$I2))</f>
        <v/>
      </c>
      <c r="I569" s="136">
        <f>LET(_xlpm.r,Productos!$E$2:$E$370,_xlpm.m,IFERROR(_xlfn.XMATCH(C569,_xlpm.r),IFERROR(_xlfn.XMATCH(VALUE(C569),_xlpm.r),0)),IF(_xlpm.m=0,"",_xlpm.m+1))</f>
        <v/>
      </c>
      <c r="J569" s="137" t="inlineStr">
        <is>
          <t>NetSuite</t>
        </is>
      </c>
    </row>
    <row r="570">
      <c r="A570" s="5" t="inlineStr">
        <is>
          <t>Web</t>
        </is>
      </c>
      <c r="B570" s="5">
        <f>IF($I2="","",INDEX(Productos!$A:$A,$I2))</f>
        <v/>
      </c>
      <c r="C570" s="134" t="inlineStr">
        <is>
          <t>CAPSMU01CHAM-W6-UNI</t>
        </is>
      </c>
      <c r="D570" s="5">
        <f>IF($I2="","",INDEX(Productos!$B:$B,$I2))</f>
        <v/>
      </c>
      <c r="E570" s="5">
        <f>IF($I2="","",INDEX(Productos!$H:$H,$I2))</f>
        <v/>
      </c>
      <c r="F570" s="5">
        <f>IF($I2="","",INDEX(Productos!$I:$I,$I2))</f>
        <v/>
      </c>
      <c r="G570" s="135" t="n">
        <v>1</v>
      </c>
      <c r="H570" s="5">
        <f>IF($I2="","",INDEX(Productos!$AG:$AG,$I2))</f>
        <v/>
      </c>
      <c r="I570" s="136">
        <f>LET(_xlpm.r,Productos!$E$2:$E$370,_xlpm.m,IFERROR(_xlfn.XMATCH(C570,_xlpm.r),IFERROR(_xlfn.XMATCH(VALUE(C570),_xlpm.r),0)),IF(_xlpm.m=0,"",_xlpm.m+1))</f>
        <v/>
      </c>
      <c r="J570" s="137" t="inlineStr">
        <is>
          <t>NetSuite</t>
        </is>
      </c>
    </row>
    <row r="571">
      <c r="A571" s="5" t="inlineStr">
        <is>
          <t>Web</t>
        </is>
      </c>
      <c r="B571" s="5">
        <f>IF($I2="","",INDEX(Productos!$A:$A,$I2))</f>
        <v/>
      </c>
      <c r="C571" s="134" t="inlineStr">
        <is>
          <t>CAPSMU01CRAZ-W6-UNI</t>
        </is>
      </c>
      <c r="D571" s="5">
        <f>IF($I2="","",INDEX(Productos!$B:$B,$I2))</f>
        <v/>
      </c>
      <c r="E571" s="5">
        <f>IF($I2="","",INDEX(Productos!$H:$H,$I2))</f>
        <v/>
      </c>
      <c r="F571" s="5">
        <f>IF($I2="","",INDEX(Productos!$I:$I,$I2))</f>
        <v/>
      </c>
      <c r="G571" s="135" t="n">
        <v>2</v>
      </c>
      <c r="H571" s="5">
        <f>IF($I2="","",INDEX(Productos!$AG:$AG,$I2))</f>
        <v/>
      </c>
      <c r="I571" s="136">
        <f>LET(_xlpm.r,Productos!$E$2:$E$370,_xlpm.m,IFERROR(_xlfn.XMATCH(C571,_xlpm.r),IFERROR(_xlfn.XMATCH(VALUE(C571),_xlpm.r),0)),IF(_xlpm.m=0,"",_xlpm.m+1))</f>
        <v/>
      </c>
      <c r="J571" s="137" t="inlineStr">
        <is>
          <t>NetSuite</t>
        </is>
      </c>
    </row>
    <row r="572">
      <c r="A572" s="5" t="inlineStr">
        <is>
          <t>Web</t>
        </is>
      </c>
      <c r="B572" s="5">
        <f>IF($I2="","",INDEX(Productos!$A:$A,$I2))</f>
        <v/>
      </c>
      <c r="C572" s="134" t="inlineStr">
        <is>
          <t>CAPSMU01PAPA-W6-UNI</t>
        </is>
      </c>
      <c r="D572" s="5">
        <f>IF($I2="","",INDEX(Productos!$B:$B,$I2))</f>
        <v/>
      </c>
      <c r="E572" s="5">
        <f>IF($I2="","",INDEX(Productos!$H:$H,$I2))</f>
        <v/>
      </c>
      <c r="F572" s="5">
        <f>IF($I2="","",INDEX(Productos!$I:$I,$I2))</f>
        <v/>
      </c>
      <c r="G572" s="135" t="n">
        <v>2</v>
      </c>
      <c r="H572" s="5">
        <f>IF($I2="","",INDEX(Productos!$AG:$AG,$I2))</f>
        <v/>
      </c>
      <c r="I572" s="136">
        <f>LET(_xlpm.r,Productos!$E$2:$E$370,_xlpm.m,IFERROR(_xlfn.XMATCH(C572,_xlpm.r),IFERROR(_xlfn.XMATCH(VALUE(C572),_xlpm.r),0)),IF(_xlpm.m=0,"",_xlpm.m+1))</f>
        <v/>
      </c>
      <c r="J572" s="137" t="inlineStr">
        <is>
          <t>NetSuite</t>
        </is>
      </c>
    </row>
    <row r="573">
      <c r="A573" s="5" t="inlineStr">
        <is>
          <t>Web</t>
        </is>
      </c>
      <c r="B573" s="5">
        <f>IF($I2="","",INDEX(Productos!$A:$A,$I2))</f>
        <v/>
      </c>
      <c r="C573" s="134" t="inlineStr">
        <is>
          <t>CAPSMU01STRO-W6-UNI</t>
        </is>
      </c>
      <c r="D573" s="5">
        <f>IF($I2="","",INDEX(Productos!$B:$B,$I2))</f>
        <v/>
      </c>
      <c r="E573" s="5">
        <f>IF($I2="","",INDEX(Productos!$H:$H,$I2))</f>
        <v/>
      </c>
      <c r="F573" s="5">
        <f>IF($I2="","",INDEX(Productos!$I:$I,$I2))</f>
        <v/>
      </c>
      <c r="G573" s="135" t="n">
        <v>1</v>
      </c>
      <c r="H573" s="5">
        <f>IF($I2="","",INDEX(Productos!$AG:$AG,$I2))</f>
        <v/>
      </c>
      <c r="I573" s="136">
        <f>LET(_xlpm.r,Productos!$E$2:$E$370,_xlpm.m,IFERROR(_xlfn.XMATCH(C573,_xlpm.r),IFERROR(_xlfn.XMATCH(VALUE(C573),_xlpm.r),0)),IF(_xlpm.m=0,"",_xlpm.m+1))</f>
        <v/>
      </c>
      <c r="J573" s="137" t="inlineStr">
        <is>
          <t>NetSuite</t>
        </is>
      </c>
    </row>
    <row r="574">
      <c r="A574" s="5" t="inlineStr">
        <is>
          <t>Web</t>
        </is>
      </c>
      <c r="B574" s="5">
        <f>IF($I2="","",INDEX(Productos!$A:$A,$I2))</f>
        <v/>
      </c>
      <c r="C574" s="134" t="inlineStr">
        <is>
          <t>CAPSTF01RYU-UNI</t>
        </is>
      </c>
      <c r="D574" s="5">
        <f>IF($I2="","",INDEX(Productos!$B:$B,$I2))</f>
        <v/>
      </c>
      <c r="E574" s="5">
        <f>IF($I2="","",INDEX(Productos!$H:$H,$I2))</f>
        <v/>
      </c>
      <c r="F574" s="5">
        <f>IF($I2="","",INDEX(Productos!$I:$I,$I2))</f>
        <v/>
      </c>
      <c r="G574" s="135" t="n">
        <v>1</v>
      </c>
      <c r="H574" s="5">
        <f>IF($I2="","",INDEX(Productos!$AG:$AG,$I2))</f>
        <v/>
      </c>
      <c r="I574" s="136">
        <f>LET(_xlpm.r,Productos!$E$2:$E$370,_xlpm.m,IFERROR(_xlfn.XMATCH(C574,_xlpm.r),IFERROR(_xlfn.XMATCH(VALUE(C574),_xlpm.r),0)),IF(_xlpm.m=0,"",_xlpm.m+1))</f>
        <v/>
      </c>
      <c r="J574" s="137" t="inlineStr">
        <is>
          <t>NetSuite</t>
        </is>
      </c>
    </row>
    <row r="575">
      <c r="A575" s="5" t="inlineStr">
        <is>
          <t>Web</t>
        </is>
      </c>
      <c r="B575" s="5">
        <f>IF($I2="","",INDEX(Productos!$A:$A,$I2))</f>
        <v/>
      </c>
      <c r="C575" s="134" t="inlineStr">
        <is>
          <t>CL/1/CT/GOR2-UNI</t>
        </is>
      </c>
      <c r="D575" s="5">
        <f>IF($I2="","",INDEX(Productos!$B:$B,$I2))</f>
        <v/>
      </c>
      <c r="E575" s="5">
        <f>IF($I2="","",INDEX(Productos!$H:$H,$I2))</f>
        <v/>
      </c>
      <c r="F575" s="5">
        <f>IF($I2="","",INDEX(Productos!$I:$I,$I2))</f>
        <v/>
      </c>
      <c r="G575" s="135" t="n">
        <v>2</v>
      </c>
      <c r="H575" s="5">
        <f>IF($I2="","",INDEX(Productos!$AG:$AG,$I2))</f>
        <v/>
      </c>
      <c r="I575" s="136">
        <f>LET(_xlpm.r,Productos!$E$2:$E$370,_xlpm.m,IFERROR(_xlfn.XMATCH(C575,_xlpm.r),IFERROR(_xlfn.XMATCH(VALUE(C575),_xlpm.r),0)),IF(_xlpm.m=0,"",_xlpm.m+1))</f>
        <v/>
      </c>
      <c r="J575" s="137" t="inlineStr">
        <is>
          <t>NetSuite</t>
        </is>
      </c>
    </row>
    <row r="576">
      <c r="A576" s="5" t="inlineStr">
        <is>
          <t>Web</t>
        </is>
      </c>
      <c r="B576" s="5">
        <f>IF($I2="","",INDEX(Productos!$A:$A,$I2))</f>
        <v/>
      </c>
      <c r="C576" s="134" t="inlineStr">
        <is>
          <t>CL/DB2/1/GOK-UNI</t>
        </is>
      </c>
      <c r="D576" s="5">
        <f>IF($I2="","",INDEX(Productos!$B:$B,$I2))</f>
        <v/>
      </c>
      <c r="E576" s="5">
        <f>IF($I2="","",INDEX(Productos!$H:$H,$I2))</f>
        <v/>
      </c>
      <c r="F576" s="5">
        <f>IF($I2="","",INDEX(Productos!$I:$I,$I2))</f>
        <v/>
      </c>
      <c r="G576" s="135" t="n">
        <v>4</v>
      </c>
      <c r="H576" s="5">
        <f>IF($I2="","",INDEX(Productos!$AG:$AG,$I2))</f>
        <v/>
      </c>
      <c r="I576" s="136">
        <f>LET(_xlpm.r,Productos!$E$2:$E$370,_xlpm.m,IFERROR(_xlfn.XMATCH(C576,_xlpm.r),IFERROR(_xlfn.XMATCH(VALUE(C576),_xlpm.r),0)),IF(_xlpm.m=0,"",_xlpm.m+1))</f>
        <v/>
      </c>
      <c r="J576" s="137" t="inlineStr">
        <is>
          <t>NetSuite</t>
        </is>
      </c>
    </row>
    <row r="577">
      <c r="A577" s="5" t="inlineStr">
        <is>
          <t>Web</t>
        </is>
      </c>
      <c r="B577" s="5">
        <f>IF($I2="","",INDEX(Productos!$A:$A,$I2))</f>
        <v/>
      </c>
      <c r="C577" s="134" t="inlineStr">
        <is>
          <t>CL/DB3/1/CAS/GOK2-UNI</t>
        </is>
      </c>
      <c r="D577" s="5">
        <f>IF($I2="","",INDEX(Productos!$B:$B,$I2))</f>
        <v/>
      </c>
      <c r="E577" s="5">
        <f>IF($I2="","",INDEX(Productos!$H:$H,$I2))</f>
        <v/>
      </c>
      <c r="F577" s="5">
        <f>IF($I2="","",INDEX(Productos!$I:$I,$I2))</f>
        <v/>
      </c>
      <c r="G577" s="135" t="n">
        <v>3</v>
      </c>
      <c r="H577" s="5">
        <f>IF($I2="","",INDEX(Productos!$AG:$AG,$I2))</f>
        <v/>
      </c>
      <c r="I577" s="136">
        <f>LET(_xlpm.r,Productos!$E$2:$E$370,_xlpm.m,IFERROR(_xlfn.XMATCH(C577,_xlpm.r),IFERROR(_xlfn.XMATCH(VALUE(C577),_xlpm.r),0)),IF(_xlpm.m=0,"",_xlpm.m+1))</f>
        <v/>
      </c>
      <c r="J577" s="137" t="inlineStr">
        <is>
          <t>NetSuite</t>
        </is>
      </c>
    </row>
    <row r="578">
      <c r="A578" s="5" t="inlineStr">
        <is>
          <t>Web</t>
        </is>
      </c>
      <c r="B578" s="5">
        <f>IF($I2="","",INDEX(Productos!$A:$A,$I2))</f>
        <v/>
      </c>
      <c r="C578" s="134" t="inlineStr">
        <is>
          <t>CL/DB3/1/CASF/SHE5-uNI</t>
        </is>
      </c>
      <c r="D578" s="5">
        <f>IF($I2="","",INDEX(Productos!$B:$B,$I2))</f>
        <v/>
      </c>
      <c r="E578" s="5">
        <f>IF($I2="","",INDEX(Productos!$H:$H,$I2))</f>
        <v/>
      </c>
      <c r="F578" s="5">
        <f>IF($I2="","",INDEX(Productos!$I:$I,$I2))</f>
        <v/>
      </c>
      <c r="G578" s="135" t="n">
        <v>2</v>
      </c>
      <c r="H578" s="5">
        <f>IF($I2="","",INDEX(Productos!$AG:$AG,$I2))</f>
        <v/>
      </c>
      <c r="I578" s="136">
        <f>LET(_xlpm.r,Productos!$E$2:$E$370,_xlpm.m,IFERROR(_xlfn.XMATCH(C578,_xlpm.r),IFERROR(_xlfn.XMATCH(VALUE(C578),_xlpm.r),0)),IF(_xlpm.m=0,"",_xlpm.m+1))</f>
        <v/>
      </c>
      <c r="J578" s="137" t="inlineStr">
        <is>
          <t>NetSuite</t>
        </is>
      </c>
    </row>
    <row r="579">
      <c r="A579" s="5" t="inlineStr">
        <is>
          <t>Web</t>
        </is>
      </c>
      <c r="B579" s="5">
        <f>IF($I2="","",INDEX(Productos!$A:$A,$I2))</f>
        <v/>
      </c>
      <c r="C579" s="134" t="inlineStr">
        <is>
          <t>CL/DBS/3/ULT4-UNIJR</t>
        </is>
      </c>
      <c r="D579" s="5">
        <f>IF($I2="","",INDEX(Productos!$B:$B,$I2))</f>
        <v/>
      </c>
      <c r="E579" s="5">
        <f>IF($I2="","",INDEX(Productos!$H:$H,$I2))</f>
        <v/>
      </c>
      <c r="F579" s="5">
        <f>IF($I2="","",INDEX(Productos!$I:$I,$I2))</f>
        <v/>
      </c>
      <c r="G579" s="135" t="n">
        <v>3</v>
      </c>
      <c r="H579" s="5">
        <f>IF($I2="","",INDEX(Productos!$AG:$AG,$I2))</f>
        <v/>
      </c>
      <c r="I579" s="136">
        <f>LET(_xlpm.r,Productos!$E$2:$E$370,_xlpm.m,IFERROR(_xlfn.XMATCH(C579,_xlpm.r),IFERROR(_xlfn.XMATCH(VALUE(C579),_xlpm.r),0)),IF(_xlpm.m=0,"",_xlpm.m+1))</f>
        <v/>
      </c>
      <c r="J579" s="137" t="inlineStr">
        <is>
          <t>NetSuite</t>
        </is>
      </c>
    </row>
    <row r="580">
      <c r="A580" s="5" t="inlineStr">
        <is>
          <t>Web</t>
        </is>
      </c>
      <c r="B580" s="5">
        <f>IF($I2="","",INDEX(Productos!$A:$A,$I2))</f>
        <v/>
      </c>
      <c r="C580" s="134" t="inlineStr">
        <is>
          <t>CL/DBS/TAG/1/FRE-UNIJR</t>
        </is>
      </c>
      <c r="D580" s="5">
        <f>IF($I2="","",INDEX(Productos!$B:$B,$I2))</f>
        <v/>
      </c>
      <c r="E580" s="5">
        <f>IF($I2="","",INDEX(Productos!$H:$H,$I2))</f>
        <v/>
      </c>
      <c r="F580" s="5">
        <f>IF($I2="","",INDEX(Productos!$I:$I,$I2))</f>
        <v/>
      </c>
      <c r="G580" s="135" t="n">
        <v>2</v>
      </c>
      <c r="H580" s="5">
        <f>IF($I2="","",INDEX(Productos!$AG:$AG,$I2))</f>
        <v/>
      </c>
      <c r="I580" s="136">
        <f>LET(_xlpm.r,Productos!$E$2:$E$370,_xlpm.m,IFERROR(_xlfn.XMATCH(C580,_xlpm.r),IFERROR(_xlfn.XMATCH(VALUE(C580),_xlpm.r),0)),IF(_xlpm.m=0,"",_xlpm.m+1))</f>
        <v/>
      </c>
      <c r="J580" s="137" t="inlineStr">
        <is>
          <t>NetSuite</t>
        </is>
      </c>
    </row>
    <row r="581">
      <c r="A581" s="5" t="inlineStr">
        <is>
          <t>Web</t>
        </is>
      </c>
      <c r="B581" s="5">
        <f>IF($I2="","",INDEX(Productos!$A:$A,$I2))</f>
        <v/>
      </c>
      <c r="C581" s="134" t="inlineStr">
        <is>
          <t>CL/DBS/TAG/1/GLD-UNI</t>
        </is>
      </c>
      <c r="D581" s="5">
        <f>IF($I2="","",INDEX(Productos!$B:$B,$I2))</f>
        <v/>
      </c>
      <c r="E581" s="5">
        <f>IF($I2="","",INDEX(Productos!$H:$H,$I2))</f>
        <v/>
      </c>
      <c r="F581" s="5">
        <f>IF($I2="","",INDEX(Productos!$I:$I,$I2))</f>
        <v/>
      </c>
      <c r="G581" s="135" t="n">
        <v>2</v>
      </c>
      <c r="H581" s="5">
        <f>IF($I2="","",INDEX(Productos!$AG:$AG,$I2))</f>
        <v/>
      </c>
      <c r="I581" s="136">
        <f>LET(_xlpm.r,Productos!$E$2:$E$370,_xlpm.m,IFERROR(_xlfn.XMATCH(C581,_xlpm.r),IFERROR(_xlfn.XMATCH(VALUE(C581),_xlpm.r),0)),IF(_xlpm.m=0,"",_xlpm.m+1))</f>
        <v/>
      </c>
      <c r="J581" s="137" t="inlineStr">
        <is>
          <t>NetSuite</t>
        </is>
      </c>
    </row>
    <row r="582">
      <c r="A582" s="5" t="inlineStr">
        <is>
          <t>Web</t>
        </is>
      </c>
      <c r="B582" s="5">
        <f>IF($I2="","",INDEX(Productos!$A:$A,$I2))</f>
        <v/>
      </c>
      <c r="C582" s="134" t="inlineStr">
        <is>
          <t>CL/DBS/TAG/1/GOK1-UNI</t>
        </is>
      </c>
      <c r="D582" s="5">
        <f>IF($I2="","",INDEX(Productos!$B:$B,$I2))</f>
        <v/>
      </c>
      <c r="E582" s="5">
        <f>IF($I2="","",INDEX(Productos!$H:$H,$I2))</f>
        <v/>
      </c>
      <c r="F582" s="5">
        <f>IF($I2="","",INDEX(Productos!$I:$I,$I2))</f>
        <v/>
      </c>
      <c r="G582" s="135" t="n">
        <v>3</v>
      </c>
      <c r="H582" s="5">
        <f>IF($I2="","",INDEX(Productos!$AG:$AG,$I2))</f>
        <v/>
      </c>
      <c r="I582" s="136">
        <f>LET(_xlpm.r,Productos!$E$2:$E$370,_xlpm.m,IFERROR(_xlfn.XMATCH(C582,_xlpm.r),IFERROR(_xlfn.XMATCH(VALUE(C582),_xlpm.r),0)),IF(_xlpm.m=0,"",_xlpm.m+1))</f>
        <v/>
      </c>
      <c r="J582" s="137" t="inlineStr">
        <is>
          <t>NetSuite</t>
        </is>
      </c>
    </row>
    <row r="583">
      <c r="A583" s="5" t="inlineStr">
        <is>
          <t>Web</t>
        </is>
      </c>
      <c r="B583" s="5">
        <f>IF($I2="","",INDEX(Productos!$A:$A,$I2))</f>
        <v/>
      </c>
      <c r="C583" s="134" t="inlineStr">
        <is>
          <t>CL/DBS2/1/FRE2-UNI</t>
        </is>
      </c>
      <c r="D583" s="5">
        <f>IF($I2="","",INDEX(Productos!$B:$B,$I2))</f>
        <v/>
      </c>
      <c r="E583" s="5">
        <f>IF($I2="","",INDEX(Productos!$H:$H,$I2))</f>
        <v/>
      </c>
      <c r="F583" s="5">
        <f>IF($I2="","",INDEX(Productos!$I:$I,$I2))</f>
        <v/>
      </c>
      <c r="G583" s="135" t="n">
        <v>1</v>
      </c>
      <c r="H583" s="5">
        <f>IF($I2="","",INDEX(Productos!$AG:$AG,$I2))</f>
        <v/>
      </c>
      <c r="I583" s="136">
        <f>LET(_xlpm.r,Productos!$E$2:$E$370,_xlpm.m,IFERROR(_xlfn.XMATCH(C583,_xlpm.r),IFERROR(_xlfn.XMATCH(VALUE(C583),_xlpm.r),0)),IF(_xlpm.m=0,"",_xlpm.m+1))</f>
        <v/>
      </c>
      <c r="J583" s="137" t="inlineStr">
        <is>
          <t>NetSuite</t>
        </is>
      </c>
    </row>
    <row r="584">
      <c r="A584" s="5" t="inlineStr">
        <is>
          <t>Web</t>
        </is>
      </c>
      <c r="B584" s="5">
        <f>IF($I2="","",INDEX(Productos!$A:$A,$I2))</f>
        <v/>
      </c>
      <c r="C584" s="134" t="inlineStr">
        <is>
          <t>CL/DBS2/1/GLD1-UNI</t>
        </is>
      </c>
      <c r="D584" s="5">
        <f>IF($I2="","",INDEX(Productos!$B:$B,$I2))</f>
        <v/>
      </c>
      <c r="E584" s="5">
        <f>IF($I2="","",INDEX(Productos!$H:$H,$I2))</f>
        <v/>
      </c>
      <c r="F584" s="5">
        <f>IF($I2="","",INDEX(Productos!$I:$I,$I2))</f>
        <v/>
      </c>
      <c r="G584" s="135" t="n">
        <v>1</v>
      </c>
      <c r="H584" s="5">
        <f>IF($I2="","",INDEX(Productos!$AG:$AG,$I2))</f>
        <v/>
      </c>
      <c r="I584" s="136">
        <f>LET(_xlpm.r,Productos!$E$2:$E$370,_xlpm.m,IFERROR(_xlfn.XMATCH(C584,_xlpm.r),IFERROR(_xlfn.XMATCH(VALUE(C584),_xlpm.r),0)),IF(_xlpm.m=0,"",_xlpm.m+1))</f>
        <v/>
      </c>
      <c r="J584" s="137" t="inlineStr">
        <is>
          <t>NetSuite</t>
        </is>
      </c>
    </row>
    <row r="585">
      <c r="A585" s="5" t="inlineStr">
        <is>
          <t>Web</t>
        </is>
      </c>
      <c r="B585" s="5">
        <f>IF($I2="","",INDEX(Productos!$A:$A,$I2))</f>
        <v/>
      </c>
      <c r="C585" s="134" t="inlineStr">
        <is>
          <t>CL/DBS2/1/GLD2-UNI</t>
        </is>
      </c>
      <c r="D585" s="5">
        <f>IF($I2="","",INDEX(Productos!$B:$B,$I2))</f>
        <v/>
      </c>
      <c r="E585" s="5">
        <f>IF($I2="","",INDEX(Productos!$H:$H,$I2))</f>
        <v/>
      </c>
      <c r="F585" s="5">
        <f>IF($I2="","",INDEX(Productos!$I:$I,$I2))</f>
        <v/>
      </c>
      <c r="G585" s="135" t="n">
        <v>3</v>
      </c>
      <c r="H585" s="5">
        <f>IF($I2="","",INDEX(Productos!$AG:$AG,$I2))</f>
        <v/>
      </c>
      <c r="I585" s="136">
        <f>LET(_xlpm.r,Productos!$E$2:$E$370,_xlpm.m,IFERROR(_xlfn.XMATCH(C585,_xlpm.r),IFERROR(_xlfn.XMATCH(VALUE(C585),_xlpm.r),0)),IF(_xlpm.m=0,"",_xlpm.m+1))</f>
        <v/>
      </c>
      <c r="J585" s="137" t="inlineStr">
        <is>
          <t>NetSuite</t>
        </is>
      </c>
    </row>
    <row r="586">
      <c r="A586" s="5" t="inlineStr">
        <is>
          <t>Web</t>
        </is>
      </c>
      <c r="B586" s="5">
        <f>IF($I2="","",INDEX(Productos!$A:$A,$I2))</f>
        <v/>
      </c>
      <c r="C586" s="134" t="inlineStr">
        <is>
          <t>CL/DBS3/1/CAS/VEG1-UNI</t>
        </is>
      </c>
      <c r="D586" s="5">
        <f>IF($I2="","",INDEX(Productos!$B:$B,$I2))</f>
        <v/>
      </c>
      <c r="E586" s="5">
        <f>IF($I2="","",INDEX(Productos!$H:$H,$I2))</f>
        <v/>
      </c>
      <c r="F586" s="5">
        <f>IF($I2="","",INDEX(Productos!$I:$I,$I2))</f>
        <v/>
      </c>
      <c r="G586" s="135" t="n">
        <v>2</v>
      </c>
      <c r="H586" s="5">
        <f>IF($I2="","",INDEX(Productos!$AG:$AG,$I2))</f>
        <v/>
      </c>
      <c r="I586" s="136">
        <f>LET(_xlpm.r,Productos!$E$2:$E$370,_xlpm.m,IFERROR(_xlfn.XMATCH(C586,_xlpm.r),IFERROR(_xlfn.XMATCH(VALUE(C586),_xlpm.r),0)),IF(_xlpm.m=0,"",_xlpm.m+1))</f>
        <v/>
      </c>
      <c r="J586" s="137" t="inlineStr">
        <is>
          <t>NetSuite</t>
        </is>
      </c>
    </row>
    <row r="587">
      <c r="A587" s="5" t="inlineStr">
        <is>
          <t>Web</t>
        </is>
      </c>
      <c r="B587" s="5">
        <f>IF($I2="","",INDEX(Productos!$A:$A,$I2))</f>
        <v/>
      </c>
      <c r="C587" s="134" t="inlineStr">
        <is>
          <t>CL/DBS3/1/CASF/SA1-UNI</t>
        </is>
      </c>
      <c r="D587" s="5">
        <f>IF($I2="","",INDEX(Productos!$B:$B,$I2))</f>
        <v/>
      </c>
      <c r="E587" s="5">
        <f>IF($I2="","",INDEX(Productos!$H:$H,$I2))</f>
        <v/>
      </c>
      <c r="F587" s="5">
        <f>IF($I2="","",INDEX(Productos!$I:$I,$I2))</f>
        <v/>
      </c>
      <c r="G587" s="135" t="n">
        <v>2</v>
      </c>
      <c r="H587" s="5">
        <f>IF($I2="","",INDEX(Productos!$AG:$AG,$I2))</f>
        <v/>
      </c>
      <c r="I587" s="136">
        <f>LET(_xlpm.r,Productos!$E$2:$E$370,_xlpm.m,IFERROR(_xlfn.XMATCH(C587,_xlpm.r),IFERROR(_xlfn.XMATCH(VALUE(C587),_xlpm.r),0)),IF(_xlpm.m=0,"",_xlpm.m+1))</f>
        <v/>
      </c>
      <c r="J587" s="137" t="inlineStr">
        <is>
          <t>NetSuite</t>
        </is>
      </c>
    </row>
    <row r="588">
      <c r="A588" s="5" t="inlineStr">
        <is>
          <t>Web</t>
        </is>
      </c>
      <c r="B588" s="5">
        <f>IF($I2="","",INDEX(Productos!$A:$A,$I2))</f>
        <v/>
      </c>
      <c r="C588" s="134" t="inlineStr">
        <is>
          <t>CL/DBS4/1/CF/GOL-UNI</t>
        </is>
      </c>
      <c r="D588" s="5">
        <f>IF($I2="","",INDEX(Productos!$B:$B,$I2))</f>
        <v/>
      </c>
      <c r="E588" s="5">
        <f>IF($I2="","",INDEX(Productos!$H:$H,$I2))</f>
        <v/>
      </c>
      <c r="F588" s="5">
        <f>IF($I2="","",INDEX(Productos!$I:$I,$I2))</f>
        <v/>
      </c>
      <c r="G588" s="135" t="n">
        <v>2</v>
      </c>
      <c r="H588" s="5">
        <f>IF($I2="","",INDEX(Productos!$AG:$AG,$I2))</f>
        <v/>
      </c>
      <c r="I588" s="136">
        <f>LET(_xlpm.r,Productos!$E$2:$E$370,_xlpm.m,IFERROR(_xlfn.XMATCH(C588,_xlpm.r),IFERROR(_xlfn.XMATCH(VALUE(C588),_xlpm.r),0)),IF(_xlpm.m=0,"",_xlpm.m+1))</f>
        <v/>
      </c>
      <c r="J588" s="137" t="inlineStr">
        <is>
          <t>NetSuite</t>
        </is>
      </c>
    </row>
    <row r="589">
      <c r="A589" s="5" t="inlineStr">
        <is>
          <t>Web</t>
        </is>
      </c>
      <c r="B589" s="5">
        <f>IF($I2="","",INDEX(Productos!$A:$A,$I2))</f>
        <v/>
      </c>
      <c r="C589" s="134" t="inlineStr">
        <is>
          <t>CL/DBZ/1/GO2-UNI</t>
        </is>
      </c>
      <c r="D589" s="5">
        <f>IF($I2="","",INDEX(Productos!$B:$B,$I2))</f>
        <v/>
      </c>
      <c r="E589" s="5">
        <f>IF($I2="","",INDEX(Productos!$H:$H,$I2))</f>
        <v/>
      </c>
      <c r="F589" s="5">
        <f>IF($I2="","",INDEX(Productos!$I:$I,$I2))</f>
        <v/>
      </c>
      <c r="G589" s="135" t="n">
        <v>4</v>
      </c>
      <c r="H589" s="5">
        <f>IF($I2="","",INDEX(Productos!$AG:$AG,$I2))</f>
        <v/>
      </c>
      <c r="I589" s="136">
        <f>LET(_xlpm.r,Productos!$E$2:$E$370,_xlpm.m,IFERROR(_xlfn.XMATCH(C589,_xlpm.r),IFERROR(_xlfn.XMATCH(VALUE(C589),_xlpm.r),0)),IF(_xlpm.m=0,"",_xlpm.m+1))</f>
        <v/>
      </c>
      <c r="J589" s="137" t="inlineStr">
        <is>
          <t>NetSuite</t>
        </is>
      </c>
    </row>
    <row r="590">
      <c r="A590" s="5" t="inlineStr">
        <is>
          <t>Web</t>
        </is>
      </c>
      <c r="B590" s="5">
        <f>IF($I2="","",INDEX(Productos!$A:$A,$I2))</f>
        <v/>
      </c>
      <c r="C590" s="134" t="inlineStr">
        <is>
          <t>CL/DBZ/1/GO3-UNI</t>
        </is>
      </c>
      <c r="D590" s="5">
        <f>IF($I2="","",INDEX(Productos!$B:$B,$I2))</f>
        <v/>
      </c>
      <c r="E590" s="5">
        <f>IF($I2="","",INDEX(Productos!$H:$H,$I2))</f>
        <v/>
      </c>
      <c r="F590" s="5">
        <f>IF($I2="","",INDEX(Productos!$I:$I,$I2))</f>
        <v/>
      </c>
      <c r="G590" s="135" t="n">
        <v>2</v>
      </c>
      <c r="H590" s="5">
        <f>IF($I2="","",INDEX(Productos!$AG:$AG,$I2))</f>
        <v/>
      </c>
      <c r="I590" s="136">
        <f>LET(_xlpm.r,Productos!$E$2:$E$370,_xlpm.m,IFERROR(_xlfn.XMATCH(C590,_xlpm.r),IFERROR(_xlfn.XMATCH(VALUE(C590),_xlpm.r),0)),IF(_xlpm.m=0,"",_xlpm.m+1))</f>
        <v/>
      </c>
      <c r="J590" s="137" t="inlineStr">
        <is>
          <t>NetSuite</t>
        </is>
      </c>
    </row>
    <row r="591">
      <c r="A591" s="5" t="inlineStr">
        <is>
          <t>Web</t>
        </is>
      </c>
      <c r="B591" s="5">
        <f>IF($I2="","",INDEX(Productos!$A:$A,$I2))</f>
        <v/>
      </c>
      <c r="C591" s="134" t="inlineStr">
        <is>
          <t>CL/DBZ/1/GO4-UNI</t>
        </is>
      </c>
      <c r="D591" s="5">
        <f>IF($I2="","",INDEX(Productos!$B:$B,$I2))</f>
        <v/>
      </c>
      <c r="E591" s="5">
        <f>IF($I2="","",INDEX(Productos!$H:$H,$I2))</f>
        <v/>
      </c>
      <c r="F591" s="5">
        <f>IF($I2="","",INDEX(Productos!$I:$I,$I2))</f>
        <v/>
      </c>
      <c r="G591" s="135" t="n">
        <v>3</v>
      </c>
      <c r="H591" s="5">
        <f>IF($I2="","",INDEX(Productos!$AG:$AG,$I2))</f>
        <v/>
      </c>
      <c r="I591" s="136">
        <f>LET(_xlpm.r,Productos!$E$2:$E$370,_xlpm.m,IFERROR(_xlfn.XMATCH(C591,_xlpm.r),IFERROR(_xlfn.XMATCH(VALUE(C591),_xlpm.r),0)),IF(_xlpm.m=0,"",_xlpm.m+1))</f>
        <v/>
      </c>
      <c r="J591" s="137" t="inlineStr">
        <is>
          <t>NetSuite</t>
        </is>
      </c>
    </row>
    <row r="592">
      <c r="A592" s="5" t="inlineStr">
        <is>
          <t>Web</t>
        </is>
      </c>
      <c r="B592" s="5">
        <f>IF($I2="","",INDEX(Productos!$A:$A,$I2))</f>
        <v/>
      </c>
      <c r="C592" s="134" t="inlineStr">
        <is>
          <t>CL/DBZ/1/GOK-UNI</t>
        </is>
      </c>
      <c r="D592" s="5">
        <f>IF($I2="","",INDEX(Productos!$B:$B,$I2))</f>
        <v/>
      </c>
      <c r="E592" s="5">
        <f>IF($I2="","",INDEX(Productos!$H:$H,$I2))</f>
        <v/>
      </c>
      <c r="F592" s="5">
        <f>IF($I2="","",INDEX(Productos!$I:$I,$I2))</f>
        <v/>
      </c>
      <c r="G592" s="135" t="n">
        <v>2</v>
      </c>
      <c r="H592" s="5">
        <f>IF($I2="","",INDEX(Productos!$AG:$AG,$I2))</f>
        <v/>
      </c>
      <c r="I592" s="136">
        <f>LET(_xlpm.r,Productos!$E$2:$E$370,_xlpm.m,IFERROR(_xlfn.XMATCH(C592,_xlpm.r),IFERROR(_xlfn.XMATCH(VALUE(C592),_xlpm.r),0)),IF(_xlpm.m=0,"",_xlpm.m+1))</f>
        <v/>
      </c>
      <c r="J592" s="137" t="inlineStr">
        <is>
          <t>NetSuite</t>
        </is>
      </c>
    </row>
    <row r="593">
      <c r="A593" s="5" t="inlineStr">
        <is>
          <t>Web</t>
        </is>
      </c>
      <c r="B593" s="5">
        <f>IF($I2="","",INDEX(Productos!$A:$A,$I2))</f>
        <v/>
      </c>
      <c r="C593" s="134" t="inlineStr">
        <is>
          <t>CL/DBZ/1/GOKD-UNI</t>
        </is>
      </c>
      <c r="D593" s="5">
        <f>IF($I2="","",INDEX(Productos!$B:$B,$I2))</f>
        <v/>
      </c>
      <c r="E593" s="5">
        <f>IF($I2="","",INDEX(Productos!$H:$H,$I2))</f>
        <v/>
      </c>
      <c r="F593" s="5">
        <f>IF($I2="","",INDEX(Productos!$I:$I,$I2))</f>
        <v/>
      </c>
      <c r="G593" s="135" t="n">
        <v>1</v>
      </c>
      <c r="H593" s="5">
        <f>IF($I2="","",INDEX(Productos!$AG:$AG,$I2))</f>
        <v/>
      </c>
      <c r="I593" s="136">
        <f>LET(_xlpm.r,Productos!$E$2:$E$370,_xlpm.m,IFERROR(_xlfn.XMATCH(C593,_xlpm.r),IFERROR(_xlfn.XMATCH(VALUE(C593),_xlpm.r),0)),IF(_xlpm.m=0,"",_xlpm.m+1))</f>
        <v/>
      </c>
      <c r="J593" s="137" t="inlineStr">
        <is>
          <t>NetSuite</t>
        </is>
      </c>
    </row>
    <row r="594">
      <c r="A594" s="5" t="inlineStr">
        <is>
          <t>Web</t>
        </is>
      </c>
      <c r="B594" s="5">
        <f>IF($I2="","",INDEX(Productos!$A:$A,$I2))</f>
        <v/>
      </c>
      <c r="C594" s="134" t="inlineStr">
        <is>
          <t>CL/DBZ/1/GOT3-UNI</t>
        </is>
      </c>
      <c r="D594" s="5">
        <f>IF($I2="","",INDEX(Productos!$B:$B,$I2))</f>
        <v/>
      </c>
      <c r="E594" s="5">
        <f>IF($I2="","",INDEX(Productos!$H:$H,$I2))</f>
        <v/>
      </c>
      <c r="F594" s="5">
        <f>IF($I2="","",INDEX(Productos!$I:$I,$I2))</f>
        <v/>
      </c>
      <c r="G594" s="135" t="n">
        <v>1</v>
      </c>
      <c r="H594" s="5">
        <f>IF($I2="","",INDEX(Productos!$AG:$AG,$I2))</f>
        <v/>
      </c>
      <c r="I594" s="136">
        <f>LET(_xlpm.r,Productos!$E$2:$E$370,_xlpm.m,IFERROR(_xlfn.XMATCH(C594,_xlpm.r),IFERROR(_xlfn.XMATCH(VALUE(C594),_xlpm.r),0)),IF(_xlpm.m=0,"",_xlpm.m+1))</f>
        <v/>
      </c>
      <c r="J594" s="137" t="inlineStr">
        <is>
          <t>NetSuite</t>
        </is>
      </c>
    </row>
    <row r="595">
      <c r="A595" s="5" t="inlineStr">
        <is>
          <t>Web</t>
        </is>
      </c>
      <c r="B595" s="5">
        <f>IF($I2="","",INDEX(Productos!$A:$A,$I2))</f>
        <v/>
      </c>
      <c r="C595" s="134" t="inlineStr">
        <is>
          <t>CL/DBZ/1/KAMC-UNI</t>
        </is>
      </c>
      <c r="D595" s="5">
        <f>IF($I2="","",INDEX(Productos!$B:$B,$I2))</f>
        <v/>
      </c>
      <c r="E595" s="5">
        <f>IF($I2="","",INDEX(Productos!$H:$H,$I2))</f>
        <v/>
      </c>
      <c r="F595" s="5">
        <f>IF($I2="","",INDEX(Productos!$I:$I,$I2))</f>
        <v/>
      </c>
      <c r="G595" s="135" t="n">
        <v>3</v>
      </c>
      <c r="H595" s="5">
        <f>IF($I2="","",INDEX(Productos!$AG:$AG,$I2))</f>
        <v/>
      </c>
      <c r="I595" s="136">
        <f>LET(_xlpm.r,Productos!$E$2:$E$370,_xlpm.m,IFERROR(_xlfn.XMATCH(C595,_xlpm.r),IFERROR(_xlfn.XMATCH(VALUE(C595),_xlpm.r),0)),IF(_xlpm.m=0,"",_xlpm.m+1))</f>
        <v/>
      </c>
      <c r="J595" s="137" t="inlineStr">
        <is>
          <t>NetSuite</t>
        </is>
      </c>
    </row>
    <row r="596">
      <c r="A596" s="5" t="inlineStr">
        <is>
          <t>Web</t>
        </is>
      </c>
      <c r="B596" s="5">
        <f>IF($I2="","",INDEX(Productos!$A:$A,$I2))</f>
        <v/>
      </c>
      <c r="C596" s="134" t="inlineStr">
        <is>
          <t>CL/DBZ/1/SAN3-UNI</t>
        </is>
      </c>
      <c r="D596" s="5">
        <f>IF($I2="","",INDEX(Productos!$B:$B,$I2))</f>
        <v/>
      </c>
      <c r="E596" s="5">
        <f>IF($I2="","",INDEX(Productos!$H:$H,$I2))</f>
        <v/>
      </c>
      <c r="F596" s="5">
        <f>IF($I2="","",INDEX(Productos!$I:$I,$I2))</f>
        <v/>
      </c>
      <c r="G596" s="135" t="n">
        <v>4</v>
      </c>
      <c r="H596" s="5">
        <f>IF($I2="","",INDEX(Productos!$AG:$AG,$I2))</f>
        <v/>
      </c>
      <c r="I596" s="136">
        <f>LET(_xlpm.r,Productos!$E$2:$E$370,_xlpm.m,IFERROR(_xlfn.XMATCH(C596,_xlpm.r),IFERROR(_xlfn.XMATCH(VALUE(C596),_xlpm.r),0)),IF(_xlpm.m=0,"",_xlpm.m+1))</f>
        <v/>
      </c>
      <c r="J596" s="137" t="inlineStr">
        <is>
          <t>NetSuite</t>
        </is>
      </c>
    </row>
    <row r="597">
      <c r="A597" s="5" t="inlineStr">
        <is>
          <t>Web</t>
        </is>
      </c>
      <c r="B597" s="5">
        <f>IF($I2="","",INDEX(Productos!$A:$A,$I2))</f>
        <v/>
      </c>
      <c r="C597" s="134" t="inlineStr">
        <is>
          <t>CL/DBZ/1/VE3-uNI</t>
        </is>
      </c>
      <c r="D597" s="5">
        <f>IF($I2="","",INDEX(Productos!$B:$B,$I2))</f>
        <v/>
      </c>
      <c r="E597" s="5">
        <f>IF($I2="","",INDEX(Productos!$H:$H,$I2))</f>
        <v/>
      </c>
      <c r="F597" s="5">
        <f>IF($I2="","",INDEX(Productos!$I:$I,$I2))</f>
        <v/>
      </c>
      <c r="G597" s="135" t="n">
        <v>3</v>
      </c>
      <c r="H597" s="5">
        <f>IF($I2="","",INDEX(Productos!$AG:$AG,$I2))</f>
        <v/>
      </c>
      <c r="I597" s="136">
        <f>LET(_xlpm.r,Productos!$E$2:$E$370,_xlpm.m,IFERROR(_xlfn.XMATCH(C597,_xlpm.r),IFERROR(_xlfn.XMATCH(VALUE(C597),_xlpm.r),0)),IF(_xlpm.m=0,"",_xlpm.m+1))</f>
        <v/>
      </c>
      <c r="J597" s="137" t="inlineStr">
        <is>
          <t>NetSuite</t>
        </is>
      </c>
    </row>
    <row r="598">
      <c r="A598" s="5" t="inlineStr">
        <is>
          <t>Web</t>
        </is>
      </c>
      <c r="B598" s="5">
        <f>IF($I2="","",INDEX(Productos!$A:$A,$I2))</f>
        <v/>
      </c>
      <c r="C598" s="134" t="inlineStr">
        <is>
          <t>CL/DBZ/3/GO3-UNIJR</t>
        </is>
      </c>
      <c r="D598" s="5">
        <f>IF($I2="","",INDEX(Productos!$B:$B,$I2))</f>
        <v/>
      </c>
      <c r="E598" s="5">
        <f>IF($I2="","",INDEX(Productos!$H:$H,$I2))</f>
        <v/>
      </c>
      <c r="F598" s="5">
        <f>IF($I2="","",INDEX(Productos!$I:$I,$I2))</f>
        <v/>
      </c>
      <c r="G598" s="135" t="n">
        <v>2</v>
      </c>
      <c r="H598" s="5">
        <f>IF($I2="","",INDEX(Productos!$AG:$AG,$I2))</f>
        <v/>
      </c>
      <c r="I598" s="136">
        <f>LET(_xlpm.r,Productos!$E$2:$E$370,_xlpm.m,IFERROR(_xlfn.XMATCH(C598,_xlpm.r),IFERROR(_xlfn.XMATCH(VALUE(C598),_xlpm.r),0)),IF(_xlpm.m=0,"",_xlpm.m+1))</f>
        <v/>
      </c>
      <c r="J598" s="137" t="inlineStr">
        <is>
          <t>NetSuite</t>
        </is>
      </c>
    </row>
    <row r="599">
      <c r="A599" s="5" t="inlineStr">
        <is>
          <t>Web</t>
        </is>
      </c>
      <c r="B599" s="5">
        <f>IF($I2="","",INDEX(Productos!$A:$A,$I2))</f>
        <v/>
      </c>
      <c r="C599" s="134" t="inlineStr">
        <is>
          <t>CL/DBZ/3/GOKB-UNIJR</t>
        </is>
      </c>
      <c r="D599" s="5">
        <f>IF($I2="","",INDEX(Productos!$B:$B,$I2))</f>
        <v/>
      </c>
      <c r="E599" s="5">
        <f>IF($I2="","",INDEX(Productos!$H:$H,$I2))</f>
        <v/>
      </c>
      <c r="F599" s="5">
        <f>IF($I2="","",INDEX(Productos!$I:$I,$I2))</f>
        <v/>
      </c>
      <c r="G599" s="135" t="n">
        <v>2</v>
      </c>
      <c r="H599" s="5">
        <f>IF($I2="","",INDEX(Productos!$AG:$AG,$I2))</f>
        <v/>
      </c>
      <c r="I599" s="136">
        <f>LET(_xlpm.r,Productos!$E$2:$E$370,_xlpm.m,IFERROR(_xlfn.XMATCH(C599,_xlpm.r),IFERROR(_xlfn.XMATCH(VALUE(C599),_xlpm.r),0)),IF(_xlpm.m=0,"",_xlpm.m+1))</f>
        <v/>
      </c>
      <c r="J599" s="137" t="inlineStr">
        <is>
          <t>NetSuite</t>
        </is>
      </c>
    </row>
    <row r="600">
      <c r="A600" s="5" t="inlineStr">
        <is>
          <t>Web</t>
        </is>
      </c>
      <c r="B600" s="5">
        <f>IF($I2="","",INDEX(Productos!$A:$A,$I2))</f>
        <v/>
      </c>
      <c r="C600" s="134" t="inlineStr">
        <is>
          <t>CL/DBZ/3/VEGB-UNIJR</t>
        </is>
      </c>
      <c r="D600" s="5">
        <f>IF($I2="","",INDEX(Productos!$B:$B,$I2))</f>
        <v/>
      </c>
      <c r="E600" s="5">
        <f>IF($I2="","",INDEX(Productos!$H:$H,$I2))</f>
        <v/>
      </c>
      <c r="F600" s="5">
        <f>IF($I2="","",INDEX(Productos!$I:$I,$I2))</f>
        <v/>
      </c>
      <c r="G600" s="135" t="n">
        <v>3</v>
      </c>
      <c r="H600" s="5">
        <f>IF($I2="","",INDEX(Productos!$AG:$AG,$I2))</f>
        <v/>
      </c>
      <c r="I600" s="136">
        <f>LET(_xlpm.r,Productos!$E$2:$E$370,_xlpm.m,IFERROR(_xlfn.XMATCH(C600,_xlpm.r),IFERROR(_xlfn.XMATCH(VALUE(C600),_xlpm.r),0)),IF(_xlpm.m=0,"",_xlpm.m+1))</f>
        <v/>
      </c>
      <c r="J600" s="137" t="inlineStr">
        <is>
          <t>NetSuite</t>
        </is>
      </c>
    </row>
    <row r="601">
      <c r="A601" s="5" t="inlineStr">
        <is>
          <t>Web</t>
        </is>
      </c>
      <c r="B601" s="5">
        <f>IF($I2="","",INDEX(Productos!$A:$A,$I2))</f>
        <v/>
      </c>
      <c r="C601" s="134" t="inlineStr">
        <is>
          <t>CL/DBZ/TAG/1/KAM-UNI</t>
        </is>
      </c>
      <c r="D601" s="5">
        <f>IF($I2="","",INDEX(Productos!$B:$B,$I2))</f>
        <v/>
      </c>
      <c r="E601" s="5">
        <f>IF($I2="","",INDEX(Productos!$H:$H,$I2))</f>
        <v/>
      </c>
      <c r="F601" s="5">
        <f>IF($I2="","",INDEX(Productos!$I:$I,$I2))</f>
        <v/>
      </c>
      <c r="G601" s="135" t="n">
        <v>1</v>
      </c>
      <c r="H601" s="5">
        <f>IF($I2="","",INDEX(Productos!$AG:$AG,$I2))</f>
        <v/>
      </c>
      <c r="I601" s="136">
        <f>LET(_xlpm.r,Productos!$E$2:$E$370,_xlpm.m,IFERROR(_xlfn.XMATCH(C601,_xlpm.r),IFERROR(_xlfn.XMATCH(VALUE(C601),_xlpm.r),0)),IF(_xlpm.m=0,"",_xlpm.m+1))</f>
        <v/>
      </c>
      <c r="J601" s="137" t="inlineStr">
        <is>
          <t>NetSuite</t>
        </is>
      </c>
    </row>
    <row r="602">
      <c r="A602" s="5" t="inlineStr">
        <is>
          <t>Web</t>
        </is>
      </c>
      <c r="B602" s="5">
        <f>IF($I2="","",INDEX(Productos!$A:$A,$I2))</f>
        <v/>
      </c>
      <c r="C602" s="134" t="inlineStr">
        <is>
          <t>CL/DBZ/TAG/1/SHE-UNI</t>
        </is>
      </c>
      <c r="D602" s="5">
        <f>IF($I2="","",INDEX(Productos!$B:$B,$I2))</f>
        <v/>
      </c>
      <c r="E602" s="5">
        <f>IF($I2="","",INDEX(Productos!$H:$H,$I2))</f>
        <v/>
      </c>
      <c r="F602" s="5">
        <f>IF($I2="","",INDEX(Productos!$I:$I,$I2))</f>
        <v/>
      </c>
      <c r="G602" s="135" t="n">
        <v>2</v>
      </c>
      <c r="H602" s="5">
        <f>IF($I2="","",INDEX(Productos!$AG:$AG,$I2))</f>
        <v/>
      </c>
      <c r="I602" s="136">
        <f>LET(_xlpm.r,Productos!$E$2:$E$370,_xlpm.m,IFERROR(_xlfn.XMATCH(C602,_xlpm.r),IFERROR(_xlfn.XMATCH(VALUE(C602),_xlpm.r),0)),IF(_xlpm.m=0,"",_xlpm.m+1))</f>
        <v/>
      </c>
      <c r="J602" s="137" t="inlineStr">
        <is>
          <t>NetSuite</t>
        </is>
      </c>
    </row>
    <row r="603">
      <c r="A603" s="5" t="inlineStr">
        <is>
          <t>Web</t>
        </is>
      </c>
      <c r="B603" s="5">
        <f>IF($I2="","",INDEX(Productos!$A:$A,$I2))</f>
        <v/>
      </c>
      <c r="C603" s="134" t="inlineStr">
        <is>
          <t>CL/DBZ2/1/GTN2-UNI</t>
        </is>
      </c>
      <c r="D603" s="5">
        <f>IF($I2="","",INDEX(Productos!$B:$B,$I2))</f>
        <v/>
      </c>
      <c r="E603" s="5">
        <f>IF($I2="","",INDEX(Productos!$H:$H,$I2))</f>
        <v/>
      </c>
      <c r="F603" s="5">
        <f>IF($I2="","",INDEX(Productos!$I:$I,$I2))</f>
        <v/>
      </c>
      <c r="G603" s="135" t="n">
        <v>3</v>
      </c>
      <c r="H603" s="5">
        <f>IF($I2="","",INDEX(Productos!$AG:$AG,$I2))</f>
        <v/>
      </c>
      <c r="I603" s="136">
        <f>LET(_xlpm.r,Productos!$E$2:$E$370,_xlpm.m,IFERROR(_xlfn.XMATCH(C603,_xlpm.r),IFERROR(_xlfn.XMATCH(VALUE(C603),_xlpm.r),0)),IF(_xlpm.m=0,"",_xlpm.m+1))</f>
        <v/>
      </c>
      <c r="J603" s="137" t="inlineStr">
        <is>
          <t>NetSuite</t>
        </is>
      </c>
    </row>
    <row r="604">
      <c r="A604" s="5" t="inlineStr">
        <is>
          <t>Web</t>
        </is>
      </c>
      <c r="B604" s="5">
        <f>IF($I2="","",INDEX(Productos!$A:$A,$I2))</f>
        <v/>
      </c>
      <c r="C604" s="134" t="inlineStr">
        <is>
          <t>CL/DBZ2/1/KAM10-UNI</t>
        </is>
      </c>
      <c r="D604" s="5">
        <f>IF($I2="","",INDEX(Productos!$B:$B,$I2))</f>
        <v/>
      </c>
      <c r="E604" s="5">
        <f>IF($I2="","",INDEX(Productos!$H:$H,$I2))</f>
        <v/>
      </c>
      <c r="F604" s="5">
        <f>IF($I2="","",INDEX(Productos!$I:$I,$I2))</f>
        <v/>
      </c>
      <c r="G604" s="135" t="n">
        <v>1</v>
      </c>
      <c r="H604" s="5">
        <f>IF($I2="","",INDEX(Productos!$AG:$AG,$I2))</f>
        <v/>
      </c>
      <c r="I604" s="136">
        <f>LET(_xlpm.r,Productos!$E$2:$E$370,_xlpm.m,IFERROR(_xlfn.XMATCH(C604,_xlpm.r),IFERROR(_xlfn.XMATCH(VALUE(C604),_xlpm.r),0)),IF(_xlpm.m=0,"",_xlpm.m+1))</f>
        <v/>
      </c>
      <c r="J604" s="137" t="inlineStr">
        <is>
          <t>NetSuite</t>
        </is>
      </c>
    </row>
    <row r="605">
      <c r="A605" s="5" t="inlineStr">
        <is>
          <t>Web</t>
        </is>
      </c>
      <c r="B605" s="5">
        <f>IF($I2="","",INDEX(Productos!$A:$A,$I2))</f>
        <v/>
      </c>
      <c r="C605" s="134" t="inlineStr">
        <is>
          <t>CL/DBZ2/1/KAM4-UNI</t>
        </is>
      </c>
      <c r="D605" s="5">
        <f>IF($I2="","",INDEX(Productos!$B:$B,$I2))</f>
        <v/>
      </c>
      <c r="E605" s="5">
        <f>IF($I2="","",INDEX(Productos!$H:$H,$I2))</f>
        <v/>
      </c>
      <c r="F605" s="5">
        <f>IF($I2="","",INDEX(Productos!$I:$I,$I2))</f>
        <v/>
      </c>
      <c r="G605" s="135" t="n">
        <v>1</v>
      </c>
      <c r="H605" s="5">
        <f>IF($I2="","",INDEX(Productos!$AG:$AG,$I2))</f>
        <v/>
      </c>
      <c r="I605" s="136">
        <f>LET(_xlpm.r,Productos!$E$2:$E$370,_xlpm.m,IFERROR(_xlfn.XMATCH(C605,_xlpm.r),IFERROR(_xlfn.XMATCH(VALUE(C605),_xlpm.r),0)),IF(_xlpm.m=0,"",_xlpm.m+1))</f>
        <v/>
      </c>
      <c r="J605" s="137" t="inlineStr">
        <is>
          <t>NetSuite</t>
        </is>
      </c>
    </row>
    <row r="606">
      <c r="A606" s="5" t="inlineStr">
        <is>
          <t>Web</t>
        </is>
      </c>
      <c r="B606" s="5">
        <f>IF($I2="","",INDEX(Productos!$A:$A,$I2))</f>
        <v/>
      </c>
      <c r="C606" s="134" t="inlineStr">
        <is>
          <t>CL/DBZ2/1/MV2-UNI</t>
        </is>
      </c>
      <c r="D606" s="5">
        <f>IF($I2="","",INDEX(Productos!$B:$B,$I2))</f>
        <v/>
      </c>
      <c r="E606" s="5">
        <f>IF($I2="","",INDEX(Productos!$H:$H,$I2))</f>
        <v/>
      </c>
      <c r="F606" s="5">
        <f>IF($I2="","",INDEX(Productos!$I:$I,$I2))</f>
        <v/>
      </c>
      <c r="G606" s="135" t="n">
        <v>1</v>
      </c>
      <c r="H606" s="5">
        <f>IF($I2="","",INDEX(Productos!$AG:$AG,$I2))</f>
        <v/>
      </c>
      <c r="I606" s="136">
        <f>LET(_xlpm.r,Productos!$E$2:$E$370,_xlpm.m,IFERROR(_xlfn.XMATCH(C606,_xlpm.r),IFERROR(_xlfn.XMATCH(VALUE(C606),_xlpm.r),0)),IF(_xlpm.m=0,"",_xlpm.m+1))</f>
        <v/>
      </c>
      <c r="J606" s="137" t="inlineStr">
        <is>
          <t>NetSuite</t>
        </is>
      </c>
    </row>
    <row r="607">
      <c r="A607" s="5" t="inlineStr">
        <is>
          <t>Web</t>
        </is>
      </c>
      <c r="B607" s="5">
        <f>IF($I2="","",INDEX(Productos!$A:$A,$I2))</f>
        <v/>
      </c>
      <c r="C607" s="134" t="inlineStr">
        <is>
          <t>CL/DBZ2/1/MV4-UNI</t>
        </is>
      </c>
      <c r="D607" s="5">
        <f>IF($I2="","",INDEX(Productos!$B:$B,$I2))</f>
        <v/>
      </c>
      <c r="E607" s="5">
        <f>IF($I2="","",INDEX(Productos!$H:$H,$I2))</f>
        <v/>
      </c>
      <c r="F607" s="5">
        <f>IF($I2="","",INDEX(Productos!$I:$I,$I2))</f>
        <v/>
      </c>
      <c r="G607" s="135" t="n">
        <v>2</v>
      </c>
      <c r="H607" s="5">
        <f>IF($I2="","",INDEX(Productos!$AG:$AG,$I2))</f>
        <v/>
      </c>
      <c r="I607" s="136">
        <f>LET(_xlpm.r,Productos!$E$2:$E$370,_xlpm.m,IFERROR(_xlfn.XMATCH(C607,_xlpm.r),IFERROR(_xlfn.XMATCH(VALUE(C607),_xlpm.r),0)),IF(_xlpm.m=0,"",_xlpm.m+1))</f>
        <v/>
      </c>
      <c r="J607" s="137" t="inlineStr">
        <is>
          <t>NetSuite</t>
        </is>
      </c>
    </row>
    <row r="608">
      <c r="A608" s="5" t="inlineStr">
        <is>
          <t>Web</t>
        </is>
      </c>
      <c r="B608" s="5">
        <f>IF($I2="","",INDEX(Productos!$A:$A,$I2))</f>
        <v/>
      </c>
      <c r="C608" s="134" t="inlineStr">
        <is>
          <t>CL/DBZ2/1/TRK1-UNI</t>
        </is>
      </c>
      <c r="D608" s="5">
        <f>IF($I2="","",INDEX(Productos!$B:$B,$I2))</f>
        <v/>
      </c>
      <c r="E608" s="5">
        <f>IF($I2="","",INDEX(Productos!$H:$H,$I2))</f>
        <v/>
      </c>
      <c r="F608" s="5">
        <f>IF($I2="","",INDEX(Productos!$I:$I,$I2))</f>
        <v/>
      </c>
      <c r="G608" s="135" t="n">
        <v>-1</v>
      </c>
      <c r="H608" s="5">
        <f>IF($I2="","",INDEX(Productos!$AG:$AG,$I2))</f>
        <v/>
      </c>
      <c r="I608" s="136">
        <f>LET(_xlpm.r,Productos!$E$2:$E$370,_xlpm.m,IFERROR(_xlfn.XMATCH(C608,_xlpm.r),IFERROR(_xlfn.XMATCH(VALUE(C608),_xlpm.r),0)),IF(_xlpm.m=0,"",_xlpm.m+1))</f>
        <v/>
      </c>
      <c r="J608" s="137" t="inlineStr">
        <is>
          <t>NetSuite</t>
        </is>
      </c>
    </row>
    <row r="609">
      <c r="A609" s="5" t="inlineStr">
        <is>
          <t>Web</t>
        </is>
      </c>
      <c r="B609" s="5">
        <f>IF($I2="","",INDEX(Productos!$A:$A,$I2))</f>
        <v/>
      </c>
      <c r="C609" s="134" t="inlineStr">
        <is>
          <t>CL/DBZ2/1/TRK2-UNI</t>
        </is>
      </c>
      <c r="D609" s="5">
        <f>IF($I2="","",INDEX(Productos!$B:$B,$I2))</f>
        <v/>
      </c>
      <c r="E609" s="5">
        <f>IF($I2="","",INDEX(Productos!$H:$H,$I2))</f>
        <v/>
      </c>
      <c r="F609" s="5">
        <f>IF($I2="","",INDEX(Productos!$I:$I,$I2))</f>
        <v/>
      </c>
      <c r="G609" s="135" t="n">
        <v>3</v>
      </c>
      <c r="H609" s="5">
        <f>IF($I2="","",INDEX(Productos!$AG:$AG,$I2))</f>
        <v/>
      </c>
      <c r="I609" s="136">
        <f>LET(_xlpm.r,Productos!$E$2:$E$370,_xlpm.m,IFERROR(_xlfn.XMATCH(C609,_xlpm.r),IFERROR(_xlfn.XMATCH(VALUE(C609),_xlpm.r),0)),IF(_xlpm.m=0,"",_xlpm.m+1))</f>
        <v/>
      </c>
      <c r="J609" s="137" t="inlineStr">
        <is>
          <t>NetSuite</t>
        </is>
      </c>
    </row>
    <row r="610">
      <c r="A610" s="5" t="inlineStr">
        <is>
          <t>Web</t>
        </is>
      </c>
      <c r="B610" s="5">
        <f>IF($I2="","",INDEX(Productos!$A:$A,$I2))</f>
        <v/>
      </c>
      <c r="C610" s="134" t="inlineStr">
        <is>
          <t>CL/DBZ2/3/MV1-UNIJR</t>
        </is>
      </c>
      <c r="D610" s="5">
        <f>IF($I2="","",INDEX(Productos!$B:$B,$I2))</f>
        <v/>
      </c>
      <c r="E610" s="5">
        <f>IF($I2="","",INDEX(Productos!$H:$H,$I2))</f>
        <v/>
      </c>
      <c r="F610" s="5">
        <f>IF($I2="","",INDEX(Productos!$I:$I,$I2))</f>
        <v/>
      </c>
      <c r="G610" s="135" t="n">
        <v>2</v>
      </c>
      <c r="H610" s="5">
        <f>IF($I2="","",INDEX(Productos!$AG:$AG,$I2))</f>
        <v/>
      </c>
      <c r="I610" s="136">
        <f>LET(_xlpm.r,Productos!$E$2:$E$370,_xlpm.m,IFERROR(_xlfn.XMATCH(C610,_xlpm.r),IFERROR(_xlfn.XMATCH(VALUE(C610),_xlpm.r),0)),IF(_xlpm.m=0,"",_xlpm.m+1))</f>
        <v/>
      </c>
      <c r="J610" s="137" t="inlineStr">
        <is>
          <t>NetSuite</t>
        </is>
      </c>
    </row>
    <row r="611">
      <c r="A611" s="5" t="inlineStr">
        <is>
          <t>Web</t>
        </is>
      </c>
      <c r="B611" s="5">
        <f>IF($I2="","",INDEX(Productos!$A:$A,$I2))</f>
        <v/>
      </c>
      <c r="C611" s="134" t="inlineStr">
        <is>
          <t>CL/DBZ3/1/KRI4-UNI</t>
        </is>
      </c>
      <c r="D611" s="5">
        <f>IF($I2="","",INDEX(Productos!$B:$B,$I2))</f>
        <v/>
      </c>
      <c r="E611" s="5">
        <f>IF($I2="","",INDEX(Productos!$H:$H,$I2))</f>
        <v/>
      </c>
      <c r="F611" s="5">
        <f>IF($I2="","",INDEX(Productos!$I:$I,$I2))</f>
        <v/>
      </c>
      <c r="G611" s="135" t="n">
        <v>2</v>
      </c>
      <c r="H611" s="5">
        <f>IF($I2="","",INDEX(Productos!$AG:$AG,$I2))</f>
        <v/>
      </c>
      <c r="I611" s="136">
        <f>LET(_xlpm.r,Productos!$E$2:$E$370,_xlpm.m,IFERROR(_xlfn.XMATCH(C611,_xlpm.r),IFERROR(_xlfn.XMATCH(VALUE(C611),_xlpm.r),0)),IF(_xlpm.m=0,"",_xlpm.m+1))</f>
        <v/>
      </c>
      <c r="J611" s="137" t="inlineStr">
        <is>
          <t>NetSuite</t>
        </is>
      </c>
    </row>
    <row r="612">
      <c r="A612" s="5" t="inlineStr">
        <is>
          <t>Web</t>
        </is>
      </c>
      <c r="B612" s="5">
        <f>IF($I2="","",INDEX(Productos!$A:$A,$I2))</f>
        <v/>
      </c>
      <c r="C612" s="134" t="inlineStr">
        <is>
          <t>CL/DBZ6/1/CAS/FRI2-uNI</t>
        </is>
      </c>
      <c r="D612" s="5">
        <f>IF($I2="","",INDEX(Productos!$B:$B,$I2))</f>
        <v/>
      </c>
      <c r="E612" s="5">
        <f>IF($I2="","",INDEX(Productos!$H:$H,$I2))</f>
        <v/>
      </c>
      <c r="F612" s="5">
        <f>IF($I2="","",INDEX(Productos!$I:$I,$I2))</f>
        <v/>
      </c>
      <c r="G612" s="135" t="n">
        <v>1</v>
      </c>
      <c r="H612" s="5">
        <f>IF($I2="","",INDEX(Productos!$AG:$AG,$I2))</f>
        <v/>
      </c>
      <c r="I612" s="136">
        <f>LET(_xlpm.r,Productos!$E$2:$E$370,_xlpm.m,IFERROR(_xlfn.XMATCH(C612,_xlpm.r),IFERROR(_xlfn.XMATCH(VALUE(C612),_xlpm.r),0)),IF(_xlpm.m=0,"",_xlpm.m+1))</f>
        <v/>
      </c>
      <c r="J612" s="137" t="inlineStr">
        <is>
          <t>NetSuite</t>
        </is>
      </c>
    </row>
    <row r="613">
      <c r="A613" s="5" t="inlineStr">
        <is>
          <t>Web</t>
        </is>
      </c>
      <c r="B613" s="5">
        <f>IF($I2="","",INDEX(Productos!$A:$A,$I2))</f>
        <v/>
      </c>
      <c r="C613" s="134" t="inlineStr">
        <is>
          <t>CL/DBZ6/1/CAS/KID2-UNI</t>
        </is>
      </c>
      <c r="D613" s="5">
        <f>IF($I2="","",INDEX(Productos!$B:$B,$I2))</f>
        <v/>
      </c>
      <c r="E613" s="5">
        <f>IF($I2="","",INDEX(Productos!$H:$H,$I2))</f>
        <v/>
      </c>
      <c r="F613" s="5">
        <f>IF($I2="","",INDEX(Productos!$I:$I,$I2))</f>
        <v/>
      </c>
      <c r="G613" s="135" t="n">
        <v>1</v>
      </c>
      <c r="H613" s="5">
        <f>IF($I2="","",INDEX(Productos!$AG:$AG,$I2))</f>
        <v/>
      </c>
      <c r="I613" s="136">
        <f>LET(_xlpm.r,Productos!$E$2:$E$370,_xlpm.m,IFERROR(_xlfn.XMATCH(C613,_xlpm.r),IFERROR(_xlfn.XMATCH(VALUE(C613),_xlpm.r),0)),IF(_xlpm.m=0,"",_xlpm.m+1))</f>
        <v/>
      </c>
      <c r="J613" s="137" t="inlineStr">
        <is>
          <t>NetSuite</t>
        </is>
      </c>
    </row>
    <row r="614">
      <c r="A614" s="5" t="inlineStr">
        <is>
          <t>Web</t>
        </is>
      </c>
      <c r="B614" s="5">
        <f>IF($I2="","",INDEX(Productos!$A:$A,$I2))</f>
        <v/>
      </c>
      <c r="C614" s="134" t="inlineStr">
        <is>
          <t>CL/DBZ7/1/CT/ANG-UNI</t>
        </is>
      </c>
      <c r="D614" s="5">
        <f>IF($I2="","",INDEX(Productos!$B:$B,$I2))</f>
        <v/>
      </c>
      <c r="E614" s="5">
        <f>IF($I2="","",INDEX(Productos!$H:$H,$I2))</f>
        <v/>
      </c>
      <c r="F614" s="5">
        <f>IF($I2="","",INDEX(Productos!$I:$I,$I2))</f>
        <v/>
      </c>
      <c r="G614" s="135" t="n">
        <v>2</v>
      </c>
      <c r="H614" s="5">
        <f>IF($I2="","",INDEX(Productos!$AG:$AG,$I2))</f>
        <v/>
      </c>
      <c r="I614" s="136">
        <f>LET(_xlpm.r,Productos!$E$2:$E$370,_xlpm.m,IFERROR(_xlfn.XMATCH(C614,_xlpm.r),IFERROR(_xlfn.XMATCH(VALUE(C614),_xlpm.r),0)),IF(_xlpm.m=0,"",_xlpm.m+1))</f>
        <v/>
      </c>
      <c r="J614" s="137" t="inlineStr">
        <is>
          <t>NetSuite</t>
        </is>
      </c>
    </row>
    <row r="615">
      <c r="A615" s="5" t="inlineStr">
        <is>
          <t>Web</t>
        </is>
      </c>
      <c r="B615" s="5">
        <f>IF($I2="","",INDEX(Productos!$A:$A,$I2))</f>
        <v/>
      </c>
      <c r="C615" s="134" t="inlineStr">
        <is>
          <t>CL/DBZ7/1/CT/GBUU-UNI</t>
        </is>
      </c>
      <c r="D615" s="5">
        <f>IF($I2="","",INDEX(Productos!$B:$B,$I2))</f>
        <v/>
      </c>
      <c r="E615" s="5">
        <f>IF($I2="","",INDEX(Productos!$H:$H,$I2))</f>
        <v/>
      </c>
      <c r="F615" s="5">
        <f>IF($I2="","",INDEX(Productos!$I:$I,$I2))</f>
        <v/>
      </c>
      <c r="G615" s="135" t="n">
        <v>2</v>
      </c>
      <c r="H615" s="5">
        <f>IF($I2="","",INDEX(Productos!$AG:$AG,$I2))</f>
        <v/>
      </c>
      <c r="I615" s="136">
        <f>LET(_xlpm.r,Productos!$E$2:$E$370,_xlpm.m,IFERROR(_xlfn.XMATCH(C615,_xlpm.r),IFERROR(_xlfn.XMATCH(VALUE(C615),_xlpm.r),0)),IF(_xlpm.m=0,"",_xlpm.m+1))</f>
        <v/>
      </c>
      <c r="J615" s="137" t="inlineStr">
        <is>
          <t>NetSuite</t>
        </is>
      </c>
    </row>
    <row r="616">
      <c r="A616" s="5" t="inlineStr">
        <is>
          <t>Web</t>
        </is>
      </c>
      <c r="B616" s="5">
        <f>IF($I2="","",INDEX(Productos!$A:$A,$I2))</f>
        <v/>
      </c>
      <c r="C616" s="134" t="inlineStr">
        <is>
          <t>CL/DBZ7/1/CT/SAV-UNI</t>
        </is>
      </c>
      <c r="D616" s="5">
        <f>IF($I2="","",INDEX(Productos!$B:$B,$I2))</f>
        <v/>
      </c>
      <c r="E616" s="5">
        <f>IF($I2="","",INDEX(Productos!$H:$H,$I2))</f>
        <v/>
      </c>
      <c r="F616" s="5">
        <f>IF($I2="","",INDEX(Productos!$I:$I,$I2))</f>
        <v/>
      </c>
      <c r="G616" s="135" t="n">
        <v>2</v>
      </c>
      <c r="H616" s="5">
        <f>IF($I2="","",INDEX(Productos!$AG:$AG,$I2))</f>
        <v/>
      </c>
      <c r="I616" s="136">
        <f>LET(_xlpm.r,Productos!$E$2:$E$370,_xlpm.m,IFERROR(_xlfn.XMATCH(C616,_xlpm.r),IFERROR(_xlfn.XMATCH(VALUE(C616),_xlpm.r),0)),IF(_xlpm.m=0,"",_xlpm.m+1))</f>
        <v/>
      </c>
      <c r="J616" s="137" t="inlineStr">
        <is>
          <t>NetSuite</t>
        </is>
      </c>
    </row>
    <row r="617">
      <c r="A617" s="5" t="inlineStr">
        <is>
          <t>Web</t>
        </is>
      </c>
      <c r="B617" s="5">
        <f>IF($I2="","",INDEX(Productos!$A:$A,$I2))</f>
        <v/>
      </c>
      <c r="C617" s="134" t="inlineStr">
        <is>
          <t>CL/DBZ7/1/CT/SON-UNI</t>
        </is>
      </c>
      <c r="D617" s="5">
        <f>IF($I2="","",INDEX(Productos!$B:$B,$I2))</f>
        <v/>
      </c>
      <c r="E617" s="5">
        <f>IF($I2="","",INDEX(Productos!$H:$H,$I2))</f>
        <v/>
      </c>
      <c r="F617" s="5">
        <f>IF($I2="","",INDEX(Productos!$I:$I,$I2))</f>
        <v/>
      </c>
      <c r="G617" s="135" t="n">
        <v>2</v>
      </c>
      <c r="H617" s="5">
        <f>IF($I2="","",INDEX(Productos!$AG:$AG,$I2))</f>
        <v/>
      </c>
      <c r="I617" s="136">
        <f>LET(_xlpm.r,Productos!$E$2:$E$370,_xlpm.m,IFERROR(_xlfn.XMATCH(C617,_xlpm.r),IFERROR(_xlfn.XMATCH(VALUE(C617),_xlpm.r),0)),IF(_xlpm.m=0,"",_xlpm.m+1))</f>
        <v/>
      </c>
      <c r="J617" s="137" t="inlineStr">
        <is>
          <t>NetSuite</t>
        </is>
      </c>
    </row>
    <row r="618">
      <c r="A618" s="5" t="inlineStr">
        <is>
          <t>Web</t>
        </is>
      </c>
      <c r="B618" s="5">
        <f>IF($I2="","",INDEX(Productos!$A:$A,$I2))</f>
        <v/>
      </c>
      <c r="C618" s="134" t="inlineStr">
        <is>
          <t>CL/DC/TAG/1/BAT-UNI</t>
        </is>
      </c>
      <c r="D618" s="5">
        <f>IF($I2="","",INDEX(Productos!$B:$B,$I2))</f>
        <v/>
      </c>
      <c r="E618" s="5">
        <f>IF($I2="","",INDEX(Productos!$H:$H,$I2))</f>
        <v/>
      </c>
      <c r="F618" s="5">
        <f>IF($I2="","",INDEX(Productos!$I:$I,$I2))</f>
        <v/>
      </c>
      <c r="G618" s="135" t="n">
        <v>2</v>
      </c>
      <c r="H618" s="5">
        <f>IF($I2="","",INDEX(Productos!$AG:$AG,$I2))</f>
        <v/>
      </c>
      <c r="I618" s="136">
        <f>LET(_xlpm.r,Productos!$E$2:$E$370,_xlpm.m,IFERROR(_xlfn.XMATCH(C618,_xlpm.r),IFERROR(_xlfn.XMATCH(VALUE(C618),_xlpm.r),0)),IF(_xlpm.m=0,"",_xlpm.m+1))</f>
        <v/>
      </c>
      <c r="J618" s="137" t="inlineStr">
        <is>
          <t>NetSuite</t>
        </is>
      </c>
    </row>
    <row r="619">
      <c r="A619" s="5" t="inlineStr">
        <is>
          <t>Web</t>
        </is>
      </c>
      <c r="B619" s="5">
        <f>IF($I2="","",INDEX(Productos!$A:$A,$I2))</f>
        <v/>
      </c>
      <c r="C619" s="134" t="inlineStr">
        <is>
          <t>CL/DC/TAG/1/HAR-UNI</t>
        </is>
      </c>
      <c r="D619" s="5">
        <f>IF($I2="","",INDEX(Productos!$B:$B,$I2))</f>
        <v/>
      </c>
      <c r="E619" s="5">
        <f>IF($I2="","",INDEX(Productos!$H:$H,$I2))</f>
        <v/>
      </c>
      <c r="F619" s="5">
        <f>IF($I2="","",INDEX(Productos!$I:$I,$I2))</f>
        <v/>
      </c>
      <c r="G619" s="135" t="n">
        <v>2</v>
      </c>
      <c r="H619" s="5">
        <f>IF($I2="","",INDEX(Productos!$AG:$AG,$I2))</f>
        <v/>
      </c>
      <c r="I619" s="136">
        <f>LET(_xlpm.r,Productos!$E$2:$E$370,_xlpm.m,IFERROR(_xlfn.XMATCH(C619,_xlpm.r),IFERROR(_xlfn.XMATCH(VALUE(C619),_xlpm.r),0)),IF(_xlpm.m=0,"",_xlpm.m+1))</f>
        <v/>
      </c>
      <c r="J619" s="137" t="inlineStr">
        <is>
          <t>NetSuite</t>
        </is>
      </c>
    </row>
    <row r="620">
      <c r="A620" s="5" t="inlineStr">
        <is>
          <t>Web</t>
        </is>
      </c>
      <c r="B620" s="5">
        <f>IF($I2="","",INDEX(Productos!$A:$A,$I2))</f>
        <v/>
      </c>
      <c r="C620" s="134" t="inlineStr">
        <is>
          <t>CL/DC/TAG/1/JOK-UNI</t>
        </is>
      </c>
      <c r="D620" s="5">
        <f>IF($I2="","",INDEX(Productos!$B:$B,$I2))</f>
        <v/>
      </c>
      <c r="E620" s="5">
        <f>IF($I2="","",INDEX(Productos!$H:$H,$I2))</f>
        <v/>
      </c>
      <c r="F620" s="5">
        <f>IF($I2="","",INDEX(Productos!$I:$I,$I2))</f>
        <v/>
      </c>
      <c r="G620" s="135" t="n">
        <v>2</v>
      </c>
      <c r="H620" s="5">
        <f>IF($I2="","",INDEX(Productos!$AG:$AG,$I2))</f>
        <v/>
      </c>
      <c r="I620" s="136">
        <f>LET(_xlpm.r,Productos!$E$2:$E$370,_xlpm.m,IFERROR(_xlfn.XMATCH(C620,_xlpm.r),IFERROR(_xlfn.XMATCH(VALUE(C620),_xlpm.r),0)),IF(_xlpm.m=0,"",_xlpm.m+1))</f>
        <v/>
      </c>
      <c r="J620" s="137" t="inlineStr">
        <is>
          <t>NetSuite</t>
        </is>
      </c>
    </row>
    <row r="621">
      <c r="A621" s="5" t="inlineStr">
        <is>
          <t>Web</t>
        </is>
      </c>
      <c r="B621" s="5">
        <f>IF($I2="","",INDEX(Productos!$A:$A,$I2))</f>
        <v/>
      </c>
      <c r="C621" s="134" t="inlineStr">
        <is>
          <t>CL/DC2/1/BAT4-UNI</t>
        </is>
      </c>
      <c r="D621" s="5">
        <f>IF($I2="","",INDEX(Productos!$B:$B,$I2))</f>
        <v/>
      </c>
      <c r="E621" s="5">
        <f>IF($I2="","",INDEX(Productos!$H:$H,$I2))</f>
        <v/>
      </c>
      <c r="F621" s="5">
        <f>IF($I2="","",INDEX(Productos!$I:$I,$I2))</f>
        <v/>
      </c>
      <c r="G621" s="135" t="n">
        <v>2</v>
      </c>
      <c r="H621" s="5">
        <f>IF($I2="","",INDEX(Productos!$AG:$AG,$I2))</f>
        <v/>
      </c>
      <c r="I621" s="136">
        <f>LET(_xlpm.r,Productos!$E$2:$E$370,_xlpm.m,IFERROR(_xlfn.XMATCH(C621,_xlpm.r),IFERROR(_xlfn.XMATCH(VALUE(C621),_xlpm.r),0)),IF(_xlpm.m=0,"",_xlpm.m+1))</f>
        <v/>
      </c>
      <c r="J621" s="137" t="inlineStr">
        <is>
          <t>NetSuite</t>
        </is>
      </c>
    </row>
    <row r="622">
      <c r="A622" s="5" t="inlineStr">
        <is>
          <t>Web</t>
        </is>
      </c>
      <c r="B622" s="5">
        <f>IF($I2="","",INDEX(Productos!$A:$A,$I2))</f>
        <v/>
      </c>
      <c r="C622" s="134" t="inlineStr">
        <is>
          <t>CL/DC2/1/MEM1-UNI</t>
        </is>
      </c>
      <c r="D622" s="5">
        <f>IF($I2="","",INDEX(Productos!$B:$B,$I2))</f>
        <v/>
      </c>
      <c r="E622" s="5">
        <f>IF($I2="","",INDEX(Productos!$H:$H,$I2))</f>
        <v/>
      </c>
      <c r="F622" s="5">
        <f>IF($I2="","",INDEX(Productos!$I:$I,$I2))</f>
        <v/>
      </c>
      <c r="G622" s="135" t="n">
        <v>2</v>
      </c>
      <c r="H622" s="5">
        <f>IF($I2="","",INDEX(Productos!$AG:$AG,$I2))</f>
        <v/>
      </c>
      <c r="I622" s="136">
        <f>LET(_xlpm.r,Productos!$E$2:$E$370,_xlpm.m,IFERROR(_xlfn.XMATCH(C622,_xlpm.r),IFERROR(_xlfn.XMATCH(VALUE(C622),_xlpm.r),0)),IF(_xlpm.m=0,"",_xlpm.m+1))</f>
        <v/>
      </c>
      <c r="J622" s="137" t="inlineStr">
        <is>
          <t>NetSuite</t>
        </is>
      </c>
    </row>
    <row r="623">
      <c r="A623" s="5" t="inlineStr">
        <is>
          <t>Web</t>
        </is>
      </c>
      <c r="B623" s="5">
        <f>IF($I2="","",INDEX(Productos!$A:$A,$I2))</f>
        <v/>
      </c>
      <c r="C623" s="134" t="inlineStr">
        <is>
          <t>CL/DC2/1/VIN1-UNI</t>
        </is>
      </c>
      <c r="D623" s="5">
        <f>IF($I2="","",INDEX(Productos!$B:$B,$I2))</f>
        <v/>
      </c>
      <c r="E623" s="5">
        <f>IF($I2="","",INDEX(Productos!$H:$H,$I2))</f>
        <v/>
      </c>
      <c r="F623" s="5">
        <f>IF($I2="","",INDEX(Productos!$I:$I,$I2))</f>
        <v/>
      </c>
      <c r="G623" s="135" t="n">
        <v>2</v>
      </c>
      <c r="H623" s="5">
        <f>IF($I2="","",INDEX(Productos!$AG:$AG,$I2))</f>
        <v/>
      </c>
      <c r="I623" s="136">
        <f>LET(_xlpm.r,Productos!$E$2:$E$370,_xlpm.m,IFERROR(_xlfn.XMATCH(C623,_xlpm.r),IFERROR(_xlfn.XMATCH(VALUE(C623),_xlpm.r),0)),IF(_xlpm.m=0,"",_xlpm.m+1))</f>
        <v/>
      </c>
      <c r="J623" s="137" t="inlineStr">
        <is>
          <t>NetSuite</t>
        </is>
      </c>
    </row>
    <row r="624">
      <c r="A624" s="5" t="inlineStr">
        <is>
          <t>Web</t>
        </is>
      </c>
      <c r="B624" s="5">
        <f>IF($I2="","",INDEX(Productos!$A:$A,$I2))</f>
        <v/>
      </c>
      <c r="C624" s="134" t="inlineStr">
        <is>
          <t>CL/DC3/1/CAS/JKR2-UNI</t>
        </is>
      </c>
      <c r="D624" s="5">
        <f>IF($I2="","",INDEX(Productos!$B:$B,$I2))</f>
        <v/>
      </c>
      <c r="E624" s="5">
        <f>IF($I2="","",INDEX(Productos!$H:$H,$I2))</f>
        <v/>
      </c>
      <c r="F624" s="5">
        <f>IF($I2="","",INDEX(Productos!$I:$I,$I2))</f>
        <v/>
      </c>
      <c r="G624" s="135" t="n">
        <v>1</v>
      </c>
      <c r="H624" s="5">
        <f>IF($I2="","",INDEX(Productos!$AG:$AG,$I2))</f>
        <v/>
      </c>
      <c r="I624" s="136">
        <f>LET(_xlpm.r,Productos!$E$2:$E$370,_xlpm.m,IFERROR(_xlfn.XMATCH(C624,_xlpm.r),IFERROR(_xlfn.XMATCH(VALUE(C624),_xlpm.r),0)),IF(_xlpm.m=0,"",_xlpm.m+1))</f>
        <v/>
      </c>
      <c r="J624" s="137" t="inlineStr">
        <is>
          <t>NetSuite</t>
        </is>
      </c>
    </row>
    <row r="625">
      <c r="A625" s="5" t="inlineStr">
        <is>
          <t>Web</t>
        </is>
      </c>
      <c r="B625" s="5">
        <f>IF($I2="","",INDEX(Productos!$A:$A,$I2))</f>
        <v/>
      </c>
      <c r="C625" s="134" t="inlineStr">
        <is>
          <t>CL/DC4/3/BAT1-UNIJR</t>
        </is>
      </c>
      <c r="D625" s="5">
        <f>IF($I2="","",INDEX(Productos!$B:$B,$I2))</f>
        <v/>
      </c>
      <c r="E625" s="5">
        <f>IF($I2="","",INDEX(Productos!$H:$H,$I2))</f>
        <v/>
      </c>
      <c r="F625" s="5">
        <f>IF($I2="","",INDEX(Productos!$I:$I,$I2))</f>
        <v/>
      </c>
      <c r="G625" s="135" t="n">
        <v>2</v>
      </c>
      <c r="H625" s="5">
        <f>IF($I2="","",INDEX(Productos!$AG:$AG,$I2))</f>
        <v/>
      </c>
      <c r="I625" s="136">
        <f>LET(_xlpm.r,Productos!$E$2:$E$370,_xlpm.m,IFERROR(_xlfn.XMATCH(C625,_xlpm.r),IFERROR(_xlfn.XMATCH(VALUE(C625),_xlpm.r),0)),IF(_xlpm.m=0,"",_xlpm.m+1))</f>
        <v/>
      </c>
      <c r="J625" s="137" t="inlineStr">
        <is>
          <t>NetSuite</t>
        </is>
      </c>
    </row>
    <row r="626">
      <c r="A626" s="5" t="inlineStr">
        <is>
          <t>Web</t>
        </is>
      </c>
      <c r="B626" s="5">
        <f>IF($I2="","",INDEX(Productos!$A:$A,$I2))</f>
        <v/>
      </c>
      <c r="C626" s="134" t="inlineStr">
        <is>
          <t>CL/DC5/1/CAS/CRU2-UNI</t>
        </is>
      </c>
      <c r="D626" s="5">
        <f>IF($I2="","",INDEX(Productos!$B:$B,$I2))</f>
        <v/>
      </c>
      <c r="E626" s="5">
        <f>IF($I2="","",INDEX(Productos!$H:$H,$I2))</f>
        <v/>
      </c>
      <c r="F626" s="5">
        <f>IF($I2="","",INDEX(Productos!$I:$I,$I2))</f>
        <v/>
      </c>
      <c r="G626" s="135" t="n">
        <v>2</v>
      </c>
      <c r="H626" s="5">
        <f>IF($I2="","",INDEX(Productos!$AG:$AG,$I2))</f>
        <v/>
      </c>
      <c r="I626" s="136">
        <f>LET(_xlpm.r,Productos!$E$2:$E$370,_xlpm.m,IFERROR(_xlfn.XMATCH(C626,_xlpm.r),IFERROR(_xlfn.XMATCH(VALUE(C626),_xlpm.r),0)),IF(_xlpm.m=0,"",_xlpm.m+1))</f>
        <v/>
      </c>
      <c r="J626" s="137" t="inlineStr">
        <is>
          <t>NetSuite</t>
        </is>
      </c>
    </row>
    <row r="627">
      <c r="A627" s="5" t="inlineStr">
        <is>
          <t>Web</t>
        </is>
      </c>
      <c r="B627" s="5">
        <f>IF($I2="","",INDEX(Productos!$A:$A,$I2))</f>
        <v/>
      </c>
      <c r="C627" s="134" t="inlineStr">
        <is>
          <t>CL/DC5/1/CAS/DAR1-UNI</t>
        </is>
      </c>
      <c r="D627" s="5">
        <f>IF($I2="","",INDEX(Productos!$B:$B,$I2))</f>
        <v/>
      </c>
      <c r="E627" s="5">
        <f>IF($I2="","",INDEX(Productos!$H:$H,$I2))</f>
        <v/>
      </c>
      <c r="F627" s="5">
        <f>IF($I2="","",INDEX(Productos!$I:$I,$I2))</f>
        <v/>
      </c>
      <c r="G627" s="135" t="n">
        <v>2</v>
      </c>
      <c r="H627" s="5">
        <f>IF($I2="","",INDEX(Productos!$AG:$AG,$I2))</f>
        <v/>
      </c>
      <c r="I627" s="136">
        <f>LET(_xlpm.r,Productos!$E$2:$E$370,_xlpm.m,IFERROR(_xlfn.XMATCH(C627,_xlpm.r),IFERROR(_xlfn.XMATCH(VALUE(C627),_xlpm.r),0)),IF(_xlpm.m=0,"",_xlpm.m+1))</f>
        <v/>
      </c>
      <c r="J627" s="137" t="inlineStr">
        <is>
          <t>NetSuite</t>
        </is>
      </c>
    </row>
    <row r="628">
      <c r="A628" s="5" t="inlineStr">
        <is>
          <t>Web</t>
        </is>
      </c>
      <c r="B628" s="5">
        <f>IF($I2="","",INDEX(Productos!$A:$A,$I2))</f>
        <v/>
      </c>
      <c r="C628" s="134" t="inlineStr">
        <is>
          <t>CL/DC5/1/CAS/JOK2-UNI</t>
        </is>
      </c>
      <c r="D628" s="5">
        <f>IF($I2="","",INDEX(Productos!$B:$B,$I2))</f>
        <v/>
      </c>
      <c r="E628" s="5">
        <f>IF($I2="","",INDEX(Productos!$H:$H,$I2))</f>
        <v/>
      </c>
      <c r="F628" s="5">
        <f>IF($I2="","",INDEX(Productos!$I:$I,$I2))</f>
        <v/>
      </c>
      <c r="G628" s="135" t="n">
        <v>1</v>
      </c>
      <c r="H628" s="5">
        <f>IF($I2="","",INDEX(Productos!$AG:$AG,$I2))</f>
        <v/>
      </c>
      <c r="I628" s="136">
        <f>LET(_xlpm.r,Productos!$E$2:$E$370,_xlpm.m,IFERROR(_xlfn.XMATCH(C628,_xlpm.r),IFERROR(_xlfn.XMATCH(VALUE(C628),_xlpm.r),0)),IF(_xlpm.m=0,"",_xlpm.m+1))</f>
        <v/>
      </c>
      <c r="J628" s="137" t="inlineStr">
        <is>
          <t>NetSuite</t>
        </is>
      </c>
    </row>
    <row r="629">
      <c r="A629" s="5" t="inlineStr">
        <is>
          <t>Web</t>
        </is>
      </c>
      <c r="B629" s="5">
        <f>IF($I2="","",INDEX(Productos!$A:$A,$I2))</f>
        <v/>
      </c>
      <c r="C629" s="134" t="inlineStr">
        <is>
          <t>CL/DC5/1/CAS/LAU1-UNI</t>
        </is>
      </c>
      <c r="D629" s="5">
        <f>IF($I2="","",INDEX(Productos!$B:$B,$I2))</f>
        <v/>
      </c>
      <c r="E629" s="5">
        <f>IF($I2="","",INDEX(Productos!$H:$H,$I2))</f>
        <v/>
      </c>
      <c r="F629" s="5">
        <f>IF($I2="","",INDEX(Productos!$I:$I,$I2))</f>
        <v/>
      </c>
      <c r="G629" s="135" t="n">
        <v>2</v>
      </c>
      <c r="H629" s="5">
        <f>IF($I2="","",INDEX(Productos!$AG:$AG,$I2))</f>
        <v/>
      </c>
      <c r="I629" s="136">
        <f>LET(_xlpm.r,Productos!$E$2:$E$370,_xlpm.m,IFERROR(_xlfn.XMATCH(C629,_xlpm.r),IFERROR(_xlfn.XMATCH(VALUE(C629),_xlpm.r),0)),IF(_xlpm.m=0,"",_xlpm.m+1))</f>
        <v/>
      </c>
      <c r="J629" s="137" t="inlineStr">
        <is>
          <t>NetSuite</t>
        </is>
      </c>
    </row>
    <row r="630">
      <c r="A630" s="5" t="inlineStr">
        <is>
          <t>Web</t>
        </is>
      </c>
      <c r="B630" s="5">
        <f>IF($I2="","",INDEX(Productos!$A:$A,$I2))</f>
        <v/>
      </c>
      <c r="C630" s="134" t="inlineStr">
        <is>
          <t>CL/DC5/1/CASX/KNI1-UNI</t>
        </is>
      </c>
      <c r="D630" s="5">
        <f>IF($I2="","",INDEX(Productos!$B:$B,$I2))</f>
        <v/>
      </c>
      <c r="E630" s="5">
        <f>IF($I2="","",INDEX(Productos!$H:$H,$I2))</f>
        <v/>
      </c>
      <c r="F630" s="5">
        <f>IF($I2="","",INDEX(Productos!$I:$I,$I2))</f>
        <v/>
      </c>
      <c r="G630" s="135" t="n">
        <v>2</v>
      </c>
      <c r="H630" s="5">
        <f>IF($I2="","",INDEX(Productos!$AG:$AG,$I2))</f>
        <v/>
      </c>
      <c r="I630" s="136">
        <f>LET(_xlpm.r,Productos!$E$2:$E$370,_xlpm.m,IFERROR(_xlfn.XMATCH(C630,_xlpm.r),IFERROR(_xlfn.XMATCH(VALUE(C630),_xlpm.r),0)),IF(_xlpm.m=0,"",_xlpm.m+1))</f>
        <v/>
      </c>
      <c r="J630" s="137" t="inlineStr">
        <is>
          <t>NetSuite</t>
        </is>
      </c>
    </row>
    <row r="631">
      <c r="A631" s="5" t="inlineStr">
        <is>
          <t>Web</t>
        </is>
      </c>
      <c r="B631" s="5">
        <f>IF($I2="","",INDEX(Productos!$A:$A,$I2))</f>
        <v/>
      </c>
      <c r="C631" s="134" t="inlineStr">
        <is>
          <t>CL/DC6/1/CAS/BAT1-UNI</t>
        </is>
      </c>
      <c r="D631" s="5">
        <f>IF($I2="","",INDEX(Productos!$B:$B,$I2))</f>
        <v/>
      </c>
      <c r="E631" s="5">
        <f>IF($I2="","",INDEX(Productos!$H:$H,$I2))</f>
        <v/>
      </c>
      <c r="F631" s="5">
        <f>IF($I2="","",INDEX(Productos!$I:$I,$I2))</f>
        <v/>
      </c>
      <c r="G631" s="135" t="n">
        <v>2</v>
      </c>
      <c r="H631" s="5">
        <f>IF($I2="","",INDEX(Productos!$AG:$AG,$I2))</f>
        <v/>
      </c>
      <c r="I631" s="136">
        <f>LET(_xlpm.r,Productos!$E$2:$E$370,_xlpm.m,IFERROR(_xlfn.XMATCH(C631,_xlpm.r),IFERROR(_xlfn.XMATCH(VALUE(C631),_xlpm.r),0)),IF(_xlpm.m=0,"",_xlpm.m+1))</f>
        <v/>
      </c>
      <c r="J631" s="137" t="inlineStr">
        <is>
          <t>NetSuite</t>
        </is>
      </c>
    </row>
    <row r="632">
      <c r="A632" s="5" t="inlineStr">
        <is>
          <t>Web</t>
        </is>
      </c>
      <c r="B632" s="5">
        <f>IF($I2="","",INDEX(Productos!$A:$A,$I2))</f>
        <v/>
      </c>
      <c r="C632" s="134" t="inlineStr">
        <is>
          <t>CL/DC6/1/CD/BAT-UNI</t>
        </is>
      </c>
      <c r="D632" s="5">
        <f>IF($I2="","",INDEX(Productos!$B:$B,$I2))</f>
        <v/>
      </c>
      <c r="E632" s="5">
        <f>IF($I2="","",INDEX(Productos!$H:$H,$I2))</f>
        <v/>
      </c>
      <c r="F632" s="5">
        <f>IF($I2="","",INDEX(Productos!$I:$I,$I2))</f>
        <v/>
      </c>
      <c r="G632" s="135" t="n">
        <v>2</v>
      </c>
      <c r="H632" s="5">
        <f>IF($I2="","",INDEX(Productos!$AG:$AG,$I2))</f>
        <v/>
      </c>
      <c r="I632" s="136">
        <f>LET(_xlpm.r,Productos!$E$2:$E$370,_xlpm.m,IFERROR(_xlfn.XMATCH(C632,_xlpm.r),IFERROR(_xlfn.XMATCH(VALUE(C632),_xlpm.r),0)),IF(_xlpm.m=0,"",_xlpm.m+1))</f>
        <v/>
      </c>
      <c r="J632" s="137" t="inlineStr">
        <is>
          <t>NetSuite</t>
        </is>
      </c>
    </row>
    <row r="633">
      <c r="A633" s="5" t="inlineStr">
        <is>
          <t>Web</t>
        </is>
      </c>
      <c r="B633" s="5">
        <f>IF($I2="","",INDEX(Productos!$A:$A,$I2))</f>
        <v/>
      </c>
      <c r="C633" s="134" t="inlineStr">
        <is>
          <t>CL/DC6/1/CT/BAT3-UNI</t>
        </is>
      </c>
      <c r="D633" s="5">
        <f>IF($I2="","",INDEX(Productos!$B:$B,$I2))</f>
        <v/>
      </c>
      <c r="E633" s="5">
        <f>IF($I2="","",INDEX(Productos!$H:$H,$I2))</f>
        <v/>
      </c>
      <c r="F633" s="5">
        <f>IF($I2="","",INDEX(Productos!$I:$I,$I2))</f>
        <v/>
      </c>
      <c r="G633" s="135" t="n">
        <v>2</v>
      </c>
      <c r="H633" s="5">
        <f>IF($I2="","",INDEX(Productos!$AG:$AG,$I2))</f>
        <v/>
      </c>
      <c r="I633" s="136">
        <f>LET(_xlpm.r,Productos!$E$2:$E$370,_xlpm.m,IFERROR(_xlfn.XMATCH(C633,_xlpm.r),IFERROR(_xlfn.XMATCH(VALUE(C633),_xlpm.r),0)),IF(_xlpm.m=0,"",_xlpm.m+1))</f>
        <v/>
      </c>
      <c r="J633" s="137" t="inlineStr">
        <is>
          <t>NetSuite</t>
        </is>
      </c>
    </row>
    <row r="634">
      <c r="A634" s="5" t="inlineStr">
        <is>
          <t>Web</t>
        </is>
      </c>
      <c r="B634" s="5">
        <f>IF($I2="","",INDEX(Productos!$A:$A,$I2))</f>
        <v/>
      </c>
      <c r="C634" s="134" t="inlineStr">
        <is>
          <t>CL/DC6/1/CT/BTP-UNI</t>
        </is>
      </c>
      <c r="D634" s="5">
        <f>IF($I2="","",INDEX(Productos!$B:$B,$I2))</f>
        <v/>
      </c>
      <c r="E634" s="5">
        <f>IF($I2="","",INDEX(Productos!$H:$H,$I2))</f>
        <v/>
      </c>
      <c r="F634" s="5">
        <f>IF($I2="","",INDEX(Productos!$I:$I,$I2))</f>
        <v/>
      </c>
      <c r="G634" s="135" t="n">
        <v>2</v>
      </c>
      <c r="H634" s="5">
        <f>IF($I2="","",INDEX(Productos!$AG:$AG,$I2))</f>
        <v/>
      </c>
      <c r="I634" s="136">
        <f>LET(_xlpm.r,Productos!$E$2:$E$370,_xlpm.m,IFERROR(_xlfn.XMATCH(C634,_xlpm.r),IFERROR(_xlfn.XMATCH(VALUE(C634),_xlpm.r),0)),IF(_xlpm.m=0,"",_xlpm.m+1))</f>
        <v/>
      </c>
      <c r="J634" s="137" t="inlineStr">
        <is>
          <t>NetSuite</t>
        </is>
      </c>
    </row>
    <row r="635">
      <c r="A635" s="5" t="inlineStr">
        <is>
          <t>Web</t>
        </is>
      </c>
      <c r="B635" s="5">
        <f>IF($I2="","",INDEX(Productos!$A:$A,$I2))</f>
        <v/>
      </c>
      <c r="C635" s="134" t="inlineStr">
        <is>
          <t>CL/DC6/1/CT/DAR3-UNI</t>
        </is>
      </c>
      <c r="D635" s="5">
        <f>IF($I2="","",INDEX(Productos!$B:$B,$I2))</f>
        <v/>
      </c>
      <c r="E635" s="5">
        <f>IF($I2="","",INDEX(Productos!$H:$H,$I2))</f>
        <v/>
      </c>
      <c r="F635" s="5">
        <f>IF($I2="","",INDEX(Productos!$I:$I,$I2))</f>
        <v/>
      </c>
      <c r="G635" s="135" t="n">
        <v>1</v>
      </c>
      <c r="H635" s="5">
        <f>IF($I2="","",INDEX(Productos!$AG:$AG,$I2))</f>
        <v/>
      </c>
      <c r="I635" s="136">
        <f>LET(_xlpm.r,Productos!$E$2:$E$370,_xlpm.m,IFERROR(_xlfn.XMATCH(C635,_xlpm.r),IFERROR(_xlfn.XMATCH(VALUE(C635),_xlpm.r),0)),IF(_xlpm.m=0,"",_xlpm.m+1))</f>
        <v/>
      </c>
      <c r="J635" s="137" t="inlineStr">
        <is>
          <t>NetSuite</t>
        </is>
      </c>
    </row>
    <row r="636">
      <c r="A636" s="5" t="inlineStr">
        <is>
          <t>Web</t>
        </is>
      </c>
      <c r="B636" s="5">
        <f>IF($I2="","",INDEX(Productos!$A:$A,$I2))</f>
        <v/>
      </c>
      <c r="C636" s="134" t="inlineStr">
        <is>
          <t>CL/DC6/1/CT/MEM3-UNI</t>
        </is>
      </c>
      <c r="D636" s="5">
        <f>IF($I2="","",INDEX(Productos!$B:$B,$I2))</f>
        <v/>
      </c>
      <c r="E636" s="5">
        <f>IF($I2="","",INDEX(Productos!$H:$H,$I2))</f>
        <v/>
      </c>
      <c r="F636" s="5">
        <f>IF($I2="","",INDEX(Productos!$I:$I,$I2))</f>
        <v/>
      </c>
      <c r="G636" s="135" t="n">
        <v>2</v>
      </c>
      <c r="H636" s="5">
        <f>IF($I2="","",INDEX(Productos!$AG:$AG,$I2))</f>
        <v/>
      </c>
      <c r="I636" s="136">
        <f>LET(_xlpm.r,Productos!$E$2:$E$370,_xlpm.m,IFERROR(_xlfn.XMATCH(C636,_xlpm.r),IFERROR(_xlfn.XMATCH(VALUE(C636),_xlpm.r),0)),IF(_xlpm.m=0,"",_xlpm.m+1))</f>
        <v/>
      </c>
      <c r="J636" s="137" t="inlineStr">
        <is>
          <t>NetSuite</t>
        </is>
      </c>
    </row>
    <row r="637">
      <c r="A637" s="5" t="inlineStr">
        <is>
          <t>Web</t>
        </is>
      </c>
      <c r="B637" s="5">
        <f>IF($I2="","",INDEX(Productos!$A:$A,$I2))</f>
        <v/>
      </c>
      <c r="C637" s="134" t="inlineStr">
        <is>
          <t>CL/LOO/1/BUN1-UNI</t>
        </is>
      </c>
      <c r="D637" s="5">
        <f>IF($I2="","",INDEX(Productos!$B:$B,$I2))</f>
        <v/>
      </c>
      <c r="E637" s="5">
        <f>IF($I2="","",INDEX(Productos!$H:$H,$I2))</f>
        <v/>
      </c>
      <c r="F637" s="5">
        <f>IF($I2="","",INDEX(Productos!$I:$I,$I2))</f>
        <v/>
      </c>
      <c r="G637" s="135" t="n">
        <v>3</v>
      </c>
      <c r="H637" s="5">
        <f>IF($I2="","",INDEX(Productos!$AG:$AG,$I2))</f>
        <v/>
      </c>
      <c r="I637" s="136">
        <f>LET(_xlpm.r,Productos!$E$2:$E$370,_xlpm.m,IFERROR(_xlfn.XMATCH(C637,_xlpm.r),IFERROR(_xlfn.XMATCH(VALUE(C637),_xlpm.r),0)),IF(_xlpm.m=0,"",_xlpm.m+1))</f>
        <v/>
      </c>
      <c r="J637" s="137" t="inlineStr">
        <is>
          <t>NetSuite</t>
        </is>
      </c>
    </row>
    <row r="638">
      <c r="A638" s="5" t="inlineStr">
        <is>
          <t>Web</t>
        </is>
      </c>
      <c r="B638" s="5">
        <f>IF($I2="","",INDEX(Productos!$A:$A,$I2))</f>
        <v/>
      </c>
      <c r="C638" s="134" t="inlineStr">
        <is>
          <t>CL/LOO/1/BUN2-UNI</t>
        </is>
      </c>
      <c r="D638" s="5">
        <f>IF($I2="","",INDEX(Productos!$B:$B,$I2))</f>
        <v/>
      </c>
      <c r="E638" s="5">
        <f>IF($I2="","",INDEX(Productos!$H:$H,$I2))</f>
        <v/>
      </c>
      <c r="F638" s="5">
        <f>IF($I2="","",INDEX(Productos!$I:$I,$I2))</f>
        <v/>
      </c>
      <c r="G638" s="135" t="n">
        <v>1</v>
      </c>
      <c r="H638" s="5">
        <f>IF($I2="","",INDEX(Productos!$AG:$AG,$I2))</f>
        <v/>
      </c>
      <c r="I638" s="136">
        <f>LET(_xlpm.r,Productos!$E$2:$E$370,_xlpm.m,IFERROR(_xlfn.XMATCH(C638,_xlpm.r),IFERROR(_xlfn.XMATCH(VALUE(C638),_xlpm.r),0)),IF(_xlpm.m=0,"",_xlpm.m+1))</f>
        <v/>
      </c>
      <c r="J638" s="137" t="inlineStr">
        <is>
          <t>NetSuite</t>
        </is>
      </c>
    </row>
    <row r="639">
      <c r="A639" s="5" t="inlineStr">
        <is>
          <t>Web</t>
        </is>
      </c>
      <c r="B639" s="5">
        <f>IF($I2="","",INDEX(Productos!$A:$A,$I2))</f>
        <v/>
      </c>
      <c r="C639" s="134" t="inlineStr">
        <is>
          <t>CL/LOO/1/BUN5-uNI</t>
        </is>
      </c>
      <c r="D639" s="5">
        <f>IF($I2="","",INDEX(Productos!$B:$B,$I2))</f>
        <v/>
      </c>
      <c r="E639" s="5">
        <f>IF($I2="","",INDEX(Productos!$H:$H,$I2))</f>
        <v/>
      </c>
      <c r="F639" s="5">
        <f>IF($I2="","",INDEX(Productos!$I:$I,$I2))</f>
        <v/>
      </c>
      <c r="G639" s="135" t="n">
        <v>7</v>
      </c>
      <c r="H639" s="5">
        <f>IF($I2="","",INDEX(Productos!$AG:$AG,$I2))</f>
        <v/>
      </c>
      <c r="I639" s="136">
        <f>LET(_xlpm.r,Productos!$E$2:$E$370,_xlpm.m,IFERROR(_xlfn.XMATCH(C639,_xlpm.r),IFERROR(_xlfn.XMATCH(VALUE(C639),_xlpm.r),0)),IF(_xlpm.m=0,"",_xlpm.m+1))</f>
        <v/>
      </c>
      <c r="J639" s="137" t="inlineStr">
        <is>
          <t>NetSuite</t>
        </is>
      </c>
    </row>
    <row r="640">
      <c r="A640" s="5" t="inlineStr">
        <is>
          <t>Web</t>
        </is>
      </c>
      <c r="B640" s="5">
        <f>IF($I2="","",INDEX(Productos!$A:$A,$I2))</f>
        <v/>
      </c>
      <c r="C640" s="134" t="inlineStr">
        <is>
          <t>CL/LOO/1/COY1-UNI</t>
        </is>
      </c>
      <c r="D640" s="5">
        <f>IF($I2="","",INDEX(Productos!$B:$B,$I2))</f>
        <v/>
      </c>
      <c r="E640" s="5">
        <f>IF($I2="","",INDEX(Productos!$H:$H,$I2))</f>
        <v/>
      </c>
      <c r="F640" s="5">
        <f>IF($I2="","",INDEX(Productos!$I:$I,$I2))</f>
        <v/>
      </c>
      <c r="G640" s="135" t="n">
        <v>2</v>
      </c>
      <c r="H640" s="5">
        <f>IF($I2="","",INDEX(Productos!$AG:$AG,$I2))</f>
        <v/>
      </c>
      <c r="I640" s="136">
        <f>LET(_xlpm.r,Productos!$E$2:$E$370,_xlpm.m,IFERROR(_xlfn.XMATCH(C640,_xlpm.r),IFERROR(_xlfn.XMATCH(VALUE(C640),_xlpm.r),0)),IF(_xlpm.m=0,"",_xlpm.m+1))</f>
        <v/>
      </c>
      <c r="J640" s="137" t="inlineStr">
        <is>
          <t>NetSuite</t>
        </is>
      </c>
    </row>
    <row r="641">
      <c r="A641" s="5" t="inlineStr">
        <is>
          <t>Web</t>
        </is>
      </c>
      <c r="B641" s="5">
        <f>IF($I2="","",INDEX(Productos!$A:$A,$I2))</f>
        <v/>
      </c>
      <c r="C641" s="134" t="inlineStr">
        <is>
          <t>CL/LOO/1/DAF1-UNI</t>
        </is>
      </c>
      <c r="D641" s="5">
        <f>IF($I2="","",INDEX(Productos!$B:$B,$I2))</f>
        <v/>
      </c>
      <c r="E641" s="5">
        <f>IF($I2="","",INDEX(Productos!$H:$H,$I2))</f>
        <v/>
      </c>
      <c r="F641" s="5">
        <f>IF($I2="","",INDEX(Productos!$I:$I,$I2))</f>
        <v/>
      </c>
      <c r="G641" s="135" t="n">
        <v>1</v>
      </c>
      <c r="H641" s="5">
        <f>IF($I2="","",INDEX(Productos!$AG:$AG,$I2))</f>
        <v/>
      </c>
      <c r="I641" s="136">
        <f>LET(_xlpm.r,Productos!$E$2:$E$370,_xlpm.m,IFERROR(_xlfn.XMATCH(C641,_xlpm.r),IFERROR(_xlfn.XMATCH(VALUE(C641),_xlpm.r),0)),IF(_xlpm.m=0,"",_xlpm.m+1))</f>
        <v/>
      </c>
      <c r="J641" s="137" t="inlineStr">
        <is>
          <t>NetSuite</t>
        </is>
      </c>
    </row>
    <row r="642">
      <c r="A642" s="5" t="inlineStr">
        <is>
          <t>Web</t>
        </is>
      </c>
      <c r="B642" s="5">
        <f>IF($I2="","",INDEX(Productos!$A:$A,$I2))</f>
        <v/>
      </c>
      <c r="C642" s="134" t="inlineStr">
        <is>
          <t>CL/LOO/1/DAF2-UNI</t>
        </is>
      </c>
      <c r="D642" s="5">
        <f>IF($I2="","",INDEX(Productos!$B:$B,$I2))</f>
        <v/>
      </c>
      <c r="E642" s="5">
        <f>IF($I2="","",INDEX(Productos!$H:$H,$I2))</f>
        <v/>
      </c>
      <c r="F642" s="5">
        <f>IF($I2="","",INDEX(Productos!$I:$I,$I2))</f>
        <v/>
      </c>
      <c r="G642" s="135" t="n">
        <v>2</v>
      </c>
      <c r="H642" s="5">
        <f>IF($I2="","",INDEX(Productos!$AG:$AG,$I2))</f>
        <v/>
      </c>
      <c r="I642" s="136">
        <f>LET(_xlpm.r,Productos!$E$2:$E$370,_xlpm.m,IFERROR(_xlfn.XMATCH(C642,_xlpm.r),IFERROR(_xlfn.XMATCH(VALUE(C642),_xlpm.r),0)),IF(_xlpm.m=0,"",_xlpm.m+1))</f>
        <v/>
      </c>
      <c r="J642" s="137" t="inlineStr">
        <is>
          <t>NetSuite</t>
        </is>
      </c>
    </row>
    <row r="643">
      <c r="A643" s="5" t="inlineStr">
        <is>
          <t>Web</t>
        </is>
      </c>
      <c r="B643" s="5">
        <f>IF($I2="","",INDEX(Productos!$A:$A,$I2))</f>
        <v/>
      </c>
      <c r="C643" s="134" t="inlineStr">
        <is>
          <t>CL/LOO/1/DAF4-UNI</t>
        </is>
      </c>
      <c r="D643" s="5">
        <f>IF($I2="","",INDEX(Productos!$B:$B,$I2))</f>
        <v/>
      </c>
      <c r="E643" s="5">
        <f>IF($I2="","",INDEX(Productos!$H:$H,$I2))</f>
        <v/>
      </c>
      <c r="F643" s="5">
        <f>IF($I2="","",INDEX(Productos!$I:$I,$I2))</f>
        <v/>
      </c>
      <c r="G643" s="135" t="n">
        <v>1</v>
      </c>
      <c r="H643" s="5">
        <f>IF($I2="","",INDEX(Productos!$AG:$AG,$I2))</f>
        <v/>
      </c>
      <c r="I643" s="136">
        <f>LET(_xlpm.r,Productos!$E$2:$E$370,_xlpm.m,IFERROR(_xlfn.XMATCH(C643,_xlpm.r),IFERROR(_xlfn.XMATCH(VALUE(C643),_xlpm.r),0)),IF(_xlpm.m=0,"",_xlpm.m+1))</f>
        <v/>
      </c>
      <c r="J643" s="137" t="inlineStr">
        <is>
          <t>NetSuite</t>
        </is>
      </c>
    </row>
    <row r="644">
      <c r="A644" s="5" t="inlineStr">
        <is>
          <t>Web</t>
        </is>
      </c>
      <c r="B644" s="5">
        <f>IF($I2="","",INDEX(Productos!$A:$A,$I2))</f>
        <v/>
      </c>
      <c r="C644" s="134" t="inlineStr">
        <is>
          <t>CL/LOO/1/DAF6-UNI</t>
        </is>
      </c>
      <c r="D644" s="5">
        <f>IF($I2="","",INDEX(Productos!$B:$B,$I2))</f>
        <v/>
      </c>
      <c r="E644" s="5">
        <f>IF($I2="","",INDEX(Productos!$H:$H,$I2))</f>
        <v/>
      </c>
      <c r="F644" s="5">
        <f>IF($I2="","",INDEX(Productos!$I:$I,$I2))</f>
        <v/>
      </c>
      <c r="G644" s="135" t="n">
        <v>4</v>
      </c>
      <c r="H644" s="5">
        <f>IF($I2="","",INDEX(Productos!$AG:$AG,$I2))</f>
        <v/>
      </c>
      <c r="I644" s="136">
        <f>LET(_xlpm.r,Productos!$E$2:$E$370,_xlpm.m,IFERROR(_xlfn.XMATCH(C644,_xlpm.r),IFERROR(_xlfn.XMATCH(VALUE(C644),_xlpm.r),0)),IF(_xlpm.m=0,"",_xlpm.m+1))</f>
        <v/>
      </c>
      <c r="J644" s="137" t="inlineStr">
        <is>
          <t>NetSuite</t>
        </is>
      </c>
    </row>
    <row r="645">
      <c r="A645" s="5" t="inlineStr">
        <is>
          <t>Web</t>
        </is>
      </c>
      <c r="B645" s="5">
        <f>IF($I2="","",INDEX(Productos!$A:$A,$I2))</f>
        <v/>
      </c>
      <c r="C645" s="134" t="inlineStr">
        <is>
          <t>CL/LOO/1/MAR2-UNI</t>
        </is>
      </c>
      <c r="D645" s="5">
        <f>IF($I2="","",INDEX(Productos!$B:$B,$I2))</f>
        <v/>
      </c>
      <c r="E645" s="5">
        <f>IF($I2="","",INDEX(Productos!$H:$H,$I2))</f>
        <v/>
      </c>
      <c r="F645" s="5">
        <f>IF($I2="","",INDEX(Productos!$I:$I,$I2))</f>
        <v/>
      </c>
      <c r="G645" s="135" t="n">
        <v>2</v>
      </c>
      <c r="H645" s="5">
        <f>IF($I2="","",INDEX(Productos!$AG:$AG,$I2))</f>
        <v/>
      </c>
      <c r="I645" s="136">
        <f>LET(_xlpm.r,Productos!$E$2:$E$370,_xlpm.m,IFERROR(_xlfn.XMATCH(C645,_xlpm.r),IFERROR(_xlfn.XMATCH(VALUE(C645),_xlpm.r),0)),IF(_xlpm.m=0,"",_xlpm.m+1))</f>
        <v/>
      </c>
      <c r="J645" s="137" t="inlineStr">
        <is>
          <t>NetSuite</t>
        </is>
      </c>
    </row>
    <row r="646">
      <c r="A646" s="5" t="inlineStr">
        <is>
          <t>Web</t>
        </is>
      </c>
      <c r="B646" s="5">
        <f>IF($I2="","",INDEX(Productos!$A:$A,$I2))</f>
        <v/>
      </c>
      <c r="C646" s="134" t="inlineStr">
        <is>
          <t>CL/LOO/1/ROA1-UNI</t>
        </is>
      </c>
      <c r="D646" s="5">
        <f>IF($I2="","",INDEX(Productos!$B:$B,$I2))</f>
        <v/>
      </c>
      <c r="E646" s="5">
        <f>IF($I2="","",INDEX(Productos!$H:$H,$I2))</f>
        <v/>
      </c>
      <c r="F646" s="5">
        <f>IF($I2="","",INDEX(Productos!$I:$I,$I2))</f>
        <v/>
      </c>
      <c r="G646" s="135" t="n">
        <v>2</v>
      </c>
      <c r="H646" s="5">
        <f>IF($I2="","",INDEX(Productos!$AG:$AG,$I2))</f>
        <v/>
      </c>
      <c r="I646" s="136">
        <f>LET(_xlpm.r,Productos!$E$2:$E$370,_xlpm.m,IFERROR(_xlfn.XMATCH(C646,_xlpm.r),IFERROR(_xlfn.XMATCH(VALUE(C646),_xlpm.r),0)),IF(_xlpm.m=0,"",_xlpm.m+1))</f>
        <v/>
      </c>
      <c r="J646" s="137" t="inlineStr">
        <is>
          <t>NetSuite</t>
        </is>
      </c>
    </row>
    <row r="647">
      <c r="A647" s="5" t="inlineStr">
        <is>
          <t>Web</t>
        </is>
      </c>
      <c r="B647" s="5">
        <f>IF($I2="","",INDEX(Productos!$A:$A,$I2))</f>
        <v/>
      </c>
      <c r="C647" s="134" t="inlineStr">
        <is>
          <t>CL/LOO/1/SAM1-UNI</t>
        </is>
      </c>
      <c r="D647" s="5">
        <f>IF($I2="","",INDEX(Productos!$B:$B,$I2))</f>
        <v/>
      </c>
      <c r="E647" s="5">
        <f>IF($I2="","",INDEX(Productos!$H:$H,$I2))</f>
        <v/>
      </c>
      <c r="F647" s="5">
        <f>IF($I2="","",INDEX(Productos!$I:$I,$I2))</f>
        <v/>
      </c>
      <c r="G647" s="135" t="n">
        <v>2</v>
      </c>
      <c r="H647" s="5">
        <f>IF($I2="","",INDEX(Productos!$AG:$AG,$I2))</f>
        <v/>
      </c>
      <c r="I647" s="136">
        <f>LET(_xlpm.r,Productos!$E$2:$E$370,_xlpm.m,IFERROR(_xlfn.XMATCH(C647,_xlpm.r),IFERROR(_xlfn.XMATCH(VALUE(C647),_xlpm.r),0)),IF(_xlpm.m=0,"",_xlpm.m+1))</f>
        <v/>
      </c>
      <c r="J647" s="137" t="inlineStr">
        <is>
          <t>NetSuite</t>
        </is>
      </c>
    </row>
    <row r="648">
      <c r="A648" s="5" t="inlineStr">
        <is>
          <t>Web</t>
        </is>
      </c>
      <c r="B648" s="5">
        <f>IF($I2="","",INDEX(Productos!$A:$A,$I2))</f>
        <v/>
      </c>
      <c r="C648" s="134" t="inlineStr">
        <is>
          <t>CL/LOO/1/SAM2-UNI</t>
        </is>
      </c>
      <c r="D648" s="5">
        <f>IF($I2="","",INDEX(Productos!$B:$B,$I2))</f>
        <v/>
      </c>
      <c r="E648" s="5">
        <f>IF($I2="","",INDEX(Productos!$H:$H,$I2))</f>
        <v/>
      </c>
      <c r="F648" s="5">
        <f>IF($I2="","",INDEX(Productos!$I:$I,$I2))</f>
        <v/>
      </c>
      <c r="G648" s="135" t="n">
        <v>1</v>
      </c>
      <c r="H648" s="5">
        <f>IF($I2="","",INDEX(Productos!$AG:$AG,$I2))</f>
        <v/>
      </c>
      <c r="I648" s="136">
        <f>LET(_xlpm.r,Productos!$E$2:$E$370,_xlpm.m,IFERROR(_xlfn.XMATCH(C648,_xlpm.r),IFERROR(_xlfn.XMATCH(VALUE(C648),_xlpm.r),0)),IF(_xlpm.m=0,"",_xlpm.m+1))</f>
        <v/>
      </c>
      <c r="J648" s="137" t="inlineStr">
        <is>
          <t>NetSuite</t>
        </is>
      </c>
    </row>
    <row r="649">
      <c r="A649" s="5" t="inlineStr">
        <is>
          <t>Web</t>
        </is>
      </c>
      <c r="B649" s="5">
        <f>IF($I2="","",INDEX(Productos!$A:$A,$I2))</f>
        <v/>
      </c>
      <c r="C649" s="134" t="inlineStr">
        <is>
          <t>CL/LOO/1/TAZ1-UNI</t>
        </is>
      </c>
      <c r="D649" s="5">
        <f>IF($I2="","",INDEX(Productos!$B:$B,$I2))</f>
        <v/>
      </c>
      <c r="E649" s="5">
        <f>IF($I2="","",INDEX(Productos!$H:$H,$I2))</f>
        <v/>
      </c>
      <c r="F649" s="5">
        <f>IF($I2="","",INDEX(Productos!$I:$I,$I2))</f>
        <v/>
      </c>
      <c r="G649" s="135" t="n">
        <v>2</v>
      </c>
      <c r="H649" s="5">
        <f>IF($I2="","",INDEX(Productos!$AG:$AG,$I2))</f>
        <v/>
      </c>
      <c r="I649" s="136">
        <f>LET(_xlpm.r,Productos!$E$2:$E$370,_xlpm.m,IFERROR(_xlfn.XMATCH(C649,_xlpm.r),IFERROR(_xlfn.XMATCH(VALUE(C649),_xlpm.r),0)),IF(_xlpm.m=0,"",_xlpm.m+1))</f>
        <v/>
      </c>
      <c r="J649" s="137" t="inlineStr">
        <is>
          <t>NetSuite</t>
        </is>
      </c>
    </row>
    <row r="650">
      <c r="A650" s="5" t="inlineStr">
        <is>
          <t>Web</t>
        </is>
      </c>
      <c r="B650" s="5">
        <f>IF($I2="","",INDEX(Productos!$A:$A,$I2))</f>
        <v/>
      </c>
      <c r="C650" s="134" t="inlineStr">
        <is>
          <t>CL/LOO/1/TAZ2-UNI</t>
        </is>
      </c>
      <c r="D650" s="5">
        <f>IF($I2="","",INDEX(Productos!$B:$B,$I2))</f>
        <v/>
      </c>
      <c r="E650" s="5">
        <f>IF($I2="","",INDEX(Productos!$H:$H,$I2))</f>
        <v/>
      </c>
      <c r="F650" s="5">
        <f>IF($I2="","",INDEX(Productos!$I:$I,$I2))</f>
        <v/>
      </c>
      <c r="G650" s="135" t="n">
        <v>1</v>
      </c>
      <c r="H650" s="5">
        <f>IF($I2="","",INDEX(Productos!$AG:$AG,$I2))</f>
        <v/>
      </c>
      <c r="I650" s="136">
        <f>LET(_xlpm.r,Productos!$E$2:$E$370,_xlpm.m,IFERROR(_xlfn.XMATCH(C650,_xlpm.r),IFERROR(_xlfn.XMATCH(VALUE(C650),_xlpm.r),0)),IF(_xlpm.m=0,"",_xlpm.m+1))</f>
        <v/>
      </c>
      <c r="J650" s="137" t="inlineStr">
        <is>
          <t>NetSuite</t>
        </is>
      </c>
    </row>
    <row r="651">
      <c r="A651" s="5" t="inlineStr">
        <is>
          <t>Web</t>
        </is>
      </c>
      <c r="B651" s="5">
        <f>IF($I2="","",INDEX(Productos!$A:$A,$I2))</f>
        <v/>
      </c>
      <c r="C651" s="134" t="inlineStr">
        <is>
          <t>CL/LOO/3/BUG1-UNI</t>
        </is>
      </c>
      <c r="D651" s="5">
        <f>IF($I2="","",INDEX(Productos!$B:$B,$I2))</f>
        <v/>
      </c>
      <c r="E651" s="5">
        <f>IF($I2="","",INDEX(Productos!$H:$H,$I2))</f>
        <v/>
      </c>
      <c r="F651" s="5">
        <f>IF($I2="","",INDEX(Productos!$I:$I,$I2))</f>
        <v/>
      </c>
      <c r="G651" s="135" t="n">
        <v>2</v>
      </c>
      <c r="H651" s="5">
        <f>IF($I2="","",INDEX(Productos!$AG:$AG,$I2))</f>
        <v/>
      </c>
      <c r="I651" s="136">
        <f>LET(_xlpm.r,Productos!$E$2:$E$370,_xlpm.m,IFERROR(_xlfn.XMATCH(C651,_xlpm.r),IFERROR(_xlfn.XMATCH(VALUE(C651),_xlpm.r),0)),IF(_xlpm.m=0,"",_xlpm.m+1))</f>
        <v/>
      </c>
      <c r="J651" s="137" t="inlineStr">
        <is>
          <t>NetSuite</t>
        </is>
      </c>
    </row>
    <row r="652">
      <c r="A652" s="5" t="inlineStr">
        <is>
          <t>Web</t>
        </is>
      </c>
      <c r="B652" s="5">
        <f>IF($I2="","",INDEX(Productos!$A:$A,$I2))</f>
        <v/>
      </c>
      <c r="C652" s="134" t="inlineStr">
        <is>
          <t>CL/LOO/3/BUN5-UNI</t>
        </is>
      </c>
      <c r="D652" s="5">
        <f>IF($I2="","",INDEX(Productos!$B:$B,$I2))</f>
        <v/>
      </c>
      <c r="E652" s="5">
        <f>IF($I2="","",INDEX(Productos!$H:$H,$I2))</f>
        <v/>
      </c>
      <c r="F652" s="5">
        <f>IF($I2="","",INDEX(Productos!$I:$I,$I2))</f>
        <v/>
      </c>
      <c r="G652" s="135" t="n">
        <v>2</v>
      </c>
      <c r="H652" s="5">
        <f>IF($I2="","",INDEX(Productos!$AG:$AG,$I2))</f>
        <v/>
      </c>
      <c r="I652" s="136">
        <f>LET(_xlpm.r,Productos!$E$2:$E$370,_xlpm.m,IFERROR(_xlfn.XMATCH(C652,_xlpm.r),IFERROR(_xlfn.XMATCH(VALUE(C652),_xlpm.r),0)),IF(_xlpm.m=0,"",_xlpm.m+1))</f>
        <v/>
      </c>
      <c r="J652" s="137" t="inlineStr">
        <is>
          <t>NetSuite</t>
        </is>
      </c>
    </row>
    <row r="653">
      <c r="A653" s="5" t="inlineStr">
        <is>
          <t>Web</t>
        </is>
      </c>
      <c r="B653" s="5">
        <f>IF($I2="","",INDEX(Productos!$A:$A,$I2))</f>
        <v/>
      </c>
      <c r="C653" s="134" t="inlineStr">
        <is>
          <t>CL/LOO/TAG/1/BUG-UNI</t>
        </is>
      </c>
      <c r="D653" s="5">
        <f>IF($I2="","",INDEX(Productos!$B:$B,$I2))</f>
        <v/>
      </c>
      <c r="E653" s="5">
        <f>IF($I2="","",INDEX(Productos!$H:$H,$I2))</f>
        <v/>
      </c>
      <c r="F653" s="5">
        <f>IF($I2="","",INDEX(Productos!$I:$I,$I2))</f>
        <v/>
      </c>
      <c r="G653" s="135" t="n">
        <v>2</v>
      </c>
      <c r="H653" s="5">
        <f>IF($I2="","",INDEX(Productos!$AG:$AG,$I2))</f>
        <v/>
      </c>
      <c r="I653" s="136">
        <f>LET(_xlpm.r,Productos!$E$2:$E$370,_xlpm.m,IFERROR(_xlfn.XMATCH(C653,_xlpm.r),IFERROR(_xlfn.XMATCH(VALUE(C653),_xlpm.r),0)),IF(_xlpm.m=0,"",_xlpm.m+1))</f>
        <v/>
      </c>
      <c r="J653" s="137" t="inlineStr">
        <is>
          <t>NetSuite</t>
        </is>
      </c>
    </row>
    <row r="654">
      <c r="A654" s="5" t="inlineStr">
        <is>
          <t>Web</t>
        </is>
      </c>
      <c r="B654" s="5">
        <f>IF($I2="","",INDEX(Productos!$A:$A,$I2))</f>
        <v/>
      </c>
      <c r="C654" s="134" t="inlineStr">
        <is>
          <t>CL/LOO/TAG/1/DAF-UNI</t>
        </is>
      </c>
      <c r="D654" s="5">
        <f>IF($I2="","",INDEX(Productos!$B:$B,$I2))</f>
        <v/>
      </c>
      <c r="E654" s="5">
        <f>IF($I2="","",INDEX(Productos!$H:$H,$I2))</f>
        <v/>
      </c>
      <c r="F654" s="5">
        <f>IF($I2="","",INDEX(Productos!$I:$I,$I2))</f>
        <v/>
      </c>
      <c r="G654" s="135" t="n">
        <v>2</v>
      </c>
      <c r="H654" s="5">
        <f>IF($I2="","",INDEX(Productos!$AG:$AG,$I2))</f>
        <v/>
      </c>
      <c r="I654" s="136">
        <f>LET(_xlpm.r,Productos!$E$2:$E$370,_xlpm.m,IFERROR(_xlfn.XMATCH(C654,_xlpm.r),IFERROR(_xlfn.XMATCH(VALUE(C654),_xlpm.r),0)),IF(_xlpm.m=0,"",_xlpm.m+1))</f>
        <v/>
      </c>
      <c r="J654" s="137" t="inlineStr">
        <is>
          <t>NetSuite</t>
        </is>
      </c>
    </row>
    <row r="655">
      <c r="A655" s="5" t="inlineStr">
        <is>
          <t>Web</t>
        </is>
      </c>
      <c r="B655" s="5">
        <f>IF($I2="","",INDEX(Productos!$A:$A,$I2))</f>
        <v/>
      </c>
      <c r="C655" s="134" t="inlineStr">
        <is>
          <t>CL/LOO2/1/MIN1-UNI</t>
        </is>
      </c>
      <c r="D655" s="5">
        <f>IF($I2="","",INDEX(Productos!$B:$B,$I2))</f>
        <v/>
      </c>
      <c r="E655" s="5">
        <f>IF($I2="","",INDEX(Productos!$H:$H,$I2))</f>
        <v/>
      </c>
      <c r="F655" s="5">
        <f>IF($I2="","",INDEX(Productos!$I:$I,$I2))</f>
        <v/>
      </c>
      <c r="G655" s="135" t="n">
        <v>2</v>
      </c>
      <c r="H655" s="5">
        <f>IF($I2="","",INDEX(Productos!$AG:$AG,$I2))</f>
        <v/>
      </c>
      <c r="I655" s="136">
        <f>LET(_xlpm.r,Productos!$E$2:$E$370,_xlpm.m,IFERROR(_xlfn.XMATCH(C655,_xlpm.r),IFERROR(_xlfn.XMATCH(VALUE(C655),_xlpm.r),0)),IF(_xlpm.m=0,"",_xlpm.m+1))</f>
        <v/>
      </c>
      <c r="J655" s="137" t="inlineStr">
        <is>
          <t>NetSuite</t>
        </is>
      </c>
    </row>
    <row r="656">
      <c r="A656" s="5" t="inlineStr">
        <is>
          <t>Web</t>
        </is>
      </c>
      <c r="B656" s="5">
        <f>IF($I2="","",INDEX(Productos!$A:$A,$I2))</f>
        <v/>
      </c>
      <c r="C656" s="134" t="inlineStr">
        <is>
          <t>CL/LOO2/1/TIT1-UNI</t>
        </is>
      </c>
      <c r="D656" s="5">
        <f>IF($I2="","",INDEX(Productos!$B:$B,$I2))</f>
        <v/>
      </c>
      <c r="E656" s="5">
        <f>IF($I2="","",INDEX(Productos!$H:$H,$I2))</f>
        <v/>
      </c>
      <c r="F656" s="5">
        <f>IF($I2="","",INDEX(Productos!$I:$I,$I2))</f>
        <v/>
      </c>
      <c r="G656" s="135" t="n">
        <v>2</v>
      </c>
      <c r="H656" s="5">
        <f>IF($I2="","",INDEX(Productos!$AG:$AG,$I2))</f>
        <v/>
      </c>
      <c r="I656" s="136">
        <f>LET(_xlpm.r,Productos!$E$2:$E$370,_xlpm.m,IFERROR(_xlfn.XMATCH(C656,_xlpm.r),IFERROR(_xlfn.XMATCH(VALUE(C656),_xlpm.r),0)),IF(_xlpm.m=0,"",_xlpm.m+1))</f>
        <v/>
      </c>
      <c r="J656" s="137" t="inlineStr">
        <is>
          <t>NetSuite</t>
        </is>
      </c>
    </row>
    <row r="657">
      <c r="A657" s="5" t="inlineStr">
        <is>
          <t>Web</t>
        </is>
      </c>
      <c r="B657" s="5">
        <f>IF($I2="","",INDEX(Productos!$A:$A,$I2))</f>
        <v/>
      </c>
      <c r="C657" s="134" t="inlineStr">
        <is>
          <t>CL/LOO3/1/AFF1-UNI</t>
        </is>
      </c>
      <c r="D657" s="5">
        <f>IF($I2="","",INDEX(Productos!$B:$B,$I2))</f>
        <v/>
      </c>
      <c r="E657" s="5">
        <f>IF($I2="","",INDEX(Productos!$H:$H,$I2))</f>
        <v/>
      </c>
      <c r="F657" s="5">
        <f>IF($I2="","",INDEX(Productos!$I:$I,$I2))</f>
        <v/>
      </c>
      <c r="G657" s="135" t="n">
        <v>2</v>
      </c>
      <c r="H657" s="5">
        <f>IF($I2="","",INDEX(Productos!$AG:$AG,$I2))</f>
        <v/>
      </c>
      <c r="I657" s="136">
        <f>LET(_xlpm.r,Productos!$E$2:$E$370,_xlpm.m,IFERROR(_xlfn.XMATCH(C657,_xlpm.r),IFERROR(_xlfn.XMATCH(VALUE(C657),_xlpm.r),0)),IF(_xlpm.m=0,"",_xlpm.m+1))</f>
        <v/>
      </c>
      <c r="J657" s="137" t="inlineStr">
        <is>
          <t>NetSuite</t>
        </is>
      </c>
    </row>
    <row r="658">
      <c r="A658" s="5" t="inlineStr">
        <is>
          <t>Web</t>
        </is>
      </c>
      <c r="B658" s="5">
        <f>IF($I2="","",INDEX(Productos!$A:$A,$I2))</f>
        <v/>
      </c>
      <c r="C658" s="134" t="inlineStr">
        <is>
          <t>CL/LOO3/1/BUG1-UNI</t>
        </is>
      </c>
      <c r="D658" s="5">
        <f>IF($I2="","",INDEX(Productos!$B:$B,$I2))</f>
        <v/>
      </c>
      <c r="E658" s="5">
        <f>IF($I2="","",INDEX(Productos!$H:$H,$I2))</f>
        <v/>
      </c>
      <c r="F658" s="5">
        <f>IF($I2="","",INDEX(Productos!$I:$I,$I2))</f>
        <v/>
      </c>
      <c r="G658" s="135" t="n">
        <v>2</v>
      </c>
      <c r="H658" s="5">
        <f>IF($I2="","",INDEX(Productos!$AG:$AG,$I2))</f>
        <v/>
      </c>
      <c r="I658" s="136">
        <f>LET(_xlpm.r,Productos!$E$2:$E$370,_xlpm.m,IFERROR(_xlfn.XMATCH(C658,_xlpm.r),IFERROR(_xlfn.XMATCH(VALUE(C658),_xlpm.r),0)),IF(_xlpm.m=0,"",_xlpm.m+1))</f>
        <v/>
      </c>
      <c r="J658" s="137" t="inlineStr">
        <is>
          <t>NetSuite</t>
        </is>
      </c>
    </row>
    <row r="659">
      <c r="A659" s="5" t="inlineStr">
        <is>
          <t>Web</t>
        </is>
      </c>
      <c r="B659" s="5">
        <f>IF($I2="","",INDEX(Productos!$A:$A,$I2))</f>
        <v/>
      </c>
      <c r="C659" s="134" t="inlineStr">
        <is>
          <t>CL/LOO3/1/DAF1-UNI</t>
        </is>
      </c>
      <c r="D659" s="5">
        <f>IF($I2="","",INDEX(Productos!$B:$B,$I2))</f>
        <v/>
      </c>
      <c r="E659" s="5">
        <f>IF($I2="","",INDEX(Productos!$H:$H,$I2))</f>
        <v/>
      </c>
      <c r="F659" s="5">
        <f>IF($I2="","",INDEX(Productos!$I:$I,$I2))</f>
        <v/>
      </c>
      <c r="G659" s="135" t="n">
        <v>1</v>
      </c>
      <c r="H659" s="5">
        <f>IF($I2="","",INDEX(Productos!$AG:$AG,$I2))</f>
        <v/>
      </c>
      <c r="I659" s="136">
        <f>LET(_xlpm.r,Productos!$E$2:$E$370,_xlpm.m,IFERROR(_xlfn.XMATCH(C659,_xlpm.r),IFERROR(_xlfn.XMATCH(VALUE(C659),_xlpm.r),0)),IF(_xlpm.m=0,"",_xlpm.m+1))</f>
        <v/>
      </c>
      <c r="J659" s="137" t="inlineStr">
        <is>
          <t>NetSuite</t>
        </is>
      </c>
    </row>
    <row r="660">
      <c r="A660" s="5" t="inlineStr">
        <is>
          <t>Web</t>
        </is>
      </c>
      <c r="B660" s="5">
        <f>IF($I2="","",INDEX(Productos!$A:$A,$I2))</f>
        <v/>
      </c>
      <c r="C660" s="134" t="inlineStr">
        <is>
          <t>CL/LOO3/1/GON2-UNI</t>
        </is>
      </c>
      <c r="D660" s="5">
        <f>IF($I2="","",INDEX(Productos!$B:$B,$I2))</f>
        <v/>
      </c>
      <c r="E660" s="5">
        <f>IF($I2="","",INDEX(Productos!$H:$H,$I2))</f>
        <v/>
      </c>
      <c r="F660" s="5">
        <f>IF($I2="","",INDEX(Productos!$I:$I,$I2))</f>
        <v/>
      </c>
      <c r="G660" s="135" t="n">
        <v>2</v>
      </c>
      <c r="H660" s="5">
        <f>IF($I2="","",INDEX(Productos!$AG:$AG,$I2))</f>
        <v/>
      </c>
      <c r="I660" s="136">
        <f>LET(_xlpm.r,Productos!$E$2:$E$370,_xlpm.m,IFERROR(_xlfn.XMATCH(C660,_xlpm.r),IFERROR(_xlfn.XMATCH(VALUE(C660),_xlpm.r),0)),IF(_xlpm.m=0,"",_xlpm.m+1))</f>
        <v/>
      </c>
      <c r="J660" s="137" t="inlineStr">
        <is>
          <t>NetSuite</t>
        </is>
      </c>
    </row>
    <row r="661">
      <c r="A661" s="5" t="inlineStr">
        <is>
          <t>Web</t>
        </is>
      </c>
      <c r="B661" s="5">
        <f>IF($I2="","",INDEX(Productos!$A:$A,$I2))</f>
        <v/>
      </c>
      <c r="C661" s="134" t="inlineStr">
        <is>
          <t>CL/LOO3/1/MAR1-UNI</t>
        </is>
      </c>
      <c r="D661" s="5">
        <f>IF($I2="","",INDEX(Productos!$B:$B,$I2))</f>
        <v/>
      </c>
      <c r="E661" s="5">
        <f>IF($I2="","",INDEX(Productos!$H:$H,$I2))</f>
        <v/>
      </c>
      <c r="F661" s="5">
        <f>IF($I2="","",INDEX(Productos!$I:$I,$I2))</f>
        <v/>
      </c>
      <c r="G661" s="135" t="n">
        <v>2</v>
      </c>
      <c r="H661" s="5">
        <f>IF($I2="","",INDEX(Productos!$AG:$AG,$I2))</f>
        <v/>
      </c>
      <c r="I661" s="136">
        <f>LET(_xlpm.r,Productos!$E$2:$E$370,_xlpm.m,IFERROR(_xlfn.XMATCH(C661,_xlpm.r),IFERROR(_xlfn.XMATCH(VALUE(C661),_xlpm.r),0)),IF(_xlpm.m=0,"",_xlpm.m+1))</f>
        <v/>
      </c>
      <c r="J661" s="137" t="inlineStr">
        <is>
          <t>NetSuite</t>
        </is>
      </c>
    </row>
    <row r="662">
      <c r="A662" s="5" t="inlineStr">
        <is>
          <t>Web</t>
        </is>
      </c>
      <c r="B662" s="5">
        <f>IF($I2="","",INDEX(Productos!$A:$A,$I2))</f>
        <v/>
      </c>
      <c r="C662" s="134" t="inlineStr">
        <is>
          <t>CL/LOO3/1/RIN1-UNI</t>
        </is>
      </c>
      <c r="D662" s="5">
        <f>IF($I2="","",INDEX(Productos!$B:$B,$I2))</f>
        <v/>
      </c>
      <c r="E662" s="5">
        <f>IF($I2="","",INDEX(Productos!$H:$H,$I2))</f>
        <v/>
      </c>
      <c r="F662" s="5">
        <f>IF($I2="","",INDEX(Productos!$I:$I,$I2))</f>
        <v/>
      </c>
      <c r="G662" s="135" t="n">
        <v>1</v>
      </c>
      <c r="H662" s="5">
        <f>IF($I2="","",INDEX(Productos!$AG:$AG,$I2))</f>
        <v/>
      </c>
      <c r="I662" s="136">
        <f>LET(_xlpm.r,Productos!$E$2:$E$370,_xlpm.m,IFERROR(_xlfn.XMATCH(C662,_xlpm.r),IFERROR(_xlfn.XMATCH(VALUE(C662),_xlpm.r),0)),IF(_xlpm.m=0,"",_xlpm.m+1))</f>
        <v/>
      </c>
      <c r="J662" s="137" t="inlineStr">
        <is>
          <t>NetSuite</t>
        </is>
      </c>
    </row>
    <row r="663">
      <c r="A663" s="5" t="inlineStr">
        <is>
          <t>Web</t>
        </is>
      </c>
      <c r="B663" s="5">
        <f>IF($I2="","",INDEX(Productos!$A:$A,$I2))</f>
        <v/>
      </c>
      <c r="C663" s="134" t="inlineStr">
        <is>
          <t>CL/LOO3/1/TAZ1-UNI</t>
        </is>
      </c>
      <c r="D663" s="5">
        <f>IF($I2="","",INDEX(Productos!$B:$B,$I2))</f>
        <v/>
      </c>
      <c r="E663" s="5">
        <f>IF($I2="","",INDEX(Productos!$H:$H,$I2))</f>
        <v/>
      </c>
      <c r="F663" s="5">
        <f>IF($I2="","",INDEX(Productos!$I:$I,$I2))</f>
        <v/>
      </c>
      <c r="G663" s="135" t="n">
        <v>2</v>
      </c>
      <c r="H663" s="5">
        <f>IF($I2="","",INDEX(Productos!$AG:$AG,$I2))</f>
        <v/>
      </c>
      <c r="I663" s="136">
        <f>LET(_xlpm.r,Productos!$E$2:$E$370,_xlpm.m,IFERROR(_xlfn.XMATCH(C663,_xlpm.r),IFERROR(_xlfn.XMATCH(VALUE(C663),_xlpm.r),0)),IF(_xlpm.m=0,"",_xlpm.m+1))</f>
        <v/>
      </c>
      <c r="J663" s="137" t="inlineStr">
        <is>
          <t>NetSuite</t>
        </is>
      </c>
    </row>
    <row r="664">
      <c r="A664" s="5" t="inlineStr">
        <is>
          <t>Web</t>
        </is>
      </c>
      <c r="B664" s="5">
        <f>IF($I2="","",INDEX(Productos!$A:$A,$I2))</f>
        <v/>
      </c>
      <c r="C664" s="134" t="inlineStr">
        <is>
          <t>CL/LOO4/1/BUG1-UNI</t>
        </is>
      </c>
      <c r="D664" s="5">
        <f>IF($I2="","",INDEX(Productos!$B:$B,$I2))</f>
        <v/>
      </c>
      <c r="E664" s="5">
        <f>IF($I2="","",INDEX(Productos!$H:$H,$I2))</f>
        <v/>
      </c>
      <c r="F664" s="5">
        <f>IF($I2="","",INDEX(Productos!$I:$I,$I2))</f>
        <v/>
      </c>
      <c r="G664" s="135" t="n">
        <v>1</v>
      </c>
      <c r="H664" s="5">
        <f>IF($I2="","",INDEX(Productos!$AG:$AG,$I2))</f>
        <v/>
      </c>
      <c r="I664" s="136">
        <f>LET(_xlpm.r,Productos!$E$2:$E$370,_xlpm.m,IFERROR(_xlfn.XMATCH(C664,_xlpm.r),IFERROR(_xlfn.XMATCH(VALUE(C664),_xlpm.r),0)),IF(_xlpm.m=0,"",_xlpm.m+1))</f>
        <v/>
      </c>
      <c r="J664" s="137" t="inlineStr">
        <is>
          <t>NetSuite</t>
        </is>
      </c>
    </row>
    <row r="665">
      <c r="A665" s="5" t="inlineStr">
        <is>
          <t>Web</t>
        </is>
      </c>
      <c r="B665" s="5">
        <f>IF($I2="","",INDEX(Productos!$A:$A,$I2))</f>
        <v/>
      </c>
      <c r="C665" s="134" t="inlineStr">
        <is>
          <t>CL/LOO4/1/DUF1-UNI</t>
        </is>
      </c>
      <c r="D665" s="5">
        <f>IF($I2="","",INDEX(Productos!$B:$B,$I2))</f>
        <v/>
      </c>
      <c r="E665" s="5">
        <f>IF($I2="","",INDEX(Productos!$H:$H,$I2))</f>
        <v/>
      </c>
      <c r="F665" s="5">
        <f>IF($I2="","",INDEX(Productos!$I:$I,$I2))</f>
        <v/>
      </c>
      <c r="G665" s="135" t="n">
        <v>1</v>
      </c>
      <c r="H665" s="5">
        <f>IF($I2="","",INDEX(Productos!$AG:$AG,$I2))</f>
        <v/>
      </c>
      <c r="I665" s="136">
        <f>LET(_xlpm.r,Productos!$E$2:$E$370,_xlpm.m,IFERROR(_xlfn.XMATCH(C665,_xlpm.r),IFERROR(_xlfn.XMATCH(VALUE(C665),_xlpm.r),0)),IF(_xlpm.m=0,"",_xlpm.m+1))</f>
        <v/>
      </c>
      <c r="J665" s="137" t="inlineStr">
        <is>
          <t>NetSuite</t>
        </is>
      </c>
    </row>
    <row r="666">
      <c r="A666" s="5" t="inlineStr">
        <is>
          <t>Web</t>
        </is>
      </c>
      <c r="B666" s="5">
        <f>IF($I2="","",INDEX(Productos!$A:$A,$I2))</f>
        <v/>
      </c>
      <c r="C666" s="134" t="inlineStr">
        <is>
          <t>CL/LOO5/1/BUN1-UNI</t>
        </is>
      </c>
      <c r="D666" s="5">
        <f>IF($I2="","",INDEX(Productos!$B:$B,$I2))</f>
        <v/>
      </c>
      <c r="E666" s="5">
        <f>IF($I2="","",INDEX(Productos!$H:$H,$I2))</f>
        <v/>
      </c>
      <c r="F666" s="5">
        <f>IF($I2="","",INDEX(Productos!$I:$I,$I2))</f>
        <v/>
      </c>
      <c r="G666" s="135" t="n">
        <v>3</v>
      </c>
      <c r="H666" s="5">
        <f>IF($I2="","",INDEX(Productos!$AG:$AG,$I2))</f>
        <v/>
      </c>
      <c r="I666" s="136">
        <f>LET(_xlpm.r,Productos!$E$2:$E$370,_xlpm.m,IFERROR(_xlfn.XMATCH(C666,_xlpm.r),IFERROR(_xlfn.XMATCH(VALUE(C666),_xlpm.r),0)),IF(_xlpm.m=0,"",_xlpm.m+1))</f>
        <v/>
      </c>
      <c r="J666" s="137" t="inlineStr">
        <is>
          <t>NetSuite</t>
        </is>
      </c>
    </row>
    <row r="667">
      <c r="A667" s="5" t="inlineStr">
        <is>
          <t>Web</t>
        </is>
      </c>
      <c r="B667" s="5">
        <f>IF($I2="","",INDEX(Productos!$A:$A,$I2))</f>
        <v/>
      </c>
      <c r="C667" s="134" t="inlineStr">
        <is>
          <t>CL/LOO5/1/TAZ2-UNI</t>
        </is>
      </c>
      <c r="D667" s="5">
        <f>IF($I2="","",INDEX(Productos!$B:$B,$I2))</f>
        <v/>
      </c>
      <c r="E667" s="5">
        <f>IF($I2="","",INDEX(Productos!$H:$H,$I2))</f>
        <v/>
      </c>
      <c r="F667" s="5">
        <f>IF($I2="","",INDEX(Productos!$I:$I,$I2))</f>
        <v/>
      </c>
      <c r="G667" s="135" t="n">
        <v>1</v>
      </c>
      <c r="H667" s="5">
        <f>IF($I2="","",INDEX(Productos!$AG:$AG,$I2))</f>
        <v/>
      </c>
      <c r="I667" s="136">
        <f>LET(_xlpm.r,Productos!$E$2:$E$370,_xlpm.m,IFERROR(_xlfn.XMATCH(C667,_xlpm.r),IFERROR(_xlfn.XMATCH(VALUE(C667),_xlpm.r),0)),IF(_xlpm.m=0,"",_xlpm.m+1))</f>
        <v/>
      </c>
      <c r="J667" s="137" t="inlineStr">
        <is>
          <t>NetSuite</t>
        </is>
      </c>
    </row>
    <row r="668">
      <c r="A668" s="5" t="inlineStr">
        <is>
          <t>Web</t>
        </is>
      </c>
      <c r="B668" s="5">
        <f>IF($I2="","",INDEX(Productos!$A:$A,$I2))</f>
        <v/>
      </c>
      <c r="C668" s="134" t="inlineStr">
        <is>
          <t>CL/LOO7/1/CASF/WI3-UNI</t>
        </is>
      </c>
      <c r="D668" s="5">
        <f>IF($I2="","",INDEX(Productos!$B:$B,$I2))</f>
        <v/>
      </c>
      <c r="E668" s="5">
        <f>IF($I2="","",INDEX(Productos!$H:$H,$I2))</f>
        <v/>
      </c>
      <c r="F668" s="5">
        <f>IF($I2="","",INDEX(Productos!$I:$I,$I2))</f>
        <v/>
      </c>
      <c r="G668" s="135" t="n">
        <v>1</v>
      </c>
      <c r="H668" s="5">
        <f>IF($I2="","",INDEX(Productos!$AG:$AG,$I2))</f>
        <v/>
      </c>
      <c r="I668" s="136">
        <f>LET(_xlpm.r,Productos!$E$2:$E$370,_xlpm.m,IFERROR(_xlfn.XMATCH(C668,_xlpm.r),IFERROR(_xlfn.XMATCH(VALUE(C668),_xlpm.r),0)),IF(_xlpm.m=0,"",_xlpm.m+1))</f>
        <v/>
      </c>
      <c r="J668" s="137" t="inlineStr">
        <is>
          <t>NetSuite</t>
        </is>
      </c>
    </row>
    <row r="669">
      <c r="A669" s="5" t="inlineStr">
        <is>
          <t>Web</t>
        </is>
      </c>
      <c r="B669" s="5">
        <f>IF($I2="","",INDEX(Productos!$A:$A,$I2))</f>
        <v/>
      </c>
      <c r="C669" s="134" t="inlineStr">
        <is>
          <t>CL/LOO8/1/CD/DAF-UNI</t>
        </is>
      </c>
      <c r="D669" s="5">
        <f>IF($I2="","",INDEX(Productos!$B:$B,$I2))</f>
        <v/>
      </c>
      <c r="E669" s="5">
        <f>IF($I2="","",INDEX(Productos!$H:$H,$I2))</f>
        <v/>
      </c>
      <c r="F669" s="5">
        <f>IF($I2="","",INDEX(Productos!$I:$I,$I2))</f>
        <v/>
      </c>
      <c r="G669" s="135" t="n">
        <v>2</v>
      </c>
      <c r="H669" s="5">
        <f>IF($I2="","",INDEX(Productos!$AG:$AG,$I2))</f>
        <v/>
      </c>
      <c r="I669" s="136">
        <f>LET(_xlpm.r,Productos!$E$2:$E$370,_xlpm.m,IFERROR(_xlfn.XMATCH(C669,_xlpm.r),IFERROR(_xlfn.XMATCH(VALUE(C669),_xlpm.r),0)),IF(_xlpm.m=0,"",_xlpm.m+1))</f>
        <v/>
      </c>
      <c r="J669" s="137" t="inlineStr">
        <is>
          <t>NetSuite</t>
        </is>
      </c>
    </row>
    <row r="670">
      <c r="A670" s="5" t="inlineStr">
        <is>
          <t>Web</t>
        </is>
      </c>
      <c r="B670" s="5">
        <f>IF($I2="","",INDEX(Productos!$A:$A,$I2))</f>
        <v/>
      </c>
      <c r="C670" s="134" t="inlineStr">
        <is>
          <t>CL/LOO8/1/CF/BUG-UNI</t>
        </is>
      </c>
      <c r="D670" s="5">
        <f>IF($I2="","",INDEX(Productos!$B:$B,$I2))</f>
        <v/>
      </c>
      <c r="E670" s="5">
        <f>IF($I2="","",INDEX(Productos!$H:$H,$I2))</f>
        <v/>
      </c>
      <c r="F670" s="5">
        <f>IF($I2="","",INDEX(Productos!$I:$I,$I2))</f>
        <v/>
      </c>
      <c r="G670" s="135" t="n">
        <v>2</v>
      </c>
      <c r="H670" s="5">
        <f>IF($I2="","",INDEX(Productos!$AG:$AG,$I2))</f>
        <v/>
      </c>
      <c r="I670" s="136">
        <f>LET(_xlpm.r,Productos!$E$2:$E$370,_xlpm.m,IFERROR(_xlfn.XMATCH(C670,_xlpm.r),IFERROR(_xlfn.XMATCH(VALUE(C670),_xlpm.r),0)),IF(_xlpm.m=0,"",_xlpm.m+1))</f>
        <v/>
      </c>
      <c r="J670" s="137" t="inlineStr">
        <is>
          <t>NetSuite</t>
        </is>
      </c>
    </row>
    <row r="671">
      <c r="A671" s="5" t="inlineStr">
        <is>
          <t>Web</t>
        </is>
      </c>
      <c r="B671" s="5">
        <f>IF($I2="","",INDEX(Productos!$A:$A,$I2))</f>
        <v/>
      </c>
      <c r="C671" s="134" t="inlineStr">
        <is>
          <t>CL/LOO8/1/CT/BUG1-UNI</t>
        </is>
      </c>
      <c r="D671" s="5">
        <f>IF($I2="","",INDEX(Productos!$B:$B,$I2))</f>
        <v/>
      </c>
      <c r="E671" s="5">
        <f>IF($I2="","",INDEX(Productos!$H:$H,$I2))</f>
        <v/>
      </c>
      <c r="F671" s="5">
        <f>IF($I2="","",INDEX(Productos!$I:$I,$I2))</f>
        <v/>
      </c>
      <c r="G671" s="135" t="n">
        <v>2</v>
      </c>
      <c r="H671" s="5">
        <f>IF($I2="","",INDEX(Productos!$AG:$AG,$I2))</f>
        <v/>
      </c>
      <c r="I671" s="136">
        <f>LET(_xlpm.r,Productos!$E$2:$E$370,_xlpm.m,IFERROR(_xlfn.XMATCH(C671,_xlpm.r),IFERROR(_xlfn.XMATCH(VALUE(C671),_xlpm.r),0)),IF(_xlpm.m=0,"",_xlpm.m+1))</f>
        <v/>
      </c>
      <c r="J671" s="137" t="inlineStr">
        <is>
          <t>NetSuite</t>
        </is>
      </c>
    </row>
    <row r="672">
      <c r="A672" s="5" t="inlineStr">
        <is>
          <t>Web</t>
        </is>
      </c>
      <c r="B672" s="5">
        <f>IF($I2="","",INDEX(Productos!$A:$A,$I2))</f>
        <v/>
      </c>
      <c r="C672" s="134" t="inlineStr">
        <is>
          <t>CL/LOO8/1/CT/BUG2-UNI</t>
        </is>
      </c>
      <c r="D672" s="5">
        <f>IF($I2="","",INDEX(Productos!$B:$B,$I2))</f>
        <v/>
      </c>
      <c r="E672" s="5">
        <f>IF($I2="","",INDEX(Productos!$H:$H,$I2))</f>
        <v/>
      </c>
      <c r="F672" s="5">
        <f>IF($I2="","",INDEX(Productos!$I:$I,$I2))</f>
        <v/>
      </c>
      <c r="G672" s="135" t="n">
        <v>2</v>
      </c>
      <c r="H672" s="5">
        <f>IF($I2="","",INDEX(Productos!$AG:$AG,$I2))</f>
        <v/>
      </c>
      <c r="I672" s="136">
        <f>LET(_xlpm.r,Productos!$E$2:$E$370,_xlpm.m,IFERROR(_xlfn.XMATCH(C672,_xlpm.r),IFERROR(_xlfn.XMATCH(VALUE(C672),_xlpm.r),0)),IF(_xlpm.m=0,"",_xlpm.m+1))</f>
        <v/>
      </c>
      <c r="J672" s="137" t="inlineStr">
        <is>
          <t>NetSuite</t>
        </is>
      </c>
    </row>
    <row r="673">
      <c r="A673" s="5" t="inlineStr">
        <is>
          <t>Web</t>
        </is>
      </c>
      <c r="B673" s="5">
        <f>IF($I2="","",INDEX(Productos!$A:$A,$I2))</f>
        <v/>
      </c>
      <c r="C673" s="134" t="inlineStr">
        <is>
          <t>CL/LOO8/1/CT/BUG3-UNI</t>
        </is>
      </c>
      <c r="D673" s="5">
        <f>IF($I2="","",INDEX(Productos!$B:$B,$I2))</f>
        <v/>
      </c>
      <c r="E673" s="5">
        <f>IF($I2="","",INDEX(Productos!$H:$H,$I2))</f>
        <v/>
      </c>
      <c r="F673" s="5">
        <f>IF($I2="","",INDEX(Productos!$I:$I,$I2))</f>
        <v/>
      </c>
      <c r="G673" s="135" t="n">
        <v>2</v>
      </c>
      <c r="H673" s="5">
        <f>IF($I2="","",INDEX(Productos!$AG:$AG,$I2))</f>
        <v/>
      </c>
      <c r="I673" s="136">
        <f>LET(_xlpm.r,Productos!$E$2:$E$370,_xlpm.m,IFERROR(_xlfn.XMATCH(C673,_xlpm.r),IFERROR(_xlfn.XMATCH(VALUE(C673),_xlpm.r),0)),IF(_xlpm.m=0,"",_xlpm.m+1))</f>
        <v/>
      </c>
      <c r="J673" s="137" t="inlineStr">
        <is>
          <t>NetSuite</t>
        </is>
      </c>
    </row>
    <row r="674">
      <c r="A674" s="5" t="inlineStr">
        <is>
          <t>Web</t>
        </is>
      </c>
      <c r="B674" s="5">
        <f>IF($I2="","",INDEX(Productos!$A:$A,$I2))</f>
        <v/>
      </c>
      <c r="C674" s="134" t="inlineStr">
        <is>
          <t>CL/LOO8/1/CT/BUG4-UNI</t>
        </is>
      </c>
      <c r="D674" s="5">
        <f>IF($I2="","",INDEX(Productos!$B:$B,$I2))</f>
        <v/>
      </c>
      <c r="E674" s="5">
        <f>IF($I2="","",INDEX(Productos!$H:$H,$I2))</f>
        <v/>
      </c>
      <c r="F674" s="5">
        <f>IF($I2="","",INDEX(Productos!$I:$I,$I2))</f>
        <v/>
      </c>
      <c r="G674" s="135" t="n">
        <v>2</v>
      </c>
      <c r="H674" s="5">
        <f>IF($I2="","",INDEX(Productos!$AG:$AG,$I2))</f>
        <v/>
      </c>
      <c r="I674" s="136">
        <f>LET(_xlpm.r,Productos!$E$2:$E$370,_xlpm.m,IFERROR(_xlfn.XMATCH(C674,_xlpm.r),IFERROR(_xlfn.XMATCH(VALUE(C674),_xlpm.r),0)),IF(_xlpm.m=0,"",_xlpm.m+1))</f>
        <v/>
      </c>
      <c r="J674" s="137" t="inlineStr">
        <is>
          <t>NetSuite</t>
        </is>
      </c>
    </row>
    <row r="675">
      <c r="A675" s="5" t="inlineStr">
        <is>
          <t>Web</t>
        </is>
      </c>
      <c r="B675" s="5">
        <f>IF($I2="","",INDEX(Productos!$A:$A,$I2))</f>
        <v/>
      </c>
      <c r="C675" s="134" t="inlineStr">
        <is>
          <t>CL/LOO8/1/CT/BUG5-UNI</t>
        </is>
      </c>
      <c r="D675" s="5">
        <f>IF($I2="","",INDEX(Productos!$B:$B,$I2))</f>
        <v/>
      </c>
      <c r="E675" s="5">
        <f>IF($I2="","",INDEX(Productos!$H:$H,$I2))</f>
        <v/>
      </c>
      <c r="F675" s="5">
        <f>IF($I2="","",INDEX(Productos!$I:$I,$I2))</f>
        <v/>
      </c>
      <c r="G675" s="135" t="n">
        <v>1</v>
      </c>
      <c r="H675" s="5">
        <f>IF($I2="","",INDEX(Productos!$AG:$AG,$I2))</f>
        <v/>
      </c>
      <c r="I675" s="136">
        <f>LET(_xlpm.r,Productos!$E$2:$E$370,_xlpm.m,IFERROR(_xlfn.XMATCH(C675,_xlpm.r),IFERROR(_xlfn.XMATCH(VALUE(C675),_xlpm.r),0)),IF(_xlpm.m=0,"",_xlpm.m+1))</f>
        <v/>
      </c>
      <c r="J675" s="137" t="inlineStr">
        <is>
          <t>NetSuite</t>
        </is>
      </c>
    </row>
    <row r="676">
      <c r="A676" s="5" t="inlineStr">
        <is>
          <t>Web</t>
        </is>
      </c>
      <c r="B676" s="5">
        <f>IF($I2="","",INDEX(Productos!$A:$A,$I2))</f>
        <v/>
      </c>
      <c r="C676" s="134" t="inlineStr">
        <is>
          <t>CL/LOO8/1/CT/BUG6-UNI</t>
        </is>
      </c>
      <c r="D676" s="5">
        <f>IF($I2="","",INDEX(Productos!$B:$B,$I2))</f>
        <v/>
      </c>
      <c r="E676" s="5">
        <f>IF($I2="","",INDEX(Productos!$H:$H,$I2))</f>
        <v/>
      </c>
      <c r="F676" s="5">
        <f>IF($I2="","",INDEX(Productos!$I:$I,$I2))</f>
        <v/>
      </c>
      <c r="G676" s="135" t="n">
        <v>2</v>
      </c>
      <c r="H676" s="5">
        <f>IF($I2="","",INDEX(Productos!$AG:$AG,$I2))</f>
        <v/>
      </c>
      <c r="I676" s="136">
        <f>LET(_xlpm.r,Productos!$E$2:$E$370,_xlpm.m,IFERROR(_xlfn.XMATCH(C676,_xlpm.r),IFERROR(_xlfn.XMATCH(VALUE(C676),_xlpm.r),0)),IF(_xlpm.m=0,"",_xlpm.m+1))</f>
        <v/>
      </c>
      <c r="J676" s="137" t="inlineStr">
        <is>
          <t>NetSuite</t>
        </is>
      </c>
    </row>
    <row r="677">
      <c r="A677" s="5" t="inlineStr">
        <is>
          <t>Web</t>
        </is>
      </c>
      <c r="B677" s="5">
        <f>IF($I2="","",INDEX(Productos!$A:$A,$I2))</f>
        <v/>
      </c>
      <c r="C677" s="134" t="inlineStr">
        <is>
          <t>CL/LOO8/1/CT/BUG7-UNI</t>
        </is>
      </c>
      <c r="D677" s="5">
        <f>IF($I2="","",INDEX(Productos!$B:$B,$I2))</f>
        <v/>
      </c>
      <c r="E677" s="5">
        <f>IF($I2="","",INDEX(Productos!$H:$H,$I2))</f>
        <v/>
      </c>
      <c r="F677" s="5">
        <f>IF($I2="","",INDEX(Productos!$I:$I,$I2))</f>
        <v/>
      </c>
      <c r="G677" s="135" t="n">
        <v>1</v>
      </c>
      <c r="H677" s="5">
        <f>IF($I2="","",INDEX(Productos!$AG:$AG,$I2))</f>
        <v/>
      </c>
      <c r="I677" s="136">
        <f>LET(_xlpm.r,Productos!$E$2:$E$370,_xlpm.m,IFERROR(_xlfn.XMATCH(C677,_xlpm.r),IFERROR(_xlfn.XMATCH(VALUE(C677),_xlpm.r),0)),IF(_xlpm.m=0,"",_xlpm.m+1))</f>
        <v/>
      </c>
      <c r="J677" s="137" t="inlineStr">
        <is>
          <t>NetSuite</t>
        </is>
      </c>
    </row>
    <row r="678">
      <c r="A678" s="5" t="inlineStr">
        <is>
          <t>Web</t>
        </is>
      </c>
      <c r="B678" s="5">
        <f>IF($I2="","",INDEX(Productos!$A:$A,$I2))</f>
        <v/>
      </c>
      <c r="C678" s="134" t="inlineStr">
        <is>
          <t>CL/LOO8/1/CT/DAF1-UNI</t>
        </is>
      </c>
      <c r="D678" s="5">
        <f>IF($I2="","",INDEX(Productos!$B:$B,$I2))</f>
        <v/>
      </c>
      <c r="E678" s="5">
        <f>IF($I2="","",INDEX(Productos!$H:$H,$I2))</f>
        <v/>
      </c>
      <c r="F678" s="5">
        <f>IF($I2="","",INDEX(Productos!$I:$I,$I2))</f>
        <v/>
      </c>
      <c r="G678" s="135" t="n">
        <v>2</v>
      </c>
      <c r="H678" s="5">
        <f>IF($I2="","",INDEX(Productos!$AG:$AG,$I2))</f>
        <v/>
      </c>
      <c r="I678" s="136">
        <f>LET(_xlpm.r,Productos!$E$2:$E$370,_xlpm.m,IFERROR(_xlfn.XMATCH(C678,_xlpm.r),IFERROR(_xlfn.XMATCH(VALUE(C678),_xlpm.r),0)),IF(_xlpm.m=0,"",_xlpm.m+1))</f>
        <v/>
      </c>
      <c r="J678" s="137" t="inlineStr">
        <is>
          <t>NetSuite</t>
        </is>
      </c>
    </row>
    <row r="679">
      <c r="A679" s="5" t="inlineStr">
        <is>
          <t>Web</t>
        </is>
      </c>
      <c r="B679" s="5">
        <f>IF($I2="","",INDEX(Productos!$A:$A,$I2))</f>
        <v/>
      </c>
      <c r="C679" s="134" t="inlineStr">
        <is>
          <t>CL/LOO8/1/CT/DAF2-UNI</t>
        </is>
      </c>
      <c r="D679" s="5">
        <f>IF($I2="","",INDEX(Productos!$B:$B,$I2))</f>
        <v/>
      </c>
      <c r="E679" s="5">
        <f>IF($I2="","",INDEX(Productos!$H:$H,$I2))</f>
        <v/>
      </c>
      <c r="F679" s="5">
        <f>IF($I2="","",INDEX(Productos!$I:$I,$I2))</f>
        <v/>
      </c>
      <c r="G679" s="135" t="n">
        <v>2</v>
      </c>
      <c r="H679" s="5">
        <f>IF($I2="","",INDEX(Productos!$AG:$AG,$I2))</f>
        <v/>
      </c>
      <c r="I679" s="136">
        <f>LET(_xlpm.r,Productos!$E$2:$E$370,_xlpm.m,IFERROR(_xlfn.XMATCH(C679,_xlpm.r),IFERROR(_xlfn.XMATCH(VALUE(C679),_xlpm.r),0)),IF(_xlpm.m=0,"",_xlpm.m+1))</f>
        <v/>
      </c>
      <c r="J679" s="137" t="inlineStr">
        <is>
          <t>NetSuite</t>
        </is>
      </c>
    </row>
    <row r="680">
      <c r="A680" s="5" t="inlineStr">
        <is>
          <t>Web</t>
        </is>
      </c>
      <c r="B680" s="5">
        <f>IF($I2="","",INDEX(Productos!$A:$A,$I2))</f>
        <v/>
      </c>
      <c r="C680" s="134" t="inlineStr">
        <is>
          <t>CL/LOO8/1/CT/DAF3-UNI</t>
        </is>
      </c>
      <c r="D680" s="5">
        <f>IF($I2="","",INDEX(Productos!$B:$B,$I2))</f>
        <v/>
      </c>
      <c r="E680" s="5">
        <f>IF($I2="","",INDEX(Productos!$H:$H,$I2))</f>
        <v/>
      </c>
      <c r="F680" s="5">
        <f>IF($I2="","",INDEX(Productos!$I:$I,$I2))</f>
        <v/>
      </c>
      <c r="G680" s="135" t="n">
        <v>2</v>
      </c>
      <c r="H680" s="5">
        <f>IF($I2="","",INDEX(Productos!$AG:$AG,$I2))</f>
        <v/>
      </c>
      <c r="I680" s="136">
        <f>LET(_xlpm.r,Productos!$E$2:$E$370,_xlpm.m,IFERROR(_xlfn.XMATCH(C680,_xlpm.r),IFERROR(_xlfn.XMATCH(VALUE(C680),_xlpm.r),0)),IF(_xlpm.m=0,"",_xlpm.m+1))</f>
        <v/>
      </c>
      <c r="J680" s="137" t="inlineStr">
        <is>
          <t>NetSuite</t>
        </is>
      </c>
    </row>
    <row r="681">
      <c r="A681" s="5" t="inlineStr">
        <is>
          <t>Web</t>
        </is>
      </c>
      <c r="B681" s="5">
        <f>IF($I2="","",INDEX(Productos!$A:$A,$I2))</f>
        <v/>
      </c>
      <c r="C681" s="134" t="inlineStr">
        <is>
          <t>CL/LOO8/1/CT/DAF4-UNI</t>
        </is>
      </c>
      <c r="D681" s="5">
        <f>IF($I2="","",INDEX(Productos!$B:$B,$I2))</f>
        <v/>
      </c>
      <c r="E681" s="5">
        <f>IF($I2="","",INDEX(Productos!$H:$H,$I2))</f>
        <v/>
      </c>
      <c r="F681" s="5">
        <f>IF($I2="","",INDEX(Productos!$I:$I,$I2))</f>
        <v/>
      </c>
      <c r="G681" s="135" t="n">
        <v>1</v>
      </c>
      <c r="H681" s="5">
        <f>IF($I2="","",INDEX(Productos!$AG:$AG,$I2))</f>
        <v/>
      </c>
      <c r="I681" s="136">
        <f>LET(_xlpm.r,Productos!$E$2:$E$370,_xlpm.m,IFERROR(_xlfn.XMATCH(C681,_xlpm.r),IFERROR(_xlfn.XMATCH(VALUE(C681),_xlpm.r),0)),IF(_xlpm.m=0,"",_xlpm.m+1))</f>
        <v/>
      </c>
      <c r="J681" s="137" t="inlineStr">
        <is>
          <t>NetSuite</t>
        </is>
      </c>
    </row>
    <row r="682">
      <c r="A682" s="5" t="inlineStr">
        <is>
          <t>Web</t>
        </is>
      </c>
      <c r="B682" s="5">
        <f>IF($I2="","",INDEX(Productos!$A:$A,$I2))</f>
        <v/>
      </c>
      <c r="C682" s="134" t="inlineStr">
        <is>
          <t>CL/LOO8/1/CT/SPE1-UNI</t>
        </is>
      </c>
      <c r="D682" s="5">
        <f>IF($I2="","",INDEX(Productos!$B:$B,$I2))</f>
        <v/>
      </c>
      <c r="E682" s="5">
        <f>IF($I2="","",INDEX(Productos!$H:$H,$I2))</f>
        <v/>
      </c>
      <c r="F682" s="5">
        <f>IF($I2="","",INDEX(Productos!$I:$I,$I2))</f>
        <v/>
      </c>
      <c r="G682" s="135" t="n">
        <v>1</v>
      </c>
      <c r="H682" s="5">
        <f>IF($I2="","",INDEX(Productos!$AG:$AG,$I2))</f>
        <v/>
      </c>
      <c r="I682" s="136">
        <f>LET(_xlpm.r,Productos!$E$2:$E$370,_xlpm.m,IFERROR(_xlfn.XMATCH(C682,_xlpm.r),IFERROR(_xlfn.XMATCH(VALUE(C682),_xlpm.r),0)),IF(_xlpm.m=0,"",_xlpm.m+1))</f>
        <v/>
      </c>
      <c r="J682" s="137" t="inlineStr">
        <is>
          <t>NetSuite</t>
        </is>
      </c>
    </row>
    <row r="683">
      <c r="A683" s="5" t="inlineStr">
        <is>
          <t>Web</t>
        </is>
      </c>
      <c r="B683" s="5">
        <f>IF($I2="","",INDEX(Productos!$A:$A,$I2))</f>
        <v/>
      </c>
      <c r="C683" s="134" t="inlineStr">
        <is>
          <t>CL/LOO8/1/CT/TAZ1-UNI</t>
        </is>
      </c>
      <c r="D683" s="5">
        <f>IF($I2="","",INDEX(Productos!$B:$B,$I2))</f>
        <v/>
      </c>
      <c r="E683" s="5">
        <f>IF($I2="","",INDEX(Productos!$H:$H,$I2))</f>
        <v/>
      </c>
      <c r="F683" s="5">
        <f>IF($I2="","",INDEX(Productos!$I:$I,$I2))</f>
        <v/>
      </c>
      <c r="G683" s="135" t="n">
        <v>2</v>
      </c>
      <c r="H683" s="5">
        <f>IF($I2="","",INDEX(Productos!$AG:$AG,$I2))</f>
        <v/>
      </c>
      <c r="I683" s="136">
        <f>LET(_xlpm.r,Productos!$E$2:$E$370,_xlpm.m,IFERROR(_xlfn.XMATCH(C683,_xlpm.r),IFERROR(_xlfn.XMATCH(VALUE(C683),_xlpm.r),0)),IF(_xlpm.m=0,"",_xlpm.m+1))</f>
        <v/>
      </c>
      <c r="J683" s="137" t="inlineStr">
        <is>
          <t>NetSuite</t>
        </is>
      </c>
    </row>
    <row r="684">
      <c r="A684" s="5" t="inlineStr">
        <is>
          <t>Web</t>
        </is>
      </c>
      <c r="B684" s="5">
        <f>IF($I2="","",INDEX(Productos!$A:$A,$I2))</f>
        <v/>
      </c>
      <c r="C684" s="134" t="inlineStr">
        <is>
          <t>CL/LOO8/1/CT/TAZ2-UNI</t>
        </is>
      </c>
      <c r="D684" s="5">
        <f>IF($I2="","",INDEX(Productos!$B:$B,$I2))</f>
        <v/>
      </c>
      <c r="E684" s="5">
        <f>IF($I2="","",INDEX(Productos!$H:$H,$I2))</f>
        <v/>
      </c>
      <c r="F684" s="5">
        <f>IF($I2="","",INDEX(Productos!$I:$I,$I2))</f>
        <v/>
      </c>
      <c r="G684" s="135" t="n">
        <v>2</v>
      </c>
      <c r="H684" s="5">
        <f>IF($I2="","",INDEX(Productos!$AG:$AG,$I2))</f>
        <v/>
      </c>
      <c r="I684" s="136">
        <f>LET(_xlpm.r,Productos!$E$2:$E$370,_xlpm.m,IFERROR(_xlfn.XMATCH(C684,_xlpm.r),IFERROR(_xlfn.XMATCH(VALUE(C684),_xlpm.r),0)),IF(_xlpm.m=0,"",_xlpm.m+1))</f>
        <v/>
      </c>
      <c r="J684" s="137" t="inlineStr">
        <is>
          <t>NetSuite</t>
        </is>
      </c>
    </row>
    <row r="685">
      <c r="A685" s="5" t="inlineStr">
        <is>
          <t>Web</t>
        </is>
      </c>
      <c r="B685" s="5">
        <f>IF($I2="","",INDEX(Productos!$A:$A,$I2))</f>
        <v/>
      </c>
      <c r="C685" s="134" t="inlineStr">
        <is>
          <t>CL/LOO8/1/CT/TAZ3-UNI</t>
        </is>
      </c>
      <c r="D685" s="5">
        <f>IF($I2="","",INDEX(Productos!$B:$B,$I2))</f>
        <v/>
      </c>
      <c r="E685" s="5">
        <f>IF($I2="","",INDEX(Productos!$H:$H,$I2))</f>
        <v/>
      </c>
      <c r="F685" s="5">
        <f>IF($I2="","",INDEX(Productos!$I:$I,$I2))</f>
        <v/>
      </c>
      <c r="G685" s="135" t="n">
        <v>2</v>
      </c>
      <c r="H685" s="5">
        <f>IF($I2="","",INDEX(Productos!$AG:$AG,$I2))</f>
        <v/>
      </c>
      <c r="I685" s="136">
        <f>LET(_xlpm.r,Productos!$E$2:$E$370,_xlpm.m,IFERROR(_xlfn.XMATCH(C685,_xlpm.r),IFERROR(_xlfn.XMATCH(VALUE(C685),_xlpm.r),0)),IF(_xlpm.m=0,"",_xlpm.m+1))</f>
        <v/>
      </c>
      <c r="J685" s="137" t="inlineStr">
        <is>
          <t>NetSuite</t>
        </is>
      </c>
    </row>
    <row r="686">
      <c r="A686" s="5" t="inlineStr">
        <is>
          <t>Web</t>
        </is>
      </c>
      <c r="B686" s="5">
        <f>IF($I2="","",INDEX(Productos!$A:$A,$I2))</f>
        <v/>
      </c>
      <c r="C686" s="134" t="inlineStr">
        <is>
          <t>CL/LOO8/1/CT/TAZ4-UNI</t>
        </is>
      </c>
      <c r="D686" s="5">
        <f>IF($I2="","",INDEX(Productos!$B:$B,$I2))</f>
        <v/>
      </c>
      <c r="E686" s="5">
        <f>IF($I2="","",INDEX(Productos!$H:$H,$I2))</f>
        <v/>
      </c>
      <c r="F686" s="5">
        <f>IF($I2="","",INDEX(Productos!$I:$I,$I2))</f>
        <v/>
      </c>
      <c r="G686" s="135" t="n">
        <v>1</v>
      </c>
      <c r="H686" s="5">
        <f>IF($I2="","",INDEX(Productos!$AG:$AG,$I2))</f>
        <v/>
      </c>
      <c r="I686" s="136">
        <f>LET(_xlpm.r,Productos!$E$2:$E$370,_xlpm.m,IFERROR(_xlfn.XMATCH(C686,_xlpm.r),IFERROR(_xlfn.XMATCH(VALUE(C686),_xlpm.r),0)),IF(_xlpm.m=0,"",_xlpm.m+1))</f>
        <v/>
      </c>
      <c r="J686" s="137" t="inlineStr">
        <is>
          <t>NetSuite</t>
        </is>
      </c>
    </row>
    <row r="687">
      <c r="A687" s="5" t="inlineStr">
        <is>
          <t>Web</t>
        </is>
      </c>
      <c r="B687" s="5">
        <f>IF($I2="","",INDEX(Productos!$A:$A,$I2))</f>
        <v/>
      </c>
      <c r="C687" s="134" t="inlineStr">
        <is>
          <t>CL/MAR3/1/HUL1-UNI</t>
        </is>
      </c>
      <c r="D687" s="5">
        <f>IF($I2="","",INDEX(Productos!$B:$B,$I2))</f>
        <v/>
      </c>
      <c r="E687" s="5">
        <f>IF($I2="","",INDEX(Productos!$H:$H,$I2))</f>
        <v/>
      </c>
      <c r="F687" s="5">
        <f>IF($I2="","",INDEX(Productos!$I:$I,$I2))</f>
        <v/>
      </c>
      <c r="G687" s="135" t="n">
        <v>1</v>
      </c>
      <c r="H687" s="5">
        <f>IF($I2="","",INDEX(Productos!$AG:$AG,$I2))</f>
        <v/>
      </c>
      <c r="I687" s="136">
        <f>LET(_xlpm.r,Productos!$E$2:$E$370,_xlpm.m,IFERROR(_xlfn.XMATCH(C687,_xlpm.r),IFERROR(_xlfn.XMATCH(VALUE(C687),_xlpm.r),0)),IF(_xlpm.m=0,"",_xlpm.m+1))</f>
        <v/>
      </c>
      <c r="J687" s="137" t="inlineStr">
        <is>
          <t>NetSuite</t>
        </is>
      </c>
    </row>
    <row r="688">
      <c r="A688" s="5" t="inlineStr">
        <is>
          <t>Web</t>
        </is>
      </c>
      <c r="B688" s="5">
        <f>IF($I2="","",INDEX(Productos!$A:$A,$I2))</f>
        <v/>
      </c>
      <c r="C688" s="134" t="inlineStr">
        <is>
          <t>CL/MAR6/1/CD/DEA-UNI</t>
        </is>
      </c>
      <c r="D688" s="5">
        <f>IF($I2="","",INDEX(Productos!$B:$B,$I2))</f>
        <v/>
      </c>
      <c r="E688" s="5">
        <f>IF($I2="","",INDEX(Productos!$H:$H,$I2))</f>
        <v/>
      </c>
      <c r="F688" s="5">
        <f>IF($I2="","",INDEX(Productos!$I:$I,$I2))</f>
        <v/>
      </c>
      <c r="G688" s="135" t="n">
        <v>1</v>
      </c>
      <c r="H688" s="5">
        <f>IF($I2="","",INDEX(Productos!$AG:$AG,$I2))</f>
        <v/>
      </c>
      <c r="I688" s="136">
        <f>LET(_xlpm.r,Productos!$E$2:$E$370,_xlpm.m,IFERROR(_xlfn.XMATCH(C688,_xlpm.r),IFERROR(_xlfn.XMATCH(VALUE(C688),_xlpm.r),0)),IF(_xlpm.m=0,"",_xlpm.m+1))</f>
        <v/>
      </c>
      <c r="J688" s="137" t="inlineStr">
        <is>
          <t>NetSuite</t>
        </is>
      </c>
    </row>
    <row r="689">
      <c r="A689" s="5" t="inlineStr">
        <is>
          <t>Web</t>
        </is>
      </c>
      <c r="B689" s="5">
        <f>IF($I2="","",INDEX(Productos!$A:$A,$I2))</f>
        <v/>
      </c>
      <c r="C689" s="134" t="inlineStr">
        <is>
          <t>CL/MAR6/1/CF/DUO-UNI</t>
        </is>
      </c>
      <c r="D689" s="5">
        <f>IF($I2="","",INDEX(Productos!$B:$B,$I2))</f>
        <v/>
      </c>
      <c r="E689" s="5">
        <f>IF($I2="","",INDEX(Productos!$H:$H,$I2))</f>
        <v/>
      </c>
      <c r="F689" s="5">
        <f>IF($I2="","",INDEX(Productos!$I:$I,$I2))</f>
        <v/>
      </c>
      <c r="G689" s="135" t="n">
        <v>2</v>
      </c>
      <c r="H689" s="5">
        <f>IF($I2="","",INDEX(Productos!$AG:$AG,$I2))</f>
        <v/>
      </c>
      <c r="I689" s="136">
        <f>LET(_xlpm.r,Productos!$E$2:$E$370,_xlpm.m,IFERROR(_xlfn.XMATCH(C689,_xlpm.r),IFERROR(_xlfn.XMATCH(VALUE(C689),_xlpm.r),0)),IF(_xlpm.m=0,"",_xlpm.m+1))</f>
        <v/>
      </c>
      <c r="J689" s="137" t="inlineStr">
        <is>
          <t>NetSuite</t>
        </is>
      </c>
    </row>
    <row r="690">
      <c r="A690" s="5" t="inlineStr">
        <is>
          <t>Web</t>
        </is>
      </c>
      <c r="B690" s="5">
        <f>IF($I2="","",INDEX(Productos!$A:$A,$I2))</f>
        <v/>
      </c>
      <c r="C690" s="134" t="inlineStr">
        <is>
          <t>CL/MAR6/1/CT/BAD1-UNI</t>
        </is>
      </c>
      <c r="D690" s="5">
        <f>IF($I2="","",INDEX(Productos!$B:$B,$I2))</f>
        <v/>
      </c>
      <c r="E690" s="5">
        <f>IF($I2="","",INDEX(Productos!$H:$H,$I2))</f>
        <v/>
      </c>
      <c r="F690" s="5">
        <f>IF($I2="","",INDEX(Productos!$I:$I,$I2))</f>
        <v/>
      </c>
      <c r="G690" s="135" t="n">
        <v>2</v>
      </c>
      <c r="H690" s="5">
        <f>IF($I2="","",INDEX(Productos!$AG:$AG,$I2))</f>
        <v/>
      </c>
      <c r="I690" s="136">
        <f>LET(_xlpm.r,Productos!$E$2:$E$370,_xlpm.m,IFERROR(_xlfn.XMATCH(C690,_xlpm.r),IFERROR(_xlfn.XMATCH(VALUE(C690),_xlpm.r),0)),IF(_xlpm.m=0,"",_xlpm.m+1))</f>
        <v/>
      </c>
      <c r="J690" s="137" t="inlineStr">
        <is>
          <t>NetSuite</t>
        </is>
      </c>
    </row>
    <row r="691">
      <c r="A691" s="5" t="inlineStr">
        <is>
          <t>Web</t>
        </is>
      </c>
      <c r="B691" s="5">
        <f>IF($I2="","",INDEX(Productos!$A:$A,$I2))</f>
        <v/>
      </c>
      <c r="C691" s="134" t="inlineStr">
        <is>
          <t>CL/MAR6/1/CT/GRO1-UNI</t>
        </is>
      </c>
      <c r="D691" s="5">
        <f>IF($I2="","",INDEX(Productos!$B:$B,$I2))</f>
        <v/>
      </c>
      <c r="E691" s="5">
        <f>IF($I2="","",INDEX(Productos!$H:$H,$I2))</f>
        <v/>
      </c>
      <c r="F691" s="5">
        <f>IF($I2="","",INDEX(Productos!$I:$I,$I2))</f>
        <v/>
      </c>
      <c r="G691" s="135" t="n">
        <v>1</v>
      </c>
      <c r="H691" s="5">
        <f>IF($I2="","",INDEX(Productos!$AG:$AG,$I2))</f>
        <v/>
      </c>
      <c r="I691" s="136">
        <f>LET(_xlpm.r,Productos!$E$2:$E$370,_xlpm.m,IFERROR(_xlfn.XMATCH(C691,_xlpm.r),IFERROR(_xlfn.XMATCH(VALUE(C691),_xlpm.r),0)),IF(_xlpm.m=0,"",_xlpm.m+1))</f>
        <v/>
      </c>
      <c r="J691" s="137" t="inlineStr">
        <is>
          <t>NetSuite</t>
        </is>
      </c>
    </row>
    <row r="692">
      <c r="A692" s="5" t="inlineStr">
        <is>
          <t>Web</t>
        </is>
      </c>
      <c r="B692" s="5">
        <f>IF($I2="","",INDEX(Productos!$A:$A,$I2))</f>
        <v/>
      </c>
      <c r="C692" s="134" t="inlineStr">
        <is>
          <t>CL/MAR6/1/CT/LOG1-UNI</t>
        </is>
      </c>
      <c r="D692" s="5">
        <f>IF($I2="","",INDEX(Productos!$B:$B,$I2))</f>
        <v/>
      </c>
      <c r="E692" s="5">
        <f>IF($I2="","",INDEX(Productos!$H:$H,$I2))</f>
        <v/>
      </c>
      <c r="F692" s="5">
        <f>IF($I2="","",INDEX(Productos!$I:$I,$I2))</f>
        <v/>
      </c>
      <c r="G692" s="135" t="n">
        <v>1</v>
      </c>
      <c r="H692" s="5">
        <f>IF($I2="","",INDEX(Productos!$AG:$AG,$I2))</f>
        <v/>
      </c>
      <c r="I692" s="136">
        <f>LET(_xlpm.r,Productos!$E$2:$E$370,_xlpm.m,IFERROR(_xlfn.XMATCH(C692,_xlpm.r),IFERROR(_xlfn.XMATCH(VALUE(C692),_xlpm.r),0)),IF(_xlpm.m=0,"",_xlpm.m+1))</f>
        <v/>
      </c>
      <c r="J692" s="137" t="inlineStr">
        <is>
          <t>NetSuite</t>
        </is>
      </c>
    </row>
    <row r="693">
      <c r="A693" s="5" t="inlineStr">
        <is>
          <t>Web</t>
        </is>
      </c>
      <c r="B693" s="5">
        <f>IF($I2="","",INDEX(Productos!$A:$A,$I2))</f>
        <v/>
      </c>
      <c r="C693" s="134" t="inlineStr">
        <is>
          <t>CL/MAR6/1/CT/THO-UNI</t>
        </is>
      </c>
      <c r="D693" s="5">
        <f>IF($I2="","",INDEX(Productos!$B:$B,$I2))</f>
        <v/>
      </c>
      <c r="E693" s="5">
        <f>IF($I2="","",INDEX(Productos!$H:$H,$I2))</f>
        <v/>
      </c>
      <c r="F693" s="5">
        <f>IF($I2="","",INDEX(Productos!$I:$I,$I2))</f>
        <v/>
      </c>
      <c r="G693" s="135" t="n">
        <v>2</v>
      </c>
      <c r="H693" s="5">
        <f>IF($I2="","",INDEX(Productos!$AG:$AG,$I2))</f>
        <v/>
      </c>
      <c r="I693" s="136">
        <f>LET(_xlpm.r,Productos!$E$2:$E$370,_xlpm.m,IFERROR(_xlfn.XMATCH(C693,_xlpm.r),IFERROR(_xlfn.XMATCH(VALUE(C693),_xlpm.r),0)),IF(_xlpm.m=0,"",_xlpm.m+1))</f>
        <v/>
      </c>
      <c r="J693" s="137" t="inlineStr">
        <is>
          <t>NetSuite</t>
        </is>
      </c>
    </row>
    <row r="694">
      <c r="A694" s="5" t="inlineStr">
        <is>
          <t>Web</t>
        </is>
      </c>
      <c r="B694" s="5">
        <f>IF($I2="","",INDEX(Productos!$A:$A,$I2))</f>
        <v/>
      </c>
      <c r="C694" s="134" t="inlineStr">
        <is>
          <t>CL/MAR6/3/CT/BAD1-UNIJR</t>
        </is>
      </c>
      <c r="D694" s="5">
        <f>IF($I2="","",INDEX(Productos!$B:$B,$I2))</f>
        <v/>
      </c>
      <c r="E694" s="5">
        <f>IF($I2="","",INDEX(Productos!$H:$H,$I2))</f>
        <v/>
      </c>
      <c r="F694" s="5">
        <f>IF($I2="","",INDEX(Productos!$I:$I,$I2))</f>
        <v/>
      </c>
      <c r="G694" s="135" t="n">
        <v>2</v>
      </c>
      <c r="H694" s="5">
        <f>IF($I2="","",INDEX(Productos!$AG:$AG,$I2))</f>
        <v/>
      </c>
      <c r="I694" s="136">
        <f>LET(_xlpm.r,Productos!$E$2:$E$370,_xlpm.m,IFERROR(_xlfn.XMATCH(C694,_xlpm.r),IFERROR(_xlfn.XMATCH(VALUE(C694),_xlpm.r),0)),IF(_xlpm.m=0,"",_xlpm.m+1))</f>
        <v/>
      </c>
      <c r="J694" s="137" t="inlineStr">
        <is>
          <t>NetSuite</t>
        </is>
      </c>
    </row>
    <row r="695">
      <c r="A695" s="5" t="inlineStr">
        <is>
          <t>Web</t>
        </is>
      </c>
      <c r="B695" s="5">
        <f>IF($I2="","",INDEX(Productos!$A:$A,$I2))</f>
        <v/>
      </c>
      <c r="C695" s="134" t="inlineStr">
        <is>
          <t>CL/NASA/1/TAG/GLI-UNI</t>
        </is>
      </c>
      <c r="D695" s="5">
        <f>IF($I2="","",INDEX(Productos!$B:$B,$I2))</f>
        <v/>
      </c>
      <c r="E695" s="5">
        <f>IF($I2="","",INDEX(Productos!$H:$H,$I2))</f>
        <v/>
      </c>
      <c r="F695" s="5">
        <f>IF($I2="","",INDEX(Productos!$I:$I,$I2))</f>
        <v/>
      </c>
      <c r="G695" s="135" t="n">
        <v>2</v>
      </c>
      <c r="H695" s="5">
        <f>IF($I2="","",INDEX(Productos!$AG:$AG,$I2))</f>
        <v/>
      </c>
      <c r="I695" s="136">
        <f>LET(_xlpm.r,Productos!$E$2:$E$370,_xlpm.m,IFERROR(_xlfn.XMATCH(C695,_xlpm.r),IFERROR(_xlfn.XMATCH(VALUE(C695),_xlpm.r),0)),IF(_xlpm.m=0,"",_xlpm.m+1))</f>
        <v/>
      </c>
      <c r="J695" s="137" t="inlineStr">
        <is>
          <t>NetSuite</t>
        </is>
      </c>
    </row>
    <row r="696">
      <c r="A696" s="5" t="inlineStr">
        <is>
          <t>Web</t>
        </is>
      </c>
      <c r="B696" s="5">
        <f>IF($I2="","",INDEX(Productos!$A:$A,$I2))</f>
        <v/>
      </c>
      <c r="C696" s="134" t="inlineStr">
        <is>
          <t>CL/NASA/1/US2-UNI</t>
        </is>
      </c>
      <c r="D696" s="5">
        <f>IF($I2="","",INDEX(Productos!$B:$B,$I2))</f>
        <v/>
      </c>
      <c r="E696" s="5">
        <f>IF($I2="","",INDEX(Productos!$H:$H,$I2))</f>
        <v/>
      </c>
      <c r="F696" s="5">
        <f>IF($I2="","",INDEX(Productos!$I:$I,$I2))</f>
        <v/>
      </c>
      <c r="G696" s="135" t="n">
        <v>2</v>
      </c>
      <c r="H696" s="5">
        <f>IF($I2="","",INDEX(Productos!$AG:$AG,$I2))</f>
        <v/>
      </c>
      <c r="I696" s="136">
        <f>LET(_xlpm.r,Productos!$E$2:$E$370,_xlpm.m,IFERROR(_xlfn.XMATCH(C696,_xlpm.r),IFERROR(_xlfn.XMATCH(VALUE(C696),_xlpm.r),0)),IF(_xlpm.m=0,"",_xlpm.m+1))</f>
        <v/>
      </c>
      <c r="J696" s="137" t="inlineStr">
        <is>
          <t>NetSuite</t>
        </is>
      </c>
    </row>
    <row r="697">
      <c r="A697" s="5" t="inlineStr">
        <is>
          <t>Web</t>
        </is>
      </c>
      <c r="B697" s="5">
        <f>IF($I2="","",INDEX(Productos!$A:$A,$I2))</f>
        <v/>
      </c>
      <c r="C697" s="134" t="inlineStr">
        <is>
          <t>CL/NS/1/AKA2-UNI</t>
        </is>
      </c>
      <c r="D697" s="5">
        <f>IF($I2="","",INDEX(Productos!$B:$B,$I2))</f>
        <v/>
      </c>
      <c r="E697" s="5">
        <f>IF($I2="","",INDEX(Productos!$H:$H,$I2))</f>
        <v/>
      </c>
      <c r="F697" s="5">
        <f>IF($I2="","",INDEX(Productos!$I:$I,$I2))</f>
        <v/>
      </c>
      <c r="G697" s="135" t="n">
        <v>3</v>
      </c>
      <c r="H697" s="5">
        <f>IF($I2="","",INDEX(Productos!$AG:$AG,$I2))</f>
        <v/>
      </c>
      <c r="I697" s="136">
        <f>LET(_xlpm.r,Productos!$E$2:$E$370,_xlpm.m,IFERROR(_xlfn.XMATCH(C697,_xlpm.r),IFERROR(_xlfn.XMATCH(VALUE(C697),_xlpm.r),0)),IF(_xlpm.m=0,"",_xlpm.m+1))</f>
        <v/>
      </c>
      <c r="J697" s="137" t="inlineStr">
        <is>
          <t>NetSuite</t>
        </is>
      </c>
    </row>
    <row r="698">
      <c r="A698" s="5" t="inlineStr">
        <is>
          <t>Web</t>
        </is>
      </c>
      <c r="B698" s="5">
        <f>IF($I2="","",INDEX(Productos!$A:$A,$I2))</f>
        <v/>
      </c>
      <c r="C698" s="134" t="inlineStr">
        <is>
          <t>CL/NS/1/BAN-UNI</t>
        </is>
      </c>
      <c r="D698" s="5">
        <f>IF($I2="","",INDEX(Productos!$B:$B,$I2))</f>
        <v/>
      </c>
      <c r="E698" s="5">
        <f>IF($I2="","",INDEX(Productos!$H:$H,$I2))</f>
        <v/>
      </c>
      <c r="F698" s="5">
        <f>IF($I2="","",INDEX(Productos!$I:$I,$I2))</f>
        <v/>
      </c>
      <c r="G698" s="135" t="n">
        <v>2</v>
      </c>
      <c r="H698" s="5">
        <f>IF($I2="","",INDEX(Productos!$AG:$AG,$I2))</f>
        <v/>
      </c>
      <c r="I698" s="136">
        <f>LET(_xlpm.r,Productos!$E$2:$E$370,_xlpm.m,IFERROR(_xlfn.XMATCH(C698,_xlpm.r),IFERROR(_xlfn.XMATCH(VALUE(C698),_xlpm.r),0)),IF(_xlpm.m=0,"",_xlpm.m+1))</f>
        <v/>
      </c>
      <c r="J698" s="137" t="inlineStr">
        <is>
          <t>NetSuite</t>
        </is>
      </c>
    </row>
    <row r="699">
      <c r="A699" s="5" t="inlineStr">
        <is>
          <t>Web</t>
        </is>
      </c>
      <c r="B699" s="5">
        <f>IF($I2="","",INDEX(Productos!$A:$A,$I2))</f>
        <v/>
      </c>
      <c r="C699" s="134" t="inlineStr">
        <is>
          <t>CL/NS/1/FIR1-UNI</t>
        </is>
      </c>
      <c r="D699" s="5">
        <f>IF($I2="","",INDEX(Productos!$B:$B,$I2))</f>
        <v/>
      </c>
      <c r="E699" s="5">
        <f>IF($I2="","",INDEX(Productos!$H:$H,$I2))</f>
        <v/>
      </c>
      <c r="F699" s="5">
        <f>IF($I2="","",INDEX(Productos!$I:$I,$I2))</f>
        <v/>
      </c>
      <c r="G699" s="135" t="n">
        <v>2</v>
      </c>
      <c r="H699" s="5">
        <f>IF($I2="","",INDEX(Productos!$AG:$AG,$I2))</f>
        <v/>
      </c>
      <c r="I699" s="136">
        <f>LET(_xlpm.r,Productos!$E$2:$E$370,_xlpm.m,IFERROR(_xlfn.XMATCH(C699,_xlpm.r),IFERROR(_xlfn.XMATCH(VALUE(C699),_xlpm.r),0)),IF(_xlpm.m=0,"",_xlpm.m+1))</f>
        <v/>
      </c>
      <c r="J699" s="137" t="inlineStr">
        <is>
          <t>NetSuite</t>
        </is>
      </c>
    </row>
    <row r="700">
      <c r="A700" s="5" t="inlineStr">
        <is>
          <t>Web</t>
        </is>
      </c>
      <c r="B700" s="5">
        <f>IF($I2="","",INDEX(Productos!$A:$A,$I2))</f>
        <v/>
      </c>
      <c r="C700" s="134" t="inlineStr">
        <is>
          <t>CL/NS/1/FIR2-UNI</t>
        </is>
      </c>
      <c r="D700" s="5">
        <f>IF($I2="","",INDEX(Productos!$B:$B,$I2))</f>
        <v/>
      </c>
      <c r="E700" s="5">
        <f>IF($I2="","",INDEX(Productos!$H:$H,$I2))</f>
        <v/>
      </c>
      <c r="F700" s="5">
        <f>IF($I2="","",INDEX(Productos!$I:$I,$I2))</f>
        <v/>
      </c>
      <c r="G700" s="135" t="n">
        <v>2</v>
      </c>
      <c r="H700" s="5">
        <f>IF($I2="","",INDEX(Productos!$AG:$AG,$I2))</f>
        <v/>
      </c>
      <c r="I700" s="136">
        <f>LET(_xlpm.r,Productos!$E$2:$E$370,_xlpm.m,IFERROR(_xlfn.XMATCH(C700,_xlpm.r),IFERROR(_xlfn.XMATCH(VALUE(C700),_xlpm.r),0)),IF(_xlpm.m=0,"",_xlpm.m+1))</f>
        <v/>
      </c>
      <c r="J700" s="137" t="inlineStr">
        <is>
          <t>NetSuite</t>
        </is>
      </c>
    </row>
    <row r="701">
      <c r="A701" s="5" t="inlineStr">
        <is>
          <t>Web</t>
        </is>
      </c>
      <c r="B701" s="5">
        <f>IF($I2="","",INDEX(Productos!$A:$A,$I2))</f>
        <v/>
      </c>
      <c r="C701" s="134" t="inlineStr">
        <is>
          <t>CL/NS/1/NAR1-UNI</t>
        </is>
      </c>
      <c r="D701" s="5">
        <f>IF($I2="","",INDEX(Productos!$B:$B,$I2))</f>
        <v/>
      </c>
      <c r="E701" s="5">
        <f>IF($I2="","",INDEX(Productos!$H:$H,$I2))</f>
        <v/>
      </c>
      <c r="F701" s="5">
        <f>IF($I2="","",INDEX(Productos!$I:$I,$I2))</f>
        <v/>
      </c>
      <c r="G701" s="135" t="n">
        <v>2</v>
      </c>
      <c r="H701" s="5">
        <f>IF($I2="","",INDEX(Productos!$AG:$AG,$I2))</f>
        <v/>
      </c>
      <c r="I701" s="136">
        <f>LET(_xlpm.r,Productos!$E$2:$E$370,_xlpm.m,IFERROR(_xlfn.XMATCH(C701,_xlpm.r),IFERROR(_xlfn.XMATCH(VALUE(C701),_xlpm.r),0)),IF(_xlpm.m=0,"",_xlpm.m+1))</f>
        <v/>
      </c>
      <c r="J701" s="137" t="inlineStr">
        <is>
          <t>NetSuite</t>
        </is>
      </c>
    </row>
    <row r="702">
      <c r="A702" s="5" t="inlineStr">
        <is>
          <t>Web</t>
        </is>
      </c>
      <c r="B702" s="5">
        <f>IF($I2="","",INDEX(Productos!$A:$A,$I2))</f>
        <v/>
      </c>
      <c r="C702" s="134" t="inlineStr">
        <is>
          <t>CL/NS/1/NAR2-UNI</t>
        </is>
      </c>
      <c r="D702" s="5">
        <f>IF($I2="","",INDEX(Productos!$B:$B,$I2))</f>
        <v/>
      </c>
      <c r="E702" s="5">
        <f>IF($I2="","",INDEX(Productos!$H:$H,$I2))</f>
        <v/>
      </c>
      <c r="F702" s="5">
        <f>IF($I2="","",INDEX(Productos!$I:$I,$I2))</f>
        <v/>
      </c>
      <c r="G702" s="135" t="n">
        <v>2</v>
      </c>
      <c r="H702" s="5">
        <f>IF($I2="","",INDEX(Productos!$AG:$AG,$I2))</f>
        <v/>
      </c>
      <c r="I702" s="136">
        <f>LET(_xlpm.r,Productos!$E$2:$E$370,_xlpm.m,IFERROR(_xlfn.XMATCH(C702,_xlpm.r),IFERROR(_xlfn.XMATCH(VALUE(C702),_xlpm.r),0)),IF(_xlpm.m=0,"",_xlpm.m+1))</f>
        <v/>
      </c>
      <c r="J702" s="137" t="inlineStr">
        <is>
          <t>NetSuite</t>
        </is>
      </c>
    </row>
    <row r="703">
      <c r="A703" s="5" t="inlineStr">
        <is>
          <t>Web</t>
        </is>
      </c>
      <c r="B703" s="5">
        <f>IF($I2="","",INDEX(Productos!$A:$A,$I2))</f>
        <v/>
      </c>
      <c r="C703" s="134" t="inlineStr">
        <is>
          <t>CL/NS/1/RAS2-UNI</t>
        </is>
      </c>
      <c r="D703" s="5">
        <f>IF($I2="","",INDEX(Productos!$B:$B,$I2))</f>
        <v/>
      </c>
      <c r="E703" s="5">
        <f>IF($I2="","",INDEX(Productos!$H:$H,$I2))</f>
        <v/>
      </c>
      <c r="F703" s="5">
        <f>IF($I2="","",INDEX(Productos!$I:$I,$I2))</f>
        <v/>
      </c>
      <c r="G703" s="135" t="n">
        <v>2</v>
      </c>
      <c r="H703" s="5">
        <f>IF($I2="","",INDEX(Productos!$AG:$AG,$I2))</f>
        <v/>
      </c>
      <c r="I703" s="136">
        <f>LET(_xlpm.r,Productos!$E$2:$E$370,_xlpm.m,IFERROR(_xlfn.XMATCH(C703,_xlpm.r),IFERROR(_xlfn.XMATCH(VALUE(C703),_xlpm.r),0)),IF(_xlpm.m=0,"",_xlpm.m+1))</f>
        <v/>
      </c>
      <c r="J703" s="137" t="inlineStr">
        <is>
          <t>NetSuite</t>
        </is>
      </c>
    </row>
    <row r="704">
      <c r="A704" s="5" t="inlineStr">
        <is>
          <t>Web</t>
        </is>
      </c>
      <c r="B704" s="5">
        <f>IF($I2="","",INDEX(Productos!$A:$A,$I2))</f>
        <v/>
      </c>
      <c r="C704" s="134" t="inlineStr">
        <is>
          <t>CL/NS/3/KAK1-UNI</t>
        </is>
      </c>
      <c r="D704" s="5">
        <f>IF($I2="","",INDEX(Productos!$B:$B,$I2))</f>
        <v/>
      </c>
      <c r="E704" s="5">
        <f>IF($I2="","",INDEX(Productos!$H:$H,$I2))</f>
        <v/>
      </c>
      <c r="F704" s="5">
        <f>IF($I2="","",INDEX(Productos!$I:$I,$I2))</f>
        <v/>
      </c>
      <c r="G704" s="135" t="n">
        <v>1</v>
      </c>
      <c r="H704" s="5">
        <f>IF($I2="","",INDEX(Productos!$AG:$AG,$I2))</f>
        <v/>
      </c>
      <c r="I704" s="136">
        <f>LET(_xlpm.r,Productos!$E$2:$E$370,_xlpm.m,IFERROR(_xlfn.XMATCH(C704,_xlpm.r),IFERROR(_xlfn.XMATCH(VALUE(C704),_xlpm.r),0)),IF(_xlpm.m=0,"",_xlpm.m+1))</f>
        <v/>
      </c>
      <c r="J704" s="137" t="inlineStr">
        <is>
          <t>NetSuite</t>
        </is>
      </c>
    </row>
    <row r="705">
      <c r="A705" s="5" t="inlineStr">
        <is>
          <t>Web</t>
        </is>
      </c>
      <c r="B705" s="5">
        <f>IF($I2="","",INDEX(Productos!$A:$A,$I2))</f>
        <v/>
      </c>
      <c r="C705" s="134" t="inlineStr">
        <is>
          <t>CL/NS2/1/CD/NUA-UNI</t>
        </is>
      </c>
      <c r="D705" s="5">
        <f>IF($I2="","",INDEX(Productos!$B:$B,$I2))</f>
        <v/>
      </c>
      <c r="E705" s="5">
        <f>IF($I2="","",INDEX(Productos!$H:$H,$I2))</f>
        <v/>
      </c>
      <c r="F705" s="5">
        <f>IF($I2="","",INDEX(Productos!$I:$I,$I2))</f>
        <v/>
      </c>
      <c r="G705" s="135" t="n">
        <v>2</v>
      </c>
      <c r="H705" s="5">
        <f>IF($I2="","",INDEX(Productos!$AG:$AG,$I2))</f>
        <v/>
      </c>
      <c r="I705" s="136">
        <f>LET(_xlpm.r,Productos!$E$2:$E$370,_xlpm.m,IFERROR(_xlfn.XMATCH(C705,_xlpm.r),IFERROR(_xlfn.XMATCH(VALUE(C705),_xlpm.r),0)),IF(_xlpm.m=0,"",_xlpm.m+1))</f>
        <v/>
      </c>
      <c r="J705" s="137" t="inlineStr">
        <is>
          <t>NetSuite</t>
        </is>
      </c>
    </row>
    <row r="706">
      <c r="A706" s="5" t="inlineStr">
        <is>
          <t>Web</t>
        </is>
      </c>
      <c r="B706" s="5">
        <f>IF($I2="","",INDEX(Productos!$A:$A,$I2))</f>
        <v/>
      </c>
      <c r="C706" s="134" t="inlineStr">
        <is>
          <t>CL/NS2/1/CT/IGB-UNI</t>
        </is>
      </c>
      <c r="D706" s="5">
        <f>IF($I2="","",INDEX(Productos!$B:$B,$I2))</f>
        <v/>
      </c>
      <c r="E706" s="5">
        <f>IF($I2="","",INDEX(Productos!$H:$H,$I2))</f>
        <v/>
      </c>
      <c r="F706" s="5">
        <f>IF($I2="","",INDEX(Productos!$I:$I,$I2))</f>
        <v/>
      </c>
      <c r="G706" s="135" t="n">
        <v>2</v>
      </c>
      <c r="H706" s="5">
        <f>IF($I2="","",INDEX(Productos!$AG:$AG,$I2))</f>
        <v/>
      </c>
      <c r="I706" s="136">
        <f>LET(_xlpm.r,Productos!$E$2:$E$370,_xlpm.m,IFERROR(_xlfn.XMATCH(C706,_xlpm.r),IFERROR(_xlfn.XMATCH(VALUE(C706),_xlpm.r),0)),IF(_xlpm.m=0,"",_xlpm.m+1))</f>
        <v/>
      </c>
      <c r="J706" s="137" t="inlineStr">
        <is>
          <t>NetSuite</t>
        </is>
      </c>
    </row>
    <row r="707">
      <c r="A707" s="5" t="inlineStr">
        <is>
          <t>Web</t>
        </is>
      </c>
      <c r="B707" s="5">
        <f>IF($I2="","",INDEX(Productos!$A:$A,$I2))</f>
        <v/>
      </c>
      <c r="C707" s="134" t="inlineStr">
        <is>
          <t>CL/NS2/1/CT/INU-UNI</t>
        </is>
      </c>
      <c r="D707" s="5">
        <f>IF($I2="","",INDEX(Productos!$B:$B,$I2))</f>
        <v/>
      </c>
      <c r="E707" s="5">
        <f>IF($I2="","",INDEX(Productos!$H:$H,$I2))</f>
        <v/>
      </c>
      <c r="F707" s="5">
        <f>IF($I2="","",INDEX(Productos!$I:$I,$I2))</f>
        <v/>
      </c>
      <c r="G707" s="135" t="n">
        <v>2</v>
      </c>
      <c r="H707" s="5">
        <f>IF($I2="","",INDEX(Productos!$AG:$AG,$I2))</f>
        <v/>
      </c>
      <c r="I707" s="136">
        <f>LET(_xlpm.r,Productos!$E$2:$E$370,_xlpm.m,IFERROR(_xlfn.XMATCH(C707,_xlpm.r),IFERROR(_xlfn.XMATCH(VALUE(C707),_xlpm.r),0)),IF(_xlpm.m=0,"",_xlpm.m+1))</f>
        <v/>
      </c>
      <c r="J707" s="137" t="inlineStr">
        <is>
          <t>NetSuite</t>
        </is>
      </c>
    </row>
    <row r="708">
      <c r="A708" s="5" t="inlineStr">
        <is>
          <t>Web</t>
        </is>
      </c>
      <c r="B708" s="5">
        <f>IF($I2="","",INDEX(Productos!$A:$A,$I2))</f>
        <v/>
      </c>
      <c r="C708" s="134" t="inlineStr">
        <is>
          <t>CL/NS2/1/CT/NGJ-UNI</t>
        </is>
      </c>
      <c r="D708" s="5">
        <f>IF($I2="","",INDEX(Productos!$B:$B,$I2))</f>
        <v/>
      </c>
      <c r="E708" s="5">
        <f>IF($I2="","",INDEX(Productos!$H:$H,$I2))</f>
        <v/>
      </c>
      <c r="F708" s="5">
        <f>IF($I2="","",INDEX(Productos!$I:$I,$I2))</f>
        <v/>
      </c>
      <c r="G708" s="135" t="n">
        <v>2</v>
      </c>
      <c r="H708" s="5">
        <f>IF($I2="","",INDEX(Productos!$AG:$AG,$I2))</f>
        <v/>
      </c>
      <c r="I708" s="136">
        <f>LET(_xlpm.r,Productos!$E$2:$E$370,_xlpm.m,IFERROR(_xlfn.XMATCH(C708,_xlpm.r),IFERROR(_xlfn.XMATCH(VALUE(C708),_xlpm.r),0)),IF(_xlpm.m=0,"",_xlpm.m+1))</f>
        <v/>
      </c>
      <c r="J708" s="137" t="inlineStr">
        <is>
          <t>NetSuite</t>
        </is>
      </c>
    </row>
    <row r="709">
      <c r="A709" s="5" t="inlineStr">
        <is>
          <t>Web</t>
        </is>
      </c>
      <c r="B709" s="5">
        <f>IF($I2="","",INDEX(Productos!$A:$A,$I2))</f>
        <v/>
      </c>
      <c r="C709" s="134" t="inlineStr">
        <is>
          <t>CL/NS2/1/CT/NME-UNI</t>
        </is>
      </c>
      <c r="D709" s="5">
        <f>IF($I2="","",INDEX(Productos!$B:$B,$I2))</f>
        <v/>
      </c>
      <c r="E709" s="5">
        <f>IF($I2="","",INDEX(Productos!$H:$H,$I2))</f>
        <v/>
      </c>
      <c r="F709" s="5">
        <f>IF($I2="","",INDEX(Productos!$I:$I,$I2))</f>
        <v/>
      </c>
      <c r="G709" s="135" t="n">
        <v>1</v>
      </c>
      <c r="H709" s="5">
        <f>IF($I2="","",INDEX(Productos!$AG:$AG,$I2))</f>
        <v/>
      </c>
      <c r="I709" s="136">
        <f>LET(_xlpm.r,Productos!$E$2:$E$370,_xlpm.m,IFERROR(_xlfn.XMATCH(C709,_xlpm.r),IFERROR(_xlfn.XMATCH(VALUE(C709),_xlpm.r),0)),IF(_xlpm.m=0,"",_xlpm.m+1))</f>
        <v/>
      </c>
      <c r="J709" s="137" t="inlineStr">
        <is>
          <t>NetSuite</t>
        </is>
      </c>
    </row>
    <row r="710">
      <c r="A710" s="5" t="inlineStr">
        <is>
          <t>Web</t>
        </is>
      </c>
      <c r="B710" s="5">
        <f>IF($I2="","",INDEX(Productos!$A:$A,$I2))</f>
        <v/>
      </c>
      <c r="C710" s="134" t="inlineStr">
        <is>
          <t>CL/NS2/1/CT/NOE-UNI</t>
        </is>
      </c>
      <c r="D710" s="5">
        <f>IF($I2="","",INDEX(Productos!$B:$B,$I2))</f>
        <v/>
      </c>
      <c r="E710" s="5">
        <f>IF($I2="","",INDEX(Productos!$H:$H,$I2))</f>
        <v/>
      </c>
      <c r="F710" s="5">
        <f>IF($I2="","",INDEX(Productos!$I:$I,$I2))</f>
        <v/>
      </c>
      <c r="G710" s="135" t="n">
        <v>2</v>
      </c>
      <c r="H710" s="5">
        <f>IF($I2="","",INDEX(Productos!$AG:$AG,$I2))</f>
        <v/>
      </c>
      <c r="I710" s="136">
        <f>LET(_xlpm.r,Productos!$E$2:$E$370,_xlpm.m,IFERROR(_xlfn.XMATCH(C710,_xlpm.r),IFERROR(_xlfn.XMATCH(VALUE(C710),_xlpm.r),0)),IF(_xlpm.m=0,"",_xlpm.m+1))</f>
        <v/>
      </c>
      <c r="J710" s="137" t="inlineStr">
        <is>
          <t>NetSuite</t>
        </is>
      </c>
    </row>
    <row r="711">
      <c r="A711" s="5" t="inlineStr">
        <is>
          <t>Web</t>
        </is>
      </c>
      <c r="B711" s="5">
        <f>IF($I2="","",INDEX(Productos!$A:$A,$I2))</f>
        <v/>
      </c>
      <c r="C711" s="134" t="inlineStr">
        <is>
          <t>CL/NS2/1/CT/NSA-UNI</t>
        </is>
      </c>
      <c r="D711" s="5">
        <f>IF($I2="","",INDEX(Productos!$B:$B,$I2))</f>
        <v/>
      </c>
      <c r="E711" s="5">
        <f>IF($I2="","",INDEX(Productos!$H:$H,$I2))</f>
        <v/>
      </c>
      <c r="F711" s="5">
        <f>IF($I2="","",INDEX(Productos!$I:$I,$I2))</f>
        <v/>
      </c>
      <c r="G711" s="135" t="n">
        <v>2</v>
      </c>
      <c r="H711" s="5">
        <f>IF($I2="","",INDEX(Productos!$AG:$AG,$I2))</f>
        <v/>
      </c>
      <c r="I711" s="136">
        <f>LET(_xlpm.r,Productos!$E$2:$E$370,_xlpm.m,IFERROR(_xlfn.XMATCH(C711,_xlpm.r),IFERROR(_xlfn.XMATCH(VALUE(C711),_xlpm.r),0)),IF(_xlpm.m=0,"",_xlpm.m+1))</f>
        <v/>
      </c>
      <c r="J711" s="137" t="inlineStr">
        <is>
          <t>NetSuite</t>
        </is>
      </c>
    </row>
    <row r="712">
      <c r="A712" s="5" t="inlineStr">
        <is>
          <t>Web</t>
        </is>
      </c>
      <c r="B712" s="5">
        <f>IF($I2="","",INDEX(Productos!$A:$A,$I2))</f>
        <v/>
      </c>
      <c r="C712" s="134" t="inlineStr">
        <is>
          <t>CL/NS2/1/CT/SAR-UNI</t>
        </is>
      </c>
      <c r="D712" s="5">
        <f>IF($I2="","",INDEX(Productos!$B:$B,$I2))</f>
        <v/>
      </c>
      <c r="E712" s="5">
        <f>IF($I2="","",INDEX(Productos!$H:$H,$I2))</f>
        <v/>
      </c>
      <c r="F712" s="5">
        <f>IF($I2="","",INDEX(Productos!$I:$I,$I2))</f>
        <v/>
      </c>
      <c r="G712" s="135" t="n">
        <v>2</v>
      </c>
      <c r="H712" s="5">
        <f>IF($I2="","",INDEX(Productos!$AG:$AG,$I2))</f>
        <v/>
      </c>
      <c r="I712" s="136">
        <f>LET(_xlpm.r,Productos!$E$2:$E$370,_xlpm.m,IFERROR(_xlfn.XMATCH(C712,_xlpm.r),IFERROR(_xlfn.XMATCH(VALUE(C712),_xlpm.r),0)),IF(_xlpm.m=0,"",_xlpm.m+1))</f>
        <v/>
      </c>
      <c r="J712" s="137" t="inlineStr">
        <is>
          <t>NetSuite</t>
        </is>
      </c>
    </row>
    <row r="713">
      <c r="A713" s="5" t="inlineStr">
        <is>
          <t>Web</t>
        </is>
      </c>
      <c r="B713" s="5">
        <f>IF($I2="","",INDEX(Productos!$A:$A,$I2))</f>
        <v/>
      </c>
      <c r="C713" s="134" t="inlineStr">
        <is>
          <t>CL/OP/TAG/1/LOG1-UNI</t>
        </is>
      </c>
      <c r="D713" s="5">
        <f>IF($I2="","",INDEX(Productos!$B:$B,$I2))</f>
        <v/>
      </c>
      <c r="E713" s="5">
        <f>IF($I2="","",INDEX(Productos!$H:$H,$I2))</f>
        <v/>
      </c>
      <c r="F713" s="5">
        <f>IF($I2="","",INDEX(Productos!$I:$I,$I2))</f>
        <v/>
      </c>
      <c r="G713" s="135" t="n">
        <v>1</v>
      </c>
      <c r="H713" s="5">
        <f>IF($I2="","",INDEX(Productos!$AG:$AG,$I2))</f>
        <v/>
      </c>
      <c r="I713" s="136">
        <f>LET(_xlpm.r,Productos!$E$2:$E$370,_xlpm.m,IFERROR(_xlfn.XMATCH(C713,_xlpm.r),IFERROR(_xlfn.XMATCH(VALUE(C713),_xlpm.r),0)),IF(_xlpm.m=0,"",_xlpm.m+1))</f>
        <v/>
      </c>
      <c r="J713" s="137" t="inlineStr">
        <is>
          <t>NetSuite</t>
        </is>
      </c>
    </row>
    <row r="714">
      <c r="A714" s="5" t="inlineStr">
        <is>
          <t>Web</t>
        </is>
      </c>
      <c r="B714" s="5">
        <f>IF($I2="","",INDEX(Productos!$A:$A,$I2))</f>
        <v/>
      </c>
      <c r="C714" s="134" t="inlineStr">
        <is>
          <t>CL/OP1/1/LUF1-UNI</t>
        </is>
      </c>
      <c r="D714" s="5">
        <f>IF($I2="","",INDEX(Productos!$B:$B,$I2))</f>
        <v/>
      </c>
      <c r="E714" s="5">
        <f>IF($I2="","",INDEX(Productos!$H:$H,$I2))</f>
        <v/>
      </c>
      <c r="F714" s="5">
        <f>IF($I2="","",INDEX(Productos!$I:$I,$I2))</f>
        <v/>
      </c>
      <c r="G714" s="135" t="n">
        <v>2</v>
      </c>
      <c r="H714" s="5">
        <f>IF($I2="","",INDEX(Productos!$AG:$AG,$I2))</f>
        <v/>
      </c>
      <c r="I714" s="136">
        <f>LET(_xlpm.r,Productos!$E$2:$E$370,_xlpm.m,IFERROR(_xlfn.XMATCH(C714,_xlpm.r),IFERROR(_xlfn.XMATCH(VALUE(C714),_xlpm.r),0)),IF(_xlpm.m=0,"",_xlpm.m+1))</f>
        <v/>
      </c>
      <c r="J714" s="137" t="inlineStr">
        <is>
          <t>NetSuite</t>
        </is>
      </c>
    </row>
    <row r="715">
      <c r="A715" s="5" t="inlineStr">
        <is>
          <t>Web</t>
        </is>
      </c>
      <c r="B715" s="5">
        <f>IF($I2="","",INDEX(Productos!$A:$A,$I2))</f>
        <v/>
      </c>
      <c r="C715" s="134" t="inlineStr">
        <is>
          <t>CL/OP1/1/LUF2-UNI</t>
        </is>
      </c>
      <c r="D715" s="5">
        <f>IF($I2="","",INDEX(Productos!$B:$B,$I2))</f>
        <v/>
      </c>
      <c r="E715" s="5">
        <f>IF($I2="","",INDEX(Productos!$H:$H,$I2))</f>
        <v/>
      </c>
      <c r="F715" s="5">
        <f>IF($I2="","",INDEX(Productos!$I:$I,$I2))</f>
        <v/>
      </c>
      <c r="G715" s="135" t="n">
        <v>1</v>
      </c>
      <c r="H715" s="5">
        <f>IF($I2="","",INDEX(Productos!$AG:$AG,$I2))</f>
        <v/>
      </c>
      <c r="I715" s="136">
        <f>LET(_xlpm.r,Productos!$E$2:$E$370,_xlpm.m,IFERROR(_xlfn.XMATCH(C715,_xlpm.r),IFERROR(_xlfn.XMATCH(VALUE(C715),_xlpm.r),0)),IF(_xlpm.m=0,"",_xlpm.m+1))</f>
        <v/>
      </c>
      <c r="J715" s="137" t="inlineStr">
        <is>
          <t>NetSuite</t>
        </is>
      </c>
    </row>
    <row r="716">
      <c r="A716" s="5" t="inlineStr">
        <is>
          <t>Web</t>
        </is>
      </c>
      <c r="B716" s="5">
        <f>IF($I2="","",INDEX(Productos!$A:$A,$I2))</f>
        <v/>
      </c>
      <c r="C716" s="134" t="inlineStr">
        <is>
          <t>CL/OP1/1/SKU1-UNI</t>
        </is>
      </c>
      <c r="D716" s="5">
        <f>IF($I2="","",INDEX(Productos!$B:$B,$I2))</f>
        <v/>
      </c>
      <c r="E716" s="5">
        <f>IF($I2="","",INDEX(Productos!$H:$H,$I2))</f>
        <v/>
      </c>
      <c r="F716" s="5">
        <f>IF($I2="","",INDEX(Productos!$I:$I,$I2))</f>
        <v/>
      </c>
      <c r="G716" s="135" t="n">
        <v>2</v>
      </c>
      <c r="H716" s="5">
        <f>IF($I2="","",INDEX(Productos!$AG:$AG,$I2))</f>
        <v/>
      </c>
      <c r="I716" s="136">
        <f>LET(_xlpm.r,Productos!$E$2:$E$370,_xlpm.m,IFERROR(_xlfn.XMATCH(C716,_xlpm.r),IFERROR(_xlfn.XMATCH(VALUE(C716),_xlpm.r),0)),IF(_xlpm.m=0,"",_xlpm.m+1))</f>
        <v/>
      </c>
      <c r="J716" s="137" t="inlineStr">
        <is>
          <t>NetSuite</t>
        </is>
      </c>
    </row>
    <row r="717">
      <c r="A717" s="5" t="inlineStr">
        <is>
          <t>Web</t>
        </is>
      </c>
      <c r="B717" s="5">
        <f>IF($I2="","",INDEX(Productos!$A:$A,$I2))</f>
        <v/>
      </c>
      <c r="C717" s="134" t="inlineStr">
        <is>
          <t>CL/OP1/1/SKU2-UNI</t>
        </is>
      </c>
      <c r="D717" s="5">
        <f>IF($I2="","",INDEX(Productos!$B:$B,$I2))</f>
        <v/>
      </c>
      <c r="E717" s="5">
        <f>IF($I2="","",INDEX(Productos!$H:$H,$I2))</f>
        <v/>
      </c>
      <c r="F717" s="5">
        <f>IF($I2="","",INDEX(Productos!$I:$I,$I2))</f>
        <v/>
      </c>
      <c r="G717" s="135" t="n">
        <v>2</v>
      </c>
      <c r="H717" s="5">
        <f>IF($I2="","",INDEX(Productos!$AG:$AG,$I2))</f>
        <v/>
      </c>
      <c r="I717" s="136">
        <f>LET(_xlpm.r,Productos!$E$2:$E$370,_xlpm.m,IFERROR(_xlfn.XMATCH(C717,_xlpm.r),IFERROR(_xlfn.XMATCH(VALUE(C717),_xlpm.r),0)),IF(_xlpm.m=0,"",_xlpm.m+1))</f>
        <v/>
      </c>
      <c r="J717" s="137" t="inlineStr">
        <is>
          <t>NetSuite</t>
        </is>
      </c>
    </row>
    <row r="718">
      <c r="A718" s="5" t="inlineStr">
        <is>
          <t>Web</t>
        </is>
      </c>
      <c r="B718" s="5">
        <f>IF($I2="","",INDEX(Productos!$A:$A,$I2))</f>
        <v/>
      </c>
      <c r="C718" s="134" t="inlineStr">
        <is>
          <t>CL/OP1/3/LUF1-UNIJR</t>
        </is>
      </c>
      <c r="D718" s="5">
        <f>IF($I2="","",INDEX(Productos!$B:$B,$I2))</f>
        <v/>
      </c>
      <c r="E718" s="5">
        <f>IF($I2="","",INDEX(Productos!$H:$H,$I2))</f>
        <v/>
      </c>
      <c r="F718" s="5">
        <f>IF($I2="","",INDEX(Productos!$I:$I,$I2))</f>
        <v/>
      </c>
      <c r="G718" s="135" t="n">
        <v>2</v>
      </c>
      <c r="H718" s="5">
        <f>IF($I2="","",INDEX(Productos!$AG:$AG,$I2))</f>
        <v/>
      </c>
      <c r="I718" s="136">
        <f>LET(_xlpm.r,Productos!$E$2:$E$370,_xlpm.m,IFERROR(_xlfn.XMATCH(C718,_xlpm.r),IFERROR(_xlfn.XMATCH(VALUE(C718),_xlpm.r),0)),IF(_xlpm.m=0,"",_xlpm.m+1))</f>
        <v/>
      </c>
      <c r="J718" s="137" t="inlineStr">
        <is>
          <t>NetSuite</t>
        </is>
      </c>
    </row>
    <row r="719">
      <c r="A719" s="5" t="inlineStr">
        <is>
          <t>Web</t>
        </is>
      </c>
      <c r="B719" s="5">
        <f>IF($I2="","",INDEX(Productos!$A:$A,$I2))</f>
        <v/>
      </c>
      <c r="C719" s="134" t="inlineStr">
        <is>
          <t>CL/OP1/3/SKU2-UNIJR</t>
        </is>
      </c>
      <c r="D719" s="5">
        <f>IF($I2="","",INDEX(Productos!$B:$B,$I2))</f>
        <v/>
      </c>
      <c r="E719" s="5">
        <f>IF($I2="","",INDEX(Productos!$H:$H,$I2))</f>
        <v/>
      </c>
      <c r="F719" s="5">
        <f>IF($I2="","",INDEX(Productos!$I:$I,$I2))</f>
        <v/>
      </c>
      <c r="G719" s="135" t="n">
        <v>2</v>
      </c>
      <c r="H719" s="5">
        <f>IF($I2="","",INDEX(Productos!$AG:$AG,$I2))</f>
        <v/>
      </c>
      <c r="I719" s="136">
        <f>LET(_xlpm.r,Productos!$E$2:$E$370,_xlpm.m,IFERROR(_xlfn.XMATCH(C719,_xlpm.r),IFERROR(_xlfn.XMATCH(VALUE(C719),_xlpm.r),0)),IF(_xlpm.m=0,"",_xlpm.m+1))</f>
        <v/>
      </c>
      <c r="J719" s="137" t="inlineStr">
        <is>
          <t>NetSuite</t>
        </is>
      </c>
    </row>
    <row r="720">
      <c r="A720" s="5" t="inlineStr">
        <is>
          <t>Web</t>
        </is>
      </c>
      <c r="B720" s="5">
        <f>IF($I2="","",INDEX(Productos!$A:$A,$I2))</f>
        <v/>
      </c>
      <c r="C720" s="134" t="inlineStr">
        <is>
          <t>CL/OP1/3/ZOR1-UNIJR</t>
        </is>
      </c>
      <c r="D720" s="5">
        <f>IF($I2="","",INDEX(Productos!$B:$B,$I2))</f>
        <v/>
      </c>
      <c r="E720" s="5">
        <f>IF($I2="","",INDEX(Productos!$H:$H,$I2))</f>
        <v/>
      </c>
      <c r="F720" s="5">
        <f>IF($I2="","",INDEX(Productos!$I:$I,$I2))</f>
        <v/>
      </c>
      <c r="G720" s="135" t="n">
        <v>2</v>
      </c>
      <c r="H720" s="5">
        <f>IF($I2="","",INDEX(Productos!$AG:$AG,$I2))</f>
        <v/>
      </c>
      <c r="I720" s="136">
        <f>LET(_xlpm.r,Productos!$E$2:$E$370,_xlpm.m,IFERROR(_xlfn.XMATCH(C720,_xlpm.r),IFERROR(_xlfn.XMATCH(VALUE(C720),_xlpm.r),0)),IF(_xlpm.m=0,"",_xlpm.m+1))</f>
        <v/>
      </c>
      <c r="J720" s="137" t="inlineStr">
        <is>
          <t>NetSuite</t>
        </is>
      </c>
    </row>
    <row r="721">
      <c r="A721" s="5" t="inlineStr">
        <is>
          <t>Web</t>
        </is>
      </c>
      <c r="B721" s="5">
        <f>IF($I2="","",INDEX(Productos!$A:$A,$I2))</f>
        <v/>
      </c>
      <c r="C721" s="134" t="inlineStr">
        <is>
          <t>CL/OP1/3/ZOR2-UNIJR</t>
        </is>
      </c>
      <c r="D721" s="5">
        <f>IF($I2="","",INDEX(Productos!$B:$B,$I2))</f>
        <v/>
      </c>
      <c r="E721" s="5">
        <f>IF($I2="","",INDEX(Productos!$H:$H,$I2))</f>
        <v/>
      </c>
      <c r="F721" s="5">
        <f>IF($I2="","",INDEX(Productos!$I:$I,$I2))</f>
        <v/>
      </c>
      <c r="G721" s="135" t="n">
        <v>2</v>
      </c>
      <c r="H721" s="5">
        <f>IF($I2="","",INDEX(Productos!$AG:$AG,$I2))</f>
        <v/>
      </c>
      <c r="I721" s="136">
        <f>LET(_xlpm.r,Productos!$E$2:$E$370,_xlpm.m,IFERROR(_xlfn.XMATCH(C721,_xlpm.r),IFERROR(_xlfn.XMATCH(VALUE(C721),_xlpm.r),0)),IF(_xlpm.m=0,"",_xlpm.m+1))</f>
        <v/>
      </c>
      <c r="J721" s="137" t="inlineStr">
        <is>
          <t>NetSuite</t>
        </is>
      </c>
    </row>
    <row r="722">
      <c r="A722" s="5" t="inlineStr">
        <is>
          <t>Web</t>
        </is>
      </c>
      <c r="B722" s="5">
        <f>IF($I2="","",INDEX(Productos!$A:$A,$I2))</f>
        <v/>
      </c>
      <c r="C722" s="134" t="inlineStr">
        <is>
          <t>CL/OP2/1/CAS/LUF1-UNI</t>
        </is>
      </c>
      <c r="D722" s="5">
        <f>IF($I2="","",INDEX(Productos!$B:$B,$I2))</f>
        <v/>
      </c>
      <c r="E722" s="5">
        <f>IF($I2="","",INDEX(Productos!$H:$H,$I2))</f>
        <v/>
      </c>
      <c r="F722" s="5">
        <f>IF($I2="","",INDEX(Productos!$I:$I,$I2))</f>
        <v/>
      </c>
      <c r="G722" s="135" t="n">
        <v>2</v>
      </c>
      <c r="H722" s="5">
        <f>IF($I2="","",INDEX(Productos!$AG:$AG,$I2))</f>
        <v/>
      </c>
      <c r="I722" s="136">
        <f>LET(_xlpm.r,Productos!$E$2:$E$370,_xlpm.m,IFERROR(_xlfn.XMATCH(C722,_xlpm.r),IFERROR(_xlfn.XMATCH(VALUE(C722),_xlpm.r),0)),IF(_xlpm.m=0,"",_xlpm.m+1))</f>
        <v/>
      </c>
      <c r="J722" s="137" t="inlineStr">
        <is>
          <t>NetSuite</t>
        </is>
      </c>
    </row>
    <row r="723">
      <c r="A723" s="5" t="inlineStr">
        <is>
          <t>Web</t>
        </is>
      </c>
      <c r="B723" s="5">
        <f>IF($I2="","",INDEX(Productos!$A:$A,$I2))</f>
        <v/>
      </c>
      <c r="C723" s="134" t="inlineStr">
        <is>
          <t>CL/OP2/1/CAS/LUF4-UNI</t>
        </is>
      </c>
      <c r="D723" s="5">
        <f>IF($I2="","",INDEX(Productos!$B:$B,$I2))</f>
        <v/>
      </c>
      <c r="E723" s="5">
        <f>IF($I2="","",INDEX(Productos!$H:$H,$I2))</f>
        <v/>
      </c>
      <c r="F723" s="5">
        <f>IF($I2="","",INDEX(Productos!$I:$I,$I2))</f>
        <v/>
      </c>
      <c r="G723" s="135" t="n">
        <v>2</v>
      </c>
      <c r="H723" s="5">
        <f>IF($I2="","",INDEX(Productos!$AG:$AG,$I2))</f>
        <v/>
      </c>
      <c r="I723" s="136">
        <f>LET(_xlpm.r,Productos!$E$2:$E$370,_xlpm.m,IFERROR(_xlfn.XMATCH(C723,_xlpm.r),IFERROR(_xlfn.XMATCH(VALUE(C723),_xlpm.r),0)),IF(_xlpm.m=0,"",_xlpm.m+1))</f>
        <v/>
      </c>
      <c r="J723" s="137" t="inlineStr">
        <is>
          <t>NetSuite</t>
        </is>
      </c>
    </row>
    <row r="724">
      <c r="A724" s="5" t="inlineStr">
        <is>
          <t>Web</t>
        </is>
      </c>
      <c r="B724" s="5">
        <f>IF($I2="","",INDEX(Productos!$A:$A,$I2))</f>
        <v/>
      </c>
      <c r="C724" s="134" t="inlineStr">
        <is>
          <t>CL/OP2/1/CAS/ONE1-UNI</t>
        </is>
      </c>
      <c r="D724" s="5">
        <f>IF($I2="","",INDEX(Productos!$B:$B,$I2))</f>
        <v/>
      </c>
      <c r="E724" s="5">
        <f>IF($I2="","",INDEX(Productos!$H:$H,$I2))</f>
        <v/>
      </c>
      <c r="F724" s="5">
        <f>IF($I2="","",INDEX(Productos!$I:$I,$I2))</f>
        <v/>
      </c>
      <c r="G724" s="135" t="n">
        <v>2</v>
      </c>
      <c r="H724" s="5">
        <f>IF($I2="","",INDEX(Productos!$AG:$AG,$I2))</f>
        <v/>
      </c>
      <c r="I724" s="136">
        <f>LET(_xlpm.r,Productos!$E$2:$E$370,_xlpm.m,IFERROR(_xlfn.XMATCH(C724,_xlpm.r),IFERROR(_xlfn.XMATCH(VALUE(C724),_xlpm.r),0)),IF(_xlpm.m=0,"",_xlpm.m+1))</f>
        <v/>
      </c>
      <c r="J724" s="137" t="inlineStr">
        <is>
          <t>NetSuite</t>
        </is>
      </c>
    </row>
    <row r="725">
      <c r="A725" s="5" t="inlineStr">
        <is>
          <t>Web</t>
        </is>
      </c>
      <c r="B725" s="5">
        <f>IF($I2="","",INDEX(Productos!$A:$A,$I2))</f>
        <v/>
      </c>
      <c r="C725" s="134" t="inlineStr">
        <is>
          <t>CL/OP2/1/CAS/ONE2-UNI</t>
        </is>
      </c>
      <c r="D725" s="5">
        <f>IF($I2="","",INDEX(Productos!$B:$B,$I2))</f>
        <v/>
      </c>
      <c r="E725" s="5">
        <f>IF($I2="","",INDEX(Productos!$H:$H,$I2))</f>
        <v/>
      </c>
      <c r="F725" s="5">
        <f>IF($I2="","",INDEX(Productos!$I:$I,$I2))</f>
        <v/>
      </c>
      <c r="G725" s="135" t="n">
        <v>3</v>
      </c>
      <c r="H725" s="5">
        <f>IF($I2="","",INDEX(Productos!$AG:$AG,$I2))</f>
        <v/>
      </c>
      <c r="I725" s="136">
        <f>LET(_xlpm.r,Productos!$E$2:$E$370,_xlpm.m,IFERROR(_xlfn.XMATCH(C725,_xlpm.r),IFERROR(_xlfn.XMATCH(VALUE(C725),_xlpm.r),0)),IF(_xlpm.m=0,"",_xlpm.m+1))</f>
        <v/>
      </c>
      <c r="J725" s="137" t="inlineStr">
        <is>
          <t>NetSuite</t>
        </is>
      </c>
    </row>
    <row r="726">
      <c r="A726" s="5" t="inlineStr">
        <is>
          <t>Web</t>
        </is>
      </c>
      <c r="B726" s="5">
        <f>IF($I2="","",INDEX(Productos!$A:$A,$I2))</f>
        <v/>
      </c>
      <c r="C726" s="134" t="inlineStr">
        <is>
          <t>CL/OP2/1/CAS/WAN1-UNI</t>
        </is>
      </c>
      <c r="D726" s="5">
        <f>IF($I2="","",INDEX(Productos!$B:$B,$I2))</f>
        <v/>
      </c>
      <c r="E726" s="5">
        <f>IF($I2="","",INDEX(Productos!$H:$H,$I2))</f>
        <v/>
      </c>
      <c r="F726" s="5">
        <f>IF($I2="","",INDEX(Productos!$I:$I,$I2))</f>
        <v/>
      </c>
      <c r="G726" s="135" t="n">
        <v>1</v>
      </c>
      <c r="H726" s="5">
        <f>IF($I2="","",INDEX(Productos!$AG:$AG,$I2))</f>
        <v/>
      </c>
      <c r="I726" s="136">
        <f>LET(_xlpm.r,Productos!$E$2:$E$370,_xlpm.m,IFERROR(_xlfn.XMATCH(C726,_xlpm.r),IFERROR(_xlfn.XMATCH(VALUE(C726),_xlpm.r),0)),IF(_xlpm.m=0,"",_xlpm.m+1))</f>
        <v/>
      </c>
      <c r="J726" s="137" t="inlineStr">
        <is>
          <t>NetSuite</t>
        </is>
      </c>
    </row>
    <row r="727">
      <c r="A727" s="5" t="inlineStr">
        <is>
          <t>Web</t>
        </is>
      </c>
      <c r="B727" s="5">
        <f>IF($I2="","",INDEX(Productos!$A:$A,$I2))</f>
        <v/>
      </c>
      <c r="C727" s="134" t="inlineStr">
        <is>
          <t>CL/OP2/1/CASX/LUF9-UNI</t>
        </is>
      </c>
      <c r="D727" s="5">
        <f>IF($I2="","",INDEX(Productos!$B:$B,$I2))</f>
        <v/>
      </c>
      <c r="E727" s="5">
        <f>IF($I2="","",INDEX(Productos!$H:$H,$I2))</f>
        <v/>
      </c>
      <c r="F727" s="5">
        <f>IF($I2="","",INDEX(Productos!$I:$I,$I2))</f>
        <v/>
      </c>
      <c r="G727" s="135" t="n">
        <v>2</v>
      </c>
      <c r="H727" s="5">
        <f>IF($I2="","",INDEX(Productos!$AG:$AG,$I2))</f>
        <v/>
      </c>
      <c r="I727" s="136">
        <f>LET(_xlpm.r,Productos!$E$2:$E$370,_xlpm.m,IFERROR(_xlfn.XMATCH(C727,_xlpm.r),IFERROR(_xlfn.XMATCH(VALUE(C727),_xlpm.r),0)),IF(_xlpm.m=0,"",_xlpm.m+1))</f>
        <v/>
      </c>
      <c r="J727" s="137" t="inlineStr">
        <is>
          <t>NetSuite</t>
        </is>
      </c>
    </row>
    <row r="728">
      <c r="A728" s="5" t="inlineStr">
        <is>
          <t>Web</t>
        </is>
      </c>
      <c r="B728" s="5">
        <f>IF($I2="","",INDEX(Productos!$A:$A,$I2))</f>
        <v/>
      </c>
      <c r="C728" s="134" t="inlineStr">
        <is>
          <t>CL/OP2/1/HAT/CHO2-L/XL</t>
        </is>
      </c>
      <c r="D728" s="5">
        <f>IF($I2="","",INDEX(Productos!$B:$B,$I2))</f>
        <v/>
      </c>
      <c r="E728" s="5">
        <f>IF($I2="","",INDEX(Productos!$H:$H,$I2))</f>
        <v/>
      </c>
      <c r="F728" s="5">
        <f>IF($I2="","",INDEX(Productos!$I:$I,$I2))</f>
        <v/>
      </c>
      <c r="G728" s="135" t="n">
        <v>2</v>
      </c>
      <c r="H728" s="5">
        <f>IF($I2="","",INDEX(Productos!$AG:$AG,$I2))</f>
        <v/>
      </c>
      <c r="I728" s="136">
        <f>LET(_xlpm.r,Productos!$E$2:$E$370,_xlpm.m,IFERROR(_xlfn.XMATCH(C728,_xlpm.r),IFERROR(_xlfn.XMATCH(VALUE(C728),_xlpm.r),0)),IF(_xlpm.m=0,"",_xlpm.m+1))</f>
        <v/>
      </c>
      <c r="J728" s="137" t="inlineStr">
        <is>
          <t>NetSuite</t>
        </is>
      </c>
    </row>
    <row r="729">
      <c r="A729" s="5" t="inlineStr">
        <is>
          <t>Web</t>
        </is>
      </c>
      <c r="B729" s="5">
        <f>IF($I2="","",INDEX(Productos!$A:$A,$I2))</f>
        <v/>
      </c>
      <c r="C729" s="134" t="inlineStr">
        <is>
          <t>CL/OP2/1/HAT/CHO2-S/M</t>
        </is>
      </c>
      <c r="D729" s="5">
        <f>IF($I2="","",INDEX(Productos!$B:$B,$I2))</f>
        <v/>
      </c>
      <c r="E729" s="5">
        <f>IF($I2="","",INDEX(Productos!$H:$H,$I2))</f>
        <v/>
      </c>
      <c r="F729" s="5">
        <f>IF($I2="","",INDEX(Productos!$I:$I,$I2))</f>
        <v/>
      </c>
      <c r="G729" s="135" t="n">
        <v>2</v>
      </c>
      <c r="H729" s="5">
        <f>IF($I2="","",INDEX(Productos!$AG:$AG,$I2))</f>
        <v/>
      </c>
      <c r="I729" s="136">
        <f>LET(_xlpm.r,Productos!$E$2:$E$370,_xlpm.m,IFERROR(_xlfn.XMATCH(C729,_xlpm.r),IFERROR(_xlfn.XMATCH(VALUE(C729),_xlpm.r),0)),IF(_xlpm.m=0,"",_xlpm.m+1))</f>
        <v/>
      </c>
      <c r="J729" s="137" t="inlineStr">
        <is>
          <t>NetSuite</t>
        </is>
      </c>
    </row>
    <row r="730">
      <c r="A730" s="5" t="inlineStr">
        <is>
          <t>Web</t>
        </is>
      </c>
      <c r="B730" s="5">
        <f>IF($I2="","",INDEX(Productos!$A:$A,$I2))</f>
        <v/>
      </c>
      <c r="C730" s="134" t="inlineStr">
        <is>
          <t>CL/OP2/1/HAT/ONE3-L/XL</t>
        </is>
      </c>
      <c r="D730" s="5">
        <f>IF($I2="","",INDEX(Productos!$B:$B,$I2))</f>
        <v/>
      </c>
      <c r="E730" s="5">
        <f>IF($I2="","",INDEX(Productos!$H:$H,$I2))</f>
        <v/>
      </c>
      <c r="F730" s="5">
        <f>IF($I2="","",INDEX(Productos!$I:$I,$I2))</f>
        <v/>
      </c>
      <c r="G730" s="135" t="n">
        <v>2</v>
      </c>
      <c r="H730" s="5">
        <f>IF($I2="","",INDEX(Productos!$AG:$AG,$I2))</f>
        <v/>
      </c>
      <c r="I730" s="136">
        <f>LET(_xlpm.r,Productos!$E$2:$E$370,_xlpm.m,IFERROR(_xlfn.XMATCH(C730,_xlpm.r),IFERROR(_xlfn.XMATCH(VALUE(C730),_xlpm.r),0)),IF(_xlpm.m=0,"",_xlpm.m+1))</f>
        <v/>
      </c>
      <c r="J730" s="137" t="inlineStr">
        <is>
          <t>NetSuite</t>
        </is>
      </c>
    </row>
    <row r="731">
      <c r="A731" s="5" t="inlineStr">
        <is>
          <t>Web</t>
        </is>
      </c>
      <c r="B731" s="5">
        <f>IF($I2="","",INDEX(Productos!$A:$A,$I2))</f>
        <v/>
      </c>
      <c r="C731" s="134" t="inlineStr">
        <is>
          <t>CL/OP2/1/HAT/ONE3-S/M</t>
        </is>
      </c>
      <c r="D731" s="5">
        <f>IF($I2="","",INDEX(Productos!$B:$B,$I2))</f>
        <v/>
      </c>
      <c r="E731" s="5">
        <f>IF($I2="","",INDEX(Productos!$H:$H,$I2))</f>
        <v/>
      </c>
      <c r="F731" s="5">
        <f>IF($I2="","",INDEX(Productos!$I:$I,$I2))</f>
        <v/>
      </c>
      <c r="G731" s="135" t="n">
        <v>2</v>
      </c>
      <c r="H731" s="5">
        <f>IF($I2="","",INDEX(Productos!$AG:$AG,$I2))</f>
        <v/>
      </c>
      <c r="I731" s="136">
        <f>LET(_xlpm.r,Productos!$E$2:$E$370,_xlpm.m,IFERROR(_xlfn.XMATCH(C731,_xlpm.r),IFERROR(_xlfn.XMATCH(VALUE(C731),_xlpm.r),0)),IF(_xlpm.m=0,"",_xlpm.m+1))</f>
        <v/>
      </c>
      <c r="J731" s="137" t="inlineStr">
        <is>
          <t>NetSuite</t>
        </is>
      </c>
    </row>
    <row r="732">
      <c r="A732" s="5" t="inlineStr">
        <is>
          <t>Web</t>
        </is>
      </c>
      <c r="B732" s="5">
        <f>IF($I2="","",INDEX(Productos!$A:$A,$I2))</f>
        <v/>
      </c>
      <c r="C732" s="134" t="inlineStr">
        <is>
          <t>CL/OP3/1/CD/SKU-UNI</t>
        </is>
      </c>
      <c r="D732" s="5">
        <f>IF($I2="","",INDEX(Productos!$B:$B,$I2))</f>
        <v/>
      </c>
      <c r="E732" s="5">
        <f>IF($I2="","",INDEX(Productos!$H:$H,$I2))</f>
        <v/>
      </c>
      <c r="F732" s="5">
        <f>IF($I2="","",INDEX(Productos!$I:$I,$I2))</f>
        <v/>
      </c>
      <c r="G732" s="135" t="n">
        <v>2</v>
      </c>
      <c r="H732" s="5">
        <f>IF($I2="","",INDEX(Productos!$AG:$AG,$I2))</f>
        <v/>
      </c>
      <c r="I732" s="136">
        <f>LET(_xlpm.r,Productos!$E$2:$E$370,_xlpm.m,IFERROR(_xlfn.XMATCH(C732,_xlpm.r),IFERROR(_xlfn.XMATCH(VALUE(C732),_xlpm.r),0)),IF(_xlpm.m=0,"",_xlpm.m+1))</f>
        <v/>
      </c>
      <c r="J732" s="137" t="inlineStr">
        <is>
          <t>NetSuite</t>
        </is>
      </c>
    </row>
    <row r="733">
      <c r="A733" s="5" t="inlineStr">
        <is>
          <t>Web</t>
        </is>
      </c>
      <c r="B733" s="5">
        <f>IF($I2="","",INDEX(Productos!$A:$A,$I2))</f>
        <v/>
      </c>
      <c r="C733" s="134" t="inlineStr">
        <is>
          <t>CL/OP3/1/CT/LUF1-UNI</t>
        </is>
      </c>
      <c r="D733" s="5">
        <f>IF($I2="","",INDEX(Productos!$B:$B,$I2))</f>
        <v/>
      </c>
      <c r="E733" s="5">
        <f>IF($I2="","",INDEX(Productos!$H:$H,$I2))</f>
        <v/>
      </c>
      <c r="F733" s="5">
        <f>IF($I2="","",INDEX(Productos!$I:$I,$I2))</f>
        <v/>
      </c>
      <c r="G733" s="135" t="n">
        <v>2</v>
      </c>
      <c r="H733" s="5">
        <f>IF($I2="","",INDEX(Productos!$AG:$AG,$I2))</f>
        <v/>
      </c>
      <c r="I733" s="136">
        <f>LET(_xlpm.r,Productos!$E$2:$E$370,_xlpm.m,IFERROR(_xlfn.XMATCH(C733,_xlpm.r),IFERROR(_xlfn.XMATCH(VALUE(C733),_xlpm.r),0)),IF(_xlpm.m=0,"",_xlpm.m+1))</f>
        <v/>
      </c>
      <c r="J733" s="137" t="inlineStr">
        <is>
          <t>NetSuite</t>
        </is>
      </c>
    </row>
    <row r="734">
      <c r="A734" s="5" t="inlineStr">
        <is>
          <t>Web</t>
        </is>
      </c>
      <c r="B734" s="5">
        <f>IF($I2="","",INDEX(Productos!$A:$A,$I2))</f>
        <v/>
      </c>
      <c r="C734" s="134" t="inlineStr">
        <is>
          <t>CL/OP3/1/CT/MON1-UNI</t>
        </is>
      </c>
      <c r="D734" s="5">
        <f>IF($I2="","",INDEX(Productos!$B:$B,$I2))</f>
        <v/>
      </c>
      <c r="E734" s="5">
        <f>IF($I2="","",INDEX(Productos!$H:$H,$I2))</f>
        <v/>
      </c>
      <c r="F734" s="5">
        <f>IF($I2="","",INDEX(Productos!$I:$I,$I2))</f>
        <v/>
      </c>
      <c r="G734" s="135" t="n">
        <v>2</v>
      </c>
      <c r="H734" s="5">
        <f>IF($I2="","",INDEX(Productos!$AG:$AG,$I2))</f>
        <v/>
      </c>
      <c r="I734" s="136">
        <f>LET(_xlpm.r,Productos!$E$2:$E$370,_xlpm.m,IFERROR(_xlfn.XMATCH(C734,_xlpm.r),IFERROR(_xlfn.XMATCH(VALUE(C734),_xlpm.r),0)),IF(_xlpm.m=0,"",_xlpm.m+1))</f>
        <v/>
      </c>
      <c r="J734" s="137" t="inlineStr">
        <is>
          <t>NetSuite</t>
        </is>
      </c>
    </row>
    <row r="735">
      <c r="A735" s="5" t="inlineStr">
        <is>
          <t>Web</t>
        </is>
      </c>
      <c r="B735" s="5">
        <f>IF($I2="","",INDEX(Productos!$A:$A,$I2))</f>
        <v/>
      </c>
      <c r="C735" s="134" t="inlineStr">
        <is>
          <t>CL/OP3/1/CT/ZOR1-UNI</t>
        </is>
      </c>
      <c r="D735" s="5">
        <f>IF($I2="","",INDEX(Productos!$B:$B,$I2))</f>
        <v/>
      </c>
      <c r="E735" s="5">
        <f>IF($I2="","",INDEX(Productos!$H:$H,$I2))</f>
        <v/>
      </c>
      <c r="F735" s="5">
        <f>IF($I2="","",INDEX(Productos!$I:$I,$I2))</f>
        <v/>
      </c>
      <c r="G735" s="135" t="n">
        <v>1</v>
      </c>
      <c r="H735" s="5">
        <f>IF($I2="","",INDEX(Productos!$AG:$AG,$I2))</f>
        <v/>
      </c>
      <c r="I735" s="136">
        <f>LET(_xlpm.r,Productos!$E$2:$E$370,_xlpm.m,IFERROR(_xlfn.XMATCH(C735,_xlpm.r),IFERROR(_xlfn.XMATCH(VALUE(C735),_xlpm.r),0)),IF(_xlpm.m=0,"",_xlpm.m+1))</f>
        <v/>
      </c>
      <c r="J735" s="137" t="inlineStr">
        <is>
          <t>NetSuite</t>
        </is>
      </c>
    </row>
    <row r="736">
      <c r="A736" s="5" t="inlineStr">
        <is>
          <t>Web</t>
        </is>
      </c>
      <c r="B736" s="5">
        <f>IF($I2="","",INDEX(Productos!$A:$A,$I2))</f>
        <v/>
      </c>
      <c r="C736" s="134" t="inlineStr">
        <is>
          <t>CL/REM/1/LOO1-UNI</t>
        </is>
      </c>
      <c r="D736" s="5">
        <f>IF($I2="","",INDEX(Productos!$B:$B,$I2))</f>
        <v/>
      </c>
      <c r="E736" s="5">
        <f>IF($I2="","",INDEX(Productos!$H:$H,$I2))</f>
        <v/>
      </c>
      <c r="F736" s="5">
        <f>IF($I2="","",INDEX(Productos!$I:$I,$I2))</f>
        <v/>
      </c>
      <c r="G736" s="135" t="n">
        <v>2</v>
      </c>
      <c r="H736" s="5">
        <f>IF($I2="","",INDEX(Productos!$AG:$AG,$I2))</f>
        <v/>
      </c>
      <c r="I736" s="136">
        <f>LET(_xlpm.r,Productos!$E$2:$E$370,_xlpm.m,IFERROR(_xlfn.XMATCH(C736,_xlpm.r),IFERROR(_xlfn.XMATCH(VALUE(C736),_xlpm.r),0)),IF(_xlpm.m=0,"",_xlpm.m+1))</f>
        <v/>
      </c>
      <c r="J736" s="137" t="inlineStr">
        <is>
          <t>NetSuite</t>
        </is>
      </c>
    </row>
    <row r="737">
      <c r="A737" s="5" t="inlineStr">
        <is>
          <t>Web</t>
        </is>
      </c>
      <c r="B737" s="5">
        <f>IF($I2="","",INDEX(Productos!$A:$A,$I2))</f>
        <v/>
      </c>
      <c r="C737" s="134" t="inlineStr">
        <is>
          <t>CL/REM/1/LOO3-UNI</t>
        </is>
      </c>
      <c r="D737" s="5">
        <f>IF($I2="","",INDEX(Productos!$B:$B,$I2))</f>
        <v/>
      </c>
      <c r="E737" s="5">
        <f>IF($I2="","",INDEX(Productos!$H:$H,$I2))</f>
        <v/>
      </c>
      <c r="F737" s="5">
        <f>IF($I2="","",INDEX(Productos!$I:$I,$I2))</f>
        <v/>
      </c>
      <c r="G737" s="135" t="n">
        <v>2</v>
      </c>
      <c r="H737" s="5">
        <f>IF($I2="","",INDEX(Productos!$AG:$AG,$I2))</f>
        <v/>
      </c>
      <c r="I737" s="136">
        <f>LET(_xlpm.r,Productos!$E$2:$E$370,_xlpm.m,IFERROR(_xlfn.XMATCH(C737,_xlpm.r),IFERROR(_xlfn.XMATCH(VALUE(C737),_xlpm.r),0)),IF(_xlpm.m=0,"",_xlpm.m+1))</f>
        <v/>
      </c>
      <c r="J737" s="137" t="inlineStr">
        <is>
          <t>NetSuite</t>
        </is>
      </c>
    </row>
    <row r="738">
      <c r="A738" s="5" t="inlineStr">
        <is>
          <t>Web</t>
        </is>
      </c>
      <c r="B738" s="5">
        <f>IF($I2="","",INDEX(Productos!$A:$A,$I2))</f>
        <v/>
      </c>
      <c r="C738" s="134" t="inlineStr">
        <is>
          <t>CL/REM4/1/CD/HEA-UNI</t>
        </is>
      </c>
      <c r="D738" s="5">
        <f>IF($I2="","",INDEX(Productos!$B:$B,$I2))</f>
        <v/>
      </c>
      <c r="E738" s="5">
        <f>IF($I2="","",INDEX(Productos!$H:$H,$I2))</f>
        <v/>
      </c>
      <c r="F738" s="5">
        <f>IF($I2="","",INDEX(Productos!$I:$I,$I2))</f>
        <v/>
      </c>
      <c r="G738" s="135" t="n">
        <v>1</v>
      </c>
      <c r="H738" s="5">
        <f>IF($I2="","",INDEX(Productos!$AG:$AG,$I2))</f>
        <v/>
      </c>
      <c r="I738" s="136">
        <f>LET(_xlpm.r,Productos!$E$2:$E$370,_xlpm.m,IFERROR(_xlfn.XMATCH(C738,_xlpm.r),IFERROR(_xlfn.XMATCH(VALUE(C738),_xlpm.r),0)),IF(_xlpm.m=0,"",_xlpm.m+1))</f>
        <v/>
      </c>
      <c r="J738" s="137" t="inlineStr">
        <is>
          <t>NetSuite</t>
        </is>
      </c>
    </row>
    <row r="739">
      <c r="A739" s="5" t="inlineStr">
        <is>
          <t>Web</t>
        </is>
      </c>
      <c r="B739" s="5">
        <f>IF($I2="","",INDEX(Productos!$A:$A,$I2))</f>
        <v/>
      </c>
      <c r="C739" s="134" t="inlineStr">
        <is>
          <t>CL/REM4/1/CT/GLA-UNI</t>
        </is>
      </c>
      <c r="D739" s="5">
        <f>IF($I2="","",INDEX(Productos!$B:$B,$I2))</f>
        <v/>
      </c>
      <c r="E739" s="5">
        <f>IF($I2="","",INDEX(Productos!$H:$H,$I2))</f>
        <v/>
      </c>
      <c r="F739" s="5">
        <f>IF($I2="","",INDEX(Productos!$I:$I,$I2))</f>
        <v/>
      </c>
      <c r="G739" s="135" t="n">
        <v>1</v>
      </c>
      <c r="H739" s="5">
        <f>IF($I2="","",INDEX(Productos!$AG:$AG,$I2))</f>
        <v/>
      </c>
      <c r="I739" s="136">
        <f>LET(_xlpm.r,Productos!$E$2:$E$370,_xlpm.m,IFERROR(_xlfn.XMATCH(C739,_xlpm.r),IFERROR(_xlfn.XMATCH(VALUE(C739),_xlpm.r),0)),IF(_xlpm.m=0,"",_xlpm.m+1))</f>
        <v/>
      </c>
      <c r="J739" s="137" t="inlineStr">
        <is>
          <t>NetSuite</t>
        </is>
      </c>
    </row>
    <row r="740">
      <c r="A740" s="5" t="inlineStr">
        <is>
          <t>Web</t>
        </is>
      </c>
      <c r="B740" s="5">
        <f>IF($I2="","",INDEX(Productos!$A:$A,$I2))</f>
        <v/>
      </c>
      <c r="C740" s="134" t="inlineStr">
        <is>
          <t>CL/REM4/1/CT/OPE-UNI</t>
        </is>
      </c>
      <c r="D740" s="5">
        <f>IF($I2="","",INDEX(Productos!$B:$B,$I2))</f>
        <v/>
      </c>
      <c r="E740" s="5">
        <f>IF($I2="","",INDEX(Productos!$H:$H,$I2))</f>
        <v/>
      </c>
      <c r="F740" s="5">
        <f>IF($I2="","",INDEX(Productos!$I:$I,$I2))</f>
        <v/>
      </c>
      <c r="G740" s="135" t="n">
        <v>1</v>
      </c>
      <c r="H740" s="5">
        <f>IF($I2="","",INDEX(Productos!$AG:$AG,$I2))</f>
        <v/>
      </c>
      <c r="I740" s="136">
        <f>LET(_xlpm.r,Productos!$E$2:$E$370,_xlpm.m,IFERROR(_xlfn.XMATCH(C740,_xlpm.r),IFERROR(_xlfn.XMATCH(VALUE(C740),_xlpm.r),0)),IF(_xlpm.m=0,"",_xlpm.m+1))</f>
        <v/>
      </c>
      <c r="J740" s="137" t="inlineStr">
        <is>
          <t>NetSuite</t>
        </is>
      </c>
    </row>
    <row r="741">
      <c r="A741" s="5" t="inlineStr">
        <is>
          <t>Web</t>
        </is>
      </c>
      <c r="B741" s="5">
        <f>IF($I2="","",INDEX(Productos!$A:$A,$I2))</f>
        <v/>
      </c>
      <c r="C741" s="134" t="inlineStr">
        <is>
          <t>CL/SD1/1/REL-uNI</t>
        </is>
      </c>
      <c r="D741" s="5">
        <f>IF($I2="","",INDEX(Productos!$B:$B,$I2))</f>
        <v/>
      </c>
      <c r="E741" s="5">
        <f>IF($I2="","",INDEX(Productos!$H:$H,$I2))</f>
        <v/>
      </c>
      <c r="F741" s="5">
        <f>IF($I2="","",INDEX(Productos!$I:$I,$I2))</f>
        <v/>
      </c>
      <c r="G741" s="135" t="n">
        <v>5</v>
      </c>
      <c r="H741" s="5">
        <f>IF($I2="","",INDEX(Productos!$AG:$AG,$I2))</f>
        <v/>
      </c>
      <c r="I741" s="136">
        <f>LET(_xlpm.r,Productos!$E$2:$E$370,_xlpm.m,IFERROR(_xlfn.XMATCH(C741,_xlpm.r),IFERROR(_xlfn.XMATCH(VALUE(C741),_xlpm.r),0)),IF(_xlpm.m=0,"",_xlpm.m+1))</f>
        <v/>
      </c>
      <c r="J741" s="137" t="inlineStr">
        <is>
          <t>NetSuite</t>
        </is>
      </c>
    </row>
    <row r="742">
      <c r="A742" s="5" t="inlineStr">
        <is>
          <t>Web</t>
        </is>
      </c>
      <c r="B742" s="5">
        <f>IF($I2="","",INDEX(Productos!$A:$A,$I2))</f>
        <v/>
      </c>
      <c r="C742" s="134" t="inlineStr">
        <is>
          <t>CL/SD1/1/REL2-UNI</t>
        </is>
      </c>
      <c r="D742" s="5">
        <f>IF($I2="","",INDEX(Productos!$B:$B,$I2))</f>
        <v/>
      </c>
      <c r="E742" s="5">
        <f>IF($I2="","",INDEX(Productos!$H:$H,$I2))</f>
        <v/>
      </c>
      <c r="F742" s="5">
        <f>IF($I2="","",INDEX(Productos!$I:$I,$I2))</f>
        <v/>
      </c>
      <c r="G742" s="135" t="n">
        <v>2</v>
      </c>
      <c r="H742" s="5">
        <f>IF($I2="","",INDEX(Productos!$AG:$AG,$I2))</f>
        <v/>
      </c>
      <c r="I742" s="136">
        <f>LET(_xlpm.r,Productos!$E$2:$E$370,_xlpm.m,IFERROR(_xlfn.XMATCH(C742,_xlpm.r),IFERROR(_xlfn.XMATCH(VALUE(C742),_xlpm.r),0)),IF(_xlpm.m=0,"",_xlpm.m+1))</f>
        <v/>
      </c>
      <c r="J742" s="137" t="inlineStr">
        <is>
          <t>NetSuite</t>
        </is>
      </c>
    </row>
    <row r="743">
      <c r="A743" s="5" t="inlineStr">
        <is>
          <t>Web</t>
        </is>
      </c>
      <c r="B743" s="5">
        <f>IF($I2="","",INDEX(Productos!$A:$A,$I2))</f>
        <v/>
      </c>
      <c r="C743" s="134" t="inlineStr">
        <is>
          <t>CL/SD1/1/STU-UNI</t>
        </is>
      </c>
      <c r="D743" s="5">
        <f>IF($I2="","",INDEX(Productos!$B:$B,$I2))</f>
        <v/>
      </c>
      <c r="E743" s="5">
        <f>IF($I2="","",INDEX(Productos!$H:$H,$I2))</f>
        <v/>
      </c>
      <c r="F743" s="5">
        <f>IF($I2="","",INDEX(Productos!$I:$I,$I2))</f>
        <v/>
      </c>
      <c r="G743" s="135" t="n">
        <v>4</v>
      </c>
      <c r="H743" s="5">
        <f>IF($I2="","",INDEX(Productos!$AG:$AG,$I2))</f>
        <v/>
      </c>
      <c r="I743" s="136">
        <f>LET(_xlpm.r,Productos!$E$2:$E$370,_xlpm.m,IFERROR(_xlfn.XMATCH(C743,_xlpm.r),IFERROR(_xlfn.XMATCH(VALUE(C743),_xlpm.r),0)),IF(_xlpm.m=0,"",_xlpm.m+1))</f>
        <v/>
      </c>
      <c r="J743" s="137" t="inlineStr">
        <is>
          <t>NetSuite</t>
        </is>
      </c>
    </row>
    <row r="744">
      <c r="A744" s="5" t="inlineStr">
        <is>
          <t>Web</t>
        </is>
      </c>
      <c r="B744" s="5">
        <f>IF($I2="","",INDEX(Productos!$A:$A,$I2))</f>
        <v/>
      </c>
      <c r="C744" s="134" t="inlineStr">
        <is>
          <t>CL/TAJ1/1/CAS/TO4-UNI</t>
        </is>
      </c>
      <c r="D744" s="5">
        <f>IF($I2="","",INDEX(Productos!$B:$B,$I2))</f>
        <v/>
      </c>
      <c r="E744" s="5">
        <f>IF($I2="","",INDEX(Productos!$H:$H,$I2))</f>
        <v/>
      </c>
      <c r="F744" s="5">
        <f>IF($I2="","",INDEX(Productos!$I:$I,$I2))</f>
        <v/>
      </c>
      <c r="G744" s="135" t="n">
        <v>2</v>
      </c>
      <c r="H744" s="5">
        <f>IF($I2="","",INDEX(Productos!$AG:$AG,$I2))</f>
        <v/>
      </c>
      <c r="I744" s="136">
        <f>LET(_xlpm.r,Productos!$E$2:$E$370,_xlpm.m,IFERROR(_xlfn.XMATCH(C744,_xlpm.r),IFERROR(_xlfn.XMATCH(VALUE(C744),_xlpm.r),0)),IF(_xlpm.m=0,"",_xlpm.m+1))</f>
        <v/>
      </c>
      <c r="J744" s="137" t="inlineStr">
        <is>
          <t>NetSuite</t>
        </is>
      </c>
    </row>
    <row r="745">
      <c r="A745" s="5" t="inlineStr">
        <is>
          <t>Web</t>
        </is>
      </c>
      <c r="B745" s="5">
        <f>IF($I2="","",INDEX(Productos!$A:$A,$I2))</f>
        <v/>
      </c>
      <c r="C745" s="134" t="inlineStr">
        <is>
          <t>CL/TAJ1/1/CASB/TJ4-UNI</t>
        </is>
      </c>
      <c r="D745" s="5">
        <f>IF($I2="","",INDEX(Productos!$B:$B,$I2))</f>
        <v/>
      </c>
      <c r="E745" s="5">
        <f>IF($I2="","",INDEX(Productos!$H:$H,$I2))</f>
        <v/>
      </c>
      <c r="F745" s="5">
        <f>IF($I2="","",INDEX(Productos!$I:$I,$I2))</f>
        <v/>
      </c>
      <c r="G745" s="135" t="n">
        <v>1</v>
      </c>
      <c r="H745" s="5">
        <f>IF($I2="","",INDEX(Productos!$AG:$AG,$I2))</f>
        <v/>
      </c>
      <c r="I745" s="136">
        <f>LET(_xlpm.r,Productos!$E$2:$E$370,_xlpm.m,IFERROR(_xlfn.XMATCH(C745,_xlpm.r),IFERROR(_xlfn.XMATCH(VALUE(C745),_xlpm.r),0)),IF(_xlpm.m=0,"",_xlpm.m+1))</f>
        <v/>
      </c>
      <c r="J745" s="137" t="inlineStr">
        <is>
          <t>NetSuite</t>
        </is>
      </c>
    </row>
    <row r="746">
      <c r="A746" s="5" t="inlineStr">
        <is>
          <t>Web</t>
        </is>
      </c>
      <c r="B746" s="5">
        <f>IF($I2="","",INDEX(Productos!$A:$A,$I2))</f>
        <v/>
      </c>
      <c r="C746" s="134" t="inlineStr">
        <is>
          <t>CL/TAJ1/1/JER1-UNI</t>
        </is>
      </c>
      <c r="D746" s="5">
        <f>IF($I2="","",INDEX(Productos!$B:$B,$I2))</f>
        <v/>
      </c>
      <c r="E746" s="5">
        <f>IF($I2="","",INDEX(Productos!$H:$H,$I2))</f>
        <v/>
      </c>
      <c r="F746" s="5">
        <f>IF($I2="","",INDEX(Productos!$I:$I,$I2))</f>
        <v/>
      </c>
      <c r="G746" s="135" t="n">
        <v>2</v>
      </c>
      <c r="H746" s="5">
        <f>IF($I2="","",INDEX(Productos!$AG:$AG,$I2))</f>
        <v/>
      </c>
      <c r="I746" s="136">
        <f>LET(_xlpm.r,Productos!$E$2:$E$370,_xlpm.m,IFERROR(_xlfn.XMATCH(C746,_xlpm.r),IFERROR(_xlfn.XMATCH(VALUE(C746),_xlpm.r),0)),IF(_xlpm.m=0,"",_xlpm.m+1))</f>
        <v/>
      </c>
      <c r="J746" s="137" t="inlineStr">
        <is>
          <t>NetSuite</t>
        </is>
      </c>
    </row>
    <row r="747">
      <c r="A747" s="5" t="inlineStr">
        <is>
          <t>Web</t>
        </is>
      </c>
      <c r="B747" s="5">
        <f>IF($I2="","",INDEX(Productos!$A:$A,$I2))</f>
        <v/>
      </c>
      <c r="C747" s="134" t="inlineStr">
        <is>
          <t>CL/TAJ1/1/JER2-UNI</t>
        </is>
      </c>
      <c r="D747" s="5">
        <f>IF($I2="","",INDEX(Productos!$B:$B,$I2))</f>
        <v/>
      </c>
      <c r="E747" s="5">
        <f>IF($I2="","",INDEX(Productos!$H:$H,$I2))</f>
        <v/>
      </c>
      <c r="F747" s="5">
        <f>IF($I2="","",INDEX(Productos!$I:$I,$I2))</f>
        <v/>
      </c>
      <c r="G747" s="135" t="n">
        <v>1</v>
      </c>
      <c r="H747" s="5">
        <f>IF($I2="","",INDEX(Productos!$AG:$AG,$I2))</f>
        <v/>
      </c>
      <c r="I747" s="136">
        <f>LET(_xlpm.r,Productos!$E$2:$E$370,_xlpm.m,IFERROR(_xlfn.XMATCH(C747,_xlpm.r),IFERROR(_xlfn.XMATCH(VALUE(C747),_xlpm.r),0)),IF(_xlpm.m=0,"",_xlpm.m+1))</f>
        <v/>
      </c>
      <c r="J747" s="137" t="inlineStr">
        <is>
          <t>NetSuite</t>
        </is>
      </c>
    </row>
    <row r="748">
      <c r="A748" s="5" t="inlineStr">
        <is>
          <t>Web</t>
        </is>
      </c>
      <c r="B748" s="5">
        <f>IF($I2="","",INDEX(Productos!$A:$A,$I2))</f>
        <v/>
      </c>
      <c r="C748" s="134" t="inlineStr">
        <is>
          <t>CL/TAJ4/1/CD/CAT-UNI</t>
        </is>
      </c>
      <c r="D748" s="5">
        <f>IF($I2="","",INDEX(Productos!$B:$B,$I2))</f>
        <v/>
      </c>
      <c r="E748" s="5">
        <f>IF($I2="","",INDEX(Productos!$H:$H,$I2))</f>
        <v/>
      </c>
      <c r="F748" s="5">
        <f>IF($I2="","",INDEX(Productos!$I:$I,$I2))</f>
        <v/>
      </c>
      <c r="G748" s="135" t="n">
        <v>2</v>
      </c>
      <c r="H748" s="5">
        <f>IF($I2="","",INDEX(Productos!$AG:$AG,$I2))</f>
        <v/>
      </c>
      <c r="I748" s="136">
        <f>LET(_xlpm.r,Productos!$E$2:$E$370,_xlpm.m,IFERROR(_xlfn.XMATCH(C748,_xlpm.r),IFERROR(_xlfn.XMATCH(VALUE(C748),_xlpm.r),0)),IF(_xlpm.m=0,"",_xlpm.m+1))</f>
        <v/>
      </c>
      <c r="J748" s="137" t="inlineStr">
        <is>
          <t>NetSuite</t>
        </is>
      </c>
    </row>
    <row r="749">
      <c r="A749" s="5" t="inlineStr">
        <is>
          <t>Web</t>
        </is>
      </c>
      <c r="B749" s="5">
        <f>IF($I2="","",INDEX(Productos!$A:$A,$I2))</f>
        <v/>
      </c>
      <c r="C749" s="134" t="inlineStr">
        <is>
          <t>CL/TAJ4/1/CD/MOU-UNI</t>
        </is>
      </c>
      <c r="D749" s="5">
        <f>IF($I2="","",INDEX(Productos!$B:$B,$I2))</f>
        <v/>
      </c>
      <c r="E749" s="5">
        <f>IF($I2="","",INDEX(Productos!$H:$H,$I2))</f>
        <v/>
      </c>
      <c r="F749" s="5">
        <f>IF($I2="","",INDEX(Productos!$I:$I,$I2))</f>
        <v/>
      </c>
      <c r="G749" s="135" t="n">
        <v>1</v>
      </c>
      <c r="H749" s="5">
        <f>IF($I2="","",INDEX(Productos!$AG:$AG,$I2))</f>
        <v/>
      </c>
      <c r="I749" s="136">
        <f>LET(_xlpm.r,Productos!$E$2:$E$370,_xlpm.m,IFERROR(_xlfn.XMATCH(C749,_xlpm.r),IFERROR(_xlfn.XMATCH(VALUE(C749),_xlpm.r),0)),IF(_xlpm.m=0,"",_xlpm.m+1))</f>
        <v/>
      </c>
      <c r="J749" s="137" t="inlineStr">
        <is>
          <t>NetSuite</t>
        </is>
      </c>
    </row>
    <row r="750">
      <c r="A750" s="5" t="inlineStr">
        <is>
          <t>Web</t>
        </is>
      </c>
      <c r="B750" s="5">
        <f>IF($I2="","",INDEX(Productos!$A:$A,$I2))</f>
        <v/>
      </c>
      <c r="C750" s="134" t="inlineStr">
        <is>
          <t>CL/TAJ4/1/CT/CHE-UNI</t>
        </is>
      </c>
      <c r="D750" s="5">
        <f>IF($I2="","",INDEX(Productos!$B:$B,$I2))</f>
        <v/>
      </c>
      <c r="E750" s="5">
        <f>IF($I2="","",INDEX(Productos!$H:$H,$I2))</f>
        <v/>
      </c>
      <c r="F750" s="5">
        <f>IF($I2="","",INDEX(Productos!$I:$I,$I2))</f>
        <v/>
      </c>
      <c r="G750" s="135" t="n">
        <v>2</v>
      </c>
      <c r="H750" s="5">
        <f>IF($I2="","",INDEX(Productos!$AG:$AG,$I2))</f>
        <v/>
      </c>
      <c r="I750" s="136">
        <f>LET(_xlpm.r,Productos!$E$2:$E$370,_xlpm.m,IFERROR(_xlfn.XMATCH(C750,_xlpm.r),IFERROR(_xlfn.XMATCH(VALUE(C750),_xlpm.r),0)),IF(_xlpm.m=0,"",_xlpm.m+1))</f>
        <v/>
      </c>
      <c r="J750" s="137" t="inlineStr">
        <is>
          <t>NetSuite</t>
        </is>
      </c>
    </row>
    <row r="751">
      <c r="A751" s="5" t="inlineStr">
        <is>
          <t>Web</t>
        </is>
      </c>
      <c r="B751" s="5">
        <f>IF($I2="","",INDEX(Productos!$A:$A,$I2))</f>
        <v/>
      </c>
      <c r="C751" s="134" t="inlineStr">
        <is>
          <t>CL/TAJ4/1/CT/GAT-UNI</t>
        </is>
      </c>
      <c r="D751" s="5">
        <f>IF($I2="","",INDEX(Productos!$B:$B,$I2))</f>
        <v/>
      </c>
      <c r="E751" s="5">
        <f>IF($I2="","",INDEX(Productos!$H:$H,$I2))</f>
        <v/>
      </c>
      <c r="F751" s="5">
        <f>IF($I2="","",INDEX(Productos!$I:$I,$I2))</f>
        <v/>
      </c>
      <c r="G751" s="135" t="n">
        <v>1</v>
      </c>
      <c r="H751" s="5">
        <f>IF($I2="","",INDEX(Productos!$AG:$AG,$I2))</f>
        <v/>
      </c>
      <c r="I751" s="136">
        <f>LET(_xlpm.r,Productos!$E$2:$E$370,_xlpm.m,IFERROR(_xlfn.XMATCH(C751,_xlpm.r),IFERROR(_xlfn.XMATCH(VALUE(C751),_xlpm.r),0)),IF(_xlpm.m=0,"",_xlpm.m+1))</f>
        <v/>
      </c>
      <c r="J751" s="137" t="inlineStr">
        <is>
          <t>NetSuite</t>
        </is>
      </c>
    </row>
    <row r="752">
      <c r="A752" s="5" t="inlineStr">
        <is>
          <t>Web</t>
        </is>
      </c>
      <c r="B752" s="5">
        <f>IF($I2="","",INDEX(Productos!$A:$A,$I2))</f>
        <v/>
      </c>
      <c r="C752" s="134" t="inlineStr">
        <is>
          <t>CL/TAJ4/1/CT/GRI-UNI</t>
        </is>
      </c>
      <c r="D752" s="5">
        <f>IF($I2="","",INDEX(Productos!$B:$B,$I2))</f>
        <v/>
      </c>
      <c r="E752" s="5">
        <f>IF($I2="","",INDEX(Productos!$H:$H,$I2))</f>
        <v/>
      </c>
      <c r="F752" s="5">
        <f>IF($I2="","",INDEX(Productos!$I:$I,$I2))</f>
        <v/>
      </c>
      <c r="G752" s="135" t="n">
        <v>2</v>
      </c>
      <c r="H752" s="5">
        <f>IF($I2="","",INDEX(Productos!$AG:$AG,$I2))</f>
        <v/>
      </c>
      <c r="I752" s="136">
        <f>LET(_xlpm.r,Productos!$E$2:$E$370,_xlpm.m,IFERROR(_xlfn.XMATCH(C752,_xlpm.r),IFERROR(_xlfn.XMATCH(VALUE(C752),_xlpm.r),0)),IF(_xlpm.m=0,"",_xlpm.m+1))</f>
        <v/>
      </c>
      <c r="J752" s="137" t="inlineStr">
        <is>
          <t>NetSuite</t>
        </is>
      </c>
    </row>
    <row r="753">
      <c r="A753" s="5" t="inlineStr">
        <is>
          <t>Web</t>
        </is>
      </c>
      <c r="B753" s="5">
        <f>IF($I2="","",INDEX(Productos!$A:$A,$I2))</f>
        <v/>
      </c>
      <c r="C753" s="134" t="inlineStr">
        <is>
          <t>CL/TAJ4/1/CT/JER-UNI</t>
        </is>
      </c>
      <c r="D753" s="5">
        <f>IF($I2="","",INDEX(Productos!$B:$B,$I2))</f>
        <v/>
      </c>
      <c r="E753" s="5">
        <f>IF($I2="","",INDEX(Productos!$H:$H,$I2))</f>
        <v/>
      </c>
      <c r="F753" s="5">
        <f>IF($I2="","",INDEX(Productos!$I:$I,$I2))</f>
        <v/>
      </c>
      <c r="G753" s="135" t="n">
        <v>2</v>
      </c>
      <c r="H753" s="5">
        <f>IF($I2="","",INDEX(Productos!$AG:$AG,$I2))</f>
        <v/>
      </c>
      <c r="I753" s="136">
        <f>LET(_xlpm.r,Productos!$E$2:$E$370,_xlpm.m,IFERROR(_xlfn.XMATCH(C753,_xlpm.r),IFERROR(_xlfn.XMATCH(VALUE(C753),_xlpm.r),0)),IF(_xlpm.m=0,"",_xlpm.m+1))</f>
        <v/>
      </c>
      <c r="J753" s="137" t="inlineStr">
        <is>
          <t>NetSuite</t>
        </is>
      </c>
    </row>
    <row r="754">
      <c r="A754" s="5" t="inlineStr">
        <is>
          <t>Web</t>
        </is>
      </c>
      <c r="B754" s="5">
        <f>IF($I2="","",INDEX(Productos!$A:$A,$I2))</f>
        <v/>
      </c>
      <c r="C754" s="134" t="inlineStr">
        <is>
          <t>CL/TAJ4/1/CT/SCA-UNI</t>
        </is>
      </c>
      <c r="D754" s="5">
        <f>IF($I2="","",INDEX(Productos!$B:$B,$I2))</f>
        <v/>
      </c>
      <c r="E754" s="5">
        <f>IF($I2="","",INDEX(Productos!$H:$H,$I2))</f>
        <v/>
      </c>
      <c r="F754" s="5">
        <f>IF($I2="","",INDEX(Productos!$I:$I,$I2))</f>
        <v/>
      </c>
      <c r="G754" s="135" t="n">
        <v>2</v>
      </c>
      <c r="H754" s="5">
        <f>IF($I2="","",INDEX(Productos!$AG:$AG,$I2))</f>
        <v/>
      </c>
      <c r="I754" s="136">
        <f>LET(_xlpm.r,Productos!$E$2:$E$370,_xlpm.m,IFERROR(_xlfn.XMATCH(C754,_xlpm.r),IFERROR(_xlfn.XMATCH(VALUE(C754),_xlpm.r),0)),IF(_xlpm.m=0,"",_xlpm.m+1))</f>
        <v/>
      </c>
      <c r="J754" s="137" t="inlineStr">
        <is>
          <t>NetSuite</t>
        </is>
      </c>
    </row>
    <row r="755">
      <c r="A755" s="5" t="inlineStr">
        <is>
          <t>Web</t>
        </is>
      </c>
      <c r="B755" s="5">
        <f>IF($I2="","",INDEX(Productos!$A:$A,$I2))</f>
        <v/>
      </c>
      <c r="C755" s="134" t="inlineStr">
        <is>
          <t>CL/TAJ4/1/CT/SMI-UNI</t>
        </is>
      </c>
      <c r="D755" s="5">
        <f>IF($I2="","",INDEX(Productos!$B:$B,$I2))</f>
        <v/>
      </c>
      <c r="E755" s="5">
        <f>IF($I2="","",INDEX(Productos!$H:$H,$I2))</f>
        <v/>
      </c>
      <c r="F755" s="5">
        <f>IF($I2="","",INDEX(Productos!$I:$I,$I2))</f>
        <v/>
      </c>
      <c r="G755" s="135" t="n">
        <v>2</v>
      </c>
      <c r="H755" s="5">
        <f>IF($I2="","",INDEX(Productos!$AG:$AG,$I2))</f>
        <v/>
      </c>
      <c r="I755" s="136">
        <f>LET(_xlpm.r,Productos!$E$2:$E$370,_xlpm.m,IFERROR(_xlfn.XMATCH(C755,_xlpm.r),IFERROR(_xlfn.XMATCH(VALUE(C755),_xlpm.r),0)),IF(_xlpm.m=0,"",_xlpm.m+1))</f>
        <v/>
      </c>
      <c r="J755" s="137" t="inlineStr">
        <is>
          <t>NetSuite</t>
        </is>
      </c>
    </row>
    <row r="756">
      <c r="A756" s="5" t="inlineStr">
        <is>
          <t>Web</t>
        </is>
      </c>
      <c r="B756" s="5">
        <f>IF($I2="","",INDEX(Productos!$A:$A,$I2))</f>
        <v/>
      </c>
      <c r="C756" s="134" t="inlineStr">
        <is>
          <t>CL/TAJ4/1/CT/TOM-UNI</t>
        </is>
      </c>
      <c r="D756" s="5">
        <f>IF($I2="","",INDEX(Productos!$B:$B,$I2))</f>
        <v/>
      </c>
      <c r="E756" s="5">
        <f>IF($I2="","",INDEX(Productos!$H:$H,$I2))</f>
        <v/>
      </c>
      <c r="F756" s="5">
        <f>IF($I2="","",INDEX(Productos!$I:$I,$I2))</f>
        <v/>
      </c>
      <c r="G756" s="135" t="n">
        <v>1</v>
      </c>
      <c r="H756" s="5">
        <f>IF($I2="","",INDEX(Productos!$AG:$AG,$I2))</f>
        <v/>
      </c>
      <c r="I756" s="136">
        <f>LET(_xlpm.r,Productos!$E$2:$E$370,_xlpm.m,IFERROR(_xlfn.XMATCH(C756,_xlpm.r),IFERROR(_xlfn.XMATCH(VALUE(C756),_xlpm.r),0)),IF(_xlpm.m=0,"",_xlpm.m+1))</f>
        <v/>
      </c>
      <c r="J756" s="137" t="inlineStr">
        <is>
          <t>NetSuite</t>
        </is>
      </c>
    </row>
    <row r="757">
      <c r="A757" s="5" t="inlineStr">
        <is>
          <t>Web</t>
        </is>
      </c>
      <c r="B757" s="5">
        <f>IF($I2="","",INDEX(Productos!$A:$A,$I2))</f>
        <v/>
      </c>
      <c r="C757" s="134" t="inlineStr">
        <is>
          <t>CL4/1/CF/LUC-UNI</t>
        </is>
      </c>
      <c r="D757" s="5">
        <f>IF($I2="","",INDEX(Productos!$B:$B,$I2))</f>
        <v/>
      </c>
      <c r="E757" s="5">
        <f>IF($I2="","",INDEX(Productos!$H:$H,$I2))</f>
        <v/>
      </c>
      <c r="F757" s="5">
        <f>IF($I2="","",INDEX(Productos!$I:$I,$I2))</f>
        <v/>
      </c>
      <c r="G757" s="135" t="n">
        <v>2</v>
      </c>
      <c r="H757" s="5">
        <f>IF($I2="","",INDEX(Productos!$AG:$AG,$I2))</f>
        <v/>
      </c>
      <c r="I757" s="136">
        <f>LET(_xlpm.r,Productos!$E$2:$E$370,_xlpm.m,IFERROR(_xlfn.XMATCH(C757,_xlpm.r),IFERROR(_xlfn.XMATCH(VALUE(C757),_xlpm.r),0)),IF(_xlpm.m=0,"",_xlpm.m+1))</f>
        <v/>
      </c>
      <c r="J757" s="137" t="inlineStr">
        <is>
          <t>NetSuite</t>
        </is>
      </c>
    </row>
    <row r="758">
      <c r="A758" s="5" t="inlineStr">
        <is>
          <t>Web</t>
        </is>
      </c>
      <c r="B758" s="5">
        <f>IF($I2="","",INDEX(Productos!$A:$A,$I2))</f>
        <v/>
      </c>
      <c r="C758" s="134" t="inlineStr">
        <is>
          <t>CL4/1/CT/BEE-UNI</t>
        </is>
      </c>
      <c r="D758" s="5">
        <f>IF($I2="","",INDEX(Productos!$B:$B,$I2))</f>
        <v/>
      </c>
      <c r="E758" s="5">
        <f>IF($I2="","",INDEX(Productos!$H:$H,$I2))</f>
        <v/>
      </c>
      <c r="F758" s="5">
        <f>IF($I2="","",INDEX(Productos!$I:$I,$I2))</f>
        <v/>
      </c>
      <c r="G758" s="135" t="n">
        <v>2</v>
      </c>
      <c r="H758" s="5">
        <f>IF($I2="","",INDEX(Productos!$AG:$AG,$I2))</f>
        <v/>
      </c>
      <c r="I758" s="136">
        <f>LET(_xlpm.r,Productos!$E$2:$E$370,_xlpm.m,IFERROR(_xlfn.XMATCH(C758,_xlpm.r),IFERROR(_xlfn.XMATCH(VALUE(C758),_xlpm.r),0)),IF(_xlpm.m=0,"",_xlpm.m+1))</f>
        <v/>
      </c>
      <c r="J758" s="137" t="inlineStr">
        <is>
          <t>NetSuite</t>
        </is>
      </c>
    </row>
    <row r="759">
      <c r="A759" s="5" t="inlineStr">
        <is>
          <t>Web</t>
        </is>
      </c>
      <c r="B759" s="5">
        <f>IF($I2="","",INDEX(Productos!$A:$A,$I2))</f>
        <v/>
      </c>
      <c r="C759" s="134" t="inlineStr">
        <is>
          <t>CL4/1/CT/CHE-UNI</t>
        </is>
      </c>
      <c r="D759" s="5">
        <f>IF($I2="","",INDEX(Productos!$B:$B,$I2))</f>
        <v/>
      </c>
      <c r="E759" s="5">
        <f>IF($I2="","",INDEX(Productos!$H:$H,$I2))</f>
        <v/>
      </c>
      <c r="F759" s="5">
        <f>IF($I2="","",INDEX(Productos!$I:$I,$I2))</f>
        <v/>
      </c>
      <c r="G759" s="135" t="n">
        <v>2</v>
      </c>
      <c r="H759" s="5">
        <f>IF($I2="","",INDEX(Productos!$AG:$AG,$I2))</f>
        <v/>
      </c>
      <c r="I759" s="136">
        <f>LET(_xlpm.r,Productos!$E$2:$E$370,_xlpm.m,IFERROR(_xlfn.XMATCH(C759,_xlpm.r),IFERROR(_xlfn.XMATCH(VALUE(C759),_xlpm.r),0)),IF(_xlpm.m=0,"",_xlpm.m+1))</f>
        <v/>
      </c>
      <c r="J759" s="137" t="inlineStr">
        <is>
          <t>NetSuite</t>
        </is>
      </c>
    </row>
    <row r="760">
      <c r="A760" s="5" t="inlineStr">
        <is>
          <t>Web</t>
        </is>
      </c>
      <c r="B760" s="5">
        <f>IF($I2="","",INDEX(Productos!$A:$A,$I2))</f>
        <v/>
      </c>
      <c r="C760" s="134" t="inlineStr">
        <is>
          <t>CL4/1/CT/COS-UNI</t>
        </is>
      </c>
      <c r="D760" s="5">
        <f>IF($I2="","",INDEX(Productos!$B:$B,$I2))</f>
        <v/>
      </c>
      <c r="E760" s="5">
        <f>IF($I2="","",INDEX(Productos!$H:$H,$I2))</f>
        <v/>
      </c>
      <c r="F760" s="5">
        <f>IF($I2="","",INDEX(Productos!$I:$I,$I2))</f>
        <v/>
      </c>
      <c r="G760" s="135" t="n">
        <v>2</v>
      </c>
      <c r="H760" s="5">
        <f>IF($I2="","",INDEX(Productos!$AG:$AG,$I2))</f>
        <v/>
      </c>
      <c r="I760" s="136">
        <f>LET(_xlpm.r,Productos!$E$2:$E$370,_xlpm.m,IFERROR(_xlfn.XMATCH(C760,_xlpm.r),IFERROR(_xlfn.XMATCH(VALUE(C760),_xlpm.r),0)),IF(_xlpm.m=0,"",_xlpm.m+1))</f>
        <v/>
      </c>
      <c r="J760" s="137" t="inlineStr">
        <is>
          <t>NetSuite</t>
        </is>
      </c>
    </row>
    <row r="761">
      <c r="A761" s="5" t="inlineStr">
        <is>
          <t>Web</t>
        </is>
      </c>
      <c r="B761" s="5">
        <f>IF($I2="","",INDEX(Productos!$A:$A,$I2))</f>
        <v/>
      </c>
      <c r="C761" s="134" t="inlineStr">
        <is>
          <t>CL4/1/CT/DRA-UNI</t>
        </is>
      </c>
      <c r="D761" s="5">
        <f>IF($I2="","",INDEX(Productos!$B:$B,$I2))</f>
        <v/>
      </c>
      <c r="E761" s="5">
        <f>IF($I2="","",INDEX(Productos!$H:$H,$I2))</f>
        <v/>
      </c>
      <c r="F761" s="5">
        <f>IF($I2="","",INDEX(Productos!$I:$I,$I2))</f>
        <v/>
      </c>
      <c r="G761" s="135" t="n">
        <v>2</v>
      </c>
      <c r="H761" s="5">
        <f>IF($I2="","",INDEX(Productos!$AG:$AG,$I2))</f>
        <v/>
      </c>
      <c r="I761" s="136">
        <f>LET(_xlpm.r,Productos!$E$2:$E$370,_xlpm.m,IFERROR(_xlfn.XMATCH(C761,_xlpm.r),IFERROR(_xlfn.XMATCH(VALUE(C761),_xlpm.r),0)),IF(_xlpm.m=0,"",_xlpm.m+1))</f>
        <v/>
      </c>
      <c r="J761" s="137" t="inlineStr">
        <is>
          <t>NetSuite</t>
        </is>
      </c>
    </row>
    <row r="762">
      <c r="A762" s="5" t="inlineStr">
        <is>
          <t>Web</t>
        </is>
      </c>
      <c r="B762" s="5">
        <f>IF($I2="","",INDEX(Productos!$A:$A,$I2))</f>
        <v/>
      </c>
      <c r="C762" s="134" t="inlineStr">
        <is>
          <t>CL4/1/CT/GAM-UNI</t>
        </is>
      </c>
      <c r="D762" s="5">
        <f>IF($I2="","",INDEX(Productos!$B:$B,$I2))</f>
        <v/>
      </c>
      <c r="E762" s="5">
        <f>IF($I2="","",INDEX(Productos!$H:$H,$I2))</f>
        <v/>
      </c>
      <c r="F762" s="5">
        <f>IF($I2="","",INDEX(Productos!$I:$I,$I2))</f>
        <v/>
      </c>
      <c r="G762" s="135" t="n">
        <v>1</v>
      </c>
      <c r="H762" s="5">
        <f>IF($I2="","",INDEX(Productos!$AG:$AG,$I2))</f>
        <v/>
      </c>
      <c r="I762" s="136">
        <f>LET(_xlpm.r,Productos!$E$2:$E$370,_xlpm.m,IFERROR(_xlfn.XMATCH(C762,_xlpm.r),IFERROR(_xlfn.XMATCH(VALUE(C762),_xlpm.r),0)),IF(_xlpm.m=0,"",_xlpm.m+1))</f>
        <v/>
      </c>
      <c r="J762" s="137" t="inlineStr">
        <is>
          <t>NetSuite</t>
        </is>
      </c>
    </row>
    <row r="763">
      <c r="A763" s="5" t="inlineStr">
        <is>
          <t>Web</t>
        </is>
      </c>
      <c r="B763" s="5">
        <f>IF($I2="","",INDEX(Productos!$A:$A,$I2))</f>
        <v/>
      </c>
      <c r="C763" s="134" t="inlineStr">
        <is>
          <t>CL4/1/CT/OLD-UNI</t>
        </is>
      </c>
      <c r="D763" s="5">
        <f>IF($I2="","",INDEX(Productos!$B:$B,$I2))</f>
        <v/>
      </c>
      <c r="E763" s="5">
        <f>IF($I2="","",INDEX(Productos!$H:$H,$I2))</f>
        <v/>
      </c>
      <c r="F763" s="5">
        <f>IF($I2="","",INDEX(Productos!$I:$I,$I2))</f>
        <v/>
      </c>
      <c r="G763" s="135" t="n">
        <v>2</v>
      </c>
      <c r="H763" s="5">
        <f>IF($I2="","",INDEX(Productos!$AG:$AG,$I2))</f>
        <v/>
      </c>
      <c r="I763" s="136">
        <f>LET(_xlpm.r,Productos!$E$2:$E$370,_xlpm.m,IFERROR(_xlfn.XMATCH(C763,_xlpm.r),IFERROR(_xlfn.XMATCH(VALUE(C763),_xlpm.r),0)),IF(_xlpm.m=0,"",_xlpm.m+1))</f>
        <v/>
      </c>
      <c r="J763" s="137" t="inlineStr">
        <is>
          <t>NetSuite</t>
        </is>
      </c>
    </row>
    <row r="764">
      <c r="A764" s="5" t="inlineStr">
        <is>
          <t>Web</t>
        </is>
      </c>
      <c r="B764" s="5">
        <f>IF($I2="","",INDEX(Productos!$A:$A,$I2))</f>
        <v/>
      </c>
      <c r="C764" s="134" t="inlineStr">
        <is>
          <t>CL4/1/CT/PAN-UNI</t>
        </is>
      </c>
      <c r="D764" s="5">
        <f>IF($I2="","",INDEX(Productos!$B:$B,$I2))</f>
        <v/>
      </c>
      <c r="E764" s="5">
        <f>IF($I2="","",INDEX(Productos!$H:$H,$I2))</f>
        <v/>
      </c>
      <c r="F764" s="5">
        <f>IF($I2="","",INDEX(Productos!$I:$I,$I2))</f>
        <v/>
      </c>
      <c r="G764" s="135" t="n">
        <v>1</v>
      </c>
      <c r="H764" s="5">
        <f>IF($I2="","",INDEX(Productos!$AG:$AG,$I2))</f>
        <v/>
      </c>
      <c r="I764" s="136">
        <f>LET(_xlpm.r,Productos!$E$2:$E$370,_xlpm.m,IFERROR(_xlfn.XMATCH(C764,_xlpm.r),IFERROR(_xlfn.XMATCH(VALUE(C764),_xlpm.r),0)),IF(_xlpm.m=0,"",_xlpm.m+1))</f>
        <v/>
      </c>
      <c r="J764" s="137" t="inlineStr">
        <is>
          <t>NetSuite</t>
        </is>
      </c>
    </row>
    <row r="765">
      <c r="A765" s="5" t="inlineStr">
        <is>
          <t>Web</t>
        </is>
      </c>
      <c r="B765" s="5">
        <f>IF($I2="","",INDEX(Productos!$A:$A,$I2))</f>
        <v/>
      </c>
      <c r="C765" s="134" t="inlineStr">
        <is>
          <t>CL4/1/CT/SEC-UNI</t>
        </is>
      </c>
      <c r="D765" s="5">
        <f>IF($I2="","",INDEX(Productos!$B:$B,$I2))</f>
        <v/>
      </c>
      <c r="E765" s="5">
        <f>IF($I2="","",INDEX(Productos!$H:$H,$I2))</f>
        <v/>
      </c>
      <c r="F765" s="5">
        <f>IF($I2="","",INDEX(Productos!$I:$I,$I2))</f>
        <v/>
      </c>
      <c r="G765" s="135" t="n">
        <v>2</v>
      </c>
      <c r="H765" s="5">
        <f>IF($I2="","",INDEX(Productos!$AG:$AG,$I2))</f>
        <v/>
      </c>
      <c r="I765" s="136">
        <f>LET(_xlpm.r,Productos!$E$2:$E$370,_xlpm.m,IFERROR(_xlfn.XMATCH(C765,_xlpm.r),IFERROR(_xlfn.XMATCH(VALUE(C765),_xlpm.r),0)),IF(_xlpm.m=0,"",_xlpm.m+1))</f>
        <v/>
      </c>
      <c r="J765" s="137" t="inlineStr">
        <is>
          <t>NetSuite</t>
        </is>
      </c>
    </row>
    <row r="766">
      <c r="A766" s="5" t="inlineStr">
        <is>
          <t>Web</t>
        </is>
      </c>
      <c r="B766" s="5">
        <f>IF($I2="","",INDEX(Productos!$A:$A,$I2))</f>
        <v/>
      </c>
      <c r="C766" s="134" t="inlineStr">
        <is>
          <t>CL4/1/CT/SEX-UNI</t>
        </is>
      </c>
      <c r="D766" s="5">
        <f>IF($I2="","",INDEX(Productos!$B:$B,$I2))</f>
        <v/>
      </c>
      <c r="E766" s="5">
        <f>IF($I2="","",INDEX(Productos!$H:$H,$I2))</f>
        <v/>
      </c>
      <c r="F766" s="5">
        <f>IF($I2="","",INDEX(Productos!$I:$I,$I2))</f>
        <v/>
      </c>
      <c r="G766" s="135" t="n">
        <v>2</v>
      </c>
      <c r="H766" s="5">
        <f>IF($I2="","",INDEX(Productos!$AG:$AG,$I2))</f>
        <v/>
      </c>
      <c r="I766" s="136">
        <f>LET(_xlpm.r,Productos!$E$2:$E$370,_xlpm.m,IFERROR(_xlfn.XMATCH(C766,_xlpm.r),IFERROR(_xlfn.XMATCH(VALUE(C766),_xlpm.r),0)),IF(_xlpm.m=0,"",_xlpm.m+1))</f>
        <v/>
      </c>
      <c r="J766" s="137" t="inlineStr">
        <is>
          <t>NetSuite</t>
        </is>
      </c>
    </row>
    <row r="767">
      <c r="A767" s="5" t="inlineStr">
        <is>
          <t>Web</t>
        </is>
      </c>
      <c r="B767" s="5">
        <f>IF($I2="","",INDEX(Productos!$A:$A,$I2))</f>
        <v/>
      </c>
      <c r="C767" s="134" t="inlineStr">
        <is>
          <t>CL4/1/CT/SKI-UNI</t>
        </is>
      </c>
      <c r="D767" s="5">
        <f>IF($I2="","",INDEX(Productos!$B:$B,$I2))</f>
        <v/>
      </c>
      <c r="E767" s="5">
        <f>IF($I2="","",INDEX(Productos!$H:$H,$I2))</f>
        <v/>
      </c>
      <c r="F767" s="5">
        <f>IF($I2="","",INDEX(Productos!$I:$I,$I2))</f>
        <v/>
      </c>
      <c r="G767" s="135" t="n">
        <v>1</v>
      </c>
      <c r="H767" s="5">
        <f>IF($I2="","",INDEX(Productos!$AG:$AG,$I2))</f>
        <v/>
      </c>
      <c r="I767" s="136">
        <f>LET(_xlpm.r,Productos!$E$2:$E$370,_xlpm.m,IFERROR(_xlfn.XMATCH(C767,_xlpm.r),IFERROR(_xlfn.XMATCH(VALUE(C767),_xlpm.r),0)),IF(_xlpm.m=0,"",_xlpm.m+1))</f>
        <v/>
      </c>
      <c r="J767" s="137" t="inlineStr">
        <is>
          <t>NetSuite</t>
        </is>
      </c>
    </row>
    <row r="768">
      <c r="A768" s="5" t="inlineStr">
        <is>
          <t>Web</t>
        </is>
      </c>
      <c r="B768" s="5">
        <f>IF($I2="","",INDEX(Productos!$A:$A,$I2))</f>
        <v/>
      </c>
      <c r="C768" s="134" t="inlineStr">
        <is>
          <t>CL4/1/CT/SNA-UNI</t>
        </is>
      </c>
      <c r="D768" s="5">
        <f>IF($I2="","",INDEX(Productos!$B:$B,$I2))</f>
        <v/>
      </c>
      <c r="E768" s="5">
        <f>IF($I2="","",INDEX(Productos!$H:$H,$I2))</f>
        <v/>
      </c>
      <c r="F768" s="5">
        <f>IF($I2="","",INDEX(Productos!$I:$I,$I2))</f>
        <v/>
      </c>
      <c r="G768" s="135" t="n">
        <v>2</v>
      </c>
      <c r="H768" s="5">
        <f>IF($I2="","",INDEX(Productos!$AG:$AG,$I2))</f>
        <v/>
      </c>
      <c r="I768" s="136">
        <f>LET(_xlpm.r,Productos!$E$2:$E$370,_xlpm.m,IFERROR(_xlfn.XMATCH(C768,_xlpm.r),IFERROR(_xlfn.XMATCH(VALUE(C768),_xlpm.r),0)),IF(_xlpm.m=0,"",_xlpm.m+1))</f>
        <v/>
      </c>
      <c r="J768" s="137" t="inlineStr">
        <is>
          <t>NetSuite</t>
        </is>
      </c>
    </row>
    <row r="769">
      <c r="A769" s="5" t="inlineStr">
        <is>
          <t>Web</t>
        </is>
      </c>
      <c r="B769" s="5">
        <f>IF($I2="","",INDEX(Productos!$A:$A,$I2))</f>
        <v/>
      </c>
      <c r="C769" s="134" t="inlineStr">
        <is>
          <t>CL4/1/CT/TIG-UNI</t>
        </is>
      </c>
      <c r="D769" s="5">
        <f>IF($I2="","",INDEX(Productos!$B:$B,$I2))</f>
        <v/>
      </c>
      <c r="E769" s="5">
        <f>IF($I2="","",INDEX(Productos!$H:$H,$I2))</f>
        <v/>
      </c>
      <c r="F769" s="5">
        <f>IF($I2="","",INDEX(Productos!$I:$I,$I2))</f>
        <v/>
      </c>
      <c r="G769" s="135" t="n">
        <v>1</v>
      </c>
      <c r="H769" s="5">
        <f>IF($I2="","",INDEX(Productos!$AG:$AG,$I2))</f>
        <v/>
      </c>
      <c r="I769" s="136">
        <f>LET(_xlpm.r,Productos!$E$2:$E$370,_xlpm.m,IFERROR(_xlfn.XMATCH(C769,_xlpm.r),IFERROR(_xlfn.XMATCH(VALUE(C769),_xlpm.r),0)),IF(_xlpm.m=0,"",_xlpm.m+1))</f>
        <v/>
      </c>
      <c r="J769" s="137" t="inlineStr">
        <is>
          <t>NetSuite</t>
        </is>
      </c>
    </row>
    <row r="770">
      <c r="A770" s="5" t="inlineStr">
        <is>
          <t>Web</t>
        </is>
      </c>
      <c r="B770" s="5">
        <f>IF($I2="","",INDEX(Productos!$A:$A,$I2))</f>
        <v/>
      </c>
      <c r="C770" s="134" t="inlineStr">
        <is>
          <t>CL4/1/CT/VEG-UNI</t>
        </is>
      </c>
      <c r="D770" s="5">
        <f>IF($I2="","",INDEX(Productos!$B:$B,$I2))</f>
        <v/>
      </c>
      <c r="E770" s="5">
        <f>IF($I2="","",INDEX(Productos!$H:$H,$I2))</f>
        <v/>
      </c>
      <c r="F770" s="5">
        <f>IF($I2="","",INDEX(Productos!$I:$I,$I2))</f>
        <v/>
      </c>
      <c r="G770" s="135" t="n">
        <v>2</v>
      </c>
      <c r="H770" s="5">
        <f>IF($I2="","",INDEX(Productos!$AG:$AG,$I2))</f>
        <v/>
      </c>
      <c r="I770" s="136">
        <f>LET(_xlpm.r,Productos!$E$2:$E$370,_xlpm.m,IFERROR(_xlfn.XMATCH(C770,_xlpm.r),IFERROR(_xlfn.XMATCH(VALUE(C770),_xlpm.r),0)),IF(_xlpm.m=0,"",_xlpm.m+1))</f>
        <v/>
      </c>
      <c r="J770" s="137" t="inlineStr">
        <is>
          <t>NetSuite</t>
        </is>
      </c>
    </row>
  </sheetData>
  <autoFilter ref="A1:J770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IF(ISNUMBER(I6),SUM(I6:I1276),0)</f>
        <v/>
      </c>
      <c r="F3" s="145" t="inlineStr">
        <is>
          <t>Renglones:</t>
        </is>
      </c>
      <c r="G3" s="144">
        <f>IF(ISNUMBER(I6),COUNT(I6:I1276),0)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43"",""""))))),pE,Productos!$E$2:$E$370,pA,Productos!$A$2:$A$370&amp;"""",s,'Stock por Ubicación'!$A$2:$J$770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$370,""""),sk,XLOOKUP(sk,pE,Produc"&amp;"tos!$B$2:$B$2502,""""),XLOOKUP(sk,pE,Productos!$H$2:$H$370,""""),XLOOKUP(sk,pE,Productos!$I$2:$I$370,""""),pz),IFERROR(FILTER(rw,pz&gt;0),""""))),todo,IF(INDEX(a,1,1)="""",b,IF(INDEX(b,1,1)="""",a,VSTACK(a,b))),IF(INDEX(todo,1,1)="""",""Sin existencias en "&amp;"esta bodega"",LET(tl,XLOOKUP(INDEX(todo,0,4),pE,Productos!$F$2:$F$370,"""")&amp;"""",o,HSTACK(CHOOSECOLS(todo,1,2,3,4,5,6,7),tl,CHOOSECOLS(todo,8)),x,SORT(o,1,TRUE,4,TRUE),IF(x="""","""",x)))))"),"B25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IF(ISNUMBER(I6),SUM(I6:I1276),0)</f>
        <v/>
      </c>
      <c r="F3" s="145" t="inlineStr">
        <is>
          <t>Renglones:</t>
        </is>
      </c>
      <c r="G3" s="144">
        <f>IF(ISNUMBER(I6),COUNT(I6:I1276),0)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43"",""""))))),pE,Productos!$E$2:$E$370,s,'Stock por Ubicación'!$A$2:$J$770,su,INDEX(s,0,1),sq,INDEX(s,0,7),selSis,(su&lt;&gt;"""")*ISNUMBER(sq)*(sq&gt;0)*(asig(su)=bod)&gt;0,a,IFERROR(FILTER(CHOOSECOLS(s,1,10,2,3,4,5,6,7),sel"&amp;"Sis),""""),tu,Table_2[Ubicación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$370,""""),sk,XLOOKUP(sk,pE,Productos!$B$2:$B$370"&amp;"02,""""),XLOOKUP(sk,pE,Productos!$H$2:$H$370,""""),XLOOKUP(sk,pE,Productos!$I$2:$I$370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$370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2026-10-06T16:34:26Z</dcterms:modified>
</cp:coreProperties>
</file>