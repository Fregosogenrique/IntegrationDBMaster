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</sheets>
  <definedNames>
    <definedName name="_xlnm._FilterDatabase" localSheetId="4" hidden="1">'Productos'!$A$1:$AR$23</definedName>
    <definedName name="_xlnm._FilterDatabase" localSheetId="7" hidden="1">'Revisión Duplicados'!$A$1:$AU$2</definedName>
    <definedName name="_xlnm._FilterDatabase" localSheetId="8" hidden="1">'Stock por Ubicación'!$A$1:$J$7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</numFmts>
  <fonts count="40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</fonts>
  <fills count="21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7506552410791</t>
        </is>
      </c>
      <c r="B2" s="51" t="inlineStr">
        <is>
          <t>107409</t>
        </is>
      </c>
      <c r="C2" s="156" t="inlineStr">
        <is>
          <t>Multimarca</t>
        </is>
      </c>
      <c r="D2" s="156" t="inlineStr">
        <is>
          <t>CR16</t>
        </is>
      </c>
      <c r="E2" s="156" t="inlineStr">
        <is>
          <t>CR16-UNI</t>
        </is>
      </c>
      <c r="F2" s="156" t="inlineStr">
        <is>
          <t>Talla única</t>
        </is>
      </c>
      <c r="G2" s="156" t="inlineStr">
        <is>
          <t>One Size</t>
        </is>
      </c>
      <c r="H2" s="156" t="inlineStr">
        <is>
          <t>Ranch &amp; Corral</t>
        </is>
      </c>
      <c r="I2" s="156" t="inlineStr">
        <is>
          <t>Gorra Cuco Raya 16</t>
        </is>
      </c>
      <c r="J2" s="156" t="inlineStr">
        <is>
          <t>Accesorios</t>
        </is>
      </c>
      <c r="K2" s="156" t="inlineStr">
        <is>
          <t>Gorras</t>
        </is>
      </c>
      <c r="L2" s="156" t="inlineStr">
        <is>
          <t>Unisex</t>
        </is>
      </c>
      <c r="M2" s="156" t="inlineStr">
        <is>
          <t>Ranch &amp; Corral</t>
        </is>
      </c>
      <c r="N2" s="156" t="n"/>
      <c r="O2" s="156" t="inlineStr">
        <is>
          <t>Seasonal</t>
        </is>
      </c>
      <c r="P2" s="156" t="inlineStr">
        <is>
          <t>Azul</t>
        </is>
      </c>
      <c r="Q2" s="156" t="n"/>
      <c r="R2" s="156" t="n"/>
      <c r="S2" s="156" t="inlineStr">
        <is>
          <t>88% Poliéster, 12% Poliuretano</t>
        </is>
      </c>
      <c r="T2" s="156" t="inlineStr">
        <is>
          <t>Gorra tipo trucker de 5 paneles bicolor azul marino con visera beige y parche bordado frontal.</t>
        </is>
      </c>
      <c r="U2" s="156" t="inlineStr">
        <is>
          <t>China</t>
        </is>
      </c>
      <c r="V2" s="156" t="inlineStr">
        <is>
          <t>PZS</t>
        </is>
      </c>
      <c r="W2" s="51" t="inlineStr">
        <is>
          <t>53102516</t>
        </is>
      </c>
      <c r="X2" s="156" t="inlineStr">
        <is>
          <t>https://cdn.shopify.com/s/files/1/0774/1849/6185/files/CR16-01.jpg?v=1776704094</t>
        </is>
      </c>
      <c r="Y2" s="54" t="n">
        <v>250</v>
      </c>
      <c r="Z2" s="54" t="n">
        <v>430.1724138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IFERROR(_xlfn.XMATCH(A2,$A$2:$A$23,0,1)&lt;&gt;_xlfn.XMATCH(A2,$A$2:$A$23,0,-1),FALSE)), "Código de barras duplicado", ""), IF(AND(E2&lt;&gt;"", COUNTIF($E$2:$E$23,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0</v>
      </c>
      <c r="AE2" s="156" t="n"/>
      <c r="AF2" s="51" t="n">
        <v>0</v>
      </c>
      <c r="AG2" s="156" t="inlineStr">
        <is>
          <t>Nuevo – NetSuite sin existencia</t>
        </is>
      </c>
      <c r="AH2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2" s="156" t="inlineStr">
        <is>
          <t>No</t>
        </is>
      </c>
      <c r="AJ2" s="156" t="n"/>
      <c r="AK2" s="155" t="inlineStr">
        <is>
          <t>ProductosCatalogoEstandar907.xlsx: fila 5135 [O,P,S,U,Y]; G1522_Extraccion_Articulos_NetSuite_2026-09-30.xlsx: fila 55905 [O,P,V,Y,T] | Shopify WB: producto 8469287076025 / variante 46869084537017</t>
        </is>
      </c>
      <c r="AL2" s="58" t="n"/>
      <c r="AM2" s="58" t="n">
        <v>430.1724138</v>
      </c>
      <c r="AN2" s="155" t="inlineStr">
        <is>
          <t>Shopify Western Brothers</t>
        </is>
      </c>
      <c r="AO2" s="59" t="n"/>
      <c r="AP2" s="59" t="n">
        <v>0</v>
      </c>
      <c r="AQ2" s="59" t="n"/>
      <c r="AR2" s="155" t="n"/>
    </row>
    <row r="3">
      <c r="A3" s="50" t="inlineStr">
        <is>
          <t>7506552409252</t>
        </is>
      </c>
      <c r="B3" s="51" t="inlineStr">
        <is>
          <t>107408</t>
        </is>
      </c>
      <c r="C3" s="156" t="inlineStr">
        <is>
          <t>Multimarca</t>
        </is>
      </c>
      <c r="D3" s="156" t="inlineStr">
        <is>
          <t>DA27</t>
        </is>
      </c>
      <c r="E3" s="156" t="inlineStr">
        <is>
          <t>DA27-UNI</t>
        </is>
      </c>
      <c r="F3" s="156" t="inlineStr">
        <is>
          <t>Talla única</t>
        </is>
      </c>
      <c r="G3" s="156" t="inlineStr">
        <is>
          <t>One Size</t>
        </is>
      </c>
      <c r="H3" s="156" t="inlineStr">
        <is>
          <t>Ranch &amp; Corral</t>
        </is>
      </c>
      <c r="I3" s="156" t="inlineStr">
        <is>
          <t>Gorra David Alonso 27</t>
        </is>
      </c>
      <c r="J3" s="156" t="inlineStr">
        <is>
          <t>Accesorios</t>
        </is>
      </c>
      <c r="K3" s="156" t="inlineStr">
        <is>
          <t>Gorras</t>
        </is>
      </c>
      <c r="L3" s="156" t="inlineStr">
        <is>
          <t>Unisex</t>
        </is>
      </c>
      <c r="M3" s="156" t="inlineStr">
        <is>
          <t>Ranch &amp; Corral</t>
        </is>
      </c>
      <c r="N3" s="156" t="n"/>
      <c r="O3" s="156" t="inlineStr">
        <is>
          <t>Seasonal</t>
        </is>
      </c>
      <c r="P3" s="156" t="inlineStr">
        <is>
          <t>Verde</t>
        </is>
      </c>
      <c r="Q3" s="156" t="n"/>
      <c r="R3" s="156" t="n"/>
      <c r="S3" s="156" t="inlineStr">
        <is>
          <t>50% Algodón, 50% Poliéster</t>
        </is>
      </c>
      <c r="T3" s="156" t="inlineStr">
        <is>
          <t>Gorra tipo trucker de 5 paneles bicolor verde olivo con visera azul marino y parche bordado frontal.</t>
        </is>
      </c>
      <c r="U3" s="156" t="inlineStr">
        <is>
          <t>China</t>
        </is>
      </c>
      <c r="V3" s="156" t="inlineStr">
        <is>
          <t>PZS</t>
        </is>
      </c>
      <c r="W3" s="51" t="inlineStr">
        <is>
          <t>53102516</t>
        </is>
      </c>
      <c r="X3" s="156" t="inlineStr">
        <is>
          <t>https://cdn.shopify.com/s/files/1/0774/1849/6185/files/DA27-01.jpg?v=1776704095</t>
        </is>
      </c>
      <c r="Y3" s="54" t="n">
        <v>250</v>
      </c>
      <c r="Z3" s="54" t="n">
        <v>430.1724138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IFERROR(_xlfn.XMATCH(A3,$A$2:$A$23,0,1)&lt;&gt;_xlfn.XMATCH(A3,$A$2:$A$23,0,-1),FALSE)), "Código de barras duplicado", ""), IF(AND(E3&lt;&gt;"", COUNTIF($E$2:$E$23,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0</v>
      </c>
      <c r="AE3" s="156" t="n"/>
      <c r="AF3" s="51" t="n">
        <v>0</v>
      </c>
      <c r="AG3" s="156" t="inlineStr">
        <is>
          <t>Nuevo – NetSuite sin existencia</t>
        </is>
      </c>
      <c r="AH3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3" s="156" t="inlineStr">
        <is>
          <t>No</t>
        </is>
      </c>
      <c r="AJ3" s="156" t="n"/>
      <c r="AK3" s="155" t="inlineStr">
        <is>
          <t>ProductosCatalogoEstandar907.xlsx: fila 5136 [O,P,S,U,Y]; G1522_Extraccion_Articulos_NetSuite_2026-09-30.xlsx: fila 55904 [O,P,V,Y,T] | Shopify WB: producto 8469287108793 / variante 46869084569785</t>
        </is>
      </c>
      <c r="AL3" s="58" t="n"/>
      <c r="AM3" s="58" t="n">
        <v>430.1724138</v>
      </c>
      <c r="AN3" s="155" t="inlineStr">
        <is>
          <t>Shopify Western Brothers</t>
        </is>
      </c>
      <c r="AO3" s="59" t="n"/>
      <c r="AP3" s="59" t="n">
        <v>0</v>
      </c>
      <c r="AQ3" s="59" t="n"/>
      <c r="AR3" s="155" t="n"/>
    </row>
    <row r="4">
      <c r="A4" s="50" t="inlineStr">
        <is>
          <t>7506552412375</t>
        </is>
      </c>
      <c r="B4" s="51" t="inlineStr">
        <is>
          <t>107413</t>
        </is>
      </c>
      <c r="C4" s="156" t="inlineStr">
        <is>
          <t>Multimarca</t>
        </is>
      </c>
      <c r="D4" s="156" t="inlineStr">
        <is>
          <t>RCAC08</t>
        </is>
      </c>
      <c r="E4" s="156" t="inlineStr">
        <is>
          <t>RCAC08-UNI</t>
        </is>
      </c>
      <c r="F4" s="156" t="inlineStr">
        <is>
          <t>Talla única</t>
        </is>
      </c>
      <c r="G4" s="156" t="inlineStr">
        <is>
          <t>One Size</t>
        </is>
      </c>
      <c r="H4" s="156" t="inlineStr">
        <is>
          <t>Ranch &amp; Corral</t>
        </is>
      </c>
      <c r="I4" s="156" t="inlineStr">
        <is>
          <t>Gorra Agriculture 08</t>
        </is>
      </c>
      <c r="J4" s="156" t="inlineStr">
        <is>
          <t>Accesorios</t>
        </is>
      </c>
      <c r="K4" s="156" t="inlineStr">
        <is>
          <t>Gorras</t>
        </is>
      </c>
      <c r="L4" s="156" t="inlineStr">
        <is>
          <t>Unisex</t>
        </is>
      </c>
      <c r="M4" s="156" t="inlineStr">
        <is>
          <t>Ranch &amp; Corral</t>
        </is>
      </c>
      <c r="N4" s="156" t="n"/>
      <c r="O4" s="156" t="inlineStr">
        <is>
          <t>Seasonal</t>
        </is>
      </c>
      <c r="P4" s="156" t="inlineStr">
        <is>
          <t>Azul</t>
        </is>
      </c>
      <c r="Q4" s="156" t="n"/>
      <c r="R4" s="156" t="n"/>
      <c r="S4" s="156" t="inlineStr">
        <is>
          <t>75% Poliéster, 25% Algodón</t>
        </is>
      </c>
      <c r="T4" s="156" t="inlineStr">
        <is>
          <t>Gorra tipo trucker de 5 paneles bicolor, frente azul marino con parche bordado y visera en tono gris.</t>
        </is>
      </c>
      <c r="U4" s="156" t="inlineStr">
        <is>
          <t>China</t>
        </is>
      </c>
      <c r="V4" s="156" t="inlineStr">
        <is>
          <t>PZS</t>
        </is>
      </c>
      <c r="W4" s="51" t="inlineStr">
        <is>
          <t>53102516</t>
        </is>
      </c>
      <c r="X4" s="156" t="inlineStr">
        <is>
          <t>https://cdn.shopify.com/s/files/1/0774/1849/6185/files/RCAC08-01.jpg?v=1776704073</t>
        </is>
      </c>
      <c r="Y4" s="54" t="n">
        <v>283.25</v>
      </c>
      <c r="Z4" s="54" t="n">
        <v>559.4827586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IFERROR(_xlfn.XMATCH(A4,$A$2:$A$23,0,1)&lt;&gt;_xlfn.XMATCH(A4,$A$2:$A$23,0,-1),FALSE)), "Código de barras duplicado", ""), IF(AND(E4&lt;&gt;"", COUNTIF($E$2:$E$23,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0</v>
      </c>
      <c r="AE4" s="156" t="n"/>
      <c r="AF4" s="51" t="n">
        <v>0</v>
      </c>
      <c r="AG4" s="156" t="inlineStr">
        <is>
          <t>Nuevo – NetSuite sin existencia</t>
        </is>
      </c>
      <c r="AH4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4" s="156" t="inlineStr">
        <is>
          <t>No</t>
        </is>
      </c>
      <c r="AJ4" s="156" t="n"/>
      <c r="AK4" s="155" t="inlineStr">
        <is>
          <t>ProductosCatalogoEstandar907.xlsx: fila 5204 [O,P,S,U,Y]; G1522_Extraccion_Articulos_NetSuite_2026-09-30.xlsx: fila 55909 [O,P,V,Y,T] | Shopify WB: producto 8469286584505 / variante 46869084012729</t>
        </is>
      </c>
      <c r="AL4" s="58" t="n"/>
      <c r="AM4" s="58" t="n">
        <v>559.4827586</v>
      </c>
      <c r="AN4" s="155" t="inlineStr">
        <is>
          <t>Shopify Western Brothers</t>
        </is>
      </c>
      <c r="AO4" s="59" t="n"/>
      <c r="AP4" s="59" t="n">
        <v>0</v>
      </c>
      <c r="AQ4" s="59" t="n"/>
      <c r="AR4" s="155" t="n"/>
    </row>
    <row r="5">
      <c r="A5" s="50" t="inlineStr">
        <is>
          <t>7506552412399</t>
        </is>
      </c>
      <c r="B5" s="51" t="inlineStr">
        <is>
          <t>107414</t>
        </is>
      </c>
      <c r="C5" s="156" t="inlineStr">
        <is>
          <t>Multimarca</t>
        </is>
      </c>
      <c r="D5" s="156" t="inlineStr">
        <is>
          <t>RCAC10</t>
        </is>
      </c>
      <c r="E5" s="156" t="inlineStr">
        <is>
          <t>RCAC10-UNI</t>
        </is>
      </c>
      <c r="F5" s="156" t="inlineStr">
        <is>
          <t>Talla única</t>
        </is>
      </c>
      <c r="G5" s="156" t="inlineStr">
        <is>
          <t>One Size</t>
        </is>
      </c>
      <c r="H5" s="156" t="inlineStr">
        <is>
          <t>Ranch &amp; Corral</t>
        </is>
      </c>
      <c r="I5" s="156" t="inlineStr">
        <is>
          <t>Gorra Agriculture 10</t>
        </is>
      </c>
      <c r="J5" s="156" t="inlineStr">
        <is>
          <t>Accesorios</t>
        </is>
      </c>
      <c r="K5" s="156" t="inlineStr">
        <is>
          <t>Gorras</t>
        </is>
      </c>
      <c r="L5" s="156" t="inlineStr">
        <is>
          <t>Unisex</t>
        </is>
      </c>
      <c r="M5" s="156" t="inlineStr">
        <is>
          <t>Ranch &amp; Corral</t>
        </is>
      </c>
      <c r="N5" s="156" t="n"/>
      <c r="O5" s="156" t="inlineStr">
        <is>
          <t>Seasonal</t>
        </is>
      </c>
      <c r="P5" s="156" t="inlineStr">
        <is>
          <t>Verde</t>
        </is>
      </c>
      <c r="Q5" s="156" t="n"/>
      <c r="R5" s="156" t="n"/>
      <c r="S5" s="156" t="inlineStr">
        <is>
          <t>50% Algodón, 50% Poliéster</t>
        </is>
      </c>
      <c r="T5" s="156" t="inlineStr">
        <is>
          <t>Gorra tipo trucker de 5 paneles bicolor tono verde olivo/amarillo con parche bordado frontal, malla en color vino y visera curva.</t>
        </is>
      </c>
      <c r="U5" s="156" t="inlineStr">
        <is>
          <t>China</t>
        </is>
      </c>
      <c r="V5" s="156" t="inlineStr">
        <is>
          <t>PZS</t>
        </is>
      </c>
      <c r="W5" s="51" t="inlineStr">
        <is>
          <t>53102516</t>
        </is>
      </c>
      <c r="X5" s="156" t="inlineStr">
        <is>
          <t>https://cdn.shopify.com/s/files/1/0774/1849/6185/files/RCAC10-01.jpg?v=1776704082</t>
        </is>
      </c>
      <c r="Y5" s="54" t="n">
        <v>283.25</v>
      </c>
      <c r="Z5" s="54" t="n">
        <v>559.4827586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IFERROR(_xlfn.XMATCH(A5,$A$2:$A$23,0,1)&lt;&gt;_xlfn.XMATCH(A5,$A$2:$A$23,0,-1),FALSE)), "Código de barras duplicado", ""), IF(AND(E5&lt;&gt;"", COUNTIF($E$2:$E$23,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0</v>
      </c>
      <c r="AE5" s="156" t="n"/>
      <c r="AF5" s="51" t="n">
        <v>0</v>
      </c>
      <c r="AG5" s="156" t="inlineStr">
        <is>
          <t>Nuevo – NetSuite sin existencia</t>
        </is>
      </c>
      <c r="AH5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5" s="156" t="inlineStr">
        <is>
          <t>No</t>
        </is>
      </c>
      <c r="AJ5" s="156" t="n"/>
      <c r="AK5" s="155" t="inlineStr">
        <is>
          <t>ProductosCatalogoEstandar907.xlsx: fila 5205 [O,P,S,U,Y]; G1522_Extraccion_Articulos_NetSuite_2026-09-30.xlsx: fila 55910 [O,P,V,Y,T] | Shopify WB: producto 8469286781113 / variante 46869084209337</t>
        </is>
      </c>
      <c r="AL5" s="58" t="n"/>
      <c r="AM5" s="58" t="n">
        <v>559.4827586</v>
      </c>
      <c r="AN5" s="155" t="inlineStr">
        <is>
          <t>Shopify Western Brothers</t>
        </is>
      </c>
      <c r="AO5" s="59" t="n"/>
      <c r="AP5" s="59" t="n">
        <v>0</v>
      </c>
      <c r="AQ5" s="59" t="n"/>
      <c r="AR5" s="155" t="n"/>
    </row>
    <row r="6">
      <c r="A6" s="50" t="inlineStr">
        <is>
          <t>7506552409016</t>
        </is>
      </c>
      <c r="B6" s="51" t="inlineStr">
        <is>
          <t>107407</t>
        </is>
      </c>
      <c r="C6" s="156" t="inlineStr">
        <is>
          <t>Multimarca</t>
        </is>
      </c>
      <c r="D6" s="156" t="inlineStr">
        <is>
          <t>RCBY03</t>
        </is>
      </c>
      <c r="E6" s="156" t="inlineStr">
        <is>
          <t>RCBY03-UNI</t>
        </is>
      </c>
      <c r="F6" s="156" t="inlineStr">
        <is>
          <t>Talla única</t>
        </is>
      </c>
      <c r="G6" s="156" t="inlineStr">
        <is>
          <t>One Size</t>
        </is>
      </c>
      <c r="H6" s="156" t="inlineStr">
        <is>
          <t>Ranch &amp; Corral</t>
        </is>
      </c>
      <c r="I6" s="156" t="inlineStr">
        <is>
          <t>Gorra Cowboy 03</t>
        </is>
      </c>
      <c r="J6" s="156" t="inlineStr">
        <is>
          <t>Accesorios</t>
        </is>
      </c>
      <c r="K6" s="156" t="inlineStr">
        <is>
          <t>Gorras</t>
        </is>
      </c>
      <c r="L6" s="156" t="inlineStr">
        <is>
          <t>Unisex</t>
        </is>
      </c>
      <c r="M6" s="156" t="inlineStr">
        <is>
          <t>Ranch &amp; Corral</t>
        </is>
      </c>
      <c r="N6" s="156" t="n"/>
      <c r="O6" s="156" t="inlineStr">
        <is>
          <t>Seasonal</t>
        </is>
      </c>
      <c r="P6" s="156" t="inlineStr">
        <is>
          <t>Negro</t>
        </is>
      </c>
      <c r="Q6" s="156" t="n"/>
      <c r="R6" s="156" t="n"/>
      <c r="S6" s="156" t="inlineStr">
        <is>
          <t>50% Algodón, 50% Poliéster</t>
        </is>
      </c>
      <c r="T6" s="156" t="inlineStr">
        <is>
          <t>Gorra tipo trucker de 6 paneles color negro con parche bordado frontal y visera curva.</t>
        </is>
      </c>
      <c r="U6" s="156" t="inlineStr">
        <is>
          <t>China</t>
        </is>
      </c>
      <c r="V6" s="156" t="inlineStr">
        <is>
          <t>PZS</t>
        </is>
      </c>
      <c r="W6" s="51" t="inlineStr">
        <is>
          <t>53102516</t>
        </is>
      </c>
      <c r="X6" s="156" t="inlineStr">
        <is>
          <t>https://cdn.shopify.com/s/files/1/0774/1849/6185/files/RCBY03-01.jpg?v=1776704086</t>
        </is>
      </c>
      <c r="Y6" s="54" t="n">
        <v>241.38</v>
      </c>
      <c r="Z6" s="54" t="n">
        <v>430.1724138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IFERROR(_xlfn.XMATCH(A6,$A$2:$A$23,0,1)&lt;&gt;_xlfn.XMATCH(A6,$A$2:$A$23,0,-1),FALSE)), "Código de barras duplicado", ""), IF(AND(E6&lt;&gt;"", COUNTIF($E$2:$E$23,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2</v>
      </c>
      <c r="AE6" s="156" t="inlineStr">
        <is>
          <t>WB OUTLET LERMA (2)</t>
        </is>
      </c>
      <c r="AF6" s="51" t="n">
        <v>2</v>
      </c>
      <c r="AG6" s="156" t="inlineStr">
        <is>
          <t>Nuevo – NetSuite con existencia</t>
        </is>
      </c>
      <c r="AH6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6" s="156" t="inlineStr">
        <is>
          <t>No</t>
        </is>
      </c>
      <c r="AJ6" s="156" t="n"/>
      <c r="AK6" s="155" t="inlineStr">
        <is>
          <t>ProductosCatalogoEstandar907.xlsx: fila 5206 [O,P,S,U,Y]; G1522_Extraccion_Articulos_NetSuite_2026-09-30.xlsx: fila 55903 [O,P,V,Y,T] | Shopify WB: producto 8469286912185 / variante 46869084340409</t>
        </is>
      </c>
      <c r="AL6" s="58" t="n"/>
      <c r="AM6" s="58" t="n">
        <v>430.1724138</v>
      </c>
      <c r="AN6" s="155" t="inlineStr">
        <is>
          <t>Shopify Western Brothers</t>
        </is>
      </c>
      <c r="AO6" s="59" t="n"/>
      <c r="AP6" s="59" t="n">
        <v>2</v>
      </c>
      <c r="AQ6" s="59" t="n"/>
      <c r="AR6" s="155" t="inlineStr">
        <is>
          <t>Shopify Western Brothers › Western Brothers Outlet Lerma: 2</t>
        </is>
      </c>
    </row>
    <row r="7">
      <c r="A7" s="50" t="inlineStr">
        <is>
          <t>7506552412085</t>
        </is>
      </c>
      <c r="B7" s="51" t="inlineStr">
        <is>
          <t>107437</t>
        </is>
      </c>
      <c r="C7" s="156" t="inlineStr">
        <is>
          <t>Multimarca</t>
        </is>
      </c>
      <c r="D7" s="156" t="inlineStr">
        <is>
          <t>RCC44</t>
        </is>
      </c>
      <c r="E7" s="156" t="inlineStr">
        <is>
          <t>RCC44-UNI</t>
        </is>
      </c>
      <c r="F7" s="156" t="inlineStr">
        <is>
          <t>Talla única</t>
        </is>
      </c>
      <c r="G7" s="156" t="inlineStr">
        <is>
          <t>One Size</t>
        </is>
      </c>
      <c r="H7" s="156" t="inlineStr">
        <is>
          <t>Ranch &amp; Corral</t>
        </is>
      </c>
      <c r="I7" s="156" t="inlineStr">
        <is>
          <t>Gorra Classic 44</t>
        </is>
      </c>
      <c r="J7" s="156" t="inlineStr">
        <is>
          <t>Accesorios</t>
        </is>
      </c>
      <c r="K7" s="156" t="inlineStr">
        <is>
          <t>Gorras</t>
        </is>
      </c>
      <c r="L7" s="156" t="inlineStr">
        <is>
          <t>Unisex</t>
        </is>
      </c>
      <c r="M7" s="156" t="inlineStr">
        <is>
          <t>Ranch &amp; Corral</t>
        </is>
      </c>
      <c r="N7" s="156" t="n"/>
      <c r="O7" s="156" t="inlineStr">
        <is>
          <t>Core</t>
        </is>
      </c>
      <c r="P7" s="156" t="inlineStr">
        <is>
          <t>Cafe</t>
        </is>
      </c>
      <c r="Q7" s="156" t="n"/>
      <c r="R7" s="156" t="n"/>
      <c r="S7" s="156" t="inlineStr">
        <is>
          <t>54% Poliéster, 39% Algodón, 6% Poliuretano, 1% Elastano</t>
        </is>
      </c>
      <c r="T7" s="156" t="inlineStr">
        <is>
          <t>Gorra tipo trucker de 5 paneles bicolor camel con visera café oscuro y aplicación frontal.</t>
        </is>
      </c>
      <c r="U7" s="156" t="inlineStr">
        <is>
          <t>China</t>
        </is>
      </c>
      <c r="V7" s="156" t="inlineStr">
        <is>
          <t>PZS</t>
        </is>
      </c>
      <c r="W7" s="51" t="inlineStr">
        <is>
          <t>53102516</t>
        </is>
      </c>
      <c r="X7" s="156" t="inlineStr">
        <is>
          <t>https://cdn.shopify.com/s/files/1/0774/1849/6185/files/RCC44-01.jpg?v=1776704232</t>
        </is>
      </c>
      <c r="Y7" s="54" t="n">
        <v>283.25</v>
      </c>
      <c r="Z7" s="54" t="n">
        <v>559.4827586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IFERROR(_xlfn.XMATCH(A7,$A$2:$A$23,0,1)&lt;&gt;_xlfn.XMATCH(A7,$A$2:$A$23,0,-1),FALSE)), "Código de barras duplicado", ""), IF(AND(E7&lt;&gt;"", COUNTIF($E$2:$E$23,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0</v>
      </c>
      <c r="AE7" s="156" t="n"/>
      <c r="AF7" s="51" t="n">
        <v>0</v>
      </c>
      <c r="AG7" s="156" t="inlineStr">
        <is>
          <t>Nuevo – NetSuite sin existencia</t>
        </is>
      </c>
      <c r="AH7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7" s="156" t="inlineStr">
        <is>
          <t>No</t>
        </is>
      </c>
      <c r="AJ7" s="156" t="n"/>
      <c r="AK7" s="155" t="inlineStr">
        <is>
          <t>ProductosCatalogoEstandar907.xlsx: fila 5208 [O,P,S,U,Y]; G1522_Extraccion_Articulos_NetSuite_2026-09-30.xlsx: fila 55916 [O,P,V,Y,T] | Shopify WB: producto 8453895553209 / variante 46981774770361</t>
        </is>
      </c>
      <c r="AL7" s="58" t="n"/>
      <c r="AM7" s="58" t="n">
        <v>559.4827586</v>
      </c>
      <c r="AN7" s="155" t="inlineStr">
        <is>
          <t>Shopify Western Brothers</t>
        </is>
      </c>
      <c r="AO7" s="59" t="n"/>
      <c r="AP7" s="59" t="n">
        <v>0</v>
      </c>
      <c r="AQ7" s="59" t="n"/>
      <c r="AR7" s="155" t="n"/>
    </row>
    <row r="8">
      <c r="A8" s="50" t="inlineStr">
        <is>
          <t>7506552412047</t>
        </is>
      </c>
      <c r="B8" s="51" t="inlineStr">
        <is>
          <t>107410</t>
        </is>
      </c>
      <c r="C8" s="156" t="inlineStr">
        <is>
          <t>Multimarca</t>
        </is>
      </c>
      <c r="D8" s="156" t="inlineStr">
        <is>
          <t>RCCB06</t>
        </is>
      </c>
      <c r="E8" s="156" t="inlineStr">
        <is>
          <t>RCCB06-UNI</t>
        </is>
      </c>
      <c r="F8" s="156" t="inlineStr">
        <is>
          <t>Talla única</t>
        </is>
      </c>
      <c r="G8" s="156" t="inlineStr">
        <is>
          <t>One Size</t>
        </is>
      </c>
      <c r="H8" s="156" t="inlineStr">
        <is>
          <t>Ranch &amp; Corral</t>
        </is>
      </c>
      <c r="I8" s="156" t="inlineStr">
        <is>
          <t>Gorra Basic 06</t>
        </is>
      </c>
      <c r="J8" s="156" t="inlineStr">
        <is>
          <t>Accesorios</t>
        </is>
      </c>
      <c r="K8" s="156" t="inlineStr">
        <is>
          <t>Gorras</t>
        </is>
      </c>
      <c r="L8" s="156" t="inlineStr">
        <is>
          <t>Unisex</t>
        </is>
      </c>
      <c r="M8" s="156" t="inlineStr">
        <is>
          <t>Ranch &amp; Corral</t>
        </is>
      </c>
      <c r="N8" s="156" t="n"/>
      <c r="O8" s="156" t="inlineStr">
        <is>
          <t>Core</t>
        </is>
      </c>
      <c r="P8" s="156" t="inlineStr">
        <is>
          <t>Negro</t>
        </is>
      </c>
      <c r="Q8" s="156" t="n"/>
      <c r="R8" s="156" t="n"/>
      <c r="S8" s="156" t="inlineStr">
        <is>
          <t>100% Poliéster</t>
        </is>
      </c>
      <c r="T8" s="156" t="inlineStr">
        <is>
          <t>Gorra de 6 paneles color negro liso, visera curva y aplicación frontal.</t>
        </is>
      </c>
      <c r="U8" s="156" t="inlineStr">
        <is>
          <t>China</t>
        </is>
      </c>
      <c r="V8" s="156" t="inlineStr">
        <is>
          <t>PZS</t>
        </is>
      </c>
      <c r="W8" s="51" t="inlineStr">
        <is>
          <t>53102516</t>
        </is>
      </c>
      <c r="X8" s="156" t="inlineStr">
        <is>
          <t>https://cdn.shopify.com/s/files/1/0774/1849/6185/files/RCCB06-01.jpg?v=1782311704</t>
        </is>
      </c>
      <c r="Y8" s="54" t="n">
        <v>283.25</v>
      </c>
      <c r="Z8" s="54" t="n">
        <v>559.4827586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IFERROR(_xlfn.XMATCH(A8,$A$2:$A$23,0,1)&lt;&gt;_xlfn.XMATCH(A8,$A$2:$A$23,0,-1),FALSE)), "Código de barras duplicado", ""), IF(AND(E8&lt;&gt;"", COUNTIF($E$2:$E$23,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0</v>
      </c>
      <c r="AE8" s="156" t="n"/>
      <c r="AF8" s="51" t="n">
        <v>0</v>
      </c>
      <c r="AG8" s="156" t="inlineStr">
        <is>
          <t>Nuevo – NetSuite sin existencia</t>
        </is>
      </c>
      <c r="AH8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8" s="156" t="inlineStr">
        <is>
          <t>No</t>
        </is>
      </c>
      <c r="AJ8" s="156" t="n"/>
      <c r="AK8" s="155" t="inlineStr">
        <is>
          <t>ProductosCatalogoEstandar907.xlsx: fila 5207 [O,P,S,U,Y]; G1522_Extraccion_Articulos_NetSuite_2026-09-30.xlsx: fila 55906 [O,P,V,Y,T] | Shopify WB: producto 8569964429497 / variante 47621330862265</t>
        </is>
      </c>
      <c r="AL8" s="58" t="n"/>
      <c r="AM8" s="58" t="n">
        <v>559.4827586</v>
      </c>
      <c r="AN8" s="155" t="inlineStr">
        <is>
          <t>Shopify Western Brothers</t>
        </is>
      </c>
      <c r="AO8" s="59" t="n"/>
      <c r="AP8" s="59" t="n">
        <v>0</v>
      </c>
      <c r="AQ8" s="59" t="n"/>
      <c r="AR8" s="155" t="n"/>
    </row>
    <row r="9">
      <c r="A9" s="50" t="inlineStr">
        <is>
          <t>7506552408545</t>
        </is>
      </c>
      <c r="B9" s="51" t="inlineStr">
        <is>
          <t>107404</t>
        </is>
      </c>
      <c r="C9" s="156" t="inlineStr">
        <is>
          <t>Multimarca</t>
        </is>
      </c>
      <c r="D9" s="156" t="inlineStr">
        <is>
          <t>RCDB25</t>
        </is>
      </c>
      <c r="E9" s="156" t="inlineStr">
        <is>
          <t>RCDB25-UNI</t>
        </is>
      </c>
      <c r="F9" s="156" t="inlineStr">
        <is>
          <t>Talla única</t>
        </is>
      </c>
      <c r="G9" s="156" t="inlineStr">
        <is>
          <t>One Size</t>
        </is>
      </c>
      <c r="H9" s="156" t="inlineStr">
        <is>
          <t>Ranch &amp; Corral</t>
        </is>
      </c>
      <c r="I9" s="156" t="inlineStr">
        <is>
          <t>Gorra Dog Breeds Black Labrador</t>
        </is>
      </c>
      <c r="J9" s="156" t="inlineStr">
        <is>
          <t>Accesorios</t>
        </is>
      </c>
      <c r="K9" s="156" t="inlineStr">
        <is>
          <t>Gorras</t>
        </is>
      </c>
      <c r="L9" s="156" t="inlineStr">
        <is>
          <t>Unisex</t>
        </is>
      </c>
      <c r="M9" s="156" t="inlineStr">
        <is>
          <t>Ranch &amp; Corral</t>
        </is>
      </c>
      <c r="N9" s="156" t="n"/>
      <c r="O9" s="156" t="inlineStr">
        <is>
          <t>Seasonal</t>
        </is>
      </c>
      <c r="P9" s="156" t="inlineStr">
        <is>
          <t>Negro</t>
        </is>
      </c>
      <c r="Q9" s="156" t="n"/>
      <c r="R9" s="156" t="n"/>
      <c r="S9" s="156" t="inlineStr">
        <is>
          <t>50% Algodón, 50% Poliéster</t>
        </is>
      </c>
      <c r="T9" s="156" t="inlineStr">
        <is>
          <t>Gorra tipo trucker de 6 paneles bicolor negro con visera amarilla y parche bordado frontal.</t>
        </is>
      </c>
      <c r="U9" s="156" t="inlineStr">
        <is>
          <t>China</t>
        </is>
      </c>
      <c r="V9" s="156" t="inlineStr">
        <is>
          <t>PZS</t>
        </is>
      </c>
      <c r="W9" s="51" t="inlineStr">
        <is>
          <t>53102516</t>
        </is>
      </c>
      <c r="X9" s="156" t="inlineStr">
        <is>
          <t>https://cdn.shopify.com/s/files/1/0774/1849/6185/files/RCDB25-01_dba318f3-8a67-4ef1-ba9a-66557883e84c.jpg?v=1776704085</t>
        </is>
      </c>
      <c r="Y9" s="54" t="n">
        <v>241.38</v>
      </c>
      <c r="Z9" s="54" t="n">
        <v>430.1724138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IFERROR(_xlfn.XMATCH(A9,$A$2:$A$23,0,1)&lt;&gt;_xlfn.XMATCH(A9,$A$2:$A$23,0,-1),FALSE)), "Código de barras duplicado", ""), IF(AND(E9&lt;&gt;"", COUNTIF($E$2:$E$23,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1</v>
      </c>
      <c r="AE9" s="156" t="inlineStr">
        <is>
          <t>WB OUTLET LERMA (1)</t>
        </is>
      </c>
      <c r="AF9" s="51" t="n">
        <v>1</v>
      </c>
      <c r="AG9" s="156" t="inlineStr">
        <is>
          <t>Nuevo – NetSuite con existencia</t>
        </is>
      </c>
      <c r="AH9" s="156" t="inlineStr">
        <is>
          <t>Revisión 29/09/2026: Campos sin respaldo: N, X; Auditoría NetSuite 30/09/2026: llenado desde NetSuite [O,V,Y,T]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9" s="156" t="inlineStr">
        <is>
          <t>No</t>
        </is>
      </c>
      <c r="AJ9" s="156" t="n"/>
      <c r="AK9" s="155" t="inlineStr">
        <is>
          <t>ProductosCatalogoEstandar907.xlsx: fila 5209 [O,S,U,Y]; G1522_Extraccion_Articulos_NetSuite_2026-09-30.xlsx: fila 55900 [O,V,Y,T] | Shopify WB: producto 8469286879417 / variante 46869084307641</t>
        </is>
      </c>
      <c r="AL9" s="58" t="n"/>
      <c r="AM9" s="58" t="n">
        <v>430.1724138</v>
      </c>
      <c r="AN9" s="155" t="inlineStr">
        <is>
          <t>Shopify Western Brothers</t>
        </is>
      </c>
      <c r="AO9" s="59" t="n"/>
      <c r="AP9" s="59" t="n">
        <v>1</v>
      </c>
      <c r="AQ9" s="59" t="n"/>
      <c r="AR9" s="155" t="inlineStr">
        <is>
          <t>Shopify Western Brothers › Western Brothers Outlet Lerma: 1</t>
        </is>
      </c>
    </row>
    <row r="10">
      <c r="A10" s="50" t="inlineStr">
        <is>
          <t>7506552412269</t>
        </is>
      </c>
      <c r="B10" s="51" t="inlineStr">
        <is>
          <t>107412</t>
        </is>
      </c>
      <c r="C10" s="156" t="inlineStr">
        <is>
          <t>Multimarca</t>
        </is>
      </c>
      <c r="D10" s="156" t="inlineStr">
        <is>
          <t>RCDB31</t>
        </is>
      </c>
      <c r="E10" s="156" t="inlineStr">
        <is>
          <t>RCDB31-UNI</t>
        </is>
      </c>
      <c r="F10" s="156" t="inlineStr">
        <is>
          <t>Talla única</t>
        </is>
      </c>
      <c r="G10" s="156" t="inlineStr">
        <is>
          <t>One Size</t>
        </is>
      </c>
      <c r="H10" s="156" t="inlineStr">
        <is>
          <t>Ranch &amp; Corral</t>
        </is>
      </c>
      <c r="I10" s="156" t="inlineStr">
        <is>
          <t>Gorra Dog Breeds 31</t>
        </is>
      </c>
      <c r="J10" s="156" t="inlineStr">
        <is>
          <t>Accesorios</t>
        </is>
      </c>
      <c r="K10" s="156" t="inlineStr">
        <is>
          <t>Gorras</t>
        </is>
      </c>
      <c r="L10" s="156" t="inlineStr">
        <is>
          <t>Unisex</t>
        </is>
      </c>
      <c r="M10" s="156" t="inlineStr">
        <is>
          <t>Ranch &amp; Corral</t>
        </is>
      </c>
      <c r="N10" s="156" t="n"/>
      <c r="O10" s="156" t="inlineStr">
        <is>
          <t>Seasonal</t>
        </is>
      </c>
      <c r="P10" s="156" t="inlineStr">
        <is>
          <t>Negro</t>
        </is>
      </c>
      <c r="Q10" s="156" t="n"/>
      <c r="R10" s="156" t="n"/>
      <c r="S10" s="156" t="inlineStr">
        <is>
          <t>75% Poliéster, 25% Algodón</t>
        </is>
      </c>
      <c r="T10" s="156" t="inlineStr">
        <is>
          <t>Gorra tipo trucker de 5 paneles color negro con parche bordado frontal y visera curva.</t>
        </is>
      </c>
      <c r="U10" s="156" t="inlineStr">
        <is>
          <t>China</t>
        </is>
      </c>
      <c r="V10" s="156" t="inlineStr">
        <is>
          <t>PZS</t>
        </is>
      </c>
      <c r="W10" s="51" t="inlineStr">
        <is>
          <t>53102516</t>
        </is>
      </c>
      <c r="X10" s="156" t="inlineStr">
        <is>
          <t>https://cdn.shopify.com/s/files/1/0774/1849/6185/files/RCDB31-01_cb567eb3-50ec-42d7-ab91-9f8f36cff3df.jpg?v=1776704069</t>
        </is>
      </c>
      <c r="Y10" s="54" t="n">
        <v>283.25</v>
      </c>
      <c r="Z10" s="54" t="n">
        <v>559.4827586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IFERROR(_xlfn.XMATCH(A10,$A$2:$A$23,0,1)&lt;&gt;_xlfn.XMATCH(A10,$A$2:$A$23,0,-1),FALSE)), "Código de barras duplicado", ""), IF(AND(E10&lt;&gt;"", COUNTIF($E$2:$E$23,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0</v>
      </c>
      <c r="AE10" s="156" t="n"/>
      <c r="AF10" s="51" t="n">
        <v>0</v>
      </c>
      <c r="AG10" s="156" t="inlineStr">
        <is>
          <t>Nuevo – NetSuite sin existencia</t>
        </is>
      </c>
      <c r="AH10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0" s="156" t="inlineStr">
        <is>
          <t>No</t>
        </is>
      </c>
      <c r="AJ10" s="156" t="n"/>
      <c r="AK10" s="155" t="inlineStr">
        <is>
          <t>ProductosCatalogoEstandar907.xlsx: fila 5210 [O,P,S,U,Y]; G1522_Extraccion_Articulos_NetSuite_2026-09-30.xlsx: fila 55908 [O,P,V,Y,T] | Shopify WB: producto 8469286486201 / variante 46869083881657</t>
        </is>
      </c>
      <c r="AL10" s="58" t="n"/>
      <c r="AM10" s="58" t="n">
        <v>559.4827586</v>
      </c>
      <c r="AN10" s="155" t="inlineStr">
        <is>
          <t>Shopify Western Brothers</t>
        </is>
      </c>
      <c r="AO10" s="59" t="n"/>
      <c r="AP10" s="59" t="n">
        <v>0</v>
      </c>
      <c r="AQ10" s="59" t="n"/>
      <c r="AR10" s="155" t="n"/>
    </row>
    <row r="11">
      <c r="A11" s="50" t="inlineStr">
        <is>
          <t>7506552412283</t>
        </is>
      </c>
      <c r="B11" s="51" t="inlineStr">
        <is>
          <t>107439</t>
        </is>
      </c>
      <c r="C11" s="156" t="inlineStr">
        <is>
          <t>Multimarca</t>
        </is>
      </c>
      <c r="D11" s="156" t="inlineStr">
        <is>
          <t>RCDB33</t>
        </is>
      </c>
      <c r="E11" s="156" t="inlineStr">
        <is>
          <t>RCDB33-UNI</t>
        </is>
      </c>
      <c r="F11" s="156" t="inlineStr">
        <is>
          <t>Talla única</t>
        </is>
      </c>
      <c r="G11" s="156" t="inlineStr">
        <is>
          <t>One Size</t>
        </is>
      </c>
      <c r="H11" s="156" t="inlineStr">
        <is>
          <t>Ranch &amp; Corral</t>
        </is>
      </c>
      <c r="I11" s="156" t="inlineStr">
        <is>
          <t>Gorra Dog Breeds 33</t>
        </is>
      </c>
      <c r="J11" s="156" t="inlineStr">
        <is>
          <t>Accesorios</t>
        </is>
      </c>
      <c r="K11" s="156" t="inlineStr">
        <is>
          <t>Gorras</t>
        </is>
      </c>
      <c r="L11" s="156" t="inlineStr">
        <is>
          <t>Unisex</t>
        </is>
      </c>
      <c r="M11" s="156" t="inlineStr">
        <is>
          <t>Ranch &amp; Corral</t>
        </is>
      </c>
      <c r="N11" s="156" t="n"/>
      <c r="O11" s="156" t="inlineStr">
        <is>
          <t>Seasonal</t>
        </is>
      </c>
      <c r="P11" s="156" t="inlineStr">
        <is>
          <t>Cafe</t>
        </is>
      </c>
      <c r="Q11" s="156" t="n"/>
      <c r="R11" s="156" t="n"/>
      <c r="S11" s="156" t="inlineStr">
        <is>
          <t>75% Poliéster, 25% Algodón</t>
        </is>
      </c>
      <c r="T11" s="156" t="inlineStr">
        <is>
          <t>Gorra tipo trucker de 5 paneles color cafe con parche bordado frontal y visera curva en marron.</t>
        </is>
      </c>
      <c r="U11" s="156" t="inlineStr">
        <is>
          <t>China</t>
        </is>
      </c>
      <c r="V11" s="156" t="inlineStr">
        <is>
          <t>PZS</t>
        </is>
      </c>
      <c r="W11" s="51" t="inlineStr">
        <is>
          <t>53102516</t>
        </is>
      </c>
      <c r="X11" s="156" t="inlineStr">
        <is>
          <t>https://cdn.shopify.com/s/files/1/0774/1849/6185/files/RCDB33-01_c0a1b62c-cc15-4791-a16e-17fac5052b19.jpg?v=1776704067</t>
        </is>
      </c>
      <c r="Y11" s="54" t="n">
        <v>283.25</v>
      </c>
      <c r="Z11" s="54" t="n">
        <v>559.4827586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IFERROR(_xlfn.XMATCH(A11,$A$2:$A$23,0,1)&lt;&gt;_xlfn.XMATCH(A11,$A$2:$A$23,0,-1),FALSE)), "Código de barras duplicado", ""), IF(AND(E11&lt;&gt;"", COUNTIF($E$2:$E$23,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1</v>
      </c>
      <c r="AE11" s="156" t="inlineStr">
        <is>
          <t>WB OUTLET LERMA (1)</t>
        </is>
      </c>
      <c r="AF11" s="51" t="n">
        <v>1</v>
      </c>
      <c r="AG11" s="156" t="inlineStr">
        <is>
          <t>Nuevo – NetSuite con existencia</t>
        </is>
      </c>
      <c r="AH11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1" s="156" t="inlineStr">
        <is>
          <t>No</t>
        </is>
      </c>
      <c r="AJ11" s="156" t="n"/>
      <c r="AK11" s="155" t="inlineStr">
        <is>
          <t>ProductosCatalogoEstandar907.xlsx: fila 5211 [O,P,S,U,Y]; G1522_Extraccion_Articulos_NetSuite_2026-09-30.xlsx: fila 55918 [O,P,V,Y,T] | Shopify WB: producto 8469286453433 / variante 46869083816121</t>
        </is>
      </c>
      <c r="AL11" s="58" t="n"/>
      <c r="AM11" s="58" t="n">
        <v>559.4827586</v>
      </c>
      <c r="AN11" s="155" t="inlineStr">
        <is>
          <t>Shopify Western Brothers</t>
        </is>
      </c>
      <c r="AO11" s="59" t="n"/>
      <c r="AP11" s="59" t="n">
        <v>1</v>
      </c>
      <c r="AQ11" s="59" t="n"/>
      <c r="AR11" s="155" t="inlineStr">
        <is>
          <t>Shopify Western Brothers › Western Brothers Outlet Lerma: 1</t>
        </is>
      </c>
    </row>
    <row r="12">
      <c r="A12" s="50" t="inlineStr">
        <is>
          <t>7506552412245</t>
        </is>
      </c>
      <c r="B12" s="51" t="inlineStr">
        <is>
          <t>107438</t>
        </is>
      </c>
      <c r="C12" s="156" t="inlineStr">
        <is>
          <t>Multimarca</t>
        </is>
      </c>
      <c r="D12" s="156" t="inlineStr">
        <is>
          <t>RCE63</t>
        </is>
      </c>
      <c r="E12" s="156" t="inlineStr">
        <is>
          <t>RCE63-UNI</t>
        </is>
      </c>
      <c r="F12" s="156" t="inlineStr">
        <is>
          <t>Talla única</t>
        </is>
      </c>
      <c r="G12" s="156" t="inlineStr">
        <is>
          <t>One Size</t>
        </is>
      </c>
      <c r="H12" s="156" t="inlineStr">
        <is>
          <t>Ranch &amp; Corral</t>
        </is>
      </c>
      <c r="I12" s="156" t="inlineStr">
        <is>
          <t>Gorra Equus 63</t>
        </is>
      </c>
      <c r="J12" s="156" t="inlineStr">
        <is>
          <t>Accesorios</t>
        </is>
      </c>
      <c r="K12" s="156" t="inlineStr">
        <is>
          <t>Gorras</t>
        </is>
      </c>
      <c r="L12" s="156" t="inlineStr">
        <is>
          <t>Unisex</t>
        </is>
      </c>
      <c r="M12" s="156" t="inlineStr">
        <is>
          <t>Ranch &amp; Corral</t>
        </is>
      </c>
      <c r="N12" s="156" t="n"/>
      <c r="O12" s="156" t="inlineStr">
        <is>
          <t>Seasonal</t>
        </is>
      </c>
      <c r="P12" s="156" t="inlineStr">
        <is>
          <t>Cafe</t>
        </is>
      </c>
      <c r="Q12" s="156" t="n"/>
      <c r="R12" s="156" t="n"/>
      <c r="S12" s="156" t="inlineStr">
        <is>
          <t>75% Poliéster, 25% Algodón</t>
        </is>
      </c>
      <c r="T12" s="156" t="inlineStr">
        <is>
          <t>Gorra tipo trucker de 5 paneles bicolor verde con azul marino con parche bordado frontal y visera curva.</t>
        </is>
      </c>
      <c r="U12" s="156" t="inlineStr">
        <is>
          <t>China</t>
        </is>
      </c>
      <c r="V12" s="156" t="inlineStr">
        <is>
          <t>PZS</t>
        </is>
      </c>
      <c r="W12" s="51" t="inlineStr">
        <is>
          <t>53102516</t>
        </is>
      </c>
      <c r="X12" s="156" t="inlineStr">
        <is>
          <t>https://cdn.shopify.com/s/files/1/0774/1849/6185/files/RCE63-01.jpg?v=1776704078</t>
        </is>
      </c>
      <c r="Y12" s="54" t="n">
        <v>283.25</v>
      </c>
      <c r="Z12" s="54" t="n">
        <v>559.4827586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IFERROR(_xlfn.XMATCH(A12,$A$2:$A$23,0,1)&lt;&gt;_xlfn.XMATCH(A12,$A$2:$A$23,0,-1),FALSE)), "Código de barras duplicado", ""), IF(AND(E12&lt;&gt;"", COUNTIF($E$2:$E$23,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0</v>
      </c>
      <c r="AE12" s="156" t="n"/>
      <c r="AF12" s="51" t="n">
        <v>0</v>
      </c>
      <c r="AG12" s="156" t="inlineStr">
        <is>
          <t>Nuevo – NetSuite sin existencia</t>
        </is>
      </c>
      <c r="AH12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2" s="156" t="inlineStr">
        <is>
          <t>No</t>
        </is>
      </c>
      <c r="AJ12" s="156" t="n"/>
      <c r="AK12" s="155" t="inlineStr">
        <is>
          <t>ProductosCatalogoEstandar907.xlsx: fila 5212 [O,P,S,U,Y]; G1522_Extraccion_Articulos_NetSuite_2026-09-30.xlsx: fila 55917 [O,P,V,Y,T] | Shopify WB: producto 8469286682809 / variante 46869084111033</t>
        </is>
      </c>
      <c r="AL12" s="58" t="n"/>
      <c r="AM12" s="58" t="n">
        <v>559.4827586</v>
      </c>
      <c r="AN12" s="155" t="inlineStr">
        <is>
          <t>Shopify Western Brothers</t>
        </is>
      </c>
      <c r="AO12" s="59" t="n"/>
      <c r="AP12" s="59" t="n">
        <v>0</v>
      </c>
      <c r="AQ12" s="59" t="n"/>
      <c r="AR12" s="155" t="n"/>
    </row>
    <row r="13">
      <c r="A13" s="50" t="inlineStr">
        <is>
          <t>7506552412177</t>
        </is>
      </c>
      <c r="B13" s="51" t="inlineStr">
        <is>
          <t>107411</t>
        </is>
      </c>
      <c r="C13" s="156" t="inlineStr">
        <is>
          <t>Multimarca</t>
        </is>
      </c>
      <c r="D13" s="156" t="inlineStr">
        <is>
          <t>RCG63</t>
        </is>
      </c>
      <c r="E13" s="156" t="inlineStr">
        <is>
          <t>RCG63-UNI</t>
        </is>
      </c>
      <c r="F13" s="156" t="inlineStr">
        <is>
          <t>Talla única</t>
        </is>
      </c>
      <c r="G13" s="156" t="inlineStr">
        <is>
          <t>One Size</t>
        </is>
      </c>
      <c r="H13" s="156" t="inlineStr">
        <is>
          <t>Ranch &amp; Corral</t>
        </is>
      </c>
      <c r="I13" s="156" t="inlineStr">
        <is>
          <t>Gorra Ganadera 63</t>
        </is>
      </c>
      <c r="J13" s="156" t="inlineStr">
        <is>
          <t>Accesorios</t>
        </is>
      </c>
      <c r="K13" s="156" t="inlineStr">
        <is>
          <t>Gorras</t>
        </is>
      </c>
      <c r="L13" s="156" t="inlineStr">
        <is>
          <t>Unisex</t>
        </is>
      </c>
      <c r="M13" s="156" t="inlineStr">
        <is>
          <t>Ranch &amp; Corral</t>
        </is>
      </c>
      <c r="N13" s="156" t="n"/>
      <c r="O13" s="156" t="inlineStr">
        <is>
          <t>Seasonal</t>
        </is>
      </c>
      <c r="P13" s="156" t="inlineStr">
        <is>
          <t>Gris</t>
        </is>
      </c>
      <c r="Q13" s="156" t="n"/>
      <c r="R13" s="156" t="n"/>
      <c r="S13" s="156" t="inlineStr">
        <is>
          <t>75% Poliéster, 25% Algodón</t>
        </is>
      </c>
      <c r="T13" s="156" t="inlineStr">
        <is>
          <t>Gorra tipo trucker de 5 paneles color verde olivo con parche bordado frontal y visera curva.</t>
        </is>
      </c>
      <c r="U13" s="156" t="inlineStr">
        <is>
          <t>China</t>
        </is>
      </c>
      <c r="V13" s="156" t="inlineStr">
        <is>
          <t>PZS</t>
        </is>
      </c>
      <c r="W13" s="51" t="inlineStr">
        <is>
          <t>53102516</t>
        </is>
      </c>
      <c r="X13" s="156" t="inlineStr">
        <is>
          <t>https://cdn.shopify.com/s/files/1/0774/1849/6185/files/RCG63-01.jpg?v=1776704076</t>
        </is>
      </c>
      <c r="Y13" s="54" t="n">
        <v>283.25</v>
      </c>
      <c r="Z13" s="54" t="n">
        <v>559.4827586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IFERROR(_xlfn.XMATCH(A13,$A$2:$A$23,0,1)&lt;&gt;_xlfn.XMATCH(A13,$A$2:$A$23,0,-1),FALSE)), "Código de barras duplicado", ""), IF(AND(E13&lt;&gt;"", COUNTIF($E$2:$E$23,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0</v>
      </c>
      <c r="AE13" s="156" t="n"/>
      <c r="AF13" s="51" t="n">
        <v>0</v>
      </c>
      <c r="AG13" s="156" t="inlineStr">
        <is>
          <t>Nuevo – NetSuite sin existencia</t>
        </is>
      </c>
      <c r="AH13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3" s="156" t="inlineStr">
        <is>
          <t>No</t>
        </is>
      </c>
      <c r="AJ13" s="156" t="n"/>
      <c r="AK13" s="155" t="inlineStr">
        <is>
          <t>ProductosCatalogoEstandar907.xlsx: fila 5214 [O,P,S,U,Y]; G1522_Extraccion_Articulos_NetSuite_2026-09-30.xlsx: fila 55907 [O,P,V,Y,T] | Shopify WB: producto 8469286650041 / variante 46869084078265</t>
        </is>
      </c>
      <c r="AL13" s="58" t="n"/>
      <c r="AM13" s="58" t="n">
        <v>559.4827586</v>
      </c>
      <c r="AN13" s="155" t="inlineStr">
        <is>
          <t>Shopify Western Brothers</t>
        </is>
      </c>
      <c r="AO13" s="59" t="n"/>
      <c r="AP13" s="59" t="n">
        <v>0</v>
      </c>
      <c r="AQ13" s="59" t="n"/>
      <c r="AR13" s="155" t="n"/>
    </row>
    <row r="14">
      <c r="A14" s="50" t="inlineStr">
        <is>
          <t>7506552409009</t>
        </is>
      </c>
      <c r="B14" s="51" t="inlineStr">
        <is>
          <t>107406</t>
        </is>
      </c>
      <c r="C14" s="156" t="inlineStr">
        <is>
          <t>Multimarca</t>
        </is>
      </c>
      <c r="D14" s="156" t="inlineStr">
        <is>
          <t>RCGL02</t>
        </is>
      </c>
      <c r="E14" s="156" t="inlineStr">
        <is>
          <t>RCGL02-UNI</t>
        </is>
      </c>
      <c r="F14" s="156" t="inlineStr">
        <is>
          <t>Talla única</t>
        </is>
      </c>
      <c r="G14" s="156" t="inlineStr">
        <is>
          <t>One Size</t>
        </is>
      </c>
      <c r="H14" s="156" t="inlineStr">
        <is>
          <t>Ranch &amp; Corral</t>
        </is>
      </c>
      <c r="I14" s="156" t="inlineStr">
        <is>
          <t>Gorra Cowgirl 02</t>
        </is>
      </c>
      <c r="J14" s="156" t="inlineStr">
        <is>
          <t>Accesorios</t>
        </is>
      </c>
      <c r="K14" s="156" t="inlineStr">
        <is>
          <t>Gorras</t>
        </is>
      </c>
      <c r="L14" s="156" t="inlineStr">
        <is>
          <t>Niña</t>
        </is>
      </c>
      <c r="M14" s="156" t="inlineStr">
        <is>
          <t>Ranch &amp; Corral</t>
        </is>
      </c>
      <c r="N14" s="156" t="n"/>
      <c r="O14" s="156" t="inlineStr">
        <is>
          <t>Seasonal</t>
        </is>
      </c>
      <c r="P14" s="156" t="inlineStr">
        <is>
          <t>Negro</t>
        </is>
      </c>
      <c r="Q14" s="156" t="n"/>
      <c r="R14" s="156" t="n"/>
      <c r="S14" s="156" t="inlineStr">
        <is>
          <t>50% Algodón, 50% Poliéster</t>
        </is>
      </c>
      <c r="T14" s="156" t="inlineStr">
        <is>
          <t>Gorra tipo trucker de 6 paneles bicolor negro con visera roja y parche bordado frontal.</t>
        </is>
      </c>
      <c r="U14" s="156" t="inlineStr">
        <is>
          <t>China</t>
        </is>
      </c>
      <c r="V14" s="156" t="inlineStr">
        <is>
          <t>PZS</t>
        </is>
      </c>
      <c r="W14" s="51" t="inlineStr">
        <is>
          <t>53102516</t>
        </is>
      </c>
      <c r="X14" s="156" t="inlineStr">
        <is>
          <t>https://cdn.shopify.com/s/files/1/0774/1849/6185/files/RCGL02-01.jpg?v=1776704089</t>
        </is>
      </c>
      <c r="Y14" s="54" t="n">
        <v>241.38</v>
      </c>
      <c r="Z14" s="54" t="n">
        <v>430.1724138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IFERROR(_xlfn.XMATCH(A14,$A$2:$A$23,0,1)&lt;&gt;_xlfn.XMATCH(A14,$A$2:$A$23,0,-1),FALSE)), "Código de barras duplicado", ""), IF(AND(E14&lt;&gt;"", COUNTIF($E$2:$E$23,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0</v>
      </c>
      <c r="AE14" s="156" t="n"/>
      <c r="AF14" s="51" t="n">
        <v>0</v>
      </c>
      <c r="AG14" s="156" t="inlineStr">
        <is>
          <t>Nuevo – NetSuite sin existencia</t>
        </is>
      </c>
      <c r="AH14" s="156" t="inlineStr">
        <is>
          <t>Color por validar | Revisión 29/09/2026: Talla fuente Talla única sin equivalencia exacta en Criterios para Talla Niño (numérica);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4" s="156" t="inlineStr">
        <is>
          <t>No</t>
        </is>
      </c>
      <c r="AJ14" s="156" t="n"/>
      <c r="AK14" s="155" t="inlineStr">
        <is>
          <t>ProductosCatalogoEstandar907.xlsx: fila 5213 [O,P,S,U,Y]; G1522_Extraccion_Articulos_NetSuite_2026-09-30.xlsx: fila 55902 [O,P,V,Y,T] | Shopify WB: producto 8469286944953 / variante 46869084373177</t>
        </is>
      </c>
      <c r="AL14" s="58" t="n"/>
      <c r="AM14" s="58" t="n">
        <v>430.1724138</v>
      </c>
      <c r="AN14" s="155" t="inlineStr">
        <is>
          <t>Shopify Western Brothers</t>
        </is>
      </c>
      <c r="AO14" s="59" t="n"/>
      <c r="AP14" s="59" t="n">
        <v>0</v>
      </c>
      <c r="AQ14" s="59" t="n"/>
      <c r="AR14" s="155" t="n"/>
    </row>
    <row r="15">
      <c r="A15" s="50" t="inlineStr">
        <is>
          <t>7506552412351</t>
        </is>
      </c>
      <c r="B15" s="51" t="inlineStr">
        <is>
          <t>107440</t>
        </is>
      </c>
      <c r="C15" s="156" t="inlineStr">
        <is>
          <t>Multimarca</t>
        </is>
      </c>
      <c r="D15" s="156" t="inlineStr">
        <is>
          <t>RCL37</t>
        </is>
      </c>
      <c r="E15" s="156" t="inlineStr">
        <is>
          <t>RCL37-UNI</t>
        </is>
      </c>
      <c r="F15" s="156" t="inlineStr">
        <is>
          <t>Talla única</t>
        </is>
      </c>
      <c r="G15" s="156" t="inlineStr">
        <is>
          <t>One Size</t>
        </is>
      </c>
      <c r="H15" s="156" t="inlineStr">
        <is>
          <t>Ranch &amp; Corral</t>
        </is>
      </c>
      <c r="I15" s="156" t="inlineStr">
        <is>
          <t>Gorra Lifestyle 37</t>
        </is>
      </c>
      <c r="J15" s="156" t="inlineStr">
        <is>
          <t>Accesorios</t>
        </is>
      </c>
      <c r="K15" s="156" t="inlineStr">
        <is>
          <t>Gorras</t>
        </is>
      </c>
      <c r="L15" s="156" t="inlineStr">
        <is>
          <t>Unisex</t>
        </is>
      </c>
      <c r="M15" s="156" t="inlineStr">
        <is>
          <t>Ranch &amp; Corral</t>
        </is>
      </c>
      <c r="N15" s="156" t="n"/>
      <c r="O15" s="156" t="inlineStr">
        <is>
          <t>Seasonal</t>
        </is>
      </c>
      <c r="P15" s="156" t="inlineStr">
        <is>
          <t>Cafe</t>
        </is>
      </c>
      <c r="Q15" s="156" t="n"/>
      <c r="R15" s="156" t="n"/>
      <c r="S15" s="156" t="inlineStr">
        <is>
          <t>75% Poliéster, 25% Algodón</t>
        </is>
      </c>
      <c r="T15" s="156" t="inlineStr">
        <is>
          <t>Gorra tipo trucker de 5 paneles color camel con parche bordado frontal y visera curva.</t>
        </is>
      </c>
      <c r="U15" s="156" t="inlineStr">
        <is>
          <t>China</t>
        </is>
      </c>
      <c r="V15" s="156" t="inlineStr">
        <is>
          <t>PZS</t>
        </is>
      </c>
      <c r="W15" s="51" t="inlineStr">
        <is>
          <t>53102516</t>
        </is>
      </c>
      <c r="X15" s="156" t="inlineStr">
        <is>
          <t>https://cdn.shopify.com/s/files/1/0774/1849/6185/files/RCL37-01_7be78811-c534-49dc-af6e-b65983b01be9.jpg?v=1776704075</t>
        </is>
      </c>
      <c r="Y15" s="54" t="n">
        <v>283.25</v>
      </c>
      <c r="Z15" s="54" t="n">
        <v>559.4827586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IFERROR(_xlfn.XMATCH(A15,$A$2:$A$23,0,1)&lt;&gt;_xlfn.XMATCH(A15,$A$2:$A$23,0,-1),FALSE)), "Código de barras duplicado", ""), IF(AND(E15&lt;&gt;"", COUNTIF($E$2:$E$23,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0</v>
      </c>
      <c r="AE15" s="156" t="n"/>
      <c r="AF15" s="51" t="n">
        <v>0</v>
      </c>
      <c r="AG15" s="156" t="inlineStr">
        <is>
          <t>Nuevo – NetSuite sin existencia</t>
        </is>
      </c>
      <c r="AH15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5" s="156" t="inlineStr">
        <is>
          <t>No</t>
        </is>
      </c>
      <c r="AJ15" s="156" t="n"/>
      <c r="AK15" s="155" t="inlineStr">
        <is>
          <t>ProductosCatalogoEstandar907.xlsx: fila 5215 [O,P,S,U,Y]; G1522_Extraccion_Articulos_NetSuite_2026-09-30.xlsx: fila 55919 [O,P,V,Y,T] | Shopify WB: producto 8469286617273 / variante 46869084045497</t>
        </is>
      </c>
      <c r="AL15" s="58" t="n"/>
      <c r="AM15" s="58" t="n">
        <v>559.4827586</v>
      </c>
      <c r="AN15" s="155" t="inlineStr">
        <is>
          <t>Shopify Western Brothers</t>
        </is>
      </c>
      <c r="AO15" s="59" t="n"/>
      <c r="AP15" s="59" t="n">
        <v>0</v>
      </c>
      <c r="AQ15" s="59" t="n"/>
      <c r="AR15" s="155" t="n"/>
    </row>
    <row r="16">
      <c r="A16" s="50" t="inlineStr">
        <is>
          <t>7506552408842</t>
        </is>
      </c>
      <c r="B16" s="51" t="inlineStr">
        <is>
          <t>107405</t>
        </is>
      </c>
      <c r="C16" s="156" t="inlineStr">
        <is>
          <t>Multimarca</t>
        </is>
      </c>
      <c r="D16" s="156" t="inlineStr">
        <is>
          <t>RCN24</t>
        </is>
      </c>
      <c r="E16" s="156" t="inlineStr">
        <is>
          <t>RCN24-UNI</t>
        </is>
      </c>
      <c r="F16" s="156" t="inlineStr">
        <is>
          <t>Talla única</t>
        </is>
      </c>
      <c r="G16" s="156" t="inlineStr">
        <is>
          <t>One Size</t>
        </is>
      </c>
      <c r="H16" s="156" t="inlineStr">
        <is>
          <t>Ranch &amp; Corral</t>
        </is>
      </c>
      <c r="I16" s="156" t="inlineStr">
        <is>
          <t>Gorra Navajo 24</t>
        </is>
      </c>
      <c r="J16" s="156" t="inlineStr">
        <is>
          <t>Accesorios</t>
        </is>
      </c>
      <c r="K16" s="156" t="inlineStr">
        <is>
          <t>Gorras</t>
        </is>
      </c>
      <c r="L16" s="156" t="inlineStr">
        <is>
          <t>Unisex</t>
        </is>
      </c>
      <c r="M16" s="156" t="inlineStr">
        <is>
          <t>Ranch &amp; Corral</t>
        </is>
      </c>
      <c r="N16" s="156" t="n"/>
      <c r="O16" s="156" t="inlineStr">
        <is>
          <t>Seasonal</t>
        </is>
      </c>
      <c r="P16" s="156" t="inlineStr">
        <is>
          <t>Amarillo</t>
        </is>
      </c>
      <c r="Q16" s="156" t="n"/>
      <c r="R16" s="156" t="n"/>
      <c r="S16" s="156" t="inlineStr">
        <is>
          <t>50% Algodón, 50% Poliéster</t>
        </is>
      </c>
      <c r="T16" s="156" t="inlineStr">
        <is>
          <t>Gorra tipo trucker de 6 paneles color amarillo mostaza con parche bordado frontal.</t>
        </is>
      </c>
      <c r="U16" s="156" t="inlineStr">
        <is>
          <t>China</t>
        </is>
      </c>
      <c r="V16" s="156" t="inlineStr">
        <is>
          <t>PZS</t>
        </is>
      </c>
      <c r="W16" s="51" t="inlineStr">
        <is>
          <t>53102516</t>
        </is>
      </c>
      <c r="X16" s="156" t="inlineStr">
        <is>
          <t>https://cdn.shopify.com/s/files/1/0774/1849/6185/files/RCN24-01_4358b84e-b055-4ef4-bb25-2b146c214f5b.jpg?v=1776704096</t>
        </is>
      </c>
      <c r="Y16" s="54" t="n">
        <v>241.38</v>
      </c>
      <c r="Z16" s="54" t="n">
        <v>430.1724138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IFERROR(_xlfn.XMATCH(A16,$A$2:$A$23,0,1)&lt;&gt;_xlfn.XMATCH(A16,$A$2:$A$23,0,-1),FALSE)), "Código de barras duplicado", ""), IF(AND(E16&lt;&gt;"", COUNTIF($E$2:$E$23,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0</v>
      </c>
      <c r="AE16" s="156" t="n"/>
      <c r="AF16" s="51" t="n">
        <v>0</v>
      </c>
      <c r="AG16" s="156" t="inlineStr">
        <is>
          <t>Nuevo – NetSuite sin existencia</t>
        </is>
      </c>
      <c r="AH16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6" s="156" t="inlineStr">
        <is>
          <t>No</t>
        </is>
      </c>
      <c r="AJ16" s="156" t="n"/>
      <c r="AK16" s="155" t="inlineStr">
        <is>
          <t>ProductosCatalogoEstandar907.xlsx: fila 5216 [O,P,S,U,Y]; G1522_Extraccion_Articulos_NetSuite_2026-09-30.xlsx: fila 55901 [O,P,V,Y,T] | Shopify WB: producto 8469287141561 / variante 46869084602553</t>
        </is>
      </c>
      <c r="AL16" s="58" t="n"/>
      <c r="AM16" s="58" t="n">
        <v>430.1724138</v>
      </c>
      <c r="AN16" s="155" t="inlineStr">
        <is>
          <t>Shopify Western Brothers</t>
        </is>
      </c>
      <c r="AO16" s="59" t="n"/>
      <c r="AP16" s="59" t="n">
        <v>0</v>
      </c>
      <c r="AQ16" s="59" t="n"/>
      <c r="AR16" s="155" t="n"/>
    </row>
    <row r="17">
      <c r="A17" s="50" t="inlineStr">
        <is>
          <t>7506552412481</t>
        </is>
      </c>
      <c r="B17" s="51" t="inlineStr">
        <is>
          <t>107415</t>
        </is>
      </c>
      <c r="C17" s="156" t="inlineStr">
        <is>
          <t>Multimarca</t>
        </is>
      </c>
      <c r="D17" s="156" t="inlineStr">
        <is>
          <t>RCRD36</t>
        </is>
      </c>
      <c r="E17" s="156" t="inlineStr">
        <is>
          <t>RCRD36-UNI</t>
        </is>
      </c>
      <c r="F17" s="156" t="inlineStr">
        <is>
          <t>Talla única</t>
        </is>
      </c>
      <c r="G17" s="156" t="inlineStr">
        <is>
          <t>One Size</t>
        </is>
      </c>
      <c r="H17" s="156" t="inlineStr">
        <is>
          <t>Ranch &amp; Corral</t>
        </is>
      </c>
      <c r="I17" s="156" t="inlineStr">
        <is>
          <t>Gorra Rodeo 36</t>
        </is>
      </c>
      <c r="J17" s="156" t="inlineStr">
        <is>
          <t>Accesorios</t>
        </is>
      </c>
      <c r="K17" s="156" t="inlineStr">
        <is>
          <t>Gorras</t>
        </is>
      </c>
      <c r="L17" s="156" t="inlineStr">
        <is>
          <t>Unisex</t>
        </is>
      </c>
      <c r="M17" s="156" t="inlineStr">
        <is>
          <t>Ranch &amp; Corral</t>
        </is>
      </c>
      <c r="N17" s="156" t="n"/>
      <c r="O17" s="156" t="inlineStr">
        <is>
          <t>Seasonal</t>
        </is>
      </c>
      <c r="P17" s="156" t="inlineStr">
        <is>
          <t>Verde</t>
        </is>
      </c>
      <c r="Q17" s="156" t="n"/>
      <c r="R17" s="156" t="n"/>
      <c r="S17" s="156" t="inlineStr">
        <is>
          <t>75% Poliéster, 25% Algodón</t>
        </is>
      </c>
      <c r="T17" s="156" t="inlineStr">
        <is>
          <t>Gorra tipo trucker de 5 paneles color verde olivo con parche bordado circular frontal y visera marron curva.</t>
        </is>
      </c>
      <c r="U17" s="156" t="inlineStr">
        <is>
          <t>China</t>
        </is>
      </c>
      <c r="V17" s="156" t="inlineStr">
        <is>
          <t>PZS</t>
        </is>
      </c>
      <c r="W17" s="51" t="inlineStr">
        <is>
          <t>53102516</t>
        </is>
      </c>
      <c r="X17" s="156" t="inlineStr">
        <is>
          <t>https://cdn.shopify.com/s/files/1/0774/1849/6185/files/RCRD36-01_b2ab5d8f-de44-4f7f-98e8-188b99eb8d67.jpg?v=1776704079</t>
        </is>
      </c>
      <c r="Y17" s="54" t="n">
        <v>283.25</v>
      </c>
      <c r="Z17" s="54" t="n">
        <v>559.4827586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IFERROR(_xlfn.XMATCH(A17,$A$2:$A$23,0,1)&lt;&gt;_xlfn.XMATCH(A17,$A$2:$A$23,0,-1),FALSE)), "Código de barras duplicado", ""), IF(AND(E17&lt;&gt;"", COUNTIF($E$2:$E$23,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0</v>
      </c>
      <c r="AE17" s="156" t="n"/>
      <c r="AF17" s="51" t="n">
        <v>0</v>
      </c>
      <c r="AG17" s="156" t="inlineStr">
        <is>
          <t>Nuevo – NetSuite sin existencia</t>
        </is>
      </c>
      <c r="AH17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7" s="156" t="inlineStr">
        <is>
          <t>No</t>
        </is>
      </c>
      <c r="AJ17" s="156" t="n"/>
      <c r="AK17" s="155" t="inlineStr">
        <is>
          <t>ProductosCatalogoEstandar907.xlsx: fila 5217 [O,P,S,U,Y]; G1522_Extraccion_Articulos_NetSuite_2026-09-30.xlsx: fila 55911 [O,P,V,Y,T] | Shopify WB: producto 8469286715577 / variante 46869084143801</t>
        </is>
      </c>
      <c r="AL17" s="58" t="n"/>
      <c r="AM17" s="58" t="n">
        <v>559.4827586</v>
      </c>
      <c r="AN17" s="155" t="inlineStr">
        <is>
          <t>Shopify Western Brothers</t>
        </is>
      </c>
      <c r="AO17" s="59" t="n"/>
      <c r="AP17" s="59" t="n">
        <v>0</v>
      </c>
      <c r="AQ17" s="59" t="n"/>
      <c r="AR17" s="155" t="n"/>
    </row>
    <row r="18">
      <c r="A18" s="50" t="inlineStr">
        <is>
          <t>7506552412498</t>
        </is>
      </c>
      <c r="B18" s="51" t="inlineStr">
        <is>
          <t>107441</t>
        </is>
      </c>
      <c r="C18" s="156" t="inlineStr">
        <is>
          <t>Multimarca</t>
        </is>
      </c>
      <c r="D18" s="156" t="inlineStr">
        <is>
          <t>RCRD37</t>
        </is>
      </c>
      <c r="E18" s="156" t="inlineStr">
        <is>
          <t>RCRD37-UNI</t>
        </is>
      </c>
      <c r="F18" s="156" t="inlineStr">
        <is>
          <t>Talla única</t>
        </is>
      </c>
      <c r="G18" s="156" t="inlineStr">
        <is>
          <t>One Size</t>
        </is>
      </c>
      <c r="H18" s="156" t="inlineStr">
        <is>
          <t>Ranch &amp; Corral</t>
        </is>
      </c>
      <c r="I18" s="156" t="inlineStr">
        <is>
          <t>Gorra Rodeo 37</t>
        </is>
      </c>
      <c r="J18" s="156" t="inlineStr">
        <is>
          <t>Accesorios</t>
        </is>
      </c>
      <c r="K18" s="156" t="inlineStr">
        <is>
          <t>Gorras</t>
        </is>
      </c>
      <c r="L18" s="156" t="inlineStr">
        <is>
          <t>Unisex</t>
        </is>
      </c>
      <c r="M18" s="156" t="inlineStr">
        <is>
          <t>Ranch &amp; Corral</t>
        </is>
      </c>
      <c r="N18" s="156" t="n"/>
      <c r="O18" s="156" t="inlineStr">
        <is>
          <t>Seasonal</t>
        </is>
      </c>
      <c r="P18" s="156" t="inlineStr">
        <is>
          <t>Cafe</t>
        </is>
      </c>
      <c r="Q18" s="156" t="n"/>
      <c r="R18" s="156" t="n"/>
      <c r="S18" s="156" t="inlineStr">
        <is>
          <t>75% Poliéster, 25% Algodón</t>
        </is>
      </c>
      <c r="T18" s="156" t="inlineStr">
        <is>
          <t>Gorra tipo trucker de 5 paneles bicolor café, frente terracota con parche bordado y visera en tono oscuro</t>
        </is>
      </c>
      <c r="U18" s="156" t="inlineStr">
        <is>
          <t>China</t>
        </is>
      </c>
      <c r="V18" s="156" t="inlineStr">
        <is>
          <t>PZS</t>
        </is>
      </c>
      <c r="W18" s="51" t="inlineStr">
        <is>
          <t>53102516</t>
        </is>
      </c>
      <c r="X18" s="156" t="inlineStr">
        <is>
          <t>https://cdn.shopify.com/s/files/1/0774/1849/6185/files/RCRD37-01.jpg?v=1776704070</t>
        </is>
      </c>
      <c r="Y18" s="54" t="n">
        <v>283.25</v>
      </c>
      <c r="Z18" s="54" t="n">
        <v>559.4827586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IFERROR(_xlfn.XMATCH(A18,$A$2:$A$23,0,1)&lt;&gt;_xlfn.XMATCH(A18,$A$2:$A$23,0,-1),FALSE)), "Código de barras duplicado", ""), IF(AND(E18&lt;&gt;"", COUNTIF($E$2:$E$23,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0</v>
      </c>
      <c r="AE18" s="156" t="n"/>
      <c r="AF18" s="51" t="n">
        <v>0</v>
      </c>
      <c r="AG18" s="156" t="inlineStr">
        <is>
          <t>Nuevo – NetSuite sin existencia</t>
        </is>
      </c>
      <c r="AH18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8" s="156" t="inlineStr">
        <is>
          <t>No</t>
        </is>
      </c>
      <c r="AJ18" s="156" t="n"/>
      <c r="AK18" s="155" t="inlineStr">
        <is>
          <t>ProductosCatalogoEstandar907.xlsx: fila 5218 [O,P,S,U,Y]; G1522_Extraccion_Articulos_NetSuite_2026-09-30.xlsx: fila 55920 [O,P,V,Y,T] | Shopify WB: producto 8469286518969 / variante 46869083947193</t>
        </is>
      </c>
      <c r="AL18" s="58" t="n"/>
      <c r="AM18" s="58" t="n">
        <v>559.4827586</v>
      </c>
      <c r="AN18" s="155" t="inlineStr">
        <is>
          <t>Shopify Western Brothers</t>
        </is>
      </c>
      <c r="AO18" s="59" t="n"/>
      <c r="AP18" s="59" t="n">
        <v>0</v>
      </c>
      <c r="AQ18" s="59" t="n"/>
      <c r="AR18" s="155" t="n"/>
    </row>
    <row r="19">
      <c r="A19" s="50" t="inlineStr">
        <is>
          <t>7506552413136</t>
        </is>
      </c>
      <c r="B19" s="51" t="inlineStr">
        <is>
          <t>107416</t>
        </is>
      </c>
      <c r="C19" s="156" t="inlineStr">
        <is>
          <t>Multimarca</t>
        </is>
      </c>
      <c r="D19" s="156" t="inlineStr">
        <is>
          <t>RT10</t>
        </is>
      </c>
      <c r="E19" s="156" t="inlineStr">
        <is>
          <t>RT10-UNI</t>
        </is>
      </c>
      <c r="F19" s="156" t="inlineStr">
        <is>
          <t>Talla única</t>
        </is>
      </c>
      <c r="G19" s="156" t="inlineStr">
        <is>
          <t>One Size</t>
        </is>
      </c>
      <c r="H19" s="156" t="inlineStr">
        <is>
          <t>Ranch &amp; Corral</t>
        </is>
      </c>
      <c r="I19" s="156" t="inlineStr">
        <is>
          <t>Gorra Realtree 10</t>
        </is>
      </c>
      <c r="J19" s="156" t="inlineStr">
        <is>
          <t>Accesorios</t>
        </is>
      </c>
      <c r="K19" s="156" t="inlineStr">
        <is>
          <t>Gorras</t>
        </is>
      </c>
      <c r="L19" s="156" t="inlineStr">
        <is>
          <t>Unisex</t>
        </is>
      </c>
      <c r="M19" s="156" t="inlineStr">
        <is>
          <t>Ranch &amp; Corral</t>
        </is>
      </c>
      <c r="N19" s="156" t="n"/>
      <c r="O19" s="156" t="inlineStr">
        <is>
          <t>Seasonal</t>
        </is>
      </c>
      <c r="P19" s="156" t="inlineStr">
        <is>
          <t>Verde</t>
        </is>
      </c>
      <c r="Q19" s="156" t="n"/>
      <c r="R19" s="156" t="n"/>
      <c r="S19" s="156" t="inlineStr">
        <is>
          <t>54% Poliéster, 39% Algodón, 6% Poliuretano, 1% Elastano</t>
        </is>
      </c>
      <c r="T19" s="156" t="inlineStr">
        <is>
          <t>Gorra de 5 paneles color verde militar con parche bordado frontal y visera curva.</t>
        </is>
      </c>
      <c r="U19" s="156" t="inlineStr">
        <is>
          <t>China</t>
        </is>
      </c>
      <c r="V19" s="156" t="inlineStr">
        <is>
          <t>PZS</t>
        </is>
      </c>
      <c r="W19" s="51" t="inlineStr">
        <is>
          <t>53102516</t>
        </is>
      </c>
      <c r="X19" s="156" t="inlineStr">
        <is>
          <t>https://cdn.shopify.com/s/files/1/0774/1849/6185/files/RT10-01.jpg?v=1776704082</t>
        </is>
      </c>
      <c r="Y19" s="54" t="n">
        <v>316.09</v>
      </c>
      <c r="Z19" s="54" t="n">
        <v>645.6896551999999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IFERROR(_xlfn.XMATCH(A19,$A$2:$A$23,0,1)&lt;&gt;_xlfn.XMATCH(A19,$A$2:$A$23,0,-1),FALSE)), "Código de barras duplicado", ""), IF(AND(E19&lt;&gt;"", COUNTIF($E$2:$E$23,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0</v>
      </c>
      <c r="AE19" s="156" t="n"/>
      <c r="AF19" s="51" t="n">
        <v>0</v>
      </c>
      <c r="AG19" s="156" t="inlineStr">
        <is>
          <t>Nuevo – NetSuite sin existencia</t>
        </is>
      </c>
      <c r="AH19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19" s="156" t="inlineStr">
        <is>
          <t>No</t>
        </is>
      </c>
      <c r="AJ19" s="156" t="n"/>
      <c r="AK19" s="155" t="inlineStr">
        <is>
          <t>ProductosCatalogoEstandar907.xlsx: fila 5219 [O,P,S,U,Y]; G1522_Extraccion_Articulos_NetSuite_2026-09-30.xlsx: fila 55912 [O,P,V,Y,T] | Shopify WB: producto 8469286813881 / variante 46869084242105</t>
        </is>
      </c>
      <c r="AL19" s="58" t="n"/>
      <c r="AM19" s="58" t="n">
        <v>645.6896551999999</v>
      </c>
      <c r="AN19" s="155" t="inlineStr">
        <is>
          <t>Shopify Western Brothers</t>
        </is>
      </c>
      <c r="AO19" s="59" t="n"/>
      <c r="AP19" s="59" t="n">
        <v>0</v>
      </c>
      <c r="AQ19" s="59" t="n"/>
      <c r="AR19" s="155" t="n"/>
    </row>
    <row r="20">
      <c r="A20" s="50" t="inlineStr">
        <is>
          <t>7506552413143</t>
        </is>
      </c>
      <c r="B20" s="51" t="inlineStr">
        <is>
          <t>107442</t>
        </is>
      </c>
      <c r="C20" s="156" t="inlineStr">
        <is>
          <t>Multimarca</t>
        </is>
      </c>
      <c r="D20" s="156" t="inlineStr">
        <is>
          <t>RT11</t>
        </is>
      </c>
      <c r="E20" s="156" t="inlineStr">
        <is>
          <t>RT11-UNI</t>
        </is>
      </c>
      <c r="F20" s="156" t="inlineStr">
        <is>
          <t>Talla única</t>
        </is>
      </c>
      <c r="G20" s="156" t="inlineStr">
        <is>
          <t>One Size</t>
        </is>
      </c>
      <c r="H20" s="156" t="inlineStr">
        <is>
          <t>Ranch &amp; Corral</t>
        </is>
      </c>
      <c r="I20" s="156" t="inlineStr">
        <is>
          <t>Gorra Realtree 11</t>
        </is>
      </c>
      <c r="J20" s="156" t="inlineStr">
        <is>
          <t>Accesorios</t>
        </is>
      </c>
      <c r="K20" s="156" t="inlineStr">
        <is>
          <t>Gorras</t>
        </is>
      </c>
      <c r="L20" s="156" t="inlineStr">
        <is>
          <t>Unisex</t>
        </is>
      </c>
      <c r="M20" s="156" t="inlineStr">
        <is>
          <t>Ranch &amp; Corral</t>
        </is>
      </c>
      <c r="N20" s="156" t="n"/>
      <c r="O20" s="156" t="inlineStr">
        <is>
          <t>Seasonal</t>
        </is>
      </c>
      <c r="P20" s="156" t="inlineStr">
        <is>
          <t>Cafe</t>
        </is>
      </c>
      <c r="Q20" s="156" t="n"/>
      <c r="R20" s="156" t="n"/>
      <c r="S20" s="156" t="inlineStr">
        <is>
          <t>54% Poliéster, 39% Algodón, 6% Poliuretano, 1% Elastano</t>
        </is>
      </c>
      <c r="T20" s="156" t="inlineStr">
        <is>
          <t>Gorra de 5 paneles en tonos café/tierra con parche bordado frontal y visera curva.</t>
        </is>
      </c>
      <c r="U20" s="156" t="inlineStr">
        <is>
          <t>China</t>
        </is>
      </c>
      <c r="V20" s="156" t="inlineStr">
        <is>
          <t>PZS</t>
        </is>
      </c>
      <c r="W20" s="51" t="inlineStr">
        <is>
          <t>53102516</t>
        </is>
      </c>
      <c r="X20" s="156" t="inlineStr">
        <is>
          <t>https://cdn.shopify.com/s/files/1/0774/1849/6185/files/RT11-01.jpg?v=1776704083</t>
        </is>
      </c>
      <c r="Y20" s="54" t="n">
        <v>316.09</v>
      </c>
      <c r="Z20" s="54" t="n">
        <v>645.6896551999999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IFERROR(_xlfn.XMATCH(A20,$A$2:$A$23,0,1)&lt;&gt;_xlfn.XMATCH(A20,$A$2:$A$23,0,-1),FALSE)), "Código de barras duplicado", ""), IF(AND(E20&lt;&gt;"", COUNTIF($E$2:$E$23,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0</v>
      </c>
      <c r="AE20" s="156" t="n"/>
      <c r="AF20" s="51" t="n">
        <v>0</v>
      </c>
      <c r="AG20" s="156" t="inlineStr">
        <is>
          <t>Nuevo – NetSuite sin existencia</t>
        </is>
      </c>
      <c r="AH20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20" s="156" t="inlineStr">
        <is>
          <t>No</t>
        </is>
      </c>
      <c r="AJ20" s="156" t="n"/>
      <c r="AK20" s="155" t="inlineStr">
        <is>
          <t>ProductosCatalogoEstandar907.xlsx: fila 5220 [O,P,S,U,Y]; G1522_Extraccion_Articulos_NetSuite_2026-09-30.xlsx: fila 55921 [O,P,V,Y,T] | Shopify WB: producto 8469286846649 / variante 46869084274873</t>
        </is>
      </c>
      <c r="AL20" s="58" t="n"/>
      <c r="AM20" s="58" t="n">
        <v>645.6896551999999</v>
      </c>
      <c r="AN20" s="155" t="inlineStr">
        <is>
          <t>Shopify Western Brothers</t>
        </is>
      </c>
      <c r="AO20" s="59" t="n"/>
      <c r="AP20" s="59" t="n">
        <v>0</v>
      </c>
      <c r="AQ20" s="59" t="n"/>
      <c r="AR20" s="155" t="n"/>
    </row>
    <row r="21">
      <c r="A21" s="50" t="inlineStr">
        <is>
          <t>7506552413167</t>
        </is>
      </c>
      <c r="B21" s="51" t="inlineStr">
        <is>
          <t>107417</t>
        </is>
      </c>
      <c r="C21" s="156" t="inlineStr">
        <is>
          <t>Multimarca</t>
        </is>
      </c>
      <c r="D21" s="156" t="inlineStr">
        <is>
          <t>RT13</t>
        </is>
      </c>
      <c r="E21" s="156" t="inlineStr">
        <is>
          <t>RT13-UNI</t>
        </is>
      </c>
      <c r="F21" s="156" t="inlineStr">
        <is>
          <t>Talla única</t>
        </is>
      </c>
      <c r="G21" s="156" t="inlineStr">
        <is>
          <t>One Size</t>
        </is>
      </c>
      <c r="H21" s="156" t="inlineStr">
        <is>
          <t>Ranch &amp; Corral</t>
        </is>
      </c>
      <c r="I21" s="156" t="inlineStr">
        <is>
          <t>Gorra Realtree 13</t>
        </is>
      </c>
      <c r="J21" s="156" t="inlineStr">
        <is>
          <t>Accesorios</t>
        </is>
      </c>
      <c r="K21" s="156" t="inlineStr">
        <is>
          <t>Gorras</t>
        </is>
      </c>
      <c r="L21" s="156" t="inlineStr">
        <is>
          <t>Unisex</t>
        </is>
      </c>
      <c r="M21" s="156" t="inlineStr">
        <is>
          <t>Ranch &amp; Corral</t>
        </is>
      </c>
      <c r="N21" s="156" t="n"/>
      <c r="O21" s="156" t="inlineStr">
        <is>
          <t>Seasonal</t>
        </is>
      </c>
      <c r="P21" s="156" t="inlineStr">
        <is>
          <t>Gris</t>
        </is>
      </c>
      <c r="Q21" s="156" t="n"/>
      <c r="R21" s="156" t="n"/>
      <c r="S21" s="156" t="inlineStr">
        <is>
          <t>54% Poliéster, 39% Algodón, 6% Poliuretano, 1% Elastano</t>
        </is>
      </c>
      <c r="T21" s="156" t="inlineStr">
        <is>
          <t>Gorra tipo trucker de 5 paneles con acabado washed en tonos gris/beige con parche bordado frontal y visera curva.</t>
        </is>
      </c>
      <c r="U21" s="156" t="inlineStr">
        <is>
          <t>China</t>
        </is>
      </c>
      <c r="V21" s="156" t="inlineStr">
        <is>
          <t>PZS</t>
        </is>
      </c>
      <c r="W21" s="51" t="inlineStr">
        <is>
          <t>53102516</t>
        </is>
      </c>
      <c r="X21" s="156" t="inlineStr">
        <is>
          <t>https://cdn.shopify.com/s/files/1/0774/1849/6185/files/RT13-01_9e8e0eb9-6dd9-4da1-857b-441a7099e076.jpg?v=1776704072</t>
        </is>
      </c>
      <c r="Y21" s="54" t="n">
        <v>316.09</v>
      </c>
      <c r="Z21" s="54" t="n">
        <v>645.6896551999999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IFERROR(_xlfn.XMATCH(A21,$A$2:$A$23,0,1)&lt;&gt;_xlfn.XMATCH(A21,$A$2:$A$23,0,-1),FALSE)), "Código de barras duplicado", ""), IF(AND(E21&lt;&gt;"", COUNTIF($E$2:$E$23,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0</v>
      </c>
      <c r="AE21" s="156" t="n"/>
      <c r="AF21" s="51" t="n">
        <v>0</v>
      </c>
      <c r="AG21" s="156" t="inlineStr">
        <is>
          <t>Nuevo – NetSuite sin existencia</t>
        </is>
      </c>
      <c r="AH21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21" s="156" t="inlineStr">
        <is>
          <t>No</t>
        </is>
      </c>
      <c r="AJ21" s="156" t="n"/>
      <c r="AK21" s="155" t="inlineStr">
        <is>
          <t>ProductosCatalogoEstandar907.xlsx: fila 5221 [O,P,S,U,Y]; G1522_Extraccion_Articulos_NetSuite_2026-09-30.xlsx: fila 55913 [O,P,V,Y,T] | Shopify WB: producto 8469286551737 / variante 46869083979961</t>
        </is>
      </c>
      <c r="AL21" s="58" t="n"/>
      <c r="AM21" s="58" t="n">
        <v>645.6896551999999</v>
      </c>
      <c r="AN21" s="155" t="inlineStr">
        <is>
          <t>Shopify Western Brothers</t>
        </is>
      </c>
      <c r="AO21" s="59" t="n"/>
      <c r="AP21" s="59" t="n">
        <v>0</v>
      </c>
      <c r="AQ21" s="59" t="n"/>
      <c r="AR21" s="155" t="n"/>
    </row>
    <row r="22">
      <c r="A22" s="50" t="inlineStr">
        <is>
          <t>7506552412672</t>
        </is>
      </c>
      <c r="B22" s="51" t="inlineStr">
        <is>
          <t>107433</t>
        </is>
      </c>
      <c r="C22" s="156" t="inlineStr">
        <is>
          <t>Multimarca</t>
        </is>
      </c>
      <c r="D22" s="156" t="inlineStr">
        <is>
          <t>YW42</t>
        </is>
      </c>
      <c r="E22" s="156" t="inlineStr">
        <is>
          <t>YW42-UNI</t>
        </is>
      </c>
      <c r="F22" s="156" t="inlineStr">
        <is>
          <t>Talla única</t>
        </is>
      </c>
      <c r="G22" s="156" t="inlineStr">
        <is>
          <t>One Size</t>
        </is>
      </c>
      <c r="H22" s="156" t="inlineStr">
        <is>
          <t>Ranch &amp; Corral</t>
        </is>
      </c>
      <c r="I22" s="156" t="inlineStr">
        <is>
          <t>Gorra Yellowstone 42</t>
        </is>
      </c>
      <c r="J22" s="156" t="inlineStr">
        <is>
          <t>Accesorios</t>
        </is>
      </c>
      <c r="K22" s="156" t="inlineStr">
        <is>
          <t>Gorras</t>
        </is>
      </c>
      <c r="L22" s="156" t="inlineStr">
        <is>
          <t>Unisex</t>
        </is>
      </c>
      <c r="M22" s="156" t="inlineStr">
        <is>
          <t>Ranch &amp; Corral</t>
        </is>
      </c>
      <c r="N22" s="156" t="n"/>
      <c r="O22" s="156" t="inlineStr">
        <is>
          <t>Seasonal</t>
        </is>
      </c>
      <c r="P22" s="156" t="inlineStr">
        <is>
          <t>Azul</t>
        </is>
      </c>
      <c r="Q22" s="156" t="n"/>
      <c r="R22" s="156" t="n"/>
      <c r="S22" s="156" t="inlineStr">
        <is>
          <t>50% Algodón, 50% Poliéster</t>
        </is>
      </c>
      <c r="T22" s="156" t="inlineStr">
        <is>
          <t>Gorra tipo trucker de 5 paneles, frente azul marino con parche bordado, parte trasera de malla y visera curva.</t>
        </is>
      </c>
      <c r="U22" s="156" t="inlineStr">
        <is>
          <t>China</t>
        </is>
      </c>
      <c r="V22" s="156" t="inlineStr">
        <is>
          <t>PZS</t>
        </is>
      </c>
      <c r="W22" s="51" t="inlineStr">
        <is>
          <t>53102516</t>
        </is>
      </c>
      <c r="X22" s="156" t="inlineStr">
        <is>
          <t>https://cdn.shopify.com/s/files/1/0774/1849/6185/files/YW42-01.jpg?v=1782311300</t>
        </is>
      </c>
      <c r="Y22" s="54" t="n">
        <v>316.09</v>
      </c>
      <c r="Z22" s="54" t="n">
        <v>775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IFERROR(_xlfn.XMATCH(A22,$A$2:$A$23,0,1)&lt;&gt;_xlfn.XMATCH(A22,$A$2:$A$23,0,-1),FALSE)), "Código de barras duplicado", ""), IF(AND(E22&lt;&gt;"", COUNTIF($E$2:$E$23,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0</v>
      </c>
      <c r="AE22" s="156" t="n"/>
      <c r="AF22" s="51" t="n">
        <v>0</v>
      </c>
      <c r="AG22" s="156" t="inlineStr">
        <is>
          <t>Nuevo – NetSuite sin existencia</t>
        </is>
      </c>
      <c r="AH22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22" s="156" t="inlineStr">
        <is>
          <t>No</t>
        </is>
      </c>
      <c r="AJ22" s="156" t="n"/>
      <c r="AK22" s="155" t="inlineStr">
        <is>
          <t>ProductosCatalogoEstandar907.xlsx: fila 6234 [O,P,S,U,Y]; G1522_Extraccion_Articulos_NetSuite_2026-09-30.xlsx: fila 55914 [O,P,V,Y,T] | Shopify WB: producto 8569964527801 / variante 47621331091641</t>
        </is>
      </c>
      <c r="AL22" s="58" t="n"/>
      <c r="AM22" s="58" t="n">
        <v>775</v>
      </c>
      <c r="AN22" s="155" t="inlineStr">
        <is>
          <t>Shopify Western Brothers</t>
        </is>
      </c>
      <c r="AO22" s="59" t="n"/>
      <c r="AP22" s="59" t="n">
        <v>0</v>
      </c>
      <c r="AQ22" s="59" t="n"/>
      <c r="AR22" s="155" t="n"/>
    </row>
    <row r="23">
      <c r="A23" s="50" t="inlineStr">
        <is>
          <t>7506552412689</t>
        </is>
      </c>
      <c r="B23" s="51" t="inlineStr">
        <is>
          <t>107434</t>
        </is>
      </c>
      <c r="C23" s="156" t="inlineStr">
        <is>
          <t>Multimarca</t>
        </is>
      </c>
      <c r="D23" s="156" t="inlineStr">
        <is>
          <t>YW43</t>
        </is>
      </c>
      <c r="E23" s="156" t="inlineStr">
        <is>
          <t>YW43-UNI</t>
        </is>
      </c>
      <c r="F23" s="156" t="inlineStr">
        <is>
          <t>Talla única</t>
        </is>
      </c>
      <c r="G23" s="156" t="inlineStr">
        <is>
          <t>One Size</t>
        </is>
      </c>
      <c r="H23" s="156" t="inlineStr">
        <is>
          <t>Ranch &amp; Corral</t>
        </is>
      </c>
      <c r="I23" s="156" t="inlineStr">
        <is>
          <t>Gorra Yellowstone 43</t>
        </is>
      </c>
      <c r="J23" s="156" t="inlineStr">
        <is>
          <t>Accesorios</t>
        </is>
      </c>
      <c r="K23" s="156" t="inlineStr">
        <is>
          <t>Gorras</t>
        </is>
      </c>
      <c r="L23" s="156" t="inlineStr">
        <is>
          <t>Unisex</t>
        </is>
      </c>
      <c r="M23" s="156" t="inlineStr">
        <is>
          <t>Ranch &amp; Corral</t>
        </is>
      </c>
      <c r="N23" s="156" t="n"/>
      <c r="O23" s="156" t="inlineStr">
        <is>
          <t>Seasonal</t>
        </is>
      </c>
      <c r="P23" s="156" t="inlineStr">
        <is>
          <t>Beige</t>
        </is>
      </c>
      <c r="Q23" s="156" t="n"/>
      <c r="R23" s="156" t="n"/>
      <c r="S23" s="156" t="inlineStr">
        <is>
          <t>50% Algodón, 50% Poliéster</t>
        </is>
      </c>
      <c r="T23" s="156" t="inlineStr">
        <is>
          <t>Gorra tipo trucker de 5 paneles bicolor, frente color crema con parche bordado, parte trasera café y visera en marron.</t>
        </is>
      </c>
      <c r="U23" s="156" t="inlineStr">
        <is>
          <t>China</t>
        </is>
      </c>
      <c r="V23" s="156" t="inlineStr">
        <is>
          <t>PZS</t>
        </is>
      </c>
      <c r="W23" s="51" t="inlineStr">
        <is>
          <t>53102516</t>
        </is>
      </c>
      <c r="X23" s="156" t="inlineStr">
        <is>
          <t>https://cdn.shopify.com/s/files/1/0774/1849/6185/files/YW43-01.jpg?v=1782311493</t>
        </is>
      </c>
      <c r="Y23" s="54" t="n">
        <v>316.09</v>
      </c>
      <c r="Z23" s="54" t="n">
        <v>775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IFERROR(_xlfn.XMATCH(A23,$A$2:$A$23,0,1)&lt;&gt;_xlfn.XMATCH(A23,$A$2:$A$23,0,-1),FALSE)), "Código de barras duplicado", ""), IF(AND(E23&lt;&gt;"", COUNTIF($E$2:$E$23,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0</v>
      </c>
      <c r="AE23" s="156" t="n"/>
      <c r="AF23" s="51" t="n">
        <v>0</v>
      </c>
      <c r="AG23" s="156" t="inlineStr">
        <is>
          <t>Nuevo – NetSuite sin existencia</t>
        </is>
      </c>
      <c r="AH23" s="156" t="inlineStr">
        <is>
          <t>Color por validar | Revisión 29/09/2026: Campos sin respaldo: N, X; Auditoría NetSuite 30/09/2026: llenado desde NetSuite [O,P,V,Y,T] | 01/10/2026: complementado desde Shopify Western Brothers (match por código de barras): WB Fit, WB Silueta, Enlace de imagen | 01/10/2026: Shopify Western Brothers trae Género «Hombre» — se conservó el valor de Productos</t>
        </is>
      </c>
      <c r="AI23" s="156" t="inlineStr">
        <is>
          <t>No</t>
        </is>
      </c>
      <c r="AJ23" s="156" t="n"/>
      <c r="AK23" s="155" t="inlineStr">
        <is>
          <t>ProductosCatalogoEstandar907.xlsx: fila 6235 [O,P,S,U,Y]; G1522_Extraccion_Articulos_NetSuite_2026-09-30.xlsx: fila 55915 [O,P,V,Y,T] | Shopify WB: producto 8569964691641 / variante 47621331222713</t>
        </is>
      </c>
      <c r="AL23" s="58" t="n"/>
      <c r="AM23" s="58" t="n">
        <v>775</v>
      </c>
      <c r="AN23" s="155" t="inlineStr">
        <is>
          <t>Shopify Western Brothers</t>
        </is>
      </c>
      <c r="AO23" s="59" t="n"/>
      <c r="AP23" s="59" t="n">
        <v>0</v>
      </c>
      <c r="AQ23" s="59" t="n"/>
      <c r="AR23" s="155" t="n"/>
    </row>
  </sheetData>
  <autoFilter ref="A1:AR23"/>
  <conditionalFormatting sqref="AA2:AA23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23">
    <cfRule type="expression" priority="3" dxfId="18" stopIfTrue="1">
      <formula>AND(AB2&lt;&gt;"", AA2="Con Incidencias")</formula>
    </cfRule>
  </conditionalFormatting>
  <dataValidations count="11">
    <dataValidation sqref="O2:O23" showDropDown="0" showInputMessage="0" showErrorMessage="0" allowBlank="1" type="list">
      <formula1>"Seasonal,Core,No Aplica"</formula1>
    </dataValidation>
    <dataValidation sqref="C2:C23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23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23" showDropDown="0" showInputMessage="0" showErrorMessage="0" allowBlank="1" type="list">
      <formula1>"Rojo,Azul,Amarillo,Verde,Naranja,Morado,Rosa,Negro,Blanco,Gris,Beige,Cafe,Varios,No Aplica"</formula1>
    </dataValidation>
    <dataValidation sqref="R2:R23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23" showDropDown="0" showInputMessage="0" showErrorMessage="1" allowBlank="1" type="list">
      <formula1>Criterios!$A$81:$A$120</formula1>
    </dataValidation>
    <dataValidation sqref="N2:N23" showDropDown="0" showInputMessage="0" showErrorMessage="0" allowBlank="1" type="list">
      <formula1>"SS26,FW26,SS27,FW27,SS28,FW28,No Aplica"</formula1>
    </dataValidation>
    <dataValidation sqref="Q2:Q23" showDropDown="0" showInputMessage="0" showErrorMessage="0" allowBlank="1" type="list">
      <formula1>"Regular,Relajado,Slim,Clásico,Moderno,Recto,Bootcut"</formula1>
    </dataValidation>
    <dataValidation sqref="J2:J23" showDropDown="0" showInputMessage="0" showErrorMessage="0" allowBlank="1" type="list">
      <formula1>"Accesorios,Ropa,Denim,Calzado,No Aplica"</formula1>
    </dataValidation>
    <dataValidation sqref="L2:L23" showDropDown="0" showInputMessage="0" showErrorMessage="0" allowBlank="1" type="list">
      <formula1>"Hombre,Mujer,Niño,Niña,Unisex,No Aplica"</formula1>
    </dataValidation>
    <dataValidation sqref="V2:V23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23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22, 16)"),"052356088867")</f>
        <v/>
      </c>
      <c r="Q2">
        <f>IFERROR(__xludf.DUMMYFUNCTION("MAP(FILTER(A2:A23, (B2:B23&lt;&gt;"""")+(D2:D23&lt;&gt;"""")), FILTER(B2:B23, (B2:B23&lt;&gt;"""")+(D2:D23&lt;&gt;"""")),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IFERROR(__xludf.DUMMYFUNCTION("MAP(FILTER(A2:A23, (B2:B23&lt;&gt;"""")+(D2:D23&lt;&gt;"""")), FILTER(B2:B23, (B2:B23&lt;&gt;"""")+(D2:D23&lt;&gt;"""")), FILTER(Q2:Q23, (B2:B23&lt;&gt;"""")+(D2:D23&lt;&gt;"""")),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WB OUTLET LERMA</t>
        </is>
      </c>
      <c r="B2" s="5">
        <f>IF($I2="","",INDEX(Productos!$A:$A,$I2))</f>
        <v/>
      </c>
      <c r="C2" s="134" t="inlineStr">
        <is>
          <t>RCBY03-UNI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2</v>
      </c>
      <c r="H2" s="5">
        <f>IF($I2="","",INDEX(Productos!$AG:$AG,$I2))</f>
        <v/>
      </c>
      <c r="I2" s="136">
        <f>LET(_xlpm.r,Productos!$E$2:$E$23,_xlpm.m,IFERROR(_xlfn.XMATCH(C2,_xlpm.r),IFERROR(_xlfn.XMATCH(VALUE(C2),_xlpm.r),0)),IF(_xlpm.m=0,"",_xlpm.m+1))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WB OUTLET LERMA</t>
        </is>
      </c>
      <c r="B3" s="5">
        <f>IF($I2="","",INDEX(Productos!$A:$A,$I2))</f>
        <v/>
      </c>
      <c r="C3" s="134" t="inlineStr">
        <is>
          <t>RCDB25-UNI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1</v>
      </c>
      <c r="H3" s="5">
        <f>IF($I2="","",INDEX(Productos!$AG:$AG,$I2))</f>
        <v/>
      </c>
      <c r="I3" s="136">
        <f>LET(_xlpm.r,Productos!$E$2:$E$23,_xlpm.m,IFERROR(_xlfn.XMATCH(C3,_xlpm.r),IFERROR(_xlfn.XMATCH(VALUE(C3),_xlpm.r),0)),IF(_xlpm.m=0,"",_xlpm.m+1))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WB OUTLET LERMA</t>
        </is>
      </c>
      <c r="B4" s="5">
        <f>IF($I2="","",INDEX(Productos!$A:$A,$I2))</f>
        <v/>
      </c>
      <c r="C4" s="134" t="inlineStr">
        <is>
          <t>RCDB33-UNI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1</v>
      </c>
      <c r="H4" s="5">
        <f>IF($I2="","",INDEX(Productos!$AG:$AG,$I2))</f>
        <v/>
      </c>
      <c r="I4" s="136">
        <f>LET(_xlpm.r,Productos!$E$2:$E$23,_xlpm.m,IFERROR(_xlfn.XMATCH(C4,_xlpm.r),IFERROR(_xlfn.XMATCH(VALUE(C4),_xlpm.r),0)),IF(_xlpm.m=0,"",_xlpm.m+1))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Shopify Western Brothers › Western Brothers Outlet Lerma</t>
        </is>
      </c>
      <c r="B5" s="5">
        <f>IF($I2="","",INDEX(Productos!$A:$A,$I2))</f>
        <v/>
      </c>
      <c r="C5" s="134" t="inlineStr">
        <is>
          <t>RCBY03-UNI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2</v>
      </c>
      <c r="H5" s="5">
        <f>IF($I2="","",INDEX(Productos!$AG:$AG,$I2))</f>
        <v/>
      </c>
      <c r="I5" s="136">
        <f>LET(_xlpm.r,Productos!$E$2:$E$23,_xlpm.m,IFERROR(_xlfn.XMATCH(C5,_xlpm.r),IFERROR(_xlfn.XMATCH(VALUE(C5),_xlpm.r),0)),IF(_xlpm.m=0,"",_xlpm.m+1))</f>
        <v/>
      </c>
      <c r="J5" s="137" t="inlineStr">
        <is>
          <t>Shopify</t>
        </is>
      </c>
    </row>
    <row r="6">
      <c r="A6" s="5" t="inlineStr">
        <is>
          <t>Shopify Western Brothers › Western Brothers Outlet Lerma</t>
        </is>
      </c>
      <c r="B6" s="5">
        <f>IF($I2="","",INDEX(Productos!$A:$A,$I2))</f>
        <v/>
      </c>
      <c r="C6" s="134" t="inlineStr">
        <is>
          <t>RCDB25-UNI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1</v>
      </c>
      <c r="H6" s="5">
        <f>IF($I2="","",INDEX(Productos!$AG:$AG,$I2))</f>
        <v/>
      </c>
      <c r="I6" s="136">
        <f>LET(_xlpm.r,Productos!$E$2:$E$23,_xlpm.m,IFERROR(_xlfn.XMATCH(C6,_xlpm.r),IFERROR(_xlfn.XMATCH(VALUE(C6),_xlpm.r),0)),IF(_xlpm.m=0,"",_xlpm.m+1))</f>
        <v/>
      </c>
      <c r="J6" s="137" t="inlineStr">
        <is>
          <t>Shopify</t>
        </is>
      </c>
    </row>
    <row r="7">
      <c r="A7" s="5" t="inlineStr">
        <is>
          <t>Shopify Western Brothers › Western Brothers Outlet Lerma</t>
        </is>
      </c>
      <c r="B7" s="5">
        <f>IF($I2="","",INDEX(Productos!$A:$A,$I2))</f>
        <v/>
      </c>
      <c r="C7" s="134" t="inlineStr">
        <is>
          <t>RCDB33-UNI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1</v>
      </c>
      <c r="H7" s="5">
        <f>IF($I2="","",INDEX(Productos!$AG:$AG,$I2))</f>
        <v/>
      </c>
      <c r="I7" s="136">
        <f>LET(_xlpm.r,Productos!$E$2:$E$23,_xlpm.m,IFERROR(_xlfn.XMATCH(C7,_xlpm.r),IFERROR(_xlfn.XMATCH(VALUE(C7),_xlpm.r),0)),IF(_xlpm.m=0,"",_xlpm.m+1))</f>
        <v/>
      </c>
      <c r="J7" s="137" t="inlineStr">
        <is>
          <t>Shopify</t>
        </is>
      </c>
    </row>
  </sheetData>
  <autoFilter ref="A1:J7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IF(ISNUMBER(I6),SUM(I6:I513),0)</f>
        <v/>
      </c>
      <c r="F3" s="145" t="inlineStr">
        <is>
          <t>Renglones:</t>
        </is>
      </c>
      <c r="G3" s="144">
        <f>IF(ISNUMBER(I6),COUNT(I6:I513),0)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43"",""""))))),pE,Productos!$E$2:$E$23,pA,Productos!$A$2:$A$23&amp;"""",s,'Stock por Ubicación'!$A$2:$J$7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$23,""""),sk,XLOOKUP(sk,pE,Produc"&amp;"tos!$B$2:$B$2502,""""),XLOOKUP(sk,pE,Productos!$H$2:$H$23,""""),XLOOKUP(sk,pE,Productos!$I$2:$I$23,""""),pz),IFERROR(FILTER(rw,pz&gt;0),""""))),todo,IF(INDEX(a,1,1)="""",b,IF(INDEX(b,1,1)="""",a,VSTACK(a,b))),IF(INDEX(todo,1,1)="""",""Sin existencias en "&amp;"esta bodega"",LET(tl,XLOOKUP(INDEX(todo,0,4),pE,Productos!$F$2:$F$23,"""")&amp;"""",o,HSTACK(CHOOSECOLS(todo,1,2,3,4,5,6,7),tl,CHOOSECOLS(todo,8)),x,SORT(o,1,TRUE,4,TRUE),IF(x="""","""",x)))))"),"B25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IF(ISNUMBER(I6),SUM(I6:I513),0)</f>
        <v/>
      </c>
      <c r="F3" s="145" t="inlineStr">
        <is>
          <t>Renglones:</t>
        </is>
      </c>
      <c r="G3" s="144">
        <f>IF(ISNUMBER(I6),COUNT(I6:I513),0)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43"",""""))))),pE,Productos!$E$2:$E$23,s,'Stock por Ubicación'!$A$2:$J$7,su,INDEX(s,0,1),sq,INDEX(s,0,7),selSis,(su&lt;&gt;"""")*ISNUMBER(sq)*(sq&gt;0)*(asig(su)=bod)&gt;0,a,IFERROR(FILTER(CHOOSECOLS(s,1,10,2,3,4,5,6,7),sel"&amp;"Sis),""""),tu,Table_2[Ubicación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$23,""""),sk,XLOOKUP(sk,pE,Productos!$B$2:$B$23"&amp;"02,""""),XLOOKUP(sk,pE,Productos!$H$2:$H$23,""""),XLOOKUP(sk,pE,Productos!$I$2:$I$23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$23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2026-10-06T16:33:36Z</dcterms:modified>
</cp:coreProperties>
</file>