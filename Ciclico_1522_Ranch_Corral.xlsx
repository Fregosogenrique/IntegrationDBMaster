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  <sheet xmlns:r="http://schemas.openxmlformats.org/officeDocument/2006/relationships" name="Inventario" sheetId="13" state="visible" r:id="rId13"/>
    <sheet xmlns:r="http://schemas.openxmlformats.org/officeDocument/2006/relationships" name="KPIs Inventario" sheetId="14" state="visible" r:id="rId14"/>
  </sheets>
  <definedNames>
    <definedName name="_xlnm._FilterDatabase" localSheetId="4" hidden="1">'Productos'!$A$1:$AR$39</definedName>
    <definedName name="_xlnm._FilterDatabase" localSheetId="7" hidden="1">'Revisión Duplicados'!$A$1:$AU$2</definedName>
    <definedName name="_xlnm._FilterDatabase" localSheetId="8" hidden="1">'Stock por Ubicación'!$A$1:$J$39</definedName>
    <definedName name="_xlnm._FilterDatabase" localSheetId="12" hidden="1">'Inventario'!$A$1:$AF$20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  <numFmt numFmtId="172" formatCode="0.0%"/>
  </numFmts>
  <fonts count="43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b val="1"/>
      <color rgb="00FFFFFF"/>
    </font>
    <font>
      <b val="1"/>
      <sz val="14"/>
    </font>
    <font>
      <b val="1"/>
    </font>
  </fonts>
  <fills count="23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9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  <xf numFmtId="0" fontId="40" fillId="21" borderId="0" applyAlignment="1" pivotButton="0" quotePrefix="0" xfId="0">
      <alignment vertical="center" wrapText="1"/>
    </xf>
    <xf numFmtId="169" fontId="0" fillId="0" borderId="0" pivotButton="0" quotePrefix="0" xfId="0"/>
    <xf numFmtId="0" fontId="41" fillId="0" borderId="0" pivotButton="0" quotePrefix="0" xfId="0"/>
    <xf numFmtId="0" fontId="42" fillId="22" borderId="0" pivotButton="0" quotePrefix="0" xfId="0"/>
    <xf numFmtId="0" fontId="0" fillId="22" borderId="0" pivotButton="0" quotePrefix="0" xfId="0"/>
    <xf numFmtId="0" fontId="40" fillId="21" borderId="0" pivotButton="0" quotePrefix="0" xfId="0"/>
    <xf numFmtId="3" fontId="0" fillId="0" borderId="0" pivotButton="0" quotePrefix="0" xfId="0"/>
    <xf numFmtId="172" fontId="0" fillId="0" borderId="0" pivotButton="0" quotePrefix="0" xfId="0"/>
    <xf numFmtId="172" fontId="0" fillId="0" borderId="0" pivotButton="0" quotePrefix="0" xfId="0"/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3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7506552410791</t>
        </is>
      </c>
      <c r="B2" s="51" t="inlineStr">
        <is>
          <t>107409</t>
        </is>
      </c>
      <c r="C2" s="156" t="inlineStr">
        <is>
          <t>Multimarca</t>
        </is>
      </c>
      <c r="D2" s="156" t="inlineStr">
        <is>
          <t>CR16</t>
        </is>
      </c>
      <c r="E2" s="156" t="inlineStr">
        <is>
          <t>CR16-UNI</t>
        </is>
      </c>
      <c r="F2" s="156" t="inlineStr">
        <is>
          <t>Talla única</t>
        </is>
      </c>
      <c r="G2" s="156" t="inlineStr">
        <is>
          <t>One Size</t>
        </is>
      </c>
      <c r="H2" s="156" t="inlineStr">
        <is>
          <t>Ranch &amp; Corral</t>
        </is>
      </c>
      <c r="I2" s="156" t="inlineStr">
        <is>
          <t>Gorra Cuco Raya 16</t>
        </is>
      </c>
      <c r="J2" s="156" t="inlineStr">
        <is>
          <t>Accesorios</t>
        </is>
      </c>
      <c r="K2" s="156" t="inlineStr">
        <is>
          <t>Gorras</t>
        </is>
      </c>
      <c r="L2" s="156" t="inlineStr">
        <is>
          <t>Unisex</t>
        </is>
      </c>
      <c r="M2" s="156" t="inlineStr">
        <is>
          <t>Ranch &amp; Corral</t>
        </is>
      </c>
      <c r="N2" s="156" t="n"/>
      <c r="O2" s="156" t="inlineStr">
        <is>
          <t>Seasonal</t>
        </is>
      </c>
      <c r="P2" s="156" t="inlineStr">
        <is>
          <t>Azul</t>
        </is>
      </c>
      <c r="Q2" s="156" t="n"/>
      <c r="R2" s="156" t="n"/>
      <c r="S2" s="156" t="inlineStr">
        <is>
          <t>88% Poliéster, 12% Poliuretano</t>
        </is>
      </c>
      <c r="T2" s="156" t="inlineStr">
        <is>
          <t>Gorra tipo trucker de 5 paneles bicolor azul marino con visera beige y parche bordado frontal.</t>
        </is>
      </c>
      <c r="U2" s="156" t="inlineStr">
        <is>
          <t>China</t>
        </is>
      </c>
      <c r="V2" s="156" t="inlineStr">
        <is>
          <t>PZS</t>
        </is>
      </c>
      <c r="W2" s="51" t="inlineStr">
        <is>
          <t>53102516</t>
        </is>
      </c>
      <c r="X2" s="156" t="inlineStr">
        <is>
          <t>https://cdn.shopify.com/s/files/1/0774/1849/6185/files/CR16-01.jpg?v=1776704094</t>
        </is>
      </c>
      <c r="Y2" s="54" t="n">
        <v>250</v>
      </c>
      <c r="Z2" s="54" t="n">
        <v>430.1724138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IFERROR(_xlfn.XMATCH(A2,$A$2:$A$39,0,1)&lt;&gt;_xlfn.XMATCH(A2,$A$2:$A$39,0,-1),FALSE)), "Código de barras duplicado", ""), IF(AND(E2&lt;&gt;"", COUNTIF($E$2:$E$39,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>
        <v>0</v>
      </c>
      <c r="AE2" s="156" t="n"/>
      <c r="AF2" s="51" t="n">
        <v>0</v>
      </c>
      <c r="AG2" s="156" t="inlineStr">
        <is>
          <t>Nuevo – NetSuite sin existencia</t>
        </is>
      </c>
      <c r="AH2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2" s="156" t="inlineStr">
        <is>
          <t>No</t>
        </is>
      </c>
      <c r="AJ2" s="156" t="n"/>
      <c r="AK2" s="155" t="inlineStr">
        <is>
          <t>ProductosCatalogoEstandar907.xlsx: fila 5135 [O,P,S,U,Y]; G1522_Extraccion_Articulos_NetSuite_2026-09-30.xlsx: fila 55905 [O,P,V,Y,T] | Shopify WB: producto 8469287076025 / variante 46869084537017</t>
        </is>
      </c>
      <c r="AL2" s="58" t="n">
        <v>250</v>
      </c>
      <c r="AM2" s="58" t="n">
        <v>499.00000001</v>
      </c>
      <c r="AN2" s="155" t="inlineStr">
        <is>
          <t>Shopify Western Brothers</t>
        </is>
      </c>
      <c r="AO2" s="59" t="n"/>
      <c r="AP2" s="59" t="n">
        <v>0</v>
      </c>
      <c r="AQ2" s="59" t="n"/>
      <c r="AR2" s="155" t="n"/>
    </row>
    <row r="3">
      <c r="A3" s="50" t="inlineStr">
        <is>
          <t>7506552409252</t>
        </is>
      </c>
      <c r="B3" s="51" t="inlineStr">
        <is>
          <t>107408</t>
        </is>
      </c>
      <c r="C3" s="156" t="inlineStr">
        <is>
          <t>Multimarca</t>
        </is>
      </c>
      <c r="D3" s="156" t="inlineStr">
        <is>
          <t>DA27</t>
        </is>
      </c>
      <c r="E3" s="156" t="inlineStr">
        <is>
          <t>DA27-UNI</t>
        </is>
      </c>
      <c r="F3" s="156" t="inlineStr">
        <is>
          <t>Talla única</t>
        </is>
      </c>
      <c r="G3" s="156" t="inlineStr">
        <is>
          <t>One Size</t>
        </is>
      </c>
      <c r="H3" s="156" t="inlineStr">
        <is>
          <t>Ranch &amp; Corral</t>
        </is>
      </c>
      <c r="I3" s="156" t="inlineStr">
        <is>
          <t>Gorra David Alonso 27</t>
        </is>
      </c>
      <c r="J3" s="156" t="inlineStr">
        <is>
          <t>Accesorios</t>
        </is>
      </c>
      <c r="K3" s="156" t="inlineStr">
        <is>
          <t>Gorras</t>
        </is>
      </c>
      <c r="L3" s="156" t="inlineStr">
        <is>
          <t>Unisex</t>
        </is>
      </c>
      <c r="M3" s="156" t="inlineStr">
        <is>
          <t>Ranch &amp; Corral</t>
        </is>
      </c>
      <c r="N3" s="156" t="n"/>
      <c r="O3" s="156" t="inlineStr">
        <is>
          <t>Seasonal</t>
        </is>
      </c>
      <c r="P3" s="156" t="inlineStr">
        <is>
          <t>Verde</t>
        </is>
      </c>
      <c r="Q3" s="156" t="n"/>
      <c r="R3" s="156" t="n"/>
      <c r="S3" s="156" t="inlineStr">
        <is>
          <t>50% Algodón, 50% Poliéster</t>
        </is>
      </c>
      <c r="T3" s="156" t="inlineStr">
        <is>
          <t>Gorra tipo trucker de 5 paneles bicolor verde olivo con visera azul marino y parche bordado frontal.</t>
        </is>
      </c>
      <c r="U3" s="156" t="inlineStr">
        <is>
          <t>China</t>
        </is>
      </c>
      <c r="V3" s="156" t="inlineStr">
        <is>
          <t>PZS</t>
        </is>
      </c>
      <c r="W3" s="51" t="inlineStr">
        <is>
          <t>53102516</t>
        </is>
      </c>
      <c r="X3" s="156" t="inlineStr">
        <is>
          <t>https://cdn.shopify.com/s/files/1/0774/1849/6185/files/DA27-01.jpg?v=1776704095</t>
        </is>
      </c>
      <c r="Y3" s="54" t="n">
        <v>250</v>
      </c>
      <c r="Z3" s="54" t="n">
        <v>430.1724138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IFERROR(_xlfn.XMATCH(A3,$A$2:$A$39,0,1)&lt;&gt;_xlfn.XMATCH(A3,$A$2:$A$39,0,-1),FALSE)), "Código de barras duplicado", ""), IF(AND(E3&lt;&gt;"", COUNTIF($E$2:$E$39,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>
        <v>0</v>
      </c>
      <c r="AE3" s="156" t="n"/>
      <c r="AF3" s="51" t="n">
        <v>0</v>
      </c>
      <c r="AG3" s="156" t="inlineStr">
        <is>
          <t>Nuevo – NetSuite sin existencia</t>
        </is>
      </c>
      <c r="AH3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3" s="156" t="inlineStr">
        <is>
          <t>No</t>
        </is>
      </c>
      <c r="AJ3" s="156" t="n"/>
      <c r="AK3" s="155" t="inlineStr">
        <is>
          <t>ProductosCatalogoEstandar907.xlsx: fila 5136 [O,P,S,U,Y]; G1522_Extraccion_Articulos_NetSuite_2026-09-30.xlsx: fila 55904 [O,P,V,Y,T] | Shopify WB: producto 8469287108793 / variante 46869084569785</t>
        </is>
      </c>
      <c r="AL3" s="58" t="n">
        <v>250</v>
      </c>
      <c r="AM3" s="58" t="n">
        <v>499.00000001</v>
      </c>
      <c r="AN3" s="155" t="inlineStr">
        <is>
          <t>Shopify Western Brothers</t>
        </is>
      </c>
      <c r="AO3" s="59" t="n"/>
      <c r="AP3" s="59" t="n">
        <v>0</v>
      </c>
      <c r="AQ3" s="59" t="n"/>
      <c r="AR3" s="155" t="n"/>
    </row>
    <row r="4">
      <c r="A4" s="50" t="inlineStr">
        <is>
          <t>7506552412375</t>
        </is>
      </c>
      <c r="B4" s="51" t="inlineStr">
        <is>
          <t>107413</t>
        </is>
      </c>
      <c r="C4" s="156" t="inlineStr">
        <is>
          <t>Multimarca</t>
        </is>
      </c>
      <c r="D4" s="156" t="inlineStr">
        <is>
          <t>RCAC08</t>
        </is>
      </c>
      <c r="E4" s="156" t="inlineStr">
        <is>
          <t>RCAC08-UNI</t>
        </is>
      </c>
      <c r="F4" s="156" t="inlineStr">
        <is>
          <t>Talla única</t>
        </is>
      </c>
      <c r="G4" s="156" t="inlineStr">
        <is>
          <t>One Size</t>
        </is>
      </c>
      <c r="H4" s="156" t="inlineStr">
        <is>
          <t>Ranch &amp; Corral</t>
        </is>
      </c>
      <c r="I4" s="156" t="inlineStr">
        <is>
          <t>Gorra Agriculture 08</t>
        </is>
      </c>
      <c r="J4" s="156" t="inlineStr">
        <is>
          <t>Accesorios</t>
        </is>
      </c>
      <c r="K4" s="156" t="inlineStr">
        <is>
          <t>Gorras</t>
        </is>
      </c>
      <c r="L4" s="156" t="inlineStr">
        <is>
          <t>Unisex</t>
        </is>
      </c>
      <c r="M4" s="156" t="inlineStr">
        <is>
          <t>Ranch &amp; Corral</t>
        </is>
      </c>
      <c r="N4" s="156" t="n"/>
      <c r="O4" s="156" t="inlineStr">
        <is>
          <t>Seasonal</t>
        </is>
      </c>
      <c r="P4" s="156" t="inlineStr">
        <is>
          <t>Azul</t>
        </is>
      </c>
      <c r="Q4" s="156" t="n"/>
      <c r="R4" s="156" t="n"/>
      <c r="S4" s="156" t="inlineStr">
        <is>
          <t>75% Poliéster, 25% Algodón</t>
        </is>
      </c>
      <c r="T4" s="156" t="inlineStr">
        <is>
          <t>Gorra tipo trucker de 5 paneles bicolor, frente azul marino con parche bordado y visera en tono gris.</t>
        </is>
      </c>
      <c r="U4" s="156" t="inlineStr">
        <is>
          <t>China</t>
        </is>
      </c>
      <c r="V4" s="156" t="inlineStr">
        <is>
          <t>PZS</t>
        </is>
      </c>
      <c r="W4" s="51" t="inlineStr">
        <is>
          <t>53102516</t>
        </is>
      </c>
      <c r="X4" s="156" t="inlineStr">
        <is>
          <t>https://cdn.shopify.com/s/files/1/0774/1849/6185/files/RCAC08-01.jpg?v=1776704073</t>
        </is>
      </c>
      <c r="Y4" s="54" t="n">
        <v>283.25</v>
      </c>
      <c r="Z4" s="54" t="n">
        <v>559.4827586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IFERROR(_xlfn.XMATCH(A4,$A$2:$A$39,0,1)&lt;&gt;_xlfn.XMATCH(A4,$A$2:$A$39,0,-1),FALSE)), "Código de barras duplicado", ""), IF(AND(E4&lt;&gt;"", COUNTIF($E$2:$E$39,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>
        <v>0</v>
      </c>
      <c r="AE4" s="156" t="n"/>
      <c r="AF4" s="51" t="n">
        <v>0</v>
      </c>
      <c r="AG4" s="156" t="inlineStr">
        <is>
          <t>Nuevo – NetSuite sin existencia</t>
        </is>
      </c>
      <c r="AH4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4" s="156" t="inlineStr">
        <is>
          <t>No</t>
        </is>
      </c>
      <c r="AJ4" s="156" t="n"/>
      <c r="AK4" s="155" t="inlineStr">
        <is>
          <t>ProductosCatalogoEstandar907.xlsx: fila 5204 [O,P,S,U,Y]; G1522_Extraccion_Articulos_NetSuite_2026-09-30.xlsx: fila 55909 [O,P,V,Y,T] | Shopify WB: producto 8469286584505 / variante 46869084012729</t>
        </is>
      </c>
      <c r="AL4" s="58" t="n">
        <v>283.25</v>
      </c>
      <c r="AM4" s="58" t="n">
        <v>648.99999998</v>
      </c>
      <c r="AN4" s="155" t="inlineStr">
        <is>
          <t>Shopify Western Brothers</t>
        </is>
      </c>
      <c r="AO4" s="59" t="n"/>
      <c r="AP4" s="59" t="n">
        <v>0</v>
      </c>
      <c r="AQ4" s="59" t="n"/>
      <c r="AR4" s="155" t="n"/>
    </row>
    <row r="5">
      <c r="A5" s="50" t="inlineStr">
        <is>
          <t>7506552412399</t>
        </is>
      </c>
      <c r="B5" s="51" t="inlineStr">
        <is>
          <t>107414</t>
        </is>
      </c>
      <c r="C5" s="156" t="inlineStr">
        <is>
          <t>Multimarca</t>
        </is>
      </c>
      <c r="D5" s="156" t="inlineStr">
        <is>
          <t>RCAC10</t>
        </is>
      </c>
      <c r="E5" s="156" t="inlineStr">
        <is>
          <t>RCAC10-UNI</t>
        </is>
      </c>
      <c r="F5" s="156" t="inlineStr">
        <is>
          <t>Talla única</t>
        </is>
      </c>
      <c r="G5" s="156" t="inlineStr">
        <is>
          <t>One Size</t>
        </is>
      </c>
      <c r="H5" s="156" t="inlineStr">
        <is>
          <t>Ranch &amp; Corral</t>
        </is>
      </c>
      <c r="I5" s="156" t="inlineStr">
        <is>
          <t>Gorra Agriculture 10</t>
        </is>
      </c>
      <c r="J5" s="156" t="inlineStr">
        <is>
          <t>Accesorios</t>
        </is>
      </c>
      <c r="K5" s="156" t="inlineStr">
        <is>
          <t>Gorras</t>
        </is>
      </c>
      <c r="L5" s="156" t="inlineStr">
        <is>
          <t>Unisex</t>
        </is>
      </c>
      <c r="M5" s="156" t="inlineStr">
        <is>
          <t>Ranch &amp; Corral</t>
        </is>
      </c>
      <c r="N5" s="156" t="n"/>
      <c r="O5" s="156" t="inlineStr">
        <is>
          <t>Seasonal</t>
        </is>
      </c>
      <c r="P5" s="156" t="inlineStr">
        <is>
          <t>Verde</t>
        </is>
      </c>
      <c r="Q5" s="156" t="n"/>
      <c r="R5" s="156" t="n"/>
      <c r="S5" s="156" t="inlineStr">
        <is>
          <t>50% Algodón, 50% Poliéster</t>
        </is>
      </c>
      <c r="T5" s="156" t="inlineStr">
        <is>
          <t>Gorra tipo trucker de 5 paneles bicolor tono verde olivo/amarillo con parche bordado frontal, malla en color vino y visera curva.</t>
        </is>
      </c>
      <c r="U5" s="156" t="inlineStr">
        <is>
          <t>China</t>
        </is>
      </c>
      <c r="V5" s="156" t="inlineStr">
        <is>
          <t>PZS</t>
        </is>
      </c>
      <c r="W5" s="51" t="inlineStr">
        <is>
          <t>53102516</t>
        </is>
      </c>
      <c r="X5" s="156" t="inlineStr">
        <is>
          <t>https://cdn.shopify.com/s/files/1/0774/1849/6185/files/RCAC10-01.jpg?v=1776704082</t>
        </is>
      </c>
      <c r="Y5" s="54" t="n">
        <v>283.25</v>
      </c>
      <c r="Z5" s="54" t="n">
        <v>559.4827586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IFERROR(_xlfn.XMATCH(A5,$A$2:$A$39,0,1)&lt;&gt;_xlfn.XMATCH(A5,$A$2:$A$39,0,-1),FALSE)), "Código de barras duplicado", ""), IF(AND(E5&lt;&gt;"", COUNTIF($E$2:$E$39,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>
        <v>0</v>
      </c>
      <c r="AE5" s="156" t="n"/>
      <c r="AF5" s="51" t="n">
        <v>0</v>
      </c>
      <c r="AG5" s="156" t="inlineStr">
        <is>
          <t>Nuevo – NetSuite sin existencia</t>
        </is>
      </c>
      <c r="AH5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5" s="156" t="inlineStr">
        <is>
          <t>No</t>
        </is>
      </c>
      <c r="AJ5" s="156" t="n"/>
      <c r="AK5" s="155" t="inlineStr">
        <is>
          <t>ProductosCatalogoEstandar907.xlsx: fila 5205 [O,P,S,U,Y]; G1522_Extraccion_Articulos_NetSuite_2026-09-30.xlsx: fila 55910 [O,P,V,Y,T] | Shopify WB: producto 8469286781113 / variante 46869084209337</t>
        </is>
      </c>
      <c r="AL5" s="58" t="n">
        <v>283.25</v>
      </c>
      <c r="AM5" s="58" t="n">
        <v>648.99999998</v>
      </c>
      <c r="AN5" s="155" t="inlineStr">
        <is>
          <t>Shopify Western Brothers</t>
        </is>
      </c>
      <c r="AO5" s="59" t="n"/>
      <c r="AP5" s="59" t="n">
        <v>0</v>
      </c>
      <c r="AQ5" s="59" t="n"/>
      <c r="AR5" s="155" t="n"/>
    </row>
    <row r="6">
      <c r="A6" s="50" t="inlineStr">
        <is>
          <t>7506552409016</t>
        </is>
      </c>
      <c r="B6" s="51" t="inlineStr">
        <is>
          <t>107407</t>
        </is>
      </c>
      <c r="C6" s="156" t="inlineStr">
        <is>
          <t>Multimarca</t>
        </is>
      </c>
      <c r="D6" s="156" t="inlineStr">
        <is>
          <t>RCBY03</t>
        </is>
      </c>
      <c r="E6" s="156" t="inlineStr">
        <is>
          <t>RCBY03-UNI</t>
        </is>
      </c>
      <c r="F6" s="156" t="inlineStr">
        <is>
          <t>Talla única</t>
        </is>
      </c>
      <c r="G6" s="156" t="inlineStr">
        <is>
          <t>One Size</t>
        </is>
      </c>
      <c r="H6" s="156" t="inlineStr">
        <is>
          <t>Ranch &amp; Corral</t>
        </is>
      </c>
      <c r="I6" s="156" t="inlineStr">
        <is>
          <t>Gorra Cowboy 03</t>
        </is>
      </c>
      <c r="J6" s="156" t="inlineStr">
        <is>
          <t>Accesorios</t>
        </is>
      </c>
      <c r="K6" s="156" t="inlineStr">
        <is>
          <t>Gorras</t>
        </is>
      </c>
      <c r="L6" s="156" t="inlineStr">
        <is>
          <t>Unisex</t>
        </is>
      </c>
      <c r="M6" s="156" t="inlineStr">
        <is>
          <t>Ranch &amp; Corral</t>
        </is>
      </c>
      <c r="N6" s="156" t="n"/>
      <c r="O6" s="156" t="inlineStr">
        <is>
          <t>Seasonal</t>
        </is>
      </c>
      <c r="P6" s="156" t="inlineStr">
        <is>
          <t>Negro</t>
        </is>
      </c>
      <c r="Q6" s="156" t="n"/>
      <c r="R6" s="156" t="n"/>
      <c r="S6" s="156" t="inlineStr">
        <is>
          <t>50% Algodón, 50% Poliéster</t>
        </is>
      </c>
      <c r="T6" s="156" t="inlineStr">
        <is>
          <t>Gorra tipo trucker de 6 paneles color negro con parche bordado frontal y visera curva.</t>
        </is>
      </c>
      <c r="U6" s="156" t="inlineStr">
        <is>
          <t>China</t>
        </is>
      </c>
      <c r="V6" s="156" t="inlineStr">
        <is>
          <t>PZS</t>
        </is>
      </c>
      <c r="W6" s="51" t="inlineStr">
        <is>
          <t>53102516</t>
        </is>
      </c>
      <c r="X6" s="156" t="inlineStr">
        <is>
          <t>https://cdn.shopify.com/s/files/1/0774/1849/6185/files/RCBY03-01.jpg?v=1776704086</t>
        </is>
      </c>
      <c r="Y6" s="54" t="n">
        <v>241.38</v>
      </c>
      <c r="Z6" s="54" t="n">
        <v>430.1724138</v>
      </c>
      <c r="AA6" s="55">
        <f>IF(AND(A6="", B6="", E6=""), "", IF(AB6="", "Válido", IF((LEN(AB6)-LEN(SUBSTITUTE(AB6,"; ","")))/2+1&gt;(LEN(AB6)-LEN(SUBSTITUTE(AB6,"[Aviso]","")))/7, "Con Incidencias", "Válido")))</f>
        <v/>
      </c>
      <c r="AB6" s="56">
        <f>IF(AND(A6="", B6="", E6=""), "", TEXTJOIN("; ", TRUE, IF(OR(TRIM(A6&amp;"")="", ISNUMBER(SEARCH("FALTA", A6))), "UPC faltante/inválido", ""), IF(AND(A6&lt;&gt;"", IFERROR(_xlfn.XMATCH(A6,$A$2:$A$39,0,1)&lt;&gt;_xlfn.XMATCH(A6,$A$2:$A$39,0,-1),FALSE)), "Código de barras duplicado", ""), IF(AND(E6&lt;&gt;"", COUNTIF($E$2:$E$39, E6)&gt;1), "SKU duplicado", ""), IF(OR(J6="", J6=""), "[Aviso] División no capturada ()", IF(ISNA(MATCH(J6, Criterios!$A$123:$A$126, 0)), "División no válida", "")), IF(OR(K6="", K6=""), "[Aviso] Categoría no capturada ()", IF(ISNA(MATCH(K6, Criterios!$A$81:$A$120, 0)), "Categoría no válida", IF(AND(J6&lt;&gt;"", J6&lt;&gt;"", J6&lt;&gt;VLOOKUP(K6, Criterios!$A$81:$B$120, 2, FALSE)), "División no coincide con Categoría", ""))), IF(OR(L6="", L6=""), "[Aviso] Género no capturado ()", IF(ISNA(MATCH(L6, Criterios!$B$123:$B$127, 0)), "Género no válido", "")), IF(OR(N6="", N6=""), "[Aviso] Temporada no capturada ()", IF(ISNA(MATCH(N6, Criterios!$C$123:$C$128, 0)), "Temporada no válida", "")), IF(OR(O6="", O6=""), "[Aviso] Ciclo de vida no capturado ()", IF(ISNA(MATCH(O6, Criterios!$D$123:$D$124, 0)), "Ciclo de vida no válido", ""))))</f>
        <v/>
      </c>
      <c r="AC6" s="56" t="n"/>
      <c r="AD6" s="51" t="n">
        <v>2</v>
      </c>
      <c r="AE6" s="156" t="inlineStr">
        <is>
          <t>WB OUTLET LERMA: 2</t>
        </is>
      </c>
      <c r="AF6" s="51" t="n">
        <v>2</v>
      </c>
      <c r="AG6" s="156" t="inlineStr">
        <is>
          <t>Nuevo – NetSuite con existencia</t>
        </is>
      </c>
      <c r="AH6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6 paneles» (Completado desde NetSuite) · WB Fit: «Regular» → «» (Corrección aplicada) · WB Silueta: «Trucker 6 paneles» → «» (Corrección aplicada)</t>
        </is>
      </c>
      <c r="AI6" s="156" t="inlineStr">
        <is>
          <t>No</t>
        </is>
      </c>
      <c r="AJ6" s="156" t="n"/>
      <c r="AK6" s="155" t="inlineStr">
        <is>
          <t>ProductosCatalogoEstandar907.xlsx: fila 5206 [O,P,S,U,Y]; G1522_Extraccion_Articulos_NetSuite_2026-09-30.xlsx: fila 55903 [O,P,V,Y,T] | Shopify WB: producto 8469286912185 / variante 46869084340409</t>
        </is>
      </c>
      <c r="AL6" s="58" t="n">
        <v>241.38</v>
      </c>
      <c r="AM6" s="58" t="n">
        <v>499.00000001</v>
      </c>
      <c r="AN6" s="155" t="inlineStr">
        <is>
          <t>Shopify Western Brothers</t>
        </is>
      </c>
      <c r="AO6" s="59" t="n"/>
      <c r="AP6" s="59" t="n">
        <v>2</v>
      </c>
      <c r="AQ6" s="59" t="n"/>
      <c r="AR6" s="155" t="inlineStr">
        <is>
          <t>Shopify Western Brothers › Western Brothers Outlet Lerma: 2</t>
        </is>
      </c>
    </row>
    <row r="7">
      <c r="A7" s="50" t="inlineStr">
        <is>
          <t>7506552412085</t>
        </is>
      </c>
      <c r="B7" s="51" t="inlineStr">
        <is>
          <t>107437</t>
        </is>
      </c>
      <c r="C7" s="156" t="inlineStr">
        <is>
          <t>Multimarca</t>
        </is>
      </c>
      <c r="D7" s="156" t="inlineStr">
        <is>
          <t>RCC44</t>
        </is>
      </c>
      <c r="E7" s="156" t="inlineStr">
        <is>
          <t>RCC44-UNI</t>
        </is>
      </c>
      <c r="F7" s="156" t="inlineStr">
        <is>
          <t>Talla única</t>
        </is>
      </c>
      <c r="G7" s="156" t="inlineStr">
        <is>
          <t>One Size</t>
        </is>
      </c>
      <c r="H7" s="156" t="inlineStr">
        <is>
          <t>Ranch &amp; Corral</t>
        </is>
      </c>
      <c r="I7" s="156" t="inlineStr">
        <is>
          <t>Gorra Classic 44</t>
        </is>
      </c>
      <c r="J7" s="156" t="inlineStr">
        <is>
          <t>Accesorios</t>
        </is>
      </c>
      <c r="K7" s="156" t="inlineStr">
        <is>
          <t>Gorras</t>
        </is>
      </c>
      <c r="L7" s="156" t="inlineStr">
        <is>
          <t>Unisex</t>
        </is>
      </c>
      <c r="M7" s="156" t="inlineStr">
        <is>
          <t>Ranch &amp; Corral</t>
        </is>
      </c>
      <c r="N7" s="156" t="n"/>
      <c r="O7" s="156" t="inlineStr">
        <is>
          <t>Core</t>
        </is>
      </c>
      <c r="P7" s="156" t="inlineStr">
        <is>
          <t>Cafe</t>
        </is>
      </c>
      <c r="Q7" s="156" t="n"/>
      <c r="R7" s="156" t="n"/>
      <c r="S7" s="156" t="inlineStr">
        <is>
          <t>54% Poliéster, 39% Algodón, 6% Poliuretano, 1% Elastano</t>
        </is>
      </c>
      <c r="T7" s="156" t="inlineStr">
        <is>
          <t>Gorra tipo trucker de 5 paneles bicolor camel con visera café oscuro y aplicación frontal.</t>
        </is>
      </c>
      <c r="U7" s="156" t="inlineStr">
        <is>
          <t>China</t>
        </is>
      </c>
      <c r="V7" s="156" t="inlineStr">
        <is>
          <t>PZS</t>
        </is>
      </c>
      <c r="W7" s="51" t="inlineStr">
        <is>
          <t>53102516</t>
        </is>
      </c>
      <c r="X7" s="156" t="inlineStr">
        <is>
          <t>https://cdn.shopify.com/s/files/1/0774/1849/6185/files/RCC44-01.jpg?v=1776704232</t>
        </is>
      </c>
      <c r="Y7" s="54" t="n">
        <v>283.25</v>
      </c>
      <c r="Z7" s="54" t="n">
        <v>559.4827586</v>
      </c>
      <c r="AA7" s="55">
        <f>IF(AND(A7="", B7="", E7=""), "", IF(AB7="", "Válido", IF((LEN(AB7)-LEN(SUBSTITUTE(AB7,"; ","")))/2+1&gt;(LEN(AB7)-LEN(SUBSTITUTE(AB7,"[Aviso]","")))/7, "Con Incidencias", "Válido")))</f>
        <v/>
      </c>
      <c r="AB7" s="56">
        <f>IF(AND(A7="", B7="", E7=""), "", TEXTJOIN("; ", TRUE, IF(OR(TRIM(A7&amp;"")="", ISNUMBER(SEARCH("FALTA", A7))), "UPC faltante/inválido", ""), IF(AND(A7&lt;&gt;"", IFERROR(_xlfn.XMATCH(A7,$A$2:$A$39,0,1)&lt;&gt;_xlfn.XMATCH(A7,$A$2:$A$39,0,-1),FALSE)), "Código de barras duplicado", ""), IF(AND(E7&lt;&gt;"", COUNTIF($E$2:$E$39, E7)&gt;1), "SKU duplicado", ""), IF(OR(J7="", J7=""), "[Aviso] División no capturada ()", IF(ISNA(MATCH(J7, Criterios!$A$123:$A$126, 0)), "División no válida", "")), IF(OR(K7="", K7=""), "[Aviso] Categoría no capturada ()", IF(ISNA(MATCH(K7, Criterios!$A$81:$A$120, 0)), "Categoría no válida", IF(AND(J7&lt;&gt;"", J7&lt;&gt;"", J7&lt;&gt;VLOOKUP(K7, Criterios!$A$81:$B$120, 2, FALSE)), "División no coincide con Categoría", ""))), IF(OR(L7="", L7=""), "[Aviso] Género no capturado ()", IF(ISNA(MATCH(L7, Criterios!$B$123:$B$127, 0)), "Género no válido", "")), IF(OR(N7="", N7=""), "[Aviso] Temporada no capturada ()", IF(ISNA(MATCH(N7, Criterios!$C$123:$C$128, 0)), "Temporada no válida", "")), IF(OR(O7="", O7=""), "[Aviso] Ciclo de vida no capturado ()", IF(ISNA(MATCH(O7, Criterios!$D$123:$D$124, 0)), "Ciclo de vida no válido", ""))))</f>
        <v/>
      </c>
      <c r="AC7" s="56" t="n"/>
      <c r="AD7" s="51" t="n">
        <v>0</v>
      </c>
      <c r="AE7" s="156" t="n"/>
      <c r="AF7" s="51" t="n">
        <v>0</v>
      </c>
      <c r="AG7" s="156" t="inlineStr">
        <is>
          <t>Nuevo – NetSuite sin existencia</t>
        </is>
      </c>
      <c r="AH7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7" s="156" t="inlineStr">
        <is>
          <t>No</t>
        </is>
      </c>
      <c r="AJ7" s="156" t="n"/>
      <c r="AK7" s="155" t="inlineStr">
        <is>
          <t>ProductosCatalogoEstandar907.xlsx: fila 5208 [O,P,S,U,Y]; G1522_Extraccion_Articulos_NetSuite_2026-09-30.xlsx: fila 55916 [O,P,V,Y,T] | Shopify WB: producto 8453895553209 / variante 46981774770361</t>
        </is>
      </c>
      <c r="AL7" s="58" t="n">
        <v>283.25</v>
      </c>
      <c r="AM7" s="58" t="n">
        <v>648.99999998</v>
      </c>
      <c r="AN7" s="155" t="inlineStr">
        <is>
          <t>Shopify Western Brothers</t>
        </is>
      </c>
      <c r="AO7" s="59" t="n"/>
      <c r="AP7" s="59" t="n">
        <v>0</v>
      </c>
      <c r="AQ7" s="59" t="n"/>
      <c r="AR7" s="155" t="n"/>
    </row>
    <row r="8">
      <c r="A8" s="50" t="inlineStr">
        <is>
          <t>7506552412047</t>
        </is>
      </c>
      <c r="B8" s="51" t="inlineStr">
        <is>
          <t>107410</t>
        </is>
      </c>
      <c r="C8" s="156" t="inlineStr">
        <is>
          <t>Multimarca</t>
        </is>
      </c>
      <c r="D8" s="156" t="inlineStr">
        <is>
          <t>RCCB06</t>
        </is>
      </c>
      <c r="E8" s="156" t="inlineStr">
        <is>
          <t>RCCB06-UNI</t>
        </is>
      </c>
      <c r="F8" s="156" t="inlineStr">
        <is>
          <t>Talla única</t>
        </is>
      </c>
      <c r="G8" s="156" t="inlineStr">
        <is>
          <t>One Size</t>
        </is>
      </c>
      <c r="H8" s="156" t="inlineStr">
        <is>
          <t>Ranch &amp; Corral</t>
        </is>
      </c>
      <c r="I8" s="156" t="inlineStr">
        <is>
          <t>Gorra Basic 06</t>
        </is>
      </c>
      <c r="J8" s="156" t="inlineStr">
        <is>
          <t>Accesorios</t>
        </is>
      </c>
      <c r="K8" s="156" t="inlineStr">
        <is>
          <t>Gorras</t>
        </is>
      </c>
      <c r="L8" s="156" t="inlineStr">
        <is>
          <t>Unisex</t>
        </is>
      </c>
      <c r="M8" s="156" t="inlineStr">
        <is>
          <t>Ranch &amp; Corral</t>
        </is>
      </c>
      <c r="N8" s="156" t="n"/>
      <c r="O8" s="156" t="inlineStr">
        <is>
          <t>Core</t>
        </is>
      </c>
      <c r="P8" s="156" t="inlineStr">
        <is>
          <t>Negro</t>
        </is>
      </c>
      <c r="Q8" s="156" t="n"/>
      <c r="R8" s="156" t="n"/>
      <c r="S8" s="156" t="inlineStr">
        <is>
          <t>100% Poliéster</t>
        </is>
      </c>
      <c r="T8" s="156" t="inlineStr">
        <is>
          <t>Gorra de 6 paneles color negro liso, visera curva y aplicación frontal.</t>
        </is>
      </c>
      <c r="U8" s="156" t="inlineStr">
        <is>
          <t>China</t>
        </is>
      </c>
      <c r="V8" s="156" t="inlineStr">
        <is>
          <t>PZS</t>
        </is>
      </c>
      <c r="W8" s="51" t="inlineStr">
        <is>
          <t>53102516</t>
        </is>
      </c>
      <c r="X8" s="156" t="inlineStr">
        <is>
          <t>https://cdn.shopify.com/s/files/1/0774/1849/6185/files/RCCB06-01.jpg?v=1782311704</t>
        </is>
      </c>
      <c r="Y8" s="54" t="n">
        <v>283.25</v>
      </c>
      <c r="Z8" s="54" t="n">
        <v>559.4827586</v>
      </c>
      <c r="AA8" s="55">
        <f>IF(AND(A8="", B8="", E8=""), "", IF(AB8="", "Válido", IF((LEN(AB8)-LEN(SUBSTITUTE(AB8,"; ","")))/2+1&gt;(LEN(AB8)-LEN(SUBSTITUTE(AB8,"[Aviso]","")))/7, "Con Incidencias", "Válido")))</f>
        <v/>
      </c>
      <c r="AB8" s="56">
        <f>IF(AND(A8="", B8="", E8=""), "", TEXTJOIN("; ", TRUE, IF(OR(TRIM(A8&amp;"")="", ISNUMBER(SEARCH("FALTA", A8))), "UPC faltante/inválido", ""), IF(AND(A8&lt;&gt;"", IFERROR(_xlfn.XMATCH(A8,$A$2:$A$39,0,1)&lt;&gt;_xlfn.XMATCH(A8,$A$2:$A$39,0,-1),FALSE)), "Código de barras duplicado", ""), IF(AND(E8&lt;&gt;"", COUNTIF($E$2:$E$39, E8)&gt;1), "SKU duplicado", ""), IF(OR(J8="", J8=""), "[Aviso] División no capturada ()", IF(ISNA(MATCH(J8, Criterios!$A$123:$A$126, 0)), "División no válida", "")), IF(OR(K8="", K8=""), "[Aviso] Categoría no capturada ()", IF(ISNA(MATCH(K8, Criterios!$A$81:$A$120, 0)), "Categoría no válida", IF(AND(J8&lt;&gt;"", J8&lt;&gt;"", J8&lt;&gt;VLOOKUP(K8, Criterios!$A$81:$B$120, 2, FALSE)), "División no coincide con Categoría", ""))), IF(OR(L8="", L8=""), "[Aviso] Género no capturado ()", IF(ISNA(MATCH(L8, Criterios!$B$123:$B$127, 0)), "Género no válido", "")), IF(OR(N8="", N8=""), "[Aviso] Temporada no capturada ()", IF(ISNA(MATCH(N8, Criterios!$C$123:$C$128, 0)), "Temporada no válida", "")), IF(OR(O8="", O8=""), "[Aviso] Ciclo de vida no capturado ()", IF(ISNA(MATCH(O8, Criterios!$D$123:$D$124, 0)), "Ciclo de vida no válido", ""))))</f>
        <v/>
      </c>
      <c r="AC8" s="56" t="n"/>
      <c r="AD8" s="51" t="n">
        <v>0</v>
      </c>
      <c r="AE8" s="156" t="n"/>
      <c r="AF8" s="51" t="n">
        <v>0</v>
      </c>
      <c r="AG8" s="156" t="inlineStr">
        <is>
          <t>Nuevo – NetSuite sin existencia</t>
        </is>
      </c>
      <c r="AH8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«Baseball Cap 6 paneles» (Completado desde NetSuite) · WB Fit: «Regular» → «» (Corrección aplicada) · WB Silueta: «Baseball Cap 6 paneles» → «» (Corrección aplicada)</t>
        </is>
      </c>
      <c r="AI8" s="156" t="inlineStr">
        <is>
          <t>No</t>
        </is>
      </c>
      <c r="AJ8" s="156" t="n"/>
      <c r="AK8" s="155" t="inlineStr">
        <is>
          <t>ProductosCatalogoEstandar907.xlsx: fila 5207 [O,P,S,U,Y]; G1522_Extraccion_Articulos_NetSuite_2026-09-30.xlsx: fila 55906 [O,P,V,Y,T] | Shopify WB: producto 8569964429497 / variante 47621330862265</t>
        </is>
      </c>
      <c r="AL8" s="58" t="n">
        <v>283.25</v>
      </c>
      <c r="AM8" s="58" t="n">
        <v>648.99999998</v>
      </c>
      <c r="AN8" s="155" t="inlineStr">
        <is>
          <t>Shopify Western Brothers</t>
        </is>
      </c>
      <c r="AO8" s="59" t="n"/>
      <c r="AP8" s="59" t="n">
        <v>0</v>
      </c>
      <c r="AQ8" s="59" t="n"/>
      <c r="AR8" s="155" t="n"/>
    </row>
    <row r="9">
      <c r="A9" s="50" t="inlineStr">
        <is>
          <t>7506552408545</t>
        </is>
      </c>
      <c r="B9" s="51" t="inlineStr">
        <is>
          <t>107404</t>
        </is>
      </c>
      <c r="C9" s="156" t="inlineStr">
        <is>
          <t>Multimarca</t>
        </is>
      </c>
      <c r="D9" s="156" t="inlineStr">
        <is>
          <t>RCDB25</t>
        </is>
      </c>
      <c r="E9" s="156" t="inlineStr">
        <is>
          <t>RCDB25-UNI</t>
        </is>
      </c>
      <c r="F9" s="156" t="inlineStr">
        <is>
          <t>Talla única</t>
        </is>
      </c>
      <c r="G9" s="156" t="inlineStr">
        <is>
          <t>One Size</t>
        </is>
      </c>
      <c r="H9" s="156" t="inlineStr">
        <is>
          <t>Ranch &amp; Corral</t>
        </is>
      </c>
      <c r="I9" s="156" t="inlineStr">
        <is>
          <t>Gorra Dog Breeds Black Labrador</t>
        </is>
      </c>
      <c r="J9" s="156" t="inlineStr">
        <is>
          <t>Accesorios</t>
        </is>
      </c>
      <c r="K9" s="156" t="inlineStr">
        <is>
          <t>Gorras</t>
        </is>
      </c>
      <c r="L9" s="156" t="inlineStr">
        <is>
          <t>Unisex</t>
        </is>
      </c>
      <c r="M9" s="156" t="inlineStr">
        <is>
          <t>Ranch &amp; Corral</t>
        </is>
      </c>
      <c r="N9" s="156" t="n"/>
      <c r="O9" s="156" t="inlineStr">
        <is>
          <t>Seasonal</t>
        </is>
      </c>
      <c r="P9" s="156" t="inlineStr">
        <is>
          <t>Negro</t>
        </is>
      </c>
      <c r="Q9" s="156" t="n"/>
      <c r="R9" s="156" t="n"/>
      <c r="S9" s="156" t="inlineStr">
        <is>
          <t>50% Algodón, 50% Poliéster</t>
        </is>
      </c>
      <c r="T9" s="156" t="inlineStr">
        <is>
          <t>Gorra tipo trucker de 6 paneles bicolor negro con visera amarilla y parche bordado frontal.</t>
        </is>
      </c>
      <c r="U9" s="156" t="inlineStr">
        <is>
          <t>China</t>
        </is>
      </c>
      <c r="V9" s="156" t="inlineStr">
        <is>
          <t>PZS</t>
        </is>
      </c>
      <c r="W9" s="51" t="inlineStr">
        <is>
          <t>53102516</t>
        </is>
      </c>
      <c r="X9" s="156" t="inlineStr">
        <is>
          <t>https://cdn.shopify.com/s/files/1/0774/1849/6185/files/RCDB25-01_dba318f3-8a67-4ef1-ba9a-66557883e84c.jpg?v=1776704085</t>
        </is>
      </c>
      <c r="Y9" s="54" t="n">
        <v>241.38</v>
      </c>
      <c r="Z9" s="54" t="n">
        <v>430.1724138</v>
      </c>
      <c r="AA9" s="55">
        <f>IF(AND(A9="", B9="", E9=""), "", IF(AB9="", "Válido", IF((LEN(AB9)-LEN(SUBSTITUTE(AB9,"; ","")))/2+1&gt;(LEN(AB9)-LEN(SUBSTITUTE(AB9,"[Aviso]","")))/7, "Con Incidencias", "Válido")))</f>
        <v/>
      </c>
      <c r="AB9" s="56">
        <f>IF(AND(A9="", B9="", E9=""), "", TEXTJOIN("; ", TRUE, IF(OR(TRIM(A9&amp;"")="", ISNUMBER(SEARCH("FALTA", A9))), "UPC faltante/inválido", ""), IF(AND(A9&lt;&gt;"", IFERROR(_xlfn.XMATCH(A9,$A$2:$A$39,0,1)&lt;&gt;_xlfn.XMATCH(A9,$A$2:$A$39,0,-1),FALSE)), "Código de barras duplicado", ""), IF(AND(E9&lt;&gt;"", COUNTIF($E$2:$E$39, E9)&gt;1), "SKU duplicado", ""), IF(OR(J9="", J9=""), "[Aviso] División no capturada ()", IF(ISNA(MATCH(J9, Criterios!$A$123:$A$126, 0)), "División no válida", "")), IF(OR(K9="", K9=""), "[Aviso] Categoría no capturada ()", IF(ISNA(MATCH(K9, Criterios!$A$81:$A$120, 0)), "Categoría no válida", IF(AND(J9&lt;&gt;"", J9&lt;&gt;"", J9&lt;&gt;VLOOKUP(K9, Criterios!$A$81:$B$120, 2, FALSE)), "División no coincide con Categoría", ""))), IF(OR(L9="", L9=""), "[Aviso] Género no capturado ()", IF(ISNA(MATCH(L9, Criterios!$B$123:$B$127, 0)), "Género no válido", "")), IF(OR(N9="", N9=""), "[Aviso] Temporada no capturada ()", IF(ISNA(MATCH(N9, Criterios!$C$123:$C$128, 0)), "Temporada no válida", "")), IF(OR(O9="", O9=""), "[Aviso] Ciclo de vida no capturado ()", IF(ISNA(MATCH(O9, Criterios!$D$123:$D$124, 0)), "Ciclo de vida no válido", ""))))</f>
        <v/>
      </c>
      <c r="AC9" s="56" t="n"/>
      <c r="AD9" s="51" t="n">
        <v>1</v>
      </c>
      <c r="AE9" s="156" t="inlineStr">
        <is>
          <t>WB OUTLET LERMA: 1</t>
        </is>
      </c>
      <c r="AF9" s="51" t="n">
        <v>1</v>
      </c>
      <c r="AG9" s="156" t="inlineStr">
        <is>
          <t>Nuevo – NetSuite con existencia</t>
        </is>
      </c>
      <c r="AH9" s="156" t="inlineStr">
        <is>
          <t>Revisión 29/09/2026: Campos sin respaldo: N, X; Auditoría NetSuite 30/09/2026: llenado desde NetSuite [O,V,Y,T]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6 paneles» (Completado desde NetSuite) · WB Fit: «Regular» → «» (Corrección aplicada) · WB Silueta: «Trucker 6 paneles» → «» (Corrección aplicada)</t>
        </is>
      </c>
      <c r="AI9" s="156" t="inlineStr">
        <is>
          <t>No</t>
        </is>
      </c>
      <c r="AJ9" s="156" t="n"/>
      <c r="AK9" s="155" t="inlineStr">
        <is>
          <t>ProductosCatalogoEstandar907.xlsx: fila 5209 [O,S,U,Y]; G1522_Extraccion_Articulos_NetSuite_2026-09-30.xlsx: fila 55900 [O,V,Y,T] | Shopify WB: producto 8469286879417 / variante 46869084307641</t>
        </is>
      </c>
      <c r="AL9" s="58" t="n">
        <v>241.38</v>
      </c>
      <c r="AM9" s="58" t="n">
        <v>499.00000001</v>
      </c>
      <c r="AN9" s="155" t="inlineStr">
        <is>
          <t>Shopify Western Brothers</t>
        </is>
      </c>
      <c r="AO9" s="59" t="n"/>
      <c r="AP9" s="59" t="n">
        <v>1</v>
      </c>
      <c r="AQ9" s="59" t="n"/>
      <c r="AR9" s="155" t="inlineStr">
        <is>
          <t>Shopify Western Brothers › Western Brothers Outlet Lerma: 1</t>
        </is>
      </c>
    </row>
    <row r="10">
      <c r="A10" s="50" t="inlineStr">
        <is>
          <t>7506552412269</t>
        </is>
      </c>
      <c r="B10" s="51" t="inlineStr">
        <is>
          <t>107412</t>
        </is>
      </c>
      <c r="C10" s="156" t="inlineStr">
        <is>
          <t>Multimarca</t>
        </is>
      </c>
      <c r="D10" s="156" t="inlineStr">
        <is>
          <t>RCDB31</t>
        </is>
      </c>
      <c r="E10" s="156" t="inlineStr">
        <is>
          <t>RCDB31-UNI</t>
        </is>
      </c>
      <c r="F10" s="156" t="inlineStr">
        <is>
          <t>Talla única</t>
        </is>
      </c>
      <c r="G10" s="156" t="inlineStr">
        <is>
          <t>One Size</t>
        </is>
      </c>
      <c r="H10" s="156" t="inlineStr">
        <is>
          <t>Ranch &amp; Corral</t>
        </is>
      </c>
      <c r="I10" s="156" t="inlineStr">
        <is>
          <t>Gorra Dog Breeds 31</t>
        </is>
      </c>
      <c r="J10" s="156" t="inlineStr">
        <is>
          <t>Accesorios</t>
        </is>
      </c>
      <c r="K10" s="156" t="inlineStr">
        <is>
          <t>Gorras</t>
        </is>
      </c>
      <c r="L10" s="156" t="inlineStr">
        <is>
          <t>Unisex</t>
        </is>
      </c>
      <c r="M10" s="156" t="inlineStr">
        <is>
          <t>Ranch &amp; Corral</t>
        </is>
      </c>
      <c r="N10" s="156" t="n"/>
      <c r="O10" s="156" t="inlineStr">
        <is>
          <t>Seasonal</t>
        </is>
      </c>
      <c r="P10" s="156" t="inlineStr">
        <is>
          <t>Negro</t>
        </is>
      </c>
      <c r="Q10" s="156" t="n"/>
      <c r="R10" s="156" t="n"/>
      <c r="S10" s="156" t="inlineStr">
        <is>
          <t>75% Poliéster, 25% Algodón</t>
        </is>
      </c>
      <c r="T10" s="156" t="inlineStr">
        <is>
          <t>Gorra tipo trucker de 5 paneles color negro con parche bordado frontal y visera curva.</t>
        </is>
      </c>
      <c r="U10" s="156" t="inlineStr">
        <is>
          <t>China</t>
        </is>
      </c>
      <c r="V10" s="156" t="inlineStr">
        <is>
          <t>PZS</t>
        </is>
      </c>
      <c r="W10" s="51" t="inlineStr">
        <is>
          <t>53102516</t>
        </is>
      </c>
      <c r="X10" s="156" t="inlineStr">
        <is>
          <t>https://cdn.shopify.com/s/files/1/0774/1849/6185/files/RCDB31-01_cb567eb3-50ec-42d7-ab91-9f8f36cff3df.jpg?v=1776704069</t>
        </is>
      </c>
      <c r="Y10" s="54" t="n">
        <v>283.25</v>
      </c>
      <c r="Z10" s="54" t="n">
        <v>559.4827586</v>
      </c>
      <c r="AA10" s="55">
        <f>IF(AND(A10="", B10="", E10=""), "", IF(AB10="", "Válido", IF((LEN(AB10)-LEN(SUBSTITUTE(AB10,"; ","")))/2+1&gt;(LEN(AB10)-LEN(SUBSTITUTE(AB10,"[Aviso]","")))/7, "Con Incidencias", "Válido")))</f>
        <v/>
      </c>
      <c r="AB10" s="56">
        <f>IF(AND(A10="", B10="", E10=""), "", TEXTJOIN("; ", TRUE, IF(OR(TRIM(A10&amp;"")="", ISNUMBER(SEARCH("FALTA", A10))), "UPC faltante/inválido", ""), IF(AND(A10&lt;&gt;"", IFERROR(_xlfn.XMATCH(A10,$A$2:$A$39,0,1)&lt;&gt;_xlfn.XMATCH(A10,$A$2:$A$39,0,-1),FALSE)), "Código de barras duplicado", ""), IF(AND(E10&lt;&gt;"", COUNTIF($E$2:$E$39, E10)&gt;1), "SKU duplicado", ""), IF(OR(J10="", J10=""), "[Aviso] División no capturada ()", IF(ISNA(MATCH(J10, Criterios!$A$123:$A$126, 0)), "División no válida", "")), IF(OR(K10="", K10=""), "[Aviso] Categoría no capturada ()", IF(ISNA(MATCH(K10, Criterios!$A$81:$A$120, 0)), "Categoría no válida", IF(AND(J10&lt;&gt;"", J10&lt;&gt;"", J10&lt;&gt;VLOOKUP(K10, Criterios!$A$81:$B$120, 2, FALSE)), "División no coincide con Categoría", ""))), IF(OR(L10="", L10=""), "[Aviso] Género no capturado ()", IF(ISNA(MATCH(L10, Criterios!$B$123:$B$127, 0)), "Género no válido", "")), IF(OR(N10="", N10=""), "[Aviso] Temporada no capturada ()", IF(ISNA(MATCH(N10, Criterios!$C$123:$C$128, 0)), "Temporada no válida", "")), IF(OR(O10="", O10=""), "[Aviso] Ciclo de vida no capturado ()", IF(ISNA(MATCH(O10, Criterios!$D$123:$D$124, 0)), "Ciclo de vida no válido", ""))))</f>
        <v/>
      </c>
      <c r="AC10" s="56" t="n"/>
      <c r="AD10" s="51" t="n">
        <v>0</v>
      </c>
      <c r="AE10" s="156" t="n"/>
      <c r="AF10" s="51" t="n">
        <v>0</v>
      </c>
      <c r="AG10" s="156" t="inlineStr">
        <is>
          <t>Nuevo – NetSuite sin existencia</t>
        </is>
      </c>
      <c r="AH10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0" s="156" t="inlineStr">
        <is>
          <t>No</t>
        </is>
      </c>
      <c r="AJ10" s="156" t="n"/>
      <c r="AK10" s="155" t="inlineStr">
        <is>
          <t>ProductosCatalogoEstandar907.xlsx: fila 5210 [O,P,S,U,Y]; G1522_Extraccion_Articulos_NetSuite_2026-09-30.xlsx: fila 55908 [O,P,V,Y,T] | Shopify WB: producto 8469286486201 / variante 46869083881657</t>
        </is>
      </c>
      <c r="AL10" s="58" t="n">
        <v>283.25</v>
      </c>
      <c r="AM10" s="58" t="n">
        <v>648.99999998</v>
      </c>
      <c r="AN10" s="155" t="inlineStr">
        <is>
          <t>Shopify Western Brothers</t>
        </is>
      </c>
      <c r="AO10" s="59" t="n"/>
      <c r="AP10" s="59" t="n">
        <v>0</v>
      </c>
      <c r="AQ10" s="59" t="n"/>
      <c r="AR10" s="155" t="n"/>
    </row>
    <row r="11">
      <c r="A11" s="50" t="inlineStr">
        <is>
          <t>7506552412283</t>
        </is>
      </c>
      <c r="B11" s="51" t="inlineStr">
        <is>
          <t>107439</t>
        </is>
      </c>
      <c r="C11" s="156" t="inlineStr">
        <is>
          <t>Multimarca</t>
        </is>
      </c>
      <c r="D11" s="156" t="inlineStr">
        <is>
          <t>RCDB33</t>
        </is>
      </c>
      <c r="E11" s="156" t="inlineStr">
        <is>
          <t>RCDB33-UNI</t>
        </is>
      </c>
      <c r="F11" s="156" t="inlineStr">
        <is>
          <t>Talla única</t>
        </is>
      </c>
      <c r="G11" s="156" t="inlineStr">
        <is>
          <t>One Size</t>
        </is>
      </c>
      <c r="H11" s="156" t="inlineStr">
        <is>
          <t>Ranch &amp; Corral</t>
        </is>
      </c>
      <c r="I11" s="156" t="inlineStr">
        <is>
          <t>Gorra Dog Breeds 33</t>
        </is>
      </c>
      <c r="J11" s="156" t="inlineStr">
        <is>
          <t>Accesorios</t>
        </is>
      </c>
      <c r="K11" s="156" t="inlineStr">
        <is>
          <t>Gorras</t>
        </is>
      </c>
      <c r="L11" s="156" t="inlineStr">
        <is>
          <t>Unisex</t>
        </is>
      </c>
      <c r="M11" s="156" t="inlineStr">
        <is>
          <t>Ranch &amp; Corral</t>
        </is>
      </c>
      <c r="N11" s="156" t="n"/>
      <c r="O11" s="156" t="inlineStr">
        <is>
          <t>Seasonal</t>
        </is>
      </c>
      <c r="P11" s="156" t="inlineStr">
        <is>
          <t>Cafe</t>
        </is>
      </c>
      <c r="Q11" s="156" t="n"/>
      <c r="R11" s="156" t="n"/>
      <c r="S11" s="156" t="inlineStr">
        <is>
          <t>75% Poliéster, 25% Algodón</t>
        </is>
      </c>
      <c r="T11" s="156" t="inlineStr">
        <is>
          <t>Gorra tipo trucker de 5 paneles color cafe con parche bordado frontal y visera curva en marron.</t>
        </is>
      </c>
      <c r="U11" s="156" t="inlineStr">
        <is>
          <t>China</t>
        </is>
      </c>
      <c r="V11" s="156" t="inlineStr">
        <is>
          <t>PZS</t>
        </is>
      </c>
      <c r="W11" s="51" t="inlineStr">
        <is>
          <t>53102516</t>
        </is>
      </c>
      <c r="X11" s="156" t="inlineStr">
        <is>
          <t>https://cdn.shopify.com/s/files/1/0774/1849/6185/files/RCDB33-01_c0a1b62c-cc15-4791-a16e-17fac5052b19.jpg?v=1776704067</t>
        </is>
      </c>
      <c r="Y11" s="54" t="n">
        <v>283.25</v>
      </c>
      <c r="Z11" s="54" t="n">
        <v>559.4827586</v>
      </c>
      <c r="AA11" s="55">
        <f>IF(AND(A11="", B11="", E11=""), "", IF(AB11="", "Válido", IF((LEN(AB11)-LEN(SUBSTITUTE(AB11,"; ","")))/2+1&gt;(LEN(AB11)-LEN(SUBSTITUTE(AB11,"[Aviso]","")))/7, "Con Incidencias", "Válido")))</f>
        <v/>
      </c>
      <c r="AB11" s="56">
        <f>IF(AND(A11="", B11="", E11=""), "", TEXTJOIN("; ", TRUE, IF(OR(TRIM(A11&amp;"")="", ISNUMBER(SEARCH("FALTA", A11))), "UPC faltante/inválido", ""), IF(AND(A11&lt;&gt;"", IFERROR(_xlfn.XMATCH(A11,$A$2:$A$39,0,1)&lt;&gt;_xlfn.XMATCH(A11,$A$2:$A$39,0,-1),FALSE)), "Código de barras duplicado", ""), IF(AND(E11&lt;&gt;"", COUNTIF($E$2:$E$39, E11)&gt;1), "SKU duplicado", ""), IF(OR(J11="", J11=""), "[Aviso] División no capturada ()", IF(ISNA(MATCH(J11, Criterios!$A$123:$A$126, 0)), "División no válida", "")), IF(OR(K11="", K11=""), "[Aviso] Categoría no capturada ()", IF(ISNA(MATCH(K11, Criterios!$A$81:$A$120, 0)), "Categoría no válida", IF(AND(J11&lt;&gt;"", J11&lt;&gt;"", J11&lt;&gt;VLOOKUP(K11, Criterios!$A$81:$B$120, 2, FALSE)), "División no coincide con Categoría", ""))), IF(OR(L11="", L11=""), "[Aviso] Género no capturado ()", IF(ISNA(MATCH(L11, Criterios!$B$123:$B$127, 0)), "Género no válido", "")), IF(OR(N11="", N11=""), "[Aviso] Temporada no capturada ()", IF(ISNA(MATCH(N11, Criterios!$C$123:$C$128, 0)), "Temporada no válida", "")), IF(OR(O11="", O11=""), "[Aviso] Ciclo de vida no capturado ()", IF(ISNA(MATCH(O11, Criterios!$D$123:$D$124, 0)), "Ciclo de vida no válido", ""))))</f>
        <v/>
      </c>
      <c r="AC11" s="56" t="n"/>
      <c r="AD11" s="51" t="n">
        <v>1</v>
      </c>
      <c r="AE11" s="156" t="inlineStr">
        <is>
          <t>WB OUTLET LERMA: 1</t>
        </is>
      </c>
      <c r="AF11" s="51" t="n">
        <v>1</v>
      </c>
      <c r="AG11" s="156" t="inlineStr">
        <is>
          <t>Nuevo – NetSuite con existencia</t>
        </is>
      </c>
      <c r="AH11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1" s="156" t="inlineStr">
        <is>
          <t>No</t>
        </is>
      </c>
      <c r="AJ11" s="156" t="n"/>
      <c r="AK11" s="155" t="inlineStr">
        <is>
          <t>ProductosCatalogoEstandar907.xlsx: fila 5211 [O,P,S,U,Y]; G1522_Extraccion_Articulos_NetSuite_2026-09-30.xlsx: fila 55918 [O,P,V,Y,T] | Shopify WB: producto 8469286453433 / variante 46869083816121</t>
        </is>
      </c>
      <c r="AL11" s="58" t="n">
        <v>283.25</v>
      </c>
      <c r="AM11" s="58" t="n">
        <v>648.99999998</v>
      </c>
      <c r="AN11" s="155" t="inlineStr">
        <is>
          <t>Shopify Western Brothers</t>
        </is>
      </c>
      <c r="AO11" s="59" t="n"/>
      <c r="AP11" s="59" t="n">
        <v>1</v>
      </c>
      <c r="AQ11" s="59" t="n"/>
      <c r="AR11" s="155" t="inlineStr">
        <is>
          <t>Shopify Western Brothers › Western Brothers Outlet Lerma: 1</t>
        </is>
      </c>
    </row>
    <row r="12">
      <c r="A12" s="50" t="inlineStr">
        <is>
          <t>7506552412245</t>
        </is>
      </c>
      <c r="B12" s="51" t="inlineStr">
        <is>
          <t>107438</t>
        </is>
      </c>
      <c r="C12" s="156" t="inlineStr">
        <is>
          <t>Multimarca</t>
        </is>
      </c>
      <c r="D12" s="156" t="inlineStr">
        <is>
          <t>RCE63</t>
        </is>
      </c>
      <c r="E12" s="156" t="inlineStr">
        <is>
          <t>RCE63-UNI</t>
        </is>
      </c>
      <c r="F12" s="156" t="inlineStr">
        <is>
          <t>Talla única</t>
        </is>
      </c>
      <c r="G12" s="156" t="inlineStr">
        <is>
          <t>One Size</t>
        </is>
      </c>
      <c r="H12" s="156" t="inlineStr">
        <is>
          <t>Ranch &amp; Corral</t>
        </is>
      </c>
      <c r="I12" s="156" t="inlineStr">
        <is>
          <t>Gorra Equus 63</t>
        </is>
      </c>
      <c r="J12" s="156" t="inlineStr">
        <is>
          <t>Accesorios</t>
        </is>
      </c>
      <c r="K12" s="156" t="inlineStr">
        <is>
          <t>Gorras</t>
        </is>
      </c>
      <c r="L12" s="156" t="inlineStr">
        <is>
          <t>Unisex</t>
        </is>
      </c>
      <c r="M12" s="156" t="inlineStr">
        <is>
          <t>Ranch &amp; Corral</t>
        </is>
      </c>
      <c r="N12" s="156" t="n"/>
      <c r="O12" s="156" t="inlineStr">
        <is>
          <t>Seasonal</t>
        </is>
      </c>
      <c r="P12" s="156" t="inlineStr">
        <is>
          <t>Cafe</t>
        </is>
      </c>
      <c r="Q12" s="156" t="n"/>
      <c r="R12" s="156" t="n"/>
      <c r="S12" s="156" t="inlineStr">
        <is>
          <t>75% Poliéster, 25% Algodón</t>
        </is>
      </c>
      <c r="T12" s="156" t="inlineStr">
        <is>
          <t>Gorra tipo trucker de 5 paneles bicolor verde con azul marino con parche bordado frontal y visera curva.</t>
        </is>
      </c>
      <c r="U12" s="156" t="inlineStr">
        <is>
          <t>China</t>
        </is>
      </c>
      <c r="V12" s="156" t="inlineStr">
        <is>
          <t>PZS</t>
        </is>
      </c>
      <c r="W12" s="51" t="inlineStr">
        <is>
          <t>53102516</t>
        </is>
      </c>
      <c r="X12" s="156" t="inlineStr">
        <is>
          <t>https://cdn.shopify.com/s/files/1/0774/1849/6185/files/RCE63-01.jpg?v=1776704078</t>
        </is>
      </c>
      <c r="Y12" s="54" t="n">
        <v>283.25</v>
      </c>
      <c r="Z12" s="54" t="n">
        <v>559.4827586</v>
      </c>
      <c r="AA12" s="55">
        <f>IF(AND(A12="", B12="", E12=""), "", IF(AB12="", "Válido", IF((LEN(AB12)-LEN(SUBSTITUTE(AB12,"; ","")))/2+1&gt;(LEN(AB12)-LEN(SUBSTITUTE(AB12,"[Aviso]","")))/7, "Con Incidencias", "Válido")))</f>
        <v/>
      </c>
      <c r="AB12" s="56">
        <f>IF(AND(A12="", B12="", E12=""), "", TEXTJOIN("; ", TRUE, IF(OR(TRIM(A12&amp;"")="", ISNUMBER(SEARCH("FALTA", A12))), "UPC faltante/inválido", ""), IF(AND(A12&lt;&gt;"", IFERROR(_xlfn.XMATCH(A12,$A$2:$A$39,0,1)&lt;&gt;_xlfn.XMATCH(A12,$A$2:$A$39,0,-1),FALSE)), "Código de barras duplicado", ""), IF(AND(E12&lt;&gt;"", COUNTIF($E$2:$E$39, E12)&gt;1), "SKU duplicado", ""), IF(OR(J12="", J12=""), "[Aviso] División no capturada ()", IF(ISNA(MATCH(J12, Criterios!$A$123:$A$126, 0)), "División no válida", "")), IF(OR(K12="", K12=""), "[Aviso] Categoría no capturada ()", IF(ISNA(MATCH(K12, Criterios!$A$81:$A$120, 0)), "Categoría no válida", IF(AND(J12&lt;&gt;"", J12&lt;&gt;"", J12&lt;&gt;VLOOKUP(K12, Criterios!$A$81:$B$120, 2, FALSE)), "División no coincide con Categoría", ""))), IF(OR(L12="", L12=""), "[Aviso] Género no capturado ()", IF(ISNA(MATCH(L12, Criterios!$B$123:$B$127, 0)), "Género no válido", "")), IF(OR(N12="", N12=""), "[Aviso] Temporada no capturada ()", IF(ISNA(MATCH(N12, Criterios!$C$123:$C$128, 0)), "Temporada no válida", "")), IF(OR(O12="", O12=""), "[Aviso] Ciclo de vida no capturado ()", IF(ISNA(MATCH(O12, Criterios!$D$123:$D$124, 0)), "Ciclo de vida no válido", ""))))</f>
        <v/>
      </c>
      <c r="AC12" s="56" t="n"/>
      <c r="AD12" s="51" t="n">
        <v>0</v>
      </c>
      <c r="AE12" s="156" t="n"/>
      <c r="AF12" s="51" t="n">
        <v>0</v>
      </c>
      <c r="AG12" s="156" t="inlineStr">
        <is>
          <t>Nuevo – NetSuite sin existencia</t>
        </is>
      </c>
      <c r="AH12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2" s="156" t="inlineStr">
        <is>
          <t>No</t>
        </is>
      </c>
      <c r="AJ12" s="156" t="n"/>
      <c r="AK12" s="155" t="inlineStr">
        <is>
          <t>ProductosCatalogoEstandar907.xlsx: fila 5212 [O,P,S,U,Y]; G1522_Extraccion_Articulos_NetSuite_2026-09-30.xlsx: fila 55917 [O,P,V,Y,T] | Shopify WB: producto 8469286682809 / variante 46869084111033</t>
        </is>
      </c>
      <c r="AL12" s="58" t="n">
        <v>283.25</v>
      </c>
      <c r="AM12" s="58" t="n">
        <v>648.99999998</v>
      </c>
      <c r="AN12" s="155" t="inlineStr">
        <is>
          <t>Shopify Western Brothers</t>
        </is>
      </c>
      <c r="AO12" s="59" t="n"/>
      <c r="AP12" s="59" t="n">
        <v>0</v>
      </c>
      <c r="AQ12" s="59" t="n"/>
      <c r="AR12" s="155" t="n"/>
    </row>
    <row r="13">
      <c r="A13" s="50" t="inlineStr">
        <is>
          <t>7506552412177</t>
        </is>
      </c>
      <c r="B13" s="51" t="inlineStr">
        <is>
          <t>107411</t>
        </is>
      </c>
      <c r="C13" s="156" t="inlineStr">
        <is>
          <t>Multimarca</t>
        </is>
      </c>
      <c r="D13" s="156" t="inlineStr">
        <is>
          <t>RCG63</t>
        </is>
      </c>
      <c r="E13" s="156" t="inlineStr">
        <is>
          <t>RCG63-UNI</t>
        </is>
      </c>
      <c r="F13" s="156" t="inlineStr">
        <is>
          <t>Talla única</t>
        </is>
      </c>
      <c r="G13" s="156" t="inlineStr">
        <is>
          <t>One Size</t>
        </is>
      </c>
      <c r="H13" s="156" t="inlineStr">
        <is>
          <t>Ranch &amp; Corral</t>
        </is>
      </c>
      <c r="I13" s="156" t="inlineStr">
        <is>
          <t>Gorra Ganadera 63</t>
        </is>
      </c>
      <c r="J13" s="156" t="inlineStr">
        <is>
          <t>Accesorios</t>
        </is>
      </c>
      <c r="K13" s="156" t="inlineStr">
        <is>
          <t>Gorras</t>
        </is>
      </c>
      <c r="L13" s="156" t="inlineStr">
        <is>
          <t>Unisex</t>
        </is>
      </c>
      <c r="M13" s="156" t="inlineStr">
        <is>
          <t>Ranch &amp; Corral</t>
        </is>
      </c>
      <c r="N13" s="156" t="n"/>
      <c r="O13" s="156" t="inlineStr">
        <is>
          <t>Seasonal</t>
        </is>
      </c>
      <c r="P13" s="156" t="inlineStr">
        <is>
          <t>Gris</t>
        </is>
      </c>
      <c r="Q13" s="156" t="n"/>
      <c r="R13" s="156" t="n"/>
      <c r="S13" s="156" t="inlineStr">
        <is>
          <t>75% Poliéster, 25% Algodón</t>
        </is>
      </c>
      <c r="T13" s="156" t="inlineStr">
        <is>
          <t>Gorra tipo trucker de 5 paneles color verde olivo con parche bordado frontal y visera curva.</t>
        </is>
      </c>
      <c r="U13" s="156" t="inlineStr">
        <is>
          <t>China</t>
        </is>
      </c>
      <c r="V13" s="156" t="inlineStr">
        <is>
          <t>PZS</t>
        </is>
      </c>
      <c r="W13" s="51" t="inlineStr">
        <is>
          <t>53102516</t>
        </is>
      </c>
      <c r="X13" s="156" t="inlineStr">
        <is>
          <t>https://cdn.shopify.com/s/files/1/0774/1849/6185/files/RCG63-01.jpg?v=1776704076</t>
        </is>
      </c>
      <c r="Y13" s="54" t="n">
        <v>283.25</v>
      </c>
      <c r="Z13" s="54" t="n">
        <v>559.4827586</v>
      </c>
      <c r="AA13" s="55">
        <f>IF(AND(A13="", B13="", E13=""), "", IF(AB13="", "Válido", IF((LEN(AB13)-LEN(SUBSTITUTE(AB13,"; ","")))/2+1&gt;(LEN(AB13)-LEN(SUBSTITUTE(AB13,"[Aviso]","")))/7, "Con Incidencias", "Válido")))</f>
        <v/>
      </c>
      <c r="AB13" s="56">
        <f>IF(AND(A13="", B13="", E13=""), "", TEXTJOIN("; ", TRUE, IF(OR(TRIM(A13&amp;"")="", ISNUMBER(SEARCH("FALTA", A13))), "UPC faltante/inválido", ""), IF(AND(A13&lt;&gt;"", IFERROR(_xlfn.XMATCH(A13,$A$2:$A$39,0,1)&lt;&gt;_xlfn.XMATCH(A13,$A$2:$A$39,0,-1),FALSE)), "Código de barras duplicado", ""), IF(AND(E13&lt;&gt;"", COUNTIF($E$2:$E$39, E13)&gt;1), "SKU duplicado", ""), IF(OR(J13="", J13=""), "[Aviso] División no capturada ()", IF(ISNA(MATCH(J13, Criterios!$A$123:$A$126, 0)), "División no válida", "")), IF(OR(K13="", K13=""), "[Aviso] Categoría no capturada ()", IF(ISNA(MATCH(K13, Criterios!$A$81:$A$120, 0)), "Categoría no válida", IF(AND(J13&lt;&gt;"", J13&lt;&gt;"", J13&lt;&gt;VLOOKUP(K13, Criterios!$A$81:$B$120, 2, FALSE)), "División no coincide con Categoría", ""))), IF(OR(L13="", L13=""), "[Aviso] Género no capturado ()", IF(ISNA(MATCH(L13, Criterios!$B$123:$B$127, 0)), "Género no válido", "")), IF(OR(N13="", N13=""), "[Aviso] Temporada no capturada ()", IF(ISNA(MATCH(N13, Criterios!$C$123:$C$128, 0)), "Temporada no válida", "")), IF(OR(O13="", O13=""), "[Aviso] Ciclo de vida no capturado ()", IF(ISNA(MATCH(O13, Criterios!$D$123:$D$124, 0)), "Ciclo de vida no válido", ""))))</f>
        <v/>
      </c>
      <c r="AC13" s="56" t="n"/>
      <c r="AD13" s="51" t="n">
        <v>0</v>
      </c>
      <c r="AE13" s="156" t="n"/>
      <c r="AF13" s="51" t="n">
        <v>0</v>
      </c>
      <c r="AG13" s="156" t="inlineStr">
        <is>
          <t>Nuevo – NetSuite sin existencia</t>
        </is>
      </c>
      <c r="AH13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3" s="156" t="inlineStr">
        <is>
          <t>No</t>
        </is>
      </c>
      <c r="AJ13" s="156" t="n"/>
      <c r="AK13" s="155" t="inlineStr">
        <is>
          <t>ProductosCatalogoEstandar907.xlsx: fila 5214 [O,P,S,U,Y]; G1522_Extraccion_Articulos_NetSuite_2026-09-30.xlsx: fila 55907 [O,P,V,Y,T] | Shopify WB: producto 8469286650041 / variante 46869084078265</t>
        </is>
      </c>
      <c r="AL13" s="58" t="n">
        <v>283.25</v>
      </c>
      <c r="AM13" s="58" t="n">
        <v>648.99999998</v>
      </c>
      <c r="AN13" s="155" t="inlineStr">
        <is>
          <t>Shopify Western Brothers</t>
        </is>
      </c>
      <c r="AO13" s="59" t="n"/>
      <c r="AP13" s="59" t="n">
        <v>0</v>
      </c>
      <c r="AQ13" s="59" t="n"/>
      <c r="AR13" s="155" t="n"/>
    </row>
    <row r="14">
      <c r="A14" s="50" t="inlineStr">
        <is>
          <t>7506552409009</t>
        </is>
      </c>
      <c r="B14" s="51" t="inlineStr">
        <is>
          <t>107406</t>
        </is>
      </c>
      <c r="C14" s="156" t="inlineStr">
        <is>
          <t>Multimarca</t>
        </is>
      </c>
      <c r="D14" s="156" t="inlineStr">
        <is>
          <t>RCGL02</t>
        </is>
      </c>
      <c r="E14" s="156" t="inlineStr">
        <is>
          <t>RCGL02-UNI</t>
        </is>
      </c>
      <c r="F14" s="156" t="inlineStr">
        <is>
          <t>Talla única</t>
        </is>
      </c>
      <c r="G14" s="156" t="inlineStr">
        <is>
          <t>One Size</t>
        </is>
      </c>
      <c r="H14" s="156" t="inlineStr">
        <is>
          <t>Ranch &amp; Corral</t>
        </is>
      </c>
      <c r="I14" s="156" t="inlineStr">
        <is>
          <t>Gorra Cowgirl 02</t>
        </is>
      </c>
      <c r="J14" s="156" t="inlineStr">
        <is>
          <t>Accesorios</t>
        </is>
      </c>
      <c r="K14" s="156" t="inlineStr">
        <is>
          <t>Gorras</t>
        </is>
      </c>
      <c r="L14" s="156" t="inlineStr">
        <is>
          <t>Niña</t>
        </is>
      </c>
      <c r="M14" s="156" t="inlineStr">
        <is>
          <t>Ranch &amp; Corral</t>
        </is>
      </c>
      <c r="N14" s="156" t="n"/>
      <c r="O14" s="156" t="inlineStr">
        <is>
          <t>Seasonal</t>
        </is>
      </c>
      <c r="P14" s="156" t="inlineStr">
        <is>
          <t>Negro</t>
        </is>
      </c>
      <c r="Q14" s="156" t="n"/>
      <c r="R14" s="156" t="n"/>
      <c r="S14" s="156" t="inlineStr">
        <is>
          <t>50% Algodón, 50% Poliéster</t>
        </is>
      </c>
      <c r="T14" s="156" t="inlineStr">
        <is>
          <t>Gorra tipo trucker de 6 paneles bicolor negro con visera roja y parche bordado frontal.</t>
        </is>
      </c>
      <c r="U14" s="156" t="inlineStr">
        <is>
          <t>China</t>
        </is>
      </c>
      <c r="V14" s="156" t="inlineStr">
        <is>
          <t>PZS</t>
        </is>
      </c>
      <c r="W14" s="51" t="inlineStr">
        <is>
          <t>53102516</t>
        </is>
      </c>
      <c r="X14" s="156" t="inlineStr">
        <is>
          <t>https://cdn.shopify.com/s/files/1/0774/1849/6185/files/RCGL02-01.jpg?v=1776704089</t>
        </is>
      </c>
      <c r="Y14" s="54" t="n">
        <v>241.38</v>
      </c>
      <c r="Z14" s="54" t="n">
        <v>430.1724138</v>
      </c>
      <c r="AA14" s="55">
        <f>IF(AND(A14="", B14="", E14=""), "", IF(AB14="", "Válido", IF((LEN(AB14)-LEN(SUBSTITUTE(AB14,"; ","")))/2+1&gt;(LEN(AB14)-LEN(SUBSTITUTE(AB14,"[Aviso]","")))/7, "Con Incidencias", "Válido")))</f>
        <v/>
      </c>
      <c r="AB14" s="56">
        <f>IF(AND(A14="", B14="", E14=""), "", TEXTJOIN("; ", TRUE, IF(OR(TRIM(A14&amp;"")="", ISNUMBER(SEARCH("FALTA", A14))), "UPC faltante/inválido", ""), IF(AND(A14&lt;&gt;"", IFERROR(_xlfn.XMATCH(A14,$A$2:$A$39,0,1)&lt;&gt;_xlfn.XMATCH(A14,$A$2:$A$39,0,-1),FALSE)), "Código de barras duplicado", ""), IF(AND(E14&lt;&gt;"", COUNTIF($E$2:$E$39, E14)&gt;1), "SKU duplicado", ""), IF(OR(J14="", J14=""), "[Aviso] División no capturada ()", IF(ISNA(MATCH(J14, Criterios!$A$123:$A$126, 0)), "División no válida", "")), IF(OR(K14="", K14=""), "[Aviso] Categoría no capturada ()", IF(ISNA(MATCH(K14, Criterios!$A$81:$A$120, 0)), "Categoría no válida", IF(AND(J14&lt;&gt;"", J14&lt;&gt;"", J14&lt;&gt;VLOOKUP(K14, Criterios!$A$81:$B$120, 2, FALSE)), "División no coincide con Categoría", ""))), IF(OR(L14="", L14=""), "[Aviso] Género no capturado ()", IF(ISNA(MATCH(L14, Criterios!$B$123:$B$127, 0)), "Género no válido", "")), IF(OR(N14="", N14=""), "[Aviso] Temporada no capturada ()", IF(ISNA(MATCH(N14, Criterios!$C$123:$C$128, 0)), "Temporada no válida", "")), IF(OR(O14="", O14=""), "[Aviso] Ciclo de vida no capturado ()", IF(ISNA(MATCH(O14, Criterios!$D$123:$D$124, 0)), "Ciclo de vida no válido", ""))))</f>
        <v/>
      </c>
      <c r="AC14" s="56" t="n"/>
      <c r="AD14" s="51" t="n">
        <v>0</v>
      </c>
      <c r="AE14" s="156" t="n"/>
      <c r="AF14" s="51" t="n">
        <v>0</v>
      </c>
      <c r="AG14" s="156" t="inlineStr">
        <is>
          <t>Nuevo – NetSuite sin existencia</t>
        </is>
      </c>
      <c r="AH14" s="156" t="inlineStr">
        <is>
          <t>Color por validar | Revisión 29/09/2026: Talla fuente Talla única sin equivalencia exacta en Criterios para Talla Niño (numérica);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6 paneles» (Completado desde NetSuite) · WB Fit: «Regular» → «» (Corrección aplicada) · WB Silueta: «Trucker 6 paneles» → «» (Corrección aplicada)</t>
        </is>
      </c>
      <c r="AI14" s="156" t="inlineStr">
        <is>
          <t>No</t>
        </is>
      </c>
      <c r="AJ14" s="156" t="n"/>
      <c r="AK14" s="155" t="inlineStr">
        <is>
          <t>ProductosCatalogoEstandar907.xlsx: fila 5213 [O,P,S,U,Y]; G1522_Extraccion_Articulos_NetSuite_2026-09-30.xlsx: fila 55902 [O,P,V,Y,T] | Shopify WB: producto 8469286944953 / variante 46869084373177</t>
        </is>
      </c>
      <c r="AL14" s="58" t="n">
        <v>241.38</v>
      </c>
      <c r="AM14" s="58" t="n">
        <v>499.00000001</v>
      </c>
      <c r="AN14" s="155" t="inlineStr">
        <is>
          <t>Shopify Western Brothers</t>
        </is>
      </c>
      <c r="AO14" s="59" t="n"/>
      <c r="AP14" s="59" t="n">
        <v>0</v>
      </c>
      <c r="AQ14" s="59" t="n"/>
      <c r="AR14" s="155" t="n"/>
    </row>
    <row r="15">
      <c r="A15" s="50" t="inlineStr">
        <is>
          <t>7506552412351</t>
        </is>
      </c>
      <c r="B15" s="51" t="inlineStr">
        <is>
          <t>107440</t>
        </is>
      </c>
      <c r="C15" s="156" t="inlineStr">
        <is>
          <t>Multimarca</t>
        </is>
      </c>
      <c r="D15" s="156" t="inlineStr">
        <is>
          <t>RCL37</t>
        </is>
      </c>
      <c r="E15" s="156" t="inlineStr">
        <is>
          <t>RCL37-UNI</t>
        </is>
      </c>
      <c r="F15" s="156" t="inlineStr">
        <is>
          <t>Talla única</t>
        </is>
      </c>
      <c r="G15" s="156" t="inlineStr">
        <is>
          <t>One Size</t>
        </is>
      </c>
      <c r="H15" s="156" t="inlineStr">
        <is>
          <t>Ranch &amp; Corral</t>
        </is>
      </c>
      <c r="I15" s="156" t="inlineStr">
        <is>
          <t>Gorra Lifestyle 37</t>
        </is>
      </c>
      <c r="J15" s="156" t="inlineStr">
        <is>
          <t>Accesorios</t>
        </is>
      </c>
      <c r="K15" s="156" t="inlineStr">
        <is>
          <t>Gorras</t>
        </is>
      </c>
      <c r="L15" s="156" t="inlineStr">
        <is>
          <t>Unisex</t>
        </is>
      </c>
      <c r="M15" s="156" t="inlineStr">
        <is>
          <t>Ranch &amp; Corral</t>
        </is>
      </c>
      <c r="N15" s="156" t="n"/>
      <c r="O15" s="156" t="inlineStr">
        <is>
          <t>Seasonal</t>
        </is>
      </c>
      <c r="P15" s="156" t="inlineStr">
        <is>
          <t>Cafe</t>
        </is>
      </c>
      <c r="Q15" s="156" t="n"/>
      <c r="R15" s="156" t="n"/>
      <c r="S15" s="156" t="inlineStr">
        <is>
          <t>75% Poliéster, 25% Algodón</t>
        </is>
      </c>
      <c r="T15" s="156" t="inlineStr">
        <is>
          <t>Gorra tipo trucker de 5 paneles color camel con parche bordado frontal y visera curva.</t>
        </is>
      </c>
      <c r="U15" s="156" t="inlineStr">
        <is>
          <t>China</t>
        </is>
      </c>
      <c r="V15" s="156" t="inlineStr">
        <is>
          <t>PZS</t>
        </is>
      </c>
      <c r="W15" s="51" t="inlineStr">
        <is>
          <t>53102516</t>
        </is>
      </c>
      <c r="X15" s="156" t="inlineStr">
        <is>
          <t>https://cdn.shopify.com/s/files/1/0774/1849/6185/files/RCL37-01_7be78811-c534-49dc-af6e-b65983b01be9.jpg?v=1776704075</t>
        </is>
      </c>
      <c r="Y15" s="54" t="n">
        <v>283.25</v>
      </c>
      <c r="Z15" s="54" t="n">
        <v>559.4827586</v>
      </c>
      <c r="AA15" s="55">
        <f>IF(AND(A15="", B15="", E15=""), "", IF(AB15="", "Válido", IF((LEN(AB15)-LEN(SUBSTITUTE(AB15,"; ","")))/2+1&gt;(LEN(AB15)-LEN(SUBSTITUTE(AB15,"[Aviso]","")))/7, "Con Incidencias", "Válido")))</f>
        <v/>
      </c>
      <c r="AB15" s="56">
        <f>IF(AND(A15="", B15="", E15=""), "", TEXTJOIN("; ", TRUE, IF(OR(TRIM(A15&amp;"")="", ISNUMBER(SEARCH("FALTA", A15))), "UPC faltante/inválido", ""), IF(AND(A15&lt;&gt;"", IFERROR(_xlfn.XMATCH(A15,$A$2:$A$39,0,1)&lt;&gt;_xlfn.XMATCH(A15,$A$2:$A$39,0,-1),FALSE)), "Código de barras duplicado", ""), IF(AND(E15&lt;&gt;"", COUNTIF($E$2:$E$39, E15)&gt;1), "SKU duplicado", ""), IF(OR(J15="", J15=""), "[Aviso] División no capturada ()", IF(ISNA(MATCH(J15, Criterios!$A$123:$A$126, 0)), "División no válida", "")), IF(OR(K15="", K15=""), "[Aviso] Categoría no capturada ()", IF(ISNA(MATCH(K15, Criterios!$A$81:$A$120, 0)), "Categoría no válida", IF(AND(J15&lt;&gt;"", J15&lt;&gt;"", J15&lt;&gt;VLOOKUP(K15, Criterios!$A$81:$B$120, 2, FALSE)), "División no coincide con Categoría", ""))), IF(OR(L15="", L15=""), "[Aviso] Género no capturado ()", IF(ISNA(MATCH(L15, Criterios!$B$123:$B$127, 0)), "Género no válido", "")), IF(OR(N15="", N15=""), "[Aviso] Temporada no capturada ()", IF(ISNA(MATCH(N15, Criterios!$C$123:$C$128, 0)), "Temporada no válida", "")), IF(OR(O15="", O15=""), "[Aviso] Ciclo de vida no capturado ()", IF(ISNA(MATCH(O15, Criterios!$D$123:$D$124, 0)), "Ciclo de vida no válido", ""))))</f>
        <v/>
      </c>
      <c r="AC15" s="56" t="n"/>
      <c r="AD15" s="51" t="n">
        <v>0</v>
      </c>
      <c r="AE15" s="156" t="n"/>
      <c r="AF15" s="51" t="n">
        <v>0</v>
      </c>
      <c r="AG15" s="156" t="inlineStr">
        <is>
          <t>Nuevo – NetSuite sin existencia</t>
        </is>
      </c>
      <c r="AH15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5" s="156" t="inlineStr">
        <is>
          <t>No</t>
        </is>
      </c>
      <c r="AJ15" s="156" t="n"/>
      <c r="AK15" s="155" t="inlineStr">
        <is>
          <t>ProductosCatalogoEstandar907.xlsx: fila 5215 [O,P,S,U,Y]; G1522_Extraccion_Articulos_NetSuite_2026-09-30.xlsx: fila 55919 [O,P,V,Y,T] | Shopify WB: producto 8469286617273 / variante 46869084045497</t>
        </is>
      </c>
      <c r="AL15" s="58" t="n">
        <v>283.25</v>
      </c>
      <c r="AM15" s="58" t="n">
        <v>648.99999998</v>
      </c>
      <c r="AN15" s="155" t="inlineStr">
        <is>
          <t>Shopify Western Brothers</t>
        </is>
      </c>
      <c r="AO15" s="59" t="n"/>
      <c r="AP15" s="59" t="n">
        <v>0</v>
      </c>
      <c r="AQ15" s="59" t="n"/>
      <c r="AR15" s="155" t="n"/>
    </row>
    <row r="16">
      <c r="A16" s="50" t="inlineStr">
        <is>
          <t>7506552408842</t>
        </is>
      </c>
      <c r="B16" s="51" t="inlineStr">
        <is>
          <t>107405</t>
        </is>
      </c>
      <c r="C16" s="156" t="inlineStr">
        <is>
          <t>Multimarca</t>
        </is>
      </c>
      <c r="D16" s="156" t="inlineStr">
        <is>
          <t>RCN24</t>
        </is>
      </c>
      <c r="E16" s="156" t="inlineStr">
        <is>
          <t>RCN24-UNI</t>
        </is>
      </c>
      <c r="F16" s="156" t="inlineStr">
        <is>
          <t>Talla única</t>
        </is>
      </c>
      <c r="G16" s="156" t="inlineStr">
        <is>
          <t>One Size</t>
        </is>
      </c>
      <c r="H16" s="156" t="inlineStr">
        <is>
          <t>Ranch &amp; Corral</t>
        </is>
      </c>
      <c r="I16" s="156" t="inlineStr">
        <is>
          <t>Gorra Navajo 24</t>
        </is>
      </c>
      <c r="J16" s="156" t="inlineStr">
        <is>
          <t>Accesorios</t>
        </is>
      </c>
      <c r="K16" s="156" t="inlineStr">
        <is>
          <t>Gorras</t>
        </is>
      </c>
      <c r="L16" s="156" t="inlineStr">
        <is>
          <t>Unisex</t>
        </is>
      </c>
      <c r="M16" s="156" t="inlineStr">
        <is>
          <t>Ranch &amp; Corral</t>
        </is>
      </c>
      <c r="N16" s="156" t="n"/>
      <c r="O16" s="156" t="inlineStr">
        <is>
          <t>Seasonal</t>
        </is>
      </c>
      <c r="P16" s="156" t="inlineStr">
        <is>
          <t>Amarillo</t>
        </is>
      </c>
      <c r="Q16" s="156" t="n"/>
      <c r="R16" s="156" t="n"/>
      <c r="S16" s="156" t="inlineStr">
        <is>
          <t>50% Algodón, 50% Poliéster</t>
        </is>
      </c>
      <c r="T16" s="156" t="inlineStr">
        <is>
          <t>Gorra tipo trucker de 6 paneles color amarillo mostaza con parche bordado frontal.</t>
        </is>
      </c>
      <c r="U16" s="156" t="inlineStr">
        <is>
          <t>China</t>
        </is>
      </c>
      <c r="V16" s="156" t="inlineStr">
        <is>
          <t>PZS</t>
        </is>
      </c>
      <c r="W16" s="51" t="inlineStr">
        <is>
          <t>53102516</t>
        </is>
      </c>
      <c r="X16" s="156" t="inlineStr">
        <is>
          <t>https://cdn.shopify.com/s/files/1/0774/1849/6185/files/RCN24-01_4358b84e-b055-4ef4-bb25-2b146c214f5b.jpg?v=1776704096</t>
        </is>
      </c>
      <c r="Y16" s="54" t="n">
        <v>241.38</v>
      </c>
      <c r="Z16" s="54" t="n">
        <v>430.1724138</v>
      </c>
      <c r="AA16" s="55">
        <f>IF(AND(A16="", B16="", E16=""), "", IF(AB16="", "Válido", IF((LEN(AB16)-LEN(SUBSTITUTE(AB16,"; ","")))/2+1&gt;(LEN(AB16)-LEN(SUBSTITUTE(AB16,"[Aviso]","")))/7, "Con Incidencias", "Válido")))</f>
        <v/>
      </c>
      <c r="AB16" s="56">
        <f>IF(AND(A16="", B16="", E16=""), "", TEXTJOIN("; ", TRUE, IF(OR(TRIM(A16&amp;"")="", ISNUMBER(SEARCH("FALTA", A16))), "UPC faltante/inválido", ""), IF(AND(A16&lt;&gt;"", IFERROR(_xlfn.XMATCH(A16,$A$2:$A$39,0,1)&lt;&gt;_xlfn.XMATCH(A16,$A$2:$A$39,0,-1),FALSE)), "Código de barras duplicado", ""), IF(AND(E16&lt;&gt;"", COUNTIF($E$2:$E$39, E16)&gt;1), "SKU duplicado", ""), IF(OR(J16="", J16=""), "[Aviso] División no capturada ()", IF(ISNA(MATCH(J16, Criterios!$A$123:$A$126, 0)), "División no válida", "")), IF(OR(K16="", K16=""), "[Aviso] Categoría no capturada ()", IF(ISNA(MATCH(K16, Criterios!$A$81:$A$120, 0)), "Categoría no válida", IF(AND(J16&lt;&gt;"", J16&lt;&gt;"", J16&lt;&gt;VLOOKUP(K16, Criterios!$A$81:$B$120, 2, FALSE)), "División no coincide con Categoría", ""))), IF(OR(L16="", L16=""), "[Aviso] Género no capturado ()", IF(ISNA(MATCH(L16, Criterios!$B$123:$B$127, 0)), "Género no válido", "")), IF(OR(N16="", N16=""), "[Aviso] Temporada no capturada ()", IF(ISNA(MATCH(N16, Criterios!$C$123:$C$128, 0)), "Temporada no válida", "")), IF(OR(O16="", O16=""), "[Aviso] Ciclo de vida no capturado ()", IF(ISNA(MATCH(O16, Criterios!$D$123:$D$124, 0)), "Ciclo de vida no válido", ""))))</f>
        <v/>
      </c>
      <c r="AC16" s="56" t="n"/>
      <c r="AD16" s="51" t="n">
        <v>0</v>
      </c>
      <c r="AE16" s="156" t="n"/>
      <c r="AF16" s="51" t="n">
        <v>0</v>
      </c>
      <c r="AG16" s="156" t="inlineStr">
        <is>
          <t>Nuevo – NetSuite sin existencia</t>
        </is>
      </c>
      <c r="AH16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6 paneles» (Completado desde NetSuite) · WB Fit: «Regular» → «» (Corrección aplicada) · WB Silueta: «Trucker 6 paneles» → «» (Corrección aplicada)</t>
        </is>
      </c>
      <c r="AI16" s="156" t="inlineStr">
        <is>
          <t>No</t>
        </is>
      </c>
      <c r="AJ16" s="156" t="n"/>
      <c r="AK16" s="155" t="inlineStr">
        <is>
          <t>ProductosCatalogoEstandar907.xlsx: fila 5216 [O,P,S,U,Y]; G1522_Extraccion_Articulos_NetSuite_2026-09-30.xlsx: fila 55901 [O,P,V,Y,T] | Shopify WB: producto 8469287141561 / variante 46869084602553</t>
        </is>
      </c>
      <c r="AL16" s="58" t="n">
        <v>241.38</v>
      </c>
      <c r="AM16" s="58" t="n">
        <v>499.00000001</v>
      </c>
      <c r="AN16" s="155" t="inlineStr">
        <is>
          <t>Shopify Western Brothers</t>
        </is>
      </c>
      <c r="AO16" s="59" t="n"/>
      <c r="AP16" s="59" t="n">
        <v>0</v>
      </c>
      <c r="AQ16" s="59" t="n"/>
      <c r="AR16" s="155" t="n"/>
    </row>
    <row r="17">
      <c r="A17" s="50" t="inlineStr">
        <is>
          <t>7506552412481</t>
        </is>
      </c>
      <c r="B17" s="51" t="inlineStr">
        <is>
          <t>107415</t>
        </is>
      </c>
      <c r="C17" s="156" t="inlineStr">
        <is>
          <t>Multimarca</t>
        </is>
      </c>
      <c r="D17" s="156" t="inlineStr">
        <is>
          <t>RCRD36</t>
        </is>
      </c>
      <c r="E17" s="156" t="inlineStr">
        <is>
          <t>RCRD36-UNI</t>
        </is>
      </c>
      <c r="F17" s="156" t="inlineStr">
        <is>
          <t>Talla única</t>
        </is>
      </c>
      <c r="G17" s="156" t="inlineStr">
        <is>
          <t>One Size</t>
        </is>
      </c>
      <c r="H17" s="156" t="inlineStr">
        <is>
          <t>Ranch &amp; Corral</t>
        </is>
      </c>
      <c r="I17" s="156" t="inlineStr">
        <is>
          <t>Gorra Rodeo 36</t>
        </is>
      </c>
      <c r="J17" s="156" t="inlineStr">
        <is>
          <t>Accesorios</t>
        </is>
      </c>
      <c r="K17" s="156" t="inlineStr">
        <is>
          <t>Gorras</t>
        </is>
      </c>
      <c r="L17" s="156" t="inlineStr">
        <is>
          <t>Unisex</t>
        </is>
      </c>
      <c r="M17" s="156" t="inlineStr">
        <is>
          <t>Ranch &amp; Corral</t>
        </is>
      </c>
      <c r="N17" s="156" t="n"/>
      <c r="O17" s="156" t="inlineStr">
        <is>
          <t>Seasonal</t>
        </is>
      </c>
      <c r="P17" s="156" t="inlineStr">
        <is>
          <t>Verde</t>
        </is>
      </c>
      <c r="Q17" s="156" t="n"/>
      <c r="R17" s="156" t="n"/>
      <c r="S17" s="156" t="inlineStr">
        <is>
          <t>75% Poliéster, 25% Algodón</t>
        </is>
      </c>
      <c r="T17" s="156" t="inlineStr">
        <is>
          <t>Gorra tipo trucker de 5 paneles color verde olivo con parche bordado circular frontal y visera marron curva.</t>
        </is>
      </c>
      <c r="U17" s="156" t="inlineStr">
        <is>
          <t>China</t>
        </is>
      </c>
      <c r="V17" s="156" t="inlineStr">
        <is>
          <t>PZS</t>
        </is>
      </c>
      <c r="W17" s="51" t="inlineStr">
        <is>
          <t>53102516</t>
        </is>
      </c>
      <c r="X17" s="156" t="inlineStr">
        <is>
          <t>https://cdn.shopify.com/s/files/1/0774/1849/6185/files/RCRD36-01_b2ab5d8f-de44-4f7f-98e8-188b99eb8d67.jpg?v=1776704079</t>
        </is>
      </c>
      <c r="Y17" s="54" t="n">
        <v>283.25</v>
      </c>
      <c r="Z17" s="54" t="n">
        <v>559.4827586</v>
      </c>
      <c r="AA17" s="55">
        <f>IF(AND(A17="", B17="", E17=""), "", IF(AB17="", "Válido", IF((LEN(AB17)-LEN(SUBSTITUTE(AB17,"; ","")))/2+1&gt;(LEN(AB17)-LEN(SUBSTITUTE(AB17,"[Aviso]","")))/7, "Con Incidencias", "Válido")))</f>
        <v/>
      </c>
      <c r="AB17" s="56">
        <f>IF(AND(A17="", B17="", E17=""), "", TEXTJOIN("; ", TRUE, IF(OR(TRIM(A17&amp;"")="", ISNUMBER(SEARCH("FALTA", A17))), "UPC faltante/inválido", ""), IF(AND(A17&lt;&gt;"", IFERROR(_xlfn.XMATCH(A17,$A$2:$A$39,0,1)&lt;&gt;_xlfn.XMATCH(A17,$A$2:$A$39,0,-1),FALSE)), "Código de barras duplicado", ""), IF(AND(E17&lt;&gt;"", COUNTIF($E$2:$E$39, E17)&gt;1), "SKU duplicado", ""), IF(OR(J17="", J17=""), "[Aviso] División no capturada ()", IF(ISNA(MATCH(J17, Criterios!$A$123:$A$126, 0)), "División no válida", "")), IF(OR(K17="", K17=""), "[Aviso] Categoría no capturada ()", IF(ISNA(MATCH(K17, Criterios!$A$81:$A$120, 0)), "Categoría no válida", IF(AND(J17&lt;&gt;"", J17&lt;&gt;"", J17&lt;&gt;VLOOKUP(K17, Criterios!$A$81:$B$120, 2, FALSE)), "División no coincide con Categoría", ""))), IF(OR(L17="", L17=""), "[Aviso] Género no capturado ()", IF(ISNA(MATCH(L17, Criterios!$B$123:$B$127, 0)), "Género no válido", "")), IF(OR(N17="", N17=""), "[Aviso] Temporada no capturada ()", IF(ISNA(MATCH(N17, Criterios!$C$123:$C$128, 0)), "Temporada no válida", "")), IF(OR(O17="", O17=""), "[Aviso] Ciclo de vida no capturado ()", IF(ISNA(MATCH(O17, Criterios!$D$123:$D$124, 0)), "Ciclo de vida no válido", ""))))</f>
        <v/>
      </c>
      <c r="AC17" s="56" t="n"/>
      <c r="AD17" s="51" t="n">
        <v>0</v>
      </c>
      <c r="AE17" s="156" t="n"/>
      <c r="AF17" s="51" t="n">
        <v>0</v>
      </c>
      <c r="AG17" s="156" t="inlineStr">
        <is>
          <t>Nuevo – NetSuite sin existencia</t>
        </is>
      </c>
      <c r="AH17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7" s="156" t="inlineStr">
        <is>
          <t>No</t>
        </is>
      </c>
      <c r="AJ17" s="156" t="n"/>
      <c r="AK17" s="155" t="inlineStr">
        <is>
          <t>ProductosCatalogoEstandar907.xlsx: fila 5217 [O,P,S,U,Y]; G1522_Extraccion_Articulos_NetSuite_2026-09-30.xlsx: fila 55911 [O,P,V,Y,T] | Shopify WB: producto 8469286715577 / variante 46869084143801</t>
        </is>
      </c>
      <c r="AL17" s="58" t="n">
        <v>283.25</v>
      </c>
      <c r="AM17" s="58" t="n">
        <v>648.99999998</v>
      </c>
      <c r="AN17" s="155" t="inlineStr">
        <is>
          <t>Shopify Western Brothers</t>
        </is>
      </c>
      <c r="AO17" s="59" t="n"/>
      <c r="AP17" s="59" t="n">
        <v>0</v>
      </c>
      <c r="AQ17" s="59" t="n"/>
      <c r="AR17" s="155" t="n"/>
    </row>
    <row r="18">
      <c r="A18" s="50" t="inlineStr">
        <is>
          <t>7506552412498</t>
        </is>
      </c>
      <c r="B18" s="51" t="inlineStr">
        <is>
          <t>107441</t>
        </is>
      </c>
      <c r="C18" s="156" t="inlineStr">
        <is>
          <t>Multimarca</t>
        </is>
      </c>
      <c r="D18" s="156" t="inlineStr">
        <is>
          <t>RCRD37</t>
        </is>
      </c>
      <c r="E18" s="156" t="inlineStr">
        <is>
          <t>RCRD37-UNI</t>
        </is>
      </c>
      <c r="F18" s="156" t="inlineStr">
        <is>
          <t>Talla única</t>
        </is>
      </c>
      <c r="G18" s="156" t="inlineStr">
        <is>
          <t>One Size</t>
        </is>
      </c>
      <c r="H18" s="156" t="inlineStr">
        <is>
          <t>Ranch &amp; Corral</t>
        </is>
      </c>
      <c r="I18" s="156" t="inlineStr">
        <is>
          <t>Gorra Rodeo 37</t>
        </is>
      </c>
      <c r="J18" s="156" t="inlineStr">
        <is>
          <t>Accesorios</t>
        </is>
      </c>
      <c r="K18" s="156" t="inlineStr">
        <is>
          <t>Gorras</t>
        </is>
      </c>
      <c r="L18" s="156" t="inlineStr">
        <is>
          <t>Unisex</t>
        </is>
      </c>
      <c r="M18" s="156" t="inlineStr">
        <is>
          <t>Ranch &amp; Corral</t>
        </is>
      </c>
      <c r="N18" s="156" t="n"/>
      <c r="O18" s="156" t="inlineStr">
        <is>
          <t>Seasonal</t>
        </is>
      </c>
      <c r="P18" s="156" t="inlineStr">
        <is>
          <t>Cafe</t>
        </is>
      </c>
      <c r="Q18" s="156" t="n"/>
      <c r="R18" s="156" t="n"/>
      <c r="S18" s="156" t="inlineStr">
        <is>
          <t>75% Poliéster, 25% Algodón</t>
        </is>
      </c>
      <c r="T18" s="156" t="inlineStr">
        <is>
          <t>Gorra tipo trucker de 5 paneles bicolor café, frente terracota con parche bordado y visera en tono oscuro</t>
        </is>
      </c>
      <c r="U18" s="156" t="inlineStr">
        <is>
          <t>China</t>
        </is>
      </c>
      <c r="V18" s="156" t="inlineStr">
        <is>
          <t>PZS</t>
        </is>
      </c>
      <c r="W18" s="51" t="inlineStr">
        <is>
          <t>53102516</t>
        </is>
      </c>
      <c r="X18" s="156" t="inlineStr">
        <is>
          <t>https://cdn.shopify.com/s/files/1/0774/1849/6185/files/RCRD37-01.jpg?v=1776704070</t>
        </is>
      </c>
      <c r="Y18" s="54" t="n">
        <v>283.25</v>
      </c>
      <c r="Z18" s="54" t="n">
        <v>559.4827586</v>
      </c>
      <c r="AA18" s="55">
        <f>IF(AND(A18="", B18="", E18=""), "", IF(AB18="", "Válido", IF((LEN(AB18)-LEN(SUBSTITUTE(AB18,"; ","")))/2+1&gt;(LEN(AB18)-LEN(SUBSTITUTE(AB18,"[Aviso]","")))/7, "Con Incidencias", "Válido")))</f>
        <v/>
      </c>
      <c r="AB18" s="56">
        <f>IF(AND(A18="", B18="", E18=""), "", TEXTJOIN("; ", TRUE, IF(OR(TRIM(A18&amp;"")="", ISNUMBER(SEARCH("FALTA", A18))), "UPC faltante/inválido", ""), IF(AND(A18&lt;&gt;"", IFERROR(_xlfn.XMATCH(A18,$A$2:$A$39,0,1)&lt;&gt;_xlfn.XMATCH(A18,$A$2:$A$39,0,-1),FALSE)), "Código de barras duplicado", ""), IF(AND(E18&lt;&gt;"", COUNTIF($E$2:$E$39, E18)&gt;1), "SKU duplicado", ""), IF(OR(J18="", J18=""), "[Aviso] División no capturada ()", IF(ISNA(MATCH(J18, Criterios!$A$123:$A$126, 0)), "División no válida", "")), IF(OR(K18="", K18=""), "[Aviso] Categoría no capturada ()", IF(ISNA(MATCH(K18, Criterios!$A$81:$A$120, 0)), "Categoría no válida", IF(AND(J18&lt;&gt;"", J18&lt;&gt;"", J18&lt;&gt;VLOOKUP(K18, Criterios!$A$81:$B$120, 2, FALSE)), "División no coincide con Categoría", ""))), IF(OR(L18="", L18=""), "[Aviso] Género no capturado ()", IF(ISNA(MATCH(L18, Criterios!$B$123:$B$127, 0)), "Género no válido", "")), IF(OR(N18="", N18=""), "[Aviso] Temporada no capturada ()", IF(ISNA(MATCH(N18, Criterios!$C$123:$C$128, 0)), "Temporada no válida", "")), IF(OR(O18="", O18=""), "[Aviso] Ciclo de vida no capturado ()", IF(ISNA(MATCH(O18, Criterios!$D$123:$D$124, 0)), "Ciclo de vida no válido", ""))))</f>
        <v/>
      </c>
      <c r="AC18" s="56" t="n"/>
      <c r="AD18" s="51" t="n">
        <v>0</v>
      </c>
      <c r="AE18" s="156" t="n"/>
      <c r="AF18" s="51" t="n">
        <v>0</v>
      </c>
      <c r="AG18" s="156" t="inlineStr">
        <is>
          <t>Nuevo – NetSuite sin existencia</t>
        </is>
      </c>
      <c r="AH18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8" s="156" t="inlineStr">
        <is>
          <t>No</t>
        </is>
      </c>
      <c r="AJ18" s="156" t="n"/>
      <c r="AK18" s="155" t="inlineStr">
        <is>
          <t>ProductosCatalogoEstandar907.xlsx: fila 5218 [O,P,S,U,Y]; G1522_Extraccion_Articulos_NetSuite_2026-09-30.xlsx: fila 55920 [O,P,V,Y,T] | Shopify WB: producto 8469286518969 / variante 46869083947193</t>
        </is>
      </c>
      <c r="AL18" s="58" t="n">
        <v>283.25</v>
      </c>
      <c r="AM18" s="58" t="n">
        <v>648.99999998</v>
      </c>
      <c r="AN18" s="155" t="inlineStr">
        <is>
          <t>Shopify Western Brothers</t>
        </is>
      </c>
      <c r="AO18" s="59" t="n"/>
      <c r="AP18" s="59" t="n">
        <v>0</v>
      </c>
      <c r="AQ18" s="59" t="n"/>
      <c r="AR18" s="155" t="n"/>
    </row>
    <row r="19">
      <c r="A19" s="50" t="inlineStr">
        <is>
          <t>7506552413136</t>
        </is>
      </c>
      <c r="B19" s="51" t="inlineStr">
        <is>
          <t>107416</t>
        </is>
      </c>
      <c r="C19" s="156" t="inlineStr">
        <is>
          <t>Multimarca</t>
        </is>
      </c>
      <c r="D19" s="156" t="inlineStr">
        <is>
          <t>RT10</t>
        </is>
      </c>
      <c r="E19" s="156" t="inlineStr">
        <is>
          <t>RT10-UNI</t>
        </is>
      </c>
      <c r="F19" s="156" t="inlineStr">
        <is>
          <t>Talla única</t>
        </is>
      </c>
      <c r="G19" s="156" t="inlineStr">
        <is>
          <t>One Size</t>
        </is>
      </c>
      <c r="H19" s="156" t="inlineStr">
        <is>
          <t>Ranch &amp; Corral</t>
        </is>
      </c>
      <c r="I19" s="156" t="inlineStr">
        <is>
          <t>Gorra Realtree 10</t>
        </is>
      </c>
      <c r="J19" s="156" t="inlineStr">
        <is>
          <t>Accesorios</t>
        </is>
      </c>
      <c r="K19" s="156" t="inlineStr">
        <is>
          <t>Gorras</t>
        </is>
      </c>
      <c r="L19" s="156" t="inlineStr">
        <is>
          <t>Unisex</t>
        </is>
      </c>
      <c r="M19" s="156" t="inlineStr">
        <is>
          <t>Ranch &amp; Corral</t>
        </is>
      </c>
      <c r="N19" s="156" t="n"/>
      <c r="O19" s="156" t="inlineStr">
        <is>
          <t>Seasonal</t>
        </is>
      </c>
      <c r="P19" s="156" t="inlineStr">
        <is>
          <t>Verde</t>
        </is>
      </c>
      <c r="Q19" s="156" t="n"/>
      <c r="R19" s="156" t="n"/>
      <c r="S19" s="156" t="inlineStr">
        <is>
          <t>54% Poliéster, 39% Algodón, 6% Poliuretano, 1% Elastano</t>
        </is>
      </c>
      <c r="T19" s="156" t="inlineStr">
        <is>
          <t>Gorra de 5 paneles color verde militar con parche bordado frontal y visera curva.</t>
        </is>
      </c>
      <c r="U19" s="156" t="inlineStr">
        <is>
          <t>China</t>
        </is>
      </c>
      <c r="V19" s="156" t="inlineStr">
        <is>
          <t>PZS</t>
        </is>
      </c>
      <c r="W19" s="51" t="inlineStr">
        <is>
          <t>53102516</t>
        </is>
      </c>
      <c r="X19" s="156" t="inlineStr">
        <is>
          <t>https://cdn.shopify.com/s/files/1/0774/1849/6185/files/RT10-01.jpg?v=1776704082</t>
        </is>
      </c>
      <c r="Y19" s="54" t="n">
        <v>316.09</v>
      </c>
      <c r="Z19" s="54" t="n">
        <v>645.6896551999999</v>
      </c>
      <c r="AA19" s="55">
        <f>IF(AND(A19="", B19="", E19=""), "", IF(AB19="", "Válido", IF((LEN(AB19)-LEN(SUBSTITUTE(AB19,"; ","")))/2+1&gt;(LEN(AB19)-LEN(SUBSTITUTE(AB19,"[Aviso]","")))/7, "Con Incidencias", "Válido")))</f>
        <v/>
      </c>
      <c r="AB19" s="56">
        <f>IF(AND(A19="", B19="", E19=""), "", TEXTJOIN("; ", TRUE, IF(OR(TRIM(A19&amp;"")="", ISNUMBER(SEARCH("FALTA", A19))), "UPC faltante/inválido", ""), IF(AND(A19&lt;&gt;"", IFERROR(_xlfn.XMATCH(A19,$A$2:$A$39,0,1)&lt;&gt;_xlfn.XMATCH(A19,$A$2:$A$39,0,-1),FALSE)), "Código de barras duplicado", ""), IF(AND(E19&lt;&gt;"", COUNTIF($E$2:$E$39, E19)&gt;1), "SKU duplicado", ""), IF(OR(J19="", J19=""), "[Aviso] División no capturada ()", IF(ISNA(MATCH(J19, Criterios!$A$123:$A$126, 0)), "División no válida", "")), IF(OR(K19="", K19=""), "[Aviso] Categoría no capturada ()", IF(ISNA(MATCH(K19, Criterios!$A$81:$A$120, 0)), "Categoría no válida", IF(AND(J19&lt;&gt;"", J19&lt;&gt;"", J19&lt;&gt;VLOOKUP(K19, Criterios!$A$81:$B$120, 2, FALSE)), "División no coincide con Categoría", ""))), IF(OR(L19="", L19=""), "[Aviso] Género no capturado ()", IF(ISNA(MATCH(L19, Criterios!$B$123:$B$127, 0)), "Género no válido", "")), IF(OR(N19="", N19=""), "[Aviso] Temporada no capturada ()", IF(ISNA(MATCH(N19, Criterios!$C$123:$C$128, 0)), "Temporada no válida", "")), IF(OR(O19="", O19=""), "[Aviso] Ciclo de vida no capturado ()", IF(ISNA(MATCH(O19, Criterios!$D$123:$D$124, 0)), "Ciclo de vida no válido", ""))))</f>
        <v/>
      </c>
      <c r="AC19" s="56" t="n"/>
      <c r="AD19" s="51" t="n">
        <v>0</v>
      </c>
      <c r="AE19" s="156" t="n"/>
      <c r="AF19" s="51" t="n">
        <v>0</v>
      </c>
      <c r="AG19" s="156" t="inlineStr">
        <is>
          <t>Nuevo – NetSuite sin existencia</t>
        </is>
      </c>
      <c r="AH19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19" s="156" t="inlineStr">
        <is>
          <t>No</t>
        </is>
      </c>
      <c r="AJ19" s="156" t="n"/>
      <c r="AK19" s="155" t="inlineStr">
        <is>
          <t>ProductosCatalogoEstandar907.xlsx: fila 5219 [O,P,S,U,Y]; G1522_Extraccion_Articulos_NetSuite_2026-09-30.xlsx: fila 55912 [O,P,V,Y,T] | Shopify WB: producto 8469286813881 / variante 46869084242105</t>
        </is>
      </c>
      <c r="AL19" s="58" t="n">
        <v>316.09</v>
      </c>
      <c r="AM19" s="58" t="n">
        <v>749.00000003</v>
      </c>
      <c r="AN19" s="155" t="inlineStr">
        <is>
          <t>Shopify Western Brothers</t>
        </is>
      </c>
      <c r="AO19" s="59" t="n"/>
      <c r="AP19" s="59" t="n">
        <v>0</v>
      </c>
      <c r="AQ19" s="59" t="n"/>
      <c r="AR19" s="155" t="n"/>
    </row>
    <row r="20">
      <c r="A20" s="50" t="inlineStr">
        <is>
          <t>7506552413143</t>
        </is>
      </c>
      <c r="B20" s="51" t="inlineStr">
        <is>
          <t>107442</t>
        </is>
      </c>
      <c r="C20" s="156" t="inlineStr">
        <is>
          <t>Multimarca</t>
        </is>
      </c>
      <c r="D20" s="156" t="inlineStr">
        <is>
          <t>RT11</t>
        </is>
      </c>
      <c r="E20" s="156" t="inlineStr">
        <is>
          <t>RT11-UNI</t>
        </is>
      </c>
      <c r="F20" s="156" t="inlineStr">
        <is>
          <t>Talla única</t>
        </is>
      </c>
      <c r="G20" s="156" t="inlineStr">
        <is>
          <t>One Size</t>
        </is>
      </c>
      <c r="H20" s="156" t="inlineStr">
        <is>
          <t>Ranch &amp; Corral</t>
        </is>
      </c>
      <c r="I20" s="156" t="inlineStr">
        <is>
          <t>Gorra Realtree 11</t>
        </is>
      </c>
      <c r="J20" s="156" t="inlineStr">
        <is>
          <t>Accesorios</t>
        </is>
      </c>
      <c r="K20" s="156" t="inlineStr">
        <is>
          <t>Gorras</t>
        </is>
      </c>
      <c r="L20" s="156" t="inlineStr">
        <is>
          <t>Unisex</t>
        </is>
      </c>
      <c r="M20" s="156" t="inlineStr">
        <is>
          <t>Ranch &amp; Corral</t>
        </is>
      </c>
      <c r="N20" s="156" t="n"/>
      <c r="O20" s="156" t="inlineStr">
        <is>
          <t>Seasonal</t>
        </is>
      </c>
      <c r="P20" s="156" t="inlineStr">
        <is>
          <t>Cafe</t>
        </is>
      </c>
      <c r="Q20" s="156" t="n"/>
      <c r="R20" s="156" t="n"/>
      <c r="S20" s="156" t="inlineStr">
        <is>
          <t>54% Poliéster, 39% Algodón, 6% Poliuretano, 1% Elastano</t>
        </is>
      </c>
      <c r="T20" s="156" t="inlineStr">
        <is>
          <t>Gorra de 5 paneles en tonos café/tierra con parche bordado frontal y visera curva.</t>
        </is>
      </c>
      <c r="U20" s="156" t="inlineStr">
        <is>
          <t>China</t>
        </is>
      </c>
      <c r="V20" s="156" t="inlineStr">
        <is>
          <t>PZS</t>
        </is>
      </c>
      <c r="W20" s="51" t="inlineStr">
        <is>
          <t>53102516</t>
        </is>
      </c>
      <c r="X20" s="156" t="inlineStr">
        <is>
          <t>https://cdn.shopify.com/s/files/1/0774/1849/6185/files/RT11-01.jpg?v=1776704083</t>
        </is>
      </c>
      <c r="Y20" s="54" t="n">
        <v>316.09</v>
      </c>
      <c r="Z20" s="54" t="n">
        <v>645.6896551999999</v>
      </c>
      <c r="AA20" s="55">
        <f>IF(AND(A20="", B20="", E20=""), "", IF(AB20="", "Válido", IF((LEN(AB20)-LEN(SUBSTITUTE(AB20,"; ","")))/2+1&gt;(LEN(AB20)-LEN(SUBSTITUTE(AB20,"[Aviso]","")))/7, "Con Incidencias", "Válido")))</f>
        <v/>
      </c>
      <c r="AB20" s="56">
        <f>IF(AND(A20="", B20="", E20=""), "", TEXTJOIN("; ", TRUE, IF(OR(TRIM(A20&amp;"")="", ISNUMBER(SEARCH("FALTA", A20))), "UPC faltante/inválido", ""), IF(AND(A20&lt;&gt;"", IFERROR(_xlfn.XMATCH(A20,$A$2:$A$39,0,1)&lt;&gt;_xlfn.XMATCH(A20,$A$2:$A$39,0,-1),FALSE)), "Código de barras duplicado", ""), IF(AND(E20&lt;&gt;"", COUNTIF($E$2:$E$39, E20)&gt;1), "SKU duplicado", ""), IF(OR(J20="", J20=""), "[Aviso] División no capturada ()", IF(ISNA(MATCH(J20, Criterios!$A$123:$A$126, 0)), "División no válida", "")), IF(OR(K20="", K20=""), "[Aviso] Categoría no capturada ()", IF(ISNA(MATCH(K20, Criterios!$A$81:$A$120, 0)), "Categoría no válida", IF(AND(J20&lt;&gt;"", J20&lt;&gt;"", J20&lt;&gt;VLOOKUP(K20, Criterios!$A$81:$B$120, 2, FALSE)), "División no coincide con Categoría", ""))), IF(OR(L20="", L20=""), "[Aviso] Género no capturado ()", IF(ISNA(MATCH(L20, Criterios!$B$123:$B$127, 0)), "Género no válido", "")), IF(OR(N20="", N20=""), "[Aviso] Temporada no capturada ()", IF(ISNA(MATCH(N20, Criterios!$C$123:$C$128, 0)), "Temporada no válida", "")), IF(OR(O20="", O20=""), "[Aviso] Ciclo de vida no capturado ()", IF(ISNA(MATCH(O20, Criterios!$D$123:$D$124, 0)), "Ciclo de vida no válido", ""))))</f>
        <v/>
      </c>
      <c r="AC20" s="56" t="n"/>
      <c r="AD20" s="51" t="n">
        <v>0</v>
      </c>
      <c r="AE20" s="156" t="n"/>
      <c r="AF20" s="51" t="n">
        <v>0</v>
      </c>
      <c r="AG20" s="156" t="inlineStr">
        <is>
          <t>Nuevo – NetSuite sin existencia</t>
        </is>
      </c>
      <c r="AH20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20" s="156" t="inlineStr">
        <is>
          <t>No</t>
        </is>
      </c>
      <c r="AJ20" s="156" t="n"/>
      <c r="AK20" s="155" t="inlineStr">
        <is>
          <t>ProductosCatalogoEstandar907.xlsx: fila 5220 [O,P,S,U,Y]; G1522_Extraccion_Articulos_NetSuite_2026-09-30.xlsx: fila 55921 [O,P,V,Y,T] | Shopify WB: producto 8469286846649 / variante 46869084274873</t>
        </is>
      </c>
      <c r="AL20" s="58" t="n">
        <v>316.09</v>
      </c>
      <c r="AM20" s="58" t="n">
        <v>749.00000003</v>
      </c>
      <c r="AN20" s="155" t="inlineStr">
        <is>
          <t>Shopify Western Brothers</t>
        </is>
      </c>
      <c r="AO20" s="59" t="n"/>
      <c r="AP20" s="59" t="n">
        <v>0</v>
      </c>
      <c r="AQ20" s="59" t="n"/>
      <c r="AR20" s="155" t="n"/>
    </row>
    <row r="21">
      <c r="A21" s="50" t="inlineStr">
        <is>
          <t>7506552413167</t>
        </is>
      </c>
      <c r="B21" s="51" t="inlineStr">
        <is>
          <t>107417</t>
        </is>
      </c>
      <c r="C21" s="156" t="inlineStr">
        <is>
          <t>Multimarca</t>
        </is>
      </c>
      <c r="D21" s="156" t="inlineStr">
        <is>
          <t>RT13</t>
        </is>
      </c>
      <c r="E21" s="156" t="inlineStr">
        <is>
          <t>RT13-UNI</t>
        </is>
      </c>
      <c r="F21" s="156" t="inlineStr">
        <is>
          <t>Talla única</t>
        </is>
      </c>
      <c r="G21" s="156" t="inlineStr">
        <is>
          <t>One Size</t>
        </is>
      </c>
      <c r="H21" s="156" t="inlineStr">
        <is>
          <t>Ranch &amp; Corral</t>
        </is>
      </c>
      <c r="I21" s="156" t="inlineStr">
        <is>
          <t>Gorra Realtree 13</t>
        </is>
      </c>
      <c r="J21" s="156" t="inlineStr">
        <is>
          <t>Accesorios</t>
        </is>
      </c>
      <c r="K21" s="156" t="inlineStr">
        <is>
          <t>Gorras</t>
        </is>
      </c>
      <c r="L21" s="156" t="inlineStr">
        <is>
          <t>Unisex</t>
        </is>
      </c>
      <c r="M21" s="156" t="inlineStr">
        <is>
          <t>Ranch &amp; Corral</t>
        </is>
      </c>
      <c r="N21" s="156" t="n"/>
      <c r="O21" s="156" t="inlineStr">
        <is>
          <t>Seasonal</t>
        </is>
      </c>
      <c r="P21" s="156" t="inlineStr">
        <is>
          <t>Gris</t>
        </is>
      </c>
      <c r="Q21" s="156" t="n"/>
      <c r="R21" s="156" t="n"/>
      <c r="S21" s="156" t="inlineStr">
        <is>
          <t>54% Poliéster, 39% Algodón, 6% Poliuretano, 1% Elastano</t>
        </is>
      </c>
      <c r="T21" s="156" t="inlineStr">
        <is>
          <t>Gorra tipo trucker de 5 paneles con acabado washed en tonos gris/beige con parche bordado frontal y visera curva.</t>
        </is>
      </c>
      <c r="U21" s="156" t="inlineStr">
        <is>
          <t>China</t>
        </is>
      </c>
      <c r="V21" s="156" t="inlineStr">
        <is>
          <t>PZS</t>
        </is>
      </c>
      <c r="W21" s="51" t="inlineStr">
        <is>
          <t>53102516</t>
        </is>
      </c>
      <c r="X21" s="156" t="inlineStr">
        <is>
          <t>https://cdn.shopify.com/s/files/1/0774/1849/6185/files/RT13-01_9e8e0eb9-6dd9-4da1-857b-441a7099e076.jpg?v=1776704072</t>
        </is>
      </c>
      <c r="Y21" s="54" t="n">
        <v>316.09</v>
      </c>
      <c r="Z21" s="54" t="n">
        <v>645.6896551999999</v>
      </c>
      <c r="AA21" s="55">
        <f>IF(AND(A21="", B21="", E21=""), "", IF(AB21="", "Válido", IF((LEN(AB21)-LEN(SUBSTITUTE(AB21,"; ","")))/2+1&gt;(LEN(AB21)-LEN(SUBSTITUTE(AB21,"[Aviso]","")))/7, "Con Incidencias", "Válido")))</f>
        <v/>
      </c>
      <c r="AB21" s="56">
        <f>IF(AND(A21="", B21="", E21=""), "", TEXTJOIN("; ", TRUE, IF(OR(TRIM(A21&amp;"")="", ISNUMBER(SEARCH("FALTA", A21))), "UPC faltante/inválido", ""), IF(AND(A21&lt;&gt;"", IFERROR(_xlfn.XMATCH(A21,$A$2:$A$39,0,1)&lt;&gt;_xlfn.XMATCH(A21,$A$2:$A$39,0,-1),FALSE)), "Código de barras duplicado", ""), IF(AND(E21&lt;&gt;"", COUNTIF($E$2:$E$39, E21)&gt;1), "SKU duplicado", ""), IF(OR(J21="", J21=""), "[Aviso] División no capturada ()", IF(ISNA(MATCH(J21, Criterios!$A$123:$A$126, 0)), "División no válida", "")), IF(OR(K21="", K21=""), "[Aviso] Categoría no capturada ()", IF(ISNA(MATCH(K21, Criterios!$A$81:$A$120, 0)), "Categoría no válida", IF(AND(J21&lt;&gt;"", J21&lt;&gt;"", J21&lt;&gt;VLOOKUP(K21, Criterios!$A$81:$B$120, 2, FALSE)), "División no coincide con Categoría", ""))), IF(OR(L21="", L21=""), "[Aviso] Género no capturado ()", IF(ISNA(MATCH(L21, Criterios!$B$123:$B$127, 0)), "Género no válido", "")), IF(OR(N21="", N21=""), "[Aviso] Temporada no capturada ()", IF(ISNA(MATCH(N21, Criterios!$C$123:$C$128, 0)), "Temporada no válida", "")), IF(OR(O21="", O21=""), "[Aviso] Ciclo de vida no capturado ()", IF(ISNA(MATCH(O21, Criterios!$D$123:$D$124, 0)), "Ciclo de vida no válido", ""))))</f>
        <v/>
      </c>
      <c r="AC21" s="56" t="n"/>
      <c r="AD21" s="51" t="n">
        <v>0</v>
      </c>
      <c r="AE21" s="156" t="n"/>
      <c r="AF21" s="51" t="n">
        <v>0</v>
      </c>
      <c r="AG21" s="156" t="inlineStr">
        <is>
          <t>Nuevo – NetSuite sin existencia</t>
        </is>
      </c>
      <c r="AH21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21" s="156" t="inlineStr">
        <is>
          <t>No</t>
        </is>
      </c>
      <c r="AJ21" s="156" t="n"/>
      <c r="AK21" s="155" t="inlineStr">
        <is>
          <t>ProductosCatalogoEstandar907.xlsx: fila 5221 [O,P,S,U,Y]; G1522_Extraccion_Articulos_NetSuite_2026-09-30.xlsx: fila 55913 [O,P,V,Y,T] | Shopify WB: producto 8469286551737 / variante 46869083979961</t>
        </is>
      </c>
      <c r="AL21" s="58" t="n">
        <v>316.09</v>
      </c>
      <c r="AM21" s="58" t="n">
        <v>749.00000003</v>
      </c>
      <c r="AN21" s="155" t="inlineStr">
        <is>
          <t>Shopify Western Brothers</t>
        </is>
      </c>
      <c r="AO21" s="59" t="n"/>
      <c r="AP21" s="59" t="n">
        <v>0</v>
      </c>
      <c r="AQ21" s="59" t="n"/>
      <c r="AR21" s="155" t="n"/>
    </row>
    <row r="22">
      <c r="A22" s="50" t="inlineStr">
        <is>
          <t>7506552412672</t>
        </is>
      </c>
      <c r="B22" s="51" t="inlineStr">
        <is>
          <t>107433</t>
        </is>
      </c>
      <c r="C22" s="156" t="inlineStr">
        <is>
          <t>Multimarca</t>
        </is>
      </c>
      <c r="D22" s="156" t="inlineStr">
        <is>
          <t>YW42</t>
        </is>
      </c>
      <c r="E22" s="156" t="inlineStr">
        <is>
          <t>YW42-UNI</t>
        </is>
      </c>
      <c r="F22" s="156" t="inlineStr">
        <is>
          <t>Talla única</t>
        </is>
      </c>
      <c r="G22" s="156" t="inlineStr">
        <is>
          <t>One Size</t>
        </is>
      </c>
      <c r="H22" s="156" t="inlineStr">
        <is>
          <t>Ranch &amp; Corral</t>
        </is>
      </c>
      <c r="I22" s="156" t="inlineStr">
        <is>
          <t>Gorra Yellowstone 42</t>
        </is>
      </c>
      <c r="J22" s="156" t="inlineStr">
        <is>
          <t>Accesorios</t>
        </is>
      </c>
      <c r="K22" s="156" t="inlineStr">
        <is>
          <t>Gorras</t>
        </is>
      </c>
      <c r="L22" s="156" t="inlineStr">
        <is>
          <t>Unisex</t>
        </is>
      </c>
      <c r="M22" s="156" t="inlineStr">
        <is>
          <t>Ranch &amp; Corral</t>
        </is>
      </c>
      <c r="N22" s="156" t="n"/>
      <c r="O22" s="156" t="inlineStr">
        <is>
          <t>Seasonal</t>
        </is>
      </c>
      <c r="P22" s="156" t="inlineStr">
        <is>
          <t>Azul</t>
        </is>
      </c>
      <c r="Q22" s="156" t="n"/>
      <c r="R22" s="156" t="n"/>
      <c r="S22" s="156" t="inlineStr">
        <is>
          <t>50% Algodón, 50% Poliéster</t>
        </is>
      </c>
      <c r="T22" s="156" t="inlineStr">
        <is>
          <t>Gorra tipo trucker de 5 paneles, frente azul marino con parche bordado, parte trasera de malla y visera curva.</t>
        </is>
      </c>
      <c r="U22" s="156" t="inlineStr">
        <is>
          <t>China</t>
        </is>
      </c>
      <c r="V22" s="156" t="inlineStr">
        <is>
          <t>PZS</t>
        </is>
      </c>
      <c r="W22" s="51" t="inlineStr">
        <is>
          <t>53102516</t>
        </is>
      </c>
      <c r="X22" s="156" t="inlineStr">
        <is>
          <t>https://cdn.shopify.com/s/files/1/0774/1849/6185/files/YW42-01.jpg?v=1782311300</t>
        </is>
      </c>
      <c r="Y22" s="54" t="n">
        <v>316.09</v>
      </c>
      <c r="Z22" s="54" t="n">
        <v>775</v>
      </c>
      <c r="AA22" s="55">
        <f>IF(AND(A22="", B22="", E22=""), "", IF(AB22="", "Válido", IF((LEN(AB22)-LEN(SUBSTITUTE(AB22,"; ","")))/2+1&gt;(LEN(AB22)-LEN(SUBSTITUTE(AB22,"[Aviso]","")))/7, "Con Incidencias", "Válido")))</f>
        <v/>
      </c>
      <c r="AB22" s="56">
        <f>IF(AND(A22="", B22="", E22=""), "", TEXTJOIN("; ", TRUE, IF(OR(TRIM(A22&amp;"")="", ISNUMBER(SEARCH("FALTA", A22))), "UPC faltante/inválido", ""), IF(AND(A22&lt;&gt;"", IFERROR(_xlfn.XMATCH(A22,$A$2:$A$39,0,1)&lt;&gt;_xlfn.XMATCH(A22,$A$2:$A$39,0,-1),FALSE)), "Código de barras duplicado", ""), IF(AND(E22&lt;&gt;"", COUNTIF($E$2:$E$39, E22)&gt;1), "SKU duplicado", ""), IF(OR(J22="", J22=""), "[Aviso] División no capturada ()", IF(ISNA(MATCH(J22, Criterios!$A$123:$A$126, 0)), "División no válida", "")), IF(OR(K22="", K22=""), "[Aviso] Categoría no capturada ()", IF(ISNA(MATCH(K22, Criterios!$A$81:$A$120, 0)), "Categoría no válida", IF(AND(J22&lt;&gt;"", J22&lt;&gt;"", J22&lt;&gt;VLOOKUP(K22, Criterios!$A$81:$B$120, 2, FALSE)), "División no coincide con Categoría", ""))), IF(OR(L22="", L22=""), "[Aviso] Género no capturado ()", IF(ISNA(MATCH(L22, Criterios!$B$123:$B$127, 0)), "Género no válido", "")), IF(OR(N22="", N22=""), "[Aviso] Temporada no capturada ()", IF(ISNA(MATCH(N22, Criterios!$C$123:$C$128, 0)), "Temporada no válida", "")), IF(OR(O22="", O22=""), "[Aviso] Ciclo de vida no capturado ()", IF(ISNA(MATCH(O22, Criterios!$D$123:$D$124, 0)), "Ciclo de vida no válido", ""))))</f>
        <v/>
      </c>
      <c r="AC22" s="56" t="n"/>
      <c r="AD22" s="51" t="n">
        <v>0</v>
      </c>
      <c r="AE22" s="156" t="n"/>
      <c r="AF22" s="51" t="n">
        <v>0</v>
      </c>
      <c r="AG22" s="156" t="inlineStr">
        <is>
          <t>Nuevo – NetSuite sin existencia</t>
        </is>
      </c>
      <c r="AH22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22" s="156" t="inlineStr">
        <is>
          <t>No</t>
        </is>
      </c>
      <c r="AJ22" s="156" t="n"/>
      <c r="AK22" s="155" t="inlineStr">
        <is>
          <t>ProductosCatalogoEstandar907.xlsx: fila 6234 [O,P,S,U,Y]; G1522_Extraccion_Articulos_NetSuite_2026-09-30.xlsx: fila 55914 [O,P,V,Y,T] | Shopify WB: producto 8569964527801 / variante 47621331091641</t>
        </is>
      </c>
      <c r="AL22" s="58" t="n">
        <v>316.09</v>
      </c>
      <c r="AM22" s="58" t="n">
        <v>899</v>
      </c>
      <c r="AN22" s="155" t="inlineStr">
        <is>
          <t>Shopify Western Brothers</t>
        </is>
      </c>
      <c r="AO22" s="59" t="n"/>
      <c r="AP22" s="59" t="n">
        <v>0</v>
      </c>
      <c r="AQ22" s="59" t="n"/>
      <c r="AR22" s="155" t="n"/>
    </row>
    <row r="23">
      <c r="A23" s="50" t="inlineStr">
        <is>
          <t>7506552412689</t>
        </is>
      </c>
      <c r="B23" s="51" t="inlineStr">
        <is>
          <t>107434</t>
        </is>
      </c>
      <c r="C23" s="156" t="inlineStr">
        <is>
          <t>Multimarca</t>
        </is>
      </c>
      <c r="D23" s="156" t="inlineStr">
        <is>
          <t>YW43</t>
        </is>
      </c>
      <c r="E23" s="156" t="inlineStr">
        <is>
          <t>YW43-UNI</t>
        </is>
      </c>
      <c r="F23" s="156" t="inlineStr">
        <is>
          <t>Talla única</t>
        </is>
      </c>
      <c r="G23" s="156" t="inlineStr">
        <is>
          <t>One Size</t>
        </is>
      </c>
      <c r="H23" s="156" t="inlineStr">
        <is>
          <t>Ranch &amp; Corral</t>
        </is>
      </c>
      <c r="I23" s="156" t="inlineStr">
        <is>
          <t>Gorra Yellowstone 43</t>
        </is>
      </c>
      <c r="J23" s="156" t="inlineStr">
        <is>
          <t>Accesorios</t>
        </is>
      </c>
      <c r="K23" s="156" t="inlineStr">
        <is>
          <t>Gorras</t>
        </is>
      </c>
      <c r="L23" s="156" t="inlineStr">
        <is>
          <t>Unisex</t>
        </is>
      </c>
      <c r="M23" s="156" t="inlineStr">
        <is>
          <t>Ranch &amp; Corral</t>
        </is>
      </c>
      <c r="N23" s="156" t="n"/>
      <c r="O23" s="156" t="inlineStr">
        <is>
          <t>Seasonal</t>
        </is>
      </c>
      <c r="P23" s="156" t="inlineStr">
        <is>
          <t>Beige</t>
        </is>
      </c>
      <c r="Q23" s="156" t="n"/>
      <c r="R23" s="156" t="n"/>
      <c r="S23" s="156" t="inlineStr">
        <is>
          <t>50% Algodón, 50% Poliéster</t>
        </is>
      </c>
      <c r="T23" s="156" t="inlineStr">
        <is>
          <t>Gorra tipo trucker de 5 paneles bicolor, frente color crema con parche bordado, parte trasera café y visera en marron.</t>
        </is>
      </c>
      <c r="U23" s="156" t="inlineStr">
        <is>
          <t>China</t>
        </is>
      </c>
      <c r="V23" s="156" t="inlineStr">
        <is>
          <t>PZS</t>
        </is>
      </c>
      <c r="W23" s="51" t="inlineStr">
        <is>
          <t>53102516</t>
        </is>
      </c>
      <c r="X23" s="156" t="inlineStr">
        <is>
          <t>https://cdn.shopify.com/s/files/1/0774/1849/6185/files/YW43-01.jpg?v=1782311493</t>
        </is>
      </c>
      <c r="Y23" s="54" t="n">
        <v>316.09</v>
      </c>
      <c r="Z23" s="54" t="n">
        <v>775</v>
      </c>
      <c r="AA23" s="55">
        <f>IF(AND(A23="", B23="", E23=""), "", IF(AB23="", "Válido", IF((LEN(AB23)-LEN(SUBSTITUTE(AB23,"; ","")))/2+1&gt;(LEN(AB23)-LEN(SUBSTITUTE(AB23,"[Aviso]","")))/7, "Con Incidencias", "Válido")))</f>
        <v/>
      </c>
      <c r="AB23" s="56">
        <f>IF(AND(A23="", B23="", E23=""), "", TEXTJOIN("; ", TRUE, IF(OR(TRIM(A23&amp;"")="", ISNUMBER(SEARCH("FALTA", A23))), "UPC faltante/inválido", ""), IF(AND(A23&lt;&gt;"", IFERROR(_xlfn.XMATCH(A23,$A$2:$A$39,0,1)&lt;&gt;_xlfn.XMATCH(A23,$A$2:$A$39,0,-1),FALSE)), "Código de barras duplicado", ""), IF(AND(E23&lt;&gt;"", COUNTIF($E$2:$E$39, E23)&gt;1), "SKU duplicado", ""), IF(OR(J23="", J23=""), "[Aviso] División no capturada ()", IF(ISNA(MATCH(J23, Criterios!$A$123:$A$126, 0)), "División no válida", "")), IF(OR(K23="", K23=""), "[Aviso] Categoría no capturada ()", IF(ISNA(MATCH(K23, Criterios!$A$81:$A$120, 0)), "Categoría no válida", IF(AND(J23&lt;&gt;"", J23&lt;&gt;"", J23&lt;&gt;VLOOKUP(K23, Criterios!$A$81:$B$120, 2, FALSE)), "División no coincide con Categoría", ""))), IF(OR(L23="", L23=""), "[Aviso] Género no capturado ()", IF(ISNA(MATCH(L23, Criterios!$B$123:$B$127, 0)), "Género no válido", "")), IF(OR(N23="", N23=""), "[Aviso] Temporada no capturada ()", IF(ISNA(MATCH(N23, Criterios!$C$123:$C$128, 0)), "Temporada no válida", "")), IF(OR(O23="", O23=""), "[Aviso] Ciclo de vida no capturado ()", IF(ISNA(MATCH(O23, Criterios!$D$123:$D$124, 0)), "Ciclo de vida no válido", ""))))</f>
        <v/>
      </c>
      <c r="AC23" s="56" t="n"/>
      <c r="AD23" s="51" t="n">
        <v>0</v>
      </c>
      <c r="AE23" s="156" t="n"/>
      <c r="AF23" s="51" t="n">
        <v>0</v>
      </c>
      <c r="AG23" s="156" t="inlineStr">
        <is>
          <t>Nuevo – NetSuite sin existencia</t>
        </is>
      </c>
      <c r="AH23" s="156" t="inlineStr">
        <is>
          <t>Color por validar | Revisión 29/09/2026: Campos sin respaldo: N, X; Auditoría NetSuite 30/09/2026: llenado desde NetSuite [O,P,V,Y,T] | 01/10/2026: complementado desde Shopify Western Brothers (match por código de barras): WB Fit, WB Silueta, Enlace de imagen | 01/10/2026: Shopify Western Brothers trae Género «Hombre» — se conservó el valor de Productos | Homologación G1522 06/10/2026: WB Fit: «» → «Regular» (Completado desde NetSuite) · WB Silueta: «» → «Trucker 5 paneles» (Completado desde NetSuite) · WB Fit: «Regular» → «» (Corrección aplicada) · WB Silueta: «Trucker 5 paneles» → «» (Corrección aplicada)</t>
        </is>
      </c>
      <c r="AI23" s="156" t="inlineStr">
        <is>
          <t>No</t>
        </is>
      </c>
      <c r="AJ23" s="156" t="n"/>
      <c r="AK23" s="155" t="inlineStr">
        <is>
          <t>ProductosCatalogoEstandar907.xlsx: fila 6235 [O,P,S,U,Y]; G1522_Extraccion_Articulos_NetSuite_2026-09-30.xlsx: fila 55915 [O,P,V,Y,T] | Shopify WB: producto 8569964691641 / variante 47621331222713</t>
        </is>
      </c>
      <c r="AL23" s="58" t="n">
        <v>316.09</v>
      </c>
      <c r="AM23" s="58" t="n">
        <v>899</v>
      </c>
      <c r="AN23" s="155" t="inlineStr">
        <is>
          <t>Shopify Western Brothers</t>
        </is>
      </c>
      <c r="AO23" s="59" t="n"/>
      <c r="AP23" s="59" t="n">
        <v>0</v>
      </c>
      <c r="AQ23" s="59" t="n"/>
      <c r="AR23" s="155" t="n"/>
    </row>
    <row r="24">
      <c r="A24" s="50" t="inlineStr">
        <is>
          <t>7506552415239</t>
        </is>
      </c>
      <c r="B24" s="51" t="inlineStr">
        <is>
          <t>118243</t>
        </is>
      </c>
      <c r="C24" s="156" t="inlineStr">
        <is>
          <t>Multimarca</t>
        </is>
      </c>
      <c r="D24" s="156" t="inlineStr">
        <is>
          <t>RCAC11</t>
        </is>
      </c>
      <c r="E24" s="156" t="inlineStr">
        <is>
          <t>RCAC11</t>
        </is>
      </c>
      <c r="F24" s="156" t="inlineStr">
        <is>
          <t>Talla única</t>
        </is>
      </c>
      <c r="G24" s="156" t="inlineStr">
        <is>
          <t>One Size</t>
        </is>
      </c>
      <c r="H24" s="156" t="inlineStr">
        <is>
          <t>Ranch &amp; Corral</t>
        </is>
      </c>
      <c r="I24" s="156" t="inlineStr">
        <is>
          <t>Gorra Agriculture 11</t>
        </is>
      </c>
      <c r="J24" s="156" t="inlineStr">
        <is>
          <t>Accesorios</t>
        </is>
      </c>
      <c r="K24" s="156" t="inlineStr">
        <is>
          <t>Gorras</t>
        </is>
      </c>
      <c r="L24" s="156" t="inlineStr">
        <is>
          <t>Hombre</t>
        </is>
      </c>
      <c r="M24" s="156" t="inlineStr">
        <is>
          <t>Ranch &amp; Corral</t>
        </is>
      </c>
      <c r="N24" s="156" t="inlineStr">
        <is>
          <t>FW26</t>
        </is>
      </c>
      <c r="O24" s="156" t="inlineStr">
        <is>
          <t>Seasonal</t>
        </is>
      </c>
      <c r="P24" s="156" t="inlineStr">
        <is>
          <t>Negro</t>
        </is>
      </c>
      <c r="Q24" s="156" t="n"/>
      <c r="R24" s="156" t="n"/>
      <c r="S24" s="156" t="inlineStr">
        <is>
          <t>50% Algodón
50% Poliéster</t>
        </is>
      </c>
      <c r="T24" s="156" t="inlineStr">
        <is>
          <t>Gorra Agriculture 11  5 paneles</t>
        </is>
      </c>
      <c r="U24" s="156" t="inlineStr">
        <is>
          <t>China</t>
        </is>
      </c>
      <c r="V24" s="156" t="inlineStr">
        <is>
          <t>PZS</t>
        </is>
      </c>
      <c r="W24" s="51" t="inlineStr">
        <is>
          <t>53102516</t>
        </is>
      </c>
      <c r="X24" s="156" t="n"/>
      <c r="Y24" s="54" t="n">
        <v>275.38</v>
      </c>
      <c r="Z24" s="54" t="n">
        <v>559.4827586</v>
      </c>
      <c r="AA24" s="55">
        <f>IF(AND(A24="", B24="", E24=""), "", IF(AB24="", "Válido", IF((LEN(AB24)-LEN(SUBSTITUTE(AB24,"; ","")))/2+1&gt;(LEN(AB24)-LEN(SUBSTITUTE(AB24,"[Aviso]","")))/7, "Con Incidencias", "Válido")))</f>
        <v/>
      </c>
      <c r="AB24" s="56">
        <f>IF(AND(A24="", B24="", E24=""), "", TEXTJOIN("; ", TRUE, IF(OR(TRIM(A24&amp;"")="", ISNUMBER(SEARCH("FALTA", A24))), "UPC faltante/inválido", ""), IF(AND(A24&lt;&gt;"", IFERROR(_xlfn.XMATCH(A24,$A$2:$A$39,0,1)&lt;&gt;_xlfn.XMATCH(A24,$A$2:$A$39,0,-1),FALSE)), "Código de barras duplicado", ""), IF(AND(E24&lt;&gt;"", COUNTIF($E$2:$E$39, E24)&gt;1), "SKU duplicado", ""), IF(OR(J24="", J24=""), "[Aviso] División no capturada ()", IF(ISNA(MATCH(J24, Criterios!$A$123:$A$126, 0)), "División no válida", "")), IF(OR(K24="", K24=""), "[Aviso] Categoría no capturada ()", IF(ISNA(MATCH(K24, Criterios!$A$81:$A$120, 0)), "Categoría no válida", IF(AND(J24&lt;&gt;"", J24&lt;&gt;"", J24&lt;&gt;VLOOKUP(K24, Criterios!$A$81:$B$120, 2, FALSE)), "División no coincide con Categoría", ""))), IF(OR(L24="", L24=""), "[Aviso] Género no capturado ()", IF(ISNA(MATCH(L24, Criterios!$B$123:$B$127, 0)), "Género no válido", "")), IF(OR(N24="", N24=""), "[Aviso] Temporada no capturada ()", IF(ISNA(MATCH(N24, Criterios!$C$123:$C$128, 0)), "Temporada no válida", "")), IF(OR(O24="", O24=""), "[Aviso] Ciclo de vida no capturado ()", IF(ISNA(MATCH(O24, Criterios!$D$123:$D$124, 0)), "Ciclo de vida no válido", ""))))</f>
        <v/>
      </c>
      <c r="AC24" s="56" t="n"/>
      <c r="AD24" s="51" t="n">
        <v>27</v>
      </c>
      <c r="AE24" s="156" t="inlineStr">
        <is>
          <t>B25 CEDIS: 16 | WB OUTLET LERMA: 11</t>
        </is>
      </c>
      <c r="AF24" s="51" t="n">
        <v>11</v>
      </c>
      <c r="AG24" s="156" t="inlineStr">
        <is>
          <t>Nuevo – NetSuite 06/10/2026</t>
        </is>
      </c>
      <c r="AH24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24" s="156" t="inlineStr">
        <is>
          <t>No</t>
        </is>
      </c>
      <c r="AJ24" s="156" t="n"/>
      <c r="AK24" s="155" t="inlineStr">
        <is>
          <t>NetSuite SuiteQL: item · inventoryitemlocations · itemprice (Base Price y RETAIL, moneda base)</t>
        </is>
      </c>
      <c r="AL24" s="58" t="n">
        <v>275.38</v>
      </c>
      <c r="AM24" s="58" t="n">
        <v>648.99999998</v>
      </c>
      <c r="AN24" s="155" t="n"/>
      <c r="AO24" s="59" t="n"/>
      <c r="AP24" s="59" t="n"/>
      <c r="AQ24" s="59" t="n"/>
      <c r="AR24" s="155" t="n"/>
    </row>
    <row r="25">
      <c r="A25" s="50" t="inlineStr">
        <is>
          <t>7506552414782</t>
        </is>
      </c>
      <c r="B25" s="51" t="inlineStr">
        <is>
          <t>118228</t>
        </is>
      </c>
      <c r="C25" s="156" t="inlineStr">
        <is>
          <t>Multimarca</t>
        </is>
      </c>
      <c r="D25" s="156" t="inlineStr">
        <is>
          <t>RCC46</t>
        </is>
      </c>
      <c r="E25" s="156" t="inlineStr">
        <is>
          <t>RCC46</t>
        </is>
      </c>
      <c r="F25" s="156" t="inlineStr">
        <is>
          <t>Talla única</t>
        </is>
      </c>
      <c r="G25" s="156" t="inlineStr">
        <is>
          <t>One Size</t>
        </is>
      </c>
      <c r="H25" s="156" t="inlineStr">
        <is>
          <t>Ranch &amp; Corral</t>
        </is>
      </c>
      <c r="I25" s="156" t="inlineStr">
        <is>
          <t>Gorra Classic 46</t>
        </is>
      </c>
      <c r="J25" s="156" t="inlineStr">
        <is>
          <t>Accesorios</t>
        </is>
      </c>
      <c r="K25" s="156" t="inlineStr">
        <is>
          <t>Gorras</t>
        </is>
      </c>
      <c r="L25" s="156" t="inlineStr">
        <is>
          <t>Hombre</t>
        </is>
      </c>
      <c r="M25" s="156" t="inlineStr">
        <is>
          <t>Ranch &amp; Corral</t>
        </is>
      </c>
      <c r="N25" s="156" t="inlineStr">
        <is>
          <t>FW26</t>
        </is>
      </c>
      <c r="O25" s="156" t="inlineStr">
        <is>
          <t>Seasonal</t>
        </is>
      </c>
      <c r="P25" s="156" t="inlineStr">
        <is>
          <t>Verde</t>
        </is>
      </c>
      <c r="Q25" s="156" t="n"/>
      <c r="R25" s="156" t="n"/>
      <c r="S25" s="156" t="inlineStr">
        <is>
          <t>73% Poliéster
12% Lana
12% Fibra sintética
3% Elastano</t>
        </is>
      </c>
      <c r="T25" s="156" t="inlineStr">
        <is>
          <t>Gorra Classic 46  5 paneles</t>
        </is>
      </c>
      <c r="U25" s="156" t="inlineStr">
        <is>
          <t>China</t>
        </is>
      </c>
      <c r="V25" s="156" t="inlineStr">
        <is>
          <t>PZS</t>
        </is>
      </c>
      <c r="W25" s="51" t="inlineStr">
        <is>
          <t>53102516</t>
        </is>
      </c>
      <c r="X25" s="156" t="n"/>
      <c r="Y25" s="54" t="n">
        <v>275.38</v>
      </c>
      <c r="Z25" s="54" t="n">
        <v>559.4827586</v>
      </c>
      <c r="AA25" s="55">
        <f>IF(AND(A25="", B25="", E25=""), "", IF(AB25="", "Válido", IF((LEN(AB25)-LEN(SUBSTITUTE(AB25,"; ","")))/2+1&gt;(LEN(AB25)-LEN(SUBSTITUTE(AB25,"[Aviso]","")))/7, "Con Incidencias", "Válido")))</f>
        <v/>
      </c>
      <c r="AB25" s="56">
        <f>IF(AND(A25="", B25="", E25=""), "", TEXTJOIN("; ", TRUE, IF(OR(TRIM(A25&amp;"")="", ISNUMBER(SEARCH("FALTA", A25))), "UPC faltante/inválido", ""), IF(AND(A25&lt;&gt;"", IFERROR(_xlfn.XMATCH(A25,$A$2:$A$39,0,1)&lt;&gt;_xlfn.XMATCH(A25,$A$2:$A$39,0,-1),FALSE)), "Código de barras duplicado", ""), IF(AND(E25&lt;&gt;"", COUNTIF($E$2:$E$39, E25)&gt;1), "SKU duplicado", ""), IF(OR(J25="", J25=""), "[Aviso] División no capturada ()", IF(ISNA(MATCH(J25, Criterios!$A$123:$A$126, 0)), "División no válida", "")), IF(OR(K25="", K25=""), "[Aviso] Categoría no capturada ()", IF(ISNA(MATCH(K25, Criterios!$A$81:$A$120, 0)), "Categoría no válida", IF(AND(J25&lt;&gt;"", J25&lt;&gt;"", J25&lt;&gt;VLOOKUP(K25, Criterios!$A$81:$B$120, 2, FALSE)), "División no coincide con Categoría", ""))), IF(OR(L25="", L25=""), "[Aviso] Género no capturado ()", IF(ISNA(MATCH(L25, Criterios!$B$123:$B$127, 0)), "Género no válido", "")), IF(OR(N25="", N25=""), "[Aviso] Temporada no capturada ()", IF(ISNA(MATCH(N25, Criterios!$C$123:$C$128, 0)), "Temporada no válida", "")), IF(OR(O25="", O25=""), "[Aviso] Ciclo de vida no capturado ()", IF(ISNA(MATCH(O25, Criterios!$D$123:$D$124, 0)), "Ciclo de vida no válido", ""))))</f>
        <v/>
      </c>
      <c r="AC25" s="56" t="n"/>
      <c r="AD25" s="51" t="n">
        <v>22</v>
      </c>
      <c r="AE25" s="156" t="inlineStr">
        <is>
          <t>B25 CEDIS: 11 | WB OUTLET LERMA: 11</t>
        </is>
      </c>
      <c r="AF25" s="51" t="n">
        <v>11</v>
      </c>
      <c r="AG25" s="156" t="inlineStr">
        <is>
          <t>Nuevo – NetSuite 06/10/2026</t>
        </is>
      </c>
      <c r="AH25" s="156" t="inlineStr">
        <is>
          <t>Comprometido: 11 | En pedido: 11 | Homologación G1522 06/10/2026: WB Silueta: «» → «5 paneles» (Completado desde NetSuite) · WB Silueta: «5 paneles» → «» (Corrección aplicada)</t>
        </is>
      </c>
      <c r="AI25" s="156" t="inlineStr">
        <is>
          <t>No</t>
        </is>
      </c>
      <c r="AJ25" s="156" t="n"/>
      <c r="AK25" s="155" t="inlineStr">
        <is>
          <t>NetSuite SuiteQL: item · inventoryitemlocations · itemprice (Base Price y RETAIL, moneda base)</t>
        </is>
      </c>
      <c r="AL25" s="58" t="n">
        <v>275.38</v>
      </c>
      <c r="AM25" s="58" t="n">
        <v>648.99999998</v>
      </c>
      <c r="AN25" s="155" t="n"/>
      <c r="AO25" s="59" t="n"/>
      <c r="AP25" s="59" t="n"/>
      <c r="AQ25" s="59" t="n"/>
      <c r="AR25" s="155" t="n"/>
    </row>
    <row r="26">
      <c r="A26" s="50" t="inlineStr">
        <is>
          <t>7506552414683</t>
        </is>
      </c>
      <c r="B26" s="51" t="inlineStr">
        <is>
          <t>118227</t>
        </is>
      </c>
      <c r="C26" s="156" t="inlineStr">
        <is>
          <t>Multimarca</t>
        </is>
      </c>
      <c r="D26" s="156" t="inlineStr">
        <is>
          <t>RCCB03</t>
        </is>
      </c>
      <c r="E26" s="156" t="inlineStr">
        <is>
          <t>RCCB03</t>
        </is>
      </c>
      <c r="F26" s="156" t="inlineStr">
        <is>
          <t>Talla única</t>
        </is>
      </c>
      <c r="G26" s="156" t="inlineStr">
        <is>
          <t>One Size</t>
        </is>
      </c>
      <c r="H26" s="156" t="inlineStr">
        <is>
          <t>Ranch &amp; Corral</t>
        </is>
      </c>
      <c r="I26" s="156" t="inlineStr">
        <is>
          <t>Gorra Basic 03</t>
        </is>
      </c>
      <c r="J26" s="156" t="inlineStr">
        <is>
          <t>Accesorios</t>
        </is>
      </c>
      <c r="K26" s="156" t="inlineStr">
        <is>
          <t>Gorras</t>
        </is>
      </c>
      <c r="L26" s="156" t="inlineStr">
        <is>
          <t>Hombre</t>
        </is>
      </c>
      <c r="M26" s="156" t="inlineStr">
        <is>
          <t>Ranch &amp; Corral</t>
        </is>
      </c>
      <c r="N26" s="156" t="inlineStr">
        <is>
          <t>FW26</t>
        </is>
      </c>
      <c r="O26" s="156" t="inlineStr">
        <is>
          <t>Seasonal</t>
        </is>
      </c>
      <c r="P26" s="156" t="inlineStr">
        <is>
          <t>Negro</t>
        </is>
      </c>
      <c r="Q26" s="156" t="n"/>
      <c r="R26" s="156" t="n"/>
      <c r="S26" s="156" t="inlineStr">
        <is>
          <t>50% Algodón
50% Poliéster</t>
        </is>
      </c>
      <c r="T26" s="156" t="inlineStr">
        <is>
          <t>Gorra Basic 03  5 paneles</t>
        </is>
      </c>
      <c r="U26" s="156" t="inlineStr">
        <is>
          <t>China</t>
        </is>
      </c>
      <c r="V26" s="156" t="inlineStr">
        <is>
          <t>PZS</t>
        </is>
      </c>
      <c r="W26" s="51" t="inlineStr">
        <is>
          <t>53102516</t>
        </is>
      </c>
      <c r="X26" s="156" t="n"/>
      <c r="Y26" s="54" t="n">
        <v>275.38</v>
      </c>
      <c r="Z26" s="54" t="n">
        <v>559.4827586</v>
      </c>
      <c r="AA26" s="55">
        <f>IF(AND(A26="", B26="", E26=""), "", IF(AB26="", "Válido", IF((LEN(AB26)-LEN(SUBSTITUTE(AB26,"; ","")))/2+1&gt;(LEN(AB26)-LEN(SUBSTITUTE(AB26,"[Aviso]","")))/7, "Con Incidencias", "Válido")))</f>
        <v/>
      </c>
      <c r="AB26" s="56">
        <f>IF(AND(A26="", B26="", E26=""), "", TEXTJOIN("; ", TRUE, IF(OR(TRIM(A26&amp;"")="", ISNUMBER(SEARCH("FALTA", A26))), "UPC faltante/inválido", ""), IF(AND(A26&lt;&gt;"", IFERROR(_xlfn.XMATCH(A26,$A$2:$A$39,0,1)&lt;&gt;_xlfn.XMATCH(A26,$A$2:$A$39,0,-1),FALSE)), "Código de barras duplicado", ""), IF(AND(E26&lt;&gt;"", COUNTIF($E$2:$E$39, E26)&gt;1), "SKU duplicado", ""), IF(OR(J26="", J26=""), "[Aviso] División no capturada ()", IF(ISNA(MATCH(J26, Criterios!$A$123:$A$126, 0)), "División no válida", "")), IF(OR(K26="", K26=""), "[Aviso] Categoría no capturada ()", IF(ISNA(MATCH(K26, Criterios!$A$81:$A$120, 0)), "Categoría no válida", IF(AND(J26&lt;&gt;"", J26&lt;&gt;"", J26&lt;&gt;VLOOKUP(K26, Criterios!$A$81:$B$120, 2, FALSE)), "División no coincide con Categoría", ""))), IF(OR(L26="", L26=""), "[Aviso] Género no capturado ()", IF(ISNA(MATCH(L26, Criterios!$B$123:$B$127, 0)), "Género no válido", "")), IF(OR(N26="", N26=""), "[Aviso] Temporada no capturada ()", IF(ISNA(MATCH(N26, Criterios!$C$123:$C$128, 0)), "Temporada no válida", "")), IF(OR(O26="", O26=""), "[Aviso] Ciclo de vida no capturado ()", IF(ISNA(MATCH(O26, Criterios!$D$123:$D$124, 0)), "Ciclo de vida no válido", ""))))</f>
        <v/>
      </c>
      <c r="AC26" s="56" t="n"/>
      <c r="AD26" s="51" t="n">
        <v>177</v>
      </c>
      <c r="AE26" s="156" t="inlineStr">
        <is>
          <t>B25 CEDIS: 143 | WB OUTLET LERMA: 34</t>
        </is>
      </c>
      <c r="AF26" s="51" t="n">
        <v>34</v>
      </c>
      <c r="AG26" s="156" t="inlineStr">
        <is>
          <t>Nuevo – NetSuite 06/10/2026</t>
        </is>
      </c>
      <c r="AH26" s="156" t="inlineStr">
        <is>
          <t>Comprometido: 143 | En pedido: 143 | Homologación G1522 06/10/2026: WB Silueta: «» → «5 paneles» (Completado desde NetSuite) · WB Silueta: «5 paneles» → «» (Corrección aplicada)</t>
        </is>
      </c>
      <c r="AI26" s="156" t="inlineStr">
        <is>
          <t>No</t>
        </is>
      </c>
      <c r="AJ26" s="156" t="n"/>
      <c r="AK26" s="155" t="inlineStr">
        <is>
          <t>NetSuite SuiteQL: item · inventoryitemlocations · itemprice (Base Price y RETAIL, moneda base)</t>
        </is>
      </c>
      <c r="AL26" s="58" t="n">
        <v>275.38</v>
      </c>
      <c r="AM26" s="58" t="n">
        <v>648.99999998</v>
      </c>
      <c r="AN26" s="155" t="n"/>
      <c r="AO26" s="59" t="n"/>
      <c r="AP26" s="59" t="n"/>
      <c r="AQ26" s="59" t="n"/>
      <c r="AR26" s="155" t="n"/>
    </row>
    <row r="27">
      <c r="A27" s="50" t="inlineStr">
        <is>
          <t>7506552412023</t>
        </is>
      </c>
      <c r="B27" s="51" t="inlineStr">
        <is>
          <t>118233</t>
        </is>
      </c>
      <c r="C27" s="156" t="inlineStr">
        <is>
          <t>Multimarca</t>
        </is>
      </c>
      <c r="D27" s="156" t="inlineStr">
        <is>
          <t>RCCB04</t>
        </is>
      </c>
      <c r="E27" s="156" t="inlineStr">
        <is>
          <t>RCCB04</t>
        </is>
      </c>
      <c r="F27" s="156" t="inlineStr">
        <is>
          <t>Talla única</t>
        </is>
      </c>
      <c r="G27" s="156" t="inlineStr">
        <is>
          <t>One Size</t>
        </is>
      </c>
      <c r="H27" s="156" t="inlineStr">
        <is>
          <t>Ranch &amp; Corral</t>
        </is>
      </c>
      <c r="I27" s="156" t="inlineStr">
        <is>
          <t>Gorra Basic 04</t>
        </is>
      </c>
      <c r="J27" s="156" t="inlineStr">
        <is>
          <t>Accesorios</t>
        </is>
      </c>
      <c r="K27" s="156" t="inlineStr">
        <is>
          <t>Gorras</t>
        </is>
      </c>
      <c r="L27" s="156" t="inlineStr">
        <is>
          <t>Hombre</t>
        </is>
      </c>
      <c r="M27" s="156" t="inlineStr">
        <is>
          <t>Ranch &amp; Corral</t>
        </is>
      </c>
      <c r="N27" s="156" t="inlineStr">
        <is>
          <t>FW26</t>
        </is>
      </c>
      <c r="O27" s="156" t="inlineStr">
        <is>
          <t>Seasonal</t>
        </is>
      </c>
      <c r="P27" s="156" t="inlineStr">
        <is>
          <t>Negro</t>
        </is>
      </c>
      <c r="Q27" s="156" t="n"/>
      <c r="R27" s="156" t="n"/>
      <c r="S27" s="156" t="inlineStr">
        <is>
          <t>75% Poliéster
14% Viscosa
11% Poliuretano</t>
        </is>
      </c>
      <c r="T27" s="156" t="inlineStr">
        <is>
          <t>Gorra Basic 04  5 paneles</t>
        </is>
      </c>
      <c r="U27" s="156" t="inlineStr">
        <is>
          <t>China</t>
        </is>
      </c>
      <c r="V27" s="156" t="inlineStr">
        <is>
          <t>PZS</t>
        </is>
      </c>
      <c r="W27" s="51" t="inlineStr">
        <is>
          <t>53102516</t>
        </is>
      </c>
      <c r="X27" s="156" t="n"/>
      <c r="Y27" s="54" t="n">
        <v>275.38</v>
      </c>
      <c r="Z27" s="54" t="n">
        <v>559.4827586</v>
      </c>
      <c r="AA27" s="55">
        <f>IF(AND(A27="", B27="", E27=""), "", IF(AB27="", "Válido", IF((LEN(AB27)-LEN(SUBSTITUTE(AB27,"; ","")))/2+1&gt;(LEN(AB27)-LEN(SUBSTITUTE(AB27,"[Aviso]","")))/7, "Con Incidencias", "Válido")))</f>
        <v/>
      </c>
      <c r="AB27" s="56">
        <f>IF(AND(A27="", B27="", E27=""), "", TEXTJOIN("; ", TRUE, IF(OR(TRIM(A27&amp;"")="", ISNUMBER(SEARCH("FALTA", A27))), "UPC faltante/inválido", ""), IF(AND(A27&lt;&gt;"", IFERROR(_xlfn.XMATCH(A27,$A$2:$A$39,0,1)&lt;&gt;_xlfn.XMATCH(A27,$A$2:$A$39,0,-1),FALSE)), "Código de barras duplicado", ""), IF(AND(E27&lt;&gt;"", COUNTIF($E$2:$E$39, E27)&gt;1), "SKU duplicado", ""), IF(OR(J27="", J27=""), "[Aviso] División no capturada ()", IF(ISNA(MATCH(J27, Criterios!$A$123:$A$126, 0)), "División no válida", "")), IF(OR(K27="", K27=""), "[Aviso] Categoría no capturada ()", IF(ISNA(MATCH(K27, Criterios!$A$81:$A$120, 0)), "Categoría no válida", IF(AND(J27&lt;&gt;"", J27&lt;&gt;"", J27&lt;&gt;VLOOKUP(K27, Criterios!$A$81:$B$120, 2, FALSE)), "División no coincide con Categoría", ""))), IF(OR(L27="", L27=""), "[Aviso] Género no capturado ()", IF(ISNA(MATCH(L27, Criterios!$B$123:$B$127, 0)), "Género no válido", "")), IF(OR(N27="", N27=""), "[Aviso] Temporada no capturada ()", IF(ISNA(MATCH(N27, Criterios!$C$123:$C$128, 0)), "Temporada no válida", "")), IF(OR(O27="", O27=""), "[Aviso] Ciclo de vida no capturado ()", IF(ISNA(MATCH(O27, Criterios!$D$123:$D$124, 0)), "Ciclo de vida no válido", ""))))</f>
        <v/>
      </c>
      <c r="AC27" s="56" t="n"/>
      <c r="AD27" s="51" t="n">
        <v>177</v>
      </c>
      <c r="AE27" s="156" t="inlineStr">
        <is>
          <t>B25 CEDIS: 143 | WB OUTLET LERMA: 34</t>
        </is>
      </c>
      <c r="AF27" s="51" t="n">
        <v>34</v>
      </c>
      <c r="AG27" s="156" t="inlineStr">
        <is>
          <t>Nuevo – NetSuite 06/10/2026</t>
        </is>
      </c>
      <c r="AH27" s="156" t="inlineStr">
        <is>
          <t>Comprometido: 143 | En pedido: 143 | Homologación G1522 06/10/2026: WB Silueta: «» → «5 paneles» (Completado desde NetSuite) · WB Silueta: «5 paneles» → «» (Corrección aplicada)</t>
        </is>
      </c>
      <c r="AI27" s="156" t="inlineStr">
        <is>
          <t>No</t>
        </is>
      </c>
      <c r="AJ27" s="156" t="n"/>
      <c r="AK27" s="155" t="inlineStr">
        <is>
          <t>NetSuite SuiteQL: item · inventoryitemlocations · itemprice (Base Price y RETAIL, moneda base)</t>
        </is>
      </c>
      <c r="AL27" s="58" t="n">
        <v>275.38</v>
      </c>
      <c r="AM27" s="58" t="n">
        <v>648.99999998</v>
      </c>
      <c r="AN27" s="155" t="n"/>
      <c r="AO27" s="59" t="n"/>
      <c r="AP27" s="59" t="n"/>
      <c r="AQ27" s="59" t="n"/>
      <c r="AR27" s="155" t="n"/>
    </row>
    <row r="28">
      <c r="A28" s="50" t="inlineStr">
        <is>
          <t>7506552412030</t>
        </is>
      </c>
      <c r="B28" s="51" t="inlineStr">
        <is>
          <t>118234</t>
        </is>
      </c>
      <c r="C28" s="156" t="inlineStr">
        <is>
          <t>Multimarca</t>
        </is>
      </c>
      <c r="D28" s="156" t="inlineStr">
        <is>
          <t>RCCB05</t>
        </is>
      </c>
      <c r="E28" s="156" t="inlineStr">
        <is>
          <t>RCCB05</t>
        </is>
      </c>
      <c r="F28" s="156" t="inlineStr">
        <is>
          <t>Talla única</t>
        </is>
      </c>
      <c r="G28" s="156" t="inlineStr">
        <is>
          <t>One Size</t>
        </is>
      </c>
      <c r="H28" s="156" t="inlineStr">
        <is>
          <t>Ranch &amp; Corral</t>
        </is>
      </c>
      <c r="I28" s="156" t="inlineStr">
        <is>
          <t>Gorra Basic 05</t>
        </is>
      </c>
      <c r="J28" s="156" t="inlineStr">
        <is>
          <t>Accesorios</t>
        </is>
      </c>
      <c r="K28" s="156" t="inlineStr">
        <is>
          <t>Gorras</t>
        </is>
      </c>
      <c r="L28" s="156" t="inlineStr">
        <is>
          <t>Hombre</t>
        </is>
      </c>
      <c r="M28" s="156" t="inlineStr">
        <is>
          <t>Ranch &amp; Corral</t>
        </is>
      </c>
      <c r="N28" s="156" t="inlineStr">
        <is>
          <t>FW26</t>
        </is>
      </c>
      <c r="O28" s="156" t="inlineStr">
        <is>
          <t>Seasonal</t>
        </is>
      </c>
      <c r="P28" s="156" t="inlineStr">
        <is>
          <t>Negro</t>
        </is>
      </c>
      <c r="Q28" s="156" t="n"/>
      <c r="R28" s="156" t="n"/>
      <c r="S28" s="156" t="inlineStr">
        <is>
          <t>50% Algodón
50% Poliéster</t>
        </is>
      </c>
      <c r="T28" s="156" t="inlineStr">
        <is>
          <t>Gorra Basic 05  5 paneles</t>
        </is>
      </c>
      <c r="U28" s="156" t="inlineStr">
        <is>
          <t>China</t>
        </is>
      </c>
      <c r="V28" s="156" t="inlineStr">
        <is>
          <t>PZS</t>
        </is>
      </c>
      <c r="W28" s="51" t="inlineStr">
        <is>
          <t>53102516</t>
        </is>
      </c>
      <c r="X28" s="156" t="n"/>
      <c r="Y28" s="54" t="n">
        <v>275.38</v>
      </c>
      <c r="Z28" s="54" t="n">
        <v>559.4827586</v>
      </c>
      <c r="AA28" s="55">
        <f>IF(AND(A28="", B28="", E28=""), "", IF(AB28="", "Válido", IF((LEN(AB28)-LEN(SUBSTITUTE(AB28,"; ","")))/2+1&gt;(LEN(AB28)-LEN(SUBSTITUTE(AB28,"[Aviso]","")))/7, "Con Incidencias", "Válido")))</f>
        <v/>
      </c>
      <c r="AB28" s="56">
        <f>IF(AND(A28="", B28="", E28=""), "", TEXTJOIN("; ", TRUE, IF(OR(TRIM(A28&amp;"")="", ISNUMBER(SEARCH("FALTA", A28))), "UPC faltante/inválido", ""), IF(AND(A28&lt;&gt;"", IFERROR(_xlfn.XMATCH(A28,$A$2:$A$39,0,1)&lt;&gt;_xlfn.XMATCH(A28,$A$2:$A$39,0,-1),FALSE)), "Código de barras duplicado", ""), IF(AND(E28&lt;&gt;"", COUNTIF($E$2:$E$39, E28)&gt;1), "SKU duplicado", ""), IF(OR(J28="", J28=""), "[Aviso] División no capturada ()", IF(ISNA(MATCH(J28, Criterios!$A$123:$A$126, 0)), "División no válida", "")), IF(OR(K28="", K28=""), "[Aviso] Categoría no capturada ()", IF(ISNA(MATCH(K28, Criterios!$A$81:$A$120, 0)), "Categoría no válida", IF(AND(J28&lt;&gt;"", J28&lt;&gt;"", J28&lt;&gt;VLOOKUP(K28, Criterios!$A$81:$B$120, 2, FALSE)), "División no coincide con Categoría", ""))), IF(OR(L28="", L28=""), "[Aviso] Género no capturado ()", IF(ISNA(MATCH(L28, Criterios!$B$123:$B$127, 0)), "Género no válido", "")), IF(OR(N28="", N28=""), "[Aviso] Temporada no capturada ()", IF(ISNA(MATCH(N28, Criterios!$C$123:$C$128, 0)), "Temporada no válida", "")), IF(OR(O28="", O28=""), "[Aviso] Ciclo de vida no capturado ()", IF(ISNA(MATCH(O28, Criterios!$D$123:$D$124, 0)), "Ciclo de vida no válido", ""))))</f>
        <v/>
      </c>
      <c r="AC28" s="56" t="n"/>
      <c r="AD28" s="51" t="n">
        <v>176</v>
      </c>
      <c r="AE28" s="156" t="inlineStr">
        <is>
          <t>B25 CEDIS: 142 | WB OUTLET LERMA: 34</t>
        </is>
      </c>
      <c r="AF28" s="51" t="n">
        <v>34</v>
      </c>
      <c r="AG28" s="156" t="inlineStr">
        <is>
          <t>Nuevo – NetSuite 06/10/2026</t>
        </is>
      </c>
      <c r="AH28" s="156" t="inlineStr">
        <is>
          <t>Comprometido: 142 | En pedido: 142 | Homologación G1522 06/10/2026: WB Silueta: «» → «5 paneles» (Completado desde NetSuite) · WB Silueta: «5 paneles» → «» (Corrección aplicada)</t>
        </is>
      </c>
      <c r="AI28" s="156" t="inlineStr">
        <is>
          <t>No</t>
        </is>
      </c>
      <c r="AJ28" s="156" t="n"/>
      <c r="AK28" s="155" t="inlineStr">
        <is>
          <t>NetSuite SuiteQL: item · inventoryitemlocations · itemprice (Base Price y RETAIL, moneda base)</t>
        </is>
      </c>
      <c r="AL28" s="58" t="n">
        <v>275.38</v>
      </c>
      <c r="AM28" s="58" t="n">
        <v>648.99999998</v>
      </c>
      <c r="AN28" s="155" t="n"/>
      <c r="AO28" s="59" t="n"/>
      <c r="AP28" s="59" t="n"/>
      <c r="AQ28" s="59" t="n"/>
      <c r="AR28" s="155" t="n"/>
    </row>
    <row r="29">
      <c r="A29" s="50" t="inlineStr">
        <is>
          <t>7506552415567</t>
        </is>
      </c>
      <c r="B29" s="51" t="inlineStr">
        <is>
          <t>118245</t>
        </is>
      </c>
      <c r="C29" s="156" t="inlineStr">
        <is>
          <t>Multimarca</t>
        </is>
      </c>
      <c r="D29" s="156" t="inlineStr">
        <is>
          <t>RCCP12</t>
        </is>
      </c>
      <c r="E29" s="156" t="inlineStr">
        <is>
          <t>RCCP12</t>
        </is>
      </c>
      <c r="F29" s="156" t="inlineStr">
        <is>
          <t>Talla única</t>
        </is>
      </c>
      <c r="G29" s="156" t="inlineStr">
        <is>
          <t>One Size</t>
        </is>
      </c>
      <c r="H29" s="156" t="inlineStr">
        <is>
          <t>Ranch &amp; Corral</t>
        </is>
      </c>
      <c r="I29" s="156" t="inlineStr">
        <is>
          <t>Gorra Caprino 12</t>
        </is>
      </c>
      <c r="J29" s="156" t="inlineStr">
        <is>
          <t>Accesorios</t>
        </is>
      </c>
      <c r="K29" s="156" t="inlineStr">
        <is>
          <t>Gorras</t>
        </is>
      </c>
      <c r="L29" s="156" t="inlineStr">
        <is>
          <t>Hombre</t>
        </is>
      </c>
      <c r="M29" s="156" t="inlineStr">
        <is>
          <t>Ranch &amp; Corral</t>
        </is>
      </c>
      <c r="N29" s="156" t="inlineStr">
        <is>
          <t>FW26</t>
        </is>
      </c>
      <c r="O29" s="156" t="inlineStr">
        <is>
          <t>Seasonal</t>
        </is>
      </c>
      <c r="P29" s="156" t="inlineStr">
        <is>
          <t>Azul</t>
        </is>
      </c>
      <c r="Q29" s="156" t="n"/>
      <c r="R29" s="156" t="n"/>
      <c r="S29" s="156" t="inlineStr">
        <is>
          <t>95% Poliéster
5% Elastano</t>
        </is>
      </c>
      <c r="T29" s="156" t="inlineStr">
        <is>
          <t>Gorra Caprino 12  5 paneles</t>
        </is>
      </c>
      <c r="U29" s="156" t="inlineStr">
        <is>
          <t>China</t>
        </is>
      </c>
      <c r="V29" s="156" t="inlineStr">
        <is>
          <t>PZS</t>
        </is>
      </c>
      <c r="W29" s="51" t="inlineStr">
        <is>
          <t>53102516</t>
        </is>
      </c>
      <c r="X29" s="156" t="n"/>
      <c r="Y29" s="54" t="n">
        <v>275.38</v>
      </c>
      <c r="Z29" s="54" t="n">
        <v>559.4827586</v>
      </c>
      <c r="AA29" s="55">
        <f>IF(AND(A29="", B29="", E29=""), "", IF(AB29="", "Válido", IF((LEN(AB29)-LEN(SUBSTITUTE(AB29,"; ","")))/2+1&gt;(LEN(AB29)-LEN(SUBSTITUTE(AB29,"[Aviso]","")))/7, "Con Incidencias", "Válido")))</f>
        <v/>
      </c>
      <c r="AB29" s="56">
        <f>IF(AND(A29="", B29="", E29=""), "", TEXTJOIN("; ", TRUE, IF(OR(TRIM(A29&amp;"")="", ISNUMBER(SEARCH("FALTA", A29))), "UPC faltante/inválido", ""), IF(AND(A29&lt;&gt;"", IFERROR(_xlfn.XMATCH(A29,$A$2:$A$39,0,1)&lt;&gt;_xlfn.XMATCH(A29,$A$2:$A$39,0,-1),FALSE)), "Código de barras duplicado", ""), IF(AND(E29&lt;&gt;"", COUNTIF($E$2:$E$39, E29)&gt;1), "SKU duplicado", ""), IF(OR(J29="", J29=""), "[Aviso] División no capturada ()", IF(ISNA(MATCH(J29, Criterios!$A$123:$A$126, 0)), "División no válida", "")), IF(OR(K29="", K29=""), "[Aviso] Categoría no capturada ()", IF(ISNA(MATCH(K29, Criterios!$A$81:$A$120, 0)), "Categoría no válida", IF(AND(J29&lt;&gt;"", J29&lt;&gt;"", J29&lt;&gt;VLOOKUP(K29, Criterios!$A$81:$B$120, 2, FALSE)), "División no coincide con Categoría", ""))), IF(OR(L29="", L29=""), "[Aviso] Género no capturado ()", IF(ISNA(MATCH(L29, Criterios!$B$123:$B$127, 0)), "Género no válido", "")), IF(OR(N29="", N29=""), "[Aviso] Temporada no capturada ()", IF(ISNA(MATCH(N29, Criterios!$C$123:$C$128, 0)), "Temporada no válida", "")), IF(OR(O29="", O29=""), "[Aviso] Ciclo de vida no capturado ()", IF(ISNA(MATCH(O29, Criterios!$D$123:$D$124, 0)), "Ciclo de vida no válido", ""))))</f>
        <v/>
      </c>
      <c r="AC29" s="56" t="n"/>
      <c r="AD29" s="51" t="n">
        <v>27</v>
      </c>
      <c r="AE29" s="156" t="inlineStr">
        <is>
          <t>B25 CEDIS: 16 | WB OUTLET LERMA: 11</t>
        </is>
      </c>
      <c r="AF29" s="51" t="n">
        <v>11</v>
      </c>
      <c r="AG29" s="156" t="inlineStr">
        <is>
          <t>Nuevo – NetSuite 06/10/2026</t>
        </is>
      </c>
      <c r="AH29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29" s="156" t="inlineStr">
        <is>
          <t>No</t>
        </is>
      </c>
      <c r="AJ29" s="156" t="n"/>
      <c r="AK29" s="155" t="inlineStr">
        <is>
          <t>NetSuite SuiteQL: item · inventoryitemlocations · itemprice (Base Price y RETAIL, moneda base)</t>
        </is>
      </c>
      <c r="AL29" s="58" t="n">
        <v>275.38</v>
      </c>
      <c r="AM29" s="58" t="n">
        <v>648.99999998</v>
      </c>
      <c r="AN29" s="155" t="n"/>
      <c r="AO29" s="59" t="n"/>
      <c r="AP29" s="59" t="n"/>
      <c r="AQ29" s="59" t="n"/>
      <c r="AR29" s="155" t="n"/>
    </row>
    <row r="30">
      <c r="A30" s="50" t="inlineStr">
        <is>
          <t>7506552415208</t>
        </is>
      </c>
      <c r="B30" s="51" t="inlineStr">
        <is>
          <t>118237</t>
        </is>
      </c>
      <c r="C30" s="156" t="inlineStr">
        <is>
          <t>Multimarca</t>
        </is>
      </c>
      <c r="D30" s="156" t="inlineStr">
        <is>
          <t>RCDB34</t>
        </is>
      </c>
      <c r="E30" s="156" t="inlineStr">
        <is>
          <t>RCDB34</t>
        </is>
      </c>
      <c r="F30" s="156" t="inlineStr">
        <is>
          <t>Talla única</t>
        </is>
      </c>
      <c r="G30" s="156" t="inlineStr">
        <is>
          <t>One Size</t>
        </is>
      </c>
      <c r="H30" s="156" t="inlineStr">
        <is>
          <t>Ranch &amp; Corral</t>
        </is>
      </c>
      <c r="I30" s="156" t="inlineStr">
        <is>
          <t>Gorra Dog Breeds 34</t>
        </is>
      </c>
      <c r="J30" s="156" t="inlineStr">
        <is>
          <t>Accesorios</t>
        </is>
      </c>
      <c r="K30" s="156" t="inlineStr">
        <is>
          <t>Gorras</t>
        </is>
      </c>
      <c r="L30" s="156" t="inlineStr">
        <is>
          <t>Hombre</t>
        </is>
      </c>
      <c r="M30" s="156" t="inlineStr">
        <is>
          <t>Ranch &amp; Corral</t>
        </is>
      </c>
      <c r="N30" s="156" t="inlineStr">
        <is>
          <t>FW26</t>
        </is>
      </c>
      <c r="O30" s="156" t="inlineStr">
        <is>
          <t>Seasonal</t>
        </is>
      </c>
      <c r="P30" s="156" t="inlineStr">
        <is>
          <t>Azul</t>
        </is>
      </c>
      <c r="Q30" s="156" t="n"/>
      <c r="R30" s="156" t="n"/>
      <c r="S30" s="156" t="inlineStr">
        <is>
          <t>95% Poliéster
5% Elastano</t>
        </is>
      </c>
      <c r="T30" s="156" t="inlineStr">
        <is>
          <t>Gorra Dog Breeds 34  5 paneles</t>
        </is>
      </c>
      <c r="U30" s="156" t="inlineStr">
        <is>
          <t>China</t>
        </is>
      </c>
      <c r="V30" s="156" t="inlineStr">
        <is>
          <t>PZS</t>
        </is>
      </c>
      <c r="W30" s="51" t="inlineStr">
        <is>
          <t>53102516</t>
        </is>
      </c>
      <c r="X30" s="156" t="n"/>
      <c r="Y30" s="54" t="n">
        <v>275.38</v>
      </c>
      <c r="Z30" s="54" t="n">
        <v>559.4827586</v>
      </c>
      <c r="AA30" s="55">
        <f>IF(AND(A30="", B30="", E30=""), "", IF(AB30="", "Válido", IF((LEN(AB30)-LEN(SUBSTITUTE(AB30,"; ","")))/2+1&gt;(LEN(AB30)-LEN(SUBSTITUTE(AB30,"[Aviso]","")))/7, "Con Incidencias", "Válido")))</f>
        <v/>
      </c>
      <c r="AB30" s="56">
        <f>IF(AND(A30="", B30="", E30=""), "", TEXTJOIN("; ", TRUE, IF(OR(TRIM(A30&amp;"")="", ISNUMBER(SEARCH("FALTA", A30))), "UPC faltante/inválido", ""), IF(AND(A30&lt;&gt;"", IFERROR(_xlfn.XMATCH(A30,$A$2:$A$39,0,1)&lt;&gt;_xlfn.XMATCH(A30,$A$2:$A$39,0,-1),FALSE)), "Código de barras duplicado", ""), IF(AND(E30&lt;&gt;"", COUNTIF($E$2:$E$39, E30)&gt;1), "SKU duplicado", ""), IF(OR(J30="", J30=""), "[Aviso] División no capturada ()", IF(ISNA(MATCH(J30, Criterios!$A$123:$A$126, 0)), "División no válida", "")), IF(OR(K30="", K30=""), "[Aviso] Categoría no capturada ()", IF(ISNA(MATCH(K30, Criterios!$A$81:$A$120, 0)), "Categoría no válida", IF(AND(J30&lt;&gt;"", J30&lt;&gt;"", J30&lt;&gt;VLOOKUP(K30, Criterios!$A$81:$B$120, 2, FALSE)), "División no coincide con Categoría", ""))), IF(OR(L30="", L30=""), "[Aviso] Género no capturado ()", IF(ISNA(MATCH(L30, Criterios!$B$123:$B$127, 0)), "Género no válido", "")), IF(OR(N30="", N30=""), "[Aviso] Temporada no capturada ()", IF(ISNA(MATCH(N30, Criterios!$C$123:$C$128, 0)), "Temporada no válida", "")), IF(OR(O30="", O30=""), "[Aviso] Ciclo de vida no capturado ()", IF(ISNA(MATCH(O30, Criterios!$D$123:$D$124, 0)), "Ciclo de vida no válido", ""))))</f>
        <v/>
      </c>
      <c r="AC30" s="56" t="n"/>
      <c r="AD30" s="51" t="n">
        <v>58</v>
      </c>
      <c r="AE30" s="156" t="inlineStr">
        <is>
          <t>B25 CEDIS: 47 | WB OUTLET LERMA: 11</t>
        </is>
      </c>
      <c r="AF30" s="51" t="n">
        <v>11</v>
      </c>
      <c r="AG30" s="156" t="inlineStr">
        <is>
          <t>Nuevo – NetSuite 06/10/2026</t>
        </is>
      </c>
      <c r="AH30" s="156" t="inlineStr">
        <is>
          <t>Comprometido: 47 | En pedido: 47 | Homologación G1522 06/10/2026: WB Silueta: «» → «5 paneles» (Completado desde NetSuite) · WB Silueta: «5 paneles» → «» (Corrección aplicada)</t>
        </is>
      </c>
      <c r="AI30" s="156" t="inlineStr">
        <is>
          <t>No</t>
        </is>
      </c>
      <c r="AJ30" s="156" t="n"/>
      <c r="AK30" s="155" t="inlineStr">
        <is>
          <t>NetSuite SuiteQL: item · inventoryitemlocations · itemprice (Base Price y RETAIL, moneda base)</t>
        </is>
      </c>
      <c r="AL30" s="58" t="n">
        <v>275.38</v>
      </c>
      <c r="AM30" s="58" t="n">
        <v>648.99999998</v>
      </c>
      <c r="AN30" s="155" t="n"/>
      <c r="AO30" s="59" t="n"/>
      <c r="AP30" s="59" t="n"/>
      <c r="AQ30" s="59" t="n"/>
      <c r="AR30" s="155" t="n"/>
    </row>
    <row r="31">
      <c r="A31" s="50" t="inlineStr">
        <is>
          <t>7506552415161</t>
        </is>
      </c>
      <c r="B31" s="51" t="inlineStr">
        <is>
          <t>118238</t>
        </is>
      </c>
      <c r="C31" s="156" t="inlineStr">
        <is>
          <t>Multimarca</t>
        </is>
      </c>
      <c r="D31" s="156" t="inlineStr">
        <is>
          <t>RCDB35</t>
        </is>
      </c>
      <c r="E31" s="156" t="inlineStr">
        <is>
          <t>RCDB35</t>
        </is>
      </c>
      <c r="F31" s="156" t="inlineStr">
        <is>
          <t>Talla única</t>
        </is>
      </c>
      <c r="G31" s="156" t="inlineStr">
        <is>
          <t>One Size</t>
        </is>
      </c>
      <c r="H31" s="156" t="inlineStr">
        <is>
          <t>Ranch &amp; Corral</t>
        </is>
      </c>
      <c r="I31" s="156" t="inlineStr">
        <is>
          <t>Gorra Dog Breeds 35</t>
        </is>
      </c>
      <c r="J31" s="156" t="inlineStr">
        <is>
          <t>Accesorios</t>
        </is>
      </c>
      <c r="K31" s="156" t="inlineStr">
        <is>
          <t>Gorras</t>
        </is>
      </c>
      <c r="L31" s="156" t="inlineStr">
        <is>
          <t>Hombre</t>
        </is>
      </c>
      <c r="M31" s="156" t="inlineStr">
        <is>
          <t>Ranch &amp; Corral</t>
        </is>
      </c>
      <c r="N31" s="156" t="inlineStr">
        <is>
          <t>FW26</t>
        </is>
      </c>
      <c r="O31" s="156" t="inlineStr">
        <is>
          <t>Seasonal</t>
        </is>
      </c>
      <c r="P31" s="156" t="inlineStr">
        <is>
          <t>Verde</t>
        </is>
      </c>
      <c r="Q31" s="156" t="n"/>
      <c r="R31" s="156" t="n"/>
      <c r="S31" s="156" t="inlineStr">
        <is>
          <t>95% Poliéster
5% Elastano</t>
        </is>
      </c>
      <c r="T31" s="156" t="inlineStr">
        <is>
          <t>Gorra Dog Breeds 35  5 paneles</t>
        </is>
      </c>
      <c r="U31" s="156" t="inlineStr">
        <is>
          <t>China</t>
        </is>
      </c>
      <c r="V31" s="156" t="inlineStr">
        <is>
          <t>PZS</t>
        </is>
      </c>
      <c r="W31" s="51" t="inlineStr">
        <is>
          <t>53102516</t>
        </is>
      </c>
      <c r="X31" s="156" t="n"/>
      <c r="Y31" s="54" t="n">
        <v>275.38</v>
      </c>
      <c r="Z31" s="54" t="n">
        <v>559.4827586</v>
      </c>
      <c r="AA31" s="55">
        <f>IF(AND(A31="", B31="", E31=""), "", IF(AB31="", "Válido", IF((LEN(AB31)-LEN(SUBSTITUTE(AB31,"; ","")))/2+1&gt;(LEN(AB31)-LEN(SUBSTITUTE(AB31,"[Aviso]","")))/7, "Con Incidencias", "Válido")))</f>
        <v/>
      </c>
      <c r="AB31" s="56">
        <f>IF(AND(A31="", B31="", E31=""), "", TEXTJOIN("; ", TRUE, IF(OR(TRIM(A31&amp;"")="", ISNUMBER(SEARCH("FALTA", A31))), "UPC faltante/inválido", ""), IF(AND(A31&lt;&gt;"", IFERROR(_xlfn.XMATCH(A31,$A$2:$A$39,0,1)&lt;&gt;_xlfn.XMATCH(A31,$A$2:$A$39,0,-1),FALSE)), "Código de barras duplicado", ""), IF(AND(E31&lt;&gt;"", COUNTIF($E$2:$E$39, E31)&gt;1), "SKU duplicado", ""), IF(OR(J31="", J31=""), "[Aviso] División no capturada ()", IF(ISNA(MATCH(J31, Criterios!$A$123:$A$126, 0)), "División no válida", "")), IF(OR(K31="", K31=""), "[Aviso] Categoría no capturada ()", IF(ISNA(MATCH(K31, Criterios!$A$81:$A$120, 0)), "Categoría no válida", IF(AND(J31&lt;&gt;"", J31&lt;&gt;"", J31&lt;&gt;VLOOKUP(K31, Criterios!$A$81:$B$120, 2, FALSE)), "División no coincide con Categoría", ""))), IF(OR(L31="", L31=""), "[Aviso] Género no capturado ()", IF(ISNA(MATCH(L31, Criterios!$B$123:$B$127, 0)), "Género no válido", "")), IF(OR(N31="", N31=""), "[Aviso] Temporada no capturada ()", IF(ISNA(MATCH(N31, Criterios!$C$123:$C$128, 0)), "Temporada no válida", "")), IF(OR(O31="", O31=""), "[Aviso] Ciclo de vida no capturado ()", IF(ISNA(MATCH(O31, Criterios!$D$123:$D$124, 0)), "Ciclo de vida no válido", ""))))</f>
        <v/>
      </c>
      <c r="AC31" s="56" t="n"/>
      <c r="AD31" s="51" t="n">
        <v>27</v>
      </c>
      <c r="AE31" s="156" t="inlineStr">
        <is>
          <t>B25 CEDIS: 16 | WB OUTLET LERMA: 11</t>
        </is>
      </c>
      <c r="AF31" s="51" t="n">
        <v>11</v>
      </c>
      <c r="AG31" s="156" t="inlineStr">
        <is>
          <t>Nuevo – NetSuite 06/10/2026</t>
        </is>
      </c>
      <c r="AH31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1" s="156" t="inlineStr">
        <is>
          <t>No</t>
        </is>
      </c>
      <c r="AJ31" s="156" t="n"/>
      <c r="AK31" s="155" t="inlineStr">
        <is>
          <t>NetSuite SuiteQL: item · inventoryitemlocations · itemprice (Base Price y RETAIL, moneda base)</t>
        </is>
      </c>
      <c r="AL31" s="58" t="n">
        <v>275.38</v>
      </c>
      <c r="AM31" s="58" t="n">
        <v>648.99999998</v>
      </c>
      <c r="AN31" s="155" t="n"/>
      <c r="AO31" s="59" t="n"/>
      <c r="AP31" s="59" t="n"/>
      <c r="AQ31" s="59" t="n"/>
      <c r="AR31" s="155" t="n"/>
    </row>
    <row r="32">
      <c r="A32" s="50" t="inlineStr">
        <is>
          <t>7506552415215</t>
        </is>
      </c>
      <c r="B32" s="51" t="inlineStr">
        <is>
          <t>118229</t>
        </is>
      </c>
      <c r="C32" s="156" t="inlineStr">
        <is>
          <t>Multimarca</t>
        </is>
      </c>
      <c r="D32" s="156" t="inlineStr">
        <is>
          <t>RCDB36</t>
        </is>
      </c>
      <c r="E32" s="156" t="inlineStr">
        <is>
          <t>RCDB36</t>
        </is>
      </c>
      <c r="F32" s="156" t="inlineStr">
        <is>
          <t>Talla única</t>
        </is>
      </c>
      <c r="G32" s="156" t="inlineStr">
        <is>
          <t>One Size</t>
        </is>
      </c>
      <c r="H32" s="156" t="inlineStr">
        <is>
          <t>Ranch &amp; Corral</t>
        </is>
      </c>
      <c r="I32" s="156" t="inlineStr">
        <is>
          <t>Gorra Dog Breeds 36</t>
        </is>
      </c>
      <c r="J32" s="156" t="inlineStr">
        <is>
          <t>Accesorios</t>
        </is>
      </c>
      <c r="K32" s="156" t="inlineStr">
        <is>
          <t>Gorras</t>
        </is>
      </c>
      <c r="L32" s="156" t="inlineStr">
        <is>
          <t>Hombre</t>
        </is>
      </c>
      <c r="M32" s="156" t="inlineStr">
        <is>
          <t>Ranch &amp; Corral</t>
        </is>
      </c>
      <c r="N32" s="156" t="inlineStr">
        <is>
          <t>FW26</t>
        </is>
      </c>
      <c r="O32" s="156" t="inlineStr">
        <is>
          <t>Seasonal</t>
        </is>
      </c>
      <c r="P32" s="156" t="inlineStr">
        <is>
          <t>Negro</t>
        </is>
      </c>
      <c r="Q32" s="156" t="n"/>
      <c r="R32" s="156" t="n"/>
      <c r="S32" s="156" t="inlineStr">
        <is>
          <t>95% Poliéster
5% Elastano</t>
        </is>
      </c>
      <c r="T32" s="156" t="inlineStr">
        <is>
          <t>Gorra Dog Breeds 36  5 paneles</t>
        </is>
      </c>
      <c r="U32" s="156" t="inlineStr">
        <is>
          <t>China</t>
        </is>
      </c>
      <c r="V32" s="156" t="inlineStr">
        <is>
          <t>PZS</t>
        </is>
      </c>
      <c r="W32" s="51" t="inlineStr">
        <is>
          <t>53102516</t>
        </is>
      </c>
      <c r="X32" s="156" t="n"/>
      <c r="Y32" s="54" t="n">
        <v>275.38</v>
      </c>
      <c r="Z32" s="54" t="n">
        <v>559.4827586</v>
      </c>
      <c r="AA32" s="55">
        <f>IF(AND(A32="", B32="", E32=""), "", IF(AB32="", "Válido", IF((LEN(AB32)-LEN(SUBSTITUTE(AB32,"; ","")))/2+1&gt;(LEN(AB32)-LEN(SUBSTITUTE(AB32,"[Aviso]","")))/7, "Con Incidencias", "Válido")))</f>
        <v/>
      </c>
      <c r="AB32" s="56">
        <f>IF(AND(A32="", B32="", E32=""), "", TEXTJOIN("; ", TRUE, IF(OR(TRIM(A32&amp;"")="", ISNUMBER(SEARCH("FALTA", A32))), "UPC faltante/inválido", ""), IF(AND(A32&lt;&gt;"", IFERROR(_xlfn.XMATCH(A32,$A$2:$A$39,0,1)&lt;&gt;_xlfn.XMATCH(A32,$A$2:$A$39,0,-1),FALSE)), "Código de barras duplicado", ""), IF(AND(E32&lt;&gt;"", COUNTIF($E$2:$E$39, E32)&gt;1), "SKU duplicado", ""), IF(OR(J32="", J32=""), "[Aviso] División no capturada ()", IF(ISNA(MATCH(J32, Criterios!$A$123:$A$126, 0)), "División no válida", "")), IF(OR(K32="", K32=""), "[Aviso] Categoría no capturada ()", IF(ISNA(MATCH(K32, Criterios!$A$81:$A$120, 0)), "Categoría no válida", IF(AND(J32&lt;&gt;"", J32&lt;&gt;"", J32&lt;&gt;VLOOKUP(K32, Criterios!$A$81:$B$120, 2, FALSE)), "División no coincide con Categoría", ""))), IF(OR(L32="", L32=""), "[Aviso] Género no capturado ()", IF(ISNA(MATCH(L32, Criterios!$B$123:$B$127, 0)), "Género no válido", "")), IF(OR(N32="", N32=""), "[Aviso] Temporada no capturada ()", IF(ISNA(MATCH(N32, Criterios!$C$123:$C$128, 0)), "Temporada no válida", "")), IF(OR(O32="", O32=""), "[Aviso] Ciclo de vida no capturado ()", IF(ISNA(MATCH(O32, Criterios!$D$123:$D$124, 0)), "Ciclo de vida no válido", ""))))</f>
        <v/>
      </c>
      <c r="AC32" s="56" t="n"/>
      <c r="AD32" s="51" t="n">
        <v>59</v>
      </c>
      <c r="AE32" s="156" t="inlineStr">
        <is>
          <t>B25 CEDIS: 47 | WB OUTLET LERMA: 12</t>
        </is>
      </c>
      <c r="AF32" s="51" t="n">
        <v>12</v>
      </c>
      <c r="AG32" s="156" t="inlineStr">
        <is>
          <t>Nuevo – NetSuite 06/10/2026</t>
        </is>
      </c>
      <c r="AH32" s="156" t="inlineStr">
        <is>
          <t>Comprometido: 47 | En pedido: 47 | Homologación G1522 06/10/2026: WB Silueta: «» → «5 paneles» (Completado desde NetSuite) · WB Silueta: «5 paneles» → «» (Corrección aplicada)</t>
        </is>
      </c>
      <c r="AI32" s="156" t="inlineStr">
        <is>
          <t>No</t>
        </is>
      </c>
      <c r="AJ32" s="156" t="n"/>
      <c r="AK32" s="155" t="inlineStr">
        <is>
          <t>NetSuite SuiteQL: item · inventoryitemlocations · itemprice (Base Price y RETAIL, moneda base)</t>
        </is>
      </c>
      <c r="AL32" s="58" t="n">
        <v>275.38</v>
      </c>
      <c r="AM32" s="58" t="n">
        <v>648.99999998</v>
      </c>
      <c r="AN32" s="155" t="n"/>
      <c r="AO32" s="59" t="n"/>
      <c r="AP32" s="59" t="n"/>
      <c r="AQ32" s="59" t="n"/>
      <c r="AR32" s="155" t="n"/>
    </row>
    <row r="33">
      <c r="A33" s="50" t="inlineStr">
        <is>
          <t>7506552414928</t>
        </is>
      </c>
      <c r="B33" s="51" t="inlineStr">
        <is>
          <t>118239</t>
        </is>
      </c>
      <c r="C33" s="156" t="inlineStr">
        <is>
          <t>Multimarca</t>
        </is>
      </c>
      <c r="D33" s="156" t="inlineStr">
        <is>
          <t>RCE65</t>
        </is>
      </c>
      <c r="E33" s="156" t="inlineStr">
        <is>
          <t>RCE65</t>
        </is>
      </c>
      <c r="F33" s="156" t="inlineStr">
        <is>
          <t>Talla única</t>
        </is>
      </c>
      <c r="G33" s="156" t="inlineStr">
        <is>
          <t>One Size</t>
        </is>
      </c>
      <c r="H33" s="156" t="inlineStr">
        <is>
          <t>Ranch &amp; Corral</t>
        </is>
      </c>
      <c r="I33" s="156" t="inlineStr">
        <is>
          <t>Gorra Equus 65</t>
        </is>
      </c>
      <c r="J33" s="156" t="inlineStr">
        <is>
          <t>Accesorios</t>
        </is>
      </c>
      <c r="K33" s="156" t="inlineStr">
        <is>
          <t>Gorras</t>
        </is>
      </c>
      <c r="L33" s="156" t="inlineStr">
        <is>
          <t>Hombre</t>
        </is>
      </c>
      <c r="M33" s="156" t="inlineStr">
        <is>
          <t>Ranch &amp; Corral</t>
        </is>
      </c>
      <c r="N33" s="156" t="inlineStr">
        <is>
          <t>FW26</t>
        </is>
      </c>
      <c r="O33" s="156" t="inlineStr">
        <is>
          <t>Seasonal</t>
        </is>
      </c>
      <c r="P33" s="156" t="inlineStr">
        <is>
          <t>Negro</t>
        </is>
      </c>
      <c r="Q33" s="156" t="n"/>
      <c r="R33" s="156" t="n"/>
      <c r="S33" s="156" t="inlineStr">
        <is>
          <t>50% Poliéster
25% Algodón
14% Viscosa
11% Poliuretano</t>
        </is>
      </c>
      <c r="T33" s="156" t="inlineStr">
        <is>
          <t>Gorra Equus 65  5 paneles</t>
        </is>
      </c>
      <c r="U33" s="156" t="inlineStr">
        <is>
          <t>China</t>
        </is>
      </c>
      <c r="V33" s="156" t="inlineStr">
        <is>
          <t>PZS</t>
        </is>
      </c>
      <c r="W33" s="51" t="inlineStr">
        <is>
          <t>53102516</t>
        </is>
      </c>
      <c r="X33" s="156" t="n"/>
      <c r="Y33" s="54" t="n">
        <v>275.38</v>
      </c>
      <c r="Z33" s="54" t="n">
        <v>559.4827586</v>
      </c>
      <c r="AA33" s="55">
        <f>IF(AND(A33="", B33="", E33=""), "", IF(AB33="", "Válido", IF((LEN(AB33)-LEN(SUBSTITUTE(AB33,"; ","")))/2+1&gt;(LEN(AB33)-LEN(SUBSTITUTE(AB33,"[Aviso]","")))/7, "Con Incidencias", "Válido")))</f>
        <v/>
      </c>
      <c r="AB33" s="56">
        <f>IF(AND(A33="", B33="", E33=""), "", TEXTJOIN("; ", TRUE, IF(OR(TRIM(A33&amp;"")="", ISNUMBER(SEARCH("FALTA", A33))), "UPC faltante/inválido", ""), IF(AND(A33&lt;&gt;"", IFERROR(_xlfn.XMATCH(A33,$A$2:$A$39,0,1)&lt;&gt;_xlfn.XMATCH(A33,$A$2:$A$39,0,-1),FALSE)), "Código de barras duplicado", ""), IF(AND(E33&lt;&gt;"", COUNTIF($E$2:$E$39, E33)&gt;1), "SKU duplicado", ""), IF(OR(J33="", J33=""), "[Aviso] División no capturada ()", IF(ISNA(MATCH(J33, Criterios!$A$123:$A$126, 0)), "División no válida", "")), IF(OR(K33="", K33=""), "[Aviso] Categoría no capturada ()", IF(ISNA(MATCH(K33, Criterios!$A$81:$A$120, 0)), "Categoría no válida", IF(AND(J33&lt;&gt;"", J33&lt;&gt;"", J33&lt;&gt;VLOOKUP(K33, Criterios!$A$81:$B$120, 2, FALSE)), "División no coincide con Categoría", ""))), IF(OR(L33="", L33=""), "[Aviso] Género no capturado ()", IF(ISNA(MATCH(L33, Criterios!$B$123:$B$127, 0)), "Género no válido", "")), IF(OR(N33="", N33=""), "[Aviso] Temporada no capturada ()", IF(ISNA(MATCH(N33, Criterios!$C$123:$C$128, 0)), "Temporada no válida", "")), IF(OR(O33="", O33=""), "[Aviso] Ciclo de vida no capturado ()", IF(ISNA(MATCH(O33, Criterios!$D$123:$D$124, 0)), "Ciclo de vida no válido", ""))))</f>
        <v/>
      </c>
      <c r="AC33" s="56" t="n"/>
      <c r="AD33" s="51" t="n">
        <v>27</v>
      </c>
      <c r="AE33" s="156" t="inlineStr">
        <is>
          <t>B25 CEDIS: 16 | WB OUTLET LERMA: 11</t>
        </is>
      </c>
      <c r="AF33" s="51" t="n">
        <v>11</v>
      </c>
      <c r="AG33" s="156" t="inlineStr">
        <is>
          <t>Nuevo – NetSuite 06/10/2026</t>
        </is>
      </c>
      <c r="AH33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3" s="156" t="inlineStr">
        <is>
          <t>No</t>
        </is>
      </c>
      <c r="AJ33" s="156" t="n"/>
      <c r="AK33" s="155" t="inlineStr">
        <is>
          <t>NetSuite SuiteQL: item · inventoryitemlocations · itemprice (Base Price y RETAIL, moneda base)</t>
        </is>
      </c>
      <c r="AL33" s="58" t="n">
        <v>275.38</v>
      </c>
      <c r="AM33" s="58" t="n">
        <v>648.99999998</v>
      </c>
      <c r="AN33" s="155" t="n"/>
      <c r="AO33" s="59" t="n"/>
      <c r="AP33" s="59" t="n"/>
      <c r="AQ33" s="59" t="n"/>
      <c r="AR33" s="155" t="n"/>
    </row>
    <row r="34">
      <c r="A34" s="50" t="inlineStr">
        <is>
          <t>7506552414966</t>
        </is>
      </c>
      <c r="B34" s="51" t="inlineStr">
        <is>
          <t>118240</t>
        </is>
      </c>
      <c r="C34" s="156" t="inlineStr">
        <is>
          <t>Multimarca</t>
        </is>
      </c>
      <c r="D34" s="156" t="inlineStr">
        <is>
          <t>RCE66</t>
        </is>
      </c>
      <c r="E34" s="156" t="inlineStr">
        <is>
          <t>RCE66</t>
        </is>
      </c>
      <c r="F34" s="156" t="inlineStr">
        <is>
          <t>Talla única</t>
        </is>
      </c>
      <c r="G34" s="156" t="inlineStr">
        <is>
          <t>One Size</t>
        </is>
      </c>
      <c r="H34" s="156" t="inlineStr">
        <is>
          <t>Ranch &amp; Corral</t>
        </is>
      </c>
      <c r="I34" s="156" t="inlineStr">
        <is>
          <t>Gorra Equus 66</t>
        </is>
      </c>
      <c r="J34" s="156" t="inlineStr">
        <is>
          <t>Accesorios</t>
        </is>
      </c>
      <c r="K34" s="156" t="inlineStr">
        <is>
          <t>Gorras</t>
        </is>
      </c>
      <c r="L34" s="156" t="inlineStr">
        <is>
          <t>Hombre</t>
        </is>
      </c>
      <c r="M34" s="156" t="inlineStr">
        <is>
          <t>Ranch &amp; Corral</t>
        </is>
      </c>
      <c r="N34" s="156" t="inlineStr">
        <is>
          <t>FW26</t>
        </is>
      </c>
      <c r="O34" s="156" t="inlineStr">
        <is>
          <t>Seasonal</t>
        </is>
      </c>
      <c r="P34" s="156" t="inlineStr">
        <is>
          <t>Negro</t>
        </is>
      </c>
      <c r="Q34" s="156" t="n"/>
      <c r="R34" s="156" t="n"/>
      <c r="S34" s="156" t="inlineStr">
        <is>
          <t>50% Poliéster
25% Algodón
14% Viscosa
11% PU</t>
        </is>
      </c>
      <c r="T34" s="156" t="inlineStr">
        <is>
          <t>Gorra Equus 66  5 paneles</t>
        </is>
      </c>
      <c r="U34" s="156" t="inlineStr">
        <is>
          <t>China</t>
        </is>
      </c>
      <c r="V34" s="156" t="inlineStr">
        <is>
          <t>PZS</t>
        </is>
      </c>
      <c r="W34" s="51" t="inlineStr">
        <is>
          <t>53102516</t>
        </is>
      </c>
      <c r="X34" s="156" t="n"/>
      <c r="Y34" s="54" t="n">
        <v>275.38</v>
      </c>
      <c r="Z34" s="54" t="n">
        <v>559.4827586</v>
      </c>
      <c r="AA34" s="55">
        <f>IF(AND(A34="", B34="", E34=""), "", IF(AB34="", "Válido", IF((LEN(AB34)-LEN(SUBSTITUTE(AB34,"; ","")))/2+1&gt;(LEN(AB34)-LEN(SUBSTITUTE(AB34,"[Aviso]","")))/7, "Con Incidencias", "Válido")))</f>
        <v/>
      </c>
      <c r="AB34" s="56">
        <f>IF(AND(A34="", B34="", E34=""), "", TEXTJOIN("; ", TRUE, IF(OR(TRIM(A34&amp;"")="", ISNUMBER(SEARCH("FALTA", A34))), "UPC faltante/inválido", ""), IF(AND(A34&lt;&gt;"", IFERROR(_xlfn.XMATCH(A34,$A$2:$A$39,0,1)&lt;&gt;_xlfn.XMATCH(A34,$A$2:$A$39,0,-1),FALSE)), "Código de barras duplicado", ""), IF(AND(E34&lt;&gt;"", COUNTIF($E$2:$E$39, E34)&gt;1), "SKU duplicado", ""), IF(OR(J34="", J34=""), "[Aviso] División no capturada ()", IF(ISNA(MATCH(J34, Criterios!$A$123:$A$126, 0)), "División no válida", "")), IF(OR(K34="", K34=""), "[Aviso] Categoría no capturada ()", IF(ISNA(MATCH(K34, Criterios!$A$81:$A$120, 0)), "Categoría no válida", IF(AND(J34&lt;&gt;"", J34&lt;&gt;"", J34&lt;&gt;VLOOKUP(K34, Criterios!$A$81:$B$120, 2, FALSE)), "División no coincide con Categoría", ""))), IF(OR(L34="", L34=""), "[Aviso] Género no capturado ()", IF(ISNA(MATCH(L34, Criterios!$B$123:$B$127, 0)), "Género no válido", "")), IF(OR(N34="", N34=""), "[Aviso] Temporada no capturada ()", IF(ISNA(MATCH(N34, Criterios!$C$123:$C$128, 0)), "Temporada no válida", "")), IF(OR(O34="", O34=""), "[Aviso] Ciclo de vida no capturado ()", IF(ISNA(MATCH(O34, Criterios!$D$123:$D$124, 0)), "Ciclo de vida no válido", ""))))</f>
        <v/>
      </c>
      <c r="AC34" s="56" t="n"/>
      <c r="AD34" s="51" t="n">
        <v>27</v>
      </c>
      <c r="AE34" s="156" t="inlineStr">
        <is>
          <t>B25 CEDIS: 16 | WB OUTLET LERMA: 11</t>
        </is>
      </c>
      <c r="AF34" s="51" t="n">
        <v>11</v>
      </c>
      <c r="AG34" s="156" t="inlineStr">
        <is>
          <t>Nuevo – NetSuite 06/10/2026</t>
        </is>
      </c>
      <c r="AH34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4" s="156" t="inlineStr">
        <is>
          <t>No</t>
        </is>
      </c>
      <c r="AJ34" s="156" t="n"/>
      <c r="AK34" s="155" t="inlineStr">
        <is>
          <t>NetSuite SuiteQL: item · inventoryitemlocations · itemprice (Base Price y RETAIL, moneda base)</t>
        </is>
      </c>
      <c r="AL34" s="58" t="n">
        <v>275.38</v>
      </c>
      <c r="AM34" s="58" t="n">
        <v>648.99999998</v>
      </c>
      <c r="AN34" s="155" t="n"/>
      <c r="AO34" s="59" t="n"/>
      <c r="AP34" s="59" t="n"/>
      <c r="AQ34" s="59" t="n"/>
      <c r="AR34" s="155" t="n"/>
    </row>
    <row r="35">
      <c r="A35" s="50" t="inlineStr">
        <is>
          <t>7506552414973</t>
        </is>
      </c>
      <c r="B35" s="51" t="inlineStr">
        <is>
          <t>118241</t>
        </is>
      </c>
      <c r="C35" s="156" t="inlineStr">
        <is>
          <t>Multimarca</t>
        </is>
      </c>
      <c r="D35" s="156" t="inlineStr">
        <is>
          <t>RCE67</t>
        </is>
      </c>
      <c r="E35" s="156" t="inlineStr">
        <is>
          <t>RCE67</t>
        </is>
      </c>
      <c r="F35" s="156" t="inlineStr">
        <is>
          <t>Talla única</t>
        </is>
      </c>
      <c r="G35" s="156" t="inlineStr">
        <is>
          <t>One Size</t>
        </is>
      </c>
      <c r="H35" s="156" t="inlineStr">
        <is>
          <t>Ranch &amp; Corral</t>
        </is>
      </c>
      <c r="I35" s="156" t="inlineStr">
        <is>
          <t>Gorra Equus 67</t>
        </is>
      </c>
      <c r="J35" s="156" t="inlineStr">
        <is>
          <t>Accesorios</t>
        </is>
      </c>
      <c r="K35" s="156" t="inlineStr">
        <is>
          <t>Gorras</t>
        </is>
      </c>
      <c r="L35" s="156" t="inlineStr">
        <is>
          <t>Hombre</t>
        </is>
      </c>
      <c r="M35" s="156" t="inlineStr">
        <is>
          <t>Ranch &amp; Corral</t>
        </is>
      </c>
      <c r="N35" s="156" t="inlineStr">
        <is>
          <t>FW26</t>
        </is>
      </c>
      <c r="O35" s="156" t="inlineStr">
        <is>
          <t>Seasonal</t>
        </is>
      </c>
      <c r="P35" s="156" t="inlineStr">
        <is>
          <t>Beige</t>
        </is>
      </c>
      <c r="Q35" s="156" t="n"/>
      <c r="R35" s="156" t="n"/>
      <c r="S35" s="156" t="inlineStr">
        <is>
          <t>73% Poliéster
25% Algodón
2% Elastano</t>
        </is>
      </c>
      <c r="T35" s="156" t="inlineStr">
        <is>
          <t>Gorra Equus 67  5 paneles</t>
        </is>
      </c>
      <c r="U35" s="156" t="inlineStr">
        <is>
          <t>China</t>
        </is>
      </c>
      <c r="V35" s="156" t="inlineStr">
        <is>
          <t>PZS</t>
        </is>
      </c>
      <c r="W35" s="51" t="inlineStr">
        <is>
          <t>53102516</t>
        </is>
      </c>
      <c r="X35" s="156" t="n"/>
      <c r="Y35" s="54" t="n">
        <v>275.38</v>
      </c>
      <c r="Z35" s="54" t="n">
        <v>559.4827586</v>
      </c>
      <c r="AA35" s="55">
        <f>IF(AND(A35="", B35="", E35=""), "", IF(AB35="", "Válido", IF((LEN(AB35)-LEN(SUBSTITUTE(AB35,"; ","")))/2+1&gt;(LEN(AB35)-LEN(SUBSTITUTE(AB35,"[Aviso]","")))/7, "Con Incidencias", "Válido")))</f>
        <v/>
      </c>
      <c r="AB35" s="56">
        <f>IF(AND(A35="", B35="", E35=""), "", TEXTJOIN("; ", TRUE, IF(OR(TRIM(A35&amp;"")="", ISNUMBER(SEARCH("FALTA", A35))), "UPC faltante/inválido", ""), IF(AND(A35&lt;&gt;"", IFERROR(_xlfn.XMATCH(A35,$A$2:$A$39,0,1)&lt;&gt;_xlfn.XMATCH(A35,$A$2:$A$39,0,-1),FALSE)), "Código de barras duplicado", ""), IF(AND(E35&lt;&gt;"", COUNTIF($E$2:$E$39, E35)&gt;1), "SKU duplicado", ""), IF(OR(J35="", J35=""), "[Aviso] División no capturada ()", IF(ISNA(MATCH(J35, Criterios!$A$123:$A$126, 0)), "División no válida", "")), IF(OR(K35="", K35=""), "[Aviso] Categoría no capturada ()", IF(ISNA(MATCH(K35, Criterios!$A$81:$A$120, 0)), "Categoría no válida", IF(AND(J35&lt;&gt;"", J35&lt;&gt;"", J35&lt;&gt;VLOOKUP(K35, Criterios!$A$81:$B$120, 2, FALSE)), "División no coincide con Categoría", ""))), IF(OR(L35="", L35=""), "[Aviso] Género no capturado ()", IF(ISNA(MATCH(L35, Criterios!$B$123:$B$127, 0)), "Género no válido", "")), IF(OR(N35="", N35=""), "[Aviso] Temporada no capturada ()", IF(ISNA(MATCH(N35, Criterios!$C$123:$C$128, 0)), "Temporada no válida", "")), IF(OR(O35="", O35=""), "[Aviso] Ciclo de vida no capturado ()", IF(ISNA(MATCH(O35, Criterios!$D$123:$D$124, 0)), "Ciclo de vida no válido", ""))))</f>
        <v/>
      </c>
      <c r="AC35" s="56" t="n"/>
      <c r="AD35" s="51" t="n">
        <v>27</v>
      </c>
      <c r="AE35" s="156" t="inlineStr">
        <is>
          <t>B25 CEDIS: 16 | WB OUTLET LERMA: 11</t>
        </is>
      </c>
      <c r="AF35" s="51" t="n">
        <v>11</v>
      </c>
      <c r="AG35" s="156" t="inlineStr">
        <is>
          <t>Nuevo – NetSuite 06/10/2026</t>
        </is>
      </c>
      <c r="AH35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5" s="156" t="inlineStr">
        <is>
          <t>No</t>
        </is>
      </c>
      <c r="AJ35" s="156" t="n"/>
      <c r="AK35" s="155" t="inlineStr">
        <is>
          <t>NetSuite SuiteQL: item · inventoryitemlocations · itemprice (Base Price y RETAIL, moneda base)</t>
        </is>
      </c>
      <c r="AL35" s="58" t="n">
        <v>275.38</v>
      </c>
      <c r="AM35" s="58" t="n">
        <v>648.99999998</v>
      </c>
      <c r="AN35" s="155" t="n"/>
      <c r="AO35" s="59" t="n"/>
      <c r="AP35" s="59" t="n"/>
      <c r="AQ35" s="59" t="n"/>
      <c r="AR35" s="155" t="n"/>
    </row>
    <row r="36">
      <c r="A36" s="50" t="inlineStr">
        <is>
          <t>7506552414980</t>
        </is>
      </c>
      <c r="B36" s="51" t="inlineStr">
        <is>
          <t>118242</t>
        </is>
      </c>
      <c r="C36" s="156" t="inlineStr">
        <is>
          <t>Multimarca</t>
        </is>
      </c>
      <c r="D36" s="156" t="inlineStr">
        <is>
          <t>RCE68</t>
        </is>
      </c>
      <c r="E36" s="156" t="inlineStr">
        <is>
          <t>RCE68</t>
        </is>
      </c>
      <c r="F36" s="156" t="inlineStr">
        <is>
          <t>Talla única</t>
        </is>
      </c>
      <c r="G36" s="156" t="inlineStr">
        <is>
          <t>One Size</t>
        </is>
      </c>
      <c r="H36" s="156" t="inlineStr">
        <is>
          <t>Ranch &amp; Corral</t>
        </is>
      </c>
      <c r="I36" s="156" t="inlineStr">
        <is>
          <t>Gorra Equus 68</t>
        </is>
      </c>
      <c r="J36" s="156" t="inlineStr">
        <is>
          <t>Accesorios</t>
        </is>
      </c>
      <c r="K36" s="156" t="inlineStr">
        <is>
          <t>Gorras</t>
        </is>
      </c>
      <c r="L36" s="156" t="inlineStr">
        <is>
          <t>Hombre</t>
        </is>
      </c>
      <c r="M36" s="156" t="inlineStr">
        <is>
          <t>Ranch &amp; Corral</t>
        </is>
      </c>
      <c r="N36" s="156" t="inlineStr">
        <is>
          <t>FW26</t>
        </is>
      </c>
      <c r="O36" s="156" t="inlineStr">
        <is>
          <t>Seasonal</t>
        </is>
      </c>
      <c r="P36" s="156" t="inlineStr">
        <is>
          <t>Azul</t>
        </is>
      </c>
      <c r="Q36" s="156" t="n"/>
      <c r="R36" s="156" t="n"/>
      <c r="S36" s="156" t="inlineStr">
        <is>
          <t>73% Poliéster
25% Algodón
2% Elastano</t>
        </is>
      </c>
      <c r="T36" s="156" t="inlineStr">
        <is>
          <t>Gorra Equus 68  5 paneles</t>
        </is>
      </c>
      <c r="U36" s="156" t="inlineStr">
        <is>
          <t>China</t>
        </is>
      </c>
      <c r="V36" s="156" t="inlineStr">
        <is>
          <t>PZS</t>
        </is>
      </c>
      <c r="W36" s="51" t="inlineStr">
        <is>
          <t>53102516</t>
        </is>
      </c>
      <c r="X36" s="156" t="n"/>
      <c r="Y36" s="54" t="n">
        <v>275.38</v>
      </c>
      <c r="Z36" s="54" t="n">
        <v>559.4827586</v>
      </c>
      <c r="AA36" s="55">
        <f>IF(AND(A36="", B36="", E36=""), "", IF(AB36="", "Válido", IF((LEN(AB36)-LEN(SUBSTITUTE(AB36,"; ","")))/2+1&gt;(LEN(AB36)-LEN(SUBSTITUTE(AB36,"[Aviso]","")))/7, "Con Incidencias", "Válido")))</f>
        <v/>
      </c>
      <c r="AB36" s="56">
        <f>IF(AND(A36="", B36="", E36=""), "", TEXTJOIN("; ", TRUE, IF(OR(TRIM(A36&amp;"")="", ISNUMBER(SEARCH("FALTA", A36))), "UPC faltante/inválido", ""), IF(AND(A36&lt;&gt;"", IFERROR(_xlfn.XMATCH(A36,$A$2:$A$39,0,1)&lt;&gt;_xlfn.XMATCH(A36,$A$2:$A$39,0,-1),FALSE)), "Código de barras duplicado", ""), IF(AND(E36&lt;&gt;"", COUNTIF($E$2:$E$39, E36)&gt;1), "SKU duplicado", ""), IF(OR(J36="", J36=""), "[Aviso] División no capturada ()", IF(ISNA(MATCH(J36, Criterios!$A$123:$A$126, 0)), "División no válida", "")), IF(OR(K36="", K36=""), "[Aviso] Categoría no capturada ()", IF(ISNA(MATCH(K36, Criterios!$A$81:$A$120, 0)), "Categoría no válida", IF(AND(J36&lt;&gt;"", J36&lt;&gt;"", J36&lt;&gt;VLOOKUP(K36, Criterios!$A$81:$B$120, 2, FALSE)), "División no coincide con Categoría", ""))), IF(OR(L36="", L36=""), "[Aviso] Género no capturado ()", IF(ISNA(MATCH(L36, Criterios!$B$123:$B$127, 0)), "Género no válido", "")), IF(OR(N36="", N36=""), "[Aviso] Temporada no capturada ()", IF(ISNA(MATCH(N36, Criterios!$C$123:$C$128, 0)), "Temporada no válida", "")), IF(OR(O36="", O36=""), "[Aviso] Ciclo de vida no capturado ()", IF(ISNA(MATCH(O36, Criterios!$D$123:$D$124, 0)), "Ciclo de vida no válido", ""))))</f>
        <v/>
      </c>
      <c r="AC36" s="56" t="n"/>
      <c r="AD36" s="51" t="n">
        <v>27</v>
      </c>
      <c r="AE36" s="156" t="inlineStr">
        <is>
          <t>B25 CEDIS: 16 | WB OUTLET LERMA: 11</t>
        </is>
      </c>
      <c r="AF36" s="51" t="n">
        <v>11</v>
      </c>
      <c r="AG36" s="156" t="inlineStr">
        <is>
          <t>Nuevo – NetSuite 06/10/2026</t>
        </is>
      </c>
      <c r="AH36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6" s="156" t="inlineStr">
        <is>
          <t>No</t>
        </is>
      </c>
      <c r="AJ36" s="156" t="n"/>
      <c r="AK36" s="155" t="inlineStr">
        <is>
          <t>NetSuite SuiteQL: item · inventoryitemlocations · itemprice (Base Price y RETAIL, moneda base)</t>
        </is>
      </c>
      <c r="AL36" s="58" t="n">
        <v>275.38</v>
      </c>
      <c r="AM36" s="58" t="n">
        <v>648.99999998</v>
      </c>
      <c r="AN36" s="155" t="n"/>
      <c r="AO36" s="59" t="n"/>
      <c r="AP36" s="59" t="n"/>
      <c r="AQ36" s="59" t="n"/>
      <c r="AR36" s="155" t="n"/>
    </row>
    <row r="37">
      <c r="A37" s="50" t="inlineStr">
        <is>
          <t>7506552414843</t>
        </is>
      </c>
      <c r="B37" s="51" t="inlineStr">
        <is>
          <t>118235</t>
        </is>
      </c>
      <c r="C37" s="156" t="inlineStr">
        <is>
          <t>Multimarca</t>
        </is>
      </c>
      <c r="D37" s="156" t="inlineStr">
        <is>
          <t>RCG65</t>
        </is>
      </c>
      <c r="E37" s="156" t="inlineStr">
        <is>
          <t>RCG65</t>
        </is>
      </c>
      <c r="F37" s="156" t="inlineStr">
        <is>
          <t>Talla única</t>
        </is>
      </c>
      <c r="G37" s="156" t="inlineStr">
        <is>
          <t>One Size</t>
        </is>
      </c>
      <c r="H37" s="156" t="inlineStr">
        <is>
          <t>Ranch &amp; Corral</t>
        </is>
      </c>
      <c r="I37" s="156" t="inlineStr">
        <is>
          <t>Gorra Ganadera 65</t>
        </is>
      </c>
      <c r="J37" s="156" t="inlineStr">
        <is>
          <t>Accesorios</t>
        </is>
      </c>
      <c r="K37" s="156" t="inlineStr">
        <is>
          <t>Gorras</t>
        </is>
      </c>
      <c r="L37" s="156" t="inlineStr">
        <is>
          <t>Hombre</t>
        </is>
      </c>
      <c r="M37" s="156" t="inlineStr">
        <is>
          <t>Ranch &amp; Corral</t>
        </is>
      </c>
      <c r="N37" s="156" t="inlineStr">
        <is>
          <t>FW26</t>
        </is>
      </c>
      <c r="O37" s="156" t="inlineStr">
        <is>
          <t>Seasonal</t>
        </is>
      </c>
      <c r="P37" s="156" t="inlineStr">
        <is>
          <t>Cafe</t>
        </is>
      </c>
      <c r="Q37" s="156" t="n"/>
      <c r="R37" s="156" t="n"/>
      <c r="S37" s="156" t="inlineStr">
        <is>
          <t>95% Poliéster
5% Elastano</t>
        </is>
      </c>
      <c r="T37" s="156" t="inlineStr">
        <is>
          <t>Gorra Ganadera 65  5 paneles</t>
        </is>
      </c>
      <c r="U37" s="156" t="inlineStr">
        <is>
          <t>China</t>
        </is>
      </c>
      <c r="V37" s="156" t="inlineStr">
        <is>
          <t>PZS</t>
        </is>
      </c>
      <c r="W37" s="51" t="inlineStr">
        <is>
          <t>53102516</t>
        </is>
      </c>
      <c r="X37" s="156" t="n"/>
      <c r="Y37" s="54" t="n">
        <v>275.38</v>
      </c>
      <c r="Z37" s="54" t="n">
        <v>559.4827586</v>
      </c>
      <c r="AA37" s="55">
        <f>IF(AND(A37="", B37="", E37=""), "", IF(AB37="", "Válido", IF((LEN(AB37)-LEN(SUBSTITUTE(AB37,"; ","")))/2+1&gt;(LEN(AB37)-LEN(SUBSTITUTE(AB37,"[Aviso]","")))/7, "Con Incidencias", "Válido")))</f>
        <v/>
      </c>
      <c r="AB37" s="56">
        <f>IF(AND(A37="", B37="", E37=""), "", TEXTJOIN("; ", TRUE, IF(OR(TRIM(A37&amp;"")="", ISNUMBER(SEARCH("FALTA", A37))), "UPC faltante/inválido", ""), IF(AND(A37&lt;&gt;"", IFERROR(_xlfn.XMATCH(A37,$A$2:$A$39,0,1)&lt;&gt;_xlfn.XMATCH(A37,$A$2:$A$39,0,-1),FALSE)), "Código de barras duplicado", ""), IF(AND(E37&lt;&gt;"", COUNTIF($E$2:$E$39, E37)&gt;1), "SKU duplicado", ""), IF(OR(J37="", J37=""), "[Aviso] División no capturada ()", IF(ISNA(MATCH(J37, Criterios!$A$123:$A$126, 0)), "División no válida", "")), IF(OR(K37="", K37=""), "[Aviso] Categoría no capturada ()", IF(ISNA(MATCH(K37, Criterios!$A$81:$A$120, 0)), "Categoría no válida", IF(AND(J37&lt;&gt;"", J37&lt;&gt;"", J37&lt;&gt;VLOOKUP(K37, Criterios!$A$81:$B$120, 2, FALSE)), "División no coincide con Categoría", ""))), IF(OR(L37="", L37=""), "[Aviso] Género no capturado ()", IF(ISNA(MATCH(L37, Criterios!$B$123:$B$127, 0)), "Género no válido", "")), IF(OR(N37="", N37=""), "[Aviso] Temporada no capturada ()", IF(ISNA(MATCH(N37, Criterios!$C$123:$C$128, 0)), "Temporada no válida", "")), IF(OR(O37="", O37=""), "[Aviso] Ciclo de vida no capturado ()", IF(ISNA(MATCH(O37, Criterios!$D$123:$D$124, 0)), "Ciclo de vida no válido", ""))))</f>
        <v/>
      </c>
      <c r="AC37" s="56" t="n"/>
      <c r="AD37" s="51" t="n">
        <v>27</v>
      </c>
      <c r="AE37" s="156" t="inlineStr">
        <is>
          <t>B25 CEDIS: 16 | WB OUTLET LERMA: 11</t>
        </is>
      </c>
      <c r="AF37" s="51" t="n">
        <v>11</v>
      </c>
      <c r="AG37" s="156" t="inlineStr">
        <is>
          <t>Nuevo – NetSuite 06/10/2026</t>
        </is>
      </c>
      <c r="AH37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7" s="156" t="inlineStr">
        <is>
          <t>No</t>
        </is>
      </c>
      <c r="AJ37" s="156" t="n"/>
      <c r="AK37" s="155" t="inlineStr">
        <is>
          <t>NetSuite SuiteQL: item · inventoryitemlocations · itemprice (Base Price y RETAIL, moneda base)</t>
        </is>
      </c>
      <c r="AL37" s="58" t="n">
        <v>275.38</v>
      </c>
      <c r="AM37" s="58" t="n">
        <v>648.99999998</v>
      </c>
      <c r="AN37" s="155" t="n"/>
      <c r="AO37" s="59" t="n"/>
      <c r="AP37" s="59" t="n"/>
      <c r="AQ37" s="59" t="n"/>
      <c r="AR37" s="155" t="n"/>
    </row>
    <row r="38">
      <c r="A38" s="50" t="inlineStr">
        <is>
          <t>7506552414867</t>
        </is>
      </c>
      <c r="B38" s="51" t="inlineStr">
        <is>
          <t>118236</t>
        </is>
      </c>
      <c r="C38" s="156" t="inlineStr">
        <is>
          <t>Multimarca</t>
        </is>
      </c>
      <c r="D38" s="156" t="inlineStr">
        <is>
          <t>RCG67</t>
        </is>
      </c>
      <c r="E38" s="156" t="inlineStr">
        <is>
          <t>RCG67</t>
        </is>
      </c>
      <c r="F38" s="156" t="inlineStr">
        <is>
          <t>Talla única</t>
        </is>
      </c>
      <c r="G38" s="156" t="inlineStr">
        <is>
          <t>One Size</t>
        </is>
      </c>
      <c r="H38" s="156" t="inlineStr">
        <is>
          <t>Ranch &amp; Corral</t>
        </is>
      </c>
      <c r="I38" s="156" t="inlineStr">
        <is>
          <t>Gorra Ganadera 67</t>
        </is>
      </c>
      <c r="J38" s="156" t="inlineStr">
        <is>
          <t>Accesorios</t>
        </is>
      </c>
      <c r="K38" s="156" t="inlineStr">
        <is>
          <t>Gorras</t>
        </is>
      </c>
      <c r="L38" s="156" t="inlineStr">
        <is>
          <t>Hombre</t>
        </is>
      </c>
      <c r="M38" s="156" t="inlineStr">
        <is>
          <t>Ranch &amp; Corral</t>
        </is>
      </c>
      <c r="N38" s="156" t="inlineStr">
        <is>
          <t>FW26</t>
        </is>
      </c>
      <c r="O38" s="156" t="inlineStr">
        <is>
          <t>Seasonal</t>
        </is>
      </c>
      <c r="P38" s="156" t="inlineStr">
        <is>
          <t>Negro</t>
        </is>
      </c>
      <c r="Q38" s="156" t="n"/>
      <c r="R38" s="156" t="n"/>
      <c r="S38" s="156" t="inlineStr">
        <is>
          <t>75% Poliéster
14% Viscosa
11% Poliuretano</t>
        </is>
      </c>
      <c r="T38" s="156" t="inlineStr">
        <is>
          <t>Gorra Ganadera 67  5 paneles</t>
        </is>
      </c>
      <c r="U38" s="156" t="inlineStr">
        <is>
          <t>China</t>
        </is>
      </c>
      <c r="V38" s="156" t="inlineStr">
        <is>
          <t>PZS</t>
        </is>
      </c>
      <c r="W38" s="51" t="inlineStr">
        <is>
          <t>53102516</t>
        </is>
      </c>
      <c r="X38" s="156" t="n"/>
      <c r="Y38" s="54" t="n">
        <v>275.38</v>
      </c>
      <c r="Z38" s="54" t="n">
        <v>559.4827586</v>
      </c>
      <c r="AA38" s="55">
        <f>IF(AND(A38="", B38="", E38=""), "", IF(AB38="", "Válido", IF((LEN(AB38)-LEN(SUBSTITUTE(AB38,"; ","")))/2+1&gt;(LEN(AB38)-LEN(SUBSTITUTE(AB38,"[Aviso]","")))/7, "Con Incidencias", "Válido")))</f>
        <v/>
      </c>
      <c r="AB38" s="56">
        <f>IF(AND(A38="", B38="", E38=""), "", TEXTJOIN("; ", TRUE, IF(OR(TRIM(A38&amp;"")="", ISNUMBER(SEARCH("FALTA", A38))), "UPC faltante/inválido", ""), IF(AND(A38&lt;&gt;"", IFERROR(_xlfn.XMATCH(A38,$A$2:$A$39,0,1)&lt;&gt;_xlfn.XMATCH(A38,$A$2:$A$39,0,-1),FALSE)), "Código de barras duplicado", ""), IF(AND(E38&lt;&gt;"", COUNTIF($E$2:$E$39, E38)&gt;1), "SKU duplicado", ""), IF(OR(J38="", J38=""), "[Aviso] División no capturada ()", IF(ISNA(MATCH(J38, Criterios!$A$123:$A$126, 0)), "División no válida", "")), IF(OR(K38="", K38=""), "[Aviso] Categoría no capturada ()", IF(ISNA(MATCH(K38, Criterios!$A$81:$A$120, 0)), "Categoría no válida", IF(AND(J38&lt;&gt;"", J38&lt;&gt;"", J38&lt;&gt;VLOOKUP(K38, Criterios!$A$81:$B$120, 2, FALSE)), "División no coincide con Categoría", ""))), IF(OR(L38="", L38=""), "[Aviso] Género no capturado ()", IF(ISNA(MATCH(L38, Criterios!$B$123:$B$127, 0)), "Género no válido", "")), IF(OR(N38="", N38=""), "[Aviso] Temporada no capturada ()", IF(ISNA(MATCH(N38, Criterios!$C$123:$C$128, 0)), "Temporada no válida", "")), IF(OR(O38="", O38=""), "[Aviso] Ciclo de vida no capturado ()", IF(ISNA(MATCH(O38, Criterios!$D$123:$D$124, 0)), "Ciclo de vida no válido", ""))))</f>
        <v/>
      </c>
      <c r="AC38" s="56" t="n"/>
      <c r="AD38" s="51" t="n">
        <v>27</v>
      </c>
      <c r="AE38" s="156" t="inlineStr">
        <is>
          <t>B25 CEDIS: 16 | WB OUTLET LERMA: 11</t>
        </is>
      </c>
      <c r="AF38" s="51" t="n">
        <v>11</v>
      </c>
      <c r="AG38" s="156" t="inlineStr">
        <is>
          <t>Nuevo – NetSuite 06/10/2026</t>
        </is>
      </c>
      <c r="AH38" s="156" t="inlineStr">
        <is>
          <t>Comprometido: 16 | En pedido: 16 | Homologación G1522 06/10/2026: WB Silueta: «» → «5 paneles» (Completado desde NetSuite) · WB Silueta: «5 paneles» → «» (Corrección aplicada)</t>
        </is>
      </c>
      <c r="AI38" s="156" t="inlineStr">
        <is>
          <t>No</t>
        </is>
      </c>
      <c r="AJ38" s="156" t="n"/>
      <c r="AK38" s="155" t="inlineStr">
        <is>
          <t>NetSuite SuiteQL: item · inventoryitemlocations · itemprice (Base Price y RETAIL, moneda base)</t>
        </is>
      </c>
      <c r="AL38" s="58" t="n">
        <v>275.38</v>
      </c>
      <c r="AM38" s="58" t="n">
        <v>648.99999998</v>
      </c>
      <c r="AN38" s="155" t="n"/>
      <c r="AO38" s="59" t="n"/>
      <c r="AP38" s="59" t="n"/>
      <c r="AQ38" s="59" t="n"/>
      <c r="AR38" s="155" t="n"/>
    </row>
    <row r="39">
      <c r="A39" s="50" t="inlineStr">
        <is>
          <t>7506552415284</t>
        </is>
      </c>
      <c r="B39" s="51" t="inlineStr">
        <is>
          <t>118244</t>
        </is>
      </c>
      <c r="C39" s="156" t="inlineStr">
        <is>
          <t>Multimarca</t>
        </is>
      </c>
      <c r="D39" s="156" t="inlineStr">
        <is>
          <t>RCPN10</t>
        </is>
      </c>
      <c r="E39" s="156" t="inlineStr">
        <is>
          <t>RCPN10</t>
        </is>
      </c>
      <c r="F39" s="156" t="inlineStr">
        <is>
          <t>Talla única</t>
        </is>
      </c>
      <c r="G39" s="156" t="inlineStr">
        <is>
          <t>One Size</t>
        </is>
      </c>
      <c r="H39" s="156" t="inlineStr">
        <is>
          <t>Ranch &amp; Corral</t>
        </is>
      </c>
      <c r="I39" s="156" t="inlineStr">
        <is>
          <t>Gorra Porcino 10</t>
        </is>
      </c>
      <c r="J39" s="156" t="inlineStr">
        <is>
          <t>Accesorios</t>
        </is>
      </c>
      <c r="K39" s="156" t="inlineStr">
        <is>
          <t>Gorras</t>
        </is>
      </c>
      <c r="L39" s="156" t="inlineStr">
        <is>
          <t>Hombre</t>
        </is>
      </c>
      <c r="M39" s="156" t="inlineStr">
        <is>
          <t>Ranch &amp; Corral</t>
        </is>
      </c>
      <c r="N39" s="156" t="inlineStr">
        <is>
          <t>FW26</t>
        </is>
      </c>
      <c r="O39" s="156" t="inlineStr">
        <is>
          <t>Seasonal</t>
        </is>
      </c>
      <c r="P39" s="156" t="inlineStr">
        <is>
          <t>Beige</t>
        </is>
      </c>
      <c r="Q39" s="156" t="n"/>
      <c r="R39" s="156" t="n"/>
      <c r="S39" s="156" t="inlineStr">
        <is>
          <t>73% Poliéster
25% Algodón
2% Elastano</t>
        </is>
      </c>
      <c r="T39" s="156" t="inlineStr">
        <is>
          <t>Gorra Porcino 10  5 paneles</t>
        </is>
      </c>
      <c r="U39" s="156" t="inlineStr">
        <is>
          <t>China</t>
        </is>
      </c>
      <c r="V39" s="156" t="inlineStr">
        <is>
          <t>PZS</t>
        </is>
      </c>
      <c r="W39" s="51" t="inlineStr">
        <is>
          <t>53102516</t>
        </is>
      </c>
      <c r="X39" s="156" t="n"/>
      <c r="Y39" s="54" t="n">
        <v>275.38</v>
      </c>
      <c r="Z39" s="54" t="n">
        <v>559.4827586</v>
      </c>
      <c r="AA39" s="55">
        <f>IF(AND(A39="", B39="", E39=""), "", IF(AB39="", "Válido", IF((LEN(AB39)-LEN(SUBSTITUTE(AB39,"; ","")))/2+1&gt;(LEN(AB39)-LEN(SUBSTITUTE(AB39,"[Aviso]","")))/7, "Con Incidencias", "Válido")))</f>
        <v/>
      </c>
      <c r="AB39" s="56">
        <f>IF(AND(A39="", B39="", E39=""), "", TEXTJOIN("; ", TRUE, IF(OR(TRIM(A39&amp;"")="", ISNUMBER(SEARCH("FALTA", A39))), "UPC faltante/inválido", ""), IF(AND(A39&lt;&gt;"", IFERROR(_xlfn.XMATCH(A39,$A$2:$A$39,0,1)&lt;&gt;_xlfn.XMATCH(A39,$A$2:$A$39,0,-1),FALSE)), "Código de barras duplicado", ""), IF(AND(E39&lt;&gt;"", COUNTIF($E$2:$E$39, E39)&gt;1), "SKU duplicado", ""), IF(OR(J39="", J39=""), "[Aviso] División no capturada ()", IF(ISNA(MATCH(J39, Criterios!$A$123:$A$126, 0)), "División no válida", "")), IF(OR(K39="", K39=""), "[Aviso] Categoría no capturada ()", IF(ISNA(MATCH(K39, Criterios!$A$81:$A$120, 0)), "Categoría no válida", IF(AND(J39&lt;&gt;"", J39&lt;&gt;"", J39&lt;&gt;VLOOKUP(K39, Criterios!$A$81:$B$120, 2, FALSE)), "División no coincide con Categoría", ""))), IF(OR(L39="", L39=""), "[Aviso] Género no capturado ()", IF(ISNA(MATCH(L39, Criterios!$B$123:$B$127, 0)), "Género no válido", "")), IF(OR(N39="", N39=""), "[Aviso] Temporada no capturada ()", IF(ISNA(MATCH(N39, Criterios!$C$123:$C$128, 0)), "Temporada no válida", "")), IF(OR(O39="", O39=""), "[Aviso] Ciclo de vida no capturado ()", IF(ISNA(MATCH(O39, Criterios!$D$123:$D$124, 0)), "Ciclo de vida no válido", ""))))</f>
        <v/>
      </c>
      <c r="AC39" s="56" t="n"/>
      <c r="AD39" s="51" t="n">
        <v>30</v>
      </c>
      <c r="AE39" s="156" t="inlineStr">
        <is>
          <t>B25 CEDIS: 18 | WB OUTLET LERMA: 12</t>
        </is>
      </c>
      <c r="AF39" s="51" t="n">
        <v>12</v>
      </c>
      <c r="AG39" s="156" t="inlineStr">
        <is>
          <t>Nuevo – NetSuite 06/10/2026</t>
        </is>
      </c>
      <c r="AH39" s="156" t="inlineStr">
        <is>
          <t>Comprometido: 18 | En pedido: 18 | Homologación G1522 06/10/2026: WB Silueta: «» → «5 paneles» (Completado desde NetSuite) · WB Silueta: «5 paneles» → «» (Corrección aplicada)</t>
        </is>
      </c>
      <c r="AI39" s="156" t="inlineStr">
        <is>
          <t>No</t>
        </is>
      </c>
      <c r="AJ39" s="156" t="n"/>
      <c r="AK39" s="155" t="inlineStr">
        <is>
          <t>NetSuite SuiteQL: item · inventoryitemlocations · itemprice (Base Price y RETAIL, moneda base)</t>
        </is>
      </c>
      <c r="AL39" s="58" t="n">
        <v>275.38</v>
      </c>
      <c r="AM39" s="58" t="n">
        <v>648.99999998</v>
      </c>
      <c r="AN39" s="155" t="n"/>
      <c r="AO39" s="59" t="n"/>
      <c r="AP39" s="59" t="n"/>
      <c r="AQ39" s="59" t="n"/>
      <c r="AR39" s="155" t="n"/>
    </row>
  </sheetData>
  <autoFilter ref="A1:AR39"/>
  <conditionalFormatting sqref="AA2:AA39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39">
    <cfRule type="expression" priority="3" dxfId="18" stopIfTrue="1">
      <formula>AND(AB2&lt;&gt;"", AA2="Con Incidencias")</formula>
    </cfRule>
  </conditionalFormatting>
  <dataValidations count="11">
    <dataValidation sqref="O2:O39" showDropDown="0" showInputMessage="0" showErrorMessage="0" allowBlank="1" type="list">
      <formula1>"Seasonal,Core,No Aplica"</formula1>
    </dataValidation>
    <dataValidation sqref="C2:C39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39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39" showDropDown="0" showInputMessage="0" showErrorMessage="0" allowBlank="1" type="list">
      <formula1>"Rojo,Azul,Amarillo,Verde,Naranja,Morado,Rosa,Negro,Blanco,Gris,Beige,Cafe,Varios,No Aplica"</formula1>
    </dataValidation>
    <dataValidation sqref="R2:R39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39" showDropDown="0" showInputMessage="0" showErrorMessage="1" allowBlank="1" type="list">
      <formula1>Criterios!$A$81:$A$120</formula1>
    </dataValidation>
    <dataValidation sqref="N2:N39" showDropDown="0" showInputMessage="0" showErrorMessage="0" allowBlank="1" type="list">
      <formula1>"SS26,FW26,SS27,FW27,SS28,FW28,No Aplica"</formula1>
    </dataValidation>
    <dataValidation sqref="Q2:Q39" showDropDown="0" showInputMessage="0" showErrorMessage="0" allowBlank="1" type="list">
      <formula1>"Regular,Relajado,Slim,Clásico,Moderno,Recto,Bootcut"</formula1>
    </dataValidation>
    <dataValidation sqref="J2:J39" showDropDown="0" showInputMessage="0" showErrorMessage="0" allowBlank="1" type="list">
      <formula1>"Accesorios,Ropa,Denim,Calzado,No Aplica"</formula1>
    </dataValidation>
    <dataValidation sqref="L2:L39" showDropDown="0" showInputMessage="0" showErrorMessage="0" allowBlank="1" type="list">
      <formula1>"Hombre,Mujer,Niño,Niña,Unisex,No Aplica"</formula1>
    </dataValidation>
    <dataValidation sqref="V2:V39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39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38, 16)"),"052356088867")</f>
        <v/>
      </c>
      <c r="Q2">
        <f>IFERROR(__xludf.DUMMYFUNCTION("MAP(FILTER(A2:A39, (B2:B39&lt;&gt;"""")+(D2:D39&lt;&gt;"""")), FILTER(B2:B39, (B2:B39&lt;&gt;"""")+(D2:D39&lt;&gt;"""")),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IFERROR(__xludf.DUMMYFUNCTION("MAP(FILTER(A2:A39, (B2:B39&lt;&gt;"""")+(D2:D39&lt;&gt;"""")), FILTER(B2:B39, (B2:B39&lt;&gt;"""")+(D2:D39&lt;&gt;"""")), FILTER(Q2:Q39, (B2:B39&lt;&gt;"""")+(D2:D39&lt;&gt;"""")),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B25 CEDIS</t>
        </is>
      </c>
      <c r="B2" s="5">
        <f>IF($I2="","",INDEX(Productos!$A:$A,$I2))</f>
        <v/>
      </c>
      <c r="C2" s="134" t="inlineStr">
        <is>
          <t>RCAC11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16</v>
      </c>
      <c r="H2" s="5">
        <f>IF($I2="","",INDEX(Productos!$AG:$AG,$I2))</f>
        <v/>
      </c>
      <c r="I2" s="136">
        <f>LET(_xlpm.r,Productos!$E$2:$E$39,_xlpm.m,IFERROR(_xlfn.XMATCH(C2,_xlpm.r),IFERROR(_xlfn.XMATCH(VALUE(C2),_xlpm.r),0)),IF(_xlpm.m=0,"",_xlpm.m+1))</f>
        <v/>
      </c>
      <c r="J2" s="137" t="inlineStr">
        <is>
          <t>NetSuite</t>
        </is>
      </c>
    </row>
    <row r="3">
      <c r="A3" s="5" t="inlineStr">
        <is>
          <t>B25 CEDIS</t>
        </is>
      </c>
      <c r="B3" s="5">
        <f>IF($I2="","",INDEX(Productos!$A:$A,$I2))</f>
        <v/>
      </c>
      <c r="C3" s="134" t="inlineStr">
        <is>
          <t>RCC46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11</v>
      </c>
      <c r="H3" s="5">
        <f>IF($I2="","",INDEX(Productos!$AG:$AG,$I2))</f>
        <v/>
      </c>
      <c r="I3" s="136">
        <f>LET(_xlpm.r,Productos!$E$2:$E$39,_xlpm.m,IFERROR(_xlfn.XMATCH(C3,_xlpm.r),IFERROR(_xlfn.XMATCH(VALUE(C3),_xlpm.r),0)),IF(_xlpm.m=0,"",_xlpm.m+1))</f>
        <v/>
      </c>
      <c r="J3" s="137" t="inlineStr">
        <is>
          <t>NetSuite</t>
        </is>
      </c>
    </row>
    <row r="4">
      <c r="A4" s="5" t="inlineStr">
        <is>
          <t>B25 CEDIS</t>
        </is>
      </c>
      <c r="B4" s="5">
        <f>IF($I2="","",INDEX(Productos!$A:$A,$I2))</f>
        <v/>
      </c>
      <c r="C4" s="134" t="inlineStr">
        <is>
          <t>RCCB03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143</v>
      </c>
      <c r="H4" s="5">
        <f>IF($I2="","",INDEX(Productos!$AG:$AG,$I2))</f>
        <v/>
      </c>
      <c r="I4" s="136">
        <f>LET(_xlpm.r,Productos!$E$2:$E$39,_xlpm.m,IFERROR(_xlfn.XMATCH(C4,_xlpm.r),IFERROR(_xlfn.XMATCH(VALUE(C4),_xlpm.r),0)),IF(_xlpm.m=0,"",_xlpm.m+1))</f>
        <v/>
      </c>
      <c r="J4" s="137" t="inlineStr">
        <is>
          <t>NetSuite</t>
        </is>
      </c>
    </row>
    <row r="5">
      <c r="A5" s="5" t="inlineStr">
        <is>
          <t>B25 CEDIS</t>
        </is>
      </c>
      <c r="B5" s="5">
        <f>IF($I2="","",INDEX(Productos!$A:$A,$I2))</f>
        <v/>
      </c>
      <c r="C5" s="134" t="inlineStr">
        <is>
          <t>RCCB04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143</v>
      </c>
      <c r="H5" s="5">
        <f>IF($I2="","",INDEX(Productos!$AG:$AG,$I2))</f>
        <v/>
      </c>
      <c r="I5" s="136">
        <f>LET(_xlpm.r,Productos!$E$2:$E$39,_xlpm.m,IFERROR(_xlfn.XMATCH(C5,_xlpm.r),IFERROR(_xlfn.XMATCH(VALUE(C5),_xlpm.r),0)),IF(_xlpm.m=0,"",_xlpm.m+1))</f>
        <v/>
      </c>
      <c r="J5" s="137" t="inlineStr">
        <is>
          <t>NetSuite</t>
        </is>
      </c>
    </row>
    <row r="6">
      <c r="A6" s="5" t="inlineStr">
        <is>
          <t>B25 CEDIS</t>
        </is>
      </c>
      <c r="B6" s="5">
        <f>IF($I2="","",INDEX(Productos!$A:$A,$I2))</f>
        <v/>
      </c>
      <c r="C6" s="134" t="inlineStr">
        <is>
          <t>RCCB05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142</v>
      </c>
      <c r="H6" s="5">
        <f>IF($I2="","",INDEX(Productos!$AG:$AG,$I2))</f>
        <v/>
      </c>
      <c r="I6" s="136">
        <f>LET(_xlpm.r,Productos!$E$2:$E$39,_xlpm.m,IFERROR(_xlfn.XMATCH(C6,_xlpm.r),IFERROR(_xlfn.XMATCH(VALUE(C6),_xlpm.r),0)),IF(_xlpm.m=0,"",_xlpm.m+1))</f>
        <v/>
      </c>
      <c r="J6" s="137" t="inlineStr">
        <is>
          <t>NetSuite</t>
        </is>
      </c>
    </row>
    <row r="7">
      <c r="A7" s="5" t="inlineStr">
        <is>
          <t>B25 CEDIS</t>
        </is>
      </c>
      <c r="B7" s="5">
        <f>IF($I2="","",INDEX(Productos!$A:$A,$I2))</f>
        <v/>
      </c>
      <c r="C7" s="134" t="inlineStr">
        <is>
          <t>RCCP12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16</v>
      </c>
      <c r="H7" s="5">
        <f>IF($I2="","",INDEX(Productos!$AG:$AG,$I2))</f>
        <v/>
      </c>
      <c r="I7" s="136">
        <f>LET(_xlpm.r,Productos!$E$2:$E$39,_xlpm.m,IFERROR(_xlfn.XMATCH(C7,_xlpm.r),IFERROR(_xlfn.XMATCH(VALUE(C7),_xlpm.r),0)),IF(_xlpm.m=0,"",_xlpm.m+1))</f>
        <v/>
      </c>
      <c r="J7" s="137" t="inlineStr">
        <is>
          <t>NetSuite</t>
        </is>
      </c>
    </row>
    <row r="8">
      <c r="A8" s="5" t="inlineStr">
        <is>
          <t>B25 CEDIS</t>
        </is>
      </c>
      <c r="B8" s="5">
        <f>IF($I2="","",INDEX(Productos!$A:$A,$I2))</f>
        <v/>
      </c>
      <c r="C8" s="134" t="inlineStr">
        <is>
          <t>RCDB34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47</v>
      </c>
      <c r="H8" s="5">
        <f>IF($I2="","",INDEX(Productos!$AG:$AG,$I2))</f>
        <v/>
      </c>
      <c r="I8" s="136">
        <f>LET(_xlpm.r,Productos!$E$2:$E$39,_xlpm.m,IFERROR(_xlfn.XMATCH(C8,_xlpm.r),IFERROR(_xlfn.XMATCH(VALUE(C8),_xlpm.r),0)),IF(_xlpm.m=0,"",_xlpm.m+1))</f>
        <v/>
      </c>
      <c r="J8" s="137" t="inlineStr">
        <is>
          <t>NetSuite</t>
        </is>
      </c>
    </row>
    <row r="9">
      <c r="A9" s="5" t="inlineStr">
        <is>
          <t>B25 CEDIS</t>
        </is>
      </c>
      <c r="B9" s="5">
        <f>IF($I2="","",INDEX(Productos!$A:$A,$I2))</f>
        <v/>
      </c>
      <c r="C9" s="134" t="inlineStr">
        <is>
          <t>RCDB35</t>
        </is>
      </c>
      <c r="D9" s="5">
        <f>IF($I2="","",INDEX(Productos!$B:$B,$I2))</f>
        <v/>
      </c>
      <c r="E9" s="5">
        <f>IF($I2="","",INDEX(Productos!$H:$H,$I2))</f>
        <v/>
      </c>
      <c r="F9" s="5">
        <f>IF($I2="","",INDEX(Productos!$I:$I,$I2))</f>
        <v/>
      </c>
      <c r="G9" s="135" t="n">
        <v>16</v>
      </c>
      <c r="H9" s="5">
        <f>IF($I2="","",INDEX(Productos!$AG:$AG,$I2))</f>
        <v/>
      </c>
      <c r="I9" s="136">
        <f>LET(_xlpm.r,Productos!$E$2:$E$39,_xlpm.m,IFERROR(_xlfn.XMATCH(C9,_xlpm.r),IFERROR(_xlfn.XMATCH(VALUE(C9),_xlpm.r),0)),IF(_xlpm.m=0,"",_xlpm.m+1))</f>
        <v/>
      </c>
      <c r="J9" s="137" t="inlineStr">
        <is>
          <t>NetSuite</t>
        </is>
      </c>
    </row>
    <row r="10">
      <c r="A10" s="5" t="inlineStr">
        <is>
          <t>B25 CEDIS</t>
        </is>
      </c>
      <c r="B10" s="5">
        <f>IF($I2="","",INDEX(Productos!$A:$A,$I2))</f>
        <v/>
      </c>
      <c r="C10" s="134" t="inlineStr">
        <is>
          <t>RCDB36</t>
        </is>
      </c>
      <c r="D10" s="5">
        <f>IF($I2="","",INDEX(Productos!$B:$B,$I2))</f>
        <v/>
      </c>
      <c r="E10" s="5">
        <f>IF($I2="","",INDEX(Productos!$H:$H,$I2))</f>
        <v/>
      </c>
      <c r="F10" s="5">
        <f>IF($I2="","",INDEX(Productos!$I:$I,$I2))</f>
        <v/>
      </c>
      <c r="G10" s="135" t="n">
        <v>47</v>
      </c>
      <c r="H10" s="5">
        <f>IF($I2="","",INDEX(Productos!$AG:$AG,$I2))</f>
        <v/>
      </c>
      <c r="I10" s="136">
        <f>LET(_xlpm.r,Productos!$E$2:$E$39,_xlpm.m,IFERROR(_xlfn.XMATCH(C10,_xlpm.r),IFERROR(_xlfn.XMATCH(VALUE(C10),_xlpm.r),0)),IF(_xlpm.m=0,"",_xlpm.m+1))</f>
        <v/>
      </c>
      <c r="J10" s="137" t="inlineStr">
        <is>
          <t>NetSuite</t>
        </is>
      </c>
    </row>
    <row r="11">
      <c r="A11" s="5" t="inlineStr">
        <is>
          <t>B25 CEDIS</t>
        </is>
      </c>
      <c r="B11" s="5">
        <f>IF($I2="","",INDEX(Productos!$A:$A,$I2))</f>
        <v/>
      </c>
      <c r="C11" s="134" t="inlineStr">
        <is>
          <t>RCE65</t>
        </is>
      </c>
      <c r="D11" s="5">
        <f>IF($I2="","",INDEX(Productos!$B:$B,$I2))</f>
        <v/>
      </c>
      <c r="E11" s="5">
        <f>IF($I2="","",INDEX(Productos!$H:$H,$I2))</f>
        <v/>
      </c>
      <c r="F11" s="5">
        <f>IF($I2="","",INDEX(Productos!$I:$I,$I2))</f>
        <v/>
      </c>
      <c r="G11" s="135" t="n">
        <v>16</v>
      </c>
      <c r="H11" s="5">
        <f>IF($I2="","",INDEX(Productos!$AG:$AG,$I2))</f>
        <v/>
      </c>
      <c r="I11" s="136">
        <f>LET(_xlpm.r,Productos!$E$2:$E$39,_xlpm.m,IFERROR(_xlfn.XMATCH(C11,_xlpm.r),IFERROR(_xlfn.XMATCH(VALUE(C11),_xlpm.r),0)),IF(_xlpm.m=0,"",_xlpm.m+1))</f>
        <v/>
      </c>
      <c r="J11" s="137" t="inlineStr">
        <is>
          <t>NetSuite</t>
        </is>
      </c>
    </row>
    <row r="12">
      <c r="A12" s="5" t="inlineStr">
        <is>
          <t>B25 CEDIS</t>
        </is>
      </c>
      <c r="B12" s="5">
        <f>IF($I2="","",INDEX(Productos!$A:$A,$I2))</f>
        <v/>
      </c>
      <c r="C12" s="134" t="inlineStr">
        <is>
          <t>RCE66</t>
        </is>
      </c>
      <c r="D12" s="5">
        <f>IF($I2="","",INDEX(Productos!$B:$B,$I2))</f>
        <v/>
      </c>
      <c r="E12" s="5">
        <f>IF($I2="","",INDEX(Productos!$H:$H,$I2))</f>
        <v/>
      </c>
      <c r="F12" s="5">
        <f>IF($I2="","",INDEX(Productos!$I:$I,$I2))</f>
        <v/>
      </c>
      <c r="G12" s="135" t="n">
        <v>16</v>
      </c>
      <c r="H12" s="5">
        <f>IF($I2="","",INDEX(Productos!$AG:$AG,$I2))</f>
        <v/>
      </c>
      <c r="I12" s="136">
        <f>LET(_xlpm.r,Productos!$E$2:$E$39,_xlpm.m,IFERROR(_xlfn.XMATCH(C12,_xlpm.r),IFERROR(_xlfn.XMATCH(VALUE(C12),_xlpm.r),0)),IF(_xlpm.m=0,"",_xlpm.m+1))</f>
        <v/>
      </c>
      <c r="J12" s="137" t="inlineStr">
        <is>
          <t>NetSuite</t>
        </is>
      </c>
    </row>
    <row r="13">
      <c r="A13" s="5" t="inlineStr">
        <is>
          <t>B25 CEDIS</t>
        </is>
      </c>
      <c r="B13" s="5">
        <f>IF($I2="","",INDEX(Productos!$A:$A,$I2))</f>
        <v/>
      </c>
      <c r="C13" s="134" t="inlineStr">
        <is>
          <t>RCE67</t>
        </is>
      </c>
      <c r="D13" s="5">
        <f>IF($I2="","",INDEX(Productos!$B:$B,$I2))</f>
        <v/>
      </c>
      <c r="E13" s="5">
        <f>IF($I2="","",INDEX(Productos!$H:$H,$I2))</f>
        <v/>
      </c>
      <c r="F13" s="5">
        <f>IF($I2="","",INDEX(Productos!$I:$I,$I2))</f>
        <v/>
      </c>
      <c r="G13" s="135" t="n">
        <v>16</v>
      </c>
      <c r="H13" s="5">
        <f>IF($I2="","",INDEX(Productos!$AG:$AG,$I2))</f>
        <v/>
      </c>
      <c r="I13" s="136">
        <f>LET(_xlpm.r,Productos!$E$2:$E$39,_xlpm.m,IFERROR(_xlfn.XMATCH(C13,_xlpm.r),IFERROR(_xlfn.XMATCH(VALUE(C13),_xlpm.r),0)),IF(_xlpm.m=0,"",_xlpm.m+1))</f>
        <v/>
      </c>
      <c r="J13" s="137" t="inlineStr">
        <is>
          <t>NetSuite</t>
        </is>
      </c>
    </row>
    <row r="14">
      <c r="A14" s="5" t="inlineStr">
        <is>
          <t>B25 CEDIS</t>
        </is>
      </c>
      <c r="B14" s="5">
        <f>IF($I2="","",INDEX(Productos!$A:$A,$I2))</f>
        <v/>
      </c>
      <c r="C14" s="134" t="inlineStr">
        <is>
          <t>RCE68</t>
        </is>
      </c>
      <c r="D14" s="5">
        <f>IF($I2="","",INDEX(Productos!$B:$B,$I2))</f>
        <v/>
      </c>
      <c r="E14" s="5">
        <f>IF($I2="","",INDEX(Productos!$H:$H,$I2))</f>
        <v/>
      </c>
      <c r="F14" s="5">
        <f>IF($I2="","",INDEX(Productos!$I:$I,$I2))</f>
        <v/>
      </c>
      <c r="G14" s="135" t="n">
        <v>16</v>
      </c>
      <c r="H14" s="5">
        <f>IF($I2="","",INDEX(Productos!$AG:$AG,$I2))</f>
        <v/>
      </c>
      <c r="I14" s="136">
        <f>LET(_xlpm.r,Productos!$E$2:$E$39,_xlpm.m,IFERROR(_xlfn.XMATCH(C14,_xlpm.r),IFERROR(_xlfn.XMATCH(VALUE(C14),_xlpm.r),0)),IF(_xlpm.m=0,"",_xlpm.m+1))</f>
        <v/>
      </c>
      <c r="J14" s="137" t="inlineStr">
        <is>
          <t>NetSuite</t>
        </is>
      </c>
    </row>
    <row r="15">
      <c r="A15" s="5" t="inlineStr">
        <is>
          <t>B25 CEDIS</t>
        </is>
      </c>
      <c r="B15" s="5">
        <f>IF($I2="","",INDEX(Productos!$A:$A,$I2))</f>
        <v/>
      </c>
      <c r="C15" s="134" t="inlineStr">
        <is>
          <t>RCG65</t>
        </is>
      </c>
      <c r="D15" s="5">
        <f>IF($I2="","",INDEX(Productos!$B:$B,$I2))</f>
        <v/>
      </c>
      <c r="E15" s="5">
        <f>IF($I2="","",INDEX(Productos!$H:$H,$I2))</f>
        <v/>
      </c>
      <c r="F15" s="5">
        <f>IF($I2="","",INDEX(Productos!$I:$I,$I2))</f>
        <v/>
      </c>
      <c r="G15" s="135" t="n">
        <v>16</v>
      </c>
      <c r="H15" s="5">
        <f>IF($I2="","",INDEX(Productos!$AG:$AG,$I2))</f>
        <v/>
      </c>
      <c r="I15" s="136">
        <f>LET(_xlpm.r,Productos!$E$2:$E$39,_xlpm.m,IFERROR(_xlfn.XMATCH(C15,_xlpm.r),IFERROR(_xlfn.XMATCH(VALUE(C15),_xlpm.r),0)),IF(_xlpm.m=0,"",_xlpm.m+1))</f>
        <v/>
      </c>
      <c r="J15" s="137" t="inlineStr">
        <is>
          <t>NetSuite</t>
        </is>
      </c>
    </row>
    <row r="16">
      <c r="A16" s="5" t="inlineStr">
        <is>
          <t>B25 CEDIS</t>
        </is>
      </c>
      <c r="B16" s="5">
        <f>IF($I2="","",INDEX(Productos!$A:$A,$I2))</f>
        <v/>
      </c>
      <c r="C16" s="134" t="inlineStr">
        <is>
          <t>RCG67</t>
        </is>
      </c>
      <c r="D16" s="5">
        <f>IF($I2="","",INDEX(Productos!$B:$B,$I2))</f>
        <v/>
      </c>
      <c r="E16" s="5">
        <f>IF($I2="","",INDEX(Productos!$H:$H,$I2))</f>
        <v/>
      </c>
      <c r="F16" s="5">
        <f>IF($I2="","",INDEX(Productos!$I:$I,$I2))</f>
        <v/>
      </c>
      <c r="G16" s="135" t="n">
        <v>16</v>
      </c>
      <c r="H16" s="5">
        <f>IF($I2="","",INDEX(Productos!$AG:$AG,$I2))</f>
        <v/>
      </c>
      <c r="I16" s="136">
        <f>LET(_xlpm.r,Productos!$E$2:$E$39,_xlpm.m,IFERROR(_xlfn.XMATCH(C16,_xlpm.r),IFERROR(_xlfn.XMATCH(VALUE(C16),_xlpm.r),0)),IF(_xlpm.m=0,"",_xlpm.m+1))</f>
        <v/>
      </c>
      <c r="J16" s="137" t="inlineStr">
        <is>
          <t>NetSuite</t>
        </is>
      </c>
    </row>
    <row r="17">
      <c r="A17" s="5" t="inlineStr">
        <is>
          <t>B25 CEDIS</t>
        </is>
      </c>
      <c r="B17" s="5">
        <f>IF($I2="","",INDEX(Productos!$A:$A,$I2))</f>
        <v/>
      </c>
      <c r="C17" s="134" t="inlineStr">
        <is>
          <t>RCPN10</t>
        </is>
      </c>
      <c r="D17" s="5">
        <f>IF($I2="","",INDEX(Productos!$B:$B,$I2))</f>
        <v/>
      </c>
      <c r="E17" s="5">
        <f>IF($I2="","",INDEX(Productos!$H:$H,$I2))</f>
        <v/>
      </c>
      <c r="F17" s="5">
        <f>IF($I2="","",INDEX(Productos!$I:$I,$I2))</f>
        <v/>
      </c>
      <c r="G17" s="135" t="n">
        <v>18</v>
      </c>
      <c r="H17" s="5">
        <f>IF($I2="","",INDEX(Productos!$AG:$AG,$I2))</f>
        <v/>
      </c>
      <c r="I17" s="136">
        <f>LET(_xlpm.r,Productos!$E$2:$E$39,_xlpm.m,IFERROR(_xlfn.XMATCH(C17,_xlpm.r),IFERROR(_xlfn.XMATCH(VALUE(C17),_xlpm.r),0)),IF(_xlpm.m=0,"",_xlpm.m+1))</f>
        <v/>
      </c>
      <c r="J17" s="137" t="inlineStr">
        <is>
          <t>NetSuite</t>
        </is>
      </c>
    </row>
    <row r="18">
      <c r="A18" s="5" t="inlineStr">
        <is>
          <t>WB OUTLET LERMA</t>
        </is>
      </c>
      <c r="B18" s="5">
        <f>IF($I2="","",INDEX(Productos!$A:$A,$I2))</f>
        <v/>
      </c>
      <c r="C18" s="134" t="inlineStr">
        <is>
          <t>RCAC11</t>
        </is>
      </c>
      <c r="D18" s="5">
        <f>IF($I2="","",INDEX(Productos!$B:$B,$I2))</f>
        <v/>
      </c>
      <c r="E18" s="5">
        <f>IF($I2="","",INDEX(Productos!$H:$H,$I2))</f>
        <v/>
      </c>
      <c r="F18" s="5">
        <f>IF($I2="","",INDEX(Productos!$I:$I,$I2))</f>
        <v/>
      </c>
      <c r="G18" s="135" t="n">
        <v>11</v>
      </c>
      <c r="H18" s="5">
        <f>IF($I2="","",INDEX(Productos!$AG:$AG,$I2))</f>
        <v/>
      </c>
      <c r="I18" s="136">
        <f>LET(_xlpm.r,Productos!$E$2:$E$39,_xlpm.m,IFERROR(_xlfn.XMATCH(C18,_xlpm.r),IFERROR(_xlfn.XMATCH(VALUE(C18),_xlpm.r),0)),IF(_xlpm.m=0,"",_xlpm.m+1))</f>
        <v/>
      </c>
      <c r="J18" s="137" t="inlineStr">
        <is>
          <t>NetSuite</t>
        </is>
      </c>
    </row>
    <row r="19">
      <c r="A19" s="5" t="inlineStr">
        <is>
          <t>WB OUTLET LERMA</t>
        </is>
      </c>
      <c r="B19" s="5">
        <f>IF($I2="","",INDEX(Productos!$A:$A,$I2))</f>
        <v/>
      </c>
      <c r="C19" s="134" t="n"/>
      <c r="D19" s="5">
        <f>IF($I2="","",INDEX(Productos!$B:$B,$I2))</f>
        <v/>
      </c>
      <c r="E19" s="5">
        <f>IF($I2="","",INDEX(Productos!$H:$H,$I2))</f>
        <v/>
      </c>
      <c r="F19" s="5">
        <f>IF($I2="","",INDEX(Productos!$I:$I,$I2))</f>
        <v/>
      </c>
      <c r="G19" s="135" t="n">
        <v>2</v>
      </c>
      <c r="H19" s="5">
        <f>IF($I2="","",INDEX(Productos!$AG:$AG,$I2))</f>
        <v/>
      </c>
      <c r="I19" s="136">
        <f>LET(_xlpm.r,Productos!$E$2:$E$39,_xlpm.m,IFERROR(_xlfn.XMATCH(C19,_xlpm.r),IFERROR(_xlfn.XMATCH(VALUE(C19),_xlpm.r),0)),IF(_xlpm.m=0,"",_xlpm.m+1))</f>
        <v/>
      </c>
      <c r="J19" s="137" t="inlineStr">
        <is>
          <t>NetSuite</t>
        </is>
      </c>
    </row>
    <row r="20">
      <c r="A20" s="5" t="inlineStr">
        <is>
          <t>WB OUTLET LERMA</t>
        </is>
      </c>
      <c r="B20" s="5">
        <f>IF($I2="","",INDEX(Productos!$A:$A,$I2))</f>
        <v/>
      </c>
      <c r="C20" s="134" t="inlineStr">
        <is>
          <t>RCC46</t>
        </is>
      </c>
      <c r="D20" s="5">
        <f>IF($I2="","",INDEX(Productos!$B:$B,$I2))</f>
        <v/>
      </c>
      <c r="E20" s="5">
        <f>IF($I2="","",INDEX(Productos!$H:$H,$I2))</f>
        <v/>
      </c>
      <c r="F20" s="5">
        <f>IF($I2="","",INDEX(Productos!$I:$I,$I2))</f>
        <v/>
      </c>
      <c r="G20" s="135" t="n">
        <v>11</v>
      </c>
      <c r="H20" s="5">
        <f>IF($I2="","",INDEX(Productos!$AG:$AG,$I2))</f>
        <v/>
      </c>
      <c r="I20" s="136">
        <f>LET(_xlpm.r,Productos!$E$2:$E$39,_xlpm.m,IFERROR(_xlfn.XMATCH(C20,_xlpm.r),IFERROR(_xlfn.XMATCH(VALUE(C20),_xlpm.r),0)),IF(_xlpm.m=0,"",_xlpm.m+1))</f>
        <v/>
      </c>
      <c r="J20" s="137" t="inlineStr">
        <is>
          <t>NetSuite</t>
        </is>
      </c>
    </row>
    <row r="21">
      <c r="A21" s="5" t="inlineStr">
        <is>
          <t>WB OUTLET LERMA</t>
        </is>
      </c>
      <c r="B21" s="5">
        <f>IF($I2="","",INDEX(Productos!$A:$A,$I2))</f>
        <v/>
      </c>
      <c r="C21" s="134" t="inlineStr">
        <is>
          <t>RCCB03</t>
        </is>
      </c>
      <c r="D21" s="5">
        <f>IF($I2="","",INDEX(Productos!$B:$B,$I2))</f>
        <v/>
      </c>
      <c r="E21" s="5">
        <f>IF($I2="","",INDEX(Productos!$H:$H,$I2))</f>
        <v/>
      </c>
      <c r="F21" s="5">
        <f>IF($I2="","",INDEX(Productos!$I:$I,$I2))</f>
        <v/>
      </c>
      <c r="G21" s="135" t="n">
        <v>34</v>
      </c>
      <c r="H21" s="5">
        <f>IF($I2="","",INDEX(Productos!$AG:$AG,$I2))</f>
        <v/>
      </c>
      <c r="I21" s="136">
        <f>LET(_xlpm.r,Productos!$E$2:$E$39,_xlpm.m,IFERROR(_xlfn.XMATCH(C21,_xlpm.r),IFERROR(_xlfn.XMATCH(VALUE(C21),_xlpm.r),0)),IF(_xlpm.m=0,"",_xlpm.m+1))</f>
        <v/>
      </c>
      <c r="J21" s="137" t="inlineStr">
        <is>
          <t>NetSuite</t>
        </is>
      </c>
    </row>
    <row r="22">
      <c r="A22" s="5" t="inlineStr">
        <is>
          <t>WB OUTLET LERMA</t>
        </is>
      </c>
      <c r="B22" s="5">
        <f>IF($I2="","",INDEX(Productos!$A:$A,$I2))</f>
        <v/>
      </c>
      <c r="C22" s="134" t="inlineStr">
        <is>
          <t>RCCB04</t>
        </is>
      </c>
      <c r="D22" s="5">
        <f>IF($I2="","",INDEX(Productos!$B:$B,$I2))</f>
        <v/>
      </c>
      <c r="E22" s="5">
        <f>IF($I2="","",INDEX(Productos!$H:$H,$I2))</f>
        <v/>
      </c>
      <c r="F22" s="5">
        <f>IF($I2="","",INDEX(Productos!$I:$I,$I2))</f>
        <v/>
      </c>
      <c r="G22" s="135" t="n">
        <v>34</v>
      </c>
      <c r="H22" s="5">
        <f>IF($I2="","",INDEX(Productos!$AG:$AG,$I2))</f>
        <v/>
      </c>
      <c r="I22" s="136">
        <f>LET(_xlpm.r,Productos!$E$2:$E$39,_xlpm.m,IFERROR(_xlfn.XMATCH(C22,_xlpm.r),IFERROR(_xlfn.XMATCH(VALUE(C22),_xlpm.r),0)),IF(_xlpm.m=0,"",_xlpm.m+1))</f>
        <v/>
      </c>
      <c r="J22" s="137" t="inlineStr">
        <is>
          <t>NetSuite</t>
        </is>
      </c>
    </row>
    <row r="23">
      <c r="A23" s="5" t="inlineStr">
        <is>
          <t>WB OUTLET LERMA</t>
        </is>
      </c>
      <c r="B23" s="5">
        <f>IF($I2="","",INDEX(Productos!$A:$A,$I2))</f>
        <v/>
      </c>
      <c r="C23" s="134" t="inlineStr">
        <is>
          <t>RCCB05</t>
        </is>
      </c>
      <c r="D23" s="5">
        <f>IF($I2="","",INDEX(Productos!$B:$B,$I2))</f>
        <v/>
      </c>
      <c r="E23" s="5">
        <f>IF($I2="","",INDEX(Productos!$H:$H,$I2))</f>
        <v/>
      </c>
      <c r="F23" s="5">
        <f>IF($I2="","",INDEX(Productos!$I:$I,$I2))</f>
        <v/>
      </c>
      <c r="G23" s="135" t="n">
        <v>34</v>
      </c>
      <c r="H23" s="5">
        <f>IF($I2="","",INDEX(Productos!$AG:$AG,$I2))</f>
        <v/>
      </c>
      <c r="I23" s="136">
        <f>LET(_xlpm.r,Productos!$E$2:$E$39,_xlpm.m,IFERROR(_xlfn.XMATCH(C23,_xlpm.r),IFERROR(_xlfn.XMATCH(VALUE(C23),_xlpm.r),0)),IF(_xlpm.m=0,"",_xlpm.m+1))</f>
        <v/>
      </c>
      <c r="J23" s="137" t="inlineStr">
        <is>
          <t>NetSuite</t>
        </is>
      </c>
    </row>
    <row r="24">
      <c r="A24" s="5" t="inlineStr">
        <is>
          <t>WB OUTLET LERMA</t>
        </is>
      </c>
      <c r="B24" s="5">
        <f>IF($I2="","",INDEX(Productos!$A:$A,$I2))</f>
        <v/>
      </c>
      <c r="C24" s="134" t="inlineStr">
        <is>
          <t>RCCP12</t>
        </is>
      </c>
      <c r="D24" s="5">
        <f>IF($I2="","",INDEX(Productos!$B:$B,$I2))</f>
        <v/>
      </c>
      <c r="E24" s="5">
        <f>IF($I2="","",INDEX(Productos!$H:$H,$I2))</f>
        <v/>
      </c>
      <c r="F24" s="5">
        <f>IF($I2="","",INDEX(Productos!$I:$I,$I2))</f>
        <v/>
      </c>
      <c r="G24" s="135" t="n">
        <v>11</v>
      </c>
      <c r="H24" s="5">
        <f>IF($I2="","",INDEX(Productos!$AG:$AG,$I2))</f>
        <v/>
      </c>
      <c r="I24" s="136">
        <f>LET(_xlpm.r,Productos!$E$2:$E$39,_xlpm.m,IFERROR(_xlfn.XMATCH(C24,_xlpm.r),IFERROR(_xlfn.XMATCH(VALUE(C24),_xlpm.r),0)),IF(_xlpm.m=0,"",_xlpm.m+1))</f>
        <v/>
      </c>
      <c r="J24" s="137" t="inlineStr">
        <is>
          <t>NetSuite</t>
        </is>
      </c>
    </row>
    <row r="25">
      <c r="A25" s="5" t="inlineStr">
        <is>
          <t>WB OUTLET LERMA</t>
        </is>
      </c>
      <c r="B25" s="5">
        <f>IF($I2="","",INDEX(Productos!$A:$A,$I2))</f>
        <v/>
      </c>
      <c r="C25" s="134" t="n"/>
      <c r="D25" s="5">
        <f>IF($I2="","",INDEX(Productos!$B:$B,$I2))</f>
        <v/>
      </c>
      <c r="E25" s="5">
        <f>IF($I2="","",INDEX(Productos!$H:$H,$I2))</f>
        <v/>
      </c>
      <c r="F25" s="5">
        <f>IF($I2="","",INDEX(Productos!$I:$I,$I2))</f>
        <v/>
      </c>
      <c r="G25" s="135" t="n">
        <v>1</v>
      </c>
      <c r="H25" s="5">
        <f>IF($I2="","",INDEX(Productos!$AG:$AG,$I2))</f>
        <v/>
      </c>
      <c r="I25" s="136">
        <f>LET(_xlpm.r,Productos!$E$2:$E$39,_xlpm.m,IFERROR(_xlfn.XMATCH(C25,_xlpm.r),IFERROR(_xlfn.XMATCH(VALUE(C25),_xlpm.r),0)),IF(_xlpm.m=0,"",_xlpm.m+1))</f>
        <v/>
      </c>
      <c r="J25" s="137" t="inlineStr">
        <is>
          <t>NetSuite</t>
        </is>
      </c>
    </row>
    <row r="26">
      <c r="A26" s="5" t="inlineStr">
        <is>
          <t>WB OUTLET LERMA</t>
        </is>
      </c>
      <c r="B26" s="5">
        <f>IF($I2="","",INDEX(Productos!$A:$A,$I2))</f>
        <v/>
      </c>
      <c r="C26" s="134" t="n"/>
      <c r="D26" s="5">
        <f>IF($I2="","",INDEX(Productos!$B:$B,$I2))</f>
        <v/>
      </c>
      <c r="E26" s="5">
        <f>IF($I2="","",INDEX(Productos!$H:$H,$I2))</f>
        <v/>
      </c>
      <c r="F26" s="5">
        <f>IF($I2="","",INDEX(Productos!$I:$I,$I2))</f>
        <v/>
      </c>
      <c r="G26" s="135" t="n">
        <v>1</v>
      </c>
      <c r="H26" s="5">
        <f>IF($I2="","",INDEX(Productos!$AG:$AG,$I2))</f>
        <v/>
      </c>
      <c r="I26" s="136">
        <f>LET(_xlpm.r,Productos!$E$2:$E$39,_xlpm.m,IFERROR(_xlfn.XMATCH(C26,_xlpm.r),IFERROR(_xlfn.XMATCH(VALUE(C26),_xlpm.r),0)),IF(_xlpm.m=0,"",_xlpm.m+1))</f>
        <v/>
      </c>
      <c r="J26" s="137" t="inlineStr">
        <is>
          <t>NetSuite</t>
        </is>
      </c>
    </row>
    <row r="27">
      <c r="A27" s="5" t="inlineStr">
        <is>
          <t>WB OUTLET LERMA</t>
        </is>
      </c>
      <c r="B27" s="5">
        <f>IF($I2="","",INDEX(Productos!$A:$A,$I2))</f>
        <v/>
      </c>
      <c r="C27" s="134" t="inlineStr">
        <is>
          <t>RCDB34</t>
        </is>
      </c>
      <c r="D27" s="5">
        <f>IF($I2="","",INDEX(Productos!$B:$B,$I2))</f>
        <v/>
      </c>
      <c r="E27" s="5">
        <f>IF($I2="","",INDEX(Productos!$H:$H,$I2))</f>
        <v/>
      </c>
      <c r="F27" s="5">
        <f>IF($I2="","",INDEX(Productos!$I:$I,$I2))</f>
        <v/>
      </c>
      <c r="G27" s="135" t="n">
        <v>11</v>
      </c>
      <c r="H27" s="5">
        <f>IF($I2="","",INDEX(Productos!$AG:$AG,$I2))</f>
        <v/>
      </c>
      <c r="I27" s="136">
        <f>LET(_xlpm.r,Productos!$E$2:$E$39,_xlpm.m,IFERROR(_xlfn.XMATCH(C27,_xlpm.r),IFERROR(_xlfn.XMATCH(VALUE(C27),_xlpm.r),0)),IF(_xlpm.m=0,"",_xlpm.m+1))</f>
        <v/>
      </c>
      <c r="J27" s="137" t="inlineStr">
        <is>
          <t>NetSuite</t>
        </is>
      </c>
    </row>
    <row r="28">
      <c r="A28" s="5" t="inlineStr">
        <is>
          <t>WB OUTLET LERMA</t>
        </is>
      </c>
      <c r="B28" s="5">
        <f>IF($I2="","",INDEX(Productos!$A:$A,$I2))</f>
        <v/>
      </c>
      <c r="C28" s="134" t="inlineStr">
        <is>
          <t>RCDB35</t>
        </is>
      </c>
      <c r="D28" s="5">
        <f>IF($I2="","",INDEX(Productos!$B:$B,$I2))</f>
        <v/>
      </c>
      <c r="E28" s="5">
        <f>IF($I2="","",INDEX(Productos!$H:$H,$I2))</f>
        <v/>
      </c>
      <c r="F28" s="5">
        <f>IF($I2="","",INDEX(Productos!$I:$I,$I2))</f>
        <v/>
      </c>
      <c r="G28" s="135" t="n">
        <v>11</v>
      </c>
      <c r="H28" s="5">
        <f>IF($I2="","",INDEX(Productos!$AG:$AG,$I2))</f>
        <v/>
      </c>
      <c r="I28" s="136">
        <f>LET(_xlpm.r,Productos!$E$2:$E$39,_xlpm.m,IFERROR(_xlfn.XMATCH(C28,_xlpm.r),IFERROR(_xlfn.XMATCH(VALUE(C28),_xlpm.r),0)),IF(_xlpm.m=0,"",_xlpm.m+1))</f>
        <v/>
      </c>
      <c r="J28" s="137" t="inlineStr">
        <is>
          <t>NetSuite</t>
        </is>
      </c>
    </row>
    <row r="29">
      <c r="A29" s="5" t="inlineStr">
        <is>
          <t>WB OUTLET LERMA</t>
        </is>
      </c>
      <c r="B29" s="5">
        <f>IF($I2="","",INDEX(Productos!$A:$A,$I2))</f>
        <v/>
      </c>
      <c r="C29" s="134" t="inlineStr">
        <is>
          <t>RCDB36</t>
        </is>
      </c>
      <c r="D29" s="5">
        <f>IF($I2="","",INDEX(Productos!$B:$B,$I2))</f>
        <v/>
      </c>
      <c r="E29" s="5">
        <f>IF($I2="","",INDEX(Productos!$H:$H,$I2))</f>
        <v/>
      </c>
      <c r="F29" s="5">
        <f>IF($I2="","",INDEX(Productos!$I:$I,$I2))</f>
        <v/>
      </c>
      <c r="G29" s="135" t="n">
        <v>12</v>
      </c>
      <c r="H29" s="5">
        <f>IF($I2="","",INDEX(Productos!$AG:$AG,$I2))</f>
        <v/>
      </c>
      <c r="I29" s="136">
        <f>LET(_xlpm.r,Productos!$E$2:$E$39,_xlpm.m,IFERROR(_xlfn.XMATCH(C29,_xlpm.r),IFERROR(_xlfn.XMATCH(VALUE(C29),_xlpm.r),0)),IF(_xlpm.m=0,"",_xlpm.m+1))</f>
        <v/>
      </c>
      <c r="J29" s="137" t="inlineStr">
        <is>
          <t>NetSuite</t>
        </is>
      </c>
    </row>
    <row r="30">
      <c r="A30" s="5" t="inlineStr">
        <is>
          <t>WB OUTLET LERMA</t>
        </is>
      </c>
      <c r="B30" s="5">
        <f>IF($I2="","",INDEX(Productos!$A:$A,$I2))</f>
        <v/>
      </c>
      <c r="C30" s="134" t="inlineStr">
        <is>
          <t>RCE65</t>
        </is>
      </c>
      <c r="D30" s="5">
        <f>IF($I2="","",INDEX(Productos!$B:$B,$I2))</f>
        <v/>
      </c>
      <c r="E30" s="5">
        <f>IF($I2="","",INDEX(Productos!$H:$H,$I2))</f>
        <v/>
      </c>
      <c r="F30" s="5">
        <f>IF($I2="","",INDEX(Productos!$I:$I,$I2))</f>
        <v/>
      </c>
      <c r="G30" s="135" t="n">
        <v>11</v>
      </c>
      <c r="H30" s="5">
        <f>IF($I2="","",INDEX(Productos!$AG:$AG,$I2))</f>
        <v/>
      </c>
      <c r="I30" s="136">
        <f>LET(_xlpm.r,Productos!$E$2:$E$39,_xlpm.m,IFERROR(_xlfn.XMATCH(C30,_xlpm.r),IFERROR(_xlfn.XMATCH(VALUE(C30),_xlpm.r),0)),IF(_xlpm.m=0,"",_xlpm.m+1))</f>
        <v/>
      </c>
      <c r="J30" s="137" t="inlineStr">
        <is>
          <t>NetSuite</t>
        </is>
      </c>
    </row>
    <row r="31">
      <c r="A31" s="5" t="inlineStr">
        <is>
          <t>WB OUTLET LERMA</t>
        </is>
      </c>
      <c r="B31" s="5">
        <f>IF($I2="","",INDEX(Productos!$A:$A,$I2))</f>
        <v/>
      </c>
      <c r="C31" s="134" t="inlineStr">
        <is>
          <t>RCE66</t>
        </is>
      </c>
      <c r="D31" s="5">
        <f>IF($I2="","",INDEX(Productos!$B:$B,$I2))</f>
        <v/>
      </c>
      <c r="E31" s="5">
        <f>IF($I2="","",INDEX(Productos!$H:$H,$I2))</f>
        <v/>
      </c>
      <c r="F31" s="5">
        <f>IF($I2="","",INDEX(Productos!$I:$I,$I2))</f>
        <v/>
      </c>
      <c r="G31" s="135" t="n">
        <v>11</v>
      </c>
      <c r="H31" s="5">
        <f>IF($I2="","",INDEX(Productos!$AG:$AG,$I2))</f>
        <v/>
      </c>
      <c r="I31" s="136">
        <f>LET(_xlpm.r,Productos!$E$2:$E$39,_xlpm.m,IFERROR(_xlfn.XMATCH(C31,_xlpm.r),IFERROR(_xlfn.XMATCH(VALUE(C31),_xlpm.r),0)),IF(_xlpm.m=0,"",_xlpm.m+1))</f>
        <v/>
      </c>
      <c r="J31" s="137" t="inlineStr">
        <is>
          <t>NetSuite</t>
        </is>
      </c>
    </row>
    <row r="32">
      <c r="A32" s="5" t="inlineStr">
        <is>
          <t>WB OUTLET LERMA</t>
        </is>
      </c>
      <c r="B32" s="5">
        <f>IF($I2="","",INDEX(Productos!$A:$A,$I2))</f>
        <v/>
      </c>
      <c r="C32" s="134" t="inlineStr">
        <is>
          <t>RCE67</t>
        </is>
      </c>
      <c r="D32" s="5">
        <f>IF($I2="","",INDEX(Productos!$B:$B,$I2))</f>
        <v/>
      </c>
      <c r="E32" s="5">
        <f>IF($I2="","",INDEX(Productos!$H:$H,$I2))</f>
        <v/>
      </c>
      <c r="F32" s="5">
        <f>IF($I2="","",INDEX(Productos!$I:$I,$I2))</f>
        <v/>
      </c>
      <c r="G32" s="135" t="n">
        <v>11</v>
      </c>
      <c r="H32" s="5">
        <f>IF($I2="","",INDEX(Productos!$AG:$AG,$I2))</f>
        <v/>
      </c>
      <c r="I32" s="136">
        <f>LET(_xlpm.r,Productos!$E$2:$E$39,_xlpm.m,IFERROR(_xlfn.XMATCH(C32,_xlpm.r),IFERROR(_xlfn.XMATCH(VALUE(C32),_xlpm.r),0)),IF(_xlpm.m=0,"",_xlpm.m+1))</f>
        <v/>
      </c>
      <c r="J32" s="137" t="inlineStr">
        <is>
          <t>NetSuite</t>
        </is>
      </c>
    </row>
    <row r="33">
      <c r="A33" s="5" t="inlineStr">
        <is>
          <t>WB OUTLET LERMA</t>
        </is>
      </c>
      <c r="B33" s="5">
        <f>IF($I2="","",INDEX(Productos!$A:$A,$I2))</f>
        <v/>
      </c>
      <c r="C33" s="134" t="inlineStr">
        <is>
          <t>RCE68</t>
        </is>
      </c>
      <c r="D33" s="5">
        <f>IF($I2="","",INDEX(Productos!$B:$B,$I2))</f>
        <v/>
      </c>
      <c r="E33" s="5">
        <f>IF($I2="","",INDEX(Productos!$H:$H,$I2))</f>
        <v/>
      </c>
      <c r="F33" s="5">
        <f>IF($I2="","",INDEX(Productos!$I:$I,$I2))</f>
        <v/>
      </c>
      <c r="G33" s="135" t="n">
        <v>11</v>
      </c>
      <c r="H33" s="5">
        <f>IF($I2="","",INDEX(Productos!$AG:$AG,$I2))</f>
        <v/>
      </c>
      <c r="I33" s="136">
        <f>LET(_xlpm.r,Productos!$E$2:$E$39,_xlpm.m,IFERROR(_xlfn.XMATCH(C33,_xlpm.r),IFERROR(_xlfn.XMATCH(VALUE(C33),_xlpm.r),0)),IF(_xlpm.m=0,"",_xlpm.m+1))</f>
        <v/>
      </c>
      <c r="J33" s="137" t="inlineStr">
        <is>
          <t>NetSuite</t>
        </is>
      </c>
    </row>
    <row r="34">
      <c r="A34" s="5" t="inlineStr">
        <is>
          <t>WB OUTLET LERMA</t>
        </is>
      </c>
      <c r="B34" s="5">
        <f>IF($I2="","",INDEX(Productos!$A:$A,$I2))</f>
        <v/>
      </c>
      <c r="C34" s="134" t="inlineStr">
        <is>
          <t>RCG65</t>
        </is>
      </c>
      <c r="D34" s="5">
        <f>IF($I2="","",INDEX(Productos!$B:$B,$I2))</f>
        <v/>
      </c>
      <c r="E34" s="5">
        <f>IF($I2="","",INDEX(Productos!$H:$H,$I2))</f>
        <v/>
      </c>
      <c r="F34" s="5">
        <f>IF($I2="","",INDEX(Productos!$I:$I,$I2))</f>
        <v/>
      </c>
      <c r="G34" s="135" t="n">
        <v>11</v>
      </c>
      <c r="H34" s="5">
        <f>IF($I2="","",INDEX(Productos!$AG:$AG,$I2))</f>
        <v/>
      </c>
      <c r="I34" s="136">
        <f>LET(_xlpm.r,Productos!$E$2:$E$39,_xlpm.m,IFERROR(_xlfn.XMATCH(C34,_xlpm.r),IFERROR(_xlfn.XMATCH(VALUE(C34),_xlpm.r),0)),IF(_xlpm.m=0,"",_xlpm.m+1))</f>
        <v/>
      </c>
      <c r="J34" s="137" t="inlineStr">
        <is>
          <t>NetSuite</t>
        </is>
      </c>
    </row>
    <row r="35">
      <c r="A35" s="5" t="inlineStr">
        <is>
          <t>WB OUTLET LERMA</t>
        </is>
      </c>
      <c r="B35" s="5">
        <f>IF($I2="","",INDEX(Productos!$A:$A,$I2))</f>
        <v/>
      </c>
      <c r="C35" s="134" t="inlineStr">
        <is>
          <t>RCG67</t>
        </is>
      </c>
      <c r="D35" s="5">
        <f>IF($I2="","",INDEX(Productos!$B:$B,$I2))</f>
        <v/>
      </c>
      <c r="E35" s="5">
        <f>IF($I2="","",INDEX(Productos!$H:$H,$I2))</f>
        <v/>
      </c>
      <c r="F35" s="5">
        <f>IF($I2="","",INDEX(Productos!$I:$I,$I2))</f>
        <v/>
      </c>
      <c r="G35" s="135" t="n">
        <v>11</v>
      </c>
      <c r="H35" s="5">
        <f>IF($I2="","",INDEX(Productos!$AG:$AG,$I2))</f>
        <v/>
      </c>
      <c r="I35" s="136">
        <f>LET(_xlpm.r,Productos!$E$2:$E$39,_xlpm.m,IFERROR(_xlfn.XMATCH(C35,_xlpm.r),IFERROR(_xlfn.XMATCH(VALUE(C35),_xlpm.r),0)),IF(_xlpm.m=0,"",_xlpm.m+1))</f>
        <v/>
      </c>
      <c r="J35" s="137" t="inlineStr">
        <is>
          <t>NetSuite</t>
        </is>
      </c>
    </row>
    <row r="36">
      <c r="A36" s="5" t="inlineStr">
        <is>
          <t>WB OUTLET LERMA</t>
        </is>
      </c>
      <c r="B36" s="5">
        <f>IF($I2="","",INDEX(Productos!$A:$A,$I2))</f>
        <v/>
      </c>
      <c r="C36" s="134" t="inlineStr">
        <is>
          <t>RCPN10</t>
        </is>
      </c>
      <c r="D36" s="5">
        <f>IF($I2="","",INDEX(Productos!$B:$B,$I2))</f>
        <v/>
      </c>
      <c r="E36" s="5">
        <f>IF($I2="","",INDEX(Productos!$H:$H,$I2))</f>
        <v/>
      </c>
      <c r="F36" s="5">
        <f>IF($I2="","",INDEX(Productos!$I:$I,$I2))</f>
        <v/>
      </c>
      <c r="G36" s="135" t="n">
        <v>12</v>
      </c>
      <c r="H36" s="5">
        <f>IF($I2="","",INDEX(Productos!$AG:$AG,$I2))</f>
        <v/>
      </c>
      <c r="I36" s="136">
        <f>LET(_xlpm.r,Productos!$E$2:$E$39,_xlpm.m,IFERROR(_xlfn.XMATCH(C36,_xlpm.r),IFERROR(_xlfn.XMATCH(VALUE(C36),_xlpm.r),0)),IF(_xlpm.m=0,"",_xlpm.m+1))</f>
        <v/>
      </c>
      <c r="J36" s="137" t="inlineStr">
        <is>
          <t>NetSuite</t>
        </is>
      </c>
    </row>
    <row r="37">
      <c r="A37" s="5" t="inlineStr">
        <is>
          <t>Shopify Western Brothers › Western Brothers Outlet Lerma</t>
        </is>
      </c>
      <c r="B37" s="5">
        <f>IF($I2="","",INDEX(Productos!$A:$A,$I2))</f>
        <v/>
      </c>
      <c r="C37" s="134" t="inlineStr">
        <is>
          <t>RCBY03-UNI</t>
        </is>
      </c>
      <c r="D37" s="5">
        <f>IF($I2="","",INDEX(Productos!$B:$B,$I2))</f>
        <v/>
      </c>
      <c r="E37" s="5">
        <f>IF($I2="","",INDEX(Productos!$H:$H,$I2))</f>
        <v/>
      </c>
      <c r="F37" s="5">
        <f>IF($I2="","",INDEX(Productos!$I:$I,$I2))</f>
        <v/>
      </c>
      <c r="G37" s="135" t="n">
        <v>2</v>
      </c>
      <c r="H37" s="5">
        <f>IF($I2="","",INDEX(Productos!$AG:$AG,$I2))</f>
        <v/>
      </c>
      <c r="I37" s="136">
        <f>LET(_xlpm.r,Productos!$E$2:$E$39,_xlpm.m,IFERROR(_xlfn.XMATCH(C37,_xlpm.r),IFERROR(_xlfn.XMATCH(VALUE(C37),_xlpm.r),0)),IF(_xlpm.m=0,"",_xlpm.m+1))</f>
        <v/>
      </c>
      <c r="J37" s="137" t="inlineStr">
        <is>
          <t>Shopify</t>
        </is>
      </c>
    </row>
    <row r="38">
      <c r="A38" s="5" t="inlineStr">
        <is>
          <t>Shopify Western Brothers › Western Brothers Outlet Lerma</t>
        </is>
      </c>
      <c r="B38" s="5">
        <f>IF($I2="","",INDEX(Productos!$A:$A,$I2))</f>
        <v/>
      </c>
      <c r="C38" s="134" t="inlineStr">
        <is>
          <t>RCDB25-UNI</t>
        </is>
      </c>
      <c r="D38" s="5">
        <f>IF($I2="","",INDEX(Productos!$B:$B,$I2))</f>
        <v/>
      </c>
      <c r="E38" s="5">
        <f>IF($I2="","",INDEX(Productos!$H:$H,$I2))</f>
        <v/>
      </c>
      <c r="F38" s="5">
        <f>IF($I2="","",INDEX(Productos!$I:$I,$I2))</f>
        <v/>
      </c>
      <c r="G38" s="135" t="n">
        <v>1</v>
      </c>
      <c r="H38" s="5">
        <f>IF($I2="","",INDEX(Productos!$AG:$AG,$I2))</f>
        <v/>
      </c>
      <c r="I38" s="136">
        <f>LET(_xlpm.r,Productos!$E$2:$E$39,_xlpm.m,IFERROR(_xlfn.XMATCH(C38,_xlpm.r),IFERROR(_xlfn.XMATCH(VALUE(C38),_xlpm.r),0)),IF(_xlpm.m=0,"",_xlpm.m+1))</f>
        <v/>
      </c>
      <c r="J38" s="137" t="inlineStr">
        <is>
          <t>Shopify</t>
        </is>
      </c>
    </row>
    <row r="39">
      <c r="A39" s="5" t="inlineStr">
        <is>
          <t>Shopify Western Brothers › Western Brothers Outlet Lerma</t>
        </is>
      </c>
      <c r="B39" s="5">
        <f>IF($I2="","",INDEX(Productos!$A:$A,$I2))</f>
        <v/>
      </c>
      <c r="C39" s="134" t="inlineStr">
        <is>
          <t>RCDB33-UNI</t>
        </is>
      </c>
      <c r="D39" s="5">
        <f>IF($I2="","",INDEX(Productos!$B:$B,$I2))</f>
        <v/>
      </c>
      <c r="E39" s="5">
        <f>IF($I2="","",INDEX(Productos!$H:$H,$I2))</f>
        <v/>
      </c>
      <c r="F39" s="5">
        <f>IF($I2="","",INDEX(Productos!$I:$I,$I2))</f>
        <v/>
      </c>
      <c r="G39" s="135" t="n">
        <v>1</v>
      </c>
      <c r="H39" s="5">
        <f>IF($I2="","",INDEX(Productos!$AG:$AG,$I2))</f>
        <v/>
      </c>
      <c r="I39" s="136">
        <f>LET(_xlpm.r,Productos!$E$2:$E$39,_xlpm.m,IFERROR(_xlfn.XMATCH(C39,_xlpm.r),IFERROR(_xlfn.XMATCH(VALUE(C39),_xlpm.r),0)),IF(_xlpm.m=0,"",_xlpm.m+1))</f>
        <v/>
      </c>
      <c r="J39" s="137" t="inlineStr">
        <is>
          <t>Shopify</t>
        </is>
      </c>
    </row>
  </sheetData>
  <autoFilter ref="A1:J39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IF(ISNUMBER(I6),SUM(I6:I545),0)</f>
        <v/>
      </c>
      <c r="F3" s="145" t="inlineStr">
        <is>
          <t>Renglones:</t>
        </is>
      </c>
      <c r="G3" s="144">
        <f>IF(ISNUMBER(I6),COUNT(I6:I545),0)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43"",""""))))),pE,Productos!$E$2:$E$39,pA,Productos!$A$2:$A$39&amp;"""",s,'Stock por Ubicación'!$A$2:$J$39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$39,""""),sk,XLOOKUP(sk,pE,Produc"&amp;"tos!$B$2:$B$2502,""""),XLOOKUP(sk,pE,Productos!$H$2:$H$39,""""),XLOOKUP(sk,pE,Productos!$I$2:$I$39,""""),pz),IFERROR(FILTER(rw,pz&gt;0),""""))),todo,IF(INDEX(a,1,1)="""",b,IF(INDEX(b,1,1)="""",a,VSTACK(a,b))),IF(INDEX(todo,1,1)="""",""Sin existencias en "&amp;"esta bodega"",LET(tl,XLOOKUP(INDEX(todo,0,4),pE,Productos!$F$2:$F$39,"""")&amp;"""",o,HSTACK(CHOOSECOLS(todo,1,2,3,4,5,6,7),tl,CHOOSECOLS(todo,8)),x,SORT(o,1,TRUE,4,TRUE),IF(x="""","""",x)))))"),"B25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IF(ISNUMBER(I6),SUM(I6:I545),0)</f>
        <v/>
      </c>
      <c r="F3" s="145" t="inlineStr">
        <is>
          <t>Renglones:</t>
        </is>
      </c>
      <c r="G3" s="144">
        <f>IF(ISNUMBER(I6),COUNT(I6:I545),0)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43"",""""))))),pE,Productos!$E$2:$E$39,s,'Stock por Ubicación'!$A$2:$J$39,su,INDEX(s,0,1),sq,INDEX(s,0,7),selSis,(su&lt;&gt;"""")*ISNUMBER(sq)*(sq&gt;0)*(asig(su)=bod)&gt;0,a,IFERROR(FILTER(CHOOSECOLS(s,1,10,2,3,4,5,6,7),sel"&amp;"Sis),""""),tu,Table_2[Ubicación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$39,""""),sk,XLOOKUP(sk,pE,Productos!$B$2:$B$39"&amp;"02,""""),XLOOKUP(sk,pE,Productos!$H$2:$H$39,""""),XLOOKUP(sk,pE,Productos!$I$2:$I$39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$39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76" min="1" max="1"/>
    <col width="22" customWidth="1" style="176" min="2" max="2"/>
    <col width="22" customWidth="1" style="176" min="3" max="3"/>
    <col width="22" customWidth="1" style="176" min="4" max="4"/>
    <col width="22" customWidth="1" style="176" min="5" max="5"/>
    <col width="40" customWidth="1" style="176" min="6" max="6"/>
    <col width="22" customWidth="1" style="176" min="7" max="7"/>
    <col width="22" customWidth="1" style="176" min="8" max="8"/>
    <col width="22" customWidth="1" style="176" min="9" max="9"/>
    <col width="22" customWidth="1" style="176" min="10" max="10"/>
    <col width="22" customWidth="1" style="176" min="11" max="11"/>
    <col width="22" customWidth="1" style="176" min="12" max="12"/>
    <col width="14" customWidth="1" style="176" min="13" max="13"/>
    <col width="14" customWidth="1" style="176" min="14" max="14"/>
    <col width="14" customWidth="1" style="176" min="15" max="15"/>
    <col width="14" customWidth="1" style="176" min="16" max="16"/>
    <col width="14" customWidth="1" style="176" min="17" max="17"/>
    <col width="14" customWidth="1" style="176" min="18" max="18"/>
    <col width="14" customWidth="1" style="176" min="19" max="19"/>
    <col width="14" customWidth="1" style="176" min="20" max="20"/>
    <col width="14" customWidth="1" style="176" min="21" max="21"/>
    <col width="22" customWidth="1" style="176" min="22" max="22"/>
    <col width="14" customWidth="1" style="176" min="23" max="23"/>
    <col width="14" customWidth="1" style="176" min="24" max="24"/>
    <col width="14" customWidth="1" style="176" min="25" max="25"/>
    <col width="14" customWidth="1" style="176" min="26" max="26"/>
    <col width="22" customWidth="1" style="176" min="27" max="27"/>
    <col width="14" customWidth="1" style="176" min="28" max="28"/>
    <col width="14" customWidth="1" style="176" min="29" max="29"/>
    <col width="22" customWidth="1" style="176" min="30" max="30"/>
    <col width="14" customWidth="1" style="176" min="31" max="31"/>
    <col width="14" customWidth="1" style="176" min="32" max="32"/>
  </cols>
  <sheetData>
    <row r="1" ht="45" customHeight="1" s="176">
      <c r="A1" s="185" t="inlineStr">
        <is>
          <t>Código de barras</t>
        </is>
      </c>
      <c r="B1" s="185" t="inlineStr">
        <is>
          <t>Identificador interno</t>
        </is>
      </c>
      <c r="C1" s="185" t="inlineStr">
        <is>
          <t>WB SKU</t>
        </is>
      </c>
      <c r="D1" s="185" t="inlineStr">
        <is>
          <t>WB N.º de estilo</t>
        </is>
      </c>
      <c r="E1" s="185" t="inlineStr">
        <is>
          <t>WB Marca</t>
        </is>
      </c>
      <c r="F1" s="185" t="inlineStr">
        <is>
          <t>WB Descripcion</t>
        </is>
      </c>
      <c r="G1" s="185" t="inlineStr">
        <is>
          <t>WB Talla</t>
        </is>
      </c>
      <c r="H1" s="185" t="inlineStr">
        <is>
          <t>WB Color</t>
        </is>
      </c>
      <c r="I1" s="185" t="inlineStr">
        <is>
          <t>WB División</t>
        </is>
      </c>
      <c r="J1" s="185" t="inlineStr">
        <is>
          <t>WB Categoría</t>
        </is>
      </c>
      <c r="K1" s="185" t="inlineStr">
        <is>
          <t>WB Género</t>
        </is>
      </c>
      <c r="L1" s="185" t="inlineStr">
        <is>
          <t>Unidad</t>
        </is>
      </c>
      <c r="M1" s="185" t="inlineStr">
        <is>
          <t>Precio de compra</t>
        </is>
      </c>
      <c r="N1" s="185" t="inlineStr">
        <is>
          <t>Precio de venta</t>
        </is>
      </c>
      <c r="O1" s="185" t="inlineStr">
        <is>
          <t>En mano NetSuite</t>
        </is>
      </c>
      <c r="P1" s="185" t="inlineStr">
        <is>
          <t>Disponible NetSuite</t>
        </is>
      </c>
      <c r="Q1" s="185" t="inlineStr">
        <is>
          <t>Comprometido NetSuite</t>
        </is>
      </c>
      <c r="R1" s="185" t="inlineStr">
        <is>
          <t>En pedido NetSuite</t>
        </is>
      </c>
      <c r="S1" s="185" t="inlineStr">
        <is>
          <t>En tránsito NetSuite</t>
        </is>
      </c>
      <c r="T1" s="185" t="inlineStr">
        <is>
          <t>Pendiente por surtir NetSuite</t>
        </is>
      </c>
      <c r="U1" s="185" t="inlineStr">
        <is>
          <t>En mano en ubicaciones inactivas</t>
        </is>
      </c>
      <c r="V1" s="185" t="inlineStr">
        <is>
          <t>Ubicaciones en negativo</t>
        </is>
      </c>
      <c r="W1" s="185" t="inlineStr">
        <is>
          <t>En mano NetSuite 28/09/2026</t>
        </is>
      </c>
      <c r="X1" s="185" t="inlineStr">
        <is>
          <t>Variación neta</t>
        </is>
      </c>
      <c r="Y1" s="185" t="inlineStr">
        <is>
          <t>Shopify Western Brothers</t>
        </is>
      </c>
      <c r="Z1" s="185" t="inlineStr">
        <is>
          <t>Piezas contadas (Escaneos)</t>
        </is>
      </c>
      <c r="AA1" s="185" t="inlineStr">
        <is>
          <t>Fecha del último conteo</t>
        </is>
      </c>
      <c r="AB1" s="185" t="inlineStr">
        <is>
          <t>Valor en mano a costo</t>
        </is>
      </c>
      <c r="AC1" s="185" t="inlineStr">
        <is>
          <t>Valor en mano a precio de venta</t>
        </is>
      </c>
      <c r="AD1" s="185" t="inlineStr">
        <is>
          <t>Estado del inventario</t>
        </is>
      </c>
      <c r="AE1" s="185" t="inlineStr">
        <is>
          <t>NS · B25 CEDIS</t>
        </is>
      </c>
      <c r="AF1" s="185" t="inlineStr">
        <is>
          <t>NS · WB OUTLET LERMA</t>
        </is>
      </c>
    </row>
    <row r="2">
      <c r="A2" t="inlineStr">
        <is>
          <t>7506552415239</t>
        </is>
      </c>
      <c r="B2" t="inlineStr">
        <is>
          <t>118243</t>
        </is>
      </c>
      <c r="C2" t="inlineStr">
        <is>
          <t>RCAC11</t>
        </is>
      </c>
      <c r="D2" t="inlineStr">
        <is>
          <t>RCAC11</t>
        </is>
      </c>
      <c r="E2" t="inlineStr">
        <is>
          <t>Ranch &amp; Corral</t>
        </is>
      </c>
      <c r="F2" t="inlineStr">
        <is>
          <t>Gorra Agriculture 11</t>
        </is>
      </c>
      <c r="G2" t="inlineStr">
        <is>
          <t>Talla única</t>
        </is>
      </c>
      <c r="H2" t="inlineStr">
        <is>
          <t>Negro</t>
        </is>
      </c>
      <c r="I2" t="inlineStr">
        <is>
          <t>Accesorios</t>
        </is>
      </c>
      <c r="J2" t="inlineStr">
        <is>
          <t>Gorras</t>
        </is>
      </c>
      <c r="K2" t="inlineStr">
        <is>
          <t>Hombre</t>
        </is>
      </c>
      <c r="L2" t="inlineStr">
        <is>
          <t>PZS</t>
        </is>
      </c>
      <c r="M2" s="186" t="n">
        <v>275.38</v>
      </c>
      <c r="N2" s="186" t="n">
        <v>559.4827586</v>
      </c>
      <c r="O2" t="n">
        <v>27</v>
      </c>
      <c r="P2" t="n">
        <v>11</v>
      </c>
      <c r="Q2" t="n">
        <v>16</v>
      </c>
      <c r="R2" t="n">
        <v>16</v>
      </c>
      <c r="X2">
        <f>O2-W2</f>
        <v/>
      </c>
      <c r="AB2" s="186">
        <f>IFERROR(O2*M2,0)</f>
        <v/>
      </c>
      <c r="AC2" s="186">
        <f>IFERROR(O2*N2,0)</f>
        <v/>
      </c>
      <c r="AD2" t="inlineStr">
        <is>
          <t>Con existencia</t>
        </is>
      </c>
      <c r="AE2" t="n">
        <v>16</v>
      </c>
      <c r="AF2" t="n">
        <v>11</v>
      </c>
    </row>
    <row r="3">
      <c r="A3" t="inlineStr">
        <is>
          <t>7506552409016</t>
        </is>
      </c>
      <c r="B3" t="inlineStr">
        <is>
          <t>107407</t>
        </is>
      </c>
      <c r="C3" t="inlineStr">
        <is>
          <t>RCBY03-UNI</t>
        </is>
      </c>
      <c r="D3" t="inlineStr">
        <is>
          <t>RCBY03</t>
        </is>
      </c>
      <c r="E3" t="inlineStr">
        <is>
          <t>Ranch &amp; Corral</t>
        </is>
      </c>
      <c r="F3" t="inlineStr">
        <is>
          <t>Gorra Cowboy 03</t>
        </is>
      </c>
      <c r="G3" t="inlineStr">
        <is>
          <t>Talla única</t>
        </is>
      </c>
      <c r="H3" t="inlineStr">
        <is>
          <t>Negro</t>
        </is>
      </c>
      <c r="I3" t="inlineStr">
        <is>
          <t>Accesorios</t>
        </is>
      </c>
      <c r="J3" t="inlineStr">
        <is>
          <t>Gorras</t>
        </is>
      </c>
      <c r="K3" t="inlineStr">
        <is>
          <t>Unisex</t>
        </is>
      </c>
      <c r="L3" t="inlineStr">
        <is>
          <t>PZS</t>
        </is>
      </c>
      <c r="M3" s="186" t="n">
        <v>241.38</v>
      </c>
      <c r="N3" s="186" t="n">
        <v>430.1724138</v>
      </c>
      <c r="O3" t="n">
        <v>2</v>
      </c>
      <c r="P3" t="n">
        <v>2</v>
      </c>
      <c r="W3" t="n">
        <v>2</v>
      </c>
      <c r="X3">
        <f>O3-W3</f>
        <v/>
      </c>
      <c r="Y3" t="n">
        <v>2</v>
      </c>
      <c r="AB3" s="186">
        <f>IFERROR(O3*M3,0)</f>
        <v/>
      </c>
      <c r="AC3" s="186">
        <f>IFERROR(O3*N3,0)</f>
        <v/>
      </c>
      <c r="AD3" t="inlineStr">
        <is>
          <t>Con existencia</t>
        </is>
      </c>
      <c r="AF3" t="n">
        <v>2</v>
      </c>
    </row>
    <row r="4">
      <c r="A4" t="inlineStr">
        <is>
          <t>7506552414782</t>
        </is>
      </c>
      <c r="B4" t="inlineStr">
        <is>
          <t>118228</t>
        </is>
      </c>
      <c r="C4" t="inlineStr">
        <is>
          <t>RCC46</t>
        </is>
      </c>
      <c r="D4" t="inlineStr">
        <is>
          <t>RCC46</t>
        </is>
      </c>
      <c r="E4" t="inlineStr">
        <is>
          <t>Ranch &amp; Corral</t>
        </is>
      </c>
      <c r="F4" t="inlineStr">
        <is>
          <t>Gorra Classic 46</t>
        </is>
      </c>
      <c r="G4" t="inlineStr">
        <is>
          <t>Talla única</t>
        </is>
      </c>
      <c r="H4" t="inlineStr">
        <is>
          <t>Verde</t>
        </is>
      </c>
      <c r="I4" t="inlineStr">
        <is>
          <t>Accesorios</t>
        </is>
      </c>
      <c r="J4" t="inlineStr">
        <is>
          <t>Gorras</t>
        </is>
      </c>
      <c r="K4" t="inlineStr">
        <is>
          <t>Hombre</t>
        </is>
      </c>
      <c r="L4" t="inlineStr">
        <is>
          <t>PZS</t>
        </is>
      </c>
      <c r="M4" s="186" t="n">
        <v>275.38</v>
      </c>
      <c r="N4" s="186" t="n">
        <v>559.4827586</v>
      </c>
      <c r="O4" t="n">
        <v>22</v>
      </c>
      <c r="P4" t="n">
        <v>11</v>
      </c>
      <c r="Q4" t="n">
        <v>11</v>
      </c>
      <c r="R4" t="n">
        <v>11</v>
      </c>
      <c r="X4">
        <f>O4-W4</f>
        <v/>
      </c>
      <c r="AB4" s="186">
        <f>IFERROR(O4*M4,0)</f>
        <v/>
      </c>
      <c r="AC4" s="186">
        <f>IFERROR(O4*N4,0)</f>
        <v/>
      </c>
      <c r="AD4" t="inlineStr">
        <is>
          <t>Con existencia</t>
        </is>
      </c>
      <c r="AE4" t="n">
        <v>11</v>
      </c>
      <c r="AF4" t="n">
        <v>11</v>
      </c>
    </row>
    <row r="5">
      <c r="A5" t="inlineStr">
        <is>
          <t>7506552414683</t>
        </is>
      </c>
      <c r="B5" t="inlineStr">
        <is>
          <t>118227</t>
        </is>
      </c>
      <c r="C5" t="inlineStr">
        <is>
          <t>RCCB03</t>
        </is>
      </c>
      <c r="D5" t="inlineStr">
        <is>
          <t>RCCB03</t>
        </is>
      </c>
      <c r="E5" t="inlineStr">
        <is>
          <t>Ranch &amp; Corral</t>
        </is>
      </c>
      <c r="F5" t="inlineStr">
        <is>
          <t>Gorra Basic 03</t>
        </is>
      </c>
      <c r="G5" t="inlineStr">
        <is>
          <t>Talla única</t>
        </is>
      </c>
      <c r="H5" t="inlineStr">
        <is>
          <t>Negro</t>
        </is>
      </c>
      <c r="I5" t="inlineStr">
        <is>
          <t>Accesorios</t>
        </is>
      </c>
      <c r="J5" t="inlineStr">
        <is>
          <t>Gorras</t>
        </is>
      </c>
      <c r="K5" t="inlineStr">
        <is>
          <t>Hombre</t>
        </is>
      </c>
      <c r="L5" t="inlineStr">
        <is>
          <t>PZS</t>
        </is>
      </c>
      <c r="M5" s="186" t="n">
        <v>275.38</v>
      </c>
      <c r="N5" s="186" t="n">
        <v>559.4827586</v>
      </c>
      <c r="O5" t="n">
        <v>177</v>
      </c>
      <c r="P5" t="n">
        <v>34</v>
      </c>
      <c r="Q5" t="n">
        <v>143</v>
      </c>
      <c r="R5" t="n">
        <v>143</v>
      </c>
      <c r="X5">
        <f>O5-W5</f>
        <v/>
      </c>
      <c r="AB5" s="186">
        <f>IFERROR(O5*M5,0)</f>
        <v/>
      </c>
      <c r="AC5" s="186">
        <f>IFERROR(O5*N5,0)</f>
        <v/>
      </c>
      <c r="AD5" t="inlineStr">
        <is>
          <t>Con existencia</t>
        </is>
      </c>
      <c r="AE5" t="n">
        <v>143</v>
      </c>
      <c r="AF5" t="n">
        <v>34</v>
      </c>
    </row>
    <row r="6">
      <c r="A6" t="inlineStr">
        <is>
          <t>7506552412023</t>
        </is>
      </c>
      <c r="B6" t="inlineStr">
        <is>
          <t>118233</t>
        </is>
      </c>
      <c r="C6" t="inlineStr">
        <is>
          <t>RCCB04</t>
        </is>
      </c>
      <c r="D6" t="inlineStr">
        <is>
          <t>RCCB04</t>
        </is>
      </c>
      <c r="E6" t="inlineStr">
        <is>
          <t>Ranch &amp; Corral</t>
        </is>
      </c>
      <c r="F6" t="inlineStr">
        <is>
          <t>Gorra Basic 04</t>
        </is>
      </c>
      <c r="G6" t="inlineStr">
        <is>
          <t>Talla única</t>
        </is>
      </c>
      <c r="H6" t="inlineStr">
        <is>
          <t>Negro</t>
        </is>
      </c>
      <c r="I6" t="inlineStr">
        <is>
          <t>Accesorios</t>
        </is>
      </c>
      <c r="J6" t="inlineStr">
        <is>
          <t>Gorras</t>
        </is>
      </c>
      <c r="K6" t="inlineStr">
        <is>
          <t>Hombre</t>
        </is>
      </c>
      <c r="L6" t="inlineStr">
        <is>
          <t>PZS</t>
        </is>
      </c>
      <c r="M6" s="186" t="n">
        <v>275.38</v>
      </c>
      <c r="N6" s="186" t="n">
        <v>559.4827586</v>
      </c>
      <c r="O6" t="n">
        <v>177</v>
      </c>
      <c r="P6" t="n">
        <v>34</v>
      </c>
      <c r="Q6" t="n">
        <v>143</v>
      </c>
      <c r="R6" t="n">
        <v>143</v>
      </c>
      <c r="X6">
        <f>O6-W6</f>
        <v/>
      </c>
      <c r="AB6" s="186">
        <f>IFERROR(O6*M6,0)</f>
        <v/>
      </c>
      <c r="AC6" s="186">
        <f>IFERROR(O6*N6,0)</f>
        <v/>
      </c>
      <c r="AD6" t="inlineStr">
        <is>
          <t>Con existencia</t>
        </is>
      </c>
      <c r="AE6" t="n">
        <v>143</v>
      </c>
      <c r="AF6" t="n">
        <v>34</v>
      </c>
    </row>
    <row r="7">
      <c r="A7" t="inlineStr">
        <is>
          <t>7506552412030</t>
        </is>
      </c>
      <c r="B7" t="inlineStr">
        <is>
          <t>118234</t>
        </is>
      </c>
      <c r="C7" t="inlineStr">
        <is>
          <t>RCCB05</t>
        </is>
      </c>
      <c r="D7" t="inlineStr">
        <is>
          <t>RCCB05</t>
        </is>
      </c>
      <c r="E7" t="inlineStr">
        <is>
          <t>Ranch &amp; Corral</t>
        </is>
      </c>
      <c r="F7" t="inlineStr">
        <is>
          <t>Gorra Basic 05</t>
        </is>
      </c>
      <c r="G7" t="inlineStr">
        <is>
          <t>Talla única</t>
        </is>
      </c>
      <c r="H7" t="inlineStr">
        <is>
          <t>Negro</t>
        </is>
      </c>
      <c r="I7" t="inlineStr">
        <is>
          <t>Accesorios</t>
        </is>
      </c>
      <c r="J7" t="inlineStr">
        <is>
          <t>Gorras</t>
        </is>
      </c>
      <c r="K7" t="inlineStr">
        <is>
          <t>Hombre</t>
        </is>
      </c>
      <c r="L7" t="inlineStr">
        <is>
          <t>PZS</t>
        </is>
      </c>
      <c r="M7" s="186" t="n">
        <v>275.38</v>
      </c>
      <c r="N7" s="186" t="n">
        <v>559.4827586</v>
      </c>
      <c r="O7" t="n">
        <v>176</v>
      </c>
      <c r="P7" t="n">
        <v>34</v>
      </c>
      <c r="Q7" t="n">
        <v>142</v>
      </c>
      <c r="R7" t="n">
        <v>142</v>
      </c>
      <c r="X7">
        <f>O7-W7</f>
        <v/>
      </c>
      <c r="AB7" s="186">
        <f>IFERROR(O7*M7,0)</f>
        <v/>
      </c>
      <c r="AC7" s="186">
        <f>IFERROR(O7*N7,0)</f>
        <v/>
      </c>
      <c r="AD7" t="inlineStr">
        <is>
          <t>Con existencia</t>
        </is>
      </c>
      <c r="AE7" t="n">
        <v>142</v>
      </c>
      <c r="AF7" t="n">
        <v>34</v>
      </c>
    </row>
    <row r="8">
      <c r="A8" t="inlineStr">
        <is>
          <t>7506552415567</t>
        </is>
      </c>
      <c r="B8" t="inlineStr">
        <is>
          <t>118245</t>
        </is>
      </c>
      <c r="C8" t="inlineStr">
        <is>
          <t>RCCP12</t>
        </is>
      </c>
      <c r="D8" t="inlineStr">
        <is>
          <t>RCCP12</t>
        </is>
      </c>
      <c r="E8" t="inlineStr">
        <is>
          <t>Ranch &amp; Corral</t>
        </is>
      </c>
      <c r="F8" t="inlineStr">
        <is>
          <t>Gorra Caprino 12</t>
        </is>
      </c>
      <c r="G8" t="inlineStr">
        <is>
          <t>Talla única</t>
        </is>
      </c>
      <c r="H8" t="inlineStr">
        <is>
          <t>Azul</t>
        </is>
      </c>
      <c r="I8" t="inlineStr">
        <is>
          <t>Accesorios</t>
        </is>
      </c>
      <c r="J8" t="inlineStr">
        <is>
          <t>Gorras</t>
        </is>
      </c>
      <c r="K8" t="inlineStr">
        <is>
          <t>Hombre</t>
        </is>
      </c>
      <c r="L8" t="inlineStr">
        <is>
          <t>PZS</t>
        </is>
      </c>
      <c r="M8" s="186" t="n">
        <v>275.38</v>
      </c>
      <c r="N8" s="186" t="n">
        <v>559.4827586</v>
      </c>
      <c r="O8" t="n">
        <v>27</v>
      </c>
      <c r="P8" t="n">
        <v>11</v>
      </c>
      <c r="Q8" t="n">
        <v>16</v>
      </c>
      <c r="R8" t="n">
        <v>16</v>
      </c>
      <c r="X8">
        <f>O8-W8</f>
        <v/>
      </c>
      <c r="AB8" s="186">
        <f>IFERROR(O8*M8,0)</f>
        <v/>
      </c>
      <c r="AC8" s="186">
        <f>IFERROR(O8*N8,0)</f>
        <v/>
      </c>
      <c r="AD8" t="inlineStr">
        <is>
          <t>Con existencia</t>
        </is>
      </c>
      <c r="AE8" t="n">
        <v>16</v>
      </c>
      <c r="AF8" t="n">
        <v>11</v>
      </c>
    </row>
    <row r="9">
      <c r="A9" t="inlineStr">
        <is>
          <t>7506552408545</t>
        </is>
      </c>
      <c r="B9" t="inlineStr">
        <is>
          <t>107404</t>
        </is>
      </c>
      <c r="C9" t="inlineStr">
        <is>
          <t>RCDB25-UNI</t>
        </is>
      </c>
      <c r="D9" t="inlineStr">
        <is>
          <t>RCDB25</t>
        </is>
      </c>
      <c r="E9" t="inlineStr">
        <is>
          <t>Ranch &amp; Corral</t>
        </is>
      </c>
      <c r="F9" t="inlineStr">
        <is>
          <t>Gorra Dog Breeds Black Labrador</t>
        </is>
      </c>
      <c r="G9" t="inlineStr">
        <is>
          <t>Talla única</t>
        </is>
      </c>
      <c r="H9" t="inlineStr">
        <is>
          <t>Negro</t>
        </is>
      </c>
      <c r="I9" t="inlineStr">
        <is>
          <t>Accesorios</t>
        </is>
      </c>
      <c r="J9" t="inlineStr">
        <is>
          <t>Gorras</t>
        </is>
      </c>
      <c r="K9" t="inlineStr">
        <is>
          <t>Unisex</t>
        </is>
      </c>
      <c r="L9" t="inlineStr">
        <is>
          <t>PZS</t>
        </is>
      </c>
      <c r="M9" s="186" t="n">
        <v>241.38</v>
      </c>
      <c r="N9" s="186" t="n">
        <v>430.1724138</v>
      </c>
      <c r="O9" t="n">
        <v>1</v>
      </c>
      <c r="P9" t="n">
        <v>1</v>
      </c>
      <c r="W9" t="n">
        <v>1</v>
      </c>
      <c r="X9">
        <f>O9-W9</f>
        <v/>
      </c>
      <c r="Y9" t="n">
        <v>1</v>
      </c>
      <c r="AB9" s="186">
        <f>IFERROR(O9*M9,0)</f>
        <v/>
      </c>
      <c r="AC9" s="186">
        <f>IFERROR(O9*N9,0)</f>
        <v/>
      </c>
      <c r="AD9" t="inlineStr">
        <is>
          <t>Con existencia</t>
        </is>
      </c>
      <c r="AF9" t="n">
        <v>1</v>
      </c>
    </row>
    <row r="10">
      <c r="A10" t="inlineStr">
        <is>
          <t>7506552412283</t>
        </is>
      </c>
      <c r="B10" t="inlineStr">
        <is>
          <t>107439</t>
        </is>
      </c>
      <c r="C10" t="inlineStr">
        <is>
          <t>RCDB33-UNI</t>
        </is>
      </c>
      <c r="D10" t="inlineStr">
        <is>
          <t>RCDB33</t>
        </is>
      </c>
      <c r="E10" t="inlineStr">
        <is>
          <t>Ranch &amp; Corral</t>
        </is>
      </c>
      <c r="F10" t="inlineStr">
        <is>
          <t>Gorra Dog Breeds 33</t>
        </is>
      </c>
      <c r="G10" t="inlineStr">
        <is>
          <t>Talla única</t>
        </is>
      </c>
      <c r="H10" t="inlineStr">
        <is>
          <t>Cafe</t>
        </is>
      </c>
      <c r="I10" t="inlineStr">
        <is>
          <t>Accesorios</t>
        </is>
      </c>
      <c r="J10" t="inlineStr">
        <is>
          <t>Gorras</t>
        </is>
      </c>
      <c r="K10" t="inlineStr">
        <is>
          <t>Unisex</t>
        </is>
      </c>
      <c r="L10" t="inlineStr">
        <is>
          <t>PZS</t>
        </is>
      </c>
      <c r="M10" s="186" t="n">
        <v>283.25</v>
      </c>
      <c r="N10" s="186" t="n">
        <v>559.4827586</v>
      </c>
      <c r="O10" t="n">
        <v>1</v>
      </c>
      <c r="P10" t="n">
        <v>1</v>
      </c>
      <c r="W10" t="n">
        <v>1</v>
      </c>
      <c r="X10">
        <f>O10-W10</f>
        <v/>
      </c>
      <c r="Y10" t="n">
        <v>1</v>
      </c>
      <c r="AB10" s="186">
        <f>IFERROR(O10*M10,0)</f>
        <v/>
      </c>
      <c r="AC10" s="186">
        <f>IFERROR(O10*N10,0)</f>
        <v/>
      </c>
      <c r="AD10" t="inlineStr">
        <is>
          <t>Con existencia</t>
        </is>
      </c>
      <c r="AF10" t="n">
        <v>1</v>
      </c>
    </row>
    <row r="11">
      <c r="A11" t="inlineStr">
        <is>
          <t>7506552415208</t>
        </is>
      </c>
      <c r="B11" t="inlineStr">
        <is>
          <t>118237</t>
        </is>
      </c>
      <c r="C11" t="inlineStr">
        <is>
          <t>RCDB34</t>
        </is>
      </c>
      <c r="D11" t="inlineStr">
        <is>
          <t>RCDB34</t>
        </is>
      </c>
      <c r="E11" t="inlineStr">
        <is>
          <t>Ranch &amp; Corral</t>
        </is>
      </c>
      <c r="F11" t="inlineStr">
        <is>
          <t>Gorra Dog Breeds 34</t>
        </is>
      </c>
      <c r="G11" t="inlineStr">
        <is>
          <t>Talla única</t>
        </is>
      </c>
      <c r="H11" t="inlineStr">
        <is>
          <t>Azul</t>
        </is>
      </c>
      <c r="I11" t="inlineStr">
        <is>
          <t>Accesorios</t>
        </is>
      </c>
      <c r="J11" t="inlineStr">
        <is>
          <t>Gorras</t>
        </is>
      </c>
      <c r="K11" t="inlineStr">
        <is>
          <t>Hombre</t>
        </is>
      </c>
      <c r="L11" t="inlineStr">
        <is>
          <t>PZS</t>
        </is>
      </c>
      <c r="M11" s="186" t="n">
        <v>275.38</v>
      </c>
      <c r="N11" s="186" t="n">
        <v>559.4827586</v>
      </c>
      <c r="O11" t="n">
        <v>58</v>
      </c>
      <c r="P11" t="n">
        <v>11</v>
      </c>
      <c r="Q11" t="n">
        <v>47</v>
      </c>
      <c r="R11" t="n">
        <v>47</v>
      </c>
      <c r="X11">
        <f>O11-W11</f>
        <v/>
      </c>
      <c r="AB11" s="186">
        <f>IFERROR(O11*M11,0)</f>
        <v/>
      </c>
      <c r="AC11" s="186">
        <f>IFERROR(O11*N11,0)</f>
        <v/>
      </c>
      <c r="AD11" t="inlineStr">
        <is>
          <t>Con existencia</t>
        </is>
      </c>
      <c r="AE11" t="n">
        <v>47</v>
      </c>
      <c r="AF11" t="n">
        <v>11</v>
      </c>
    </row>
    <row r="12">
      <c r="A12" t="inlineStr">
        <is>
          <t>7506552415161</t>
        </is>
      </c>
      <c r="B12" t="inlineStr">
        <is>
          <t>118238</t>
        </is>
      </c>
      <c r="C12" t="inlineStr">
        <is>
          <t>RCDB35</t>
        </is>
      </c>
      <c r="D12" t="inlineStr">
        <is>
          <t>RCDB35</t>
        </is>
      </c>
      <c r="E12" t="inlineStr">
        <is>
          <t>Ranch &amp; Corral</t>
        </is>
      </c>
      <c r="F12" t="inlineStr">
        <is>
          <t>Gorra Dog Breeds 35</t>
        </is>
      </c>
      <c r="G12" t="inlineStr">
        <is>
          <t>Talla única</t>
        </is>
      </c>
      <c r="H12" t="inlineStr">
        <is>
          <t>Verde</t>
        </is>
      </c>
      <c r="I12" t="inlineStr">
        <is>
          <t>Accesorios</t>
        </is>
      </c>
      <c r="J12" t="inlineStr">
        <is>
          <t>Gorras</t>
        </is>
      </c>
      <c r="K12" t="inlineStr">
        <is>
          <t>Hombre</t>
        </is>
      </c>
      <c r="L12" t="inlineStr">
        <is>
          <t>PZS</t>
        </is>
      </c>
      <c r="M12" s="186" t="n">
        <v>275.38</v>
      </c>
      <c r="N12" s="186" t="n">
        <v>559.4827586</v>
      </c>
      <c r="O12" t="n">
        <v>27</v>
      </c>
      <c r="P12" t="n">
        <v>11</v>
      </c>
      <c r="Q12" t="n">
        <v>16</v>
      </c>
      <c r="R12" t="n">
        <v>16</v>
      </c>
      <c r="X12">
        <f>O12-W12</f>
        <v/>
      </c>
      <c r="AB12" s="186">
        <f>IFERROR(O12*M12,0)</f>
        <v/>
      </c>
      <c r="AC12" s="186">
        <f>IFERROR(O12*N12,0)</f>
        <v/>
      </c>
      <c r="AD12" t="inlineStr">
        <is>
          <t>Con existencia</t>
        </is>
      </c>
      <c r="AE12" t="n">
        <v>16</v>
      </c>
      <c r="AF12" t="n">
        <v>11</v>
      </c>
    </row>
    <row r="13">
      <c r="A13" t="inlineStr">
        <is>
          <t>7506552415215</t>
        </is>
      </c>
      <c r="B13" t="inlineStr">
        <is>
          <t>118229</t>
        </is>
      </c>
      <c r="C13" t="inlineStr">
        <is>
          <t>RCDB36</t>
        </is>
      </c>
      <c r="D13" t="inlineStr">
        <is>
          <t>RCDB36</t>
        </is>
      </c>
      <c r="E13" t="inlineStr">
        <is>
          <t>Ranch &amp; Corral</t>
        </is>
      </c>
      <c r="F13" t="inlineStr">
        <is>
          <t>Gorra Dog Breeds 36</t>
        </is>
      </c>
      <c r="G13" t="inlineStr">
        <is>
          <t>Talla única</t>
        </is>
      </c>
      <c r="H13" t="inlineStr">
        <is>
          <t>Negro</t>
        </is>
      </c>
      <c r="I13" t="inlineStr">
        <is>
          <t>Accesorios</t>
        </is>
      </c>
      <c r="J13" t="inlineStr">
        <is>
          <t>Gorras</t>
        </is>
      </c>
      <c r="K13" t="inlineStr">
        <is>
          <t>Hombre</t>
        </is>
      </c>
      <c r="L13" t="inlineStr">
        <is>
          <t>PZS</t>
        </is>
      </c>
      <c r="M13" s="186" t="n">
        <v>275.38</v>
      </c>
      <c r="N13" s="186" t="n">
        <v>559.4827586</v>
      </c>
      <c r="O13" t="n">
        <v>59</v>
      </c>
      <c r="P13" t="n">
        <v>12</v>
      </c>
      <c r="Q13" t="n">
        <v>47</v>
      </c>
      <c r="R13" t="n">
        <v>47</v>
      </c>
      <c r="X13">
        <f>O13-W13</f>
        <v/>
      </c>
      <c r="AB13" s="186">
        <f>IFERROR(O13*M13,0)</f>
        <v/>
      </c>
      <c r="AC13" s="186">
        <f>IFERROR(O13*N13,0)</f>
        <v/>
      </c>
      <c r="AD13" t="inlineStr">
        <is>
          <t>Con existencia</t>
        </is>
      </c>
      <c r="AE13" t="n">
        <v>47</v>
      </c>
      <c r="AF13" t="n">
        <v>12</v>
      </c>
    </row>
    <row r="14">
      <c r="A14" t="inlineStr">
        <is>
          <t>7506552414928</t>
        </is>
      </c>
      <c r="B14" t="inlineStr">
        <is>
          <t>118239</t>
        </is>
      </c>
      <c r="C14" t="inlineStr">
        <is>
          <t>RCE65</t>
        </is>
      </c>
      <c r="D14" t="inlineStr">
        <is>
          <t>RCE65</t>
        </is>
      </c>
      <c r="E14" t="inlineStr">
        <is>
          <t>Ranch &amp; Corral</t>
        </is>
      </c>
      <c r="F14" t="inlineStr">
        <is>
          <t>Gorra Equus 65</t>
        </is>
      </c>
      <c r="G14" t="inlineStr">
        <is>
          <t>Talla única</t>
        </is>
      </c>
      <c r="H14" t="inlineStr">
        <is>
          <t>Negro</t>
        </is>
      </c>
      <c r="I14" t="inlineStr">
        <is>
          <t>Accesorios</t>
        </is>
      </c>
      <c r="J14" t="inlineStr">
        <is>
          <t>Gorras</t>
        </is>
      </c>
      <c r="K14" t="inlineStr">
        <is>
          <t>Hombre</t>
        </is>
      </c>
      <c r="L14" t="inlineStr">
        <is>
          <t>PZS</t>
        </is>
      </c>
      <c r="M14" s="186" t="n">
        <v>275.38</v>
      </c>
      <c r="N14" s="186" t="n">
        <v>559.4827586</v>
      </c>
      <c r="O14" t="n">
        <v>27</v>
      </c>
      <c r="P14" t="n">
        <v>11</v>
      </c>
      <c r="Q14" t="n">
        <v>16</v>
      </c>
      <c r="R14" t="n">
        <v>16</v>
      </c>
      <c r="X14">
        <f>O14-W14</f>
        <v/>
      </c>
      <c r="AB14" s="186">
        <f>IFERROR(O14*M14,0)</f>
        <v/>
      </c>
      <c r="AC14" s="186">
        <f>IFERROR(O14*N14,0)</f>
        <v/>
      </c>
      <c r="AD14" t="inlineStr">
        <is>
          <t>Con existencia</t>
        </is>
      </c>
      <c r="AE14" t="n">
        <v>16</v>
      </c>
      <c r="AF14" t="n">
        <v>11</v>
      </c>
    </row>
    <row r="15">
      <c r="A15" t="inlineStr">
        <is>
          <t>7506552414966</t>
        </is>
      </c>
      <c r="B15" t="inlineStr">
        <is>
          <t>118240</t>
        </is>
      </c>
      <c r="C15" t="inlineStr">
        <is>
          <t>RCE66</t>
        </is>
      </c>
      <c r="D15" t="inlineStr">
        <is>
          <t>RCE66</t>
        </is>
      </c>
      <c r="E15" t="inlineStr">
        <is>
          <t>Ranch &amp; Corral</t>
        </is>
      </c>
      <c r="F15" t="inlineStr">
        <is>
          <t>Gorra Equus 66</t>
        </is>
      </c>
      <c r="G15" t="inlineStr">
        <is>
          <t>Talla única</t>
        </is>
      </c>
      <c r="H15" t="inlineStr">
        <is>
          <t>Negro</t>
        </is>
      </c>
      <c r="I15" t="inlineStr">
        <is>
          <t>Accesorios</t>
        </is>
      </c>
      <c r="J15" t="inlineStr">
        <is>
          <t>Gorras</t>
        </is>
      </c>
      <c r="K15" t="inlineStr">
        <is>
          <t>Hombre</t>
        </is>
      </c>
      <c r="L15" t="inlineStr">
        <is>
          <t>PZS</t>
        </is>
      </c>
      <c r="M15" s="186" t="n">
        <v>275.38</v>
      </c>
      <c r="N15" s="186" t="n">
        <v>559.4827586</v>
      </c>
      <c r="O15" t="n">
        <v>27</v>
      </c>
      <c r="P15" t="n">
        <v>11</v>
      </c>
      <c r="Q15" t="n">
        <v>16</v>
      </c>
      <c r="R15" t="n">
        <v>16</v>
      </c>
      <c r="X15">
        <f>O15-W15</f>
        <v/>
      </c>
      <c r="AB15" s="186">
        <f>IFERROR(O15*M15,0)</f>
        <v/>
      </c>
      <c r="AC15" s="186">
        <f>IFERROR(O15*N15,0)</f>
        <v/>
      </c>
      <c r="AD15" t="inlineStr">
        <is>
          <t>Con existencia</t>
        </is>
      </c>
      <c r="AE15" t="n">
        <v>16</v>
      </c>
      <c r="AF15" t="n">
        <v>11</v>
      </c>
    </row>
    <row r="16">
      <c r="A16" t="inlineStr">
        <is>
          <t>7506552414973</t>
        </is>
      </c>
      <c r="B16" t="inlineStr">
        <is>
          <t>118241</t>
        </is>
      </c>
      <c r="C16" t="inlineStr">
        <is>
          <t>RCE67</t>
        </is>
      </c>
      <c r="D16" t="inlineStr">
        <is>
          <t>RCE67</t>
        </is>
      </c>
      <c r="E16" t="inlineStr">
        <is>
          <t>Ranch &amp; Corral</t>
        </is>
      </c>
      <c r="F16" t="inlineStr">
        <is>
          <t>Gorra Equus 67</t>
        </is>
      </c>
      <c r="G16" t="inlineStr">
        <is>
          <t>Talla única</t>
        </is>
      </c>
      <c r="H16" t="inlineStr">
        <is>
          <t>Beige</t>
        </is>
      </c>
      <c r="I16" t="inlineStr">
        <is>
          <t>Accesorios</t>
        </is>
      </c>
      <c r="J16" t="inlineStr">
        <is>
          <t>Gorras</t>
        </is>
      </c>
      <c r="K16" t="inlineStr">
        <is>
          <t>Hombre</t>
        </is>
      </c>
      <c r="L16" t="inlineStr">
        <is>
          <t>PZS</t>
        </is>
      </c>
      <c r="M16" s="186" t="n">
        <v>275.38</v>
      </c>
      <c r="N16" s="186" t="n">
        <v>559.4827586</v>
      </c>
      <c r="O16" t="n">
        <v>27</v>
      </c>
      <c r="P16" t="n">
        <v>11</v>
      </c>
      <c r="Q16" t="n">
        <v>16</v>
      </c>
      <c r="R16" t="n">
        <v>16</v>
      </c>
      <c r="X16">
        <f>O16-W16</f>
        <v/>
      </c>
      <c r="AB16" s="186">
        <f>IFERROR(O16*M16,0)</f>
        <v/>
      </c>
      <c r="AC16" s="186">
        <f>IFERROR(O16*N16,0)</f>
        <v/>
      </c>
      <c r="AD16" t="inlineStr">
        <is>
          <t>Con existencia</t>
        </is>
      </c>
      <c r="AE16" t="n">
        <v>16</v>
      </c>
      <c r="AF16" t="n">
        <v>11</v>
      </c>
    </row>
    <row r="17">
      <c r="A17" t="inlineStr">
        <is>
          <t>7506552414980</t>
        </is>
      </c>
      <c r="B17" t="inlineStr">
        <is>
          <t>118242</t>
        </is>
      </c>
      <c r="C17" t="inlineStr">
        <is>
          <t>RCE68</t>
        </is>
      </c>
      <c r="D17" t="inlineStr">
        <is>
          <t>RCE68</t>
        </is>
      </c>
      <c r="E17" t="inlineStr">
        <is>
          <t>Ranch &amp; Corral</t>
        </is>
      </c>
      <c r="F17" t="inlineStr">
        <is>
          <t>Gorra Equus 68</t>
        </is>
      </c>
      <c r="G17" t="inlineStr">
        <is>
          <t>Talla única</t>
        </is>
      </c>
      <c r="H17" t="inlineStr">
        <is>
          <t>Azul</t>
        </is>
      </c>
      <c r="I17" t="inlineStr">
        <is>
          <t>Accesorios</t>
        </is>
      </c>
      <c r="J17" t="inlineStr">
        <is>
          <t>Gorras</t>
        </is>
      </c>
      <c r="K17" t="inlineStr">
        <is>
          <t>Hombre</t>
        </is>
      </c>
      <c r="L17" t="inlineStr">
        <is>
          <t>PZS</t>
        </is>
      </c>
      <c r="M17" s="186" t="n">
        <v>275.38</v>
      </c>
      <c r="N17" s="186" t="n">
        <v>559.4827586</v>
      </c>
      <c r="O17" t="n">
        <v>27</v>
      </c>
      <c r="P17" t="n">
        <v>11</v>
      </c>
      <c r="Q17" t="n">
        <v>16</v>
      </c>
      <c r="R17" t="n">
        <v>16</v>
      </c>
      <c r="X17">
        <f>O17-W17</f>
        <v/>
      </c>
      <c r="AB17" s="186">
        <f>IFERROR(O17*M17,0)</f>
        <v/>
      </c>
      <c r="AC17" s="186">
        <f>IFERROR(O17*N17,0)</f>
        <v/>
      </c>
      <c r="AD17" t="inlineStr">
        <is>
          <t>Con existencia</t>
        </is>
      </c>
      <c r="AE17" t="n">
        <v>16</v>
      </c>
      <c r="AF17" t="n">
        <v>11</v>
      </c>
    </row>
    <row r="18">
      <c r="A18" t="inlineStr">
        <is>
          <t>7506552414843</t>
        </is>
      </c>
      <c r="B18" t="inlineStr">
        <is>
          <t>118235</t>
        </is>
      </c>
      <c r="C18" t="inlineStr">
        <is>
          <t>RCG65</t>
        </is>
      </c>
      <c r="D18" t="inlineStr">
        <is>
          <t>RCG65</t>
        </is>
      </c>
      <c r="E18" t="inlineStr">
        <is>
          <t>Ranch &amp; Corral</t>
        </is>
      </c>
      <c r="F18" t="inlineStr">
        <is>
          <t>Gorra Ganadera 65</t>
        </is>
      </c>
      <c r="G18" t="inlineStr">
        <is>
          <t>Talla única</t>
        </is>
      </c>
      <c r="H18" t="inlineStr">
        <is>
          <t>Cafe</t>
        </is>
      </c>
      <c r="I18" t="inlineStr">
        <is>
          <t>Accesorios</t>
        </is>
      </c>
      <c r="J18" t="inlineStr">
        <is>
          <t>Gorras</t>
        </is>
      </c>
      <c r="K18" t="inlineStr">
        <is>
          <t>Hombre</t>
        </is>
      </c>
      <c r="L18" t="inlineStr">
        <is>
          <t>PZS</t>
        </is>
      </c>
      <c r="M18" s="186" t="n">
        <v>275.38</v>
      </c>
      <c r="N18" s="186" t="n">
        <v>559.4827586</v>
      </c>
      <c r="O18" t="n">
        <v>27</v>
      </c>
      <c r="P18" t="n">
        <v>11</v>
      </c>
      <c r="Q18" t="n">
        <v>16</v>
      </c>
      <c r="R18" t="n">
        <v>16</v>
      </c>
      <c r="X18">
        <f>O18-W18</f>
        <v/>
      </c>
      <c r="AB18" s="186">
        <f>IFERROR(O18*M18,0)</f>
        <v/>
      </c>
      <c r="AC18" s="186">
        <f>IFERROR(O18*N18,0)</f>
        <v/>
      </c>
      <c r="AD18" t="inlineStr">
        <is>
          <t>Con existencia</t>
        </is>
      </c>
      <c r="AE18" t="n">
        <v>16</v>
      </c>
      <c r="AF18" t="n">
        <v>11</v>
      </c>
    </row>
    <row r="19">
      <c r="A19" t="inlineStr">
        <is>
          <t>7506552414867</t>
        </is>
      </c>
      <c r="B19" t="inlineStr">
        <is>
          <t>118236</t>
        </is>
      </c>
      <c r="C19" t="inlineStr">
        <is>
          <t>RCG67</t>
        </is>
      </c>
      <c r="D19" t="inlineStr">
        <is>
          <t>RCG67</t>
        </is>
      </c>
      <c r="E19" t="inlineStr">
        <is>
          <t>Ranch &amp; Corral</t>
        </is>
      </c>
      <c r="F19" t="inlineStr">
        <is>
          <t>Gorra Ganadera 67</t>
        </is>
      </c>
      <c r="G19" t="inlineStr">
        <is>
          <t>Talla única</t>
        </is>
      </c>
      <c r="H19" t="inlineStr">
        <is>
          <t>Negro</t>
        </is>
      </c>
      <c r="I19" t="inlineStr">
        <is>
          <t>Accesorios</t>
        </is>
      </c>
      <c r="J19" t="inlineStr">
        <is>
          <t>Gorras</t>
        </is>
      </c>
      <c r="K19" t="inlineStr">
        <is>
          <t>Hombre</t>
        </is>
      </c>
      <c r="L19" t="inlineStr">
        <is>
          <t>PZS</t>
        </is>
      </c>
      <c r="M19" s="186" t="n">
        <v>275.38</v>
      </c>
      <c r="N19" s="186" t="n">
        <v>559.4827586</v>
      </c>
      <c r="O19" t="n">
        <v>27</v>
      </c>
      <c r="P19" t="n">
        <v>11</v>
      </c>
      <c r="Q19" t="n">
        <v>16</v>
      </c>
      <c r="R19" t="n">
        <v>16</v>
      </c>
      <c r="X19">
        <f>O19-W19</f>
        <v/>
      </c>
      <c r="AB19" s="186">
        <f>IFERROR(O19*M19,0)</f>
        <v/>
      </c>
      <c r="AC19" s="186">
        <f>IFERROR(O19*N19,0)</f>
        <v/>
      </c>
      <c r="AD19" t="inlineStr">
        <is>
          <t>Con existencia</t>
        </is>
      </c>
      <c r="AE19" t="n">
        <v>16</v>
      </c>
      <c r="AF19" t="n">
        <v>11</v>
      </c>
    </row>
    <row r="20">
      <c r="A20" t="inlineStr">
        <is>
          <t>7506552415284</t>
        </is>
      </c>
      <c r="B20" t="inlineStr">
        <is>
          <t>118244</t>
        </is>
      </c>
      <c r="C20" t="inlineStr">
        <is>
          <t>RCPN10</t>
        </is>
      </c>
      <c r="D20" t="inlineStr">
        <is>
          <t>RCPN10</t>
        </is>
      </c>
      <c r="E20" t="inlineStr">
        <is>
          <t>Ranch &amp; Corral</t>
        </is>
      </c>
      <c r="F20" t="inlineStr">
        <is>
          <t>Gorra Porcino 10</t>
        </is>
      </c>
      <c r="G20" t="inlineStr">
        <is>
          <t>Talla única</t>
        </is>
      </c>
      <c r="H20" t="inlineStr">
        <is>
          <t>Beige</t>
        </is>
      </c>
      <c r="I20" t="inlineStr">
        <is>
          <t>Accesorios</t>
        </is>
      </c>
      <c r="J20" t="inlineStr">
        <is>
          <t>Gorras</t>
        </is>
      </c>
      <c r="K20" t="inlineStr">
        <is>
          <t>Hombre</t>
        </is>
      </c>
      <c r="L20" t="inlineStr">
        <is>
          <t>PZS</t>
        </is>
      </c>
      <c r="M20" s="186" t="n">
        <v>275.38</v>
      </c>
      <c r="N20" s="186" t="n">
        <v>559.4827586</v>
      </c>
      <c r="O20" t="n">
        <v>30</v>
      </c>
      <c r="P20" t="n">
        <v>12</v>
      </c>
      <c r="Q20" t="n">
        <v>18</v>
      </c>
      <c r="R20" t="n">
        <v>18</v>
      </c>
      <c r="X20">
        <f>O20-W20</f>
        <v/>
      </c>
      <c r="AB20" s="186">
        <f>IFERROR(O20*M20,0)</f>
        <v/>
      </c>
      <c r="AC20" s="186">
        <f>IFERROR(O20*N20,0)</f>
        <v/>
      </c>
      <c r="AD20" t="inlineStr">
        <is>
          <t>Con existencia</t>
        </is>
      </c>
      <c r="AE20" t="n">
        <v>18</v>
      </c>
      <c r="AF20" t="n">
        <v>12</v>
      </c>
    </row>
  </sheetData>
  <autoFilter ref="A1:AF2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42" customWidth="1" style="176" min="1" max="1"/>
    <col width="18" customWidth="1" style="176" min="2" max="2"/>
    <col width="30" customWidth="1" style="176" min="3" max="3"/>
    <col width="18" customWidth="1" style="176" min="4" max="4"/>
    <col width="18" customWidth="1" style="176" min="5" max="5"/>
    <col width="18" customWidth="1" style="176" min="6" max="6"/>
    <col width="18" customWidth="1" style="176" min="7" max="7"/>
    <col width="18" customWidth="1" style="176" min="8" max="8"/>
    <col width="18" customWidth="1" style="176" min="9" max="9"/>
    <col width="18" customWidth="1" style="176" min="10" max="10"/>
    <col width="18" customWidth="1" style="176" min="11" max="11"/>
  </cols>
  <sheetData>
    <row r="1">
      <c r="A1" s="187" t="inlineStr">
        <is>
          <t>Indicadores de inventario · Ranch &amp; Corral</t>
        </is>
      </c>
    </row>
    <row r="2">
      <c r="A2" t="inlineStr">
        <is>
          <t>NetSuite al 06/10/2026 · corte anterior NetSuite 28/09/2026 · Shopify Ariat 05/10/2026 · Shopify Stetson, Western Brothers y Odoo 01/10/2026</t>
        </is>
      </c>
    </row>
    <row r="4">
      <c r="A4" s="188" t="inlineStr">
        <is>
          <t>Existencia actual (NetSuite)</t>
        </is>
      </c>
      <c r="B4" s="189" t="n"/>
      <c r="C4" s="189" t="n"/>
      <c r="D4" s="189" t="n"/>
    </row>
    <row r="5">
      <c r="A5" s="190" t="inlineStr">
        <is>
          <t>Indicador</t>
        </is>
      </c>
      <c r="B5" s="190" t="inlineStr">
        <is>
          <t>Valor</t>
        </is>
      </c>
      <c r="C5" s="190" t="inlineStr">
        <is>
          <t>Nota</t>
        </is>
      </c>
    </row>
    <row r="6">
      <c r="A6" t="inlineStr">
        <is>
          <t>Artículos con existencia</t>
        </is>
      </c>
      <c r="B6" s="191">
        <f>COUNTIF(Inventario!$O$2:$O$20,"&gt;0")</f>
        <v/>
      </c>
      <c r="C6" t="inlineStr"/>
    </row>
    <row r="7">
      <c r="A7" t="inlineStr">
        <is>
          <t>Unidades en mano</t>
        </is>
      </c>
      <c r="B7" s="191">
        <f>SUM(Inventario!$O$2:$O$20)</f>
        <v/>
      </c>
      <c r="C7" t="inlineStr">
        <is>
          <t>Existencia del sistema</t>
        </is>
      </c>
    </row>
    <row r="8">
      <c r="A8" t="inlineStr">
        <is>
          <t>Unidades disponibles</t>
        </is>
      </c>
      <c r="B8" s="191">
        <f>SUM(Inventario!$P$2:$P$20)</f>
        <v/>
      </c>
      <c r="C8" t="inlineStr"/>
    </row>
    <row r="9">
      <c r="A9" t="inlineStr">
        <is>
          <t>Unidades comprometidas</t>
        </is>
      </c>
      <c r="B9" s="191">
        <f>SUM(Inventario!$Q$2:$Q$20)</f>
        <v/>
      </c>
      <c r="C9" t="inlineStr">
        <is>
          <t>Pedidos por surtir</t>
        </is>
      </c>
    </row>
    <row r="10">
      <c r="A10" t="inlineStr">
        <is>
          <t>Unidades en tránsito</t>
        </is>
      </c>
      <c r="B10" s="191">
        <f>SUM(Inventario!$S$2:$S$20)</f>
        <v/>
      </c>
      <c r="C10" t="inlineStr"/>
    </row>
    <row r="11">
      <c r="A11" t="inlineStr">
        <is>
          <t>Unidades en pedido</t>
        </is>
      </c>
      <c r="B11" s="191" t="n">
        <v>695</v>
      </c>
      <c r="C11" t="inlineStr">
        <is>
          <t>Órdenes de compra abiertas de 16 artículos; 0 de ellos aún no tienen existencia y no aparecen en la hoja Inventario</t>
        </is>
      </c>
    </row>
    <row r="12">
      <c r="A12" t="inlineStr">
        <is>
          <t>Unidades pendientes por surtir</t>
        </is>
      </c>
      <c r="B12" s="191">
        <f>SUM(Inventario!$T$2:$T$20)</f>
        <v/>
      </c>
      <c r="C12" t="inlineStr"/>
    </row>
    <row r="13">
      <c r="A13" t="inlineStr">
        <is>
          <t>Unidades en ubicaciones inactivas</t>
        </is>
      </c>
      <c r="B13" s="191">
        <f>SUM(Inventario!$U$2:$U$20)</f>
        <v/>
      </c>
      <c r="C13" t="inlineStr">
        <is>
          <t>Ubicaciones dadas de baja en NetSuite que aún tienen existencia</t>
        </is>
      </c>
    </row>
    <row r="14">
      <c r="A14" t="inlineStr">
        <is>
          <t>Artículos con existencia negativa</t>
        </is>
      </c>
      <c r="B14" s="191">
        <f>COUNTIF(Inventario!$O$2:$O$20,"&lt;0")</f>
        <v/>
      </c>
      <c r="C14" t="inlineStr">
        <is>
          <t>Revisar en conteo</t>
        </is>
      </c>
    </row>
    <row r="15">
      <c r="A15" t="inlineStr">
        <is>
          <t>Unidades en negativo</t>
        </is>
      </c>
      <c r="B15" s="191">
        <f>SUMIF(Inventario!$O$2:$O$20,"&lt;0")</f>
        <v/>
      </c>
      <c r="C15" t="inlineStr"/>
    </row>
    <row r="16">
      <c r="A16" t="inlineStr">
        <is>
          <t>Valor en mano a costo</t>
        </is>
      </c>
      <c r="B16" s="186">
        <f>SUM(Inventario!$AB$2:$AB$20)</f>
        <v/>
      </c>
      <c r="C16" t="inlineStr">
        <is>
          <t>Precio de compra de NetSuite; hay costos que parecen estar en dólares (ver Notas)</t>
        </is>
      </c>
    </row>
    <row r="17">
      <c r="A17" t="inlineStr">
        <is>
          <t>Valor en mano a precio de venta</t>
        </is>
      </c>
      <c r="B17" s="186">
        <f>SUM(Inventario!$AC$2:$AC$20)</f>
        <v/>
      </c>
      <c r="C17" t="inlineStr">
        <is>
          <t>Precio de venta sin IVA</t>
        </is>
      </c>
    </row>
    <row r="19">
      <c r="A19" s="188" t="inlineStr">
        <is>
          <t>Movimiento neto 28/09/2026 → 06/10/2026</t>
        </is>
      </c>
      <c r="B19" s="189" t="n"/>
      <c r="C19" s="189" t="n"/>
      <c r="D19" s="189" t="n"/>
    </row>
    <row r="20">
      <c r="A20" s="190" t="inlineStr">
        <is>
          <t>Indicador</t>
        </is>
      </c>
      <c r="B20" s="190" t="inlineStr">
        <is>
          <t>Valor</t>
        </is>
      </c>
      <c r="C20" s="190" t="inlineStr">
        <is>
          <t>Nota</t>
        </is>
      </c>
    </row>
    <row r="21">
      <c r="A21" t="inlineStr">
        <is>
          <t>Unidades en mano al 28/09/2026</t>
        </is>
      </c>
      <c r="B21" s="191">
        <f>SUM(Inventario!$W$2:$W$20)</f>
        <v/>
      </c>
      <c r="C21" t="inlineStr"/>
    </row>
    <row r="22">
      <c r="A22" t="inlineStr">
        <is>
          <t>Variación neta de unidades</t>
        </is>
      </c>
      <c r="B22" s="191">
        <f>SUM(Inventario!$X$2:$X$20)</f>
        <v/>
      </c>
      <c r="C22" t="inlineStr">
        <is>
          <t>En mano actual − en mano anterior</t>
        </is>
      </c>
    </row>
    <row r="23">
      <c r="A23" t="inlineStr">
        <is>
          <t>Unidades que salieron (neto)</t>
        </is>
      </c>
      <c r="B23" s="191">
        <f>SUMIF(Inventario!$X$2:$X$20,"&lt;0")</f>
        <v/>
      </c>
      <c r="C23" t="inlineStr">
        <is>
          <t>Ventas, traspasos o ajustes</t>
        </is>
      </c>
    </row>
    <row r="24">
      <c r="A24" t="inlineStr">
        <is>
          <t>Unidades que entraron (neto)</t>
        </is>
      </c>
      <c r="B24" s="191">
        <f>SUMIF(Inventario!$X$2:$X$20,"&gt;0")</f>
        <v/>
      </c>
      <c r="C24" t="inlineStr">
        <is>
          <t>Recepciones, traspasos o ajustes</t>
        </is>
      </c>
    </row>
    <row r="25">
      <c r="A25" t="inlineStr">
        <is>
          <t>Artículos que bajaron</t>
        </is>
      </c>
      <c r="B25" s="191">
        <f>COUNTIF(Inventario!$X$2:$X$20,"&lt;0")</f>
        <v/>
      </c>
      <c r="C25" t="inlineStr"/>
    </row>
    <row r="26">
      <c r="A26" t="inlineStr">
        <is>
          <t>Artículos que subieron</t>
        </is>
      </c>
      <c r="B26" s="191">
        <f>COUNTIF(Inventario!$X$2:$X$20,"&gt;0")</f>
        <v/>
      </c>
      <c r="C26" t="inlineStr"/>
    </row>
    <row r="27">
      <c r="A27" t="inlineStr">
        <is>
          <t>Artículos que se agotaron</t>
        </is>
      </c>
      <c r="B27" s="191">
        <f>COUNTIFS(Inventario!$O$2:$O$20,0,Inventario!$W$2:$W$20,"&gt;0")</f>
        <v/>
      </c>
      <c r="C27" t="inlineStr"/>
    </row>
    <row r="29">
      <c r="A29" s="188" t="inlineStr">
        <is>
          <t>Existencia en plataformas</t>
        </is>
      </c>
      <c r="B29" s="189" t="n"/>
      <c r="C29" s="189" t="n"/>
      <c r="D29" s="189" t="n"/>
    </row>
    <row r="30">
      <c r="A30" s="190" t="inlineStr">
        <is>
          <t>Plataforma</t>
        </is>
      </c>
      <c r="B30" s="190" t="inlineStr">
        <is>
          <t>Unidades</t>
        </is>
      </c>
      <c r="C30" s="190" t="inlineStr">
        <is>
          <t>Artículos con existencia</t>
        </is>
      </c>
      <c r="D30" s="190" t="inlineStr">
        <is>
          <t>Corte</t>
        </is>
      </c>
    </row>
    <row r="31">
      <c r="A31" t="inlineStr">
        <is>
          <t>Shopify Western Brothers</t>
        </is>
      </c>
      <c r="B31" s="191">
        <f>SUM(Inventario!$Y$2:$Y$20)</f>
        <v/>
      </c>
      <c r="C31" s="191">
        <f>COUNTIF(Inventario!$Y$2:$Y$20,"&gt;0")</f>
        <v/>
      </c>
      <c r="D31" t="inlineStr">
        <is>
          <t>01/10/2026</t>
        </is>
      </c>
    </row>
    <row r="33">
      <c r="A33" s="188" t="inlineStr">
        <is>
          <t>Conteo cíclico</t>
        </is>
      </c>
      <c r="B33" s="189" t="n"/>
      <c r="C33" s="189" t="n"/>
      <c r="D33" s="189" t="n"/>
    </row>
    <row r="34">
      <c r="A34" s="190" t="inlineStr">
        <is>
          <t>Indicador</t>
        </is>
      </c>
      <c r="B34" s="190" t="inlineStr">
        <is>
          <t>Valor</t>
        </is>
      </c>
    </row>
    <row r="35">
      <c r="A35" t="inlineStr">
        <is>
          <t>Piezas contadas en rack (Escaneos)</t>
        </is>
      </c>
      <c r="B35" s="191">
        <f>SUM(Inventario!$Z$2:$Z$20)</f>
        <v/>
      </c>
    </row>
    <row r="36">
      <c r="A36" t="inlineStr">
        <is>
          <t>Artículos contados</t>
        </is>
      </c>
      <c r="B36" s="191">
        <f>COUNTIF(Inventario!$Z$2:$Z$20,"&gt;0")</f>
        <v/>
      </c>
    </row>
    <row r="38">
      <c r="A38" s="188" t="inlineStr">
        <is>
          <t>Por ubicación NetSuite</t>
        </is>
      </c>
      <c r="B38" s="189" t="n"/>
      <c r="C38" s="189" t="n"/>
      <c r="D38" s="189" t="n"/>
      <c r="E38" s="189" t="n"/>
      <c r="F38" s="189" t="n"/>
      <c r="G38" s="189" t="n"/>
      <c r="H38" s="189" t="n"/>
      <c r="I38" s="189" t="n"/>
      <c r="J38" s="189" t="n"/>
      <c r="K38" s="189" t="n"/>
    </row>
    <row r="39">
      <c r="A39" s="190" t="inlineStr">
        <is>
          <t>Ubicación</t>
        </is>
      </c>
      <c r="B39" s="190" t="inlineStr">
        <is>
          <t>Bodega / tipo</t>
        </is>
      </c>
      <c r="C39" s="190" t="inlineStr">
        <is>
          <t>Activa</t>
        </is>
      </c>
      <c r="D39" s="190" t="inlineStr">
        <is>
          <t>En mano</t>
        </is>
      </c>
      <c r="E39" s="190" t="inlineStr">
        <is>
          <t>% del total</t>
        </is>
      </c>
      <c r="F39" s="190" t="inlineStr">
        <is>
          <t>Artículos con existencia</t>
        </is>
      </c>
      <c r="G39" s="190" t="inlineStr">
        <is>
          <t>Artículos en negativo</t>
        </is>
      </c>
      <c r="H39" s="190" t="inlineStr">
        <is>
          <t>En mano 28/09/2026</t>
        </is>
      </c>
      <c r="I39" s="190" t="inlineStr">
        <is>
          <t>Entradas netas</t>
        </is>
      </c>
      <c r="J39" s="190" t="inlineStr">
        <is>
          <t>Salidas netas</t>
        </is>
      </c>
      <c r="K39" s="190" t="inlineStr">
        <is>
          <t>Variación</t>
        </is>
      </c>
    </row>
    <row r="40">
      <c r="A40" t="inlineStr">
        <is>
          <t>B25 CEDIS</t>
        </is>
      </c>
      <c r="B40" t="inlineStr">
        <is>
          <t>Bodega 25</t>
        </is>
      </c>
      <c r="C40" t="inlineStr">
        <is>
          <t>Sí</t>
        </is>
      </c>
      <c r="D40" s="191">
        <f>SUM(Inventario!$AE$2:$AE$20)</f>
        <v/>
      </c>
      <c r="E40" s="193">
        <f>IFERROR(D40/SUM($D$40:$D$41),0)</f>
        <v/>
      </c>
      <c r="F40" s="191">
        <f>COUNTIF(Inventario!$AE$2:$AE$20,"&gt;0")</f>
        <v/>
      </c>
      <c r="G40" s="191">
        <f>COUNTIF(Inventario!$AE$2:$AE$20,"&lt;0")</f>
        <v/>
      </c>
      <c r="H40" s="191" t="n">
        <v>0</v>
      </c>
      <c r="I40" s="191" t="n">
        <v>695</v>
      </c>
      <c r="J40" s="191" t="n">
        <v>0</v>
      </c>
      <c r="K40" s="191">
        <f>D40-H40</f>
        <v/>
      </c>
    </row>
    <row r="41">
      <c r="A41" t="inlineStr">
        <is>
          <t>WB OUTLET LERMA</t>
        </is>
      </c>
      <c r="B41" t="inlineStr">
        <is>
          <t>Tienda</t>
        </is>
      </c>
      <c r="C41" t="inlineStr">
        <is>
          <t>Sí</t>
        </is>
      </c>
      <c r="D41" s="191">
        <f>SUM(Inventario!$AF$2:$AF$20)</f>
        <v/>
      </c>
      <c r="E41" s="193">
        <f>IFERROR(D41/SUM($D$40:$D$41),0)</f>
        <v/>
      </c>
      <c r="F41" s="191">
        <f>COUNTIF(Inventario!$AF$2:$AF$20,"&gt;0")</f>
        <v/>
      </c>
      <c r="G41" s="191">
        <f>COUNTIF(Inventario!$AF$2:$AF$20,"&lt;0")</f>
        <v/>
      </c>
      <c r="H41" s="191" t="n">
        <v>4</v>
      </c>
      <c r="I41" s="191" t="n">
        <v>247</v>
      </c>
      <c r="J41" s="191" t="n">
        <v>0</v>
      </c>
      <c r="K41" s="191">
        <f>D41-H41</f>
        <v/>
      </c>
    </row>
    <row r="42">
      <c r="A42" t="inlineStr">
        <is>
          <t>B25 WB MERCADO LIBRE</t>
        </is>
      </c>
      <c r="C42" t="inlineStr">
        <is>
          <t>Sí</t>
        </is>
      </c>
      <c r="D42" t="n">
        <v>0</v>
      </c>
      <c r="H42" s="191" t="n">
        <v>0</v>
      </c>
      <c r="I42" s="191" t="n">
        <v>0</v>
      </c>
      <c r="J42" s="191" t="n">
        <v>0</v>
      </c>
      <c r="K42" s="191">
        <f>D42-H42</f>
        <v/>
      </c>
    </row>
    <row r="43">
      <c r="A43" t="inlineStr">
        <is>
          <t>B25 WESTERN BROTHERS.MX</t>
        </is>
      </c>
      <c r="C43" t="inlineStr">
        <is>
          <t>Sí</t>
        </is>
      </c>
      <c r="D43" t="n">
        <v>0</v>
      </c>
      <c r="H43" s="191" t="n">
        <v>0</v>
      </c>
      <c r="I43" s="191" t="n">
        <v>0</v>
      </c>
      <c r="J43" s="191" t="n">
        <v>0</v>
      </c>
      <c r="K43" s="191">
        <f>D43-H43</f>
        <v/>
      </c>
    </row>
    <row r="45">
      <c r="A45" s="188" t="inlineStr">
        <is>
          <t>Por división</t>
        </is>
      </c>
      <c r="B45" s="189" t="n"/>
      <c r="C45" s="189" t="n"/>
      <c r="D45" s="189" t="n"/>
      <c r="E45" s="189" t="n"/>
      <c r="F45" s="189" t="n"/>
    </row>
    <row r="46">
      <c r="A46" s="190" t="inlineStr">
        <is>
          <t>División</t>
        </is>
      </c>
      <c r="B46" s="190" t="inlineStr">
        <is>
          <t>En mano</t>
        </is>
      </c>
      <c r="C46" s="190" t="inlineStr">
        <is>
          <t>Artículos con existencia</t>
        </is>
      </c>
      <c r="D46" s="190" t="inlineStr">
        <is>
          <t>Valor a costo</t>
        </is>
      </c>
      <c r="E46" s="190" t="inlineStr">
        <is>
          <t>Valor a precio de venta</t>
        </is>
      </c>
      <c r="F46" s="190" t="inlineStr">
        <is>
          <t>Variación neta</t>
        </is>
      </c>
    </row>
    <row r="47">
      <c r="A47" t="inlineStr">
        <is>
          <t>Accesorios</t>
        </is>
      </c>
      <c r="B47" s="191">
        <f>SUMIFS(Inventario!$O$2:$O$20,Inventario!$I$2:$I$20,"Accesorios")</f>
        <v/>
      </c>
      <c r="C47" s="191">
        <f>COUNTIFS(Inventario!$I$2:$I$20,"Accesorios",Inventario!$O$2:$O$20,"&gt;0")</f>
        <v/>
      </c>
      <c r="D47" s="186">
        <f>SUMIFS(Inventario!$AB$2:$AB$20,Inventario!$I$2:$I$20,"Accesorios")</f>
        <v/>
      </c>
      <c r="E47" s="186">
        <f>SUMIFS(Inventario!$AC$2:$AC$20,Inventario!$I$2:$I$20,"Accesorios")</f>
        <v/>
      </c>
      <c r="F47" s="191">
        <f>SUMIFS(Inventario!$X$2:$X$20,Inventario!$I$2:$I$20,"Accesorios")</f>
        <v/>
      </c>
    </row>
    <row r="49">
      <c r="A49" s="188" t="inlineStr">
        <is>
          <t>Por categoría</t>
        </is>
      </c>
      <c r="B49" s="189" t="n"/>
      <c r="C49" s="189" t="n"/>
      <c r="D49" s="189" t="n"/>
      <c r="E49" s="189" t="n"/>
      <c r="F49" s="189" t="n"/>
    </row>
    <row r="50">
      <c r="A50" s="190" t="inlineStr">
        <is>
          <t>Categoría</t>
        </is>
      </c>
      <c r="B50" s="190" t="inlineStr">
        <is>
          <t>En mano</t>
        </is>
      </c>
      <c r="C50" s="190" t="inlineStr">
        <is>
          <t>Artículos con existencia</t>
        </is>
      </c>
      <c r="D50" s="190" t="inlineStr">
        <is>
          <t>Valor a costo</t>
        </is>
      </c>
      <c r="E50" s="190" t="inlineStr">
        <is>
          <t>Valor a precio de venta</t>
        </is>
      </c>
      <c r="F50" s="190" t="inlineStr">
        <is>
          <t>Variación neta</t>
        </is>
      </c>
    </row>
    <row r="51">
      <c r="A51" t="inlineStr">
        <is>
          <t>Gorras</t>
        </is>
      </c>
      <c r="B51" s="191">
        <f>SUMIFS(Inventario!$O$2:$O$20,Inventario!$J$2:$J$20,"Gorras")</f>
        <v/>
      </c>
      <c r="C51" s="191">
        <f>COUNTIFS(Inventario!$J$2:$J$20,"Gorras",Inventario!$O$2:$O$20,"&gt;0")</f>
        <v/>
      </c>
      <c r="D51" s="186">
        <f>SUMIFS(Inventario!$AB$2:$AB$20,Inventario!$J$2:$J$20,"Gorras")</f>
        <v/>
      </c>
      <c r="E51" s="186">
        <f>SUMIFS(Inventario!$AC$2:$AC$20,Inventario!$J$2:$J$20,"Gorras")</f>
        <v/>
      </c>
      <c r="F51" s="191">
        <f>SUMIFS(Inventario!$X$2:$X$20,Inventario!$J$2:$J$20,"Gorras")</f>
        <v/>
      </c>
    </row>
    <row r="53">
      <c r="A53" s="188" t="inlineStr">
        <is>
          <t>15 artículos con más unidades en mano</t>
        </is>
      </c>
      <c r="B53" s="189" t="n"/>
      <c r="C53" s="189" t="n"/>
      <c r="D53" s="189" t="n"/>
      <c r="E53" s="189" t="n"/>
      <c r="F53" s="189" t="n"/>
    </row>
    <row r="54">
      <c r="A54" s="190" t="inlineStr">
        <is>
          <t>Código de barras</t>
        </is>
      </c>
      <c r="B54" s="190" t="inlineStr">
        <is>
          <t>WB SKU</t>
        </is>
      </c>
      <c r="C54" s="190" t="inlineStr">
        <is>
          <t>WB Descripcion</t>
        </is>
      </c>
      <c r="D54" s="190" t="inlineStr">
        <is>
          <t>WB Talla</t>
        </is>
      </c>
      <c r="E54" s="190" t="inlineStr">
        <is>
          <t>En mano</t>
        </is>
      </c>
      <c r="F54" s="190" t="inlineStr">
        <is>
          <t>Variación</t>
        </is>
      </c>
    </row>
    <row r="55">
      <c r="A55" t="inlineStr">
        <is>
          <t>7506552414683</t>
        </is>
      </c>
      <c r="B55" t="inlineStr">
        <is>
          <t>RCCB03</t>
        </is>
      </c>
      <c r="C55" t="inlineStr">
        <is>
          <t>Gorra Basic 03</t>
        </is>
      </c>
      <c r="D55" t="inlineStr">
        <is>
          <t>Talla única</t>
        </is>
      </c>
      <c r="E55" t="n">
        <v>177</v>
      </c>
      <c r="F55" t="n">
        <v>177</v>
      </c>
    </row>
    <row r="56">
      <c r="A56" t="inlineStr">
        <is>
          <t>7506552412023</t>
        </is>
      </c>
      <c r="B56" t="inlineStr">
        <is>
          <t>RCCB04</t>
        </is>
      </c>
      <c r="C56" t="inlineStr">
        <is>
          <t>Gorra Basic 04</t>
        </is>
      </c>
      <c r="D56" t="inlineStr">
        <is>
          <t>Talla única</t>
        </is>
      </c>
      <c r="E56" t="n">
        <v>177</v>
      </c>
      <c r="F56" t="n">
        <v>177</v>
      </c>
    </row>
    <row r="57">
      <c r="A57" t="inlineStr">
        <is>
          <t>7506552412030</t>
        </is>
      </c>
      <c r="B57" t="inlineStr">
        <is>
          <t>RCCB05</t>
        </is>
      </c>
      <c r="C57" t="inlineStr">
        <is>
          <t>Gorra Basic 05</t>
        </is>
      </c>
      <c r="D57" t="inlineStr">
        <is>
          <t>Talla única</t>
        </is>
      </c>
      <c r="E57" t="n">
        <v>176</v>
      </c>
      <c r="F57" t="n">
        <v>176</v>
      </c>
    </row>
    <row r="58">
      <c r="A58" t="inlineStr">
        <is>
          <t>7506552415215</t>
        </is>
      </c>
      <c r="B58" t="inlineStr">
        <is>
          <t>RCDB36</t>
        </is>
      </c>
      <c r="C58" t="inlineStr">
        <is>
          <t>Gorra Dog Breeds 36</t>
        </is>
      </c>
      <c r="D58" t="inlineStr">
        <is>
          <t>Talla única</t>
        </is>
      </c>
      <c r="E58" t="n">
        <v>59</v>
      </c>
      <c r="F58" t="n">
        <v>59</v>
      </c>
    </row>
    <row r="59">
      <c r="A59" t="inlineStr">
        <is>
          <t>7506552415208</t>
        </is>
      </c>
      <c r="B59" t="inlineStr">
        <is>
          <t>RCDB34</t>
        </is>
      </c>
      <c r="C59" t="inlineStr">
        <is>
          <t>Gorra Dog Breeds 34</t>
        </is>
      </c>
      <c r="D59" t="inlineStr">
        <is>
          <t>Talla única</t>
        </is>
      </c>
      <c r="E59" t="n">
        <v>58</v>
      </c>
      <c r="F59" t="n">
        <v>58</v>
      </c>
    </row>
    <row r="60">
      <c r="A60" t="inlineStr">
        <is>
          <t>7506552415284</t>
        </is>
      </c>
      <c r="B60" t="inlineStr">
        <is>
          <t>RCPN10</t>
        </is>
      </c>
      <c r="C60" t="inlineStr">
        <is>
          <t>Gorra Porcino 10</t>
        </is>
      </c>
      <c r="D60" t="inlineStr">
        <is>
          <t>Talla única</t>
        </is>
      </c>
      <c r="E60" t="n">
        <v>30</v>
      </c>
      <c r="F60" t="n">
        <v>30</v>
      </c>
    </row>
    <row r="61">
      <c r="A61" t="inlineStr">
        <is>
          <t>7506552415239</t>
        </is>
      </c>
      <c r="B61" t="inlineStr">
        <is>
          <t>RCAC11</t>
        </is>
      </c>
      <c r="C61" t="inlineStr">
        <is>
          <t>Gorra Agriculture 11</t>
        </is>
      </c>
      <c r="D61" t="inlineStr">
        <is>
          <t>Talla única</t>
        </is>
      </c>
      <c r="E61" t="n">
        <v>27</v>
      </c>
      <c r="F61" t="n">
        <v>27</v>
      </c>
    </row>
    <row r="62">
      <c r="A62" t="inlineStr">
        <is>
          <t>7506552415567</t>
        </is>
      </c>
      <c r="B62" t="inlineStr">
        <is>
          <t>RCCP12</t>
        </is>
      </c>
      <c r="C62" t="inlineStr">
        <is>
          <t>Gorra Caprino 12</t>
        </is>
      </c>
      <c r="D62" t="inlineStr">
        <is>
          <t>Talla única</t>
        </is>
      </c>
      <c r="E62" t="n">
        <v>27</v>
      </c>
      <c r="F62" t="n">
        <v>27</v>
      </c>
    </row>
    <row r="63">
      <c r="A63" t="inlineStr">
        <is>
          <t>7506552415161</t>
        </is>
      </c>
      <c r="B63" t="inlineStr">
        <is>
          <t>RCDB35</t>
        </is>
      </c>
      <c r="C63" t="inlineStr">
        <is>
          <t>Gorra Dog Breeds 35</t>
        </is>
      </c>
      <c r="D63" t="inlineStr">
        <is>
          <t>Talla única</t>
        </is>
      </c>
      <c r="E63" t="n">
        <v>27</v>
      </c>
      <c r="F63" t="n">
        <v>27</v>
      </c>
    </row>
    <row r="64">
      <c r="A64" t="inlineStr">
        <is>
          <t>7506552414928</t>
        </is>
      </c>
      <c r="B64" t="inlineStr">
        <is>
          <t>RCE65</t>
        </is>
      </c>
      <c r="C64" t="inlineStr">
        <is>
          <t>Gorra Equus 65</t>
        </is>
      </c>
      <c r="D64" t="inlineStr">
        <is>
          <t>Talla única</t>
        </is>
      </c>
      <c r="E64" t="n">
        <v>27</v>
      </c>
      <c r="F64" t="n">
        <v>27</v>
      </c>
    </row>
    <row r="65">
      <c r="A65" t="inlineStr">
        <is>
          <t>7506552414966</t>
        </is>
      </c>
      <c r="B65" t="inlineStr">
        <is>
          <t>RCE66</t>
        </is>
      </c>
      <c r="C65" t="inlineStr">
        <is>
          <t>Gorra Equus 66</t>
        </is>
      </c>
      <c r="D65" t="inlineStr">
        <is>
          <t>Talla única</t>
        </is>
      </c>
      <c r="E65" t="n">
        <v>27</v>
      </c>
      <c r="F65" t="n">
        <v>27</v>
      </c>
    </row>
    <row r="66">
      <c r="A66" t="inlineStr">
        <is>
          <t>7506552414973</t>
        </is>
      </c>
      <c r="B66" t="inlineStr">
        <is>
          <t>RCE67</t>
        </is>
      </c>
      <c r="C66" t="inlineStr">
        <is>
          <t>Gorra Equus 67</t>
        </is>
      </c>
      <c r="D66" t="inlineStr">
        <is>
          <t>Talla única</t>
        </is>
      </c>
      <c r="E66" t="n">
        <v>27</v>
      </c>
      <c r="F66" t="n">
        <v>27</v>
      </c>
    </row>
    <row r="67">
      <c r="A67" t="inlineStr">
        <is>
          <t>7506552414980</t>
        </is>
      </c>
      <c r="B67" t="inlineStr">
        <is>
          <t>RCE68</t>
        </is>
      </c>
      <c r="C67" t="inlineStr">
        <is>
          <t>Gorra Equus 68</t>
        </is>
      </c>
      <c r="D67" t="inlineStr">
        <is>
          <t>Talla única</t>
        </is>
      </c>
      <c r="E67" t="n">
        <v>27</v>
      </c>
      <c r="F67" t="n">
        <v>27</v>
      </c>
    </row>
    <row r="68">
      <c r="A68" t="inlineStr">
        <is>
          <t>7506552414843</t>
        </is>
      </c>
      <c r="B68" t="inlineStr">
        <is>
          <t>RCG65</t>
        </is>
      </c>
      <c r="C68" t="inlineStr">
        <is>
          <t>Gorra Ganadera 65</t>
        </is>
      </c>
      <c r="D68" t="inlineStr">
        <is>
          <t>Talla única</t>
        </is>
      </c>
      <c r="E68" t="n">
        <v>27</v>
      </c>
      <c r="F68" t="n">
        <v>27</v>
      </c>
    </row>
    <row r="69">
      <c r="A69" t="inlineStr">
        <is>
          <t>7506552414867</t>
        </is>
      </c>
      <c r="B69" t="inlineStr">
        <is>
          <t>RCG67</t>
        </is>
      </c>
      <c r="C69" t="inlineStr">
        <is>
          <t>Gorra Ganadera 67</t>
        </is>
      </c>
      <c r="D69" t="inlineStr">
        <is>
          <t>Talla única</t>
        </is>
      </c>
      <c r="E69" t="n">
        <v>27</v>
      </c>
      <c r="F69" t="n">
        <v>27</v>
      </c>
    </row>
    <row r="71">
      <c r="A71" s="188" t="inlineStr">
        <is>
          <t>15 artículos con más salida neta desde 28/09/2026</t>
        </is>
      </c>
      <c r="B71" s="189" t="n"/>
      <c r="C71" s="189" t="n"/>
      <c r="D71" s="189" t="n"/>
      <c r="E71" s="189" t="n"/>
      <c r="F71" s="189" t="n"/>
    </row>
    <row r="72">
      <c r="A72" s="190" t="inlineStr">
        <is>
          <t>Código de barras</t>
        </is>
      </c>
      <c r="B72" s="190" t="inlineStr">
        <is>
          <t>WB SKU</t>
        </is>
      </c>
      <c r="C72" s="190" t="inlineStr">
        <is>
          <t>WB Descripcion</t>
        </is>
      </c>
      <c r="D72" s="190" t="inlineStr">
        <is>
          <t>WB Talla</t>
        </is>
      </c>
      <c r="E72" s="190" t="inlineStr">
        <is>
          <t>En mano</t>
        </is>
      </c>
      <c r="F72" s="190" t="inlineStr">
        <is>
          <t>Variación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2026-10-06T22:53:53Z</dcterms:modified>
</cp:coreProperties>
</file>