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'Productos'!$A$1:$AR$12</definedName>
    <definedName name="_xlnm._FilterDatabase" localSheetId="7" hidden="1">'Revisión Duplicados'!$A$1:$AU$2</definedName>
    <definedName name="_xlnm._FilterDatabase" localSheetId="8" hidden="1">'Stock por Ubicación'!$A$1:$J$22</definedName>
    <definedName name="_xlnm._FilterDatabase" localSheetId="12" hidden="1">'Inventario'!$A$1:$AH$11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182900115001</t>
        </is>
      </c>
      <c r="B2" s="51" t="inlineStr">
        <is>
          <t>111788</t>
        </is>
      </c>
      <c r="C2" s="156" t="inlineStr">
        <is>
          <t>Multimarca</t>
        </is>
      </c>
      <c r="D2" s="156" t="inlineStr">
        <is>
          <t>WL0001</t>
        </is>
      </c>
      <c r="E2" s="156" t="inlineStr">
        <is>
          <t>WL0001-UNI</t>
        </is>
      </c>
      <c r="F2" s="156" t="inlineStr">
        <is>
          <t>Talla única</t>
        </is>
      </c>
      <c r="G2" s="156" t="inlineStr">
        <is>
          <t>One Size</t>
        </is>
      </c>
      <c r="H2" s="156" t="inlineStr">
        <is>
          <t>Generico</t>
        </is>
      </c>
      <c r="I2" s="156" t="inlineStr">
        <is>
          <t>Duffle de piel oversize</t>
        </is>
      </c>
      <c r="J2" s="156" t="inlineStr">
        <is>
          <t>Accesorios</t>
        </is>
      </c>
      <c r="K2" s="156" t="inlineStr">
        <is>
          <t>Equipaje</t>
        </is>
      </c>
      <c r="L2" s="156" t="inlineStr">
        <is>
          <t>Unisex</t>
        </is>
      </c>
      <c r="M2" s="156" t="inlineStr">
        <is>
          <t>Generico</t>
        </is>
      </c>
      <c r="N2" s="156" t="inlineStr">
        <is>
          <t>SS26</t>
        </is>
      </c>
      <c r="O2" s="156" t="inlineStr">
        <is>
          <t>Seasonal</t>
        </is>
      </c>
      <c r="P2" s="156" t="n"/>
      <c r="Q2" s="156" t="n"/>
      <c r="R2" s="156" t="n"/>
      <c r="S2" s="156" t="inlineStr">
        <is>
          <t>100% Piel</t>
        </is>
      </c>
      <c r="T2" s="156" t="inlineStr">
        <is>
          <t>Duffle de piel oversize</t>
        </is>
      </c>
      <c r="U2" s="156" t="inlineStr">
        <is>
          <t>Estados Unidos</t>
        </is>
      </c>
      <c r="V2" s="156" t="inlineStr">
        <is>
          <t>PZS</t>
        </is>
      </c>
      <c r="W2" s="51" t="inlineStr">
        <is>
          <t>53121500</t>
        </is>
      </c>
      <c r="X2" s="156" t="inlineStr">
        <is>
          <t>https://cdn.shopify.com/s/files/1/0774/1849/6185/files/WhatsAppImage2026-06-25at4.38.48PM_d84fc7e2-035d-4cbc-b9fd-349607a00a5c.jpg?v=1782523706</t>
        </is>
      </c>
      <c r="Y2" s="54" t="n">
        <v>2275</v>
      </c>
      <c r="Z2" s="54" t="n">
        <v>6499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IFERROR(_xlfn.XMATCH(A2,$A$2:$A$12,0,1)&lt;&gt;_xlfn.XMATCH(A2,$A$2:$A$12,0,-1),FALSE)), "Código de barras duplicado", ""), IF(AND(E2&lt;&gt;"", COUNTIF($E$2:$E$12,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1</v>
      </c>
      <c r="AE2" s="156" t="inlineStr">
        <is>
          <t>WB OUTLET LERMA: 1</t>
        </is>
      </c>
      <c r="AF2" s="51" t="n">
        <v>1</v>
      </c>
      <c r="AG2" s="156" t="inlineStr">
        <is>
          <t>Nuevo – NetSuite con existencia</t>
        </is>
      </c>
      <c r="AH2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01/10/2026: Shopify Western Brothers trae Género «Mujer» — se conservó el valor de Productos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ProductosCatalogoEstandar907.xlsx: fila 6173 [N,O,S,U,W,Y]; G1522_Extraccion_Articulos_NetSuite_2026-09-30.xlsx: fila 59390 [V,Z,T] | Shopify WB: producto 8577838809273 / variante 47786243260601</t>
        </is>
      </c>
      <c r="AL2" s="58" t="n">
        <v>2275</v>
      </c>
      <c r="AM2" s="58" t="n">
        <v>6499.00000012</v>
      </c>
      <c r="AN2" s="155" t="inlineStr">
        <is>
          <t>Shopify Western Brothers</t>
        </is>
      </c>
      <c r="AO2" s="59" t="n"/>
      <c r="AP2" s="59" t="n">
        <v>1</v>
      </c>
      <c r="AQ2" s="59" t="n"/>
      <c r="AR2" s="155" t="inlineStr">
        <is>
          <t>Shopify Western Brothers › Western Brothers Outlet Lerma: 1</t>
        </is>
      </c>
    </row>
    <row r="3">
      <c r="A3" s="50" t="inlineStr">
        <is>
          <t>182900115002</t>
        </is>
      </c>
      <c r="B3" s="51" t="inlineStr">
        <is>
          <t>111796</t>
        </is>
      </c>
      <c r="C3" s="156" t="inlineStr">
        <is>
          <t>Multimarca</t>
        </is>
      </c>
      <c r="D3" s="156" t="inlineStr">
        <is>
          <t>WL0002</t>
        </is>
      </c>
      <c r="E3" s="156" t="inlineStr">
        <is>
          <t>WL0002-UNI</t>
        </is>
      </c>
      <c r="F3" s="156" t="inlineStr">
        <is>
          <t>Talla única</t>
        </is>
      </c>
      <c r="G3" s="156" t="inlineStr">
        <is>
          <t>One Size</t>
        </is>
      </c>
      <c r="H3" s="156" t="inlineStr">
        <is>
          <t>Generico</t>
        </is>
      </c>
      <c r="I3" s="156" t="inlineStr">
        <is>
          <t>Mochila pelo de res/repujada</t>
        </is>
      </c>
      <c r="J3" s="156" t="inlineStr">
        <is>
          <t>Accesorios</t>
        </is>
      </c>
      <c r="K3" s="156" t="inlineStr">
        <is>
          <t>Mochilas</t>
        </is>
      </c>
      <c r="L3" s="156" t="inlineStr">
        <is>
          <t>Unisex</t>
        </is>
      </c>
      <c r="M3" s="156" t="inlineStr">
        <is>
          <t>Generico</t>
        </is>
      </c>
      <c r="N3" s="156" t="inlineStr">
        <is>
          <t>SS26</t>
        </is>
      </c>
      <c r="O3" s="156" t="inlineStr">
        <is>
          <t>Seasonal</t>
        </is>
      </c>
      <c r="P3" s="156" t="n"/>
      <c r="Q3" s="156" t="n"/>
      <c r="R3" s="156" t="n"/>
      <c r="S3" s="156" t="inlineStr">
        <is>
          <t>100% Piel</t>
        </is>
      </c>
      <c r="T3" s="156" t="inlineStr">
        <is>
          <t>Mochila pelo de res/repujada</t>
        </is>
      </c>
      <c r="U3" s="156" t="inlineStr">
        <is>
          <t>Estados Unidos</t>
        </is>
      </c>
      <c r="V3" s="156" t="inlineStr">
        <is>
          <t>PZS</t>
        </is>
      </c>
      <c r="W3" s="51" t="inlineStr">
        <is>
          <t>53121603</t>
        </is>
      </c>
      <c r="X3" s="156" t="inlineStr">
        <is>
          <t>https://cdn.shopify.com/s/files/1/0774/1849/6185/files/WhatsAppImage2026-06-25at4.38.49PM_1.jpg?v=1782523678</t>
        </is>
      </c>
      <c r="Y3" s="54" t="n">
        <v>1662.5</v>
      </c>
      <c r="Z3" s="54" t="n">
        <v>4050.862069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IFERROR(_xlfn.XMATCH(A3,$A$2:$A$12,0,1)&lt;&gt;_xlfn.XMATCH(A3,$A$2:$A$12,0,-1),FALSE)), "Código de barras duplicado", ""), IF(AND(E3&lt;&gt;"", COUNTIF($E$2:$E$12,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7</v>
      </c>
      <c r="AE3" s="156" t="inlineStr">
        <is>
          <t>WB OUTLET LERMA: 7</t>
        </is>
      </c>
      <c r="AF3" s="51" t="n">
        <v>7</v>
      </c>
      <c r="AG3" s="156" t="inlineStr">
        <is>
          <t>Nuevo – NetSuite con existencia</t>
        </is>
      </c>
      <c r="AH3" s="156" t="inlineStr">
        <is>
          <t>Color por validar | Revisión 29/09/2026: Campos sin respaldo: P, X; Auditoría NetSuite 30/09/2026: llenado desde NetSuite [V,Y,T] | 01/10/2026: complementado desde Shopify Western Brothers (match por código de barras): WB Fit, WB Silueta, Enlace de imagen | 01/10/2026: Shopify Western Brothers trae Género «Mujer» — se conservó el valor de Productos | Homologación G1522 06/10/2026: WB País de origen: «USA» → «Estados Unidos» (Corrección aplicada) · Validación G1522: Dígito de control del código de barras inválido</t>
        </is>
      </c>
      <c r="AI3" s="156" t="inlineStr">
        <is>
          <t>No</t>
        </is>
      </c>
      <c r="AJ3" s="156" t="n"/>
      <c r="AK3" s="155" t="inlineStr">
        <is>
          <t>ProductosCatalogoEstandar907.xlsx: fila 6174 [N,O,S,U,Y]; G1522_Extraccion_Articulos_NetSuite_2026-09-30.xlsx: fila 59398 [V,Y,T] | Shopify WB: producto 8577838940345 / variante 47786243391673</t>
        </is>
      </c>
      <c r="AL3" s="58" t="n">
        <v>1662.5</v>
      </c>
      <c r="AM3" s="58" t="n">
        <v>4699.00000004</v>
      </c>
      <c r="AN3" s="155" t="inlineStr">
        <is>
          <t>Shopify Western Brothers</t>
        </is>
      </c>
      <c r="AO3" s="59" t="n"/>
      <c r="AP3" s="59" t="n">
        <v>7</v>
      </c>
      <c r="AQ3" s="59" t="n"/>
      <c r="AR3" s="155" t="inlineStr">
        <is>
          <t>Shopify Western Brothers › Western Brothers Outlet Lerma: 7</t>
        </is>
      </c>
    </row>
    <row r="4">
      <c r="A4" s="50" t="inlineStr">
        <is>
          <t>182900115003</t>
        </is>
      </c>
      <c r="B4" s="51" t="inlineStr">
        <is>
          <t>111789</t>
        </is>
      </c>
      <c r="C4" s="156" t="inlineStr">
        <is>
          <t>Multimarca</t>
        </is>
      </c>
      <c r="D4" s="156" t="inlineStr">
        <is>
          <t>WL0003</t>
        </is>
      </c>
      <c r="E4" s="156" t="inlineStr">
        <is>
          <t>WL0003-UNI</t>
        </is>
      </c>
      <c r="F4" s="156" t="inlineStr">
        <is>
          <t>Talla única</t>
        </is>
      </c>
      <c r="G4" s="156" t="inlineStr">
        <is>
          <t>One Size</t>
        </is>
      </c>
      <c r="H4" s="156" t="inlineStr">
        <is>
          <t>Generico</t>
        </is>
      </c>
      <c r="I4" s="156" t="inlineStr">
        <is>
          <t>Duffle pelo de res/repujado</t>
        </is>
      </c>
      <c r="J4" s="156" t="inlineStr">
        <is>
          <t>Accesorios</t>
        </is>
      </c>
      <c r="K4" s="156" t="inlineStr">
        <is>
          <t>Equipaje</t>
        </is>
      </c>
      <c r="L4" s="156" t="inlineStr">
        <is>
          <t>Unisex</t>
        </is>
      </c>
      <c r="M4" s="156" t="inlineStr">
        <is>
          <t>Generico</t>
        </is>
      </c>
      <c r="N4" s="156" t="inlineStr">
        <is>
          <t>SS26</t>
        </is>
      </c>
      <c r="O4" s="156" t="inlineStr">
        <is>
          <t>Seasonal</t>
        </is>
      </c>
      <c r="P4" s="156" t="n"/>
      <c r="Q4" s="156" t="n"/>
      <c r="R4" s="156" t="n"/>
      <c r="S4" s="156" t="inlineStr">
        <is>
          <t>100% Piel</t>
        </is>
      </c>
      <c r="T4" s="156" t="inlineStr">
        <is>
          <t>Duffle pelo de res/repujado</t>
        </is>
      </c>
      <c r="U4" s="156" t="inlineStr">
        <is>
          <t>Estados Unidos</t>
        </is>
      </c>
      <c r="V4" s="156" t="inlineStr">
        <is>
          <t>PZS</t>
        </is>
      </c>
      <c r="W4" s="51" t="inlineStr">
        <is>
          <t>53121500</t>
        </is>
      </c>
      <c r="X4" s="156" t="inlineStr">
        <is>
          <t>https://cdn.shopify.com/s/files/1/0774/1849/6185/files/WhatsAppImage2026-06-25at4.38.46PM_2.jpg?v=1782523607</t>
        </is>
      </c>
      <c r="Y4" s="54" t="n">
        <v>1925</v>
      </c>
      <c r="Z4" s="54" t="n">
        <v>5499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IFERROR(_xlfn.XMATCH(A4,$A$2:$A$12,0,1)&lt;&gt;_xlfn.XMATCH(A4,$A$2:$A$12,0,-1),FALSE)), "Código de barras duplicado", ""), IF(AND(E4&lt;&gt;"", COUNTIF($E$2:$E$12,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4</v>
      </c>
      <c r="AE4" s="156" t="inlineStr">
        <is>
          <t>WB OUTLET LERMA: 4</t>
        </is>
      </c>
      <c r="AF4" s="51" t="n">
        <v>4</v>
      </c>
      <c r="AG4" s="156" t="inlineStr">
        <is>
          <t>Nuevo – NetSuite con existencia</t>
        </is>
      </c>
      <c r="AH4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01/10/2026: Shopify Western Brothers trae Género «Mujer» — se conservó el valor de Productos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ProductosCatalogoEstandar907.xlsx: fila 6175 [N,O,S,U,W,Y]; G1522_Extraccion_Articulos_NetSuite_2026-09-30.xlsx: fila 59391 [V,Z,T] | Shopify WB: producto 8577839038649 / variante 47786243686585</t>
        </is>
      </c>
      <c r="AL4" s="58" t="n">
        <v>1925</v>
      </c>
      <c r="AM4" s="58" t="n">
        <v>5498.99999956</v>
      </c>
      <c r="AN4" s="155" t="inlineStr">
        <is>
          <t>Shopify Western Brothers</t>
        </is>
      </c>
      <c r="AO4" s="59" t="n"/>
      <c r="AP4" s="59" t="n">
        <v>4</v>
      </c>
      <c r="AQ4" s="59" t="n"/>
      <c r="AR4" s="155" t="inlineStr">
        <is>
          <t>Shopify Western Brothers › Western Brothers Outlet Lerma: 4</t>
        </is>
      </c>
    </row>
    <row r="5">
      <c r="A5" s="50" t="inlineStr">
        <is>
          <t>182900115004</t>
        </is>
      </c>
      <c r="B5" s="51" t="inlineStr">
        <is>
          <t>111795</t>
        </is>
      </c>
      <c r="C5" s="156" t="inlineStr">
        <is>
          <t>Multimarca</t>
        </is>
      </c>
      <c r="D5" s="156" t="inlineStr">
        <is>
          <t>WL0004</t>
        </is>
      </c>
      <c r="E5" s="156" t="inlineStr">
        <is>
          <t>WL0004-UNI</t>
        </is>
      </c>
      <c r="F5" s="156" t="inlineStr">
        <is>
          <t>Talla única</t>
        </is>
      </c>
      <c r="G5" s="156" t="inlineStr">
        <is>
          <t>One Size</t>
        </is>
      </c>
      <c r="H5" s="156" t="inlineStr">
        <is>
          <t>Generico</t>
        </is>
      </c>
      <c r="I5" s="156" t="inlineStr">
        <is>
          <t>Monedero pelo de res</t>
        </is>
      </c>
      <c r="J5" s="156" t="inlineStr">
        <is>
          <t>Accesorios</t>
        </is>
      </c>
      <c r="K5" s="156" t="inlineStr">
        <is>
          <t>Carteras</t>
        </is>
      </c>
      <c r="L5" s="156" t="inlineStr">
        <is>
          <t>Unisex</t>
        </is>
      </c>
      <c r="M5" s="156" t="inlineStr">
        <is>
          <t>Generico</t>
        </is>
      </c>
      <c r="N5" s="156" t="inlineStr">
        <is>
          <t>SS26</t>
        </is>
      </c>
      <c r="O5" s="156" t="inlineStr">
        <is>
          <t>Seasonal</t>
        </is>
      </c>
      <c r="P5" s="156" t="n"/>
      <c r="Q5" s="156" t="n"/>
      <c r="R5" s="156" t="n"/>
      <c r="S5" s="156" t="inlineStr">
        <is>
          <t>100% Piel</t>
        </is>
      </c>
      <c r="T5" s="156" t="inlineStr">
        <is>
          <t>Monedero pelo de res</t>
        </is>
      </c>
      <c r="U5" s="156" t="inlineStr">
        <is>
          <t>Estados Unidos</t>
        </is>
      </c>
      <c r="V5" s="156" t="inlineStr">
        <is>
          <t>PZS</t>
        </is>
      </c>
      <c r="W5" s="51" t="inlineStr">
        <is>
          <t>53121700</t>
        </is>
      </c>
      <c r="X5" s="156" t="inlineStr">
        <is>
          <t>https://cdn.shopify.com/s/files/1/0774/1849/6185/files/WhatsAppImage2026-06-25at4.38.43PM_1_4b25f101-a6a4-46bb-bb06-17667f4ea190.jpg?v=1782523565</t>
        </is>
      </c>
      <c r="Y5" s="54" t="n">
        <v>105</v>
      </c>
      <c r="Z5" s="54" t="n">
        <v>257.7586207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IFERROR(_xlfn.XMATCH(A5,$A$2:$A$12,0,1)&lt;&gt;_xlfn.XMATCH(A5,$A$2:$A$12,0,-1),FALSE)), "Código de barras duplicado", ""), IF(AND(E5&lt;&gt;"", COUNTIF($E$2:$E$12,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18</v>
      </c>
      <c r="AE5" s="156" t="inlineStr">
        <is>
          <t>WB OUTLET LERMA: 18</t>
        </is>
      </c>
      <c r="AF5" s="51" t="n">
        <v>18</v>
      </c>
      <c r="AG5" s="156" t="inlineStr">
        <is>
          <t>Nuevo – NetSuite con existencia</t>
        </is>
      </c>
      <c r="AH5" s="156" t="inlineStr">
        <is>
          <t>Color por validar | Revisión 29/09/2026: Campos sin respaldo: P, X; Auditoría NetSuite 30/09/2026: llenado desde NetSuite [V,Y,T] | 01/10/2026: complementado desde Shopify Western Brothers (match por código de barras): WB Fit, WB Silueta, Enlace de imagen | 01/10/2026: Shopify Western Brothers trae Género «Mujer» — se conservó el valor de Productos | Homologación G1522 06/10/2026: WB País de origen: «USA» → «Estados Unidos» (Corrección aplicada) · Validación G1522: Dígito de control del código de barras inválido</t>
        </is>
      </c>
      <c r="AI5" s="156" t="inlineStr">
        <is>
          <t>No</t>
        </is>
      </c>
      <c r="AJ5" s="156" t="n"/>
      <c r="AK5" s="155" t="inlineStr">
        <is>
          <t>ProductosCatalogoEstandar907.xlsx: fila 6176 [N,O,S,U,Y]; G1522_Extraccion_Articulos_NetSuite_2026-09-30.xlsx: fila 59397 [V,Y,T] | Shopify WB: producto 8577839169721 / variante 47786243817657</t>
        </is>
      </c>
      <c r="AL5" s="58" t="n">
        <v>105</v>
      </c>
      <c r="AM5" s="58" t="n">
        <v>299.00000001</v>
      </c>
      <c r="AN5" s="155" t="inlineStr">
        <is>
          <t>Shopify Western Brothers</t>
        </is>
      </c>
      <c r="AO5" s="59" t="n"/>
      <c r="AP5" s="59" t="n">
        <v>18</v>
      </c>
      <c r="AQ5" s="59" t="n"/>
      <c r="AR5" s="155" t="inlineStr">
        <is>
          <t>Shopify Western Brothers › Western Brothers Outlet Lerma: 18</t>
        </is>
      </c>
    </row>
    <row r="6">
      <c r="A6" s="50" t="inlineStr">
        <is>
          <t>182900115005</t>
        </is>
      </c>
      <c r="B6" s="51" t="inlineStr">
        <is>
          <t>111790</t>
        </is>
      </c>
      <c r="C6" s="156" t="inlineStr">
        <is>
          <t>Multimarca</t>
        </is>
      </c>
      <c r="D6" s="156" t="inlineStr">
        <is>
          <t>WL0005</t>
        </is>
      </c>
      <c r="E6" s="156" t="inlineStr">
        <is>
          <t>WL0005-UNI</t>
        </is>
      </c>
      <c r="F6" s="156" t="inlineStr">
        <is>
          <t>Talla única</t>
        </is>
      </c>
      <c r="G6" s="156" t="inlineStr">
        <is>
          <t>One Size</t>
        </is>
      </c>
      <c r="H6" s="156" t="inlineStr">
        <is>
          <t>Generico</t>
        </is>
      </c>
      <c r="I6" s="156" t="inlineStr">
        <is>
          <t>Llavero repujado con grabado</t>
        </is>
      </c>
      <c r="J6" s="156" t="inlineStr">
        <is>
          <t>Accesorios</t>
        </is>
      </c>
      <c r="K6" s="156" t="inlineStr">
        <is>
          <t>Llaveros</t>
        </is>
      </c>
      <c r="L6" s="156" t="inlineStr">
        <is>
          <t>Unisex</t>
        </is>
      </c>
      <c r="M6" s="156" t="inlineStr">
        <is>
          <t>Generico</t>
        </is>
      </c>
      <c r="N6" s="156" t="inlineStr">
        <is>
          <t>SS26</t>
        </is>
      </c>
      <c r="O6" s="156" t="inlineStr">
        <is>
          <t>Seasonal</t>
        </is>
      </c>
      <c r="P6" s="156" t="n"/>
      <c r="Q6" s="156" t="n"/>
      <c r="R6" s="156" t="n"/>
      <c r="S6" s="156" t="inlineStr">
        <is>
          <t>100% Piel</t>
        </is>
      </c>
      <c r="T6" s="156" t="inlineStr">
        <is>
          <t>Llavero repujado con grabado</t>
        </is>
      </c>
      <c r="U6" s="156" t="inlineStr">
        <is>
          <t>Estados Unidos</t>
        </is>
      </c>
      <c r="V6" s="156" t="inlineStr">
        <is>
          <t>PZS</t>
        </is>
      </c>
      <c r="W6" s="51" t="inlineStr">
        <is>
          <t>46171515</t>
        </is>
      </c>
      <c r="X6" s="156" t="inlineStr">
        <is>
          <t>https://cdn.shopify.com/s/files/1/0774/1849/6185/files/WhatsAppImage2026-06-25at4.38.37PM_1_1a0d602e-94d7-49a3-867d-70ce2c5119ff.jpg?v=1782523518</t>
        </is>
      </c>
      <c r="Y6" s="54" t="n">
        <v>87.5</v>
      </c>
      <c r="Z6" s="54" t="n">
        <v>249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IFERROR(_xlfn.XMATCH(A6,$A$2:$A$12,0,1)&lt;&gt;_xlfn.XMATCH(A6,$A$2:$A$12,0,-1),FALSE)), "Código de barras duplicado", ""), IF(AND(E6&lt;&gt;"", COUNTIF($E$2:$E$12,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0</v>
      </c>
      <c r="AE6" s="156" t="n"/>
      <c r="AF6" s="51" t="n">
        <v>0</v>
      </c>
      <c r="AG6" s="156" t="inlineStr">
        <is>
          <t>Nuevo – NetSuite sin existencia</t>
        </is>
      </c>
      <c r="AH6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Homologación G1522 06/10/2026: WB País de origen: «USA» → «Estados Unidos» (Corrección aplicada) · Validador Shopify: WB: precio con IVA no termina en 9</t>
        </is>
      </c>
      <c r="AI6" s="156" t="inlineStr">
        <is>
          <t>No</t>
        </is>
      </c>
      <c r="AJ6" s="156" t="n"/>
      <c r="AK6" s="155" t="inlineStr">
        <is>
          <t>ProductosCatalogoEstandar907.xlsx: fila 6177 [N,O,S,U,W,Y]; G1522_Extraccion_Articulos_NetSuite_2026-09-30.xlsx: fila 59392 [V,Z,T] | Shopify WB: producto 8577839399097 / variante 47786244178105</t>
        </is>
      </c>
      <c r="AL6" s="58" t="n">
        <v>87.5</v>
      </c>
      <c r="AM6" s="58" t="n">
        <v>248.99999998</v>
      </c>
      <c r="AN6" s="155" t="inlineStr">
        <is>
          <t>Shopify Western Brothers</t>
        </is>
      </c>
      <c r="AO6" s="59" t="n"/>
      <c r="AP6" s="59" t="n">
        <v>0</v>
      </c>
      <c r="AQ6" s="59" t="n"/>
      <c r="AR6" s="155" t="n"/>
    </row>
    <row r="7">
      <c r="A7" s="50" t="inlineStr">
        <is>
          <t>182900115006</t>
        </is>
      </c>
      <c r="B7" s="51" t="inlineStr">
        <is>
          <t>111791</t>
        </is>
      </c>
      <c r="C7" s="156" t="inlineStr">
        <is>
          <t>Multimarca</t>
        </is>
      </c>
      <c r="D7" s="156" t="inlineStr">
        <is>
          <t>WL0006</t>
        </is>
      </c>
      <c r="E7" s="156" t="inlineStr">
        <is>
          <t>WL0006-UNI</t>
        </is>
      </c>
      <c r="F7" s="156" t="inlineStr">
        <is>
          <t>Talla única</t>
        </is>
      </c>
      <c r="G7" s="156" t="inlineStr">
        <is>
          <t>One Size</t>
        </is>
      </c>
      <c r="H7" s="156" t="inlineStr">
        <is>
          <t>Generico</t>
        </is>
      </c>
      <c r="I7" s="156" t="inlineStr">
        <is>
          <t>Llavero repujado con ilustración</t>
        </is>
      </c>
      <c r="J7" s="156" t="inlineStr">
        <is>
          <t>Accesorios</t>
        </is>
      </c>
      <c r="K7" s="156" t="inlineStr">
        <is>
          <t>Llaveros</t>
        </is>
      </c>
      <c r="L7" s="156" t="inlineStr">
        <is>
          <t>Unisex</t>
        </is>
      </c>
      <c r="M7" s="156" t="inlineStr">
        <is>
          <t>Generico</t>
        </is>
      </c>
      <c r="N7" s="156" t="inlineStr">
        <is>
          <t>SS26</t>
        </is>
      </c>
      <c r="O7" s="156" t="inlineStr">
        <is>
          <t>Seasonal</t>
        </is>
      </c>
      <c r="P7" s="156" t="n"/>
      <c r="Q7" s="156" t="n"/>
      <c r="R7" s="156" t="n"/>
      <c r="S7" s="156" t="inlineStr">
        <is>
          <t>100% Piel</t>
        </is>
      </c>
      <c r="T7" s="156" t="inlineStr">
        <is>
          <t>Llavero repujado con ilustración</t>
        </is>
      </c>
      <c r="U7" s="156" t="inlineStr">
        <is>
          <t>Estados Unidos</t>
        </is>
      </c>
      <c r="V7" s="156" t="inlineStr">
        <is>
          <t>PZS</t>
        </is>
      </c>
      <c r="W7" s="51" t="inlineStr">
        <is>
          <t>46171515</t>
        </is>
      </c>
      <c r="X7" s="156" t="inlineStr">
        <is>
          <t>https://cdn.shopify.com/s/files/1/0774/1849/6185/files/WhatsAppImage2026-06-25at4.38.35PM.jpg?v=1782523473</t>
        </is>
      </c>
      <c r="Y7" s="54" t="n">
        <v>87.5</v>
      </c>
      <c r="Z7" s="54" t="n">
        <v>249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IFERROR(_xlfn.XMATCH(A7,$A$2:$A$12,0,1)&lt;&gt;_xlfn.XMATCH(A7,$A$2:$A$12,0,-1),FALSE)), "Código de barras duplicado", ""), IF(AND(E7&lt;&gt;"", COUNTIF($E$2:$E$12,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9</v>
      </c>
      <c r="AE7" s="156" t="inlineStr">
        <is>
          <t>WB OUTLET LERMA: 9</t>
        </is>
      </c>
      <c r="AF7" s="51" t="n">
        <v>9</v>
      </c>
      <c r="AG7" s="156" t="inlineStr">
        <is>
          <t>Nuevo – NetSuite con existencia</t>
        </is>
      </c>
      <c r="AH7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7" s="156" t="inlineStr">
        <is>
          <t>No</t>
        </is>
      </c>
      <c r="AJ7" s="156" t="n"/>
      <c r="AK7" s="155" t="inlineStr">
        <is>
          <t>ProductosCatalogoEstandar907.xlsx: fila 6178 [N,O,S,U,W,Y]; G1522_Extraccion_Articulos_NetSuite_2026-09-30.xlsx: fila 59393 [V,Z,T] | Shopify WB: producto 8577839759545 / variante 47786244735161</t>
        </is>
      </c>
      <c r="AL7" s="58" t="n">
        <v>87.5</v>
      </c>
      <c r="AM7" s="58" t="n">
        <v>248.99999998</v>
      </c>
      <c r="AN7" s="155" t="inlineStr">
        <is>
          <t>Shopify Western Brothers</t>
        </is>
      </c>
      <c r="AO7" s="59" t="n"/>
      <c r="AP7" s="59" t="n">
        <v>9</v>
      </c>
      <c r="AQ7" s="59" t="n"/>
      <c r="AR7" s="155" t="inlineStr">
        <is>
          <t>Shopify Western Brothers › Western Brothers Outlet Lerma: 9</t>
        </is>
      </c>
    </row>
    <row r="8">
      <c r="A8" s="50" t="inlineStr">
        <is>
          <t>182900115007</t>
        </is>
      </c>
      <c r="B8" s="51" t="inlineStr">
        <is>
          <t>111792</t>
        </is>
      </c>
      <c r="C8" s="156" t="inlineStr">
        <is>
          <t>Multimarca</t>
        </is>
      </c>
      <c r="D8" s="156" t="inlineStr">
        <is>
          <t>WL0007</t>
        </is>
      </c>
      <c r="E8" s="156" t="inlineStr">
        <is>
          <t>WL0007-UNI</t>
        </is>
      </c>
      <c r="F8" s="156" t="inlineStr">
        <is>
          <t>Talla única</t>
        </is>
      </c>
      <c r="G8" s="156" t="inlineStr">
        <is>
          <t>One Size</t>
        </is>
      </c>
      <c r="H8" s="156" t="inlineStr">
        <is>
          <t>Generico</t>
        </is>
      </c>
      <c r="I8" s="156" t="inlineStr">
        <is>
          <t>Llavero contorno animal pelaje</t>
        </is>
      </c>
      <c r="J8" s="156" t="inlineStr">
        <is>
          <t>Accesorios</t>
        </is>
      </c>
      <c r="K8" s="156" t="inlineStr">
        <is>
          <t>Llaveros</t>
        </is>
      </c>
      <c r="L8" s="156" t="inlineStr">
        <is>
          <t>Unisex</t>
        </is>
      </c>
      <c r="M8" s="156" t="inlineStr">
        <is>
          <t>Generico</t>
        </is>
      </c>
      <c r="N8" s="156" t="inlineStr">
        <is>
          <t>SS26</t>
        </is>
      </c>
      <c r="O8" s="156" t="inlineStr">
        <is>
          <t>Seasonal</t>
        </is>
      </c>
      <c r="P8" s="156" t="n"/>
      <c r="Q8" s="156" t="n"/>
      <c r="R8" s="156" t="n"/>
      <c r="S8" s="156" t="inlineStr">
        <is>
          <t>100% Piel</t>
        </is>
      </c>
      <c r="T8" s="156" t="inlineStr">
        <is>
          <t>Llavero contorno animal pelaje</t>
        </is>
      </c>
      <c r="U8" s="156" t="inlineStr">
        <is>
          <t>Estados Unidos</t>
        </is>
      </c>
      <c r="V8" s="156" t="inlineStr">
        <is>
          <t>PZS</t>
        </is>
      </c>
      <c r="W8" s="51" t="inlineStr">
        <is>
          <t>46171515</t>
        </is>
      </c>
      <c r="X8" s="156" t="inlineStr">
        <is>
          <t>https://cdn.shopify.com/s/files/1/0774/1849/6185/files/WhatsAppImage2026-06-25at4.38.37PM.jpg?v=1782523454</t>
        </is>
      </c>
      <c r="Y8" s="54" t="n">
        <v>43.75</v>
      </c>
      <c r="Z8" s="54" t="n">
        <v>149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IFERROR(_xlfn.XMATCH(A8,$A$2:$A$12,0,1)&lt;&gt;_xlfn.XMATCH(A8,$A$2:$A$12,0,-1),FALSE)), "Código de barras duplicado", ""), IF(AND(E8&lt;&gt;"", COUNTIF($E$2:$E$12,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0</v>
      </c>
      <c r="AE8" s="156" t="n"/>
      <c r="AF8" s="51" t="n">
        <v>0</v>
      </c>
      <c r="AG8" s="156" t="inlineStr">
        <is>
          <t>Nuevo – NetSuite con existencia</t>
        </is>
      </c>
      <c r="AH8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8" s="156" t="inlineStr">
        <is>
          <t>No</t>
        </is>
      </c>
      <c r="AJ8" s="156" t="n"/>
      <c r="AK8" s="155" t="inlineStr">
        <is>
          <t>ProductosCatalogoEstandar907.xlsx: fila 6179 [N,O,S,U,W,Y]; G1522_Extraccion_Articulos_NetSuite_2026-09-30.xlsx: fila 59394 [V,Z,T] | Shopify WB: producto 8577840021689 / variante 47786244997305</t>
        </is>
      </c>
      <c r="AL8" s="58" t="n">
        <v>43.75</v>
      </c>
      <c r="AM8" s="58" t="n">
        <v>149.00000004</v>
      </c>
      <c r="AN8" s="155" t="inlineStr">
        <is>
          <t>Shopify Western Brothers</t>
        </is>
      </c>
      <c r="AO8" s="59" t="n"/>
      <c r="AP8" s="59" t="n">
        <v>2</v>
      </c>
      <c r="AQ8" s="59" t="n"/>
      <c r="AR8" s="155" t="inlineStr">
        <is>
          <t>Shopify Western Brothers › Western Brothers Outlet Lerma: 2</t>
        </is>
      </c>
    </row>
    <row r="9">
      <c r="A9" s="50" t="inlineStr">
        <is>
          <t>182900115008</t>
        </is>
      </c>
      <c r="B9" s="51" t="inlineStr">
        <is>
          <t>111793</t>
        </is>
      </c>
      <c r="C9" s="156" t="inlineStr">
        <is>
          <t>Multimarca</t>
        </is>
      </c>
      <c r="D9" s="156" t="inlineStr">
        <is>
          <t>WL0008</t>
        </is>
      </c>
      <c r="E9" s="156" t="inlineStr">
        <is>
          <t>WL0008-UNI</t>
        </is>
      </c>
      <c r="F9" s="156" t="inlineStr">
        <is>
          <t>Talla única</t>
        </is>
      </c>
      <c r="G9" s="156" t="inlineStr">
        <is>
          <t>One Size</t>
        </is>
      </c>
      <c r="H9" s="156" t="inlineStr">
        <is>
          <t>Generico</t>
        </is>
      </c>
      <c r="I9" s="156" t="inlineStr">
        <is>
          <t>Llavero destapador de asta</t>
        </is>
      </c>
      <c r="J9" s="156" t="inlineStr">
        <is>
          <t>Accesorios</t>
        </is>
      </c>
      <c r="K9" s="156" t="inlineStr">
        <is>
          <t>Llaveros</t>
        </is>
      </c>
      <c r="L9" s="156" t="inlineStr">
        <is>
          <t>Unisex</t>
        </is>
      </c>
      <c r="M9" s="156" t="inlineStr">
        <is>
          <t>Generico</t>
        </is>
      </c>
      <c r="N9" s="156" t="inlineStr">
        <is>
          <t>SS26</t>
        </is>
      </c>
      <c r="O9" s="156" t="inlineStr">
        <is>
          <t>Seasonal</t>
        </is>
      </c>
      <c r="P9" s="156" t="n"/>
      <c r="Q9" s="156" t="n"/>
      <c r="R9" s="156" t="n"/>
      <c r="S9" s="156" t="inlineStr">
        <is>
          <t>Asta / Metal</t>
        </is>
      </c>
      <c r="T9" s="156" t="inlineStr">
        <is>
          <t>Llavero destapador de asta</t>
        </is>
      </c>
      <c r="U9" s="156" t="inlineStr">
        <is>
          <t>Estados Unidos</t>
        </is>
      </c>
      <c r="V9" s="156" t="inlineStr">
        <is>
          <t>PZS</t>
        </is>
      </c>
      <c r="W9" s="51" t="inlineStr">
        <is>
          <t>46171515</t>
        </is>
      </c>
      <c r="X9" s="156" t="inlineStr">
        <is>
          <t>https://cdn.shopify.com/s/files/1/0774/1849/6185/files/WhatsAppImage2026-06-25at4.38.36PM.jpg?v=1782523439</t>
        </is>
      </c>
      <c r="Y9" s="54" t="n">
        <v>350</v>
      </c>
      <c r="Z9" s="54" t="n">
        <v>999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IFERROR(_xlfn.XMATCH(A9,$A$2:$A$12,0,1)&lt;&gt;_xlfn.XMATCH(A9,$A$2:$A$12,0,-1),FALSE)), "Código de barras duplicado", ""), IF(AND(E9&lt;&gt;"", COUNTIF($E$2:$E$12,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6</v>
      </c>
      <c r="AE9" s="156" t="inlineStr">
        <is>
          <t>WB OUTLET LERMA: 6</t>
        </is>
      </c>
      <c r="AF9" s="51" t="n">
        <v>6</v>
      </c>
      <c r="AG9" s="156" t="inlineStr">
        <is>
          <t>Nuevo – NetSuite con existencia</t>
        </is>
      </c>
      <c r="AH9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9" s="156" t="inlineStr">
        <is>
          <t>No</t>
        </is>
      </c>
      <c r="AJ9" s="156" t="n"/>
      <c r="AK9" s="155" t="inlineStr">
        <is>
          <t>ProductosCatalogoEstandar907.xlsx: fila 6180 [N,O,S,U,W,Y]; G1522_Extraccion_Articulos_NetSuite_2026-09-30.xlsx: fila 59395 [V,Z,T] | Shopify WB: producto 8577840152761 / variante 47786245128377</t>
        </is>
      </c>
      <c r="AL9" s="58" t="n">
        <v>350</v>
      </c>
      <c r="AM9" s="58" t="n">
        <v>999.00000006</v>
      </c>
      <c r="AN9" s="155" t="inlineStr">
        <is>
          <t>Shopify Western Brothers</t>
        </is>
      </c>
      <c r="AO9" s="59" t="n"/>
      <c r="AP9" s="59" t="n">
        <v>6</v>
      </c>
      <c r="AQ9" s="59" t="n"/>
      <c r="AR9" s="155" t="inlineStr">
        <is>
          <t>Shopify Western Brothers › Western Brothers Outlet Lerma: 6</t>
        </is>
      </c>
    </row>
    <row r="10">
      <c r="A10" s="50" t="inlineStr">
        <is>
          <t>182900115009</t>
        </is>
      </c>
      <c r="B10" s="51" t="inlineStr">
        <is>
          <t>111794</t>
        </is>
      </c>
      <c r="C10" s="156" t="inlineStr">
        <is>
          <t>Multimarca</t>
        </is>
      </c>
      <c r="D10" s="156" t="inlineStr">
        <is>
          <t>WL0009</t>
        </is>
      </c>
      <c r="E10" s="156" t="inlineStr">
        <is>
          <t>WL0009-UNI</t>
        </is>
      </c>
      <c r="F10" s="156" t="inlineStr">
        <is>
          <t>Talla única</t>
        </is>
      </c>
      <c r="G10" s="156" t="inlineStr">
        <is>
          <t>One Size</t>
        </is>
      </c>
      <c r="H10" s="156" t="inlineStr">
        <is>
          <t>Generico</t>
        </is>
      </c>
      <c r="I10" s="156" t="inlineStr">
        <is>
          <t>Llavero de crotal</t>
        </is>
      </c>
      <c r="J10" s="156" t="inlineStr">
        <is>
          <t>Accesorios</t>
        </is>
      </c>
      <c r="K10" s="156" t="inlineStr">
        <is>
          <t>Llaveros</t>
        </is>
      </c>
      <c r="L10" s="156" t="inlineStr">
        <is>
          <t>Unisex</t>
        </is>
      </c>
      <c r="M10" s="156" t="inlineStr">
        <is>
          <t>Generico</t>
        </is>
      </c>
      <c r="N10" s="156" t="inlineStr">
        <is>
          <t>SS26</t>
        </is>
      </c>
      <c r="O10" s="156" t="inlineStr">
        <is>
          <t>Seasonal</t>
        </is>
      </c>
      <c r="P10" s="156" t="n"/>
      <c r="Q10" s="156" t="n"/>
      <c r="R10" s="156" t="n"/>
      <c r="S10" s="156" t="inlineStr">
        <is>
          <t>Plastico</t>
        </is>
      </c>
      <c r="T10" s="156" t="inlineStr">
        <is>
          <t>Llavero de crotal</t>
        </is>
      </c>
      <c r="U10" s="156" t="inlineStr">
        <is>
          <t>Estados Unidos</t>
        </is>
      </c>
      <c r="V10" s="156" t="inlineStr">
        <is>
          <t>PZS</t>
        </is>
      </c>
      <c r="W10" s="51" t="inlineStr">
        <is>
          <t>46171515</t>
        </is>
      </c>
      <c r="X10" s="156" t="inlineStr">
        <is>
          <t>https://cdn.shopify.com/s/files/1/0774/1849/6185/files/WhatsAppImage2026-06-25at4.38.36PM_1.jpg?v=1782523386</t>
        </is>
      </c>
      <c r="Y10" s="54" t="n">
        <v>87.5</v>
      </c>
      <c r="Z10" s="54" t="n">
        <v>249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IFERROR(_xlfn.XMATCH(A10,$A$2:$A$12,0,1)&lt;&gt;_xlfn.XMATCH(A10,$A$2:$A$12,0,-1),FALSE)), "Código de barras duplicado", ""), IF(AND(E10&lt;&gt;"", COUNTIF($E$2:$E$12,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1</v>
      </c>
      <c r="AE10" s="156" t="inlineStr">
        <is>
          <t>WB OUTLET LERMA: 1</t>
        </is>
      </c>
      <c r="AF10" s="51" t="n">
        <v>1</v>
      </c>
      <c r="AG10" s="156" t="inlineStr">
        <is>
          <t>Nuevo – NetSuite con existencia</t>
        </is>
      </c>
      <c r="AH10" s="156" t="inlineStr">
        <is>
          <t>Color por validar; Clave SAT por validar | Revisión 29/09/2026: Campos sin respaldo: P, X; Auditoría NetSuite 30/09/2026: llenado desde NetSuite [V,Z,T] | 01/10/2026: complementado desde Shopify Western Brothers (match por código de barras): WB Fit, WB Silueta, Enlace de imagen | Homologación G1522 06/10/2026: WB País de origen: «USA» → «Estados Unidos» (Corrección aplicada) · Validación G1522: Dígito de control del código de barras inválido ·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ProductosCatalogoEstandar907.xlsx: fila 6181 [N,O,S,U,W,Y]; G1522_Extraccion_Articulos_NetSuite_2026-09-30.xlsx: fila 59396 [V,Z,T] | Shopify WB: producto 8577840283833 / variante 47786245259449</t>
        </is>
      </c>
      <c r="AL10" s="58" t="n">
        <v>87.5</v>
      </c>
      <c r="AM10" s="58" t="n">
        <v>248.99999998</v>
      </c>
      <c r="AN10" s="155" t="inlineStr">
        <is>
          <t>Shopify Western Brothers</t>
        </is>
      </c>
      <c r="AO10" s="59" t="n"/>
      <c r="AP10" s="59" t="n">
        <v>1</v>
      </c>
      <c r="AQ10" s="59" t="n"/>
      <c r="AR10" s="155" t="inlineStr">
        <is>
          <t>Shopify Western Brothers › Western Brothers Outlet Lerma: 1</t>
        </is>
      </c>
    </row>
    <row r="11">
      <c r="A11" s="50" t="inlineStr">
        <is>
          <t>182900115010</t>
        </is>
      </c>
      <c r="B11" s="51" t="inlineStr">
        <is>
          <t>111979</t>
        </is>
      </c>
      <c r="C11" s="156" t="inlineStr">
        <is>
          <t>Multimarca</t>
        </is>
      </c>
      <c r="D11" s="156" t="inlineStr">
        <is>
          <t>WL0010</t>
        </is>
      </c>
      <c r="E11" s="156" t="inlineStr">
        <is>
          <t>WL0010-UNI</t>
        </is>
      </c>
      <c r="F11" s="156" t="inlineStr">
        <is>
          <t>Talla única</t>
        </is>
      </c>
      <c r="G11" s="156" t="inlineStr">
        <is>
          <t>One Size</t>
        </is>
      </c>
      <c r="H11" s="156" t="inlineStr">
        <is>
          <t>Generico</t>
        </is>
      </c>
      <c r="I11" s="156" t="inlineStr">
        <is>
          <t>Pluma para Sombrero Chica</t>
        </is>
      </c>
      <c r="J11" s="156" t="inlineStr">
        <is>
          <t>Accesorios</t>
        </is>
      </c>
      <c r="K11" s="156" t="inlineStr">
        <is>
          <t>Plumas para sombrero</t>
        </is>
      </c>
      <c r="L11" s="156" t="inlineStr">
        <is>
          <t>Unisex</t>
        </is>
      </c>
      <c r="M11" s="156" t="inlineStr">
        <is>
          <t>Generico</t>
        </is>
      </c>
      <c r="N11" s="156" t="inlineStr">
        <is>
          <t>SS26</t>
        </is>
      </c>
      <c r="O11" s="156" t="inlineStr">
        <is>
          <t>Seasonal</t>
        </is>
      </c>
      <c r="P11" s="156" t="n"/>
      <c r="Q11" s="156" t="n"/>
      <c r="R11" s="156" t="n"/>
      <c r="S11" s="156" t="inlineStr">
        <is>
          <t>Pluma</t>
        </is>
      </c>
      <c r="T11" s="156" t="inlineStr">
        <is>
          <t>Pluma para Sombrero Chica</t>
        </is>
      </c>
      <c r="U11" s="156" t="inlineStr">
        <is>
          <t>México</t>
        </is>
      </c>
      <c r="V11" s="156" t="inlineStr">
        <is>
          <t>PZS</t>
        </is>
      </c>
      <c r="W11" s="51" t="inlineStr">
        <is>
          <t>11131501</t>
        </is>
      </c>
      <c r="X11" s="156" t="inlineStr">
        <is>
          <t>https://cdn.shopify.com/s/files/1/0888/3250/8267/files/511-F1CRpuL._AC_SY350.jpg?v=1782767679</t>
        </is>
      </c>
      <c r="Y11" s="54" t="n">
        <v>39</v>
      </c>
      <c r="Z11" s="54" t="n">
        <v>149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IFERROR(_xlfn.XMATCH(A11,$A$2:$A$12,0,1)&lt;&gt;_xlfn.XMATCH(A11,$A$2:$A$12,0,-1),FALSE)), "Código de barras duplicado", ""), IF(AND(E11&lt;&gt;"", COUNTIF($E$2:$E$12,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188</v>
      </c>
      <c r="AE11" s="156" t="inlineStr">
        <is>
          <t>STETSON AMERICAS: 157 | WB OUTLET LERMA: 35</t>
        </is>
      </c>
      <c r="AF11" s="51" t="n">
        <v>192</v>
      </c>
      <c r="AG11" s="156" t="inlineStr">
        <is>
          <t>Nuevo – NetSuite con existencia</t>
        </is>
      </c>
      <c r="AH11" s="156" t="inlineStr">
        <is>
          <t>Color por validar; Clave SAT por validar; Stock negativo en sistema: revisar en conteo | Revisión 29/09/2026: Campos sin respaldo: P, X; Auditoría NetSuite 30/09/2026: llenado desde NetSuite [V,Z,T] | 01/10/2026: complementado desde Shopify Stetson México (match por código de barras): WB Fit, Enlace de imagen | 01/10/2026: Shopify Stetson México trae SKU WL0010, Categoría «Sombreros» — se conservó el valor de Productos | 01/10/2026: Shopify Western Brothers trae Categoría «Sombreros» — se conservó el valor de Productos | Homologación G1522 06/10/2026: WB País de origen: «MEX» → «México» (Corrección aplicada) · Validación G1522: Dígito de control del código de barras inválido · Validador Shopify: WB: precio con IVA no termina en 9</t>
        </is>
      </c>
      <c r="AI11" s="156" t="inlineStr">
        <is>
          <t>Sí</t>
        </is>
      </c>
      <c r="AJ11" s="156" t="inlineStr">
        <is>
          <t>PUNTO DE VENTA: -4</t>
        </is>
      </c>
      <c r="AK11" s="155" t="inlineStr">
        <is>
          <t>ProductosCatalogoEstandar907.xlsx: fila 6182 [N,O,S,U,W,Y]; G1522_Extraccion_Articulos_NetSuite_2026-09-30.xlsx: fila 59401 [V,Z,T] | Shopify Stetson: producto 15077633065323 / variante 53437448880491 | Shopify WB: producto 15405165150393 / variante 67616077840569</t>
        </is>
      </c>
      <c r="AL11" s="58" t="n">
        <v>39</v>
      </c>
      <c r="AM11" s="58" t="n">
        <v>149.00000004</v>
      </c>
      <c r="AN11" s="155" t="inlineStr">
        <is>
          <t>Shopify Stetson México | Shopify Western Brothers</t>
        </is>
      </c>
      <c r="AO11" s="59" t="n">
        <v>-3</v>
      </c>
      <c r="AP11" s="59" t="n">
        <v>0</v>
      </c>
      <c r="AQ11" s="59" t="n"/>
      <c r="AR11" s="155" t="n"/>
    </row>
    <row r="12">
      <c r="A12" s="50" t="inlineStr">
        <is>
          <t>182900115011</t>
        </is>
      </c>
      <c r="B12" s="51" t="inlineStr">
        <is>
          <t>111980</t>
        </is>
      </c>
      <c r="C12" s="156" t="inlineStr">
        <is>
          <t>Multimarca</t>
        </is>
      </c>
      <c r="D12" s="156" t="inlineStr">
        <is>
          <t>WL0011</t>
        </is>
      </c>
      <c r="E12" s="156" t="inlineStr">
        <is>
          <t>WL0011-UNI</t>
        </is>
      </c>
      <c r="F12" s="156" t="inlineStr">
        <is>
          <t>Talla única</t>
        </is>
      </c>
      <c r="G12" s="156" t="inlineStr">
        <is>
          <t>One Size</t>
        </is>
      </c>
      <c r="H12" s="156" t="inlineStr">
        <is>
          <t>Generico</t>
        </is>
      </c>
      <c r="I12" s="156" t="inlineStr">
        <is>
          <t>Pluma para Sombrero Grande</t>
        </is>
      </c>
      <c r="J12" s="156" t="inlineStr">
        <is>
          <t>Accesorios</t>
        </is>
      </c>
      <c r="K12" s="156" t="inlineStr">
        <is>
          <t>Plumas para sombrero</t>
        </is>
      </c>
      <c r="L12" s="156" t="inlineStr">
        <is>
          <t>Unisex</t>
        </is>
      </c>
      <c r="M12" s="156" t="inlineStr">
        <is>
          <t>Generico</t>
        </is>
      </c>
      <c r="N12" s="156" t="inlineStr">
        <is>
          <t>SS26</t>
        </is>
      </c>
      <c r="O12" s="156" t="inlineStr">
        <is>
          <t>Seasonal</t>
        </is>
      </c>
      <c r="P12" s="156" t="n"/>
      <c r="Q12" s="156" t="n"/>
      <c r="R12" s="156" t="n"/>
      <c r="S12" s="156" t="inlineStr">
        <is>
          <t>Pluma</t>
        </is>
      </c>
      <c r="T12" s="156" t="inlineStr">
        <is>
          <t>Pluma para Sombrero Grande</t>
        </is>
      </c>
      <c r="U12" s="156" t="inlineStr">
        <is>
          <t>México</t>
        </is>
      </c>
      <c r="V12" s="156" t="inlineStr">
        <is>
          <t>PZS</t>
        </is>
      </c>
      <c r="W12" s="51" t="inlineStr">
        <is>
          <t>11131501</t>
        </is>
      </c>
      <c r="X12" s="156" t="inlineStr">
        <is>
          <t>https://cdn.shopify.com/s/files/1/0888/3250/8267/files/95641814-bfe1-428c-bc2c-44bda4da4671.551a4d940cf55518cd33c4132e59552b.jpg?v=1782767504</t>
        </is>
      </c>
      <c r="Y12" s="54" t="n">
        <v>79</v>
      </c>
      <c r="Z12" s="54" t="n">
        <v>299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IFERROR(_xlfn.XMATCH(A12,$A$2:$A$12,0,1)&lt;&gt;_xlfn.XMATCH(A12,$A$2:$A$12,0,-1),FALSE)), "Código de barras duplicado", ""), IF(AND(E12&lt;&gt;"", COUNTIF($E$2:$E$12,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20</v>
      </c>
      <c r="AE12" s="156" t="inlineStr">
        <is>
          <t>STETSON AMERICAS: 10 | WB OUTLET LERMA: 10</t>
        </is>
      </c>
      <c r="AF12" s="51" t="n">
        <v>20</v>
      </c>
      <c r="AG12" s="156" t="inlineStr">
        <is>
          <t>Nuevo – NetSuite con existencia</t>
        </is>
      </c>
      <c r="AH12" s="156" t="inlineStr">
        <is>
          <t>Color por validar; Clave SAT por validar | Revisión 29/09/2026: Campos sin respaldo: P, X; Auditoría NetSuite 30/09/2026: llenado desde NetSuite [V,Z,T] | 01/10/2026: complementado desde Shopify Stetson México (match por código de barras): WB Fit, Enlace de imagen | 01/10/2026: Shopify Stetson México trae SKU WL0011, Categoría «Sombreros» — se conservó el valor de Productos | 01/10/2026: Shopify Western Brothers trae Categoría «Sombreros» — se conservó el valor de Productos | Homologación G1522 06/10/2026: WB País de origen: «MEX» → «México» (Corrección aplicada) · Validación G1522: Dígito de control del código de barras inválido ·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ProductosCatalogoEstandar907.xlsx: fila 6183 [N,O,S,U,W,Y]; G1522_Extraccion_Articulos_NetSuite_2026-09-30.xlsx: fila 59402 [V,Z,T] | Shopify Stetson: producto 15077632901483 / variante 53437448192363 | Shopify WB: producto 15405165412537 / variante 67616085606585</t>
        </is>
      </c>
      <c r="AL12" s="58" t="n">
        <v>120</v>
      </c>
      <c r="AM12" s="58" t="n">
        <v>299.00000001</v>
      </c>
      <c r="AN12" s="155" t="inlineStr">
        <is>
          <t>Shopify Stetson México | Shopify Western Brothers</t>
        </is>
      </c>
      <c r="AO12" s="59" t="n">
        <v>15</v>
      </c>
      <c r="AP12" s="59" t="n">
        <v>0</v>
      </c>
      <c r="AQ12" s="59" t="n"/>
      <c r="AR12" s="155" t="inlineStr">
        <is>
          <t>Shopify Stetson México › Stetson Americas: 15</t>
        </is>
      </c>
    </row>
  </sheetData>
  <autoFilter ref="A1:AR12"/>
  <conditionalFormatting sqref="AA2:AA12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12">
    <cfRule type="expression" priority="3" dxfId="18" stopIfTrue="1">
      <formula>AND(AB2&lt;&gt;"", AA2="Con Incidencias")</formula>
    </cfRule>
  </conditionalFormatting>
  <dataValidations count="11">
    <dataValidation sqref="O2:O12" showDropDown="0" showInputMessage="0" showErrorMessage="0" allowBlank="1" type="list">
      <formula1>"Seasonal,Core,No Aplica"</formula1>
    </dataValidation>
    <dataValidation sqref="C2:C12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12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12" showDropDown="0" showInputMessage="0" showErrorMessage="0" allowBlank="1" type="list">
      <formula1>"Rojo,Azul,Amarillo,Verde,Naranja,Morado,Rosa,Negro,Blanco,Gris,Beige,Cafe,Varios,No Aplica"</formula1>
    </dataValidation>
    <dataValidation sqref="R2:R12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12" showDropDown="0" showInputMessage="0" showErrorMessage="1" allowBlank="1" type="list">
      <formula1>Criterios!$A$81:$A$120</formula1>
    </dataValidation>
    <dataValidation sqref="N2:N12" showDropDown="0" showInputMessage="0" showErrorMessage="0" allowBlank="1" type="list">
      <formula1>"SS26,FW26,SS27,FW27,SS28,FW28,No Aplica"</formula1>
    </dataValidation>
    <dataValidation sqref="Q2:Q12" showDropDown="0" showInputMessage="0" showErrorMessage="0" allowBlank="1" type="list">
      <formula1>"Regular,Relajado,Slim,Clásico,Moderno,Recto,Bootcut"</formula1>
    </dataValidation>
    <dataValidation sqref="J2:J12" showDropDown="0" showInputMessage="0" showErrorMessage="0" allowBlank="1" type="list">
      <formula1>"Accesorios,Ropa,Denim,Calzado,No Aplica"</formula1>
    </dataValidation>
    <dataValidation sqref="L2:L12" showDropDown="0" showInputMessage="0" showErrorMessage="0" allowBlank="1" type="list">
      <formula1>"Hombre,Mujer,Niño,Niña,Unisex,No Aplica"</formula1>
    </dataValidation>
    <dataValidation sqref="V2:V12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12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11, 16)"),"052356088867")</f>
        <v/>
      </c>
      <c r="Q2">
        <f>IFERROR(__xludf.DUMMYFUNCTION("MAP(FILTER(A2:A12, (B2:B12&lt;&gt;"""")+(D2:D12&lt;&gt;"""")), FILTER(B2:B12, (B2:B12&lt;&gt;"""")+(D2:D12&lt;&gt;"""")),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IFERROR(__xludf.DUMMYFUNCTION("MAP(FILTER(A2:A12, (B2:B12&lt;&gt;"""")+(D2:D12&lt;&gt;"""")), FILTER(B2:B12, (B2:B12&lt;&gt;"""")+(D2:D12&lt;&gt;"""")), FILTER(Q2:Q12, (B2:B12&lt;&gt;"""")+(D2:D12&lt;&gt;"""")),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PUNTO DE VENTA</t>
        </is>
      </c>
      <c r="B2" s="5">
        <f>IF($I2="","",INDEX(Productos!$A:$A,$I2))</f>
        <v/>
      </c>
      <c r="C2" s="134" t="inlineStr">
        <is>
          <t>WL0010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-4</v>
      </c>
      <c r="H2" s="5">
        <f>IF($I2="","",INDEX(Productos!$AG:$AG,$I2))</f>
        <v/>
      </c>
      <c r="I2" s="136">
        <f>LET(_xlpm.r,Productos!$E$2:$E$12,_xlpm.m,IFERROR(_xlfn.XMATCH(C2,_xlpm.r),IFERROR(_xlfn.XMATCH(VALUE(C2),_xlpm.r),0)),IF(_xlpm.m=0,"",_xlpm.m+1))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STETSON AMERICAS</t>
        </is>
      </c>
      <c r="B3" s="5">
        <f>IF($I2="","",INDEX(Productos!$A:$A,$I2))</f>
        <v/>
      </c>
      <c r="C3" s="134" t="inlineStr">
        <is>
          <t>WL0010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157</v>
      </c>
      <c r="H3" s="5">
        <f>IF($I2="","",INDEX(Productos!$AG:$AG,$I2))</f>
        <v/>
      </c>
      <c r="I3" s="136">
        <f>LET(_xlpm.r,Productos!$E$2:$E$12,_xlpm.m,IFERROR(_xlfn.XMATCH(C3,_xlpm.r),IFERROR(_xlfn.XMATCH(VALUE(C3),_xlpm.r),0)),IF(_xlpm.m=0,"",_xlpm.m+1))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STETSON AMERICAS</t>
        </is>
      </c>
      <c r="B4" s="5">
        <f>IF($I2="","",INDEX(Productos!$A:$A,$I2))</f>
        <v/>
      </c>
      <c r="C4" s="134" t="inlineStr">
        <is>
          <t>WL0011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10</v>
      </c>
      <c r="H4" s="5">
        <f>IF($I2="","",INDEX(Productos!$AG:$AG,$I2))</f>
        <v/>
      </c>
      <c r="I4" s="136">
        <f>LET(_xlpm.r,Productos!$E$2:$E$12,_xlpm.m,IFERROR(_xlfn.XMATCH(C4,_xlpm.r),IFERROR(_xlfn.XMATCH(VALUE(C4),_xlpm.r),0)),IF(_xlpm.m=0,"",_xlpm.m+1))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WB OUTLET LERMA</t>
        </is>
      </c>
      <c r="B5" s="5">
        <f>IF($I2="","",INDEX(Productos!$A:$A,$I2))</f>
        <v/>
      </c>
      <c r="C5" s="134" t="inlineStr">
        <is>
          <t>WL0001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1</v>
      </c>
      <c r="H5" s="5">
        <f>IF($I2="","",INDEX(Productos!$AG:$AG,$I2))</f>
        <v/>
      </c>
      <c r="I5" s="136">
        <f>LET(_xlpm.r,Productos!$E$2:$E$12,_xlpm.m,IFERROR(_xlfn.XMATCH(C5,_xlpm.r),IFERROR(_xlfn.XMATCH(VALUE(C5),_xlpm.r),0)),IF(_xlpm.m=0,"",_xlpm.m+1))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WB OUTLET LERMA</t>
        </is>
      </c>
      <c r="B6" s="5">
        <f>IF($I2="","",INDEX(Productos!$A:$A,$I2))</f>
        <v/>
      </c>
      <c r="C6" s="134" t="inlineStr">
        <is>
          <t>WL0002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7</v>
      </c>
      <c r="H6" s="5">
        <f>IF($I2="","",INDEX(Productos!$AG:$AG,$I2))</f>
        <v/>
      </c>
      <c r="I6" s="136">
        <f>LET(_xlpm.r,Productos!$E$2:$E$12,_xlpm.m,IFERROR(_xlfn.XMATCH(C6,_xlpm.r),IFERROR(_xlfn.XMATCH(VALUE(C6),_xlpm.r),0)),IF(_xlpm.m=0,"",_xlpm.m+1))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WB OUTLET LERMA</t>
        </is>
      </c>
      <c r="B7" s="5">
        <f>IF($I2="","",INDEX(Productos!$A:$A,$I2))</f>
        <v/>
      </c>
      <c r="C7" s="134" t="inlineStr">
        <is>
          <t>WL0003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4</v>
      </c>
      <c r="H7" s="5">
        <f>IF($I2="","",INDEX(Productos!$AG:$AG,$I2))</f>
        <v/>
      </c>
      <c r="I7" s="136">
        <f>LET(_xlpm.r,Productos!$E$2:$E$12,_xlpm.m,IFERROR(_xlfn.XMATCH(C7,_xlpm.r),IFERROR(_xlfn.XMATCH(VALUE(C7),_xlpm.r),0)),IF(_xlpm.m=0,"",_xlpm.m+1))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WB OUTLET LERMA</t>
        </is>
      </c>
      <c r="B8" s="5">
        <f>IF($I2="","",INDEX(Productos!$A:$A,$I2))</f>
        <v/>
      </c>
      <c r="C8" s="134" t="inlineStr">
        <is>
          <t>WL0004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18</v>
      </c>
      <c r="H8" s="5">
        <f>IF($I2="","",INDEX(Productos!$AG:$AG,$I2))</f>
        <v/>
      </c>
      <c r="I8" s="136">
        <f>LET(_xlpm.r,Productos!$E$2:$E$12,_xlpm.m,IFERROR(_xlfn.XMATCH(C8,_xlpm.r),IFERROR(_xlfn.XMATCH(VALUE(C8),_xlpm.r),0)),IF(_xlpm.m=0,"",_xlpm.m+1))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WB OUTLET LERMA</t>
        </is>
      </c>
      <c r="B9" s="5">
        <f>IF($I2="","",INDEX(Productos!$A:$A,$I2))</f>
        <v/>
      </c>
      <c r="C9" s="134" t="inlineStr">
        <is>
          <t>WL0006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9</v>
      </c>
      <c r="H9" s="5">
        <f>IF($I2="","",INDEX(Productos!$AG:$AG,$I2))</f>
        <v/>
      </c>
      <c r="I9" s="136">
        <f>LET(_xlpm.r,Productos!$E$2:$E$12,_xlpm.m,IFERROR(_xlfn.XMATCH(C9,_xlpm.r),IFERROR(_xlfn.XMATCH(VALUE(C9),_xlpm.r),0)),IF(_xlpm.m=0,"",_xlpm.m+1))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WB OUTLET LERMA</t>
        </is>
      </c>
      <c r="B10" s="5">
        <f>IF($I2="","",INDEX(Productos!$A:$A,$I2))</f>
        <v/>
      </c>
      <c r="C10" s="134" t="inlineStr">
        <is>
          <t>WL0008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6</v>
      </c>
      <c r="H10" s="5">
        <f>IF($I2="","",INDEX(Productos!$AG:$AG,$I2))</f>
        <v/>
      </c>
      <c r="I10" s="136">
        <f>LET(_xlpm.r,Productos!$E$2:$E$12,_xlpm.m,IFERROR(_xlfn.XMATCH(C10,_xlpm.r),IFERROR(_xlfn.XMATCH(VALUE(C10),_xlpm.r),0)),IF(_xlpm.m=0,"",_xlpm.m+1))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WB OUTLET LERMA</t>
        </is>
      </c>
      <c r="B11" s="5">
        <f>IF($I2="","",INDEX(Productos!$A:$A,$I2))</f>
        <v/>
      </c>
      <c r="C11" s="134" t="inlineStr">
        <is>
          <t>WL0009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1</v>
      </c>
      <c r="H11" s="5">
        <f>IF($I2="","",INDEX(Productos!$AG:$AG,$I2))</f>
        <v/>
      </c>
      <c r="I11" s="136">
        <f>LET(_xlpm.r,Productos!$E$2:$E$12,_xlpm.m,IFERROR(_xlfn.XMATCH(C11,_xlpm.r),IFERROR(_xlfn.XMATCH(VALUE(C11),_xlpm.r),0)),IF(_xlpm.m=0,"",_xlpm.m+1))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WB OUTLET LERMA</t>
        </is>
      </c>
      <c r="B12" s="5">
        <f>IF($I2="","",INDEX(Productos!$A:$A,$I2))</f>
        <v/>
      </c>
      <c r="C12" s="134" t="inlineStr">
        <is>
          <t>WL0010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35</v>
      </c>
      <c r="H12" s="5">
        <f>IF($I2="","",INDEX(Productos!$AG:$AG,$I2))</f>
        <v/>
      </c>
      <c r="I12" s="136">
        <f>LET(_xlpm.r,Productos!$E$2:$E$12,_xlpm.m,IFERROR(_xlfn.XMATCH(C12,_xlpm.r),IFERROR(_xlfn.XMATCH(VALUE(C12),_xlpm.r),0)),IF(_xlpm.m=0,"",_xlpm.m+1))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WB OUTLET LERMA</t>
        </is>
      </c>
      <c r="B13" s="5">
        <f>IF($I2="","",INDEX(Productos!$A:$A,$I2))</f>
        <v/>
      </c>
      <c r="C13" s="134" t="inlineStr">
        <is>
          <t>WL0011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10</v>
      </c>
      <c r="H13" s="5">
        <f>IF($I2="","",INDEX(Productos!$AG:$AG,$I2))</f>
        <v/>
      </c>
      <c r="I13" s="136">
        <f>LET(_xlpm.r,Productos!$E$2:$E$12,_xlpm.m,IFERROR(_xlfn.XMATCH(C13,_xlpm.r),IFERROR(_xlfn.XMATCH(VALUE(C13),_xlpm.r),0)),IF(_xlpm.m=0,"",_xlpm.m+1))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Shopify Stetson México › Stetson Americas</t>
        </is>
      </c>
      <c r="B14" s="5">
        <f>IF($I2="","",INDEX(Productos!$A:$A,$I2))</f>
        <v/>
      </c>
      <c r="C14" s="134" t="inlineStr">
        <is>
          <t>WL0011-UNI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15</v>
      </c>
      <c r="H14" s="5">
        <f>IF($I2="","",INDEX(Productos!$AG:$AG,$I2))</f>
        <v/>
      </c>
      <c r="I14" s="136">
        <f>LET(_xlpm.r,Productos!$E$2:$E$12,_xlpm.m,IFERROR(_xlfn.XMATCH(C14,_xlpm.r),IFERROR(_xlfn.XMATCH(VALUE(C14),_xlpm.r),0)),IF(_xlpm.m=0,"",_xlpm.m+1))</f>
        <v/>
      </c>
      <c r="J14" s="137" t="inlineStr">
        <is>
          <t>Shopify</t>
        </is>
      </c>
    </row>
    <row r="15">
      <c r="A15" s="5" t="inlineStr">
        <is>
          <t>Shopify Western Brothers › Western Brothers Outlet Lerma</t>
        </is>
      </c>
      <c r="B15" s="5">
        <f>IF($I2="","",INDEX(Productos!$A:$A,$I2))</f>
        <v/>
      </c>
      <c r="C15" s="134" t="inlineStr">
        <is>
          <t>WL0001-UNI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1</v>
      </c>
      <c r="H15" s="5">
        <f>IF($I2="","",INDEX(Productos!$AG:$AG,$I2))</f>
        <v/>
      </c>
      <c r="I15" s="136">
        <f>LET(_xlpm.r,Productos!$E$2:$E$12,_xlpm.m,IFERROR(_xlfn.XMATCH(C15,_xlpm.r),IFERROR(_xlfn.XMATCH(VALUE(C15),_xlpm.r),0)),IF(_xlpm.m=0,"",_xlpm.m+1))</f>
        <v/>
      </c>
      <c r="J15" s="137" t="inlineStr">
        <is>
          <t>Shopify</t>
        </is>
      </c>
    </row>
    <row r="16">
      <c r="A16" s="5" t="inlineStr">
        <is>
          <t>Shopify Western Brothers › Western Brothers Outlet Lerma</t>
        </is>
      </c>
      <c r="B16" s="5">
        <f>IF($I2="","",INDEX(Productos!$A:$A,$I2))</f>
        <v/>
      </c>
      <c r="C16" s="134" t="inlineStr">
        <is>
          <t>WL0002-UNI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7</v>
      </c>
      <c r="H16" s="5">
        <f>IF($I2="","",INDEX(Productos!$AG:$AG,$I2))</f>
        <v/>
      </c>
      <c r="I16" s="136">
        <f>LET(_xlpm.r,Productos!$E$2:$E$12,_xlpm.m,IFERROR(_xlfn.XMATCH(C16,_xlpm.r),IFERROR(_xlfn.XMATCH(VALUE(C16),_xlpm.r),0)),IF(_xlpm.m=0,"",_xlpm.m+1))</f>
        <v/>
      </c>
      <c r="J16" s="137" t="inlineStr">
        <is>
          <t>Shopify</t>
        </is>
      </c>
    </row>
    <row r="17">
      <c r="A17" s="5" t="inlineStr">
        <is>
          <t>Shopify Western Brothers › Western Brothers Outlet Lerma</t>
        </is>
      </c>
      <c r="B17" s="5">
        <f>IF($I2="","",INDEX(Productos!$A:$A,$I2))</f>
        <v/>
      </c>
      <c r="C17" s="134" t="inlineStr">
        <is>
          <t>WL0003-UNI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4</v>
      </c>
      <c r="H17" s="5">
        <f>IF($I2="","",INDEX(Productos!$AG:$AG,$I2))</f>
        <v/>
      </c>
      <c r="I17" s="136">
        <f>LET(_xlpm.r,Productos!$E$2:$E$12,_xlpm.m,IFERROR(_xlfn.XMATCH(C17,_xlpm.r),IFERROR(_xlfn.XMATCH(VALUE(C17),_xlpm.r),0)),IF(_xlpm.m=0,"",_xlpm.m+1))</f>
        <v/>
      </c>
      <c r="J17" s="137" t="inlineStr">
        <is>
          <t>Shopify</t>
        </is>
      </c>
    </row>
    <row r="18">
      <c r="A18" s="5" t="inlineStr">
        <is>
          <t>Shopify Western Brothers › Western Brothers Outlet Lerma</t>
        </is>
      </c>
      <c r="B18" s="5">
        <f>IF($I2="","",INDEX(Productos!$A:$A,$I2))</f>
        <v/>
      </c>
      <c r="C18" s="134" t="inlineStr">
        <is>
          <t>WL0004-UNI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18</v>
      </c>
      <c r="H18" s="5">
        <f>IF($I2="","",INDEX(Productos!$AG:$AG,$I2))</f>
        <v/>
      </c>
      <c r="I18" s="136">
        <f>LET(_xlpm.r,Productos!$E$2:$E$12,_xlpm.m,IFERROR(_xlfn.XMATCH(C18,_xlpm.r),IFERROR(_xlfn.XMATCH(VALUE(C18),_xlpm.r),0)),IF(_xlpm.m=0,"",_xlpm.m+1))</f>
        <v/>
      </c>
      <c r="J18" s="137" t="inlineStr">
        <is>
          <t>Shopify</t>
        </is>
      </c>
    </row>
    <row r="19">
      <c r="A19" s="5" t="inlineStr">
        <is>
          <t>Shopify Western Brothers › Western Brothers Outlet Lerma</t>
        </is>
      </c>
      <c r="B19" s="5">
        <f>IF($I2="","",INDEX(Productos!$A:$A,$I2))</f>
        <v/>
      </c>
      <c r="C19" s="134" t="inlineStr">
        <is>
          <t>WL0006-UNI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9</v>
      </c>
      <c r="H19" s="5">
        <f>IF($I2="","",INDEX(Productos!$AG:$AG,$I2))</f>
        <v/>
      </c>
      <c r="I19" s="136">
        <f>LET(_xlpm.r,Productos!$E$2:$E$12,_xlpm.m,IFERROR(_xlfn.XMATCH(C19,_xlpm.r),IFERROR(_xlfn.XMATCH(VALUE(C19),_xlpm.r),0)),IF(_xlpm.m=0,"",_xlpm.m+1))</f>
        <v/>
      </c>
      <c r="J19" s="137" t="inlineStr">
        <is>
          <t>Shopify</t>
        </is>
      </c>
    </row>
    <row r="20">
      <c r="A20" s="5" t="inlineStr">
        <is>
          <t>Shopify Western Brothers › Western Brothers Outlet Lerma</t>
        </is>
      </c>
      <c r="B20" s="5">
        <f>IF($I2="","",INDEX(Productos!$A:$A,$I2))</f>
        <v/>
      </c>
      <c r="C20" s="134" t="inlineStr">
        <is>
          <t>WL0007-UNI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2</v>
      </c>
      <c r="H20" s="5">
        <f>IF($I2="","",INDEX(Productos!$AG:$AG,$I2))</f>
        <v/>
      </c>
      <c r="I20" s="136">
        <f>LET(_xlpm.r,Productos!$E$2:$E$12,_xlpm.m,IFERROR(_xlfn.XMATCH(C20,_xlpm.r),IFERROR(_xlfn.XMATCH(VALUE(C20),_xlpm.r),0)),IF(_xlpm.m=0,"",_xlpm.m+1))</f>
        <v/>
      </c>
      <c r="J20" s="137" t="inlineStr">
        <is>
          <t>Shopify</t>
        </is>
      </c>
    </row>
    <row r="21">
      <c r="A21" s="5" t="inlineStr">
        <is>
          <t>Shopify Western Brothers › Western Brothers Outlet Lerma</t>
        </is>
      </c>
      <c r="B21" s="5">
        <f>IF($I2="","",INDEX(Productos!$A:$A,$I2))</f>
        <v/>
      </c>
      <c r="C21" s="134" t="inlineStr">
        <is>
          <t>WL0008-UNI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6</v>
      </c>
      <c r="H21" s="5">
        <f>IF($I2="","",INDEX(Productos!$AG:$AG,$I2))</f>
        <v/>
      </c>
      <c r="I21" s="136">
        <f>LET(_xlpm.r,Productos!$E$2:$E$12,_xlpm.m,IFERROR(_xlfn.XMATCH(C21,_xlpm.r),IFERROR(_xlfn.XMATCH(VALUE(C21),_xlpm.r),0)),IF(_xlpm.m=0,"",_xlpm.m+1))</f>
        <v/>
      </c>
      <c r="J21" s="137" t="inlineStr">
        <is>
          <t>Shopify</t>
        </is>
      </c>
    </row>
    <row r="22">
      <c r="A22" s="5" t="inlineStr">
        <is>
          <t>Shopify Western Brothers › Western Brothers Outlet Lerma</t>
        </is>
      </c>
      <c r="B22" s="5">
        <f>IF($I2="","",INDEX(Productos!$A:$A,$I2))</f>
        <v/>
      </c>
      <c r="C22" s="134" t="inlineStr">
        <is>
          <t>WL0009-UNI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1</v>
      </c>
      <c r="H22" s="5">
        <f>IF($I2="","",INDEX(Productos!$AG:$AG,$I2))</f>
        <v/>
      </c>
      <c r="I22" s="136">
        <f>LET(_xlpm.r,Productos!$E$2:$E$12,_xlpm.m,IFERROR(_xlfn.XMATCH(C22,_xlpm.r),IFERROR(_xlfn.XMATCH(VALUE(C22),_xlpm.r),0)),IF(_xlpm.m=0,"",_xlpm.m+1))</f>
        <v/>
      </c>
      <c r="J22" s="137" t="inlineStr">
        <is>
          <t>Shopify</t>
        </is>
      </c>
    </row>
  </sheetData>
  <autoFilter ref="A1:J22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IF(ISNUMBER(I6),SUM(I6:I528),0)</f>
        <v/>
      </c>
      <c r="F3" s="145" t="inlineStr">
        <is>
          <t>Renglones:</t>
        </is>
      </c>
      <c r="G3" s="144">
        <f>IF(ISNUMBER(I6),COUNT(I6:I528),0)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43"",""""))))),pE,Productos!$E$2:$E$12,pA,Productos!$A$2:$A$12&amp;"""",s,'Stock por Ubicación'!$A$2:$J$22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$12,""""),sk,XLOOKUP(sk,pE,Produc"&amp;"tos!$B$2:$B$2502,""""),XLOOKUP(sk,pE,Productos!$H$2:$H$12,""""),XLOOKUP(sk,pE,Productos!$I$2:$I$12,""""),pz),IFERROR(FILTER(rw,pz&gt;0),""""))),todo,IF(INDEX(a,1,1)="""",b,IF(INDEX(b,1,1)="""",a,VSTACK(a,b))),IF(INDEX(todo,1,1)="""",""Sin existencias en "&amp;"esta bodega"",LET(tl,XLOOKUP(INDEX(todo,0,4),pE,Productos!$F$2:$F$12,"""")&amp;"""",o,HSTACK(CHOOSECOLS(todo,1,2,3,4,5,6,7),tl,CHOOSECOLS(todo,8)),x,SORT(o,1,TRUE,4,TRUE),IF(x="""","""",x)))))"),"B25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IF(ISNUMBER(I6),SUM(I6:I528),0)</f>
        <v/>
      </c>
      <c r="F3" s="145" t="inlineStr">
        <is>
          <t>Renglones:</t>
        </is>
      </c>
      <c r="G3" s="144">
        <f>IF(ISNUMBER(I6),COUNT(I6:I528),0)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43"",""""))))),pE,Productos!$E$2:$E$12,s,'Stock por Ubicación'!$A$2:$J$22,su,INDEX(s,0,1),sq,INDEX(s,0,7),selSis,(su&lt;&gt;"""")*ISNUMBER(sq)*(sq&gt;0)*(asig(su)=bod)&gt;0,a,IFERROR(FILTER(CHOOSECOLS(s,1,10,2,3,4,5,6,7),sel"&amp;"Sis),""""),tu,Table_2[Ubicación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$12,""""),sk,XLOOKUP(sk,pE,Productos!$B$2:$B$12"&amp;"02,""""),XLOOKUP(sk,pE,Productos!$H$2:$H$12,""""),XLOOKUP(sk,pE,Productos!$I$2:$I$12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$12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14" customWidth="1" style="176" min="27" max="27"/>
    <col width="22" customWidth="1" style="176" min="28" max="28"/>
    <col width="14" customWidth="1" style="176" min="29" max="29"/>
    <col width="14" customWidth="1" style="176" min="30" max="30"/>
    <col width="22" customWidth="1" style="176" min="31" max="31"/>
    <col width="14" customWidth="1" style="176" min="32" max="32"/>
    <col width="14" customWidth="1" style="176" min="33" max="33"/>
    <col width="14" customWidth="1" style="176" min="34" max="34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Shopify Stetson México</t>
        </is>
      </c>
      <c r="Z1" s="185" t="inlineStr">
        <is>
          <t>Shopify Western Brothers</t>
        </is>
      </c>
      <c r="AA1" s="185" t="inlineStr">
        <is>
          <t>Piezas contadas (Escaneos)</t>
        </is>
      </c>
      <c r="AB1" s="185" t="inlineStr">
        <is>
          <t>Fecha del último conteo</t>
        </is>
      </c>
      <c r="AC1" s="185" t="inlineStr">
        <is>
          <t>Valor en mano a costo</t>
        </is>
      </c>
      <c r="AD1" s="185" t="inlineStr">
        <is>
          <t>Valor en mano a precio de venta</t>
        </is>
      </c>
      <c r="AE1" s="185" t="inlineStr">
        <is>
          <t>Estado del inventario</t>
        </is>
      </c>
      <c r="AF1" s="185" t="inlineStr">
        <is>
          <t>NS · PUNTO DE VENTA</t>
        </is>
      </c>
      <c r="AG1" s="185" t="inlineStr">
        <is>
          <t>NS · STETSON AMERICAS</t>
        </is>
      </c>
      <c r="AH1" s="185" t="inlineStr">
        <is>
          <t>NS · WB OUTLET LERMA</t>
        </is>
      </c>
    </row>
    <row r="2">
      <c r="A2" t="inlineStr">
        <is>
          <t>182900115004</t>
        </is>
      </c>
      <c r="B2" t="inlineStr">
        <is>
          <t>111795</t>
        </is>
      </c>
      <c r="C2" t="inlineStr">
        <is>
          <t>WL0004-UNI</t>
        </is>
      </c>
      <c r="D2" t="inlineStr">
        <is>
          <t>WL0004</t>
        </is>
      </c>
      <c r="E2" t="inlineStr">
        <is>
          <t>Generico</t>
        </is>
      </c>
      <c r="F2" t="inlineStr">
        <is>
          <t>Monedero pelo de res</t>
        </is>
      </c>
      <c r="G2" t="inlineStr">
        <is>
          <t>Talla única</t>
        </is>
      </c>
      <c r="I2" t="inlineStr">
        <is>
          <t>Accesorios</t>
        </is>
      </c>
      <c r="J2" t="inlineStr">
        <is>
          <t>Carteras</t>
        </is>
      </c>
      <c r="K2" t="inlineStr">
        <is>
          <t>Unisex</t>
        </is>
      </c>
      <c r="L2" t="inlineStr">
        <is>
          <t>PZS</t>
        </is>
      </c>
      <c r="M2" s="186" t="n">
        <v>105</v>
      </c>
      <c r="N2" s="186" t="n">
        <v>257.7586207</v>
      </c>
      <c r="O2" t="n">
        <v>18</v>
      </c>
      <c r="P2" t="n">
        <v>18</v>
      </c>
      <c r="W2" t="n">
        <v>18</v>
      </c>
      <c r="X2">
        <f>O2-W2</f>
        <v/>
      </c>
      <c r="Z2" t="n">
        <v>18</v>
      </c>
      <c r="AC2" s="186">
        <f>IFERROR(O2*M2,0)</f>
        <v/>
      </c>
      <c r="AD2" s="186">
        <f>IFERROR(O2*N2,0)</f>
        <v/>
      </c>
      <c r="AE2" t="inlineStr">
        <is>
          <t>Con existencia</t>
        </is>
      </c>
      <c r="AH2" t="n">
        <v>18</v>
      </c>
    </row>
    <row r="3">
      <c r="A3" t="inlineStr">
        <is>
          <t>182900115001</t>
        </is>
      </c>
      <c r="B3" t="inlineStr">
        <is>
          <t>111788</t>
        </is>
      </c>
      <c r="C3" t="inlineStr">
        <is>
          <t>WL0001-UNI</t>
        </is>
      </c>
      <c r="D3" t="inlineStr">
        <is>
          <t>WL0001</t>
        </is>
      </c>
      <c r="E3" t="inlineStr">
        <is>
          <t>Generico</t>
        </is>
      </c>
      <c r="F3" t="inlineStr">
        <is>
          <t>Duffle de piel oversize</t>
        </is>
      </c>
      <c r="G3" t="inlineStr">
        <is>
          <t>Talla única</t>
        </is>
      </c>
      <c r="I3" t="inlineStr">
        <is>
          <t>Accesorios</t>
        </is>
      </c>
      <c r="J3" t="inlineStr">
        <is>
          <t>Equipaje</t>
        </is>
      </c>
      <c r="K3" t="inlineStr">
        <is>
          <t>Unisex</t>
        </is>
      </c>
      <c r="L3" t="inlineStr">
        <is>
          <t>PZS</t>
        </is>
      </c>
      <c r="M3" s="186" t="n">
        <v>2275</v>
      </c>
      <c r="N3" s="186" t="n">
        <v>6499</v>
      </c>
      <c r="O3" t="n">
        <v>1</v>
      </c>
      <c r="P3" t="n">
        <v>1</v>
      </c>
      <c r="W3" t="n">
        <v>1</v>
      </c>
      <c r="X3">
        <f>O3-W3</f>
        <v/>
      </c>
      <c r="Z3" t="n">
        <v>1</v>
      </c>
      <c r="AC3" s="186">
        <f>IFERROR(O3*M3,0)</f>
        <v/>
      </c>
      <c r="AD3" s="186">
        <f>IFERROR(O3*N3,0)</f>
        <v/>
      </c>
      <c r="AE3" t="inlineStr">
        <is>
          <t>Con existencia</t>
        </is>
      </c>
      <c r="AH3" t="n">
        <v>1</v>
      </c>
    </row>
    <row r="4">
      <c r="A4" t="inlineStr">
        <is>
          <t>182900115003</t>
        </is>
      </c>
      <c r="B4" t="inlineStr">
        <is>
          <t>111789</t>
        </is>
      </c>
      <c r="C4" t="inlineStr">
        <is>
          <t>WL0003-UNI</t>
        </is>
      </c>
      <c r="D4" t="inlineStr">
        <is>
          <t>WL0003</t>
        </is>
      </c>
      <c r="E4" t="inlineStr">
        <is>
          <t>Generico</t>
        </is>
      </c>
      <c r="F4" t="inlineStr">
        <is>
          <t>Duffle pelo de res/repujado</t>
        </is>
      </c>
      <c r="G4" t="inlineStr">
        <is>
          <t>Talla única</t>
        </is>
      </c>
      <c r="I4" t="inlineStr">
        <is>
          <t>Accesorios</t>
        </is>
      </c>
      <c r="J4" t="inlineStr">
        <is>
          <t>Equipaje</t>
        </is>
      </c>
      <c r="K4" t="inlineStr">
        <is>
          <t>Unisex</t>
        </is>
      </c>
      <c r="L4" t="inlineStr">
        <is>
          <t>PZS</t>
        </is>
      </c>
      <c r="M4" s="186" t="n">
        <v>1925</v>
      </c>
      <c r="N4" s="186" t="n">
        <v>5499</v>
      </c>
      <c r="O4" t="n">
        <v>4</v>
      </c>
      <c r="P4" t="n">
        <v>4</v>
      </c>
      <c r="W4" t="n">
        <v>4</v>
      </c>
      <c r="X4">
        <f>O4-W4</f>
        <v/>
      </c>
      <c r="Z4" t="n">
        <v>4</v>
      </c>
      <c r="AC4" s="186">
        <f>IFERROR(O4*M4,0)</f>
        <v/>
      </c>
      <c r="AD4" s="186">
        <f>IFERROR(O4*N4,0)</f>
        <v/>
      </c>
      <c r="AE4" t="inlineStr">
        <is>
          <t>Con existencia</t>
        </is>
      </c>
      <c r="AH4" t="n">
        <v>4</v>
      </c>
    </row>
    <row r="5">
      <c r="A5" t="inlineStr">
        <is>
          <t>182900115006</t>
        </is>
      </c>
      <c r="B5" t="inlineStr">
        <is>
          <t>111791</t>
        </is>
      </c>
      <c r="C5" t="inlineStr">
        <is>
          <t>WL0006-UNI</t>
        </is>
      </c>
      <c r="D5" t="inlineStr">
        <is>
          <t>WL0006</t>
        </is>
      </c>
      <c r="E5" t="inlineStr">
        <is>
          <t>Generico</t>
        </is>
      </c>
      <c r="F5" t="inlineStr">
        <is>
          <t>Llavero repujado con ilustración</t>
        </is>
      </c>
      <c r="G5" t="inlineStr">
        <is>
          <t>Talla única</t>
        </is>
      </c>
      <c r="I5" t="inlineStr">
        <is>
          <t>Accesorios</t>
        </is>
      </c>
      <c r="J5" t="inlineStr">
        <is>
          <t>Llaveros</t>
        </is>
      </c>
      <c r="K5" t="inlineStr">
        <is>
          <t>Unisex</t>
        </is>
      </c>
      <c r="L5" t="inlineStr">
        <is>
          <t>PZS</t>
        </is>
      </c>
      <c r="M5" s="186" t="n">
        <v>87.5</v>
      </c>
      <c r="N5" s="186" t="n">
        <v>249</v>
      </c>
      <c r="O5" t="n">
        <v>9</v>
      </c>
      <c r="P5" t="n">
        <v>9</v>
      </c>
      <c r="W5" t="n">
        <v>9</v>
      </c>
      <c r="X5">
        <f>O5-W5</f>
        <v/>
      </c>
      <c r="Z5" t="n">
        <v>9</v>
      </c>
      <c r="AC5" s="186">
        <f>IFERROR(O5*M5,0)</f>
        <v/>
      </c>
      <c r="AD5" s="186">
        <f>IFERROR(O5*N5,0)</f>
        <v/>
      </c>
      <c r="AE5" t="inlineStr">
        <is>
          <t>Con existencia</t>
        </is>
      </c>
      <c r="AH5" t="n">
        <v>9</v>
      </c>
    </row>
    <row r="6">
      <c r="A6" t="inlineStr">
        <is>
          <t>182900115007</t>
        </is>
      </c>
      <c r="B6" t="inlineStr">
        <is>
          <t>111792</t>
        </is>
      </c>
      <c r="C6" t="inlineStr">
        <is>
          <t>WL0007-UNI</t>
        </is>
      </c>
      <c r="D6" t="inlineStr">
        <is>
          <t>WL0007</t>
        </is>
      </c>
      <c r="E6" t="inlineStr">
        <is>
          <t>Generico</t>
        </is>
      </c>
      <c r="F6" t="inlineStr">
        <is>
          <t>Llavero contorno animal pelaje</t>
        </is>
      </c>
      <c r="G6" t="inlineStr">
        <is>
          <t>Talla única</t>
        </is>
      </c>
      <c r="I6" t="inlineStr">
        <is>
          <t>Accesorios</t>
        </is>
      </c>
      <c r="J6" t="inlineStr">
        <is>
          <t>Llaveros</t>
        </is>
      </c>
      <c r="K6" t="inlineStr">
        <is>
          <t>Unisex</t>
        </is>
      </c>
      <c r="L6" t="inlineStr">
        <is>
          <t>PZS</t>
        </is>
      </c>
      <c r="M6" s="186" t="n">
        <v>43.75</v>
      </c>
      <c r="N6" s="186" t="n">
        <v>149</v>
      </c>
      <c r="O6" t="n">
        <v>0</v>
      </c>
      <c r="W6" t="n">
        <v>2</v>
      </c>
      <c r="X6">
        <f>O6-W6</f>
        <v/>
      </c>
      <c r="Z6" t="n">
        <v>2</v>
      </c>
      <c r="AC6" s="186">
        <f>IFERROR(O6*M6,0)</f>
        <v/>
      </c>
      <c r="AD6" s="186">
        <f>IFERROR(O6*N6,0)</f>
        <v/>
      </c>
      <c r="AE6" t="inlineStr">
        <is>
          <t>Solo en plataformas</t>
        </is>
      </c>
    </row>
    <row r="7">
      <c r="A7" t="inlineStr">
        <is>
          <t>182900115008</t>
        </is>
      </c>
      <c r="B7" t="inlineStr">
        <is>
          <t>111793</t>
        </is>
      </c>
      <c r="C7" t="inlineStr">
        <is>
          <t>WL0008-UNI</t>
        </is>
      </c>
      <c r="D7" t="inlineStr">
        <is>
          <t>WL0008</t>
        </is>
      </c>
      <c r="E7" t="inlineStr">
        <is>
          <t>Generico</t>
        </is>
      </c>
      <c r="F7" t="inlineStr">
        <is>
          <t>Llavero destapador de asta</t>
        </is>
      </c>
      <c r="G7" t="inlineStr">
        <is>
          <t>Talla única</t>
        </is>
      </c>
      <c r="I7" t="inlineStr">
        <is>
          <t>Accesorios</t>
        </is>
      </c>
      <c r="J7" t="inlineStr">
        <is>
          <t>Llaveros</t>
        </is>
      </c>
      <c r="K7" t="inlineStr">
        <is>
          <t>Unisex</t>
        </is>
      </c>
      <c r="L7" t="inlineStr">
        <is>
          <t>PZS</t>
        </is>
      </c>
      <c r="M7" s="186" t="n">
        <v>350</v>
      </c>
      <c r="N7" s="186" t="n">
        <v>999</v>
      </c>
      <c r="O7" t="n">
        <v>6</v>
      </c>
      <c r="P7" t="n">
        <v>6</v>
      </c>
      <c r="W7" t="n">
        <v>6</v>
      </c>
      <c r="X7">
        <f>O7-W7</f>
        <v/>
      </c>
      <c r="Z7" t="n">
        <v>6</v>
      </c>
      <c r="AC7" s="186">
        <f>IFERROR(O7*M7,0)</f>
        <v/>
      </c>
      <c r="AD7" s="186">
        <f>IFERROR(O7*N7,0)</f>
        <v/>
      </c>
      <c r="AE7" t="inlineStr">
        <is>
          <t>Con existencia</t>
        </is>
      </c>
      <c r="AH7" t="n">
        <v>6</v>
      </c>
    </row>
    <row r="8">
      <c r="A8" t="inlineStr">
        <is>
          <t>182900115009</t>
        </is>
      </c>
      <c r="B8" t="inlineStr">
        <is>
          <t>111794</t>
        </is>
      </c>
      <c r="C8" t="inlineStr">
        <is>
          <t>WL0009-UNI</t>
        </is>
      </c>
      <c r="D8" t="inlineStr">
        <is>
          <t>WL0009</t>
        </is>
      </c>
      <c r="E8" t="inlineStr">
        <is>
          <t>Generico</t>
        </is>
      </c>
      <c r="F8" t="inlineStr">
        <is>
          <t>Llavero de crotal</t>
        </is>
      </c>
      <c r="G8" t="inlineStr">
        <is>
          <t>Talla única</t>
        </is>
      </c>
      <c r="I8" t="inlineStr">
        <is>
          <t>Accesorios</t>
        </is>
      </c>
      <c r="J8" t="inlineStr">
        <is>
          <t>Llaveros</t>
        </is>
      </c>
      <c r="K8" t="inlineStr">
        <is>
          <t>Unisex</t>
        </is>
      </c>
      <c r="L8" t="inlineStr">
        <is>
          <t>PZS</t>
        </is>
      </c>
      <c r="M8" s="186" t="n">
        <v>87.5</v>
      </c>
      <c r="N8" s="186" t="n">
        <v>249</v>
      </c>
      <c r="O8" t="n">
        <v>1</v>
      </c>
      <c r="P8" t="n">
        <v>1</v>
      </c>
      <c r="W8" t="n">
        <v>1</v>
      </c>
      <c r="X8">
        <f>O8-W8</f>
        <v/>
      </c>
      <c r="Z8" t="n">
        <v>1</v>
      </c>
      <c r="AC8" s="186">
        <f>IFERROR(O8*M8,0)</f>
        <v/>
      </c>
      <c r="AD8" s="186">
        <f>IFERROR(O8*N8,0)</f>
        <v/>
      </c>
      <c r="AE8" t="inlineStr">
        <is>
          <t>Con existencia</t>
        </is>
      </c>
      <c r="AH8" t="n">
        <v>1</v>
      </c>
    </row>
    <row r="9">
      <c r="A9" t="inlineStr">
        <is>
          <t>182900115002</t>
        </is>
      </c>
      <c r="B9" t="inlineStr">
        <is>
          <t>111796</t>
        </is>
      </c>
      <c r="C9" t="inlineStr">
        <is>
          <t>WL0002-UNI</t>
        </is>
      </c>
      <c r="D9" t="inlineStr">
        <is>
          <t>WL0002</t>
        </is>
      </c>
      <c r="E9" t="inlineStr">
        <is>
          <t>Generico</t>
        </is>
      </c>
      <c r="F9" t="inlineStr">
        <is>
          <t>Mochila pelo de res/repujada</t>
        </is>
      </c>
      <c r="G9" t="inlineStr">
        <is>
          <t>Talla única</t>
        </is>
      </c>
      <c r="I9" t="inlineStr">
        <is>
          <t>Accesorios</t>
        </is>
      </c>
      <c r="J9" t="inlineStr">
        <is>
          <t>Mochilas</t>
        </is>
      </c>
      <c r="K9" t="inlineStr">
        <is>
          <t>Unisex</t>
        </is>
      </c>
      <c r="L9" t="inlineStr">
        <is>
          <t>PZS</t>
        </is>
      </c>
      <c r="M9" s="186" t="n">
        <v>1662.5</v>
      </c>
      <c r="N9" s="186" t="n">
        <v>4050.862069</v>
      </c>
      <c r="O9" t="n">
        <v>7</v>
      </c>
      <c r="P9" t="n">
        <v>7</v>
      </c>
      <c r="W9" t="n">
        <v>7</v>
      </c>
      <c r="X9">
        <f>O9-W9</f>
        <v/>
      </c>
      <c r="Z9" t="n">
        <v>7</v>
      </c>
      <c r="AC9" s="186">
        <f>IFERROR(O9*M9,0)</f>
        <v/>
      </c>
      <c r="AD9" s="186">
        <f>IFERROR(O9*N9,0)</f>
        <v/>
      </c>
      <c r="AE9" t="inlineStr">
        <is>
          <t>Con existencia</t>
        </is>
      </c>
      <c r="AH9" t="n">
        <v>7</v>
      </c>
    </row>
    <row r="10">
      <c r="A10" t="inlineStr">
        <is>
          <t>182900115010</t>
        </is>
      </c>
      <c r="B10" t="inlineStr">
        <is>
          <t>111979</t>
        </is>
      </c>
      <c r="C10" t="inlineStr">
        <is>
          <t>WL0010-UNI</t>
        </is>
      </c>
      <c r="D10" t="inlineStr">
        <is>
          <t>WL0010</t>
        </is>
      </c>
      <c r="E10" t="inlineStr">
        <is>
          <t>Generico</t>
        </is>
      </c>
      <c r="F10" t="inlineStr">
        <is>
          <t>Pluma para Sombrero Chica</t>
        </is>
      </c>
      <c r="G10" t="inlineStr">
        <is>
          <t>Talla única</t>
        </is>
      </c>
      <c r="I10" t="inlineStr">
        <is>
          <t>Accesorios</t>
        </is>
      </c>
      <c r="J10" t="inlineStr">
        <is>
          <t>Plumas para sombrero</t>
        </is>
      </c>
      <c r="K10" t="inlineStr">
        <is>
          <t>Unisex</t>
        </is>
      </c>
      <c r="L10" t="inlineStr">
        <is>
          <t>PZS</t>
        </is>
      </c>
      <c r="M10" s="186" t="n">
        <v>39</v>
      </c>
      <c r="N10" s="186" t="n">
        <v>149</v>
      </c>
      <c r="O10" t="n">
        <v>188</v>
      </c>
      <c r="P10" t="n">
        <v>192</v>
      </c>
      <c r="V10" t="inlineStr">
        <is>
          <t>PUNTO DE VENTA (-4)</t>
        </is>
      </c>
      <c r="W10" t="n">
        <v>191</v>
      </c>
      <c r="X10">
        <f>O10-W10</f>
        <v/>
      </c>
      <c r="AC10" s="186">
        <f>IFERROR(O10*M10,0)</f>
        <v/>
      </c>
      <c r="AD10" s="186">
        <f>IFERROR(O10*N10,0)</f>
        <v/>
      </c>
      <c r="AE10" t="inlineStr">
        <is>
          <t>Con existencia</t>
        </is>
      </c>
      <c r="AF10" t="n">
        <v>-4</v>
      </c>
      <c r="AG10" t="n">
        <v>157</v>
      </c>
      <c r="AH10" t="n">
        <v>35</v>
      </c>
    </row>
    <row r="11">
      <c r="A11" t="inlineStr">
        <is>
          <t>182900115011</t>
        </is>
      </c>
      <c r="B11" t="inlineStr">
        <is>
          <t>111980</t>
        </is>
      </c>
      <c r="C11" t="inlineStr">
        <is>
          <t>WL0011-UNI</t>
        </is>
      </c>
      <c r="D11" t="inlineStr">
        <is>
          <t>WL0011</t>
        </is>
      </c>
      <c r="E11" t="inlineStr">
        <is>
          <t>Generico</t>
        </is>
      </c>
      <c r="F11" t="inlineStr">
        <is>
          <t>Pluma para Sombrero Grande</t>
        </is>
      </c>
      <c r="G11" t="inlineStr">
        <is>
          <t>Talla única</t>
        </is>
      </c>
      <c r="I11" t="inlineStr">
        <is>
          <t>Accesorios</t>
        </is>
      </c>
      <c r="J11" t="inlineStr">
        <is>
          <t>Plumas para sombrero</t>
        </is>
      </c>
      <c r="K11" t="inlineStr">
        <is>
          <t>Unisex</t>
        </is>
      </c>
      <c r="L11" t="inlineStr">
        <is>
          <t>PZS</t>
        </is>
      </c>
      <c r="M11" s="186" t="n">
        <v>79</v>
      </c>
      <c r="N11" s="186" t="n">
        <v>299</v>
      </c>
      <c r="O11" t="n">
        <v>20</v>
      </c>
      <c r="P11" t="n">
        <v>20</v>
      </c>
      <c r="W11" t="n">
        <v>20</v>
      </c>
      <c r="X11">
        <f>O11-W11</f>
        <v/>
      </c>
      <c r="Y11" t="n">
        <v>15</v>
      </c>
      <c r="AC11" s="186">
        <f>IFERROR(O11*M11,0)</f>
        <v/>
      </c>
      <c r="AD11" s="186">
        <f>IFERROR(O11*N11,0)</f>
        <v/>
      </c>
      <c r="AE11" t="inlineStr">
        <is>
          <t>Con existencia</t>
        </is>
      </c>
      <c r="AG11" t="n">
        <v>10</v>
      </c>
      <c r="AH11" t="n">
        <v>10</v>
      </c>
    </row>
  </sheetData>
  <autoFilter ref="A1:AH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Generico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COUNTIF(Inventario!$O$2:$O$11,"&gt;0")</f>
        <v/>
      </c>
      <c r="C6" t="inlineStr"/>
    </row>
    <row r="7">
      <c r="A7" t="inlineStr">
        <is>
          <t>Unidades en mano</t>
        </is>
      </c>
      <c r="B7" s="191">
        <f>SUM(Inventario!$O$2:$O$11)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SUM(Inventario!$P$2:$P$11)</f>
        <v/>
      </c>
      <c r="C8" t="inlineStr"/>
    </row>
    <row r="9">
      <c r="A9" t="inlineStr">
        <is>
          <t>Unidades comprometidas</t>
        </is>
      </c>
      <c r="B9" s="191">
        <f>SUM(Inventario!$Q$2:$Q$11)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SUM(Inventario!$S$2:$S$11)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SUM(Inventario!$T$2:$T$11)</f>
        <v/>
      </c>
      <c r="C12" t="inlineStr"/>
    </row>
    <row r="13">
      <c r="A13" t="inlineStr">
        <is>
          <t>Unidades en ubicaciones inactivas</t>
        </is>
      </c>
      <c r="B13" s="191">
        <f>SUM(Inventario!$U$2:$U$11)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COUNTIF(Inventario!$O$2:$O$11,"&lt;0")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SUMIF(Inventario!$O$2:$O$11,"&lt;0")</f>
        <v/>
      </c>
      <c r="C15" t="inlineStr"/>
    </row>
    <row r="16">
      <c r="A16" t="inlineStr">
        <is>
          <t>Valor en mano a costo</t>
        </is>
      </c>
      <c r="B16" s="186">
        <f>SUM(Inventario!$AC$2:$AC$11)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SUM(Inventario!$AD$2:$AD$11)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SUM(Inventario!$W$2:$W$11)</f>
        <v/>
      </c>
      <c r="C21" t="inlineStr"/>
    </row>
    <row r="22">
      <c r="A22" t="inlineStr">
        <is>
          <t>Variación neta de unidades</t>
        </is>
      </c>
      <c r="B22" s="191">
        <f>SUM(Inventario!$X$2:$X$11)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SUMIF(Inventario!$X$2:$X$11,"&lt;0")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SUMIF(Inventario!$X$2:$X$11,"&gt;0")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COUNTIF(Inventario!$X$2:$X$11,"&lt;0")</f>
        <v/>
      </c>
      <c r="C25" t="inlineStr"/>
    </row>
    <row r="26">
      <c r="A26" t="inlineStr">
        <is>
          <t>Artículos que subieron</t>
        </is>
      </c>
      <c r="B26" s="191">
        <f>COUNTIF(Inventario!$X$2:$X$11,"&gt;0")</f>
        <v/>
      </c>
      <c r="C26" t="inlineStr"/>
    </row>
    <row r="27">
      <c r="A27" t="inlineStr">
        <is>
          <t>Artículos que se agotaron</t>
        </is>
      </c>
      <c r="B27" s="191">
        <f>COUNTIFS(Inventario!$O$2:$O$11,0,Inventario!$W$2:$W$11,"&gt;0")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Shopify Stetson México</t>
        </is>
      </c>
      <c r="B31" s="191">
        <f>SUM(Inventario!$Y$2:$Y$11)</f>
        <v/>
      </c>
      <c r="C31" s="191">
        <f>COUNTIF(Inventario!$Y$2:$Y$11,"&gt;0")</f>
        <v/>
      </c>
      <c r="D31" t="inlineStr">
        <is>
          <t>01/10/2026</t>
        </is>
      </c>
    </row>
    <row r="32">
      <c r="A32" t="inlineStr">
        <is>
          <t>Shopify Western Brothers</t>
        </is>
      </c>
      <c r="B32" s="191">
        <f>SUM(Inventario!$Z$2:$Z$11)</f>
        <v/>
      </c>
      <c r="C32" s="191">
        <f>COUNTIF(Inventario!$Z$2:$Z$11,"&gt;0")</f>
        <v/>
      </c>
      <c r="D32" t="inlineStr">
        <is>
          <t>01/10/2026</t>
        </is>
      </c>
    </row>
    <row r="34">
      <c r="A34" s="188" t="inlineStr">
        <is>
          <t>Conteo cíclico</t>
        </is>
      </c>
      <c r="B34" s="189" t="n"/>
      <c r="C34" s="189" t="n"/>
      <c r="D34" s="189" t="n"/>
    </row>
    <row r="35">
      <c r="A35" s="190" t="inlineStr">
        <is>
          <t>Indicador</t>
        </is>
      </c>
      <c r="B35" s="190" t="inlineStr">
        <is>
          <t>Valor</t>
        </is>
      </c>
    </row>
    <row r="36">
      <c r="A36" t="inlineStr">
        <is>
          <t>Piezas contadas en rack (Escaneos)</t>
        </is>
      </c>
      <c r="B36" s="191">
        <f>SUM(Inventario!$AA$2:$AA$11)</f>
        <v/>
      </c>
    </row>
    <row r="37">
      <c r="A37" t="inlineStr">
        <is>
          <t>Artículos contados</t>
        </is>
      </c>
      <c r="B37" s="191">
        <f>COUNTIF(Inventario!$AA$2:$AA$11,"&gt;0")</f>
        <v/>
      </c>
    </row>
    <row r="39">
      <c r="A39" s="188" t="inlineStr">
        <is>
          <t>Por ubicación NetSuite</t>
        </is>
      </c>
      <c r="B39" s="189" t="n"/>
      <c r="C39" s="189" t="n"/>
      <c r="D39" s="189" t="n"/>
      <c r="E39" s="189" t="n"/>
      <c r="F39" s="189" t="n"/>
      <c r="G39" s="189" t="n"/>
      <c r="H39" s="189" t="n"/>
      <c r="I39" s="189" t="n"/>
      <c r="J39" s="189" t="n"/>
      <c r="K39" s="189" t="n"/>
    </row>
    <row r="40">
      <c r="A40" s="190" t="inlineStr">
        <is>
          <t>Ubicación</t>
        </is>
      </c>
      <c r="B40" s="190" t="inlineStr">
        <is>
          <t>Bodega / tipo</t>
        </is>
      </c>
      <c r="C40" s="190" t="inlineStr">
        <is>
          <t>Activa</t>
        </is>
      </c>
      <c r="D40" s="190" t="inlineStr">
        <is>
          <t>En mano</t>
        </is>
      </c>
      <c r="E40" s="190" t="inlineStr">
        <is>
          <t>% del total</t>
        </is>
      </c>
      <c r="F40" s="190" t="inlineStr">
        <is>
          <t>Artículos con existencia</t>
        </is>
      </c>
      <c r="G40" s="190" t="inlineStr">
        <is>
          <t>Artículos en negativo</t>
        </is>
      </c>
      <c r="H40" s="190" t="inlineStr">
        <is>
          <t>En mano 28/09/2026</t>
        </is>
      </c>
      <c r="I40" s="190" t="inlineStr">
        <is>
          <t>Entradas netas</t>
        </is>
      </c>
      <c r="J40" s="190" t="inlineStr">
        <is>
          <t>Salidas netas</t>
        </is>
      </c>
      <c r="K40" s="190" t="inlineStr">
        <is>
          <t>Variación</t>
        </is>
      </c>
    </row>
    <row r="41">
      <c r="A41" t="inlineStr">
        <is>
          <t>PUNTO DE VENTA</t>
        </is>
      </c>
      <c r="B41" t="inlineStr">
        <is>
          <t>Almacén</t>
        </is>
      </c>
      <c r="C41" t="inlineStr">
        <is>
          <t>Sí</t>
        </is>
      </c>
      <c r="D41" s="191">
        <f>SUM(Inventario!$AF$2:$AF$11)</f>
        <v/>
      </c>
      <c r="E41" s="193">
        <f>IFERROR(D41/SUM($D$41:$D$43),0)</f>
        <v/>
      </c>
      <c r="F41" s="191">
        <f>COUNTIF(Inventario!$AF$2:$AF$11,"&gt;0")</f>
        <v/>
      </c>
      <c r="G41" s="191">
        <f>COUNTIF(Inventario!$AF$2:$AF$11,"&lt;0")</f>
        <v/>
      </c>
      <c r="H41" s="191" t="n">
        <v>-4</v>
      </c>
      <c r="I41" s="191" t="n">
        <v>0</v>
      </c>
      <c r="J41" s="191" t="n">
        <v>0</v>
      </c>
      <c r="K41" s="191">
        <f>D41-H41</f>
        <v/>
      </c>
    </row>
    <row r="42">
      <c r="A42" t="inlineStr">
        <is>
          <t>STETSON AMERICAS</t>
        </is>
      </c>
      <c r="B42" t="inlineStr">
        <is>
          <t>Tienda</t>
        </is>
      </c>
      <c r="C42" t="inlineStr">
        <is>
          <t>Sí</t>
        </is>
      </c>
      <c r="D42" s="191">
        <f>SUM(Inventario!$AG$2:$AG$11)</f>
        <v/>
      </c>
      <c r="E42" s="193">
        <f>IFERROR(D42/SUM($D$41:$D$43),0)</f>
        <v/>
      </c>
      <c r="F42" s="191">
        <f>COUNTIF(Inventario!$AG$2:$AG$11,"&gt;0")</f>
        <v/>
      </c>
      <c r="G42" s="191">
        <f>COUNTIF(Inventario!$AG$2:$AG$11,"&lt;0")</f>
        <v/>
      </c>
      <c r="H42" s="191" t="n">
        <v>-15</v>
      </c>
      <c r="I42" s="191" t="n">
        <v>182</v>
      </c>
      <c r="J42" s="191" t="n">
        <v>0</v>
      </c>
      <c r="K42" s="191">
        <f>D42-H42</f>
        <v/>
      </c>
    </row>
    <row r="43">
      <c r="A43" t="inlineStr">
        <is>
          <t>WB OUTLET LERMA</t>
        </is>
      </c>
      <c r="B43" t="inlineStr">
        <is>
          <t>Tienda</t>
        </is>
      </c>
      <c r="C43" t="inlineStr">
        <is>
          <t>Sí</t>
        </is>
      </c>
      <c r="D43" s="191">
        <f>SUM(Inventario!$AH$2:$AH$11)</f>
        <v/>
      </c>
      <c r="E43" s="193">
        <f>IFERROR(D43/SUM($D$41:$D$43),0)</f>
        <v/>
      </c>
      <c r="F43" s="191">
        <f>COUNTIF(Inventario!$AH$2:$AH$11,"&gt;0")</f>
        <v/>
      </c>
      <c r="G43" s="191">
        <f>COUNTIF(Inventario!$AH$2:$AH$11,"&lt;0")</f>
        <v/>
      </c>
      <c r="H43" s="191" t="n">
        <v>48</v>
      </c>
      <c r="I43" s="191" t="n">
        <v>45</v>
      </c>
      <c r="J43" s="191" t="n">
        <v>-2</v>
      </c>
      <c r="K43" s="191">
        <f>D43-H43</f>
        <v/>
      </c>
    </row>
    <row r="44">
      <c r="A44" t="inlineStr">
        <is>
          <t>B25 CEDIS</t>
        </is>
      </c>
      <c r="C44" t="inlineStr">
        <is>
          <t>Sí</t>
        </is>
      </c>
      <c r="D44" t="n">
        <v>0</v>
      </c>
      <c r="H44" s="191" t="n">
        <v>230</v>
      </c>
      <c r="I44" s="191" t="n">
        <v>0</v>
      </c>
      <c r="J44" s="191" t="n">
        <v>-230</v>
      </c>
      <c r="K44" s="191">
        <f>D44-H44</f>
        <v/>
      </c>
    </row>
    <row r="46">
      <c r="A46" s="188" t="inlineStr">
        <is>
          <t>Por división</t>
        </is>
      </c>
      <c r="B46" s="189" t="n"/>
      <c r="C46" s="189" t="n"/>
      <c r="D46" s="189" t="n"/>
      <c r="E46" s="189" t="n"/>
      <c r="F46" s="189" t="n"/>
    </row>
    <row r="47">
      <c r="A47" s="190" t="inlineStr">
        <is>
          <t>División</t>
        </is>
      </c>
      <c r="B47" s="190" t="inlineStr">
        <is>
          <t>En mano</t>
        </is>
      </c>
      <c r="C47" s="190" t="inlineStr">
        <is>
          <t>Artículos con existencia</t>
        </is>
      </c>
      <c r="D47" s="190" t="inlineStr">
        <is>
          <t>Valor a costo</t>
        </is>
      </c>
      <c r="E47" s="190" t="inlineStr">
        <is>
          <t>Valor a precio de venta</t>
        </is>
      </c>
      <c r="F47" s="190" t="inlineStr">
        <is>
          <t>Variación neta</t>
        </is>
      </c>
    </row>
    <row r="48">
      <c r="A48" t="inlineStr">
        <is>
          <t>Accesorios</t>
        </is>
      </c>
      <c r="B48" s="191">
        <f>SUMIFS(Inventario!$O$2:$O$11,Inventario!$I$2:$I$11,"Accesorios")</f>
        <v/>
      </c>
      <c r="C48" s="191">
        <f>COUNTIFS(Inventario!$I$2:$I$11,"Accesorios",Inventario!$O$2:$O$11,"&gt;0")</f>
        <v/>
      </c>
      <c r="D48" s="186">
        <f>SUMIFS(Inventario!$AC$2:$AC$11,Inventario!$I$2:$I$11,"Accesorios")</f>
        <v/>
      </c>
      <c r="E48" s="186">
        <f>SUMIFS(Inventario!$AD$2:$AD$11,Inventario!$I$2:$I$11,"Accesorios")</f>
        <v/>
      </c>
      <c r="F48" s="191">
        <f>SUMIFS(Inventario!$X$2:$X$11,Inventario!$I$2:$I$11,"Accesorios")</f>
        <v/>
      </c>
    </row>
    <row r="50">
      <c r="A50" s="188" t="inlineStr">
        <is>
          <t>Por categoría</t>
        </is>
      </c>
      <c r="B50" s="189" t="n"/>
      <c r="C50" s="189" t="n"/>
      <c r="D50" s="189" t="n"/>
      <c r="E50" s="189" t="n"/>
      <c r="F50" s="189" t="n"/>
    </row>
    <row r="51">
      <c r="A51" s="190" t="inlineStr">
        <is>
          <t>Categoría</t>
        </is>
      </c>
      <c r="B51" s="190" t="inlineStr">
        <is>
          <t>En mano</t>
        </is>
      </c>
      <c r="C51" s="190" t="inlineStr">
        <is>
          <t>Artículos con existencia</t>
        </is>
      </c>
      <c r="D51" s="190" t="inlineStr">
        <is>
          <t>Valor a costo</t>
        </is>
      </c>
      <c r="E51" s="190" t="inlineStr">
        <is>
          <t>Valor a precio de venta</t>
        </is>
      </c>
      <c r="F51" s="190" t="inlineStr">
        <is>
          <t>Variación neta</t>
        </is>
      </c>
    </row>
    <row r="52">
      <c r="A52" t="inlineStr">
        <is>
          <t>Carteras</t>
        </is>
      </c>
      <c r="B52" s="191">
        <f>SUMIFS(Inventario!$O$2:$O$11,Inventario!$J$2:$J$11,"Carteras")</f>
        <v/>
      </c>
      <c r="C52" s="191">
        <f>COUNTIFS(Inventario!$J$2:$J$11,"Carteras",Inventario!$O$2:$O$11,"&gt;0")</f>
        <v/>
      </c>
      <c r="D52" s="186">
        <f>SUMIFS(Inventario!$AC$2:$AC$11,Inventario!$J$2:$J$11,"Carteras")</f>
        <v/>
      </c>
      <c r="E52" s="186">
        <f>SUMIFS(Inventario!$AD$2:$AD$11,Inventario!$J$2:$J$11,"Carteras")</f>
        <v/>
      </c>
      <c r="F52" s="191">
        <f>SUMIFS(Inventario!$X$2:$X$11,Inventario!$J$2:$J$11,"Carteras")</f>
        <v/>
      </c>
    </row>
    <row r="53">
      <c r="A53" t="inlineStr">
        <is>
          <t>Equipaje</t>
        </is>
      </c>
      <c r="B53" s="191">
        <f>SUMIFS(Inventario!$O$2:$O$11,Inventario!$J$2:$J$11,"Equipaje")</f>
        <v/>
      </c>
      <c r="C53" s="191">
        <f>COUNTIFS(Inventario!$J$2:$J$11,"Equipaje",Inventario!$O$2:$O$11,"&gt;0")</f>
        <v/>
      </c>
      <c r="D53" s="186">
        <f>SUMIFS(Inventario!$AC$2:$AC$11,Inventario!$J$2:$J$11,"Equipaje")</f>
        <v/>
      </c>
      <c r="E53" s="186">
        <f>SUMIFS(Inventario!$AD$2:$AD$11,Inventario!$J$2:$J$11,"Equipaje")</f>
        <v/>
      </c>
      <c r="F53" s="191">
        <f>SUMIFS(Inventario!$X$2:$X$11,Inventario!$J$2:$J$11,"Equipaje")</f>
        <v/>
      </c>
    </row>
    <row r="54">
      <c r="A54" t="inlineStr">
        <is>
          <t>Llaveros</t>
        </is>
      </c>
      <c r="B54" s="191">
        <f>SUMIFS(Inventario!$O$2:$O$11,Inventario!$J$2:$J$11,"Llaveros")</f>
        <v/>
      </c>
      <c r="C54" s="191">
        <f>COUNTIFS(Inventario!$J$2:$J$11,"Llaveros",Inventario!$O$2:$O$11,"&gt;0")</f>
        <v/>
      </c>
      <c r="D54" s="186">
        <f>SUMIFS(Inventario!$AC$2:$AC$11,Inventario!$J$2:$J$11,"Llaveros")</f>
        <v/>
      </c>
      <c r="E54" s="186">
        <f>SUMIFS(Inventario!$AD$2:$AD$11,Inventario!$J$2:$J$11,"Llaveros")</f>
        <v/>
      </c>
      <c r="F54" s="191">
        <f>SUMIFS(Inventario!$X$2:$X$11,Inventario!$J$2:$J$11,"Llaveros")</f>
        <v/>
      </c>
    </row>
    <row r="55">
      <c r="A55" t="inlineStr">
        <is>
          <t>Mochilas</t>
        </is>
      </c>
      <c r="B55" s="191">
        <f>SUMIFS(Inventario!$O$2:$O$11,Inventario!$J$2:$J$11,"Mochilas")</f>
        <v/>
      </c>
      <c r="C55" s="191">
        <f>COUNTIFS(Inventario!$J$2:$J$11,"Mochilas",Inventario!$O$2:$O$11,"&gt;0")</f>
        <v/>
      </c>
      <c r="D55" s="186">
        <f>SUMIFS(Inventario!$AC$2:$AC$11,Inventario!$J$2:$J$11,"Mochilas")</f>
        <v/>
      </c>
      <c r="E55" s="186">
        <f>SUMIFS(Inventario!$AD$2:$AD$11,Inventario!$J$2:$J$11,"Mochilas")</f>
        <v/>
      </c>
      <c r="F55" s="191">
        <f>SUMIFS(Inventario!$X$2:$X$11,Inventario!$J$2:$J$11,"Mochilas")</f>
        <v/>
      </c>
    </row>
    <row r="56">
      <c r="A56" t="inlineStr">
        <is>
          <t>Plumas para sombrero</t>
        </is>
      </c>
      <c r="B56" s="191">
        <f>SUMIFS(Inventario!$O$2:$O$11,Inventario!$J$2:$J$11,"Plumas para sombrero")</f>
        <v/>
      </c>
      <c r="C56" s="191">
        <f>COUNTIFS(Inventario!$J$2:$J$11,"Plumas para sombrero",Inventario!$O$2:$O$11,"&gt;0")</f>
        <v/>
      </c>
      <c r="D56" s="186">
        <f>SUMIFS(Inventario!$AC$2:$AC$11,Inventario!$J$2:$J$11,"Plumas para sombrero")</f>
        <v/>
      </c>
      <c r="E56" s="186">
        <f>SUMIFS(Inventario!$AD$2:$AD$11,Inventario!$J$2:$J$11,"Plumas para sombrero")</f>
        <v/>
      </c>
      <c r="F56" s="191">
        <f>SUMIFS(Inventario!$X$2:$X$11,Inventario!$J$2:$J$11,"Plumas para sombrero")</f>
        <v/>
      </c>
    </row>
    <row r="58">
      <c r="A58" s="188" t="inlineStr">
        <is>
          <t>15 artículos con más unidades en mano</t>
        </is>
      </c>
      <c r="B58" s="189" t="n"/>
      <c r="C58" s="189" t="n"/>
      <c r="D58" s="189" t="n"/>
      <c r="E58" s="189" t="n"/>
      <c r="F58" s="189" t="n"/>
    </row>
    <row r="59">
      <c r="A59" s="190" t="inlineStr">
        <is>
          <t>Código de barras</t>
        </is>
      </c>
      <c r="B59" s="190" t="inlineStr">
        <is>
          <t>WB SKU</t>
        </is>
      </c>
      <c r="C59" s="190" t="inlineStr">
        <is>
          <t>WB Descripcion</t>
        </is>
      </c>
      <c r="D59" s="190" t="inlineStr">
        <is>
          <t>WB Talla</t>
        </is>
      </c>
      <c r="E59" s="190" t="inlineStr">
        <is>
          <t>En mano</t>
        </is>
      </c>
      <c r="F59" s="190" t="inlineStr">
        <is>
          <t>Variación</t>
        </is>
      </c>
    </row>
    <row r="60">
      <c r="A60" t="inlineStr">
        <is>
          <t>182900115010</t>
        </is>
      </c>
      <c r="B60" t="inlineStr">
        <is>
          <t>WL0010-UNI</t>
        </is>
      </c>
      <c r="C60" t="inlineStr">
        <is>
          <t>Pluma para Sombrero Chica</t>
        </is>
      </c>
      <c r="D60" t="inlineStr">
        <is>
          <t>Talla única</t>
        </is>
      </c>
      <c r="E60" t="n">
        <v>188</v>
      </c>
      <c r="F60" t="n">
        <v>-3</v>
      </c>
    </row>
    <row r="61">
      <c r="A61" t="inlineStr">
        <is>
          <t>182900115011</t>
        </is>
      </c>
      <c r="B61" t="inlineStr">
        <is>
          <t>WL0011-UNI</t>
        </is>
      </c>
      <c r="C61" t="inlineStr">
        <is>
          <t>Pluma para Sombrero Grande</t>
        </is>
      </c>
      <c r="D61" t="inlineStr">
        <is>
          <t>Talla única</t>
        </is>
      </c>
      <c r="E61" t="n">
        <v>20</v>
      </c>
      <c r="F61" t="n">
        <v>0</v>
      </c>
    </row>
    <row r="62">
      <c r="A62" t="inlineStr">
        <is>
          <t>182900115004</t>
        </is>
      </c>
      <c r="B62" t="inlineStr">
        <is>
          <t>WL0004-UNI</t>
        </is>
      </c>
      <c r="C62" t="inlineStr">
        <is>
          <t>Monedero pelo de res</t>
        </is>
      </c>
      <c r="D62" t="inlineStr">
        <is>
          <t>Talla única</t>
        </is>
      </c>
      <c r="E62" t="n">
        <v>18</v>
      </c>
      <c r="F62" t="n">
        <v>0</v>
      </c>
    </row>
    <row r="63">
      <c r="A63" t="inlineStr">
        <is>
          <t>182900115006</t>
        </is>
      </c>
      <c r="B63" t="inlineStr">
        <is>
          <t>WL0006-UNI</t>
        </is>
      </c>
      <c r="C63" t="inlineStr">
        <is>
          <t>Llavero repujado con ilustración</t>
        </is>
      </c>
      <c r="D63" t="inlineStr">
        <is>
          <t>Talla única</t>
        </is>
      </c>
      <c r="E63" t="n">
        <v>9</v>
      </c>
      <c r="F63" t="n">
        <v>0</v>
      </c>
    </row>
    <row r="64">
      <c r="A64" t="inlineStr">
        <is>
          <t>182900115002</t>
        </is>
      </c>
      <c r="B64" t="inlineStr">
        <is>
          <t>WL0002-UNI</t>
        </is>
      </c>
      <c r="C64" t="inlineStr">
        <is>
          <t>Mochila pelo de res/repujada</t>
        </is>
      </c>
      <c r="D64" t="inlineStr">
        <is>
          <t>Talla única</t>
        </is>
      </c>
      <c r="E64" t="n">
        <v>7</v>
      </c>
      <c r="F64" t="n">
        <v>0</v>
      </c>
    </row>
    <row r="65">
      <c r="A65" t="inlineStr">
        <is>
          <t>182900115008</t>
        </is>
      </c>
      <c r="B65" t="inlineStr">
        <is>
          <t>WL0008-UNI</t>
        </is>
      </c>
      <c r="C65" t="inlineStr">
        <is>
          <t>Llavero destapador de asta</t>
        </is>
      </c>
      <c r="D65" t="inlineStr">
        <is>
          <t>Talla única</t>
        </is>
      </c>
      <c r="E65" t="n">
        <v>6</v>
      </c>
      <c r="F65" t="n">
        <v>0</v>
      </c>
    </row>
    <row r="66">
      <c r="A66" t="inlineStr">
        <is>
          <t>182900115003</t>
        </is>
      </c>
      <c r="B66" t="inlineStr">
        <is>
          <t>WL0003-UNI</t>
        </is>
      </c>
      <c r="C66" t="inlineStr">
        <is>
          <t>Duffle pelo de res/repujado</t>
        </is>
      </c>
      <c r="D66" t="inlineStr">
        <is>
          <t>Talla única</t>
        </is>
      </c>
      <c r="E66" t="n">
        <v>4</v>
      </c>
      <c r="F66" t="n">
        <v>0</v>
      </c>
    </row>
    <row r="67">
      <c r="A67" t="inlineStr">
        <is>
          <t>182900115001</t>
        </is>
      </c>
      <c r="B67" t="inlineStr">
        <is>
          <t>WL0001-UNI</t>
        </is>
      </c>
      <c r="C67" t="inlineStr">
        <is>
          <t>Duffle de piel oversize</t>
        </is>
      </c>
      <c r="D67" t="inlineStr">
        <is>
          <t>Talla única</t>
        </is>
      </c>
      <c r="E67" t="n">
        <v>1</v>
      </c>
      <c r="F67" t="n">
        <v>0</v>
      </c>
    </row>
    <row r="68">
      <c r="A68" t="inlineStr">
        <is>
          <t>182900115009</t>
        </is>
      </c>
      <c r="B68" t="inlineStr">
        <is>
          <t>WL0009-UNI</t>
        </is>
      </c>
      <c r="C68" t="inlineStr">
        <is>
          <t>Llavero de crotal</t>
        </is>
      </c>
      <c r="D68" t="inlineStr">
        <is>
          <t>Talla única</t>
        </is>
      </c>
      <c r="E68" t="n">
        <v>1</v>
      </c>
      <c r="F68" t="n">
        <v>0</v>
      </c>
    </row>
    <row r="69">
      <c r="A69" t="inlineStr">
        <is>
          <t>182900115007</t>
        </is>
      </c>
      <c r="B69" t="inlineStr">
        <is>
          <t>WL0007-UNI</t>
        </is>
      </c>
      <c r="C69" t="inlineStr">
        <is>
          <t>Llavero contorno animal pelaje</t>
        </is>
      </c>
      <c r="D69" t="inlineStr">
        <is>
          <t>Talla única</t>
        </is>
      </c>
      <c r="E69" t="n">
        <v>0</v>
      </c>
      <c r="F69" t="n">
        <v>-2</v>
      </c>
    </row>
    <row r="71">
      <c r="A71" s="188" t="inlineStr">
        <is>
          <t>15 artículos con más salida neta desde 28/09/2026</t>
        </is>
      </c>
      <c r="B71" s="189" t="n"/>
      <c r="C71" s="189" t="n"/>
      <c r="D71" s="189" t="n"/>
      <c r="E71" s="189" t="n"/>
      <c r="F71" s="189" t="n"/>
    </row>
    <row r="72">
      <c r="A72" s="190" t="inlineStr">
        <is>
          <t>Código de barras</t>
        </is>
      </c>
      <c r="B72" s="190" t="inlineStr">
        <is>
          <t>WB SKU</t>
        </is>
      </c>
      <c r="C72" s="190" t="inlineStr">
        <is>
          <t>WB Descripcion</t>
        </is>
      </c>
      <c r="D72" s="190" t="inlineStr">
        <is>
          <t>WB Talla</t>
        </is>
      </c>
      <c r="E72" s="190" t="inlineStr">
        <is>
          <t>En mano</t>
        </is>
      </c>
      <c r="F72" s="190" t="inlineStr">
        <is>
          <t>Variación</t>
        </is>
      </c>
    </row>
    <row r="73">
      <c r="A73" t="inlineStr">
        <is>
          <t>182900115010</t>
        </is>
      </c>
      <c r="B73" t="inlineStr">
        <is>
          <t>WL0010-UNI</t>
        </is>
      </c>
      <c r="C73" t="inlineStr">
        <is>
          <t>Pluma para Sombrero Chica</t>
        </is>
      </c>
      <c r="D73" t="inlineStr">
        <is>
          <t>Talla única</t>
        </is>
      </c>
      <c r="E73" t="n">
        <v>188</v>
      </c>
      <c r="F73" t="n">
        <v>-3</v>
      </c>
    </row>
    <row r="74">
      <c r="A74" t="inlineStr">
        <is>
          <t>182900115007</t>
        </is>
      </c>
      <c r="B74" t="inlineStr">
        <is>
          <t>WL0007-UNI</t>
        </is>
      </c>
      <c r="C74" t="inlineStr">
        <is>
          <t>Llavero contorno animal pelaje</t>
        </is>
      </c>
      <c r="D74" t="inlineStr">
        <is>
          <t>Talla única</t>
        </is>
      </c>
      <c r="E74" t="n">
        <v>0</v>
      </c>
      <c r="F7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2026-10-06T22:54:02Z</dcterms:modified>
</cp:coreProperties>
</file>