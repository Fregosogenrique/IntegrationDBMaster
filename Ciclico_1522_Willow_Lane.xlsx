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'Productos'!$A$1:$AR$41</definedName>
    <definedName name="_xlnm._FilterDatabase" localSheetId="7" hidden="1">'Revisión Duplicados'!$A$1:$AU$2</definedName>
    <definedName name="_xlnm._FilterDatabase" localSheetId="8" hidden="1">'Stock por Ubicación'!$A$1:$J$79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634855014662</t>
        </is>
      </c>
      <c r="B2" s="51" t="inlineStr">
        <is>
          <t>117749</t>
        </is>
      </c>
      <c r="C2" s="156" t="inlineStr">
        <is>
          <t>Multimarca</t>
        </is>
      </c>
      <c r="D2" s="156" t="inlineStr">
        <is>
          <t>WL-BHB16</t>
        </is>
      </c>
      <c r="E2" s="156" t="inlineStr">
        <is>
          <t>WL-BHB16-UNI</t>
        </is>
      </c>
      <c r="F2" s="156" t="inlineStr">
        <is>
          <t>Talla única</t>
        </is>
      </c>
      <c r="G2" s="156" t="inlineStr">
        <is>
          <t>One Size</t>
        </is>
      </c>
      <c r="H2" s="156" t="inlineStr">
        <is>
          <t>Willow Lane</t>
        </is>
      </c>
      <c r="I2" s="156" t="inlineStr">
        <is>
          <t>Toquilla con Piedra Jaspe Café</t>
        </is>
      </c>
      <c r="J2" s="156" t="inlineStr">
        <is>
          <t>Accesorios</t>
        </is>
      </c>
      <c r="K2" s="156" t="inlineStr">
        <is>
          <t>Plumas para sombrero</t>
        </is>
      </c>
      <c r="L2" s="156" t="inlineStr">
        <is>
          <t>Unisex</t>
        </is>
      </c>
      <c r="M2" s="156" t="inlineStr">
        <is>
          <t>Willow Lane</t>
        </is>
      </c>
      <c r="N2" s="156" t="inlineStr">
        <is>
          <t>FW26</t>
        </is>
      </c>
      <c r="O2" s="156" t="inlineStr">
        <is>
          <t>Seasonal</t>
        </is>
      </c>
      <c r="P2" s="156" t="inlineStr">
        <is>
          <t>Cafe</t>
        </is>
      </c>
      <c r="Q2" s="156" t="n"/>
      <c r="R2" s="156" t="n"/>
      <c r="S2" s="156" t="inlineStr">
        <is>
          <t>Cuentas de piedra jaspe café y cordón de algodón</t>
        </is>
      </c>
      <c r="T2" s="156" t="inlineStr">
        <is>
          <t>Toquilla con Piedra Jaspe Café. Artículo de la marca Willow Lane. Estilo WL-BHB16.</t>
        </is>
      </c>
      <c r="U2" s="156" t="inlineStr">
        <is>
          <t>India</t>
        </is>
      </c>
      <c r="V2" s="156" t="inlineStr">
        <is>
          <t>PZS</t>
        </is>
      </c>
      <c r="W2" s="51" t="inlineStr">
        <is>
          <t>54101600</t>
        </is>
      </c>
      <c r="X2" s="156" t="n"/>
      <c r="Y2" s="54" t="n">
        <v>332.5</v>
      </c>
      <c r="Z2" s="54" t="n">
        <v>950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IFERROR(_xlfn.XMATCH(A2,$A$2:$A$41,0,1)&lt;&gt;_xlfn.XMATCH(A2,$A$2:$A$41,0,-1),FALSE)), "Código de barras duplicado", ""), IF(AND(E2&lt;&gt;"", COUNTIF($E$2:$E$41,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3</v>
      </c>
      <c r="AE2" s="156" t="inlineStr">
        <is>
          <t>STETSON AMERICAS (3)</t>
        </is>
      </c>
      <c r="AF2" s="51" t="n">
        <v>3</v>
      </c>
      <c r="AG2" s="156" t="inlineStr">
        <is>
          <t>Nuevo – NetSuite con existencia</t>
        </is>
      </c>
      <c r="AH2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[J,K,P,Z,S] | 01/10/2026: complementado desde Shopify Stetson México (match por código de barras): WB Fit, WB Silueta | 01/10/2026: Shopify Stetson México trae SKU WL-BHB16 — se conservó el valor de Productos | Homologación G1522 06/10/2026: Validador Shopify: WB: precio con IVA no termina en 9</t>
        </is>
      </c>
      <c r="AI2" s="156" t="inlineStr">
        <is>
          <t>No</t>
        </is>
      </c>
      <c r="AJ2" s="156" t="n"/>
      <c r="AK2" s="155" t="inlineStr">
        <is>
          <t>ProductosCatalogoEstandar907.xlsx: fila 6133 [N,O,S,U,V,W,Y]; G1522_Extraccion_Articulos_NetSuite_2026-09-30.xlsx: fila 63997 [J,K,P,Z,S] | Shopify Stetson: producto 15247084519787 / variante 53870276870507</t>
        </is>
      </c>
      <c r="AL2" s="58" t="n">
        <v>332.5</v>
      </c>
      <c r="AM2" s="58" t="n"/>
      <c r="AN2" s="155" t="inlineStr">
        <is>
          <t>Shopify Stetson México</t>
        </is>
      </c>
      <c r="AO2" s="59" t="n">
        <v>3</v>
      </c>
      <c r="AP2" s="59" t="n"/>
      <c r="AQ2" s="59" t="n"/>
      <c r="AR2" s="155" t="inlineStr">
        <is>
          <t>Shopify Stetson México › Stetson Americas: 3</t>
        </is>
      </c>
    </row>
    <row r="3">
      <c r="A3" s="50" t="inlineStr">
        <is>
          <t>634855166309</t>
        </is>
      </c>
      <c r="B3" s="51" t="inlineStr">
        <is>
          <t>117731</t>
        </is>
      </c>
      <c r="C3" s="156" t="inlineStr">
        <is>
          <t>Multimarca</t>
        </is>
      </c>
      <c r="D3" s="156" t="inlineStr">
        <is>
          <t>WL-BHB18</t>
        </is>
      </c>
      <c r="E3" s="156" t="inlineStr">
        <is>
          <t>WL-BHB18-UNI</t>
        </is>
      </c>
      <c r="F3" s="156" t="inlineStr">
        <is>
          <t>Talla única</t>
        </is>
      </c>
      <c r="G3" s="156" t="inlineStr">
        <is>
          <t>One Size</t>
        </is>
      </c>
      <c r="H3" s="156" t="inlineStr">
        <is>
          <t>Willow Lane</t>
        </is>
      </c>
      <c r="I3" s="156" t="inlineStr">
        <is>
          <t>Toquilla de Cuentas con Piedra Amazonita</t>
        </is>
      </c>
      <c r="J3" s="156" t="inlineStr">
        <is>
          <t>Accesorios</t>
        </is>
      </c>
      <c r="K3" s="156" t="inlineStr">
        <is>
          <t>Plumas para sombrero</t>
        </is>
      </c>
      <c r="L3" s="156" t="inlineStr">
        <is>
          <t>Unisex</t>
        </is>
      </c>
      <c r="M3" s="156" t="inlineStr">
        <is>
          <t>Willow Lane</t>
        </is>
      </c>
      <c r="N3" s="156" t="inlineStr">
        <is>
          <t>FW26</t>
        </is>
      </c>
      <c r="O3" s="156" t="inlineStr">
        <is>
          <t>Seasonal</t>
        </is>
      </c>
      <c r="P3" s="156" t="inlineStr">
        <is>
          <t>Azul</t>
        </is>
      </c>
      <c r="Q3" s="156" t="n"/>
      <c r="R3" s="156" t="n"/>
      <c r="S3" s="156" t="inlineStr">
        <is>
          <t>Cuentas de piedra amazonita y cordón de algodón</t>
        </is>
      </c>
      <c r="T3" s="156" t="inlineStr">
        <is>
          <t>Toquilla de Cuentas con Piedra Amazonita</t>
        </is>
      </c>
      <c r="U3" s="156" t="inlineStr">
        <is>
          <t>India</t>
        </is>
      </c>
      <c r="V3" s="156" t="inlineStr">
        <is>
          <t>PZS</t>
        </is>
      </c>
      <c r="W3" s="51" t="inlineStr">
        <is>
          <t>54101600</t>
        </is>
      </c>
      <c r="X3" s="156" t="n"/>
      <c r="Y3" s="54" t="n">
        <v>332.5</v>
      </c>
      <c r="Z3" s="54" t="n">
        <v>950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IFERROR(_xlfn.XMATCH(A3,$A$2:$A$41,0,1)&lt;&gt;_xlfn.XMATCH(A3,$A$2:$A$41,0,-1),FALSE)), "Código de barras duplicado", ""), IF(AND(E3&lt;&gt;"", COUNTIF($E$2:$E$41,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2</v>
      </c>
      <c r="AE3" s="156" t="inlineStr">
        <is>
          <t>STETSON AMERICAS (2)</t>
        </is>
      </c>
      <c r="AF3" s="51" t="n">
        <v>2</v>
      </c>
      <c r="AG3" s="156" t="inlineStr">
        <is>
          <t>Nuevo – NetSuite con existencia</t>
        </is>
      </c>
      <c r="AH3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WL-BHB18 — se conservó el valor de Productos | Homologación G1522 06/10/2026: Validador Shopify: WB: precio con IVA no termina en 9</t>
        </is>
      </c>
      <c r="AI3" s="156" t="inlineStr">
        <is>
          <t>No</t>
        </is>
      </c>
      <c r="AJ3" s="156" t="n"/>
      <c r="AK3" s="155" t="inlineStr">
        <is>
          <t>ProductosCatalogoEstandar907.xlsx: fila 6134 [N,O,P,S,U,V,W,Y]; G1522_Extraccion_Articulos_NetSuite_2026-09-30.xlsx: fila 63979 [J,K,Q,R,Z,T] | Shopify Stetson: producto 15247084454251 / variante 53870276804971</t>
        </is>
      </c>
      <c r="AL3" s="58" t="n">
        <v>332.5</v>
      </c>
      <c r="AM3" s="58" t="n"/>
      <c r="AN3" s="155" t="inlineStr">
        <is>
          <t>Shopify Stetson México</t>
        </is>
      </c>
      <c r="AO3" s="59" t="n">
        <v>2</v>
      </c>
      <c r="AP3" s="59" t="n"/>
      <c r="AQ3" s="59" t="n"/>
      <c r="AR3" s="155" t="inlineStr">
        <is>
          <t>Shopify Stetson México › Stetson Americas: 2</t>
        </is>
      </c>
    </row>
    <row r="4">
      <c r="A4" s="50" t="inlineStr">
        <is>
          <t>634855378993</t>
        </is>
      </c>
      <c r="B4" s="51" t="inlineStr">
        <is>
          <t>117732</t>
        </is>
      </c>
      <c r="C4" s="156" t="inlineStr">
        <is>
          <t>Multimarca</t>
        </is>
      </c>
      <c r="D4" s="156" t="inlineStr">
        <is>
          <t>WL-BHB19</t>
        </is>
      </c>
      <c r="E4" s="156" t="inlineStr">
        <is>
          <t>WL-BHB19-UNI</t>
        </is>
      </c>
      <c r="F4" s="156" t="inlineStr">
        <is>
          <t>Talla única</t>
        </is>
      </c>
      <c r="G4" s="156" t="inlineStr">
        <is>
          <t>One Size</t>
        </is>
      </c>
      <c r="H4" s="156" t="inlineStr">
        <is>
          <t>Willow Lane</t>
        </is>
      </c>
      <c r="I4" s="156" t="inlineStr">
        <is>
          <t>Toquilla con Piedra Turquesa Africana</t>
        </is>
      </c>
      <c r="J4" s="156" t="inlineStr">
        <is>
          <t>Accesorios</t>
        </is>
      </c>
      <c r="K4" s="156" t="inlineStr">
        <is>
          <t>Plumas para sombrero</t>
        </is>
      </c>
      <c r="L4" s="156" t="inlineStr">
        <is>
          <t>Unisex</t>
        </is>
      </c>
      <c r="M4" s="156" t="inlineStr">
        <is>
          <t>Willow Lane</t>
        </is>
      </c>
      <c r="N4" s="156" t="inlineStr">
        <is>
          <t>FW26</t>
        </is>
      </c>
      <c r="O4" s="156" t="inlineStr">
        <is>
          <t>Seasonal</t>
        </is>
      </c>
      <c r="P4" s="156" t="inlineStr">
        <is>
          <t>Verde</t>
        </is>
      </c>
      <c r="Q4" s="156" t="n"/>
      <c r="R4" s="156" t="n"/>
      <c r="S4" s="156" t="inlineStr">
        <is>
          <t>Cuentas de piedra turquesa africana y cordón de algodón</t>
        </is>
      </c>
      <c r="T4" s="156" t="inlineStr">
        <is>
          <t>Toquilla con Piedra Turquesa Africana. Artículo de la marca Willow Lane. Estilo WL-BHB19.</t>
        </is>
      </c>
      <c r="U4" s="156" t="inlineStr">
        <is>
          <t>India</t>
        </is>
      </c>
      <c r="V4" s="156" t="inlineStr">
        <is>
          <t>PZS</t>
        </is>
      </c>
      <c r="W4" s="51" t="inlineStr">
        <is>
          <t>54101600</t>
        </is>
      </c>
      <c r="X4" s="156" t="n"/>
      <c r="Y4" s="54" t="n">
        <v>332.5</v>
      </c>
      <c r="Z4" s="54" t="n">
        <v>950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IFERROR(_xlfn.XMATCH(A4,$A$2:$A$41,0,1)&lt;&gt;_xlfn.XMATCH(A4,$A$2:$A$41,0,-1),FALSE)), "Código de barras duplicado", ""), IF(AND(E4&lt;&gt;"", COUNTIF($E$2:$E$41,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3</v>
      </c>
      <c r="AE4" s="156" t="inlineStr">
        <is>
          <t>STETSON AMERICAS (3)</t>
        </is>
      </c>
      <c r="AF4" s="51" t="n">
        <v>3</v>
      </c>
      <c r="AG4" s="156" t="inlineStr">
        <is>
          <t>Nuevo – NetSuite con existencia</t>
        </is>
      </c>
      <c r="AH4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[J,K,P,Q,R,Z,S] | 01/10/2026: complementado desde Shopify Stetson México (match por código de barras): WB Fit, WB Silueta | 01/10/2026: Shopify Stetson México trae SKU WL-BHB19, Color «Azul» — se conservó el valor de Productos | Homologación G1522 06/10/2026: Validador Shopify: WB: precio con IVA no termina en 9</t>
        </is>
      </c>
      <c r="AI4" s="156" t="inlineStr">
        <is>
          <t>No</t>
        </is>
      </c>
      <c r="AJ4" s="156" t="n"/>
      <c r="AK4" s="155" t="inlineStr">
        <is>
          <t>ProductosCatalogoEstandar907.xlsx: fila 6135 [N,O,S,U,V,W,Y]; G1522_Extraccion_Articulos_NetSuite_2026-09-30.xlsx: fila 63980 [J,K,P,Q,R,Z,S] | Shopify Stetson: producto 15247084487019 / variante 53870276837739</t>
        </is>
      </c>
      <c r="AL4" s="58" t="n">
        <v>332.5</v>
      </c>
      <c r="AM4" s="58" t="n"/>
      <c r="AN4" s="155" t="inlineStr">
        <is>
          <t>Shopify Stetson México</t>
        </is>
      </c>
      <c r="AO4" s="59" t="n">
        <v>3</v>
      </c>
      <c r="AP4" s="59" t="n"/>
      <c r="AQ4" s="59" t="n"/>
      <c r="AR4" s="155" t="inlineStr">
        <is>
          <t>Shopify Stetson México › Stetson Americas: 3</t>
        </is>
      </c>
    </row>
    <row r="5">
      <c r="A5" s="50" t="inlineStr">
        <is>
          <t>634855222760</t>
        </is>
      </c>
      <c r="B5" s="51" t="inlineStr">
        <is>
          <t>117730</t>
        </is>
      </c>
      <c r="C5" s="156" t="inlineStr">
        <is>
          <t>Multimarca</t>
        </is>
      </c>
      <c r="D5" s="156" t="inlineStr">
        <is>
          <t>WL-BHB20</t>
        </is>
      </c>
      <c r="E5" s="156" t="inlineStr">
        <is>
          <t>WL-BHB20-UNI</t>
        </is>
      </c>
      <c r="F5" s="156" t="inlineStr">
        <is>
          <t>Talla única</t>
        </is>
      </c>
      <c r="G5" s="156" t="inlineStr">
        <is>
          <t>One Size</t>
        </is>
      </c>
      <c r="H5" s="156" t="inlineStr">
        <is>
          <t>Willow Lane</t>
        </is>
      </c>
      <c r="I5" s="156" t="inlineStr">
        <is>
          <t>Toquilla con Piedra Turquesa</t>
        </is>
      </c>
      <c r="J5" s="156" t="inlineStr">
        <is>
          <t>Accesorios</t>
        </is>
      </c>
      <c r="K5" s="156" t="inlineStr">
        <is>
          <t>Plumas para sombrero</t>
        </is>
      </c>
      <c r="L5" s="156" t="inlineStr">
        <is>
          <t>Unisex</t>
        </is>
      </c>
      <c r="M5" s="156" t="inlineStr">
        <is>
          <t>Willow Lane</t>
        </is>
      </c>
      <c r="N5" s="156" t="inlineStr">
        <is>
          <t>FW26</t>
        </is>
      </c>
      <c r="O5" s="156" t="inlineStr">
        <is>
          <t>Seasonal</t>
        </is>
      </c>
      <c r="P5" s="156" t="inlineStr">
        <is>
          <t>Azul</t>
        </is>
      </c>
      <c r="Q5" s="156" t="n"/>
      <c r="R5" s="156" t="n"/>
      <c r="S5" s="156" t="inlineStr">
        <is>
          <t>Cuentas de piedra turquesa y cordón de algodón</t>
        </is>
      </c>
      <c r="T5" s="156" t="inlineStr">
        <is>
          <t>Toquilla con Piedra Turquesa. Artículo de la marca Willow Lane. Estilo WL-BHB20.</t>
        </is>
      </c>
      <c r="U5" s="156" t="inlineStr">
        <is>
          <t>India</t>
        </is>
      </c>
      <c r="V5" s="156" t="inlineStr">
        <is>
          <t>PZS</t>
        </is>
      </c>
      <c r="W5" s="51" t="inlineStr">
        <is>
          <t>54101600</t>
        </is>
      </c>
      <c r="X5" s="156" t="n"/>
      <c r="Y5" s="54" t="n">
        <v>367.5</v>
      </c>
      <c r="Z5" s="54" t="n">
        <v>1050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IFERROR(_xlfn.XMATCH(A5,$A$2:$A$41,0,1)&lt;&gt;_xlfn.XMATCH(A5,$A$2:$A$41,0,-1),FALSE)), "Código de barras duplicado", ""), IF(AND(E5&lt;&gt;"", COUNTIF($E$2:$E$41,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3</v>
      </c>
      <c r="AE5" s="156" t="inlineStr">
        <is>
          <t>STETSON AMERICAS (3)</t>
        </is>
      </c>
      <c r="AF5" s="51" t="n">
        <v>3</v>
      </c>
      <c r="AG5" s="156" t="inlineStr">
        <is>
          <t>Nuevo – NetSuite con existencia</t>
        </is>
      </c>
      <c r="AH5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[J,K,P,Q,R,Z,S] | 01/10/2026: complementado desde Shopify Stetson México (match por código de barras): WB Fit, WB Silueta | 01/10/2026: Shopify Stetson México trae SKU WL-BHB20 — se conservó el valor de Productos | Homologación G1522 06/10/2026: Validador Shopify: WB: precio con IVA no termina en 9</t>
        </is>
      </c>
      <c r="AI5" s="156" t="inlineStr">
        <is>
          <t>No</t>
        </is>
      </c>
      <c r="AJ5" s="156" t="n"/>
      <c r="AK5" s="155" t="inlineStr">
        <is>
          <t>ProductosCatalogoEstandar907.xlsx: fila 6136 [N,O,S,U,V,W,Y]; G1522_Extraccion_Articulos_NetSuite_2026-09-30.xlsx: fila 63978 [J,K,P,Q,R,Z,S] | Shopify Stetson: producto 15247084421483 / variante 53870276772203</t>
        </is>
      </c>
      <c r="AL5" s="58" t="n">
        <v>367.5</v>
      </c>
      <c r="AM5" s="58" t="n"/>
      <c r="AN5" s="155" t="inlineStr">
        <is>
          <t>Shopify Stetson México</t>
        </is>
      </c>
      <c r="AO5" s="59" t="n">
        <v>3</v>
      </c>
      <c r="AP5" s="59" t="n"/>
      <c r="AQ5" s="59" t="n"/>
      <c r="AR5" s="155" t="inlineStr">
        <is>
          <t>Shopify Stetson México › Stetson Americas: 3</t>
        </is>
      </c>
    </row>
    <row r="6">
      <c r="A6" s="50" t="inlineStr">
        <is>
          <t>742968415976</t>
        </is>
      </c>
      <c r="B6" s="51" t="inlineStr">
        <is>
          <t>117733</t>
        </is>
      </c>
      <c r="C6" s="156" t="inlineStr">
        <is>
          <t>Multimarca</t>
        </is>
      </c>
      <c r="D6" s="156" t="inlineStr">
        <is>
          <t>WL-BHB65</t>
        </is>
      </c>
      <c r="E6" s="156" t="inlineStr">
        <is>
          <t>WL-BHB65-UNI</t>
        </is>
      </c>
      <c r="F6" s="156" t="inlineStr">
        <is>
          <t>Talla única</t>
        </is>
      </c>
      <c r="G6" s="156" t="inlineStr">
        <is>
          <t>One Size</t>
        </is>
      </c>
      <c r="H6" s="156" t="inlineStr">
        <is>
          <t>Willow Lane</t>
        </is>
      </c>
      <c r="I6" s="156" t="inlineStr">
        <is>
          <t>Toquilla con Piedra Jade Blanco - Halo</t>
        </is>
      </c>
      <c r="J6" s="156" t="inlineStr">
        <is>
          <t>Accesorios</t>
        </is>
      </c>
      <c r="K6" s="156" t="inlineStr">
        <is>
          <t>Plumas para sombrero</t>
        </is>
      </c>
      <c r="L6" s="156" t="inlineStr">
        <is>
          <t>Unisex</t>
        </is>
      </c>
      <c r="M6" s="156" t="inlineStr">
        <is>
          <t>Willow Lane</t>
        </is>
      </c>
      <c r="N6" s="156" t="inlineStr">
        <is>
          <t>FW26</t>
        </is>
      </c>
      <c r="O6" s="156" t="inlineStr">
        <is>
          <t>Seasonal</t>
        </is>
      </c>
      <c r="P6" s="156" t="inlineStr">
        <is>
          <t>Blanco</t>
        </is>
      </c>
      <c r="Q6" s="156" t="n"/>
      <c r="R6" s="156" t="n"/>
      <c r="S6" s="156" t="inlineStr">
        <is>
          <t>Cuentas de piedra jade blanco y cordón de algodón</t>
        </is>
      </c>
      <c r="T6" s="156" t="inlineStr">
        <is>
          <t>Toquilla con Piedra Jade Blanco - Halo. Artículo de la marca Willow Lane. Estilo WL-BHB65.</t>
        </is>
      </c>
      <c r="U6" s="156" t="inlineStr">
        <is>
          <t>India</t>
        </is>
      </c>
      <c r="V6" s="156" t="inlineStr">
        <is>
          <t>PZS</t>
        </is>
      </c>
      <c r="W6" s="51" t="inlineStr">
        <is>
          <t>54101600</t>
        </is>
      </c>
      <c r="X6" s="156" t="n"/>
      <c r="Y6" s="54" t="n">
        <v>367.5</v>
      </c>
      <c r="Z6" s="54" t="n">
        <v>1050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IFERROR(_xlfn.XMATCH(A6,$A$2:$A$41,0,1)&lt;&gt;_xlfn.XMATCH(A6,$A$2:$A$41,0,-1),FALSE)), "Código de barras duplicado", ""), IF(AND(E6&lt;&gt;"", COUNTIF($E$2:$E$41,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1</v>
      </c>
      <c r="AE6" s="156" t="inlineStr">
        <is>
          <t>STETSON AMERICAS (1)</t>
        </is>
      </c>
      <c r="AF6" s="51" t="n">
        <v>1</v>
      </c>
      <c r="AG6" s="156" t="inlineStr">
        <is>
          <t>Nuevo – NetSuite con existencia</t>
        </is>
      </c>
      <c r="AH6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[J,K,P,Q,R,Z,S] | 01/10/2026: complementado desde Shopify Stetson México (match por código de barras): WB Fit, WB Silueta | 01/10/2026: Shopify Stetson México trae SKU WL-BHB65 — se conservó el valor de Productos | Homologación G1522 06/10/2026: Validador Shopify: WB: precio con IVA no termina en 9</t>
        </is>
      </c>
      <c r="AI6" s="156" t="inlineStr">
        <is>
          <t>No</t>
        </is>
      </c>
      <c r="AJ6" s="156" t="n"/>
      <c r="AK6" s="155" t="inlineStr">
        <is>
          <t>ProductosCatalogoEstandar907.xlsx: fila 6137 [N,O,S,U,V,W,Y]; G1522_Extraccion_Articulos_NetSuite_2026-09-30.xlsx: fila 63981 [J,K,P,Q,R,Z,S] | Shopify Stetson: producto 15247084552555 / variante 53870276903275</t>
        </is>
      </c>
      <c r="AL6" s="58" t="n">
        <v>367.5</v>
      </c>
      <c r="AM6" s="58" t="n"/>
      <c r="AN6" s="155" t="inlineStr">
        <is>
          <t>Shopify Stetson México</t>
        </is>
      </c>
      <c r="AO6" s="59" t="n">
        <v>1</v>
      </c>
      <c r="AP6" s="59" t="n"/>
      <c r="AQ6" s="59" t="n"/>
      <c r="AR6" s="155" t="inlineStr">
        <is>
          <t>Shopify Stetson México › Stetson Americas: 1</t>
        </is>
      </c>
    </row>
    <row r="7">
      <c r="A7" s="50" t="inlineStr">
        <is>
          <t>613365646006</t>
        </is>
      </c>
      <c r="B7" s="51" t="inlineStr">
        <is>
          <t>117728</t>
        </is>
      </c>
      <c r="C7" s="156" t="inlineStr">
        <is>
          <t>Multimarca</t>
        </is>
      </c>
      <c r="D7" s="156" t="inlineStr">
        <is>
          <t>WL-BHB82</t>
        </is>
      </c>
      <c r="E7" s="156" t="inlineStr">
        <is>
          <t>WL-BHB82-UNI</t>
        </is>
      </c>
      <c r="F7" s="156" t="inlineStr">
        <is>
          <t>Talla única</t>
        </is>
      </c>
      <c r="G7" s="156" t="inlineStr">
        <is>
          <t>One Size</t>
        </is>
      </c>
      <c r="H7" s="156" t="inlineStr">
        <is>
          <t>Willow Lane</t>
        </is>
      </c>
      <c r="I7" s="156" t="inlineStr">
        <is>
          <t>Toquilla de Cadena con Piedras Turquesa y Gris - Ada</t>
        </is>
      </c>
      <c r="J7" s="156" t="inlineStr">
        <is>
          <t>Accesorios</t>
        </is>
      </c>
      <c r="K7" s="156" t="inlineStr">
        <is>
          <t>Plumas para sombrero</t>
        </is>
      </c>
      <c r="L7" s="156" t="inlineStr">
        <is>
          <t>Unisex</t>
        </is>
      </c>
      <c r="M7" s="156" t="inlineStr">
        <is>
          <t>Willow Lane</t>
        </is>
      </c>
      <c r="N7" s="156" t="inlineStr">
        <is>
          <t>FW26</t>
        </is>
      </c>
      <c r="O7" s="156" t="inlineStr">
        <is>
          <t>Seasonal</t>
        </is>
      </c>
      <c r="P7" s="156" t="inlineStr">
        <is>
          <t>Azul</t>
        </is>
      </c>
      <c r="Q7" s="156" t="n"/>
      <c r="R7" s="156" t="n"/>
      <c r="S7" s="156" t="inlineStr">
        <is>
          <t>Cuentas de piedra y cordón de algodón</t>
        </is>
      </c>
      <c r="T7" s="156" t="inlineStr">
        <is>
          <t>Toquilla de Cadena con Piedras Turquesa y Gris - Ada. Artículo de la marca Willow Lane. Estilo WL-BHB82.</t>
        </is>
      </c>
      <c r="U7" s="156" t="inlineStr">
        <is>
          <t>India</t>
        </is>
      </c>
      <c r="V7" s="156" t="inlineStr">
        <is>
          <t>PZS</t>
        </is>
      </c>
      <c r="W7" s="51" t="inlineStr">
        <is>
          <t>54101600</t>
        </is>
      </c>
      <c r="X7" s="156" t="n"/>
      <c r="Y7" s="54" t="n">
        <v>385</v>
      </c>
      <c r="Z7" s="54" t="n">
        <v>1100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IFERROR(_xlfn.XMATCH(A7,$A$2:$A$41,0,1)&lt;&gt;_xlfn.XMATCH(A7,$A$2:$A$41,0,-1),FALSE)), "Código de barras duplicado", ""), IF(AND(E7&lt;&gt;"", COUNTIF($E$2:$E$41,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3</v>
      </c>
      <c r="AE7" s="156" t="inlineStr">
        <is>
          <t>STETSON AMERICAS (3)</t>
        </is>
      </c>
      <c r="AF7" s="51" t="n">
        <v>3</v>
      </c>
      <c r="AG7" s="156" t="inlineStr">
        <is>
          <t>Nuevo – NetSuite con existencia</t>
        </is>
      </c>
      <c r="AH7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[J,K,P,Q,R,Z,S] | 01/10/2026: complementado desde Shopify Stetson México (match por código de barras): WB Fit, WB Silueta | 01/10/2026: Shopify Stetson México trae SKU WL-BHB82 — se conservó el valor de Productos | Homologación G1522 06/10/2026: Validador Shopify: WB: precio con IVA no termina en 9</t>
        </is>
      </c>
      <c r="AI7" s="156" t="inlineStr">
        <is>
          <t>No</t>
        </is>
      </c>
      <c r="AJ7" s="156" t="n"/>
      <c r="AK7" s="155" t="inlineStr">
        <is>
          <t>ProductosCatalogoEstandar907.xlsx: fila 6138 [N,O,S,U,V,W,Y]; G1522_Extraccion_Articulos_NetSuite_2026-09-30.xlsx: fila 63976 [J,K,P,Q,R,Z,S] | Shopify Stetson: producto 15247084323179 / variante 53870276641131</t>
        </is>
      </c>
      <c r="AL7" s="58" t="n">
        <v>385</v>
      </c>
      <c r="AM7" s="58" t="n"/>
      <c r="AN7" s="155" t="inlineStr">
        <is>
          <t>Shopify Stetson México</t>
        </is>
      </c>
      <c r="AO7" s="59" t="n">
        <v>3</v>
      </c>
      <c r="AP7" s="59" t="n"/>
      <c r="AQ7" s="59" t="n"/>
      <c r="AR7" s="155" t="inlineStr">
        <is>
          <t>Shopify Stetson México › Stetson Americas: 3</t>
        </is>
      </c>
    </row>
    <row r="8">
      <c r="A8" s="50" t="inlineStr">
        <is>
          <t>613365505587</t>
        </is>
      </c>
      <c r="B8" s="51" t="inlineStr">
        <is>
          <t>117729</t>
        </is>
      </c>
      <c r="C8" s="156" t="inlineStr">
        <is>
          <t>Multimarca</t>
        </is>
      </c>
      <c r="D8" s="156" t="inlineStr">
        <is>
          <t>WL-BHB83</t>
        </is>
      </c>
      <c r="E8" s="156" t="inlineStr">
        <is>
          <t>WL-BHB83-UNI</t>
        </is>
      </c>
      <c r="F8" s="156" t="inlineStr">
        <is>
          <t>Talla única</t>
        </is>
      </c>
      <c r="G8" s="156" t="inlineStr">
        <is>
          <t>One Size</t>
        </is>
      </c>
      <c r="H8" s="156" t="inlineStr">
        <is>
          <t>Willow Lane</t>
        </is>
      </c>
      <c r="I8" s="156" t="inlineStr">
        <is>
          <t>Toquilla de Cadena con Piedras Blancas y Neutras - June</t>
        </is>
      </c>
      <c r="J8" s="156" t="inlineStr">
        <is>
          <t>Accesorios</t>
        </is>
      </c>
      <c r="K8" s="156" t="inlineStr">
        <is>
          <t>Plumas para sombrero</t>
        </is>
      </c>
      <c r="L8" s="156" t="inlineStr">
        <is>
          <t>Unisex</t>
        </is>
      </c>
      <c r="M8" s="156" t="inlineStr">
        <is>
          <t>Willow Lane</t>
        </is>
      </c>
      <c r="N8" s="156" t="inlineStr">
        <is>
          <t>FW26</t>
        </is>
      </c>
      <c r="O8" s="156" t="inlineStr">
        <is>
          <t>Seasonal</t>
        </is>
      </c>
      <c r="P8" s="156" t="inlineStr">
        <is>
          <t>Blanco</t>
        </is>
      </c>
      <c r="Q8" s="156" t="n"/>
      <c r="R8" s="156" t="n"/>
      <c r="S8" s="156" t="inlineStr">
        <is>
          <t>Cuentas de piedra y cordón de algodón</t>
        </is>
      </c>
      <c r="T8" s="156" t="inlineStr">
        <is>
          <t>Toquilla de Cadena con Piedras Blancas y Neutras - June</t>
        </is>
      </c>
      <c r="U8" s="156" t="inlineStr">
        <is>
          <t>India</t>
        </is>
      </c>
      <c r="V8" s="156" t="inlineStr">
        <is>
          <t>PZS</t>
        </is>
      </c>
      <c r="W8" s="51" t="inlineStr">
        <is>
          <t>54101600</t>
        </is>
      </c>
      <c r="X8" s="156" t="n"/>
      <c r="Y8" s="54" t="n">
        <v>385</v>
      </c>
      <c r="Z8" s="54" t="n">
        <v>1100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IFERROR(_xlfn.XMATCH(A8,$A$2:$A$41,0,1)&lt;&gt;_xlfn.XMATCH(A8,$A$2:$A$41,0,-1),FALSE)), "Código de barras duplicado", ""), IF(AND(E8&lt;&gt;"", COUNTIF($E$2:$E$41,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2</v>
      </c>
      <c r="AE8" s="156" t="inlineStr">
        <is>
          <t>STETSON AMERICAS (2)</t>
        </is>
      </c>
      <c r="AF8" s="51" t="n">
        <v>2</v>
      </c>
      <c r="AG8" s="156" t="inlineStr">
        <is>
          <t>Nuevo – NetSuite con existencia</t>
        </is>
      </c>
      <c r="AH8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WL-BHB83 — se conservó el valor de Productos | Homologación G1522 06/10/2026: Validador Shopify: WB: precio con IVA no termina en 9</t>
        </is>
      </c>
      <c r="AI8" s="156" t="inlineStr">
        <is>
          <t>No</t>
        </is>
      </c>
      <c r="AJ8" s="156" t="n"/>
      <c r="AK8" s="155" t="inlineStr">
        <is>
          <t>ProductosCatalogoEstandar907.xlsx: fila 6139 [N,O,P,S,U,V,W,Y]; G1522_Extraccion_Articulos_NetSuite_2026-09-30.xlsx: fila 63977 [J,K,Q,R,Z,T] | Shopify Stetson: producto 15247084388715 / variante 53870276706667</t>
        </is>
      </c>
      <c r="AL8" s="58" t="n">
        <v>385</v>
      </c>
      <c r="AM8" s="58" t="n"/>
      <c r="AN8" s="155" t="inlineStr">
        <is>
          <t>Shopify Stetson México</t>
        </is>
      </c>
      <c r="AO8" s="59" t="n">
        <v>2</v>
      </c>
      <c r="AP8" s="59" t="n"/>
      <c r="AQ8" s="59" t="n"/>
      <c r="AR8" s="155" t="inlineStr">
        <is>
          <t>Shopify Stetson México › Stetson Americas: 2</t>
        </is>
      </c>
    </row>
    <row r="9">
      <c r="A9" s="50" t="inlineStr">
        <is>
          <t>742968416362</t>
        </is>
      </c>
      <c r="B9" s="51" t="inlineStr">
        <is>
          <t>117713</t>
        </is>
      </c>
      <c r="C9" s="156" t="inlineStr">
        <is>
          <t>Multimarca</t>
        </is>
      </c>
      <c r="D9" s="156" t="inlineStr">
        <is>
          <t>WL-CHA02</t>
        </is>
      </c>
      <c r="E9" s="156" t="inlineStr">
        <is>
          <t>WL-CHA02-UNI</t>
        </is>
      </c>
      <c r="F9" s="156" t="inlineStr">
        <is>
          <t>Talla única</t>
        </is>
      </c>
      <c r="G9" s="156" t="inlineStr">
        <is>
          <t>One Size</t>
        </is>
      </c>
      <c r="H9" s="156" t="inlineStr">
        <is>
          <t>Willow Lane</t>
        </is>
      </c>
      <c r="I9" s="156" t="inlineStr">
        <is>
          <t>Toquilla de Cadena Herradura Bañada en Oro 14K</t>
        </is>
      </c>
      <c r="J9" s="156" t="inlineStr">
        <is>
          <t>Accesorios</t>
        </is>
      </c>
      <c r="K9" s="156" t="inlineStr">
        <is>
          <t>Plumas para sombrero</t>
        </is>
      </c>
      <c r="L9" s="156" t="inlineStr">
        <is>
          <t>Unisex</t>
        </is>
      </c>
      <c r="M9" s="156" t="inlineStr">
        <is>
          <t>Willow Lane</t>
        </is>
      </c>
      <c r="N9" s="156" t="inlineStr">
        <is>
          <t>FW26</t>
        </is>
      </c>
      <c r="O9" s="156" t="inlineStr">
        <is>
          <t>Seasonal</t>
        </is>
      </c>
      <c r="P9" s="156" t="inlineStr">
        <is>
          <t>Amarillo</t>
        </is>
      </c>
      <c r="Q9" s="156" t="n"/>
      <c r="R9" s="156" t="n"/>
      <c r="S9" s="156" t="inlineStr">
        <is>
          <t>Cadena de metal bañado en oro 14K con componentes decorativos de herradura</t>
        </is>
      </c>
      <c r="T9" s="156" t="inlineStr">
        <is>
          <t>Toquilla de Cadena Herradura Bañada en Oro 14K Material: Cadena de metal bañado en oro 14K con componentes decorativos de herradura Origen: China</t>
        </is>
      </c>
      <c r="U9" s="156" t="inlineStr">
        <is>
          <t>China</t>
        </is>
      </c>
      <c r="V9" s="156" t="inlineStr">
        <is>
          <t>PZS</t>
        </is>
      </c>
      <c r="W9" s="51" t="inlineStr">
        <is>
          <t>54101600</t>
        </is>
      </c>
      <c r="X9" s="156" t="n"/>
      <c r="Y9" s="54" t="n">
        <v>332.5</v>
      </c>
      <c r="Z9" s="54" t="n">
        <v>950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IFERROR(_xlfn.XMATCH(A9,$A$2:$A$41,0,1)&lt;&gt;_xlfn.XMATCH(A9,$A$2:$A$41,0,-1),FALSE)), "Código de barras duplicado", ""), IF(AND(E9&lt;&gt;"", COUNTIF($E$2:$E$41,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1</v>
      </c>
      <c r="AE9" s="156" t="inlineStr">
        <is>
          <t>STETSON AMERICAS (1)</t>
        </is>
      </c>
      <c r="AF9" s="51" t="n">
        <v>1</v>
      </c>
      <c r="AG9" s="156" t="inlineStr">
        <is>
          <t>Nuevo – NetSuite con existencia</t>
        </is>
      </c>
      <c r="AH9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WL-CHA02 — se conservó el valor de Productos | Homologación G1522 06/10/2026: Validador Shopify: WB: precio con IVA no termina en 9</t>
        </is>
      </c>
      <c r="AI9" s="156" t="inlineStr">
        <is>
          <t>No</t>
        </is>
      </c>
      <c r="AJ9" s="156" t="n"/>
      <c r="AK9" s="155" t="inlineStr">
        <is>
          <t>ProductosCatalogoEstandar907.xlsx: fila 6140 [N,O,P,S,U,V,W,Y]; G1522_Extraccion_Articulos_NetSuite_2026-09-30.xlsx: fila 63961 [J,K,Q,R,Z,T] | Shopify Stetson: producto 15247083766123 / variante 53870276116843</t>
        </is>
      </c>
      <c r="AL9" s="58" t="n">
        <v>332.5</v>
      </c>
      <c r="AM9" s="58" t="n"/>
      <c r="AN9" s="155" t="inlineStr">
        <is>
          <t>Shopify Stetson México</t>
        </is>
      </c>
      <c r="AO9" s="59" t="n">
        <v>1</v>
      </c>
      <c r="AP9" s="59" t="n"/>
      <c r="AQ9" s="59" t="n"/>
      <c r="AR9" s="155" t="inlineStr">
        <is>
          <t>Shopify Stetson México › Stetson Americas: 1</t>
        </is>
      </c>
    </row>
    <row r="10">
      <c r="A10" s="50" t="inlineStr">
        <is>
          <t>604634490734</t>
        </is>
      </c>
      <c r="B10" s="51" t="inlineStr">
        <is>
          <t>117715</t>
        </is>
      </c>
      <c r="C10" s="156" t="inlineStr">
        <is>
          <t>Multimarca</t>
        </is>
      </c>
      <c r="D10" s="156" t="inlineStr">
        <is>
          <t>WL-CHA03</t>
        </is>
      </c>
      <c r="E10" s="156" t="inlineStr">
        <is>
          <t>WL-CHA03-UNI</t>
        </is>
      </c>
      <c r="F10" s="156" t="inlineStr">
        <is>
          <t>Talla única</t>
        </is>
      </c>
      <c r="G10" s="156" t="inlineStr">
        <is>
          <t>One Size</t>
        </is>
      </c>
      <c r="H10" s="156" t="inlineStr">
        <is>
          <t>Willow Lane</t>
        </is>
      </c>
      <c r="I10" s="156" t="inlineStr">
        <is>
          <t>Toquilla de Cadena Estrella Bañada en Oro 14K</t>
        </is>
      </c>
      <c r="J10" s="156" t="inlineStr">
        <is>
          <t>Accesorios</t>
        </is>
      </c>
      <c r="K10" s="156" t="inlineStr">
        <is>
          <t>Plumas para sombrero</t>
        </is>
      </c>
      <c r="L10" s="156" t="inlineStr">
        <is>
          <t>Unisex</t>
        </is>
      </c>
      <c r="M10" s="156" t="inlineStr">
        <is>
          <t>Willow Lane</t>
        </is>
      </c>
      <c r="N10" s="156" t="inlineStr">
        <is>
          <t>FW26</t>
        </is>
      </c>
      <c r="O10" s="156" t="inlineStr">
        <is>
          <t>Seasonal</t>
        </is>
      </c>
      <c r="P10" s="156" t="inlineStr">
        <is>
          <t>Amarillo</t>
        </is>
      </c>
      <c r="Q10" s="156" t="n"/>
      <c r="R10" s="156" t="n"/>
      <c r="S10" s="156" t="inlineStr">
        <is>
          <t>Cadena de metal bañado en oro 14K con componentes decorativos de estrella</t>
        </is>
      </c>
      <c r="T10" s="156" t="inlineStr">
        <is>
          <t>Toquilla de Cadena Estrella Bañada en Oro 14K Material: Cadena de metal bañado en oro 14K con componentes decorativos de estrella Origen: China</t>
        </is>
      </c>
      <c r="U10" s="156" t="inlineStr">
        <is>
          <t>China</t>
        </is>
      </c>
      <c r="V10" s="156" t="inlineStr">
        <is>
          <t>PZS</t>
        </is>
      </c>
      <c r="W10" s="51" t="inlineStr">
        <is>
          <t>54101600</t>
        </is>
      </c>
      <c r="X10" s="156" t="n"/>
      <c r="Y10" s="54" t="n">
        <v>332.5</v>
      </c>
      <c r="Z10" s="54" t="n">
        <v>950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IFERROR(_xlfn.XMATCH(A10,$A$2:$A$41,0,1)&lt;&gt;_xlfn.XMATCH(A10,$A$2:$A$41,0,-1),FALSE)), "Código de barras duplicado", ""), IF(AND(E10&lt;&gt;"", COUNTIF($E$2:$E$41,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3</v>
      </c>
      <c r="AE10" s="156" t="inlineStr">
        <is>
          <t>STETSON AMERICAS (3)</t>
        </is>
      </c>
      <c r="AF10" s="51" t="n">
        <v>3</v>
      </c>
      <c r="AG10" s="156" t="inlineStr">
        <is>
          <t>Nuevo – NetSuite con existencia</t>
        </is>
      </c>
      <c r="AH10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WL-CHA03 — se conservó el valor de Productos | Homologación G1522 06/10/2026: Validador Shopify: WB: precio con IVA no termina en 9</t>
        </is>
      </c>
      <c r="AI10" s="156" t="inlineStr">
        <is>
          <t>No</t>
        </is>
      </c>
      <c r="AJ10" s="156" t="n"/>
      <c r="AK10" s="155" t="inlineStr">
        <is>
          <t>ProductosCatalogoEstandar907.xlsx: fila 6141 [N,O,P,S,U,V,W,Y]; G1522_Extraccion_Articulos_NetSuite_2026-09-30.xlsx: fila 63963 [J,K,Q,R,Z,T] | Shopify Stetson: producto 15247083831659 / variante 53870276182379</t>
        </is>
      </c>
      <c r="AL10" s="58" t="n">
        <v>332.5</v>
      </c>
      <c r="AM10" s="58" t="n"/>
      <c r="AN10" s="155" t="inlineStr">
        <is>
          <t>Shopify Stetson México</t>
        </is>
      </c>
      <c r="AO10" s="59" t="n">
        <v>3</v>
      </c>
      <c r="AP10" s="59" t="n"/>
      <c r="AQ10" s="59" t="n"/>
      <c r="AR10" s="155" t="inlineStr">
        <is>
          <t>Shopify Stetson México › Stetson Americas: 3</t>
        </is>
      </c>
    </row>
    <row r="11">
      <c r="A11" s="50" t="inlineStr">
        <is>
          <t>742968416379</t>
        </is>
      </c>
      <c r="B11" s="51" t="inlineStr">
        <is>
          <t>117724</t>
        </is>
      </c>
      <c r="C11" s="156" t="inlineStr">
        <is>
          <t>Multimarca</t>
        </is>
      </c>
      <c r="D11" s="156" t="inlineStr">
        <is>
          <t>WL-CHA04</t>
        </is>
      </c>
      <c r="E11" s="156" t="inlineStr">
        <is>
          <t>WL-CHA04-UNI</t>
        </is>
      </c>
      <c r="F11" s="156" t="inlineStr">
        <is>
          <t>Talla única</t>
        </is>
      </c>
      <c r="G11" s="156" t="inlineStr">
        <is>
          <t>One Size</t>
        </is>
      </c>
      <c r="H11" s="156" t="inlineStr">
        <is>
          <t>Willow Lane</t>
        </is>
      </c>
      <c r="I11" s="156" t="inlineStr">
        <is>
          <t>Toquilla de Cadena Herradura Plateada</t>
        </is>
      </c>
      <c r="J11" s="156" t="inlineStr">
        <is>
          <t>Accesorios</t>
        </is>
      </c>
      <c r="K11" s="156" t="inlineStr">
        <is>
          <t>Plumas para sombrero</t>
        </is>
      </c>
      <c r="L11" s="156" t="inlineStr">
        <is>
          <t>Unisex</t>
        </is>
      </c>
      <c r="M11" s="156" t="inlineStr">
        <is>
          <t>Willow Lane</t>
        </is>
      </c>
      <c r="N11" s="156" t="inlineStr">
        <is>
          <t>FW26</t>
        </is>
      </c>
      <c r="O11" s="156" t="inlineStr">
        <is>
          <t>Seasonal</t>
        </is>
      </c>
      <c r="P11" s="156" t="inlineStr">
        <is>
          <t>Gris</t>
        </is>
      </c>
      <c r="Q11" s="156" t="n"/>
      <c r="R11" s="156" t="n"/>
      <c r="S11" s="156" t="inlineStr">
        <is>
          <t>Cadena de metal tono plata con componentes decorativos de herradura</t>
        </is>
      </c>
      <c r="T11" s="156" t="inlineStr">
        <is>
          <t>Toquilla de Cadena Herradura Plateada Material: Cadena de metal tono plata con componentes decorativos de herradura Origen: China</t>
        </is>
      </c>
      <c r="U11" s="156" t="inlineStr">
        <is>
          <t>China</t>
        </is>
      </c>
      <c r="V11" s="156" t="inlineStr">
        <is>
          <t>PZS</t>
        </is>
      </c>
      <c r="W11" s="51" t="inlineStr">
        <is>
          <t>54101600</t>
        </is>
      </c>
      <c r="X11" s="156" t="n"/>
      <c r="Y11" s="54" t="n">
        <v>332.5</v>
      </c>
      <c r="Z11" s="54" t="n">
        <v>950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IFERROR(_xlfn.XMATCH(A11,$A$2:$A$41,0,1)&lt;&gt;_xlfn.XMATCH(A11,$A$2:$A$41,0,-1),FALSE)), "Código de barras duplicado", ""), IF(AND(E11&lt;&gt;"", COUNTIF($E$2:$E$41,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1</v>
      </c>
      <c r="AE11" s="156" t="inlineStr">
        <is>
          <t>STETSON AMERICAS (1)</t>
        </is>
      </c>
      <c r="AF11" s="51" t="n">
        <v>1</v>
      </c>
      <c r="AG11" s="156" t="inlineStr">
        <is>
          <t>Nuevo – NetSuite con existencia</t>
        </is>
      </c>
      <c r="AH11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WL-CHA04 — se conservó el valor de Productos | Homologación G1522 06/10/2026: Validador Shopify: WB: precio con IVA no termina en 9</t>
        </is>
      </c>
      <c r="AI11" s="156" t="inlineStr">
        <is>
          <t>No</t>
        </is>
      </c>
      <c r="AJ11" s="156" t="n"/>
      <c r="AK11" s="155" t="inlineStr">
        <is>
          <t>ProductosCatalogoEstandar907.xlsx: fila 6142 [N,O,P,S,U,V,W,Y]; G1522_Extraccion_Articulos_NetSuite_2026-09-30.xlsx: fila 63972 [J,K,Q,R,Z,T] | Shopify Stetson: producto 15247084159339 / variante 53870276510059</t>
        </is>
      </c>
      <c r="AL11" s="58" t="n">
        <v>332.5</v>
      </c>
      <c r="AM11" s="58" t="n"/>
      <c r="AN11" s="155" t="inlineStr">
        <is>
          <t>Shopify Stetson México</t>
        </is>
      </c>
      <c r="AO11" s="59" t="n">
        <v>1</v>
      </c>
      <c r="AP11" s="59" t="n"/>
      <c r="AQ11" s="59" t="n"/>
      <c r="AR11" s="155" t="inlineStr">
        <is>
          <t>Shopify Stetson México › Stetson Americas: 1</t>
        </is>
      </c>
    </row>
    <row r="12">
      <c r="A12" s="50" t="inlineStr">
        <is>
          <t>604634309715</t>
        </is>
      </c>
      <c r="B12" s="51" t="inlineStr">
        <is>
          <t>117714</t>
        </is>
      </c>
      <c r="C12" s="156" t="inlineStr">
        <is>
          <t>Multimarca</t>
        </is>
      </c>
      <c r="D12" s="156" t="inlineStr">
        <is>
          <t>WL-CHA07</t>
        </is>
      </c>
      <c r="E12" s="156" t="inlineStr">
        <is>
          <t>WL-CHA07-UNI</t>
        </is>
      </c>
      <c r="F12" s="156" t="inlineStr">
        <is>
          <t>Talla única</t>
        </is>
      </c>
      <c r="G12" s="156" t="inlineStr">
        <is>
          <t>One Size</t>
        </is>
      </c>
      <c r="H12" s="156" t="inlineStr">
        <is>
          <t>Willow Lane</t>
        </is>
      </c>
      <c r="I12" s="156" t="inlineStr">
        <is>
          <t>Toquilla de Cadena Longhorn Bañada en Oro 14K</t>
        </is>
      </c>
      <c r="J12" s="156" t="inlineStr">
        <is>
          <t>Accesorios</t>
        </is>
      </c>
      <c r="K12" s="156" t="inlineStr">
        <is>
          <t>Plumas para sombrero</t>
        </is>
      </c>
      <c r="L12" s="156" t="inlineStr">
        <is>
          <t>Unisex</t>
        </is>
      </c>
      <c r="M12" s="156" t="inlineStr">
        <is>
          <t>Willow Lane</t>
        </is>
      </c>
      <c r="N12" s="156" t="inlineStr">
        <is>
          <t>FW26</t>
        </is>
      </c>
      <c r="O12" s="156" t="inlineStr">
        <is>
          <t>Seasonal</t>
        </is>
      </c>
      <c r="P12" s="156" t="inlineStr">
        <is>
          <t>Amarillo</t>
        </is>
      </c>
      <c r="Q12" s="156" t="n"/>
      <c r="R12" s="156" t="n"/>
      <c r="S12" s="156" t="inlineStr">
        <is>
          <t>Cadena de metal bañado en oro 14K con componentes decorativos de longhorn</t>
        </is>
      </c>
      <c r="T12" s="156" t="inlineStr">
        <is>
          <t>Toquilla de Cadena Longhorn Bañada en Oro 14K Material: Cadena de metal bañado en oro 14K con componentes decorativos de longhorn Origen: China</t>
        </is>
      </c>
      <c r="U12" s="156" t="inlineStr">
        <is>
          <t>China</t>
        </is>
      </c>
      <c r="V12" s="156" t="inlineStr">
        <is>
          <t>PZS</t>
        </is>
      </c>
      <c r="W12" s="51" t="inlineStr">
        <is>
          <t>54101600</t>
        </is>
      </c>
      <c r="X12" s="156" t="n"/>
      <c r="Y12" s="54" t="n">
        <v>332.5</v>
      </c>
      <c r="Z12" s="54" t="n">
        <v>950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IFERROR(_xlfn.XMATCH(A12,$A$2:$A$41,0,1)&lt;&gt;_xlfn.XMATCH(A12,$A$2:$A$41,0,-1),FALSE)), "Código de barras duplicado", ""), IF(AND(E12&lt;&gt;"", COUNTIF($E$2:$E$41,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4</v>
      </c>
      <c r="AE12" s="156" t="inlineStr">
        <is>
          <t>STETSON AMERICAS (4)</t>
        </is>
      </c>
      <c r="AF12" s="51" t="n">
        <v>4</v>
      </c>
      <c r="AG12" s="156" t="inlineStr">
        <is>
          <t>Nuevo – NetSuite con existencia</t>
        </is>
      </c>
      <c r="AH12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WL-CHA07 — se conservó el valor de Productos | Homologación G1522 06/10/2026: Validador Shopify: WB: precio con IVA no termina en 9</t>
        </is>
      </c>
      <c r="AI12" s="156" t="inlineStr">
        <is>
          <t>No</t>
        </is>
      </c>
      <c r="AJ12" s="156" t="n"/>
      <c r="AK12" s="155" t="inlineStr">
        <is>
          <t>ProductosCatalogoEstandar907.xlsx: fila 6143 [N,O,P,S,U,V,W,Y]; G1522_Extraccion_Articulos_NetSuite_2026-09-30.xlsx: fila 63962 [J,K,Q,R,Z,T] | Shopify Stetson: producto 15247083798891 / variante 53870276149611</t>
        </is>
      </c>
      <c r="AL12" s="58" t="n">
        <v>332.5</v>
      </c>
      <c r="AM12" s="58" t="n"/>
      <c r="AN12" s="155" t="inlineStr">
        <is>
          <t>Shopify Stetson México</t>
        </is>
      </c>
      <c r="AO12" s="59" t="n">
        <v>4</v>
      </c>
      <c r="AP12" s="59" t="n"/>
      <c r="AQ12" s="59" t="n"/>
      <c r="AR12" s="155" t="inlineStr">
        <is>
          <t>Shopify Stetson México › Stetson Americas: 4</t>
        </is>
      </c>
    </row>
    <row r="13">
      <c r="A13" s="50" t="inlineStr">
        <is>
          <t>604634440449</t>
        </is>
      </c>
      <c r="B13" s="51" t="inlineStr">
        <is>
          <t>117711</t>
        </is>
      </c>
      <c r="C13" s="156" t="inlineStr">
        <is>
          <t>Multimarca</t>
        </is>
      </c>
      <c r="D13" s="156" t="inlineStr">
        <is>
          <t>WL-CHA08</t>
        </is>
      </c>
      <c r="E13" s="156" t="inlineStr">
        <is>
          <t>WL-CHA08-UNI</t>
        </is>
      </c>
      <c r="F13" s="156" t="inlineStr">
        <is>
          <t>Talla única</t>
        </is>
      </c>
      <c r="G13" s="156" t="inlineStr">
        <is>
          <t>One Size</t>
        </is>
      </c>
      <c r="H13" s="156" t="inlineStr">
        <is>
          <t>Willow Lane</t>
        </is>
      </c>
      <c r="I13" s="156" t="inlineStr">
        <is>
          <t>Toquilla de Cadena Margarita Bañada en Oro 14K</t>
        </is>
      </c>
      <c r="J13" s="156" t="inlineStr">
        <is>
          <t>Accesorios</t>
        </is>
      </c>
      <c r="K13" s="156" t="inlineStr">
        <is>
          <t>Plumas para sombrero</t>
        </is>
      </c>
      <c r="L13" s="156" t="inlineStr">
        <is>
          <t>Unisex</t>
        </is>
      </c>
      <c r="M13" s="156" t="inlineStr">
        <is>
          <t>Willow Lane</t>
        </is>
      </c>
      <c r="N13" s="156" t="inlineStr">
        <is>
          <t>FW26</t>
        </is>
      </c>
      <c r="O13" s="156" t="inlineStr">
        <is>
          <t>Seasonal</t>
        </is>
      </c>
      <c r="P13" s="156" t="inlineStr">
        <is>
          <t>Amarillo</t>
        </is>
      </c>
      <c r="Q13" s="156" t="n"/>
      <c r="R13" s="156" t="n"/>
      <c r="S13" s="156" t="inlineStr">
        <is>
          <t>Cadena de metal bañado en oro 14K con componentes decorativos de margarita</t>
        </is>
      </c>
      <c r="T13" s="156" t="inlineStr">
        <is>
          <t>Toquilla de Cadena Margarita Bañada en Oro 14K Material: Cadena de metal bañado en oro 14K con componentes decorativos de margarita Origen: China</t>
        </is>
      </c>
      <c r="U13" s="156" t="inlineStr">
        <is>
          <t>China</t>
        </is>
      </c>
      <c r="V13" s="156" t="inlineStr">
        <is>
          <t>PZS</t>
        </is>
      </c>
      <c r="W13" s="51" t="inlineStr">
        <is>
          <t>54101600</t>
        </is>
      </c>
      <c r="X13" s="156" t="n"/>
      <c r="Y13" s="54" t="n">
        <v>332.5</v>
      </c>
      <c r="Z13" s="54" t="n">
        <v>950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IFERROR(_xlfn.XMATCH(A13,$A$2:$A$41,0,1)&lt;&gt;_xlfn.XMATCH(A13,$A$2:$A$41,0,-1),FALSE)), "Código de barras duplicado", ""), IF(AND(E13&lt;&gt;"", COUNTIF($E$2:$E$41,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3</v>
      </c>
      <c r="AE13" s="156" t="inlineStr">
        <is>
          <t>STETSON AMERICAS (3)</t>
        </is>
      </c>
      <c r="AF13" s="51" t="n">
        <v>3</v>
      </c>
      <c r="AG13" s="156" t="inlineStr">
        <is>
          <t>Nuevo – NetSuite con existencia</t>
        </is>
      </c>
      <c r="AH13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WL-CHA08 — se conservó el valor de Productos | Homologación G1522 06/10/2026: Validador Shopify: WB: precio con IVA no termina en 9</t>
        </is>
      </c>
      <c r="AI13" s="156" t="inlineStr">
        <is>
          <t>No</t>
        </is>
      </c>
      <c r="AJ13" s="156" t="n"/>
      <c r="AK13" s="155" t="inlineStr">
        <is>
          <t>ProductosCatalogoEstandar907.xlsx: fila 6144 [N,O,P,S,U,V,W,Y]; G1522_Extraccion_Articulos_NetSuite_2026-09-30.xlsx: fila 63959 [J,K,Q,R,Z,T] | Shopify Stetson: producto 15247083700587 / variante 53870276051307</t>
        </is>
      </c>
      <c r="AL13" s="58" t="n">
        <v>332.5</v>
      </c>
      <c r="AM13" s="58" t="n"/>
      <c r="AN13" s="155" t="inlineStr">
        <is>
          <t>Shopify Stetson México</t>
        </is>
      </c>
      <c r="AO13" s="59" t="n">
        <v>3</v>
      </c>
      <c r="AP13" s="59" t="n"/>
      <c r="AQ13" s="59" t="n"/>
      <c r="AR13" s="155" t="inlineStr">
        <is>
          <t>Shopify Stetson México › Stetson Americas: 3</t>
        </is>
      </c>
    </row>
    <row r="14">
      <c r="A14" s="50" t="inlineStr">
        <is>
          <t>604634398818</t>
        </is>
      </c>
      <c r="B14" s="51" t="inlineStr">
        <is>
          <t>117712</t>
        </is>
      </c>
      <c r="C14" s="156" t="inlineStr">
        <is>
          <t>Multimarca</t>
        </is>
      </c>
      <c r="D14" s="156" t="inlineStr">
        <is>
          <t>WL-CHA09</t>
        </is>
      </c>
      <c r="E14" s="156" t="inlineStr">
        <is>
          <t>WL-CHA09-UNI</t>
        </is>
      </c>
      <c r="F14" s="156" t="inlineStr">
        <is>
          <t>Talla única</t>
        </is>
      </c>
      <c r="G14" s="156" t="inlineStr">
        <is>
          <t>One Size</t>
        </is>
      </c>
      <c r="H14" s="156" t="inlineStr">
        <is>
          <t>Willow Lane</t>
        </is>
      </c>
      <c r="I14" s="156" t="inlineStr">
        <is>
          <t>Toquilla de Cadena Diamante Bañada en Oro 14K</t>
        </is>
      </c>
      <c r="J14" s="156" t="inlineStr">
        <is>
          <t>Accesorios</t>
        </is>
      </c>
      <c r="K14" s="156" t="inlineStr">
        <is>
          <t>Plumas para sombrero</t>
        </is>
      </c>
      <c r="L14" s="156" t="inlineStr">
        <is>
          <t>Unisex</t>
        </is>
      </c>
      <c r="M14" s="156" t="inlineStr">
        <is>
          <t>Willow Lane</t>
        </is>
      </c>
      <c r="N14" s="156" t="inlineStr">
        <is>
          <t>FW26</t>
        </is>
      </c>
      <c r="O14" s="156" t="inlineStr">
        <is>
          <t>Seasonal</t>
        </is>
      </c>
      <c r="P14" s="156" t="inlineStr">
        <is>
          <t>Amarillo</t>
        </is>
      </c>
      <c r="Q14" s="156" t="n"/>
      <c r="R14" s="156" t="n"/>
      <c r="S14" s="156" t="inlineStr">
        <is>
          <t>Cadena de metal bañado en oro 14K con componentes decorativos en forma de diamante</t>
        </is>
      </c>
      <c r="T14" s="156" t="inlineStr">
        <is>
          <t>Toquilla de Cadena Diamante Bañada en Oro 14K Material: Cadena de metal bañado en oro 14K con componentes decorativos en forma de diamante Origen: China</t>
        </is>
      </c>
      <c r="U14" s="156" t="inlineStr">
        <is>
          <t>China</t>
        </is>
      </c>
      <c r="V14" s="156" t="inlineStr">
        <is>
          <t>PZS</t>
        </is>
      </c>
      <c r="W14" s="51" t="inlineStr">
        <is>
          <t>54101600</t>
        </is>
      </c>
      <c r="X14" s="156" t="n"/>
      <c r="Y14" s="54" t="n">
        <v>332.5</v>
      </c>
      <c r="Z14" s="54" t="n">
        <v>950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IFERROR(_xlfn.XMATCH(A14,$A$2:$A$41,0,1)&lt;&gt;_xlfn.XMATCH(A14,$A$2:$A$41,0,-1),FALSE)), "Código de barras duplicado", ""), IF(AND(E14&lt;&gt;"", COUNTIF($E$2:$E$41,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2</v>
      </c>
      <c r="AE14" s="156" t="inlineStr">
        <is>
          <t>STETSON AMERICAS (2)</t>
        </is>
      </c>
      <c r="AF14" s="51" t="n">
        <v>2</v>
      </c>
      <c r="AG14" s="156" t="inlineStr">
        <is>
          <t>Nuevo – NetSuite con existencia</t>
        </is>
      </c>
      <c r="AH14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WL-CHA09 — se conservó el valor de Productos | Homologación G1522 06/10/2026: Validador Shopify: WB: precio con IVA no termina en 9</t>
        </is>
      </c>
      <c r="AI14" s="156" t="inlineStr">
        <is>
          <t>No</t>
        </is>
      </c>
      <c r="AJ14" s="156" t="n"/>
      <c r="AK14" s="155" t="inlineStr">
        <is>
          <t>ProductosCatalogoEstandar907.xlsx: fila 6145 [N,O,P,S,U,V,W,Y]; G1522_Extraccion_Articulos_NetSuite_2026-09-30.xlsx: fila 63960 [J,K,Q,R,Z,T] | Shopify Stetson: producto 15247083733355 / variante 53870276084075</t>
        </is>
      </c>
      <c r="AL14" s="58" t="n">
        <v>332.5</v>
      </c>
      <c r="AM14" s="58" t="n"/>
      <c r="AN14" s="155" t="inlineStr">
        <is>
          <t>Shopify Stetson México</t>
        </is>
      </c>
      <c r="AO14" s="59" t="n">
        <v>2</v>
      </c>
      <c r="AP14" s="59" t="n"/>
      <c r="AQ14" s="59" t="n"/>
      <c r="AR14" s="155" t="inlineStr">
        <is>
          <t>Shopify Stetson México › Stetson Americas: 2</t>
        </is>
      </c>
    </row>
    <row r="15">
      <c r="A15" s="50" t="inlineStr">
        <is>
          <t>634855324112</t>
        </is>
      </c>
      <c r="B15" s="51" t="inlineStr">
        <is>
          <t>117725</t>
        </is>
      </c>
      <c r="C15" s="156" t="inlineStr">
        <is>
          <t>Multimarca</t>
        </is>
      </c>
      <c r="D15" s="156" t="inlineStr">
        <is>
          <t>WL-CNCH03</t>
        </is>
      </c>
      <c r="E15" s="156" t="inlineStr">
        <is>
          <t>WL-CNCH03-UNI</t>
        </is>
      </c>
      <c r="F15" s="156" t="inlineStr">
        <is>
          <t>Talla única</t>
        </is>
      </c>
      <c r="G15" s="156" t="inlineStr">
        <is>
          <t>One Size</t>
        </is>
      </c>
      <c r="H15" s="156" t="inlineStr">
        <is>
          <t>Willow Lane</t>
        </is>
      </c>
      <c r="I15" s="156" t="inlineStr">
        <is>
          <t>Toquilla con Conchas Envejecidas - Briscoe</t>
        </is>
      </c>
      <c r="J15" s="156" t="inlineStr">
        <is>
          <t>Accesorios</t>
        </is>
      </c>
      <c r="K15" s="156" t="inlineStr">
        <is>
          <t>Plumas para sombrero</t>
        </is>
      </c>
      <c r="L15" s="156" t="inlineStr">
        <is>
          <t>Unisex</t>
        </is>
      </c>
      <c r="M15" s="156" t="inlineStr">
        <is>
          <t>Willow Lane</t>
        </is>
      </c>
      <c r="N15" s="156" t="inlineStr">
        <is>
          <t>FW26</t>
        </is>
      </c>
      <c r="O15" s="156" t="inlineStr">
        <is>
          <t>Seasonal</t>
        </is>
      </c>
      <c r="P15" s="156" t="inlineStr">
        <is>
          <t>Gris</t>
        </is>
      </c>
      <c r="Q15" s="156" t="n"/>
      <c r="R15" s="156" t="n"/>
      <c r="S15" s="156" t="inlineStr">
        <is>
          <t>Conchas de metal envejecido con componentes de textil/cordón</t>
        </is>
      </c>
      <c r="T15" s="156" t="inlineStr">
        <is>
          <t>Toquilla con Conchas Envejecidas - Briscoe Material: Conchas de metal envejecido con componentes de textil/cordón Origen: China</t>
        </is>
      </c>
      <c r="U15" s="156" t="inlineStr">
        <is>
          <t>China</t>
        </is>
      </c>
      <c r="V15" s="156" t="inlineStr">
        <is>
          <t>PZS</t>
        </is>
      </c>
      <c r="W15" s="51" t="inlineStr">
        <is>
          <t>54101600</t>
        </is>
      </c>
      <c r="X15" s="156" t="n"/>
      <c r="Y15" s="54" t="n">
        <v>210</v>
      </c>
      <c r="Z15" s="54" t="n">
        <v>600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IFERROR(_xlfn.XMATCH(A15,$A$2:$A$41,0,1)&lt;&gt;_xlfn.XMATCH(A15,$A$2:$A$41,0,-1),FALSE)), "Código de barras duplicado", ""), IF(AND(E15&lt;&gt;"", COUNTIF($E$2:$E$41,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2</v>
      </c>
      <c r="AE15" s="156" t="inlineStr">
        <is>
          <t>STETSON AMERICAS (2)</t>
        </is>
      </c>
      <c r="AF15" s="51" t="n">
        <v>2</v>
      </c>
      <c r="AG15" s="156" t="inlineStr">
        <is>
          <t>Nuevo – NetSuite con existencia</t>
        </is>
      </c>
      <c r="AH15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WL-CNCH03 — se conservó el valor de Productos | Homologación G1522 06/10/2026: Validador Shopify: WB: precio con IVA no termina en 9</t>
        </is>
      </c>
      <c r="AI15" s="156" t="inlineStr">
        <is>
          <t>No</t>
        </is>
      </c>
      <c r="AJ15" s="156" t="n"/>
      <c r="AK15" s="155" t="inlineStr">
        <is>
          <t>ProductosCatalogoEstandar907.xlsx: fila 6146 [N,O,P,S,U,V,W,Y]; G1522_Extraccion_Articulos_NetSuite_2026-09-30.xlsx: fila 63973 [J,K,Q,R,Z,T] | Shopify Stetson: producto 15247084192107 / variante 53870276542827</t>
        </is>
      </c>
      <c r="AL15" s="58" t="n">
        <v>210</v>
      </c>
      <c r="AM15" s="58" t="n"/>
      <c r="AN15" s="155" t="inlineStr">
        <is>
          <t>Shopify Stetson México</t>
        </is>
      </c>
      <c r="AO15" s="59" t="n">
        <v>2</v>
      </c>
      <c r="AP15" s="59" t="n"/>
      <c r="AQ15" s="59" t="n"/>
      <c r="AR15" s="155" t="inlineStr">
        <is>
          <t>Shopify Stetson México › Stetson Americas: 2</t>
        </is>
      </c>
    </row>
    <row r="16">
      <c r="A16" s="50" t="inlineStr">
        <is>
          <t>634855013962</t>
        </is>
      </c>
      <c r="B16" s="51" t="inlineStr">
        <is>
          <t>117738</t>
        </is>
      </c>
      <c r="C16" s="156" t="inlineStr">
        <is>
          <t>Multimarca</t>
        </is>
      </c>
      <c r="D16" s="156" t="inlineStr">
        <is>
          <t>WL-CNCH04</t>
        </is>
      </c>
      <c r="E16" s="156" t="inlineStr">
        <is>
          <t>WL-CNCH04-UNI</t>
        </is>
      </c>
      <c r="F16" s="156" t="inlineStr">
        <is>
          <t>Talla única</t>
        </is>
      </c>
      <c r="G16" s="156" t="inlineStr">
        <is>
          <t>One Size</t>
        </is>
      </c>
      <c r="H16" s="156" t="inlineStr">
        <is>
          <t>Willow Lane</t>
        </is>
      </c>
      <c r="I16" s="156" t="inlineStr">
        <is>
          <t>Toquilla con Concha Plateada y Piedra Turquesa - Strider</t>
        </is>
      </c>
      <c r="J16" s="156" t="inlineStr">
        <is>
          <t>Accesorios</t>
        </is>
      </c>
      <c r="K16" s="156" t="inlineStr">
        <is>
          <t>Plumas para sombrero</t>
        </is>
      </c>
      <c r="L16" s="156" t="inlineStr">
        <is>
          <t>Unisex</t>
        </is>
      </c>
      <c r="M16" s="156" t="inlineStr">
        <is>
          <t>Willow Lane</t>
        </is>
      </c>
      <c r="N16" s="156" t="inlineStr">
        <is>
          <t>FW26</t>
        </is>
      </c>
      <c r="O16" s="156" t="inlineStr">
        <is>
          <t>Seasonal</t>
        </is>
      </c>
      <c r="P16" s="156" t="inlineStr">
        <is>
          <t>Gris</t>
        </is>
      </c>
      <c r="Q16" s="156" t="n"/>
      <c r="R16" s="156" t="n"/>
      <c r="S16" s="156" t="inlineStr">
        <is>
          <t>Conchas de metal tono plata, piedra color turquesa y componentes de textil/cordón</t>
        </is>
      </c>
      <c r="T16" s="156" t="inlineStr">
        <is>
          <t>Toquilla con Concha Plateada y Piedra Turquesa - Strider. Artículo de la marca Willow Lane. Estilo WL-CNCH04.</t>
        </is>
      </c>
      <c r="U16" s="156" t="inlineStr">
        <is>
          <t>China</t>
        </is>
      </c>
      <c r="V16" s="156" t="inlineStr">
        <is>
          <t>PZS</t>
        </is>
      </c>
      <c r="W16" s="51" t="inlineStr">
        <is>
          <t>54101600</t>
        </is>
      </c>
      <c r="X16" s="156" t="n"/>
      <c r="Y16" s="54" t="n">
        <v>210</v>
      </c>
      <c r="Z16" s="54" t="n">
        <v>600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IFERROR(_xlfn.XMATCH(A16,$A$2:$A$41,0,1)&lt;&gt;_xlfn.XMATCH(A16,$A$2:$A$41,0,-1),FALSE)), "Código de barras duplicado", ""), IF(AND(E16&lt;&gt;"", COUNTIF($E$2:$E$41,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1</v>
      </c>
      <c r="AE16" s="156" t="inlineStr">
        <is>
          <t>STETSON AMERICAS (1)</t>
        </is>
      </c>
      <c r="AF16" s="51" t="n">
        <v>1</v>
      </c>
      <c r="AG16" s="156" t="inlineStr">
        <is>
          <t>Nuevo – NetSuite con existencia</t>
        </is>
      </c>
      <c r="AH16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[J,K,P,Q,R,Z,S] | 01/10/2026: complementado desde Shopify Stetson México (match por código de barras): WB Fit, WB Silueta | 01/10/2026: Shopify Stetson México trae SKU WL-CNCH04, Color «Azul» — se conservó el valor de Productos | Homologación G1522 06/10/2026: Validador Shopify: WB: precio con IVA no termina en 9</t>
        </is>
      </c>
      <c r="AI16" s="156" t="inlineStr">
        <is>
          <t>No</t>
        </is>
      </c>
      <c r="AJ16" s="156" t="n"/>
      <c r="AK16" s="155" t="inlineStr">
        <is>
          <t>ProductosCatalogoEstandar907.xlsx: fila 6147 [N,O,S,U,V,W,Y]; G1522_Extraccion_Articulos_NetSuite_2026-09-30.xlsx: fila 63986 [J,K,P,Q,R,Z,S] | Shopify Stetson: producto 15247084847467 / variante 53870278345067</t>
        </is>
      </c>
      <c r="AL16" s="58" t="n">
        <v>210</v>
      </c>
      <c r="AM16" s="58" t="n"/>
      <c r="AN16" s="155" t="inlineStr">
        <is>
          <t>Shopify Stetson México</t>
        </is>
      </c>
      <c r="AO16" s="59" t="n">
        <v>1</v>
      </c>
      <c r="AP16" s="59" t="n"/>
      <c r="AQ16" s="59" t="n"/>
      <c r="AR16" s="155" t="inlineStr">
        <is>
          <t>Shopify Stetson México › Stetson Americas: 1</t>
        </is>
      </c>
    </row>
    <row r="17">
      <c r="A17" s="50" t="inlineStr">
        <is>
          <t>612461656070</t>
        </is>
      </c>
      <c r="B17" s="51" t="inlineStr">
        <is>
          <t>117737</t>
        </is>
      </c>
      <c r="C17" s="156" t="inlineStr">
        <is>
          <t>Multimarca</t>
        </is>
      </c>
      <c r="D17" s="156" t="inlineStr">
        <is>
          <t>WL-CNCH10</t>
        </is>
      </c>
      <c r="E17" s="156" t="inlineStr">
        <is>
          <t>WL-CNCH10-UNI</t>
        </is>
      </c>
      <c r="F17" s="156" t="inlineStr">
        <is>
          <t>Talla única</t>
        </is>
      </c>
      <c r="G17" s="156" t="inlineStr">
        <is>
          <t>One Size</t>
        </is>
      </c>
      <c r="H17" s="156" t="inlineStr">
        <is>
          <t>Willow Lane</t>
        </is>
      </c>
      <c r="I17" s="156" t="inlineStr">
        <is>
          <t>Toquilla con Concha Plateada - Palomino</t>
        </is>
      </c>
      <c r="J17" s="156" t="inlineStr">
        <is>
          <t>Accesorios</t>
        </is>
      </c>
      <c r="K17" s="156" t="inlineStr">
        <is>
          <t>Plumas para sombrero</t>
        </is>
      </c>
      <c r="L17" s="156" t="inlineStr">
        <is>
          <t>Unisex</t>
        </is>
      </c>
      <c r="M17" s="156" t="inlineStr">
        <is>
          <t>Willow Lane</t>
        </is>
      </c>
      <c r="N17" s="156" t="inlineStr">
        <is>
          <t>FW26</t>
        </is>
      </c>
      <c r="O17" s="156" t="inlineStr">
        <is>
          <t>Seasonal</t>
        </is>
      </c>
      <c r="P17" s="156" t="inlineStr">
        <is>
          <t>Gris</t>
        </is>
      </c>
      <c r="Q17" s="156" t="n"/>
      <c r="R17" s="156" t="n"/>
      <c r="S17" s="156" t="inlineStr">
        <is>
          <t>Conchas de metal tono plata con componentes de textil/cordón</t>
        </is>
      </c>
      <c r="T17" s="156" t="inlineStr">
        <is>
          <t>Toquilla con Concha Plateada - Palomino Material: Conchas de metal tono plata con componentes de textil/cordón Origen: China</t>
        </is>
      </c>
      <c r="U17" s="156" t="inlineStr">
        <is>
          <t>China</t>
        </is>
      </c>
      <c r="V17" s="156" t="inlineStr">
        <is>
          <t>PZS</t>
        </is>
      </c>
      <c r="W17" s="51" t="inlineStr">
        <is>
          <t>54101600</t>
        </is>
      </c>
      <c r="X17" s="156" t="n"/>
      <c r="Y17" s="54" t="n">
        <v>210</v>
      </c>
      <c r="Z17" s="54" t="n">
        <v>600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IFERROR(_xlfn.XMATCH(A17,$A$2:$A$41,0,1)&lt;&gt;_xlfn.XMATCH(A17,$A$2:$A$41,0,-1),FALSE)), "Código de barras duplicado", ""), IF(AND(E17&lt;&gt;"", COUNTIF($E$2:$E$41,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0</v>
      </c>
      <c r="AE17" s="156" t="n"/>
      <c r="AF17" s="51" t="n">
        <v>0</v>
      </c>
      <c r="AG17" s="156" t="inlineStr">
        <is>
          <t>Nuevo – NetSuite con existencia</t>
        </is>
      </c>
      <c r="AH17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Silueta, WB Descripción larga (más completa) | 01/10/2026: Shopify Stetson México trae SKU WL-CNCH10 — se conservó el valor de Productos | Homologación G1522 06/10/2026: Validador Shopify: WB: precio con IVA no termina en 9</t>
        </is>
      </c>
      <c r="AI17" s="156" t="inlineStr">
        <is>
          <t>No</t>
        </is>
      </c>
      <c r="AJ17" s="156" t="n"/>
      <c r="AK17" s="155" t="inlineStr">
        <is>
          <t>ProductosCatalogoEstandar907.xlsx: fila 6148 [N,O,P,S,U,V,W,Y]; G1522_Extraccion_Articulos_NetSuite_2026-09-30.xlsx: fila 63985 [J,K,Q,R,Z,T] | Shopify Stetson: producto 15247084814699 / variante 53870278312299</t>
        </is>
      </c>
      <c r="AL17" s="58" t="n">
        <v>210</v>
      </c>
      <c r="AM17" s="58" t="n"/>
      <c r="AN17" s="155" t="inlineStr">
        <is>
          <t>Shopify Stetson México</t>
        </is>
      </c>
      <c r="AO17" s="59" t="n">
        <v>0</v>
      </c>
      <c r="AP17" s="59" t="n"/>
      <c r="AQ17" s="59" t="n"/>
      <c r="AR17" s="155" t="n"/>
    </row>
    <row r="18">
      <c r="A18" s="50" t="inlineStr">
        <is>
          <t>612461741936</t>
        </is>
      </c>
      <c r="B18" s="51" t="inlineStr">
        <is>
          <t>117735</t>
        </is>
      </c>
      <c r="C18" s="156" t="inlineStr">
        <is>
          <t>Multimarca</t>
        </is>
      </c>
      <c r="D18" s="156" t="inlineStr">
        <is>
          <t>WL-LTHR13</t>
        </is>
      </c>
      <c r="E18" s="156" t="inlineStr">
        <is>
          <t>WL-LTHR13-UNI</t>
        </is>
      </c>
      <c r="F18" s="156" t="inlineStr">
        <is>
          <t>Talla única</t>
        </is>
      </c>
      <c r="G18" s="156" t="inlineStr">
        <is>
          <t>One Size</t>
        </is>
      </c>
      <c r="H18" s="156" t="inlineStr">
        <is>
          <t>Willow Lane</t>
        </is>
      </c>
      <c r="I18" s="156" t="inlineStr">
        <is>
          <t>Toquilla de Piel Labrada Negra con Hebilla</t>
        </is>
      </c>
      <c r="J18" s="156" t="inlineStr">
        <is>
          <t>Accesorios</t>
        </is>
      </c>
      <c r="K18" s="156" t="inlineStr">
        <is>
          <t>Hebillas</t>
        </is>
      </c>
      <c r="L18" s="156" t="inlineStr">
        <is>
          <t>Unisex</t>
        </is>
      </c>
      <c r="M18" s="156" t="inlineStr">
        <is>
          <t>Willow Lane</t>
        </is>
      </c>
      <c r="N18" s="156" t="inlineStr">
        <is>
          <t>FW26</t>
        </is>
      </c>
      <c r="O18" s="156" t="inlineStr">
        <is>
          <t>Seasonal</t>
        </is>
      </c>
      <c r="P18" s="156" t="inlineStr">
        <is>
          <t>Negro</t>
        </is>
      </c>
      <c r="Q18" s="156" t="n"/>
      <c r="R18" s="156" t="n"/>
      <c r="S18" s="156" t="inlineStr">
        <is>
          <t>Piel y herraje de hebilla metálica</t>
        </is>
      </c>
      <c r="T18" s="156" t="inlineStr">
        <is>
          <t>Toquilla de Piel Labrada Negra con Hebilla</t>
        </is>
      </c>
      <c r="U18" s="156" t="inlineStr">
        <is>
          <t>India</t>
        </is>
      </c>
      <c r="V18" s="156" t="inlineStr">
        <is>
          <t>PZS</t>
        </is>
      </c>
      <c r="W18" s="51" t="inlineStr">
        <is>
          <t>54101600</t>
        </is>
      </c>
      <c r="X18" s="156" t="n"/>
      <c r="Y18" s="54" t="n">
        <v>262.5</v>
      </c>
      <c r="Z18" s="54" t="n">
        <v>750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IFERROR(_xlfn.XMATCH(A18,$A$2:$A$41,0,1)&lt;&gt;_xlfn.XMATCH(A18,$A$2:$A$41,0,-1),FALSE)), "Código de barras duplicado", ""), IF(AND(E18&lt;&gt;"", COUNTIF($E$2:$E$41,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3</v>
      </c>
      <c r="AE18" s="156" t="inlineStr">
        <is>
          <t>STETSON AMERICAS (3)</t>
        </is>
      </c>
      <c r="AF18" s="51" t="n">
        <v>3</v>
      </c>
      <c r="AG18" s="156" t="inlineStr">
        <is>
          <t>Nuevo – NetSuite con existencia</t>
        </is>
      </c>
      <c r="AH18" s="156" t="inlineStr">
        <is>
          <t>Categoría NetSuite «Toquillas» no existe en Criterios (proponer alta) | Revisión 29/09/2026: Marca Willow Lane fuera de lista Criterios; Campos sin respaldo: X; Auditoría NetSuite 30/09/2026: llenado desde NetSuite [L,P,Z,T] | 01/10/2026: complementado desde Shopify Stetson México (match por código de barras): WB Fit, WB Silueta | 01/10/2026: Shopify Stetson México trae SKU WL-LTHR13 — se conservó el valor de Productos | Homologación G1522 06/10/2026: Validador Shopify: WB: precio con IVA no termina en 9</t>
        </is>
      </c>
      <c r="AI18" s="156" t="inlineStr">
        <is>
          <t>No</t>
        </is>
      </c>
      <c r="AJ18" s="156" t="n"/>
      <c r="AK18" s="155" t="inlineStr">
        <is>
          <t>ProductosCatalogoEstandar907.xlsx: fila 6161 [N,O,S,U,V,W,Y] | Criterios: D [K,J] | Criterios: I [Q] | Criterios: J [R]; G1522_Extraccion_Articulos_NetSuite_2026-09-30.xlsx: fila 63983 [L,P,Z,T] | Shopify Stetson: producto 15247084618091 / variante 53870276968811</t>
        </is>
      </c>
      <c r="AL18" s="58" t="n">
        <v>262.5</v>
      </c>
      <c r="AM18" s="58" t="n"/>
      <c r="AN18" s="155" t="inlineStr">
        <is>
          <t>Shopify Stetson México</t>
        </is>
      </c>
      <c r="AO18" s="59" t="n">
        <v>3</v>
      </c>
      <c r="AP18" s="59" t="n"/>
      <c r="AQ18" s="59" t="n"/>
      <c r="AR18" s="155" t="inlineStr">
        <is>
          <t>Shopify Stetson México › Stetson Americas: 3</t>
        </is>
      </c>
    </row>
    <row r="19">
      <c r="A19" s="50" t="inlineStr">
        <is>
          <t>742968415860</t>
        </is>
      </c>
      <c r="B19" s="51" t="inlineStr">
        <is>
          <t>117753</t>
        </is>
      </c>
      <c r="C19" s="156" t="inlineStr">
        <is>
          <t>Multimarca</t>
        </is>
      </c>
      <c r="D19" s="156" t="inlineStr">
        <is>
          <t>WL-LTHR24</t>
        </is>
      </c>
      <c r="E19" s="156" t="inlineStr">
        <is>
          <t>WL-LTHR24-UNI</t>
        </is>
      </c>
      <c r="F19" s="156" t="inlineStr">
        <is>
          <t>Talla única</t>
        </is>
      </c>
      <c r="G19" s="156" t="inlineStr">
        <is>
          <t>One Size</t>
        </is>
      </c>
      <c r="H19" s="156" t="inlineStr">
        <is>
          <t>Willow Lane</t>
        </is>
      </c>
      <c r="I19" s="156" t="inlineStr">
        <is>
          <t>Toquilla de Piel de Vaca con Hebilla Plateada - Branson</t>
        </is>
      </c>
      <c r="J19" s="156" t="inlineStr">
        <is>
          <t>Accesorios</t>
        </is>
      </c>
      <c r="K19" s="156" t="inlineStr">
        <is>
          <t>Hebillas</t>
        </is>
      </c>
      <c r="L19" s="156" t="inlineStr">
        <is>
          <t>Unisex</t>
        </is>
      </c>
      <c r="M19" s="156" t="inlineStr">
        <is>
          <t>Willow Lane</t>
        </is>
      </c>
      <c r="N19" s="156" t="inlineStr">
        <is>
          <t>FW26</t>
        </is>
      </c>
      <c r="O19" s="156" t="inlineStr">
        <is>
          <t>Seasonal</t>
        </is>
      </c>
      <c r="P19" s="156" t="inlineStr">
        <is>
          <t>Cafe</t>
        </is>
      </c>
      <c r="Q19" s="156" t="n"/>
      <c r="R19" s="156" t="n"/>
      <c r="S19" s="156" t="inlineStr">
        <is>
          <t>Piel de vaca y herraje de hebilla tono plata</t>
        </is>
      </c>
      <c r="T19" s="156" t="inlineStr">
        <is>
          <t>Toquilla de Piel de Vaca con Hebilla Plateada - Branson</t>
        </is>
      </c>
      <c r="U19" s="156" t="inlineStr">
        <is>
          <t>India</t>
        </is>
      </c>
      <c r="V19" s="156" t="inlineStr">
        <is>
          <t>PZS</t>
        </is>
      </c>
      <c r="W19" s="51" t="inlineStr">
        <is>
          <t>54101600</t>
        </is>
      </c>
      <c r="X19" s="156" t="n"/>
      <c r="Y19" s="54" t="n">
        <v>280</v>
      </c>
      <c r="Z19" s="54" t="n">
        <v>800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IFERROR(_xlfn.XMATCH(A19,$A$2:$A$41,0,1)&lt;&gt;_xlfn.XMATCH(A19,$A$2:$A$41,0,-1),FALSE)), "Código de barras duplicado", ""), IF(AND(E19&lt;&gt;"", COUNTIF($E$2:$E$41,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3</v>
      </c>
      <c r="AE19" s="156" t="inlineStr">
        <is>
          <t>STETSON AMERICAS (3)</t>
        </is>
      </c>
      <c r="AF19" s="51" t="n">
        <v>3</v>
      </c>
      <c r="AG19" s="156" t="inlineStr">
        <is>
          <t>Nuevo – NetSuite con existencia</t>
        </is>
      </c>
      <c r="AH19" s="156" t="inlineStr">
        <is>
          <t>Categoría NetSuite «Toquillas» no existe en Criterios (proponer alta) | Revisión 29/09/2026: Marca Willow Lane fuera de lista Criterios; Campos sin respaldo: X; Auditoría NetSuite 30/09/2026: llenado desde NetSuite [L,Z,T] | 01/10/2026: complementado desde Shopify Stetson México (match por código de barras): WB Fit, WB Silueta | 01/10/2026: Shopify Stetson México trae SKU WL-LTHR24 — se conservó el valor de Productos | Homologación G1522 06/10/2026: Validador Shopify: WB: precio con IVA no termina en 9</t>
        </is>
      </c>
      <c r="AI19" s="156" t="inlineStr">
        <is>
          <t>No</t>
        </is>
      </c>
      <c r="AJ19" s="156" t="n"/>
      <c r="AK19" s="155" t="inlineStr">
        <is>
          <t>ProductosCatalogoEstandar907.xlsx: fila 6162 [N,O,P,S,U,V,W,Y] | Criterios: D [K,J] | Criterios: I [Q] | Criterios: J [R]; G1522_Extraccion_Articulos_NetSuite_2026-09-30.xlsx: fila 64001 [L,Z,T] | Shopify Stetson: producto 15247084913003 / variante 53870278410603</t>
        </is>
      </c>
      <c r="AL19" s="58" t="n">
        <v>280</v>
      </c>
      <c r="AM19" s="58" t="n"/>
      <c r="AN19" s="155" t="inlineStr">
        <is>
          <t>Shopify Stetson México</t>
        </is>
      </c>
      <c r="AO19" s="59" t="n">
        <v>3</v>
      </c>
      <c r="AP19" s="59" t="n"/>
      <c r="AQ19" s="59" t="n"/>
      <c r="AR19" s="155" t="inlineStr">
        <is>
          <t>Shopify Stetson México › Stetson Americas: 3</t>
        </is>
      </c>
    </row>
    <row r="20">
      <c r="A20" s="50" t="inlineStr">
        <is>
          <t>742968415891</t>
        </is>
      </c>
      <c r="B20" s="51" t="inlineStr">
        <is>
          <t>117754</t>
        </is>
      </c>
      <c r="C20" s="156" t="inlineStr">
        <is>
          <t>Multimarca</t>
        </is>
      </c>
      <c r="D20" s="156" t="inlineStr">
        <is>
          <t>WL-LTHR27</t>
        </is>
      </c>
      <c r="E20" s="156" t="inlineStr">
        <is>
          <t>WL-LTHR27-UNI</t>
        </is>
      </c>
      <c r="F20" s="156" t="inlineStr">
        <is>
          <t>Talla única</t>
        </is>
      </c>
      <c r="G20" s="156" t="inlineStr">
        <is>
          <t>One Size</t>
        </is>
      </c>
      <c r="H20" s="156" t="inlineStr">
        <is>
          <t>Willow Lane</t>
        </is>
      </c>
      <c r="I20" s="156" t="inlineStr">
        <is>
          <t>Toquilla de Piel Labrada con Patrón de Canasta</t>
        </is>
      </c>
      <c r="J20" s="156" t="inlineStr">
        <is>
          <t>Accesorios</t>
        </is>
      </c>
      <c r="K20" s="156" t="inlineStr">
        <is>
          <t>Plumas para sombrero</t>
        </is>
      </c>
      <c r="L20" s="156" t="inlineStr">
        <is>
          <t>Unisex</t>
        </is>
      </c>
      <c r="M20" s="156" t="inlineStr">
        <is>
          <t>Willow Lane</t>
        </is>
      </c>
      <c r="N20" s="156" t="inlineStr">
        <is>
          <t>FW26</t>
        </is>
      </c>
      <c r="O20" s="156" t="inlineStr">
        <is>
          <t>Seasonal</t>
        </is>
      </c>
      <c r="P20" s="156" t="inlineStr">
        <is>
          <t>Cafe</t>
        </is>
      </c>
      <c r="Q20" s="156" t="n"/>
      <c r="R20" s="156" t="n"/>
      <c r="S20" s="156" t="inlineStr">
        <is>
          <t>Piel y herraje metálico</t>
        </is>
      </c>
      <c r="T20" s="156" t="inlineStr">
        <is>
          <t>Toquilla de Piel Labrada con Patrón de Canasta</t>
        </is>
      </c>
      <c r="U20" s="156" t="inlineStr">
        <is>
          <t>India</t>
        </is>
      </c>
      <c r="V20" s="156" t="inlineStr">
        <is>
          <t>PZS</t>
        </is>
      </c>
      <c r="W20" s="51" t="inlineStr">
        <is>
          <t>54101600</t>
        </is>
      </c>
      <c r="X20" s="156" t="n"/>
      <c r="Y20" s="54" t="n">
        <v>262.5</v>
      </c>
      <c r="Z20" s="54" t="n">
        <v>750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IFERROR(_xlfn.XMATCH(A20,$A$2:$A$41,0,1)&lt;&gt;_xlfn.XMATCH(A20,$A$2:$A$41,0,-1),FALSE)), "Código de barras duplicado", ""), IF(AND(E20&lt;&gt;"", COUNTIF($E$2:$E$41,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3</v>
      </c>
      <c r="AE20" s="156" t="inlineStr">
        <is>
          <t>STETSON AMERICAS (3)</t>
        </is>
      </c>
      <c r="AF20" s="51" t="n">
        <v>3</v>
      </c>
      <c r="AG20" s="156" t="inlineStr">
        <is>
          <t>Nuevo – NetSuite con existencia</t>
        </is>
      </c>
      <c r="AH20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[J,K,Z,T] | 01/10/2026: complementado desde Shopify Stetson México (match por código de barras): WB Fit, WB Silueta | 01/10/2026: Shopify Stetson México trae SKU WL-LTHR27 — se conservó el valor de Productos | Homologación G1522 06/10/2026: Validador Shopify: WB: precio con IVA no termina en 9</t>
        </is>
      </c>
      <c r="AI20" s="156" t="inlineStr">
        <is>
          <t>No</t>
        </is>
      </c>
      <c r="AJ20" s="156" t="n"/>
      <c r="AK20" s="155" t="inlineStr">
        <is>
          <t>ProductosCatalogoEstandar907.xlsx: fila 6163 [N,O,P,S,U,V,W,Y]; G1522_Extraccion_Articulos_NetSuite_2026-09-30.xlsx: fila 64002 [J,K,Z,T] | Shopify Stetson: producto 15247084945771 / variante 53870278443371</t>
        </is>
      </c>
      <c r="AL20" s="58" t="n">
        <v>262.5</v>
      </c>
      <c r="AM20" s="58" t="n"/>
      <c r="AN20" s="155" t="inlineStr">
        <is>
          <t>Shopify Stetson México</t>
        </is>
      </c>
      <c r="AO20" s="59" t="n">
        <v>3</v>
      </c>
      <c r="AP20" s="59" t="n"/>
      <c r="AQ20" s="59" t="n"/>
      <c r="AR20" s="155" t="inlineStr">
        <is>
          <t>Shopify Stetson México › Stetson Americas: 3</t>
        </is>
      </c>
    </row>
    <row r="21">
      <c r="A21" s="50" t="inlineStr">
        <is>
          <t>613365736363</t>
        </is>
      </c>
      <c r="B21" s="51" t="inlineStr">
        <is>
          <t>117734</t>
        </is>
      </c>
      <c r="C21" s="156" t="inlineStr">
        <is>
          <t>Multimarca</t>
        </is>
      </c>
      <c r="D21" s="156" t="inlineStr">
        <is>
          <t>WL-LTHR38</t>
        </is>
      </c>
      <c r="E21" s="156" t="inlineStr">
        <is>
          <t>WL-LTHR38-UNI</t>
        </is>
      </c>
      <c r="F21" s="156" t="inlineStr">
        <is>
          <t>Talla única</t>
        </is>
      </c>
      <c r="G21" s="156" t="inlineStr">
        <is>
          <t>One Size</t>
        </is>
      </c>
      <c r="H21" s="156" t="inlineStr">
        <is>
          <t>Willow Lane</t>
        </is>
      </c>
      <c r="I21" s="156" t="inlineStr">
        <is>
          <t>Paquete Variado de Toquillas de Piel Neutras - Paquete de 3</t>
        </is>
      </c>
      <c r="J21" s="156" t="inlineStr">
        <is>
          <t>Accesorios</t>
        </is>
      </c>
      <c r="K21" s="156" t="inlineStr">
        <is>
          <t>Plumas para sombrero</t>
        </is>
      </c>
      <c r="L21" s="156" t="inlineStr">
        <is>
          <t>Unisex</t>
        </is>
      </c>
      <c r="M21" s="156" t="inlineStr">
        <is>
          <t>Willow Lane</t>
        </is>
      </c>
      <c r="N21" s="156" t="inlineStr">
        <is>
          <t>FW26</t>
        </is>
      </c>
      <c r="O21" s="156" t="inlineStr">
        <is>
          <t>Seasonal</t>
        </is>
      </c>
      <c r="P21" s="156" t="inlineStr">
        <is>
          <t>Negro</t>
        </is>
      </c>
      <c r="Q21" s="156" t="n"/>
      <c r="R21" s="156" t="n"/>
      <c r="S21" s="156" t="inlineStr">
        <is>
          <t>Piel con componentes de textil/cordón y metal según aplique</t>
        </is>
      </c>
      <c r="T21" s="156" t="inlineStr">
        <is>
          <t>Paquete Variado de Toquillas de Piel Neutras - Paquete de 3</t>
        </is>
      </c>
      <c r="U21" s="156" t="inlineStr">
        <is>
          <t>México</t>
        </is>
      </c>
      <c r="V21" s="156" t="inlineStr">
        <is>
          <t>PZS</t>
        </is>
      </c>
      <c r="W21" s="51" t="inlineStr">
        <is>
          <t>54101600</t>
        </is>
      </c>
      <c r="X21" s="156" t="n"/>
      <c r="Y21" s="54" t="n">
        <v>525</v>
      </c>
      <c r="Z21" s="54" t="n">
        <v>1500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IFERROR(_xlfn.XMATCH(A21,$A$2:$A$41,0,1)&lt;&gt;_xlfn.XMATCH(A21,$A$2:$A$41,0,-1),FALSE)), "Código de barras duplicado", ""), IF(AND(E21&lt;&gt;"", COUNTIF($E$2:$E$41,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6</v>
      </c>
      <c r="AE21" s="156" t="inlineStr">
        <is>
          <t>STETSON AMERICAS (6)</t>
        </is>
      </c>
      <c r="AF21" s="51" t="n">
        <v>6</v>
      </c>
      <c r="AG21" s="156" t="inlineStr">
        <is>
          <t>Nuevo – NetSuite con existencia</t>
        </is>
      </c>
      <c r="AH21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WL-LTHR38 — se conservó el valor de Productos | Homologación G1522 06/10/2026: Validador Shopify: WB: precio con IVA no termina en 9</t>
        </is>
      </c>
      <c r="AI21" s="156" t="inlineStr">
        <is>
          <t>No</t>
        </is>
      </c>
      <c r="AJ21" s="156" t="n"/>
      <c r="AK21" s="155" t="inlineStr">
        <is>
          <t>ProductosCatalogoEstandar907.xlsx: fila 6164 [N,O,P,S,U,V,W,Y]; G1522_Extraccion_Articulos_NetSuite_2026-09-30.xlsx: fila 63982 [J,K,Q,R,Z,T] | Shopify Stetson: producto 15247084585323 / variante 53870276936043</t>
        </is>
      </c>
      <c r="AL21" s="58" t="n">
        <v>525</v>
      </c>
      <c r="AM21" s="58" t="n"/>
      <c r="AN21" s="155" t="inlineStr">
        <is>
          <t>Shopify Stetson México</t>
        </is>
      </c>
      <c r="AO21" s="59" t="n">
        <v>6</v>
      </c>
      <c r="AP21" s="59" t="n"/>
      <c r="AQ21" s="59" t="n"/>
      <c r="AR21" s="155" t="inlineStr">
        <is>
          <t>Shopify Stetson México › Stetson Americas: 6</t>
        </is>
      </c>
    </row>
    <row r="22">
      <c r="A22" s="50" t="inlineStr">
        <is>
          <t>613365963394</t>
        </is>
      </c>
      <c r="B22" s="51" t="inlineStr">
        <is>
          <t>117751</t>
        </is>
      </c>
      <c r="C22" s="156" t="inlineStr">
        <is>
          <t>Multimarca</t>
        </is>
      </c>
      <c r="D22" s="156" t="inlineStr">
        <is>
          <t>WL-LTHR52</t>
        </is>
      </c>
      <c r="E22" s="156" t="inlineStr">
        <is>
          <t>WL-LTHR52-UNI</t>
        </is>
      </c>
      <c r="F22" s="156" t="inlineStr">
        <is>
          <t>Talla única</t>
        </is>
      </c>
      <c r="G22" s="156" t="inlineStr">
        <is>
          <t>One Size</t>
        </is>
      </c>
      <c r="H22" s="156" t="inlineStr">
        <is>
          <t>Willow Lane</t>
        </is>
      </c>
      <c r="I22" s="156" t="inlineStr">
        <is>
          <t>Toquilla de Piel - Diamante Café</t>
        </is>
      </c>
      <c r="J22" s="156" t="inlineStr">
        <is>
          <t>Accesorios</t>
        </is>
      </c>
      <c r="K22" s="156" t="inlineStr">
        <is>
          <t>Plumas para sombrero</t>
        </is>
      </c>
      <c r="L22" s="156" t="inlineStr">
        <is>
          <t>Unisex</t>
        </is>
      </c>
      <c r="M22" s="156" t="inlineStr">
        <is>
          <t>Willow Lane</t>
        </is>
      </c>
      <c r="N22" s="156" t="inlineStr">
        <is>
          <t>FW26</t>
        </is>
      </c>
      <c r="O22" s="156" t="inlineStr">
        <is>
          <t>Seasonal</t>
        </is>
      </c>
      <c r="P22" s="156" t="inlineStr">
        <is>
          <t>Cafe</t>
        </is>
      </c>
      <c r="Q22" s="156" t="n"/>
      <c r="R22" s="156" t="n"/>
      <c r="S22" s="156" t="inlineStr">
        <is>
          <t>Piel de cabra, cordón de algodón y herraje decorativo metálico</t>
        </is>
      </c>
      <c r="T22" s="156" t="inlineStr">
        <is>
          <t>Toquilla de Piel - Diamante Café. Artículo de la marca Willow Lane. Estilo WL-LTHR52.</t>
        </is>
      </c>
      <c r="U22" s="156" t="inlineStr">
        <is>
          <t>India</t>
        </is>
      </c>
      <c r="V22" s="156" t="inlineStr">
        <is>
          <t>PZS</t>
        </is>
      </c>
      <c r="W22" s="51" t="inlineStr">
        <is>
          <t>54101600</t>
        </is>
      </c>
      <c r="X22" s="156" t="n"/>
      <c r="Y22" s="54" t="n">
        <v>192.5</v>
      </c>
      <c r="Z22" s="54" t="n">
        <v>550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IFERROR(_xlfn.XMATCH(A22,$A$2:$A$41,0,1)&lt;&gt;_xlfn.XMATCH(A22,$A$2:$A$41,0,-1),FALSE)), "Código de barras duplicado", ""), IF(AND(E22&lt;&gt;"", COUNTIF($E$2:$E$41,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4</v>
      </c>
      <c r="AE22" s="156" t="inlineStr">
        <is>
          <t>STETSON AMERICAS (4)</t>
        </is>
      </c>
      <c r="AF22" s="51" t="n">
        <v>4</v>
      </c>
      <c r="AG22" s="156" t="inlineStr">
        <is>
          <t>Nuevo – NetSuite con existencia</t>
        </is>
      </c>
      <c r="AH22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[J,K,P,Z,S] | 01/10/2026: complementado desde Shopify Stetson México (match por código de barras): WB Fit, WB Silueta | 01/10/2026: Shopify Stetson México trae SKU WL-LTHR52 — se conservó el valor de Productos | Homologación G1522 06/10/2026: Validador Shopify: WB: precio con IVA no termina en 9</t>
        </is>
      </c>
      <c r="AI22" s="156" t="inlineStr">
        <is>
          <t>No</t>
        </is>
      </c>
      <c r="AJ22" s="156" t="n"/>
      <c r="AK22" s="155" t="inlineStr">
        <is>
          <t>ProductosCatalogoEstandar907.xlsx: fila 6165 [N,O,S,U,V,W,Y]; G1522_Extraccion_Articulos_NetSuite_2026-09-30.xlsx: fila 63999 [J,K,P,Z,S] | Shopify Stetson: producto 15247084716395 / variante 53870277067115</t>
        </is>
      </c>
      <c r="AL22" s="58" t="n">
        <v>192.5</v>
      </c>
      <c r="AM22" s="58" t="n"/>
      <c r="AN22" s="155" t="inlineStr">
        <is>
          <t>Shopify Stetson México</t>
        </is>
      </c>
      <c r="AO22" s="59" t="n">
        <v>4</v>
      </c>
      <c r="AP22" s="59" t="n"/>
      <c r="AQ22" s="59" t="n"/>
      <c r="AR22" s="155" t="inlineStr">
        <is>
          <t>Shopify Stetson México › Stetson Americas: 4</t>
        </is>
      </c>
    </row>
    <row r="23">
      <c r="A23" s="50" t="inlineStr">
        <is>
          <t>613365546825</t>
        </is>
      </c>
      <c r="B23" s="51" t="inlineStr">
        <is>
          <t>117750</t>
        </is>
      </c>
      <c r="C23" s="156" t="inlineStr">
        <is>
          <t>Multimarca</t>
        </is>
      </c>
      <c r="D23" s="156" t="inlineStr">
        <is>
          <t>WL-LTHR54</t>
        </is>
      </c>
      <c r="E23" s="156" t="inlineStr">
        <is>
          <t>WL-LTHR54-UNI</t>
        </is>
      </c>
      <c r="F23" s="156" t="inlineStr">
        <is>
          <t>Talla única</t>
        </is>
      </c>
      <c r="G23" s="156" t="inlineStr">
        <is>
          <t>One Size</t>
        </is>
      </c>
      <c r="H23" s="156" t="inlineStr">
        <is>
          <t>Willow Lane</t>
        </is>
      </c>
      <c r="I23" s="156" t="inlineStr">
        <is>
          <t>Toquilla de Piel - Cocodrilo Café Oscuro</t>
        </is>
      </c>
      <c r="J23" s="156" t="inlineStr">
        <is>
          <t>Accesorios</t>
        </is>
      </c>
      <c r="K23" s="156" t="inlineStr">
        <is>
          <t>Plumas para sombrero</t>
        </is>
      </c>
      <c r="L23" s="156" t="inlineStr">
        <is>
          <t>Unisex</t>
        </is>
      </c>
      <c r="M23" s="156" t="inlineStr">
        <is>
          <t>Willow Lane</t>
        </is>
      </c>
      <c r="N23" s="156" t="inlineStr">
        <is>
          <t>FW26</t>
        </is>
      </c>
      <c r="O23" s="156" t="inlineStr">
        <is>
          <t>Seasonal</t>
        </is>
      </c>
      <c r="P23" s="156" t="inlineStr">
        <is>
          <t>Cafe</t>
        </is>
      </c>
      <c r="Q23" s="156" t="n"/>
      <c r="R23" s="156" t="n"/>
      <c r="S23" s="156" t="inlineStr">
        <is>
          <t>Piel de cabra, cordón de algodón y herraje decorativo metálico</t>
        </is>
      </c>
      <c r="T23" s="156" t="inlineStr">
        <is>
          <t>Toquilla de Piel - Cocodrilo Café Oscuro. Artículo de la marca Willow Lane. Estilo WL-LTHR54.</t>
        </is>
      </c>
      <c r="U23" s="156" t="inlineStr">
        <is>
          <t>India</t>
        </is>
      </c>
      <c r="V23" s="156" t="inlineStr">
        <is>
          <t>PZS</t>
        </is>
      </c>
      <c r="W23" s="51" t="inlineStr">
        <is>
          <t>54101600</t>
        </is>
      </c>
      <c r="X23" s="156" t="n"/>
      <c r="Y23" s="54" t="n">
        <v>192.5</v>
      </c>
      <c r="Z23" s="54" t="n">
        <v>550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IFERROR(_xlfn.XMATCH(A23,$A$2:$A$41,0,1)&lt;&gt;_xlfn.XMATCH(A23,$A$2:$A$41,0,-1),FALSE)), "Código de barras duplicado", ""), IF(AND(E23&lt;&gt;"", COUNTIF($E$2:$E$41,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2</v>
      </c>
      <c r="AE23" s="156" t="inlineStr">
        <is>
          <t>STETSON AMERICAS (2)</t>
        </is>
      </c>
      <c r="AF23" s="51" t="n">
        <v>2</v>
      </c>
      <c r="AG23" s="156" t="inlineStr">
        <is>
          <t>Nuevo – NetSuite con existencia</t>
        </is>
      </c>
      <c r="AH23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[J,K,P,Z,S] | 01/10/2026: complementado desde Shopify Stetson México (match por código de barras): WB Fit, WB Silueta | 01/10/2026: Shopify Stetson México trae SKU WL-LTHR54 — se conservó el valor de Productos | Homologación G1522 06/10/2026: Validador Shopify: WB: precio con IVA no termina en 9</t>
        </is>
      </c>
      <c r="AI23" s="156" t="inlineStr">
        <is>
          <t>No</t>
        </is>
      </c>
      <c r="AJ23" s="156" t="n"/>
      <c r="AK23" s="155" t="inlineStr">
        <is>
          <t>ProductosCatalogoEstandar907.xlsx: fila 6166 [N,O,S,U,V,W,Y]; G1522_Extraccion_Articulos_NetSuite_2026-09-30.xlsx: fila 63998 [J,K,P,Z,S] | Shopify Stetson: producto 15247084683627 / variante 53870277034347</t>
        </is>
      </c>
      <c r="AL23" s="58" t="n">
        <v>192.5</v>
      </c>
      <c r="AM23" s="58" t="n"/>
      <c r="AN23" s="155" t="inlineStr">
        <is>
          <t>Shopify Stetson México</t>
        </is>
      </c>
      <c r="AO23" s="59" t="n">
        <v>2</v>
      </c>
      <c r="AP23" s="59" t="n"/>
      <c r="AQ23" s="59" t="n"/>
      <c r="AR23" s="155" t="inlineStr">
        <is>
          <t>Shopify Stetson México › Stetson Americas: 2</t>
        </is>
      </c>
    </row>
    <row r="24">
      <c r="A24" s="50" t="inlineStr">
        <is>
          <t>604634146280</t>
        </is>
      </c>
      <c r="B24" s="51" t="inlineStr">
        <is>
          <t>117736</t>
        </is>
      </c>
      <c r="C24" s="156" t="inlineStr">
        <is>
          <t>Multimarca</t>
        </is>
      </c>
      <c r="D24" s="156" t="inlineStr">
        <is>
          <t>WL-LTHR61</t>
        </is>
      </c>
      <c r="E24" s="156" t="inlineStr">
        <is>
          <t>WL-LTHR61-UNI</t>
        </is>
      </c>
      <c r="F24" s="156" t="inlineStr">
        <is>
          <t>Talla única</t>
        </is>
      </c>
      <c r="G24" s="156" t="inlineStr">
        <is>
          <t>One Size</t>
        </is>
      </c>
      <c r="H24" s="156" t="inlineStr">
        <is>
          <t>Willow Lane</t>
        </is>
      </c>
      <c r="I24" s="156" t="inlineStr">
        <is>
          <t>Toquilla de Piel - Rojo</t>
        </is>
      </c>
      <c r="J24" s="156" t="inlineStr">
        <is>
          <t>Accesorios</t>
        </is>
      </c>
      <c r="K24" s="156" t="inlineStr">
        <is>
          <t>Plumas para sombrero</t>
        </is>
      </c>
      <c r="L24" s="156" t="inlineStr">
        <is>
          <t>Unisex</t>
        </is>
      </c>
      <c r="M24" s="156" t="inlineStr">
        <is>
          <t>Willow Lane</t>
        </is>
      </c>
      <c r="N24" s="156" t="inlineStr">
        <is>
          <t>FW26</t>
        </is>
      </c>
      <c r="O24" s="156" t="inlineStr">
        <is>
          <t>Seasonal</t>
        </is>
      </c>
      <c r="P24" s="156" t="inlineStr">
        <is>
          <t>Rojo</t>
        </is>
      </c>
      <c r="Q24" s="156" t="n"/>
      <c r="R24" s="156" t="n"/>
      <c r="S24" s="156" t="inlineStr">
        <is>
          <t>Piel de cabra, cordón de algodón y herraje decorativo metálico</t>
        </is>
      </c>
      <c r="T24" s="156" t="inlineStr">
        <is>
          <t>Toquilla de Piel - Rojo. Artículo de la marca Willow Lane. Estilo WL-LTHR61.</t>
        </is>
      </c>
      <c r="U24" s="156" t="inlineStr">
        <is>
          <t>India</t>
        </is>
      </c>
      <c r="V24" s="156" t="inlineStr">
        <is>
          <t>PZS</t>
        </is>
      </c>
      <c r="W24" s="51" t="inlineStr">
        <is>
          <t>54101600</t>
        </is>
      </c>
      <c r="X24" s="156" t="n"/>
      <c r="Y24" s="54" t="n">
        <v>192.5</v>
      </c>
      <c r="Z24" s="54" t="n">
        <v>550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IFERROR(_xlfn.XMATCH(A24,$A$2:$A$41,0,1)&lt;&gt;_xlfn.XMATCH(A24,$A$2:$A$41,0,-1),FALSE)), "Código de barras duplicado", ""), IF(AND(E24&lt;&gt;"", COUNTIF($E$2:$E$41,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4</v>
      </c>
      <c r="AE24" s="156" t="inlineStr">
        <is>
          <t>STETSON AMERICAS (4)</t>
        </is>
      </c>
      <c r="AF24" s="51" t="n">
        <v>4</v>
      </c>
      <c r="AG24" s="156" t="inlineStr">
        <is>
          <t>Nuevo – NetSuite con existencia</t>
        </is>
      </c>
      <c r="AH24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[J,K,P,Q,R,Z,S] | 01/10/2026: complementado desde Shopify Stetson México (match por código de barras): WB Fit, WB Silueta | 01/10/2026: Shopify Stetson México trae SKU WL-LTHR61 — se conservó el valor de Productos | Homologación G1522 06/10/2026: Validador Shopify: WB: precio con IVA no termina en 9</t>
        </is>
      </c>
      <c r="AI24" s="156" t="inlineStr">
        <is>
          <t>No</t>
        </is>
      </c>
      <c r="AJ24" s="156" t="n"/>
      <c r="AK24" s="155" t="inlineStr">
        <is>
          <t>ProductosCatalogoEstandar907.xlsx: fila 6167 [N,O,S,U,V,W,Y]; G1522_Extraccion_Articulos_NetSuite_2026-09-30.xlsx: fila 63984 [J,K,P,Q,R,Z,S] | Shopify Stetson: producto 15247084781931 / variante 53870278279531</t>
        </is>
      </c>
      <c r="AL24" s="58" t="n">
        <v>192.5</v>
      </c>
      <c r="AM24" s="58" t="n"/>
      <c r="AN24" s="155" t="inlineStr">
        <is>
          <t>Shopify Stetson México</t>
        </is>
      </c>
      <c r="AO24" s="59" t="n">
        <v>4</v>
      </c>
      <c r="AP24" s="59" t="n"/>
      <c r="AQ24" s="59" t="n"/>
      <c r="AR24" s="155" t="inlineStr">
        <is>
          <t>Shopify Stetson México › Stetson Americas: 4</t>
        </is>
      </c>
    </row>
    <row r="25">
      <c r="A25" s="50" t="inlineStr">
        <is>
          <t>604634008496</t>
        </is>
      </c>
      <c r="B25" s="51" t="inlineStr">
        <is>
          <t>117752</t>
        </is>
      </c>
      <c r="C25" s="156" t="inlineStr">
        <is>
          <t>Multimarca</t>
        </is>
      </c>
      <c r="D25" s="156" t="inlineStr">
        <is>
          <t>WL-LTHR64</t>
        </is>
      </c>
      <c r="E25" s="156" t="inlineStr">
        <is>
          <t>WL-LTHR64-UNI</t>
        </is>
      </c>
      <c r="F25" s="156" t="inlineStr">
        <is>
          <t>Talla única</t>
        </is>
      </c>
      <c r="G25" s="156" t="inlineStr">
        <is>
          <t>One Size</t>
        </is>
      </c>
      <c r="H25" s="156" t="inlineStr">
        <is>
          <t>Willow Lane</t>
        </is>
      </c>
      <c r="I25" s="156" t="inlineStr">
        <is>
          <t>Toquilla de Piel - Serpiente Piedra</t>
        </is>
      </c>
      <c r="J25" s="156" t="inlineStr">
        <is>
          <t>Accesorios</t>
        </is>
      </c>
      <c r="K25" s="156" t="inlineStr">
        <is>
          <t>Plumas para sombrero</t>
        </is>
      </c>
      <c r="L25" s="156" t="inlineStr">
        <is>
          <t>Unisex</t>
        </is>
      </c>
      <c r="M25" s="156" t="inlineStr">
        <is>
          <t>Willow Lane</t>
        </is>
      </c>
      <c r="N25" s="156" t="inlineStr">
        <is>
          <t>FW26</t>
        </is>
      </c>
      <c r="O25" s="156" t="inlineStr">
        <is>
          <t>Seasonal</t>
        </is>
      </c>
      <c r="P25" s="156" t="inlineStr">
        <is>
          <t>Cafe</t>
        </is>
      </c>
      <c r="Q25" s="156" t="n"/>
      <c r="R25" s="156" t="n"/>
      <c r="S25" s="156" t="inlineStr">
        <is>
          <t>Piel de cabra, cordón de algodón y herraje decorativo metálico</t>
        </is>
      </c>
      <c r="T25" s="156" t="inlineStr">
        <is>
          <t>Toquilla de Piel - Serpiente Piedra Material: Piel de cabra, cordón de algodón y herraje decorativo metálico Origen: India</t>
        </is>
      </c>
      <c r="U25" s="156" t="inlineStr">
        <is>
          <t>India</t>
        </is>
      </c>
      <c r="V25" s="156" t="inlineStr">
        <is>
          <t>PZS</t>
        </is>
      </c>
      <c r="W25" s="51" t="inlineStr">
        <is>
          <t>54101600</t>
        </is>
      </c>
      <c r="X25" s="156" t="n"/>
      <c r="Y25" s="54" t="n">
        <v>192.5</v>
      </c>
      <c r="Z25" s="54" t="n">
        <v>550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IFERROR(_xlfn.XMATCH(A25,$A$2:$A$41,0,1)&lt;&gt;_xlfn.XMATCH(A25,$A$2:$A$41,0,-1),FALSE)), "Código de barras duplicado", ""), IF(AND(E25&lt;&gt;"", COUNTIF($E$2:$E$41,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4</v>
      </c>
      <c r="AE25" s="156" t="inlineStr">
        <is>
          <t>STETSON AMERICAS (4)</t>
        </is>
      </c>
      <c r="AF25" s="51" t="n">
        <v>4</v>
      </c>
      <c r="AG25" s="156" t="inlineStr">
        <is>
          <t>Nuevo – NetSuite con existencia</t>
        </is>
      </c>
      <c r="AH25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[J,K,Z,T] | 01/10/2026: complementado desde Shopify Stetson México (match por código de barras): WB Fit, WB Silueta, WB Descripción larga (más completa) | 01/10/2026: Shopify Stetson México trae SKU WL-LTHR64 — se conservó el valor de Productos | Homologación G1522 06/10/2026: Validador Shopify: WB: precio con IVA no termina en 9</t>
        </is>
      </c>
      <c r="AI25" s="156" t="inlineStr">
        <is>
          <t>No</t>
        </is>
      </c>
      <c r="AJ25" s="156" t="n"/>
      <c r="AK25" s="155" t="inlineStr">
        <is>
          <t>ProductosCatalogoEstandar907.xlsx: fila 6168 [N,O,P,S,U,V,W,Y]; G1522_Extraccion_Articulos_NetSuite_2026-09-30.xlsx: fila 64000 [J,K,Z,T] | Shopify Stetson: producto 15247084749163 / variante 53870278246763</t>
        </is>
      </c>
      <c r="AL25" s="58" t="n">
        <v>192.5</v>
      </c>
      <c r="AM25" s="58" t="n"/>
      <c r="AN25" s="155" t="inlineStr">
        <is>
          <t>Shopify Stetson México</t>
        </is>
      </c>
      <c r="AO25" s="59" t="n">
        <v>4</v>
      </c>
      <c r="AP25" s="59" t="n"/>
      <c r="AQ25" s="59" t="n"/>
      <c r="AR25" s="155" t="inlineStr">
        <is>
          <t>Shopify Stetson México › Stetson Americas: 4</t>
        </is>
      </c>
    </row>
    <row r="26">
      <c r="A26" s="50" t="inlineStr">
        <is>
          <t>634855038170</t>
        </is>
      </c>
      <c r="B26" s="51" t="inlineStr">
        <is>
          <t>117723</t>
        </is>
      </c>
      <c r="C26" s="156" t="inlineStr">
        <is>
          <t>Multimarca</t>
        </is>
      </c>
      <c r="D26" s="156" t="inlineStr">
        <is>
          <t>WL-PIN03</t>
        </is>
      </c>
      <c r="E26" s="156" t="inlineStr">
        <is>
          <t>WL-PIN03-UNI</t>
        </is>
      </c>
      <c r="F26" s="156" t="inlineStr">
        <is>
          <t>Talla única</t>
        </is>
      </c>
      <c r="G26" s="156" t="inlineStr">
        <is>
          <t>One Size</t>
        </is>
      </c>
      <c r="H26" s="156" t="inlineStr">
        <is>
          <t>Willow Lane</t>
        </is>
      </c>
      <c r="I26" s="156" t="inlineStr">
        <is>
          <t>Alfiler de Sombrero Ovalado - Flor del Desierto</t>
        </is>
      </c>
      <c r="J26" s="156" t="inlineStr">
        <is>
          <t>Accesorios</t>
        </is>
      </c>
      <c r="K26" s="156" t="inlineStr">
        <is>
          <t>Sombreros</t>
        </is>
      </c>
      <c r="L26" s="156" t="inlineStr">
        <is>
          <t>Unisex</t>
        </is>
      </c>
      <c r="M26" s="156" t="inlineStr">
        <is>
          <t>Willow Lane</t>
        </is>
      </c>
      <c r="N26" s="156" t="inlineStr">
        <is>
          <t>FW26</t>
        </is>
      </c>
      <c r="O26" s="156" t="inlineStr">
        <is>
          <t>Seasonal</t>
        </is>
      </c>
      <c r="P26" s="156" t="inlineStr">
        <is>
          <t>Negro</t>
        </is>
      </c>
      <c r="Q26" s="156" t="n"/>
      <c r="R26" s="156" t="n"/>
      <c r="S26" s="156" t="inlineStr">
        <is>
          <t>Elemento decorativo de piedra y herraje de alfiler metálico</t>
        </is>
      </c>
      <c r="T26" s="156" t="inlineStr">
        <is>
          <t>Alfiler de Sombrero Ovalado - Flor del Desierto</t>
        </is>
      </c>
      <c r="U26" s="156" t="inlineStr">
        <is>
          <t>India</t>
        </is>
      </c>
      <c r="V26" s="156" t="inlineStr">
        <is>
          <t>PZS</t>
        </is>
      </c>
      <c r="W26" s="51" t="inlineStr">
        <is>
          <t>54101600</t>
        </is>
      </c>
      <c r="X26" s="156" t="n"/>
      <c r="Y26" s="54" t="n">
        <v>262.5</v>
      </c>
      <c r="Z26" s="54" t="n">
        <v>750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IFERROR(_xlfn.XMATCH(A26,$A$2:$A$41,0,1)&lt;&gt;_xlfn.XMATCH(A26,$A$2:$A$41,0,-1),FALSE)), "Código de barras duplicado", ""), IF(AND(E26&lt;&gt;"", COUNTIF($E$2:$E$41,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2</v>
      </c>
      <c r="AE26" s="156" t="inlineStr">
        <is>
          <t>STETSON AMERICAS (2)</t>
        </is>
      </c>
      <c r="AF26" s="51" t="n">
        <v>2</v>
      </c>
      <c r="AG26" s="156" t="inlineStr">
        <is>
          <t>Nuevo – NetSuite con existencia</t>
        </is>
      </c>
      <c r="AH26" s="156" t="inlineStr">
        <is>
          <t>Categoría NetSuite «Pines de Sombrero» no existe en Criterios (proponer alta) | Revisión 29/09/2026: Talla fuente Talla única sin equivalencia exacta en Criterios para Talla Sombrero; Marca Willow Lane fuera de lista Criterios; Campos sin respaldo: R, X; Auditoría NetSuite 30/09/2026: llenado desde NetSuite [L,Z,T]; Silueta NetSuite vacía | 01/10/2026: complementado desde Shopify Stetson México (match por código de barras): WB Fit | 01/10/2026: Shopify Stetson México trae SKU WL-PIN03 — se conservó el valor de Productos | Homologación G1522 06/10/2026: Validador Shopify: WB: precio con IVA no termina en 9</t>
        </is>
      </c>
      <c r="AI26" s="156" t="inlineStr">
        <is>
          <t>No</t>
        </is>
      </c>
      <c r="AJ26" s="156" t="n"/>
      <c r="AK26" s="155" t="inlineStr">
        <is>
          <t>ProductosCatalogoEstandar907.xlsx: fila 6169 [N,O,P,S,U,V,W,Y] | Criterios: D [K,J] | Criterios: I [Q]; G1522_Extraccion_Articulos_NetSuite_2026-09-30.xlsx: fila 63971 [L,Z,T] | Shopify Stetson: producto 15247084126571 / variante 53870276477291</t>
        </is>
      </c>
      <c r="AL26" s="58" t="n">
        <v>262.5</v>
      </c>
      <c r="AM26" s="58" t="n"/>
      <c r="AN26" s="155" t="inlineStr">
        <is>
          <t>Shopify Stetson México</t>
        </is>
      </c>
      <c r="AO26" s="59" t="n">
        <v>2</v>
      </c>
      <c r="AP26" s="59" t="n"/>
      <c r="AQ26" s="59" t="n"/>
      <c r="AR26" s="155" t="inlineStr">
        <is>
          <t>Shopify Stetson México › Stetson Americas: 2</t>
        </is>
      </c>
    </row>
    <row r="27">
      <c r="A27" s="50" t="inlineStr">
        <is>
          <t>634855175844</t>
        </is>
      </c>
      <c r="B27" s="51" t="inlineStr">
        <is>
          <t>117726</t>
        </is>
      </c>
      <c r="C27" s="156" t="inlineStr">
        <is>
          <t>Multimarca</t>
        </is>
      </c>
      <c r="D27" s="156" t="inlineStr">
        <is>
          <t>WL-PIN04</t>
        </is>
      </c>
      <c r="E27" s="156" t="inlineStr">
        <is>
          <t>WL-PIN04-UNI</t>
        </is>
      </c>
      <c r="F27" s="156" t="inlineStr">
        <is>
          <t>Talla única</t>
        </is>
      </c>
      <c r="G27" s="156" t="inlineStr">
        <is>
          <t>One Size</t>
        </is>
      </c>
      <c r="H27" s="156" t="inlineStr">
        <is>
          <t>Willow Lane</t>
        </is>
      </c>
      <c r="I27" s="156" t="inlineStr">
        <is>
          <t>Alfiler de Sombrero con Borde de Cuentas Turquesa - Sierra</t>
        </is>
      </c>
      <c r="J27" s="156" t="inlineStr">
        <is>
          <t>Accesorios</t>
        </is>
      </c>
      <c r="K27" s="156" t="inlineStr">
        <is>
          <t>Sombreros</t>
        </is>
      </c>
      <c r="L27" s="156" t="inlineStr">
        <is>
          <t>Unisex</t>
        </is>
      </c>
      <c r="M27" s="156" t="inlineStr">
        <is>
          <t>Willow Lane</t>
        </is>
      </c>
      <c r="N27" s="156" t="inlineStr">
        <is>
          <t>FW26</t>
        </is>
      </c>
      <c r="O27" s="156" t="inlineStr">
        <is>
          <t>Seasonal</t>
        </is>
      </c>
      <c r="P27" s="156" t="inlineStr">
        <is>
          <t>Azul</t>
        </is>
      </c>
      <c r="Q27" s="156" t="n"/>
      <c r="R27" s="156" t="n"/>
      <c r="S27" s="156" t="inlineStr">
        <is>
          <t>Piedra turquesa, borde de cuentas metálico decorativo y herraje de alfiler metálico</t>
        </is>
      </c>
      <c r="T27" s="156" t="inlineStr">
        <is>
          <t>Alfiler de Sombrero con Borde de Cuentas Turquesa - Sierra Material: Piedra turquesa, borde de cuentas metálico decorativo y herraje de alfiler metálico Origen: China</t>
        </is>
      </c>
      <c r="U27" s="156" t="inlineStr">
        <is>
          <t>China</t>
        </is>
      </c>
      <c r="V27" s="156" t="inlineStr">
        <is>
          <t>PZS</t>
        </is>
      </c>
      <c r="W27" s="51" t="inlineStr">
        <is>
          <t>54101600</t>
        </is>
      </c>
      <c r="X27" s="156" t="n"/>
      <c r="Y27" s="54" t="n">
        <v>315</v>
      </c>
      <c r="Z27" s="54" t="n">
        <v>900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IFERROR(_xlfn.XMATCH(A27,$A$2:$A$41,0,1)&lt;&gt;_xlfn.XMATCH(A27,$A$2:$A$41,0,-1),FALSE)), "Código de barras duplicado", ""), IF(AND(E27&lt;&gt;"", COUNTIF($E$2:$E$41,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2</v>
      </c>
      <c r="AE27" s="156" t="inlineStr">
        <is>
          <t>STETSON AMERICAS (2)</t>
        </is>
      </c>
      <c r="AF27" s="51" t="n">
        <v>2</v>
      </c>
      <c r="AG27" s="156" t="inlineStr">
        <is>
          <t>Nuevo – NetSuite con existencia</t>
        </is>
      </c>
      <c r="AH27" s="156" t="inlineStr">
        <is>
          <t>Categoría NetSuite «Pines de Sombrero» no existe en Criterios (proponer alta) | Revisión 29/09/2026: Talla fuente Talla única sin equivalencia exacta en Criterios para Talla Sombrero; Marca Willow Lane fuera de lista Criterios; Campos sin respaldo: R, X; Auditoría NetSuite 30/09/2026: llenado desde NetSuite [L,P,Z,T]; Silueta NetSuite vacía | 01/10/2026: complementado desde Shopify Stetson México (match por código de barras): WB Fit, WB Descripción larga (más completa) | 01/10/2026: Shopify Stetson México trae SKU WL-PIN04 — se conservó el valor de Productos | Homologación G1522 06/10/2026: Validador Shopify: WB: precio con IVA no termina en 9</t>
        </is>
      </c>
      <c r="AI27" s="156" t="inlineStr">
        <is>
          <t>No</t>
        </is>
      </c>
      <c r="AJ27" s="156" t="n"/>
      <c r="AK27" s="155" t="inlineStr">
        <is>
          <t>ProductosCatalogoEstandar907.xlsx: fila 6170 [N,O,S,U,V,W,Y] | Criterios: D [K,J] | Criterios: I [Q]; G1522_Extraccion_Articulos_NetSuite_2026-09-30.xlsx: fila 63974 [L,P,Z,T] | Shopify Stetson: producto 15247084224875 / variante 53870276575595</t>
        </is>
      </c>
      <c r="AL27" s="58" t="n">
        <v>315</v>
      </c>
      <c r="AM27" s="58" t="n"/>
      <c r="AN27" s="155" t="inlineStr">
        <is>
          <t>Shopify Stetson México</t>
        </is>
      </c>
      <c r="AO27" s="59" t="n">
        <v>2</v>
      </c>
      <c r="AP27" s="59" t="n"/>
      <c r="AQ27" s="59" t="n"/>
      <c r="AR27" s="155" t="inlineStr">
        <is>
          <t>Shopify Stetson México › Stetson Americas: 2</t>
        </is>
      </c>
    </row>
    <row r="28">
      <c r="A28" s="50" t="inlineStr">
        <is>
          <t>742968415570</t>
        </is>
      </c>
      <c r="B28" s="51" t="inlineStr">
        <is>
          <t>117727</t>
        </is>
      </c>
      <c r="C28" s="156" t="inlineStr">
        <is>
          <t>Multimarca</t>
        </is>
      </c>
      <c r="D28" s="156" t="inlineStr">
        <is>
          <t>WL-PIN19</t>
        </is>
      </c>
      <c r="E28" s="156" t="inlineStr">
        <is>
          <t>WL-PIN19-UNI</t>
        </is>
      </c>
      <c r="F28" s="156" t="inlineStr">
        <is>
          <t>Talla única</t>
        </is>
      </c>
      <c r="G28" s="156" t="inlineStr">
        <is>
          <t>One Size</t>
        </is>
      </c>
      <c r="H28" s="156" t="inlineStr">
        <is>
          <t>Willow Lane</t>
        </is>
      </c>
      <c r="I28" s="156" t="inlineStr">
        <is>
          <t>Alfiler de Sombrero Mosaico del Suroeste</t>
        </is>
      </c>
      <c r="J28" s="156" t="inlineStr">
        <is>
          <t>Accesorios</t>
        </is>
      </c>
      <c r="K28" s="156" t="inlineStr">
        <is>
          <t>Sombreros</t>
        </is>
      </c>
      <c r="L28" s="156" t="inlineStr">
        <is>
          <t>Unisex</t>
        </is>
      </c>
      <c r="M28" s="156" t="inlineStr">
        <is>
          <t>Willow Lane</t>
        </is>
      </c>
      <c r="N28" s="156" t="inlineStr">
        <is>
          <t>FW26</t>
        </is>
      </c>
      <c r="O28" s="156" t="inlineStr">
        <is>
          <t>Seasonal</t>
        </is>
      </c>
      <c r="P28" s="156" t="inlineStr">
        <is>
          <t>Negro</t>
        </is>
      </c>
      <c r="Q28" s="156" t="n"/>
      <c r="R28" s="156" t="n"/>
      <c r="S28" s="156" t="inlineStr">
        <is>
          <t>Elemento decorativo de piedra mosaico y herraje de alfiler metálico</t>
        </is>
      </c>
      <c r="T28" s="156" t="inlineStr">
        <is>
          <t>Alfiler de Sombrero Mosaico del Suroeste Material: Elemento decorativo de piedra mosaico y herraje de alfiler metálico Origen: China</t>
        </is>
      </c>
      <c r="U28" s="156" t="inlineStr">
        <is>
          <t>China</t>
        </is>
      </c>
      <c r="V28" s="156" t="inlineStr">
        <is>
          <t>PZS</t>
        </is>
      </c>
      <c r="W28" s="51" t="inlineStr">
        <is>
          <t>54101600</t>
        </is>
      </c>
      <c r="X28" s="156" t="n"/>
      <c r="Y28" s="54" t="n">
        <v>315</v>
      </c>
      <c r="Z28" s="54" t="n">
        <v>900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IFERROR(_xlfn.XMATCH(A28,$A$2:$A$41,0,1)&lt;&gt;_xlfn.XMATCH(A28,$A$2:$A$41,0,-1),FALSE)), "Código de barras duplicado", ""), IF(AND(E28&lt;&gt;"", COUNTIF($E$2:$E$41,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2</v>
      </c>
      <c r="AE28" s="156" t="inlineStr">
        <is>
          <t>STETSON AMERICAS (2)</t>
        </is>
      </c>
      <c r="AF28" s="51" t="n">
        <v>2</v>
      </c>
      <c r="AG28" s="156" t="inlineStr">
        <is>
          <t>Nuevo – NetSuite con existencia</t>
        </is>
      </c>
      <c r="AH28" s="156" t="inlineStr">
        <is>
          <t>Categoría NetSuite «Pines de Sombrero» no existe en Criterios (proponer alta) | Revisión 29/09/2026: Talla fuente Talla única sin equivalencia exacta en Criterios para Talla Sombrero; Marca Willow Lane fuera de lista Criterios; Campos sin respaldo: R, X; Auditoría NetSuite 30/09/2026: llenado desde NetSuite [L,Z,T]; Silueta NetSuite vacía | 01/10/2026: complementado desde Shopify Stetson México (match por código de barras): WB Fit, WB Descripción larga (más completa) | 01/10/2026: Shopify Stetson México trae SKU WL-PIN19 — se conservó el valor de Productos | Homologación G1522 06/10/2026: Validador Shopify: WB: precio con IVA no termina en 9</t>
        </is>
      </c>
      <c r="AI28" s="156" t="inlineStr">
        <is>
          <t>No</t>
        </is>
      </c>
      <c r="AJ28" s="156" t="n"/>
      <c r="AK28" s="155" t="inlineStr">
        <is>
          <t>ProductosCatalogoEstandar907.xlsx: fila 6171 [N,O,P,S,U,V,W,Y] | Criterios: D [K,J] | Criterios: I [Q]; G1522_Extraccion_Articulos_NetSuite_2026-09-30.xlsx: fila 63975 [L,Z,T] | Shopify Stetson: producto 15247084257643 / variante 53870276608363</t>
        </is>
      </c>
      <c r="AL28" s="58" t="n">
        <v>315</v>
      </c>
      <c r="AM28" s="58" t="n"/>
      <c r="AN28" s="155" t="inlineStr">
        <is>
          <t>Shopify Stetson México</t>
        </is>
      </c>
      <c r="AO28" s="59" t="n">
        <v>2</v>
      </c>
      <c r="AP28" s="59" t="n"/>
      <c r="AQ28" s="59" t="n"/>
      <c r="AR28" s="155" t="inlineStr">
        <is>
          <t>Shopify Stetson México › Stetson Americas: 2</t>
        </is>
      </c>
    </row>
    <row r="29">
      <c r="A29" s="50" t="inlineStr">
        <is>
          <t>742968416348</t>
        </is>
      </c>
      <c r="B29" s="51" t="inlineStr">
        <is>
          <t>117748</t>
        </is>
      </c>
      <c r="C29" s="156" t="inlineStr">
        <is>
          <t>Multimarca</t>
        </is>
      </c>
      <c r="D29" s="156" t="inlineStr">
        <is>
          <t>WL-PIN23</t>
        </is>
      </c>
      <c r="E29" s="156" t="inlineStr">
        <is>
          <t>WL-PIN23-UNI</t>
        </is>
      </c>
      <c r="F29" s="156" t="inlineStr">
        <is>
          <t>Talla única</t>
        </is>
      </c>
      <c r="G29" s="156" t="inlineStr">
        <is>
          <t>One Size</t>
        </is>
      </c>
      <c r="H29" s="156" t="inlineStr">
        <is>
          <t>Willow Lane</t>
        </is>
      </c>
      <c r="I29" s="156" t="inlineStr">
        <is>
          <t>Alfiler de Sombrero Jaspe Café</t>
        </is>
      </c>
      <c r="J29" s="156" t="inlineStr">
        <is>
          <t>Accesorios</t>
        </is>
      </c>
      <c r="K29" s="156" t="inlineStr">
        <is>
          <t>Sombreros</t>
        </is>
      </c>
      <c r="L29" s="156" t="inlineStr">
        <is>
          <t>Unisex</t>
        </is>
      </c>
      <c r="M29" s="156" t="inlineStr">
        <is>
          <t>Willow Lane</t>
        </is>
      </c>
      <c r="N29" s="156" t="inlineStr">
        <is>
          <t>FW26</t>
        </is>
      </c>
      <c r="O29" s="156" t="inlineStr">
        <is>
          <t>Seasonal</t>
        </is>
      </c>
      <c r="P29" s="156" t="inlineStr">
        <is>
          <t>Cafe</t>
        </is>
      </c>
      <c r="Q29" s="156" t="n"/>
      <c r="R29" s="156" t="n"/>
      <c r="S29" s="156" t="inlineStr">
        <is>
          <t>Piedra jaspe café y herraje de alfiler metálico</t>
        </is>
      </c>
      <c r="T29" s="156" t="inlineStr">
        <is>
          <t>Alfiler de Sombrero Jaspe Café Material: Piedra jaspe café y herraje de alfiler metálico Origen: India</t>
        </is>
      </c>
      <c r="U29" s="156" t="inlineStr">
        <is>
          <t>India</t>
        </is>
      </c>
      <c r="V29" s="156" t="inlineStr">
        <is>
          <t>PZS</t>
        </is>
      </c>
      <c r="W29" s="51" t="inlineStr">
        <is>
          <t>54101600</t>
        </is>
      </c>
      <c r="X29" s="156" t="n"/>
      <c r="Y29" s="54" t="n">
        <v>315</v>
      </c>
      <c r="Z29" s="54" t="n">
        <v>900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IFERROR(_xlfn.XMATCH(A29,$A$2:$A$41,0,1)&lt;&gt;_xlfn.XMATCH(A29,$A$2:$A$41,0,-1),FALSE)), "Código de barras duplicado", ""), IF(AND(E29&lt;&gt;"", COUNTIF($E$2:$E$41,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1</v>
      </c>
      <c r="AE29" s="156" t="inlineStr">
        <is>
          <t>STETSON AMERICAS (1)</t>
        </is>
      </c>
      <c r="AF29" s="51" t="n">
        <v>1</v>
      </c>
      <c r="AG29" s="156" t="inlineStr">
        <is>
          <t>Nuevo – NetSuite con existencia</t>
        </is>
      </c>
      <c r="AH29" s="156" t="inlineStr">
        <is>
          <t>Categoría NetSuite «Pines de Sombrero» no existe en Criterios (proponer alta) | Revisión 29/09/2026: Talla fuente Talla única sin equivalencia exacta en Criterios para Talla Sombrero; Marca Willow Lane fuera de lista Criterios; Campos sin respaldo: R, X; Auditoría NetSuite 30/09/2026: llenado desde NetSuite [L,P,Z,T] | 01/10/2026: complementado desde Shopify Stetson México (match por código de barras): WB Fit, WB Descripción larga (más completa) | 01/10/2026: Shopify Stetson México trae SKU WL-PIN23 — se conservó el valor de Productos | Homologación G1522 06/10/2026: Validador Shopify: WB: precio con IVA no termina en 9</t>
        </is>
      </c>
      <c r="AI29" s="156" t="inlineStr">
        <is>
          <t>No</t>
        </is>
      </c>
      <c r="AJ29" s="156" t="n"/>
      <c r="AK29" s="155" t="inlineStr">
        <is>
          <t>ProductosCatalogoEstandar907.xlsx: fila 6172 [N,O,S,U,V,W,Y] | Criterios: D [K,J] | Criterios: I [Q]; G1522_Extraccion_Articulos_NetSuite_2026-09-30.xlsx: fila 63996 [L,P,Z,T] | Shopify Stetson: producto 15247084093803 / variante 53870276444523</t>
        </is>
      </c>
      <c r="AL29" s="58" t="n">
        <v>315</v>
      </c>
      <c r="AM29" s="58" t="n"/>
      <c r="AN29" s="155" t="inlineStr">
        <is>
          <t>Shopify Stetson México</t>
        </is>
      </c>
      <c r="AO29" s="59" t="n">
        <v>1</v>
      </c>
      <c r="AP29" s="59" t="n"/>
      <c r="AQ29" s="59" t="n"/>
      <c r="AR29" s="155" t="inlineStr">
        <is>
          <t>Shopify Stetson México › Stetson Americas: 1</t>
        </is>
      </c>
    </row>
    <row r="30">
      <c r="A30" s="50" t="inlineStr">
        <is>
          <t>654690204172</t>
        </is>
      </c>
      <c r="B30" s="51" t="inlineStr">
        <is>
          <t>117718</t>
        </is>
      </c>
      <c r="C30" s="156" t="inlineStr">
        <is>
          <t>Multimarca</t>
        </is>
      </c>
      <c r="D30" s="156" t="inlineStr">
        <is>
          <t>WLHB-ARIK</t>
        </is>
      </c>
      <c r="E30" s="156" t="inlineStr">
        <is>
          <t>WLHB-ARIK-UNI</t>
        </is>
      </c>
      <c r="F30" s="156" t="inlineStr">
        <is>
          <t>Talla única</t>
        </is>
      </c>
      <c r="G30" s="156" t="inlineStr">
        <is>
          <t>One Size</t>
        </is>
      </c>
      <c r="H30" s="156" t="inlineStr">
        <is>
          <t>Willow Lane</t>
        </is>
      </c>
      <c r="I30" s="156" t="inlineStr">
        <is>
          <t>Toquilla de Plumas - Arikara</t>
        </is>
      </c>
      <c r="J30" s="156" t="inlineStr">
        <is>
          <t>Accesorios</t>
        </is>
      </c>
      <c r="K30" s="156" t="inlineStr">
        <is>
          <t>Plumas para sombrero</t>
        </is>
      </c>
      <c r="L30" s="156" t="inlineStr">
        <is>
          <t>Unisex</t>
        </is>
      </c>
      <c r="M30" s="156" t="inlineStr">
        <is>
          <t>Willow Lane</t>
        </is>
      </c>
      <c r="N30" s="156" t="inlineStr">
        <is>
          <t>FW26</t>
        </is>
      </c>
      <c r="O30" s="156" t="inlineStr">
        <is>
          <t>Seasonal</t>
        </is>
      </c>
      <c r="P30" s="156" t="inlineStr">
        <is>
          <t>Negro</t>
        </is>
      </c>
      <c r="Q30" s="156" t="n"/>
      <c r="R30" s="156" t="n"/>
      <c r="S30" s="156" t="inlineStr">
        <is>
          <t>Plumas naturales y listón de poliéster</t>
        </is>
      </c>
      <c r="T30" s="156" t="inlineStr">
        <is>
          <t>Toquilla de Plumas - Arikara</t>
        </is>
      </c>
      <c r="U30" s="156" t="inlineStr">
        <is>
          <t>China</t>
        </is>
      </c>
      <c r="V30" s="156" t="inlineStr">
        <is>
          <t>PZS</t>
        </is>
      </c>
      <c r="W30" s="51" t="inlineStr">
        <is>
          <t>11131501</t>
        </is>
      </c>
      <c r="X30" s="156" t="n"/>
      <c r="Y30" s="54" t="n">
        <v>350</v>
      </c>
      <c r="Z30" s="54" t="n">
        <v>1000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IFERROR(_xlfn.XMATCH(A30,$A$2:$A$41,0,1)&lt;&gt;_xlfn.XMATCH(A30,$A$2:$A$41,0,-1),FALSE)), "Código de barras duplicado", ""), IF(AND(E30&lt;&gt;"", COUNTIF($E$2:$E$41,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3</v>
      </c>
      <c r="AE30" s="156" t="inlineStr">
        <is>
          <t>STETSON AMERICAS (3)</t>
        </is>
      </c>
      <c r="AF30" s="51" t="n">
        <v>3</v>
      </c>
      <c r="AG30" s="156" t="inlineStr">
        <is>
          <t>Nuevo – NetSuite con existencia</t>
        </is>
      </c>
      <c r="AH30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WLHB-ARIK — se conservó el valor de Productos | Homologación G1522 06/10/2026: Validador Shopify: WB: precio con IVA no termina en 9</t>
        </is>
      </c>
      <c r="AI30" s="156" t="inlineStr">
        <is>
          <t>No</t>
        </is>
      </c>
      <c r="AJ30" s="156" t="n"/>
      <c r="AK30" s="155" t="inlineStr">
        <is>
          <t>ProductosCatalogoEstandar907.xlsx: fila 6149 [N,O,P,S,U,V,W,Y]; G1522_Extraccion_Articulos_NetSuite_2026-09-30.xlsx: fila 63966 [J,K,Q,R,Z,T] | Shopify Stetson: producto 15247083929963 / variante 53870276280683</t>
        </is>
      </c>
      <c r="AL30" s="58" t="n">
        <v>350</v>
      </c>
      <c r="AM30" s="58" t="n"/>
      <c r="AN30" s="155" t="inlineStr">
        <is>
          <t>Shopify Stetson México</t>
        </is>
      </c>
      <c r="AO30" s="59" t="n">
        <v>3</v>
      </c>
      <c r="AP30" s="59" t="n"/>
      <c r="AQ30" s="59" t="n"/>
      <c r="AR30" s="155" t="inlineStr">
        <is>
          <t>Shopify Stetson México › Stetson Americas: 3</t>
        </is>
      </c>
    </row>
    <row r="31">
      <c r="A31" s="50" t="inlineStr">
        <is>
          <t>742968416317</t>
        </is>
      </c>
      <c r="B31" s="51" t="inlineStr">
        <is>
          <t>117719</t>
        </is>
      </c>
      <c r="C31" s="156" t="inlineStr">
        <is>
          <t>Multimarca</t>
        </is>
      </c>
      <c r="D31" s="156" t="inlineStr">
        <is>
          <t>WLHB-BEAU</t>
        </is>
      </c>
      <c r="E31" s="156" t="inlineStr">
        <is>
          <t>WLHB-BEAU-UNI</t>
        </is>
      </c>
      <c r="F31" s="156" t="inlineStr">
        <is>
          <t>Talla única</t>
        </is>
      </c>
      <c r="G31" s="156" t="inlineStr">
        <is>
          <t>One Size</t>
        </is>
      </c>
      <c r="H31" s="156" t="inlineStr">
        <is>
          <t>Willow Lane</t>
        </is>
      </c>
      <c r="I31" s="156" t="inlineStr">
        <is>
          <t>Toquilla de Plumas Western - Beau</t>
        </is>
      </c>
      <c r="J31" s="156" t="inlineStr">
        <is>
          <t>Accesorios</t>
        </is>
      </c>
      <c r="K31" s="156" t="inlineStr">
        <is>
          <t>Plumas para sombrero</t>
        </is>
      </c>
      <c r="L31" s="156" t="inlineStr">
        <is>
          <t>Unisex</t>
        </is>
      </c>
      <c r="M31" s="156" t="inlineStr">
        <is>
          <t>Willow Lane</t>
        </is>
      </c>
      <c r="N31" s="156" t="inlineStr">
        <is>
          <t>FW26</t>
        </is>
      </c>
      <c r="O31" s="156" t="inlineStr">
        <is>
          <t>Seasonal</t>
        </is>
      </c>
      <c r="P31" s="156" t="inlineStr">
        <is>
          <t>Negro</t>
        </is>
      </c>
      <c r="Q31" s="156" t="n"/>
      <c r="R31" s="156" t="n"/>
      <c r="S31" s="156" t="inlineStr">
        <is>
          <t>Plumas naturales y listón de poliéster</t>
        </is>
      </c>
      <c r="T31" s="156" t="inlineStr">
        <is>
          <t>Toquilla de Plumas Western - Beau</t>
        </is>
      </c>
      <c r="U31" s="156" t="inlineStr">
        <is>
          <t>China</t>
        </is>
      </c>
      <c r="V31" s="156" t="inlineStr">
        <is>
          <t>PZS</t>
        </is>
      </c>
      <c r="W31" s="51" t="inlineStr">
        <is>
          <t>11131501</t>
        </is>
      </c>
      <c r="X31" s="156" t="n"/>
      <c r="Y31" s="54" t="n">
        <v>350</v>
      </c>
      <c r="Z31" s="54" t="n">
        <v>1000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IFERROR(_xlfn.XMATCH(A31,$A$2:$A$41,0,1)&lt;&gt;_xlfn.XMATCH(A31,$A$2:$A$41,0,-1),FALSE)), "Código de barras duplicado", ""), IF(AND(E31&lt;&gt;"", COUNTIF($E$2:$E$41,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3</v>
      </c>
      <c r="AE31" s="156" t="inlineStr">
        <is>
          <t>STETSON AMERICAS (3)</t>
        </is>
      </c>
      <c r="AF31" s="51" t="n">
        <v>3</v>
      </c>
      <c r="AG31" s="156" t="inlineStr">
        <is>
          <t>Nuevo – NetSuite con existencia</t>
        </is>
      </c>
      <c r="AH31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WLHB-BEAU — se conservó el valor de Productos | Homologación G1522 06/10/2026: Validador Shopify: WB: precio con IVA no termina en 9</t>
        </is>
      </c>
      <c r="AI31" s="156" t="inlineStr">
        <is>
          <t>No</t>
        </is>
      </c>
      <c r="AJ31" s="156" t="n"/>
      <c r="AK31" s="155" t="inlineStr">
        <is>
          <t>ProductosCatalogoEstandar907.xlsx: fila 6150 [N,O,P,S,U,V,W,Y]; G1522_Extraccion_Articulos_NetSuite_2026-09-30.xlsx: fila 63967 [J,K,Q,R,Z,T] | Shopify Stetson: producto 15247083962731 / variante 53870276313451</t>
        </is>
      </c>
      <c r="AL31" s="58" t="n">
        <v>350</v>
      </c>
      <c r="AM31" s="58" t="n"/>
      <c r="AN31" s="155" t="inlineStr">
        <is>
          <t>Shopify Stetson México</t>
        </is>
      </c>
      <c r="AO31" s="59" t="n">
        <v>3</v>
      </c>
      <c r="AP31" s="59" t="n"/>
      <c r="AQ31" s="59" t="n"/>
      <c r="AR31" s="155" t="inlineStr">
        <is>
          <t>Shopify Stetson México › Stetson Americas: 3</t>
        </is>
      </c>
    </row>
    <row r="32">
      <c r="A32" s="50" t="inlineStr">
        <is>
          <t>654690264145</t>
        </is>
      </c>
      <c r="B32" s="51" t="inlineStr">
        <is>
          <t>117717</t>
        </is>
      </c>
      <c r="C32" s="156" t="inlineStr">
        <is>
          <t>Multimarca</t>
        </is>
      </c>
      <c r="D32" s="156" t="inlineStr">
        <is>
          <t>WLHB-DOVE</t>
        </is>
      </c>
      <c r="E32" s="156" t="inlineStr">
        <is>
          <t>WLHB-DOVE-UNI</t>
        </is>
      </c>
      <c r="F32" s="156" t="inlineStr">
        <is>
          <t>Talla única</t>
        </is>
      </c>
      <c r="G32" s="156" t="inlineStr">
        <is>
          <t>One Size</t>
        </is>
      </c>
      <c r="H32" s="156" t="inlineStr">
        <is>
          <t>Willow Lane</t>
        </is>
      </c>
      <c r="I32" s="156" t="inlineStr">
        <is>
          <t>Toquilla de Plumas - Dove I</t>
        </is>
      </c>
      <c r="J32" s="156" t="inlineStr">
        <is>
          <t>Accesorios</t>
        </is>
      </c>
      <c r="K32" s="156" t="inlineStr">
        <is>
          <t>Plumas para sombrero</t>
        </is>
      </c>
      <c r="L32" s="156" t="inlineStr">
        <is>
          <t>Unisex</t>
        </is>
      </c>
      <c r="M32" s="156" t="inlineStr">
        <is>
          <t>Willow Lane</t>
        </is>
      </c>
      <c r="N32" s="156" t="inlineStr">
        <is>
          <t>FW26</t>
        </is>
      </c>
      <c r="O32" s="156" t="inlineStr">
        <is>
          <t>Seasonal</t>
        </is>
      </c>
      <c r="P32" s="156" t="inlineStr">
        <is>
          <t>Negro</t>
        </is>
      </c>
      <c r="Q32" s="156" t="n"/>
      <c r="R32" s="156" t="n"/>
      <c r="S32" s="156" t="inlineStr">
        <is>
          <t>Plumas naturales y listón de poliéster</t>
        </is>
      </c>
      <c r="T32" s="156" t="inlineStr">
        <is>
          <t>Toquilla de Plumas - Dove I</t>
        </is>
      </c>
      <c r="U32" s="156" t="inlineStr">
        <is>
          <t>China</t>
        </is>
      </c>
      <c r="V32" s="156" t="inlineStr">
        <is>
          <t>PZS</t>
        </is>
      </c>
      <c r="W32" s="51" t="inlineStr">
        <is>
          <t>11131501</t>
        </is>
      </c>
      <c r="X32" s="156" t="n"/>
      <c r="Y32" s="54" t="n">
        <v>306.25</v>
      </c>
      <c r="Z32" s="54" t="n">
        <v>900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IFERROR(_xlfn.XMATCH(A32,$A$2:$A$41,0,1)&lt;&gt;_xlfn.XMATCH(A32,$A$2:$A$41,0,-1),FALSE)), "Código de barras duplicado", ""), IF(AND(E32&lt;&gt;"", COUNTIF($E$2:$E$41,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3</v>
      </c>
      <c r="AE32" s="156" t="inlineStr">
        <is>
          <t>STETSON AMERICAS (3)</t>
        </is>
      </c>
      <c r="AF32" s="51" t="n">
        <v>3</v>
      </c>
      <c r="AG32" s="156" t="inlineStr">
        <is>
          <t>Nuevo – NetSuite con existencia</t>
        </is>
      </c>
      <c r="AH32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WLHB-DOVE — se conservó el valor de Productos | Homologación G1522 06/10/2026: Validador Shopify: WB: precio con IVA no termina en 9</t>
        </is>
      </c>
      <c r="AI32" s="156" t="inlineStr">
        <is>
          <t>No</t>
        </is>
      </c>
      <c r="AJ32" s="156" t="n"/>
      <c r="AK32" s="155" t="inlineStr">
        <is>
          <t>ProductosCatalogoEstandar907.xlsx: fila 6151 [N,O,P,S,U,V,W,Y]; G1522_Extraccion_Articulos_NetSuite_2026-09-30.xlsx: fila 63965 [J,K,Q,R,Z,T] | Shopify Stetson: producto 15247083897195 / variante 53870276247915</t>
        </is>
      </c>
      <c r="AL32" s="58" t="n">
        <v>306.25</v>
      </c>
      <c r="AM32" s="58" t="n"/>
      <c r="AN32" s="155" t="inlineStr">
        <is>
          <t>Shopify Stetson México</t>
        </is>
      </c>
      <c r="AO32" s="59" t="n">
        <v>3</v>
      </c>
      <c r="AP32" s="59" t="n"/>
      <c r="AQ32" s="59" t="n"/>
      <c r="AR32" s="155" t="inlineStr">
        <is>
          <t>Shopify Stetson México › Stetson Americas: 3</t>
        </is>
      </c>
    </row>
    <row r="33">
      <c r="A33" s="50" t="inlineStr">
        <is>
          <t>644625215847</t>
        </is>
      </c>
      <c r="B33" s="51" t="inlineStr">
        <is>
          <t>117721</t>
        </is>
      </c>
      <c r="C33" s="156" t="inlineStr">
        <is>
          <t>Multimarca</t>
        </is>
      </c>
      <c r="D33" s="156" t="inlineStr">
        <is>
          <t>WLHB-MOAB</t>
        </is>
      </c>
      <c r="E33" s="156" t="inlineStr">
        <is>
          <t>WLHB-MOAB-UNI</t>
        </is>
      </c>
      <c r="F33" s="156" t="inlineStr">
        <is>
          <t>Talla única</t>
        </is>
      </c>
      <c r="G33" s="156" t="inlineStr">
        <is>
          <t>One Size</t>
        </is>
      </c>
      <c r="H33" s="156" t="inlineStr">
        <is>
          <t>Willow Lane</t>
        </is>
      </c>
      <c r="I33" s="156" t="inlineStr">
        <is>
          <t>Toquilla de Plumas - Moab</t>
        </is>
      </c>
      <c r="J33" s="156" t="inlineStr">
        <is>
          <t>Accesorios</t>
        </is>
      </c>
      <c r="K33" s="156" t="inlineStr">
        <is>
          <t>Plumas para sombrero</t>
        </is>
      </c>
      <c r="L33" s="156" t="inlineStr">
        <is>
          <t>Unisex</t>
        </is>
      </c>
      <c r="M33" s="156" t="inlineStr">
        <is>
          <t>Willow Lane</t>
        </is>
      </c>
      <c r="N33" s="156" t="inlineStr">
        <is>
          <t>FW26</t>
        </is>
      </c>
      <c r="O33" s="156" t="inlineStr">
        <is>
          <t>Seasonal</t>
        </is>
      </c>
      <c r="P33" s="156" t="inlineStr">
        <is>
          <t>Negro</t>
        </is>
      </c>
      <c r="Q33" s="156" t="n"/>
      <c r="R33" s="156" t="n"/>
      <c r="S33" s="156" t="inlineStr">
        <is>
          <t>Plumas naturales y listón de poliéster</t>
        </is>
      </c>
      <c r="T33" s="156" t="inlineStr">
        <is>
          <t>Toquilla de Plumas - Moab</t>
        </is>
      </c>
      <c r="U33" s="156" t="inlineStr">
        <is>
          <t>China</t>
        </is>
      </c>
      <c r="V33" s="156" t="inlineStr">
        <is>
          <t>PZS</t>
        </is>
      </c>
      <c r="W33" s="51" t="inlineStr">
        <is>
          <t>11131501</t>
        </is>
      </c>
      <c r="X33" s="156" t="n"/>
      <c r="Y33" s="54" t="n">
        <v>350</v>
      </c>
      <c r="Z33" s="54" t="n">
        <v>1000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IFERROR(_xlfn.XMATCH(A33,$A$2:$A$41,0,1)&lt;&gt;_xlfn.XMATCH(A33,$A$2:$A$41,0,-1),FALSE)), "Código de barras duplicado", ""), IF(AND(E33&lt;&gt;"", COUNTIF($E$2:$E$41,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3</v>
      </c>
      <c r="AE33" s="156" t="inlineStr">
        <is>
          <t>STETSON AMERICAS (3)</t>
        </is>
      </c>
      <c r="AF33" s="51" t="n">
        <v>3</v>
      </c>
      <c r="AG33" s="156" t="inlineStr">
        <is>
          <t>Nuevo – NetSuite con existencia</t>
        </is>
      </c>
      <c r="AH33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WLHB-MOAB — se conservó el valor de Productos | Homologación G1522 06/10/2026: Validador Shopify: WB: precio con IVA no termina en 9</t>
        </is>
      </c>
      <c r="AI33" s="156" t="inlineStr">
        <is>
          <t>No</t>
        </is>
      </c>
      <c r="AJ33" s="156" t="n"/>
      <c r="AK33" s="155" t="inlineStr">
        <is>
          <t>ProductosCatalogoEstandar907.xlsx: fila 6152 [N,O,P,S,U,V,W,Y]; G1522_Extraccion_Articulos_NetSuite_2026-09-30.xlsx: fila 63969 [J,K,Q,R,Z,T] | Shopify Stetson: producto 15247084028267 / variante 53870276378987</t>
        </is>
      </c>
      <c r="AL33" s="58" t="n">
        <v>350</v>
      </c>
      <c r="AM33" s="58" t="n"/>
      <c r="AN33" s="155" t="inlineStr">
        <is>
          <t>Shopify Stetson México</t>
        </is>
      </c>
      <c r="AO33" s="59" t="n">
        <v>3</v>
      </c>
      <c r="AP33" s="59" t="n"/>
      <c r="AQ33" s="59" t="n"/>
      <c r="AR33" s="155" t="inlineStr">
        <is>
          <t>Shopify Stetson México › Stetson Americas: 3</t>
        </is>
      </c>
    </row>
    <row r="34">
      <c r="A34" s="50" t="inlineStr">
        <is>
          <t>612461905727</t>
        </is>
      </c>
      <c r="B34" s="51" t="inlineStr">
        <is>
          <t>117720</t>
        </is>
      </c>
      <c r="C34" s="156" t="inlineStr">
        <is>
          <t>Multimarca</t>
        </is>
      </c>
      <c r="D34" s="156" t="inlineStr">
        <is>
          <t>WLHB-SNRA</t>
        </is>
      </c>
      <c r="E34" s="156" t="inlineStr">
        <is>
          <t>WLHB-SNRA-UNI</t>
        </is>
      </c>
      <c r="F34" s="156" t="inlineStr">
        <is>
          <t>Talla única</t>
        </is>
      </c>
      <c r="G34" s="156" t="inlineStr">
        <is>
          <t>One Size</t>
        </is>
      </c>
      <c r="H34" s="156" t="inlineStr">
        <is>
          <t>Willow Lane</t>
        </is>
      </c>
      <c r="I34" s="156" t="inlineStr">
        <is>
          <t>Toquilla de Plumas Western - Sonora</t>
        </is>
      </c>
      <c r="J34" s="156" t="inlineStr">
        <is>
          <t>Accesorios</t>
        </is>
      </c>
      <c r="K34" s="156" t="inlineStr">
        <is>
          <t>Plumas para sombrero</t>
        </is>
      </c>
      <c r="L34" s="156" t="inlineStr">
        <is>
          <t>Unisex</t>
        </is>
      </c>
      <c r="M34" s="156" t="inlineStr">
        <is>
          <t>Willow Lane</t>
        </is>
      </c>
      <c r="N34" s="156" t="inlineStr">
        <is>
          <t>FW26</t>
        </is>
      </c>
      <c r="O34" s="156" t="inlineStr">
        <is>
          <t>Seasonal</t>
        </is>
      </c>
      <c r="P34" s="156" t="inlineStr">
        <is>
          <t>Negro</t>
        </is>
      </c>
      <c r="Q34" s="156" t="n"/>
      <c r="R34" s="156" t="n"/>
      <c r="S34" s="156" t="inlineStr">
        <is>
          <t>Plumas naturales y listón de poliéster</t>
        </is>
      </c>
      <c r="T34" s="156" t="inlineStr">
        <is>
          <t>Toquilla de Plumas Western - Sonora</t>
        </is>
      </c>
      <c r="U34" s="156" t="inlineStr">
        <is>
          <t>China</t>
        </is>
      </c>
      <c r="V34" s="156" t="inlineStr">
        <is>
          <t>PZS</t>
        </is>
      </c>
      <c r="W34" s="51" t="inlineStr">
        <is>
          <t>11131501</t>
        </is>
      </c>
      <c r="X34" s="156" t="n"/>
      <c r="Y34" s="54" t="n">
        <v>350</v>
      </c>
      <c r="Z34" s="54" t="n">
        <v>1000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IFERROR(_xlfn.XMATCH(A34,$A$2:$A$41,0,1)&lt;&gt;_xlfn.XMATCH(A34,$A$2:$A$41,0,-1),FALSE)), "Código de barras duplicado", ""), IF(AND(E34&lt;&gt;"", COUNTIF($E$2:$E$41,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3</v>
      </c>
      <c r="AE34" s="156" t="inlineStr">
        <is>
          <t>STETSON AMERICAS (3)</t>
        </is>
      </c>
      <c r="AF34" s="51" t="n">
        <v>3</v>
      </c>
      <c r="AG34" s="156" t="inlineStr">
        <is>
          <t>Nuevo – NetSuite con existencia</t>
        </is>
      </c>
      <c r="AH34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WLHB-SNRA — se conservó el valor de Productos | Homologación G1522 06/10/2026: Validador Shopify: WB: precio con IVA no termina en 9</t>
        </is>
      </c>
      <c r="AI34" s="156" t="inlineStr">
        <is>
          <t>No</t>
        </is>
      </c>
      <c r="AJ34" s="156" t="n"/>
      <c r="AK34" s="155" t="inlineStr">
        <is>
          <t>ProductosCatalogoEstandar907.xlsx: fila 6153 [N,O,P,S,U,V,W,Y]; G1522_Extraccion_Articulos_NetSuite_2026-09-30.xlsx: fila 63968 [J,K,Q,R,Z,T] | Shopify Stetson: producto 15247083995499 / variante 53870276346219</t>
        </is>
      </c>
      <c r="AL34" s="58" t="n">
        <v>350</v>
      </c>
      <c r="AM34" s="58" t="n"/>
      <c r="AN34" s="155" t="inlineStr">
        <is>
          <t>Shopify Stetson México</t>
        </is>
      </c>
      <c r="AO34" s="59" t="n">
        <v>3</v>
      </c>
      <c r="AP34" s="59" t="n"/>
      <c r="AQ34" s="59" t="n"/>
      <c r="AR34" s="155" t="inlineStr">
        <is>
          <t>Shopify Stetson México › Stetson Americas: 3</t>
        </is>
      </c>
    </row>
    <row r="35">
      <c r="A35" s="50" t="inlineStr">
        <is>
          <t>659675565729</t>
        </is>
      </c>
      <c r="B35" s="51" t="inlineStr">
        <is>
          <t>117722</t>
        </is>
      </c>
      <c r="C35" s="156" t="inlineStr">
        <is>
          <t>Multimarca</t>
        </is>
      </c>
      <c r="D35" s="156" t="inlineStr">
        <is>
          <t>WLHB-WCRST</t>
        </is>
      </c>
      <c r="E35" s="156" t="inlineStr">
        <is>
          <t>WLHB-WCRST-UNI</t>
        </is>
      </c>
      <c r="F35" s="156" t="inlineStr">
        <is>
          <t>Talla única</t>
        </is>
      </c>
      <c r="G35" s="156" t="inlineStr">
        <is>
          <t>One Size</t>
        </is>
      </c>
      <c r="H35" s="156" t="inlineStr">
        <is>
          <t>Willow Lane</t>
        </is>
      </c>
      <c r="I35" s="156" t="inlineStr">
        <is>
          <t>Toquilla de Plumas - Avalon</t>
        </is>
      </c>
      <c r="J35" s="156" t="inlineStr">
        <is>
          <t>Accesorios</t>
        </is>
      </c>
      <c r="K35" s="156" t="inlineStr">
        <is>
          <t>Plumas para sombrero</t>
        </is>
      </c>
      <c r="L35" s="156" t="inlineStr">
        <is>
          <t>Unisex</t>
        </is>
      </c>
      <c r="M35" s="156" t="inlineStr">
        <is>
          <t>Willow Lane</t>
        </is>
      </c>
      <c r="N35" s="156" t="inlineStr">
        <is>
          <t>FW26</t>
        </is>
      </c>
      <c r="O35" s="156" t="inlineStr">
        <is>
          <t>Seasonal</t>
        </is>
      </c>
      <c r="P35" s="156" t="inlineStr">
        <is>
          <t>Negro</t>
        </is>
      </c>
      <c r="Q35" s="156" t="n"/>
      <c r="R35" s="156" t="n"/>
      <c r="S35" s="156" t="inlineStr">
        <is>
          <t>Plumas naturales y listón de poliéster</t>
        </is>
      </c>
      <c r="T35" s="156" t="inlineStr">
        <is>
          <t>Toquilla de Plumas - Avalon</t>
        </is>
      </c>
      <c r="U35" s="156" t="inlineStr">
        <is>
          <t>China</t>
        </is>
      </c>
      <c r="V35" s="156" t="inlineStr">
        <is>
          <t>PZS</t>
        </is>
      </c>
      <c r="W35" s="51" t="inlineStr">
        <is>
          <t>11131501</t>
        </is>
      </c>
      <c r="X35" s="156" t="n"/>
      <c r="Y35" s="54" t="n">
        <v>350</v>
      </c>
      <c r="Z35" s="54" t="n">
        <v>1000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IFERROR(_xlfn.XMATCH(A35,$A$2:$A$41,0,1)&lt;&gt;_xlfn.XMATCH(A35,$A$2:$A$41,0,-1),FALSE)), "Código de barras duplicado", ""), IF(AND(E35&lt;&gt;"", COUNTIF($E$2:$E$41,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3</v>
      </c>
      <c r="AE35" s="156" t="inlineStr">
        <is>
          <t>STETSON AMERICAS (3)</t>
        </is>
      </c>
      <c r="AF35" s="51" t="n">
        <v>3</v>
      </c>
      <c r="AG35" s="156" t="inlineStr">
        <is>
          <t>Nuevo – NetSuite con existencia</t>
        </is>
      </c>
      <c r="AH35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WLHB-WCRST — se conservó el valor de Productos | Homologación G1522 06/10/2026: Validador Shopify: WB: precio con IVA no termina en 9</t>
        </is>
      </c>
      <c r="AI35" s="156" t="inlineStr">
        <is>
          <t>No</t>
        </is>
      </c>
      <c r="AJ35" s="156" t="n"/>
      <c r="AK35" s="155" t="inlineStr">
        <is>
          <t>ProductosCatalogoEstandar907.xlsx: fila 6154 [N,O,P,S,U,V,W,Y]; G1522_Extraccion_Articulos_NetSuite_2026-09-30.xlsx: fila 63970 [J,K,Q,R,Z,T] | Shopify Stetson: producto 15247084061035 / variante 53870276411755</t>
        </is>
      </c>
      <c r="AL35" s="58" t="n">
        <v>350</v>
      </c>
      <c r="AM35" s="58" t="n"/>
      <c r="AN35" s="155" t="inlineStr">
        <is>
          <t>Shopify Stetson México</t>
        </is>
      </c>
      <c r="AO35" s="59" t="n">
        <v>3</v>
      </c>
      <c r="AP35" s="59" t="n"/>
      <c r="AQ35" s="59" t="n"/>
      <c r="AR35" s="155" t="inlineStr">
        <is>
          <t>Shopify Stetson México › Stetson Americas: 3</t>
        </is>
      </c>
    </row>
    <row r="36">
      <c r="A36" s="50" t="inlineStr">
        <is>
          <t>644625475487</t>
        </is>
      </c>
      <c r="B36" s="51" t="inlineStr">
        <is>
          <t>117716</t>
        </is>
      </c>
      <c r="C36" s="156" t="inlineStr">
        <is>
          <t>Multimarca</t>
        </is>
      </c>
      <c r="D36" s="156" t="inlineStr">
        <is>
          <t>WLHB-WLLW</t>
        </is>
      </c>
      <c r="E36" s="156" t="inlineStr">
        <is>
          <t>WLHB-WLLW-UNI</t>
        </is>
      </c>
      <c r="F36" s="156" t="inlineStr">
        <is>
          <t>Talla única</t>
        </is>
      </c>
      <c r="G36" s="156" t="inlineStr">
        <is>
          <t>One Size</t>
        </is>
      </c>
      <c r="H36" s="156" t="inlineStr">
        <is>
          <t>Willow Lane</t>
        </is>
      </c>
      <c r="I36" s="156" t="inlineStr">
        <is>
          <t>Toquilla de Plumas - Willow</t>
        </is>
      </c>
      <c r="J36" s="156" t="inlineStr">
        <is>
          <t>Accesorios</t>
        </is>
      </c>
      <c r="K36" s="156" t="inlineStr">
        <is>
          <t>Plumas para sombrero</t>
        </is>
      </c>
      <c r="L36" s="156" t="inlineStr">
        <is>
          <t>Unisex</t>
        </is>
      </c>
      <c r="M36" s="156" t="inlineStr">
        <is>
          <t>Willow Lane</t>
        </is>
      </c>
      <c r="N36" s="156" t="inlineStr">
        <is>
          <t>FW26</t>
        </is>
      </c>
      <c r="O36" s="156" t="inlineStr">
        <is>
          <t>Seasonal</t>
        </is>
      </c>
      <c r="P36" s="156" t="inlineStr">
        <is>
          <t>Negro</t>
        </is>
      </c>
      <c r="Q36" s="156" t="n"/>
      <c r="R36" s="156" t="n"/>
      <c r="S36" s="156" t="inlineStr">
        <is>
          <t>Plumas naturales y listón de poliéster</t>
        </is>
      </c>
      <c r="T36" s="156" t="inlineStr">
        <is>
          <t>Toquilla de Plumas - Willow</t>
        </is>
      </c>
      <c r="U36" s="156" t="inlineStr">
        <is>
          <t>China</t>
        </is>
      </c>
      <c r="V36" s="156" t="inlineStr">
        <is>
          <t>PZS</t>
        </is>
      </c>
      <c r="W36" s="51" t="inlineStr">
        <is>
          <t>11131501</t>
        </is>
      </c>
      <c r="X36" s="156" t="n"/>
      <c r="Y36" s="54" t="n">
        <v>306.25</v>
      </c>
      <c r="Z36" s="54" t="n">
        <v>900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IFERROR(_xlfn.XMATCH(A36,$A$2:$A$41,0,1)&lt;&gt;_xlfn.XMATCH(A36,$A$2:$A$41,0,-1),FALSE)), "Código de barras duplicado", ""), IF(AND(E36&lt;&gt;"", COUNTIF($E$2:$E$41,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3</v>
      </c>
      <c r="AE36" s="156" t="inlineStr">
        <is>
          <t>STETSON AMERICAS (3)</t>
        </is>
      </c>
      <c r="AF36" s="51" t="n">
        <v>3</v>
      </c>
      <c r="AG36" s="156" t="inlineStr">
        <is>
          <t>Nuevo – NetSuite con existencia</t>
        </is>
      </c>
      <c r="AH36" s="156" t="inlineStr">
        <is>
          <t>Categoría NetSuite «Toquillas» no existe en Criterios (proponer alta) | Revisión 29/09/2026: Marca Willow Lane fuera de lista Criterios; Campos sin respaldo: J, K, Q, R, X; Auditoría NetSuite 30/09/2026: llenado desde NetSuite [J,K,Q,R,Z,T] | 01/10/2026: complementado desde Shopify Stetson México (match por código de barras): WB Fit, WB Silueta | 01/10/2026: Shopify Stetson México trae SKU WLHB-WLLW — se conservó el valor de Productos | Homologación G1522 06/10/2026: Validador Shopify: WB: precio con IVA no termina en 9</t>
        </is>
      </c>
      <c r="AI36" s="156" t="inlineStr">
        <is>
          <t>No</t>
        </is>
      </c>
      <c r="AJ36" s="156" t="n"/>
      <c r="AK36" s="155" t="inlineStr">
        <is>
          <t>ProductosCatalogoEstandar907.xlsx: fila 6155 [N,O,P,S,U,V,W,Y]; G1522_Extraccion_Articulos_NetSuite_2026-09-30.xlsx: fila 63964 [J,K,Q,R,Z,T] | Shopify Stetson: producto 15247083864427 / variante 53870276215147</t>
        </is>
      </c>
      <c r="AL36" s="58" t="n">
        <v>306.25</v>
      </c>
      <c r="AM36" s="58" t="n"/>
      <c r="AN36" s="155" t="inlineStr">
        <is>
          <t>Shopify Stetson México</t>
        </is>
      </c>
      <c r="AO36" s="59" t="n">
        <v>3</v>
      </c>
      <c r="AP36" s="59" t="n"/>
      <c r="AQ36" s="59" t="n"/>
      <c r="AR36" s="155" t="inlineStr">
        <is>
          <t>Shopify Stetson México › Stetson Americas: 3</t>
        </is>
      </c>
    </row>
    <row r="37">
      <c r="A37" s="50" t="inlineStr">
        <is>
          <t>644625159127</t>
        </is>
      </c>
      <c r="B37" s="51" t="inlineStr">
        <is>
          <t>117741</t>
        </is>
      </c>
      <c r="C37" s="156" t="inlineStr">
        <is>
          <t>Multimarca</t>
        </is>
      </c>
      <c r="D37" s="156" t="inlineStr">
        <is>
          <t>WLHF-CHY</t>
        </is>
      </c>
      <c r="E37" s="156" t="inlineStr">
        <is>
          <t>WLHF-CHY-UNI</t>
        </is>
      </c>
      <c r="F37" s="156" t="inlineStr">
        <is>
          <t>Talla única</t>
        </is>
      </c>
      <c r="G37" s="156" t="inlineStr">
        <is>
          <t>One Size</t>
        </is>
      </c>
      <c r="H37" s="156" t="inlineStr">
        <is>
          <t>Willow Lane</t>
        </is>
      </c>
      <c r="I37" s="156" t="inlineStr">
        <is>
          <t>Accesorio de Plumas para Sombrero - Cheyenne</t>
        </is>
      </c>
      <c r="J37" s="156" t="inlineStr">
        <is>
          <t>Accesorios</t>
        </is>
      </c>
      <c r="K37" s="156" t="inlineStr">
        <is>
          <t>Plumas para sombrero</t>
        </is>
      </c>
      <c r="L37" s="156" t="inlineStr">
        <is>
          <t>Unisex</t>
        </is>
      </c>
      <c r="M37" s="156" t="inlineStr">
        <is>
          <t>Willow Lane</t>
        </is>
      </c>
      <c r="N37" s="156" t="inlineStr">
        <is>
          <t>FW26</t>
        </is>
      </c>
      <c r="O37" s="156" t="inlineStr">
        <is>
          <t>Seasonal</t>
        </is>
      </c>
      <c r="P37" s="156" t="inlineStr">
        <is>
          <t>Negro</t>
        </is>
      </c>
      <c r="Q37" s="156" t="n"/>
      <c r="R37" s="156" t="n"/>
      <c r="S37" s="156" t="inlineStr">
        <is>
          <t>Plumas naturales y unión textil</t>
        </is>
      </c>
      <c r="T37" s="156" t="inlineStr">
        <is>
          <t>Accesorio de Plumas para Sombrero - Cheyenne</t>
        </is>
      </c>
      <c r="U37" s="156" t="inlineStr">
        <is>
          <t>China</t>
        </is>
      </c>
      <c r="V37" s="156" t="inlineStr">
        <is>
          <t>PZS</t>
        </is>
      </c>
      <c r="W37" s="51" t="inlineStr">
        <is>
          <t>11131501</t>
        </is>
      </c>
      <c r="X37" s="156" t="n"/>
      <c r="Y37" s="54" t="n">
        <v>210</v>
      </c>
      <c r="Z37" s="54" t="n">
        <v>600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IFERROR(_xlfn.XMATCH(A37,$A$2:$A$41,0,1)&lt;&gt;_xlfn.XMATCH(A37,$A$2:$A$41,0,-1),FALSE)), "Código de barras duplicado", ""), IF(AND(E37&lt;&gt;"", COUNTIF($E$2:$E$41,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3</v>
      </c>
      <c r="AE37" s="156" t="inlineStr">
        <is>
          <t>STETSON AMERICAS (3)</t>
        </is>
      </c>
      <c r="AF37" s="51" t="n">
        <v>3</v>
      </c>
      <c r="AG37" s="156" t="inlineStr">
        <is>
          <t>Nuevo – NetSuite con existencia</t>
        </is>
      </c>
      <c r="AH37" s="156" t="inlineStr">
        <is>
          <t>Categoría NetSuite «Accesorios de Sombrero» no existe en Criterios (proponer alta) | Revisión 29/09/2026: Marca Willow Lane fuera de lista Criterios; Campos sin respaldo: X; Auditoría NetSuite 30/09/2026: llenado desde NetSuite [L,Z,T] | 01/10/2026: complementado desde Shopify Stetson México (match por código de barras): WB Fit, WB Silueta | 01/10/2026: Shopify Stetson México trae SKU WLHF-CHY — se conservó el valor de Productos | Homologación G1522 06/10/2026: Validador Shopify: WB: precio con IVA no termina en 9</t>
        </is>
      </c>
      <c r="AI37" s="156" t="inlineStr">
        <is>
          <t>No</t>
        </is>
      </c>
      <c r="AJ37" s="156" t="n"/>
      <c r="AK37" s="155" t="inlineStr">
        <is>
          <t>ProductosCatalogoEstandar907.xlsx: fila 6156 [N,O,P,S,U,V,W,Y] | Criterios: D [K,J] | Criterios: I [Q] | Criterios: J [R]; G1522_Extraccion_Articulos_NetSuite_2026-09-30.xlsx: fila 63989 [L,Z,T] | Shopify Stetson: producto 15247085044075 / variante 53870278574443</t>
        </is>
      </c>
      <c r="AL37" s="58" t="n">
        <v>210</v>
      </c>
      <c r="AM37" s="58" t="n"/>
      <c r="AN37" s="155" t="inlineStr">
        <is>
          <t>Shopify Stetson México</t>
        </is>
      </c>
      <c r="AO37" s="59" t="n">
        <v>3</v>
      </c>
      <c r="AP37" s="59" t="n"/>
      <c r="AQ37" s="59" t="n"/>
      <c r="AR37" s="155" t="inlineStr">
        <is>
          <t>Shopify Stetson México › Stetson Americas: 3</t>
        </is>
      </c>
    </row>
    <row r="38">
      <c r="A38" s="50" t="inlineStr">
        <is>
          <t>613365783664</t>
        </is>
      </c>
      <c r="B38" s="51" t="inlineStr">
        <is>
          <t>117740</t>
        </is>
      </c>
      <c r="C38" s="156" t="inlineStr">
        <is>
          <t>Multimarca</t>
        </is>
      </c>
      <c r="D38" s="156" t="inlineStr">
        <is>
          <t>WLHF-LAUR</t>
        </is>
      </c>
      <c r="E38" s="156" t="inlineStr">
        <is>
          <t>WLHF-LAUR-UNI</t>
        </is>
      </c>
      <c r="F38" s="156" t="inlineStr">
        <is>
          <t>Talla única</t>
        </is>
      </c>
      <c r="G38" s="156" t="inlineStr">
        <is>
          <t>One Size</t>
        </is>
      </c>
      <c r="H38" s="156" t="inlineStr">
        <is>
          <t>Willow Lane</t>
        </is>
      </c>
      <c r="I38" s="156" t="inlineStr">
        <is>
          <t>Accesorio de Plumas para Sombrero - Lauren</t>
        </is>
      </c>
      <c r="J38" s="156" t="inlineStr">
        <is>
          <t>Accesorios</t>
        </is>
      </c>
      <c r="K38" s="156" t="inlineStr">
        <is>
          <t>Plumas para sombrero</t>
        </is>
      </c>
      <c r="L38" s="156" t="inlineStr">
        <is>
          <t>Unisex</t>
        </is>
      </c>
      <c r="M38" s="156" t="inlineStr">
        <is>
          <t>Willow Lane</t>
        </is>
      </c>
      <c r="N38" s="156" t="inlineStr">
        <is>
          <t>FW26</t>
        </is>
      </c>
      <c r="O38" s="156" t="inlineStr">
        <is>
          <t>Seasonal</t>
        </is>
      </c>
      <c r="P38" s="156" t="inlineStr">
        <is>
          <t>Negro</t>
        </is>
      </c>
      <c r="Q38" s="156" t="n"/>
      <c r="R38" s="156" t="n"/>
      <c r="S38" s="156" t="inlineStr">
        <is>
          <t>Plumas naturales y unión textil</t>
        </is>
      </c>
      <c r="T38" s="156" t="inlineStr">
        <is>
          <t>Accesorio de Plumas para Sombrero - Lauren</t>
        </is>
      </c>
      <c r="U38" s="156" t="inlineStr">
        <is>
          <t>China</t>
        </is>
      </c>
      <c r="V38" s="156" t="inlineStr">
        <is>
          <t>PZS</t>
        </is>
      </c>
      <c r="W38" s="51" t="inlineStr">
        <is>
          <t>11131501</t>
        </is>
      </c>
      <c r="X38" s="156" t="n"/>
      <c r="Y38" s="54" t="n">
        <v>210</v>
      </c>
      <c r="Z38" s="54" t="n">
        <v>600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IFERROR(_xlfn.XMATCH(A38,$A$2:$A$41,0,1)&lt;&gt;_xlfn.XMATCH(A38,$A$2:$A$41,0,-1),FALSE)), "Código de barras duplicado", ""), IF(AND(E38&lt;&gt;"", COUNTIF($E$2:$E$41,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3</v>
      </c>
      <c r="AE38" s="156" t="inlineStr">
        <is>
          <t>STETSON AMERICAS (3)</t>
        </is>
      </c>
      <c r="AF38" s="51" t="n">
        <v>3</v>
      </c>
      <c r="AG38" s="156" t="inlineStr">
        <is>
          <t>Nuevo – NetSuite con existencia</t>
        </is>
      </c>
      <c r="AH38" s="156" t="inlineStr">
        <is>
          <t>Categoría NetSuite «Accesorios de Sombrero» no existe en Criterios (proponer alta) | Revisión 29/09/2026: Marca Willow Lane fuera de lista Criterios; Campos sin respaldo: X; Auditoría NetSuite 30/09/2026: llenado desde NetSuite [L,Z,T] | 01/10/2026: complementado desde Shopify Stetson México (match por código de barras): WB Fit, WB Silueta | 01/10/2026: Shopify Stetson México trae SKU WLHF-LAUR — se conservó el valor de Productos | Homologación G1522 06/10/2026: Validador Shopify: WB: precio con IVA no termina en 9</t>
        </is>
      </c>
      <c r="AI38" s="156" t="inlineStr">
        <is>
          <t>No</t>
        </is>
      </c>
      <c r="AJ38" s="156" t="n"/>
      <c r="AK38" s="155" t="inlineStr">
        <is>
          <t>ProductosCatalogoEstandar907.xlsx: fila 6157 [N,O,P,S,U,V,W,Y] | Criterios: D [K,J] | Criterios: I [Q] | Criterios: J [R]; G1522_Extraccion_Articulos_NetSuite_2026-09-30.xlsx: fila 63988 [L,Z,T] | Shopify Stetson: producto 15247085011307 / variante 53870278541675</t>
        </is>
      </c>
      <c r="AL38" s="58" t="n">
        <v>210</v>
      </c>
      <c r="AM38" s="58" t="n"/>
      <c r="AN38" s="155" t="inlineStr">
        <is>
          <t>Shopify Stetson México</t>
        </is>
      </c>
      <c r="AO38" s="59" t="n">
        <v>3</v>
      </c>
      <c r="AP38" s="59" t="n"/>
      <c r="AQ38" s="59" t="n"/>
      <c r="AR38" s="155" t="inlineStr">
        <is>
          <t>Shopify Stetson México › Stetson Americas: 3</t>
        </is>
      </c>
    </row>
    <row r="39">
      <c r="A39" s="50" t="inlineStr">
        <is>
          <t>612461900869</t>
        </is>
      </c>
      <c r="B39" s="51" t="inlineStr">
        <is>
          <t>117743</t>
        </is>
      </c>
      <c r="C39" s="156" t="inlineStr">
        <is>
          <t>Multimarca</t>
        </is>
      </c>
      <c r="D39" s="156" t="inlineStr">
        <is>
          <t>WLHF-RSC</t>
        </is>
      </c>
      <c r="E39" s="156" t="inlineStr">
        <is>
          <t>WLHF-RSC-UNI</t>
        </is>
      </c>
      <c r="F39" s="156" t="inlineStr">
        <is>
          <t>Talla única</t>
        </is>
      </c>
      <c r="G39" s="156" t="inlineStr">
        <is>
          <t>One Size</t>
        </is>
      </c>
      <c r="H39" s="156" t="inlineStr">
        <is>
          <t>Willow Lane</t>
        </is>
      </c>
      <c r="I39" s="156" t="inlineStr">
        <is>
          <t>Accesorio de Plumas para Sombrero - Risco</t>
        </is>
      </c>
      <c r="J39" s="156" t="inlineStr">
        <is>
          <t>Accesorios</t>
        </is>
      </c>
      <c r="K39" s="156" t="inlineStr">
        <is>
          <t>Plumas para sombrero</t>
        </is>
      </c>
      <c r="L39" s="156" t="inlineStr">
        <is>
          <t>Unisex</t>
        </is>
      </c>
      <c r="M39" s="156" t="inlineStr">
        <is>
          <t>Willow Lane</t>
        </is>
      </c>
      <c r="N39" s="156" t="inlineStr">
        <is>
          <t>FW26</t>
        </is>
      </c>
      <c r="O39" s="156" t="inlineStr">
        <is>
          <t>Seasonal</t>
        </is>
      </c>
      <c r="P39" s="156" t="inlineStr">
        <is>
          <t>Negro</t>
        </is>
      </c>
      <c r="Q39" s="156" t="n"/>
      <c r="R39" s="156" t="n"/>
      <c r="S39" s="156" t="inlineStr">
        <is>
          <t>Plumas naturales y unión textil</t>
        </is>
      </c>
      <c r="T39" s="156" t="inlineStr">
        <is>
          <t>Accesorio de Plumas para Sombrero - Risco</t>
        </is>
      </c>
      <c r="U39" s="156" t="inlineStr">
        <is>
          <t>China</t>
        </is>
      </c>
      <c r="V39" s="156" t="inlineStr">
        <is>
          <t>PZS</t>
        </is>
      </c>
      <c r="W39" s="51" t="inlineStr">
        <is>
          <t>11131501</t>
        </is>
      </c>
      <c r="X39" s="156" t="n"/>
      <c r="Y39" s="54" t="n">
        <v>210</v>
      </c>
      <c r="Z39" s="54" t="n">
        <v>600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IFERROR(_xlfn.XMATCH(A39,$A$2:$A$41,0,1)&lt;&gt;_xlfn.XMATCH(A39,$A$2:$A$41,0,-1),FALSE)), "Código de barras duplicado", ""), IF(AND(E39&lt;&gt;"", COUNTIF($E$2:$E$41,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2</v>
      </c>
      <c r="AE39" s="156" t="inlineStr">
        <is>
          <t>STETSON AMERICAS (2)</t>
        </is>
      </c>
      <c r="AF39" s="51" t="n">
        <v>2</v>
      </c>
      <c r="AG39" s="156" t="inlineStr">
        <is>
          <t>Nuevo – NetSuite con existencia</t>
        </is>
      </c>
      <c r="AH39" s="156" t="inlineStr">
        <is>
          <t>Categoría NetSuite «Accesorios de Sombrero» no existe en Criterios (proponer alta) | Revisión 29/09/2026: Marca Willow Lane fuera de lista Criterios; Campos sin respaldo: X; Auditoría NetSuite 30/09/2026: llenado desde NetSuite [L,Z,T] | 01/10/2026: complementado desde Shopify Stetson México (match por código de barras): WB Fit, WB Silueta | 01/10/2026: Shopify Stetson México trae SKU WLHF-RSC — se conservó el valor de Productos | Homologación G1522 06/10/2026: Validador Shopify: WB: precio con IVA no termina en 9</t>
        </is>
      </c>
      <c r="AI39" s="156" t="inlineStr">
        <is>
          <t>No</t>
        </is>
      </c>
      <c r="AJ39" s="156" t="n"/>
      <c r="AK39" s="155" t="inlineStr">
        <is>
          <t>ProductosCatalogoEstandar907.xlsx: fila 6158 [N,O,P,S,U,V,W,Y] | Criterios: D [K,J] | Criterios: I [Q] | Criterios: J [R]; G1522_Extraccion_Articulos_NetSuite_2026-09-30.xlsx: fila 63991 [L,Z,T] | Shopify Stetson: producto 15247085109611 / variante 53870278639979</t>
        </is>
      </c>
      <c r="AL39" s="58" t="n">
        <v>210</v>
      </c>
      <c r="AM39" s="58" t="n"/>
      <c r="AN39" s="155" t="inlineStr">
        <is>
          <t>Shopify Stetson México</t>
        </is>
      </c>
      <c r="AO39" s="59" t="n">
        <v>2</v>
      </c>
      <c r="AP39" s="59" t="n"/>
      <c r="AQ39" s="59" t="n"/>
      <c r="AR39" s="155" t="inlineStr">
        <is>
          <t>Shopify Stetson México › Stetson Americas: 2</t>
        </is>
      </c>
    </row>
    <row r="40">
      <c r="A40" s="50" t="inlineStr">
        <is>
          <t>644625125085</t>
        </is>
      </c>
      <c r="B40" s="51" t="inlineStr">
        <is>
          <t>117739</t>
        </is>
      </c>
      <c r="C40" s="156" t="inlineStr">
        <is>
          <t>Multimarca</t>
        </is>
      </c>
      <c r="D40" s="156" t="inlineStr">
        <is>
          <t>WLHF-SHGRL</t>
        </is>
      </c>
      <c r="E40" s="156" t="inlineStr">
        <is>
          <t>WLHF-SHGRL-UNI</t>
        </is>
      </c>
      <c r="F40" s="156" t="inlineStr">
        <is>
          <t>Talla única</t>
        </is>
      </c>
      <c r="G40" s="156" t="inlineStr">
        <is>
          <t>One Size</t>
        </is>
      </c>
      <c r="H40" s="156" t="inlineStr">
        <is>
          <t>Willow Lane</t>
        </is>
      </c>
      <c r="I40" s="156" t="inlineStr">
        <is>
          <t>Accesorio de Plumas para Sombrero - Showgirl</t>
        </is>
      </c>
      <c r="J40" s="156" t="inlineStr">
        <is>
          <t>Accesorios</t>
        </is>
      </c>
      <c r="K40" s="156" t="inlineStr">
        <is>
          <t>Plumas para sombrero</t>
        </is>
      </c>
      <c r="L40" s="156" t="inlineStr">
        <is>
          <t>Unisex</t>
        </is>
      </c>
      <c r="M40" s="156" t="inlineStr">
        <is>
          <t>Willow Lane</t>
        </is>
      </c>
      <c r="N40" s="156" t="inlineStr">
        <is>
          <t>FW26</t>
        </is>
      </c>
      <c r="O40" s="156" t="inlineStr">
        <is>
          <t>Seasonal</t>
        </is>
      </c>
      <c r="P40" s="156" t="inlineStr">
        <is>
          <t>Negro</t>
        </is>
      </c>
      <c r="Q40" s="156" t="n"/>
      <c r="R40" s="156" t="n"/>
      <c r="S40" s="156" t="inlineStr">
        <is>
          <t>Plumas naturales y unión textil</t>
        </is>
      </c>
      <c r="T40" s="156" t="inlineStr">
        <is>
          <t>Accesorio de Plumas para Sombrero - Showgirl</t>
        </is>
      </c>
      <c r="U40" s="156" t="inlineStr">
        <is>
          <t>China</t>
        </is>
      </c>
      <c r="V40" s="156" t="inlineStr">
        <is>
          <t>PZS</t>
        </is>
      </c>
      <c r="W40" s="51" t="inlineStr">
        <is>
          <t>11131501</t>
        </is>
      </c>
      <c r="X40" s="156" t="n"/>
      <c r="Y40" s="54" t="n">
        <v>210</v>
      </c>
      <c r="Z40" s="54" t="n">
        <v>600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IFERROR(_xlfn.XMATCH(A40,$A$2:$A$41,0,1)&lt;&gt;_xlfn.XMATCH(A40,$A$2:$A$41,0,-1),FALSE)), "Código de barras duplicado", ""), IF(AND(E40&lt;&gt;"", COUNTIF($E$2:$E$41,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>
        <v>3</v>
      </c>
      <c r="AE40" s="156" t="inlineStr">
        <is>
          <t>STETSON AMERICAS (3)</t>
        </is>
      </c>
      <c r="AF40" s="51" t="n">
        <v>3</v>
      </c>
      <c r="AG40" s="156" t="inlineStr">
        <is>
          <t>Nuevo – NetSuite con existencia</t>
        </is>
      </c>
      <c r="AH40" s="156" t="inlineStr">
        <is>
          <t>Categoría NetSuite «Accesorios de Sombrero» no existe en Criterios (proponer alta) | Revisión 29/09/2026: Talla fuente Talla única sin equivalencia exacta en Criterios para Talla Niño (numérica); Marca Willow Lane fuera de lista Criterios; Campos sin respaldo: X; Auditoría NetSuite 30/09/2026: llenado desde NetSuite [L,Z,T] | 01/10/2026: complementado desde Shopify Stetson México (match por código de barras): WB Fit, WB Silueta | 01/10/2026: Shopify Stetson México trae SKU WLHF-SHGRL — se conservó el valor de Productos | Homologación G1522 06/10/2026: Validador Shopify: WB: precio con IVA no termina en 9</t>
        </is>
      </c>
      <c r="AI40" s="156" t="inlineStr">
        <is>
          <t>No</t>
        </is>
      </c>
      <c r="AJ40" s="156" t="n"/>
      <c r="AK40" s="155" t="inlineStr">
        <is>
          <t>ProductosCatalogoEstandar907.xlsx: fila 6159 [N,O,P,S,U,V,W,Y] | Criterios: D [K,J] | Criterios: I [Q] | Criterios: J [R]; G1522_Extraccion_Articulos_NetSuite_2026-09-30.xlsx: fila 63987 [L,Z,T] | Shopify Stetson: producto 15247084978539 / variante 53870278508907</t>
        </is>
      </c>
      <c r="AL40" s="58" t="n">
        <v>210</v>
      </c>
      <c r="AM40" s="58" t="n"/>
      <c r="AN40" s="155" t="inlineStr">
        <is>
          <t>Shopify Stetson México</t>
        </is>
      </c>
      <c r="AO40" s="59" t="n">
        <v>3</v>
      </c>
      <c r="AP40" s="59" t="n"/>
      <c r="AQ40" s="59" t="n"/>
      <c r="AR40" s="155" t="inlineStr">
        <is>
          <t>Shopify Stetson México › Stetson Americas: 3</t>
        </is>
      </c>
    </row>
    <row r="41">
      <c r="A41" s="50" t="inlineStr">
        <is>
          <t>644625110210</t>
        </is>
      </c>
      <c r="B41" s="51" t="inlineStr">
        <is>
          <t>117742</t>
        </is>
      </c>
      <c r="C41" s="156" t="inlineStr">
        <is>
          <t>Multimarca</t>
        </is>
      </c>
      <c r="D41" s="156" t="inlineStr">
        <is>
          <t>WLHF-STRN</t>
        </is>
      </c>
      <c r="E41" s="156" t="inlineStr">
        <is>
          <t>WLHF-STRN-UNI</t>
        </is>
      </c>
      <c r="F41" s="156" t="inlineStr">
        <is>
          <t>Talla única</t>
        </is>
      </c>
      <c r="G41" s="156" t="inlineStr">
        <is>
          <t>One Size</t>
        </is>
      </c>
      <c r="H41" s="156" t="inlineStr">
        <is>
          <t>Willow Lane</t>
        </is>
      </c>
      <c r="I41" s="156" t="inlineStr">
        <is>
          <t>Accesorio de Plumas para Sombrero - Strut'n</t>
        </is>
      </c>
      <c r="J41" s="156" t="inlineStr">
        <is>
          <t>Accesorios</t>
        </is>
      </c>
      <c r="K41" s="156" t="inlineStr">
        <is>
          <t>Plumas para sombrero</t>
        </is>
      </c>
      <c r="L41" s="156" t="inlineStr">
        <is>
          <t>Unisex</t>
        </is>
      </c>
      <c r="M41" s="156" t="inlineStr">
        <is>
          <t>Willow Lane</t>
        </is>
      </c>
      <c r="N41" s="156" t="inlineStr">
        <is>
          <t>FW26</t>
        </is>
      </c>
      <c r="O41" s="156" t="inlineStr">
        <is>
          <t>Seasonal</t>
        </is>
      </c>
      <c r="P41" s="156" t="inlineStr">
        <is>
          <t>Negro</t>
        </is>
      </c>
      <c r="Q41" s="156" t="n"/>
      <c r="R41" s="156" t="n"/>
      <c r="S41" s="156" t="inlineStr">
        <is>
          <t>Plumas naturales y unión textil</t>
        </is>
      </c>
      <c r="T41" s="156" t="inlineStr">
        <is>
          <t>Accesorio de Plumas para Sombrero - Strut'n</t>
        </is>
      </c>
      <c r="U41" s="156" t="inlineStr">
        <is>
          <t>China</t>
        </is>
      </c>
      <c r="V41" s="156" t="inlineStr">
        <is>
          <t>PZS</t>
        </is>
      </c>
      <c r="W41" s="51" t="inlineStr">
        <is>
          <t>11131501</t>
        </is>
      </c>
      <c r="X41" s="156" t="n"/>
      <c r="Y41" s="54" t="n">
        <v>210</v>
      </c>
      <c r="Z41" s="54" t="n">
        <v>600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IFERROR(_xlfn.XMATCH(A41,$A$2:$A$41,0,1)&lt;&gt;_xlfn.XMATCH(A41,$A$2:$A$41,0,-1),FALSE)), "Código de barras duplicado", ""), IF(AND(E41&lt;&gt;"", COUNTIF($E$2:$E$41,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>
        <v>1</v>
      </c>
      <c r="AE41" s="156" t="inlineStr">
        <is>
          <t>STETSON AMERICAS (1)</t>
        </is>
      </c>
      <c r="AF41" s="51" t="n">
        <v>1</v>
      </c>
      <c r="AG41" s="156" t="inlineStr">
        <is>
          <t>Nuevo – NetSuite con existencia</t>
        </is>
      </c>
      <c r="AH41" s="156" t="inlineStr">
        <is>
          <t>Categoría NetSuite «Accesorios de Sombrero» no existe en Criterios (proponer alta) | Revisión 29/09/2026: Marca Willow Lane fuera de lista Criterios; Campos sin respaldo: X; Auditoría NetSuite 30/09/2026: llenado desde NetSuite [L,Z,T] | 01/10/2026: complementado desde Shopify Stetson México (match por código de barras): WB Fit, WB Silueta | 01/10/2026: Shopify Stetson México trae SKU WLHF-STRN — se conservó el valor de Productos | Homologación G1522 06/10/2026: Validador Shopify: WB: precio con IVA no termina en 9</t>
        </is>
      </c>
      <c r="AI41" s="156" t="inlineStr">
        <is>
          <t>No</t>
        </is>
      </c>
      <c r="AJ41" s="156" t="n"/>
      <c r="AK41" s="155" t="inlineStr">
        <is>
          <t>ProductosCatalogoEstandar907.xlsx: fila 6160 [N,O,P,S,U,V,W,Y] | Criterios: D [K,J] | Criterios: I [Q] | Criterios: J [R]; G1522_Extraccion_Articulos_NetSuite_2026-09-30.xlsx: fila 63990 [L,Z,T] | Shopify Stetson: producto 15247085076843 / variante 53870278607211</t>
        </is>
      </c>
      <c r="AL41" s="58" t="n">
        <v>210</v>
      </c>
      <c r="AM41" s="58" t="n"/>
      <c r="AN41" s="155" t="inlineStr">
        <is>
          <t>Shopify Stetson México</t>
        </is>
      </c>
      <c r="AO41" s="59" t="n">
        <v>1</v>
      </c>
      <c r="AP41" s="59" t="n"/>
      <c r="AQ41" s="59" t="n"/>
      <c r="AR41" s="155" t="inlineStr">
        <is>
          <t>Shopify Stetson México › Stetson Americas: 1</t>
        </is>
      </c>
    </row>
  </sheetData>
  <autoFilter ref="A1:AR41"/>
  <conditionalFormatting sqref="AA2:AA41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41">
    <cfRule type="expression" priority="3" dxfId="18" stopIfTrue="1">
      <formula>AND(AB2&lt;&gt;"", AA2="Con Incidencias")</formula>
    </cfRule>
  </conditionalFormatting>
  <dataValidations count="11">
    <dataValidation sqref="O2:O41" showDropDown="0" showInputMessage="0" showErrorMessage="0" allowBlank="1" type="list">
      <formula1>"Seasonal,Core,No Aplica"</formula1>
    </dataValidation>
    <dataValidation sqref="C2:C41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41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41" showDropDown="0" showInputMessage="0" showErrorMessage="0" allowBlank="1" type="list">
      <formula1>"Rojo,Azul,Amarillo,Verde,Naranja,Morado,Rosa,Negro,Blanco,Gris,Beige,Cafe,Varios,No Aplica"</formula1>
    </dataValidation>
    <dataValidation sqref="R2:R41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41" showDropDown="0" showInputMessage="0" showErrorMessage="1" allowBlank="1" type="list">
      <formula1>Criterios!$A$81:$A$120</formula1>
    </dataValidation>
    <dataValidation sqref="N2:N41" showDropDown="0" showInputMessage="0" showErrorMessage="0" allowBlank="1" type="list">
      <formula1>"SS26,FW26,SS27,FW27,SS28,FW28,No Aplica"</formula1>
    </dataValidation>
    <dataValidation sqref="Q2:Q41" showDropDown="0" showInputMessage="0" showErrorMessage="0" allowBlank="1" type="list">
      <formula1>"Regular,Relajado,Slim,Clásico,Moderno,Recto,Bootcut"</formula1>
    </dataValidation>
    <dataValidation sqref="J2:J41" showDropDown="0" showInputMessage="0" showErrorMessage="0" allowBlank="1" type="list">
      <formula1>"Accesorios,Ropa,Denim,Calzado,No Aplica"</formula1>
    </dataValidation>
    <dataValidation sqref="L2:L41" showDropDown="0" showInputMessage="0" showErrorMessage="0" allowBlank="1" type="list">
      <formula1>"Hombre,Mujer,Niño,Niña,Unisex,No Aplica"</formula1>
    </dataValidation>
    <dataValidation sqref="V2:V41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41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40, 16)"),"052356088867")</f>
        <v/>
      </c>
      <c r="Q2">
        <f>IFERROR(__xludf.DUMMYFUNCTION("MAP(FILTER(A2:A41, (B2:B41&lt;&gt;"""")+(D2:D41&lt;&gt;"""")), FILTER(B2:B41, (B2:B41&lt;&gt;"""")+(D2:D41&lt;&gt;"""")),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IFERROR(__xludf.DUMMYFUNCTION("MAP(FILTER(A2:A41, (B2:B41&lt;&gt;"""")+(D2:D41&lt;&gt;"""")), FILTER(B2:B41, (B2:B41&lt;&gt;"""")+(D2:D41&lt;&gt;"""")), FILTER(Q2:Q41, (B2:B41&lt;&gt;"""")+(D2:D41&lt;&gt;"""")),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STETSON AMERICAS</t>
        </is>
      </c>
      <c r="B2" s="5">
        <f>IF($I2="","",INDEX(Productos!$A:$A,$I2))</f>
        <v/>
      </c>
      <c r="C2" s="134" t="inlineStr">
        <is>
          <t>WL-BHB16-UNI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3</v>
      </c>
      <c r="H2" s="5">
        <f>IF($I2="","",INDEX(Productos!$AG:$AG,$I2))</f>
        <v/>
      </c>
      <c r="I2" s="136">
        <f>LET(_xlpm.r,Productos!$E$2:$E$41,_xlpm.m,IFERROR(_xlfn.XMATCH(C2,_xlpm.r),IFERROR(_xlfn.XMATCH(VALUE(C2),_xlpm.r),0)),IF(_xlpm.m=0,"",_xlpm.m+1))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STETSON AMERICAS</t>
        </is>
      </c>
      <c r="B3" s="5">
        <f>IF($I2="","",INDEX(Productos!$A:$A,$I2))</f>
        <v/>
      </c>
      <c r="C3" s="134" t="inlineStr">
        <is>
          <t>WL-BHB18-UNI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2</v>
      </c>
      <c r="H3" s="5">
        <f>IF($I2="","",INDEX(Productos!$AG:$AG,$I2))</f>
        <v/>
      </c>
      <c r="I3" s="136">
        <f>LET(_xlpm.r,Productos!$E$2:$E$41,_xlpm.m,IFERROR(_xlfn.XMATCH(C3,_xlpm.r),IFERROR(_xlfn.XMATCH(VALUE(C3),_xlpm.r),0)),IF(_xlpm.m=0,"",_xlpm.m+1))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STETSON AMERICAS</t>
        </is>
      </c>
      <c r="B4" s="5">
        <f>IF($I2="","",INDEX(Productos!$A:$A,$I2))</f>
        <v/>
      </c>
      <c r="C4" s="134" t="inlineStr">
        <is>
          <t>WL-BHB19-UNI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3</v>
      </c>
      <c r="H4" s="5">
        <f>IF($I2="","",INDEX(Productos!$AG:$AG,$I2))</f>
        <v/>
      </c>
      <c r="I4" s="136">
        <f>LET(_xlpm.r,Productos!$E$2:$E$41,_xlpm.m,IFERROR(_xlfn.XMATCH(C4,_xlpm.r),IFERROR(_xlfn.XMATCH(VALUE(C4),_xlpm.r),0)),IF(_xlpm.m=0,"",_xlpm.m+1))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STETSON AMERICAS</t>
        </is>
      </c>
      <c r="B5" s="5">
        <f>IF($I2="","",INDEX(Productos!$A:$A,$I2))</f>
        <v/>
      </c>
      <c r="C5" s="134" t="inlineStr">
        <is>
          <t>WL-BHB20-UNI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3</v>
      </c>
      <c r="H5" s="5">
        <f>IF($I2="","",INDEX(Productos!$AG:$AG,$I2))</f>
        <v/>
      </c>
      <c r="I5" s="136">
        <f>LET(_xlpm.r,Productos!$E$2:$E$41,_xlpm.m,IFERROR(_xlfn.XMATCH(C5,_xlpm.r),IFERROR(_xlfn.XMATCH(VALUE(C5),_xlpm.r),0)),IF(_xlpm.m=0,"",_xlpm.m+1))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STETSON AMERICAS</t>
        </is>
      </c>
      <c r="B6" s="5">
        <f>IF($I2="","",INDEX(Productos!$A:$A,$I2))</f>
        <v/>
      </c>
      <c r="C6" s="134" t="inlineStr">
        <is>
          <t>WL-BHB65-UNI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1</v>
      </c>
      <c r="H6" s="5">
        <f>IF($I2="","",INDEX(Productos!$AG:$AG,$I2))</f>
        <v/>
      </c>
      <c r="I6" s="136">
        <f>LET(_xlpm.r,Productos!$E$2:$E$41,_xlpm.m,IFERROR(_xlfn.XMATCH(C6,_xlpm.r),IFERROR(_xlfn.XMATCH(VALUE(C6),_xlpm.r),0)),IF(_xlpm.m=0,"",_xlpm.m+1))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STETSON AMERICAS</t>
        </is>
      </c>
      <c r="B7" s="5">
        <f>IF($I2="","",INDEX(Productos!$A:$A,$I2))</f>
        <v/>
      </c>
      <c r="C7" s="134" t="inlineStr">
        <is>
          <t>WL-BHB82-UNI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3</v>
      </c>
      <c r="H7" s="5">
        <f>IF($I2="","",INDEX(Productos!$AG:$AG,$I2))</f>
        <v/>
      </c>
      <c r="I7" s="136">
        <f>LET(_xlpm.r,Productos!$E$2:$E$41,_xlpm.m,IFERROR(_xlfn.XMATCH(C7,_xlpm.r),IFERROR(_xlfn.XMATCH(VALUE(C7),_xlpm.r),0)),IF(_xlpm.m=0,"",_xlpm.m+1))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STETSON AMERICAS</t>
        </is>
      </c>
      <c r="B8" s="5">
        <f>IF($I2="","",INDEX(Productos!$A:$A,$I2))</f>
        <v/>
      </c>
      <c r="C8" s="134" t="inlineStr">
        <is>
          <t>WL-BHB83-UNI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2</v>
      </c>
      <c r="H8" s="5">
        <f>IF($I2="","",INDEX(Productos!$AG:$AG,$I2))</f>
        <v/>
      </c>
      <c r="I8" s="136">
        <f>LET(_xlpm.r,Productos!$E$2:$E$41,_xlpm.m,IFERROR(_xlfn.XMATCH(C8,_xlpm.r),IFERROR(_xlfn.XMATCH(VALUE(C8),_xlpm.r),0)),IF(_xlpm.m=0,"",_xlpm.m+1))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STETSON AMERICAS</t>
        </is>
      </c>
      <c r="B9" s="5">
        <f>IF($I2="","",INDEX(Productos!$A:$A,$I2))</f>
        <v/>
      </c>
      <c r="C9" s="134" t="inlineStr">
        <is>
          <t>WL-CHA02-UNI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1</v>
      </c>
      <c r="H9" s="5">
        <f>IF($I2="","",INDEX(Productos!$AG:$AG,$I2))</f>
        <v/>
      </c>
      <c r="I9" s="136">
        <f>LET(_xlpm.r,Productos!$E$2:$E$41,_xlpm.m,IFERROR(_xlfn.XMATCH(C9,_xlpm.r),IFERROR(_xlfn.XMATCH(VALUE(C9),_xlpm.r),0)),IF(_xlpm.m=0,"",_xlpm.m+1))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STETSON AMERICAS</t>
        </is>
      </c>
      <c r="B10" s="5">
        <f>IF($I2="","",INDEX(Productos!$A:$A,$I2))</f>
        <v/>
      </c>
      <c r="C10" s="134" t="inlineStr">
        <is>
          <t>WL-CHA03-UNI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3</v>
      </c>
      <c r="H10" s="5">
        <f>IF($I2="","",INDEX(Productos!$AG:$AG,$I2))</f>
        <v/>
      </c>
      <c r="I10" s="136">
        <f>LET(_xlpm.r,Productos!$E$2:$E$41,_xlpm.m,IFERROR(_xlfn.XMATCH(C10,_xlpm.r),IFERROR(_xlfn.XMATCH(VALUE(C10),_xlpm.r),0)),IF(_xlpm.m=0,"",_xlpm.m+1))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STETSON AMERICAS</t>
        </is>
      </c>
      <c r="B11" s="5">
        <f>IF($I2="","",INDEX(Productos!$A:$A,$I2))</f>
        <v/>
      </c>
      <c r="C11" s="134" t="inlineStr">
        <is>
          <t>WL-CHA04-UNI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1</v>
      </c>
      <c r="H11" s="5">
        <f>IF($I2="","",INDEX(Productos!$AG:$AG,$I2))</f>
        <v/>
      </c>
      <c r="I11" s="136">
        <f>LET(_xlpm.r,Productos!$E$2:$E$41,_xlpm.m,IFERROR(_xlfn.XMATCH(C11,_xlpm.r),IFERROR(_xlfn.XMATCH(VALUE(C11),_xlpm.r),0)),IF(_xlpm.m=0,"",_xlpm.m+1))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STETSON AMERICAS</t>
        </is>
      </c>
      <c r="B12" s="5">
        <f>IF($I2="","",INDEX(Productos!$A:$A,$I2))</f>
        <v/>
      </c>
      <c r="C12" s="134" t="inlineStr">
        <is>
          <t>WL-CHA07-UNI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4</v>
      </c>
      <c r="H12" s="5">
        <f>IF($I2="","",INDEX(Productos!$AG:$AG,$I2))</f>
        <v/>
      </c>
      <c r="I12" s="136">
        <f>LET(_xlpm.r,Productos!$E$2:$E$41,_xlpm.m,IFERROR(_xlfn.XMATCH(C12,_xlpm.r),IFERROR(_xlfn.XMATCH(VALUE(C12),_xlpm.r),0)),IF(_xlpm.m=0,"",_xlpm.m+1))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STETSON AMERICAS</t>
        </is>
      </c>
      <c r="B13" s="5">
        <f>IF($I2="","",INDEX(Productos!$A:$A,$I2))</f>
        <v/>
      </c>
      <c r="C13" s="134" t="inlineStr">
        <is>
          <t>WL-CHA08-UNI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3</v>
      </c>
      <c r="H13" s="5">
        <f>IF($I2="","",INDEX(Productos!$AG:$AG,$I2))</f>
        <v/>
      </c>
      <c r="I13" s="136">
        <f>LET(_xlpm.r,Productos!$E$2:$E$41,_xlpm.m,IFERROR(_xlfn.XMATCH(C13,_xlpm.r),IFERROR(_xlfn.XMATCH(VALUE(C13),_xlpm.r),0)),IF(_xlpm.m=0,"",_xlpm.m+1))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STETSON AMERICAS</t>
        </is>
      </c>
      <c r="B14" s="5">
        <f>IF($I2="","",INDEX(Productos!$A:$A,$I2))</f>
        <v/>
      </c>
      <c r="C14" s="134" t="inlineStr">
        <is>
          <t>WL-CHA09-UNI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2</v>
      </c>
      <c r="H14" s="5">
        <f>IF($I2="","",INDEX(Productos!$AG:$AG,$I2))</f>
        <v/>
      </c>
      <c r="I14" s="136">
        <f>LET(_xlpm.r,Productos!$E$2:$E$41,_xlpm.m,IFERROR(_xlfn.XMATCH(C14,_xlpm.r),IFERROR(_xlfn.XMATCH(VALUE(C14),_xlpm.r),0)),IF(_xlpm.m=0,"",_xlpm.m+1))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STETSON AMERICAS</t>
        </is>
      </c>
      <c r="B15" s="5">
        <f>IF($I2="","",INDEX(Productos!$A:$A,$I2))</f>
        <v/>
      </c>
      <c r="C15" s="134" t="inlineStr">
        <is>
          <t>WL-CNCH03-UNI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2</v>
      </c>
      <c r="H15" s="5">
        <f>IF($I2="","",INDEX(Productos!$AG:$AG,$I2))</f>
        <v/>
      </c>
      <c r="I15" s="136">
        <f>LET(_xlpm.r,Productos!$E$2:$E$41,_xlpm.m,IFERROR(_xlfn.XMATCH(C15,_xlpm.r),IFERROR(_xlfn.XMATCH(VALUE(C15),_xlpm.r),0)),IF(_xlpm.m=0,"",_xlpm.m+1))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STETSON AMERICAS</t>
        </is>
      </c>
      <c r="B16" s="5">
        <f>IF($I2="","",INDEX(Productos!$A:$A,$I2))</f>
        <v/>
      </c>
      <c r="C16" s="134" t="inlineStr">
        <is>
          <t>WL-CNCH04-UNI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1</v>
      </c>
      <c r="H16" s="5">
        <f>IF($I2="","",INDEX(Productos!$AG:$AG,$I2))</f>
        <v/>
      </c>
      <c r="I16" s="136">
        <f>LET(_xlpm.r,Productos!$E$2:$E$41,_xlpm.m,IFERROR(_xlfn.XMATCH(C16,_xlpm.r),IFERROR(_xlfn.XMATCH(VALUE(C16),_xlpm.r),0)),IF(_xlpm.m=0,"",_xlpm.m+1))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STETSON AMERICAS</t>
        </is>
      </c>
      <c r="B17" s="5">
        <f>IF($I2="","",INDEX(Productos!$A:$A,$I2))</f>
        <v/>
      </c>
      <c r="C17" s="134" t="inlineStr">
        <is>
          <t>WL-LTHR13-UNI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3</v>
      </c>
      <c r="H17" s="5">
        <f>IF($I2="","",INDEX(Productos!$AG:$AG,$I2))</f>
        <v/>
      </c>
      <c r="I17" s="136">
        <f>LET(_xlpm.r,Productos!$E$2:$E$41,_xlpm.m,IFERROR(_xlfn.XMATCH(C17,_xlpm.r),IFERROR(_xlfn.XMATCH(VALUE(C17),_xlpm.r),0)),IF(_xlpm.m=0,"",_xlpm.m+1))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STETSON AMERICAS</t>
        </is>
      </c>
      <c r="B18" s="5">
        <f>IF($I2="","",INDEX(Productos!$A:$A,$I2))</f>
        <v/>
      </c>
      <c r="C18" s="134" t="inlineStr">
        <is>
          <t>WL-LTHR24-UNI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3</v>
      </c>
      <c r="H18" s="5">
        <f>IF($I2="","",INDEX(Productos!$AG:$AG,$I2))</f>
        <v/>
      </c>
      <c r="I18" s="136">
        <f>LET(_xlpm.r,Productos!$E$2:$E$41,_xlpm.m,IFERROR(_xlfn.XMATCH(C18,_xlpm.r),IFERROR(_xlfn.XMATCH(VALUE(C18),_xlpm.r),0)),IF(_xlpm.m=0,"",_xlpm.m+1))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STETSON AMERICAS</t>
        </is>
      </c>
      <c r="B19" s="5">
        <f>IF($I2="","",INDEX(Productos!$A:$A,$I2))</f>
        <v/>
      </c>
      <c r="C19" s="134" t="inlineStr">
        <is>
          <t>WL-LTHR27-UNI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3</v>
      </c>
      <c r="H19" s="5">
        <f>IF($I2="","",INDEX(Productos!$AG:$AG,$I2))</f>
        <v/>
      </c>
      <c r="I19" s="136">
        <f>LET(_xlpm.r,Productos!$E$2:$E$41,_xlpm.m,IFERROR(_xlfn.XMATCH(C19,_xlpm.r),IFERROR(_xlfn.XMATCH(VALUE(C19),_xlpm.r),0)),IF(_xlpm.m=0,"",_xlpm.m+1))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STETSON AMERICAS</t>
        </is>
      </c>
      <c r="B20" s="5">
        <f>IF($I2="","",INDEX(Productos!$A:$A,$I2))</f>
        <v/>
      </c>
      <c r="C20" s="134" t="inlineStr">
        <is>
          <t>WL-LTHR38-UNI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6</v>
      </c>
      <c r="H20" s="5">
        <f>IF($I2="","",INDEX(Productos!$AG:$AG,$I2))</f>
        <v/>
      </c>
      <c r="I20" s="136">
        <f>LET(_xlpm.r,Productos!$E$2:$E$41,_xlpm.m,IFERROR(_xlfn.XMATCH(C20,_xlpm.r),IFERROR(_xlfn.XMATCH(VALUE(C20),_xlpm.r),0)),IF(_xlpm.m=0,"",_xlpm.m+1))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STETSON AMERICAS</t>
        </is>
      </c>
      <c r="B21" s="5">
        <f>IF($I2="","",INDEX(Productos!$A:$A,$I2))</f>
        <v/>
      </c>
      <c r="C21" s="134" t="inlineStr">
        <is>
          <t>WL-LTHR52-UNI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4</v>
      </c>
      <c r="H21" s="5">
        <f>IF($I2="","",INDEX(Productos!$AG:$AG,$I2))</f>
        <v/>
      </c>
      <c r="I21" s="136">
        <f>LET(_xlpm.r,Productos!$E$2:$E$41,_xlpm.m,IFERROR(_xlfn.XMATCH(C21,_xlpm.r),IFERROR(_xlfn.XMATCH(VALUE(C21),_xlpm.r),0)),IF(_xlpm.m=0,"",_xlpm.m+1))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STETSON AMERICAS</t>
        </is>
      </c>
      <c r="B22" s="5">
        <f>IF($I2="","",INDEX(Productos!$A:$A,$I2))</f>
        <v/>
      </c>
      <c r="C22" s="134" t="inlineStr">
        <is>
          <t>WL-LTHR54-UNI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2</v>
      </c>
      <c r="H22" s="5">
        <f>IF($I2="","",INDEX(Productos!$AG:$AG,$I2))</f>
        <v/>
      </c>
      <c r="I22" s="136">
        <f>LET(_xlpm.r,Productos!$E$2:$E$41,_xlpm.m,IFERROR(_xlfn.XMATCH(C22,_xlpm.r),IFERROR(_xlfn.XMATCH(VALUE(C22),_xlpm.r),0)),IF(_xlpm.m=0,"",_xlpm.m+1))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STETSON AMERICAS</t>
        </is>
      </c>
      <c r="B23" s="5">
        <f>IF($I2="","",INDEX(Productos!$A:$A,$I2))</f>
        <v/>
      </c>
      <c r="C23" s="134" t="inlineStr">
        <is>
          <t>WL-LTHR61-UNI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4</v>
      </c>
      <c r="H23" s="5">
        <f>IF($I2="","",INDEX(Productos!$AG:$AG,$I2))</f>
        <v/>
      </c>
      <c r="I23" s="136">
        <f>LET(_xlpm.r,Productos!$E$2:$E$41,_xlpm.m,IFERROR(_xlfn.XMATCH(C23,_xlpm.r),IFERROR(_xlfn.XMATCH(VALUE(C23),_xlpm.r),0)),IF(_xlpm.m=0,"",_xlpm.m+1))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STETSON AMERICAS</t>
        </is>
      </c>
      <c r="B24" s="5">
        <f>IF($I2="","",INDEX(Productos!$A:$A,$I2))</f>
        <v/>
      </c>
      <c r="C24" s="134" t="inlineStr">
        <is>
          <t>WL-LTHR64-UNI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4</v>
      </c>
      <c r="H24" s="5">
        <f>IF($I2="","",INDEX(Productos!$AG:$AG,$I2))</f>
        <v/>
      </c>
      <c r="I24" s="136">
        <f>LET(_xlpm.r,Productos!$E$2:$E$41,_xlpm.m,IFERROR(_xlfn.XMATCH(C24,_xlpm.r),IFERROR(_xlfn.XMATCH(VALUE(C24),_xlpm.r),0)),IF(_xlpm.m=0,"",_xlpm.m+1))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STETSON AMERICAS</t>
        </is>
      </c>
      <c r="B25" s="5">
        <f>IF($I2="","",INDEX(Productos!$A:$A,$I2))</f>
        <v/>
      </c>
      <c r="C25" s="134" t="inlineStr">
        <is>
          <t>WL-PIN03-UNI</t>
        </is>
      </c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2</v>
      </c>
      <c r="H25" s="5">
        <f>IF($I2="","",INDEX(Productos!$AG:$AG,$I2))</f>
        <v/>
      </c>
      <c r="I25" s="136">
        <f>LET(_xlpm.r,Productos!$E$2:$E$41,_xlpm.m,IFERROR(_xlfn.XMATCH(C25,_xlpm.r),IFERROR(_xlfn.XMATCH(VALUE(C25),_xlpm.r),0)),IF(_xlpm.m=0,"",_xlpm.m+1))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STETSON AMERICAS</t>
        </is>
      </c>
      <c r="B26" s="5">
        <f>IF($I2="","",INDEX(Productos!$A:$A,$I2))</f>
        <v/>
      </c>
      <c r="C26" s="134" t="inlineStr">
        <is>
          <t>WL-PIN04-UNI</t>
        </is>
      </c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2</v>
      </c>
      <c r="H26" s="5">
        <f>IF($I2="","",INDEX(Productos!$AG:$AG,$I2))</f>
        <v/>
      </c>
      <c r="I26" s="136">
        <f>LET(_xlpm.r,Productos!$E$2:$E$41,_xlpm.m,IFERROR(_xlfn.XMATCH(C26,_xlpm.r),IFERROR(_xlfn.XMATCH(VALUE(C26),_xlpm.r),0)),IF(_xlpm.m=0,"",_xlpm.m+1))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STETSON AMERICAS</t>
        </is>
      </c>
      <c r="B27" s="5">
        <f>IF($I2="","",INDEX(Productos!$A:$A,$I2))</f>
        <v/>
      </c>
      <c r="C27" s="134" t="inlineStr">
        <is>
          <t>WL-PIN19-UNI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2</v>
      </c>
      <c r="H27" s="5">
        <f>IF($I2="","",INDEX(Productos!$AG:$AG,$I2))</f>
        <v/>
      </c>
      <c r="I27" s="136">
        <f>LET(_xlpm.r,Productos!$E$2:$E$41,_xlpm.m,IFERROR(_xlfn.XMATCH(C27,_xlpm.r),IFERROR(_xlfn.XMATCH(VALUE(C27),_xlpm.r),0)),IF(_xlpm.m=0,"",_xlpm.m+1))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STETSON AMERICAS</t>
        </is>
      </c>
      <c r="B28" s="5">
        <f>IF($I2="","",INDEX(Productos!$A:$A,$I2))</f>
        <v/>
      </c>
      <c r="C28" s="134" t="inlineStr">
        <is>
          <t>WL-PIN23-UNI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1</v>
      </c>
      <c r="H28" s="5">
        <f>IF($I2="","",INDEX(Productos!$AG:$AG,$I2))</f>
        <v/>
      </c>
      <c r="I28" s="136">
        <f>LET(_xlpm.r,Productos!$E$2:$E$41,_xlpm.m,IFERROR(_xlfn.XMATCH(C28,_xlpm.r),IFERROR(_xlfn.XMATCH(VALUE(C28),_xlpm.r),0)),IF(_xlpm.m=0,"",_xlpm.m+1))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STETSON AMERICAS</t>
        </is>
      </c>
      <c r="B29" s="5">
        <f>IF($I2="","",INDEX(Productos!$A:$A,$I2))</f>
        <v/>
      </c>
      <c r="C29" s="134" t="inlineStr">
        <is>
          <t>WLHB-ARIK-UNI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3</v>
      </c>
      <c r="H29" s="5">
        <f>IF($I2="","",INDEX(Productos!$AG:$AG,$I2))</f>
        <v/>
      </c>
      <c r="I29" s="136">
        <f>LET(_xlpm.r,Productos!$E$2:$E$41,_xlpm.m,IFERROR(_xlfn.XMATCH(C29,_xlpm.r),IFERROR(_xlfn.XMATCH(VALUE(C29),_xlpm.r),0)),IF(_xlpm.m=0,"",_xlpm.m+1))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STETSON AMERICAS</t>
        </is>
      </c>
      <c r="B30" s="5">
        <f>IF($I2="","",INDEX(Productos!$A:$A,$I2))</f>
        <v/>
      </c>
      <c r="C30" s="134" t="inlineStr">
        <is>
          <t>WLHB-BEAU-UNI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3</v>
      </c>
      <c r="H30" s="5">
        <f>IF($I2="","",INDEX(Productos!$AG:$AG,$I2))</f>
        <v/>
      </c>
      <c r="I30" s="136">
        <f>LET(_xlpm.r,Productos!$E$2:$E$41,_xlpm.m,IFERROR(_xlfn.XMATCH(C30,_xlpm.r),IFERROR(_xlfn.XMATCH(VALUE(C30),_xlpm.r),0)),IF(_xlpm.m=0,"",_xlpm.m+1))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STETSON AMERICAS</t>
        </is>
      </c>
      <c r="B31" s="5">
        <f>IF($I2="","",INDEX(Productos!$A:$A,$I2))</f>
        <v/>
      </c>
      <c r="C31" s="134" t="inlineStr">
        <is>
          <t>WLHB-DOVE-UNI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3</v>
      </c>
      <c r="H31" s="5">
        <f>IF($I2="","",INDEX(Productos!$AG:$AG,$I2))</f>
        <v/>
      </c>
      <c r="I31" s="136">
        <f>LET(_xlpm.r,Productos!$E$2:$E$41,_xlpm.m,IFERROR(_xlfn.XMATCH(C31,_xlpm.r),IFERROR(_xlfn.XMATCH(VALUE(C31),_xlpm.r),0)),IF(_xlpm.m=0,"",_xlpm.m+1))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STETSON AMERICAS</t>
        </is>
      </c>
      <c r="B32" s="5">
        <f>IF($I2="","",INDEX(Productos!$A:$A,$I2))</f>
        <v/>
      </c>
      <c r="C32" s="134" t="inlineStr">
        <is>
          <t>WLHB-MOAB-UNI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3</v>
      </c>
      <c r="H32" s="5">
        <f>IF($I2="","",INDEX(Productos!$AG:$AG,$I2))</f>
        <v/>
      </c>
      <c r="I32" s="136">
        <f>LET(_xlpm.r,Productos!$E$2:$E$41,_xlpm.m,IFERROR(_xlfn.XMATCH(C32,_xlpm.r),IFERROR(_xlfn.XMATCH(VALUE(C32),_xlpm.r),0)),IF(_xlpm.m=0,"",_xlpm.m+1))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STETSON AMERICAS</t>
        </is>
      </c>
      <c r="B33" s="5">
        <f>IF($I2="","",INDEX(Productos!$A:$A,$I2))</f>
        <v/>
      </c>
      <c r="C33" s="134" t="inlineStr">
        <is>
          <t>WLHB-SNRA-UNI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3</v>
      </c>
      <c r="H33" s="5">
        <f>IF($I2="","",INDEX(Productos!$AG:$AG,$I2))</f>
        <v/>
      </c>
      <c r="I33" s="136">
        <f>LET(_xlpm.r,Productos!$E$2:$E$41,_xlpm.m,IFERROR(_xlfn.XMATCH(C33,_xlpm.r),IFERROR(_xlfn.XMATCH(VALUE(C33),_xlpm.r),0)),IF(_xlpm.m=0,"",_xlpm.m+1))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STETSON AMERICAS</t>
        </is>
      </c>
      <c r="B34" s="5">
        <f>IF($I2="","",INDEX(Productos!$A:$A,$I2))</f>
        <v/>
      </c>
      <c r="C34" s="134" t="inlineStr">
        <is>
          <t>WLHB-WCRST-UNI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3</v>
      </c>
      <c r="H34" s="5">
        <f>IF($I2="","",INDEX(Productos!$AG:$AG,$I2))</f>
        <v/>
      </c>
      <c r="I34" s="136">
        <f>LET(_xlpm.r,Productos!$E$2:$E$41,_xlpm.m,IFERROR(_xlfn.XMATCH(C34,_xlpm.r),IFERROR(_xlfn.XMATCH(VALUE(C34),_xlpm.r),0)),IF(_xlpm.m=0,"",_xlpm.m+1))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STETSON AMERICAS</t>
        </is>
      </c>
      <c r="B35" s="5">
        <f>IF($I2="","",INDEX(Productos!$A:$A,$I2))</f>
        <v/>
      </c>
      <c r="C35" s="134" t="inlineStr">
        <is>
          <t>WLHB-WLLW-UNI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3</v>
      </c>
      <c r="H35" s="5">
        <f>IF($I2="","",INDEX(Productos!$AG:$AG,$I2))</f>
        <v/>
      </c>
      <c r="I35" s="136">
        <f>LET(_xlpm.r,Productos!$E$2:$E$41,_xlpm.m,IFERROR(_xlfn.XMATCH(C35,_xlpm.r),IFERROR(_xlfn.XMATCH(VALUE(C35),_xlpm.r),0)),IF(_xlpm.m=0,"",_xlpm.m+1))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STETSON AMERICAS</t>
        </is>
      </c>
      <c r="B36" s="5">
        <f>IF($I2="","",INDEX(Productos!$A:$A,$I2))</f>
        <v/>
      </c>
      <c r="C36" s="134" t="inlineStr">
        <is>
          <t>WLHF-CHY-UNI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3</v>
      </c>
      <c r="H36" s="5">
        <f>IF($I2="","",INDEX(Productos!$AG:$AG,$I2))</f>
        <v/>
      </c>
      <c r="I36" s="136">
        <f>LET(_xlpm.r,Productos!$E$2:$E$41,_xlpm.m,IFERROR(_xlfn.XMATCH(C36,_xlpm.r),IFERROR(_xlfn.XMATCH(VALUE(C36),_xlpm.r),0)),IF(_xlpm.m=0,"",_xlpm.m+1))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STETSON AMERICAS</t>
        </is>
      </c>
      <c r="B37" s="5">
        <f>IF($I2="","",INDEX(Productos!$A:$A,$I2))</f>
        <v/>
      </c>
      <c r="C37" s="134" t="inlineStr">
        <is>
          <t>WLHF-LAUR-UNI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3</v>
      </c>
      <c r="H37" s="5">
        <f>IF($I2="","",INDEX(Productos!$AG:$AG,$I2))</f>
        <v/>
      </c>
      <c r="I37" s="136">
        <f>LET(_xlpm.r,Productos!$E$2:$E$41,_xlpm.m,IFERROR(_xlfn.XMATCH(C37,_xlpm.r),IFERROR(_xlfn.XMATCH(VALUE(C37),_xlpm.r),0)),IF(_xlpm.m=0,"",_xlpm.m+1))</f>
        <v/>
      </c>
      <c r="J37" s="137" t="inlineStr">
        <is>
          <t>NetSuite</t>
        </is>
      </c>
    </row>
    <row r="38">
      <c r="A38" s="5" t="inlineStr">
        <is>
          <t>STETSON AMERICAS</t>
        </is>
      </c>
      <c r="B38" s="5">
        <f>IF($I2="","",INDEX(Productos!$A:$A,$I2))</f>
        <v/>
      </c>
      <c r="C38" s="134" t="inlineStr">
        <is>
          <t>WLHF-RSC-UNI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2</v>
      </c>
      <c r="H38" s="5">
        <f>IF($I2="","",INDEX(Productos!$AG:$AG,$I2))</f>
        <v/>
      </c>
      <c r="I38" s="136">
        <f>LET(_xlpm.r,Productos!$E$2:$E$41,_xlpm.m,IFERROR(_xlfn.XMATCH(C38,_xlpm.r),IFERROR(_xlfn.XMATCH(VALUE(C38),_xlpm.r),0)),IF(_xlpm.m=0,"",_xlpm.m+1))</f>
        <v/>
      </c>
      <c r="J38" s="137" t="inlineStr">
        <is>
          <t>NetSuite</t>
        </is>
      </c>
    </row>
    <row r="39">
      <c r="A39" s="5" t="inlineStr">
        <is>
          <t>STETSON AMERICAS</t>
        </is>
      </c>
      <c r="B39" s="5">
        <f>IF($I2="","",INDEX(Productos!$A:$A,$I2))</f>
        <v/>
      </c>
      <c r="C39" s="134" t="inlineStr">
        <is>
          <t>WLHF-SHGRL-UNI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3</v>
      </c>
      <c r="H39" s="5">
        <f>IF($I2="","",INDEX(Productos!$AG:$AG,$I2))</f>
        <v/>
      </c>
      <c r="I39" s="136">
        <f>LET(_xlpm.r,Productos!$E$2:$E$41,_xlpm.m,IFERROR(_xlfn.XMATCH(C39,_xlpm.r),IFERROR(_xlfn.XMATCH(VALUE(C39),_xlpm.r),0)),IF(_xlpm.m=0,"",_xlpm.m+1))</f>
        <v/>
      </c>
      <c r="J39" s="137" t="inlineStr">
        <is>
          <t>NetSuite</t>
        </is>
      </c>
    </row>
    <row r="40">
      <c r="A40" s="5" t="inlineStr">
        <is>
          <t>STETSON AMERICAS</t>
        </is>
      </c>
      <c r="B40" s="5">
        <f>IF($I2="","",INDEX(Productos!$A:$A,$I2))</f>
        <v/>
      </c>
      <c r="C40" s="134" t="inlineStr">
        <is>
          <t>WLHF-STRN-UNI</t>
        </is>
      </c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1</v>
      </c>
      <c r="H40" s="5">
        <f>IF($I2="","",INDEX(Productos!$AG:$AG,$I2))</f>
        <v/>
      </c>
      <c r="I40" s="136">
        <f>LET(_xlpm.r,Productos!$E$2:$E$41,_xlpm.m,IFERROR(_xlfn.XMATCH(C40,_xlpm.r),IFERROR(_xlfn.XMATCH(VALUE(C40),_xlpm.r),0)),IF(_xlpm.m=0,"",_xlpm.m+1))</f>
        <v/>
      </c>
      <c r="J40" s="137" t="inlineStr">
        <is>
          <t>NetSuite</t>
        </is>
      </c>
    </row>
    <row r="41">
      <c r="A41" s="5" t="inlineStr">
        <is>
          <t>Shopify Stetson México › Stetson Americas</t>
        </is>
      </c>
      <c r="B41" s="5">
        <f>IF($I2="","",INDEX(Productos!$A:$A,$I2))</f>
        <v/>
      </c>
      <c r="C41" s="134" t="inlineStr">
        <is>
          <t>WL-BHB16-UNI</t>
        </is>
      </c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3</v>
      </c>
      <c r="H41" s="5">
        <f>IF($I2="","",INDEX(Productos!$AG:$AG,$I2))</f>
        <v/>
      </c>
      <c r="I41" s="136">
        <f>LET(_xlpm.r,Productos!$E$2:$E$41,_xlpm.m,IFERROR(_xlfn.XMATCH(C41,_xlpm.r),IFERROR(_xlfn.XMATCH(VALUE(C41),_xlpm.r),0)),IF(_xlpm.m=0,"",_xlpm.m+1))</f>
        <v/>
      </c>
      <c r="J41" s="137" t="inlineStr">
        <is>
          <t>Shopify</t>
        </is>
      </c>
    </row>
    <row r="42">
      <c r="A42" s="5" t="inlineStr">
        <is>
          <t>Shopify Stetson México › Stetson Americas</t>
        </is>
      </c>
      <c r="B42" s="5">
        <f>IF($I2="","",INDEX(Productos!$A:$A,$I2))</f>
        <v/>
      </c>
      <c r="C42" s="134" t="inlineStr">
        <is>
          <t>WL-BHB18-UNI</t>
        </is>
      </c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2</v>
      </c>
      <c r="H42" s="5">
        <f>IF($I2="","",INDEX(Productos!$AG:$AG,$I2))</f>
        <v/>
      </c>
      <c r="I42" s="136">
        <f>LET(_xlpm.r,Productos!$E$2:$E$41,_xlpm.m,IFERROR(_xlfn.XMATCH(C42,_xlpm.r),IFERROR(_xlfn.XMATCH(VALUE(C42),_xlpm.r),0)),IF(_xlpm.m=0,"",_xlpm.m+1))</f>
        <v/>
      </c>
      <c r="J42" s="137" t="inlineStr">
        <is>
          <t>Shopify</t>
        </is>
      </c>
    </row>
    <row r="43">
      <c r="A43" s="5" t="inlineStr">
        <is>
          <t>Shopify Stetson México › Stetson Americas</t>
        </is>
      </c>
      <c r="B43" s="5">
        <f>IF($I2="","",INDEX(Productos!$A:$A,$I2))</f>
        <v/>
      </c>
      <c r="C43" s="134" t="inlineStr">
        <is>
          <t>WL-BHB19-UNI</t>
        </is>
      </c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3</v>
      </c>
      <c r="H43" s="5">
        <f>IF($I2="","",INDEX(Productos!$AG:$AG,$I2))</f>
        <v/>
      </c>
      <c r="I43" s="136">
        <f>LET(_xlpm.r,Productos!$E$2:$E$41,_xlpm.m,IFERROR(_xlfn.XMATCH(C43,_xlpm.r),IFERROR(_xlfn.XMATCH(VALUE(C43),_xlpm.r),0)),IF(_xlpm.m=0,"",_xlpm.m+1))</f>
        <v/>
      </c>
      <c r="J43" s="137" t="inlineStr">
        <is>
          <t>Shopify</t>
        </is>
      </c>
    </row>
    <row r="44">
      <c r="A44" s="5" t="inlineStr">
        <is>
          <t>Shopify Stetson México › Stetson Americas</t>
        </is>
      </c>
      <c r="B44" s="5">
        <f>IF($I2="","",INDEX(Productos!$A:$A,$I2))</f>
        <v/>
      </c>
      <c r="C44" s="134" t="inlineStr">
        <is>
          <t>WL-BHB20-UNI</t>
        </is>
      </c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3</v>
      </c>
      <c r="H44" s="5">
        <f>IF($I2="","",INDEX(Productos!$AG:$AG,$I2))</f>
        <v/>
      </c>
      <c r="I44" s="136">
        <f>LET(_xlpm.r,Productos!$E$2:$E$41,_xlpm.m,IFERROR(_xlfn.XMATCH(C44,_xlpm.r),IFERROR(_xlfn.XMATCH(VALUE(C44),_xlpm.r),0)),IF(_xlpm.m=0,"",_xlpm.m+1))</f>
        <v/>
      </c>
      <c r="J44" s="137" t="inlineStr">
        <is>
          <t>Shopify</t>
        </is>
      </c>
    </row>
    <row r="45">
      <c r="A45" s="5" t="inlineStr">
        <is>
          <t>Shopify Stetson México › Stetson Americas</t>
        </is>
      </c>
      <c r="B45" s="5">
        <f>IF($I2="","",INDEX(Productos!$A:$A,$I2))</f>
        <v/>
      </c>
      <c r="C45" s="134" t="inlineStr">
        <is>
          <t>WL-BHB65-UNI</t>
        </is>
      </c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1</v>
      </c>
      <c r="H45" s="5">
        <f>IF($I2="","",INDEX(Productos!$AG:$AG,$I2))</f>
        <v/>
      </c>
      <c r="I45" s="136">
        <f>LET(_xlpm.r,Productos!$E$2:$E$41,_xlpm.m,IFERROR(_xlfn.XMATCH(C45,_xlpm.r),IFERROR(_xlfn.XMATCH(VALUE(C45),_xlpm.r),0)),IF(_xlpm.m=0,"",_xlpm.m+1))</f>
        <v/>
      </c>
      <c r="J45" s="137" t="inlineStr">
        <is>
          <t>Shopify</t>
        </is>
      </c>
    </row>
    <row r="46">
      <c r="A46" s="5" t="inlineStr">
        <is>
          <t>Shopify Stetson México › Stetson Americas</t>
        </is>
      </c>
      <c r="B46" s="5">
        <f>IF($I2="","",INDEX(Productos!$A:$A,$I2))</f>
        <v/>
      </c>
      <c r="C46" s="134" t="inlineStr">
        <is>
          <t>WL-BHB82-UNI</t>
        </is>
      </c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3</v>
      </c>
      <c r="H46" s="5">
        <f>IF($I2="","",INDEX(Productos!$AG:$AG,$I2))</f>
        <v/>
      </c>
      <c r="I46" s="136">
        <f>LET(_xlpm.r,Productos!$E$2:$E$41,_xlpm.m,IFERROR(_xlfn.XMATCH(C46,_xlpm.r),IFERROR(_xlfn.XMATCH(VALUE(C46),_xlpm.r),0)),IF(_xlpm.m=0,"",_xlpm.m+1))</f>
        <v/>
      </c>
      <c r="J46" s="137" t="inlineStr">
        <is>
          <t>Shopify</t>
        </is>
      </c>
    </row>
    <row r="47">
      <c r="A47" s="5" t="inlineStr">
        <is>
          <t>Shopify Stetson México › Stetson Americas</t>
        </is>
      </c>
      <c r="B47" s="5">
        <f>IF($I2="","",INDEX(Productos!$A:$A,$I2))</f>
        <v/>
      </c>
      <c r="C47" s="134" t="inlineStr">
        <is>
          <t>WL-BHB83-UNI</t>
        </is>
      </c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2</v>
      </c>
      <c r="H47" s="5">
        <f>IF($I2="","",INDEX(Productos!$AG:$AG,$I2))</f>
        <v/>
      </c>
      <c r="I47" s="136">
        <f>LET(_xlpm.r,Productos!$E$2:$E$41,_xlpm.m,IFERROR(_xlfn.XMATCH(C47,_xlpm.r),IFERROR(_xlfn.XMATCH(VALUE(C47),_xlpm.r),0)),IF(_xlpm.m=0,"",_xlpm.m+1))</f>
        <v/>
      </c>
      <c r="J47" s="137" t="inlineStr">
        <is>
          <t>Shopify</t>
        </is>
      </c>
    </row>
    <row r="48">
      <c r="A48" s="5" t="inlineStr">
        <is>
          <t>Shopify Stetson México › Stetson Americas</t>
        </is>
      </c>
      <c r="B48" s="5">
        <f>IF($I2="","",INDEX(Productos!$A:$A,$I2))</f>
        <v/>
      </c>
      <c r="C48" s="134" t="inlineStr">
        <is>
          <t>WL-CHA02-UNI</t>
        </is>
      </c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1</v>
      </c>
      <c r="H48" s="5">
        <f>IF($I2="","",INDEX(Productos!$AG:$AG,$I2))</f>
        <v/>
      </c>
      <c r="I48" s="136">
        <f>LET(_xlpm.r,Productos!$E$2:$E$41,_xlpm.m,IFERROR(_xlfn.XMATCH(C48,_xlpm.r),IFERROR(_xlfn.XMATCH(VALUE(C48),_xlpm.r),0)),IF(_xlpm.m=0,"",_xlpm.m+1))</f>
        <v/>
      </c>
      <c r="J48" s="137" t="inlineStr">
        <is>
          <t>Shopify</t>
        </is>
      </c>
    </row>
    <row r="49">
      <c r="A49" s="5" t="inlineStr">
        <is>
          <t>Shopify Stetson México › Stetson Americas</t>
        </is>
      </c>
      <c r="B49" s="5">
        <f>IF($I2="","",INDEX(Productos!$A:$A,$I2))</f>
        <v/>
      </c>
      <c r="C49" s="134" t="inlineStr">
        <is>
          <t>WL-CHA03-UNI</t>
        </is>
      </c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3</v>
      </c>
      <c r="H49" s="5">
        <f>IF($I2="","",INDEX(Productos!$AG:$AG,$I2))</f>
        <v/>
      </c>
      <c r="I49" s="136">
        <f>LET(_xlpm.r,Productos!$E$2:$E$41,_xlpm.m,IFERROR(_xlfn.XMATCH(C49,_xlpm.r),IFERROR(_xlfn.XMATCH(VALUE(C49),_xlpm.r),0)),IF(_xlpm.m=0,"",_xlpm.m+1))</f>
        <v/>
      </c>
      <c r="J49" s="137" t="inlineStr">
        <is>
          <t>Shopify</t>
        </is>
      </c>
    </row>
    <row r="50">
      <c r="A50" s="5" t="inlineStr">
        <is>
          <t>Shopify Stetson México › Stetson Americas</t>
        </is>
      </c>
      <c r="B50" s="5">
        <f>IF($I2="","",INDEX(Productos!$A:$A,$I2))</f>
        <v/>
      </c>
      <c r="C50" s="134" t="inlineStr">
        <is>
          <t>WL-CHA04-UNI</t>
        </is>
      </c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1</v>
      </c>
      <c r="H50" s="5">
        <f>IF($I2="","",INDEX(Productos!$AG:$AG,$I2))</f>
        <v/>
      </c>
      <c r="I50" s="136">
        <f>LET(_xlpm.r,Productos!$E$2:$E$41,_xlpm.m,IFERROR(_xlfn.XMATCH(C50,_xlpm.r),IFERROR(_xlfn.XMATCH(VALUE(C50),_xlpm.r),0)),IF(_xlpm.m=0,"",_xlpm.m+1))</f>
        <v/>
      </c>
      <c r="J50" s="137" t="inlineStr">
        <is>
          <t>Shopify</t>
        </is>
      </c>
    </row>
    <row r="51">
      <c r="A51" s="5" t="inlineStr">
        <is>
          <t>Shopify Stetson México › Stetson Americas</t>
        </is>
      </c>
      <c r="B51" s="5">
        <f>IF($I2="","",INDEX(Productos!$A:$A,$I2))</f>
        <v/>
      </c>
      <c r="C51" s="134" t="inlineStr">
        <is>
          <t>WL-CHA07-UNI</t>
        </is>
      </c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4</v>
      </c>
      <c r="H51" s="5">
        <f>IF($I2="","",INDEX(Productos!$AG:$AG,$I2))</f>
        <v/>
      </c>
      <c r="I51" s="136">
        <f>LET(_xlpm.r,Productos!$E$2:$E$41,_xlpm.m,IFERROR(_xlfn.XMATCH(C51,_xlpm.r),IFERROR(_xlfn.XMATCH(VALUE(C51),_xlpm.r),0)),IF(_xlpm.m=0,"",_xlpm.m+1))</f>
        <v/>
      </c>
      <c r="J51" s="137" t="inlineStr">
        <is>
          <t>Shopify</t>
        </is>
      </c>
    </row>
    <row r="52">
      <c r="A52" s="5" t="inlineStr">
        <is>
          <t>Shopify Stetson México › Stetson Americas</t>
        </is>
      </c>
      <c r="B52" s="5">
        <f>IF($I2="","",INDEX(Productos!$A:$A,$I2))</f>
        <v/>
      </c>
      <c r="C52" s="134" t="inlineStr">
        <is>
          <t>WL-CHA08-UNI</t>
        </is>
      </c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3</v>
      </c>
      <c r="H52" s="5">
        <f>IF($I2="","",INDEX(Productos!$AG:$AG,$I2))</f>
        <v/>
      </c>
      <c r="I52" s="136">
        <f>LET(_xlpm.r,Productos!$E$2:$E$41,_xlpm.m,IFERROR(_xlfn.XMATCH(C52,_xlpm.r),IFERROR(_xlfn.XMATCH(VALUE(C52),_xlpm.r),0)),IF(_xlpm.m=0,"",_xlpm.m+1))</f>
        <v/>
      </c>
      <c r="J52" s="137" t="inlineStr">
        <is>
          <t>Shopify</t>
        </is>
      </c>
    </row>
    <row r="53">
      <c r="A53" s="5" t="inlineStr">
        <is>
          <t>Shopify Stetson México › Stetson Americas</t>
        </is>
      </c>
      <c r="B53" s="5">
        <f>IF($I2="","",INDEX(Productos!$A:$A,$I2))</f>
        <v/>
      </c>
      <c r="C53" s="134" t="inlineStr">
        <is>
          <t>WL-CHA09-UNI</t>
        </is>
      </c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2</v>
      </c>
      <c r="H53" s="5">
        <f>IF($I2="","",INDEX(Productos!$AG:$AG,$I2))</f>
        <v/>
      </c>
      <c r="I53" s="136">
        <f>LET(_xlpm.r,Productos!$E$2:$E$41,_xlpm.m,IFERROR(_xlfn.XMATCH(C53,_xlpm.r),IFERROR(_xlfn.XMATCH(VALUE(C53),_xlpm.r),0)),IF(_xlpm.m=0,"",_xlpm.m+1))</f>
        <v/>
      </c>
      <c r="J53" s="137" t="inlineStr">
        <is>
          <t>Shopify</t>
        </is>
      </c>
    </row>
    <row r="54">
      <c r="A54" s="5" t="inlineStr">
        <is>
          <t>Shopify Stetson México › Stetson Americas</t>
        </is>
      </c>
      <c r="B54" s="5">
        <f>IF($I2="","",INDEX(Productos!$A:$A,$I2))</f>
        <v/>
      </c>
      <c r="C54" s="134" t="inlineStr">
        <is>
          <t>WL-CNCH03-UNI</t>
        </is>
      </c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2</v>
      </c>
      <c r="H54" s="5">
        <f>IF($I2="","",INDEX(Productos!$AG:$AG,$I2))</f>
        <v/>
      </c>
      <c r="I54" s="136">
        <f>LET(_xlpm.r,Productos!$E$2:$E$41,_xlpm.m,IFERROR(_xlfn.XMATCH(C54,_xlpm.r),IFERROR(_xlfn.XMATCH(VALUE(C54),_xlpm.r),0)),IF(_xlpm.m=0,"",_xlpm.m+1))</f>
        <v/>
      </c>
      <c r="J54" s="137" t="inlineStr">
        <is>
          <t>Shopify</t>
        </is>
      </c>
    </row>
    <row r="55">
      <c r="A55" s="5" t="inlineStr">
        <is>
          <t>Shopify Stetson México › Stetson Americas</t>
        </is>
      </c>
      <c r="B55" s="5">
        <f>IF($I2="","",INDEX(Productos!$A:$A,$I2))</f>
        <v/>
      </c>
      <c r="C55" s="134" t="inlineStr">
        <is>
          <t>WL-CNCH04-UNI</t>
        </is>
      </c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1</v>
      </c>
      <c r="H55" s="5">
        <f>IF($I2="","",INDEX(Productos!$AG:$AG,$I2))</f>
        <v/>
      </c>
      <c r="I55" s="136">
        <f>LET(_xlpm.r,Productos!$E$2:$E$41,_xlpm.m,IFERROR(_xlfn.XMATCH(C55,_xlpm.r),IFERROR(_xlfn.XMATCH(VALUE(C55),_xlpm.r),0)),IF(_xlpm.m=0,"",_xlpm.m+1))</f>
        <v/>
      </c>
      <c r="J55" s="137" t="inlineStr">
        <is>
          <t>Shopify</t>
        </is>
      </c>
    </row>
    <row r="56">
      <c r="A56" s="5" t="inlineStr">
        <is>
          <t>Shopify Stetson México › Stetson Americas</t>
        </is>
      </c>
      <c r="B56" s="5">
        <f>IF($I2="","",INDEX(Productos!$A:$A,$I2))</f>
        <v/>
      </c>
      <c r="C56" s="134" t="inlineStr">
        <is>
          <t>WL-LTHR13-UNI</t>
        </is>
      </c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3</v>
      </c>
      <c r="H56" s="5">
        <f>IF($I2="","",INDEX(Productos!$AG:$AG,$I2))</f>
        <v/>
      </c>
      <c r="I56" s="136">
        <f>LET(_xlpm.r,Productos!$E$2:$E$41,_xlpm.m,IFERROR(_xlfn.XMATCH(C56,_xlpm.r),IFERROR(_xlfn.XMATCH(VALUE(C56),_xlpm.r),0)),IF(_xlpm.m=0,"",_xlpm.m+1))</f>
        <v/>
      </c>
      <c r="J56" s="137" t="inlineStr">
        <is>
          <t>Shopify</t>
        </is>
      </c>
    </row>
    <row r="57">
      <c r="A57" s="5" t="inlineStr">
        <is>
          <t>Shopify Stetson México › Stetson Americas</t>
        </is>
      </c>
      <c r="B57" s="5">
        <f>IF($I2="","",INDEX(Productos!$A:$A,$I2))</f>
        <v/>
      </c>
      <c r="C57" s="134" t="inlineStr">
        <is>
          <t>WL-LTHR24-UNI</t>
        </is>
      </c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3</v>
      </c>
      <c r="H57" s="5">
        <f>IF($I2="","",INDEX(Productos!$AG:$AG,$I2))</f>
        <v/>
      </c>
      <c r="I57" s="136">
        <f>LET(_xlpm.r,Productos!$E$2:$E$41,_xlpm.m,IFERROR(_xlfn.XMATCH(C57,_xlpm.r),IFERROR(_xlfn.XMATCH(VALUE(C57),_xlpm.r),0)),IF(_xlpm.m=0,"",_xlpm.m+1))</f>
        <v/>
      </c>
      <c r="J57" s="137" t="inlineStr">
        <is>
          <t>Shopify</t>
        </is>
      </c>
    </row>
    <row r="58">
      <c r="A58" s="5" t="inlineStr">
        <is>
          <t>Shopify Stetson México › Stetson Americas</t>
        </is>
      </c>
      <c r="B58" s="5">
        <f>IF($I2="","",INDEX(Productos!$A:$A,$I2))</f>
        <v/>
      </c>
      <c r="C58" s="134" t="inlineStr">
        <is>
          <t>WL-LTHR27-UNI</t>
        </is>
      </c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3</v>
      </c>
      <c r="H58" s="5">
        <f>IF($I2="","",INDEX(Productos!$AG:$AG,$I2))</f>
        <v/>
      </c>
      <c r="I58" s="136">
        <f>LET(_xlpm.r,Productos!$E$2:$E$41,_xlpm.m,IFERROR(_xlfn.XMATCH(C58,_xlpm.r),IFERROR(_xlfn.XMATCH(VALUE(C58),_xlpm.r),0)),IF(_xlpm.m=0,"",_xlpm.m+1))</f>
        <v/>
      </c>
      <c r="J58" s="137" t="inlineStr">
        <is>
          <t>Shopify</t>
        </is>
      </c>
    </row>
    <row r="59">
      <c r="A59" s="5" t="inlineStr">
        <is>
          <t>Shopify Stetson México › Stetson Americas</t>
        </is>
      </c>
      <c r="B59" s="5">
        <f>IF($I2="","",INDEX(Productos!$A:$A,$I2))</f>
        <v/>
      </c>
      <c r="C59" s="134" t="inlineStr">
        <is>
          <t>WL-LTHR38-UNI</t>
        </is>
      </c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6</v>
      </c>
      <c r="H59" s="5">
        <f>IF($I2="","",INDEX(Productos!$AG:$AG,$I2))</f>
        <v/>
      </c>
      <c r="I59" s="136">
        <f>LET(_xlpm.r,Productos!$E$2:$E$41,_xlpm.m,IFERROR(_xlfn.XMATCH(C59,_xlpm.r),IFERROR(_xlfn.XMATCH(VALUE(C59),_xlpm.r),0)),IF(_xlpm.m=0,"",_xlpm.m+1))</f>
        <v/>
      </c>
      <c r="J59" s="137" t="inlineStr">
        <is>
          <t>Shopify</t>
        </is>
      </c>
    </row>
    <row r="60">
      <c r="A60" s="5" t="inlineStr">
        <is>
          <t>Shopify Stetson México › Stetson Americas</t>
        </is>
      </c>
      <c r="B60" s="5">
        <f>IF($I2="","",INDEX(Productos!$A:$A,$I2))</f>
        <v/>
      </c>
      <c r="C60" s="134" t="inlineStr">
        <is>
          <t>WL-LTHR52-UNI</t>
        </is>
      </c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4</v>
      </c>
      <c r="H60" s="5">
        <f>IF($I2="","",INDEX(Productos!$AG:$AG,$I2))</f>
        <v/>
      </c>
      <c r="I60" s="136">
        <f>LET(_xlpm.r,Productos!$E$2:$E$41,_xlpm.m,IFERROR(_xlfn.XMATCH(C60,_xlpm.r),IFERROR(_xlfn.XMATCH(VALUE(C60),_xlpm.r),0)),IF(_xlpm.m=0,"",_xlpm.m+1))</f>
        <v/>
      </c>
      <c r="J60" s="137" t="inlineStr">
        <is>
          <t>Shopify</t>
        </is>
      </c>
    </row>
    <row r="61">
      <c r="A61" s="5" t="inlineStr">
        <is>
          <t>Shopify Stetson México › Stetson Americas</t>
        </is>
      </c>
      <c r="B61" s="5">
        <f>IF($I2="","",INDEX(Productos!$A:$A,$I2))</f>
        <v/>
      </c>
      <c r="C61" s="134" t="inlineStr">
        <is>
          <t>WL-LTHR54-UNI</t>
        </is>
      </c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2</v>
      </c>
      <c r="H61" s="5">
        <f>IF($I2="","",INDEX(Productos!$AG:$AG,$I2))</f>
        <v/>
      </c>
      <c r="I61" s="136">
        <f>LET(_xlpm.r,Productos!$E$2:$E$41,_xlpm.m,IFERROR(_xlfn.XMATCH(C61,_xlpm.r),IFERROR(_xlfn.XMATCH(VALUE(C61),_xlpm.r),0)),IF(_xlpm.m=0,"",_xlpm.m+1))</f>
        <v/>
      </c>
      <c r="J61" s="137" t="inlineStr">
        <is>
          <t>Shopify</t>
        </is>
      </c>
    </row>
    <row r="62">
      <c r="A62" s="5" t="inlineStr">
        <is>
          <t>Shopify Stetson México › Stetson Americas</t>
        </is>
      </c>
      <c r="B62" s="5">
        <f>IF($I2="","",INDEX(Productos!$A:$A,$I2))</f>
        <v/>
      </c>
      <c r="C62" s="134" t="inlineStr">
        <is>
          <t>WL-LTHR61-UNI</t>
        </is>
      </c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4</v>
      </c>
      <c r="H62" s="5">
        <f>IF($I2="","",INDEX(Productos!$AG:$AG,$I2))</f>
        <v/>
      </c>
      <c r="I62" s="136">
        <f>LET(_xlpm.r,Productos!$E$2:$E$41,_xlpm.m,IFERROR(_xlfn.XMATCH(C62,_xlpm.r),IFERROR(_xlfn.XMATCH(VALUE(C62),_xlpm.r),0)),IF(_xlpm.m=0,"",_xlpm.m+1))</f>
        <v/>
      </c>
      <c r="J62" s="137" t="inlineStr">
        <is>
          <t>Shopify</t>
        </is>
      </c>
    </row>
    <row r="63">
      <c r="A63" s="5" t="inlineStr">
        <is>
          <t>Shopify Stetson México › Stetson Americas</t>
        </is>
      </c>
      <c r="B63" s="5">
        <f>IF($I2="","",INDEX(Productos!$A:$A,$I2))</f>
        <v/>
      </c>
      <c r="C63" s="134" t="inlineStr">
        <is>
          <t>WL-LTHR64-UNI</t>
        </is>
      </c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4</v>
      </c>
      <c r="H63" s="5">
        <f>IF($I2="","",INDEX(Productos!$AG:$AG,$I2))</f>
        <v/>
      </c>
      <c r="I63" s="136">
        <f>LET(_xlpm.r,Productos!$E$2:$E$41,_xlpm.m,IFERROR(_xlfn.XMATCH(C63,_xlpm.r),IFERROR(_xlfn.XMATCH(VALUE(C63),_xlpm.r),0)),IF(_xlpm.m=0,"",_xlpm.m+1))</f>
        <v/>
      </c>
      <c r="J63" s="137" t="inlineStr">
        <is>
          <t>Shopify</t>
        </is>
      </c>
    </row>
    <row r="64">
      <c r="A64" s="5" t="inlineStr">
        <is>
          <t>Shopify Stetson México › Stetson Americas</t>
        </is>
      </c>
      <c r="B64" s="5">
        <f>IF($I2="","",INDEX(Productos!$A:$A,$I2))</f>
        <v/>
      </c>
      <c r="C64" s="134" t="inlineStr">
        <is>
          <t>WL-PIN03-UNI</t>
        </is>
      </c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2</v>
      </c>
      <c r="H64" s="5">
        <f>IF($I2="","",INDEX(Productos!$AG:$AG,$I2))</f>
        <v/>
      </c>
      <c r="I64" s="136">
        <f>LET(_xlpm.r,Productos!$E$2:$E$41,_xlpm.m,IFERROR(_xlfn.XMATCH(C64,_xlpm.r),IFERROR(_xlfn.XMATCH(VALUE(C64),_xlpm.r),0)),IF(_xlpm.m=0,"",_xlpm.m+1))</f>
        <v/>
      </c>
      <c r="J64" s="137" t="inlineStr">
        <is>
          <t>Shopify</t>
        </is>
      </c>
    </row>
    <row r="65">
      <c r="A65" s="5" t="inlineStr">
        <is>
          <t>Shopify Stetson México › Stetson Americas</t>
        </is>
      </c>
      <c r="B65" s="5">
        <f>IF($I2="","",INDEX(Productos!$A:$A,$I2))</f>
        <v/>
      </c>
      <c r="C65" s="134" t="inlineStr">
        <is>
          <t>WL-PIN04-UNI</t>
        </is>
      </c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2</v>
      </c>
      <c r="H65" s="5">
        <f>IF($I2="","",INDEX(Productos!$AG:$AG,$I2))</f>
        <v/>
      </c>
      <c r="I65" s="136">
        <f>LET(_xlpm.r,Productos!$E$2:$E$41,_xlpm.m,IFERROR(_xlfn.XMATCH(C65,_xlpm.r),IFERROR(_xlfn.XMATCH(VALUE(C65),_xlpm.r),0)),IF(_xlpm.m=0,"",_xlpm.m+1))</f>
        <v/>
      </c>
      <c r="J65" s="137" t="inlineStr">
        <is>
          <t>Shopify</t>
        </is>
      </c>
    </row>
    <row r="66">
      <c r="A66" s="5" t="inlineStr">
        <is>
          <t>Shopify Stetson México › Stetson Americas</t>
        </is>
      </c>
      <c r="B66" s="5">
        <f>IF($I2="","",INDEX(Productos!$A:$A,$I2))</f>
        <v/>
      </c>
      <c r="C66" s="134" t="inlineStr">
        <is>
          <t>WL-PIN19-UNI</t>
        </is>
      </c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2</v>
      </c>
      <c r="H66" s="5">
        <f>IF($I2="","",INDEX(Productos!$AG:$AG,$I2))</f>
        <v/>
      </c>
      <c r="I66" s="136">
        <f>LET(_xlpm.r,Productos!$E$2:$E$41,_xlpm.m,IFERROR(_xlfn.XMATCH(C66,_xlpm.r),IFERROR(_xlfn.XMATCH(VALUE(C66),_xlpm.r),0)),IF(_xlpm.m=0,"",_xlpm.m+1))</f>
        <v/>
      </c>
      <c r="J66" s="137" t="inlineStr">
        <is>
          <t>Shopify</t>
        </is>
      </c>
    </row>
    <row r="67">
      <c r="A67" s="5" t="inlineStr">
        <is>
          <t>Shopify Stetson México › Stetson Americas</t>
        </is>
      </c>
      <c r="B67" s="5">
        <f>IF($I2="","",INDEX(Productos!$A:$A,$I2))</f>
        <v/>
      </c>
      <c r="C67" s="134" t="inlineStr">
        <is>
          <t>WL-PIN23-UNI</t>
        </is>
      </c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1</v>
      </c>
      <c r="H67" s="5">
        <f>IF($I2="","",INDEX(Productos!$AG:$AG,$I2))</f>
        <v/>
      </c>
      <c r="I67" s="136">
        <f>LET(_xlpm.r,Productos!$E$2:$E$41,_xlpm.m,IFERROR(_xlfn.XMATCH(C67,_xlpm.r),IFERROR(_xlfn.XMATCH(VALUE(C67),_xlpm.r),0)),IF(_xlpm.m=0,"",_xlpm.m+1))</f>
        <v/>
      </c>
      <c r="J67" s="137" t="inlineStr">
        <is>
          <t>Shopify</t>
        </is>
      </c>
    </row>
    <row r="68">
      <c r="A68" s="5" t="inlineStr">
        <is>
          <t>Shopify Stetson México › Stetson Americas</t>
        </is>
      </c>
      <c r="B68" s="5">
        <f>IF($I2="","",INDEX(Productos!$A:$A,$I2))</f>
        <v/>
      </c>
      <c r="C68" s="134" t="inlineStr">
        <is>
          <t>WLHB-ARIK-UNI</t>
        </is>
      </c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3</v>
      </c>
      <c r="H68" s="5">
        <f>IF($I2="","",INDEX(Productos!$AG:$AG,$I2))</f>
        <v/>
      </c>
      <c r="I68" s="136">
        <f>LET(_xlpm.r,Productos!$E$2:$E$41,_xlpm.m,IFERROR(_xlfn.XMATCH(C68,_xlpm.r),IFERROR(_xlfn.XMATCH(VALUE(C68),_xlpm.r),0)),IF(_xlpm.m=0,"",_xlpm.m+1))</f>
        <v/>
      </c>
      <c r="J68" s="137" t="inlineStr">
        <is>
          <t>Shopify</t>
        </is>
      </c>
    </row>
    <row r="69">
      <c r="A69" s="5" t="inlineStr">
        <is>
          <t>Shopify Stetson México › Stetson Americas</t>
        </is>
      </c>
      <c r="B69" s="5">
        <f>IF($I2="","",INDEX(Productos!$A:$A,$I2))</f>
        <v/>
      </c>
      <c r="C69" s="134" t="inlineStr">
        <is>
          <t>WLHB-BEAU-UNI</t>
        </is>
      </c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3</v>
      </c>
      <c r="H69" s="5">
        <f>IF($I2="","",INDEX(Productos!$AG:$AG,$I2))</f>
        <v/>
      </c>
      <c r="I69" s="136">
        <f>LET(_xlpm.r,Productos!$E$2:$E$41,_xlpm.m,IFERROR(_xlfn.XMATCH(C69,_xlpm.r),IFERROR(_xlfn.XMATCH(VALUE(C69),_xlpm.r),0)),IF(_xlpm.m=0,"",_xlpm.m+1))</f>
        <v/>
      </c>
      <c r="J69" s="137" t="inlineStr">
        <is>
          <t>Shopify</t>
        </is>
      </c>
    </row>
    <row r="70">
      <c r="A70" s="5" t="inlineStr">
        <is>
          <t>Shopify Stetson México › Stetson Americas</t>
        </is>
      </c>
      <c r="B70" s="5">
        <f>IF($I2="","",INDEX(Productos!$A:$A,$I2))</f>
        <v/>
      </c>
      <c r="C70" s="134" t="inlineStr">
        <is>
          <t>WLHB-DOVE-UNI</t>
        </is>
      </c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3</v>
      </c>
      <c r="H70" s="5">
        <f>IF($I2="","",INDEX(Productos!$AG:$AG,$I2))</f>
        <v/>
      </c>
      <c r="I70" s="136">
        <f>LET(_xlpm.r,Productos!$E$2:$E$41,_xlpm.m,IFERROR(_xlfn.XMATCH(C70,_xlpm.r),IFERROR(_xlfn.XMATCH(VALUE(C70),_xlpm.r),0)),IF(_xlpm.m=0,"",_xlpm.m+1))</f>
        <v/>
      </c>
      <c r="J70" s="137" t="inlineStr">
        <is>
          <t>Shopify</t>
        </is>
      </c>
    </row>
    <row r="71">
      <c r="A71" s="5" t="inlineStr">
        <is>
          <t>Shopify Stetson México › Stetson Americas</t>
        </is>
      </c>
      <c r="B71" s="5">
        <f>IF($I2="","",INDEX(Productos!$A:$A,$I2))</f>
        <v/>
      </c>
      <c r="C71" s="134" t="inlineStr">
        <is>
          <t>WLHB-MOAB-UNI</t>
        </is>
      </c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3</v>
      </c>
      <c r="H71" s="5">
        <f>IF($I2="","",INDEX(Productos!$AG:$AG,$I2))</f>
        <v/>
      </c>
      <c r="I71" s="136">
        <f>LET(_xlpm.r,Productos!$E$2:$E$41,_xlpm.m,IFERROR(_xlfn.XMATCH(C71,_xlpm.r),IFERROR(_xlfn.XMATCH(VALUE(C71),_xlpm.r),0)),IF(_xlpm.m=0,"",_xlpm.m+1))</f>
        <v/>
      </c>
      <c r="J71" s="137" t="inlineStr">
        <is>
          <t>Shopify</t>
        </is>
      </c>
    </row>
    <row r="72">
      <c r="A72" s="5" t="inlineStr">
        <is>
          <t>Shopify Stetson México › Stetson Americas</t>
        </is>
      </c>
      <c r="B72" s="5">
        <f>IF($I2="","",INDEX(Productos!$A:$A,$I2))</f>
        <v/>
      </c>
      <c r="C72" s="134" t="inlineStr">
        <is>
          <t>WLHB-SNRA-UNI</t>
        </is>
      </c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3</v>
      </c>
      <c r="H72" s="5">
        <f>IF($I2="","",INDEX(Productos!$AG:$AG,$I2))</f>
        <v/>
      </c>
      <c r="I72" s="136">
        <f>LET(_xlpm.r,Productos!$E$2:$E$41,_xlpm.m,IFERROR(_xlfn.XMATCH(C72,_xlpm.r),IFERROR(_xlfn.XMATCH(VALUE(C72),_xlpm.r),0)),IF(_xlpm.m=0,"",_xlpm.m+1))</f>
        <v/>
      </c>
      <c r="J72" s="137" t="inlineStr">
        <is>
          <t>Shopify</t>
        </is>
      </c>
    </row>
    <row r="73">
      <c r="A73" s="5" t="inlineStr">
        <is>
          <t>Shopify Stetson México › Stetson Americas</t>
        </is>
      </c>
      <c r="B73" s="5">
        <f>IF($I2="","",INDEX(Productos!$A:$A,$I2))</f>
        <v/>
      </c>
      <c r="C73" s="134" t="inlineStr">
        <is>
          <t>WLHB-WCRST-UNI</t>
        </is>
      </c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3</v>
      </c>
      <c r="H73" s="5">
        <f>IF($I2="","",INDEX(Productos!$AG:$AG,$I2))</f>
        <v/>
      </c>
      <c r="I73" s="136">
        <f>LET(_xlpm.r,Productos!$E$2:$E$41,_xlpm.m,IFERROR(_xlfn.XMATCH(C73,_xlpm.r),IFERROR(_xlfn.XMATCH(VALUE(C73),_xlpm.r),0)),IF(_xlpm.m=0,"",_xlpm.m+1))</f>
        <v/>
      </c>
      <c r="J73" s="137" t="inlineStr">
        <is>
          <t>Shopify</t>
        </is>
      </c>
    </row>
    <row r="74">
      <c r="A74" s="5" t="inlineStr">
        <is>
          <t>Shopify Stetson México › Stetson Americas</t>
        </is>
      </c>
      <c r="B74" s="5">
        <f>IF($I2="","",INDEX(Productos!$A:$A,$I2))</f>
        <v/>
      </c>
      <c r="C74" s="134" t="inlineStr">
        <is>
          <t>WLHB-WLLW-UNI</t>
        </is>
      </c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3</v>
      </c>
      <c r="H74" s="5">
        <f>IF($I2="","",INDEX(Productos!$AG:$AG,$I2))</f>
        <v/>
      </c>
      <c r="I74" s="136">
        <f>LET(_xlpm.r,Productos!$E$2:$E$41,_xlpm.m,IFERROR(_xlfn.XMATCH(C74,_xlpm.r),IFERROR(_xlfn.XMATCH(VALUE(C74),_xlpm.r),0)),IF(_xlpm.m=0,"",_xlpm.m+1))</f>
        <v/>
      </c>
      <c r="J74" s="137" t="inlineStr">
        <is>
          <t>Shopify</t>
        </is>
      </c>
    </row>
    <row r="75">
      <c r="A75" s="5" t="inlineStr">
        <is>
          <t>Shopify Stetson México › Stetson Americas</t>
        </is>
      </c>
      <c r="B75" s="5">
        <f>IF($I2="","",INDEX(Productos!$A:$A,$I2))</f>
        <v/>
      </c>
      <c r="C75" s="134" t="inlineStr">
        <is>
          <t>WLHF-CHY-UNI</t>
        </is>
      </c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3</v>
      </c>
      <c r="H75" s="5">
        <f>IF($I2="","",INDEX(Productos!$AG:$AG,$I2))</f>
        <v/>
      </c>
      <c r="I75" s="136">
        <f>LET(_xlpm.r,Productos!$E$2:$E$41,_xlpm.m,IFERROR(_xlfn.XMATCH(C75,_xlpm.r),IFERROR(_xlfn.XMATCH(VALUE(C75),_xlpm.r),0)),IF(_xlpm.m=0,"",_xlpm.m+1))</f>
        <v/>
      </c>
      <c r="J75" s="137" t="inlineStr">
        <is>
          <t>Shopify</t>
        </is>
      </c>
    </row>
    <row r="76">
      <c r="A76" s="5" t="inlineStr">
        <is>
          <t>Shopify Stetson México › Stetson Americas</t>
        </is>
      </c>
      <c r="B76" s="5">
        <f>IF($I2="","",INDEX(Productos!$A:$A,$I2))</f>
        <v/>
      </c>
      <c r="C76" s="134" t="inlineStr">
        <is>
          <t>WLHF-LAUR-UNI</t>
        </is>
      </c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3</v>
      </c>
      <c r="H76" s="5">
        <f>IF($I2="","",INDEX(Productos!$AG:$AG,$I2))</f>
        <v/>
      </c>
      <c r="I76" s="136">
        <f>LET(_xlpm.r,Productos!$E$2:$E$41,_xlpm.m,IFERROR(_xlfn.XMATCH(C76,_xlpm.r),IFERROR(_xlfn.XMATCH(VALUE(C76),_xlpm.r),0)),IF(_xlpm.m=0,"",_xlpm.m+1))</f>
        <v/>
      </c>
      <c r="J76" s="137" t="inlineStr">
        <is>
          <t>Shopify</t>
        </is>
      </c>
    </row>
    <row r="77">
      <c r="A77" s="5" t="inlineStr">
        <is>
          <t>Shopify Stetson México › Stetson Americas</t>
        </is>
      </c>
      <c r="B77" s="5">
        <f>IF($I2="","",INDEX(Productos!$A:$A,$I2))</f>
        <v/>
      </c>
      <c r="C77" s="134" t="inlineStr">
        <is>
          <t>WLHF-RSC-UNI</t>
        </is>
      </c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2</v>
      </c>
      <c r="H77" s="5">
        <f>IF($I2="","",INDEX(Productos!$AG:$AG,$I2))</f>
        <v/>
      </c>
      <c r="I77" s="136">
        <f>LET(_xlpm.r,Productos!$E$2:$E$41,_xlpm.m,IFERROR(_xlfn.XMATCH(C77,_xlpm.r),IFERROR(_xlfn.XMATCH(VALUE(C77),_xlpm.r),0)),IF(_xlpm.m=0,"",_xlpm.m+1))</f>
        <v/>
      </c>
      <c r="J77" s="137" t="inlineStr">
        <is>
          <t>Shopify</t>
        </is>
      </c>
    </row>
    <row r="78">
      <c r="A78" s="5" t="inlineStr">
        <is>
          <t>Shopify Stetson México › Stetson Americas</t>
        </is>
      </c>
      <c r="B78" s="5">
        <f>IF($I2="","",INDEX(Productos!$A:$A,$I2))</f>
        <v/>
      </c>
      <c r="C78" s="134" t="inlineStr">
        <is>
          <t>WLHF-SHGRL-UNI</t>
        </is>
      </c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3</v>
      </c>
      <c r="H78" s="5">
        <f>IF($I2="","",INDEX(Productos!$AG:$AG,$I2))</f>
        <v/>
      </c>
      <c r="I78" s="136">
        <f>LET(_xlpm.r,Productos!$E$2:$E$41,_xlpm.m,IFERROR(_xlfn.XMATCH(C78,_xlpm.r),IFERROR(_xlfn.XMATCH(VALUE(C78),_xlpm.r),0)),IF(_xlpm.m=0,"",_xlpm.m+1))</f>
        <v/>
      </c>
      <c r="J78" s="137" t="inlineStr">
        <is>
          <t>Shopify</t>
        </is>
      </c>
    </row>
    <row r="79">
      <c r="A79" s="5" t="inlineStr">
        <is>
          <t>Shopify Stetson México › Stetson Americas</t>
        </is>
      </c>
      <c r="B79" s="5">
        <f>IF($I2="","",INDEX(Productos!$A:$A,$I2))</f>
        <v/>
      </c>
      <c r="C79" s="134" t="inlineStr">
        <is>
          <t>WLHF-STRN-UNI</t>
        </is>
      </c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1</v>
      </c>
      <c r="H79" s="5">
        <f>IF($I2="","",INDEX(Productos!$AG:$AG,$I2))</f>
        <v/>
      </c>
      <c r="I79" s="136">
        <f>LET(_xlpm.r,Productos!$E$2:$E$41,_xlpm.m,IFERROR(_xlfn.XMATCH(C79,_xlpm.r),IFERROR(_xlfn.XMATCH(VALUE(C79),_xlpm.r),0)),IF(_xlpm.m=0,"",_xlpm.m+1))</f>
        <v/>
      </c>
      <c r="J79" s="137" t="inlineStr">
        <is>
          <t>Shopify</t>
        </is>
      </c>
    </row>
  </sheetData>
  <autoFilter ref="A1:J79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IF(ISNUMBER(I6),SUM(I6:I585),0)</f>
        <v/>
      </c>
      <c r="F3" s="145" t="inlineStr">
        <is>
          <t>Renglones:</t>
        </is>
      </c>
      <c r="G3" s="144">
        <f>IF(ISNUMBER(I6),COUNT(I6:I585),0)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43"",""""))))),pE,Productos!$E$2:$E$41,pA,Productos!$A$2:$A$41&amp;"""",s,'Stock por Ubicación'!$A$2:$J$79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$41,""""),sk,XLOOKUP(sk,pE,Produc"&amp;"tos!$B$2:$B$2502,""""),XLOOKUP(sk,pE,Productos!$H$2:$H$41,""""),XLOOKUP(sk,pE,Productos!$I$2:$I$41,""""),pz),IFERROR(FILTER(rw,pz&gt;0),""""))),todo,IF(INDEX(a,1,1)="""",b,IF(INDEX(b,1,1)="""",a,VSTACK(a,b))),IF(INDEX(todo,1,1)="""",""Sin existencias en "&amp;"esta bodega"",LET(tl,XLOOKUP(INDEX(todo,0,4),pE,Productos!$F$2:$F$41,"""")&amp;"""",o,HSTACK(CHOOSECOLS(todo,1,2,3,4,5,6,7),tl,CHOOSECOLS(todo,8)),x,SORT(o,1,TRUE,4,TRUE),IF(x="""","""",x)))))"),"B25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IF(ISNUMBER(I6),SUM(I6:I585),0)</f>
        <v/>
      </c>
      <c r="F3" s="145" t="inlineStr">
        <is>
          <t>Renglones:</t>
        </is>
      </c>
      <c r="G3" s="144">
        <f>IF(ISNUMBER(I6),COUNT(I6:I585),0)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43"",""""))))),pE,Productos!$E$2:$E$41,s,'Stock por Ubicación'!$A$2:$J$79,su,INDEX(s,0,1),sq,INDEX(s,0,7),selSis,(su&lt;&gt;"""")*ISNUMBER(sq)*(sq&gt;0)*(asig(su)=bod)&gt;0,a,IFERROR(FILTER(CHOOSECOLS(s,1,10,2,3,4,5,6,7),sel"&amp;"Sis),""""),tu,Table_2[Ubicación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$41,""""),sk,XLOOKUP(sk,pE,Productos!$B$2:$B$41"&amp;"02,""""),XLOOKUP(sk,pE,Productos!$H$2:$H$41,""""),XLOOKUP(sk,pE,Productos!$I$2:$I$41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$41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2026-10-06T16:33:40Z</dcterms:modified>
</cp:coreProperties>
</file>