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4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scaneo Diario" sheetId="1" state="visible" r:id="rId1"/>
    <sheet xmlns:r="http://schemas.openxmlformats.org/officeDocument/2006/relationships" name="Historial de Escaneos" sheetId="2" state="visible" r:id="rId2"/>
    <sheet xmlns:r="http://schemas.openxmlformats.org/officeDocument/2006/relationships" name="Escaneos" sheetId="3" state="visible" r:id="rId3"/>
    <sheet xmlns:r="http://schemas.openxmlformats.org/officeDocument/2006/relationships" name="Configuración" sheetId="4" state="visible" r:id="rId4"/>
    <sheet xmlns:r="http://schemas.openxmlformats.org/officeDocument/2006/relationships" name="Productos" sheetId="5" state="visible" r:id="rId5"/>
    <sheet xmlns:r="http://schemas.openxmlformats.org/officeDocument/2006/relationships" name="Productos_Resumen" sheetId="6" state="visible" r:id="rId6"/>
    <sheet xmlns:r="http://schemas.openxmlformats.org/officeDocument/2006/relationships" name="Criterios" sheetId="7" state="visible" r:id="rId7"/>
    <sheet xmlns:r="http://schemas.openxmlformats.org/officeDocument/2006/relationships" name="Revisión Duplicados" sheetId="8" state="visible" r:id="rId8"/>
    <sheet xmlns:r="http://schemas.openxmlformats.org/officeDocument/2006/relationships" name="Stock por Ubicación" sheetId="9" state="visible" r:id="rId9"/>
    <sheet xmlns:r="http://schemas.openxmlformats.org/officeDocument/2006/relationships" name="Bodega 25" sheetId="10" state="visible" r:id="rId10"/>
    <sheet xmlns:r="http://schemas.openxmlformats.org/officeDocument/2006/relationships" name="Bodega 43" sheetId="11" state="visible" r:id="rId11"/>
    <sheet xmlns:r="http://schemas.openxmlformats.org/officeDocument/2006/relationships" name="Resumen Integración" sheetId="12" state="visible" r:id="rId12"/>
    <sheet xmlns:r="http://schemas.openxmlformats.org/officeDocument/2006/relationships" name="Inventario" sheetId="13" state="visible" r:id="rId13"/>
    <sheet xmlns:r="http://schemas.openxmlformats.org/officeDocument/2006/relationships" name="KPIs Inventario" sheetId="14" state="visible" r:id="rId14"/>
  </sheets>
  <definedNames>
    <definedName name="_xlnm._FilterDatabase" localSheetId="4" hidden="1">'Productos'!$A$1:$AR$41</definedName>
    <definedName name="_xlnm._FilterDatabase" localSheetId="7" hidden="1">'Revisión Duplicados'!$A$1:$AU$2</definedName>
    <definedName name="_xlnm._FilterDatabase" localSheetId="8" hidden="1">'Stock por Ubicación'!$A$1:$J$78</definedName>
    <definedName name="_xlnm._FilterDatabase" localSheetId="12" hidden="1">'Inventario'!$A$1:$AE$40</definedName>
  </definedNames>
  <calcPr calcId="124519" fullCalcOnLoad="1"/>
</workbook>
</file>

<file path=xl/styles.xml><?xml version="1.0" encoding="utf-8"?>
<styleSheet xmlns="http://schemas.openxmlformats.org/spreadsheetml/2006/main">
  <numFmts count="9">
    <numFmt numFmtId="164" formatCode="yyyy\-mm\-dd"/>
    <numFmt numFmtId="165" formatCode="yyyy\-mm\-dd\ hh:mm"/>
    <numFmt numFmtId="166" formatCode="yyyy\-mm\-dd\ h:mm"/>
    <numFmt numFmtId="167" formatCode="yyyy\-mm\-dd\ h:mm:ss"/>
    <numFmt numFmtId="168" formatCode="\$#,##0.00"/>
    <numFmt numFmtId="169" formatCode="&quot;$&quot;#,##0.00"/>
    <numFmt numFmtId="170" formatCode="#,##0;\(#,##0\);&quot;-&quot;"/>
    <numFmt numFmtId="171" formatCode="#,##0;\(#,##0\);\-"/>
    <numFmt numFmtId="172" formatCode="0.0%"/>
  </numFmts>
  <fonts count="43">
    <font>
      <name val="Arial"/>
      <color rgb="FF000000"/>
      <sz val="10"/>
      <scheme val="minor"/>
    </font>
    <font>
      <name val="Arial"/>
      <b val="1"/>
      <color rgb="FFFFFFFF"/>
      <sz val="12"/>
    </font>
    <font/>
    <font>
      <name val="Arial"/>
      <i val="1"/>
      <color rgb="FF495468"/>
      <sz val="9"/>
    </font>
    <font>
      <name val="Arial"/>
      <color rgb="FF000000"/>
      <sz val="10"/>
    </font>
    <font>
      <name val="Arial"/>
      <b val="1"/>
      <color rgb="FFFFFFFF"/>
      <sz val="10"/>
    </font>
    <font>
      <name val="Google Sans"/>
      <color theme="1"/>
      <sz val="9"/>
    </font>
    <font>
      <name val="Arial"/>
      <color theme="1"/>
      <sz val="9"/>
    </font>
    <font>
      <name val="Arial"/>
      <b val="1"/>
      <color rgb="FF1D3556"/>
      <sz val="9"/>
    </font>
    <font>
      <name val="Arial"/>
      <b val="1"/>
      <color rgb="FF141E33"/>
      <sz val="15"/>
    </font>
    <font>
      <name val="Arial"/>
      <b val="1"/>
      <color rgb="FF141E33"/>
      <sz val="13"/>
    </font>
    <font>
      <name val="Google Sans"/>
      <color theme="1"/>
      <sz val="10"/>
    </font>
    <font>
      <name val="Arial"/>
      <i val="1"/>
      <color rgb="FF63728C"/>
      <sz val="8"/>
    </font>
    <font>
      <name val="Arial"/>
      <color theme="1"/>
      <sz val="10"/>
    </font>
    <font>
      <name val="Arial"/>
      <b val="1"/>
      <color rgb="FFFFFFFF"/>
      <sz val="10"/>
      <u val="single"/>
    </font>
    <font>
      <name val="Arial"/>
      <color theme="1"/>
      <scheme val="minor"/>
    </font>
    <font>
      <name val="Arial"/>
      <color rgb="FF0000FF"/>
      <sz val="10"/>
      <u val="single"/>
    </font>
    <font>
      <name val="Arial"/>
      <b val="1"/>
      <color rgb="FFFFFFFF"/>
      <sz val="16"/>
    </font>
    <font>
      <name val="Arial"/>
      <i val="1"/>
      <color rgb="FF244677"/>
      <sz val="10"/>
    </font>
    <font>
      <name val="Arial"/>
      <color rgb="FF191C21"/>
      <sz val="10"/>
    </font>
    <font>
      <name val="Arial"/>
      <i val="1"/>
      <color rgb="FF4A5A75"/>
      <sz val="9"/>
    </font>
    <font>
      <name val="Arial"/>
      <b val="1"/>
      <color rgb="FFFFFFFF"/>
      <sz val="11"/>
    </font>
    <font>
      <name val="Arial"/>
      <b val="1"/>
      <color rgb="FF1A365D"/>
      <sz val="10"/>
    </font>
    <font>
      <name val="Arial"/>
      <color rgb="FF1F4E9E"/>
      <sz val="10"/>
      <u val="single"/>
    </font>
    <font>
      <name val="Arial"/>
      <b val="1"/>
      <color rgb="FF191C21"/>
      <sz val="10"/>
    </font>
    <font>
      <name val="Arial"/>
      <color rgb="FF0000FF"/>
      <sz val="10"/>
      <u val="single"/>
    </font>
    <font>
      <name val="Arial"/>
      <color rgb="FF0000FF"/>
      <sz val="10"/>
    </font>
    <font>
      <name val="Arial"/>
      <color rgb="FFD9E2FF"/>
      <sz val="9"/>
      <u val="single"/>
    </font>
    <font>
      <name val="Arial"/>
      <i val="1"/>
      <color rgb="FF4A5A75"/>
      <sz val="10"/>
    </font>
    <font>
      <name val="Arial"/>
      <i val="1"/>
      <color rgb="FFFFFFFF"/>
      <sz val="10"/>
    </font>
    <font>
      <name val="Arial"/>
      <color rgb="FF0000FF"/>
      <sz val="10"/>
      <u val="single"/>
    </font>
    <font>
      <name val="Arial"/>
      <b val="1"/>
      <color rgb="FF1D3556"/>
      <sz val="14"/>
    </font>
    <font>
      <name val="Arial"/>
      <i val="1"/>
      <color rgb="FF595959"/>
      <sz val="10"/>
    </font>
    <font>
      <name val="Arial"/>
      <b val="1"/>
      <color rgb="FF000000"/>
      <sz val="10"/>
    </font>
    <font>
      <name val="Arial"/>
      <color rgb="FF000000"/>
      <sz val="11"/>
    </font>
    <font>
      <name val="Arial"/>
      <b val="1"/>
      <color rgb="FF000000"/>
      <sz val="11"/>
    </font>
    <font>
      <name val="Arial"/>
      <color rgb="FF252525"/>
      <sz val="10"/>
    </font>
    <font>
      <name val="Arial"/>
      <color rgb="FF252525"/>
      <sz val="10"/>
      <u val="single"/>
    </font>
    <font>
      <name val="Arial"/>
      <color rgb="FF252525"/>
      <sz val="10"/>
      <u val="single"/>
    </font>
    <font>
      <name val="Arial"/>
      <color rgb="FF252525"/>
      <sz val="10"/>
      <u val="single"/>
    </font>
    <font>
      <b val="1"/>
      <color rgb="00FFFFFF"/>
    </font>
    <font>
      <b val="1"/>
      <sz val="14"/>
    </font>
    <font>
      <b val="1"/>
    </font>
  </fonts>
  <fills count="23">
    <fill>
      <patternFill/>
    </fill>
    <fill>
      <patternFill patternType="lightGray"/>
    </fill>
    <fill>
      <patternFill patternType="solid">
        <fgColor rgb="FF1D3556"/>
        <bgColor rgb="FF1D3556"/>
      </patternFill>
    </fill>
    <fill>
      <patternFill patternType="solid">
        <fgColor rgb="FFEFF4F9"/>
        <bgColor rgb="FFEFF4F9"/>
      </patternFill>
    </fill>
    <fill>
      <patternFill patternType="solid">
        <fgColor rgb="FF2A4D7C"/>
        <bgColor rgb="FF2A4D7C"/>
      </patternFill>
    </fill>
    <fill>
      <patternFill patternType="solid">
        <fgColor rgb="FFE2EAF4"/>
        <bgColor rgb="FFE2EAF4"/>
      </patternFill>
    </fill>
    <fill>
      <patternFill patternType="solid">
        <fgColor rgb="FFF4F7FC"/>
        <bgColor rgb="FFF4F7FC"/>
      </patternFill>
    </fill>
    <fill>
      <patternFill patternType="solid">
        <fgColor rgb="FFFFFFFF"/>
        <bgColor rgb="FFFFFFFF"/>
      </patternFill>
    </fill>
    <fill>
      <patternFill patternType="solid">
        <fgColor rgb="FFF5F8FC"/>
        <bgColor rgb="FFF5F8FC"/>
      </patternFill>
    </fill>
    <fill>
      <patternFill patternType="solid">
        <fgColor rgb="FF1A365D"/>
        <bgColor rgb="FF1A365D"/>
      </patternFill>
    </fill>
    <fill>
      <patternFill patternType="solid">
        <fgColor rgb="FFD9E2FF"/>
        <bgColor rgb="FFD9E2FF"/>
      </patternFill>
    </fill>
    <fill>
      <patternFill patternType="solid">
        <fgColor rgb="FFEDF2F9"/>
        <bgColor rgb="FFEDF2F9"/>
      </patternFill>
    </fill>
    <fill>
      <patternFill patternType="solid">
        <fgColor rgb="FF3E5F90"/>
        <bgColor rgb="FF3E5F90"/>
      </patternFill>
    </fill>
    <fill>
      <patternFill patternType="solid">
        <fgColor rgb="FF5B6B82"/>
        <bgColor rgb="FF5B6B82"/>
      </patternFill>
    </fill>
    <fill>
      <patternFill patternType="solid">
        <fgColor rgb="FFFFFF00"/>
        <bgColor rgb="FFFFFF00"/>
      </patternFill>
    </fill>
    <fill>
      <patternFill patternType="solid">
        <fgColor rgb="FFE6F4EA"/>
        <bgColor rgb="FFE6F4EA"/>
      </patternFill>
    </fill>
    <fill>
      <patternFill patternType="solid">
        <fgColor rgb="FFFDECEA"/>
        <bgColor rgb="FFFDECEA"/>
      </patternFill>
    </fill>
    <fill>
      <patternFill patternType="solid">
        <fgColor rgb="FFFFF4E5"/>
        <bgColor rgb="FFFFF4E5"/>
      </patternFill>
    </fill>
    <fill>
      <patternFill patternType="solid">
        <fgColor rgb="FFF1F3F4"/>
        <bgColor rgb="FFF1F3F4"/>
      </patternFill>
    </fill>
    <fill>
      <patternFill patternType="solid">
        <fgColor rgb="FFC0E6F5"/>
        <bgColor rgb="FFC0E6F5"/>
      </patternFill>
    </fill>
    <fill>
      <patternFill patternType="solid">
        <fgColor rgb="FFFFF2CC"/>
        <bgColor rgb="FFFFF2CC"/>
      </patternFill>
    </fill>
    <fill>
      <patternFill patternType="solid">
        <fgColor rgb="001F3864"/>
      </patternFill>
    </fill>
    <fill>
      <patternFill patternType="solid">
        <fgColor rgb="00D9E1F2"/>
      </patternFill>
    </fill>
  </fills>
  <borders count="20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D8E0EA"/>
      </left>
      <right style="thin">
        <color rgb="FFD8E0EA"/>
      </right>
      <top style="thin">
        <color rgb="FFD8E0EA"/>
      </top>
      <bottom style="thin">
        <color rgb="FFD8E0EA"/>
      </bottom>
    </border>
    <border>
      <left style="thin">
        <color rgb="FFCCD6E5"/>
      </left>
      <right style="thin">
        <color rgb="FFCCD6E5"/>
      </right>
      <top style="thin">
        <color rgb="FFCCD6E5"/>
      </top>
      <bottom style="thin">
        <color rgb="FFE0E8F2"/>
      </bottom>
    </border>
    <border>
      <left style="thin">
        <color rgb="FFCCD6E5"/>
      </left>
      <right style="thin">
        <color rgb="FFCCD6E5"/>
      </right>
      <top style="thin">
        <color rgb="FFE0E8F2"/>
      </top>
      <bottom style="thin">
        <color rgb="FFE0E8F2"/>
      </bottom>
    </border>
    <border>
      <left style="thin">
        <color rgb="FFCCD6E5"/>
      </left>
      <right style="thin">
        <color rgb="FFCCD6E5"/>
      </right>
      <top style="thin">
        <color rgb="FFE0E8F2"/>
      </top>
      <bottom style="thin">
        <color rgb="FFCCD6E5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9D3E3"/>
      </left>
      <right style="thin">
        <color rgb="FFC9D3E3"/>
      </right>
      <top style="thin">
        <color rgb="FFC9D3E3"/>
      </top>
      <bottom style="thin">
        <color rgb="FFC9D3E3"/>
      </bottom>
    </border>
    <border>
      <left style="thin">
        <color rgb="FFC9D3E3"/>
      </left>
      <top style="thin">
        <color rgb="FFC9D3E3"/>
      </top>
      <bottom style="thin">
        <color rgb="FFC9D3E3"/>
      </bottom>
    </border>
    <border>
      <top style="thin">
        <color rgb="FFC9D3E3"/>
      </top>
      <bottom style="thin">
        <color rgb="FFC9D3E3"/>
      </bottom>
    </border>
    <border>
      <right style="thin">
        <color rgb="FFC9D3E3"/>
      </right>
      <top style="thin">
        <color rgb="FFC9D3E3"/>
      </top>
      <bottom style="thin">
        <color rgb="FFC9D3E3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 style="thin">
        <color rgb="FF44B3E1"/>
      </top>
      <bottom style="thin">
        <color rgb="FF44B3E1"/>
      </bottom>
    </border>
    <border>
      <left style="thin">
        <color rgb="FF44B3E1"/>
      </left>
      <right/>
      <top style="thin">
        <color rgb="FF44B3E1"/>
      </top>
      <bottom style="thin">
        <color rgb="FF44B3E1"/>
      </bottom>
    </border>
    <border>
      <left/>
      <right style="thin">
        <color rgb="FF44B3E1"/>
      </right>
      <top style="thin">
        <color rgb="FF44B3E1"/>
      </top>
      <bottom style="thin">
        <color rgb="FF44B3E1"/>
      </bottom>
    </border>
    <border>
      <top style="thin">
        <color rgb="FFC9D3E3"/>
      </top>
    </border>
    <border>
      <right style="thin">
        <color rgb="FFC9D3E3"/>
      </right>
      <top style="thin">
        <color rgb="FFC9D3E3"/>
      </top>
    </border>
  </borders>
  <cellStyleXfs count="1">
    <xf numFmtId="0" fontId="0" fillId="0" borderId="0"/>
  </cellStyleXfs>
  <cellXfs count="194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3" fillId="3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4" borderId="4" applyAlignment="1" pivotButton="0" quotePrefix="0" xfId="0">
      <alignment horizontal="center" vertical="center"/>
    </xf>
    <xf numFmtId="0" fontId="5" fillId="4" borderId="4" applyAlignment="1" pivotButton="0" quotePrefix="0" xfId="0">
      <alignment horizontal="center" vertical="center" wrapText="1"/>
    </xf>
    <xf numFmtId="164" fontId="6" fillId="0" borderId="5" applyAlignment="1" pivotButton="0" quotePrefix="0" xfId="0">
      <alignment horizontal="center" vertical="center"/>
    </xf>
    <xf numFmtId="21" fontId="6" fillId="0" borderId="5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6" fillId="0" borderId="5" applyAlignment="1" pivotButton="0" quotePrefix="0" xfId="0">
      <alignment vertical="center"/>
    </xf>
    <xf numFmtId="0" fontId="7" fillId="0" borderId="5" applyAlignment="1" pivotButton="0" quotePrefix="0" xfId="0">
      <alignment vertical="center"/>
    </xf>
    <xf numFmtId="0" fontId="8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5" fillId="2" borderId="4" applyAlignment="1" pivotButton="0" quotePrefix="0" xfId="0">
      <alignment horizontal="center" vertical="center" wrapText="1"/>
    </xf>
    <xf numFmtId="0" fontId="8" fillId="5" borderId="4" applyAlignment="1" pivotButton="0" quotePrefix="0" xfId="0">
      <alignment horizontal="center" vertical="center"/>
    </xf>
    <xf numFmtId="0" fontId="8" fillId="5" borderId="6" applyAlignment="1" pivotButton="0" quotePrefix="0" xfId="0">
      <alignment horizontal="center" vertical="center"/>
    </xf>
    <xf numFmtId="3" fontId="6" fillId="0" borderId="5" applyAlignment="1" pivotButton="0" quotePrefix="0" xfId="0">
      <alignment horizontal="right" vertical="center"/>
    </xf>
    <xf numFmtId="164" fontId="9" fillId="6" borderId="1" applyAlignment="1" pivotButton="0" quotePrefix="0" xfId="0">
      <alignment horizontal="center" vertical="center"/>
    </xf>
    <xf numFmtId="0" fontId="6" fillId="0" borderId="5" applyAlignment="1" pivotButton="0" quotePrefix="0" xfId="0">
      <alignment horizontal="left" vertical="center" wrapText="1"/>
    </xf>
    <xf numFmtId="3" fontId="9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3" fontId="9" fillId="6" borderId="4" applyAlignment="1" pivotButton="0" quotePrefix="0" xfId="0">
      <alignment horizontal="center" vertical="center"/>
    </xf>
    <xf numFmtId="0" fontId="10" fillId="6" borderId="7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165" fontId="11" fillId="0" borderId="0" applyAlignment="1" pivotButton="0" quotePrefix="0" xfId="0">
      <alignment horizontal="center" vertical="center"/>
    </xf>
    <xf numFmtId="0" fontId="12" fillId="6" borderId="4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/>
    </xf>
    <xf numFmtId="0" fontId="12" fillId="6" borderId="8" applyAlignment="1" pivotButton="0" quotePrefix="0" xfId="0">
      <alignment horizontal="center" vertical="center"/>
    </xf>
    <xf numFmtId="49" fontId="11" fillId="0" borderId="0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49" fontId="6" fillId="0" borderId="5" applyAlignment="1" pivotButton="0" quotePrefix="0" xfId="0">
      <alignment horizontal="center" vertical="center"/>
    </xf>
    <xf numFmtId="3" fontId="11" fillId="0" borderId="0" applyAlignment="1" pivotButton="0" quotePrefix="0" xfId="0">
      <alignment horizontal="right" vertical="center"/>
    </xf>
    <xf numFmtId="0" fontId="11" fillId="0" borderId="0" applyAlignment="1" pivotButton="0" quotePrefix="0" xfId="0">
      <alignment horizontal="left" vertical="center" wrapText="1"/>
    </xf>
    <xf numFmtId="49" fontId="11" fillId="0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21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3" fontId="6" fillId="0" borderId="0" applyAlignment="1" pivotButton="0" quotePrefix="0" xfId="0">
      <alignment horizontal="right" vertical="center"/>
    </xf>
    <xf numFmtId="0" fontId="11" fillId="0" borderId="5" applyAlignment="1" pivotButton="0" quotePrefix="0" xfId="0">
      <alignment horizontal="center" vertical="center"/>
    </xf>
    <xf numFmtId="3" fontId="11" fillId="0" borderId="5" applyAlignment="1" pivotButton="0" quotePrefix="0" xfId="0">
      <alignment horizontal="center" vertical="center"/>
    </xf>
    <xf numFmtId="166" fontId="6" fillId="0" borderId="5" applyAlignment="1" pivotButton="0" quotePrefix="0" xfId="0">
      <alignment horizontal="center" vertical="center"/>
    </xf>
    <xf numFmtId="49" fontId="11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5" fillId="2" borderId="9" applyAlignment="1" pivotButton="0" quotePrefix="0" xfId="0">
      <alignment horizontal="center" vertical="center" wrapText="1"/>
    </xf>
    <xf numFmtId="0" fontId="14" fillId="2" borderId="4" applyAlignment="1" pivotButton="0" quotePrefix="0" xfId="0">
      <alignment horizontal="center" vertical="center" wrapText="1"/>
    </xf>
    <xf numFmtId="49" fontId="4" fillId="7" borderId="4" applyAlignment="1" pivotButton="0" quotePrefix="0" xfId="0">
      <alignment horizontal="left"/>
    </xf>
    <xf numFmtId="0" fontId="4" fillId="7" borderId="4" applyAlignment="1" pivotButton="0" quotePrefix="0" xfId="0">
      <alignment horizontal="right"/>
    </xf>
    <xf numFmtId="0" fontId="4" fillId="7" borderId="4" pivotButton="0" quotePrefix="0" xfId="0"/>
    <xf numFmtId="167" fontId="6" fillId="0" borderId="5" applyAlignment="1" pivotButton="0" quotePrefix="0" xfId="0">
      <alignment horizontal="center" vertical="center"/>
    </xf>
    <xf numFmtId="168" fontId="4" fillId="7" borderId="4" applyAlignment="1" pivotButton="0" quotePrefix="0" xfId="0">
      <alignment horizontal="right"/>
    </xf>
    <xf numFmtId="168" fontId="4" fillId="7" borderId="4" applyAlignment="1" pivotButton="0" quotePrefix="0" xfId="0">
      <alignment horizontal="center" vertical="center"/>
    </xf>
    <xf numFmtId="168" fontId="4" fillId="7" borderId="4" applyAlignment="1" pivotButton="0" quotePrefix="0" xfId="0">
      <alignment horizontal="left" vertical="center"/>
    </xf>
    <xf numFmtId="0" fontId="4" fillId="8" borderId="4" pivotButton="0" quotePrefix="0" xfId="0"/>
    <xf numFmtId="4" fontId="4" fillId="0" borderId="0" pivotButton="0" quotePrefix="0" xfId="0"/>
    <xf numFmtId="0" fontId="4" fillId="8" borderId="4" applyAlignment="1" pivotButton="0" quotePrefix="0" xfId="0">
      <alignment horizontal="right"/>
    </xf>
    <xf numFmtId="49" fontId="4" fillId="8" borderId="4" applyAlignment="1" pivotButton="0" quotePrefix="0" xfId="0">
      <alignment horizontal="left"/>
    </xf>
    <xf numFmtId="168" fontId="4" fillId="8" borderId="4" applyAlignment="1" pivotButton="0" quotePrefix="0" xfId="0">
      <alignment horizontal="right"/>
    </xf>
    <xf numFmtId="168" fontId="4" fillId="8" borderId="4" applyAlignment="1" pivotButton="0" quotePrefix="0" xfId="0">
      <alignment horizontal="center" vertical="center"/>
    </xf>
    <xf numFmtId="49" fontId="11" fillId="0" borderId="5" applyAlignment="1" pivotButton="0" quotePrefix="0" xfId="0">
      <alignment horizontal="center" vertical="center"/>
    </xf>
    <xf numFmtId="168" fontId="4" fillId="8" borderId="4" applyAlignment="1" pivotButton="0" quotePrefix="0" xfId="0">
      <alignment horizontal="left" vertical="center"/>
    </xf>
    <xf numFmtId="0" fontId="5" fillId="2" borderId="4" applyAlignment="1" pivotButton="0" quotePrefix="0" xfId="0">
      <alignment horizontal="center" vertical="center"/>
    </xf>
    <xf numFmtId="0" fontId="13" fillId="0" borderId="0" applyAlignment="1" pivotButton="0" quotePrefix="0" xfId="0">
      <alignment horizontal="right"/>
    </xf>
    <xf numFmtId="169" fontId="13" fillId="0" borderId="0" applyAlignment="1" pivotButton="0" quotePrefix="0" xfId="0">
      <alignment horizontal="right"/>
    </xf>
    <xf numFmtId="169" fontId="13" fillId="0" borderId="0" applyAlignment="1" pivotButton="0" quotePrefix="0" xfId="0">
      <alignment horizontal="center"/>
    </xf>
    <xf numFmtId="170" fontId="13" fillId="0" borderId="0" applyAlignment="1" pivotButton="0" quotePrefix="0" xfId="0">
      <alignment horizontal="center" vertical="center"/>
    </xf>
    <xf numFmtId="170" fontId="4" fillId="0" borderId="0" pivotButton="0" quotePrefix="0" xfId="0"/>
    <xf numFmtId="0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16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165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/>
    </xf>
    <xf numFmtId="49" fontId="11" fillId="0" borderId="0" applyAlignment="1" pivotButton="0" quotePrefix="0" xfId="0">
      <alignment horizontal="center" vertical="center"/>
    </xf>
    <xf numFmtId="3" fontId="11" fillId="0" borderId="0" applyAlignment="1" pivotButton="0" quotePrefix="0" xfId="0">
      <alignment horizontal="right" vertical="center"/>
    </xf>
    <xf numFmtId="0" fontId="11" fillId="0" borderId="0" applyAlignment="1" pivotButton="0" quotePrefix="0" xfId="0">
      <alignment horizontal="left" vertical="center" wrapText="1"/>
    </xf>
    <xf numFmtId="0" fontId="15" fillId="0" borderId="0" pivotButton="0" quotePrefix="0" xfId="0"/>
    <xf numFmtId="0" fontId="16" fillId="8" borderId="4" pivotButton="0" quotePrefix="0" xfId="0"/>
    <xf numFmtId="0" fontId="17" fillId="9" borderId="4" applyAlignment="1" pivotButton="0" quotePrefix="0" xfId="0">
      <alignment vertical="center"/>
    </xf>
    <xf numFmtId="0" fontId="18" fillId="10" borderId="4" applyAlignment="1" pivotButton="0" quotePrefix="0" xfId="0">
      <alignment vertical="center"/>
    </xf>
    <xf numFmtId="0" fontId="19" fillId="0" borderId="0" applyAlignment="1" pivotButton="0" quotePrefix="0" xfId="0">
      <alignment vertical="center"/>
    </xf>
    <xf numFmtId="0" fontId="20" fillId="0" borderId="0" applyAlignment="1" pivotButton="0" quotePrefix="0" xfId="0">
      <alignment wrapText="1"/>
    </xf>
    <xf numFmtId="0" fontId="21" fillId="9" borderId="4" applyAlignment="1" pivotButton="0" quotePrefix="0" xfId="0">
      <alignment horizontal="left" vertical="center"/>
    </xf>
    <xf numFmtId="0" fontId="21" fillId="9" borderId="4" applyAlignment="1" pivotButton="0" quotePrefix="0" xfId="0">
      <alignment vertical="center"/>
    </xf>
    <xf numFmtId="0" fontId="22" fillId="11" borderId="10" applyAlignment="1" pivotButton="0" quotePrefix="0" xfId="0">
      <alignment horizontal="center" vertical="center" wrapText="1"/>
    </xf>
    <xf numFmtId="0" fontId="23" fillId="0" borderId="11" applyAlignment="1" pivotButton="0" quotePrefix="0" xfId="0">
      <alignment horizontal="left" vertical="center" wrapText="1"/>
    </xf>
    <xf numFmtId="0" fontId="2" fillId="0" borderId="12" pivotButton="0" quotePrefix="0" xfId="0"/>
    <xf numFmtId="0" fontId="2" fillId="0" borderId="13" pivotButton="0" quotePrefix="0" xfId="0"/>
    <xf numFmtId="0" fontId="24" fillId="12" borderId="5" applyAlignment="1" pivotButton="0" quotePrefix="0" xfId="0">
      <alignment vertical="center" wrapText="1"/>
    </xf>
    <xf numFmtId="0" fontId="25" fillId="7" borderId="4" pivotButton="0" quotePrefix="0" xfId="0"/>
    <xf numFmtId="0" fontId="24" fillId="13" borderId="4" applyAlignment="1" pivotButton="0" quotePrefix="0" xfId="0">
      <alignment vertical="center" wrapText="1"/>
    </xf>
    <xf numFmtId="0" fontId="24" fillId="12" borderId="4" applyAlignment="1" pivotButton="0" quotePrefix="0" xfId="0">
      <alignment vertical="center" wrapText="1"/>
    </xf>
    <xf numFmtId="0" fontId="19" fillId="0" borderId="5" applyAlignment="1" pivotButton="0" quotePrefix="0" xfId="0">
      <alignment vertical="center"/>
    </xf>
    <xf numFmtId="0" fontId="19" fillId="0" borderId="5" applyAlignment="1" pivotButton="0" quotePrefix="0" xfId="0">
      <alignment horizontal="center" vertical="center"/>
    </xf>
    <xf numFmtId="0" fontId="26" fillId="0" borderId="0" applyAlignment="1" pivotButton="0" quotePrefix="0" xfId="0">
      <alignment vertical="center"/>
    </xf>
    <xf numFmtId="0" fontId="19" fillId="14" borderId="5" applyAlignment="1" pivotButton="0" quotePrefix="0" xfId="0">
      <alignment vertical="center"/>
    </xf>
    <xf numFmtId="0" fontId="24" fillId="15" borderId="5" applyAlignment="1" pivotButton="0" quotePrefix="0" xfId="0">
      <alignment vertical="center"/>
    </xf>
    <xf numFmtId="0" fontId="19" fillId="0" borderId="5" applyAlignment="1" pivotButton="0" quotePrefix="0" xfId="0">
      <alignment vertical="center" wrapText="1"/>
    </xf>
    <xf numFmtId="49" fontId="19" fillId="0" borderId="0" applyAlignment="1" pivotButton="0" quotePrefix="0" xfId="0">
      <alignment vertical="center"/>
    </xf>
    <xf numFmtId="0" fontId="24" fillId="16" borderId="5" applyAlignment="1" pivotButton="0" quotePrefix="0" xfId="0">
      <alignment vertical="center"/>
    </xf>
    <xf numFmtId="49" fontId="26" fillId="0" borderId="0" applyAlignment="1" pivotButton="0" quotePrefix="0" xfId="0">
      <alignment vertical="center"/>
    </xf>
    <xf numFmtId="0" fontId="24" fillId="17" borderId="5" applyAlignment="1" pivotButton="0" quotePrefix="0" xfId="0">
      <alignment vertical="center"/>
    </xf>
    <xf numFmtId="0" fontId="24" fillId="18" borderId="5" applyAlignment="1" pivotButton="0" quotePrefix="0" xfId="0">
      <alignment vertical="center"/>
    </xf>
    <xf numFmtId="0" fontId="19" fillId="0" borderId="0" applyAlignment="1" pivotButton="0" quotePrefix="0" xfId="0">
      <alignment horizontal="left" vertical="center" wrapText="1"/>
    </xf>
    <xf numFmtId="0" fontId="27" fillId="9" borderId="4" applyAlignment="1" pivotButton="0" quotePrefix="0" xfId="0">
      <alignment horizontal="right" vertical="center"/>
    </xf>
    <xf numFmtId="0" fontId="5" fillId="12" borderId="10" applyAlignment="1" pivotButton="0" quotePrefix="0" xfId="0">
      <alignment horizontal="center" vertical="center" wrapText="1"/>
    </xf>
    <xf numFmtId="0" fontId="5" fillId="12" borderId="10" applyAlignment="1" pivotButton="0" quotePrefix="0" xfId="0">
      <alignment horizontal="left" vertical="center" wrapText="1"/>
    </xf>
    <xf numFmtId="0" fontId="5" fillId="12" borderId="11" applyAlignment="1" pivotButton="0" quotePrefix="0" xfId="0">
      <alignment horizontal="left" vertical="center" wrapText="1"/>
    </xf>
    <xf numFmtId="0" fontId="22" fillId="0" borderId="10" applyAlignment="1" pivotButton="0" quotePrefix="0" xfId="0">
      <alignment horizontal="left" vertical="center" wrapText="1"/>
    </xf>
    <xf numFmtId="0" fontId="19" fillId="0" borderId="11" applyAlignment="1" pivotButton="0" quotePrefix="0" xfId="0">
      <alignment horizontal="left" vertical="center" wrapText="1"/>
    </xf>
    <xf numFmtId="0" fontId="19" fillId="0" borderId="11" applyAlignment="1" pivotButton="0" quotePrefix="0" xfId="0">
      <alignment horizontal="left" vertical="center" wrapText="1"/>
    </xf>
    <xf numFmtId="0" fontId="28" fillId="0" borderId="0" applyAlignment="1" pivotButton="0" quotePrefix="0" xfId="0">
      <alignment horizontal="left" vertical="center"/>
    </xf>
    <xf numFmtId="0" fontId="26" fillId="0" borderId="10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center" vertical="center"/>
    </xf>
    <xf numFmtId="171" fontId="19" fillId="0" borderId="0" applyAlignment="1" pivotButton="0" quotePrefix="0" xfId="0">
      <alignment vertical="center"/>
    </xf>
    <xf numFmtId="0" fontId="26" fillId="0" borderId="11" applyAlignment="1" pivotButton="0" quotePrefix="0" xfId="0">
      <alignment horizontal="left" vertical="center" wrapText="1"/>
    </xf>
    <xf numFmtId="0" fontId="26" fillId="0" borderId="10" applyAlignment="1" pivotButton="0" quotePrefix="0" xfId="0">
      <alignment horizontal="center" vertical="center" wrapText="1"/>
    </xf>
    <xf numFmtId="0" fontId="29" fillId="12" borderId="11" applyAlignment="1" pivotButton="0" quotePrefix="0" xfId="0">
      <alignment horizontal="left" vertical="center" wrapText="1"/>
    </xf>
    <xf numFmtId="0" fontId="19" fillId="0" borderId="10" applyAlignment="1" pivotButton="0" quotePrefix="0" xfId="0">
      <alignment horizontal="left" vertical="center" wrapText="1"/>
    </xf>
    <xf numFmtId="0" fontId="19" fillId="0" borderId="10" applyAlignment="1" pivotButton="0" quotePrefix="0" xfId="0">
      <alignment horizontal="center" vertical="center" wrapText="1"/>
    </xf>
    <xf numFmtId="49" fontId="19" fillId="0" borderId="10" applyAlignment="1" pivotButton="0" quotePrefix="0" xfId="0">
      <alignment horizontal="center" vertical="center" wrapText="1"/>
    </xf>
    <xf numFmtId="0" fontId="4" fillId="7" borderId="4" applyAlignment="1" pivotButton="0" quotePrefix="0" xfId="0">
      <alignment vertical="top"/>
    </xf>
    <xf numFmtId="0" fontId="13" fillId="8" borderId="4" pivotButton="0" quotePrefix="0" xfId="0"/>
    <xf numFmtId="0" fontId="4" fillId="8" borderId="4" applyAlignment="1" pivotButton="0" quotePrefix="0" xfId="0">
      <alignment vertical="top"/>
    </xf>
    <xf numFmtId="0" fontId="13" fillId="7" borderId="4" pivotButton="0" quotePrefix="0" xfId="0"/>
    <xf numFmtId="0" fontId="13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vertical="center"/>
    </xf>
    <xf numFmtId="168" fontId="13" fillId="0" borderId="0" applyAlignment="1" pivotButton="0" quotePrefix="0" xfId="0">
      <alignment horizontal="right" vertical="center"/>
    </xf>
    <xf numFmtId="0" fontId="30" fillId="0" borderId="0" applyAlignment="1" pivotButton="0" quotePrefix="0" xfId="0">
      <alignment vertical="center"/>
    </xf>
    <xf numFmtId="168" fontId="13" fillId="0" borderId="0" applyAlignment="1" pivotButton="0" quotePrefix="0" xfId="0">
      <alignment horizontal="right"/>
    </xf>
    <xf numFmtId="49" fontId="4" fillId="0" borderId="0" pivotButton="0" quotePrefix="0" xfId="0"/>
    <xf numFmtId="17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49" fontId="4" fillId="0" borderId="0" applyAlignment="1" pivotButton="0" quotePrefix="0" xfId="0">
      <alignment horizontal="center"/>
    </xf>
    <xf numFmtId="170" fontId="13" fillId="0" borderId="0" pivotButton="0" quotePrefix="0" xfId="0"/>
    <xf numFmtId="169" fontId="4" fillId="0" borderId="0" applyAlignment="1" pivotButton="0" quotePrefix="0" xfId="0">
      <alignment horizontal="center"/>
    </xf>
    <xf numFmtId="0" fontId="31" fillId="0" borderId="0" pivotButton="0" quotePrefix="0" xfId="0"/>
    <xf numFmtId="0" fontId="32" fillId="0" borderId="0" pivotButton="0" quotePrefix="0" xfId="0"/>
    <xf numFmtId="0" fontId="33" fillId="0" borderId="0" pivotButton="0" quotePrefix="0" xfId="0"/>
    <xf numFmtId="0" fontId="26" fillId="0" borderId="0" pivotButton="0" quotePrefix="0" xfId="0"/>
    <xf numFmtId="3" fontId="4" fillId="0" borderId="0" pivotButton="0" quotePrefix="0" xfId="0"/>
    <xf numFmtId="3" fontId="33" fillId="0" borderId="0" pivotButton="0" quotePrefix="0" xfId="0"/>
    <xf numFmtId="0" fontId="5" fillId="2" borderId="4" applyAlignment="1" pivotButton="0" quotePrefix="0" xfId="0">
      <alignment wrapText="1"/>
    </xf>
    <xf numFmtId="49" fontId="4" fillId="8" borderId="4" pivotButton="0" quotePrefix="0" xfId="0"/>
    <xf numFmtId="49" fontId="4" fillId="7" borderId="4" pivotButton="0" quotePrefix="0" xfId="0"/>
    <xf numFmtId="0" fontId="34" fillId="0" borderId="0" applyAlignment="1" pivotButton="0" quotePrefix="0" xfId="0">
      <alignment vertical="top" wrapText="1"/>
    </xf>
    <xf numFmtId="0" fontId="35" fillId="0" borderId="0" pivotButton="0" quotePrefix="0" xfId="0"/>
    <xf numFmtId="0" fontId="34" fillId="0" borderId="14" applyAlignment="1" pivotButton="0" quotePrefix="0" xfId="0">
      <alignment vertical="top" wrapText="1"/>
    </xf>
    <xf numFmtId="3" fontId="34" fillId="0" borderId="14" applyAlignment="1" pivotButton="0" quotePrefix="0" xfId="0">
      <alignment horizontal="right" vertical="top"/>
    </xf>
    <xf numFmtId="0" fontId="35" fillId="8" borderId="14" applyAlignment="1" pivotButton="0" quotePrefix="0" xfId="0">
      <alignment vertical="top"/>
    </xf>
    <xf numFmtId="3" fontId="35" fillId="8" borderId="14" applyAlignment="1" pivotButton="0" quotePrefix="0" xfId="0">
      <alignment horizontal="right" vertical="top"/>
    </xf>
    <xf numFmtId="0" fontId="4" fillId="8" borderId="4" pivotButton="0" quotePrefix="0" xfId="0"/>
    <xf numFmtId="0" fontId="4" fillId="7" borderId="4" pivotButton="0" quotePrefix="0" xfId="0"/>
    <xf numFmtId="0" fontId="4" fillId="8" borderId="4" applyAlignment="1" pivotButton="0" quotePrefix="0" xfId="0">
      <alignment wrapText="1"/>
    </xf>
    <xf numFmtId="0" fontId="4" fillId="7" borderId="4" applyAlignment="1" pivotButton="0" quotePrefix="0" xfId="0">
      <alignment wrapText="1"/>
    </xf>
    <xf numFmtId="0" fontId="36" fillId="19" borderId="15" applyAlignment="1" pivotButton="0" quotePrefix="0" xfId="0">
      <alignment vertical="top"/>
    </xf>
    <xf numFmtId="0" fontId="36" fillId="7" borderId="15" applyAlignment="1" pivotButton="0" quotePrefix="0" xfId="0">
      <alignment vertical="top"/>
    </xf>
    <xf numFmtId="0" fontId="36" fillId="8" borderId="15" applyAlignment="1" pivotButton="0" quotePrefix="0" xfId="0">
      <alignment vertical="top"/>
    </xf>
    <xf numFmtId="49" fontId="4" fillId="14" borderId="4" applyAlignment="1" pivotButton="0" quotePrefix="0" xfId="0">
      <alignment horizontal="left"/>
    </xf>
    <xf numFmtId="49" fontId="26" fillId="8" borderId="4" applyAlignment="1" pivotButton="0" quotePrefix="0" xfId="0">
      <alignment horizontal="left"/>
    </xf>
    <xf numFmtId="169" fontId="4" fillId="0" borderId="0" pivotButton="0" quotePrefix="0" xfId="0"/>
    <xf numFmtId="49" fontId="36" fillId="14" borderId="16" applyAlignment="1" pivotButton="0" quotePrefix="0" xfId="0">
      <alignment horizontal="left" vertical="top"/>
    </xf>
    <xf numFmtId="0" fontId="36" fillId="20" borderId="15" applyAlignment="1" pivotButton="0" quotePrefix="0" xfId="0">
      <alignment vertical="top"/>
    </xf>
    <xf numFmtId="168" fontId="36" fillId="20" borderId="15" applyAlignment="1" pivotButton="0" quotePrefix="0" xfId="0">
      <alignment vertical="top"/>
    </xf>
    <xf numFmtId="168" fontId="36" fillId="20" borderId="17" applyAlignment="1" pivotButton="0" quotePrefix="0" xfId="0">
      <alignment vertical="top"/>
    </xf>
    <xf numFmtId="49" fontId="36" fillId="7" borderId="16" applyAlignment="1" pivotButton="0" quotePrefix="0" xfId="0">
      <alignment horizontal="left" vertical="top"/>
    </xf>
    <xf numFmtId="0" fontId="36" fillId="7" borderId="15" applyAlignment="1" pivotButton="0" quotePrefix="0" xfId="0">
      <alignment vertical="top"/>
    </xf>
    <xf numFmtId="49" fontId="36" fillId="19" borderId="16" applyAlignment="1" pivotButton="0" quotePrefix="0" xfId="0">
      <alignment horizontal="left" vertical="top"/>
    </xf>
    <xf numFmtId="0" fontId="37" fillId="19" borderId="15" applyAlignment="1" pivotButton="0" quotePrefix="0" xfId="0">
      <alignment vertical="top"/>
    </xf>
    <xf numFmtId="0" fontId="38" fillId="7" borderId="15" applyAlignment="1" pivotButton="0" quotePrefix="0" xfId="0">
      <alignment vertical="top"/>
    </xf>
    <xf numFmtId="49" fontId="36" fillId="8" borderId="16" applyAlignment="1" pivotButton="0" quotePrefix="0" xfId="0">
      <alignment horizontal="left" vertical="top"/>
    </xf>
    <xf numFmtId="0" fontId="39" fillId="8" borderId="15" applyAlignment="1" pivotButton="0" quotePrefix="0" xfId="0">
      <alignment vertical="top"/>
    </xf>
    <xf numFmtId="0" fontId="0" fillId="0" borderId="0" pivotButton="0" quotePrefix="0" xfId="0"/>
    <xf numFmtId="0" fontId="1" fillId="2" borderId="4" applyAlignment="1" pivotButton="0" quotePrefix="0" xfId="0">
      <alignment horizontal="center" vertical="center"/>
    </xf>
    <xf numFmtId="164" fontId="9" fillId="6" borderId="4" applyAlignment="1" pivotButton="0" quotePrefix="0" xfId="0">
      <alignment horizontal="center" vertical="center"/>
    </xf>
    <xf numFmtId="0" fontId="9" fillId="6" borderId="4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23" fillId="0" borderId="10" applyAlignment="1" pivotButton="0" quotePrefix="0" xfId="0">
      <alignment horizontal="left" vertical="center" wrapText="1"/>
    </xf>
    <xf numFmtId="0" fontId="0" fillId="0" borderId="12" pivotButton="0" quotePrefix="0" xfId="0"/>
    <xf numFmtId="0" fontId="0" fillId="0" borderId="13" pivotButton="0" quotePrefix="0" xfId="0"/>
    <xf numFmtId="0" fontId="29" fillId="12" borderId="10" applyAlignment="1" pivotButton="0" quotePrefix="0" xfId="0">
      <alignment horizontal="left" vertical="center" wrapText="1"/>
    </xf>
    <xf numFmtId="0" fontId="40" fillId="21" borderId="0" applyAlignment="1" pivotButton="0" quotePrefix="0" xfId="0">
      <alignment vertical="center" wrapText="1"/>
    </xf>
    <xf numFmtId="169" fontId="0" fillId="0" borderId="0" pivotButton="0" quotePrefix="0" xfId="0"/>
    <xf numFmtId="0" fontId="41" fillId="0" borderId="0" pivotButton="0" quotePrefix="0" xfId="0"/>
    <xf numFmtId="0" fontId="42" fillId="22" borderId="0" pivotButton="0" quotePrefix="0" xfId="0"/>
    <xf numFmtId="0" fontId="0" fillId="22" borderId="0" pivotButton="0" quotePrefix="0" xfId="0"/>
    <xf numFmtId="0" fontId="40" fillId="21" borderId="0" pivotButton="0" quotePrefix="0" xfId="0"/>
    <xf numFmtId="3" fontId="0" fillId="0" borderId="0" pivotButton="0" quotePrefix="0" xfId="0"/>
    <xf numFmtId="172" fontId="0" fillId="0" borderId="0" pivotButton="0" quotePrefix="0" xfId="0"/>
    <xf numFmtId="172" fontId="0" fillId="0" borderId="0" pivotButton="0" quotePrefix="0" xfId="0"/>
  </cellXfs>
  <cellStyles count="1">
    <cellStyle name="Normal" xfId="0" builtinId="0"/>
  </cellStyles>
  <dxfs count="19">
    <dxf>
      <font/>
      <fill>
        <patternFill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1D3556"/>
          <bgColor rgb="FF1D3556"/>
        </patternFill>
      </fill>
      <border/>
    </dxf>
    <dxf>
      <font/>
      <fill>
        <patternFill patternType="solid">
          <fgColor rgb="FFF5F8FC"/>
          <bgColor rgb="FFF5F8FC"/>
        </patternFill>
      </fill>
      <border/>
    </dxf>
    <dxf>
      <border>
        <left style="thin">
          <color rgb="FF1D3556"/>
        </left>
        <right style="thin">
          <color rgb="FF1D3556"/>
        </right>
        <top style="thin">
          <color rgb="FF1D3556"/>
        </top>
        <bottom style="thin">
          <color rgb="FF1D3556"/>
        </bottom>
      </border>
    </dxf>
    <dxf>
      <font>
        <b val="1"/>
        <color rgb="FF991B1B"/>
      </font>
      <fill>
        <patternFill patternType="solid">
          <fgColor rgb="FFFDE1E1"/>
          <bgColor rgb="FFFDE1E1"/>
        </patternFill>
      </fill>
      <border/>
    </dxf>
    <dxf>
      <font>
        <b val="1"/>
        <color rgb="FF854D0E"/>
      </font>
      <fill>
        <patternFill patternType="solid">
          <fgColor rgb="FFFEF3C7"/>
          <bgColor rgb="FFFEF3C7"/>
        </patternFill>
      </fill>
      <border/>
    </dxf>
    <dxf>
      <font>
        <b val="1"/>
        <color rgb="FF0369A1"/>
      </font>
      <fill>
        <patternFill patternType="solid">
          <fgColor rgb="FFE0F2FE"/>
          <bgColor rgb="FFE0F2FE"/>
        </patternFill>
      </fill>
      <border/>
    </dxf>
    <dxf>
      <font>
        <b val="1"/>
        <color rgb="FF156434"/>
      </font>
      <fill>
        <patternFill patternType="solid">
          <fgColor rgb="FFDBFBE7"/>
          <bgColor rgb="FFDBFBE7"/>
        </patternFill>
      </fill>
      <border/>
    </dxf>
    <dxf>
      <font>
        <color rgb="FF047857"/>
      </font>
      <fill>
        <patternFill patternType="solid">
          <fgColor rgb="FFECFDF5"/>
          <bgColor rgb="FFECFDF5"/>
        </patternFill>
      </fill>
      <border/>
    </dxf>
    <dxf>
      <font>
        <color rgb="FF475569"/>
      </font>
      <fill>
        <patternFill patternType="solid">
          <fgColor rgb="FFF1F5F9"/>
          <bgColor rgb="FFF1F5F9"/>
        </patternFill>
      </fill>
      <border/>
    </dxf>
    <dxf>
      <font/>
      <fill>
        <patternFill patternType="solid">
          <fgColor rgb="FFF3F6FB"/>
          <bgColor rgb="FFF3F6FB"/>
        </patternFill>
      </fill>
      <border/>
    </dxf>
    <dxf>
      <font>
        <b val="1"/>
      </font>
      <fill>
        <patternFill/>
      </fill>
      <border>
        <top style="thin">
          <color rgb="FF3E5F90"/>
        </top>
      </border>
    </dxf>
    <dxf>
      <font>
        <color rgb="FFB3261E"/>
      </font>
      <fill>
        <patternFill/>
      </fill>
      <border/>
    </dxf>
    <dxf>
      <font>
        <b val="1"/>
        <color rgb="FFA51C23"/>
      </font>
      <fill>
        <patternFill patternType="solid">
          <fgColor rgb="FFFCE8E5"/>
          <bgColor rgb="FFFCE8E5"/>
        </patternFill>
      </fill>
      <border/>
    </dxf>
    <dxf>
      <font>
        <b val="1"/>
        <color rgb="FF854D0E"/>
      </font>
      <fill>
        <patternFill patternType="solid">
          <fgColor rgb="FFFDF8C3"/>
          <bgColor rgb="FFFDF8C3"/>
        </patternFill>
      </fill>
      <border/>
    </dxf>
    <dxf>
      <font>
        <b val="1"/>
        <color rgb="FF14713A"/>
      </font>
      <fill>
        <patternFill patternType="solid">
          <fgColor rgb="FFD3ECDA"/>
          <bgColor rgb="FFD3ECDA"/>
        </patternFill>
      </fill>
      <border/>
    </dxf>
    <dxf>
      <font>
        <b val="1"/>
        <color rgb="FF711E25"/>
      </font>
      <fill>
        <patternFill patternType="solid">
          <fgColor rgb="FFF8D4D9"/>
          <bgColor rgb="FFF8D4D9"/>
        </patternFill>
      </fill>
      <border/>
    </dxf>
    <dxf>
      <font>
        <b val="1"/>
        <color rgb="FFA41C22"/>
      </font>
      <fill>
        <patternFill patternType="solid">
          <fgColor rgb="FFFBE8E4"/>
          <bgColor rgb="FFFBE8E4"/>
        </patternFill>
      </fill>
      <border/>
    </dxf>
  </dxfs>
  <tableStyles count="2" defaultTableStyle="TableStyleMedium9" defaultPivotStyle="PivotStyleLight16">
    <tableStyle name="Escaneo Diario-style" pivot="0" count="2">
      <tableStyleElement type="firstRowStripe" dxfId="1"/>
      <tableStyleElement type="secondRowStripe" dxfId="3"/>
    </tableStyle>
    <tableStyle name="Escaneos-style" pivot="0" count="4">
      <tableStyleElement type="headerRow" dxfId="2"/>
      <tableStyleElement type="firstRowStripe" dxfId="1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omments/comment1.xml><?xml version="1.0" encoding="utf-8"?>
<comments xmlns="http://schemas.openxmlformats.org/spreadsheetml/2006/main">
  <authors>
    <author>tc={c80b839a-ae28-4f9f-9079-2dafa6aaa258}</author>
    <author>tc={fbb67b98-6968-4473-a351-83528d8e9213}</author>
  </authors>
  <commentList>
    <comment ref="A1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Source: filas pegadas en el chat por el usuario (gorras CAPSLAB, versión actualizada), 30/09/2026. 17 filas pegadas; 3 repetidas no se duplicaron.
</t>
      </text>
    </comment>
    <comment ref="J3" authorId="1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Función de Apps Script vinculada: finalizarEscaneo()
Genera folios CC-AAMMDD-XXX por ubicación, agrupa piezas por UPC y archiva en Historial y Escaneos.
</t>
      </text>
    </comment>
  </commentList>
</comments>
</file>

<file path=xl/comments/comment2.xml><?xml version="1.0" encoding="utf-8"?>
<comments xmlns="http://schemas.openxmlformats.org/spreadsheetml/2006/main">
  <authors>
    <author>tc={aa338a0a-7d43-4570-b55f-3b2e61bb10ad}</author>
    <author>tc={7eacf68d-3fb2-416f-b558-d1344d172d2e}</author>
    <author>tc={9d2ee750-7456-4e5b-892f-565b03b83794}</author>
    <author>tc={b355d826-635e-46a4-9986-d081339247fd}</author>
  </authors>
  <commentList>
    <comment ref="AL1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Valores fijos al 01/10/2026. Antes era un vínculo externo a Ciclico_1522_investigado.xlsx (Productos_Resumen!F) amarrado al número de fila; al mover o insertar filas se habría desalineado, por eso se congeló. Filas nuevas: vacío.
</t>
      </text>
    </comment>
    <comment ref="AM1" authorId="1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Valores fijos al 01/10/2026 (antes vínculo externo a Productos_Resumen!G por número de fila). Filas nuevas: vacío.
</t>
      </text>
    </comment>
    <comment ref="AN1" authorId="2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Plataforma + Marca/tienda donde está dado de alta el artículo (variante activa): Shopify Stetson México, Shopify Western Brothers u Odoo Universal Unique Brands. Fuente: Catalogo_Estandar_Stetson_WB_Odoo_2026-10-01_v2.xlsx.
</t>
      </text>
    </comment>
    <comment ref="AO1" authorId="3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Existencia en la plataforma según la extracción del 01/10/2026. Vacío = el artículo no está en esa plataforma.
</t>
      </text>
    </comment>
  </commentList>
</comments>
</file>

<file path=xl/comments/comment3.xml><?xml version="1.0" encoding="utf-8"?>
<comments xmlns="http://schemas.openxmlformats.org/spreadsheetml/2006/main">
  <authors>
    <author>tc={5507d121-6dbe-464e-9eab-8f9c94fff2db}</author>
    <author>tc={b2c31b9d-dc50-4202-9900-666ab29287b2}</author>
  </authors>
  <commentList>
    <comment ref="I5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Source: NetSuite, corte 28/09/2026 (migrado de la hoja Configuración, eliminada 30/09/2026). Valores fijos; actualizar con cada nuevo corte.
</t>
      </text>
    </comment>
    <comment ref="K5" authorId="1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Asigna cada ubicación o rack a Bodega 25 o Bodega 43; las hojas 'Bodega 25' y 'Bodega 43' toman esta columna. Si se deja vacía: nombres con «B25»/«Bodega 25» van a Bodega 25 y con «G1522» a Bodega 43.
</t>
      </text>
    </comment>
  </commentList>
</comments>
</file>

<file path=xl/comments/comment4.xml><?xml version="1.0" encoding="utf-8"?>
<comments xmlns="http://schemas.openxmlformats.org/spreadsheetml/2006/main">
  <authors>
    <author>tc={9d6aba0a-0558-4d4f-862d-e9cc11d81bb3}</author>
  </authors>
  <commentList>
    <comment ref="A1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Generado el 02/10/2026 desde la hoja Productos: columnas AE (ubicaciones con stock NetSuite), AJ (ubicaciones en negativo) y AR (ubicaciones en plataformas). Ubicación, SKU, Stock y Sistema son valores; el resto se busca en Productos con fórmula (Fila en Productos). Si Productos cambia de nuevo, hay que regenerar esta hoja.
</t>
      </text>
    </comment>
  </commentList>
</comments>
</file>

<file path=xl/tables/table1.xml><?xml version="1.0" encoding="utf-8"?>
<table xmlns="http://schemas.openxmlformats.org/spreadsheetml/2006/main" id="1" name="Table_1" displayName="Table_1" ref="C7:J1000" headerRowCount="0">
  <tableColumns count="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</tableColumns>
  <tableStyleInfo name="Escaneo Diario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M2" headerRowCount="1">
  <tableColumns count="13">
    <tableColumn id="1" name="Folio de Escaneo"/>
    <tableColumn id="2" name="Fecha / Hora"/>
    <tableColumn id="3" name="Ubicación / Rack"/>
    <tableColumn id="4" name="UPC CODE"/>
    <tableColumn id="5" name="SKU"/>
    <tableColumn id="6" name="Marca"/>
    <tableColumn id="7" name="Descripción"/>
    <tableColumn id="8" name="Categoría"/>
    <tableColumn id="9" name="Talla / Size"/>
    <tableColumn id="10" name="Piezas Contadas"/>
    <tableColumn id="11" name="Auditor / Responsable"/>
    <tableColumn id="12" name="Estado de Conteo"/>
    <tableColumn id="13" name="Detalle de Modificaciones / Alertas"/>
  </tableColumns>
  <tableStyleInfo name="Escaneos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tabColor rgb="FF1D3A8A"/>
    <outlinePr summaryBelow="0" summaryRight="0"/>
    <pageSetUpPr/>
  </sheetPr>
  <dimension ref="A1:J1000"/>
  <sheetViews>
    <sheetView workbookViewId="0">
      <pane ySplit="6" topLeftCell="A7" activePane="bottomLeft" state="frozen"/>
      <selection pane="bottomLeft" activeCell="B8" sqref="B8"/>
    </sheetView>
  </sheetViews>
  <sheetFormatPr baseColWidth="8" defaultColWidth="12.63" defaultRowHeight="15" customHeight="1"/>
  <cols>
    <col width="17" customWidth="1" style="176" min="1" max="1"/>
    <col width="27.63" customWidth="1" style="176" min="2" max="2"/>
    <col width="15.75" customWidth="1" style="176" min="3" max="3"/>
    <col width="17.75" customWidth="1" style="176" min="4" max="4"/>
    <col width="17" customWidth="1" style="176" min="5" max="5"/>
    <col width="35.13" customWidth="1" style="176" min="6" max="6"/>
    <col width="15.13" customWidth="1" style="176" min="7" max="8"/>
    <col width="11.38" customWidth="1" style="176" min="9" max="9"/>
    <col width="33.88" customWidth="1" style="176" min="10" max="10"/>
  </cols>
  <sheetData>
    <row r="1" ht="28.5" customHeight="1" s="176">
      <c r="A1" s="177" t="inlineStr">
        <is>
          <t>GRUPO QUINCE 22   |   CONTROL DE INVENTARIOS Y CONTEO CÍCLICO DIARIO</t>
        </is>
      </c>
    </row>
    <row r="2" ht="18" customHeight="1" s="176">
      <c r="A2" s="16" t="inlineStr">
        <is>
          <t>📅 FECHA ACTUAL</t>
        </is>
      </c>
      <c r="C2" s="16" t="inlineStr">
        <is>
          <t>📦 TOTAL ESCANEOS</t>
        </is>
      </c>
      <c r="E2" s="16" t="inlineStr">
        <is>
          <t>🏷️ PRODUCTOS ÚNICOS</t>
        </is>
      </c>
      <c r="G2" s="16" t="n"/>
      <c r="H2" s="16" t="inlineStr">
        <is>
          <t>📊 TOTAL DE PIEZAS</t>
        </is>
      </c>
      <c r="J2" s="17" t="inlineStr">
        <is>
          <t>🚀 ACCIÓN OPERATIVA</t>
        </is>
      </c>
    </row>
    <row r="3" ht="27" customHeight="1" s="176">
      <c r="A3" s="178">
        <f>TODAY()</f>
        <v/>
      </c>
      <c r="C3" s="23">
        <f>COUNTIF(C7:C1000, "&lt;&gt;")</f>
        <v/>
      </c>
      <c r="E3" s="179">
        <f>IFERROR(__xludf.DUMMYFUNCTION("IFERROR(ROWS(UNIQUE(FILTER(D7:D1000, D7:D1000&lt;&gt;""""))), 0)"),0.0)</f>
        <v/>
      </c>
      <c r="G3" s="23" t="n"/>
      <c r="H3" s="23">
        <f>COUNTIF(C7:C1000, "&lt;&gt;")</f>
        <v/>
      </c>
      <c r="J3" s="24" t="inlineStr">
        <is>
          <t>FINALIZAR ESCANEO</t>
        </is>
      </c>
    </row>
    <row r="4" ht="15" customHeight="1" s="176">
      <c r="A4" s="28" t="inlineStr">
        <is>
          <t>Jornada en curso</t>
        </is>
      </c>
      <c r="C4" s="28" t="inlineStr">
        <is>
          <t>Registros capturados</t>
        </is>
      </c>
      <c r="E4" s="28" t="inlineStr">
        <is>
          <t>SKUs distintos</t>
        </is>
      </c>
      <c r="G4" s="28" t="n"/>
      <c r="H4" s="28" t="inlineStr">
        <is>
          <t>Unidades contadas</t>
        </is>
      </c>
      <c r="J4" s="30" t="inlineStr">
        <is>
          <t>Asignar Folios y Archivar</t>
        </is>
      </c>
    </row>
    <row r="5" ht="9" customHeight="1" s="176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 ht="21" customHeight="1" s="176">
      <c r="A6" s="33" t="inlineStr">
        <is>
          <t>Fecha/Hora</t>
        </is>
      </c>
      <c r="B6" s="33" t="inlineStr">
        <is>
          <t>Ubicación/Rack</t>
        </is>
      </c>
      <c r="C6" s="33" t="inlineStr">
        <is>
          <t>UPC CODE</t>
        </is>
      </c>
      <c r="D6" s="33" t="inlineStr">
        <is>
          <t>SKU</t>
        </is>
      </c>
      <c r="E6" s="33" t="inlineStr">
        <is>
          <t>Marca</t>
        </is>
      </c>
      <c r="F6" s="33" t="inlineStr">
        <is>
          <t>Descripción</t>
        </is>
      </c>
      <c r="G6" s="33" t="inlineStr">
        <is>
          <t>División</t>
        </is>
      </c>
      <c r="H6" s="33" t="inlineStr">
        <is>
          <t>Categoría</t>
        </is>
      </c>
      <c r="I6" s="33" t="inlineStr">
        <is>
          <t>Talla / Size</t>
        </is>
      </c>
      <c r="J6" s="33" t="inlineStr">
        <is>
          <t>Alertas y Duplicados</t>
        </is>
      </c>
    </row>
    <row r="7" ht="18" customHeight="1" s="176">
      <c r="A7" s="34" t="n"/>
      <c r="B7" s="11" t="n"/>
      <c r="C7" s="77" t="n"/>
      <c r="D7" s="43">
        <f t="array" ref="D7">IF($C7="","",IFNA(_xlfn.XLOOKUP($C7,Productos!$A:$A,Productos!$E:$E,IFNA(_xlfn.XLOOKUP(TEXT($C7,"0"),Productos!$A:$A,Productos!$E:$E,IFNA(_xlfn.XLOOKUP(IFERROR(VALUE($C7),""),Productos!$A:$A,Productos!$E:$E,_xlfn.XLOOKUP($C7,Productos!$E:$E,Productos!$E:$E,"NO ENCONTRADO")),"NO ENCONTRADO")),"NO ENCONTRADO")),"NO ENCONTRADO"))</f>
        <v/>
      </c>
      <c r="E7" s="44">
        <f t="array" ref="E7">IF(OR($D7="",$D7="NO ENCONTRADO"),"",_xlfn.XLOOKUP($D7,Productos!$E:$E,Productos!$H:$H,""))</f>
        <v/>
      </c>
      <c r="F7" s="43">
        <f t="array" ref="F7">IF(OR($D7="",$D7="NO ENCONTRADO"),"",_xlfn.XLOOKUP($D7,Productos!$E:$E,Productos!$I:$I,""))</f>
        <v/>
      </c>
      <c r="G7" s="43">
        <f t="array" ref="G7">IF(OR($D7="",$D7="NO ENCONTRADO"),"",_xlfn.XLOOKUP($D7,Productos!$E:$E,Productos!$J:$J,""))</f>
        <v/>
      </c>
      <c r="H7" s="43">
        <f t="array" ref="H7">IF(OR($D7="",$D7="NO ENCONTRADO"),"",_xlfn.XLOOKUP($D7,Productos!$E:$E,Productos!$K:$K,""))</f>
        <v/>
      </c>
      <c r="I7" s="43">
        <f t="array" ref="I7">IF(OR($D7="",$D7="NO ENCONTRADO"),"",_xlfn.XLOOKUP($D7,Productos!$E:$E,Productos!$F:$F,""))</f>
        <v/>
      </c>
      <c r="J7" s="43">
        <f>IF($C7="","",IF($D7="NO ENCONTRADO",IF(COUNTIF($C$7:$C$1000,$C7)&gt;1,"⚠️ No encontrado | Duplicado","⚠️ No encontrado"),IF(COUNTIF($C$7:$C$1000,$C7)&gt;1,"⚠️ Duplicado","Verificado")))</f>
        <v/>
      </c>
    </row>
    <row r="8" ht="18" customHeight="1" s="176">
      <c r="A8" s="45" t="n"/>
      <c r="B8" s="11" t="n"/>
      <c r="C8" s="77" t="n"/>
      <c r="D8" s="43">
        <f t="array" ref="D8">IF($C8="","",IFNA(_xlfn.XLOOKUP($C8,Productos!$A:$A,Productos!$E:$E,IFNA(_xlfn.XLOOKUP(TEXT($C8,"0"),Productos!$A:$A,Productos!$E:$E,IFNA(_xlfn.XLOOKUP(IFERROR(VALUE($C8),""),Productos!$A:$A,Productos!$E:$E,_xlfn.XLOOKUP($C8,Productos!$E:$E,Productos!$E:$E,"NO ENCONTRADO")),"NO ENCONTRADO")),"NO ENCONTRADO")),"NO ENCONTRADO"))</f>
        <v/>
      </c>
      <c r="E8" s="44">
        <f t="array" ref="E8">IF(OR($D8="",$D8="NO ENCONTRADO"),"",_xlfn.XLOOKUP($D8,Productos!$E:$E,Productos!$H:$H,""))</f>
        <v/>
      </c>
      <c r="F8" s="43">
        <f t="array" ref="F8">IF(OR($D8="",$D8="NO ENCONTRADO"),"",_xlfn.XLOOKUP($D8,Productos!$E:$E,Productos!$I:$I,""))</f>
        <v/>
      </c>
      <c r="G8" s="43">
        <f t="array" ref="G8">IF(OR($D8="",$D8="NO ENCONTRADO"),"",_xlfn.XLOOKUP($D8,Productos!$E:$E,Productos!$J:$J,""))</f>
        <v/>
      </c>
      <c r="H8" s="43">
        <f t="array" ref="H8">IF(OR($D8="",$D8="NO ENCONTRADO"),"",_xlfn.XLOOKUP($D8,Productos!$E:$E,Productos!$K:$K,""))</f>
        <v/>
      </c>
      <c r="I8" s="43">
        <f t="array" ref="I8">IF(OR($D8="",$D8="NO ENCONTRADO"),"",_xlfn.XLOOKUP($D8,Productos!$E:$E,Productos!$F:$F,""))</f>
        <v/>
      </c>
      <c r="J8" s="43">
        <f>IF($C8="","",IF($D8="NO ENCONTRADO",IF(COUNTIF($C$7:$C$1000,$C8)&gt;1,"⚠️ No encontrado | Duplicado","⚠️ No encontrado"),IF(COUNTIF($C$7:$C$1000,$C8)&gt;1,"⚠️ Duplicado","Verificado")))</f>
        <v/>
      </c>
    </row>
    <row r="9" ht="18" customHeight="1" s="176">
      <c r="A9" s="45" t="n"/>
      <c r="B9" s="11" t="n"/>
      <c r="C9" s="77" t="n"/>
      <c r="D9" s="43">
        <f t="array" ref="D9">IF($C9="","",IFNA(_xlfn.XLOOKUP($C9,Productos!$A:$A,Productos!$E:$E,IFNA(_xlfn.XLOOKUP(TEXT($C9,"0"),Productos!$A:$A,Productos!$E:$E,IFNA(_xlfn.XLOOKUP(IFERROR(VALUE($C9),""),Productos!$A:$A,Productos!$E:$E,_xlfn.XLOOKUP($C9,Productos!$E:$E,Productos!$E:$E,"NO ENCONTRADO")),"NO ENCONTRADO")),"NO ENCONTRADO")),"NO ENCONTRADO"))</f>
        <v/>
      </c>
      <c r="E9" s="44">
        <f t="array" ref="E9">IF(OR($D9="",$D9="NO ENCONTRADO"),"",_xlfn.XLOOKUP($D9,Productos!$E:$E,Productos!$H:$H,""))</f>
        <v/>
      </c>
      <c r="F9" s="43">
        <f t="array" ref="F9">IF(OR($D9="",$D9="NO ENCONTRADO"),"",_xlfn.XLOOKUP($D9,Productos!$E:$E,Productos!$I:$I,""))</f>
        <v/>
      </c>
      <c r="G9" s="43">
        <f t="array" ref="G9">IF(OR($D9="",$D9="NO ENCONTRADO"),"",_xlfn.XLOOKUP($D9,Productos!$E:$E,Productos!$J:$J,""))</f>
        <v/>
      </c>
      <c r="H9" s="43">
        <f t="array" ref="H9">IF(OR($D9="",$D9="NO ENCONTRADO"),"",_xlfn.XLOOKUP($D9,Productos!$E:$E,Productos!$K:$K,""))</f>
        <v/>
      </c>
      <c r="I9" s="43">
        <f t="array" ref="I9">IF(OR($D9="",$D9="NO ENCONTRADO"),"",_xlfn.XLOOKUP($D9,Productos!$E:$E,Productos!$F:$F,""))</f>
        <v/>
      </c>
      <c r="J9" s="43">
        <f>IF($C9="","",IF($D9="NO ENCONTRADO",IF(COUNTIF($C$7:$C$1000,$C9)&gt;1,"⚠️ No encontrado | Duplicado","⚠️ No encontrado"),IF(COUNTIF($C$7:$C$1000,$C9)&gt;1,"⚠️ Duplicado","Verificado")))</f>
        <v/>
      </c>
    </row>
    <row r="10" ht="18" customHeight="1" s="176">
      <c r="A10" s="45" t="n"/>
      <c r="B10" s="11" t="n"/>
      <c r="C10" s="77" t="n"/>
      <c r="D10" s="43">
        <f t="array" ref="D10">IF($C10="","",IFNA(_xlfn.XLOOKUP($C10,Productos!$A:$A,Productos!$E:$E,IFNA(_xlfn.XLOOKUP(TEXT($C10,"0"),Productos!$A:$A,Productos!$E:$E,IFNA(_xlfn.XLOOKUP(IFERROR(VALUE($C10),""),Productos!$A:$A,Productos!$E:$E,_xlfn.XLOOKUP($C10,Productos!$E:$E,Productos!$E:$E,"NO ENCONTRADO")),"NO ENCONTRADO")),"NO ENCONTRADO")),"NO ENCONTRADO"))</f>
        <v/>
      </c>
      <c r="E10" s="44">
        <f t="array" ref="E10">IF(OR($D10="",$D10="NO ENCONTRADO"),"",_xlfn.XLOOKUP($D10,Productos!$E:$E,Productos!$H:$H,""))</f>
        <v/>
      </c>
      <c r="F10" s="43">
        <f t="array" ref="F10">IF(OR($D10="",$D10="NO ENCONTRADO"),"",_xlfn.XLOOKUP($D10,Productos!$E:$E,Productos!$I:$I,""))</f>
        <v/>
      </c>
      <c r="G10" s="43">
        <f t="array" ref="G10">IF(OR($D10="",$D10="NO ENCONTRADO"),"",_xlfn.XLOOKUP($D10,Productos!$E:$E,Productos!$J:$J,""))</f>
        <v/>
      </c>
      <c r="H10" s="43">
        <f t="array" ref="H10">IF(OR($D10="",$D10="NO ENCONTRADO"),"",_xlfn.XLOOKUP($D10,Productos!$E:$E,Productos!$K:$K,""))</f>
        <v/>
      </c>
      <c r="I10" s="43">
        <f t="array" ref="I10">IF(OR($D10="",$D10="NO ENCONTRADO"),"",_xlfn.XLOOKUP($D10,Productos!$E:$E,Productos!$F:$F,""))</f>
        <v/>
      </c>
      <c r="J10" s="43">
        <f>IF($C10="","",IF($D10="NO ENCONTRADO",IF(COUNTIF($C$7:$C$1000,$C10)&gt;1,"⚠️ No encontrado | Duplicado","⚠️ No encontrado"),IF(COUNTIF($C$7:$C$1000,$C10)&gt;1,"⚠️ Duplicado","Verificado")))</f>
        <v/>
      </c>
    </row>
    <row r="11" ht="18" customHeight="1" s="176">
      <c r="A11" s="45" t="n"/>
      <c r="B11" s="11" t="n"/>
      <c r="C11" s="77" t="n"/>
      <c r="D11" s="43">
        <f t="array" ref="D11">IF($C11="","",IFNA(_xlfn.XLOOKUP($C11,Productos!$A:$A,Productos!$E:$E,IFNA(_xlfn.XLOOKUP(TEXT($C11,"0"),Productos!$A:$A,Productos!$E:$E,IFNA(_xlfn.XLOOKUP(IFERROR(VALUE($C11),""),Productos!$A:$A,Productos!$E:$E,_xlfn.XLOOKUP($C11,Productos!$E:$E,Productos!$E:$E,"NO ENCONTRADO")),"NO ENCONTRADO")),"NO ENCONTRADO")),"NO ENCONTRADO"))</f>
        <v/>
      </c>
      <c r="E11" s="44">
        <f t="array" ref="E11">IF(OR($D11="",$D11="NO ENCONTRADO"),"",_xlfn.XLOOKUP($D11,Productos!$E:$E,Productos!$H:$H,""))</f>
        <v/>
      </c>
      <c r="F11" s="43">
        <f t="array" ref="F11">IF(OR($D11="",$D11="NO ENCONTRADO"),"",_xlfn.XLOOKUP($D11,Productos!$E:$E,Productos!$I:$I,""))</f>
        <v/>
      </c>
      <c r="G11" s="43">
        <f t="array" ref="G11">IF(OR($D11="",$D11="NO ENCONTRADO"),"",_xlfn.XLOOKUP($D11,Productos!$E:$E,Productos!$J:$J,""))</f>
        <v/>
      </c>
      <c r="H11" s="43">
        <f t="array" ref="H11">IF(OR($D11="",$D11="NO ENCONTRADO"),"",_xlfn.XLOOKUP($D11,Productos!$E:$E,Productos!$K:$K,""))</f>
        <v/>
      </c>
      <c r="I11" s="43">
        <f t="array" ref="I11">IF(OR($D11="",$D11="NO ENCONTRADO"),"",_xlfn.XLOOKUP($D11,Productos!$E:$E,Productos!$F:$F,""))</f>
        <v/>
      </c>
      <c r="J11" s="43">
        <f>IF($C11="","",IF($D11="NO ENCONTRADO",IF(COUNTIF($C$7:$C$1000,$C11)&gt;1,"⚠️ No encontrado | Duplicado","⚠️ No encontrado"),IF(COUNTIF($C$7:$C$1000,$C11)&gt;1,"⚠️ Duplicado","Verificado")))</f>
        <v/>
      </c>
    </row>
    <row r="12" ht="18" customHeight="1" s="176">
      <c r="A12" s="45" t="n"/>
      <c r="B12" s="11" t="n"/>
      <c r="C12" s="77" t="n"/>
      <c r="D12" s="43">
        <f t="array" ref="D12">IF($C12="","",IFNA(_xlfn.XLOOKUP($C12,Productos!$A:$A,Productos!$E:$E,IFNA(_xlfn.XLOOKUP(TEXT($C12,"0"),Productos!$A:$A,Productos!$E:$E,IFNA(_xlfn.XLOOKUP(IFERROR(VALUE($C12),""),Productos!$A:$A,Productos!$E:$E,_xlfn.XLOOKUP($C12,Productos!$E:$E,Productos!$E:$E,"NO ENCONTRADO")),"NO ENCONTRADO")),"NO ENCONTRADO")),"NO ENCONTRADO"))</f>
        <v/>
      </c>
      <c r="E12" s="44">
        <f t="array" ref="E12">IF(OR($D12="",$D12="NO ENCONTRADO"),"",_xlfn.XLOOKUP($D12,Productos!$E:$E,Productos!$H:$H,""))</f>
        <v/>
      </c>
      <c r="F12" s="43">
        <f t="array" ref="F12">IF(OR($D12="",$D12="NO ENCONTRADO"),"",_xlfn.XLOOKUP($D12,Productos!$E:$E,Productos!$I:$I,""))</f>
        <v/>
      </c>
      <c r="G12" s="43">
        <f t="array" ref="G12">IF(OR($D12="",$D12="NO ENCONTRADO"),"",_xlfn.XLOOKUP($D12,Productos!$E:$E,Productos!$J:$J,""))</f>
        <v/>
      </c>
      <c r="H12" s="43">
        <f t="array" ref="H12">IF(OR($D12="",$D12="NO ENCONTRADO"),"",_xlfn.XLOOKUP($D12,Productos!$E:$E,Productos!$K:$K,""))</f>
        <v/>
      </c>
      <c r="I12" s="43">
        <f t="array" ref="I12">IF(OR($D12="",$D12="NO ENCONTRADO"),"",_xlfn.XLOOKUP($D12,Productos!$E:$E,Productos!$F:$F,""))</f>
        <v/>
      </c>
      <c r="J12" s="43">
        <f>IF($C12="","",IF($D12="NO ENCONTRADO",IF(COUNTIF($C$7:$C$1000,$C12)&gt;1,"⚠️ No encontrado | Duplicado","⚠️ No encontrado"),IF(COUNTIF($C$7:$C$1000,$C12)&gt;1,"⚠️ Duplicado","Verificado")))</f>
        <v/>
      </c>
    </row>
    <row r="13" ht="18" customHeight="1" s="176">
      <c r="A13" s="53" t="n"/>
      <c r="B13" s="11" t="n"/>
      <c r="C13" s="77" t="n"/>
      <c r="D13" s="43">
        <f t="array" ref="D13">IF($C13="","",IFNA(_xlfn.XLOOKUP($C13,Productos!$A:$A,Productos!$E:$E,IFNA(_xlfn.XLOOKUP(TEXT($C13,"0"),Productos!$A:$A,Productos!$E:$E,IFNA(_xlfn.XLOOKUP(IFERROR(VALUE($C13),""),Productos!$A:$A,Productos!$E:$E,_xlfn.XLOOKUP($C13,Productos!$E:$E,Productos!$E:$E,"NO ENCONTRADO")),"NO ENCONTRADO")),"NO ENCONTRADO")),"NO ENCONTRADO"))</f>
        <v/>
      </c>
      <c r="E13" s="44">
        <f t="array" ref="E13">IF(OR($D13="",$D13="NO ENCONTRADO"),"",_xlfn.XLOOKUP($D13,Productos!$E:$E,Productos!$H:$H,""))</f>
        <v/>
      </c>
      <c r="F13" s="43">
        <f t="array" ref="F13">IF(OR($D13="",$D13="NO ENCONTRADO"),"",_xlfn.XLOOKUP($D13,Productos!$E:$E,Productos!$I:$I,""))</f>
        <v/>
      </c>
      <c r="G13" s="43">
        <f t="array" ref="G13">IF(OR($D13="",$D13="NO ENCONTRADO"),"",_xlfn.XLOOKUP($D13,Productos!$E:$E,Productos!$J:$J,""))</f>
        <v/>
      </c>
      <c r="H13" s="43">
        <f t="array" ref="H13">IF(OR($D13="",$D13="NO ENCONTRADO"),"",_xlfn.XLOOKUP($D13,Productos!$E:$E,Productos!$K:$K,""))</f>
        <v/>
      </c>
      <c r="I13" s="43">
        <f t="array" ref="I13">IF(OR($D13="",$D13="NO ENCONTRADO"),"",_xlfn.XLOOKUP($D13,Productos!$E:$E,Productos!$F:$F,""))</f>
        <v/>
      </c>
      <c r="J13" s="43">
        <f>IF($C13="","",IF($D13="NO ENCONTRADO",IF(COUNTIF($C$7:$C$1000,$C13)&gt;1,"⚠️ No encontrado | Duplicado","⚠️ No encontrado"),IF(COUNTIF($C$7:$C$1000,$C13)&gt;1,"⚠️ Duplicado","Verificado")))</f>
        <v/>
      </c>
    </row>
    <row r="14" ht="18" customHeight="1" s="176">
      <c r="A14" s="53" t="n"/>
      <c r="B14" s="11" t="n"/>
      <c r="C14" s="77" t="n"/>
      <c r="D14" s="43">
        <f t="array" ref="D14">IF($C14="","",IFNA(_xlfn.XLOOKUP($C14,Productos!$A:$A,Productos!$E:$E,IFNA(_xlfn.XLOOKUP(TEXT($C14,"0"),Productos!$A:$A,Productos!$E:$E,IFNA(_xlfn.XLOOKUP(IFERROR(VALUE($C14),""),Productos!$A:$A,Productos!$E:$E,_xlfn.XLOOKUP($C14,Productos!$E:$E,Productos!$E:$E,"NO ENCONTRADO")),"NO ENCONTRADO")),"NO ENCONTRADO")),"NO ENCONTRADO"))</f>
        <v/>
      </c>
      <c r="E14" s="44">
        <f t="array" ref="E14">IF(OR($D14="",$D14="NO ENCONTRADO"),"",_xlfn.XLOOKUP($D14,Productos!$E:$E,Productos!$H:$H,""))</f>
        <v/>
      </c>
      <c r="F14" s="43">
        <f t="array" ref="F14">IF(OR($D14="",$D14="NO ENCONTRADO"),"",_xlfn.XLOOKUP($D14,Productos!$E:$E,Productos!$I:$I,""))</f>
        <v/>
      </c>
      <c r="G14" s="43">
        <f t="array" ref="G14">IF(OR($D14="",$D14="NO ENCONTRADO"),"",_xlfn.XLOOKUP($D14,Productos!$E:$E,Productos!$J:$J,""))</f>
        <v/>
      </c>
      <c r="H14" s="43">
        <f t="array" ref="H14">IF(OR($D14="",$D14="NO ENCONTRADO"),"",_xlfn.XLOOKUP($D14,Productos!$E:$E,Productos!$K:$K,""))</f>
        <v/>
      </c>
      <c r="I14" s="43">
        <f t="array" ref="I14">IF(OR($D14="",$D14="NO ENCONTRADO"),"",_xlfn.XLOOKUP($D14,Productos!$E:$E,Productos!$F:$F,""))</f>
        <v/>
      </c>
      <c r="J14" s="43">
        <f>IF($C14="","",IF($D14="NO ENCONTRADO",IF(COUNTIF($C$7:$C$1000,$C14)&gt;1,"⚠️ No encontrado | Duplicado","⚠️ No encontrado"),IF(COUNTIF($C$7:$C$1000,$C14)&gt;1,"⚠️ Duplicado","Verificado")))</f>
        <v/>
      </c>
    </row>
    <row r="15" ht="18" customHeight="1" s="176">
      <c r="A15" s="53" t="n"/>
      <c r="B15" s="11" t="n"/>
      <c r="C15" s="77" t="n"/>
      <c r="D15" s="43">
        <f t="array" ref="D15">IF($C15="","",IFNA(_xlfn.XLOOKUP($C15,Productos!$A:$A,Productos!$E:$E,IFNA(_xlfn.XLOOKUP(TEXT($C15,"0"),Productos!$A:$A,Productos!$E:$E,IFNA(_xlfn.XLOOKUP(IFERROR(VALUE($C15),""),Productos!$A:$A,Productos!$E:$E,_xlfn.XLOOKUP($C15,Productos!$E:$E,Productos!$E:$E,"NO ENCONTRADO")),"NO ENCONTRADO")),"NO ENCONTRADO")),"NO ENCONTRADO"))</f>
        <v/>
      </c>
      <c r="E15" s="44">
        <f t="array" ref="E15">IF(OR($D15="",$D15="NO ENCONTRADO"),"",_xlfn.XLOOKUP($D15,Productos!$E:$E,Productos!$H:$H,""))</f>
        <v/>
      </c>
      <c r="F15" s="43">
        <f t="array" ref="F15">IF(OR($D15="",$D15="NO ENCONTRADO"),"",_xlfn.XLOOKUP($D15,Productos!$E:$E,Productos!$I:$I,""))</f>
        <v/>
      </c>
      <c r="G15" s="43">
        <f t="array" ref="G15">IF(OR($D15="",$D15="NO ENCONTRADO"),"",_xlfn.XLOOKUP($D15,Productos!$E:$E,Productos!$J:$J,""))</f>
        <v/>
      </c>
      <c r="H15" s="43">
        <f t="array" ref="H15">IF(OR($D15="",$D15="NO ENCONTRADO"),"",_xlfn.XLOOKUP($D15,Productos!$E:$E,Productos!$K:$K,""))</f>
        <v/>
      </c>
      <c r="I15" s="43">
        <f t="array" ref="I15">IF(OR($D15="",$D15="NO ENCONTRADO"),"",_xlfn.XLOOKUP($D15,Productos!$E:$E,Productos!$F:$F,""))</f>
        <v/>
      </c>
      <c r="J15" s="43">
        <f>IF($C15="","",IF($D15="NO ENCONTRADO",IF(COUNTIF($C$7:$C$1000,$C15)&gt;1,"⚠️ No encontrado | Duplicado","⚠️ No encontrado"),IF(COUNTIF($C$7:$C$1000,$C15)&gt;1,"⚠️ Duplicado","Verificado")))</f>
        <v/>
      </c>
    </row>
    <row r="16" ht="18" customHeight="1" s="176">
      <c r="A16" s="53" t="n"/>
      <c r="B16" s="11" t="n"/>
      <c r="C16" s="63" t="n"/>
      <c r="D16" s="43">
        <f t="array" ref="D16">IF($C16="","",IFNA(_xlfn.XLOOKUP($C16,Productos!$A:$A,Productos!$E:$E,IFNA(_xlfn.XLOOKUP(TEXT($C16,"0"),Productos!$A:$A,Productos!$E:$E,IFNA(_xlfn.XLOOKUP(IFERROR(VALUE($C16),""),Productos!$A:$A,Productos!$E:$E,_xlfn.XLOOKUP($C16,Productos!$E:$E,Productos!$E:$E,"NO ENCONTRADO")),"NO ENCONTRADO")),"NO ENCONTRADO")),"NO ENCONTRADO"))</f>
        <v/>
      </c>
      <c r="E16" s="44">
        <f t="array" ref="E16">IF(OR($D16="",$D16="NO ENCONTRADO"),"",_xlfn.XLOOKUP($D16,Productos!$E:$E,Productos!$H:$H,""))</f>
        <v/>
      </c>
      <c r="F16" s="43">
        <f t="array" ref="F16">IF(OR($D16="",$D16="NO ENCONTRADO"),"",_xlfn.XLOOKUP($D16,Productos!$E:$E,Productos!$I:$I,""))</f>
        <v/>
      </c>
      <c r="G16" s="43">
        <f t="array" ref="G16">IF(OR($D16="",$D16="NO ENCONTRADO"),"",_xlfn.XLOOKUP($D16,Productos!$E:$E,Productos!$J:$J,""))</f>
        <v/>
      </c>
      <c r="H16" s="43">
        <f t="array" ref="H16">IF(OR($D16="",$D16="NO ENCONTRADO"),"",_xlfn.XLOOKUP($D16,Productos!$E:$E,Productos!$K:$K,""))</f>
        <v/>
      </c>
      <c r="I16" s="43">
        <f t="array" ref="I16">IF(OR($D16="",$D16="NO ENCONTRADO"),"",_xlfn.XLOOKUP($D16,Productos!$E:$E,Productos!$F:$F,""))</f>
        <v/>
      </c>
      <c r="J16" s="43">
        <f>IF($C16="","",IF($D16="NO ENCONTRADO",IF(COUNTIF($C$7:$C$1000,$C16)&gt;1,"⚠️ No encontrado | Duplicado","⚠️ No encontrado"),IF(COUNTIF($C$7:$C$1000,$C16)&gt;1,"⚠️ Duplicado","Verificado")))</f>
        <v/>
      </c>
    </row>
    <row r="17" ht="18" customHeight="1" s="176">
      <c r="A17" s="34" t="n"/>
      <c r="B17" s="11" t="n"/>
      <c r="C17" s="63" t="n"/>
      <c r="D17" s="43">
        <f t="array" ref="D17">IF($C17="","",IFNA(_xlfn.XLOOKUP($C17,Productos!$A:$A,Productos!$E:$E,IFNA(_xlfn.XLOOKUP(TEXT($C17,"0"),Productos!$A:$A,Productos!$E:$E,IFNA(_xlfn.XLOOKUP(IFERROR(VALUE($C17),""),Productos!$A:$A,Productos!$E:$E,_xlfn.XLOOKUP($C17,Productos!$E:$E,Productos!$E:$E,"NO ENCONTRADO")),"NO ENCONTRADO")),"NO ENCONTRADO")),"NO ENCONTRADO"))</f>
        <v/>
      </c>
      <c r="E17" s="44">
        <f t="array" ref="E17">IF(OR($D17="",$D17="NO ENCONTRADO"),"",_xlfn.XLOOKUP($D17,Productos!$E:$E,Productos!$H:$H,""))</f>
        <v/>
      </c>
      <c r="F17" s="43">
        <f t="array" ref="F17">IF(OR($D17="",$D17="NO ENCONTRADO"),"",_xlfn.XLOOKUP($D17,Productos!$E:$E,Productos!$I:$I,""))</f>
        <v/>
      </c>
      <c r="G17" s="43">
        <f t="array" ref="G17">IF(OR($D17="",$D17="NO ENCONTRADO"),"",_xlfn.XLOOKUP($D17,Productos!$E:$E,Productos!$J:$J,""))</f>
        <v/>
      </c>
      <c r="H17" s="43">
        <f t="array" ref="H17">IF(OR($D17="",$D17="NO ENCONTRADO"),"",_xlfn.XLOOKUP($D17,Productos!$E:$E,Productos!$K:$K,""))</f>
        <v/>
      </c>
      <c r="I17" s="43">
        <f t="array" ref="I17">IF(OR($D17="",$D17="NO ENCONTRADO"),"",_xlfn.XLOOKUP($D17,Productos!$E:$E,Productos!$F:$F,""))</f>
        <v/>
      </c>
      <c r="J17" s="43">
        <f>IF($C17="","",IF($D17="NO ENCONTRADO",IF(COUNTIF($C$7:$C$1000,$C17)&gt;1,"⚠️ No encontrado | Duplicado","⚠️ No encontrado"),IF(COUNTIF($C$7:$C$1000,$C17)&gt;1,"⚠️ Duplicado","Verificado")))</f>
        <v/>
      </c>
    </row>
    <row r="18" ht="18" customHeight="1" s="176">
      <c r="A18" s="53" t="n"/>
      <c r="B18" s="11" t="n"/>
      <c r="C18" s="63" t="n"/>
      <c r="D18" s="43">
        <f t="array" ref="D18">IF($C18="","",IFNA(_xlfn.XLOOKUP($C18,Productos!$A:$A,Productos!$E:$E,IFNA(_xlfn.XLOOKUP(TEXT($C18,"0"),Productos!$A:$A,Productos!$E:$E,IFNA(_xlfn.XLOOKUP(IFERROR(VALUE($C18),""),Productos!$A:$A,Productos!$E:$E,_xlfn.XLOOKUP($C18,Productos!$E:$E,Productos!$E:$E,"NO ENCONTRADO")),"NO ENCONTRADO")),"NO ENCONTRADO")),"NO ENCONTRADO"))</f>
        <v/>
      </c>
      <c r="E18" s="44">
        <f t="array" ref="E18">IF(OR($D18="",$D18="NO ENCONTRADO"),"",_xlfn.XLOOKUP($D18,Productos!$E:$E,Productos!$H:$H,""))</f>
        <v/>
      </c>
      <c r="F18" s="43">
        <f t="array" ref="F18">IF(OR($D18="",$D18="NO ENCONTRADO"),"",_xlfn.XLOOKUP($D18,Productos!$E:$E,Productos!$I:$I,""))</f>
        <v/>
      </c>
      <c r="G18" s="43">
        <f t="array" ref="G18">IF(OR($D18="",$D18="NO ENCONTRADO"),"",_xlfn.XLOOKUP($D18,Productos!$E:$E,Productos!$J:$J,""))</f>
        <v/>
      </c>
      <c r="H18" s="43">
        <f t="array" ref="H18">IF(OR($D18="",$D18="NO ENCONTRADO"),"",_xlfn.XLOOKUP($D18,Productos!$E:$E,Productos!$K:$K,""))</f>
        <v/>
      </c>
      <c r="I18" s="43">
        <f t="array" ref="I18">IF(OR($D18="",$D18="NO ENCONTRADO"),"",_xlfn.XLOOKUP($D18,Productos!$E:$E,Productos!$F:$F,""))</f>
        <v/>
      </c>
      <c r="J18" s="43">
        <f>IF($C18="","",IF($D18="NO ENCONTRADO",IF(COUNTIF($C$7:$C$1000,$C18)&gt;1,"⚠️ No encontrado | Duplicado","⚠️ No encontrado"),IF(COUNTIF($C$7:$C$1000,$C18)&gt;1,"⚠️ Duplicado","Verificado")))</f>
        <v/>
      </c>
    </row>
    <row r="19" ht="18" customHeight="1" s="176">
      <c r="A19" s="53" t="n"/>
      <c r="B19" s="11" t="n"/>
      <c r="C19" s="63" t="n"/>
      <c r="D19" s="43">
        <f t="array" ref="D19">IF($C19="","",IFNA(_xlfn.XLOOKUP($C19,Productos!$A:$A,Productos!$E:$E,IFNA(_xlfn.XLOOKUP(TEXT($C19,"0"),Productos!$A:$A,Productos!$E:$E,IFNA(_xlfn.XLOOKUP(IFERROR(VALUE($C19),""),Productos!$A:$A,Productos!$E:$E,_xlfn.XLOOKUP($C19,Productos!$E:$E,Productos!$E:$E,"NO ENCONTRADO")),"NO ENCONTRADO")),"NO ENCONTRADO")),"NO ENCONTRADO"))</f>
        <v/>
      </c>
      <c r="E19" s="44">
        <f t="array" ref="E19">IF(OR($D19="",$D19="NO ENCONTRADO"),"",_xlfn.XLOOKUP($D19,Productos!$E:$E,Productos!$H:$H,""))</f>
        <v/>
      </c>
      <c r="F19" s="43">
        <f t="array" ref="F19">IF(OR($D19="",$D19="NO ENCONTRADO"),"",_xlfn.XLOOKUP($D19,Productos!$E:$E,Productos!$I:$I,""))</f>
        <v/>
      </c>
      <c r="G19" s="43">
        <f t="array" ref="G19">IF(OR($D19="",$D19="NO ENCONTRADO"),"",_xlfn.XLOOKUP($D19,Productos!$E:$E,Productos!$J:$J,""))</f>
        <v/>
      </c>
      <c r="H19" s="43">
        <f t="array" ref="H19">IF(OR($D19="",$D19="NO ENCONTRADO"),"",_xlfn.XLOOKUP($D19,Productos!$E:$E,Productos!$K:$K,""))</f>
        <v/>
      </c>
      <c r="I19" s="43">
        <f t="array" ref="I19">IF(OR($D19="",$D19="NO ENCONTRADO"),"",_xlfn.XLOOKUP($D19,Productos!$E:$E,Productos!$F:$F,""))</f>
        <v/>
      </c>
      <c r="J19" s="43">
        <f>IF($C19="","",IF($D19="NO ENCONTRADO",IF(COUNTIF($C$7:$C$1000,$C19)&gt;1,"⚠️ No encontrado | Duplicado","⚠️ No encontrado"),IF(COUNTIF($C$7:$C$1000,$C19)&gt;1,"⚠️ Duplicado","Verificado")))</f>
        <v/>
      </c>
    </row>
    <row r="20" ht="18" customHeight="1" s="176">
      <c r="A20" s="53" t="n"/>
      <c r="B20" s="11" t="n"/>
      <c r="C20" s="63" t="n"/>
      <c r="D20" s="43">
        <f t="array" ref="D20">IF($C20="","",IFNA(_xlfn.XLOOKUP($C20,Productos!$A:$A,Productos!$E:$E,IFNA(_xlfn.XLOOKUP(TEXT($C20,"0"),Productos!$A:$A,Productos!$E:$E,IFNA(_xlfn.XLOOKUP(IFERROR(VALUE($C20),""),Productos!$A:$A,Productos!$E:$E,_xlfn.XLOOKUP($C20,Productos!$E:$E,Productos!$E:$E,"NO ENCONTRADO")),"NO ENCONTRADO")),"NO ENCONTRADO")),"NO ENCONTRADO"))</f>
        <v/>
      </c>
      <c r="E20" s="44">
        <f t="array" ref="E20">IF(OR($D20="",$D20="NO ENCONTRADO"),"",_xlfn.XLOOKUP($D20,Productos!$E:$E,Productos!$H:$H,""))</f>
        <v/>
      </c>
      <c r="F20" s="43">
        <f t="array" ref="F20">IF(OR($D20="",$D20="NO ENCONTRADO"),"",_xlfn.XLOOKUP($D20,Productos!$E:$E,Productos!$I:$I,""))</f>
        <v/>
      </c>
      <c r="G20" s="43">
        <f t="array" ref="G20">IF(OR($D20="",$D20="NO ENCONTRADO"),"",_xlfn.XLOOKUP($D20,Productos!$E:$E,Productos!$J:$J,""))</f>
        <v/>
      </c>
      <c r="H20" s="43">
        <f t="array" ref="H20">IF(OR($D20="",$D20="NO ENCONTRADO"),"",_xlfn.XLOOKUP($D20,Productos!$E:$E,Productos!$K:$K,""))</f>
        <v/>
      </c>
      <c r="I20" s="43">
        <f t="array" ref="I20">IF(OR($D20="",$D20="NO ENCONTRADO"),"",_xlfn.XLOOKUP($D20,Productos!$E:$E,Productos!$F:$F,""))</f>
        <v/>
      </c>
      <c r="J20" s="43">
        <f>IF($C20="","",IF($D20="NO ENCONTRADO",IF(COUNTIF($C$7:$C$1000,$C20)&gt;1,"⚠️ No encontrado | Duplicado","⚠️ No encontrado"),IF(COUNTIF($C$7:$C$1000,$C20)&gt;1,"⚠️ Duplicado","Verificado")))</f>
        <v/>
      </c>
    </row>
    <row r="21" ht="18" customHeight="1" s="176">
      <c r="A21" s="53" t="n"/>
      <c r="B21" s="11" t="n"/>
      <c r="C21" s="63" t="n"/>
      <c r="D21" s="43">
        <f t="array" ref="D21">IF($C21="","",IFNA(_xlfn.XLOOKUP($C21,Productos!$A:$A,Productos!$E:$E,IFNA(_xlfn.XLOOKUP(TEXT($C21,"0"),Productos!$A:$A,Productos!$E:$E,IFNA(_xlfn.XLOOKUP(IFERROR(VALUE($C21),""),Productos!$A:$A,Productos!$E:$E,_xlfn.XLOOKUP($C21,Productos!$E:$E,Productos!$E:$E,"NO ENCONTRADO")),"NO ENCONTRADO")),"NO ENCONTRADO")),"NO ENCONTRADO"))</f>
        <v/>
      </c>
      <c r="E21" s="44">
        <f t="array" ref="E21">IF(OR($D21="",$D21="NO ENCONTRADO"),"",_xlfn.XLOOKUP($D21,Productos!$E:$E,Productos!$H:$H,""))</f>
        <v/>
      </c>
      <c r="F21" s="43">
        <f t="array" ref="F21">IF(OR($D21="",$D21="NO ENCONTRADO"),"",_xlfn.XLOOKUP($D21,Productos!$E:$E,Productos!$I:$I,""))</f>
        <v/>
      </c>
      <c r="G21" s="43">
        <f t="array" ref="G21">IF(OR($D21="",$D21="NO ENCONTRADO"),"",_xlfn.XLOOKUP($D21,Productos!$E:$E,Productos!$J:$J,""))</f>
        <v/>
      </c>
      <c r="H21" s="43">
        <f t="array" ref="H21">IF(OR($D21="",$D21="NO ENCONTRADO"),"",_xlfn.XLOOKUP($D21,Productos!$E:$E,Productos!$K:$K,""))</f>
        <v/>
      </c>
      <c r="I21" s="43">
        <f t="array" ref="I21">IF(OR($D21="",$D21="NO ENCONTRADO"),"",_xlfn.XLOOKUP($D21,Productos!$E:$E,Productos!$F:$F,""))</f>
        <v/>
      </c>
      <c r="J21" s="43">
        <f>IF($C21="","",IF($D21="NO ENCONTRADO",IF(COUNTIF($C$7:$C$1000,$C21)&gt;1,"⚠️ No encontrado | Duplicado","⚠️ No encontrado"),IF(COUNTIF($C$7:$C$1000,$C21)&gt;1,"⚠️ Duplicado","Verificado")))</f>
        <v/>
      </c>
    </row>
    <row r="22" ht="18" customHeight="1" s="176">
      <c r="A22" s="10" t="n"/>
      <c r="B22" s="11" t="n"/>
      <c r="C22" s="63" t="n"/>
      <c r="D22" s="43">
        <f t="array" ref="D22">IF($C22="","",IFNA(_xlfn.XLOOKUP($C22,Productos!$A:$A,Productos!$E:$E,IFNA(_xlfn.XLOOKUP(TEXT($C22,"0"),Productos!$A:$A,Productos!$E:$E,IFNA(_xlfn.XLOOKUP(IFERROR(VALUE($C22),""),Productos!$A:$A,Productos!$E:$E,_xlfn.XLOOKUP($C22,Productos!$E:$E,Productos!$E:$E,"NO ENCONTRADO")),"NO ENCONTRADO")),"NO ENCONTRADO")),"NO ENCONTRADO"))</f>
        <v/>
      </c>
      <c r="E22" s="44">
        <f t="array" ref="E22">IF(OR($D22="",$D22="NO ENCONTRADO"),"",_xlfn.XLOOKUP($D22,Productos!$E:$E,Productos!$H:$H,""))</f>
        <v/>
      </c>
      <c r="F22" s="43">
        <f t="array" ref="F22">IF(OR($D22="",$D22="NO ENCONTRADO"),"",_xlfn.XLOOKUP($D22,Productos!$E:$E,Productos!$I:$I,""))</f>
        <v/>
      </c>
      <c r="G22" s="43">
        <f t="array" ref="G22">IF(OR($D22="",$D22="NO ENCONTRADO"),"",_xlfn.XLOOKUP($D22,Productos!$E:$E,Productos!$J:$J,""))</f>
        <v/>
      </c>
      <c r="H22" s="43">
        <f t="array" ref="H22">IF(OR($D22="",$D22="NO ENCONTRADO"),"",_xlfn.XLOOKUP($D22,Productos!$E:$E,Productos!$K:$K,""))</f>
        <v/>
      </c>
      <c r="I22" s="43">
        <f t="array" ref="I22">IF(OR($D22="",$D22="NO ENCONTRADO"),"",_xlfn.XLOOKUP($D22,Productos!$E:$E,Productos!$F:$F,""))</f>
        <v/>
      </c>
      <c r="J22" s="43">
        <f>IF($C22="","",IF($D22="NO ENCONTRADO",IF(COUNTIF($C$7:$C$1000,$C22)&gt;1,"⚠️ No encontrado | Duplicado","⚠️ No encontrado"),IF(COUNTIF($C$7:$C$1000,$C22)&gt;1,"⚠️ Duplicado","Verificado")))</f>
        <v/>
      </c>
    </row>
    <row r="23" ht="18" customHeight="1" s="176">
      <c r="A23" s="10" t="n"/>
      <c r="B23" s="11" t="n"/>
      <c r="C23" s="63" t="n"/>
      <c r="D23" s="43">
        <f t="array" ref="D23">IF($C23="","",IFNA(_xlfn.XLOOKUP($C23,Productos!$A:$A,Productos!$E:$E,IFNA(_xlfn.XLOOKUP(TEXT($C23,"0"),Productos!$A:$A,Productos!$E:$E,IFNA(_xlfn.XLOOKUP(IFERROR(VALUE($C23),""),Productos!$A:$A,Productos!$E:$E,_xlfn.XLOOKUP($C23,Productos!$E:$E,Productos!$E:$E,"NO ENCONTRADO")),"NO ENCONTRADO")),"NO ENCONTRADO")),"NO ENCONTRADO"))</f>
        <v/>
      </c>
      <c r="E23" s="44">
        <f t="array" ref="E23">IF(OR($D23="",$D23="NO ENCONTRADO"),"",_xlfn.XLOOKUP($D23,Productos!$E:$E,Productos!$H:$H,""))</f>
        <v/>
      </c>
      <c r="F23" s="43">
        <f t="array" ref="F23">IF(OR($D23="",$D23="NO ENCONTRADO"),"",_xlfn.XLOOKUP($D23,Productos!$E:$E,Productos!$I:$I,""))</f>
        <v/>
      </c>
      <c r="G23" s="43">
        <f t="array" ref="G23">IF(OR($D23="",$D23="NO ENCONTRADO"),"",_xlfn.XLOOKUP($D23,Productos!$E:$E,Productos!$J:$J,""))</f>
        <v/>
      </c>
      <c r="H23" s="43">
        <f t="array" ref="H23">IF(OR($D23="",$D23="NO ENCONTRADO"),"",_xlfn.XLOOKUP($D23,Productos!$E:$E,Productos!$K:$K,""))</f>
        <v/>
      </c>
      <c r="I23" s="43">
        <f t="array" ref="I23">IF(OR($D23="",$D23="NO ENCONTRADO"),"",_xlfn.XLOOKUP($D23,Productos!$E:$E,Productos!$F:$F,""))</f>
        <v/>
      </c>
      <c r="J23" s="43">
        <f>IF($C23="","",IF($D23="NO ENCONTRADO",IF(COUNTIF($C$7:$C$1000,$C23)&gt;1,"⚠️ No encontrado | Duplicado","⚠️ No encontrado"),IF(COUNTIF($C$7:$C$1000,$C23)&gt;1,"⚠️ Duplicado","Verificado")))</f>
        <v/>
      </c>
    </row>
    <row r="24" ht="18" customHeight="1" s="176">
      <c r="A24" s="10" t="n"/>
      <c r="B24" s="11" t="n"/>
      <c r="C24" s="63" t="n"/>
      <c r="D24" s="43">
        <f t="array" ref="D24">IF($C24="","",IFNA(_xlfn.XLOOKUP($C24,Productos!$A:$A,Productos!$E:$E,IFNA(_xlfn.XLOOKUP(TEXT($C24,"0"),Productos!$A:$A,Productos!$E:$E,IFNA(_xlfn.XLOOKUP(IFERROR(VALUE($C24),""),Productos!$A:$A,Productos!$E:$E,_xlfn.XLOOKUP($C24,Productos!$E:$E,Productos!$E:$E,"NO ENCONTRADO")),"NO ENCONTRADO")),"NO ENCONTRADO")),"NO ENCONTRADO"))</f>
        <v/>
      </c>
      <c r="E24" s="44">
        <f t="array" ref="E24">IF(OR($D24="",$D24="NO ENCONTRADO"),"",_xlfn.XLOOKUP($D24,Productos!$E:$E,Productos!$H:$H,""))</f>
        <v/>
      </c>
      <c r="F24" s="43">
        <f t="array" ref="F24">IF(OR($D24="",$D24="NO ENCONTRADO"),"",_xlfn.XLOOKUP($D24,Productos!$E:$E,Productos!$I:$I,""))</f>
        <v/>
      </c>
      <c r="G24" s="43">
        <f t="array" ref="G24">IF(OR($D24="",$D24="NO ENCONTRADO"),"",_xlfn.XLOOKUP($D24,Productos!$E:$E,Productos!$J:$J,""))</f>
        <v/>
      </c>
      <c r="H24" s="43">
        <f t="array" ref="H24">IF(OR($D24="",$D24="NO ENCONTRADO"),"",_xlfn.XLOOKUP($D24,Productos!$E:$E,Productos!$K:$K,""))</f>
        <v/>
      </c>
      <c r="I24" s="43">
        <f t="array" ref="I24">IF(OR($D24="",$D24="NO ENCONTRADO"),"",_xlfn.XLOOKUP($D24,Productos!$E:$E,Productos!$F:$F,""))</f>
        <v/>
      </c>
      <c r="J24" s="43">
        <f>IF($C24="","",IF($D24="NO ENCONTRADO",IF(COUNTIF($C$7:$C$1000,$C24)&gt;1,"⚠️ No encontrado | Duplicado","⚠️ No encontrado"),IF(COUNTIF($C$7:$C$1000,$C24)&gt;1,"⚠️ Duplicado","Verificado")))</f>
        <v/>
      </c>
    </row>
    <row r="25" ht="18" customHeight="1" s="176">
      <c r="A25" s="10" t="n"/>
      <c r="B25" s="11" t="n"/>
      <c r="C25" s="63" t="n"/>
      <c r="D25" s="43">
        <f t="array" ref="D25">IF($C25="","",IFNA(_xlfn.XLOOKUP($C25,Productos!$A:$A,Productos!$E:$E,IFNA(_xlfn.XLOOKUP(TEXT($C25,"0"),Productos!$A:$A,Productos!$E:$E,IFNA(_xlfn.XLOOKUP(IFERROR(VALUE($C25),""),Productos!$A:$A,Productos!$E:$E,_xlfn.XLOOKUP($C25,Productos!$E:$E,Productos!$E:$E,"NO ENCONTRADO")),"NO ENCONTRADO")),"NO ENCONTRADO")),"NO ENCONTRADO"))</f>
        <v/>
      </c>
      <c r="E25" s="44">
        <f t="array" ref="E25">IF(OR($D25="",$D25="NO ENCONTRADO"),"",_xlfn.XLOOKUP($D25,Productos!$E:$E,Productos!$H:$H,""))</f>
        <v/>
      </c>
      <c r="F25" s="43">
        <f t="array" ref="F25">IF(OR($D25="",$D25="NO ENCONTRADO"),"",_xlfn.XLOOKUP($D25,Productos!$E:$E,Productos!$I:$I,""))</f>
        <v/>
      </c>
      <c r="G25" s="43">
        <f t="array" ref="G25">IF(OR($D25="",$D25="NO ENCONTRADO"),"",_xlfn.XLOOKUP($D25,Productos!$E:$E,Productos!$J:$J,""))</f>
        <v/>
      </c>
      <c r="H25" s="43">
        <f t="array" ref="H25">IF(OR($D25="",$D25="NO ENCONTRADO"),"",_xlfn.XLOOKUP($D25,Productos!$E:$E,Productos!$K:$K,""))</f>
        <v/>
      </c>
      <c r="I25" s="43">
        <f t="array" ref="I25">IF(OR($D25="",$D25="NO ENCONTRADO"),"",_xlfn.XLOOKUP($D25,Productos!$E:$E,Productos!$F:$F,""))</f>
        <v/>
      </c>
      <c r="J25" s="43">
        <f>IF($C25="","",IF($D25="NO ENCONTRADO",IF(COUNTIF($C$7:$C$1000,$C25)&gt;1,"⚠️ No encontrado | Duplicado","⚠️ No encontrado"),IF(COUNTIF($C$7:$C$1000,$C25)&gt;1,"⚠️ Duplicado","Verificado")))</f>
        <v/>
      </c>
    </row>
    <row r="26" ht="15.75" customHeight="1" s="176">
      <c r="B26" s="47" t="n"/>
      <c r="C26" s="77" t="n"/>
      <c r="D26" s="74">
        <f t="array" ref="D26">IF($C26="","",IFNA(_xlfn.XLOOKUP($C26,Productos!$A:$A,Productos!$E:$E,IFNA(_xlfn.XLOOKUP(TEXT($C26,"0"),Productos!$A:$A,Productos!$E:$E,IFNA(_xlfn.XLOOKUP(IFERROR(VALUE($C26),""),Productos!$A:$A,Productos!$E:$E,_xlfn.XLOOKUP($C26,Productos!$E:$E,Productos!$E:$E,"NO ENCONTRADO")),"NO ENCONTRADO")),"NO ENCONTRADO")),"NO ENCONTRADO"))</f>
        <v/>
      </c>
      <c r="E26" s="74">
        <f t="array" ref="E26">IF(OR($D26="",$D26="NO ENCONTRADO"),"",_xlfn.XLOOKUP($D26,Productos!$E:$E,Productos!$H:$H,""))</f>
        <v/>
      </c>
      <c r="F26" s="74">
        <f t="array" ref="F26">IF(OR($D26="",$D26="NO ENCONTRADO"),"",_xlfn.XLOOKUP($D26,Productos!$E:$E,Productos!$I:$I,""))</f>
        <v/>
      </c>
      <c r="G26" s="74">
        <f t="array" ref="G26">IF(OR($D26="",$D26="NO ENCONTRADO"),"",_xlfn.XLOOKUP($D26,Productos!$E:$E,Productos!$J:$J,""))</f>
        <v/>
      </c>
      <c r="H26" s="74">
        <f t="array" ref="H26">IF(OR($D26="",$D26="NO ENCONTRADO"),"",_xlfn.XLOOKUP($D26,Productos!$E:$E,Productos!$K:$K,""))</f>
        <v/>
      </c>
      <c r="I26" s="74">
        <f t="array" ref="I26">IF(OR($D26="",$D26="NO ENCONTRADO"),"",_xlfn.XLOOKUP($D26,Productos!$E:$E,Productos!$F:$F,""))</f>
        <v/>
      </c>
      <c r="J26" s="74">
        <f>IF($C26="","",IF($D26="NO ENCONTRADO",IF(COUNTIF($C$7:$C$1000,$C26)&gt;1,"⚠️ No encontrado | Duplicado","⚠️ No encontrado"),IF(COUNTIF($C$7:$C$1000,$C26)&gt;1,"⚠️ Duplicado","Verificado")))</f>
        <v/>
      </c>
    </row>
    <row r="27" ht="15.75" customHeight="1" s="176">
      <c r="B27" s="47" t="n"/>
      <c r="C27" s="77" t="n"/>
      <c r="D27" s="74">
        <f t="array" ref="D27">IF($C27="","",IFNA(_xlfn.XLOOKUP($C27,Productos!$A:$A,Productos!$E:$E,IFNA(_xlfn.XLOOKUP(TEXT($C27,"0"),Productos!$A:$A,Productos!$E:$E,IFNA(_xlfn.XLOOKUP(IFERROR(VALUE($C27),""),Productos!$A:$A,Productos!$E:$E,_xlfn.XLOOKUP($C27,Productos!$E:$E,Productos!$E:$E,"NO ENCONTRADO")),"NO ENCONTRADO")),"NO ENCONTRADO")),"NO ENCONTRADO"))</f>
        <v/>
      </c>
      <c r="E27" s="74">
        <f t="array" ref="E27">IF(OR($D27="",$D27="NO ENCONTRADO"),"",_xlfn.XLOOKUP($D27,Productos!$E:$E,Productos!$H:$H,""))</f>
        <v/>
      </c>
      <c r="F27" s="74">
        <f t="array" ref="F27">IF(OR($D27="",$D27="NO ENCONTRADO"),"",_xlfn.XLOOKUP($D27,Productos!$E:$E,Productos!$I:$I,""))</f>
        <v/>
      </c>
      <c r="G27" s="74">
        <f t="array" ref="G27">IF(OR($D27="",$D27="NO ENCONTRADO"),"",_xlfn.XLOOKUP($D27,Productos!$E:$E,Productos!$J:$J,""))</f>
        <v/>
      </c>
      <c r="H27" s="74">
        <f t="array" ref="H27">IF(OR($D27="",$D27="NO ENCONTRADO"),"",_xlfn.XLOOKUP($D27,Productos!$E:$E,Productos!$K:$K,""))</f>
        <v/>
      </c>
      <c r="I27" s="74">
        <f t="array" ref="I27">IF(OR($D27="",$D27="NO ENCONTRADO"),"",_xlfn.XLOOKUP($D27,Productos!$E:$E,Productos!$F:$F,""))</f>
        <v/>
      </c>
      <c r="J27" s="74">
        <f>IF($C27="","",IF($D27="NO ENCONTRADO",IF(COUNTIF($C$7:$C$1000,$C27)&gt;1,"⚠️ No encontrado | Duplicado","⚠️ No encontrado"),IF(COUNTIF($C$7:$C$1000,$C27)&gt;1,"⚠️ Duplicado","Verificado")))</f>
        <v/>
      </c>
    </row>
    <row r="28" ht="15.75" customHeight="1" s="176">
      <c r="B28" s="47" t="n"/>
      <c r="C28" s="77" t="n"/>
      <c r="D28" s="74">
        <f t="array" ref="D28">IF($C28="","",IFNA(_xlfn.XLOOKUP($C28,Productos!$A:$A,Productos!$E:$E,IFNA(_xlfn.XLOOKUP(TEXT($C28,"0"),Productos!$A:$A,Productos!$E:$E,IFNA(_xlfn.XLOOKUP(IFERROR(VALUE($C28),""),Productos!$A:$A,Productos!$E:$E,_xlfn.XLOOKUP($C28,Productos!$E:$E,Productos!$E:$E,"NO ENCONTRADO")),"NO ENCONTRADO")),"NO ENCONTRADO")),"NO ENCONTRADO"))</f>
        <v/>
      </c>
      <c r="E28" s="74">
        <f t="array" ref="E28">IF(OR($D28="",$D28="NO ENCONTRADO"),"",_xlfn.XLOOKUP($D28,Productos!$E:$E,Productos!$H:$H,""))</f>
        <v/>
      </c>
      <c r="F28" s="74">
        <f t="array" ref="F28">IF(OR($D28="",$D28="NO ENCONTRADO"),"",_xlfn.XLOOKUP($D28,Productos!$E:$E,Productos!$I:$I,""))</f>
        <v/>
      </c>
      <c r="G28" s="74">
        <f t="array" ref="G28">IF(OR($D28="",$D28="NO ENCONTRADO"),"",_xlfn.XLOOKUP($D28,Productos!$E:$E,Productos!$J:$J,""))</f>
        <v/>
      </c>
      <c r="H28" s="74">
        <f t="array" ref="H28">IF(OR($D28="",$D28="NO ENCONTRADO"),"",_xlfn.XLOOKUP($D28,Productos!$E:$E,Productos!$K:$K,""))</f>
        <v/>
      </c>
      <c r="I28" s="74">
        <f t="array" ref="I28">IF(OR($D28="",$D28="NO ENCONTRADO"),"",_xlfn.XLOOKUP($D28,Productos!$E:$E,Productos!$F:$F,""))</f>
        <v/>
      </c>
      <c r="J28" s="74">
        <f>IF($C28="","",IF($D28="NO ENCONTRADO",IF(COUNTIF($C$7:$C$1000,$C28)&gt;1,"⚠️ No encontrado | Duplicado","⚠️ No encontrado"),IF(COUNTIF($C$7:$C$1000,$C28)&gt;1,"⚠️ Duplicado","Verificado")))</f>
        <v/>
      </c>
    </row>
    <row r="29" ht="15.75" customHeight="1" s="176">
      <c r="B29" s="47" t="n"/>
      <c r="C29" s="77" t="n"/>
      <c r="D29" s="74">
        <f t="array" ref="D29">IF($C29="","",IFNA(_xlfn.XLOOKUP($C29,Productos!$A:$A,Productos!$E:$E,IFNA(_xlfn.XLOOKUP(TEXT($C29,"0"),Productos!$A:$A,Productos!$E:$E,IFNA(_xlfn.XLOOKUP(IFERROR(VALUE($C29),""),Productos!$A:$A,Productos!$E:$E,_xlfn.XLOOKUP($C29,Productos!$E:$E,Productos!$E:$E,"NO ENCONTRADO")),"NO ENCONTRADO")),"NO ENCONTRADO")),"NO ENCONTRADO"))</f>
        <v/>
      </c>
      <c r="E29" s="74">
        <f t="array" ref="E29">IF(OR($D29="",$D29="NO ENCONTRADO"),"",_xlfn.XLOOKUP($D29,Productos!$E:$E,Productos!$H:$H,""))</f>
        <v/>
      </c>
      <c r="F29" s="74">
        <f t="array" ref="F29">IF(OR($D29="",$D29="NO ENCONTRADO"),"",_xlfn.XLOOKUP($D29,Productos!$E:$E,Productos!$I:$I,""))</f>
        <v/>
      </c>
      <c r="G29" s="74">
        <f t="array" ref="G29">IF(OR($D29="",$D29="NO ENCONTRADO"),"",_xlfn.XLOOKUP($D29,Productos!$E:$E,Productos!$J:$J,""))</f>
        <v/>
      </c>
      <c r="H29" s="74">
        <f t="array" ref="H29">IF(OR($D29="",$D29="NO ENCONTRADO"),"",_xlfn.XLOOKUP($D29,Productos!$E:$E,Productos!$K:$K,""))</f>
        <v/>
      </c>
      <c r="I29" s="74">
        <f t="array" ref="I29">IF(OR($D29="",$D29="NO ENCONTRADO"),"",_xlfn.XLOOKUP($D29,Productos!$E:$E,Productos!$F:$F,""))</f>
        <v/>
      </c>
      <c r="J29" s="74">
        <f>IF($C29="","",IF($D29="NO ENCONTRADO",IF(COUNTIF($C$7:$C$1000,$C29)&gt;1,"⚠️ No encontrado | Duplicado","⚠️ No encontrado"),IF(COUNTIF($C$7:$C$1000,$C29)&gt;1,"⚠️ Duplicado","Verificado")))</f>
        <v/>
      </c>
    </row>
    <row r="30" ht="15.75" customHeight="1" s="176">
      <c r="B30" s="47" t="n"/>
      <c r="C30" s="77" t="n"/>
      <c r="D30" s="74">
        <f t="array" ref="D30">IF($C30="","",IFNA(_xlfn.XLOOKUP($C30,Productos!$A:$A,Productos!$E:$E,IFNA(_xlfn.XLOOKUP(TEXT($C30,"0"),Productos!$A:$A,Productos!$E:$E,IFNA(_xlfn.XLOOKUP(IFERROR(VALUE($C30),""),Productos!$A:$A,Productos!$E:$E,_xlfn.XLOOKUP($C30,Productos!$E:$E,Productos!$E:$E,"NO ENCONTRADO")),"NO ENCONTRADO")),"NO ENCONTRADO")),"NO ENCONTRADO"))</f>
        <v/>
      </c>
      <c r="E30" s="74">
        <f t="array" ref="E30">IF(OR($D30="",$D30="NO ENCONTRADO"),"",_xlfn.XLOOKUP($D30,Productos!$E:$E,Productos!$H:$H,""))</f>
        <v/>
      </c>
      <c r="F30" s="74">
        <f t="array" ref="F30">IF(OR($D30="",$D30="NO ENCONTRADO"),"",_xlfn.XLOOKUP($D30,Productos!$E:$E,Productos!$I:$I,""))</f>
        <v/>
      </c>
      <c r="G30" s="74">
        <f t="array" ref="G30">IF(OR($D30="",$D30="NO ENCONTRADO"),"",_xlfn.XLOOKUP($D30,Productos!$E:$E,Productos!$J:$J,""))</f>
        <v/>
      </c>
      <c r="H30" s="74">
        <f t="array" ref="H30">IF(OR($D30="",$D30="NO ENCONTRADO"),"",_xlfn.XLOOKUP($D30,Productos!$E:$E,Productos!$K:$K,""))</f>
        <v/>
      </c>
      <c r="I30" s="74">
        <f t="array" ref="I30">IF(OR($D30="",$D30="NO ENCONTRADO"),"",_xlfn.XLOOKUP($D30,Productos!$E:$E,Productos!$F:$F,""))</f>
        <v/>
      </c>
      <c r="J30" s="74">
        <f>IF($C30="","",IF($D30="NO ENCONTRADO",IF(COUNTIF($C$7:$C$1000,$C30)&gt;1,"⚠️ No encontrado | Duplicado","⚠️ No encontrado"),IF(COUNTIF($C$7:$C$1000,$C30)&gt;1,"⚠️ Duplicado","Verificado")))</f>
        <v/>
      </c>
    </row>
    <row r="31" ht="15.75" customHeight="1" s="176">
      <c r="B31" s="47" t="n"/>
      <c r="C31" s="77" t="n"/>
      <c r="D31" s="74">
        <f t="array" ref="D31">IF($C31="","",IFNA(_xlfn.XLOOKUP($C31,Productos!$A:$A,Productos!$E:$E,IFNA(_xlfn.XLOOKUP(TEXT($C31,"0"),Productos!$A:$A,Productos!$E:$E,IFNA(_xlfn.XLOOKUP(IFERROR(VALUE($C31),""),Productos!$A:$A,Productos!$E:$E,_xlfn.XLOOKUP($C31,Productos!$E:$E,Productos!$E:$E,"NO ENCONTRADO")),"NO ENCONTRADO")),"NO ENCONTRADO")),"NO ENCONTRADO"))</f>
        <v/>
      </c>
      <c r="E31" s="74">
        <f t="array" ref="E31">IF(OR($D31="",$D31="NO ENCONTRADO"),"",_xlfn.XLOOKUP($D31,Productos!$E:$E,Productos!$H:$H,""))</f>
        <v/>
      </c>
      <c r="F31" s="74">
        <f t="array" ref="F31">IF(OR($D31="",$D31="NO ENCONTRADO"),"",_xlfn.XLOOKUP($D31,Productos!$E:$E,Productos!$I:$I,""))</f>
        <v/>
      </c>
      <c r="G31" s="74">
        <f t="array" ref="G31">IF(OR($D31="",$D31="NO ENCONTRADO"),"",_xlfn.XLOOKUP($D31,Productos!$E:$E,Productos!$J:$J,""))</f>
        <v/>
      </c>
      <c r="H31" s="74">
        <f t="array" ref="H31">IF(OR($D31="",$D31="NO ENCONTRADO"),"",_xlfn.XLOOKUP($D31,Productos!$E:$E,Productos!$K:$K,""))</f>
        <v/>
      </c>
      <c r="I31" s="74">
        <f t="array" ref="I31">IF(OR($D31="",$D31="NO ENCONTRADO"),"",_xlfn.XLOOKUP($D31,Productos!$E:$E,Productos!$F:$F,""))</f>
        <v/>
      </c>
      <c r="J31" s="74">
        <f>IF($C31="","",IF($D31="NO ENCONTRADO",IF(COUNTIF($C$7:$C$1000,$C31)&gt;1,"⚠️ No encontrado | Duplicado","⚠️ No encontrado"),IF(COUNTIF($C$7:$C$1000,$C31)&gt;1,"⚠️ Duplicado","Verificado")))</f>
        <v/>
      </c>
    </row>
    <row r="32" ht="15.75" customHeight="1" s="176">
      <c r="B32" s="47" t="n"/>
      <c r="C32" s="77" t="n"/>
      <c r="D32" s="74">
        <f t="array" ref="D32">IF($C32="","",IFNA(_xlfn.XLOOKUP($C32,Productos!$A:$A,Productos!$E:$E,IFNA(_xlfn.XLOOKUP(TEXT($C32,"0"),Productos!$A:$A,Productos!$E:$E,IFNA(_xlfn.XLOOKUP(IFERROR(VALUE($C32),""),Productos!$A:$A,Productos!$E:$E,_xlfn.XLOOKUP($C32,Productos!$E:$E,Productos!$E:$E,"NO ENCONTRADO")),"NO ENCONTRADO")),"NO ENCONTRADO")),"NO ENCONTRADO"))</f>
        <v/>
      </c>
      <c r="E32" s="74">
        <f t="array" ref="E32">IF(OR($D32="",$D32="NO ENCONTRADO"),"",_xlfn.XLOOKUP($D32,Productos!$E:$E,Productos!$H:$H,""))</f>
        <v/>
      </c>
      <c r="F32" s="74">
        <f t="array" ref="F32">IF(OR($D32="",$D32="NO ENCONTRADO"),"",_xlfn.XLOOKUP($D32,Productos!$E:$E,Productos!$I:$I,""))</f>
        <v/>
      </c>
      <c r="G32" s="74">
        <f t="array" ref="G32">IF(OR($D32="",$D32="NO ENCONTRADO"),"",_xlfn.XLOOKUP($D32,Productos!$E:$E,Productos!$J:$J,""))</f>
        <v/>
      </c>
      <c r="H32" s="74">
        <f t="array" ref="H32">IF(OR($D32="",$D32="NO ENCONTRADO"),"",_xlfn.XLOOKUP($D32,Productos!$E:$E,Productos!$K:$K,""))</f>
        <v/>
      </c>
      <c r="I32" s="74">
        <f t="array" ref="I32">IF(OR($D32="",$D32="NO ENCONTRADO"),"",_xlfn.XLOOKUP($D32,Productos!$E:$E,Productos!$F:$F,""))</f>
        <v/>
      </c>
      <c r="J32" s="74">
        <f>IF($C32="","",IF($D32="NO ENCONTRADO",IF(COUNTIF($C$7:$C$1000,$C32)&gt;1,"⚠️ No encontrado | Duplicado","⚠️ No encontrado"),IF(COUNTIF($C$7:$C$1000,$C32)&gt;1,"⚠️ Duplicado","Verificado")))</f>
        <v/>
      </c>
    </row>
    <row r="33" ht="15.75" customHeight="1" s="176">
      <c r="B33" s="47" t="n"/>
      <c r="C33" s="77" t="n"/>
      <c r="D33" s="74">
        <f t="array" ref="D33">IF($C33="","",IFNA(_xlfn.XLOOKUP($C33,Productos!$A:$A,Productos!$E:$E,IFNA(_xlfn.XLOOKUP(TEXT($C33,"0"),Productos!$A:$A,Productos!$E:$E,IFNA(_xlfn.XLOOKUP(IFERROR(VALUE($C33),""),Productos!$A:$A,Productos!$E:$E,_xlfn.XLOOKUP($C33,Productos!$E:$E,Productos!$E:$E,"NO ENCONTRADO")),"NO ENCONTRADO")),"NO ENCONTRADO")),"NO ENCONTRADO"))</f>
        <v/>
      </c>
      <c r="E33" s="74">
        <f t="array" ref="E33">IF(OR($D33="",$D33="NO ENCONTRADO"),"",_xlfn.XLOOKUP($D33,Productos!$E:$E,Productos!$H:$H,""))</f>
        <v/>
      </c>
      <c r="F33" s="74">
        <f t="array" ref="F33">IF(OR($D33="",$D33="NO ENCONTRADO"),"",_xlfn.XLOOKUP($D33,Productos!$E:$E,Productos!$I:$I,""))</f>
        <v/>
      </c>
      <c r="G33" s="74">
        <f t="array" ref="G33">IF(OR($D33="",$D33="NO ENCONTRADO"),"",_xlfn.XLOOKUP($D33,Productos!$E:$E,Productos!$J:$J,""))</f>
        <v/>
      </c>
      <c r="H33" s="74">
        <f t="array" ref="H33">IF(OR($D33="",$D33="NO ENCONTRADO"),"",_xlfn.XLOOKUP($D33,Productos!$E:$E,Productos!$K:$K,""))</f>
        <v/>
      </c>
      <c r="I33" s="74">
        <f t="array" ref="I33">IF(OR($D33="",$D33="NO ENCONTRADO"),"",_xlfn.XLOOKUP($D33,Productos!$E:$E,Productos!$F:$F,""))</f>
        <v/>
      </c>
      <c r="J33" s="74">
        <f>IF($C33="","",IF($D33="NO ENCONTRADO",IF(COUNTIF($C$7:$C$1000,$C33)&gt;1,"⚠️ No encontrado | Duplicado","⚠️ No encontrado"),IF(COUNTIF($C$7:$C$1000,$C33)&gt;1,"⚠️ Duplicado","Verificado")))</f>
        <v/>
      </c>
    </row>
    <row r="34" ht="15.75" customHeight="1" s="176">
      <c r="B34" s="47" t="n"/>
      <c r="C34" s="77" t="n"/>
      <c r="D34" s="74">
        <f t="array" ref="D34">IF($C34="","",IFNA(_xlfn.XLOOKUP($C34,Productos!$A:$A,Productos!$E:$E,IFNA(_xlfn.XLOOKUP(TEXT($C34,"0"),Productos!$A:$A,Productos!$E:$E,IFNA(_xlfn.XLOOKUP(IFERROR(VALUE($C34),""),Productos!$A:$A,Productos!$E:$E,_xlfn.XLOOKUP($C34,Productos!$E:$E,Productos!$E:$E,"NO ENCONTRADO")),"NO ENCONTRADO")),"NO ENCONTRADO")),"NO ENCONTRADO"))</f>
        <v/>
      </c>
      <c r="E34" s="74">
        <f t="array" ref="E34">IF(OR($D34="",$D34="NO ENCONTRADO"),"",_xlfn.XLOOKUP($D34,Productos!$E:$E,Productos!$H:$H,""))</f>
        <v/>
      </c>
      <c r="F34" s="74">
        <f t="array" ref="F34">IF(OR($D34="",$D34="NO ENCONTRADO"),"",_xlfn.XLOOKUP($D34,Productos!$E:$E,Productos!$I:$I,""))</f>
        <v/>
      </c>
      <c r="G34" s="74">
        <f t="array" ref="G34">IF(OR($D34="",$D34="NO ENCONTRADO"),"",_xlfn.XLOOKUP($D34,Productos!$E:$E,Productos!$J:$J,""))</f>
        <v/>
      </c>
      <c r="H34" s="74">
        <f t="array" ref="H34">IF(OR($D34="",$D34="NO ENCONTRADO"),"",_xlfn.XLOOKUP($D34,Productos!$E:$E,Productos!$K:$K,""))</f>
        <v/>
      </c>
      <c r="I34" s="74">
        <f t="array" ref="I34">IF(OR($D34="",$D34="NO ENCONTRADO"),"",_xlfn.XLOOKUP($D34,Productos!$E:$E,Productos!$F:$F,""))</f>
        <v/>
      </c>
      <c r="J34" s="74">
        <f>IF($C34="","",IF($D34="NO ENCONTRADO",IF(COUNTIF($C$7:$C$1000,$C34)&gt;1,"⚠️ No encontrado | Duplicado","⚠️ No encontrado"),IF(COUNTIF($C$7:$C$1000,$C34)&gt;1,"⚠️ Duplicado","Verificado")))</f>
        <v/>
      </c>
    </row>
    <row r="35" ht="15.75" customHeight="1" s="176">
      <c r="B35" s="47" t="n"/>
      <c r="C35" s="77" t="n"/>
      <c r="D35" s="74">
        <f t="array" ref="D35">IF($C35="","",IFNA(_xlfn.XLOOKUP($C35,Productos!$A:$A,Productos!$E:$E,IFNA(_xlfn.XLOOKUP(TEXT($C35,"0"),Productos!$A:$A,Productos!$E:$E,IFNA(_xlfn.XLOOKUP(IFERROR(VALUE($C35),""),Productos!$A:$A,Productos!$E:$E,_xlfn.XLOOKUP($C35,Productos!$E:$E,Productos!$E:$E,"NO ENCONTRADO")),"NO ENCONTRADO")),"NO ENCONTRADO")),"NO ENCONTRADO"))</f>
        <v/>
      </c>
      <c r="E35" s="74">
        <f t="array" ref="E35">IF(OR($D35="",$D35="NO ENCONTRADO"),"",_xlfn.XLOOKUP($D35,Productos!$E:$E,Productos!$H:$H,""))</f>
        <v/>
      </c>
      <c r="F35" s="74">
        <f t="array" ref="F35">IF(OR($D35="",$D35="NO ENCONTRADO"),"",_xlfn.XLOOKUP($D35,Productos!$E:$E,Productos!$I:$I,""))</f>
        <v/>
      </c>
      <c r="G35" s="74">
        <f t="array" ref="G35">IF(OR($D35="",$D35="NO ENCONTRADO"),"",_xlfn.XLOOKUP($D35,Productos!$E:$E,Productos!$J:$J,""))</f>
        <v/>
      </c>
      <c r="H35" s="74">
        <f t="array" ref="H35">IF(OR($D35="",$D35="NO ENCONTRADO"),"",_xlfn.XLOOKUP($D35,Productos!$E:$E,Productos!$K:$K,""))</f>
        <v/>
      </c>
      <c r="I35" s="74">
        <f t="array" ref="I35">IF(OR($D35="",$D35="NO ENCONTRADO"),"",_xlfn.XLOOKUP($D35,Productos!$E:$E,Productos!$F:$F,""))</f>
        <v/>
      </c>
      <c r="J35" s="74">
        <f>IF($C35="","",IF($D35="NO ENCONTRADO",IF(COUNTIF($C$7:$C$1000,$C35)&gt;1,"⚠️ No encontrado | Duplicado","⚠️ No encontrado"),IF(COUNTIF($C$7:$C$1000,$C35)&gt;1,"⚠️ Duplicado","Verificado")))</f>
        <v/>
      </c>
    </row>
    <row r="36" ht="15.75" customHeight="1" s="176">
      <c r="B36" s="47" t="n"/>
      <c r="C36" s="77" t="n"/>
      <c r="D36" s="74">
        <f t="array" ref="D36">IF($C36="","",IFNA(_xlfn.XLOOKUP($C36,Productos!$A:$A,Productos!$E:$E,IFNA(_xlfn.XLOOKUP(TEXT($C36,"0"),Productos!$A:$A,Productos!$E:$E,IFNA(_xlfn.XLOOKUP(IFERROR(VALUE($C36),""),Productos!$A:$A,Productos!$E:$E,_xlfn.XLOOKUP($C36,Productos!$E:$E,Productos!$E:$E,"NO ENCONTRADO")),"NO ENCONTRADO")),"NO ENCONTRADO")),"NO ENCONTRADO"))</f>
        <v/>
      </c>
      <c r="E36" s="74">
        <f t="array" ref="E36">IF(OR($D36="",$D36="NO ENCONTRADO"),"",_xlfn.XLOOKUP($D36,Productos!$E:$E,Productos!$H:$H,""))</f>
        <v/>
      </c>
      <c r="F36" s="74">
        <f t="array" ref="F36">IF(OR($D36="",$D36="NO ENCONTRADO"),"",_xlfn.XLOOKUP($D36,Productos!$E:$E,Productos!$I:$I,""))</f>
        <v/>
      </c>
      <c r="G36" s="74">
        <f t="array" ref="G36">IF(OR($D36="",$D36="NO ENCONTRADO"),"",_xlfn.XLOOKUP($D36,Productos!$E:$E,Productos!$J:$J,""))</f>
        <v/>
      </c>
      <c r="H36" s="74">
        <f t="array" ref="H36">IF(OR($D36="",$D36="NO ENCONTRADO"),"",_xlfn.XLOOKUP($D36,Productos!$E:$E,Productos!$K:$K,""))</f>
        <v/>
      </c>
      <c r="I36" s="74">
        <f t="array" ref="I36">IF(OR($D36="",$D36="NO ENCONTRADO"),"",_xlfn.XLOOKUP($D36,Productos!$E:$E,Productos!$F:$F,""))</f>
        <v/>
      </c>
      <c r="J36" s="74">
        <f>IF($C36="","",IF($D36="NO ENCONTRADO",IF(COUNTIF($C$7:$C$1000,$C36)&gt;1,"⚠️ No encontrado | Duplicado","⚠️ No encontrado"),IF(COUNTIF($C$7:$C$1000,$C36)&gt;1,"⚠️ Duplicado","Verificado")))</f>
        <v/>
      </c>
    </row>
    <row r="37" ht="15.75" customHeight="1" s="176">
      <c r="B37" s="47" t="n"/>
      <c r="C37" s="77" t="n"/>
      <c r="D37" s="74">
        <f t="array" ref="D37">IF($C37="","",IFNA(_xlfn.XLOOKUP($C37,Productos!$A:$A,Productos!$E:$E,IFNA(_xlfn.XLOOKUP(TEXT($C37,"0"),Productos!$A:$A,Productos!$E:$E,IFNA(_xlfn.XLOOKUP(IFERROR(VALUE($C37),""),Productos!$A:$A,Productos!$E:$E,_xlfn.XLOOKUP($C37,Productos!$E:$E,Productos!$E:$E,"NO ENCONTRADO")),"NO ENCONTRADO")),"NO ENCONTRADO")),"NO ENCONTRADO"))</f>
        <v/>
      </c>
      <c r="E37" s="74">
        <f t="array" ref="E37">IF(OR($D37="",$D37="NO ENCONTRADO"),"",_xlfn.XLOOKUP($D37,Productos!$E:$E,Productos!$H:$H,""))</f>
        <v/>
      </c>
      <c r="F37" s="74">
        <f t="array" ref="F37">IF(OR($D37="",$D37="NO ENCONTRADO"),"",_xlfn.XLOOKUP($D37,Productos!$E:$E,Productos!$I:$I,""))</f>
        <v/>
      </c>
      <c r="G37" s="74">
        <f t="array" ref="G37">IF(OR($D37="",$D37="NO ENCONTRADO"),"",_xlfn.XLOOKUP($D37,Productos!$E:$E,Productos!$J:$J,""))</f>
        <v/>
      </c>
      <c r="H37" s="74">
        <f t="array" ref="H37">IF(OR($D37="",$D37="NO ENCONTRADO"),"",_xlfn.XLOOKUP($D37,Productos!$E:$E,Productos!$K:$K,""))</f>
        <v/>
      </c>
      <c r="I37" s="74">
        <f t="array" ref="I37">IF(OR($D37="",$D37="NO ENCONTRADO"),"",_xlfn.XLOOKUP($D37,Productos!$E:$E,Productos!$F:$F,""))</f>
        <v/>
      </c>
      <c r="J37" s="74">
        <f>IF($C37="","",IF($D37="NO ENCONTRADO",IF(COUNTIF($C$7:$C$1000,$C37)&gt;1,"⚠️ No encontrado | Duplicado","⚠️ No encontrado"),IF(COUNTIF($C$7:$C$1000,$C37)&gt;1,"⚠️ Duplicado","Verificado")))</f>
        <v/>
      </c>
    </row>
    <row r="38" ht="15.75" customHeight="1" s="176">
      <c r="B38" s="47" t="n"/>
      <c r="C38" s="77" t="n"/>
      <c r="D38" s="74">
        <f t="array" ref="D38">IF($C38="","",IFNA(_xlfn.XLOOKUP($C38,Productos!$A:$A,Productos!$E:$E,IFNA(_xlfn.XLOOKUP(TEXT($C38,"0"),Productos!$A:$A,Productos!$E:$E,IFNA(_xlfn.XLOOKUP(IFERROR(VALUE($C38),""),Productos!$A:$A,Productos!$E:$E,_xlfn.XLOOKUP($C38,Productos!$E:$E,Productos!$E:$E,"NO ENCONTRADO")),"NO ENCONTRADO")),"NO ENCONTRADO")),"NO ENCONTRADO"))</f>
        <v/>
      </c>
      <c r="E38" s="74">
        <f t="array" ref="E38">IF(OR($D38="",$D38="NO ENCONTRADO"),"",_xlfn.XLOOKUP($D38,Productos!$E:$E,Productos!$H:$H,""))</f>
        <v/>
      </c>
      <c r="F38" s="74">
        <f t="array" ref="F38">IF(OR($D38="",$D38="NO ENCONTRADO"),"",_xlfn.XLOOKUP($D38,Productos!$E:$E,Productos!$I:$I,""))</f>
        <v/>
      </c>
      <c r="G38" s="74">
        <f t="array" ref="G38">IF(OR($D38="",$D38="NO ENCONTRADO"),"",_xlfn.XLOOKUP($D38,Productos!$E:$E,Productos!$J:$J,""))</f>
        <v/>
      </c>
      <c r="H38" s="74">
        <f t="array" ref="H38">IF(OR($D38="",$D38="NO ENCONTRADO"),"",_xlfn.XLOOKUP($D38,Productos!$E:$E,Productos!$K:$K,""))</f>
        <v/>
      </c>
      <c r="I38" s="74">
        <f t="array" ref="I38">IF(OR($D38="",$D38="NO ENCONTRADO"),"",_xlfn.XLOOKUP($D38,Productos!$E:$E,Productos!$F:$F,""))</f>
        <v/>
      </c>
      <c r="J38" s="74">
        <f>IF($C38="","",IF($D38="NO ENCONTRADO",IF(COUNTIF($C$7:$C$1000,$C38)&gt;1,"⚠️ No encontrado | Duplicado","⚠️ No encontrado"),IF(COUNTIF($C$7:$C$1000,$C38)&gt;1,"⚠️ Duplicado","Verificado")))</f>
        <v/>
      </c>
    </row>
    <row r="39" ht="15.75" customHeight="1" s="176">
      <c r="B39" s="47" t="n"/>
      <c r="C39" s="77" t="n"/>
      <c r="D39" s="74">
        <f t="array" ref="D39">IF($C39="","",IFNA(_xlfn.XLOOKUP($C39,Productos!$A:$A,Productos!$E:$E,IFNA(_xlfn.XLOOKUP(TEXT($C39,"0"),Productos!$A:$A,Productos!$E:$E,IFNA(_xlfn.XLOOKUP(IFERROR(VALUE($C39),""),Productos!$A:$A,Productos!$E:$E,_xlfn.XLOOKUP($C39,Productos!$E:$E,Productos!$E:$E,"NO ENCONTRADO")),"NO ENCONTRADO")),"NO ENCONTRADO")),"NO ENCONTRADO"))</f>
        <v/>
      </c>
      <c r="E39" s="74">
        <f t="array" ref="E39">IF(OR($D39="",$D39="NO ENCONTRADO"),"",_xlfn.XLOOKUP($D39,Productos!$E:$E,Productos!$H:$H,""))</f>
        <v/>
      </c>
      <c r="F39" s="74">
        <f t="array" ref="F39">IF(OR($D39="",$D39="NO ENCONTRADO"),"",_xlfn.XLOOKUP($D39,Productos!$E:$E,Productos!$I:$I,""))</f>
        <v/>
      </c>
      <c r="G39" s="74">
        <f t="array" ref="G39">IF(OR($D39="",$D39="NO ENCONTRADO"),"",_xlfn.XLOOKUP($D39,Productos!$E:$E,Productos!$J:$J,""))</f>
        <v/>
      </c>
      <c r="H39" s="74">
        <f t="array" ref="H39">IF(OR($D39="",$D39="NO ENCONTRADO"),"",_xlfn.XLOOKUP($D39,Productos!$E:$E,Productos!$K:$K,""))</f>
        <v/>
      </c>
      <c r="I39" s="74">
        <f t="array" ref="I39">IF(OR($D39="",$D39="NO ENCONTRADO"),"",_xlfn.XLOOKUP($D39,Productos!$E:$E,Productos!$F:$F,""))</f>
        <v/>
      </c>
      <c r="J39" s="74">
        <f>IF($C39="","",IF($D39="NO ENCONTRADO",IF(COUNTIF($C$7:$C$1000,$C39)&gt;1,"⚠️ No encontrado | Duplicado","⚠️ No encontrado"),IF(COUNTIF($C$7:$C$1000,$C39)&gt;1,"⚠️ Duplicado","Verificado")))</f>
        <v/>
      </c>
    </row>
    <row r="40" ht="15.75" customHeight="1" s="176">
      <c r="B40" s="47" t="n"/>
      <c r="C40" s="77" t="n"/>
      <c r="D40" s="74">
        <f t="array" ref="D40">IF($C40="","",IFNA(_xlfn.XLOOKUP($C40,Productos!$A:$A,Productos!$E:$E,IFNA(_xlfn.XLOOKUP(TEXT($C40,"0"),Productos!$A:$A,Productos!$E:$E,IFNA(_xlfn.XLOOKUP(IFERROR(VALUE($C40),""),Productos!$A:$A,Productos!$E:$E,_xlfn.XLOOKUP($C40,Productos!$E:$E,Productos!$E:$E,"NO ENCONTRADO")),"NO ENCONTRADO")),"NO ENCONTRADO")),"NO ENCONTRADO"))</f>
        <v/>
      </c>
      <c r="E40" s="74">
        <f t="array" ref="E40">IF(OR($D40="",$D40="NO ENCONTRADO"),"",_xlfn.XLOOKUP($D40,Productos!$E:$E,Productos!$H:$H,""))</f>
        <v/>
      </c>
      <c r="F40" s="74">
        <f t="array" ref="F40">IF(OR($D40="",$D40="NO ENCONTRADO"),"",_xlfn.XLOOKUP($D40,Productos!$E:$E,Productos!$I:$I,""))</f>
        <v/>
      </c>
      <c r="G40" s="74">
        <f t="array" ref="G40">IF(OR($D40="",$D40="NO ENCONTRADO"),"",_xlfn.XLOOKUP($D40,Productos!$E:$E,Productos!$J:$J,""))</f>
        <v/>
      </c>
      <c r="H40" s="74">
        <f t="array" ref="H40">IF(OR($D40="",$D40="NO ENCONTRADO"),"",_xlfn.XLOOKUP($D40,Productos!$E:$E,Productos!$K:$K,""))</f>
        <v/>
      </c>
      <c r="I40" s="74">
        <f t="array" ref="I40">IF(OR($D40="",$D40="NO ENCONTRADO"),"",_xlfn.XLOOKUP($D40,Productos!$E:$E,Productos!$F:$F,""))</f>
        <v/>
      </c>
      <c r="J40" s="74">
        <f>IF($C40="","",IF($D40="NO ENCONTRADO",IF(COUNTIF($C$7:$C$1000,$C40)&gt;1,"⚠️ No encontrado | Duplicado","⚠️ No encontrado"),IF(COUNTIF($C$7:$C$1000,$C40)&gt;1,"⚠️ Duplicado","Verificado")))</f>
        <v/>
      </c>
    </row>
    <row r="41" ht="15.75" customHeight="1" s="176">
      <c r="B41" s="47" t="n"/>
      <c r="C41" s="77" t="n"/>
      <c r="D41" s="74">
        <f t="array" ref="D41">IF($C41="","",IFNA(_xlfn.XLOOKUP($C41,Productos!$A:$A,Productos!$E:$E,IFNA(_xlfn.XLOOKUP(TEXT($C41,"0"),Productos!$A:$A,Productos!$E:$E,IFNA(_xlfn.XLOOKUP(IFERROR(VALUE($C41),""),Productos!$A:$A,Productos!$E:$E,_xlfn.XLOOKUP($C41,Productos!$E:$E,Productos!$E:$E,"NO ENCONTRADO")),"NO ENCONTRADO")),"NO ENCONTRADO")),"NO ENCONTRADO"))</f>
        <v/>
      </c>
      <c r="E41" s="74">
        <f t="array" ref="E41">IF(OR($D41="",$D41="NO ENCONTRADO"),"",_xlfn.XLOOKUP($D41,Productos!$E:$E,Productos!$H:$H,""))</f>
        <v/>
      </c>
      <c r="F41" s="74">
        <f t="array" ref="F41">IF(OR($D41="",$D41="NO ENCONTRADO"),"",_xlfn.XLOOKUP($D41,Productos!$E:$E,Productos!$I:$I,""))</f>
        <v/>
      </c>
      <c r="G41" s="74">
        <f t="array" ref="G41">IF(OR($D41="",$D41="NO ENCONTRADO"),"",_xlfn.XLOOKUP($D41,Productos!$E:$E,Productos!$J:$J,""))</f>
        <v/>
      </c>
      <c r="H41" s="74">
        <f t="array" ref="H41">IF(OR($D41="",$D41="NO ENCONTRADO"),"",_xlfn.XLOOKUP($D41,Productos!$E:$E,Productos!$K:$K,""))</f>
        <v/>
      </c>
      <c r="I41" s="74">
        <f t="array" ref="I41">IF(OR($D41="",$D41="NO ENCONTRADO"),"",_xlfn.XLOOKUP($D41,Productos!$E:$E,Productos!$F:$F,""))</f>
        <v/>
      </c>
      <c r="J41" s="74">
        <f>IF($C41="","",IF($D41="NO ENCONTRADO",IF(COUNTIF($C$7:$C$1000,$C41)&gt;1,"⚠️ No encontrado | Duplicado","⚠️ No encontrado"),IF(COUNTIF($C$7:$C$1000,$C41)&gt;1,"⚠️ Duplicado","Verificado")))</f>
        <v/>
      </c>
    </row>
    <row r="42" ht="15.75" customHeight="1" s="176">
      <c r="B42" s="47" t="n"/>
      <c r="C42" s="77" t="n"/>
      <c r="D42" s="74">
        <f t="array" ref="D42">IF($C42="","",IFNA(_xlfn.XLOOKUP($C42,Productos!$A:$A,Productos!$E:$E,IFNA(_xlfn.XLOOKUP(TEXT($C42,"0"),Productos!$A:$A,Productos!$E:$E,IFNA(_xlfn.XLOOKUP(IFERROR(VALUE($C42),""),Productos!$A:$A,Productos!$E:$E,_xlfn.XLOOKUP($C42,Productos!$E:$E,Productos!$E:$E,"NO ENCONTRADO")),"NO ENCONTRADO")),"NO ENCONTRADO")),"NO ENCONTRADO"))</f>
        <v/>
      </c>
      <c r="E42" s="74">
        <f t="array" ref="E42">IF(OR($D42="",$D42="NO ENCONTRADO"),"",_xlfn.XLOOKUP($D42,Productos!$E:$E,Productos!$H:$H,""))</f>
        <v/>
      </c>
      <c r="F42" s="74">
        <f t="array" ref="F42">IF(OR($D42="",$D42="NO ENCONTRADO"),"",_xlfn.XLOOKUP($D42,Productos!$E:$E,Productos!$I:$I,""))</f>
        <v/>
      </c>
      <c r="G42" s="74">
        <f t="array" ref="G42">IF(OR($D42="",$D42="NO ENCONTRADO"),"",_xlfn.XLOOKUP($D42,Productos!$E:$E,Productos!$J:$J,""))</f>
        <v/>
      </c>
      <c r="H42" s="74">
        <f t="array" ref="H42">IF(OR($D42="",$D42="NO ENCONTRADO"),"",_xlfn.XLOOKUP($D42,Productos!$E:$E,Productos!$K:$K,""))</f>
        <v/>
      </c>
      <c r="I42" s="74">
        <f t="array" ref="I42">IF(OR($D42="",$D42="NO ENCONTRADO"),"",_xlfn.XLOOKUP($D42,Productos!$E:$E,Productos!$F:$F,""))</f>
        <v/>
      </c>
      <c r="J42" s="74">
        <f>IF($C42="","",IF($D42="NO ENCONTRADO",IF(COUNTIF($C$7:$C$1000,$C42)&gt;1,"⚠️ No encontrado | Duplicado","⚠️ No encontrado"),IF(COUNTIF($C$7:$C$1000,$C42)&gt;1,"⚠️ Duplicado","Verificado")))</f>
        <v/>
      </c>
    </row>
    <row r="43" ht="15.75" customHeight="1" s="176">
      <c r="B43" s="47" t="n"/>
      <c r="C43" s="77" t="n"/>
      <c r="D43" s="74">
        <f t="array" ref="D43">IF($C43="","",IFNA(_xlfn.XLOOKUP($C43,Productos!$A:$A,Productos!$E:$E,IFNA(_xlfn.XLOOKUP(TEXT($C43,"0"),Productos!$A:$A,Productos!$E:$E,IFNA(_xlfn.XLOOKUP(IFERROR(VALUE($C43),""),Productos!$A:$A,Productos!$E:$E,_xlfn.XLOOKUP($C43,Productos!$E:$E,Productos!$E:$E,"NO ENCONTRADO")),"NO ENCONTRADO")),"NO ENCONTRADO")),"NO ENCONTRADO"))</f>
        <v/>
      </c>
      <c r="E43" s="74">
        <f t="array" ref="E43">IF(OR($D43="",$D43="NO ENCONTRADO"),"",_xlfn.XLOOKUP($D43,Productos!$E:$E,Productos!$H:$H,""))</f>
        <v/>
      </c>
      <c r="F43" s="74">
        <f t="array" ref="F43">IF(OR($D43="",$D43="NO ENCONTRADO"),"",_xlfn.XLOOKUP($D43,Productos!$E:$E,Productos!$I:$I,""))</f>
        <v/>
      </c>
      <c r="G43" s="74">
        <f t="array" ref="G43">IF(OR($D43="",$D43="NO ENCONTRADO"),"",_xlfn.XLOOKUP($D43,Productos!$E:$E,Productos!$J:$J,""))</f>
        <v/>
      </c>
      <c r="H43" s="74">
        <f t="array" ref="H43">IF(OR($D43="",$D43="NO ENCONTRADO"),"",_xlfn.XLOOKUP($D43,Productos!$E:$E,Productos!$K:$K,""))</f>
        <v/>
      </c>
      <c r="I43" s="74">
        <f t="array" ref="I43">IF(OR($D43="",$D43="NO ENCONTRADO"),"",_xlfn.XLOOKUP($D43,Productos!$E:$E,Productos!$F:$F,""))</f>
        <v/>
      </c>
      <c r="J43" s="74">
        <f>IF($C43="","",IF($D43="NO ENCONTRADO",IF(COUNTIF($C$7:$C$1000,$C43)&gt;1,"⚠️ No encontrado | Duplicado","⚠️ No encontrado"),IF(COUNTIF($C$7:$C$1000,$C43)&gt;1,"⚠️ Duplicado","Verificado")))</f>
        <v/>
      </c>
    </row>
    <row r="44" ht="15.75" customHeight="1" s="176">
      <c r="B44" s="47" t="n"/>
      <c r="C44" s="77" t="n"/>
      <c r="D44" s="74">
        <f t="array" ref="D44">IF($C44="","",IFNA(_xlfn.XLOOKUP($C44,Productos!$A:$A,Productos!$E:$E,IFNA(_xlfn.XLOOKUP(TEXT($C44,"0"),Productos!$A:$A,Productos!$E:$E,IFNA(_xlfn.XLOOKUP(IFERROR(VALUE($C44),""),Productos!$A:$A,Productos!$E:$E,_xlfn.XLOOKUP($C44,Productos!$E:$E,Productos!$E:$E,"NO ENCONTRADO")),"NO ENCONTRADO")),"NO ENCONTRADO")),"NO ENCONTRADO"))</f>
        <v/>
      </c>
      <c r="E44" s="74">
        <f t="array" ref="E44">IF(OR($D44="",$D44="NO ENCONTRADO"),"",_xlfn.XLOOKUP($D44,Productos!$E:$E,Productos!$H:$H,""))</f>
        <v/>
      </c>
      <c r="F44" s="74">
        <f t="array" ref="F44">IF(OR($D44="",$D44="NO ENCONTRADO"),"",_xlfn.XLOOKUP($D44,Productos!$E:$E,Productos!$I:$I,""))</f>
        <v/>
      </c>
      <c r="G44" s="74">
        <f t="array" ref="G44">IF(OR($D44="",$D44="NO ENCONTRADO"),"",_xlfn.XLOOKUP($D44,Productos!$E:$E,Productos!$J:$J,""))</f>
        <v/>
      </c>
      <c r="H44" s="74">
        <f t="array" ref="H44">IF(OR($D44="",$D44="NO ENCONTRADO"),"",_xlfn.XLOOKUP($D44,Productos!$E:$E,Productos!$K:$K,""))</f>
        <v/>
      </c>
      <c r="I44" s="74">
        <f t="array" ref="I44">IF(OR($D44="",$D44="NO ENCONTRADO"),"",_xlfn.XLOOKUP($D44,Productos!$E:$E,Productos!$F:$F,""))</f>
        <v/>
      </c>
      <c r="J44" s="74">
        <f>IF($C44="","",IF($D44="NO ENCONTRADO",IF(COUNTIF($C$7:$C$1000,$C44)&gt;1,"⚠️ No encontrado | Duplicado","⚠️ No encontrado"),IF(COUNTIF($C$7:$C$1000,$C44)&gt;1,"⚠️ Duplicado","Verificado")))</f>
        <v/>
      </c>
    </row>
    <row r="45" ht="15.75" customHeight="1" s="176">
      <c r="B45" s="47" t="n"/>
      <c r="C45" s="77" t="n"/>
      <c r="D45" s="74">
        <f t="array" ref="D45">IF($C45="","",IFNA(_xlfn.XLOOKUP($C45,Productos!$A:$A,Productos!$E:$E,IFNA(_xlfn.XLOOKUP(TEXT($C45,"0"),Productos!$A:$A,Productos!$E:$E,IFNA(_xlfn.XLOOKUP(IFERROR(VALUE($C45),""),Productos!$A:$A,Productos!$E:$E,_xlfn.XLOOKUP($C45,Productos!$E:$E,Productos!$E:$E,"NO ENCONTRADO")),"NO ENCONTRADO")),"NO ENCONTRADO")),"NO ENCONTRADO"))</f>
        <v/>
      </c>
      <c r="E45" s="74">
        <f t="array" ref="E45">IF(OR($D45="",$D45="NO ENCONTRADO"),"",_xlfn.XLOOKUP($D45,Productos!$E:$E,Productos!$H:$H,""))</f>
        <v/>
      </c>
      <c r="F45" s="74">
        <f t="array" ref="F45">IF(OR($D45="",$D45="NO ENCONTRADO"),"",_xlfn.XLOOKUP($D45,Productos!$E:$E,Productos!$I:$I,""))</f>
        <v/>
      </c>
      <c r="G45" s="74">
        <f t="array" ref="G45">IF(OR($D45="",$D45="NO ENCONTRADO"),"",_xlfn.XLOOKUP($D45,Productos!$E:$E,Productos!$J:$J,""))</f>
        <v/>
      </c>
      <c r="H45" s="74">
        <f t="array" ref="H45">IF(OR($D45="",$D45="NO ENCONTRADO"),"",_xlfn.XLOOKUP($D45,Productos!$E:$E,Productos!$K:$K,""))</f>
        <v/>
      </c>
      <c r="I45" s="74">
        <f t="array" ref="I45">IF(OR($D45="",$D45="NO ENCONTRADO"),"",_xlfn.XLOOKUP($D45,Productos!$E:$E,Productos!$F:$F,""))</f>
        <v/>
      </c>
      <c r="J45" s="74">
        <f>IF($C45="","",IF($D45="NO ENCONTRADO",IF(COUNTIF($C$7:$C$1000,$C45)&gt;1,"⚠️ No encontrado | Duplicado","⚠️ No encontrado"),IF(COUNTIF($C$7:$C$1000,$C45)&gt;1,"⚠️ Duplicado","Verificado")))</f>
        <v/>
      </c>
    </row>
    <row r="46" ht="15.75" customHeight="1" s="176">
      <c r="B46" s="47" t="n"/>
      <c r="C46" s="77" t="n"/>
      <c r="D46" s="74">
        <f t="array" ref="D46">IF($C46="","",IFNA(_xlfn.XLOOKUP($C46,Productos!$A:$A,Productos!$E:$E,IFNA(_xlfn.XLOOKUP(TEXT($C46,"0"),Productos!$A:$A,Productos!$E:$E,IFNA(_xlfn.XLOOKUP(IFERROR(VALUE($C46),""),Productos!$A:$A,Productos!$E:$E,_xlfn.XLOOKUP($C46,Productos!$E:$E,Productos!$E:$E,"NO ENCONTRADO")),"NO ENCONTRADO")),"NO ENCONTRADO")),"NO ENCONTRADO"))</f>
        <v/>
      </c>
      <c r="E46" s="74">
        <f t="array" ref="E46">IF(OR($D46="",$D46="NO ENCONTRADO"),"",_xlfn.XLOOKUP($D46,Productos!$E:$E,Productos!$H:$H,""))</f>
        <v/>
      </c>
      <c r="F46" s="74">
        <f t="array" ref="F46">IF(OR($D46="",$D46="NO ENCONTRADO"),"",_xlfn.XLOOKUP($D46,Productos!$E:$E,Productos!$I:$I,""))</f>
        <v/>
      </c>
      <c r="G46" s="74">
        <f t="array" ref="G46">IF(OR($D46="",$D46="NO ENCONTRADO"),"",_xlfn.XLOOKUP($D46,Productos!$E:$E,Productos!$J:$J,""))</f>
        <v/>
      </c>
      <c r="H46" s="74">
        <f t="array" ref="H46">IF(OR($D46="",$D46="NO ENCONTRADO"),"",_xlfn.XLOOKUP($D46,Productos!$E:$E,Productos!$K:$K,""))</f>
        <v/>
      </c>
      <c r="I46" s="74">
        <f t="array" ref="I46">IF(OR($D46="",$D46="NO ENCONTRADO"),"",_xlfn.XLOOKUP($D46,Productos!$E:$E,Productos!$F:$F,""))</f>
        <v/>
      </c>
      <c r="J46" s="74">
        <f>IF($C46="","",IF($D46="NO ENCONTRADO",IF(COUNTIF($C$7:$C$1000,$C46)&gt;1,"⚠️ No encontrado | Duplicado","⚠️ No encontrado"),IF(COUNTIF($C$7:$C$1000,$C46)&gt;1,"⚠️ Duplicado","Verificado")))</f>
        <v/>
      </c>
    </row>
    <row r="47" ht="15.75" customHeight="1" s="176">
      <c r="B47" s="47" t="n"/>
      <c r="C47" s="77" t="n"/>
      <c r="D47" s="74">
        <f t="array" ref="D47">IF($C47="","",IFNA(_xlfn.XLOOKUP($C47,Productos!$A:$A,Productos!$E:$E,IFNA(_xlfn.XLOOKUP(TEXT($C47,"0"),Productos!$A:$A,Productos!$E:$E,IFNA(_xlfn.XLOOKUP(IFERROR(VALUE($C47),""),Productos!$A:$A,Productos!$E:$E,_xlfn.XLOOKUP($C47,Productos!$E:$E,Productos!$E:$E,"NO ENCONTRADO")),"NO ENCONTRADO")),"NO ENCONTRADO")),"NO ENCONTRADO"))</f>
        <v/>
      </c>
      <c r="E47" s="74">
        <f t="array" ref="E47">IF(OR($D47="",$D47="NO ENCONTRADO"),"",_xlfn.XLOOKUP($D47,Productos!$E:$E,Productos!$H:$H,""))</f>
        <v/>
      </c>
      <c r="F47" s="74">
        <f t="array" ref="F47">IF(OR($D47="",$D47="NO ENCONTRADO"),"",_xlfn.XLOOKUP($D47,Productos!$E:$E,Productos!$I:$I,""))</f>
        <v/>
      </c>
      <c r="G47" s="74">
        <f t="array" ref="G47">IF(OR($D47="",$D47="NO ENCONTRADO"),"",_xlfn.XLOOKUP($D47,Productos!$E:$E,Productos!$J:$J,""))</f>
        <v/>
      </c>
      <c r="H47" s="74">
        <f t="array" ref="H47">IF(OR($D47="",$D47="NO ENCONTRADO"),"",_xlfn.XLOOKUP($D47,Productos!$E:$E,Productos!$K:$K,""))</f>
        <v/>
      </c>
      <c r="I47" s="74">
        <f t="array" ref="I47">IF(OR($D47="",$D47="NO ENCONTRADO"),"",_xlfn.XLOOKUP($D47,Productos!$E:$E,Productos!$F:$F,""))</f>
        <v/>
      </c>
      <c r="J47" s="74">
        <f>IF($C47="","",IF($D47="NO ENCONTRADO",IF(COUNTIF($C$7:$C$1000,$C47)&gt;1,"⚠️ No encontrado | Duplicado","⚠️ No encontrado"),IF(COUNTIF($C$7:$C$1000,$C47)&gt;1,"⚠️ Duplicado","Verificado")))</f>
        <v/>
      </c>
    </row>
    <row r="48" ht="15.75" customHeight="1" s="176">
      <c r="B48" s="47" t="n"/>
      <c r="C48" s="77" t="n"/>
      <c r="D48" s="74">
        <f t="array" ref="D48">IF($C48="","",IFNA(_xlfn.XLOOKUP($C48,Productos!$A:$A,Productos!$E:$E,IFNA(_xlfn.XLOOKUP(TEXT($C48,"0"),Productos!$A:$A,Productos!$E:$E,IFNA(_xlfn.XLOOKUP(IFERROR(VALUE($C48),""),Productos!$A:$A,Productos!$E:$E,_xlfn.XLOOKUP($C48,Productos!$E:$E,Productos!$E:$E,"NO ENCONTRADO")),"NO ENCONTRADO")),"NO ENCONTRADO")),"NO ENCONTRADO"))</f>
        <v/>
      </c>
      <c r="E48" s="74">
        <f t="array" ref="E48">IF(OR($D48="",$D48="NO ENCONTRADO"),"",_xlfn.XLOOKUP($D48,Productos!$E:$E,Productos!$H:$H,""))</f>
        <v/>
      </c>
      <c r="F48" s="74">
        <f t="array" ref="F48">IF(OR($D48="",$D48="NO ENCONTRADO"),"",_xlfn.XLOOKUP($D48,Productos!$E:$E,Productos!$I:$I,""))</f>
        <v/>
      </c>
      <c r="G48" s="74">
        <f t="array" ref="G48">IF(OR($D48="",$D48="NO ENCONTRADO"),"",_xlfn.XLOOKUP($D48,Productos!$E:$E,Productos!$J:$J,""))</f>
        <v/>
      </c>
      <c r="H48" s="74">
        <f t="array" ref="H48">IF(OR($D48="",$D48="NO ENCONTRADO"),"",_xlfn.XLOOKUP($D48,Productos!$E:$E,Productos!$K:$K,""))</f>
        <v/>
      </c>
      <c r="I48" s="74">
        <f t="array" ref="I48">IF(OR($D48="",$D48="NO ENCONTRADO"),"",_xlfn.XLOOKUP($D48,Productos!$E:$E,Productos!$F:$F,""))</f>
        <v/>
      </c>
      <c r="J48" s="74">
        <f>IF($C48="","",IF($D48="NO ENCONTRADO",IF(COUNTIF($C$7:$C$1000,$C48)&gt;1,"⚠️ No encontrado | Duplicado","⚠️ No encontrado"),IF(COUNTIF($C$7:$C$1000,$C48)&gt;1,"⚠️ Duplicado","Verificado")))</f>
        <v/>
      </c>
    </row>
    <row r="49" ht="15.75" customHeight="1" s="176">
      <c r="B49" s="47" t="n"/>
      <c r="C49" s="77" t="n"/>
      <c r="D49" s="74">
        <f t="array" ref="D49">IF($C49="","",IFNA(_xlfn.XLOOKUP($C49,Productos!$A:$A,Productos!$E:$E,IFNA(_xlfn.XLOOKUP(TEXT($C49,"0"),Productos!$A:$A,Productos!$E:$E,IFNA(_xlfn.XLOOKUP(IFERROR(VALUE($C49),""),Productos!$A:$A,Productos!$E:$E,_xlfn.XLOOKUP($C49,Productos!$E:$E,Productos!$E:$E,"NO ENCONTRADO")),"NO ENCONTRADO")),"NO ENCONTRADO")),"NO ENCONTRADO"))</f>
        <v/>
      </c>
      <c r="E49" s="74">
        <f t="array" ref="E49">IF(OR($D49="",$D49="NO ENCONTRADO"),"",_xlfn.XLOOKUP($D49,Productos!$E:$E,Productos!$H:$H,""))</f>
        <v/>
      </c>
      <c r="F49" s="74">
        <f t="array" ref="F49">IF(OR($D49="",$D49="NO ENCONTRADO"),"",_xlfn.XLOOKUP($D49,Productos!$E:$E,Productos!$I:$I,""))</f>
        <v/>
      </c>
      <c r="G49" s="74">
        <f t="array" ref="G49">IF(OR($D49="",$D49="NO ENCONTRADO"),"",_xlfn.XLOOKUP($D49,Productos!$E:$E,Productos!$J:$J,""))</f>
        <v/>
      </c>
      <c r="H49" s="74">
        <f t="array" ref="H49">IF(OR($D49="",$D49="NO ENCONTRADO"),"",_xlfn.XLOOKUP($D49,Productos!$E:$E,Productos!$K:$K,""))</f>
        <v/>
      </c>
      <c r="I49" s="74">
        <f t="array" ref="I49">IF(OR($D49="",$D49="NO ENCONTRADO"),"",_xlfn.XLOOKUP($D49,Productos!$E:$E,Productos!$F:$F,""))</f>
        <v/>
      </c>
      <c r="J49" s="74">
        <f>IF($C49="","",IF($D49="NO ENCONTRADO",IF(COUNTIF($C$7:$C$1000,$C49)&gt;1,"⚠️ No encontrado | Duplicado","⚠️ No encontrado"),IF(COUNTIF($C$7:$C$1000,$C49)&gt;1,"⚠️ Duplicado","Verificado")))</f>
        <v/>
      </c>
    </row>
    <row r="50" ht="15.75" customHeight="1" s="176">
      <c r="B50" s="47" t="n"/>
      <c r="C50" s="77" t="n"/>
      <c r="D50" s="74">
        <f t="array" ref="D50">IF($C50="","",IFNA(_xlfn.XLOOKUP($C50,Productos!$A:$A,Productos!$E:$E,IFNA(_xlfn.XLOOKUP(TEXT($C50,"0"),Productos!$A:$A,Productos!$E:$E,IFNA(_xlfn.XLOOKUP(IFERROR(VALUE($C50),""),Productos!$A:$A,Productos!$E:$E,_xlfn.XLOOKUP($C50,Productos!$E:$E,Productos!$E:$E,"NO ENCONTRADO")),"NO ENCONTRADO")),"NO ENCONTRADO")),"NO ENCONTRADO"))</f>
        <v/>
      </c>
      <c r="E50" s="74">
        <f t="array" ref="E50">IF(OR($D50="",$D50="NO ENCONTRADO"),"",_xlfn.XLOOKUP($D50,Productos!$E:$E,Productos!$H:$H,""))</f>
        <v/>
      </c>
      <c r="F50" s="74">
        <f t="array" ref="F50">IF(OR($D50="",$D50="NO ENCONTRADO"),"",_xlfn.XLOOKUP($D50,Productos!$E:$E,Productos!$I:$I,""))</f>
        <v/>
      </c>
      <c r="G50" s="74">
        <f t="array" ref="G50">IF(OR($D50="",$D50="NO ENCONTRADO"),"",_xlfn.XLOOKUP($D50,Productos!$E:$E,Productos!$J:$J,""))</f>
        <v/>
      </c>
      <c r="H50" s="74">
        <f t="array" ref="H50">IF(OR($D50="",$D50="NO ENCONTRADO"),"",_xlfn.XLOOKUP($D50,Productos!$E:$E,Productos!$K:$K,""))</f>
        <v/>
      </c>
      <c r="I50" s="74">
        <f t="array" ref="I50">IF(OR($D50="",$D50="NO ENCONTRADO"),"",_xlfn.XLOOKUP($D50,Productos!$E:$E,Productos!$F:$F,""))</f>
        <v/>
      </c>
      <c r="J50" s="74">
        <f>IF($C50="","",IF($D50="NO ENCONTRADO",IF(COUNTIF($C$7:$C$1000,$C50)&gt;1,"⚠️ No encontrado | Duplicado","⚠️ No encontrado"),IF(COUNTIF($C$7:$C$1000,$C50)&gt;1,"⚠️ Duplicado","Verificado")))</f>
        <v/>
      </c>
    </row>
    <row r="51" ht="15.75" customHeight="1" s="176">
      <c r="B51" s="47" t="n"/>
      <c r="C51" s="77" t="n"/>
      <c r="D51" s="74">
        <f t="array" ref="D51">IF($C51="","",IFNA(_xlfn.XLOOKUP($C51,Productos!$A:$A,Productos!$E:$E,IFNA(_xlfn.XLOOKUP(TEXT($C51,"0"),Productos!$A:$A,Productos!$E:$E,IFNA(_xlfn.XLOOKUP(IFERROR(VALUE($C51),""),Productos!$A:$A,Productos!$E:$E,_xlfn.XLOOKUP($C51,Productos!$E:$E,Productos!$E:$E,"NO ENCONTRADO")),"NO ENCONTRADO")),"NO ENCONTRADO")),"NO ENCONTRADO"))</f>
        <v/>
      </c>
      <c r="E51" s="74">
        <f t="array" ref="E51">IF(OR($D51="",$D51="NO ENCONTRADO"),"",_xlfn.XLOOKUP($D51,Productos!$E:$E,Productos!$H:$H,""))</f>
        <v/>
      </c>
      <c r="F51" s="74">
        <f t="array" ref="F51">IF(OR($D51="",$D51="NO ENCONTRADO"),"",_xlfn.XLOOKUP($D51,Productos!$E:$E,Productos!$I:$I,""))</f>
        <v/>
      </c>
      <c r="G51" s="74">
        <f t="array" ref="G51">IF(OR($D51="",$D51="NO ENCONTRADO"),"",_xlfn.XLOOKUP($D51,Productos!$E:$E,Productos!$J:$J,""))</f>
        <v/>
      </c>
      <c r="H51" s="74">
        <f t="array" ref="H51">IF(OR($D51="",$D51="NO ENCONTRADO"),"",_xlfn.XLOOKUP($D51,Productos!$E:$E,Productos!$K:$K,""))</f>
        <v/>
      </c>
      <c r="I51" s="74">
        <f t="array" ref="I51">IF(OR($D51="",$D51="NO ENCONTRADO"),"",_xlfn.XLOOKUP($D51,Productos!$E:$E,Productos!$F:$F,""))</f>
        <v/>
      </c>
      <c r="J51" s="74">
        <f>IF($C51="","",IF($D51="NO ENCONTRADO",IF(COUNTIF($C$7:$C$1000,$C51)&gt;1,"⚠️ No encontrado | Duplicado","⚠️ No encontrado"),IF(COUNTIF($C$7:$C$1000,$C51)&gt;1,"⚠️ Duplicado","Verificado")))</f>
        <v/>
      </c>
    </row>
    <row r="52" ht="15.75" customHeight="1" s="176">
      <c r="B52" s="47" t="n"/>
      <c r="C52" s="77" t="n"/>
      <c r="D52" s="74">
        <f t="array" ref="D52">IF($C52="","",IFNA(_xlfn.XLOOKUP($C52,Productos!$A:$A,Productos!$E:$E,IFNA(_xlfn.XLOOKUP(TEXT($C52,"0"),Productos!$A:$A,Productos!$E:$E,IFNA(_xlfn.XLOOKUP(IFERROR(VALUE($C52),""),Productos!$A:$A,Productos!$E:$E,_xlfn.XLOOKUP($C52,Productos!$E:$E,Productos!$E:$E,"NO ENCONTRADO")),"NO ENCONTRADO")),"NO ENCONTRADO")),"NO ENCONTRADO"))</f>
        <v/>
      </c>
      <c r="E52" s="74">
        <f t="array" ref="E52">IF(OR($D52="",$D52="NO ENCONTRADO"),"",_xlfn.XLOOKUP($D52,Productos!$E:$E,Productos!$H:$H,""))</f>
        <v/>
      </c>
      <c r="F52" s="74">
        <f t="array" ref="F52">IF(OR($D52="",$D52="NO ENCONTRADO"),"",_xlfn.XLOOKUP($D52,Productos!$E:$E,Productos!$I:$I,""))</f>
        <v/>
      </c>
      <c r="G52" s="74">
        <f t="array" ref="G52">IF(OR($D52="",$D52="NO ENCONTRADO"),"",_xlfn.XLOOKUP($D52,Productos!$E:$E,Productos!$J:$J,""))</f>
        <v/>
      </c>
      <c r="H52" s="74">
        <f t="array" ref="H52">IF(OR($D52="",$D52="NO ENCONTRADO"),"",_xlfn.XLOOKUP($D52,Productos!$E:$E,Productos!$K:$K,""))</f>
        <v/>
      </c>
      <c r="I52" s="74">
        <f t="array" ref="I52">IF(OR($D52="",$D52="NO ENCONTRADO"),"",_xlfn.XLOOKUP($D52,Productos!$E:$E,Productos!$F:$F,""))</f>
        <v/>
      </c>
      <c r="J52" s="74">
        <f>IF($C52="","",IF($D52="NO ENCONTRADO",IF(COUNTIF($C$7:$C$1000,$C52)&gt;1,"⚠️ No encontrado | Duplicado","⚠️ No encontrado"),IF(COUNTIF($C$7:$C$1000,$C52)&gt;1,"⚠️ Duplicado","Verificado")))</f>
        <v/>
      </c>
    </row>
    <row r="53" ht="15.75" customHeight="1" s="176">
      <c r="B53" s="47" t="n"/>
      <c r="C53" s="77" t="n"/>
      <c r="D53" s="74">
        <f t="array" ref="D53">IF($C53="","",IFNA(_xlfn.XLOOKUP($C53,Productos!$A:$A,Productos!$E:$E,IFNA(_xlfn.XLOOKUP(TEXT($C53,"0"),Productos!$A:$A,Productos!$E:$E,IFNA(_xlfn.XLOOKUP(IFERROR(VALUE($C53),""),Productos!$A:$A,Productos!$E:$E,_xlfn.XLOOKUP($C53,Productos!$E:$E,Productos!$E:$E,"NO ENCONTRADO")),"NO ENCONTRADO")),"NO ENCONTRADO")),"NO ENCONTRADO"))</f>
        <v/>
      </c>
      <c r="E53" s="74">
        <f t="array" ref="E53">IF(OR($D53="",$D53="NO ENCONTRADO"),"",_xlfn.XLOOKUP($D53,Productos!$E:$E,Productos!$H:$H,""))</f>
        <v/>
      </c>
      <c r="F53" s="74">
        <f t="array" ref="F53">IF(OR($D53="",$D53="NO ENCONTRADO"),"",_xlfn.XLOOKUP($D53,Productos!$E:$E,Productos!$I:$I,""))</f>
        <v/>
      </c>
      <c r="G53" s="74">
        <f t="array" ref="G53">IF(OR($D53="",$D53="NO ENCONTRADO"),"",_xlfn.XLOOKUP($D53,Productos!$E:$E,Productos!$J:$J,""))</f>
        <v/>
      </c>
      <c r="H53" s="74">
        <f t="array" ref="H53">IF(OR($D53="",$D53="NO ENCONTRADO"),"",_xlfn.XLOOKUP($D53,Productos!$E:$E,Productos!$K:$K,""))</f>
        <v/>
      </c>
      <c r="I53" s="74">
        <f t="array" ref="I53">IF(OR($D53="",$D53="NO ENCONTRADO"),"",_xlfn.XLOOKUP($D53,Productos!$E:$E,Productos!$F:$F,""))</f>
        <v/>
      </c>
      <c r="J53" s="74">
        <f>IF($C53="","",IF($D53="NO ENCONTRADO",IF(COUNTIF($C$7:$C$1000,$C53)&gt;1,"⚠️ No encontrado | Duplicado","⚠️ No encontrado"),IF(COUNTIF($C$7:$C$1000,$C53)&gt;1,"⚠️ Duplicado","Verificado")))</f>
        <v/>
      </c>
    </row>
    <row r="54" ht="15.75" customHeight="1" s="176">
      <c r="B54" s="47" t="n"/>
      <c r="C54" s="77" t="n"/>
      <c r="D54" s="74">
        <f t="array" ref="D54">IF($C54="","",IFNA(_xlfn.XLOOKUP($C54,Productos!$A:$A,Productos!$E:$E,IFNA(_xlfn.XLOOKUP(TEXT($C54,"0"),Productos!$A:$A,Productos!$E:$E,IFNA(_xlfn.XLOOKUP(IFERROR(VALUE($C54),""),Productos!$A:$A,Productos!$E:$E,_xlfn.XLOOKUP($C54,Productos!$E:$E,Productos!$E:$E,"NO ENCONTRADO")),"NO ENCONTRADO")),"NO ENCONTRADO")),"NO ENCONTRADO"))</f>
        <v/>
      </c>
      <c r="E54" s="74">
        <f t="array" ref="E54">IF(OR($D54="",$D54="NO ENCONTRADO"),"",_xlfn.XLOOKUP($D54,Productos!$E:$E,Productos!$H:$H,""))</f>
        <v/>
      </c>
      <c r="F54" s="74">
        <f t="array" ref="F54">IF(OR($D54="",$D54="NO ENCONTRADO"),"",_xlfn.XLOOKUP($D54,Productos!$E:$E,Productos!$I:$I,""))</f>
        <v/>
      </c>
      <c r="G54" s="74">
        <f t="array" ref="G54">IF(OR($D54="",$D54="NO ENCONTRADO"),"",_xlfn.XLOOKUP($D54,Productos!$E:$E,Productos!$J:$J,""))</f>
        <v/>
      </c>
      <c r="H54" s="74">
        <f t="array" ref="H54">IF(OR($D54="",$D54="NO ENCONTRADO"),"",_xlfn.XLOOKUP($D54,Productos!$E:$E,Productos!$K:$K,""))</f>
        <v/>
      </c>
      <c r="I54" s="74">
        <f t="array" ref="I54">IF(OR($D54="",$D54="NO ENCONTRADO"),"",_xlfn.XLOOKUP($D54,Productos!$E:$E,Productos!$F:$F,""))</f>
        <v/>
      </c>
      <c r="J54" s="74">
        <f>IF($C54="","",IF($D54="NO ENCONTRADO",IF(COUNTIF($C$7:$C$1000,$C54)&gt;1,"⚠️ No encontrado | Duplicado","⚠️ No encontrado"),IF(COUNTIF($C$7:$C$1000,$C54)&gt;1,"⚠️ Duplicado","Verificado")))</f>
        <v/>
      </c>
    </row>
    <row r="55" ht="15.75" customHeight="1" s="176">
      <c r="B55" s="47" t="n"/>
      <c r="C55" s="77" t="n"/>
      <c r="D55" s="74">
        <f t="array" ref="D55">IF($C55="","",IFNA(_xlfn.XLOOKUP($C55,Productos!$A:$A,Productos!$E:$E,IFNA(_xlfn.XLOOKUP(TEXT($C55,"0"),Productos!$A:$A,Productos!$E:$E,IFNA(_xlfn.XLOOKUP(IFERROR(VALUE($C55),""),Productos!$A:$A,Productos!$E:$E,_xlfn.XLOOKUP($C55,Productos!$E:$E,Productos!$E:$E,"NO ENCONTRADO")),"NO ENCONTRADO")),"NO ENCONTRADO")),"NO ENCONTRADO"))</f>
        <v/>
      </c>
      <c r="E55" s="74">
        <f t="array" ref="E55">IF(OR($D55="",$D55="NO ENCONTRADO"),"",_xlfn.XLOOKUP($D55,Productos!$E:$E,Productos!$H:$H,""))</f>
        <v/>
      </c>
      <c r="F55" s="74">
        <f t="array" ref="F55">IF(OR($D55="",$D55="NO ENCONTRADO"),"",_xlfn.XLOOKUP($D55,Productos!$E:$E,Productos!$I:$I,""))</f>
        <v/>
      </c>
      <c r="G55" s="74">
        <f t="array" ref="G55">IF(OR($D55="",$D55="NO ENCONTRADO"),"",_xlfn.XLOOKUP($D55,Productos!$E:$E,Productos!$J:$J,""))</f>
        <v/>
      </c>
      <c r="H55" s="74">
        <f t="array" ref="H55">IF(OR($D55="",$D55="NO ENCONTRADO"),"",_xlfn.XLOOKUP($D55,Productos!$E:$E,Productos!$K:$K,""))</f>
        <v/>
      </c>
      <c r="I55" s="74">
        <f t="array" ref="I55">IF(OR($D55="",$D55="NO ENCONTRADO"),"",_xlfn.XLOOKUP($D55,Productos!$E:$E,Productos!$F:$F,""))</f>
        <v/>
      </c>
      <c r="J55" s="74">
        <f>IF($C55="","",IF($D55="NO ENCONTRADO",IF(COUNTIF($C$7:$C$1000,$C55)&gt;1,"⚠️ No encontrado | Duplicado","⚠️ No encontrado"),IF(COUNTIF($C$7:$C$1000,$C55)&gt;1,"⚠️ Duplicado","Verificado")))</f>
        <v/>
      </c>
    </row>
    <row r="56" ht="15.75" customHeight="1" s="176">
      <c r="B56" s="47" t="n"/>
      <c r="C56" s="77" t="n"/>
      <c r="D56" s="74">
        <f t="array" ref="D56">IF($C56="","",IFNA(_xlfn.XLOOKUP($C56,Productos!$A:$A,Productos!$E:$E,IFNA(_xlfn.XLOOKUP(TEXT($C56,"0"),Productos!$A:$A,Productos!$E:$E,IFNA(_xlfn.XLOOKUP(IFERROR(VALUE($C56),""),Productos!$A:$A,Productos!$E:$E,_xlfn.XLOOKUP($C56,Productos!$E:$E,Productos!$E:$E,"NO ENCONTRADO")),"NO ENCONTRADO")),"NO ENCONTRADO")),"NO ENCONTRADO"))</f>
        <v/>
      </c>
      <c r="E56" s="74">
        <f t="array" ref="E56">IF(OR($D56="",$D56="NO ENCONTRADO"),"",_xlfn.XLOOKUP($D56,Productos!$E:$E,Productos!$H:$H,""))</f>
        <v/>
      </c>
      <c r="F56" s="74">
        <f t="array" ref="F56">IF(OR($D56="",$D56="NO ENCONTRADO"),"",_xlfn.XLOOKUP($D56,Productos!$E:$E,Productos!$I:$I,""))</f>
        <v/>
      </c>
      <c r="G56" s="74">
        <f t="array" ref="G56">IF(OR($D56="",$D56="NO ENCONTRADO"),"",_xlfn.XLOOKUP($D56,Productos!$E:$E,Productos!$J:$J,""))</f>
        <v/>
      </c>
      <c r="H56" s="74">
        <f t="array" ref="H56">IF(OR($D56="",$D56="NO ENCONTRADO"),"",_xlfn.XLOOKUP($D56,Productos!$E:$E,Productos!$K:$K,""))</f>
        <v/>
      </c>
      <c r="I56" s="74">
        <f t="array" ref="I56">IF(OR($D56="",$D56="NO ENCONTRADO"),"",_xlfn.XLOOKUP($D56,Productos!$E:$E,Productos!$F:$F,""))</f>
        <v/>
      </c>
      <c r="J56" s="74">
        <f>IF($C56="","",IF($D56="NO ENCONTRADO",IF(COUNTIF($C$7:$C$1000,$C56)&gt;1,"⚠️ No encontrado | Duplicado","⚠️ No encontrado"),IF(COUNTIF($C$7:$C$1000,$C56)&gt;1,"⚠️ Duplicado","Verificado")))</f>
        <v/>
      </c>
    </row>
    <row r="57" ht="15.75" customHeight="1" s="176">
      <c r="B57" s="47" t="n"/>
      <c r="C57" s="77" t="n"/>
      <c r="D57" s="74">
        <f t="array" ref="D57">IF($C57="","",IFNA(_xlfn.XLOOKUP($C57,Productos!$A:$A,Productos!$E:$E,IFNA(_xlfn.XLOOKUP(TEXT($C57,"0"),Productos!$A:$A,Productos!$E:$E,IFNA(_xlfn.XLOOKUP(IFERROR(VALUE($C57),""),Productos!$A:$A,Productos!$E:$E,_xlfn.XLOOKUP($C57,Productos!$E:$E,Productos!$E:$E,"NO ENCONTRADO")),"NO ENCONTRADO")),"NO ENCONTRADO")),"NO ENCONTRADO"))</f>
        <v/>
      </c>
      <c r="E57" s="74">
        <f t="array" ref="E57">IF(OR($D57="",$D57="NO ENCONTRADO"),"",_xlfn.XLOOKUP($D57,Productos!$E:$E,Productos!$H:$H,""))</f>
        <v/>
      </c>
      <c r="F57" s="74">
        <f t="array" ref="F57">IF(OR($D57="",$D57="NO ENCONTRADO"),"",_xlfn.XLOOKUP($D57,Productos!$E:$E,Productos!$I:$I,""))</f>
        <v/>
      </c>
      <c r="G57" s="74">
        <f t="array" ref="G57">IF(OR($D57="",$D57="NO ENCONTRADO"),"",_xlfn.XLOOKUP($D57,Productos!$E:$E,Productos!$J:$J,""))</f>
        <v/>
      </c>
      <c r="H57" s="74">
        <f t="array" ref="H57">IF(OR($D57="",$D57="NO ENCONTRADO"),"",_xlfn.XLOOKUP($D57,Productos!$E:$E,Productos!$K:$K,""))</f>
        <v/>
      </c>
      <c r="I57" s="74">
        <f t="array" ref="I57">IF(OR($D57="",$D57="NO ENCONTRADO"),"",_xlfn.XLOOKUP($D57,Productos!$E:$E,Productos!$F:$F,""))</f>
        <v/>
      </c>
      <c r="J57" s="74">
        <f>IF($C57="","",IF($D57="NO ENCONTRADO",IF(COUNTIF($C$7:$C$1000,$C57)&gt;1,"⚠️ No encontrado | Duplicado","⚠️ No encontrado"),IF(COUNTIF($C$7:$C$1000,$C57)&gt;1,"⚠️ Duplicado","Verificado")))</f>
        <v/>
      </c>
    </row>
    <row r="58" ht="15.75" customHeight="1" s="176">
      <c r="B58" s="47" t="n"/>
      <c r="C58" s="77" t="n"/>
      <c r="D58" s="74">
        <f t="array" ref="D58">IF($C58="","",IFNA(_xlfn.XLOOKUP($C58,Productos!$A:$A,Productos!$E:$E,IFNA(_xlfn.XLOOKUP(TEXT($C58,"0"),Productos!$A:$A,Productos!$E:$E,IFNA(_xlfn.XLOOKUP(IFERROR(VALUE($C58),""),Productos!$A:$A,Productos!$E:$E,_xlfn.XLOOKUP($C58,Productos!$E:$E,Productos!$E:$E,"NO ENCONTRADO")),"NO ENCONTRADO")),"NO ENCONTRADO")),"NO ENCONTRADO"))</f>
        <v/>
      </c>
      <c r="E58" s="74">
        <f t="array" ref="E58">IF(OR($D58="",$D58="NO ENCONTRADO"),"",_xlfn.XLOOKUP($D58,Productos!$E:$E,Productos!$H:$H,""))</f>
        <v/>
      </c>
      <c r="F58" s="74">
        <f t="array" ref="F58">IF(OR($D58="",$D58="NO ENCONTRADO"),"",_xlfn.XLOOKUP($D58,Productos!$E:$E,Productos!$I:$I,""))</f>
        <v/>
      </c>
      <c r="G58" s="74">
        <f t="array" ref="G58">IF(OR($D58="",$D58="NO ENCONTRADO"),"",_xlfn.XLOOKUP($D58,Productos!$E:$E,Productos!$J:$J,""))</f>
        <v/>
      </c>
      <c r="H58" s="74">
        <f t="array" ref="H58">IF(OR($D58="",$D58="NO ENCONTRADO"),"",_xlfn.XLOOKUP($D58,Productos!$E:$E,Productos!$K:$K,""))</f>
        <v/>
      </c>
      <c r="I58" s="74">
        <f t="array" ref="I58">IF(OR($D58="",$D58="NO ENCONTRADO"),"",_xlfn.XLOOKUP($D58,Productos!$E:$E,Productos!$F:$F,""))</f>
        <v/>
      </c>
      <c r="J58" s="74">
        <f>IF($C58="","",IF($D58="NO ENCONTRADO",IF(COUNTIF($C$7:$C$1000,$C58)&gt;1,"⚠️ No encontrado | Duplicado","⚠️ No encontrado"),IF(COUNTIF($C$7:$C$1000,$C58)&gt;1,"⚠️ Duplicado","Verificado")))</f>
        <v/>
      </c>
    </row>
    <row r="59" ht="15.75" customHeight="1" s="176">
      <c r="B59" s="47" t="n"/>
      <c r="C59" s="77" t="n"/>
      <c r="D59" s="74">
        <f t="array" ref="D59">IF($C59="","",IFNA(_xlfn.XLOOKUP($C59,Productos!$A:$A,Productos!$E:$E,IFNA(_xlfn.XLOOKUP(TEXT($C59,"0"),Productos!$A:$A,Productos!$E:$E,IFNA(_xlfn.XLOOKUP(IFERROR(VALUE($C59),""),Productos!$A:$A,Productos!$E:$E,_xlfn.XLOOKUP($C59,Productos!$E:$E,Productos!$E:$E,"NO ENCONTRADO")),"NO ENCONTRADO")),"NO ENCONTRADO")),"NO ENCONTRADO"))</f>
        <v/>
      </c>
      <c r="E59" s="74">
        <f t="array" ref="E59">IF(OR($D59="",$D59="NO ENCONTRADO"),"",_xlfn.XLOOKUP($D59,Productos!$E:$E,Productos!$H:$H,""))</f>
        <v/>
      </c>
      <c r="F59" s="74">
        <f t="array" ref="F59">IF(OR($D59="",$D59="NO ENCONTRADO"),"",_xlfn.XLOOKUP($D59,Productos!$E:$E,Productos!$I:$I,""))</f>
        <v/>
      </c>
      <c r="G59" s="74">
        <f t="array" ref="G59">IF(OR($D59="",$D59="NO ENCONTRADO"),"",_xlfn.XLOOKUP($D59,Productos!$E:$E,Productos!$J:$J,""))</f>
        <v/>
      </c>
      <c r="H59" s="74">
        <f t="array" ref="H59">IF(OR($D59="",$D59="NO ENCONTRADO"),"",_xlfn.XLOOKUP($D59,Productos!$E:$E,Productos!$K:$K,""))</f>
        <v/>
      </c>
      <c r="I59" s="74">
        <f t="array" ref="I59">IF(OR($D59="",$D59="NO ENCONTRADO"),"",_xlfn.XLOOKUP($D59,Productos!$E:$E,Productos!$F:$F,""))</f>
        <v/>
      </c>
      <c r="J59" s="74">
        <f>IF($C59="","",IF($D59="NO ENCONTRADO",IF(COUNTIF($C$7:$C$1000,$C59)&gt;1,"⚠️ No encontrado | Duplicado","⚠️ No encontrado"),IF(COUNTIF($C$7:$C$1000,$C59)&gt;1,"⚠️ Duplicado","Verificado")))</f>
        <v/>
      </c>
    </row>
    <row r="60" ht="15.75" customHeight="1" s="176">
      <c r="B60" s="47" t="n"/>
      <c r="C60" s="77" t="n"/>
      <c r="D60" s="74">
        <f t="array" ref="D60">IF($C60="","",IFNA(_xlfn.XLOOKUP($C60,Productos!$A:$A,Productos!$E:$E,IFNA(_xlfn.XLOOKUP(TEXT($C60,"0"),Productos!$A:$A,Productos!$E:$E,IFNA(_xlfn.XLOOKUP(IFERROR(VALUE($C60),""),Productos!$A:$A,Productos!$E:$E,_xlfn.XLOOKUP($C60,Productos!$E:$E,Productos!$E:$E,"NO ENCONTRADO")),"NO ENCONTRADO")),"NO ENCONTRADO")),"NO ENCONTRADO"))</f>
        <v/>
      </c>
      <c r="E60" s="74">
        <f t="array" ref="E60">IF(OR($D60="",$D60="NO ENCONTRADO"),"",_xlfn.XLOOKUP($D60,Productos!$E:$E,Productos!$H:$H,""))</f>
        <v/>
      </c>
      <c r="F60" s="74">
        <f t="array" ref="F60">IF(OR($D60="",$D60="NO ENCONTRADO"),"",_xlfn.XLOOKUP($D60,Productos!$E:$E,Productos!$I:$I,""))</f>
        <v/>
      </c>
      <c r="G60" s="74">
        <f t="array" ref="G60">IF(OR($D60="",$D60="NO ENCONTRADO"),"",_xlfn.XLOOKUP($D60,Productos!$E:$E,Productos!$J:$J,""))</f>
        <v/>
      </c>
      <c r="H60" s="74">
        <f t="array" ref="H60">IF(OR($D60="",$D60="NO ENCONTRADO"),"",_xlfn.XLOOKUP($D60,Productos!$E:$E,Productos!$K:$K,""))</f>
        <v/>
      </c>
      <c r="I60" s="74">
        <f t="array" ref="I60">IF(OR($D60="",$D60="NO ENCONTRADO"),"",_xlfn.XLOOKUP($D60,Productos!$E:$E,Productos!$F:$F,""))</f>
        <v/>
      </c>
      <c r="J60" s="74">
        <f>IF($C60="","",IF($D60="NO ENCONTRADO",IF(COUNTIF($C$7:$C$1000,$C60)&gt;1,"⚠️ No encontrado | Duplicado","⚠️ No encontrado"),IF(COUNTIF($C$7:$C$1000,$C60)&gt;1,"⚠️ Duplicado","Verificado")))</f>
        <v/>
      </c>
    </row>
    <row r="61" ht="15.75" customHeight="1" s="176">
      <c r="B61" s="47" t="n"/>
      <c r="C61" s="77" t="n"/>
      <c r="D61" s="74">
        <f t="array" ref="D61">IF($C61="","",IFNA(_xlfn.XLOOKUP($C61,Productos!$A:$A,Productos!$E:$E,IFNA(_xlfn.XLOOKUP(TEXT($C61,"0"),Productos!$A:$A,Productos!$E:$E,IFNA(_xlfn.XLOOKUP(IFERROR(VALUE($C61),""),Productos!$A:$A,Productos!$E:$E,_xlfn.XLOOKUP($C61,Productos!$E:$E,Productos!$E:$E,"NO ENCONTRADO")),"NO ENCONTRADO")),"NO ENCONTRADO")),"NO ENCONTRADO"))</f>
        <v/>
      </c>
      <c r="E61" s="74">
        <f t="array" ref="E61">IF(OR($D61="",$D61="NO ENCONTRADO"),"",_xlfn.XLOOKUP($D61,Productos!$E:$E,Productos!$H:$H,""))</f>
        <v/>
      </c>
      <c r="F61" s="74">
        <f t="array" ref="F61">IF(OR($D61="",$D61="NO ENCONTRADO"),"",_xlfn.XLOOKUP($D61,Productos!$E:$E,Productos!$I:$I,""))</f>
        <v/>
      </c>
      <c r="G61" s="74">
        <f t="array" ref="G61">IF(OR($D61="",$D61="NO ENCONTRADO"),"",_xlfn.XLOOKUP($D61,Productos!$E:$E,Productos!$J:$J,""))</f>
        <v/>
      </c>
      <c r="H61" s="74">
        <f t="array" ref="H61">IF(OR($D61="",$D61="NO ENCONTRADO"),"",_xlfn.XLOOKUP($D61,Productos!$E:$E,Productos!$K:$K,""))</f>
        <v/>
      </c>
      <c r="I61" s="74">
        <f t="array" ref="I61">IF(OR($D61="",$D61="NO ENCONTRADO"),"",_xlfn.XLOOKUP($D61,Productos!$E:$E,Productos!$F:$F,""))</f>
        <v/>
      </c>
      <c r="J61" s="74">
        <f>IF($C61="","",IF($D61="NO ENCONTRADO",IF(COUNTIF($C$7:$C$1000,$C61)&gt;1,"⚠️ No encontrado | Duplicado","⚠️ No encontrado"),IF(COUNTIF($C$7:$C$1000,$C61)&gt;1,"⚠️ Duplicado","Verificado")))</f>
        <v/>
      </c>
    </row>
    <row r="62" ht="15.75" customHeight="1" s="176">
      <c r="B62" s="47" t="n"/>
      <c r="C62" s="77" t="n"/>
      <c r="D62" s="74">
        <f t="array" ref="D62">IF($C62="","",IFNA(_xlfn.XLOOKUP($C62,Productos!$A:$A,Productos!$E:$E,IFNA(_xlfn.XLOOKUP(TEXT($C62,"0"),Productos!$A:$A,Productos!$E:$E,IFNA(_xlfn.XLOOKUP(IFERROR(VALUE($C62),""),Productos!$A:$A,Productos!$E:$E,_xlfn.XLOOKUP($C62,Productos!$E:$E,Productos!$E:$E,"NO ENCONTRADO")),"NO ENCONTRADO")),"NO ENCONTRADO")),"NO ENCONTRADO"))</f>
        <v/>
      </c>
      <c r="E62" s="74">
        <f t="array" ref="E62">IF(OR($D62="",$D62="NO ENCONTRADO"),"",_xlfn.XLOOKUP($D62,Productos!$E:$E,Productos!$H:$H,""))</f>
        <v/>
      </c>
      <c r="F62" s="74">
        <f t="array" ref="F62">IF(OR($D62="",$D62="NO ENCONTRADO"),"",_xlfn.XLOOKUP($D62,Productos!$E:$E,Productos!$I:$I,""))</f>
        <v/>
      </c>
      <c r="G62" s="74">
        <f t="array" ref="G62">IF(OR($D62="",$D62="NO ENCONTRADO"),"",_xlfn.XLOOKUP($D62,Productos!$E:$E,Productos!$J:$J,""))</f>
        <v/>
      </c>
      <c r="H62" s="74">
        <f t="array" ref="H62">IF(OR($D62="",$D62="NO ENCONTRADO"),"",_xlfn.XLOOKUP($D62,Productos!$E:$E,Productos!$K:$K,""))</f>
        <v/>
      </c>
      <c r="I62" s="74">
        <f t="array" ref="I62">IF(OR($D62="",$D62="NO ENCONTRADO"),"",_xlfn.XLOOKUP($D62,Productos!$E:$E,Productos!$F:$F,""))</f>
        <v/>
      </c>
      <c r="J62" s="74">
        <f>IF($C62="","",IF($D62="NO ENCONTRADO",IF(COUNTIF($C$7:$C$1000,$C62)&gt;1,"⚠️ No encontrado | Duplicado","⚠️ No encontrado"),IF(COUNTIF($C$7:$C$1000,$C62)&gt;1,"⚠️ Duplicado","Verificado")))</f>
        <v/>
      </c>
    </row>
    <row r="63" ht="15.75" customHeight="1" s="176">
      <c r="B63" s="47" t="n"/>
      <c r="C63" s="77" t="n"/>
      <c r="D63" s="74">
        <f t="array" ref="D63">IF($C63="","",IFNA(_xlfn.XLOOKUP($C63,Productos!$A:$A,Productos!$E:$E,IFNA(_xlfn.XLOOKUP(TEXT($C63,"0"),Productos!$A:$A,Productos!$E:$E,IFNA(_xlfn.XLOOKUP(IFERROR(VALUE($C63),""),Productos!$A:$A,Productos!$E:$E,_xlfn.XLOOKUP($C63,Productos!$E:$E,Productos!$E:$E,"NO ENCONTRADO")),"NO ENCONTRADO")),"NO ENCONTRADO")),"NO ENCONTRADO"))</f>
        <v/>
      </c>
      <c r="E63" s="74">
        <f t="array" ref="E63">IF(OR($D63="",$D63="NO ENCONTRADO"),"",_xlfn.XLOOKUP($D63,Productos!$E:$E,Productos!$H:$H,""))</f>
        <v/>
      </c>
      <c r="F63" s="74">
        <f t="array" ref="F63">IF(OR($D63="",$D63="NO ENCONTRADO"),"",_xlfn.XLOOKUP($D63,Productos!$E:$E,Productos!$I:$I,""))</f>
        <v/>
      </c>
      <c r="G63" s="74">
        <f t="array" ref="G63">IF(OR($D63="",$D63="NO ENCONTRADO"),"",_xlfn.XLOOKUP($D63,Productos!$E:$E,Productos!$J:$J,""))</f>
        <v/>
      </c>
      <c r="H63" s="74">
        <f t="array" ref="H63">IF(OR($D63="",$D63="NO ENCONTRADO"),"",_xlfn.XLOOKUP($D63,Productos!$E:$E,Productos!$K:$K,""))</f>
        <v/>
      </c>
      <c r="I63" s="74">
        <f t="array" ref="I63">IF(OR($D63="",$D63="NO ENCONTRADO"),"",_xlfn.XLOOKUP($D63,Productos!$E:$E,Productos!$F:$F,""))</f>
        <v/>
      </c>
      <c r="J63" s="74">
        <f>IF($C63="","",IF($D63="NO ENCONTRADO",IF(COUNTIF($C$7:$C$1000,$C63)&gt;1,"⚠️ No encontrado | Duplicado","⚠️ No encontrado"),IF(COUNTIF($C$7:$C$1000,$C63)&gt;1,"⚠️ Duplicado","Verificado")))</f>
        <v/>
      </c>
    </row>
    <row r="64" ht="15.75" customHeight="1" s="176">
      <c r="B64" s="47" t="n"/>
      <c r="C64" s="77" t="n"/>
      <c r="D64" s="74">
        <f t="array" ref="D64">IF($C64="","",IFNA(_xlfn.XLOOKUP($C64,Productos!$A:$A,Productos!$E:$E,IFNA(_xlfn.XLOOKUP(TEXT($C64,"0"),Productos!$A:$A,Productos!$E:$E,IFNA(_xlfn.XLOOKUP(IFERROR(VALUE($C64),""),Productos!$A:$A,Productos!$E:$E,_xlfn.XLOOKUP($C64,Productos!$E:$E,Productos!$E:$E,"NO ENCONTRADO")),"NO ENCONTRADO")),"NO ENCONTRADO")),"NO ENCONTRADO"))</f>
        <v/>
      </c>
      <c r="E64" s="74">
        <f t="array" ref="E64">IF(OR($D64="",$D64="NO ENCONTRADO"),"",_xlfn.XLOOKUP($D64,Productos!$E:$E,Productos!$H:$H,""))</f>
        <v/>
      </c>
      <c r="F64" s="74">
        <f t="array" ref="F64">IF(OR($D64="",$D64="NO ENCONTRADO"),"",_xlfn.XLOOKUP($D64,Productos!$E:$E,Productos!$I:$I,""))</f>
        <v/>
      </c>
      <c r="G64" s="74">
        <f t="array" ref="G64">IF(OR($D64="",$D64="NO ENCONTRADO"),"",_xlfn.XLOOKUP($D64,Productos!$E:$E,Productos!$J:$J,""))</f>
        <v/>
      </c>
      <c r="H64" s="74">
        <f t="array" ref="H64">IF(OR($D64="",$D64="NO ENCONTRADO"),"",_xlfn.XLOOKUP($D64,Productos!$E:$E,Productos!$K:$K,""))</f>
        <v/>
      </c>
      <c r="I64" s="74">
        <f t="array" ref="I64">IF(OR($D64="",$D64="NO ENCONTRADO"),"",_xlfn.XLOOKUP($D64,Productos!$E:$E,Productos!$F:$F,""))</f>
        <v/>
      </c>
      <c r="J64" s="74">
        <f>IF($C64="","",IF($D64="NO ENCONTRADO",IF(COUNTIF($C$7:$C$1000,$C64)&gt;1,"⚠️ No encontrado | Duplicado","⚠️ No encontrado"),IF(COUNTIF($C$7:$C$1000,$C64)&gt;1,"⚠️ Duplicado","Verificado")))</f>
        <v/>
      </c>
    </row>
    <row r="65" ht="15.75" customHeight="1" s="176">
      <c r="B65" s="47" t="n"/>
      <c r="C65" s="77" t="n"/>
      <c r="D65" s="74">
        <f t="array" ref="D65">IF($C65="","",IFNA(_xlfn.XLOOKUP($C65,Productos!$A:$A,Productos!$E:$E,IFNA(_xlfn.XLOOKUP(TEXT($C65,"0"),Productos!$A:$A,Productos!$E:$E,IFNA(_xlfn.XLOOKUP(IFERROR(VALUE($C65),""),Productos!$A:$A,Productos!$E:$E,_xlfn.XLOOKUP($C65,Productos!$E:$E,Productos!$E:$E,"NO ENCONTRADO")),"NO ENCONTRADO")),"NO ENCONTRADO")),"NO ENCONTRADO"))</f>
        <v/>
      </c>
      <c r="E65" s="74">
        <f t="array" ref="E65">IF(OR($D65="",$D65="NO ENCONTRADO"),"",_xlfn.XLOOKUP($D65,Productos!$E:$E,Productos!$H:$H,""))</f>
        <v/>
      </c>
      <c r="F65" s="74">
        <f t="array" ref="F65">IF(OR($D65="",$D65="NO ENCONTRADO"),"",_xlfn.XLOOKUP($D65,Productos!$E:$E,Productos!$I:$I,""))</f>
        <v/>
      </c>
      <c r="G65" s="74">
        <f t="array" ref="G65">IF(OR($D65="",$D65="NO ENCONTRADO"),"",_xlfn.XLOOKUP($D65,Productos!$E:$E,Productos!$J:$J,""))</f>
        <v/>
      </c>
      <c r="H65" s="74">
        <f t="array" ref="H65">IF(OR($D65="",$D65="NO ENCONTRADO"),"",_xlfn.XLOOKUP($D65,Productos!$E:$E,Productos!$K:$K,""))</f>
        <v/>
      </c>
      <c r="I65" s="74">
        <f t="array" ref="I65">IF(OR($D65="",$D65="NO ENCONTRADO"),"",_xlfn.XLOOKUP($D65,Productos!$E:$E,Productos!$F:$F,""))</f>
        <v/>
      </c>
      <c r="J65" s="74">
        <f>IF($C65="","",IF($D65="NO ENCONTRADO",IF(COUNTIF($C$7:$C$1000,$C65)&gt;1,"⚠️ No encontrado | Duplicado","⚠️ No encontrado"),IF(COUNTIF($C$7:$C$1000,$C65)&gt;1,"⚠️ Duplicado","Verificado")))</f>
        <v/>
      </c>
    </row>
    <row r="66" ht="15.75" customHeight="1" s="176">
      <c r="B66" s="47" t="n"/>
      <c r="C66" s="77" t="n"/>
      <c r="D66" s="74">
        <f t="array" ref="D66">IF($C66="","",IFNA(_xlfn.XLOOKUP($C66,Productos!$A:$A,Productos!$E:$E,IFNA(_xlfn.XLOOKUP(TEXT($C66,"0"),Productos!$A:$A,Productos!$E:$E,IFNA(_xlfn.XLOOKUP(IFERROR(VALUE($C66),""),Productos!$A:$A,Productos!$E:$E,_xlfn.XLOOKUP($C66,Productos!$E:$E,Productos!$E:$E,"NO ENCONTRADO")),"NO ENCONTRADO")),"NO ENCONTRADO")),"NO ENCONTRADO"))</f>
        <v/>
      </c>
      <c r="E66" s="74">
        <f t="array" ref="E66">IF(OR($D66="",$D66="NO ENCONTRADO"),"",_xlfn.XLOOKUP($D66,Productos!$E:$E,Productos!$H:$H,""))</f>
        <v/>
      </c>
      <c r="F66" s="74">
        <f t="array" ref="F66">IF(OR($D66="",$D66="NO ENCONTRADO"),"",_xlfn.XLOOKUP($D66,Productos!$E:$E,Productos!$I:$I,""))</f>
        <v/>
      </c>
      <c r="G66" s="74">
        <f t="array" ref="G66">IF(OR($D66="",$D66="NO ENCONTRADO"),"",_xlfn.XLOOKUP($D66,Productos!$E:$E,Productos!$J:$J,""))</f>
        <v/>
      </c>
      <c r="H66" s="74">
        <f t="array" ref="H66">IF(OR($D66="",$D66="NO ENCONTRADO"),"",_xlfn.XLOOKUP($D66,Productos!$E:$E,Productos!$K:$K,""))</f>
        <v/>
      </c>
      <c r="I66" s="74">
        <f t="array" ref="I66">IF(OR($D66="",$D66="NO ENCONTRADO"),"",_xlfn.XLOOKUP($D66,Productos!$E:$E,Productos!$F:$F,""))</f>
        <v/>
      </c>
      <c r="J66" s="74">
        <f>IF($C66="","",IF($D66="NO ENCONTRADO",IF(COUNTIF($C$7:$C$1000,$C66)&gt;1,"⚠️ No encontrado | Duplicado","⚠️ No encontrado"),IF(COUNTIF($C$7:$C$1000,$C66)&gt;1,"⚠️ Duplicado","Verificado")))</f>
        <v/>
      </c>
    </row>
    <row r="67" ht="15.75" customHeight="1" s="176">
      <c r="B67" s="47" t="n"/>
      <c r="C67" s="77" t="n"/>
      <c r="D67" s="74">
        <f t="array" ref="D67">IF($C67="","",IFNA(_xlfn.XLOOKUP($C67,Productos!$A:$A,Productos!$E:$E,IFNA(_xlfn.XLOOKUP(TEXT($C67,"0"),Productos!$A:$A,Productos!$E:$E,IFNA(_xlfn.XLOOKUP(IFERROR(VALUE($C67),""),Productos!$A:$A,Productos!$E:$E,_xlfn.XLOOKUP($C67,Productos!$E:$E,Productos!$E:$E,"NO ENCONTRADO")),"NO ENCONTRADO")),"NO ENCONTRADO")),"NO ENCONTRADO"))</f>
        <v/>
      </c>
      <c r="E67" s="74">
        <f t="array" ref="E67">IF(OR($D67="",$D67="NO ENCONTRADO"),"",_xlfn.XLOOKUP($D67,Productos!$E:$E,Productos!$H:$H,""))</f>
        <v/>
      </c>
      <c r="F67" s="74">
        <f t="array" ref="F67">IF(OR($D67="",$D67="NO ENCONTRADO"),"",_xlfn.XLOOKUP($D67,Productos!$E:$E,Productos!$I:$I,""))</f>
        <v/>
      </c>
      <c r="G67" s="74">
        <f t="array" ref="G67">IF(OR($D67="",$D67="NO ENCONTRADO"),"",_xlfn.XLOOKUP($D67,Productos!$E:$E,Productos!$J:$J,""))</f>
        <v/>
      </c>
      <c r="H67" s="74">
        <f t="array" ref="H67">IF(OR($D67="",$D67="NO ENCONTRADO"),"",_xlfn.XLOOKUP($D67,Productos!$E:$E,Productos!$K:$K,""))</f>
        <v/>
      </c>
      <c r="I67" s="74">
        <f t="array" ref="I67">IF(OR($D67="",$D67="NO ENCONTRADO"),"",_xlfn.XLOOKUP($D67,Productos!$E:$E,Productos!$F:$F,""))</f>
        <v/>
      </c>
      <c r="J67" s="74">
        <f>IF($C67="","",IF($D67="NO ENCONTRADO",IF(COUNTIF($C$7:$C$1000,$C67)&gt;1,"⚠️ No encontrado | Duplicado","⚠️ No encontrado"),IF(COUNTIF($C$7:$C$1000,$C67)&gt;1,"⚠️ Duplicado","Verificado")))</f>
        <v/>
      </c>
    </row>
    <row r="68" ht="15.75" customHeight="1" s="176">
      <c r="B68" s="47" t="n"/>
      <c r="C68" s="77" t="n"/>
      <c r="D68" s="74">
        <f t="array" ref="D68">IF($C68="","",IFNA(_xlfn.XLOOKUP($C68,Productos!$A:$A,Productos!$E:$E,IFNA(_xlfn.XLOOKUP(TEXT($C68,"0"),Productos!$A:$A,Productos!$E:$E,IFNA(_xlfn.XLOOKUP(IFERROR(VALUE($C68),""),Productos!$A:$A,Productos!$E:$E,_xlfn.XLOOKUP($C68,Productos!$E:$E,Productos!$E:$E,"NO ENCONTRADO")),"NO ENCONTRADO")),"NO ENCONTRADO")),"NO ENCONTRADO"))</f>
        <v/>
      </c>
      <c r="E68" s="74">
        <f t="array" ref="E68">IF(OR($D68="",$D68="NO ENCONTRADO"),"",_xlfn.XLOOKUP($D68,Productos!$E:$E,Productos!$H:$H,""))</f>
        <v/>
      </c>
      <c r="F68" s="74">
        <f t="array" ref="F68">IF(OR($D68="",$D68="NO ENCONTRADO"),"",_xlfn.XLOOKUP($D68,Productos!$E:$E,Productos!$I:$I,""))</f>
        <v/>
      </c>
      <c r="G68" s="74">
        <f t="array" ref="G68">IF(OR($D68="",$D68="NO ENCONTRADO"),"",_xlfn.XLOOKUP($D68,Productos!$E:$E,Productos!$J:$J,""))</f>
        <v/>
      </c>
      <c r="H68" s="74">
        <f t="array" ref="H68">IF(OR($D68="",$D68="NO ENCONTRADO"),"",_xlfn.XLOOKUP($D68,Productos!$E:$E,Productos!$K:$K,""))</f>
        <v/>
      </c>
      <c r="I68" s="74">
        <f t="array" ref="I68">IF(OR($D68="",$D68="NO ENCONTRADO"),"",_xlfn.XLOOKUP($D68,Productos!$E:$E,Productos!$F:$F,""))</f>
        <v/>
      </c>
      <c r="J68" s="74">
        <f>IF($C68="","",IF($D68="NO ENCONTRADO",IF(COUNTIF($C$7:$C$1000,$C68)&gt;1,"⚠️ No encontrado | Duplicado","⚠️ No encontrado"),IF(COUNTIF($C$7:$C$1000,$C68)&gt;1,"⚠️ Duplicado","Verificado")))</f>
        <v/>
      </c>
    </row>
    <row r="69" ht="15.75" customHeight="1" s="176">
      <c r="B69" s="47" t="n"/>
      <c r="C69" s="77" t="n"/>
      <c r="D69" s="74">
        <f t="array" ref="D69">IF($C69="","",IFNA(_xlfn.XLOOKUP($C69,Productos!$A:$A,Productos!$E:$E,IFNA(_xlfn.XLOOKUP(TEXT($C69,"0"),Productos!$A:$A,Productos!$E:$E,IFNA(_xlfn.XLOOKUP(IFERROR(VALUE($C69),""),Productos!$A:$A,Productos!$E:$E,_xlfn.XLOOKUP($C69,Productos!$E:$E,Productos!$E:$E,"NO ENCONTRADO")),"NO ENCONTRADO")),"NO ENCONTRADO")),"NO ENCONTRADO"))</f>
        <v/>
      </c>
      <c r="E69" s="74">
        <f t="array" ref="E69">IF(OR($D69="",$D69="NO ENCONTRADO"),"",_xlfn.XLOOKUP($D69,Productos!$E:$E,Productos!$H:$H,""))</f>
        <v/>
      </c>
      <c r="F69" s="74">
        <f t="array" ref="F69">IF(OR($D69="",$D69="NO ENCONTRADO"),"",_xlfn.XLOOKUP($D69,Productos!$E:$E,Productos!$I:$I,""))</f>
        <v/>
      </c>
      <c r="G69" s="74">
        <f t="array" ref="G69">IF(OR($D69="",$D69="NO ENCONTRADO"),"",_xlfn.XLOOKUP($D69,Productos!$E:$E,Productos!$J:$J,""))</f>
        <v/>
      </c>
      <c r="H69" s="74">
        <f t="array" ref="H69">IF(OR($D69="",$D69="NO ENCONTRADO"),"",_xlfn.XLOOKUP($D69,Productos!$E:$E,Productos!$K:$K,""))</f>
        <v/>
      </c>
      <c r="I69" s="74">
        <f t="array" ref="I69">IF(OR($D69="",$D69="NO ENCONTRADO"),"",_xlfn.XLOOKUP($D69,Productos!$E:$E,Productos!$F:$F,""))</f>
        <v/>
      </c>
      <c r="J69" s="74">
        <f>IF($C69="","",IF($D69="NO ENCONTRADO",IF(COUNTIF($C$7:$C$1000,$C69)&gt;1,"⚠️ No encontrado | Duplicado","⚠️ No encontrado"),IF(COUNTIF($C$7:$C$1000,$C69)&gt;1,"⚠️ Duplicado","Verificado")))</f>
        <v/>
      </c>
    </row>
    <row r="70" ht="15.75" customHeight="1" s="176">
      <c r="B70" s="47" t="n"/>
      <c r="C70" s="77" t="n"/>
      <c r="D70" s="74">
        <f t="array" ref="D70">IF($C70="","",IFNA(_xlfn.XLOOKUP($C70,Productos!$A:$A,Productos!$E:$E,IFNA(_xlfn.XLOOKUP(TEXT($C70,"0"),Productos!$A:$A,Productos!$E:$E,IFNA(_xlfn.XLOOKUP(IFERROR(VALUE($C70),""),Productos!$A:$A,Productos!$E:$E,_xlfn.XLOOKUP($C70,Productos!$E:$E,Productos!$E:$E,"NO ENCONTRADO")),"NO ENCONTRADO")),"NO ENCONTRADO")),"NO ENCONTRADO"))</f>
        <v/>
      </c>
      <c r="E70" s="74">
        <f t="array" ref="E70">IF(OR($D70="",$D70="NO ENCONTRADO"),"",_xlfn.XLOOKUP($D70,Productos!$E:$E,Productos!$H:$H,""))</f>
        <v/>
      </c>
      <c r="F70" s="74">
        <f t="array" ref="F70">IF(OR($D70="",$D70="NO ENCONTRADO"),"",_xlfn.XLOOKUP($D70,Productos!$E:$E,Productos!$I:$I,""))</f>
        <v/>
      </c>
      <c r="G70" s="74">
        <f t="array" ref="G70">IF(OR($D70="",$D70="NO ENCONTRADO"),"",_xlfn.XLOOKUP($D70,Productos!$E:$E,Productos!$J:$J,""))</f>
        <v/>
      </c>
      <c r="H70" s="74">
        <f t="array" ref="H70">IF(OR($D70="",$D70="NO ENCONTRADO"),"",_xlfn.XLOOKUP($D70,Productos!$E:$E,Productos!$K:$K,""))</f>
        <v/>
      </c>
      <c r="I70" s="74">
        <f t="array" ref="I70">IF(OR($D70="",$D70="NO ENCONTRADO"),"",_xlfn.XLOOKUP($D70,Productos!$E:$E,Productos!$F:$F,""))</f>
        <v/>
      </c>
      <c r="J70" s="74">
        <f>IF($C70="","",IF($D70="NO ENCONTRADO",IF(COUNTIF($C$7:$C$1000,$C70)&gt;1,"⚠️ No encontrado | Duplicado","⚠️ No encontrado"),IF(COUNTIF($C$7:$C$1000,$C70)&gt;1,"⚠️ Duplicado","Verificado")))</f>
        <v/>
      </c>
    </row>
    <row r="71" ht="15.75" customHeight="1" s="176">
      <c r="B71" s="47" t="n"/>
      <c r="C71" s="77" t="n"/>
      <c r="D71" s="74">
        <f t="array" ref="D71">IF($C71="","",IFNA(_xlfn.XLOOKUP($C71,Productos!$A:$A,Productos!$E:$E,IFNA(_xlfn.XLOOKUP(TEXT($C71,"0"),Productos!$A:$A,Productos!$E:$E,IFNA(_xlfn.XLOOKUP(IFERROR(VALUE($C71),""),Productos!$A:$A,Productos!$E:$E,_xlfn.XLOOKUP($C71,Productos!$E:$E,Productos!$E:$E,"NO ENCONTRADO")),"NO ENCONTRADO")),"NO ENCONTRADO")),"NO ENCONTRADO"))</f>
        <v/>
      </c>
      <c r="E71" s="74">
        <f t="array" ref="E71">IF(OR($D71="",$D71="NO ENCONTRADO"),"",_xlfn.XLOOKUP($D71,Productos!$E:$E,Productos!$H:$H,""))</f>
        <v/>
      </c>
      <c r="F71" s="74">
        <f t="array" ref="F71">IF(OR($D71="",$D71="NO ENCONTRADO"),"",_xlfn.XLOOKUP($D71,Productos!$E:$E,Productos!$I:$I,""))</f>
        <v/>
      </c>
      <c r="G71" s="74">
        <f t="array" ref="G71">IF(OR($D71="",$D71="NO ENCONTRADO"),"",_xlfn.XLOOKUP($D71,Productos!$E:$E,Productos!$J:$J,""))</f>
        <v/>
      </c>
      <c r="H71" s="74">
        <f t="array" ref="H71">IF(OR($D71="",$D71="NO ENCONTRADO"),"",_xlfn.XLOOKUP($D71,Productos!$E:$E,Productos!$K:$K,""))</f>
        <v/>
      </c>
      <c r="I71" s="74">
        <f t="array" ref="I71">IF(OR($D71="",$D71="NO ENCONTRADO"),"",_xlfn.XLOOKUP($D71,Productos!$E:$E,Productos!$F:$F,""))</f>
        <v/>
      </c>
      <c r="J71" s="74">
        <f>IF($C71="","",IF($D71="NO ENCONTRADO",IF(COUNTIF($C$7:$C$1000,$C71)&gt;1,"⚠️ No encontrado | Duplicado","⚠️ No encontrado"),IF(COUNTIF($C$7:$C$1000,$C71)&gt;1,"⚠️ Duplicado","Verificado")))</f>
        <v/>
      </c>
    </row>
    <row r="72" ht="15.75" customHeight="1" s="176">
      <c r="B72" s="47" t="n"/>
      <c r="C72" s="77" t="n"/>
      <c r="D72" s="74">
        <f t="array" ref="D72">IF($C72="","",IFNA(_xlfn.XLOOKUP($C72,Productos!$A:$A,Productos!$E:$E,IFNA(_xlfn.XLOOKUP(TEXT($C72,"0"),Productos!$A:$A,Productos!$E:$E,IFNA(_xlfn.XLOOKUP(IFERROR(VALUE($C72),""),Productos!$A:$A,Productos!$E:$E,_xlfn.XLOOKUP($C72,Productos!$E:$E,Productos!$E:$E,"NO ENCONTRADO")),"NO ENCONTRADO")),"NO ENCONTRADO")),"NO ENCONTRADO"))</f>
        <v/>
      </c>
      <c r="E72" s="74">
        <f t="array" ref="E72">IF(OR($D72="",$D72="NO ENCONTRADO"),"",_xlfn.XLOOKUP($D72,Productos!$E:$E,Productos!$H:$H,""))</f>
        <v/>
      </c>
      <c r="F72" s="74">
        <f t="array" ref="F72">IF(OR($D72="",$D72="NO ENCONTRADO"),"",_xlfn.XLOOKUP($D72,Productos!$E:$E,Productos!$I:$I,""))</f>
        <v/>
      </c>
      <c r="G72" s="74">
        <f t="array" ref="G72">IF(OR($D72="",$D72="NO ENCONTRADO"),"",_xlfn.XLOOKUP($D72,Productos!$E:$E,Productos!$J:$J,""))</f>
        <v/>
      </c>
      <c r="H72" s="74">
        <f t="array" ref="H72">IF(OR($D72="",$D72="NO ENCONTRADO"),"",_xlfn.XLOOKUP($D72,Productos!$E:$E,Productos!$K:$K,""))</f>
        <v/>
      </c>
      <c r="I72" s="74">
        <f t="array" ref="I72">IF(OR($D72="",$D72="NO ENCONTRADO"),"",_xlfn.XLOOKUP($D72,Productos!$E:$E,Productos!$F:$F,""))</f>
        <v/>
      </c>
      <c r="J72" s="74">
        <f>IF($C72="","",IF($D72="NO ENCONTRADO",IF(COUNTIF($C$7:$C$1000,$C72)&gt;1,"⚠️ No encontrado | Duplicado","⚠️ No encontrado"),IF(COUNTIF($C$7:$C$1000,$C72)&gt;1,"⚠️ Duplicado","Verificado")))</f>
        <v/>
      </c>
    </row>
    <row r="73" ht="15.75" customHeight="1" s="176">
      <c r="B73" s="47" t="n"/>
      <c r="C73" s="77" t="n"/>
      <c r="D73" s="74">
        <f t="array" ref="D73">IF($C73="","",IFNA(_xlfn.XLOOKUP($C73,Productos!$A:$A,Productos!$E:$E,IFNA(_xlfn.XLOOKUP(TEXT($C73,"0"),Productos!$A:$A,Productos!$E:$E,IFNA(_xlfn.XLOOKUP(IFERROR(VALUE($C73),""),Productos!$A:$A,Productos!$E:$E,_xlfn.XLOOKUP($C73,Productos!$E:$E,Productos!$E:$E,"NO ENCONTRADO")),"NO ENCONTRADO")),"NO ENCONTRADO")),"NO ENCONTRADO"))</f>
        <v/>
      </c>
      <c r="E73" s="74">
        <f t="array" ref="E73">IF(OR($D73="",$D73="NO ENCONTRADO"),"",_xlfn.XLOOKUP($D73,Productos!$E:$E,Productos!$H:$H,""))</f>
        <v/>
      </c>
      <c r="F73" s="74">
        <f t="array" ref="F73">IF(OR($D73="",$D73="NO ENCONTRADO"),"",_xlfn.XLOOKUP($D73,Productos!$E:$E,Productos!$I:$I,""))</f>
        <v/>
      </c>
      <c r="G73" s="74">
        <f t="array" ref="G73">IF(OR($D73="",$D73="NO ENCONTRADO"),"",_xlfn.XLOOKUP($D73,Productos!$E:$E,Productos!$J:$J,""))</f>
        <v/>
      </c>
      <c r="H73" s="74">
        <f t="array" ref="H73">IF(OR($D73="",$D73="NO ENCONTRADO"),"",_xlfn.XLOOKUP($D73,Productos!$E:$E,Productos!$K:$K,""))</f>
        <v/>
      </c>
      <c r="I73" s="74">
        <f t="array" ref="I73">IF(OR($D73="",$D73="NO ENCONTRADO"),"",_xlfn.XLOOKUP($D73,Productos!$E:$E,Productos!$F:$F,""))</f>
        <v/>
      </c>
      <c r="J73" s="74">
        <f>IF($C73="","",IF($D73="NO ENCONTRADO",IF(COUNTIF($C$7:$C$1000,$C73)&gt;1,"⚠️ No encontrado | Duplicado","⚠️ No encontrado"),IF(COUNTIF($C$7:$C$1000,$C73)&gt;1,"⚠️ Duplicado","Verificado")))</f>
        <v/>
      </c>
    </row>
    <row r="74" ht="15.75" customHeight="1" s="176">
      <c r="B74" s="47" t="n"/>
      <c r="C74" s="77" t="n"/>
      <c r="D74" s="74">
        <f t="array" ref="D74">IF($C74="","",IFNA(_xlfn.XLOOKUP($C74,Productos!$A:$A,Productos!$E:$E,IFNA(_xlfn.XLOOKUP(TEXT($C74,"0"),Productos!$A:$A,Productos!$E:$E,IFNA(_xlfn.XLOOKUP(IFERROR(VALUE($C74),""),Productos!$A:$A,Productos!$E:$E,_xlfn.XLOOKUP($C74,Productos!$E:$E,Productos!$E:$E,"NO ENCONTRADO")),"NO ENCONTRADO")),"NO ENCONTRADO")),"NO ENCONTRADO"))</f>
        <v/>
      </c>
      <c r="E74" s="74">
        <f t="array" ref="E74">IF(OR($D74="",$D74="NO ENCONTRADO"),"",_xlfn.XLOOKUP($D74,Productos!$E:$E,Productos!$H:$H,""))</f>
        <v/>
      </c>
      <c r="F74" s="74">
        <f t="array" ref="F74">IF(OR($D74="",$D74="NO ENCONTRADO"),"",_xlfn.XLOOKUP($D74,Productos!$E:$E,Productos!$I:$I,""))</f>
        <v/>
      </c>
      <c r="G74" s="74">
        <f t="array" ref="G74">IF(OR($D74="",$D74="NO ENCONTRADO"),"",_xlfn.XLOOKUP($D74,Productos!$E:$E,Productos!$J:$J,""))</f>
        <v/>
      </c>
      <c r="H74" s="74">
        <f t="array" ref="H74">IF(OR($D74="",$D74="NO ENCONTRADO"),"",_xlfn.XLOOKUP($D74,Productos!$E:$E,Productos!$K:$K,""))</f>
        <v/>
      </c>
      <c r="I74" s="74">
        <f t="array" ref="I74">IF(OR($D74="",$D74="NO ENCONTRADO"),"",_xlfn.XLOOKUP($D74,Productos!$E:$E,Productos!$F:$F,""))</f>
        <v/>
      </c>
      <c r="J74" s="74">
        <f>IF($C74="","",IF($D74="NO ENCONTRADO",IF(COUNTIF($C$7:$C$1000,$C74)&gt;1,"⚠️ No encontrado | Duplicado","⚠️ No encontrado"),IF(COUNTIF($C$7:$C$1000,$C74)&gt;1,"⚠️ Duplicado","Verificado")))</f>
        <v/>
      </c>
    </row>
    <row r="75" ht="15.75" customHeight="1" s="176">
      <c r="B75" s="47" t="n"/>
      <c r="C75" s="77" t="n"/>
      <c r="D75" s="74">
        <f t="array" ref="D75">IF($C75="","",IFNA(_xlfn.XLOOKUP($C75,Productos!$A:$A,Productos!$E:$E,IFNA(_xlfn.XLOOKUP(TEXT($C75,"0"),Productos!$A:$A,Productos!$E:$E,IFNA(_xlfn.XLOOKUP(IFERROR(VALUE($C75),""),Productos!$A:$A,Productos!$E:$E,_xlfn.XLOOKUP($C75,Productos!$E:$E,Productos!$E:$E,"NO ENCONTRADO")),"NO ENCONTRADO")),"NO ENCONTRADO")),"NO ENCONTRADO"))</f>
        <v/>
      </c>
      <c r="E75" s="74">
        <f t="array" ref="E75">IF(OR($D75="",$D75="NO ENCONTRADO"),"",_xlfn.XLOOKUP($D75,Productos!$E:$E,Productos!$H:$H,""))</f>
        <v/>
      </c>
      <c r="F75" s="74">
        <f t="array" ref="F75">IF(OR($D75="",$D75="NO ENCONTRADO"),"",_xlfn.XLOOKUP($D75,Productos!$E:$E,Productos!$I:$I,""))</f>
        <v/>
      </c>
      <c r="G75" s="74">
        <f t="array" ref="G75">IF(OR($D75="",$D75="NO ENCONTRADO"),"",_xlfn.XLOOKUP($D75,Productos!$E:$E,Productos!$J:$J,""))</f>
        <v/>
      </c>
      <c r="H75" s="74">
        <f t="array" ref="H75">IF(OR($D75="",$D75="NO ENCONTRADO"),"",_xlfn.XLOOKUP($D75,Productos!$E:$E,Productos!$K:$K,""))</f>
        <v/>
      </c>
      <c r="I75" s="74">
        <f t="array" ref="I75">IF(OR($D75="",$D75="NO ENCONTRADO"),"",_xlfn.XLOOKUP($D75,Productos!$E:$E,Productos!$F:$F,""))</f>
        <v/>
      </c>
      <c r="J75" s="74">
        <f>IF($C75="","",IF($D75="NO ENCONTRADO",IF(COUNTIF($C$7:$C$1000,$C75)&gt;1,"⚠️ No encontrado | Duplicado","⚠️ No encontrado"),IF(COUNTIF($C$7:$C$1000,$C75)&gt;1,"⚠️ Duplicado","Verificado")))</f>
        <v/>
      </c>
    </row>
    <row r="76" ht="15.75" customHeight="1" s="176">
      <c r="B76" s="47" t="n"/>
      <c r="C76" s="77" t="n"/>
      <c r="D76" s="74">
        <f t="array" ref="D76">IF($C76="","",IFNA(_xlfn.XLOOKUP($C76,Productos!$A:$A,Productos!$E:$E,IFNA(_xlfn.XLOOKUP(TEXT($C76,"0"),Productos!$A:$A,Productos!$E:$E,IFNA(_xlfn.XLOOKUP(IFERROR(VALUE($C76),""),Productos!$A:$A,Productos!$E:$E,_xlfn.XLOOKUP($C76,Productos!$E:$E,Productos!$E:$E,"NO ENCONTRADO")),"NO ENCONTRADO")),"NO ENCONTRADO")),"NO ENCONTRADO"))</f>
        <v/>
      </c>
      <c r="E76" s="74">
        <f t="array" ref="E76">IF(OR($D76="",$D76="NO ENCONTRADO"),"",_xlfn.XLOOKUP($D76,Productos!$E:$E,Productos!$H:$H,""))</f>
        <v/>
      </c>
      <c r="F76" s="74">
        <f t="array" ref="F76">IF(OR($D76="",$D76="NO ENCONTRADO"),"",_xlfn.XLOOKUP($D76,Productos!$E:$E,Productos!$I:$I,""))</f>
        <v/>
      </c>
      <c r="G76" s="74">
        <f t="array" ref="G76">IF(OR($D76="",$D76="NO ENCONTRADO"),"",_xlfn.XLOOKUP($D76,Productos!$E:$E,Productos!$J:$J,""))</f>
        <v/>
      </c>
      <c r="H76" s="74">
        <f t="array" ref="H76">IF(OR($D76="",$D76="NO ENCONTRADO"),"",_xlfn.XLOOKUP($D76,Productos!$E:$E,Productos!$K:$K,""))</f>
        <v/>
      </c>
      <c r="I76" s="74">
        <f t="array" ref="I76">IF(OR($D76="",$D76="NO ENCONTRADO"),"",_xlfn.XLOOKUP($D76,Productos!$E:$E,Productos!$F:$F,""))</f>
        <v/>
      </c>
      <c r="J76" s="74">
        <f>IF($C76="","",IF($D76="NO ENCONTRADO",IF(COUNTIF($C$7:$C$1000,$C76)&gt;1,"⚠️ No encontrado | Duplicado","⚠️ No encontrado"),IF(COUNTIF($C$7:$C$1000,$C76)&gt;1,"⚠️ Duplicado","Verificado")))</f>
        <v/>
      </c>
    </row>
    <row r="77" ht="15.75" customHeight="1" s="176">
      <c r="B77" s="47" t="n"/>
      <c r="C77" s="77" t="n"/>
      <c r="D77" s="74">
        <f t="array" ref="D77">IF($C77="","",IFNA(_xlfn.XLOOKUP($C77,Productos!$A:$A,Productos!$E:$E,IFNA(_xlfn.XLOOKUP(TEXT($C77,"0"),Productos!$A:$A,Productos!$E:$E,IFNA(_xlfn.XLOOKUP(IFERROR(VALUE($C77),""),Productos!$A:$A,Productos!$E:$E,_xlfn.XLOOKUP($C77,Productos!$E:$E,Productos!$E:$E,"NO ENCONTRADO")),"NO ENCONTRADO")),"NO ENCONTRADO")),"NO ENCONTRADO"))</f>
        <v/>
      </c>
      <c r="E77" s="74">
        <f t="array" ref="E77">IF(OR($D77="",$D77="NO ENCONTRADO"),"",_xlfn.XLOOKUP($D77,Productos!$E:$E,Productos!$H:$H,""))</f>
        <v/>
      </c>
      <c r="F77" s="74">
        <f t="array" ref="F77">IF(OR($D77="",$D77="NO ENCONTRADO"),"",_xlfn.XLOOKUP($D77,Productos!$E:$E,Productos!$I:$I,""))</f>
        <v/>
      </c>
      <c r="G77" s="74">
        <f t="array" ref="G77">IF(OR($D77="",$D77="NO ENCONTRADO"),"",_xlfn.XLOOKUP($D77,Productos!$E:$E,Productos!$J:$J,""))</f>
        <v/>
      </c>
      <c r="H77" s="74">
        <f t="array" ref="H77">IF(OR($D77="",$D77="NO ENCONTRADO"),"",_xlfn.XLOOKUP($D77,Productos!$E:$E,Productos!$K:$K,""))</f>
        <v/>
      </c>
      <c r="I77" s="74">
        <f t="array" ref="I77">IF(OR($D77="",$D77="NO ENCONTRADO"),"",_xlfn.XLOOKUP($D77,Productos!$E:$E,Productos!$F:$F,""))</f>
        <v/>
      </c>
      <c r="J77" s="74">
        <f>IF($C77="","",IF($D77="NO ENCONTRADO",IF(COUNTIF($C$7:$C$1000,$C77)&gt;1,"⚠️ No encontrado | Duplicado","⚠️ No encontrado"),IF(COUNTIF($C$7:$C$1000,$C77)&gt;1,"⚠️ Duplicado","Verificado")))</f>
        <v/>
      </c>
    </row>
    <row r="78" ht="15.75" customHeight="1" s="176">
      <c r="B78" s="47" t="n"/>
      <c r="C78" s="77" t="n"/>
      <c r="D78" s="74">
        <f t="array" ref="D78">IF($C78="","",IFNA(_xlfn.XLOOKUP($C78,Productos!$A:$A,Productos!$E:$E,IFNA(_xlfn.XLOOKUP(TEXT($C78,"0"),Productos!$A:$A,Productos!$E:$E,IFNA(_xlfn.XLOOKUP(IFERROR(VALUE($C78),""),Productos!$A:$A,Productos!$E:$E,_xlfn.XLOOKUP($C78,Productos!$E:$E,Productos!$E:$E,"NO ENCONTRADO")),"NO ENCONTRADO")),"NO ENCONTRADO")),"NO ENCONTRADO"))</f>
        <v/>
      </c>
      <c r="E78" s="74">
        <f t="array" ref="E78">IF(OR($D78="",$D78="NO ENCONTRADO"),"",_xlfn.XLOOKUP($D78,Productos!$E:$E,Productos!$H:$H,""))</f>
        <v/>
      </c>
      <c r="F78" s="74">
        <f t="array" ref="F78">IF(OR($D78="",$D78="NO ENCONTRADO"),"",_xlfn.XLOOKUP($D78,Productos!$E:$E,Productos!$I:$I,""))</f>
        <v/>
      </c>
      <c r="G78" s="74">
        <f t="array" ref="G78">IF(OR($D78="",$D78="NO ENCONTRADO"),"",_xlfn.XLOOKUP($D78,Productos!$E:$E,Productos!$J:$J,""))</f>
        <v/>
      </c>
      <c r="H78" s="74">
        <f t="array" ref="H78">IF(OR($D78="",$D78="NO ENCONTRADO"),"",_xlfn.XLOOKUP($D78,Productos!$E:$E,Productos!$K:$K,""))</f>
        <v/>
      </c>
      <c r="I78" s="74">
        <f t="array" ref="I78">IF(OR($D78="",$D78="NO ENCONTRADO"),"",_xlfn.XLOOKUP($D78,Productos!$E:$E,Productos!$F:$F,""))</f>
        <v/>
      </c>
      <c r="J78" s="74">
        <f>IF($C78="","",IF($D78="NO ENCONTRADO",IF(COUNTIF($C$7:$C$1000,$C78)&gt;1,"⚠️ No encontrado | Duplicado","⚠️ No encontrado"),IF(COUNTIF($C$7:$C$1000,$C78)&gt;1,"⚠️ Duplicado","Verificado")))</f>
        <v/>
      </c>
    </row>
    <row r="79" ht="15.75" customHeight="1" s="176">
      <c r="B79" s="47" t="n"/>
      <c r="C79" s="77" t="n"/>
      <c r="D79" s="74">
        <f t="array" ref="D79">IF($C79="","",IFNA(_xlfn.XLOOKUP($C79,Productos!$A:$A,Productos!$E:$E,IFNA(_xlfn.XLOOKUP(TEXT($C79,"0"),Productos!$A:$A,Productos!$E:$E,IFNA(_xlfn.XLOOKUP(IFERROR(VALUE($C79),""),Productos!$A:$A,Productos!$E:$E,_xlfn.XLOOKUP($C79,Productos!$E:$E,Productos!$E:$E,"NO ENCONTRADO")),"NO ENCONTRADO")),"NO ENCONTRADO")),"NO ENCONTRADO"))</f>
        <v/>
      </c>
      <c r="E79" s="74">
        <f t="array" ref="E79">IF(OR($D79="",$D79="NO ENCONTRADO"),"",_xlfn.XLOOKUP($D79,Productos!$E:$E,Productos!$H:$H,""))</f>
        <v/>
      </c>
      <c r="F79" s="74">
        <f t="array" ref="F79">IF(OR($D79="",$D79="NO ENCONTRADO"),"",_xlfn.XLOOKUP($D79,Productos!$E:$E,Productos!$I:$I,""))</f>
        <v/>
      </c>
      <c r="G79" s="74">
        <f t="array" ref="G79">IF(OR($D79="",$D79="NO ENCONTRADO"),"",_xlfn.XLOOKUP($D79,Productos!$E:$E,Productos!$J:$J,""))</f>
        <v/>
      </c>
      <c r="H79" s="74">
        <f t="array" ref="H79">IF(OR($D79="",$D79="NO ENCONTRADO"),"",_xlfn.XLOOKUP($D79,Productos!$E:$E,Productos!$K:$K,""))</f>
        <v/>
      </c>
      <c r="I79" s="74">
        <f t="array" ref="I79">IF(OR($D79="",$D79="NO ENCONTRADO"),"",_xlfn.XLOOKUP($D79,Productos!$E:$E,Productos!$F:$F,""))</f>
        <v/>
      </c>
      <c r="J79" s="74">
        <f>IF($C79="","",IF($D79="NO ENCONTRADO",IF(COUNTIF($C$7:$C$1000,$C79)&gt;1,"⚠️ No encontrado | Duplicado","⚠️ No encontrado"),IF(COUNTIF($C$7:$C$1000,$C79)&gt;1,"⚠️ Duplicado","Verificado")))</f>
        <v/>
      </c>
    </row>
    <row r="80" ht="15.75" customHeight="1" s="176">
      <c r="B80" s="47" t="n"/>
      <c r="C80" s="77" t="n"/>
      <c r="D80" s="74">
        <f t="array" ref="D80">IF($C80="","",IFNA(_xlfn.XLOOKUP($C80,Productos!$A:$A,Productos!$E:$E,IFNA(_xlfn.XLOOKUP(TEXT($C80,"0"),Productos!$A:$A,Productos!$E:$E,IFNA(_xlfn.XLOOKUP(IFERROR(VALUE($C80),""),Productos!$A:$A,Productos!$E:$E,_xlfn.XLOOKUP($C80,Productos!$E:$E,Productos!$E:$E,"NO ENCONTRADO")),"NO ENCONTRADO")),"NO ENCONTRADO")),"NO ENCONTRADO"))</f>
        <v/>
      </c>
      <c r="E80" s="74">
        <f t="array" ref="E80">IF(OR($D80="",$D80="NO ENCONTRADO"),"",_xlfn.XLOOKUP($D80,Productos!$E:$E,Productos!$H:$H,""))</f>
        <v/>
      </c>
      <c r="F80" s="74">
        <f t="array" ref="F80">IF(OR($D80="",$D80="NO ENCONTRADO"),"",_xlfn.XLOOKUP($D80,Productos!$E:$E,Productos!$I:$I,""))</f>
        <v/>
      </c>
      <c r="G80" s="74">
        <f t="array" ref="G80">IF(OR($D80="",$D80="NO ENCONTRADO"),"",_xlfn.XLOOKUP($D80,Productos!$E:$E,Productos!$J:$J,""))</f>
        <v/>
      </c>
      <c r="H80" s="74">
        <f t="array" ref="H80">IF(OR($D80="",$D80="NO ENCONTRADO"),"",_xlfn.XLOOKUP($D80,Productos!$E:$E,Productos!$K:$K,""))</f>
        <v/>
      </c>
      <c r="I80" s="74">
        <f t="array" ref="I80">IF(OR($D80="",$D80="NO ENCONTRADO"),"",_xlfn.XLOOKUP($D80,Productos!$E:$E,Productos!$F:$F,""))</f>
        <v/>
      </c>
      <c r="J80" s="74">
        <f>IF($C80="","",IF($D80="NO ENCONTRADO",IF(COUNTIF($C$7:$C$1000,$C80)&gt;1,"⚠️ No encontrado | Duplicado","⚠️ No encontrado"),IF(COUNTIF($C$7:$C$1000,$C80)&gt;1,"⚠️ Duplicado","Verificado")))</f>
        <v/>
      </c>
    </row>
    <row r="81" ht="15.75" customHeight="1" s="176">
      <c r="B81" s="47" t="n"/>
      <c r="C81" s="77" t="n"/>
      <c r="D81" s="74">
        <f t="array" ref="D81">IF($C81="","",IFNA(_xlfn.XLOOKUP($C81,Productos!$A:$A,Productos!$E:$E,IFNA(_xlfn.XLOOKUP(TEXT($C81,"0"),Productos!$A:$A,Productos!$E:$E,IFNA(_xlfn.XLOOKUP(IFERROR(VALUE($C81),""),Productos!$A:$A,Productos!$E:$E,_xlfn.XLOOKUP($C81,Productos!$E:$E,Productos!$E:$E,"NO ENCONTRADO")),"NO ENCONTRADO")),"NO ENCONTRADO")),"NO ENCONTRADO"))</f>
        <v/>
      </c>
      <c r="E81" s="74">
        <f t="array" ref="E81">IF(OR($D81="",$D81="NO ENCONTRADO"),"",_xlfn.XLOOKUP($D81,Productos!$E:$E,Productos!$H:$H,""))</f>
        <v/>
      </c>
      <c r="F81" s="74">
        <f t="array" ref="F81">IF(OR($D81="",$D81="NO ENCONTRADO"),"",_xlfn.XLOOKUP($D81,Productos!$E:$E,Productos!$I:$I,""))</f>
        <v/>
      </c>
      <c r="G81" s="74">
        <f t="array" ref="G81">IF(OR($D81="",$D81="NO ENCONTRADO"),"",_xlfn.XLOOKUP($D81,Productos!$E:$E,Productos!$J:$J,""))</f>
        <v/>
      </c>
      <c r="H81" s="74">
        <f t="array" ref="H81">IF(OR($D81="",$D81="NO ENCONTRADO"),"",_xlfn.XLOOKUP($D81,Productos!$E:$E,Productos!$K:$K,""))</f>
        <v/>
      </c>
      <c r="I81" s="74">
        <f t="array" ref="I81">IF(OR($D81="",$D81="NO ENCONTRADO"),"",_xlfn.XLOOKUP($D81,Productos!$E:$E,Productos!$F:$F,""))</f>
        <v/>
      </c>
      <c r="J81" s="74">
        <f>IF($C81="","",IF($D81="NO ENCONTRADO",IF(COUNTIF($C$7:$C$1000,$C81)&gt;1,"⚠️ No encontrado | Duplicado","⚠️ No encontrado"),IF(COUNTIF($C$7:$C$1000,$C81)&gt;1,"⚠️ Duplicado","Verificado")))</f>
        <v/>
      </c>
    </row>
    <row r="82" ht="15.75" customHeight="1" s="176">
      <c r="B82" s="47" t="n"/>
      <c r="C82" s="77" t="n"/>
      <c r="D82" s="74">
        <f t="array" ref="D82">IF($C82="","",IFNA(_xlfn.XLOOKUP($C82,Productos!$A:$A,Productos!$E:$E,IFNA(_xlfn.XLOOKUP(TEXT($C82,"0"),Productos!$A:$A,Productos!$E:$E,IFNA(_xlfn.XLOOKUP(IFERROR(VALUE($C82),""),Productos!$A:$A,Productos!$E:$E,_xlfn.XLOOKUP($C82,Productos!$E:$E,Productos!$E:$E,"NO ENCONTRADO")),"NO ENCONTRADO")),"NO ENCONTRADO")),"NO ENCONTRADO"))</f>
        <v/>
      </c>
      <c r="E82" s="74">
        <f t="array" ref="E82">IF(OR($D82="",$D82="NO ENCONTRADO"),"",_xlfn.XLOOKUP($D82,Productos!$E:$E,Productos!$H:$H,""))</f>
        <v/>
      </c>
      <c r="F82" s="74">
        <f t="array" ref="F82">IF(OR($D82="",$D82="NO ENCONTRADO"),"",_xlfn.XLOOKUP($D82,Productos!$E:$E,Productos!$I:$I,""))</f>
        <v/>
      </c>
      <c r="G82" s="74">
        <f t="array" ref="G82">IF(OR($D82="",$D82="NO ENCONTRADO"),"",_xlfn.XLOOKUP($D82,Productos!$E:$E,Productos!$J:$J,""))</f>
        <v/>
      </c>
      <c r="H82" s="74">
        <f t="array" ref="H82">IF(OR($D82="",$D82="NO ENCONTRADO"),"",_xlfn.XLOOKUP($D82,Productos!$E:$E,Productos!$K:$K,""))</f>
        <v/>
      </c>
      <c r="I82" s="74">
        <f t="array" ref="I82">IF(OR($D82="",$D82="NO ENCONTRADO"),"",_xlfn.XLOOKUP($D82,Productos!$E:$E,Productos!$F:$F,""))</f>
        <v/>
      </c>
      <c r="J82" s="74">
        <f>IF($C82="","",IF($D82="NO ENCONTRADO",IF(COUNTIF($C$7:$C$1000,$C82)&gt;1,"⚠️ No encontrado | Duplicado","⚠️ No encontrado"),IF(COUNTIF($C$7:$C$1000,$C82)&gt;1,"⚠️ Duplicado","Verificado")))</f>
        <v/>
      </c>
    </row>
    <row r="83" ht="15.75" customHeight="1" s="176">
      <c r="B83" s="47" t="n"/>
      <c r="C83" s="77" t="n"/>
      <c r="D83" s="74">
        <f t="array" ref="D83">IF($C83="","",IFNA(_xlfn.XLOOKUP($C83,Productos!$A:$A,Productos!$E:$E,IFNA(_xlfn.XLOOKUP(TEXT($C83,"0"),Productos!$A:$A,Productos!$E:$E,IFNA(_xlfn.XLOOKUP(IFERROR(VALUE($C83),""),Productos!$A:$A,Productos!$E:$E,_xlfn.XLOOKUP($C83,Productos!$E:$E,Productos!$E:$E,"NO ENCONTRADO")),"NO ENCONTRADO")),"NO ENCONTRADO")),"NO ENCONTRADO"))</f>
        <v/>
      </c>
      <c r="E83" s="74">
        <f t="array" ref="E83">IF(OR($D83="",$D83="NO ENCONTRADO"),"",_xlfn.XLOOKUP($D83,Productos!$E:$E,Productos!$H:$H,""))</f>
        <v/>
      </c>
      <c r="F83" s="74">
        <f t="array" ref="F83">IF(OR($D83="",$D83="NO ENCONTRADO"),"",_xlfn.XLOOKUP($D83,Productos!$E:$E,Productos!$I:$I,""))</f>
        <v/>
      </c>
      <c r="G83" s="74">
        <f t="array" ref="G83">IF(OR($D83="",$D83="NO ENCONTRADO"),"",_xlfn.XLOOKUP($D83,Productos!$E:$E,Productos!$J:$J,""))</f>
        <v/>
      </c>
      <c r="H83" s="74">
        <f t="array" ref="H83">IF(OR($D83="",$D83="NO ENCONTRADO"),"",_xlfn.XLOOKUP($D83,Productos!$E:$E,Productos!$K:$K,""))</f>
        <v/>
      </c>
      <c r="I83" s="74">
        <f t="array" ref="I83">IF(OR($D83="",$D83="NO ENCONTRADO"),"",_xlfn.XLOOKUP($D83,Productos!$E:$E,Productos!$F:$F,""))</f>
        <v/>
      </c>
      <c r="J83" s="74">
        <f>IF($C83="","",IF($D83="NO ENCONTRADO",IF(COUNTIF($C$7:$C$1000,$C83)&gt;1,"⚠️ No encontrado | Duplicado","⚠️ No encontrado"),IF(COUNTIF($C$7:$C$1000,$C83)&gt;1,"⚠️ Duplicado","Verificado")))</f>
        <v/>
      </c>
    </row>
    <row r="84" ht="15.75" customHeight="1" s="176">
      <c r="B84" s="47" t="n"/>
      <c r="C84" s="77" t="n"/>
      <c r="D84" s="74">
        <f t="array" ref="D84">IF($C84="","",IFNA(_xlfn.XLOOKUP($C84,Productos!$A:$A,Productos!$E:$E,IFNA(_xlfn.XLOOKUP(TEXT($C84,"0"),Productos!$A:$A,Productos!$E:$E,IFNA(_xlfn.XLOOKUP(IFERROR(VALUE($C84),""),Productos!$A:$A,Productos!$E:$E,_xlfn.XLOOKUP($C84,Productos!$E:$E,Productos!$E:$E,"NO ENCONTRADO")),"NO ENCONTRADO")),"NO ENCONTRADO")),"NO ENCONTRADO"))</f>
        <v/>
      </c>
      <c r="E84" s="74">
        <f t="array" ref="E84">IF(OR($D84="",$D84="NO ENCONTRADO"),"",_xlfn.XLOOKUP($D84,Productos!$E:$E,Productos!$H:$H,""))</f>
        <v/>
      </c>
      <c r="F84" s="74">
        <f t="array" ref="F84">IF(OR($D84="",$D84="NO ENCONTRADO"),"",_xlfn.XLOOKUP($D84,Productos!$E:$E,Productos!$I:$I,""))</f>
        <v/>
      </c>
      <c r="G84" s="74">
        <f t="array" ref="G84">IF(OR($D84="",$D84="NO ENCONTRADO"),"",_xlfn.XLOOKUP($D84,Productos!$E:$E,Productos!$J:$J,""))</f>
        <v/>
      </c>
      <c r="H84" s="74">
        <f t="array" ref="H84">IF(OR($D84="",$D84="NO ENCONTRADO"),"",_xlfn.XLOOKUP($D84,Productos!$E:$E,Productos!$K:$K,""))</f>
        <v/>
      </c>
      <c r="I84" s="74">
        <f t="array" ref="I84">IF(OR($D84="",$D84="NO ENCONTRADO"),"",_xlfn.XLOOKUP($D84,Productos!$E:$E,Productos!$F:$F,""))</f>
        <v/>
      </c>
      <c r="J84" s="74">
        <f>IF($C84="","",IF($D84="NO ENCONTRADO",IF(COUNTIF($C$7:$C$1000,$C84)&gt;1,"⚠️ No encontrado | Duplicado","⚠️ No encontrado"),IF(COUNTIF($C$7:$C$1000,$C84)&gt;1,"⚠️ Duplicado","Verificado")))</f>
        <v/>
      </c>
    </row>
    <row r="85" ht="15.75" customHeight="1" s="176">
      <c r="B85" s="47" t="n"/>
      <c r="C85" s="77" t="n"/>
      <c r="D85" s="74">
        <f t="array" ref="D85">IF($C85="","",IFNA(_xlfn.XLOOKUP($C85,Productos!$A:$A,Productos!$E:$E,IFNA(_xlfn.XLOOKUP(TEXT($C85,"0"),Productos!$A:$A,Productos!$E:$E,IFNA(_xlfn.XLOOKUP(IFERROR(VALUE($C85),""),Productos!$A:$A,Productos!$E:$E,_xlfn.XLOOKUP($C85,Productos!$E:$E,Productos!$E:$E,"NO ENCONTRADO")),"NO ENCONTRADO")),"NO ENCONTRADO")),"NO ENCONTRADO"))</f>
        <v/>
      </c>
      <c r="E85" s="74">
        <f t="array" ref="E85">IF(OR($D85="",$D85="NO ENCONTRADO"),"",_xlfn.XLOOKUP($D85,Productos!$E:$E,Productos!$H:$H,""))</f>
        <v/>
      </c>
      <c r="F85" s="74">
        <f t="array" ref="F85">IF(OR($D85="",$D85="NO ENCONTRADO"),"",_xlfn.XLOOKUP($D85,Productos!$E:$E,Productos!$I:$I,""))</f>
        <v/>
      </c>
      <c r="G85" s="74">
        <f t="array" ref="G85">IF(OR($D85="",$D85="NO ENCONTRADO"),"",_xlfn.XLOOKUP($D85,Productos!$E:$E,Productos!$J:$J,""))</f>
        <v/>
      </c>
      <c r="H85" s="74">
        <f t="array" ref="H85">IF(OR($D85="",$D85="NO ENCONTRADO"),"",_xlfn.XLOOKUP($D85,Productos!$E:$E,Productos!$K:$K,""))</f>
        <v/>
      </c>
      <c r="I85" s="74">
        <f t="array" ref="I85">IF(OR($D85="",$D85="NO ENCONTRADO"),"",_xlfn.XLOOKUP($D85,Productos!$E:$E,Productos!$F:$F,""))</f>
        <v/>
      </c>
      <c r="J85" s="74">
        <f>IF($C85="","",IF($D85="NO ENCONTRADO",IF(COUNTIF($C$7:$C$1000,$C85)&gt;1,"⚠️ No encontrado | Duplicado","⚠️ No encontrado"),IF(COUNTIF($C$7:$C$1000,$C85)&gt;1,"⚠️ Duplicado","Verificado")))</f>
        <v/>
      </c>
    </row>
    <row r="86" ht="15.75" customHeight="1" s="176">
      <c r="B86" s="47" t="n"/>
      <c r="C86" s="77" t="n"/>
      <c r="D86" s="74">
        <f t="array" ref="D86">IF($C86="","",IFNA(_xlfn.XLOOKUP($C86,Productos!$A:$A,Productos!$E:$E,IFNA(_xlfn.XLOOKUP(TEXT($C86,"0"),Productos!$A:$A,Productos!$E:$E,IFNA(_xlfn.XLOOKUP(IFERROR(VALUE($C86),""),Productos!$A:$A,Productos!$E:$E,_xlfn.XLOOKUP($C86,Productos!$E:$E,Productos!$E:$E,"NO ENCONTRADO")),"NO ENCONTRADO")),"NO ENCONTRADO")),"NO ENCONTRADO"))</f>
        <v/>
      </c>
      <c r="E86" s="74">
        <f t="array" ref="E86">IF(OR($D86="",$D86="NO ENCONTRADO"),"",_xlfn.XLOOKUP($D86,Productos!$E:$E,Productos!$H:$H,""))</f>
        <v/>
      </c>
      <c r="F86" s="74">
        <f t="array" ref="F86">IF(OR($D86="",$D86="NO ENCONTRADO"),"",_xlfn.XLOOKUP($D86,Productos!$E:$E,Productos!$I:$I,""))</f>
        <v/>
      </c>
      <c r="G86" s="74">
        <f t="array" ref="G86">IF(OR($D86="",$D86="NO ENCONTRADO"),"",_xlfn.XLOOKUP($D86,Productos!$E:$E,Productos!$J:$J,""))</f>
        <v/>
      </c>
      <c r="H86" s="74">
        <f t="array" ref="H86">IF(OR($D86="",$D86="NO ENCONTRADO"),"",_xlfn.XLOOKUP($D86,Productos!$E:$E,Productos!$K:$K,""))</f>
        <v/>
      </c>
      <c r="I86" s="74">
        <f t="array" ref="I86">IF(OR($D86="",$D86="NO ENCONTRADO"),"",_xlfn.XLOOKUP($D86,Productos!$E:$E,Productos!$F:$F,""))</f>
        <v/>
      </c>
      <c r="J86" s="74">
        <f>IF($C86="","",IF($D86="NO ENCONTRADO",IF(COUNTIF($C$7:$C$1000,$C86)&gt;1,"⚠️ No encontrado | Duplicado","⚠️ No encontrado"),IF(COUNTIF($C$7:$C$1000,$C86)&gt;1,"⚠️ Duplicado","Verificado")))</f>
        <v/>
      </c>
    </row>
    <row r="87" ht="15.75" customHeight="1" s="176">
      <c r="B87" s="47" t="n"/>
      <c r="C87" s="77" t="n"/>
      <c r="D87" s="74">
        <f t="array" ref="D87">IF($C87="","",IFNA(_xlfn.XLOOKUP($C87,Productos!$A:$A,Productos!$E:$E,IFNA(_xlfn.XLOOKUP(TEXT($C87,"0"),Productos!$A:$A,Productos!$E:$E,IFNA(_xlfn.XLOOKUP(IFERROR(VALUE($C87),""),Productos!$A:$A,Productos!$E:$E,_xlfn.XLOOKUP($C87,Productos!$E:$E,Productos!$E:$E,"NO ENCONTRADO")),"NO ENCONTRADO")),"NO ENCONTRADO")),"NO ENCONTRADO"))</f>
        <v/>
      </c>
      <c r="E87" s="74">
        <f t="array" ref="E87">IF(OR($D87="",$D87="NO ENCONTRADO"),"",_xlfn.XLOOKUP($D87,Productos!$E:$E,Productos!$H:$H,""))</f>
        <v/>
      </c>
      <c r="F87" s="74">
        <f t="array" ref="F87">IF(OR($D87="",$D87="NO ENCONTRADO"),"",_xlfn.XLOOKUP($D87,Productos!$E:$E,Productos!$I:$I,""))</f>
        <v/>
      </c>
      <c r="G87" s="74">
        <f t="array" ref="G87">IF(OR($D87="",$D87="NO ENCONTRADO"),"",_xlfn.XLOOKUP($D87,Productos!$E:$E,Productos!$J:$J,""))</f>
        <v/>
      </c>
      <c r="H87" s="74">
        <f t="array" ref="H87">IF(OR($D87="",$D87="NO ENCONTRADO"),"",_xlfn.XLOOKUP($D87,Productos!$E:$E,Productos!$K:$K,""))</f>
        <v/>
      </c>
      <c r="I87" s="74">
        <f t="array" ref="I87">IF(OR($D87="",$D87="NO ENCONTRADO"),"",_xlfn.XLOOKUP($D87,Productos!$E:$E,Productos!$F:$F,""))</f>
        <v/>
      </c>
      <c r="J87" s="74">
        <f>IF($C87="","",IF($D87="NO ENCONTRADO",IF(COUNTIF($C$7:$C$1000,$C87)&gt;1,"⚠️ No encontrado | Duplicado","⚠️ No encontrado"),IF(COUNTIF($C$7:$C$1000,$C87)&gt;1,"⚠️ Duplicado","Verificado")))</f>
        <v/>
      </c>
    </row>
    <row r="88" ht="15.75" customHeight="1" s="176">
      <c r="B88" s="47" t="n"/>
      <c r="C88" s="77" t="n"/>
      <c r="D88" s="74">
        <f t="array" ref="D88">IF($C88="","",IFNA(_xlfn.XLOOKUP($C88,Productos!$A:$A,Productos!$E:$E,IFNA(_xlfn.XLOOKUP(TEXT($C88,"0"),Productos!$A:$A,Productos!$E:$E,IFNA(_xlfn.XLOOKUP(IFERROR(VALUE($C88),""),Productos!$A:$A,Productos!$E:$E,_xlfn.XLOOKUP($C88,Productos!$E:$E,Productos!$E:$E,"NO ENCONTRADO")),"NO ENCONTRADO")),"NO ENCONTRADO")),"NO ENCONTRADO"))</f>
        <v/>
      </c>
      <c r="E88" s="74">
        <f t="array" ref="E88">IF(OR($D88="",$D88="NO ENCONTRADO"),"",_xlfn.XLOOKUP($D88,Productos!$E:$E,Productos!$H:$H,""))</f>
        <v/>
      </c>
      <c r="F88" s="74">
        <f t="array" ref="F88">IF(OR($D88="",$D88="NO ENCONTRADO"),"",_xlfn.XLOOKUP($D88,Productos!$E:$E,Productos!$I:$I,""))</f>
        <v/>
      </c>
      <c r="G88" s="74">
        <f t="array" ref="G88">IF(OR($D88="",$D88="NO ENCONTRADO"),"",_xlfn.XLOOKUP($D88,Productos!$E:$E,Productos!$J:$J,""))</f>
        <v/>
      </c>
      <c r="H88" s="74">
        <f t="array" ref="H88">IF(OR($D88="",$D88="NO ENCONTRADO"),"",_xlfn.XLOOKUP($D88,Productos!$E:$E,Productos!$K:$K,""))</f>
        <v/>
      </c>
      <c r="I88" s="74">
        <f t="array" ref="I88">IF(OR($D88="",$D88="NO ENCONTRADO"),"",_xlfn.XLOOKUP($D88,Productos!$E:$E,Productos!$F:$F,""))</f>
        <v/>
      </c>
      <c r="J88" s="74">
        <f>IF($C88="","",IF($D88="NO ENCONTRADO",IF(COUNTIF($C$7:$C$1000,$C88)&gt;1,"⚠️ No encontrado | Duplicado","⚠️ No encontrado"),IF(COUNTIF($C$7:$C$1000,$C88)&gt;1,"⚠️ Duplicado","Verificado")))</f>
        <v/>
      </c>
    </row>
    <row r="89" ht="15.75" customHeight="1" s="176">
      <c r="B89" s="47" t="n"/>
      <c r="C89" s="77" t="n"/>
      <c r="D89" s="74">
        <f t="array" ref="D89">IF($C89="","",IFNA(_xlfn.XLOOKUP($C89,Productos!$A:$A,Productos!$E:$E,IFNA(_xlfn.XLOOKUP(TEXT($C89,"0"),Productos!$A:$A,Productos!$E:$E,IFNA(_xlfn.XLOOKUP(IFERROR(VALUE($C89),""),Productos!$A:$A,Productos!$E:$E,_xlfn.XLOOKUP($C89,Productos!$E:$E,Productos!$E:$E,"NO ENCONTRADO")),"NO ENCONTRADO")),"NO ENCONTRADO")),"NO ENCONTRADO"))</f>
        <v/>
      </c>
      <c r="E89" s="74">
        <f t="array" ref="E89">IF(OR($D89="",$D89="NO ENCONTRADO"),"",_xlfn.XLOOKUP($D89,Productos!$E:$E,Productos!$H:$H,""))</f>
        <v/>
      </c>
      <c r="F89" s="74">
        <f t="array" ref="F89">IF(OR($D89="",$D89="NO ENCONTRADO"),"",_xlfn.XLOOKUP($D89,Productos!$E:$E,Productos!$I:$I,""))</f>
        <v/>
      </c>
      <c r="G89" s="74">
        <f t="array" ref="G89">IF(OR($D89="",$D89="NO ENCONTRADO"),"",_xlfn.XLOOKUP($D89,Productos!$E:$E,Productos!$J:$J,""))</f>
        <v/>
      </c>
      <c r="H89" s="74">
        <f t="array" ref="H89">IF(OR($D89="",$D89="NO ENCONTRADO"),"",_xlfn.XLOOKUP($D89,Productos!$E:$E,Productos!$K:$K,""))</f>
        <v/>
      </c>
      <c r="I89" s="74">
        <f t="array" ref="I89">IF(OR($D89="",$D89="NO ENCONTRADO"),"",_xlfn.XLOOKUP($D89,Productos!$E:$E,Productos!$F:$F,""))</f>
        <v/>
      </c>
      <c r="J89" s="74">
        <f>IF($C89="","",IF($D89="NO ENCONTRADO",IF(COUNTIF($C$7:$C$1000,$C89)&gt;1,"⚠️ No encontrado | Duplicado","⚠️ No encontrado"),IF(COUNTIF($C$7:$C$1000,$C89)&gt;1,"⚠️ Duplicado","Verificado")))</f>
        <v/>
      </c>
    </row>
    <row r="90" ht="15.75" customHeight="1" s="176">
      <c r="B90" s="47" t="n"/>
      <c r="C90" s="77" t="n"/>
      <c r="D90" s="74">
        <f t="array" ref="D90">IF($C90="","",IFNA(_xlfn.XLOOKUP($C90,Productos!$A:$A,Productos!$E:$E,IFNA(_xlfn.XLOOKUP(TEXT($C90,"0"),Productos!$A:$A,Productos!$E:$E,IFNA(_xlfn.XLOOKUP(IFERROR(VALUE($C90),""),Productos!$A:$A,Productos!$E:$E,_xlfn.XLOOKUP($C90,Productos!$E:$E,Productos!$E:$E,"NO ENCONTRADO")),"NO ENCONTRADO")),"NO ENCONTRADO")),"NO ENCONTRADO"))</f>
        <v/>
      </c>
      <c r="E90" s="74">
        <f t="array" ref="E90">IF(OR($D90="",$D90="NO ENCONTRADO"),"",_xlfn.XLOOKUP($D90,Productos!$E:$E,Productos!$H:$H,""))</f>
        <v/>
      </c>
      <c r="F90" s="74">
        <f t="array" ref="F90">IF(OR($D90="",$D90="NO ENCONTRADO"),"",_xlfn.XLOOKUP($D90,Productos!$E:$E,Productos!$I:$I,""))</f>
        <v/>
      </c>
      <c r="G90" s="74">
        <f t="array" ref="G90">IF(OR($D90="",$D90="NO ENCONTRADO"),"",_xlfn.XLOOKUP($D90,Productos!$E:$E,Productos!$J:$J,""))</f>
        <v/>
      </c>
      <c r="H90" s="74">
        <f t="array" ref="H90">IF(OR($D90="",$D90="NO ENCONTRADO"),"",_xlfn.XLOOKUP($D90,Productos!$E:$E,Productos!$K:$K,""))</f>
        <v/>
      </c>
      <c r="I90" s="74">
        <f t="array" ref="I90">IF(OR($D90="",$D90="NO ENCONTRADO"),"",_xlfn.XLOOKUP($D90,Productos!$E:$E,Productos!$F:$F,""))</f>
        <v/>
      </c>
      <c r="J90" s="74">
        <f>IF($C90="","",IF($D90="NO ENCONTRADO",IF(COUNTIF($C$7:$C$1000,$C90)&gt;1,"⚠️ No encontrado | Duplicado","⚠️ No encontrado"),IF(COUNTIF($C$7:$C$1000,$C90)&gt;1,"⚠️ Duplicado","Verificado")))</f>
        <v/>
      </c>
    </row>
    <row r="91" ht="15.75" customHeight="1" s="176">
      <c r="B91" s="47" t="n"/>
      <c r="C91" s="77" t="n"/>
      <c r="D91" s="74">
        <f t="array" ref="D91">IF($C91="","",IFNA(_xlfn.XLOOKUP($C91,Productos!$A:$A,Productos!$E:$E,IFNA(_xlfn.XLOOKUP(TEXT($C91,"0"),Productos!$A:$A,Productos!$E:$E,IFNA(_xlfn.XLOOKUP(IFERROR(VALUE($C91),""),Productos!$A:$A,Productos!$E:$E,_xlfn.XLOOKUP($C91,Productos!$E:$E,Productos!$E:$E,"NO ENCONTRADO")),"NO ENCONTRADO")),"NO ENCONTRADO")),"NO ENCONTRADO"))</f>
        <v/>
      </c>
      <c r="E91" s="74">
        <f t="array" ref="E91">IF(OR($D91="",$D91="NO ENCONTRADO"),"",_xlfn.XLOOKUP($D91,Productos!$E:$E,Productos!$H:$H,""))</f>
        <v/>
      </c>
      <c r="F91" s="74">
        <f t="array" ref="F91">IF(OR($D91="",$D91="NO ENCONTRADO"),"",_xlfn.XLOOKUP($D91,Productos!$E:$E,Productos!$I:$I,""))</f>
        <v/>
      </c>
      <c r="G91" s="74">
        <f t="array" ref="G91">IF(OR($D91="",$D91="NO ENCONTRADO"),"",_xlfn.XLOOKUP($D91,Productos!$E:$E,Productos!$J:$J,""))</f>
        <v/>
      </c>
      <c r="H91" s="74">
        <f t="array" ref="H91">IF(OR($D91="",$D91="NO ENCONTRADO"),"",_xlfn.XLOOKUP($D91,Productos!$E:$E,Productos!$K:$K,""))</f>
        <v/>
      </c>
      <c r="I91" s="74">
        <f t="array" ref="I91">IF(OR($D91="",$D91="NO ENCONTRADO"),"",_xlfn.XLOOKUP($D91,Productos!$E:$E,Productos!$F:$F,""))</f>
        <v/>
      </c>
      <c r="J91" s="74">
        <f>IF($C91="","",IF($D91="NO ENCONTRADO",IF(COUNTIF($C$7:$C$1000,$C91)&gt;1,"⚠️ No encontrado | Duplicado","⚠️ No encontrado"),IF(COUNTIF($C$7:$C$1000,$C91)&gt;1,"⚠️ Duplicado","Verificado")))</f>
        <v/>
      </c>
    </row>
    <row r="92" ht="15.75" customHeight="1" s="176">
      <c r="B92" s="47" t="n"/>
      <c r="C92" s="77" t="n"/>
      <c r="D92" s="74">
        <f t="array" ref="D92">IF($C92="","",IFNA(_xlfn.XLOOKUP($C92,Productos!$A:$A,Productos!$E:$E,IFNA(_xlfn.XLOOKUP(TEXT($C92,"0"),Productos!$A:$A,Productos!$E:$E,IFNA(_xlfn.XLOOKUP(IFERROR(VALUE($C92),""),Productos!$A:$A,Productos!$E:$E,_xlfn.XLOOKUP($C92,Productos!$E:$E,Productos!$E:$E,"NO ENCONTRADO")),"NO ENCONTRADO")),"NO ENCONTRADO")),"NO ENCONTRADO"))</f>
        <v/>
      </c>
      <c r="E92" s="74">
        <f t="array" ref="E92">IF(OR($D92="",$D92="NO ENCONTRADO"),"",_xlfn.XLOOKUP($D92,Productos!$E:$E,Productos!$H:$H,""))</f>
        <v/>
      </c>
      <c r="F92" s="74">
        <f t="array" ref="F92">IF(OR($D92="",$D92="NO ENCONTRADO"),"",_xlfn.XLOOKUP($D92,Productos!$E:$E,Productos!$I:$I,""))</f>
        <v/>
      </c>
      <c r="G92" s="74">
        <f t="array" ref="G92">IF(OR($D92="",$D92="NO ENCONTRADO"),"",_xlfn.XLOOKUP($D92,Productos!$E:$E,Productos!$J:$J,""))</f>
        <v/>
      </c>
      <c r="H92" s="74">
        <f t="array" ref="H92">IF(OR($D92="",$D92="NO ENCONTRADO"),"",_xlfn.XLOOKUP($D92,Productos!$E:$E,Productos!$K:$K,""))</f>
        <v/>
      </c>
      <c r="I92" s="74">
        <f t="array" ref="I92">IF(OR($D92="",$D92="NO ENCONTRADO"),"",_xlfn.XLOOKUP($D92,Productos!$E:$E,Productos!$F:$F,""))</f>
        <v/>
      </c>
      <c r="J92" s="74">
        <f>IF($C92="","",IF($D92="NO ENCONTRADO",IF(COUNTIF($C$7:$C$1000,$C92)&gt;1,"⚠️ No encontrado | Duplicado","⚠️ No encontrado"),IF(COUNTIF($C$7:$C$1000,$C92)&gt;1,"⚠️ Duplicado","Verificado")))</f>
        <v/>
      </c>
    </row>
    <row r="93" ht="15.75" customHeight="1" s="176">
      <c r="B93" s="47" t="n"/>
      <c r="C93" s="77" t="n"/>
      <c r="D93" s="74">
        <f t="array" ref="D93">IF($C93="","",IFNA(_xlfn.XLOOKUP($C93,Productos!$A:$A,Productos!$E:$E,IFNA(_xlfn.XLOOKUP(TEXT($C93,"0"),Productos!$A:$A,Productos!$E:$E,IFNA(_xlfn.XLOOKUP(IFERROR(VALUE($C93),""),Productos!$A:$A,Productos!$E:$E,_xlfn.XLOOKUP($C93,Productos!$E:$E,Productos!$E:$E,"NO ENCONTRADO")),"NO ENCONTRADO")),"NO ENCONTRADO")),"NO ENCONTRADO"))</f>
        <v/>
      </c>
      <c r="E93" s="74">
        <f t="array" ref="E93">IF(OR($D93="",$D93="NO ENCONTRADO"),"",_xlfn.XLOOKUP($D93,Productos!$E:$E,Productos!$H:$H,""))</f>
        <v/>
      </c>
      <c r="F93" s="74">
        <f t="array" ref="F93">IF(OR($D93="",$D93="NO ENCONTRADO"),"",_xlfn.XLOOKUP($D93,Productos!$E:$E,Productos!$I:$I,""))</f>
        <v/>
      </c>
      <c r="G93" s="74">
        <f t="array" ref="G93">IF(OR($D93="",$D93="NO ENCONTRADO"),"",_xlfn.XLOOKUP($D93,Productos!$E:$E,Productos!$J:$J,""))</f>
        <v/>
      </c>
      <c r="H93" s="74">
        <f t="array" ref="H93">IF(OR($D93="",$D93="NO ENCONTRADO"),"",_xlfn.XLOOKUP($D93,Productos!$E:$E,Productos!$K:$K,""))</f>
        <v/>
      </c>
      <c r="I93" s="74">
        <f t="array" ref="I93">IF(OR($D93="",$D93="NO ENCONTRADO"),"",_xlfn.XLOOKUP($D93,Productos!$E:$E,Productos!$F:$F,""))</f>
        <v/>
      </c>
      <c r="J93" s="74">
        <f>IF($C93="","",IF($D93="NO ENCONTRADO",IF(COUNTIF($C$7:$C$1000,$C93)&gt;1,"⚠️ No encontrado | Duplicado","⚠️ No encontrado"),IF(COUNTIF($C$7:$C$1000,$C93)&gt;1,"⚠️ Duplicado","Verificado")))</f>
        <v/>
      </c>
    </row>
    <row r="94" ht="15.75" customHeight="1" s="176">
      <c r="B94" s="47" t="n"/>
      <c r="C94" s="77" t="n"/>
      <c r="D94" s="74">
        <f t="array" ref="D94">IF($C94="","",IFNA(_xlfn.XLOOKUP($C94,Productos!$A:$A,Productos!$E:$E,IFNA(_xlfn.XLOOKUP(TEXT($C94,"0"),Productos!$A:$A,Productos!$E:$E,IFNA(_xlfn.XLOOKUP(IFERROR(VALUE($C94),""),Productos!$A:$A,Productos!$E:$E,_xlfn.XLOOKUP($C94,Productos!$E:$E,Productos!$E:$E,"NO ENCONTRADO")),"NO ENCONTRADO")),"NO ENCONTRADO")),"NO ENCONTRADO"))</f>
        <v/>
      </c>
      <c r="E94" s="74">
        <f t="array" ref="E94">IF(OR($D94="",$D94="NO ENCONTRADO"),"",_xlfn.XLOOKUP($D94,Productos!$E:$E,Productos!$H:$H,""))</f>
        <v/>
      </c>
      <c r="F94" s="74">
        <f t="array" ref="F94">IF(OR($D94="",$D94="NO ENCONTRADO"),"",_xlfn.XLOOKUP($D94,Productos!$E:$E,Productos!$I:$I,""))</f>
        <v/>
      </c>
      <c r="G94" s="74">
        <f t="array" ref="G94">IF(OR($D94="",$D94="NO ENCONTRADO"),"",_xlfn.XLOOKUP($D94,Productos!$E:$E,Productos!$J:$J,""))</f>
        <v/>
      </c>
      <c r="H94" s="74">
        <f t="array" ref="H94">IF(OR($D94="",$D94="NO ENCONTRADO"),"",_xlfn.XLOOKUP($D94,Productos!$E:$E,Productos!$K:$K,""))</f>
        <v/>
      </c>
      <c r="I94" s="74">
        <f t="array" ref="I94">IF(OR($D94="",$D94="NO ENCONTRADO"),"",_xlfn.XLOOKUP($D94,Productos!$E:$E,Productos!$F:$F,""))</f>
        <v/>
      </c>
      <c r="J94" s="74">
        <f>IF($C94="","",IF($D94="NO ENCONTRADO",IF(COUNTIF($C$7:$C$1000,$C94)&gt;1,"⚠️ No encontrado | Duplicado","⚠️ No encontrado"),IF(COUNTIF($C$7:$C$1000,$C94)&gt;1,"⚠️ Duplicado","Verificado")))</f>
        <v/>
      </c>
    </row>
    <row r="95" ht="15.75" customHeight="1" s="176">
      <c r="B95" s="47" t="n"/>
      <c r="C95" s="77" t="n"/>
      <c r="D95" s="74">
        <f t="array" ref="D95">IF($C95="","",IFNA(_xlfn.XLOOKUP($C95,Productos!$A:$A,Productos!$E:$E,IFNA(_xlfn.XLOOKUP(TEXT($C95,"0"),Productos!$A:$A,Productos!$E:$E,IFNA(_xlfn.XLOOKUP(IFERROR(VALUE($C95),""),Productos!$A:$A,Productos!$E:$E,_xlfn.XLOOKUP($C95,Productos!$E:$E,Productos!$E:$E,"NO ENCONTRADO")),"NO ENCONTRADO")),"NO ENCONTRADO")),"NO ENCONTRADO"))</f>
        <v/>
      </c>
      <c r="E95" s="74">
        <f t="array" ref="E95">IF(OR($D95="",$D95="NO ENCONTRADO"),"",_xlfn.XLOOKUP($D95,Productos!$E:$E,Productos!$H:$H,""))</f>
        <v/>
      </c>
      <c r="F95" s="74">
        <f t="array" ref="F95">IF(OR($D95="",$D95="NO ENCONTRADO"),"",_xlfn.XLOOKUP($D95,Productos!$E:$E,Productos!$I:$I,""))</f>
        <v/>
      </c>
      <c r="G95" s="74">
        <f t="array" ref="G95">IF(OR($D95="",$D95="NO ENCONTRADO"),"",_xlfn.XLOOKUP($D95,Productos!$E:$E,Productos!$J:$J,""))</f>
        <v/>
      </c>
      <c r="H95" s="74">
        <f t="array" ref="H95">IF(OR($D95="",$D95="NO ENCONTRADO"),"",_xlfn.XLOOKUP($D95,Productos!$E:$E,Productos!$K:$K,""))</f>
        <v/>
      </c>
      <c r="I95" s="74">
        <f t="array" ref="I95">IF(OR($D95="",$D95="NO ENCONTRADO"),"",_xlfn.XLOOKUP($D95,Productos!$E:$E,Productos!$F:$F,""))</f>
        <v/>
      </c>
      <c r="J95" s="74">
        <f>IF($C95="","",IF($D95="NO ENCONTRADO",IF(COUNTIF($C$7:$C$1000,$C95)&gt;1,"⚠️ No encontrado | Duplicado","⚠️ No encontrado"),IF(COUNTIF($C$7:$C$1000,$C95)&gt;1,"⚠️ Duplicado","Verificado")))</f>
        <v/>
      </c>
    </row>
    <row r="96" ht="15.75" customHeight="1" s="176">
      <c r="B96" s="47" t="n"/>
      <c r="C96" s="77" t="n"/>
      <c r="D96" s="74">
        <f t="array" ref="D96">IF($C96="","",IFNA(_xlfn.XLOOKUP($C96,Productos!$A:$A,Productos!$E:$E,IFNA(_xlfn.XLOOKUP(TEXT($C96,"0"),Productos!$A:$A,Productos!$E:$E,IFNA(_xlfn.XLOOKUP(IFERROR(VALUE($C96),""),Productos!$A:$A,Productos!$E:$E,_xlfn.XLOOKUP($C96,Productos!$E:$E,Productos!$E:$E,"NO ENCONTRADO")),"NO ENCONTRADO")),"NO ENCONTRADO")),"NO ENCONTRADO"))</f>
        <v/>
      </c>
      <c r="E96" s="74">
        <f t="array" ref="E96">IF(OR($D96="",$D96="NO ENCONTRADO"),"",_xlfn.XLOOKUP($D96,Productos!$E:$E,Productos!$H:$H,""))</f>
        <v/>
      </c>
      <c r="F96" s="74">
        <f t="array" ref="F96">IF(OR($D96="",$D96="NO ENCONTRADO"),"",_xlfn.XLOOKUP($D96,Productos!$E:$E,Productos!$I:$I,""))</f>
        <v/>
      </c>
      <c r="G96" s="74">
        <f t="array" ref="G96">IF(OR($D96="",$D96="NO ENCONTRADO"),"",_xlfn.XLOOKUP($D96,Productos!$E:$E,Productos!$J:$J,""))</f>
        <v/>
      </c>
      <c r="H96" s="74">
        <f t="array" ref="H96">IF(OR($D96="",$D96="NO ENCONTRADO"),"",_xlfn.XLOOKUP($D96,Productos!$E:$E,Productos!$K:$K,""))</f>
        <v/>
      </c>
      <c r="I96" s="74">
        <f t="array" ref="I96">IF(OR($D96="",$D96="NO ENCONTRADO"),"",_xlfn.XLOOKUP($D96,Productos!$E:$E,Productos!$F:$F,""))</f>
        <v/>
      </c>
      <c r="J96" s="74">
        <f>IF($C96="","",IF($D96="NO ENCONTRADO",IF(COUNTIF($C$7:$C$1000,$C96)&gt;1,"⚠️ No encontrado | Duplicado","⚠️ No encontrado"),IF(COUNTIF($C$7:$C$1000,$C96)&gt;1,"⚠️ Duplicado","Verificado")))</f>
        <v/>
      </c>
    </row>
    <row r="97" ht="15.75" customHeight="1" s="176">
      <c r="B97" s="47" t="n"/>
      <c r="C97" s="77" t="n"/>
      <c r="D97" s="74">
        <f t="array" ref="D97">IF($C97="","",IFNA(_xlfn.XLOOKUP($C97,Productos!$A:$A,Productos!$E:$E,IFNA(_xlfn.XLOOKUP(TEXT($C97,"0"),Productos!$A:$A,Productos!$E:$E,IFNA(_xlfn.XLOOKUP(IFERROR(VALUE($C97),""),Productos!$A:$A,Productos!$E:$E,_xlfn.XLOOKUP($C97,Productos!$E:$E,Productos!$E:$E,"NO ENCONTRADO")),"NO ENCONTRADO")),"NO ENCONTRADO")),"NO ENCONTRADO"))</f>
        <v/>
      </c>
      <c r="E97" s="74">
        <f t="array" ref="E97">IF(OR($D97="",$D97="NO ENCONTRADO"),"",_xlfn.XLOOKUP($D97,Productos!$E:$E,Productos!$H:$H,""))</f>
        <v/>
      </c>
      <c r="F97" s="74">
        <f t="array" ref="F97">IF(OR($D97="",$D97="NO ENCONTRADO"),"",_xlfn.XLOOKUP($D97,Productos!$E:$E,Productos!$I:$I,""))</f>
        <v/>
      </c>
      <c r="G97" s="74">
        <f t="array" ref="G97">IF(OR($D97="",$D97="NO ENCONTRADO"),"",_xlfn.XLOOKUP($D97,Productos!$E:$E,Productos!$J:$J,""))</f>
        <v/>
      </c>
      <c r="H97" s="74">
        <f t="array" ref="H97">IF(OR($D97="",$D97="NO ENCONTRADO"),"",_xlfn.XLOOKUP($D97,Productos!$E:$E,Productos!$K:$K,""))</f>
        <v/>
      </c>
      <c r="I97" s="74">
        <f t="array" ref="I97">IF(OR($D97="",$D97="NO ENCONTRADO"),"",_xlfn.XLOOKUP($D97,Productos!$E:$E,Productos!$F:$F,""))</f>
        <v/>
      </c>
      <c r="J97" s="74">
        <f>IF($C97="","",IF($D97="NO ENCONTRADO",IF(COUNTIF($C$7:$C$1000,$C97)&gt;1,"⚠️ No encontrado | Duplicado","⚠️ No encontrado"),IF(COUNTIF($C$7:$C$1000,$C97)&gt;1,"⚠️ Duplicado","Verificado")))</f>
        <v/>
      </c>
    </row>
    <row r="98" ht="15.75" customHeight="1" s="176">
      <c r="B98" s="47" t="n"/>
      <c r="C98" s="77" t="n"/>
      <c r="D98" s="74">
        <f t="array" ref="D98">IF($C98="","",IFNA(_xlfn.XLOOKUP($C98,Productos!$A:$A,Productos!$E:$E,IFNA(_xlfn.XLOOKUP(TEXT($C98,"0"),Productos!$A:$A,Productos!$E:$E,IFNA(_xlfn.XLOOKUP(IFERROR(VALUE($C98),""),Productos!$A:$A,Productos!$E:$E,_xlfn.XLOOKUP($C98,Productos!$E:$E,Productos!$E:$E,"NO ENCONTRADO")),"NO ENCONTRADO")),"NO ENCONTRADO")),"NO ENCONTRADO"))</f>
        <v/>
      </c>
      <c r="E98" s="74">
        <f t="array" ref="E98">IF(OR($D98="",$D98="NO ENCONTRADO"),"",_xlfn.XLOOKUP($D98,Productos!$E:$E,Productos!$H:$H,""))</f>
        <v/>
      </c>
      <c r="F98" s="74">
        <f t="array" ref="F98">IF(OR($D98="",$D98="NO ENCONTRADO"),"",_xlfn.XLOOKUP($D98,Productos!$E:$E,Productos!$I:$I,""))</f>
        <v/>
      </c>
      <c r="G98" s="74">
        <f t="array" ref="G98">IF(OR($D98="",$D98="NO ENCONTRADO"),"",_xlfn.XLOOKUP($D98,Productos!$E:$E,Productos!$J:$J,""))</f>
        <v/>
      </c>
      <c r="H98" s="74">
        <f t="array" ref="H98">IF(OR($D98="",$D98="NO ENCONTRADO"),"",_xlfn.XLOOKUP($D98,Productos!$E:$E,Productos!$K:$K,""))</f>
        <v/>
      </c>
      <c r="I98" s="74">
        <f t="array" ref="I98">IF(OR($D98="",$D98="NO ENCONTRADO"),"",_xlfn.XLOOKUP($D98,Productos!$E:$E,Productos!$F:$F,""))</f>
        <v/>
      </c>
      <c r="J98" s="74">
        <f>IF($C98="","",IF($D98="NO ENCONTRADO",IF(COUNTIF($C$7:$C$1000,$C98)&gt;1,"⚠️ No encontrado | Duplicado","⚠️ No encontrado"),IF(COUNTIF($C$7:$C$1000,$C98)&gt;1,"⚠️ Duplicado","Verificado")))</f>
        <v/>
      </c>
    </row>
    <row r="99" ht="15.75" customHeight="1" s="176">
      <c r="B99" s="47" t="n"/>
      <c r="C99" s="77" t="n"/>
      <c r="D99" s="74">
        <f t="array" ref="D99">IF($C99="","",IFNA(_xlfn.XLOOKUP($C99,Productos!$A:$A,Productos!$E:$E,IFNA(_xlfn.XLOOKUP(TEXT($C99,"0"),Productos!$A:$A,Productos!$E:$E,IFNA(_xlfn.XLOOKUP(IFERROR(VALUE($C99),""),Productos!$A:$A,Productos!$E:$E,_xlfn.XLOOKUP($C99,Productos!$E:$E,Productos!$E:$E,"NO ENCONTRADO")),"NO ENCONTRADO")),"NO ENCONTRADO")),"NO ENCONTRADO"))</f>
        <v/>
      </c>
      <c r="E99" s="74">
        <f t="array" ref="E99">IF(OR($D99="",$D99="NO ENCONTRADO"),"",_xlfn.XLOOKUP($D99,Productos!$E:$E,Productos!$H:$H,""))</f>
        <v/>
      </c>
      <c r="F99" s="74">
        <f t="array" ref="F99">IF(OR($D99="",$D99="NO ENCONTRADO"),"",_xlfn.XLOOKUP($D99,Productos!$E:$E,Productos!$I:$I,""))</f>
        <v/>
      </c>
      <c r="G99" s="74">
        <f t="array" ref="G99">IF(OR($D99="",$D99="NO ENCONTRADO"),"",_xlfn.XLOOKUP($D99,Productos!$E:$E,Productos!$J:$J,""))</f>
        <v/>
      </c>
      <c r="H99" s="74">
        <f t="array" ref="H99">IF(OR($D99="",$D99="NO ENCONTRADO"),"",_xlfn.XLOOKUP($D99,Productos!$E:$E,Productos!$K:$K,""))</f>
        <v/>
      </c>
      <c r="I99" s="74">
        <f t="array" ref="I99">IF(OR($D99="",$D99="NO ENCONTRADO"),"",_xlfn.XLOOKUP($D99,Productos!$E:$E,Productos!$F:$F,""))</f>
        <v/>
      </c>
      <c r="J99" s="74">
        <f>IF($C99="","",IF($D99="NO ENCONTRADO",IF(COUNTIF($C$7:$C$1000,$C99)&gt;1,"⚠️ No encontrado | Duplicado","⚠️ No encontrado"),IF(COUNTIF($C$7:$C$1000,$C99)&gt;1,"⚠️ Duplicado","Verificado")))</f>
        <v/>
      </c>
    </row>
    <row r="100" ht="15.75" customHeight="1" s="176">
      <c r="B100" s="47" t="n"/>
      <c r="C100" s="77" t="n"/>
      <c r="D100" s="74">
        <f t="array" ref="D100">IF($C100="","",IFNA(_xlfn.XLOOKUP($C100,Productos!$A:$A,Productos!$E:$E,IFNA(_xlfn.XLOOKUP(TEXT($C100,"0"),Productos!$A:$A,Productos!$E:$E,IFNA(_xlfn.XLOOKUP(IFERROR(VALUE($C100),""),Productos!$A:$A,Productos!$E:$E,_xlfn.XLOOKUP($C100,Productos!$E:$E,Productos!$E:$E,"NO ENCONTRADO")),"NO ENCONTRADO")),"NO ENCONTRADO")),"NO ENCONTRADO"))</f>
        <v/>
      </c>
      <c r="E100" s="74">
        <f t="array" ref="E100">IF(OR($D100="",$D100="NO ENCONTRADO"),"",_xlfn.XLOOKUP($D100,Productos!$E:$E,Productos!$H:$H,""))</f>
        <v/>
      </c>
      <c r="F100" s="74">
        <f t="array" ref="F100">IF(OR($D100="",$D100="NO ENCONTRADO"),"",_xlfn.XLOOKUP($D100,Productos!$E:$E,Productos!$I:$I,""))</f>
        <v/>
      </c>
      <c r="G100" s="74">
        <f t="array" ref="G100">IF(OR($D100="",$D100="NO ENCONTRADO"),"",_xlfn.XLOOKUP($D100,Productos!$E:$E,Productos!$J:$J,""))</f>
        <v/>
      </c>
      <c r="H100" s="74">
        <f t="array" ref="H100">IF(OR($D100="",$D100="NO ENCONTRADO"),"",_xlfn.XLOOKUP($D100,Productos!$E:$E,Productos!$K:$K,""))</f>
        <v/>
      </c>
      <c r="I100" s="74">
        <f t="array" ref="I100">IF(OR($D100="",$D100="NO ENCONTRADO"),"",_xlfn.XLOOKUP($D100,Productos!$E:$E,Productos!$F:$F,""))</f>
        <v/>
      </c>
      <c r="J100" s="74">
        <f>IF($C100="","",IF($D100="NO ENCONTRADO",IF(COUNTIF($C$7:$C$1000,$C100)&gt;1,"⚠️ No encontrado | Duplicado","⚠️ No encontrado"),IF(COUNTIF($C$7:$C$1000,$C100)&gt;1,"⚠️ Duplicado","Verificado")))</f>
        <v/>
      </c>
    </row>
    <row r="101" ht="15.75" customHeight="1" s="176">
      <c r="B101" s="80" t="n"/>
      <c r="C101" s="77" t="n"/>
      <c r="D101" s="74">
        <f t="array" ref="D101">IF($C101="","",IFNA(_xlfn.XLOOKUP($C101,Productos!$A:$A,Productos!$E:$E,IFNA(_xlfn.XLOOKUP(TEXT($C101,"0"),Productos!$A:$A,Productos!$E:$E,IFNA(_xlfn.XLOOKUP(IFERROR(VALUE($C101),""),Productos!$A:$A,Productos!$E:$E,_xlfn.XLOOKUP($C101,Productos!$E:$E,Productos!$E:$E,"NO ENCONTRADO")),"NO ENCONTRADO")),"NO ENCONTRADO")),"NO ENCONTRADO"))</f>
        <v/>
      </c>
      <c r="E101" s="74">
        <f t="array" ref="E101">IF(OR($D101="",$D101="NO ENCONTRADO"),"",_xlfn.XLOOKUP($D101,Productos!$E:$E,Productos!$H:$H,""))</f>
        <v/>
      </c>
      <c r="F101" s="74">
        <f t="array" ref="F101">IF(OR($D101="",$D101="NO ENCONTRADO"),"",_xlfn.XLOOKUP($D101,Productos!$E:$E,Productos!$I:$I,""))</f>
        <v/>
      </c>
      <c r="G101" s="74">
        <f t="array" ref="G101">IF(OR($D101="",$D101="NO ENCONTRADO"),"",_xlfn.XLOOKUP($D101,Productos!$E:$E,Productos!$J:$J,""))</f>
        <v/>
      </c>
      <c r="H101" s="74">
        <f t="array" ref="H101">IF(OR($D101="",$D101="NO ENCONTRADO"),"",_xlfn.XLOOKUP($D101,Productos!$E:$E,Productos!$K:$K,""))</f>
        <v/>
      </c>
      <c r="I101" s="74">
        <f t="array" ref="I101">IF(OR($D101="",$D101="NO ENCONTRADO"),"",_xlfn.XLOOKUP($D101,Productos!$E:$E,Productos!$F:$F,""))</f>
        <v/>
      </c>
      <c r="J101" s="74">
        <f>IF($C101="","",IF($D101="NO ENCONTRADO",IF(COUNTIF($C$7:$C$1000,$C101)&gt;1,"⚠️ No encontrado | Duplicado","⚠️ No encontrado"),IF(COUNTIF($C$7:$C$1000,$C101)&gt;1,"⚠️ Duplicado","Verificado")))</f>
        <v/>
      </c>
    </row>
    <row r="102" ht="15.75" customHeight="1" s="176">
      <c r="B102" s="80" t="n"/>
      <c r="C102" s="77" t="n"/>
      <c r="D102" s="74">
        <f t="array" ref="D102">IF($C102="","",IFNA(_xlfn.XLOOKUP($C102,Productos!$A:$A,Productos!$E:$E,IFNA(_xlfn.XLOOKUP(TEXT($C102,"0"),Productos!$A:$A,Productos!$E:$E,IFNA(_xlfn.XLOOKUP(IFERROR(VALUE($C102),""),Productos!$A:$A,Productos!$E:$E,_xlfn.XLOOKUP($C102,Productos!$E:$E,Productos!$E:$E,"NO ENCONTRADO")),"NO ENCONTRADO")),"NO ENCONTRADO")),"NO ENCONTRADO"))</f>
        <v/>
      </c>
      <c r="E102" s="74">
        <f t="array" ref="E102">IF(OR($D102="",$D102="NO ENCONTRADO"),"",_xlfn.XLOOKUP($D102,Productos!$E:$E,Productos!$H:$H,""))</f>
        <v/>
      </c>
      <c r="F102" s="74">
        <f t="array" ref="F102">IF(OR($D102="",$D102="NO ENCONTRADO"),"",_xlfn.XLOOKUP($D102,Productos!$E:$E,Productos!$I:$I,""))</f>
        <v/>
      </c>
      <c r="G102" s="74">
        <f t="array" ref="G102">IF(OR($D102="",$D102="NO ENCONTRADO"),"",_xlfn.XLOOKUP($D102,Productos!$E:$E,Productos!$J:$J,""))</f>
        <v/>
      </c>
      <c r="H102" s="74">
        <f t="array" ref="H102">IF(OR($D102="",$D102="NO ENCONTRADO"),"",_xlfn.XLOOKUP($D102,Productos!$E:$E,Productos!$K:$K,""))</f>
        <v/>
      </c>
      <c r="I102" s="74">
        <f t="array" ref="I102">IF(OR($D102="",$D102="NO ENCONTRADO"),"",_xlfn.XLOOKUP($D102,Productos!$E:$E,Productos!$F:$F,""))</f>
        <v/>
      </c>
      <c r="J102" s="74">
        <f>IF($C102="","",IF($D102="NO ENCONTRADO",IF(COUNTIF($C$7:$C$1000,$C102)&gt;1,"⚠️ No encontrado | Duplicado","⚠️ No encontrado"),IF(COUNTIF($C$7:$C$1000,$C102)&gt;1,"⚠️ Duplicado","Verificado")))</f>
        <v/>
      </c>
    </row>
    <row r="103" ht="15.75" customHeight="1" s="176">
      <c r="B103" s="80" t="n"/>
      <c r="C103" s="77" t="n"/>
      <c r="D103" s="74">
        <f t="array" ref="D103">IF($C103="","",IFNA(_xlfn.XLOOKUP($C103,Productos!$A:$A,Productos!$E:$E,IFNA(_xlfn.XLOOKUP(TEXT($C103,"0"),Productos!$A:$A,Productos!$E:$E,IFNA(_xlfn.XLOOKUP(IFERROR(VALUE($C103),""),Productos!$A:$A,Productos!$E:$E,_xlfn.XLOOKUP($C103,Productos!$E:$E,Productos!$E:$E,"NO ENCONTRADO")),"NO ENCONTRADO")),"NO ENCONTRADO")),"NO ENCONTRADO"))</f>
        <v/>
      </c>
      <c r="E103" s="74">
        <f t="array" ref="E103">IF(OR($D103="",$D103="NO ENCONTRADO"),"",_xlfn.XLOOKUP($D103,Productos!$E:$E,Productos!$H:$H,""))</f>
        <v/>
      </c>
      <c r="F103" s="74">
        <f t="array" ref="F103">IF(OR($D103="",$D103="NO ENCONTRADO"),"",_xlfn.XLOOKUP($D103,Productos!$E:$E,Productos!$I:$I,""))</f>
        <v/>
      </c>
      <c r="G103" s="74">
        <f t="array" ref="G103">IF(OR($D103="",$D103="NO ENCONTRADO"),"",_xlfn.XLOOKUP($D103,Productos!$E:$E,Productos!$J:$J,""))</f>
        <v/>
      </c>
      <c r="H103" s="74">
        <f t="array" ref="H103">IF(OR($D103="",$D103="NO ENCONTRADO"),"",_xlfn.XLOOKUP($D103,Productos!$E:$E,Productos!$K:$K,""))</f>
        <v/>
      </c>
      <c r="I103" s="74">
        <f t="array" ref="I103">IF(OR($D103="",$D103="NO ENCONTRADO"),"",_xlfn.XLOOKUP($D103,Productos!$E:$E,Productos!$F:$F,""))</f>
        <v/>
      </c>
      <c r="J103" s="74">
        <f>IF($C103="","",IF($D103="NO ENCONTRADO",IF(COUNTIF($C$7:$C$1000,$C103)&gt;1,"⚠️ No encontrado | Duplicado","⚠️ No encontrado"),IF(COUNTIF($C$7:$C$1000,$C103)&gt;1,"⚠️ Duplicado","Verificado")))</f>
        <v/>
      </c>
    </row>
    <row r="104" ht="15.75" customHeight="1" s="176">
      <c r="B104" s="80" t="n"/>
      <c r="C104" s="77" t="n"/>
      <c r="D104" s="74">
        <f t="array" ref="D104">IF($C104="","",IFNA(_xlfn.XLOOKUP($C104,Productos!$A:$A,Productos!$E:$E,IFNA(_xlfn.XLOOKUP(TEXT($C104,"0"),Productos!$A:$A,Productos!$E:$E,IFNA(_xlfn.XLOOKUP(IFERROR(VALUE($C104),""),Productos!$A:$A,Productos!$E:$E,_xlfn.XLOOKUP($C104,Productos!$E:$E,Productos!$E:$E,"NO ENCONTRADO")),"NO ENCONTRADO")),"NO ENCONTRADO")),"NO ENCONTRADO"))</f>
        <v/>
      </c>
      <c r="E104" s="74">
        <f t="array" ref="E104">IF(OR($D104="",$D104="NO ENCONTRADO"),"",_xlfn.XLOOKUP($D104,Productos!$E:$E,Productos!$H:$H,""))</f>
        <v/>
      </c>
      <c r="F104" s="74">
        <f t="array" ref="F104">IF(OR($D104="",$D104="NO ENCONTRADO"),"",_xlfn.XLOOKUP($D104,Productos!$E:$E,Productos!$I:$I,""))</f>
        <v/>
      </c>
      <c r="G104" s="74">
        <f t="array" ref="G104">IF(OR($D104="",$D104="NO ENCONTRADO"),"",_xlfn.XLOOKUP($D104,Productos!$E:$E,Productos!$J:$J,""))</f>
        <v/>
      </c>
      <c r="H104" s="74">
        <f t="array" ref="H104">IF(OR($D104="",$D104="NO ENCONTRADO"),"",_xlfn.XLOOKUP($D104,Productos!$E:$E,Productos!$K:$K,""))</f>
        <v/>
      </c>
      <c r="I104" s="74">
        <f t="array" ref="I104">IF(OR($D104="",$D104="NO ENCONTRADO"),"",_xlfn.XLOOKUP($D104,Productos!$E:$E,Productos!$F:$F,""))</f>
        <v/>
      </c>
      <c r="J104" s="74">
        <f>IF($C104="","",IF($D104="NO ENCONTRADO",IF(COUNTIF($C$7:$C$1000,$C104)&gt;1,"⚠️ No encontrado | Duplicado","⚠️ No encontrado"),IF(COUNTIF($C$7:$C$1000,$C104)&gt;1,"⚠️ Duplicado","Verificado")))</f>
        <v/>
      </c>
    </row>
    <row r="105" ht="15.75" customHeight="1" s="176">
      <c r="B105" s="80" t="n"/>
      <c r="C105" s="77" t="n"/>
      <c r="D105" s="74">
        <f t="array" ref="D105">IF($C105="","",IFNA(_xlfn.XLOOKUP($C105,Productos!$A:$A,Productos!$E:$E,IFNA(_xlfn.XLOOKUP(TEXT($C105,"0"),Productos!$A:$A,Productos!$E:$E,IFNA(_xlfn.XLOOKUP(IFERROR(VALUE($C105),""),Productos!$A:$A,Productos!$E:$E,_xlfn.XLOOKUP($C105,Productos!$E:$E,Productos!$E:$E,"NO ENCONTRADO")),"NO ENCONTRADO")),"NO ENCONTRADO")),"NO ENCONTRADO"))</f>
        <v/>
      </c>
      <c r="E105" s="74">
        <f t="array" ref="E105">IF(OR($D105="",$D105="NO ENCONTRADO"),"",_xlfn.XLOOKUP($D105,Productos!$E:$E,Productos!$H:$H,""))</f>
        <v/>
      </c>
      <c r="F105" s="74">
        <f t="array" ref="F105">IF(OR($D105="",$D105="NO ENCONTRADO"),"",_xlfn.XLOOKUP($D105,Productos!$E:$E,Productos!$I:$I,""))</f>
        <v/>
      </c>
      <c r="G105" s="74">
        <f t="array" ref="G105">IF(OR($D105="",$D105="NO ENCONTRADO"),"",_xlfn.XLOOKUP($D105,Productos!$E:$E,Productos!$J:$J,""))</f>
        <v/>
      </c>
      <c r="H105" s="74">
        <f t="array" ref="H105">IF(OR($D105="",$D105="NO ENCONTRADO"),"",_xlfn.XLOOKUP($D105,Productos!$E:$E,Productos!$K:$K,""))</f>
        <v/>
      </c>
      <c r="I105" s="74">
        <f t="array" ref="I105">IF(OR($D105="",$D105="NO ENCONTRADO"),"",_xlfn.XLOOKUP($D105,Productos!$E:$E,Productos!$F:$F,""))</f>
        <v/>
      </c>
      <c r="J105" s="74">
        <f>IF($C105="","",IF($D105="NO ENCONTRADO",IF(COUNTIF($C$7:$C$1000,$C105)&gt;1,"⚠️ No encontrado | Duplicado","⚠️ No encontrado"),IF(COUNTIF($C$7:$C$1000,$C105)&gt;1,"⚠️ Duplicado","Verificado")))</f>
        <v/>
      </c>
    </row>
    <row r="106" ht="15.75" customHeight="1" s="176">
      <c r="B106" s="80" t="n"/>
      <c r="C106" s="77" t="n"/>
      <c r="D106" s="74">
        <f t="array" ref="D106">IF($C106="","",IFNA(_xlfn.XLOOKUP($C106,Productos!$A:$A,Productos!$E:$E,IFNA(_xlfn.XLOOKUP(TEXT($C106,"0"),Productos!$A:$A,Productos!$E:$E,IFNA(_xlfn.XLOOKUP(IFERROR(VALUE($C106),""),Productos!$A:$A,Productos!$E:$E,_xlfn.XLOOKUP($C106,Productos!$E:$E,Productos!$E:$E,"NO ENCONTRADO")),"NO ENCONTRADO")),"NO ENCONTRADO")),"NO ENCONTRADO"))</f>
        <v/>
      </c>
      <c r="E106" s="74">
        <f t="array" ref="E106">IF(OR($D106="",$D106="NO ENCONTRADO"),"",_xlfn.XLOOKUP($D106,Productos!$E:$E,Productos!$H:$H,""))</f>
        <v/>
      </c>
      <c r="F106" s="74">
        <f t="array" ref="F106">IF(OR($D106="",$D106="NO ENCONTRADO"),"",_xlfn.XLOOKUP($D106,Productos!$E:$E,Productos!$I:$I,""))</f>
        <v/>
      </c>
      <c r="G106" s="74">
        <f t="array" ref="G106">IF(OR($D106="",$D106="NO ENCONTRADO"),"",_xlfn.XLOOKUP($D106,Productos!$E:$E,Productos!$J:$J,""))</f>
        <v/>
      </c>
      <c r="H106" s="74">
        <f t="array" ref="H106">IF(OR($D106="",$D106="NO ENCONTRADO"),"",_xlfn.XLOOKUP($D106,Productos!$E:$E,Productos!$K:$K,""))</f>
        <v/>
      </c>
      <c r="I106" s="74">
        <f t="array" ref="I106">IF(OR($D106="",$D106="NO ENCONTRADO"),"",_xlfn.XLOOKUP($D106,Productos!$E:$E,Productos!$F:$F,""))</f>
        <v/>
      </c>
      <c r="J106" s="74">
        <f>IF($C106="","",IF($D106="NO ENCONTRADO",IF(COUNTIF($C$7:$C$1000,$C106)&gt;1,"⚠️ No encontrado | Duplicado","⚠️ No encontrado"),IF(COUNTIF($C$7:$C$1000,$C106)&gt;1,"⚠️ Duplicado","Verificado")))</f>
        <v/>
      </c>
    </row>
    <row r="107" ht="15.75" customHeight="1" s="176">
      <c r="B107" s="80" t="n"/>
      <c r="C107" s="77" t="n"/>
      <c r="D107" s="74">
        <f t="array" ref="D107">IF($C107="","",IFNA(_xlfn.XLOOKUP($C107,Productos!$A:$A,Productos!$E:$E,IFNA(_xlfn.XLOOKUP(TEXT($C107,"0"),Productos!$A:$A,Productos!$E:$E,IFNA(_xlfn.XLOOKUP(IFERROR(VALUE($C107),""),Productos!$A:$A,Productos!$E:$E,_xlfn.XLOOKUP($C107,Productos!$E:$E,Productos!$E:$E,"NO ENCONTRADO")),"NO ENCONTRADO")),"NO ENCONTRADO")),"NO ENCONTRADO"))</f>
        <v/>
      </c>
      <c r="E107" s="74">
        <f t="array" ref="E107">IF(OR($D107="",$D107="NO ENCONTRADO"),"",_xlfn.XLOOKUP($D107,Productos!$E:$E,Productos!$H:$H,""))</f>
        <v/>
      </c>
      <c r="F107" s="74">
        <f t="array" ref="F107">IF(OR($D107="",$D107="NO ENCONTRADO"),"",_xlfn.XLOOKUP($D107,Productos!$E:$E,Productos!$I:$I,""))</f>
        <v/>
      </c>
      <c r="G107" s="74">
        <f t="array" ref="G107">IF(OR($D107="",$D107="NO ENCONTRADO"),"",_xlfn.XLOOKUP($D107,Productos!$E:$E,Productos!$J:$J,""))</f>
        <v/>
      </c>
      <c r="H107" s="74">
        <f t="array" ref="H107">IF(OR($D107="",$D107="NO ENCONTRADO"),"",_xlfn.XLOOKUP($D107,Productos!$E:$E,Productos!$K:$K,""))</f>
        <v/>
      </c>
      <c r="I107" s="74">
        <f t="array" ref="I107">IF(OR($D107="",$D107="NO ENCONTRADO"),"",_xlfn.XLOOKUP($D107,Productos!$E:$E,Productos!$F:$F,""))</f>
        <v/>
      </c>
      <c r="J107" s="74">
        <f>IF($C107="","",IF($D107="NO ENCONTRADO",IF(COUNTIF($C$7:$C$1000,$C107)&gt;1,"⚠️ No encontrado | Duplicado","⚠️ No encontrado"),IF(COUNTIF($C$7:$C$1000,$C107)&gt;1,"⚠️ Duplicado","Verificado")))</f>
        <v/>
      </c>
    </row>
    <row r="108" ht="15.75" customHeight="1" s="176">
      <c r="B108" s="80" t="n"/>
      <c r="C108" s="77" t="n"/>
      <c r="D108" s="74">
        <f t="array" ref="D108">IF($C108="","",IFNA(_xlfn.XLOOKUP($C108,Productos!$A:$A,Productos!$E:$E,IFNA(_xlfn.XLOOKUP(TEXT($C108,"0"),Productos!$A:$A,Productos!$E:$E,IFNA(_xlfn.XLOOKUP(IFERROR(VALUE($C108),""),Productos!$A:$A,Productos!$E:$E,_xlfn.XLOOKUP($C108,Productos!$E:$E,Productos!$E:$E,"NO ENCONTRADO")),"NO ENCONTRADO")),"NO ENCONTRADO")),"NO ENCONTRADO"))</f>
        <v/>
      </c>
      <c r="E108" s="74">
        <f t="array" ref="E108">IF(OR($D108="",$D108="NO ENCONTRADO"),"",_xlfn.XLOOKUP($D108,Productos!$E:$E,Productos!$H:$H,""))</f>
        <v/>
      </c>
      <c r="F108" s="74">
        <f t="array" ref="F108">IF(OR($D108="",$D108="NO ENCONTRADO"),"",_xlfn.XLOOKUP($D108,Productos!$E:$E,Productos!$I:$I,""))</f>
        <v/>
      </c>
      <c r="G108" s="74">
        <f t="array" ref="G108">IF(OR($D108="",$D108="NO ENCONTRADO"),"",_xlfn.XLOOKUP($D108,Productos!$E:$E,Productos!$J:$J,""))</f>
        <v/>
      </c>
      <c r="H108" s="74">
        <f t="array" ref="H108">IF(OR($D108="",$D108="NO ENCONTRADO"),"",_xlfn.XLOOKUP($D108,Productos!$E:$E,Productos!$K:$K,""))</f>
        <v/>
      </c>
      <c r="I108" s="74">
        <f t="array" ref="I108">IF(OR($D108="",$D108="NO ENCONTRADO"),"",_xlfn.XLOOKUP($D108,Productos!$E:$E,Productos!$F:$F,""))</f>
        <v/>
      </c>
      <c r="J108" s="74">
        <f>IF($C108="","",IF($D108="NO ENCONTRADO",IF(COUNTIF($C$7:$C$1000,$C108)&gt;1,"⚠️ No encontrado | Duplicado","⚠️ No encontrado"),IF(COUNTIF($C$7:$C$1000,$C108)&gt;1,"⚠️ Duplicado","Verificado")))</f>
        <v/>
      </c>
    </row>
    <row r="109" ht="15.75" customHeight="1" s="176">
      <c r="B109" s="80" t="n"/>
      <c r="C109" s="77" t="n"/>
      <c r="D109" s="74">
        <f t="array" ref="D109">IF($C109="","",IFNA(_xlfn.XLOOKUP($C109,Productos!$A:$A,Productos!$E:$E,IFNA(_xlfn.XLOOKUP(TEXT($C109,"0"),Productos!$A:$A,Productos!$E:$E,IFNA(_xlfn.XLOOKUP(IFERROR(VALUE($C109),""),Productos!$A:$A,Productos!$E:$E,_xlfn.XLOOKUP($C109,Productos!$E:$E,Productos!$E:$E,"NO ENCONTRADO")),"NO ENCONTRADO")),"NO ENCONTRADO")),"NO ENCONTRADO"))</f>
        <v/>
      </c>
      <c r="E109" s="74">
        <f t="array" ref="E109">IF(OR($D109="",$D109="NO ENCONTRADO"),"",_xlfn.XLOOKUP($D109,Productos!$E:$E,Productos!$H:$H,""))</f>
        <v/>
      </c>
      <c r="F109" s="74">
        <f t="array" ref="F109">IF(OR($D109="",$D109="NO ENCONTRADO"),"",_xlfn.XLOOKUP($D109,Productos!$E:$E,Productos!$I:$I,""))</f>
        <v/>
      </c>
      <c r="G109" s="74">
        <f t="array" ref="G109">IF(OR($D109="",$D109="NO ENCONTRADO"),"",_xlfn.XLOOKUP($D109,Productos!$E:$E,Productos!$J:$J,""))</f>
        <v/>
      </c>
      <c r="H109" s="74">
        <f t="array" ref="H109">IF(OR($D109="",$D109="NO ENCONTRADO"),"",_xlfn.XLOOKUP($D109,Productos!$E:$E,Productos!$K:$K,""))</f>
        <v/>
      </c>
      <c r="I109" s="74">
        <f t="array" ref="I109">IF(OR($D109="",$D109="NO ENCONTRADO"),"",_xlfn.XLOOKUP($D109,Productos!$E:$E,Productos!$F:$F,""))</f>
        <v/>
      </c>
      <c r="J109" s="74">
        <f>IF($C109="","",IF($D109="NO ENCONTRADO",IF(COUNTIF($C$7:$C$1000,$C109)&gt;1,"⚠️ No encontrado | Duplicado","⚠️ No encontrado"),IF(COUNTIF($C$7:$C$1000,$C109)&gt;1,"⚠️ Duplicado","Verificado")))</f>
        <v/>
      </c>
    </row>
    <row r="110" ht="15.75" customHeight="1" s="176">
      <c r="B110" s="80" t="n"/>
      <c r="C110" s="77" t="n"/>
      <c r="D110" s="74">
        <f t="array" ref="D110">IF($C110="","",IFNA(_xlfn.XLOOKUP($C110,Productos!$A:$A,Productos!$E:$E,IFNA(_xlfn.XLOOKUP(TEXT($C110,"0"),Productos!$A:$A,Productos!$E:$E,IFNA(_xlfn.XLOOKUP(IFERROR(VALUE($C110),""),Productos!$A:$A,Productos!$E:$E,_xlfn.XLOOKUP($C110,Productos!$E:$E,Productos!$E:$E,"NO ENCONTRADO")),"NO ENCONTRADO")),"NO ENCONTRADO")),"NO ENCONTRADO"))</f>
        <v/>
      </c>
      <c r="E110" s="74">
        <f t="array" ref="E110">IF(OR($D110="",$D110="NO ENCONTRADO"),"",_xlfn.XLOOKUP($D110,Productos!$E:$E,Productos!$H:$H,""))</f>
        <v/>
      </c>
      <c r="F110" s="74">
        <f t="array" ref="F110">IF(OR($D110="",$D110="NO ENCONTRADO"),"",_xlfn.XLOOKUP($D110,Productos!$E:$E,Productos!$I:$I,""))</f>
        <v/>
      </c>
      <c r="G110" s="74">
        <f t="array" ref="G110">IF(OR($D110="",$D110="NO ENCONTRADO"),"",_xlfn.XLOOKUP($D110,Productos!$E:$E,Productos!$J:$J,""))</f>
        <v/>
      </c>
      <c r="H110" s="74">
        <f t="array" ref="H110">IF(OR($D110="",$D110="NO ENCONTRADO"),"",_xlfn.XLOOKUP($D110,Productos!$E:$E,Productos!$K:$K,""))</f>
        <v/>
      </c>
      <c r="I110" s="74">
        <f t="array" ref="I110">IF(OR($D110="",$D110="NO ENCONTRADO"),"",_xlfn.XLOOKUP($D110,Productos!$E:$E,Productos!$F:$F,""))</f>
        <v/>
      </c>
      <c r="J110" s="74">
        <f>IF($C110="","",IF($D110="NO ENCONTRADO",IF(COUNTIF($C$7:$C$1000,$C110)&gt;1,"⚠️ No encontrado | Duplicado","⚠️ No encontrado"),IF(COUNTIF($C$7:$C$1000,$C110)&gt;1,"⚠️ Duplicado","Verificado")))</f>
        <v/>
      </c>
    </row>
    <row r="111" ht="15.75" customHeight="1" s="176">
      <c r="B111" s="80" t="n"/>
      <c r="C111" s="77" t="n"/>
      <c r="D111" s="74">
        <f t="array" ref="D111">IF($C111="","",IFNA(_xlfn.XLOOKUP($C111,Productos!$A:$A,Productos!$E:$E,IFNA(_xlfn.XLOOKUP(TEXT($C111,"0"),Productos!$A:$A,Productos!$E:$E,IFNA(_xlfn.XLOOKUP(IFERROR(VALUE($C111),""),Productos!$A:$A,Productos!$E:$E,_xlfn.XLOOKUP($C111,Productos!$E:$E,Productos!$E:$E,"NO ENCONTRADO")),"NO ENCONTRADO")),"NO ENCONTRADO")),"NO ENCONTRADO"))</f>
        <v/>
      </c>
      <c r="E111" s="74">
        <f t="array" ref="E111">IF(OR($D111="",$D111="NO ENCONTRADO"),"",_xlfn.XLOOKUP($D111,Productos!$E:$E,Productos!$H:$H,""))</f>
        <v/>
      </c>
      <c r="F111" s="74">
        <f t="array" ref="F111">IF(OR($D111="",$D111="NO ENCONTRADO"),"",_xlfn.XLOOKUP($D111,Productos!$E:$E,Productos!$I:$I,""))</f>
        <v/>
      </c>
      <c r="G111" s="74">
        <f t="array" ref="G111">IF(OR($D111="",$D111="NO ENCONTRADO"),"",_xlfn.XLOOKUP($D111,Productos!$E:$E,Productos!$J:$J,""))</f>
        <v/>
      </c>
      <c r="H111" s="74">
        <f t="array" ref="H111">IF(OR($D111="",$D111="NO ENCONTRADO"),"",_xlfn.XLOOKUP($D111,Productos!$E:$E,Productos!$K:$K,""))</f>
        <v/>
      </c>
      <c r="I111" s="74">
        <f t="array" ref="I111">IF(OR($D111="",$D111="NO ENCONTRADO"),"",_xlfn.XLOOKUP($D111,Productos!$E:$E,Productos!$F:$F,""))</f>
        <v/>
      </c>
      <c r="J111" s="74">
        <f>IF($C111="","",IF($D111="NO ENCONTRADO",IF(COUNTIF($C$7:$C$1000,$C111)&gt;1,"⚠️ No encontrado | Duplicado","⚠️ No encontrado"),IF(COUNTIF($C$7:$C$1000,$C111)&gt;1,"⚠️ Duplicado","Verificado")))</f>
        <v/>
      </c>
    </row>
    <row r="112" ht="15.75" customHeight="1" s="176">
      <c r="B112" s="80" t="n"/>
      <c r="C112" s="77" t="n"/>
      <c r="D112" s="74">
        <f t="array" ref="D112">IF($C112="","",IFNA(_xlfn.XLOOKUP($C112,Productos!$A:$A,Productos!$E:$E,IFNA(_xlfn.XLOOKUP(TEXT($C112,"0"),Productos!$A:$A,Productos!$E:$E,IFNA(_xlfn.XLOOKUP(IFERROR(VALUE($C112),""),Productos!$A:$A,Productos!$E:$E,_xlfn.XLOOKUP($C112,Productos!$E:$E,Productos!$E:$E,"NO ENCONTRADO")),"NO ENCONTRADO")),"NO ENCONTRADO")),"NO ENCONTRADO"))</f>
        <v/>
      </c>
      <c r="E112" s="74">
        <f t="array" ref="E112">IF(OR($D112="",$D112="NO ENCONTRADO"),"",_xlfn.XLOOKUP($D112,Productos!$E:$E,Productos!$H:$H,""))</f>
        <v/>
      </c>
      <c r="F112" s="74">
        <f t="array" ref="F112">IF(OR($D112="",$D112="NO ENCONTRADO"),"",_xlfn.XLOOKUP($D112,Productos!$E:$E,Productos!$I:$I,""))</f>
        <v/>
      </c>
      <c r="G112" s="74">
        <f t="array" ref="G112">IF(OR($D112="",$D112="NO ENCONTRADO"),"",_xlfn.XLOOKUP($D112,Productos!$E:$E,Productos!$J:$J,""))</f>
        <v/>
      </c>
      <c r="H112" s="74">
        <f t="array" ref="H112">IF(OR($D112="",$D112="NO ENCONTRADO"),"",_xlfn.XLOOKUP($D112,Productos!$E:$E,Productos!$K:$K,""))</f>
        <v/>
      </c>
      <c r="I112" s="74">
        <f t="array" ref="I112">IF(OR($D112="",$D112="NO ENCONTRADO"),"",_xlfn.XLOOKUP($D112,Productos!$E:$E,Productos!$F:$F,""))</f>
        <v/>
      </c>
      <c r="J112" s="74">
        <f>IF($C112="","",IF($D112="NO ENCONTRADO",IF(COUNTIF($C$7:$C$1000,$C112)&gt;1,"⚠️ No encontrado | Duplicado","⚠️ No encontrado"),IF(COUNTIF($C$7:$C$1000,$C112)&gt;1,"⚠️ Duplicado","Verificado")))</f>
        <v/>
      </c>
    </row>
    <row r="113" ht="15.75" customHeight="1" s="176">
      <c r="B113" s="80" t="n"/>
      <c r="C113" s="77" t="n"/>
      <c r="D113" s="74">
        <f t="array" ref="D113">IF($C113="","",IFNA(_xlfn.XLOOKUP($C113,Productos!$A:$A,Productos!$E:$E,IFNA(_xlfn.XLOOKUP(TEXT($C113,"0"),Productos!$A:$A,Productos!$E:$E,IFNA(_xlfn.XLOOKUP(IFERROR(VALUE($C113),""),Productos!$A:$A,Productos!$E:$E,_xlfn.XLOOKUP($C113,Productos!$E:$E,Productos!$E:$E,"NO ENCONTRADO")),"NO ENCONTRADO")),"NO ENCONTRADO")),"NO ENCONTRADO"))</f>
        <v/>
      </c>
      <c r="E113" s="74">
        <f t="array" ref="E113">IF(OR($D113="",$D113="NO ENCONTRADO"),"",_xlfn.XLOOKUP($D113,Productos!$E:$E,Productos!$H:$H,""))</f>
        <v/>
      </c>
      <c r="F113" s="74">
        <f t="array" ref="F113">IF(OR($D113="",$D113="NO ENCONTRADO"),"",_xlfn.XLOOKUP($D113,Productos!$E:$E,Productos!$I:$I,""))</f>
        <v/>
      </c>
      <c r="G113" s="74">
        <f t="array" ref="G113">IF(OR($D113="",$D113="NO ENCONTRADO"),"",_xlfn.XLOOKUP($D113,Productos!$E:$E,Productos!$J:$J,""))</f>
        <v/>
      </c>
      <c r="H113" s="74">
        <f t="array" ref="H113">IF(OR($D113="",$D113="NO ENCONTRADO"),"",_xlfn.XLOOKUP($D113,Productos!$E:$E,Productos!$K:$K,""))</f>
        <v/>
      </c>
      <c r="I113" s="74">
        <f t="array" ref="I113">IF(OR($D113="",$D113="NO ENCONTRADO"),"",_xlfn.XLOOKUP($D113,Productos!$E:$E,Productos!$F:$F,""))</f>
        <v/>
      </c>
      <c r="J113" s="74">
        <f>IF($C113="","",IF($D113="NO ENCONTRADO",IF(COUNTIF($C$7:$C$1000,$C113)&gt;1,"⚠️ No encontrado | Duplicado","⚠️ No encontrado"),IF(COUNTIF($C$7:$C$1000,$C113)&gt;1,"⚠️ Duplicado","Verificado")))</f>
        <v/>
      </c>
    </row>
    <row r="114" ht="15.75" customHeight="1" s="176">
      <c r="B114" s="80" t="n"/>
      <c r="C114" s="77" t="n"/>
      <c r="D114" s="74">
        <f t="array" ref="D114">IF($C114="","",IFNA(_xlfn.XLOOKUP($C114,Productos!$A:$A,Productos!$E:$E,IFNA(_xlfn.XLOOKUP(TEXT($C114,"0"),Productos!$A:$A,Productos!$E:$E,IFNA(_xlfn.XLOOKUP(IFERROR(VALUE($C114),""),Productos!$A:$A,Productos!$E:$E,_xlfn.XLOOKUP($C114,Productos!$E:$E,Productos!$E:$E,"NO ENCONTRADO")),"NO ENCONTRADO")),"NO ENCONTRADO")),"NO ENCONTRADO"))</f>
        <v/>
      </c>
      <c r="E114" s="74">
        <f t="array" ref="E114">IF(OR($D114="",$D114="NO ENCONTRADO"),"",_xlfn.XLOOKUP($D114,Productos!$E:$E,Productos!$H:$H,""))</f>
        <v/>
      </c>
      <c r="F114" s="74">
        <f t="array" ref="F114">IF(OR($D114="",$D114="NO ENCONTRADO"),"",_xlfn.XLOOKUP($D114,Productos!$E:$E,Productos!$I:$I,""))</f>
        <v/>
      </c>
      <c r="G114" s="74">
        <f t="array" ref="G114">IF(OR($D114="",$D114="NO ENCONTRADO"),"",_xlfn.XLOOKUP($D114,Productos!$E:$E,Productos!$J:$J,""))</f>
        <v/>
      </c>
      <c r="H114" s="74">
        <f t="array" ref="H114">IF(OR($D114="",$D114="NO ENCONTRADO"),"",_xlfn.XLOOKUP($D114,Productos!$E:$E,Productos!$K:$K,""))</f>
        <v/>
      </c>
      <c r="I114" s="74">
        <f t="array" ref="I114">IF(OR($D114="",$D114="NO ENCONTRADO"),"",_xlfn.XLOOKUP($D114,Productos!$E:$E,Productos!$F:$F,""))</f>
        <v/>
      </c>
      <c r="J114" s="74">
        <f>IF($C114="","",IF($D114="NO ENCONTRADO",IF(COUNTIF($C$7:$C$1000,$C114)&gt;1,"⚠️ No encontrado | Duplicado","⚠️ No encontrado"),IF(COUNTIF($C$7:$C$1000,$C114)&gt;1,"⚠️ Duplicado","Verificado")))</f>
        <v/>
      </c>
    </row>
    <row r="115" ht="15.75" customHeight="1" s="176">
      <c r="B115" s="80" t="n"/>
      <c r="C115" s="77" t="n"/>
      <c r="D115" s="74">
        <f t="array" ref="D115">IF($C115="","",IFNA(_xlfn.XLOOKUP($C115,Productos!$A:$A,Productos!$E:$E,IFNA(_xlfn.XLOOKUP(TEXT($C115,"0"),Productos!$A:$A,Productos!$E:$E,IFNA(_xlfn.XLOOKUP(IFERROR(VALUE($C115),""),Productos!$A:$A,Productos!$E:$E,_xlfn.XLOOKUP($C115,Productos!$E:$E,Productos!$E:$E,"NO ENCONTRADO")),"NO ENCONTRADO")),"NO ENCONTRADO")),"NO ENCONTRADO"))</f>
        <v/>
      </c>
      <c r="E115" s="74">
        <f t="array" ref="E115">IF(OR($D115="",$D115="NO ENCONTRADO"),"",_xlfn.XLOOKUP($D115,Productos!$E:$E,Productos!$H:$H,""))</f>
        <v/>
      </c>
      <c r="F115" s="74">
        <f t="array" ref="F115">IF(OR($D115="",$D115="NO ENCONTRADO"),"",_xlfn.XLOOKUP($D115,Productos!$E:$E,Productos!$I:$I,""))</f>
        <v/>
      </c>
      <c r="G115" s="74">
        <f t="array" ref="G115">IF(OR($D115="",$D115="NO ENCONTRADO"),"",_xlfn.XLOOKUP($D115,Productos!$E:$E,Productos!$J:$J,""))</f>
        <v/>
      </c>
      <c r="H115" s="74">
        <f t="array" ref="H115">IF(OR($D115="",$D115="NO ENCONTRADO"),"",_xlfn.XLOOKUP($D115,Productos!$E:$E,Productos!$K:$K,""))</f>
        <v/>
      </c>
      <c r="I115" s="74">
        <f t="array" ref="I115">IF(OR($D115="",$D115="NO ENCONTRADO"),"",_xlfn.XLOOKUP($D115,Productos!$E:$E,Productos!$F:$F,""))</f>
        <v/>
      </c>
      <c r="J115" s="74">
        <f>IF($C115="","",IF($D115="NO ENCONTRADO",IF(COUNTIF($C$7:$C$1000,$C115)&gt;1,"⚠️ No encontrado | Duplicado","⚠️ No encontrado"),IF(COUNTIF($C$7:$C$1000,$C115)&gt;1,"⚠️ Duplicado","Verificado")))</f>
        <v/>
      </c>
    </row>
    <row r="116" ht="15.75" customHeight="1" s="176">
      <c r="B116" s="80" t="n"/>
      <c r="C116" s="77" t="n"/>
      <c r="D116" s="74">
        <f t="array" ref="D116">IF($C116="","",IFNA(_xlfn.XLOOKUP($C116,Productos!$A:$A,Productos!$E:$E,IFNA(_xlfn.XLOOKUP(TEXT($C116,"0"),Productos!$A:$A,Productos!$E:$E,IFNA(_xlfn.XLOOKUP(IFERROR(VALUE($C116),""),Productos!$A:$A,Productos!$E:$E,_xlfn.XLOOKUP($C116,Productos!$E:$E,Productos!$E:$E,"NO ENCONTRADO")),"NO ENCONTRADO")),"NO ENCONTRADO")),"NO ENCONTRADO"))</f>
        <v/>
      </c>
      <c r="E116" s="74">
        <f t="array" ref="E116">IF(OR($D116="",$D116="NO ENCONTRADO"),"",_xlfn.XLOOKUP($D116,Productos!$E:$E,Productos!$H:$H,""))</f>
        <v/>
      </c>
      <c r="F116" s="74">
        <f t="array" ref="F116">IF(OR($D116="",$D116="NO ENCONTRADO"),"",_xlfn.XLOOKUP($D116,Productos!$E:$E,Productos!$I:$I,""))</f>
        <v/>
      </c>
      <c r="G116" s="74">
        <f t="array" ref="G116">IF(OR($D116="",$D116="NO ENCONTRADO"),"",_xlfn.XLOOKUP($D116,Productos!$E:$E,Productos!$J:$J,""))</f>
        <v/>
      </c>
      <c r="H116" s="74">
        <f t="array" ref="H116">IF(OR($D116="",$D116="NO ENCONTRADO"),"",_xlfn.XLOOKUP($D116,Productos!$E:$E,Productos!$K:$K,""))</f>
        <v/>
      </c>
      <c r="I116" s="74">
        <f t="array" ref="I116">IF(OR($D116="",$D116="NO ENCONTRADO"),"",_xlfn.XLOOKUP($D116,Productos!$E:$E,Productos!$F:$F,""))</f>
        <v/>
      </c>
      <c r="J116" s="74">
        <f>IF($C116="","",IF($D116="NO ENCONTRADO",IF(COUNTIF($C$7:$C$1000,$C116)&gt;1,"⚠️ No encontrado | Duplicado","⚠️ No encontrado"),IF(COUNTIF($C$7:$C$1000,$C116)&gt;1,"⚠️ Duplicado","Verificado")))</f>
        <v/>
      </c>
    </row>
    <row r="117" ht="15.75" customHeight="1" s="176">
      <c r="B117" s="80" t="n"/>
      <c r="C117" s="77" t="n"/>
      <c r="D117" s="74">
        <f t="array" ref="D117">IF($C117="","",IFNA(_xlfn.XLOOKUP($C117,Productos!$A:$A,Productos!$E:$E,IFNA(_xlfn.XLOOKUP(TEXT($C117,"0"),Productos!$A:$A,Productos!$E:$E,IFNA(_xlfn.XLOOKUP(IFERROR(VALUE($C117),""),Productos!$A:$A,Productos!$E:$E,_xlfn.XLOOKUP($C117,Productos!$E:$E,Productos!$E:$E,"NO ENCONTRADO")),"NO ENCONTRADO")),"NO ENCONTRADO")),"NO ENCONTRADO"))</f>
        <v/>
      </c>
      <c r="E117" s="74">
        <f t="array" ref="E117">IF(OR($D117="",$D117="NO ENCONTRADO"),"",_xlfn.XLOOKUP($D117,Productos!$E:$E,Productos!$H:$H,""))</f>
        <v/>
      </c>
      <c r="F117" s="74">
        <f t="array" ref="F117">IF(OR($D117="",$D117="NO ENCONTRADO"),"",_xlfn.XLOOKUP($D117,Productos!$E:$E,Productos!$I:$I,""))</f>
        <v/>
      </c>
      <c r="G117" s="74">
        <f t="array" ref="G117">IF(OR($D117="",$D117="NO ENCONTRADO"),"",_xlfn.XLOOKUP($D117,Productos!$E:$E,Productos!$J:$J,""))</f>
        <v/>
      </c>
      <c r="H117" s="74">
        <f t="array" ref="H117">IF(OR($D117="",$D117="NO ENCONTRADO"),"",_xlfn.XLOOKUP($D117,Productos!$E:$E,Productos!$K:$K,""))</f>
        <v/>
      </c>
      <c r="I117" s="74">
        <f t="array" ref="I117">IF(OR($D117="",$D117="NO ENCONTRADO"),"",_xlfn.XLOOKUP($D117,Productos!$E:$E,Productos!$F:$F,""))</f>
        <v/>
      </c>
      <c r="J117" s="74">
        <f>IF($C117="","",IF($D117="NO ENCONTRADO",IF(COUNTIF($C$7:$C$1000,$C117)&gt;1,"⚠️ No encontrado | Duplicado","⚠️ No encontrado"),IF(COUNTIF($C$7:$C$1000,$C117)&gt;1,"⚠️ Duplicado","Verificado")))</f>
        <v/>
      </c>
    </row>
    <row r="118" ht="15.75" customHeight="1" s="176">
      <c r="B118" s="80" t="n"/>
      <c r="C118" s="77" t="n"/>
      <c r="D118" s="74">
        <f t="array" ref="D118">IF($C118="","",IFNA(_xlfn.XLOOKUP($C118,Productos!$A:$A,Productos!$E:$E,IFNA(_xlfn.XLOOKUP(TEXT($C118,"0"),Productos!$A:$A,Productos!$E:$E,IFNA(_xlfn.XLOOKUP(IFERROR(VALUE($C118),""),Productos!$A:$A,Productos!$E:$E,_xlfn.XLOOKUP($C118,Productos!$E:$E,Productos!$E:$E,"NO ENCONTRADO")),"NO ENCONTRADO")),"NO ENCONTRADO")),"NO ENCONTRADO"))</f>
        <v/>
      </c>
      <c r="E118" s="74">
        <f t="array" ref="E118">IF(OR($D118="",$D118="NO ENCONTRADO"),"",_xlfn.XLOOKUP($D118,Productos!$E:$E,Productos!$H:$H,""))</f>
        <v/>
      </c>
      <c r="F118" s="74">
        <f t="array" ref="F118">IF(OR($D118="",$D118="NO ENCONTRADO"),"",_xlfn.XLOOKUP($D118,Productos!$E:$E,Productos!$I:$I,""))</f>
        <v/>
      </c>
      <c r="G118" s="74">
        <f t="array" ref="G118">IF(OR($D118="",$D118="NO ENCONTRADO"),"",_xlfn.XLOOKUP($D118,Productos!$E:$E,Productos!$J:$J,""))</f>
        <v/>
      </c>
      <c r="H118" s="74">
        <f t="array" ref="H118">IF(OR($D118="",$D118="NO ENCONTRADO"),"",_xlfn.XLOOKUP($D118,Productos!$E:$E,Productos!$K:$K,""))</f>
        <v/>
      </c>
      <c r="I118" s="74">
        <f t="array" ref="I118">IF(OR($D118="",$D118="NO ENCONTRADO"),"",_xlfn.XLOOKUP($D118,Productos!$E:$E,Productos!$F:$F,""))</f>
        <v/>
      </c>
      <c r="J118" s="74">
        <f>IF($C118="","",IF($D118="NO ENCONTRADO",IF(COUNTIF($C$7:$C$1000,$C118)&gt;1,"⚠️ No encontrado | Duplicado","⚠️ No encontrado"),IF(COUNTIF($C$7:$C$1000,$C118)&gt;1,"⚠️ Duplicado","Verificado")))</f>
        <v/>
      </c>
    </row>
    <row r="119" ht="15.75" customHeight="1" s="176">
      <c r="B119" s="80" t="n"/>
      <c r="C119" s="77" t="n"/>
      <c r="D119" s="74">
        <f t="array" ref="D119">IF($C119="","",IFNA(_xlfn.XLOOKUP($C119,Productos!$A:$A,Productos!$E:$E,IFNA(_xlfn.XLOOKUP(TEXT($C119,"0"),Productos!$A:$A,Productos!$E:$E,IFNA(_xlfn.XLOOKUP(IFERROR(VALUE($C119),""),Productos!$A:$A,Productos!$E:$E,_xlfn.XLOOKUP($C119,Productos!$E:$E,Productos!$E:$E,"NO ENCONTRADO")),"NO ENCONTRADO")),"NO ENCONTRADO")),"NO ENCONTRADO"))</f>
        <v/>
      </c>
      <c r="E119" s="74">
        <f t="array" ref="E119">IF(OR($D119="",$D119="NO ENCONTRADO"),"",_xlfn.XLOOKUP($D119,Productos!$E:$E,Productos!$H:$H,""))</f>
        <v/>
      </c>
      <c r="F119" s="74">
        <f t="array" ref="F119">IF(OR($D119="",$D119="NO ENCONTRADO"),"",_xlfn.XLOOKUP($D119,Productos!$E:$E,Productos!$I:$I,""))</f>
        <v/>
      </c>
      <c r="G119" s="74">
        <f t="array" ref="G119">IF(OR($D119="",$D119="NO ENCONTRADO"),"",_xlfn.XLOOKUP($D119,Productos!$E:$E,Productos!$J:$J,""))</f>
        <v/>
      </c>
      <c r="H119" s="74">
        <f t="array" ref="H119">IF(OR($D119="",$D119="NO ENCONTRADO"),"",_xlfn.XLOOKUP($D119,Productos!$E:$E,Productos!$K:$K,""))</f>
        <v/>
      </c>
      <c r="I119" s="74">
        <f t="array" ref="I119">IF(OR($D119="",$D119="NO ENCONTRADO"),"",_xlfn.XLOOKUP($D119,Productos!$E:$E,Productos!$F:$F,""))</f>
        <v/>
      </c>
      <c r="J119" s="74">
        <f>IF($C119="","",IF($D119="NO ENCONTRADO",IF(COUNTIF($C$7:$C$1000,$C119)&gt;1,"⚠️ No encontrado | Duplicado","⚠️ No encontrado"),IF(COUNTIF($C$7:$C$1000,$C119)&gt;1,"⚠️ Duplicado","Verificado")))</f>
        <v/>
      </c>
    </row>
    <row r="120" ht="15.75" customHeight="1" s="176">
      <c r="B120" s="80" t="n"/>
      <c r="C120" s="77" t="n"/>
      <c r="D120" s="74">
        <f t="array" ref="D120">IF($C120="","",IFNA(_xlfn.XLOOKUP($C120,Productos!$A:$A,Productos!$E:$E,IFNA(_xlfn.XLOOKUP(TEXT($C120,"0"),Productos!$A:$A,Productos!$E:$E,IFNA(_xlfn.XLOOKUP(IFERROR(VALUE($C120),""),Productos!$A:$A,Productos!$E:$E,_xlfn.XLOOKUP($C120,Productos!$E:$E,Productos!$E:$E,"NO ENCONTRADO")),"NO ENCONTRADO")),"NO ENCONTRADO")),"NO ENCONTRADO"))</f>
        <v/>
      </c>
      <c r="E120" s="74">
        <f t="array" ref="E120">IF(OR($D120="",$D120="NO ENCONTRADO"),"",_xlfn.XLOOKUP($D120,Productos!$E:$E,Productos!$H:$H,""))</f>
        <v/>
      </c>
      <c r="F120" s="74">
        <f t="array" ref="F120">IF(OR($D120="",$D120="NO ENCONTRADO"),"",_xlfn.XLOOKUP($D120,Productos!$E:$E,Productos!$I:$I,""))</f>
        <v/>
      </c>
      <c r="G120" s="74">
        <f t="array" ref="G120">IF(OR($D120="",$D120="NO ENCONTRADO"),"",_xlfn.XLOOKUP($D120,Productos!$E:$E,Productos!$J:$J,""))</f>
        <v/>
      </c>
      <c r="H120" s="74">
        <f t="array" ref="H120">IF(OR($D120="",$D120="NO ENCONTRADO"),"",_xlfn.XLOOKUP($D120,Productos!$E:$E,Productos!$K:$K,""))</f>
        <v/>
      </c>
      <c r="I120" s="74">
        <f t="array" ref="I120">IF(OR($D120="",$D120="NO ENCONTRADO"),"",_xlfn.XLOOKUP($D120,Productos!$E:$E,Productos!$F:$F,""))</f>
        <v/>
      </c>
      <c r="J120" s="74">
        <f>IF($C120="","",IF($D120="NO ENCONTRADO",IF(COUNTIF($C$7:$C$1000,$C120)&gt;1,"⚠️ No encontrado | Duplicado","⚠️ No encontrado"),IF(COUNTIF($C$7:$C$1000,$C120)&gt;1,"⚠️ Duplicado","Verificado")))</f>
        <v/>
      </c>
    </row>
    <row r="121" ht="15.75" customHeight="1" s="176">
      <c r="B121" s="80" t="n"/>
      <c r="C121" s="77" t="n"/>
      <c r="D121" s="74">
        <f t="array" ref="D121">IF($C121="","",IFNA(_xlfn.XLOOKUP($C121,Productos!$A:$A,Productos!$E:$E,IFNA(_xlfn.XLOOKUP(TEXT($C121,"0"),Productos!$A:$A,Productos!$E:$E,IFNA(_xlfn.XLOOKUP(IFERROR(VALUE($C121),""),Productos!$A:$A,Productos!$E:$E,_xlfn.XLOOKUP($C121,Productos!$E:$E,Productos!$E:$E,"NO ENCONTRADO")),"NO ENCONTRADO")),"NO ENCONTRADO")),"NO ENCONTRADO"))</f>
        <v/>
      </c>
      <c r="E121" s="74">
        <f t="array" ref="E121">IF(OR($D121="",$D121="NO ENCONTRADO"),"",_xlfn.XLOOKUP($D121,Productos!$E:$E,Productos!$H:$H,""))</f>
        <v/>
      </c>
      <c r="F121" s="74">
        <f t="array" ref="F121">IF(OR($D121="",$D121="NO ENCONTRADO"),"",_xlfn.XLOOKUP($D121,Productos!$E:$E,Productos!$I:$I,""))</f>
        <v/>
      </c>
      <c r="G121" s="74">
        <f t="array" ref="G121">IF(OR($D121="",$D121="NO ENCONTRADO"),"",_xlfn.XLOOKUP($D121,Productos!$E:$E,Productos!$J:$J,""))</f>
        <v/>
      </c>
      <c r="H121" s="74">
        <f t="array" ref="H121">IF(OR($D121="",$D121="NO ENCONTRADO"),"",_xlfn.XLOOKUP($D121,Productos!$E:$E,Productos!$K:$K,""))</f>
        <v/>
      </c>
      <c r="I121" s="74">
        <f t="array" ref="I121">IF(OR($D121="",$D121="NO ENCONTRADO"),"",_xlfn.XLOOKUP($D121,Productos!$E:$E,Productos!$F:$F,""))</f>
        <v/>
      </c>
      <c r="J121" s="74">
        <f>IF($C121="","",IF($D121="NO ENCONTRADO",IF(COUNTIF($C$7:$C$1000,$C121)&gt;1,"⚠️ No encontrado | Duplicado","⚠️ No encontrado"),IF(COUNTIF($C$7:$C$1000,$C121)&gt;1,"⚠️ Duplicado","Verificado")))</f>
        <v/>
      </c>
    </row>
    <row r="122" ht="15.75" customHeight="1" s="176">
      <c r="B122" s="80" t="n"/>
      <c r="C122" s="77" t="n"/>
      <c r="D122" s="74">
        <f t="array" ref="D122">IF($C122="","",IFNA(_xlfn.XLOOKUP($C122,Productos!$A:$A,Productos!$E:$E,IFNA(_xlfn.XLOOKUP(TEXT($C122,"0"),Productos!$A:$A,Productos!$E:$E,IFNA(_xlfn.XLOOKUP(IFERROR(VALUE($C122),""),Productos!$A:$A,Productos!$E:$E,_xlfn.XLOOKUP($C122,Productos!$E:$E,Productos!$E:$E,"NO ENCONTRADO")),"NO ENCONTRADO")),"NO ENCONTRADO")),"NO ENCONTRADO"))</f>
        <v/>
      </c>
      <c r="E122" s="74">
        <f t="array" ref="E122">IF(OR($D122="",$D122="NO ENCONTRADO"),"",_xlfn.XLOOKUP($D122,Productos!$E:$E,Productos!$H:$H,""))</f>
        <v/>
      </c>
      <c r="F122" s="74">
        <f t="array" ref="F122">IF(OR($D122="",$D122="NO ENCONTRADO"),"",_xlfn.XLOOKUP($D122,Productos!$E:$E,Productos!$I:$I,""))</f>
        <v/>
      </c>
      <c r="G122" s="74">
        <f t="array" ref="G122">IF(OR($D122="",$D122="NO ENCONTRADO"),"",_xlfn.XLOOKUP($D122,Productos!$E:$E,Productos!$J:$J,""))</f>
        <v/>
      </c>
      <c r="H122" s="74">
        <f t="array" ref="H122">IF(OR($D122="",$D122="NO ENCONTRADO"),"",_xlfn.XLOOKUP($D122,Productos!$E:$E,Productos!$K:$K,""))</f>
        <v/>
      </c>
      <c r="I122" s="74">
        <f t="array" ref="I122">IF(OR($D122="",$D122="NO ENCONTRADO"),"",_xlfn.XLOOKUP($D122,Productos!$E:$E,Productos!$F:$F,""))</f>
        <v/>
      </c>
      <c r="J122" s="74">
        <f>IF($C122="","",IF($D122="NO ENCONTRADO",IF(COUNTIF($C$7:$C$1000,$C122)&gt;1,"⚠️ No encontrado | Duplicado","⚠️ No encontrado"),IF(COUNTIF($C$7:$C$1000,$C122)&gt;1,"⚠️ Duplicado","Verificado")))</f>
        <v/>
      </c>
    </row>
    <row r="123" ht="15.75" customHeight="1" s="176">
      <c r="B123" s="80" t="n"/>
      <c r="C123" s="77" t="n"/>
      <c r="D123" s="74">
        <f t="array" ref="D123">IF($C123="","",IFNA(_xlfn.XLOOKUP($C123,Productos!$A:$A,Productos!$E:$E,IFNA(_xlfn.XLOOKUP(TEXT($C123,"0"),Productos!$A:$A,Productos!$E:$E,IFNA(_xlfn.XLOOKUP(IFERROR(VALUE($C123),""),Productos!$A:$A,Productos!$E:$E,_xlfn.XLOOKUP($C123,Productos!$E:$E,Productos!$E:$E,"NO ENCONTRADO")),"NO ENCONTRADO")),"NO ENCONTRADO")),"NO ENCONTRADO"))</f>
        <v/>
      </c>
      <c r="E123" s="74">
        <f t="array" ref="E123">IF(OR($D123="",$D123="NO ENCONTRADO"),"",_xlfn.XLOOKUP($D123,Productos!$E:$E,Productos!$H:$H,""))</f>
        <v/>
      </c>
      <c r="F123" s="74">
        <f t="array" ref="F123">IF(OR($D123="",$D123="NO ENCONTRADO"),"",_xlfn.XLOOKUP($D123,Productos!$E:$E,Productos!$I:$I,""))</f>
        <v/>
      </c>
      <c r="G123" s="74">
        <f t="array" ref="G123">IF(OR($D123="",$D123="NO ENCONTRADO"),"",_xlfn.XLOOKUP($D123,Productos!$E:$E,Productos!$J:$J,""))</f>
        <v/>
      </c>
      <c r="H123" s="74">
        <f t="array" ref="H123">IF(OR($D123="",$D123="NO ENCONTRADO"),"",_xlfn.XLOOKUP($D123,Productos!$E:$E,Productos!$K:$K,""))</f>
        <v/>
      </c>
      <c r="I123" s="74">
        <f t="array" ref="I123">IF(OR($D123="",$D123="NO ENCONTRADO"),"",_xlfn.XLOOKUP($D123,Productos!$E:$E,Productos!$F:$F,""))</f>
        <v/>
      </c>
      <c r="J123" s="74">
        <f>IF($C123="","",IF($D123="NO ENCONTRADO",IF(COUNTIF($C$7:$C$1000,$C123)&gt;1,"⚠️ No encontrado | Duplicado","⚠️ No encontrado"),IF(COUNTIF($C$7:$C$1000,$C123)&gt;1,"⚠️ Duplicado","Verificado")))</f>
        <v/>
      </c>
    </row>
    <row r="124" ht="15.75" customHeight="1" s="176">
      <c r="B124" s="80" t="n"/>
      <c r="C124" s="77" t="n"/>
      <c r="D124" s="74">
        <f t="array" ref="D124">IF($C124="","",IFNA(_xlfn.XLOOKUP($C124,Productos!$A:$A,Productos!$E:$E,IFNA(_xlfn.XLOOKUP(TEXT($C124,"0"),Productos!$A:$A,Productos!$E:$E,IFNA(_xlfn.XLOOKUP(IFERROR(VALUE($C124),""),Productos!$A:$A,Productos!$E:$E,_xlfn.XLOOKUP($C124,Productos!$E:$E,Productos!$E:$E,"NO ENCONTRADO")),"NO ENCONTRADO")),"NO ENCONTRADO")),"NO ENCONTRADO"))</f>
        <v/>
      </c>
      <c r="E124" s="74">
        <f t="array" ref="E124">IF(OR($D124="",$D124="NO ENCONTRADO"),"",_xlfn.XLOOKUP($D124,Productos!$E:$E,Productos!$H:$H,""))</f>
        <v/>
      </c>
      <c r="F124" s="74">
        <f t="array" ref="F124">IF(OR($D124="",$D124="NO ENCONTRADO"),"",_xlfn.XLOOKUP($D124,Productos!$E:$E,Productos!$I:$I,""))</f>
        <v/>
      </c>
      <c r="G124" s="74">
        <f t="array" ref="G124">IF(OR($D124="",$D124="NO ENCONTRADO"),"",_xlfn.XLOOKUP($D124,Productos!$E:$E,Productos!$J:$J,""))</f>
        <v/>
      </c>
      <c r="H124" s="74">
        <f t="array" ref="H124">IF(OR($D124="",$D124="NO ENCONTRADO"),"",_xlfn.XLOOKUP($D124,Productos!$E:$E,Productos!$K:$K,""))</f>
        <v/>
      </c>
      <c r="I124" s="74">
        <f t="array" ref="I124">IF(OR($D124="",$D124="NO ENCONTRADO"),"",_xlfn.XLOOKUP($D124,Productos!$E:$E,Productos!$F:$F,""))</f>
        <v/>
      </c>
      <c r="J124" s="74">
        <f>IF($C124="","",IF($D124="NO ENCONTRADO",IF(COUNTIF($C$7:$C$1000,$C124)&gt;1,"⚠️ No encontrado | Duplicado","⚠️ No encontrado"),IF(COUNTIF($C$7:$C$1000,$C124)&gt;1,"⚠️ Duplicado","Verificado")))</f>
        <v/>
      </c>
    </row>
    <row r="125" ht="15.75" customHeight="1" s="176">
      <c r="B125" s="80" t="n"/>
      <c r="C125" s="77" t="n"/>
      <c r="D125" s="74">
        <f t="array" ref="D125">IF($C125="","",IFNA(_xlfn.XLOOKUP($C125,Productos!$A:$A,Productos!$E:$E,IFNA(_xlfn.XLOOKUP(TEXT($C125,"0"),Productos!$A:$A,Productos!$E:$E,IFNA(_xlfn.XLOOKUP(IFERROR(VALUE($C125),""),Productos!$A:$A,Productos!$E:$E,_xlfn.XLOOKUP($C125,Productos!$E:$E,Productos!$E:$E,"NO ENCONTRADO")),"NO ENCONTRADO")),"NO ENCONTRADO")),"NO ENCONTRADO"))</f>
        <v/>
      </c>
      <c r="E125" s="74">
        <f t="array" ref="E125">IF(OR($D125="",$D125="NO ENCONTRADO"),"",_xlfn.XLOOKUP($D125,Productos!$E:$E,Productos!$H:$H,""))</f>
        <v/>
      </c>
      <c r="F125" s="74">
        <f t="array" ref="F125">IF(OR($D125="",$D125="NO ENCONTRADO"),"",_xlfn.XLOOKUP($D125,Productos!$E:$E,Productos!$I:$I,""))</f>
        <v/>
      </c>
      <c r="G125" s="74">
        <f t="array" ref="G125">IF(OR($D125="",$D125="NO ENCONTRADO"),"",_xlfn.XLOOKUP($D125,Productos!$E:$E,Productos!$J:$J,""))</f>
        <v/>
      </c>
      <c r="H125" s="74">
        <f t="array" ref="H125">IF(OR($D125="",$D125="NO ENCONTRADO"),"",_xlfn.XLOOKUP($D125,Productos!$E:$E,Productos!$K:$K,""))</f>
        <v/>
      </c>
      <c r="I125" s="74">
        <f t="array" ref="I125">IF(OR($D125="",$D125="NO ENCONTRADO"),"",_xlfn.XLOOKUP($D125,Productos!$E:$E,Productos!$F:$F,""))</f>
        <v/>
      </c>
      <c r="J125" s="74">
        <f>IF($C125="","",IF($D125="NO ENCONTRADO",IF(COUNTIF($C$7:$C$1000,$C125)&gt;1,"⚠️ No encontrado | Duplicado","⚠️ No encontrado"),IF(COUNTIF($C$7:$C$1000,$C125)&gt;1,"⚠️ Duplicado","Verificado")))</f>
        <v/>
      </c>
    </row>
    <row r="126" ht="15.75" customHeight="1" s="176">
      <c r="B126" s="80" t="n"/>
      <c r="C126" s="77" t="n"/>
      <c r="D126" s="74">
        <f t="array" ref="D126">IF($C126="","",IFNA(_xlfn.XLOOKUP($C126,Productos!$A:$A,Productos!$E:$E,IFNA(_xlfn.XLOOKUP(TEXT($C126,"0"),Productos!$A:$A,Productos!$E:$E,IFNA(_xlfn.XLOOKUP(IFERROR(VALUE($C126),""),Productos!$A:$A,Productos!$E:$E,_xlfn.XLOOKUP($C126,Productos!$E:$E,Productos!$E:$E,"NO ENCONTRADO")),"NO ENCONTRADO")),"NO ENCONTRADO")),"NO ENCONTRADO"))</f>
        <v/>
      </c>
      <c r="E126" s="74">
        <f t="array" ref="E126">IF(OR($D126="",$D126="NO ENCONTRADO"),"",_xlfn.XLOOKUP($D126,Productos!$E:$E,Productos!$H:$H,""))</f>
        <v/>
      </c>
      <c r="F126" s="74">
        <f t="array" ref="F126">IF(OR($D126="",$D126="NO ENCONTRADO"),"",_xlfn.XLOOKUP($D126,Productos!$E:$E,Productos!$I:$I,""))</f>
        <v/>
      </c>
      <c r="G126" s="74">
        <f t="array" ref="G126">IF(OR($D126="",$D126="NO ENCONTRADO"),"",_xlfn.XLOOKUP($D126,Productos!$E:$E,Productos!$J:$J,""))</f>
        <v/>
      </c>
      <c r="H126" s="74">
        <f t="array" ref="H126">IF(OR($D126="",$D126="NO ENCONTRADO"),"",_xlfn.XLOOKUP($D126,Productos!$E:$E,Productos!$K:$K,""))</f>
        <v/>
      </c>
      <c r="I126" s="74">
        <f t="array" ref="I126">IF(OR($D126="",$D126="NO ENCONTRADO"),"",_xlfn.XLOOKUP($D126,Productos!$E:$E,Productos!$F:$F,""))</f>
        <v/>
      </c>
      <c r="J126" s="74">
        <f>IF($C126="","",IF($D126="NO ENCONTRADO",IF(COUNTIF($C$7:$C$1000,$C126)&gt;1,"⚠️ No encontrado | Duplicado","⚠️ No encontrado"),IF(COUNTIF($C$7:$C$1000,$C126)&gt;1,"⚠️ Duplicado","Verificado")))</f>
        <v/>
      </c>
    </row>
    <row r="127" ht="15.75" customHeight="1" s="176">
      <c r="B127" s="80" t="n"/>
      <c r="C127" s="77" t="n"/>
      <c r="D127" s="74">
        <f t="array" ref="D127">IF($C127="","",IFNA(_xlfn.XLOOKUP($C127,Productos!$A:$A,Productos!$E:$E,IFNA(_xlfn.XLOOKUP(TEXT($C127,"0"),Productos!$A:$A,Productos!$E:$E,IFNA(_xlfn.XLOOKUP(IFERROR(VALUE($C127),""),Productos!$A:$A,Productos!$E:$E,_xlfn.XLOOKUP($C127,Productos!$E:$E,Productos!$E:$E,"NO ENCONTRADO")),"NO ENCONTRADO")),"NO ENCONTRADO")),"NO ENCONTRADO"))</f>
        <v/>
      </c>
      <c r="E127" s="74">
        <f t="array" ref="E127">IF(OR($D127="",$D127="NO ENCONTRADO"),"",_xlfn.XLOOKUP($D127,Productos!$E:$E,Productos!$H:$H,""))</f>
        <v/>
      </c>
      <c r="F127" s="74">
        <f t="array" ref="F127">IF(OR($D127="",$D127="NO ENCONTRADO"),"",_xlfn.XLOOKUP($D127,Productos!$E:$E,Productos!$I:$I,""))</f>
        <v/>
      </c>
      <c r="G127" s="74">
        <f t="array" ref="G127">IF(OR($D127="",$D127="NO ENCONTRADO"),"",_xlfn.XLOOKUP($D127,Productos!$E:$E,Productos!$J:$J,""))</f>
        <v/>
      </c>
      <c r="H127" s="74">
        <f t="array" ref="H127">IF(OR($D127="",$D127="NO ENCONTRADO"),"",_xlfn.XLOOKUP($D127,Productos!$E:$E,Productos!$K:$K,""))</f>
        <v/>
      </c>
      <c r="I127" s="74">
        <f t="array" ref="I127">IF(OR($D127="",$D127="NO ENCONTRADO"),"",_xlfn.XLOOKUP($D127,Productos!$E:$E,Productos!$F:$F,""))</f>
        <v/>
      </c>
      <c r="J127" s="74">
        <f>IF($C127="","",IF($D127="NO ENCONTRADO",IF(COUNTIF($C$7:$C$1000,$C127)&gt;1,"⚠️ No encontrado | Duplicado","⚠️ No encontrado"),IF(COUNTIF($C$7:$C$1000,$C127)&gt;1,"⚠️ Duplicado","Verificado")))</f>
        <v/>
      </c>
    </row>
    <row r="128" ht="15.75" customHeight="1" s="176">
      <c r="B128" s="80" t="n"/>
      <c r="C128" s="77" t="n"/>
      <c r="D128" s="74">
        <f t="array" ref="D128">IF($C128="","",IFNA(_xlfn.XLOOKUP($C128,Productos!$A:$A,Productos!$E:$E,IFNA(_xlfn.XLOOKUP(TEXT($C128,"0"),Productos!$A:$A,Productos!$E:$E,IFNA(_xlfn.XLOOKUP(IFERROR(VALUE($C128),""),Productos!$A:$A,Productos!$E:$E,_xlfn.XLOOKUP($C128,Productos!$E:$E,Productos!$E:$E,"NO ENCONTRADO")),"NO ENCONTRADO")),"NO ENCONTRADO")),"NO ENCONTRADO"))</f>
        <v/>
      </c>
      <c r="E128" s="74">
        <f t="array" ref="E128">IF(OR($D128="",$D128="NO ENCONTRADO"),"",_xlfn.XLOOKUP($D128,Productos!$E:$E,Productos!$H:$H,""))</f>
        <v/>
      </c>
      <c r="F128" s="74">
        <f t="array" ref="F128">IF(OR($D128="",$D128="NO ENCONTRADO"),"",_xlfn.XLOOKUP($D128,Productos!$E:$E,Productos!$I:$I,""))</f>
        <v/>
      </c>
      <c r="G128" s="74">
        <f t="array" ref="G128">IF(OR($D128="",$D128="NO ENCONTRADO"),"",_xlfn.XLOOKUP($D128,Productos!$E:$E,Productos!$J:$J,""))</f>
        <v/>
      </c>
      <c r="H128" s="74">
        <f t="array" ref="H128">IF(OR($D128="",$D128="NO ENCONTRADO"),"",_xlfn.XLOOKUP($D128,Productos!$E:$E,Productos!$K:$K,""))</f>
        <v/>
      </c>
      <c r="I128" s="74">
        <f t="array" ref="I128">IF(OR($D128="",$D128="NO ENCONTRADO"),"",_xlfn.XLOOKUP($D128,Productos!$E:$E,Productos!$F:$F,""))</f>
        <v/>
      </c>
      <c r="J128" s="74">
        <f>IF($C128="","",IF($D128="NO ENCONTRADO",IF(COUNTIF($C$7:$C$1000,$C128)&gt;1,"⚠️ No encontrado | Duplicado","⚠️ No encontrado"),IF(COUNTIF($C$7:$C$1000,$C128)&gt;1,"⚠️ Duplicado","Verificado")))</f>
        <v/>
      </c>
    </row>
    <row r="129" ht="15.75" customHeight="1" s="176">
      <c r="B129" s="80" t="n"/>
      <c r="C129" s="77" t="n"/>
      <c r="D129" s="74">
        <f t="array" ref="D129">IF($C129="","",IFNA(_xlfn.XLOOKUP($C129,Productos!$A:$A,Productos!$E:$E,IFNA(_xlfn.XLOOKUP(TEXT($C129,"0"),Productos!$A:$A,Productos!$E:$E,IFNA(_xlfn.XLOOKUP(IFERROR(VALUE($C129),""),Productos!$A:$A,Productos!$E:$E,_xlfn.XLOOKUP($C129,Productos!$E:$E,Productos!$E:$E,"NO ENCONTRADO")),"NO ENCONTRADO")),"NO ENCONTRADO")),"NO ENCONTRADO"))</f>
        <v/>
      </c>
      <c r="E129" s="74">
        <f t="array" ref="E129">IF(OR($D129="",$D129="NO ENCONTRADO"),"",_xlfn.XLOOKUP($D129,Productos!$E:$E,Productos!$H:$H,""))</f>
        <v/>
      </c>
      <c r="F129" s="74">
        <f t="array" ref="F129">IF(OR($D129="",$D129="NO ENCONTRADO"),"",_xlfn.XLOOKUP($D129,Productos!$E:$E,Productos!$I:$I,""))</f>
        <v/>
      </c>
      <c r="G129" s="74">
        <f t="array" ref="G129">IF(OR($D129="",$D129="NO ENCONTRADO"),"",_xlfn.XLOOKUP($D129,Productos!$E:$E,Productos!$J:$J,""))</f>
        <v/>
      </c>
      <c r="H129" s="74">
        <f t="array" ref="H129">IF(OR($D129="",$D129="NO ENCONTRADO"),"",_xlfn.XLOOKUP($D129,Productos!$E:$E,Productos!$K:$K,""))</f>
        <v/>
      </c>
      <c r="I129" s="74">
        <f t="array" ref="I129">IF(OR($D129="",$D129="NO ENCONTRADO"),"",_xlfn.XLOOKUP($D129,Productos!$E:$E,Productos!$F:$F,""))</f>
        <v/>
      </c>
      <c r="J129" s="74">
        <f>IF($C129="","",IF($D129="NO ENCONTRADO",IF(COUNTIF($C$7:$C$1000,$C129)&gt;1,"⚠️ No encontrado | Duplicado","⚠️ No encontrado"),IF(COUNTIF($C$7:$C$1000,$C129)&gt;1,"⚠️ Duplicado","Verificado")))</f>
        <v/>
      </c>
    </row>
    <row r="130" ht="15.75" customHeight="1" s="176">
      <c r="B130" s="80" t="n"/>
      <c r="C130" s="77" t="n"/>
      <c r="D130" s="74">
        <f t="array" ref="D130">IF($C130="","",IFNA(_xlfn.XLOOKUP($C130,Productos!$A:$A,Productos!$E:$E,IFNA(_xlfn.XLOOKUP(TEXT($C130,"0"),Productos!$A:$A,Productos!$E:$E,IFNA(_xlfn.XLOOKUP(IFERROR(VALUE($C130),""),Productos!$A:$A,Productos!$E:$E,_xlfn.XLOOKUP($C130,Productos!$E:$E,Productos!$E:$E,"NO ENCONTRADO")),"NO ENCONTRADO")),"NO ENCONTRADO")),"NO ENCONTRADO"))</f>
        <v/>
      </c>
      <c r="E130" s="74">
        <f t="array" ref="E130">IF(OR($D130="",$D130="NO ENCONTRADO"),"",_xlfn.XLOOKUP($D130,Productos!$E:$E,Productos!$H:$H,""))</f>
        <v/>
      </c>
      <c r="F130" s="74">
        <f t="array" ref="F130">IF(OR($D130="",$D130="NO ENCONTRADO"),"",_xlfn.XLOOKUP($D130,Productos!$E:$E,Productos!$I:$I,""))</f>
        <v/>
      </c>
      <c r="G130" s="74">
        <f t="array" ref="G130">IF(OR($D130="",$D130="NO ENCONTRADO"),"",_xlfn.XLOOKUP($D130,Productos!$E:$E,Productos!$J:$J,""))</f>
        <v/>
      </c>
      <c r="H130" s="74">
        <f t="array" ref="H130">IF(OR($D130="",$D130="NO ENCONTRADO"),"",_xlfn.XLOOKUP($D130,Productos!$E:$E,Productos!$K:$K,""))</f>
        <v/>
      </c>
      <c r="I130" s="74">
        <f t="array" ref="I130">IF(OR($D130="",$D130="NO ENCONTRADO"),"",_xlfn.XLOOKUP($D130,Productos!$E:$E,Productos!$F:$F,""))</f>
        <v/>
      </c>
      <c r="J130" s="74">
        <f>IF($C130="","",IF($D130="NO ENCONTRADO",IF(COUNTIF($C$7:$C$1000,$C130)&gt;1,"⚠️ No encontrado | Duplicado","⚠️ No encontrado"),IF(COUNTIF($C$7:$C$1000,$C130)&gt;1,"⚠️ Duplicado","Verificado")))</f>
        <v/>
      </c>
    </row>
    <row r="131" ht="15.75" customHeight="1" s="176">
      <c r="B131" s="80" t="n"/>
      <c r="C131" s="77" t="n"/>
      <c r="D131" s="74">
        <f t="array" ref="D131">IF($C131="","",IFNA(_xlfn.XLOOKUP($C131,Productos!$A:$A,Productos!$E:$E,IFNA(_xlfn.XLOOKUP(TEXT($C131,"0"),Productos!$A:$A,Productos!$E:$E,IFNA(_xlfn.XLOOKUP(IFERROR(VALUE($C131),""),Productos!$A:$A,Productos!$E:$E,_xlfn.XLOOKUP($C131,Productos!$E:$E,Productos!$E:$E,"NO ENCONTRADO")),"NO ENCONTRADO")),"NO ENCONTRADO")),"NO ENCONTRADO"))</f>
        <v/>
      </c>
      <c r="E131" s="74">
        <f t="array" ref="E131">IF(OR($D131="",$D131="NO ENCONTRADO"),"",_xlfn.XLOOKUP($D131,Productos!$E:$E,Productos!$H:$H,""))</f>
        <v/>
      </c>
      <c r="F131" s="74">
        <f t="array" ref="F131">IF(OR($D131="",$D131="NO ENCONTRADO"),"",_xlfn.XLOOKUP($D131,Productos!$E:$E,Productos!$I:$I,""))</f>
        <v/>
      </c>
      <c r="G131" s="74">
        <f t="array" ref="G131">IF(OR($D131="",$D131="NO ENCONTRADO"),"",_xlfn.XLOOKUP($D131,Productos!$E:$E,Productos!$J:$J,""))</f>
        <v/>
      </c>
      <c r="H131" s="74">
        <f t="array" ref="H131">IF(OR($D131="",$D131="NO ENCONTRADO"),"",_xlfn.XLOOKUP($D131,Productos!$E:$E,Productos!$K:$K,""))</f>
        <v/>
      </c>
      <c r="I131" s="74">
        <f t="array" ref="I131">IF(OR($D131="",$D131="NO ENCONTRADO"),"",_xlfn.XLOOKUP($D131,Productos!$E:$E,Productos!$F:$F,""))</f>
        <v/>
      </c>
      <c r="J131" s="74">
        <f>IF($C131="","",IF($D131="NO ENCONTRADO",IF(COUNTIF($C$7:$C$1000,$C131)&gt;1,"⚠️ No encontrado | Duplicado","⚠️ No encontrado"),IF(COUNTIF($C$7:$C$1000,$C131)&gt;1,"⚠️ Duplicado","Verificado")))</f>
        <v/>
      </c>
    </row>
    <row r="132" ht="15.75" customHeight="1" s="176">
      <c r="B132" s="80" t="n"/>
      <c r="C132" s="77" t="n"/>
      <c r="D132" s="74">
        <f t="array" ref="D132">IF($C132="","",IFNA(_xlfn.XLOOKUP($C132,Productos!$A:$A,Productos!$E:$E,IFNA(_xlfn.XLOOKUP(TEXT($C132,"0"),Productos!$A:$A,Productos!$E:$E,IFNA(_xlfn.XLOOKUP(IFERROR(VALUE($C132),""),Productos!$A:$A,Productos!$E:$E,_xlfn.XLOOKUP($C132,Productos!$E:$E,Productos!$E:$E,"NO ENCONTRADO")),"NO ENCONTRADO")),"NO ENCONTRADO")),"NO ENCONTRADO"))</f>
        <v/>
      </c>
      <c r="E132" s="74">
        <f t="array" ref="E132">IF(OR($D132="",$D132="NO ENCONTRADO"),"",_xlfn.XLOOKUP($D132,Productos!$E:$E,Productos!$H:$H,""))</f>
        <v/>
      </c>
      <c r="F132" s="74">
        <f t="array" ref="F132">IF(OR($D132="",$D132="NO ENCONTRADO"),"",_xlfn.XLOOKUP($D132,Productos!$E:$E,Productos!$I:$I,""))</f>
        <v/>
      </c>
      <c r="G132" s="74">
        <f t="array" ref="G132">IF(OR($D132="",$D132="NO ENCONTRADO"),"",_xlfn.XLOOKUP($D132,Productos!$E:$E,Productos!$J:$J,""))</f>
        <v/>
      </c>
      <c r="H132" s="74">
        <f t="array" ref="H132">IF(OR($D132="",$D132="NO ENCONTRADO"),"",_xlfn.XLOOKUP($D132,Productos!$E:$E,Productos!$K:$K,""))</f>
        <v/>
      </c>
      <c r="I132" s="74">
        <f t="array" ref="I132">IF(OR($D132="",$D132="NO ENCONTRADO"),"",_xlfn.XLOOKUP($D132,Productos!$E:$E,Productos!$F:$F,""))</f>
        <v/>
      </c>
      <c r="J132" s="74">
        <f>IF($C132="","",IF($D132="NO ENCONTRADO",IF(COUNTIF($C$7:$C$1000,$C132)&gt;1,"⚠️ No encontrado | Duplicado","⚠️ No encontrado"),IF(COUNTIF($C$7:$C$1000,$C132)&gt;1,"⚠️ Duplicado","Verificado")))</f>
        <v/>
      </c>
    </row>
    <row r="133" ht="15.75" customHeight="1" s="176">
      <c r="B133" s="80" t="n"/>
      <c r="C133" s="77" t="n"/>
      <c r="D133" s="74">
        <f t="array" ref="D133">IF($C133="","",IFNA(_xlfn.XLOOKUP($C133,Productos!$A:$A,Productos!$E:$E,IFNA(_xlfn.XLOOKUP(TEXT($C133,"0"),Productos!$A:$A,Productos!$E:$E,IFNA(_xlfn.XLOOKUP(IFERROR(VALUE($C133),""),Productos!$A:$A,Productos!$E:$E,_xlfn.XLOOKUP($C133,Productos!$E:$E,Productos!$E:$E,"NO ENCONTRADO")),"NO ENCONTRADO")),"NO ENCONTRADO")),"NO ENCONTRADO"))</f>
        <v/>
      </c>
      <c r="E133" s="74">
        <f t="array" ref="E133">IF(OR($D133="",$D133="NO ENCONTRADO"),"",_xlfn.XLOOKUP($D133,Productos!$E:$E,Productos!$H:$H,""))</f>
        <v/>
      </c>
      <c r="F133" s="74">
        <f t="array" ref="F133">IF(OR($D133="",$D133="NO ENCONTRADO"),"",_xlfn.XLOOKUP($D133,Productos!$E:$E,Productos!$I:$I,""))</f>
        <v/>
      </c>
      <c r="G133" s="74">
        <f t="array" ref="G133">IF(OR($D133="",$D133="NO ENCONTRADO"),"",_xlfn.XLOOKUP($D133,Productos!$E:$E,Productos!$J:$J,""))</f>
        <v/>
      </c>
      <c r="H133" s="74">
        <f t="array" ref="H133">IF(OR($D133="",$D133="NO ENCONTRADO"),"",_xlfn.XLOOKUP($D133,Productos!$E:$E,Productos!$K:$K,""))</f>
        <v/>
      </c>
      <c r="I133" s="74">
        <f t="array" ref="I133">IF(OR($D133="",$D133="NO ENCONTRADO"),"",_xlfn.XLOOKUP($D133,Productos!$E:$E,Productos!$F:$F,""))</f>
        <v/>
      </c>
      <c r="J133" s="74">
        <f>IF($C133="","",IF($D133="NO ENCONTRADO",IF(COUNTIF($C$7:$C$1000,$C133)&gt;1,"⚠️ No encontrado | Duplicado","⚠️ No encontrado"),IF(COUNTIF($C$7:$C$1000,$C133)&gt;1,"⚠️ Duplicado","Verificado")))</f>
        <v/>
      </c>
    </row>
    <row r="134" ht="15.75" customHeight="1" s="176">
      <c r="B134" s="80" t="n"/>
      <c r="C134" s="77" t="n"/>
      <c r="D134" s="74">
        <f t="array" ref="D134">IF($C134="","",IFNA(_xlfn.XLOOKUP($C134,Productos!$A:$A,Productos!$E:$E,IFNA(_xlfn.XLOOKUP(TEXT($C134,"0"),Productos!$A:$A,Productos!$E:$E,IFNA(_xlfn.XLOOKUP(IFERROR(VALUE($C134),""),Productos!$A:$A,Productos!$E:$E,_xlfn.XLOOKUP($C134,Productos!$E:$E,Productos!$E:$E,"NO ENCONTRADO")),"NO ENCONTRADO")),"NO ENCONTRADO")),"NO ENCONTRADO"))</f>
        <v/>
      </c>
      <c r="E134" s="74">
        <f t="array" ref="E134">IF(OR($D134="",$D134="NO ENCONTRADO"),"",_xlfn.XLOOKUP($D134,Productos!$E:$E,Productos!$H:$H,""))</f>
        <v/>
      </c>
      <c r="F134" s="74">
        <f t="array" ref="F134">IF(OR($D134="",$D134="NO ENCONTRADO"),"",_xlfn.XLOOKUP($D134,Productos!$E:$E,Productos!$I:$I,""))</f>
        <v/>
      </c>
      <c r="G134" s="74">
        <f t="array" ref="G134">IF(OR($D134="",$D134="NO ENCONTRADO"),"",_xlfn.XLOOKUP($D134,Productos!$E:$E,Productos!$J:$J,""))</f>
        <v/>
      </c>
      <c r="H134" s="74">
        <f t="array" ref="H134">IF(OR($D134="",$D134="NO ENCONTRADO"),"",_xlfn.XLOOKUP($D134,Productos!$E:$E,Productos!$K:$K,""))</f>
        <v/>
      </c>
      <c r="I134" s="74">
        <f t="array" ref="I134">IF(OR($D134="",$D134="NO ENCONTRADO"),"",_xlfn.XLOOKUP($D134,Productos!$E:$E,Productos!$F:$F,""))</f>
        <v/>
      </c>
      <c r="J134" s="74">
        <f>IF($C134="","",IF($D134="NO ENCONTRADO",IF(COUNTIF($C$7:$C$1000,$C134)&gt;1,"⚠️ No encontrado | Duplicado","⚠️ No encontrado"),IF(COUNTIF($C$7:$C$1000,$C134)&gt;1,"⚠️ Duplicado","Verificado")))</f>
        <v/>
      </c>
    </row>
    <row r="135" ht="15.75" customHeight="1" s="176">
      <c r="B135" s="80" t="n"/>
      <c r="C135" s="77" t="n"/>
      <c r="D135" s="74">
        <f t="array" ref="D135">IF($C135="","",IFNA(_xlfn.XLOOKUP($C135,Productos!$A:$A,Productos!$E:$E,IFNA(_xlfn.XLOOKUP(TEXT($C135,"0"),Productos!$A:$A,Productos!$E:$E,IFNA(_xlfn.XLOOKUP(IFERROR(VALUE($C135),""),Productos!$A:$A,Productos!$E:$E,_xlfn.XLOOKUP($C135,Productos!$E:$E,Productos!$E:$E,"NO ENCONTRADO")),"NO ENCONTRADO")),"NO ENCONTRADO")),"NO ENCONTRADO"))</f>
        <v/>
      </c>
      <c r="E135" s="74">
        <f t="array" ref="E135">IF(OR($D135="",$D135="NO ENCONTRADO"),"",_xlfn.XLOOKUP($D135,Productos!$E:$E,Productos!$H:$H,""))</f>
        <v/>
      </c>
      <c r="F135" s="74">
        <f t="array" ref="F135">IF(OR($D135="",$D135="NO ENCONTRADO"),"",_xlfn.XLOOKUP($D135,Productos!$E:$E,Productos!$I:$I,""))</f>
        <v/>
      </c>
      <c r="G135" s="74">
        <f t="array" ref="G135">IF(OR($D135="",$D135="NO ENCONTRADO"),"",_xlfn.XLOOKUP($D135,Productos!$E:$E,Productos!$J:$J,""))</f>
        <v/>
      </c>
      <c r="H135" s="74">
        <f t="array" ref="H135">IF(OR($D135="",$D135="NO ENCONTRADO"),"",_xlfn.XLOOKUP($D135,Productos!$E:$E,Productos!$K:$K,""))</f>
        <v/>
      </c>
      <c r="I135" s="74">
        <f t="array" ref="I135">IF(OR($D135="",$D135="NO ENCONTRADO"),"",_xlfn.XLOOKUP($D135,Productos!$E:$E,Productos!$F:$F,""))</f>
        <v/>
      </c>
      <c r="J135" s="74">
        <f>IF($C135="","",IF($D135="NO ENCONTRADO",IF(COUNTIF($C$7:$C$1000,$C135)&gt;1,"⚠️ No encontrado | Duplicado","⚠️ No encontrado"),IF(COUNTIF($C$7:$C$1000,$C135)&gt;1,"⚠️ Duplicado","Verificado")))</f>
        <v/>
      </c>
    </row>
    <row r="136" ht="15.75" customHeight="1" s="176">
      <c r="B136" s="80" t="n"/>
      <c r="C136" s="77" t="n"/>
      <c r="D136" s="74">
        <f t="array" ref="D136">IF($C136="","",IFNA(_xlfn.XLOOKUP($C136,Productos!$A:$A,Productos!$E:$E,IFNA(_xlfn.XLOOKUP(TEXT($C136,"0"),Productos!$A:$A,Productos!$E:$E,IFNA(_xlfn.XLOOKUP(IFERROR(VALUE($C136),""),Productos!$A:$A,Productos!$E:$E,_xlfn.XLOOKUP($C136,Productos!$E:$E,Productos!$E:$E,"NO ENCONTRADO")),"NO ENCONTRADO")),"NO ENCONTRADO")),"NO ENCONTRADO"))</f>
        <v/>
      </c>
      <c r="E136" s="74">
        <f t="array" ref="E136">IF(OR($D136="",$D136="NO ENCONTRADO"),"",_xlfn.XLOOKUP($D136,Productos!$E:$E,Productos!$H:$H,""))</f>
        <v/>
      </c>
      <c r="F136" s="74">
        <f t="array" ref="F136">IF(OR($D136="",$D136="NO ENCONTRADO"),"",_xlfn.XLOOKUP($D136,Productos!$E:$E,Productos!$I:$I,""))</f>
        <v/>
      </c>
      <c r="G136" s="74">
        <f t="array" ref="G136">IF(OR($D136="",$D136="NO ENCONTRADO"),"",_xlfn.XLOOKUP($D136,Productos!$E:$E,Productos!$J:$J,""))</f>
        <v/>
      </c>
      <c r="H136" s="74">
        <f t="array" ref="H136">IF(OR($D136="",$D136="NO ENCONTRADO"),"",_xlfn.XLOOKUP($D136,Productos!$E:$E,Productos!$K:$K,""))</f>
        <v/>
      </c>
      <c r="I136" s="74">
        <f t="array" ref="I136">IF(OR($D136="",$D136="NO ENCONTRADO"),"",_xlfn.XLOOKUP($D136,Productos!$E:$E,Productos!$F:$F,""))</f>
        <v/>
      </c>
      <c r="J136" s="74">
        <f>IF($C136="","",IF($D136="NO ENCONTRADO",IF(COUNTIF($C$7:$C$1000,$C136)&gt;1,"⚠️ No encontrado | Duplicado","⚠️ No encontrado"),IF(COUNTIF($C$7:$C$1000,$C136)&gt;1,"⚠️ Duplicado","Verificado")))</f>
        <v/>
      </c>
    </row>
    <row r="137" ht="15.75" customHeight="1" s="176">
      <c r="B137" s="80" t="n"/>
      <c r="C137" s="77" t="n"/>
      <c r="D137" s="74">
        <f t="array" ref="D137">IF($C137="","",IFNA(_xlfn.XLOOKUP($C137,Productos!$A:$A,Productos!$E:$E,IFNA(_xlfn.XLOOKUP(TEXT($C137,"0"),Productos!$A:$A,Productos!$E:$E,IFNA(_xlfn.XLOOKUP(IFERROR(VALUE($C137),""),Productos!$A:$A,Productos!$E:$E,_xlfn.XLOOKUP($C137,Productos!$E:$E,Productos!$E:$E,"NO ENCONTRADO")),"NO ENCONTRADO")),"NO ENCONTRADO")),"NO ENCONTRADO"))</f>
        <v/>
      </c>
      <c r="E137" s="74">
        <f t="array" ref="E137">IF(OR($D137="",$D137="NO ENCONTRADO"),"",_xlfn.XLOOKUP($D137,Productos!$E:$E,Productos!$H:$H,""))</f>
        <v/>
      </c>
      <c r="F137" s="74">
        <f t="array" ref="F137">IF(OR($D137="",$D137="NO ENCONTRADO"),"",_xlfn.XLOOKUP($D137,Productos!$E:$E,Productos!$I:$I,""))</f>
        <v/>
      </c>
      <c r="G137" s="74">
        <f t="array" ref="G137">IF(OR($D137="",$D137="NO ENCONTRADO"),"",_xlfn.XLOOKUP($D137,Productos!$E:$E,Productos!$J:$J,""))</f>
        <v/>
      </c>
      <c r="H137" s="74">
        <f t="array" ref="H137">IF(OR($D137="",$D137="NO ENCONTRADO"),"",_xlfn.XLOOKUP($D137,Productos!$E:$E,Productos!$K:$K,""))</f>
        <v/>
      </c>
      <c r="I137" s="74">
        <f t="array" ref="I137">IF(OR($D137="",$D137="NO ENCONTRADO"),"",_xlfn.XLOOKUP($D137,Productos!$E:$E,Productos!$F:$F,""))</f>
        <v/>
      </c>
      <c r="J137" s="74">
        <f>IF($C137="","",IF($D137="NO ENCONTRADO",IF(COUNTIF($C$7:$C$1000,$C137)&gt;1,"⚠️ No encontrado | Duplicado","⚠️ No encontrado"),IF(COUNTIF($C$7:$C$1000,$C137)&gt;1,"⚠️ Duplicado","Verificado")))</f>
        <v/>
      </c>
    </row>
    <row r="138" ht="15.75" customHeight="1" s="176">
      <c r="B138" s="80" t="n"/>
      <c r="C138" s="77" t="n"/>
      <c r="D138" s="74">
        <f t="array" ref="D138">IF($C138="","",IFNA(_xlfn.XLOOKUP($C138,Productos!$A:$A,Productos!$E:$E,IFNA(_xlfn.XLOOKUP(TEXT($C138,"0"),Productos!$A:$A,Productos!$E:$E,IFNA(_xlfn.XLOOKUP(IFERROR(VALUE($C138),""),Productos!$A:$A,Productos!$E:$E,_xlfn.XLOOKUP($C138,Productos!$E:$E,Productos!$E:$E,"NO ENCONTRADO")),"NO ENCONTRADO")),"NO ENCONTRADO")),"NO ENCONTRADO"))</f>
        <v/>
      </c>
      <c r="E138" s="74">
        <f t="array" ref="E138">IF(OR($D138="",$D138="NO ENCONTRADO"),"",_xlfn.XLOOKUP($D138,Productos!$E:$E,Productos!$H:$H,""))</f>
        <v/>
      </c>
      <c r="F138" s="74">
        <f t="array" ref="F138">IF(OR($D138="",$D138="NO ENCONTRADO"),"",_xlfn.XLOOKUP($D138,Productos!$E:$E,Productos!$I:$I,""))</f>
        <v/>
      </c>
      <c r="G138" s="74">
        <f t="array" ref="G138">IF(OR($D138="",$D138="NO ENCONTRADO"),"",_xlfn.XLOOKUP($D138,Productos!$E:$E,Productos!$J:$J,""))</f>
        <v/>
      </c>
      <c r="H138" s="74">
        <f t="array" ref="H138">IF(OR($D138="",$D138="NO ENCONTRADO"),"",_xlfn.XLOOKUP($D138,Productos!$E:$E,Productos!$K:$K,""))</f>
        <v/>
      </c>
      <c r="I138" s="74">
        <f t="array" ref="I138">IF(OR($D138="",$D138="NO ENCONTRADO"),"",_xlfn.XLOOKUP($D138,Productos!$E:$E,Productos!$F:$F,""))</f>
        <v/>
      </c>
      <c r="J138" s="74">
        <f>IF($C138="","",IF($D138="NO ENCONTRADO",IF(COUNTIF($C$7:$C$1000,$C138)&gt;1,"⚠️ No encontrado | Duplicado","⚠️ No encontrado"),IF(COUNTIF($C$7:$C$1000,$C138)&gt;1,"⚠️ Duplicado","Verificado")))</f>
        <v/>
      </c>
    </row>
    <row r="139" ht="15.75" customHeight="1" s="176">
      <c r="B139" s="80" t="n"/>
      <c r="C139" s="77" t="n"/>
      <c r="D139" s="74">
        <f t="array" ref="D139">IF($C139="","",IFNA(_xlfn.XLOOKUP($C139,Productos!$A:$A,Productos!$E:$E,IFNA(_xlfn.XLOOKUP(TEXT($C139,"0"),Productos!$A:$A,Productos!$E:$E,IFNA(_xlfn.XLOOKUP(IFERROR(VALUE($C139),""),Productos!$A:$A,Productos!$E:$E,_xlfn.XLOOKUP($C139,Productos!$E:$E,Productos!$E:$E,"NO ENCONTRADO")),"NO ENCONTRADO")),"NO ENCONTRADO")),"NO ENCONTRADO"))</f>
        <v/>
      </c>
      <c r="E139" s="74">
        <f t="array" ref="E139">IF(OR($D139="",$D139="NO ENCONTRADO"),"",_xlfn.XLOOKUP($D139,Productos!$E:$E,Productos!$H:$H,""))</f>
        <v/>
      </c>
      <c r="F139" s="74">
        <f t="array" ref="F139">IF(OR($D139="",$D139="NO ENCONTRADO"),"",_xlfn.XLOOKUP($D139,Productos!$E:$E,Productos!$I:$I,""))</f>
        <v/>
      </c>
      <c r="G139" s="74">
        <f t="array" ref="G139">IF(OR($D139="",$D139="NO ENCONTRADO"),"",_xlfn.XLOOKUP($D139,Productos!$E:$E,Productos!$J:$J,""))</f>
        <v/>
      </c>
      <c r="H139" s="74">
        <f t="array" ref="H139">IF(OR($D139="",$D139="NO ENCONTRADO"),"",_xlfn.XLOOKUP($D139,Productos!$E:$E,Productos!$K:$K,""))</f>
        <v/>
      </c>
      <c r="I139" s="74">
        <f t="array" ref="I139">IF(OR($D139="",$D139="NO ENCONTRADO"),"",_xlfn.XLOOKUP($D139,Productos!$E:$E,Productos!$F:$F,""))</f>
        <v/>
      </c>
      <c r="J139" s="74">
        <f>IF($C139="","",IF($D139="NO ENCONTRADO",IF(COUNTIF($C$7:$C$1000,$C139)&gt;1,"⚠️ No encontrado | Duplicado","⚠️ No encontrado"),IF(COUNTIF($C$7:$C$1000,$C139)&gt;1,"⚠️ Duplicado","Verificado")))</f>
        <v/>
      </c>
    </row>
    <row r="140" ht="15.75" customHeight="1" s="176">
      <c r="B140" s="80" t="n"/>
      <c r="C140" s="77" t="n"/>
      <c r="D140" s="74">
        <f t="array" ref="D140">IF($C140="","",IFNA(_xlfn.XLOOKUP($C140,Productos!$A:$A,Productos!$E:$E,IFNA(_xlfn.XLOOKUP(TEXT($C140,"0"),Productos!$A:$A,Productos!$E:$E,IFNA(_xlfn.XLOOKUP(IFERROR(VALUE($C140),""),Productos!$A:$A,Productos!$E:$E,_xlfn.XLOOKUP($C140,Productos!$E:$E,Productos!$E:$E,"NO ENCONTRADO")),"NO ENCONTRADO")),"NO ENCONTRADO")),"NO ENCONTRADO"))</f>
        <v/>
      </c>
      <c r="E140" s="74">
        <f t="array" ref="E140">IF(OR($D140="",$D140="NO ENCONTRADO"),"",_xlfn.XLOOKUP($D140,Productos!$E:$E,Productos!$H:$H,""))</f>
        <v/>
      </c>
      <c r="F140" s="74">
        <f t="array" ref="F140">IF(OR($D140="",$D140="NO ENCONTRADO"),"",_xlfn.XLOOKUP($D140,Productos!$E:$E,Productos!$I:$I,""))</f>
        <v/>
      </c>
      <c r="G140" s="74">
        <f t="array" ref="G140">IF(OR($D140="",$D140="NO ENCONTRADO"),"",_xlfn.XLOOKUP($D140,Productos!$E:$E,Productos!$J:$J,""))</f>
        <v/>
      </c>
      <c r="H140" s="74">
        <f t="array" ref="H140">IF(OR($D140="",$D140="NO ENCONTRADO"),"",_xlfn.XLOOKUP($D140,Productos!$E:$E,Productos!$K:$K,""))</f>
        <v/>
      </c>
      <c r="I140" s="74">
        <f t="array" ref="I140">IF(OR($D140="",$D140="NO ENCONTRADO"),"",_xlfn.XLOOKUP($D140,Productos!$E:$E,Productos!$F:$F,""))</f>
        <v/>
      </c>
      <c r="J140" s="74">
        <f>IF($C140="","",IF($D140="NO ENCONTRADO",IF(COUNTIF($C$7:$C$1000,$C140)&gt;1,"⚠️ No encontrado | Duplicado","⚠️ No encontrado"),IF(COUNTIF($C$7:$C$1000,$C140)&gt;1,"⚠️ Duplicado","Verificado")))</f>
        <v/>
      </c>
    </row>
    <row r="141" ht="15.75" customHeight="1" s="176">
      <c r="B141" s="80" t="n"/>
      <c r="C141" s="77" t="n"/>
      <c r="D141" s="74">
        <f t="array" ref="D141">IF($C141="","",IFNA(_xlfn.XLOOKUP($C141,Productos!$A:$A,Productos!$E:$E,IFNA(_xlfn.XLOOKUP(TEXT($C141,"0"),Productos!$A:$A,Productos!$E:$E,IFNA(_xlfn.XLOOKUP(IFERROR(VALUE($C141),""),Productos!$A:$A,Productos!$E:$E,_xlfn.XLOOKUP($C141,Productos!$E:$E,Productos!$E:$E,"NO ENCONTRADO")),"NO ENCONTRADO")),"NO ENCONTRADO")),"NO ENCONTRADO"))</f>
        <v/>
      </c>
      <c r="E141" s="74">
        <f t="array" ref="E141">IF(OR($D141="",$D141="NO ENCONTRADO"),"",_xlfn.XLOOKUP($D141,Productos!$E:$E,Productos!$H:$H,""))</f>
        <v/>
      </c>
      <c r="F141" s="74">
        <f t="array" ref="F141">IF(OR($D141="",$D141="NO ENCONTRADO"),"",_xlfn.XLOOKUP($D141,Productos!$E:$E,Productos!$I:$I,""))</f>
        <v/>
      </c>
      <c r="G141" s="74">
        <f t="array" ref="G141">IF(OR($D141="",$D141="NO ENCONTRADO"),"",_xlfn.XLOOKUP($D141,Productos!$E:$E,Productos!$J:$J,""))</f>
        <v/>
      </c>
      <c r="H141" s="74">
        <f t="array" ref="H141">IF(OR($D141="",$D141="NO ENCONTRADO"),"",_xlfn.XLOOKUP($D141,Productos!$E:$E,Productos!$K:$K,""))</f>
        <v/>
      </c>
      <c r="I141" s="74">
        <f t="array" ref="I141">IF(OR($D141="",$D141="NO ENCONTRADO"),"",_xlfn.XLOOKUP($D141,Productos!$E:$E,Productos!$F:$F,""))</f>
        <v/>
      </c>
      <c r="J141" s="74">
        <f>IF($C141="","",IF($D141="NO ENCONTRADO",IF(COUNTIF($C$7:$C$1000,$C141)&gt;1,"⚠️ No encontrado | Duplicado","⚠️ No encontrado"),IF(COUNTIF($C$7:$C$1000,$C141)&gt;1,"⚠️ Duplicado","Verificado")))</f>
        <v/>
      </c>
    </row>
    <row r="142" ht="15.75" customHeight="1" s="176">
      <c r="B142" s="80" t="n"/>
      <c r="C142" s="77" t="n"/>
      <c r="D142" s="74">
        <f t="array" ref="D142">IF($C142="","",IFNA(_xlfn.XLOOKUP($C142,Productos!$A:$A,Productos!$E:$E,IFNA(_xlfn.XLOOKUP(TEXT($C142,"0"),Productos!$A:$A,Productos!$E:$E,IFNA(_xlfn.XLOOKUP(IFERROR(VALUE($C142),""),Productos!$A:$A,Productos!$E:$E,_xlfn.XLOOKUP($C142,Productos!$E:$E,Productos!$E:$E,"NO ENCONTRADO")),"NO ENCONTRADO")),"NO ENCONTRADO")),"NO ENCONTRADO"))</f>
        <v/>
      </c>
      <c r="E142" s="74">
        <f t="array" ref="E142">IF(OR($D142="",$D142="NO ENCONTRADO"),"",_xlfn.XLOOKUP($D142,Productos!$E:$E,Productos!$H:$H,""))</f>
        <v/>
      </c>
      <c r="F142" s="74">
        <f t="array" ref="F142">IF(OR($D142="",$D142="NO ENCONTRADO"),"",_xlfn.XLOOKUP($D142,Productos!$E:$E,Productos!$I:$I,""))</f>
        <v/>
      </c>
      <c r="G142" s="74">
        <f t="array" ref="G142">IF(OR($D142="",$D142="NO ENCONTRADO"),"",_xlfn.XLOOKUP($D142,Productos!$E:$E,Productos!$J:$J,""))</f>
        <v/>
      </c>
      <c r="H142" s="74">
        <f t="array" ref="H142">IF(OR($D142="",$D142="NO ENCONTRADO"),"",_xlfn.XLOOKUP($D142,Productos!$E:$E,Productos!$K:$K,""))</f>
        <v/>
      </c>
      <c r="I142" s="74">
        <f t="array" ref="I142">IF(OR($D142="",$D142="NO ENCONTRADO"),"",_xlfn.XLOOKUP($D142,Productos!$E:$E,Productos!$F:$F,""))</f>
        <v/>
      </c>
      <c r="J142" s="74">
        <f>IF($C142="","",IF($D142="NO ENCONTRADO",IF(COUNTIF($C$7:$C$1000,$C142)&gt;1,"⚠️ No encontrado | Duplicado","⚠️ No encontrado"),IF(COUNTIF($C$7:$C$1000,$C142)&gt;1,"⚠️ Duplicado","Verificado")))</f>
        <v/>
      </c>
    </row>
    <row r="143" ht="15.75" customHeight="1" s="176">
      <c r="B143" s="80" t="n"/>
      <c r="C143" s="77" t="n"/>
      <c r="D143" s="74">
        <f t="array" ref="D143">IF($C143="","",IFNA(_xlfn.XLOOKUP($C143,Productos!$A:$A,Productos!$E:$E,IFNA(_xlfn.XLOOKUP(TEXT($C143,"0"),Productos!$A:$A,Productos!$E:$E,IFNA(_xlfn.XLOOKUP(IFERROR(VALUE($C143),""),Productos!$A:$A,Productos!$E:$E,_xlfn.XLOOKUP($C143,Productos!$E:$E,Productos!$E:$E,"NO ENCONTRADO")),"NO ENCONTRADO")),"NO ENCONTRADO")),"NO ENCONTRADO"))</f>
        <v/>
      </c>
      <c r="E143" s="74">
        <f t="array" ref="E143">IF(OR($D143="",$D143="NO ENCONTRADO"),"",_xlfn.XLOOKUP($D143,Productos!$E:$E,Productos!$H:$H,""))</f>
        <v/>
      </c>
      <c r="F143" s="74">
        <f t="array" ref="F143">IF(OR($D143="",$D143="NO ENCONTRADO"),"",_xlfn.XLOOKUP($D143,Productos!$E:$E,Productos!$I:$I,""))</f>
        <v/>
      </c>
      <c r="G143" s="74">
        <f t="array" ref="G143">IF(OR($D143="",$D143="NO ENCONTRADO"),"",_xlfn.XLOOKUP($D143,Productos!$E:$E,Productos!$J:$J,""))</f>
        <v/>
      </c>
      <c r="H143" s="74">
        <f t="array" ref="H143">IF(OR($D143="",$D143="NO ENCONTRADO"),"",_xlfn.XLOOKUP($D143,Productos!$E:$E,Productos!$K:$K,""))</f>
        <v/>
      </c>
      <c r="I143" s="74">
        <f t="array" ref="I143">IF(OR($D143="",$D143="NO ENCONTRADO"),"",_xlfn.XLOOKUP($D143,Productos!$E:$E,Productos!$F:$F,""))</f>
        <v/>
      </c>
      <c r="J143" s="74">
        <f>IF($C143="","",IF($D143="NO ENCONTRADO",IF(COUNTIF($C$7:$C$1000,$C143)&gt;1,"⚠️ No encontrado | Duplicado","⚠️ No encontrado"),IF(COUNTIF($C$7:$C$1000,$C143)&gt;1,"⚠️ Duplicado","Verificado")))</f>
        <v/>
      </c>
    </row>
    <row r="144" ht="15.75" customHeight="1" s="176">
      <c r="B144" s="80" t="n"/>
      <c r="C144" s="77" t="n"/>
      <c r="D144" s="74">
        <f t="array" ref="D144">IF($C144="","",IFNA(_xlfn.XLOOKUP($C144,Productos!$A:$A,Productos!$E:$E,IFNA(_xlfn.XLOOKUP(TEXT($C144,"0"),Productos!$A:$A,Productos!$E:$E,IFNA(_xlfn.XLOOKUP(IFERROR(VALUE($C144),""),Productos!$A:$A,Productos!$E:$E,_xlfn.XLOOKUP($C144,Productos!$E:$E,Productos!$E:$E,"NO ENCONTRADO")),"NO ENCONTRADO")),"NO ENCONTRADO")),"NO ENCONTRADO"))</f>
        <v/>
      </c>
      <c r="E144" s="74">
        <f t="array" ref="E144">IF(OR($D144="",$D144="NO ENCONTRADO"),"",_xlfn.XLOOKUP($D144,Productos!$E:$E,Productos!$H:$H,""))</f>
        <v/>
      </c>
      <c r="F144" s="74">
        <f t="array" ref="F144">IF(OR($D144="",$D144="NO ENCONTRADO"),"",_xlfn.XLOOKUP($D144,Productos!$E:$E,Productos!$I:$I,""))</f>
        <v/>
      </c>
      <c r="G144" s="74">
        <f t="array" ref="G144">IF(OR($D144="",$D144="NO ENCONTRADO"),"",_xlfn.XLOOKUP($D144,Productos!$E:$E,Productos!$J:$J,""))</f>
        <v/>
      </c>
      <c r="H144" s="74">
        <f t="array" ref="H144">IF(OR($D144="",$D144="NO ENCONTRADO"),"",_xlfn.XLOOKUP($D144,Productos!$E:$E,Productos!$K:$K,""))</f>
        <v/>
      </c>
      <c r="I144" s="74">
        <f t="array" ref="I144">IF(OR($D144="",$D144="NO ENCONTRADO"),"",_xlfn.XLOOKUP($D144,Productos!$E:$E,Productos!$F:$F,""))</f>
        <v/>
      </c>
      <c r="J144" s="74">
        <f>IF($C144="","",IF($D144="NO ENCONTRADO",IF(COUNTIF($C$7:$C$1000,$C144)&gt;1,"⚠️ No encontrado | Duplicado","⚠️ No encontrado"),IF(COUNTIF($C$7:$C$1000,$C144)&gt;1,"⚠️ Duplicado","Verificado")))</f>
        <v/>
      </c>
    </row>
    <row r="145" ht="15.75" customHeight="1" s="176">
      <c r="B145" s="80" t="n"/>
      <c r="C145" s="77" t="n"/>
      <c r="D145" s="74">
        <f t="array" ref="D145">IF($C145="","",IFNA(_xlfn.XLOOKUP($C145,Productos!$A:$A,Productos!$E:$E,IFNA(_xlfn.XLOOKUP(TEXT($C145,"0"),Productos!$A:$A,Productos!$E:$E,IFNA(_xlfn.XLOOKUP(IFERROR(VALUE($C145),""),Productos!$A:$A,Productos!$E:$E,_xlfn.XLOOKUP($C145,Productos!$E:$E,Productos!$E:$E,"NO ENCONTRADO")),"NO ENCONTRADO")),"NO ENCONTRADO")),"NO ENCONTRADO"))</f>
        <v/>
      </c>
      <c r="E145" s="74">
        <f t="array" ref="E145">IF(OR($D145="",$D145="NO ENCONTRADO"),"",_xlfn.XLOOKUP($D145,Productos!$E:$E,Productos!$H:$H,""))</f>
        <v/>
      </c>
      <c r="F145" s="74">
        <f t="array" ref="F145">IF(OR($D145="",$D145="NO ENCONTRADO"),"",_xlfn.XLOOKUP($D145,Productos!$E:$E,Productos!$I:$I,""))</f>
        <v/>
      </c>
      <c r="G145" s="74">
        <f t="array" ref="G145">IF(OR($D145="",$D145="NO ENCONTRADO"),"",_xlfn.XLOOKUP($D145,Productos!$E:$E,Productos!$J:$J,""))</f>
        <v/>
      </c>
      <c r="H145" s="74">
        <f t="array" ref="H145">IF(OR($D145="",$D145="NO ENCONTRADO"),"",_xlfn.XLOOKUP($D145,Productos!$E:$E,Productos!$K:$K,""))</f>
        <v/>
      </c>
      <c r="I145" s="74">
        <f t="array" ref="I145">IF(OR($D145="",$D145="NO ENCONTRADO"),"",_xlfn.XLOOKUP($D145,Productos!$E:$E,Productos!$F:$F,""))</f>
        <v/>
      </c>
      <c r="J145" s="74">
        <f>IF($C145="","",IF($D145="NO ENCONTRADO",IF(COUNTIF($C$7:$C$1000,$C145)&gt;1,"⚠️ No encontrado | Duplicado","⚠️ No encontrado"),IF(COUNTIF($C$7:$C$1000,$C145)&gt;1,"⚠️ Duplicado","Verificado")))</f>
        <v/>
      </c>
    </row>
    <row r="146" ht="15.75" customHeight="1" s="176">
      <c r="B146" s="80" t="n"/>
      <c r="C146" s="77" t="n"/>
      <c r="D146" s="74">
        <f t="array" ref="D146">IF($C146="","",IFNA(_xlfn.XLOOKUP($C146,Productos!$A:$A,Productos!$E:$E,IFNA(_xlfn.XLOOKUP(TEXT($C146,"0"),Productos!$A:$A,Productos!$E:$E,IFNA(_xlfn.XLOOKUP(IFERROR(VALUE($C146),""),Productos!$A:$A,Productos!$E:$E,_xlfn.XLOOKUP($C146,Productos!$E:$E,Productos!$E:$E,"NO ENCONTRADO")),"NO ENCONTRADO")),"NO ENCONTRADO")),"NO ENCONTRADO"))</f>
        <v/>
      </c>
      <c r="E146" s="74">
        <f t="array" ref="E146">IF(OR($D146="",$D146="NO ENCONTRADO"),"",_xlfn.XLOOKUP($D146,Productos!$E:$E,Productos!$H:$H,""))</f>
        <v/>
      </c>
      <c r="F146" s="74">
        <f t="array" ref="F146">IF(OR($D146="",$D146="NO ENCONTRADO"),"",_xlfn.XLOOKUP($D146,Productos!$E:$E,Productos!$I:$I,""))</f>
        <v/>
      </c>
      <c r="G146" s="74">
        <f t="array" ref="G146">IF(OR($D146="",$D146="NO ENCONTRADO"),"",_xlfn.XLOOKUP($D146,Productos!$E:$E,Productos!$J:$J,""))</f>
        <v/>
      </c>
      <c r="H146" s="74">
        <f t="array" ref="H146">IF(OR($D146="",$D146="NO ENCONTRADO"),"",_xlfn.XLOOKUP($D146,Productos!$E:$E,Productos!$K:$K,""))</f>
        <v/>
      </c>
      <c r="I146" s="74">
        <f t="array" ref="I146">IF(OR($D146="",$D146="NO ENCONTRADO"),"",_xlfn.XLOOKUP($D146,Productos!$E:$E,Productos!$F:$F,""))</f>
        <v/>
      </c>
      <c r="J146" s="74">
        <f>IF($C146="","",IF($D146="NO ENCONTRADO",IF(COUNTIF($C$7:$C$1000,$C146)&gt;1,"⚠️ No encontrado | Duplicado","⚠️ No encontrado"),IF(COUNTIF($C$7:$C$1000,$C146)&gt;1,"⚠️ Duplicado","Verificado")))</f>
        <v/>
      </c>
    </row>
    <row r="147" ht="15.75" customHeight="1" s="176">
      <c r="B147" s="80" t="n"/>
      <c r="C147" s="77" t="n"/>
      <c r="D147" s="74">
        <f t="array" ref="D147">IF($C147="","",IFNA(_xlfn.XLOOKUP($C147,Productos!$A:$A,Productos!$E:$E,IFNA(_xlfn.XLOOKUP(TEXT($C147,"0"),Productos!$A:$A,Productos!$E:$E,IFNA(_xlfn.XLOOKUP(IFERROR(VALUE($C147),""),Productos!$A:$A,Productos!$E:$E,_xlfn.XLOOKUP($C147,Productos!$E:$E,Productos!$E:$E,"NO ENCONTRADO")),"NO ENCONTRADO")),"NO ENCONTRADO")),"NO ENCONTRADO"))</f>
        <v/>
      </c>
      <c r="E147" s="74">
        <f t="array" ref="E147">IF(OR($D147="",$D147="NO ENCONTRADO"),"",_xlfn.XLOOKUP($D147,Productos!$E:$E,Productos!$H:$H,""))</f>
        <v/>
      </c>
      <c r="F147" s="74">
        <f t="array" ref="F147">IF(OR($D147="",$D147="NO ENCONTRADO"),"",_xlfn.XLOOKUP($D147,Productos!$E:$E,Productos!$I:$I,""))</f>
        <v/>
      </c>
      <c r="G147" s="74">
        <f t="array" ref="G147">IF(OR($D147="",$D147="NO ENCONTRADO"),"",_xlfn.XLOOKUP($D147,Productos!$E:$E,Productos!$J:$J,""))</f>
        <v/>
      </c>
      <c r="H147" s="74">
        <f t="array" ref="H147">IF(OR($D147="",$D147="NO ENCONTRADO"),"",_xlfn.XLOOKUP($D147,Productos!$E:$E,Productos!$K:$K,""))</f>
        <v/>
      </c>
      <c r="I147" s="74">
        <f t="array" ref="I147">IF(OR($D147="",$D147="NO ENCONTRADO"),"",_xlfn.XLOOKUP($D147,Productos!$E:$E,Productos!$F:$F,""))</f>
        <v/>
      </c>
      <c r="J147" s="74">
        <f>IF($C147="","",IF($D147="NO ENCONTRADO",IF(COUNTIF($C$7:$C$1000,$C147)&gt;1,"⚠️ No encontrado | Duplicado","⚠️ No encontrado"),IF(COUNTIF($C$7:$C$1000,$C147)&gt;1,"⚠️ Duplicado","Verificado")))</f>
        <v/>
      </c>
    </row>
    <row r="148" ht="15.75" customHeight="1" s="176">
      <c r="B148" s="80" t="n"/>
      <c r="C148" s="77" t="n"/>
      <c r="D148" s="74">
        <f t="array" ref="D148">IF($C148="","",IFNA(_xlfn.XLOOKUP($C148,Productos!$A:$A,Productos!$E:$E,IFNA(_xlfn.XLOOKUP(TEXT($C148,"0"),Productos!$A:$A,Productos!$E:$E,IFNA(_xlfn.XLOOKUP(IFERROR(VALUE($C148),""),Productos!$A:$A,Productos!$E:$E,_xlfn.XLOOKUP($C148,Productos!$E:$E,Productos!$E:$E,"NO ENCONTRADO")),"NO ENCONTRADO")),"NO ENCONTRADO")),"NO ENCONTRADO"))</f>
        <v/>
      </c>
      <c r="E148" s="74">
        <f t="array" ref="E148">IF(OR($D148="",$D148="NO ENCONTRADO"),"",_xlfn.XLOOKUP($D148,Productos!$E:$E,Productos!$H:$H,""))</f>
        <v/>
      </c>
      <c r="F148" s="74">
        <f t="array" ref="F148">IF(OR($D148="",$D148="NO ENCONTRADO"),"",_xlfn.XLOOKUP($D148,Productos!$E:$E,Productos!$I:$I,""))</f>
        <v/>
      </c>
      <c r="G148" s="74">
        <f t="array" ref="G148">IF(OR($D148="",$D148="NO ENCONTRADO"),"",_xlfn.XLOOKUP($D148,Productos!$E:$E,Productos!$J:$J,""))</f>
        <v/>
      </c>
      <c r="H148" s="74">
        <f t="array" ref="H148">IF(OR($D148="",$D148="NO ENCONTRADO"),"",_xlfn.XLOOKUP($D148,Productos!$E:$E,Productos!$K:$K,""))</f>
        <v/>
      </c>
      <c r="I148" s="74">
        <f t="array" ref="I148">IF(OR($D148="",$D148="NO ENCONTRADO"),"",_xlfn.XLOOKUP($D148,Productos!$E:$E,Productos!$F:$F,""))</f>
        <v/>
      </c>
      <c r="J148" s="74">
        <f>IF($C148="","",IF($D148="NO ENCONTRADO",IF(COUNTIF($C$7:$C$1000,$C148)&gt;1,"⚠️ No encontrado | Duplicado","⚠️ No encontrado"),IF(COUNTIF($C$7:$C$1000,$C148)&gt;1,"⚠️ Duplicado","Verificado")))</f>
        <v/>
      </c>
    </row>
    <row r="149" ht="15.75" customHeight="1" s="176">
      <c r="B149" s="80" t="n"/>
      <c r="C149" s="77" t="n"/>
      <c r="D149" s="74">
        <f t="array" ref="D149">IF($C149="","",IFNA(_xlfn.XLOOKUP($C149,Productos!$A:$A,Productos!$E:$E,IFNA(_xlfn.XLOOKUP(TEXT($C149,"0"),Productos!$A:$A,Productos!$E:$E,IFNA(_xlfn.XLOOKUP(IFERROR(VALUE($C149),""),Productos!$A:$A,Productos!$E:$E,_xlfn.XLOOKUP($C149,Productos!$E:$E,Productos!$E:$E,"NO ENCONTRADO")),"NO ENCONTRADO")),"NO ENCONTRADO")),"NO ENCONTRADO"))</f>
        <v/>
      </c>
      <c r="E149" s="74">
        <f t="array" ref="E149">IF(OR($D149="",$D149="NO ENCONTRADO"),"",_xlfn.XLOOKUP($D149,Productos!$E:$E,Productos!$H:$H,""))</f>
        <v/>
      </c>
      <c r="F149" s="74">
        <f t="array" ref="F149">IF(OR($D149="",$D149="NO ENCONTRADO"),"",_xlfn.XLOOKUP($D149,Productos!$E:$E,Productos!$I:$I,""))</f>
        <v/>
      </c>
      <c r="G149" s="74">
        <f t="array" ref="G149">IF(OR($D149="",$D149="NO ENCONTRADO"),"",_xlfn.XLOOKUP($D149,Productos!$E:$E,Productos!$J:$J,""))</f>
        <v/>
      </c>
      <c r="H149" s="74">
        <f t="array" ref="H149">IF(OR($D149="",$D149="NO ENCONTRADO"),"",_xlfn.XLOOKUP($D149,Productos!$E:$E,Productos!$K:$K,""))</f>
        <v/>
      </c>
      <c r="I149" s="74">
        <f t="array" ref="I149">IF(OR($D149="",$D149="NO ENCONTRADO"),"",_xlfn.XLOOKUP($D149,Productos!$E:$E,Productos!$F:$F,""))</f>
        <v/>
      </c>
      <c r="J149" s="74">
        <f>IF($C149="","",IF($D149="NO ENCONTRADO",IF(COUNTIF($C$7:$C$1000,$C149)&gt;1,"⚠️ No encontrado | Duplicado","⚠️ No encontrado"),IF(COUNTIF($C$7:$C$1000,$C149)&gt;1,"⚠️ Duplicado","Verificado")))</f>
        <v/>
      </c>
    </row>
    <row r="150" ht="15.75" customHeight="1" s="176">
      <c r="B150" s="80" t="n"/>
      <c r="C150" s="77" t="n"/>
      <c r="D150" s="74">
        <f t="array" ref="D150">IF($C150="","",IFNA(_xlfn.XLOOKUP($C150,Productos!$A:$A,Productos!$E:$E,IFNA(_xlfn.XLOOKUP(TEXT($C150,"0"),Productos!$A:$A,Productos!$E:$E,IFNA(_xlfn.XLOOKUP(IFERROR(VALUE($C150),""),Productos!$A:$A,Productos!$E:$E,_xlfn.XLOOKUP($C150,Productos!$E:$E,Productos!$E:$E,"NO ENCONTRADO")),"NO ENCONTRADO")),"NO ENCONTRADO")),"NO ENCONTRADO"))</f>
        <v/>
      </c>
      <c r="E150" s="74">
        <f t="array" ref="E150">IF(OR($D150="",$D150="NO ENCONTRADO"),"",_xlfn.XLOOKUP($D150,Productos!$E:$E,Productos!$H:$H,""))</f>
        <v/>
      </c>
      <c r="F150" s="74">
        <f t="array" ref="F150">IF(OR($D150="",$D150="NO ENCONTRADO"),"",_xlfn.XLOOKUP($D150,Productos!$E:$E,Productos!$I:$I,""))</f>
        <v/>
      </c>
      <c r="G150" s="74">
        <f t="array" ref="G150">IF(OR($D150="",$D150="NO ENCONTRADO"),"",_xlfn.XLOOKUP($D150,Productos!$E:$E,Productos!$J:$J,""))</f>
        <v/>
      </c>
      <c r="H150" s="74">
        <f t="array" ref="H150">IF(OR($D150="",$D150="NO ENCONTRADO"),"",_xlfn.XLOOKUP($D150,Productos!$E:$E,Productos!$K:$K,""))</f>
        <v/>
      </c>
      <c r="I150" s="74">
        <f t="array" ref="I150">IF(OR($D150="",$D150="NO ENCONTRADO"),"",_xlfn.XLOOKUP($D150,Productos!$E:$E,Productos!$F:$F,""))</f>
        <v/>
      </c>
      <c r="J150" s="74">
        <f>IF($C150="","",IF($D150="NO ENCONTRADO",IF(COUNTIF($C$7:$C$1000,$C150)&gt;1,"⚠️ No encontrado | Duplicado","⚠️ No encontrado"),IF(COUNTIF($C$7:$C$1000,$C150)&gt;1,"⚠️ Duplicado","Verificado")))</f>
        <v/>
      </c>
    </row>
    <row r="151" ht="15.75" customHeight="1" s="176">
      <c r="B151" s="80" t="n"/>
      <c r="C151" s="77" t="n"/>
      <c r="D151" s="74">
        <f t="array" ref="D151">IF($C151="","",IFNA(_xlfn.XLOOKUP($C151,Productos!$A:$A,Productos!$E:$E,IFNA(_xlfn.XLOOKUP(TEXT($C151,"0"),Productos!$A:$A,Productos!$E:$E,IFNA(_xlfn.XLOOKUP(IFERROR(VALUE($C151),""),Productos!$A:$A,Productos!$E:$E,_xlfn.XLOOKUP($C151,Productos!$E:$E,Productos!$E:$E,"NO ENCONTRADO")),"NO ENCONTRADO")),"NO ENCONTRADO")),"NO ENCONTRADO"))</f>
        <v/>
      </c>
      <c r="E151" s="74">
        <f t="array" ref="E151">IF(OR($D151="",$D151="NO ENCONTRADO"),"",_xlfn.XLOOKUP($D151,Productos!$E:$E,Productos!$H:$H,""))</f>
        <v/>
      </c>
      <c r="F151" s="74">
        <f t="array" ref="F151">IF(OR($D151="",$D151="NO ENCONTRADO"),"",_xlfn.XLOOKUP($D151,Productos!$E:$E,Productos!$I:$I,""))</f>
        <v/>
      </c>
      <c r="G151" s="74">
        <f t="array" ref="G151">IF(OR($D151="",$D151="NO ENCONTRADO"),"",_xlfn.XLOOKUP($D151,Productos!$E:$E,Productos!$J:$J,""))</f>
        <v/>
      </c>
      <c r="H151" s="74">
        <f t="array" ref="H151">IF(OR($D151="",$D151="NO ENCONTRADO"),"",_xlfn.XLOOKUP($D151,Productos!$E:$E,Productos!$K:$K,""))</f>
        <v/>
      </c>
      <c r="I151" s="74">
        <f t="array" ref="I151">IF(OR($D151="",$D151="NO ENCONTRADO"),"",_xlfn.XLOOKUP($D151,Productos!$E:$E,Productos!$F:$F,""))</f>
        <v/>
      </c>
      <c r="J151" s="74">
        <f>IF($C151="","",IF($D151="NO ENCONTRADO",IF(COUNTIF($C$7:$C$1000,$C151)&gt;1,"⚠️ No encontrado | Duplicado","⚠️ No encontrado"),IF(COUNTIF($C$7:$C$1000,$C151)&gt;1,"⚠️ Duplicado","Verificado")))</f>
        <v/>
      </c>
    </row>
    <row r="152" ht="15.75" customHeight="1" s="176">
      <c r="B152" s="80" t="n"/>
      <c r="C152" s="77" t="n"/>
      <c r="D152" s="74">
        <f t="array" ref="D152">IF($C152="","",IFNA(_xlfn.XLOOKUP($C152,Productos!$A:$A,Productos!$E:$E,IFNA(_xlfn.XLOOKUP(TEXT($C152,"0"),Productos!$A:$A,Productos!$E:$E,IFNA(_xlfn.XLOOKUP(IFERROR(VALUE($C152),""),Productos!$A:$A,Productos!$E:$E,_xlfn.XLOOKUP($C152,Productos!$E:$E,Productos!$E:$E,"NO ENCONTRADO")),"NO ENCONTRADO")),"NO ENCONTRADO")),"NO ENCONTRADO"))</f>
        <v/>
      </c>
      <c r="E152" s="74">
        <f t="array" ref="E152">IF(OR($D152="",$D152="NO ENCONTRADO"),"",_xlfn.XLOOKUP($D152,Productos!$E:$E,Productos!$H:$H,""))</f>
        <v/>
      </c>
      <c r="F152" s="74">
        <f t="array" ref="F152">IF(OR($D152="",$D152="NO ENCONTRADO"),"",_xlfn.XLOOKUP($D152,Productos!$E:$E,Productos!$I:$I,""))</f>
        <v/>
      </c>
      <c r="G152" s="74">
        <f t="array" ref="G152">IF(OR($D152="",$D152="NO ENCONTRADO"),"",_xlfn.XLOOKUP($D152,Productos!$E:$E,Productos!$J:$J,""))</f>
        <v/>
      </c>
      <c r="H152" s="74">
        <f t="array" ref="H152">IF(OR($D152="",$D152="NO ENCONTRADO"),"",_xlfn.XLOOKUP($D152,Productos!$E:$E,Productos!$K:$K,""))</f>
        <v/>
      </c>
      <c r="I152" s="74">
        <f t="array" ref="I152">IF(OR($D152="",$D152="NO ENCONTRADO"),"",_xlfn.XLOOKUP($D152,Productos!$E:$E,Productos!$F:$F,""))</f>
        <v/>
      </c>
      <c r="J152" s="74">
        <f>IF($C152="","",IF($D152="NO ENCONTRADO",IF(COUNTIF($C$7:$C$1000,$C152)&gt;1,"⚠️ No encontrado | Duplicado","⚠️ No encontrado"),IF(COUNTIF($C$7:$C$1000,$C152)&gt;1,"⚠️ Duplicado","Verificado")))</f>
        <v/>
      </c>
    </row>
    <row r="153" ht="15.75" customHeight="1" s="176">
      <c r="B153" s="80" t="n"/>
      <c r="C153" s="77" t="n"/>
      <c r="D153" s="74">
        <f t="array" ref="D153">IF($C153="","",IFNA(_xlfn.XLOOKUP($C153,Productos!$A:$A,Productos!$E:$E,IFNA(_xlfn.XLOOKUP(TEXT($C153,"0"),Productos!$A:$A,Productos!$E:$E,IFNA(_xlfn.XLOOKUP(IFERROR(VALUE($C153),""),Productos!$A:$A,Productos!$E:$E,_xlfn.XLOOKUP($C153,Productos!$E:$E,Productos!$E:$E,"NO ENCONTRADO")),"NO ENCONTRADO")),"NO ENCONTRADO")),"NO ENCONTRADO"))</f>
        <v/>
      </c>
      <c r="E153" s="74">
        <f t="array" ref="E153">IF(OR($D153="",$D153="NO ENCONTRADO"),"",_xlfn.XLOOKUP($D153,Productos!$E:$E,Productos!$H:$H,""))</f>
        <v/>
      </c>
      <c r="F153" s="74">
        <f t="array" ref="F153">IF(OR($D153="",$D153="NO ENCONTRADO"),"",_xlfn.XLOOKUP($D153,Productos!$E:$E,Productos!$I:$I,""))</f>
        <v/>
      </c>
      <c r="G153" s="74">
        <f t="array" ref="G153">IF(OR($D153="",$D153="NO ENCONTRADO"),"",_xlfn.XLOOKUP($D153,Productos!$E:$E,Productos!$J:$J,""))</f>
        <v/>
      </c>
      <c r="H153" s="74">
        <f t="array" ref="H153">IF(OR($D153="",$D153="NO ENCONTRADO"),"",_xlfn.XLOOKUP($D153,Productos!$E:$E,Productos!$K:$K,""))</f>
        <v/>
      </c>
      <c r="I153" s="74">
        <f t="array" ref="I153">IF(OR($D153="",$D153="NO ENCONTRADO"),"",_xlfn.XLOOKUP($D153,Productos!$E:$E,Productos!$F:$F,""))</f>
        <v/>
      </c>
      <c r="J153" s="74">
        <f>IF($C153="","",IF($D153="NO ENCONTRADO",IF(COUNTIF($C$7:$C$1000,$C153)&gt;1,"⚠️ No encontrado | Duplicado","⚠️ No encontrado"),IF(COUNTIF($C$7:$C$1000,$C153)&gt;1,"⚠️ Duplicado","Verificado")))</f>
        <v/>
      </c>
    </row>
    <row r="154" ht="15.75" customHeight="1" s="176">
      <c r="B154" s="80" t="n"/>
      <c r="C154" s="77" t="n"/>
      <c r="D154" s="74">
        <f t="array" ref="D154">IF($C154="","",IFNA(_xlfn.XLOOKUP($C154,Productos!$A:$A,Productos!$E:$E,IFNA(_xlfn.XLOOKUP(TEXT($C154,"0"),Productos!$A:$A,Productos!$E:$E,IFNA(_xlfn.XLOOKUP(IFERROR(VALUE($C154),""),Productos!$A:$A,Productos!$E:$E,_xlfn.XLOOKUP($C154,Productos!$E:$E,Productos!$E:$E,"NO ENCONTRADO")),"NO ENCONTRADO")),"NO ENCONTRADO")),"NO ENCONTRADO"))</f>
        <v/>
      </c>
      <c r="E154" s="74">
        <f t="array" ref="E154">IF(OR($D154="",$D154="NO ENCONTRADO"),"",_xlfn.XLOOKUP($D154,Productos!$E:$E,Productos!$H:$H,""))</f>
        <v/>
      </c>
      <c r="F154" s="74">
        <f t="array" ref="F154">IF(OR($D154="",$D154="NO ENCONTRADO"),"",_xlfn.XLOOKUP($D154,Productos!$E:$E,Productos!$I:$I,""))</f>
        <v/>
      </c>
      <c r="G154" s="74">
        <f t="array" ref="G154">IF(OR($D154="",$D154="NO ENCONTRADO"),"",_xlfn.XLOOKUP($D154,Productos!$E:$E,Productos!$J:$J,""))</f>
        <v/>
      </c>
      <c r="H154" s="74">
        <f t="array" ref="H154">IF(OR($D154="",$D154="NO ENCONTRADO"),"",_xlfn.XLOOKUP($D154,Productos!$E:$E,Productos!$K:$K,""))</f>
        <v/>
      </c>
      <c r="I154" s="74">
        <f t="array" ref="I154">IF(OR($D154="",$D154="NO ENCONTRADO"),"",_xlfn.XLOOKUP($D154,Productos!$E:$E,Productos!$F:$F,""))</f>
        <v/>
      </c>
      <c r="J154" s="74">
        <f>IF($C154="","",IF($D154="NO ENCONTRADO",IF(COUNTIF($C$7:$C$1000,$C154)&gt;1,"⚠️ No encontrado | Duplicado","⚠️ No encontrado"),IF(COUNTIF($C$7:$C$1000,$C154)&gt;1,"⚠️ Duplicado","Verificado")))</f>
        <v/>
      </c>
    </row>
    <row r="155" ht="15.75" customHeight="1" s="176">
      <c r="B155" s="80" t="n"/>
      <c r="C155" s="77" t="n"/>
      <c r="D155" s="74">
        <f t="array" ref="D155">IF($C155="","",IFNA(_xlfn.XLOOKUP($C155,Productos!$A:$A,Productos!$E:$E,IFNA(_xlfn.XLOOKUP(TEXT($C155,"0"),Productos!$A:$A,Productos!$E:$E,IFNA(_xlfn.XLOOKUP(IFERROR(VALUE($C155),""),Productos!$A:$A,Productos!$E:$E,_xlfn.XLOOKUP($C155,Productos!$E:$E,Productos!$E:$E,"NO ENCONTRADO")),"NO ENCONTRADO")),"NO ENCONTRADO")),"NO ENCONTRADO"))</f>
        <v/>
      </c>
      <c r="E155" s="74">
        <f t="array" ref="E155">IF(OR($D155="",$D155="NO ENCONTRADO"),"",_xlfn.XLOOKUP($D155,Productos!$E:$E,Productos!$H:$H,""))</f>
        <v/>
      </c>
      <c r="F155" s="74">
        <f t="array" ref="F155">IF(OR($D155="",$D155="NO ENCONTRADO"),"",_xlfn.XLOOKUP($D155,Productos!$E:$E,Productos!$I:$I,""))</f>
        <v/>
      </c>
      <c r="G155" s="74">
        <f t="array" ref="G155">IF(OR($D155="",$D155="NO ENCONTRADO"),"",_xlfn.XLOOKUP($D155,Productos!$E:$E,Productos!$J:$J,""))</f>
        <v/>
      </c>
      <c r="H155" s="74">
        <f t="array" ref="H155">IF(OR($D155="",$D155="NO ENCONTRADO"),"",_xlfn.XLOOKUP($D155,Productos!$E:$E,Productos!$K:$K,""))</f>
        <v/>
      </c>
      <c r="I155" s="74">
        <f t="array" ref="I155">IF(OR($D155="",$D155="NO ENCONTRADO"),"",_xlfn.XLOOKUP($D155,Productos!$E:$E,Productos!$F:$F,""))</f>
        <v/>
      </c>
      <c r="J155" s="74">
        <f>IF($C155="","",IF($D155="NO ENCONTRADO",IF(COUNTIF($C$7:$C$1000,$C155)&gt;1,"⚠️ No encontrado | Duplicado","⚠️ No encontrado"),IF(COUNTIF($C$7:$C$1000,$C155)&gt;1,"⚠️ Duplicado","Verificado")))</f>
        <v/>
      </c>
    </row>
    <row r="156" ht="15.75" customHeight="1" s="176">
      <c r="B156" s="80" t="n"/>
      <c r="C156" s="77" t="n"/>
      <c r="D156" s="74">
        <f t="array" ref="D156">IF($C156="","",IFNA(_xlfn.XLOOKUP($C156,Productos!$A:$A,Productos!$E:$E,IFNA(_xlfn.XLOOKUP(TEXT($C156,"0"),Productos!$A:$A,Productos!$E:$E,IFNA(_xlfn.XLOOKUP(IFERROR(VALUE($C156),""),Productos!$A:$A,Productos!$E:$E,_xlfn.XLOOKUP($C156,Productos!$E:$E,Productos!$E:$E,"NO ENCONTRADO")),"NO ENCONTRADO")),"NO ENCONTRADO")),"NO ENCONTRADO"))</f>
        <v/>
      </c>
      <c r="E156" s="74">
        <f t="array" ref="E156">IF(OR($D156="",$D156="NO ENCONTRADO"),"",_xlfn.XLOOKUP($D156,Productos!$E:$E,Productos!$H:$H,""))</f>
        <v/>
      </c>
      <c r="F156" s="74">
        <f t="array" ref="F156">IF(OR($D156="",$D156="NO ENCONTRADO"),"",_xlfn.XLOOKUP($D156,Productos!$E:$E,Productos!$I:$I,""))</f>
        <v/>
      </c>
      <c r="G156" s="74">
        <f t="array" ref="G156">IF(OR($D156="",$D156="NO ENCONTRADO"),"",_xlfn.XLOOKUP($D156,Productos!$E:$E,Productos!$J:$J,""))</f>
        <v/>
      </c>
      <c r="H156" s="74">
        <f t="array" ref="H156">IF(OR($D156="",$D156="NO ENCONTRADO"),"",_xlfn.XLOOKUP($D156,Productos!$E:$E,Productos!$K:$K,""))</f>
        <v/>
      </c>
      <c r="I156" s="74">
        <f t="array" ref="I156">IF(OR($D156="",$D156="NO ENCONTRADO"),"",_xlfn.XLOOKUP($D156,Productos!$E:$E,Productos!$F:$F,""))</f>
        <v/>
      </c>
      <c r="J156" s="74">
        <f>IF($C156="","",IF($D156="NO ENCONTRADO",IF(COUNTIF($C$7:$C$1000,$C156)&gt;1,"⚠️ No encontrado | Duplicado","⚠️ No encontrado"),IF(COUNTIF($C$7:$C$1000,$C156)&gt;1,"⚠️ Duplicado","Verificado")))</f>
        <v/>
      </c>
    </row>
    <row r="157" ht="15.75" customHeight="1" s="176">
      <c r="B157" s="80" t="n"/>
      <c r="C157" s="77" t="n"/>
      <c r="D157" s="74">
        <f t="array" ref="D157">IF($C157="","",IFNA(_xlfn.XLOOKUP($C157,Productos!$A:$A,Productos!$E:$E,IFNA(_xlfn.XLOOKUP(TEXT($C157,"0"),Productos!$A:$A,Productos!$E:$E,IFNA(_xlfn.XLOOKUP(IFERROR(VALUE($C157),""),Productos!$A:$A,Productos!$E:$E,_xlfn.XLOOKUP($C157,Productos!$E:$E,Productos!$E:$E,"NO ENCONTRADO")),"NO ENCONTRADO")),"NO ENCONTRADO")),"NO ENCONTRADO"))</f>
        <v/>
      </c>
      <c r="E157" s="74">
        <f t="array" ref="E157">IF(OR($D157="",$D157="NO ENCONTRADO"),"",_xlfn.XLOOKUP($D157,Productos!$E:$E,Productos!$H:$H,""))</f>
        <v/>
      </c>
      <c r="F157" s="74">
        <f t="array" ref="F157">IF(OR($D157="",$D157="NO ENCONTRADO"),"",_xlfn.XLOOKUP($D157,Productos!$E:$E,Productos!$I:$I,""))</f>
        <v/>
      </c>
      <c r="G157" s="74">
        <f t="array" ref="G157">IF(OR($D157="",$D157="NO ENCONTRADO"),"",_xlfn.XLOOKUP($D157,Productos!$E:$E,Productos!$J:$J,""))</f>
        <v/>
      </c>
      <c r="H157" s="74">
        <f t="array" ref="H157">IF(OR($D157="",$D157="NO ENCONTRADO"),"",_xlfn.XLOOKUP($D157,Productos!$E:$E,Productos!$K:$K,""))</f>
        <v/>
      </c>
      <c r="I157" s="74">
        <f t="array" ref="I157">IF(OR($D157="",$D157="NO ENCONTRADO"),"",_xlfn.XLOOKUP($D157,Productos!$E:$E,Productos!$F:$F,""))</f>
        <v/>
      </c>
      <c r="J157" s="74">
        <f>IF($C157="","",IF($D157="NO ENCONTRADO",IF(COUNTIF($C$7:$C$1000,$C157)&gt;1,"⚠️ No encontrado | Duplicado","⚠️ No encontrado"),IF(COUNTIF($C$7:$C$1000,$C157)&gt;1,"⚠️ Duplicado","Verificado")))</f>
        <v/>
      </c>
    </row>
    <row r="158" ht="15.75" customHeight="1" s="176">
      <c r="B158" s="80" t="n"/>
      <c r="C158" s="77" t="n"/>
      <c r="D158" s="74">
        <f t="array" ref="D158">IF($C158="","",IFNA(_xlfn.XLOOKUP($C158,Productos!$A:$A,Productos!$E:$E,IFNA(_xlfn.XLOOKUP(TEXT($C158,"0"),Productos!$A:$A,Productos!$E:$E,IFNA(_xlfn.XLOOKUP(IFERROR(VALUE($C158),""),Productos!$A:$A,Productos!$E:$E,_xlfn.XLOOKUP($C158,Productos!$E:$E,Productos!$E:$E,"NO ENCONTRADO")),"NO ENCONTRADO")),"NO ENCONTRADO")),"NO ENCONTRADO"))</f>
        <v/>
      </c>
      <c r="E158" s="74">
        <f t="array" ref="E158">IF(OR($D158="",$D158="NO ENCONTRADO"),"",_xlfn.XLOOKUP($D158,Productos!$E:$E,Productos!$H:$H,""))</f>
        <v/>
      </c>
      <c r="F158" s="74">
        <f t="array" ref="F158">IF(OR($D158="",$D158="NO ENCONTRADO"),"",_xlfn.XLOOKUP($D158,Productos!$E:$E,Productos!$I:$I,""))</f>
        <v/>
      </c>
      <c r="G158" s="74">
        <f t="array" ref="G158">IF(OR($D158="",$D158="NO ENCONTRADO"),"",_xlfn.XLOOKUP($D158,Productos!$E:$E,Productos!$J:$J,""))</f>
        <v/>
      </c>
      <c r="H158" s="74">
        <f t="array" ref="H158">IF(OR($D158="",$D158="NO ENCONTRADO"),"",_xlfn.XLOOKUP($D158,Productos!$E:$E,Productos!$K:$K,""))</f>
        <v/>
      </c>
      <c r="I158" s="74">
        <f t="array" ref="I158">IF(OR($D158="",$D158="NO ENCONTRADO"),"",_xlfn.XLOOKUP($D158,Productos!$E:$E,Productos!$F:$F,""))</f>
        <v/>
      </c>
      <c r="J158" s="74">
        <f>IF($C158="","",IF($D158="NO ENCONTRADO",IF(COUNTIF($C$7:$C$1000,$C158)&gt;1,"⚠️ No encontrado | Duplicado","⚠️ No encontrado"),IF(COUNTIF($C$7:$C$1000,$C158)&gt;1,"⚠️ Duplicado","Verificado")))</f>
        <v/>
      </c>
    </row>
    <row r="159" ht="15.75" customHeight="1" s="176">
      <c r="B159" s="80" t="n"/>
      <c r="C159" s="77" t="n"/>
      <c r="D159" s="74">
        <f t="array" ref="D159">IF($C159="","",IFNA(_xlfn.XLOOKUP($C159,Productos!$A:$A,Productos!$E:$E,IFNA(_xlfn.XLOOKUP(TEXT($C159,"0"),Productos!$A:$A,Productos!$E:$E,IFNA(_xlfn.XLOOKUP(IFERROR(VALUE($C159),""),Productos!$A:$A,Productos!$E:$E,_xlfn.XLOOKUP($C159,Productos!$E:$E,Productos!$E:$E,"NO ENCONTRADO")),"NO ENCONTRADO")),"NO ENCONTRADO")),"NO ENCONTRADO"))</f>
        <v/>
      </c>
      <c r="E159" s="74">
        <f t="array" ref="E159">IF(OR($D159="",$D159="NO ENCONTRADO"),"",_xlfn.XLOOKUP($D159,Productos!$E:$E,Productos!$H:$H,""))</f>
        <v/>
      </c>
      <c r="F159" s="74">
        <f t="array" ref="F159">IF(OR($D159="",$D159="NO ENCONTRADO"),"",_xlfn.XLOOKUP($D159,Productos!$E:$E,Productos!$I:$I,""))</f>
        <v/>
      </c>
      <c r="G159" s="74">
        <f t="array" ref="G159">IF(OR($D159="",$D159="NO ENCONTRADO"),"",_xlfn.XLOOKUP($D159,Productos!$E:$E,Productos!$J:$J,""))</f>
        <v/>
      </c>
      <c r="H159" s="74">
        <f t="array" ref="H159">IF(OR($D159="",$D159="NO ENCONTRADO"),"",_xlfn.XLOOKUP($D159,Productos!$E:$E,Productos!$K:$K,""))</f>
        <v/>
      </c>
      <c r="I159" s="74">
        <f t="array" ref="I159">IF(OR($D159="",$D159="NO ENCONTRADO"),"",_xlfn.XLOOKUP($D159,Productos!$E:$E,Productos!$F:$F,""))</f>
        <v/>
      </c>
      <c r="J159" s="74">
        <f>IF($C159="","",IF($D159="NO ENCONTRADO",IF(COUNTIF($C$7:$C$1000,$C159)&gt;1,"⚠️ No encontrado | Duplicado","⚠️ No encontrado"),IF(COUNTIF($C$7:$C$1000,$C159)&gt;1,"⚠️ Duplicado","Verificado")))</f>
        <v/>
      </c>
    </row>
    <row r="160" ht="15.75" customHeight="1" s="176">
      <c r="B160" s="80" t="n"/>
      <c r="C160" s="77" t="n"/>
      <c r="D160" s="74">
        <f t="array" ref="D160">IF($C160="","",IFNA(_xlfn.XLOOKUP($C160,Productos!$A:$A,Productos!$E:$E,IFNA(_xlfn.XLOOKUP(TEXT($C160,"0"),Productos!$A:$A,Productos!$E:$E,IFNA(_xlfn.XLOOKUP(IFERROR(VALUE($C160),""),Productos!$A:$A,Productos!$E:$E,_xlfn.XLOOKUP($C160,Productos!$E:$E,Productos!$E:$E,"NO ENCONTRADO")),"NO ENCONTRADO")),"NO ENCONTRADO")),"NO ENCONTRADO"))</f>
        <v/>
      </c>
      <c r="E160" s="74">
        <f t="array" ref="E160">IF(OR($D160="",$D160="NO ENCONTRADO"),"",_xlfn.XLOOKUP($D160,Productos!$E:$E,Productos!$H:$H,""))</f>
        <v/>
      </c>
      <c r="F160" s="74">
        <f t="array" ref="F160">IF(OR($D160="",$D160="NO ENCONTRADO"),"",_xlfn.XLOOKUP($D160,Productos!$E:$E,Productos!$I:$I,""))</f>
        <v/>
      </c>
      <c r="G160" s="74">
        <f t="array" ref="G160">IF(OR($D160="",$D160="NO ENCONTRADO"),"",_xlfn.XLOOKUP($D160,Productos!$E:$E,Productos!$J:$J,""))</f>
        <v/>
      </c>
      <c r="H160" s="74">
        <f t="array" ref="H160">IF(OR($D160="",$D160="NO ENCONTRADO"),"",_xlfn.XLOOKUP($D160,Productos!$E:$E,Productos!$K:$K,""))</f>
        <v/>
      </c>
      <c r="I160" s="74">
        <f t="array" ref="I160">IF(OR($D160="",$D160="NO ENCONTRADO"),"",_xlfn.XLOOKUP($D160,Productos!$E:$E,Productos!$F:$F,""))</f>
        <v/>
      </c>
      <c r="J160" s="74">
        <f>IF($C160="","",IF($D160="NO ENCONTRADO",IF(COUNTIF($C$7:$C$1000,$C160)&gt;1,"⚠️ No encontrado | Duplicado","⚠️ No encontrado"),IF(COUNTIF($C$7:$C$1000,$C160)&gt;1,"⚠️ Duplicado","Verificado")))</f>
        <v/>
      </c>
    </row>
    <row r="161" ht="15.75" customHeight="1" s="176">
      <c r="B161" s="80" t="n"/>
      <c r="C161" s="77" t="n"/>
      <c r="D161" s="74">
        <f t="array" ref="D161">IF($C161="","",IFNA(_xlfn.XLOOKUP($C161,Productos!$A:$A,Productos!$E:$E,IFNA(_xlfn.XLOOKUP(TEXT($C161,"0"),Productos!$A:$A,Productos!$E:$E,IFNA(_xlfn.XLOOKUP(IFERROR(VALUE($C161),""),Productos!$A:$A,Productos!$E:$E,_xlfn.XLOOKUP($C161,Productos!$E:$E,Productos!$E:$E,"NO ENCONTRADO")),"NO ENCONTRADO")),"NO ENCONTRADO")),"NO ENCONTRADO"))</f>
        <v/>
      </c>
      <c r="E161" s="74">
        <f t="array" ref="E161">IF(OR($D161="",$D161="NO ENCONTRADO"),"",_xlfn.XLOOKUP($D161,Productos!$E:$E,Productos!$H:$H,""))</f>
        <v/>
      </c>
      <c r="F161" s="74">
        <f t="array" ref="F161">IF(OR($D161="",$D161="NO ENCONTRADO"),"",_xlfn.XLOOKUP($D161,Productos!$E:$E,Productos!$I:$I,""))</f>
        <v/>
      </c>
      <c r="G161" s="74">
        <f t="array" ref="G161">IF(OR($D161="",$D161="NO ENCONTRADO"),"",_xlfn.XLOOKUP($D161,Productos!$E:$E,Productos!$J:$J,""))</f>
        <v/>
      </c>
      <c r="H161" s="74">
        <f t="array" ref="H161">IF(OR($D161="",$D161="NO ENCONTRADO"),"",_xlfn.XLOOKUP($D161,Productos!$E:$E,Productos!$K:$K,""))</f>
        <v/>
      </c>
      <c r="I161" s="74">
        <f t="array" ref="I161">IF(OR($D161="",$D161="NO ENCONTRADO"),"",_xlfn.XLOOKUP($D161,Productos!$E:$E,Productos!$F:$F,""))</f>
        <v/>
      </c>
      <c r="J161" s="74">
        <f>IF($C161="","",IF($D161="NO ENCONTRADO",IF(COUNTIF($C$7:$C$1000,$C161)&gt;1,"⚠️ No encontrado | Duplicado","⚠️ No encontrado"),IF(COUNTIF($C$7:$C$1000,$C161)&gt;1,"⚠️ Duplicado","Verificado")))</f>
        <v/>
      </c>
    </row>
    <row r="162" ht="15.75" customHeight="1" s="176">
      <c r="B162" s="80" t="n"/>
      <c r="C162" s="77" t="n"/>
      <c r="D162" s="74">
        <f t="array" ref="D162">IF($C162="","",IFNA(_xlfn.XLOOKUP($C162,Productos!$A:$A,Productos!$E:$E,IFNA(_xlfn.XLOOKUP(TEXT($C162,"0"),Productos!$A:$A,Productos!$E:$E,IFNA(_xlfn.XLOOKUP(IFERROR(VALUE($C162),""),Productos!$A:$A,Productos!$E:$E,_xlfn.XLOOKUP($C162,Productos!$E:$E,Productos!$E:$E,"NO ENCONTRADO")),"NO ENCONTRADO")),"NO ENCONTRADO")),"NO ENCONTRADO"))</f>
        <v/>
      </c>
      <c r="E162" s="74">
        <f t="array" ref="E162">IF(OR($D162="",$D162="NO ENCONTRADO"),"",_xlfn.XLOOKUP($D162,Productos!$E:$E,Productos!$H:$H,""))</f>
        <v/>
      </c>
      <c r="F162" s="74">
        <f t="array" ref="F162">IF(OR($D162="",$D162="NO ENCONTRADO"),"",_xlfn.XLOOKUP($D162,Productos!$E:$E,Productos!$I:$I,""))</f>
        <v/>
      </c>
      <c r="G162" s="74">
        <f t="array" ref="G162">IF(OR($D162="",$D162="NO ENCONTRADO"),"",_xlfn.XLOOKUP($D162,Productos!$E:$E,Productos!$J:$J,""))</f>
        <v/>
      </c>
      <c r="H162" s="74">
        <f t="array" ref="H162">IF(OR($D162="",$D162="NO ENCONTRADO"),"",_xlfn.XLOOKUP($D162,Productos!$E:$E,Productos!$K:$K,""))</f>
        <v/>
      </c>
      <c r="I162" s="74">
        <f t="array" ref="I162">IF(OR($D162="",$D162="NO ENCONTRADO"),"",_xlfn.XLOOKUP($D162,Productos!$E:$E,Productos!$F:$F,""))</f>
        <v/>
      </c>
      <c r="J162" s="74">
        <f>IF($C162="","",IF($D162="NO ENCONTRADO",IF(COUNTIF($C$7:$C$1000,$C162)&gt;1,"⚠️ No encontrado | Duplicado","⚠️ No encontrado"),IF(COUNTIF($C$7:$C$1000,$C162)&gt;1,"⚠️ Duplicado","Verificado")))</f>
        <v/>
      </c>
    </row>
    <row r="163" ht="15.75" customHeight="1" s="176">
      <c r="B163" s="80" t="n"/>
      <c r="C163" s="77" t="n"/>
      <c r="D163" s="74">
        <f t="array" ref="D163">IF($C163="","",IFNA(_xlfn.XLOOKUP($C163,Productos!$A:$A,Productos!$E:$E,IFNA(_xlfn.XLOOKUP(TEXT($C163,"0"),Productos!$A:$A,Productos!$E:$E,IFNA(_xlfn.XLOOKUP(IFERROR(VALUE($C163),""),Productos!$A:$A,Productos!$E:$E,_xlfn.XLOOKUP($C163,Productos!$E:$E,Productos!$E:$E,"NO ENCONTRADO")),"NO ENCONTRADO")),"NO ENCONTRADO")),"NO ENCONTRADO"))</f>
        <v/>
      </c>
      <c r="E163" s="74">
        <f t="array" ref="E163">IF(OR($D163="",$D163="NO ENCONTRADO"),"",_xlfn.XLOOKUP($D163,Productos!$E:$E,Productos!$H:$H,""))</f>
        <v/>
      </c>
      <c r="F163" s="74">
        <f t="array" ref="F163">IF(OR($D163="",$D163="NO ENCONTRADO"),"",_xlfn.XLOOKUP($D163,Productos!$E:$E,Productos!$I:$I,""))</f>
        <v/>
      </c>
      <c r="G163" s="74">
        <f t="array" ref="G163">IF(OR($D163="",$D163="NO ENCONTRADO"),"",_xlfn.XLOOKUP($D163,Productos!$E:$E,Productos!$J:$J,""))</f>
        <v/>
      </c>
      <c r="H163" s="74">
        <f t="array" ref="H163">IF(OR($D163="",$D163="NO ENCONTRADO"),"",_xlfn.XLOOKUP($D163,Productos!$E:$E,Productos!$K:$K,""))</f>
        <v/>
      </c>
      <c r="I163" s="74">
        <f t="array" ref="I163">IF(OR($D163="",$D163="NO ENCONTRADO"),"",_xlfn.XLOOKUP($D163,Productos!$E:$E,Productos!$F:$F,""))</f>
        <v/>
      </c>
      <c r="J163" s="74">
        <f>IF($C163="","",IF($D163="NO ENCONTRADO",IF(COUNTIF($C$7:$C$1000,$C163)&gt;1,"⚠️ No encontrado | Duplicado","⚠️ No encontrado"),IF(COUNTIF($C$7:$C$1000,$C163)&gt;1,"⚠️ Duplicado","Verificado")))</f>
        <v/>
      </c>
    </row>
    <row r="164" ht="15.75" customHeight="1" s="176">
      <c r="B164" s="80" t="n"/>
      <c r="C164" s="77" t="n"/>
      <c r="D164" s="74">
        <f t="array" ref="D164">IF($C164="","",IFNA(_xlfn.XLOOKUP($C164,Productos!$A:$A,Productos!$E:$E,IFNA(_xlfn.XLOOKUP(TEXT($C164,"0"),Productos!$A:$A,Productos!$E:$E,IFNA(_xlfn.XLOOKUP(IFERROR(VALUE($C164),""),Productos!$A:$A,Productos!$E:$E,_xlfn.XLOOKUP($C164,Productos!$E:$E,Productos!$E:$E,"NO ENCONTRADO")),"NO ENCONTRADO")),"NO ENCONTRADO")),"NO ENCONTRADO"))</f>
        <v/>
      </c>
      <c r="E164" s="74">
        <f t="array" ref="E164">IF(OR($D164="",$D164="NO ENCONTRADO"),"",_xlfn.XLOOKUP($D164,Productos!$E:$E,Productos!$H:$H,""))</f>
        <v/>
      </c>
      <c r="F164" s="74">
        <f t="array" ref="F164">IF(OR($D164="",$D164="NO ENCONTRADO"),"",_xlfn.XLOOKUP($D164,Productos!$E:$E,Productos!$I:$I,""))</f>
        <v/>
      </c>
      <c r="G164" s="74">
        <f t="array" ref="G164">IF(OR($D164="",$D164="NO ENCONTRADO"),"",_xlfn.XLOOKUP($D164,Productos!$E:$E,Productos!$J:$J,""))</f>
        <v/>
      </c>
      <c r="H164" s="74">
        <f t="array" ref="H164">IF(OR($D164="",$D164="NO ENCONTRADO"),"",_xlfn.XLOOKUP($D164,Productos!$E:$E,Productos!$K:$K,""))</f>
        <v/>
      </c>
      <c r="I164" s="74">
        <f t="array" ref="I164">IF(OR($D164="",$D164="NO ENCONTRADO"),"",_xlfn.XLOOKUP($D164,Productos!$E:$E,Productos!$F:$F,""))</f>
        <v/>
      </c>
      <c r="J164" s="74">
        <f>IF($C164="","",IF($D164="NO ENCONTRADO",IF(COUNTIF($C$7:$C$1000,$C164)&gt;1,"⚠️ No encontrado | Duplicado","⚠️ No encontrado"),IF(COUNTIF($C$7:$C$1000,$C164)&gt;1,"⚠️ Duplicado","Verificado")))</f>
        <v/>
      </c>
    </row>
    <row r="165" ht="15.75" customHeight="1" s="176">
      <c r="B165" s="80" t="n"/>
      <c r="C165" s="77" t="n"/>
      <c r="D165" s="74">
        <f t="array" ref="D165">IF($C165="","",IFNA(_xlfn.XLOOKUP($C165,Productos!$A:$A,Productos!$E:$E,IFNA(_xlfn.XLOOKUP(TEXT($C165,"0"),Productos!$A:$A,Productos!$E:$E,IFNA(_xlfn.XLOOKUP(IFERROR(VALUE($C165),""),Productos!$A:$A,Productos!$E:$E,_xlfn.XLOOKUP($C165,Productos!$E:$E,Productos!$E:$E,"NO ENCONTRADO")),"NO ENCONTRADO")),"NO ENCONTRADO")),"NO ENCONTRADO"))</f>
        <v/>
      </c>
      <c r="E165" s="74">
        <f t="array" ref="E165">IF(OR($D165="",$D165="NO ENCONTRADO"),"",_xlfn.XLOOKUP($D165,Productos!$E:$E,Productos!$H:$H,""))</f>
        <v/>
      </c>
      <c r="F165" s="74">
        <f t="array" ref="F165">IF(OR($D165="",$D165="NO ENCONTRADO"),"",_xlfn.XLOOKUP($D165,Productos!$E:$E,Productos!$I:$I,""))</f>
        <v/>
      </c>
      <c r="G165" s="74">
        <f t="array" ref="G165">IF(OR($D165="",$D165="NO ENCONTRADO"),"",_xlfn.XLOOKUP($D165,Productos!$E:$E,Productos!$J:$J,""))</f>
        <v/>
      </c>
      <c r="H165" s="74">
        <f t="array" ref="H165">IF(OR($D165="",$D165="NO ENCONTRADO"),"",_xlfn.XLOOKUP($D165,Productos!$E:$E,Productos!$K:$K,""))</f>
        <v/>
      </c>
      <c r="I165" s="74">
        <f t="array" ref="I165">IF(OR($D165="",$D165="NO ENCONTRADO"),"",_xlfn.XLOOKUP($D165,Productos!$E:$E,Productos!$F:$F,""))</f>
        <v/>
      </c>
      <c r="J165" s="74">
        <f>IF($C165="","",IF($D165="NO ENCONTRADO",IF(COUNTIF($C$7:$C$1000,$C165)&gt;1,"⚠️ No encontrado | Duplicado","⚠️ No encontrado"),IF(COUNTIF($C$7:$C$1000,$C165)&gt;1,"⚠️ Duplicado","Verificado")))</f>
        <v/>
      </c>
    </row>
    <row r="166" ht="15.75" customHeight="1" s="176">
      <c r="B166" s="80" t="n"/>
      <c r="C166" s="77" t="n"/>
      <c r="D166" s="74">
        <f t="array" ref="D166">IF($C166="","",IFNA(_xlfn.XLOOKUP($C166,Productos!$A:$A,Productos!$E:$E,IFNA(_xlfn.XLOOKUP(TEXT($C166,"0"),Productos!$A:$A,Productos!$E:$E,IFNA(_xlfn.XLOOKUP(IFERROR(VALUE($C166),""),Productos!$A:$A,Productos!$E:$E,_xlfn.XLOOKUP($C166,Productos!$E:$E,Productos!$E:$E,"NO ENCONTRADO")),"NO ENCONTRADO")),"NO ENCONTRADO")),"NO ENCONTRADO"))</f>
        <v/>
      </c>
      <c r="E166" s="74">
        <f t="array" ref="E166">IF(OR($D166="",$D166="NO ENCONTRADO"),"",_xlfn.XLOOKUP($D166,Productos!$E:$E,Productos!$H:$H,""))</f>
        <v/>
      </c>
      <c r="F166" s="74">
        <f t="array" ref="F166">IF(OR($D166="",$D166="NO ENCONTRADO"),"",_xlfn.XLOOKUP($D166,Productos!$E:$E,Productos!$I:$I,""))</f>
        <v/>
      </c>
      <c r="G166" s="74">
        <f t="array" ref="G166">IF(OR($D166="",$D166="NO ENCONTRADO"),"",_xlfn.XLOOKUP($D166,Productos!$E:$E,Productos!$J:$J,""))</f>
        <v/>
      </c>
      <c r="H166" s="74">
        <f t="array" ref="H166">IF(OR($D166="",$D166="NO ENCONTRADO"),"",_xlfn.XLOOKUP($D166,Productos!$E:$E,Productos!$K:$K,""))</f>
        <v/>
      </c>
      <c r="I166" s="74">
        <f t="array" ref="I166">IF(OR($D166="",$D166="NO ENCONTRADO"),"",_xlfn.XLOOKUP($D166,Productos!$E:$E,Productos!$F:$F,""))</f>
        <v/>
      </c>
      <c r="J166" s="74">
        <f>IF($C166="","",IF($D166="NO ENCONTRADO",IF(COUNTIF($C$7:$C$1000,$C166)&gt;1,"⚠️ No encontrado | Duplicado","⚠️ No encontrado"),IF(COUNTIF($C$7:$C$1000,$C166)&gt;1,"⚠️ Duplicado","Verificado")))</f>
        <v/>
      </c>
    </row>
    <row r="167" ht="15.75" customHeight="1" s="176">
      <c r="B167" s="80" t="n"/>
      <c r="C167" s="77" t="n"/>
      <c r="D167" s="74">
        <f t="array" ref="D167">IF($C167="","",IFNA(_xlfn.XLOOKUP($C167,Productos!$A:$A,Productos!$E:$E,IFNA(_xlfn.XLOOKUP(TEXT($C167,"0"),Productos!$A:$A,Productos!$E:$E,IFNA(_xlfn.XLOOKUP(IFERROR(VALUE($C167),""),Productos!$A:$A,Productos!$E:$E,_xlfn.XLOOKUP($C167,Productos!$E:$E,Productos!$E:$E,"NO ENCONTRADO")),"NO ENCONTRADO")),"NO ENCONTRADO")),"NO ENCONTRADO"))</f>
        <v/>
      </c>
      <c r="E167" s="74">
        <f t="array" ref="E167">IF(OR($D167="",$D167="NO ENCONTRADO"),"",_xlfn.XLOOKUP($D167,Productos!$E:$E,Productos!$H:$H,""))</f>
        <v/>
      </c>
      <c r="F167" s="74">
        <f t="array" ref="F167">IF(OR($D167="",$D167="NO ENCONTRADO"),"",_xlfn.XLOOKUP($D167,Productos!$E:$E,Productos!$I:$I,""))</f>
        <v/>
      </c>
      <c r="G167" s="74">
        <f t="array" ref="G167">IF(OR($D167="",$D167="NO ENCONTRADO"),"",_xlfn.XLOOKUP($D167,Productos!$E:$E,Productos!$J:$J,""))</f>
        <v/>
      </c>
      <c r="H167" s="74">
        <f t="array" ref="H167">IF(OR($D167="",$D167="NO ENCONTRADO"),"",_xlfn.XLOOKUP($D167,Productos!$E:$E,Productos!$K:$K,""))</f>
        <v/>
      </c>
      <c r="I167" s="74">
        <f t="array" ref="I167">IF(OR($D167="",$D167="NO ENCONTRADO"),"",_xlfn.XLOOKUP($D167,Productos!$E:$E,Productos!$F:$F,""))</f>
        <v/>
      </c>
      <c r="J167" s="74">
        <f>IF($C167="","",IF($D167="NO ENCONTRADO",IF(COUNTIF($C$7:$C$1000,$C167)&gt;1,"⚠️ No encontrado | Duplicado","⚠️ No encontrado"),IF(COUNTIF($C$7:$C$1000,$C167)&gt;1,"⚠️ Duplicado","Verificado")))</f>
        <v/>
      </c>
    </row>
    <row r="168" ht="15.75" customHeight="1" s="176">
      <c r="B168" s="80" t="n"/>
      <c r="C168" s="77" t="n"/>
      <c r="D168" s="74">
        <f t="array" ref="D168">IF($C168="","",IFNA(_xlfn.XLOOKUP($C168,Productos!$A:$A,Productos!$E:$E,IFNA(_xlfn.XLOOKUP(TEXT($C168,"0"),Productos!$A:$A,Productos!$E:$E,IFNA(_xlfn.XLOOKUP(IFERROR(VALUE($C168),""),Productos!$A:$A,Productos!$E:$E,_xlfn.XLOOKUP($C168,Productos!$E:$E,Productos!$E:$E,"NO ENCONTRADO")),"NO ENCONTRADO")),"NO ENCONTRADO")),"NO ENCONTRADO"))</f>
        <v/>
      </c>
      <c r="E168" s="74">
        <f t="array" ref="E168">IF(OR($D168="",$D168="NO ENCONTRADO"),"",_xlfn.XLOOKUP($D168,Productos!$E:$E,Productos!$H:$H,""))</f>
        <v/>
      </c>
      <c r="F168" s="74">
        <f t="array" ref="F168">IF(OR($D168="",$D168="NO ENCONTRADO"),"",_xlfn.XLOOKUP($D168,Productos!$E:$E,Productos!$I:$I,""))</f>
        <v/>
      </c>
      <c r="G168" s="74">
        <f t="array" ref="G168">IF(OR($D168="",$D168="NO ENCONTRADO"),"",_xlfn.XLOOKUP($D168,Productos!$E:$E,Productos!$J:$J,""))</f>
        <v/>
      </c>
      <c r="H168" s="74">
        <f t="array" ref="H168">IF(OR($D168="",$D168="NO ENCONTRADO"),"",_xlfn.XLOOKUP($D168,Productos!$E:$E,Productos!$K:$K,""))</f>
        <v/>
      </c>
      <c r="I168" s="74">
        <f t="array" ref="I168">IF(OR($D168="",$D168="NO ENCONTRADO"),"",_xlfn.XLOOKUP($D168,Productos!$E:$E,Productos!$F:$F,""))</f>
        <v/>
      </c>
      <c r="J168" s="74">
        <f>IF($C168="","",IF($D168="NO ENCONTRADO",IF(COUNTIF($C$7:$C$1000,$C168)&gt;1,"⚠️ No encontrado | Duplicado","⚠️ No encontrado"),IF(COUNTIF($C$7:$C$1000,$C168)&gt;1,"⚠️ Duplicado","Verificado")))</f>
        <v/>
      </c>
    </row>
    <row r="169" ht="15.75" customHeight="1" s="176">
      <c r="B169" s="80" t="n"/>
      <c r="C169" s="77" t="n"/>
      <c r="D169" s="74">
        <f t="array" ref="D169">IF($C169="","",IFNA(_xlfn.XLOOKUP($C169,Productos!$A:$A,Productos!$E:$E,IFNA(_xlfn.XLOOKUP(TEXT($C169,"0"),Productos!$A:$A,Productos!$E:$E,IFNA(_xlfn.XLOOKUP(IFERROR(VALUE($C169),""),Productos!$A:$A,Productos!$E:$E,_xlfn.XLOOKUP($C169,Productos!$E:$E,Productos!$E:$E,"NO ENCONTRADO")),"NO ENCONTRADO")),"NO ENCONTRADO")),"NO ENCONTRADO"))</f>
        <v/>
      </c>
      <c r="E169" s="74">
        <f t="array" ref="E169">IF(OR($D169="",$D169="NO ENCONTRADO"),"",_xlfn.XLOOKUP($D169,Productos!$E:$E,Productos!$H:$H,""))</f>
        <v/>
      </c>
      <c r="F169" s="74">
        <f t="array" ref="F169">IF(OR($D169="",$D169="NO ENCONTRADO"),"",_xlfn.XLOOKUP($D169,Productos!$E:$E,Productos!$I:$I,""))</f>
        <v/>
      </c>
      <c r="G169" s="74">
        <f t="array" ref="G169">IF(OR($D169="",$D169="NO ENCONTRADO"),"",_xlfn.XLOOKUP($D169,Productos!$E:$E,Productos!$J:$J,""))</f>
        <v/>
      </c>
      <c r="H169" s="74">
        <f t="array" ref="H169">IF(OR($D169="",$D169="NO ENCONTRADO"),"",_xlfn.XLOOKUP($D169,Productos!$E:$E,Productos!$K:$K,""))</f>
        <v/>
      </c>
      <c r="I169" s="74">
        <f t="array" ref="I169">IF(OR($D169="",$D169="NO ENCONTRADO"),"",_xlfn.XLOOKUP($D169,Productos!$E:$E,Productos!$F:$F,""))</f>
        <v/>
      </c>
      <c r="J169" s="74">
        <f>IF($C169="","",IF($D169="NO ENCONTRADO",IF(COUNTIF($C$7:$C$1000,$C169)&gt;1,"⚠️ No encontrado | Duplicado","⚠️ No encontrado"),IF(COUNTIF($C$7:$C$1000,$C169)&gt;1,"⚠️ Duplicado","Verificado")))</f>
        <v/>
      </c>
    </row>
    <row r="170" ht="15.75" customHeight="1" s="176">
      <c r="B170" s="80" t="n"/>
      <c r="C170" s="77" t="n"/>
      <c r="D170" s="74">
        <f t="array" ref="D170">IF($C170="","",IFNA(_xlfn.XLOOKUP($C170,Productos!$A:$A,Productos!$E:$E,IFNA(_xlfn.XLOOKUP(TEXT($C170,"0"),Productos!$A:$A,Productos!$E:$E,IFNA(_xlfn.XLOOKUP(IFERROR(VALUE($C170),""),Productos!$A:$A,Productos!$E:$E,_xlfn.XLOOKUP($C170,Productos!$E:$E,Productos!$E:$E,"NO ENCONTRADO")),"NO ENCONTRADO")),"NO ENCONTRADO")),"NO ENCONTRADO"))</f>
        <v/>
      </c>
      <c r="E170" s="74">
        <f t="array" ref="E170">IF(OR($D170="",$D170="NO ENCONTRADO"),"",_xlfn.XLOOKUP($D170,Productos!$E:$E,Productos!$H:$H,""))</f>
        <v/>
      </c>
      <c r="F170" s="74">
        <f t="array" ref="F170">IF(OR($D170="",$D170="NO ENCONTRADO"),"",_xlfn.XLOOKUP($D170,Productos!$E:$E,Productos!$I:$I,""))</f>
        <v/>
      </c>
      <c r="G170" s="74">
        <f t="array" ref="G170">IF(OR($D170="",$D170="NO ENCONTRADO"),"",_xlfn.XLOOKUP($D170,Productos!$E:$E,Productos!$J:$J,""))</f>
        <v/>
      </c>
      <c r="H170" s="74">
        <f t="array" ref="H170">IF(OR($D170="",$D170="NO ENCONTRADO"),"",_xlfn.XLOOKUP($D170,Productos!$E:$E,Productos!$K:$K,""))</f>
        <v/>
      </c>
      <c r="I170" s="74">
        <f t="array" ref="I170">IF(OR($D170="",$D170="NO ENCONTRADO"),"",_xlfn.XLOOKUP($D170,Productos!$E:$E,Productos!$F:$F,""))</f>
        <v/>
      </c>
      <c r="J170" s="74">
        <f>IF($C170="","",IF($D170="NO ENCONTRADO",IF(COUNTIF($C$7:$C$1000,$C170)&gt;1,"⚠️ No encontrado | Duplicado","⚠️ No encontrado"),IF(COUNTIF($C$7:$C$1000,$C170)&gt;1,"⚠️ Duplicado","Verificado")))</f>
        <v/>
      </c>
    </row>
    <row r="171" ht="15.75" customHeight="1" s="176">
      <c r="B171" s="80" t="n"/>
      <c r="C171" s="77" t="n"/>
      <c r="D171" s="74">
        <f t="array" ref="D171">IF($C171="","",IFNA(_xlfn.XLOOKUP($C171,Productos!$A:$A,Productos!$E:$E,IFNA(_xlfn.XLOOKUP(TEXT($C171,"0"),Productos!$A:$A,Productos!$E:$E,IFNA(_xlfn.XLOOKUP(IFERROR(VALUE($C171),""),Productos!$A:$A,Productos!$E:$E,_xlfn.XLOOKUP($C171,Productos!$E:$E,Productos!$E:$E,"NO ENCONTRADO")),"NO ENCONTRADO")),"NO ENCONTRADO")),"NO ENCONTRADO"))</f>
        <v/>
      </c>
      <c r="E171" s="74">
        <f t="array" ref="E171">IF(OR($D171="",$D171="NO ENCONTRADO"),"",_xlfn.XLOOKUP($D171,Productos!$E:$E,Productos!$H:$H,""))</f>
        <v/>
      </c>
      <c r="F171" s="74">
        <f t="array" ref="F171">IF(OR($D171="",$D171="NO ENCONTRADO"),"",_xlfn.XLOOKUP($D171,Productos!$E:$E,Productos!$I:$I,""))</f>
        <v/>
      </c>
      <c r="G171" s="74">
        <f t="array" ref="G171">IF(OR($D171="",$D171="NO ENCONTRADO"),"",_xlfn.XLOOKUP($D171,Productos!$E:$E,Productos!$J:$J,""))</f>
        <v/>
      </c>
      <c r="H171" s="74">
        <f t="array" ref="H171">IF(OR($D171="",$D171="NO ENCONTRADO"),"",_xlfn.XLOOKUP($D171,Productos!$E:$E,Productos!$K:$K,""))</f>
        <v/>
      </c>
      <c r="I171" s="74">
        <f t="array" ref="I171">IF(OR($D171="",$D171="NO ENCONTRADO"),"",_xlfn.XLOOKUP($D171,Productos!$E:$E,Productos!$F:$F,""))</f>
        <v/>
      </c>
      <c r="J171" s="74">
        <f>IF($C171="","",IF($D171="NO ENCONTRADO",IF(COUNTIF($C$7:$C$1000,$C171)&gt;1,"⚠️ No encontrado | Duplicado","⚠️ No encontrado"),IF(COUNTIF($C$7:$C$1000,$C171)&gt;1,"⚠️ Duplicado","Verificado")))</f>
        <v/>
      </c>
    </row>
    <row r="172" ht="15.75" customHeight="1" s="176">
      <c r="B172" s="80" t="n"/>
      <c r="C172" s="77" t="n"/>
      <c r="D172" s="74">
        <f t="array" ref="D172">IF($C172="","",IFNA(_xlfn.XLOOKUP($C172,Productos!$A:$A,Productos!$E:$E,IFNA(_xlfn.XLOOKUP(TEXT($C172,"0"),Productos!$A:$A,Productos!$E:$E,IFNA(_xlfn.XLOOKUP(IFERROR(VALUE($C172),""),Productos!$A:$A,Productos!$E:$E,_xlfn.XLOOKUP($C172,Productos!$E:$E,Productos!$E:$E,"NO ENCONTRADO")),"NO ENCONTRADO")),"NO ENCONTRADO")),"NO ENCONTRADO"))</f>
        <v/>
      </c>
      <c r="E172" s="74">
        <f t="array" ref="E172">IF(OR($D172="",$D172="NO ENCONTRADO"),"",_xlfn.XLOOKUP($D172,Productos!$E:$E,Productos!$H:$H,""))</f>
        <v/>
      </c>
      <c r="F172" s="74">
        <f t="array" ref="F172">IF(OR($D172="",$D172="NO ENCONTRADO"),"",_xlfn.XLOOKUP($D172,Productos!$E:$E,Productos!$I:$I,""))</f>
        <v/>
      </c>
      <c r="G172" s="74">
        <f t="array" ref="G172">IF(OR($D172="",$D172="NO ENCONTRADO"),"",_xlfn.XLOOKUP($D172,Productos!$E:$E,Productos!$J:$J,""))</f>
        <v/>
      </c>
      <c r="H172" s="74">
        <f t="array" ref="H172">IF(OR($D172="",$D172="NO ENCONTRADO"),"",_xlfn.XLOOKUP($D172,Productos!$E:$E,Productos!$K:$K,""))</f>
        <v/>
      </c>
      <c r="I172" s="74">
        <f t="array" ref="I172">IF(OR($D172="",$D172="NO ENCONTRADO"),"",_xlfn.XLOOKUP($D172,Productos!$E:$E,Productos!$F:$F,""))</f>
        <v/>
      </c>
      <c r="J172" s="74">
        <f>IF($C172="","",IF($D172="NO ENCONTRADO",IF(COUNTIF($C$7:$C$1000,$C172)&gt;1,"⚠️ No encontrado | Duplicado","⚠️ No encontrado"),IF(COUNTIF($C$7:$C$1000,$C172)&gt;1,"⚠️ Duplicado","Verificado")))</f>
        <v/>
      </c>
    </row>
    <row r="173" ht="15.75" customHeight="1" s="176">
      <c r="B173" s="80" t="n"/>
      <c r="C173" s="77" t="n"/>
      <c r="D173" s="74">
        <f t="array" ref="D173">IF($C173="","",IFNA(_xlfn.XLOOKUP($C173,Productos!$A:$A,Productos!$E:$E,IFNA(_xlfn.XLOOKUP(TEXT($C173,"0"),Productos!$A:$A,Productos!$E:$E,IFNA(_xlfn.XLOOKUP(IFERROR(VALUE($C173),""),Productos!$A:$A,Productos!$E:$E,_xlfn.XLOOKUP($C173,Productos!$E:$E,Productos!$E:$E,"NO ENCONTRADO")),"NO ENCONTRADO")),"NO ENCONTRADO")),"NO ENCONTRADO"))</f>
        <v/>
      </c>
      <c r="E173" s="74">
        <f t="array" ref="E173">IF(OR($D173="",$D173="NO ENCONTRADO"),"",_xlfn.XLOOKUP($D173,Productos!$E:$E,Productos!$H:$H,""))</f>
        <v/>
      </c>
      <c r="F173" s="74">
        <f t="array" ref="F173">IF(OR($D173="",$D173="NO ENCONTRADO"),"",_xlfn.XLOOKUP($D173,Productos!$E:$E,Productos!$I:$I,""))</f>
        <v/>
      </c>
      <c r="G173" s="74">
        <f t="array" ref="G173">IF(OR($D173="",$D173="NO ENCONTRADO"),"",_xlfn.XLOOKUP($D173,Productos!$E:$E,Productos!$J:$J,""))</f>
        <v/>
      </c>
      <c r="H173" s="74">
        <f t="array" ref="H173">IF(OR($D173="",$D173="NO ENCONTRADO"),"",_xlfn.XLOOKUP($D173,Productos!$E:$E,Productos!$K:$K,""))</f>
        <v/>
      </c>
      <c r="I173" s="74">
        <f t="array" ref="I173">IF(OR($D173="",$D173="NO ENCONTRADO"),"",_xlfn.XLOOKUP($D173,Productos!$E:$E,Productos!$F:$F,""))</f>
        <v/>
      </c>
      <c r="J173" s="74">
        <f>IF($C173="","",IF($D173="NO ENCONTRADO",IF(COUNTIF($C$7:$C$1000,$C173)&gt;1,"⚠️ No encontrado | Duplicado","⚠️ No encontrado"),IF(COUNTIF($C$7:$C$1000,$C173)&gt;1,"⚠️ Duplicado","Verificado")))</f>
        <v/>
      </c>
    </row>
    <row r="174" ht="15.75" customHeight="1" s="176">
      <c r="B174" s="80" t="n"/>
      <c r="C174" s="77" t="n"/>
      <c r="D174" s="74">
        <f t="array" ref="D174">IF($C174="","",IFNA(_xlfn.XLOOKUP($C174,Productos!$A:$A,Productos!$E:$E,IFNA(_xlfn.XLOOKUP(TEXT($C174,"0"),Productos!$A:$A,Productos!$E:$E,IFNA(_xlfn.XLOOKUP(IFERROR(VALUE($C174),""),Productos!$A:$A,Productos!$E:$E,_xlfn.XLOOKUP($C174,Productos!$E:$E,Productos!$E:$E,"NO ENCONTRADO")),"NO ENCONTRADO")),"NO ENCONTRADO")),"NO ENCONTRADO"))</f>
        <v/>
      </c>
      <c r="E174" s="74">
        <f t="array" ref="E174">IF(OR($D174="",$D174="NO ENCONTRADO"),"",_xlfn.XLOOKUP($D174,Productos!$E:$E,Productos!$H:$H,""))</f>
        <v/>
      </c>
      <c r="F174" s="74">
        <f t="array" ref="F174">IF(OR($D174="",$D174="NO ENCONTRADO"),"",_xlfn.XLOOKUP($D174,Productos!$E:$E,Productos!$I:$I,""))</f>
        <v/>
      </c>
      <c r="G174" s="74">
        <f t="array" ref="G174">IF(OR($D174="",$D174="NO ENCONTRADO"),"",_xlfn.XLOOKUP($D174,Productos!$E:$E,Productos!$J:$J,""))</f>
        <v/>
      </c>
      <c r="H174" s="74">
        <f t="array" ref="H174">IF(OR($D174="",$D174="NO ENCONTRADO"),"",_xlfn.XLOOKUP($D174,Productos!$E:$E,Productos!$K:$K,""))</f>
        <v/>
      </c>
      <c r="I174" s="74">
        <f t="array" ref="I174">IF(OR($D174="",$D174="NO ENCONTRADO"),"",_xlfn.XLOOKUP($D174,Productos!$E:$E,Productos!$F:$F,""))</f>
        <v/>
      </c>
      <c r="J174" s="74">
        <f>IF($C174="","",IF($D174="NO ENCONTRADO",IF(COUNTIF($C$7:$C$1000,$C174)&gt;1,"⚠️ No encontrado | Duplicado","⚠️ No encontrado"),IF(COUNTIF($C$7:$C$1000,$C174)&gt;1,"⚠️ Duplicado","Verificado")))</f>
        <v/>
      </c>
    </row>
    <row r="175" ht="15.75" customHeight="1" s="176">
      <c r="B175" s="80" t="n"/>
      <c r="C175" s="77" t="n"/>
      <c r="D175" s="74">
        <f t="array" ref="D175">IF($C175="","",IFNA(_xlfn.XLOOKUP($C175,Productos!$A:$A,Productos!$E:$E,IFNA(_xlfn.XLOOKUP(TEXT($C175,"0"),Productos!$A:$A,Productos!$E:$E,IFNA(_xlfn.XLOOKUP(IFERROR(VALUE($C175),""),Productos!$A:$A,Productos!$E:$E,_xlfn.XLOOKUP($C175,Productos!$E:$E,Productos!$E:$E,"NO ENCONTRADO")),"NO ENCONTRADO")),"NO ENCONTRADO")),"NO ENCONTRADO"))</f>
        <v/>
      </c>
      <c r="E175" s="74">
        <f t="array" ref="E175">IF(OR($D175="",$D175="NO ENCONTRADO"),"",_xlfn.XLOOKUP($D175,Productos!$E:$E,Productos!$H:$H,""))</f>
        <v/>
      </c>
      <c r="F175" s="74">
        <f t="array" ref="F175">IF(OR($D175="",$D175="NO ENCONTRADO"),"",_xlfn.XLOOKUP($D175,Productos!$E:$E,Productos!$I:$I,""))</f>
        <v/>
      </c>
      <c r="G175" s="74">
        <f t="array" ref="G175">IF(OR($D175="",$D175="NO ENCONTRADO"),"",_xlfn.XLOOKUP($D175,Productos!$E:$E,Productos!$J:$J,""))</f>
        <v/>
      </c>
      <c r="H175" s="74">
        <f t="array" ref="H175">IF(OR($D175="",$D175="NO ENCONTRADO"),"",_xlfn.XLOOKUP($D175,Productos!$E:$E,Productos!$K:$K,""))</f>
        <v/>
      </c>
      <c r="I175" s="74">
        <f t="array" ref="I175">IF(OR($D175="",$D175="NO ENCONTRADO"),"",_xlfn.XLOOKUP($D175,Productos!$E:$E,Productos!$F:$F,""))</f>
        <v/>
      </c>
      <c r="J175" s="74">
        <f>IF($C175="","",IF($D175="NO ENCONTRADO",IF(COUNTIF($C$7:$C$1000,$C175)&gt;1,"⚠️ No encontrado | Duplicado","⚠️ No encontrado"),IF(COUNTIF($C$7:$C$1000,$C175)&gt;1,"⚠️ Duplicado","Verificado")))</f>
        <v/>
      </c>
    </row>
    <row r="176" ht="15.75" customHeight="1" s="176">
      <c r="B176" s="80" t="n"/>
      <c r="C176" s="77" t="n"/>
      <c r="D176" s="74">
        <f t="array" ref="D176">IF($C176="","",IFNA(_xlfn.XLOOKUP($C176,Productos!$A:$A,Productos!$E:$E,IFNA(_xlfn.XLOOKUP(TEXT($C176,"0"),Productos!$A:$A,Productos!$E:$E,IFNA(_xlfn.XLOOKUP(IFERROR(VALUE($C176),""),Productos!$A:$A,Productos!$E:$E,_xlfn.XLOOKUP($C176,Productos!$E:$E,Productos!$E:$E,"NO ENCONTRADO")),"NO ENCONTRADO")),"NO ENCONTRADO")),"NO ENCONTRADO"))</f>
        <v/>
      </c>
      <c r="E176" s="74">
        <f t="array" ref="E176">IF(OR($D176="",$D176="NO ENCONTRADO"),"",_xlfn.XLOOKUP($D176,Productos!$E:$E,Productos!$H:$H,""))</f>
        <v/>
      </c>
      <c r="F176" s="74">
        <f t="array" ref="F176">IF(OR($D176="",$D176="NO ENCONTRADO"),"",_xlfn.XLOOKUP($D176,Productos!$E:$E,Productos!$I:$I,""))</f>
        <v/>
      </c>
      <c r="G176" s="74">
        <f t="array" ref="G176">IF(OR($D176="",$D176="NO ENCONTRADO"),"",_xlfn.XLOOKUP($D176,Productos!$E:$E,Productos!$J:$J,""))</f>
        <v/>
      </c>
      <c r="H176" s="74">
        <f t="array" ref="H176">IF(OR($D176="",$D176="NO ENCONTRADO"),"",_xlfn.XLOOKUP($D176,Productos!$E:$E,Productos!$K:$K,""))</f>
        <v/>
      </c>
      <c r="I176" s="74">
        <f t="array" ref="I176">IF(OR($D176="",$D176="NO ENCONTRADO"),"",_xlfn.XLOOKUP($D176,Productos!$E:$E,Productos!$F:$F,""))</f>
        <v/>
      </c>
      <c r="J176" s="74">
        <f>IF($C176="","",IF($D176="NO ENCONTRADO",IF(COUNTIF($C$7:$C$1000,$C176)&gt;1,"⚠️ No encontrado | Duplicado","⚠️ No encontrado"),IF(COUNTIF($C$7:$C$1000,$C176)&gt;1,"⚠️ Duplicado","Verificado")))</f>
        <v/>
      </c>
    </row>
    <row r="177" ht="15.75" customHeight="1" s="176">
      <c r="B177" s="80" t="n"/>
      <c r="C177" s="77" t="n"/>
      <c r="D177" s="74">
        <f t="array" ref="D177">IF($C177="","",IFNA(_xlfn.XLOOKUP($C177,Productos!$A:$A,Productos!$E:$E,IFNA(_xlfn.XLOOKUP(TEXT($C177,"0"),Productos!$A:$A,Productos!$E:$E,IFNA(_xlfn.XLOOKUP(IFERROR(VALUE($C177),""),Productos!$A:$A,Productos!$E:$E,_xlfn.XLOOKUP($C177,Productos!$E:$E,Productos!$E:$E,"NO ENCONTRADO")),"NO ENCONTRADO")),"NO ENCONTRADO")),"NO ENCONTRADO"))</f>
        <v/>
      </c>
      <c r="E177" s="74">
        <f t="array" ref="E177">IF(OR($D177="",$D177="NO ENCONTRADO"),"",_xlfn.XLOOKUP($D177,Productos!$E:$E,Productos!$H:$H,""))</f>
        <v/>
      </c>
      <c r="F177" s="74">
        <f t="array" ref="F177">IF(OR($D177="",$D177="NO ENCONTRADO"),"",_xlfn.XLOOKUP($D177,Productos!$E:$E,Productos!$I:$I,""))</f>
        <v/>
      </c>
      <c r="G177" s="74">
        <f t="array" ref="G177">IF(OR($D177="",$D177="NO ENCONTRADO"),"",_xlfn.XLOOKUP($D177,Productos!$E:$E,Productos!$J:$J,""))</f>
        <v/>
      </c>
      <c r="H177" s="74">
        <f t="array" ref="H177">IF(OR($D177="",$D177="NO ENCONTRADO"),"",_xlfn.XLOOKUP($D177,Productos!$E:$E,Productos!$K:$K,""))</f>
        <v/>
      </c>
      <c r="I177" s="74">
        <f t="array" ref="I177">IF(OR($D177="",$D177="NO ENCONTRADO"),"",_xlfn.XLOOKUP($D177,Productos!$E:$E,Productos!$F:$F,""))</f>
        <v/>
      </c>
      <c r="J177" s="74">
        <f>IF($C177="","",IF($D177="NO ENCONTRADO",IF(COUNTIF($C$7:$C$1000,$C177)&gt;1,"⚠️ No encontrado | Duplicado","⚠️ No encontrado"),IF(COUNTIF($C$7:$C$1000,$C177)&gt;1,"⚠️ Duplicado","Verificado")))</f>
        <v/>
      </c>
    </row>
    <row r="178" ht="15.75" customHeight="1" s="176">
      <c r="B178" s="80" t="n"/>
      <c r="C178" s="77" t="n"/>
      <c r="D178" s="74">
        <f t="array" ref="D178">IF($C178="","",IFNA(_xlfn.XLOOKUP($C178,Productos!$A:$A,Productos!$E:$E,IFNA(_xlfn.XLOOKUP(TEXT($C178,"0"),Productos!$A:$A,Productos!$E:$E,IFNA(_xlfn.XLOOKUP(IFERROR(VALUE($C178),""),Productos!$A:$A,Productos!$E:$E,_xlfn.XLOOKUP($C178,Productos!$E:$E,Productos!$E:$E,"NO ENCONTRADO")),"NO ENCONTRADO")),"NO ENCONTRADO")),"NO ENCONTRADO"))</f>
        <v/>
      </c>
      <c r="E178" s="74">
        <f t="array" ref="E178">IF(OR($D178="",$D178="NO ENCONTRADO"),"",_xlfn.XLOOKUP($D178,Productos!$E:$E,Productos!$H:$H,""))</f>
        <v/>
      </c>
      <c r="F178" s="74">
        <f t="array" ref="F178">IF(OR($D178="",$D178="NO ENCONTRADO"),"",_xlfn.XLOOKUP($D178,Productos!$E:$E,Productos!$I:$I,""))</f>
        <v/>
      </c>
      <c r="G178" s="74">
        <f t="array" ref="G178">IF(OR($D178="",$D178="NO ENCONTRADO"),"",_xlfn.XLOOKUP($D178,Productos!$E:$E,Productos!$J:$J,""))</f>
        <v/>
      </c>
      <c r="H178" s="74">
        <f t="array" ref="H178">IF(OR($D178="",$D178="NO ENCONTRADO"),"",_xlfn.XLOOKUP($D178,Productos!$E:$E,Productos!$K:$K,""))</f>
        <v/>
      </c>
      <c r="I178" s="74">
        <f t="array" ref="I178">IF(OR($D178="",$D178="NO ENCONTRADO"),"",_xlfn.XLOOKUP($D178,Productos!$E:$E,Productos!$F:$F,""))</f>
        <v/>
      </c>
      <c r="J178" s="74">
        <f>IF($C178="","",IF($D178="NO ENCONTRADO",IF(COUNTIF($C$7:$C$1000,$C178)&gt;1,"⚠️ No encontrado | Duplicado","⚠️ No encontrado"),IF(COUNTIF($C$7:$C$1000,$C178)&gt;1,"⚠️ Duplicado","Verificado")))</f>
        <v/>
      </c>
    </row>
    <row r="179" ht="15.75" customHeight="1" s="176">
      <c r="B179" s="80" t="n"/>
      <c r="C179" s="77" t="n"/>
      <c r="D179" s="74">
        <f t="array" ref="D179">IF($C179="","",IFNA(_xlfn.XLOOKUP($C179,Productos!$A:$A,Productos!$E:$E,IFNA(_xlfn.XLOOKUP(TEXT($C179,"0"),Productos!$A:$A,Productos!$E:$E,IFNA(_xlfn.XLOOKUP(IFERROR(VALUE($C179),""),Productos!$A:$A,Productos!$E:$E,_xlfn.XLOOKUP($C179,Productos!$E:$E,Productos!$E:$E,"NO ENCONTRADO")),"NO ENCONTRADO")),"NO ENCONTRADO")),"NO ENCONTRADO"))</f>
        <v/>
      </c>
      <c r="E179" s="74">
        <f t="array" ref="E179">IF(OR($D179="",$D179="NO ENCONTRADO"),"",_xlfn.XLOOKUP($D179,Productos!$E:$E,Productos!$H:$H,""))</f>
        <v/>
      </c>
      <c r="F179" s="74">
        <f t="array" ref="F179">IF(OR($D179="",$D179="NO ENCONTRADO"),"",_xlfn.XLOOKUP($D179,Productos!$E:$E,Productos!$I:$I,""))</f>
        <v/>
      </c>
      <c r="G179" s="74">
        <f t="array" ref="G179">IF(OR($D179="",$D179="NO ENCONTRADO"),"",_xlfn.XLOOKUP($D179,Productos!$E:$E,Productos!$J:$J,""))</f>
        <v/>
      </c>
      <c r="H179" s="74">
        <f t="array" ref="H179">IF(OR($D179="",$D179="NO ENCONTRADO"),"",_xlfn.XLOOKUP($D179,Productos!$E:$E,Productos!$K:$K,""))</f>
        <v/>
      </c>
      <c r="I179" s="74">
        <f t="array" ref="I179">IF(OR($D179="",$D179="NO ENCONTRADO"),"",_xlfn.XLOOKUP($D179,Productos!$E:$E,Productos!$F:$F,""))</f>
        <v/>
      </c>
      <c r="J179" s="74">
        <f>IF($C179="","",IF($D179="NO ENCONTRADO",IF(COUNTIF($C$7:$C$1000,$C179)&gt;1,"⚠️ No encontrado | Duplicado","⚠️ No encontrado"),IF(COUNTIF($C$7:$C$1000,$C179)&gt;1,"⚠️ Duplicado","Verificado")))</f>
        <v/>
      </c>
    </row>
    <row r="180" ht="15.75" customHeight="1" s="176">
      <c r="B180" s="80" t="n"/>
      <c r="C180" s="77" t="n"/>
      <c r="D180" s="74">
        <f t="array" ref="D180">IF($C180="","",IFNA(_xlfn.XLOOKUP($C180,Productos!$A:$A,Productos!$E:$E,IFNA(_xlfn.XLOOKUP(TEXT($C180,"0"),Productos!$A:$A,Productos!$E:$E,IFNA(_xlfn.XLOOKUP(IFERROR(VALUE($C180),""),Productos!$A:$A,Productos!$E:$E,_xlfn.XLOOKUP($C180,Productos!$E:$E,Productos!$E:$E,"NO ENCONTRADO")),"NO ENCONTRADO")),"NO ENCONTRADO")),"NO ENCONTRADO"))</f>
        <v/>
      </c>
      <c r="E180" s="74">
        <f t="array" ref="E180">IF(OR($D180="",$D180="NO ENCONTRADO"),"",_xlfn.XLOOKUP($D180,Productos!$E:$E,Productos!$H:$H,""))</f>
        <v/>
      </c>
      <c r="F180" s="74">
        <f t="array" ref="F180">IF(OR($D180="",$D180="NO ENCONTRADO"),"",_xlfn.XLOOKUP($D180,Productos!$E:$E,Productos!$I:$I,""))</f>
        <v/>
      </c>
      <c r="G180" s="74">
        <f t="array" ref="G180">IF(OR($D180="",$D180="NO ENCONTRADO"),"",_xlfn.XLOOKUP($D180,Productos!$E:$E,Productos!$J:$J,""))</f>
        <v/>
      </c>
      <c r="H180" s="74">
        <f t="array" ref="H180">IF(OR($D180="",$D180="NO ENCONTRADO"),"",_xlfn.XLOOKUP($D180,Productos!$E:$E,Productos!$K:$K,""))</f>
        <v/>
      </c>
      <c r="I180" s="74">
        <f t="array" ref="I180">IF(OR($D180="",$D180="NO ENCONTRADO"),"",_xlfn.XLOOKUP($D180,Productos!$E:$E,Productos!$F:$F,""))</f>
        <v/>
      </c>
      <c r="J180" s="74">
        <f>IF($C180="","",IF($D180="NO ENCONTRADO",IF(COUNTIF($C$7:$C$1000,$C180)&gt;1,"⚠️ No encontrado | Duplicado","⚠️ No encontrado"),IF(COUNTIF($C$7:$C$1000,$C180)&gt;1,"⚠️ Duplicado","Verificado")))</f>
        <v/>
      </c>
    </row>
    <row r="181" ht="15.75" customHeight="1" s="176">
      <c r="B181" s="80" t="n"/>
      <c r="C181" s="77" t="n"/>
      <c r="D181" s="74">
        <f t="array" ref="D181">IF($C181="","",IFNA(_xlfn.XLOOKUP($C181,Productos!$A:$A,Productos!$E:$E,IFNA(_xlfn.XLOOKUP(TEXT($C181,"0"),Productos!$A:$A,Productos!$E:$E,IFNA(_xlfn.XLOOKUP(IFERROR(VALUE($C181),""),Productos!$A:$A,Productos!$E:$E,_xlfn.XLOOKUP($C181,Productos!$E:$E,Productos!$E:$E,"NO ENCONTRADO")),"NO ENCONTRADO")),"NO ENCONTRADO")),"NO ENCONTRADO"))</f>
        <v/>
      </c>
      <c r="E181" s="74">
        <f t="array" ref="E181">IF(OR($D181="",$D181="NO ENCONTRADO"),"",_xlfn.XLOOKUP($D181,Productos!$E:$E,Productos!$H:$H,""))</f>
        <v/>
      </c>
      <c r="F181" s="74">
        <f t="array" ref="F181">IF(OR($D181="",$D181="NO ENCONTRADO"),"",_xlfn.XLOOKUP($D181,Productos!$E:$E,Productos!$I:$I,""))</f>
        <v/>
      </c>
      <c r="G181" s="74">
        <f t="array" ref="G181">IF(OR($D181="",$D181="NO ENCONTRADO"),"",_xlfn.XLOOKUP($D181,Productos!$E:$E,Productos!$J:$J,""))</f>
        <v/>
      </c>
      <c r="H181" s="74">
        <f t="array" ref="H181">IF(OR($D181="",$D181="NO ENCONTRADO"),"",_xlfn.XLOOKUP($D181,Productos!$E:$E,Productos!$K:$K,""))</f>
        <v/>
      </c>
      <c r="I181" s="74">
        <f t="array" ref="I181">IF(OR($D181="",$D181="NO ENCONTRADO"),"",_xlfn.XLOOKUP($D181,Productos!$E:$E,Productos!$F:$F,""))</f>
        <v/>
      </c>
      <c r="J181" s="74">
        <f>IF($C181="","",IF($D181="NO ENCONTRADO",IF(COUNTIF($C$7:$C$1000,$C181)&gt;1,"⚠️ No encontrado | Duplicado","⚠️ No encontrado"),IF(COUNTIF($C$7:$C$1000,$C181)&gt;1,"⚠️ Duplicado","Verificado")))</f>
        <v/>
      </c>
    </row>
    <row r="182" ht="15.75" customHeight="1" s="176">
      <c r="B182" s="80" t="n"/>
      <c r="C182" s="77" t="n"/>
      <c r="D182" s="74">
        <f t="array" ref="D182">IF($C182="","",IFNA(_xlfn.XLOOKUP($C182,Productos!$A:$A,Productos!$E:$E,IFNA(_xlfn.XLOOKUP(TEXT($C182,"0"),Productos!$A:$A,Productos!$E:$E,IFNA(_xlfn.XLOOKUP(IFERROR(VALUE($C182),""),Productos!$A:$A,Productos!$E:$E,_xlfn.XLOOKUP($C182,Productos!$E:$E,Productos!$E:$E,"NO ENCONTRADO")),"NO ENCONTRADO")),"NO ENCONTRADO")),"NO ENCONTRADO"))</f>
        <v/>
      </c>
      <c r="E182" s="74">
        <f t="array" ref="E182">IF(OR($D182="",$D182="NO ENCONTRADO"),"",_xlfn.XLOOKUP($D182,Productos!$E:$E,Productos!$H:$H,""))</f>
        <v/>
      </c>
      <c r="F182" s="74">
        <f t="array" ref="F182">IF(OR($D182="",$D182="NO ENCONTRADO"),"",_xlfn.XLOOKUP($D182,Productos!$E:$E,Productos!$I:$I,""))</f>
        <v/>
      </c>
      <c r="G182" s="74">
        <f t="array" ref="G182">IF(OR($D182="",$D182="NO ENCONTRADO"),"",_xlfn.XLOOKUP($D182,Productos!$E:$E,Productos!$J:$J,""))</f>
        <v/>
      </c>
      <c r="H182" s="74">
        <f t="array" ref="H182">IF(OR($D182="",$D182="NO ENCONTRADO"),"",_xlfn.XLOOKUP($D182,Productos!$E:$E,Productos!$K:$K,""))</f>
        <v/>
      </c>
      <c r="I182" s="74">
        <f t="array" ref="I182">IF(OR($D182="",$D182="NO ENCONTRADO"),"",_xlfn.XLOOKUP($D182,Productos!$E:$E,Productos!$F:$F,""))</f>
        <v/>
      </c>
      <c r="J182" s="74">
        <f>IF($C182="","",IF($D182="NO ENCONTRADO",IF(COUNTIF($C$7:$C$1000,$C182)&gt;1,"⚠️ No encontrado | Duplicado","⚠️ No encontrado"),IF(COUNTIF($C$7:$C$1000,$C182)&gt;1,"⚠️ Duplicado","Verificado")))</f>
        <v/>
      </c>
    </row>
    <row r="183" ht="15.75" customHeight="1" s="176">
      <c r="B183" s="80" t="n"/>
      <c r="C183" s="77" t="n"/>
      <c r="D183" s="74">
        <f t="array" ref="D183">IF($C183="","",IFNA(_xlfn.XLOOKUP($C183,Productos!$A:$A,Productos!$E:$E,IFNA(_xlfn.XLOOKUP(TEXT($C183,"0"),Productos!$A:$A,Productos!$E:$E,IFNA(_xlfn.XLOOKUP(IFERROR(VALUE($C183),""),Productos!$A:$A,Productos!$E:$E,_xlfn.XLOOKUP($C183,Productos!$E:$E,Productos!$E:$E,"NO ENCONTRADO")),"NO ENCONTRADO")),"NO ENCONTRADO")),"NO ENCONTRADO"))</f>
        <v/>
      </c>
      <c r="E183" s="74">
        <f t="array" ref="E183">IF(OR($D183="",$D183="NO ENCONTRADO"),"",_xlfn.XLOOKUP($D183,Productos!$E:$E,Productos!$H:$H,""))</f>
        <v/>
      </c>
      <c r="F183" s="74">
        <f t="array" ref="F183">IF(OR($D183="",$D183="NO ENCONTRADO"),"",_xlfn.XLOOKUP($D183,Productos!$E:$E,Productos!$I:$I,""))</f>
        <v/>
      </c>
      <c r="G183" s="74">
        <f t="array" ref="G183">IF(OR($D183="",$D183="NO ENCONTRADO"),"",_xlfn.XLOOKUP($D183,Productos!$E:$E,Productos!$J:$J,""))</f>
        <v/>
      </c>
      <c r="H183" s="74">
        <f t="array" ref="H183">IF(OR($D183="",$D183="NO ENCONTRADO"),"",_xlfn.XLOOKUP($D183,Productos!$E:$E,Productos!$K:$K,""))</f>
        <v/>
      </c>
      <c r="I183" s="74">
        <f t="array" ref="I183">IF(OR($D183="",$D183="NO ENCONTRADO"),"",_xlfn.XLOOKUP($D183,Productos!$E:$E,Productos!$F:$F,""))</f>
        <v/>
      </c>
      <c r="J183" s="74">
        <f>IF($C183="","",IF($D183="NO ENCONTRADO",IF(COUNTIF($C$7:$C$1000,$C183)&gt;1,"⚠️ No encontrado | Duplicado","⚠️ No encontrado"),IF(COUNTIF($C$7:$C$1000,$C183)&gt;1,"⚠️ Duplicado","Verificado")))</f>
        <v/>
      </c>
    </row>
    <row r="184" ht="15.75" customHeight="1" s="176">
      <c r="B184" s="80" t="n"/>
      <c r="C184" s="77" t="n"/>
      <c r="D184" s="74">
        <f t="array" ref="D184">IF($C184="","",IFNA(_xlfn.XLOOKUP($C184,Productos!$A:$A,Productos!$E:$E,IFNA(_xlfn.XLOOKUP(TEXT($C184,"0"),Productos!$A:$A,Productos!$E:$E,IFNA(_xlfn.XLOOKUP(IFERROR(VALUE($C184),""),Productos!$A:$A,Productos!$E:$E,_xlfn.XLOOKUP($C184,Productos!$E:$E,Productos!$E:$E,"NO ENCONTRADO")),"NO ENCONTRADO")),"NO ENCONTRADO")),"NO ENCONTRADO"))</f>
        <v/>
      </c>
      <c r="E184" s="74">
        <f t="array" ref="E184">IF(OR($D184="",$D184="NO ENCONTRADO"),"",_xlfn.XLOOKUP($D184,Productos!$E:$E,Productos!$H:$H,""))</f>
        <v/>
      </c>
      <c r="F184" s="74">
        <f t="array" ref="F184">IF(OR($D184="",$D184="NO ENCONTRADO"),"",_xlfn.XLOOKUP($D184,Productos!$E:$E,Productos!$I:$I,""))</f>
        <v/>
      </c>
      <c r="G184" s="74">
        <f t="array" ref="G184">IF(OR($D184="",$D184="NO ENCONTRADO"),"",_xlfn.XLOOKUP($D184,Productos!$E:$E,Productos!$J:$J,""))</f>
        <v/>
      </c>
      <c r="H184" s="74">
        <f t="array" ref="H184">IF(OR($D184="",$D184="NO ENCONTRADO"),"",_xlfn.XLOOKUP($D184,Productos!$E:$E,Productos!$K:$K,""))</f>
        <v/>
      </c>
      <c r="I184" s="74">
        <f t="array" ref="I184">IF(OR($D184="",$D184="NO ENCONTRADO"),"",_xlfn.XLOOKUP($D184,Productos!$E:$E,Productos!$F:$F,""))</f>
        <v/>
      </c>
      <c r="J184" s="74">
        <f>IF($C184="","",IF($D184="NO ENCONTRADO",IF(COUNTIF($C$7:$C$1000,$C184)&gt;1,"⚠️ No encontrado | Duplicado","⚠️ No encontrado"),IF(COUNTIF($C$7:$C$1000,$C184)&gt;1,"⚠️ Duplicado","Verificado")))</f>
        <v/>
      </c>
    </row>
    <row r="185" ht="15.75" customHeight="1" s="176">
      <c r="B185" s="80" t="n"/>
      <c r="C185" s="77" t="n"/>
      <c r="D185" s="74">
        <f t="array" ref="D185">IF($C185="","",IFNA(_xlfn.XLOOKUP($C185,Productos!$A:$A,Productos!$E:$E,IFNA(_xlfn.XLOOKUP(TEXT($C185,"0"),Productos!$A:$A,Productos!$E:$E,IFNA(_xlfn.XLOOKUP(IFERROR(VALUE($C185),""),Productos!$A:$A,Productos!$E:$E,_xlfn.XLOOKUP($C185,Productos!$E:$E,Productos!$E:$E,"NO ENCONTRADO")),"NO ENCONTRADO")),"NO ENCONTRADO")),"NO ENCONTRADO"))</f>
        <v/>
      </c>
      <c r="E185" s="74">
        <f t="array" ref="E185">IF(OR($D185="",$D185="NO ENCONTRADO"),"",_xlfn.XLOOKUP($D185,Productos!$E:$E,Productos!$H:$H,""))</f>
        <v/>
      </c>
      <c r="F185" s="74">
        <f t="array" ref="F185">IF(OR($D185="",$D185="NO ENCONTRADO"),"",_xlfn.XLOOKUP($D185,Productos!$E:$E,Productos!$I:$I,""))</f>
        <v/>
      </c>
      <c r="G185" s="74">
        <f t="array" ref="G185">IF(OR($D185="",$D185="NO ENCONTRADO"),"",_xlfn.XLOOKUP($D185,Productos!$E:$E,Productos!$J:$J,""))</f>
        <v/>
      </c>
      <c r="H185" s="74">
        <f t="array" ref="H185">IF(OR($D185="",$D185="NO ENCONTRADO"),"",_xlfn.XLOOKUP($D185,Productos!$E:$E,Productos!$K:$K,""))</f>
        <v/>
      </c>
      <c r="I185" s="74">
        <f t="array" ref="I185">IF(OR($D185="",$D185="NO ENCONTRADO"),"",_xlfn.XLOOKUP($D185,Productos!$E:$E,Productos!$F:$F,""))</f>
        <v/>
      </c>
      <c r="J185" s="74">
        <f>IF($C185="","",IF($D185="NO ENCONTRADO",IF(COUNTIF($C$7:$C$1000,$C185)&gt;1,"⚠️ No encontrado | Duplicado","⚠️ No encontrado"),IF(COUNTIF($C$7:$C$1000,$C185)&gt;1,"⚠️ Duplicado","Verificado")))</f>
        <v/>
      </c>
    </row>
    <row r="186" ht="15.75" customHeight="1" s="176">
      <c r="B186" s="80" t="n"/>
      <c r="C186" s="77" t="n"/>
      <c r="D186" s="74">
        <f t="array" ref="D186">IF($C186="","",IFNA(_xlfn.XLOOKUP($C186,Productos!$A:$A,Productos!$E:$E,IFNA(_xlfn.XLOOKUP(TEXT($C186,"0"),Productos!$A:$A,Productos!$E:$E,IFNA(_xlfn.XLOOKUP(IFERROR(VALUE($C186),""),Productos!$A:$A,Productos!$E:$E,_xlfn.XLOOKUP($C186,Productos!$E:$E,Productos!$E:$E,"NO ENCONTRADO")),"NO ENCONTRADO")),"NO ENCONTRADO")),"NO ENCONTRADO"))</f>
        <v/>
      </c>
      <c r="E186" s="74">
        <f t="array" ref="E186">IF(OR($D186="",$D186="NO ENCONTRADO"),"",_xlfn.XLOOKUP($D186,Productos!$E:$E,Productos!$H:$H,""))</f>
        <v/>
      </c>
      <c r="F186" s="74">
        <f t="array" ref="F186">IF(OR($D186="",$D186="NO ENCONTRADO"),"",_xlfn.XLOOKUP($D186,Productos!$E:$E,Productos!$I:$I,""))</f>
        <v/>
      </c>
      <c r="G186" s="74">
        <f t="array" ref="G186">IF(OR($D186="",$D186="NO ENCONTRADO"),"",_xlfn.XLOOKUP($D186,Productos!$E:$E,Productos!$J:$J,""))</f>
        <v/>
      </c>
      <c r="H186" s="74">
        <f t="array" ref="H186">IF(OR($D186="",$D186="NO ENCONTRADO"),"",_xlfn.XLOOKUP($D186,Productos!$E:$E,Productos!$K:$K,""))</f>
        <v/>
      </c>
      <c r="I186" s="74">
        <f t="array" ref="I186">IF(OR($D186="",$D186="NO ENCONTRADO"),"",_xlfn.XLOOKUP($D186,Productos!$E:$E,Productos!$F:$F,""))</f>
        <v/>
      </c>
      <c r="J186" s="74">
        <f>IF($C186="","",IF($D186="NO ENCONTRADO",IF(COUNTIF($C$7:$C$1000,$C186)&gt;1,"⚠️ No encontrado | Duplicado","⚠️ No encontrado"),IF(COUNTIF($C$7:$C$1000,$C186)&gt;1,"⚠️ Duplicado","Verificado")))</f>
        <v/>
      </c>
    </row>
    <row r="187" ht="15.75" customHeight="1" s="176">
      <c r="B187" s="80" t="n"/>
      <c r="C187" s="77" t="n"/>
      <c r="D187" s="74">
        <f t="array" ref="D187">IF($C187="","",IFNA(_xlfn.XLOOKUP($C187,Productos!$A:$A,Productos!$E:$E,IFNA(_xlfn.XLOOKUP(TEXT($C187,"0"),Productos!$A:$A,Productos!$E:$E,IFNA(_xlfn.XLOOKUP(IFERROR(VALUE($C187),""),Productos!$A:$A,Productos!$E:$E,_xlfn.XLOOKUP($C187,Productos!$E:$E,Productos!$E:$E,"NO ENCONTRADO")),"NO ENCONTRADO")),"NO ENCONTRADO")),"NO ENCONTRADO"))</f>
        <v/>
      </c>
      <c r="E187" s="74">
        <f t="array" ref="E187">IF(OR($D187="",$D187="NO ENCONTRADO"),"",_xlfn.XLOOKUP($D187,Productos!$E:$E,Productos!$H:$H,""))</f>
        <v/>
      </c>
      <c r="F187" s="74">
        <f t="array" ref="F187">IF(OR($D187="",$D187="NO ENCONTRADO"),"",_xlfn.XLOOKUP($D187,Productos!$E:$E,Productos!$I:$I,""))</f>
        <v/>
      </c>
      <c r="G187" s="74">
        <f t="array" ref="G187">IF(OR($D187="",$D187="NO ENCONTRADO"),"",_xlfn.XLOOKUP($D187,Productos!$E:$E,Productos!$J:$J,""))</f>
        <v/>
      </c>
      <c r="H187" s="74">
        <f t="array" ref="H187">IF(OR($D187="",$D187="NO ENCONTRADO"),"",_xlfn.XLOOKUP($D187,Productos!$E:$E,Productos!$K:$K,""))</f>
        <v/>
      </c>
      <c r="I187" s="74">
        <f t="array" ref="I187">IF(OR($D187="",$D187="NO ENCONTRADO"),"",_xlfn.XLOOKUP($D187,Productos!$E:$E,Productos!$F:$F,""))</f>
        <v/>
      </c>
      <c r="J187" s="74">
        <f>IF($C187="","",IF($D187="NO ENCONTRADO",IF(COUNTIF($C$7:$C$1000,$C187)&gt;1,"⚠️ No encontrado | Duplicado","⚠️ No encontrado"),IF(COUNTIF($C$7:$C$1000,$C187)&gt;1,"⚠️ Duplicado","Verificado")))</f>
        <v/>
      </c>
    </row>
    <row r="188" ht="15.75" customHeight="1" s="176">
      <c r="B188" s="80" t="n"/>
      <c r="C188" s="77" t="n"/>
      <c r="D188" s="74">
        <f t="array" ref="D188">IF($C188="","",IFNA(_xlfn.XLOOKUP($C188,Productos!$A:$A,Productos!$E:$E,IFNA(_xlfn.XLOOKUP(TEXT($C188,"0"),Productos!$A:$A,Productos!$E:$E,IFNA(_xlfn.XLOOKUP(IFERROR(VALUE($C188),""),Productos!$A:$A,Productos!$E:$E,_xlfn.XLOOKUP($C188,Productos!$E:$E,Productos!$E:$E,"NO ENCONTRADO")),"NO ENCONTRADO")),"NO ENCONTRADO")),"NO ENCONTRADO"))</f>
        <v/>
      </c>
      <c r="E188" s="74">
        <f t="array" ref="E188">IF(OR($D188="",$D188="NO ENCONTRADO"),"",_xlfn.XLOOKUP($D188,Productos!$E:$E,Productos!$H:$H,""))</f>
        <v/>
      </c>
      <c r="F188" s="74">
        <f t="array" ref="F188">IF(OR($D188="",$D188="NO ENCONTRADO"),"",_xlfn.XLOOKUP($D188,Productos!$E:$E,Productos!$I:$I,""))</f>
        <v/>
      </c>
      <c r="G188" s="74">
        <f t="array" ref="G188">IF(OR($D188="",$D188="NO ENCONTRADO"),"",_xlfn.XLOOKUP($D188,Productos!$E:$E,Productos!$J:$J,""))</f>
        <v/>
      </c>
      <c r="H188" s="74">
        <f t="array" ref="H188">IF(OR($D188="",$D188="NO ENCONTRADO"),"",_xlfn.XLOOKUP($D188,Productos!$E:$E,Productos!$K:$K,""))</f>
        <v/>
      </c>
      <c r="I188" s="74">
        <f t="array" ref="I188">IF(OR($D188="",$D188="NO ENCONTRADO"),"",_xlfn.XLOOKUP($D188,Productos!$E:$E,Productos!$F:$F,""))</f>
        <v/>
      </c>
      <c r="J188" s="74">
        <f>IF($C188="","",IF($D188="NO ENCONTRADO",IF(COUNTIF($C$7:$C$1000,$C188)&gt;1,"⚠️ No encontrado | Duplicado","⚠️ No encontrado"),IF(COUNTIF($C$7:$C$1000,$C188)&gt;1,"⚠️ Duplicado","Verificado")))</f>
        <v/>
      </c>
    </row>
    <row r="189" ht="15.75" customHeight="1" s="176">
      <c r="B189" s="80" t="n"/>
      <c r="C189" s="77" t="n"/>
      <c r="D189" s="74">
        <f t="array" ref="D189">IF($C189="","",IFNA(_xlfn.XLOOKUP($C189,Productos!$A:$A,Productos!$E:$E,IFNA(_xlfn.XLOOKUP(TEXT($C189,"0"),Productos!$A:$A,Productos!$E:$E,IFNA(_xlfn.XLOOKUP(IFERROR(VALUE($C189),""),Productos!$A:$A,Productos!$E:$E,_xlfn.XLOOKUP($C189,Productos!$E:$E,Productos!$E:$E,"NO ENCONTRADO")),"NO ENCONTRADO")),"NO ENCONTRADO")),"NO ENCONTRADO"))</f>
        <v/>
      </c>
      <c r="E189" s="74">
        <f t="array" ref="E189">IF(OR($D189="",$D189="NO ENCONTRADO"),"",_xlfn.XLOOKUP($D189,Productos!$E:$E,Productos!$H:$H,""))</f>
        <v/>
      </c>
      <c r="F189" s="74">
        <f t="array" ref="F189">IF(OR($D189="",$D189="NO ENCONTRADO"),"",_xlfn.XLOOKUP($D189,Productos!$E:$E,Productos!$I:$I,""))</f>
        <v/>
      </c>
      <c r="G189" s="74">
        <f t="array" ref="G189">IF(OR($D189="",$D189="NO ENCONTRADO"),"",_xlfn.XLOOKUP($D189,Productos!$E:$E,Productos!$J:$J,""))</f>
        <v/>
      </c>
      <c r="H189" s="74">
        <f t="array" ref="H189">IF(OR($D189="",$D189="NO ENCONTRADO"),"",_xlfn.XLOOKUP($D189,Productos!$E:$E,Productos!$K:$K,""))</f>
        <v/>
      </c>
      <c r="I189" s="74">
        <f t="array" ref="I189">IF(OR($D189="",$D189="NO ENCONTRADO"),"",_xlfn.XLOOKUP($D189,Productos!$E:$E,Productos!$F:$F,""))</f>
        <v/>
      </c>
      <c r="J189" s="74">
        <f>IF($C189="","",IF($D189="NO ENCONTRADO",IF(COUNTIF($C$7:$C$1000,$C189)&gt;1,"⚠️ No encontrado | Duplicado","⚠️ No encontrado"),IF(COUNTIF($C$7:$C$1000,$C189)&gt;1,"⚠️ Duplicado","Verificado")))</f>
        <v/>
      </c>
    </row>
    <row r="190" ht="15.75" customHeight="1" s="176">
      <c r="B190" s="80" t="n"/>
      <c r="C190" s="77" t="n"/>
      <c r="D190" s="74">
        <f t="array" ref="D190">IF($C190="","",IFNA(_xlfn.XLOOKUP($C190,Productos!$A:$A,Productos!$E:$E,IFNA(_xlfn.XLOOKUP(TEXT($C190,"0"),Productos!$A:$A,Productos!$E:$E,IFNA(_xlfn.XLOOKUP(IFERROR(VALUE($C190),""),Productos!$A:$A,Productos!$E:$E,_xlfn.XLOOKUP($C190,Productos!$E:$E,Productos!$E:$E,"NO ENCONTRADO")),"NO ENCONTRADO")),"NO ENCONTRADO")),"NO ENCONTRADO"))</f>
        <v/>
      </c>
      <c r="E190" s="74">
        <f t="array" ref="E190">IF(OR($D190="",$D190="NO ENCONTRADO"),"",_xlfn.XLOOKUP($D190,Productos!$E:$E,Productos!$H:$H,""))</f>
        <v/>
      </c>
      <c r="F190" s="74">
        <f t="array" ref="F190">IF(OR($D190="",$D190="NO ENCONTRADO"),"",_xlfn.XLOOKUP($D190,Productos!$E:$E,Productos!$I:$I,""))</f>
        <v/>
      </c>
      <c r="G190" s="74">
        <f t="array" ref="G190">IF(OR($D190="",$D190="NO ENCONTRADO"),"",_xlfn.XLOOKUP($D190,Productos!$E:$E,Productos!$J:$J,""))</f>
        <v/>
      </c>
      <c r="H190" s="74">
        <f t="array" ref="H190">IF(OR($D190="",$D190="NO ENCONTRADO"),"",_xlfn.XLOOKUP($D190,Productos!$E:$E,Productos!$K:$K,""))</f>
        <v/>
      </c>
      <c r="I190" s="74">
        <f t="array" ref="I190">IF(OR($D190="",$D190="NO ENCONTRADO"),"",_xlfn.XLOOKUP($D190,Productos!$E:$E,Productos!$F:$F,""))</f>
        <v/>
      </c>
      <c r="J190" s="74">
        <f>IF($C190="","",IF($D190="NO ENCONTRADO",IF(COUNTIF($C$7:$C$1000,$C190)&gt;1,"⚠️ No encontrado | Duplicado","⚠️ No encontrado"),IF(COUNTIF($C$7:$C$1000,$C190)&gt;1,"⚠️ Duplicado","Verificado")))</f>
        <v/>
      </c>
    </row>
    <row r="191" ht="15.75" customHeight="1" s="176">
      <c r="B191" s="80" t="n"/>
      <c r="C191" s="77" t="n"/>
      <c r="D191" s="74">
        <f t="array" ref="D191">IF($C191="","",IFNA(_xlfn.XLOOKUP($C191,Productos!$A:$A,Productos!$E:$E,IFNA(_xlfn.XLOOKUP(TEXT($C191,"0"),Productos!$A:$A,Productos!$E:$E,IFNA(_xlfn.XLOOKUP(IFERROR(VALUE($C191),""),Productos!$A:$A,Productos!$E:$E,_xlfn.XLOOKUP($C191,Productos!$E:$E,Productos!$E:$E,"NO ENCONTRADO")),"NO ENCONTRADO")),"NO ENCONTRADO")),"NO ENCONTRADO"))</f>
        <v/>
      </c>
      <c r="E191" s="74">
        <f t="array" ref="E191">IF(OR($D191="",$D191="NO ENCONTRADO"),"",_xlfn.XLOOKUP($D191,Productos!$E:$E,Productos!$H:$H,""))</f>
        <v/>
      </c>
      <c r="F191" s="74">
        <f t="array" ref="F191">IF(OR($D191="",$D191="NO ENCONTRADO"),"",_xlfn.XLOOKUP($D191,Productos!$E:$E,Productos!$I:$I,""))</f>
        <v/>
      </c>
      <c r="G191" s="74">
        <f t="array" ref="G191">IF(OR($D191="",$D191="NO ENCONTRADO"),"",_xlfn.XLOOKUP($D191,Productos!$E:$E,Productos!$J:$J,""))</f>
        <v/>
      </c>
      <c r="H191" s="74">
        <f t="array" ref="H191">IF(OR($D191="",$D191="NO ENCONTRADO"),"",_xlfn.XLOOKUP($D191,Productos!$E:$E,Productos!$K:$K,""))</f>
        <v/>
      </c>
      <c r="I191" s="74">
        <f t="array" ref="I191">IF(OR($D191="",$D191="NO ENCONTRADO"),"",_xlfn.XLOOKUP($D191,Productos!$E:$E,Productos!$F:$F,""))</f>
        <v/>
      </c>
      <c r="J191" s="74">
        <f>IF($C191="","",IF($D191="NO ENCONTRADO",IF(COUNTIF($C$7:$C$1000,$C191)&gt;1,"⚠️ No encontrado | Duplicado","⚠️ No encontrado"),IF(COUNTIF($C$7:$C$1000,$C191)&gt;1,"⚠️ Duplicado","Verificado")))</f>
        <v/>
      </c>
    </row>
    <row r="192" ht="15.75" customHeight="1" s="176">
      <c r="B192" s="80" t="n"/>
      <c r="C192" s="77" t="n"/>
      <c r="D192" s="74">
        <f t="array" ref="D192">IF($C192="","",IFNA(_xlfn.XLOOKUP($C192,Productos!$A:$A,Productos!$E:$E,IFNA(_xlfn.XLOOKUP(TEXT($C192,"0"),Productos!$A:$A,Productos!$E:$E,IFNA(_xlfn.XLOOKUP(IFERROR(VALUE($C192),""),Productos!$A:$A,Productos!$E:$E,_xlfn.XLOOKUP($C192,Productos!$E:$E,Productos!$E:$E,"NO ENCONTRADO")),"NO ENCONTRADO")),"NO ENCONTRADO")),"NO ENCONTRADO"))</f>
        <v/>
      </c>
      <c r="E192" s="74">
        <f t="array" ref="E192">IF(OR($D192="",$D192="NO ENCONTRADO"),"",_xlfn.XLOOKUP($D192,Productos!$E:$E,Productos!$H:$H,""))</f>
        <v/>
      </c>
      <c r="F192" s="74">
        <f t="array" ref="F192">IF(OR($D192="",$D192="NO ENCONTRADO"),"",_xlfn.XLOOKUP($D192,Productos!$E:$E,Productos!$I:$I,""))</f>
        <v/>
      </c>
      <c r="G192" s="74">
        <f t="array" ref="G192">IF(OR($D192="",$D192="NO ENCONTRADO"),"",_xlfn.XLOOKUP($D192,Productos!$E:$E,Productos!$J:$J,""))</f>
        <v/>
      </c>
      <c r="H192" s="74">
        <f t="array" ref="H192">IF(OR($D192="",$D192="NO ENCONTRADO"),"",_xlfn.XLOOKUP($D192,Productos!$E:$E,Productos!$K:$K,""))</f>
        <v/>
      </c>
      <c r="I192" s="74">
        <f t="array" ref="I192">IF(OR($D192="",$D192="NO ENCONTRADO"),"",_xlfn.XLOOKUP($D192,Productos!$E:$E,Productos!$F:$F,""))</f>
        <v/>
      </c>
      <c r="J192" s="74">
        <f>IF($C192="","",IF($D192="NO ENCONTRADO",IF(COUNTIF($C$7:$C$1000,$C192)&gt;1,"⚠️ No encontrado | Duplicado","⚠️ No encontrado"),IF(COUNTIF($C$7:$C$1000,$C192)&gt;1,"⚠️ Duplicado","Verificado")))</f>
        <v/>
      </c>
    </row>
    <row r="193" ht="15.75" customHeight="1" s="176">
      <c r="B193" s="80" t="n"/>
      <c r="C193" s="77" t="n"/>
      <c r="D193" s="74">
        <f t="array" ref="D193">IF($C193="","",IFNA(_xlfn.XLOOKUP($C193,Productos!$A:$A,Productos!$E:$E,IFNA(_xlfn.XLOOKUP(TEXT($C193,"0"),Productos!$A:$A,Productos!$E:$E,IFNA(_xlfn.XLOOKUP(IFERROR(VALUE($C193),""),Productos!$A:$A,Productos!$E:$E,_xlfn.XLOOKUP($C193,Productos!$E:$E,Productos!$E:$E,"NO ENCONTRADO")),"NO ENCONTRADO")),"NO ENCONTRADO")),"NO ENCONTRADO"))</f>
        <v/>
      </c>
      <c r="E193" s="74">
        <f t="array" ref="E193">IF(OR($D193="",$D193="NO ENCONTRADO"),"",_xlfn.XLOOKUP($D193,Productos!$E:$E,Productos!$H:$H,""))</f>
        <v/>
      </c>
      <c r="F193" s="74">
        <f t="array" ref="F193">IF(OR($D193="",$D193="NO ENCONTRADO"),"",_xlfn.XLOOKUP($D193,Productos!$E:$E,Productos!$I:$I,""))</f>
        <v/>
      </c>
      <c r="G193" s="74">
        <f t="array" ref="G193">IF(OR($D193="",$D193="NO ENCONTRADO"),"",_xlfn.XLOOKUP($D193,Productos!$E:$E,Productos!$J:$J,""))</f>
        <v/>
      </c>
      <c r="H193" s="74">
        <f t="array" ref="H193">IF(OR($D193="",$D193="NO ENCONTRADO"),"",_xlfn.XLOOKUP($D193,Productos!$E:$E,Productos!$K:$K,""))</f>
        <v/>
      </c>
      <c r="I193" s="74">
        <f t="array" ref="I193">IF(OR($D193="",$D193="NO ENCONTRADO"),"",_xlfn.XLOOKUP($D193,Productos!$E:$E,Productos!$F:$F,""))</f>
        <v/>
      </c>
      <c r="J193" s="74">
        <f>IF($C193="","",IF($D193="NO ENCONTRADO",IF(COUNTIF($C$7:$C$1000,$C193)&gt;1,"⚠️ No encontrado | Duplicado","⚠️ No encontrado"),IF(COUNTIF($C$7:$C$1000,$C193)&gt;1,"⚠️ Duplicado","Verificado")))</f>
        <v/>
      </c>
    </row>
    <row r="194" ht="15.75" customHeight="1" s="176">
      <c r="B194" s="80" t="n"/>
      <c r="C194" s="77" t="n"/>
      <c r="D194" s="74">
        <f t="array" ref="D194">IF($C194="","",IFNA(_xlfn.XLOOKUP($C194,Productos!$A:$A,Productos!$E:$E,IFNA(_xlfn.XLOOKUP(TEXT($C194,"0"),Productos!$A:$A,Productos!$E:$E,IFNA(_xlfn.XLOOKUP(IFERROR(VALUE($C194),""),Productos!$A:$A,Productos!$E:$E,_xlfn.XLOOKUP($C194,Productos!$E:$E,Productos!$E:$E,"NO ENCONTRADO")),"NO ENCONTRADO")),"NO ENCONTRADO")),"NO ENCONTRADO"))</f>
        <v/>
      </c>
      <c r="E194" s="74">
        <f t="array" ref="E194">IF(OR($D194="",$D194="NO ENCONTRADO"),"",_xlfn.XLOOKUP($D194,Productos!$E:$E,Productos!$H:$H,""))</f>
        <v/>
      </c>
      <c r="F194" s="74">
        <f t="array" ref="F194">IF(OR($D194="",$D194="NO ENCONTRADO"),"",_xlfn.XLOOKUP($D194,Productos!$E:$E,Productos!$I:$I,""))</f>
        <v/>
      </c>
      <c r="G194" s="74">
        <f t="array" ref="G194">IF(OR($D194="",$D194="NO ENCONTRADO"),"",_xlfn.XLOOKUP($D194,Productos!$E:$E,Productos!$J:$J,""))</f>
        <v/>
      </c>
      <c r="H194" s="74">
        <f t="array" ref="H194">IF(OR($D194="",$D194="NO ENCONTRADO"),"",_xlfn.XLOOKUP($D194,Productos!$E:$E,Productos!$K:$K,""))</f>
        <v/>
      </c>
      <c r="I194" s="74">
        <f t="array" ref="I194">IF(OR($D194="",$D194="NO ENCONTRADO"),"",_xlfn.XLOOKUP($D194,Productos!$E:$E,Productos!$F:$F,""))</f>
        <v/>
      </c>
      <c r="J194" s="74">
        <f>IF($C194="","",IF($D194="NO ENCONTRADO",IF(COUNTIF($C$7:$C$1000,$C194)&gt;1,"⚠️ No encontrado | Duplicado","⚠️ No encontrado"),IF(COUNTIF($C$7:$C$1000,$C194)&gt;1,"⚠️ Duplicado","Verificado")))</f>
        <v/>
      </c>
    </row>
    <row r="195" ht="15.75" customHeight="1" s="176">
      <c r="B195" s="80" t="n"/>
      <c r="C195" s="77" t="n"/>
      <c r="D195" s="74">
        <f t="array" ref="D195">IF($C195="","",IFNA(_xlfn.XLOOKUP($C195,Productos!$A:$A,Productos!$E:$E,IFNA(_xlfn.XLOOKUP(TEXT($C195,"0"),Productos!$A:$A,Productos!$E:$E,IFNA(_xlfn.XLOOKUP(IFERROR(VALUE($C195),""),Productos!$A:$A,Productos!$E:$E,_xlfn.XLOOKUP($C195,Productos!$E:$E,Productos!$E:$E,"NO ENCONTRADO")),"NO ENCONTRADO")),"NO ENCONTRADO")),"NO ENCONTRADO"))</f>
        <v/>
      </c>
      <c r="E195" s="74">
        <f t="array" ref="E195">IF(OR($D195="",$D195="NO ENCONTRADO"),"",_xlfn.XLOOKUP($D195,Productos!$E:$E,Productos!$H:$H,""))</f>
        <v/>
      </c>
      <c r="F195" s="74">
        <f t="array" ref="F195">IF(OR($D195="",$D195="NO ENCONTRADO"),"",_xlfn.XLOOKUP($D195,Productos!$E:$E,Productos!$I:$I,""))</f>
        <v/>
      </c>
      <c r="G195" s="74">
        <f t="array" ref="G195">IF(OR($D195="",$D195="NO ENCONTRADO"),"",_xlfn.XLOOKUP($D195,Productos!$E:$E,Productos!$J:$J,""))</f>
        <v/>
      </c>
      <c r="H195" s="74">
        <f t="array" ref="H195">IF(OR($D195="",$D195="NO ENCONTRADO"),"",_xlfn.XLOOKUP($D195,Productos!$E:$E,Productos!$K:$K,""))</f>
        <v/>
      </c>
      <c r="I195" s="74">
        <f t="array" ref="I195">IF(OR($D195="",$D195="NO ENCONTRADO"),"",_xlfn.XLOOKUP($D195,Productos!$E:$E,Productos!$F:$F,""))</f>
        <v/>
      </c>
      <c r="J195" s="74">
        <f>IF($C195="","",IF($D195="NO ENCONTRADO",IF(COUNTIF($C$7:$C$1000,$C195)&gt;1,"⚠️ No encontrado | Duplicado","⚠️ No encontrado"),IF(COUNTIF($C$7:$C$1000,$C195)&gt;1,"⚠️ Duplicado","Verificado")))</f>
        <v/>
      </c>
    </row>
    <row r="196" ht="15.75" customHeight="1" s="176">
      <c r="B196" s="80" t="n"/>
      <c r="C196" s="77" t="n"/>
      <c r="D196" s="74">
        <f t="array" ref="D196">IF($C196="","",IFNA(_xlfn.XLOOKUP($C196,Productos!$A:$A,Productos!$E:$E,IFNA(_xlfn.XLOOKUP(TEXT($C196,"0"),Productos!$A:$A,Productos!$E:$E,IFNA(_xlfn.XLOOKUP(IFERROR(VALUE($C196),""),Productos!$A:$A,Productos!$E:$E,_xlfn.XLOOKUP($C196,Productos!$E:$E,Productos!$E:$E,"NO ENCONTRADO")),"NO ENCONTRADO")),"NO ENCONTRADO")),"NO ENCONTRADO"))</f>
        <v/>
      </c>
      <c r="E196" s="74">
        <f t="array" ref="E196">IF(OR($D196="",$D196="NO ENCONTRADO"),"",_xlfn.XLOOKUP($D196,Productos!$E:$E,Productos!$H:$H,""))</f>
        <v/>
      </c>
      <c r="F196" s="74">
        <f t="array" ref="F196">IF(OR($D196="",$D196="NO ENCONTRADO"),"",_xlfn.XLOOKUP($D196,Productos!$E:$E,Productos!$I:$I,""))</f>
        <v/>
      </c>
      <c r="G196" s="74">
        <f t="array" ref="G196">IF(OR($D196="",$D196="NO ENCONTRADO"),"",_xlfn.XLOOKUP($D196,Productos!$E:$E,Productos!$J:$J,""))</f>
        <v/>
      </c>
      <c r="H196" s="74">
        <f t="array" ref="H196">IF(OR($D196="",$D196="NO ENCONTRADO"),"",_xlfn.XLOOKUP($D196,Productos!$E:$E,Productos!$K:$K,""))</f>
        <v/>
      </c>
      <c r="I196" s="74">
        <f t="array" ref="I196">IF(OR($D196="",$D196="NO ENCONTRADO"),"",_xlfn.XLOOKUP($D196,Productos!$E:$E,Productos!$F:$F,""))</f>
        <v/>
      </c>
      <c r="J196" s="74">
        <f>IF($C196="","",IF($D196="NO ENCONTRADO",IF(COUNTIF($C$7:$C$1000,$C196)&gt;1,"⚠️ No encontrado | Duplicado","⚠️ No encontrado"),IF(COUNTIF($C$7:$C$1000,$C196)&gt;1,"⚠️ Duplicado","Verificado")))</f>
        <v/>
      </c>
    </row>
    <row r="197" ht="15.75" customHeight="1" s="176">
      <c r="B197" s="80" t="n"/>
      <c r="C197" s="77" t="n"/>
      <c r="D197" s="74">
        <f t="array" ref="D197">IF($C197="","",IFNA(_xlfn.XLOOKUP($C197,Productos!$A:$A,Productos!$E:$E,IFNA(_xlfn.XLOOKUP(TEXT($C197,"0"),Productos!$A:$A,Productos!$E:$E,IFNA(_xlfn.XLOOKUP(IFERROR(VALUE($C197),""),Productos!$A:$A,Productos!$E:$E,_xlfn.XLOOKUP($C197,Productos!$E:$E,Productos!$E:$E,"NO ENCONTRADO")),"NO ENCONTRADO")),"NO ENCONTRADO")),"NO ENCONTRADO"))</f>
        <v/>
      </c>
      <c r="E197" s="74">
        <f t="array" ref="E197">IF(OR($D197="",$D197="NO ENCONTRADO"),"",_xlfn.XLOOKUP($D197,Productos!$E:$E,Productos!$H:$H,""))</f>
        <v/>
      </c>
      <c r="F197" s="74">
        <f t="array" ref="F197">IF(OR($D197="",$D197="NO ENCONTRADO"),"",_xlfn.XLOOKUP($D197,Productos!$E:$E,Productos!$I:$I,""))</f>
        <v/>
      </c>
      <c r="G197" s="74">
        <f t="array" ref="G197">IF(OR($D197="",$D197="NO ENCONTRADO"),"",_xlfn.XLOOKUP($D197,Productos!$E:$E,Productos!$J:$J,""))</f>
        <v/>
      </c>
      <c r="H197" s="74">
        <f t="array" ref="H197">IF(OR($D197="",$D197="NO ENCONTRADO"),"",_xlfn.XLOOKUP($D197,Productos!$E:$E,Productos!$K:$K,""))</f>
        <v/>
      </c>
      <c r="I197" s="74">
        <f t="array" ref="I197">IF(OR($D197="",$D197="NO ENCONTRADO"),"",_xlfn.XLOOKUP($D197,Productos!$E:$E,Productos!$F:$F,""))</f>
        <v/>
      </c>
      <c r="J197" s="74">
        <f>IF($C197="","",IF($D197="NO ENCONTRADO",IF(COUNTIF($C$7:$C$1000,$C197)&gt;1,"⚠️ No encontrado | Duplicado","⚠️ No encontrado"),IF(COUNTIF($C$7:$C$1000,$C197)&gt;1,"⚠️ Duplicado","Verificado")))</f>
        <v/>
      </c>
    </row>
    <row r="198" ht="15.75" customHeight="1" s="176">
      <c r="B198" s="80" t="n"/>
      <c r="C198" s="77" t="n"/>
      <c r="D198" s="74">
        <f t="array" ref="D198">IF($C198="","",IFNA(_xlfn.XLOOKUP($C198,Productos!$A:$A,Productos!$E:$E,IFNA(_xlfn.XLOOKUP(TEXT($C198,"0"),Productos!$A:$A,Productos!$E:$E,IFNA(_xlfn.XLOOKUP(IFERROR(VALUE($C198),""),Productos!$A:$A,Productos!$E:$E,_xlfn.XLOOKUP($C198,Productos!$E:$E,Productos!$E:$E,"NO ENCONTRADO")),"NO ENCONTRADO")),"NO ENCONTRADO")),"NO ENCONTRADO"))</f>
        <v/>
      </c>
      <c r="E198" s="74">
        <f t="array" ref="E198">IF(OR($D198="",$D198="NO ENCONTRADO"),"",_xlfn.XLOOKUP($D198,Productos!$E:$E,Productos!$H:$H,""))</f>
        <v/>
      </c>
      <c r="F198" s="74">
        <f t="array" ref="F198">IF(OR($D198="",$D198="NO ENCONTRADO"),"",_xlfn.XLOOKUP($D198,Productos!$E:$E,Productos!$I:$I,""))</f>
        <v/>
      </c>
      <c r="G198" s="74">
        <f t="array" ref="G198">IF(OR($D198="",$D198="NO ENCONTRADO"),"",_xlfn.XLOOKUP($D198,Productos!$E:$E,Productos!$J:$J,""))</f>
        <v/>
      </c>
      <c r="H198" s="74">
        <f t="array" ref="H198">IF(OR($D198="",$D198="NO ENCONTRADO"),"",_xlfn.XLOOKUP($D198,Productos!$E:$E,Productos!$K:$K,""))</f>
        <v/>
      </c>
      <c r="I198" s="74">
        <f t="array" ref="I198">IF(OR($D198="",$D198="NO ENCONTRADO"),"",_xlfn.XLOOKUP($D198,Productos!$E:$E,Productos!$F:$F,""))</f>
        <v/>
      </c>
      <c r="J198" s="74">
        <f>IF($C198="","",IF($D198="NO ENCONTRADO",IF(COUNTIF($C$7:$C$1000,$C198)&gt;1,"⚠️ No encontrado | Duplicado","⚠️ No encontrado"),IF(COUNTIF($C$7:$C$1000,$C198)&gt;1,"⚠️ Duplicado","Verificado")))</f>
        <v/>
      </c>
    </row>
    <row r="199" ht="15.75" customHeight="1" s="176">
      <c r="B199" s="80" t="n"/>
      <c r="C199" s="77" t="n"/>
      <c r="D199" s="74">
        <f t="array" ref="D199">IF($C199="","",IFNA(_xlfn.XLOOKUP($C199,Productos!$A:$A,Productos!$E:$E,IFNA(_xlfn.XLOOKUP(TEXT($C199,"0"),Productos!$A:$A,Productos!$E:$E,IFNA(_xlfn.XLOOKUP(IFERROR(VALUE($C199),""),Productos!$A:$A,Productos!$E:$E,_xlfn.XLOOKUP($C199,Productos!$E:$E,Productos!$E:$E,"NO ENCONTRADO")),"NO ENCONTRADO")),"NO ENCONTRADO")),"NO ENCONTRADO"))</f>
        <v/>
      </c>
      <c r="E199" s="74">
        <f t="array" ref="E199">IF(OR($D199="",$D199="NO ENCONTRADO"),"",_xlfn.XLOOKUP($D199,Productos!$E:$E,Productos!$H:$H,""))</f>
        <v/>
      </c>
      <c r="F199" s="74">
        <f t="array" ref="F199">IF(OR($D199="",$D199="NO ENCONTRADO"),"",_xlfn.XLOOKUP($D199,Productos!$E:$E,Productos!$I:$I,""))</f>
        <v/>
      </c>
      <c r="G199" s="74">
        <f t="array" ref="G199">IF(OR($D199="",$D199="NO ENCONTRADO"),"",_xlfn.XLOOKUP($D199,Productos!$E:$E,Productos!$J:$J,""))</f>
        <v/>
      </c>
      <c r="H199" s="74">
        <f t="array" ref="H199">IF(OR($D199="",$D199="NO ENCONTRADO"),"",_xlfn.XLOOKUP($D199,Productos!$E:$E,Productos!$K:$K,""))</f>
        <v/>
      </c>
      <c r="I199" s="74">
        <f t="array" ref="I199">IF(OR($D199="",$D199="NO ENCONTRADO"),"",_xlfn.XLOOKUP($D199,Productos!$E:$E,Productos!$F:$F,""))</f>
        <v/>
      </c>
      <c r="J199" s="74">
        <f>IF($C199="","",IF($D199="NO ENCONTRADO",IF(COUNTIF($C$7:$C$1000,$C199)&gt;1,"⚠️ No encontrado | Duplicado","⚠️ No encontrado"),IF(COUNTIF($C$7:$C$1000,$C199)&gt;1,"⚠️ Duplicado","Verificado")))</f>
        <v/>
      </c>
    </row>
    <row r="200" ht="15.75" customHeight="1" s="176">
      <c r="B200" s="80" t="n"/>
      <c r="C200" s="77" t="n"/>
      <c r="D200" s="74">
        <f t="array" ref="D200">IF($C200="","",IFNA(_xlfn.XLOOKUP($C200,Productos!$A:$A,Productos!$E:$E,IFNA(_xlfn.XLOOKUP(TEXT($C200,"0"),Productos!$A:$A,Productos!$E:$E,IFNA(_xlfn.XLOOKUP(IFERROR(VALUE($C200),""),Productos!$A:$A,Productos!$E:$E,_xlfn.XLOOKUP($C200,Productos!$E:$E,Productos!$E:$E,"NO ENCONTRADO")),"NO ENCONTRADO")),"NO ENCONTRADO")),"NO ENCONTRADO"))</f>
        <v/>
      </c>
      <c r="E200" s="74">
        <f t="array" ref="E200">IF(OR($D200="",$D200="NO ENCONTRADO"),"",_xlfn.XLOOKUP($D200,Productos!$E:$E,Productos!$H:$H,""))</f>
        <v/>
      </c>
      <c r="F200" s="74">
        <f t="array" ref="F200">IF(OR($D200="",$D200="NO ENCONTRADO"),"",_xlfn.XLOOKUP($D200,Productos!$E:$E,Productos!$I:$I,""))</f>
        <v/>
      </c>
      <c r="G200" s="74">
        <f t="array" ref="G200">IF(OR($D200="",$D200="NO ENCONTRADO"),"",_xlfn.XLOOKUP($D200,Productos!$E:$E,Productos!$J:$J,""))</f>
        <v/>
      </c>
      <c r="H200" s="74">
        <f t="array" ref="H200">IF(OR($D200="",$D200="NO ENCONTRADO"),"",_xlfn.XLOOKUP($D200,Productos!$E:$E,Productos!$K:$K,""))</f>
        <v/>
      </c>
      <c r="I200" s="74">
        <f t="array" ref="I200">IF(OR($D200="",$D200="NO ENCONTRADO"),"",_xlfn.XLOOKUP($D200,Productos!$E:$E,Productos!$F:$F,""))</f>
        <v/>
      </c>
      <c r="J200" s="74">
        <f>IF($C200="","",IF($D200="NO ENCONTRADO",IF(COUNTIF($C$7:$C$1000,$C200)&gt;1,"⚠️ No encontrado | Duplicado","⚠️ No encontrado"),IF(COUNTIF($C$7:$C$1000,$C200)&gt;1,"⚠️ Duplicado","Verificado")))</f>
        <v/>
      </c>
    </row>
    <row r="201" ht="15.75" customHeight="1" s="176">
      <c r="B201" s="80" t="n"/>
      <c r="C201" s="77" t="n"/>
      <c r="D201" s="74">
        <f t="array" ref="D201">IF($C201="","",IFNA(_xlfn.XLOOKUP($C201,Productos!$A:$A,Productos!$E:$E,IFNA(_xlfn.XLOOKUP(TEXT($C201,"0"),Productos!$A:$A,Productos!$E:$E,IFNA(_xlfn.XLOOKUP(IFERROR(VALUE($C201),""),Productos!$A:$A,Productos!$E:$E,_xlfn.XLOOKUP($C201,Productos!$E:$E,Productos!$E:$E,"NO ENCONTRADO")),"NO ENCONTRADO")),"NO ENCONTRADO")),"NO ENCONTRADO"))</f>
        <v/>
      </c>
      <c r="E201" s="74">
        <f t="array" ref="E201">IF(OR($D201="",$D201="NO ENCONTRADO"),"",_xlfn.XLOOKUP($D201,Productos!$E:$E,Productos!$H:$H,""))</f>
        <v/>
      </c>
      <c r="F201" s="74">
        <f t="array" ref="F201">IF(OR($D201="",$D201="NO ENCONTRADO"),"",_xlfn.XLOOKUP($D201,Productos!$E:$E,Productos!$I:$I,""))</f>
        <v/>
      </c>
      <c r="G201" s="74">
        <f t="array" ref="G201">IF(OR($D201="",$D201="NO ENCONTRADO"),"",_xlfn.XLOOKUP($D201,Productos!$E:$E,Productos!$J:$J,""))</f>
        <v/>
      </c>
      <c r="H201" s="74">
        <f t="array" ref="H201">IF(OR($D201="",$D201="NO ENCONTRADO"),"",_xlfn.XLOOKUP($D201,Productos!$E:$E,Productos!$K:$K,""))</f>
        <v/>
      </c>
      <c r="I201" s="74">
        <f t="array" ref="I201">IF(OR($D201="",$D201="NO ENCONTRADO"),"",_xlfn.XLOOKUP($D201,Productos!$E:$E,Productos!$F:$F,""))</f>
        <v/>
      </c>
      <c r="J201" s="74">
        <f>IF($C201="","",IF($D201="NO ENCONTRADO",IF(COUNTIF($C$7:$C$1000,$C201)&gt;1,"⚠️ No encontrado | Duplicado","⚠️ No encontrado"),IF(COUNTIF($C$7:$C$1000,$C201)&gt;1,"⚠️ Duplicado","Verificado")))</f>
        <v/>
      </c>
    </row>
    <row r="202" ht="15.75" customHeight="1" s="176">
      <c r="B202" s="80" t="n"/>
      <c r="C202" s="77" t="n"/>
      <c r="D202" s="74">
        <f t="array" ref="D202">IF($C202="","",IFNA(_xlfn.XLOOKUP($C202,Productos!$A:$A,Productos!$E:$E,IFNA(_xlfn.XLOOKUP(TEXT($C202,"0"),Productos!$A:$A,Productos!$E:$E,IFNA(_xlfn.XLOOKUP(IFERROR(VALUE($C202),""),Productos!$A:$A,Productos!$E:$E,_xlfn.XLOOKUP($C202,Productos!$E:$E,Productos!$E:$E,"NO ENCONTRADO")),"NO ENCONTRADO")),"NO ENCONTRADO")),"NO ENCONTRADO"))</f>
        <v/>
      </c>
      <c r="E202" s="74">
        <f t="array" ref="E202">IF(OR($D202="",$D202="NO ENCONTRADO"),"",_xlfn.XLOOKUP($D202,Productos!$E:$E,Productos!$H:$H,""))</f>
        <v/>
      </c>
      <c r="F202" s="74">
        <f t="array" ref="F202">IF(OR($D202="",$D202="NO ENCONTRADO"),"",_xlfn.XLOOKUP($D202,Productos!$E:$E,Productos!$I:$I,""))</f>
        <v/>
      </c>
      <c r="G202" s="74">
        <f t="array" ref="G202">IF(OR($D202="",$D202="NO ENCONTRADO"),"",_xlfn.XLOOKUP($D202,Productos!$E:$E,Productos!$J:$J,""))</f>
        <v/>
      </c>
      <c r="H202" s="74">
        <f t="array" ref="H202">IF(OR($D202="",$D202="NO ENCONTRADO"),"",_xlfn.XLOOKUP($D202,Productos!$E:$E,Productos!$K:$K,""))</f>
        <v/>
      </c>
      <c r="I202" s="74">
        <f t="array" ref="I202">IF(OR($D202="",$D202="NO ENCONTRADO"),"",_xlfn.XLOOKUP($D202,Productos!$E:$E,Productos!$F:$F,""))</f>
        <v/>
      </c>
      <c r="J202" s="74">
        <f>IF($C202="","",IF($D202="NO ENCONTRADO",IF(COUNTIF($C$7:$C$1000,$C202)&gt;1,"⚠️ No encontrado | Duplicado","⚠️ No encontrado"),IF(COUNTIF($C$7:$C$1000,$C202)&gt;1,"⚠️ Duplicado","Verificado")))</f>
        <v/>
      </c>
    </row>
    <row r="203" ht="15.75" customHeight="1" s="176">
      <c r="B203" s="80" t="n"/>
      <c r="C203" s="77" t="n"/>
      <c r="D203" s="74">
        <f t="array" ref="D203">IF($C203="","",IFNA(_xlfn.XLOOKUP($C203,Productos!$A:$A,Productos!$E:$E,IFNA(_xlfn.XLOOKUP(TEXT($C203,"0"),Productos!$A:$A,Productos!$E:$E,IFNA(_xlfn.XLOOKUP(IFERROR(VALUE($C203),""),Productos!$A:$A,Productos!$E:$E,_xlfn.XLOOKUP($C203,Productos!$E:$E,Productos!$E:$E,"NO ENCONTRADO")),"NO ENCONTRADO")),"NO ENCONTRADO")),"NO ENCONTRADO"))</f>
        <v/>
      </c>
      <c r="E203" s="74">
        <f t="array" ref="E203">IF(OR($D203="",$D203="NO ENCONTRADO"),"",_xlfn.XLOOKUP($D203,Productos!$E:$E,Productos!$H:$H,""))</f>
        <v/>
      </c>
      <c r="F203" s="74">
        <f t="array" ref="F203">IF(OR($D203="",$D203="NO ENCONTRADO"),"",_xlfn.XLOOKUP($D203,Productos!$E:$E,Productos!$I:$I,""))</f>
        <v/>
      </c>
      <c r="G203" s="74">
        <f t="array" ref="G203">IF(OR($D203="",$D203="NO ENCONTRADO"),"",_xlfn.XLOOKUP($D203,Productos!$E:$E,Productos!$J:$J,""))</f>
        <v/>
      </c>
      <c r="H203" s="74">
        <f t="array" ref="H203">IF(OR($D203="",$D203="NO ENCONTRADO"),"",_xlfn.XLOOKUP($D203,Productos!$E:$E,Productos!$K:$K,""))</f>
        <v/>
      </c>
      <c r="I203" s="74">
        <f t="array" ref="I203">IF(OR($D203="",$D203="NO ENCONTRADO"),"",_xlfn.XLOOKUP($D203,Productos!$E:$E,Productos!$F:$F,""))</f>
        <v/>
      </c>
      <c r="J203" s="74">
        <f>IF($C203="","",IF($D203="NO ENCONTRADO",IF(COUNTIF($C$7:$C$1000,$C203)&gt;1,"⚠️ No encontrado | Duplicado","⚠️ No encontrado"),IF(COUNTIF($C$7:$C$1000,$C203)&gt;1,"⚠️ Duplicado","Verificado")))</f>
        <v/>
      </c>
    </row>
    <row r="204" ht="15.75" customHeight="1" s="176">
      <c r="B204" s="80" t="n"/>
      <c r="C204" s="77" t="n"/>
      <c r="D204" s="74">
        <f t="array" ref="D204">IF($C204="","",IFNA(_xlfn.XLOOKUP($C204,Productos!$A:$A,Productos!$E:$E,IFNA(_xlfn.XLOOKUP(TEXT($C204,"0"),Productos!$A:$A,Productos!$E:$E,IFNA(_xlfn.XLOOKUP(IFERROR(VALUE($C204),""),Productos!$A:$A,Productos!$E:$E,_xlfn.XLOOKUP($C204,Productos!$E:$E,Productos!$E:$E,"NO ENCONTRADO")),"NO ENCONTRADO")),"NO ENCONTRADO")),"NO ENCONTRADO"))</f>
        <v/>
      </c>
      <c r="E204" s="74">
        <f t="array" ref="E204">IF(OR($D204="",$D204="NO ENCONTRADO"),"",_xlfn.XLOOKUP($D204,Productos!$E:$E,Productos!$H:$H,""))</f>
        <v/>
      </c>
      <c r="F204" s="74">
        <f t="array" ref="F204">IF(OR($D204="",$D204="NO ENCONTRADO"),"",_xlfn.XLOOKUP($D204,Productos!$E:$E,Productos!$I:$I,""))</f>
        <v/>
      </c>
      <c r="G204" s="74">
        <f t="array" ref="G204">IF(OR($D204="",$D204="NO ENCONTRADO"),"",_xlfn.XLOOKUP($D204,Productos!$E:$E,Productos!$J:$J,""))</f>
        <v/>
      </c>
      <c r="H204" s="74">
        <f t="array" ref="H204">IF(OR($D204="",$D204="NO ENCONTRADO"),"",_xlfn.XLOOKUP($D204,Productos!$E:$E,Productos!$K:$K,""))</f>
        <v/>
      </c>
      <c r="I204" s="74">
        <f t="array" ref="I204">IF(OR($D204="",$D204="NO ENCONTRADO"),"",_xlfn.XLOOKUP($D204,Productos!$E:$E,Productos!$F:$F,""))</f>
        <v/>
      </c>
      <c r="J204" s="74">
        <f>IF($C204="","",IF($D204="NO ENCONTRADO",IF(COUNTIF($C$7:$C$1000,$C204)&gt;1,"⚠️ No encontrado | Duplicado","⚠️ No encontrado"),IF(COUNTIF($C$7:$C$1000,$C204)&gt;1,"⚠️ Duplicado","Verificado")))</f>
        <v/>
      </c>
    </row>
    <row r="205" ht="15.75" customHeight="1" s="176">
      <c r="B205" s="80" t="n"/>
      <c r="C205" s="77" t="n"/>
      <c r="D205" s="74">
        <f t="array" ref="D205">IF($C205="","",IFNA(_xlfn.XLOOKUP($C205,Productos!$A:$A,Productos!$E:$E,IFNA(_xlfn.XLOOKUP(TEXT($C205,"0"),Productos!$A:$A,Productos!$E:$E,IFNA(_xlfn.XLOOKUP(IFERROR(VALUE($C205),""),Productos!$A:$A,Productos!$E:$E,_xlfn.XLOOKUP($C205,Productos!$E:$E,Productos!$E:$E,"NO ENCONTRADO")),"NO ENCONTRADO")),"NO ENCONTRADO")),"NO ENCONTRADO"))</f>
        <v/>
      </c>
      <c r="E205" s="74">
        <f t="array" ref="E205">IF(OR($D205="",$D205="NO ENCONTRADO"),"",_xlfn.XLOOKUP($D205,Productos!$E:$E,Productos!$H:$H,""))</f>
        <v/>
      </c>
      <c r="F205" s="74">
        <f t="array" ref="F205">IF(OR($D205="",$D205="NO ENCONTRADO"),"",_xlfn.XLOOKUP($D205,Productos!$E:$E,Productos!$I:$I,""))</f>
        <v/>
      </c>
      <c r="G205" s="74">
        <f t="array" ref="G205">IF(OR($D205="",$D205="NO ENCONTRADO"),"",_xlfn.XLOOKUP($D205,Productos!$E:$E,Productos!$J:$J,""))</f>
        <v/>
      </c>
      <c r="H205" s="74">
        <f t="array" ref="H205">IF(OR($D205="",$D205="NO ENCONTRADO"),"",_xlfn.XLOOKUP($D205,Productos!$E:$E,Productos!$K:$K,""))</f>
        <v/>
      </c>
      <c r="I205" s="74">
        <f t="array" ref="I205">IF(OR($D205="",$D205="NO ENCONTRADO"),"",_xlfn.XLOOKUP($D205,Productos!$E:$E,Productos!$F:$F,""))</f>
        <v/>
      </c>
      <c r="J205" s="74">
        <f>IF($C205="","",IF($D205="NO ENCONTRADO",IF(COUNTIF($C$7:$C$1000,$C205)&gt;1,"⚠️ No encontrado | Duplicado","⚠️ No encontrado"),IF(COUNTIF($C$7:$C$1000,$C205)&gt;1,"⚠️ Duplicado","Verificado")))</f>
        <v/>
      </c>
    </row>
    <row r="206" ht="15.75" customHeight="1" s="176">
      <c r="B206" s="80" t="n"/>
      <c r="C206" s="77" t="n"/>
      <c r="D206" s="74">
        <f t="array" ref="D206">IF($C206="","",IFNA(_xlfn.XLOOKUP($C206,Productos!$A:$A,Productos!$E:$E,IFNA(_xlfn.XLOOKUP(TEXT($C206,"0"),Productos!$A:$A,Productos!$E:$E,IFNA(_xlfn.XLOOKUP(IFERROR(VALUE($C206),""),Productos!$A:$A,Productos!$E:$E,_xlfn.XLOOKUP($C206,Productos!$E:$E,Productos!$E:$E,"NO ENCONTRADO")),"NO ENCONTRADO")),"NO ENCONTRADO")),"NO ENCONTRADO"))</f>
        <v/>
      </c>
      <c r="E206" s="74">
        <f t="array" ref="E206">IF(OR($D206="",$D206="NO ENCONTRADO"),"",_xlfn.XLOOKUP($D206,Productos!$E:$E,Productos!$H:$H,""))</f>
        <v/>
      </c>
      <c r="F206" s="74">
        <f t="array" ref="F206">IF(OR($D206="",$D206="NO ENCONTRADO"),"",_xlfn.XLOOKUP($D206,Productos!$E:$E,Productos!$I:$I,""))</f>
        <v/>
      </c>
      <c r="G206" s="74">
        <f t="array" ref="G206">IF(OR($D206="",$D206="NO ENCONTRADO"),"",_xlfn.XLOOKUP($D206,Productos!$E:$E,Productos!$J:$J,""))</f>
        <v/>
      </c>
      <c r="H206" s="74">
        <f t="array" ref="H206">IF(OR($D206="",$D206="NO ENCONTRADO"),"",_xlfn.XLOOKUP($D206,Productos!$E:$E,Productos!$K:$K,""))</f>
        <v/>
      </c>
      <c r="I206" s="74">
        <f t="array" ref="I206">IF(OR($D206="",$D206="NO ENCONTRADO"),"",_xlfn.XLOOKUP($D206,Productos!$E:$E,Productos!$F:$F,""))</f>
        <v/>
      </c>
      <c r="J206" s="74">
        <f>IF($C206="","",IF($D206="NO ENCONTRADO",IF(COUNTIF($C$7:$C$1000,$C206)&gt;1,"⚠️ No encontrado | Duplicado","⚠️ No encontrado"),IF(COUNTIF($C$7:$C$1000,$C206)&gt;1,"⚠️ Duplicado","Verificado")))</f>
        <v/>
      </c>
    </row>
    <row r="207" ht="15.75" customHeight="1" s="176">
      <c r="B207" s="80" t="n"/>
      <c r="C207" s="77" t="n"/>
      <c r="D207" s="74">
        <f t="array" ref="D207">IF($C207="","",IFNA(_xlfn.XLOOKUP($C207,Productos!$A:$A,Productos!$E:$E,IFNA(_xlfn.XLOOKUP(TEXT($C207,"0"),Productos!$A:$A,Productos!$E:$E,IFNA(_xlfn.XLOOKUP(IFERROR(VALUE($C207),""),Productos!$A:$A,Productos!$E:$E,_xlfn.XLOOKUP($C207,Productos!$E:$E,Productos!$E:$E,"NO ENCONTRADO")),"NO ENCONTRADO")),"NO ENCONTRADO")),"NO ENCONTRADO"))</f>
        <v/>
      </c>
      <c r="E207" s="74">
        <f t="array" ref="E207">IF(OR($D207="",$D207="NO ENCONTRADO"),"",_xlfn.XLOOKUP($D207,Productos!$E:$E,Productos!$H:$H,""))</f>
        <v/>
      </c>
      <c r="F207" s="74">
        <f t="array" ref="F207">IF(OR($D207="",$D207="NO ENCONTRADO"),"",_xlfn.XLOOKUP($D207,Productos!$E:$E,Productos!$I:$I,""))</f>
        <v/>
      </c>
      <c r="G207" s="74">
        <f t="array" ref="G207">IF(OR($D207="",$D207="NO ENCONTRADO"),"",_xlfn.XLOOKUP($D207,Productos!$E:$E,Productos!$J:$J,""))</f>
        <v/>
      </c>
      <c r="H207" s="74">
        <f t="array" ref="H207">IF(OR($D207="",$D207="NO ENCONTRADO"),"",_xlfn.XLOOKUP($D207,Productos!$E:$E,Productos!$K:$K,""))</f>
        <v/>
      </c>
      <c r="I207" s="74">
        <f t="array" ref="I207">IF(OR($D207="",$D207="NO ENCONTRADO"),"",_xlfn.XLOOKUP($D207,Productos!$E:$E,Productos!$F:$F,""))</f>
        <v/>
      </c>
      <c r="J207" s="74">
        <f>IF($C207="","",IF($D207="NO ENCONTRADO",IF(COUNTIF($C$7:$C$1000,$C207)&gt;1,"⚠️ No encontrado | Duplicado","⚠️ No encontrado"),IF(COUNTIF($C$7:$C$1000,$C207)&gt;1,"⚠️ Duplicado","Verificado")))</f>
        <v/>
      </c>
    </row>
    <row r="208" ht="15.75" customHeight="1" s="176">
      <c r="B208" s="80" t="n"/>
      <c r="C208" s="77" t="n"/>
      <c r="D208" s="74">
        <f t="array" ref="D208">IF($C208="","",IFNA(_xlfn.XLOOKUP($C208,Productos!$A:$A,Productos!$E:$E,IFNA(_xlfn.XLOOKUP(TEXT($C208,"0"),Productos!$A:$A,Productos!$E:$E,IFNA(_xlfn.XLOOKUP(IFERROR(VALUE($C208),""),Productos!$A:$A,Productos!$E:$E,_xlfn.XLOOKUP($C208,Productos!$E:$E,Productos!$E:$E,"NO ENCONTRADO")),"NO ENCONTRADO")),"NO ENCONTRADO")),"NO ENCONTRADO"))</f>
        <v/>
      </c>
      <c r="E208" s="74">
        <f t="array" ref="E208">IF(OR($D208="",$D208="NO ENCONTRADO"),"",_xlfn.XLOOKUP($D208,Productos!$E:$E,Productos!$H:$H,""))</f>
        <v/>
      </c>
      <c r="F208" s="74">
        <f t="array" ref="F208">IF(OR($D208="",$D208="NO ENCONTRADO"),"",_xlfn.XLOOKUP($D208,Productos!$E:$E,Productos!$I:$I,""))</f>
        <v/>
      </c>
      <c r="G208" s="74">
        <f t="array" ref="G208">IF(OR($D208="",$D208="NO ENCONTRADO"),"",_xlfn.XLOOKUP($D208,Productos!$E:$E,Productos!$J:$J,""))</f>
        <v/>
      </c>
      <c r="H208" s="74">
        <f t="array" ref="H208">IF(OR($D208="",$D208="NO ENCONTRADO"),"",_xlfn.XLOOKUP($D208,Productos!$E:$E,Productos!$K:$K,""))</f>
        <v/>
      </c>
      <c r="I208" s="74">
        <f t="array" ref="I208">IF(OR($D208="",$D208="NO ENCONTRADO"),"",_xlfn.XLOOKUP($D208,Productos!$E:$E,Productos!$F:$F,""))</f>
        <v/>
      </c>
      <c r="J208" s="74">
        <f>IF($C208="","",IF($D208="NO ENCONTRADO",IF(COUNTIF($C$7:$C$1000,$C208)&gt;1,"⚠️ No encontrado | Duplicado","⚠️ No encontrado"),IF(COUNTIF($C$7:$C$1000,$C208)&gt;1,"⚠️ Duplicado","Verificado")))</f>
        <v/>
      </c>
    </row>
    <row r="209" ht="15.75" customHeight="1" s="176">
      <c r="B209" s="80" t="n"/>
      <c r="C209" s="77" t="n"/>
      <c r="D209" s="74">
        <f t="array" ref="D209">IF($C209="","",IFNA(_xlfn.XLOOKUP($C209,Productos!$A:$A,Productos!$E:$E,IFNA(_xlfn.XLOOKUP(TEXT($C209,"0"),Productos!$A:$A,Productos!$E:$E,IFNA(_xlfn.XLOOKUP(IFERROR(VALUE($C209),""),Productos!$A:$A,Productos!$E:$E,_xlfn.XLOOKUP($C209,Productos!$E:$E,Productos!$E:$E,"NO ENCONTRADO")),"NO ENCONTRADO")),"NO ENCONTRADO")),"NO ENCONTRADO"))</f>
        <v/>
      </c>
      <c r="E209" s="74">
        <f t="array" ref="E209">IF(OR($D209="",$D209="NO ENCONTRADO"),"",_xlfn.XLOOKUP($D209,Productos!$E:$E,Productos!$H:$H,""))</f>
        <v/>
      </c>
      <c r="F209" s="74">
        <f t="array" ref="F209">IF(OR($D209="",$D209="NO ENCONTRADO"),"",_xlfn.XLOOKUP($D209,Productos!$E:$E,Productos!$I:$I,""))</f>
        <v/>
      </c>
      <c r="G209" s="74">
        <f t="array" ref="G209">IF(OR($D209="",$D209="NO ENCONTRADO"),"",_xlfn.XLOOKUP($D209,Productos!$E:$E,Productos!$J:$J,""))</f>
        <v/>
      </c>
      <c r="H209" s="74">
        <f t="array" ref="H209">IF(OR($D209="",$D209="NO ENCONTRADO"),"",_xlfn.XLOOKUP($D209,Productos!$E:$E,Productos!$K:$K,""))</f>
        <v/>
      </c>
      <c r="I209" s="74">
        <f t="array" ref="I209">IF(OR($D209="",$D209="NO ENCONTRADO"),"",_xlfn.XLOOKUP($D209,Productos!$E:$E,Productos!$F:$F,""))</f>
        <v/>
      </c>
      <c r="J209" s="74">
        <f>IF($C209="","",IF($D209="NO ENCONTRADO",IF(COUNTIF($C$7:$C$1000,$C209)&gt;1,"⚠️ No encontrado | Duplicado","⚠️ No encontrado"),IF(COUNTIF($C$7:$C$1000,$C209)&gt;1,"⚠️ Duplicado","Verificado")))</f>
        <v/>
      </c>
    </row>
    <row r="210" ht="15.75" customHeight="1" s="176">
      <c r="B210" s="80" t="n"/>
      <c r="C210" s="77" t="n"/>
      <c r="D210" s="74">
        <f t="array" ref="D210">IF($C210="","",IFNA(_xlfn.XLOOKUP($C210,Productos!$A:$A,Productos!$E:$E,IFNA(_xlfn.XLOOKUP(TEXT($C210,"0"),Productos!$A:$A,Productos!$E:$E,IFNA(_xlfn.XLOOKUP(IFERROR(VALUE($C210),""),Productos!$A:$A,Productos!$E:$E,_xlfn.XLOOKUP($C210,Productos!$E:$E,Productos!$E:$E,"NO ENCONTRADO")),"NO ENCONTRADO")),"NO ENCONTRADO")),"NO ENCONTRADO"))</f>
        <v/>
      </c>
      <c r="E210" s="74">
        <f t="array" ref="E210">IF(OR($D210="",$D210="NO ENCONTRADO"),"",_xlfn.XLOOKUP($D210,Productos!$E:$E,Productos!$H:$H,""))</f>
        <v/>
      </c>
      <c r="F210" s="74">
        <f t="array" ref="F210">IF(OR($D210="",$D210="NO ENCONTRADO"),"",_xlfn.XLOOKUP($D210,Productos!$E:$E,Productos!$I:$I,""))</f>
        <v/>
      </c>
      <c r="G210" s="74">
        <f t="array" ref="G210">IF(OR($D210="",$D210="NO ENCONTRADO"),"",_xlfn.XLOOKUP($D210,Productos!$E:$E,Productos!$J:$J,""))</f>
        <v/>
      </c>
      <c r="H210" s="74">
        <f t="array" ref="H210">IF(OR($D210="",$D210="NO ENCONTRADO"),"",_xlfn.XLOOKUP($D210,Productos!$E:$E,Productos!$K:$K,""))</f>
        <v/>
      </c>
      <c r="I210" s="74">
        <f t="array" ref="I210">IF(OR($D210="",$D210="NO ENCONTRADO"),"",_xlfn.XLOOKUP($D210,Productos!$E:$E,Productos!$F:$F,""))</f>
        <v/>
      </c>
      <c r="J210" s="74">
        <f>IF($C210="","",IF($D210="NO ENCONTRADO",IF(COUNTIF($C$7:$C$1000,$C210)&gt;1,"⚠️ No encontrado | Duplicado","⚠️ No encontrado"),IF(COUNTIF($C$7:$C$1000,$C210)&gt;1,"⚠️ Duplicado","Verificado")))</f>
        <v/>
      </c>
    </row>
    <row r="211" ht="15.75" customHeight="1" s="176">
      <c r="B211" s="80" t="n"/>
      <c r="C211" s="77" t="n"/>
      <c r="D211" s="74">
        <f t="array" ref="D211">IF($C211="","",IFNA(_xlfn.XLOOKUP($C211,Productos!$A:$A,Productos!$E:$E,IFNA(_xlfn.XLOOKUP(TEXT($C211,"0"),Productos!$A:$A,Productos!$E:$E,IFNA(_xlfn.XLOOKUP(IFERROR(VALUE($C211),""),Productos!$A:$A,Productos!$E:$E,_xlfn.XLOOKUP($C211,Productos!$E:$E,Productos!$E:$E,"NO ENCONTRADO")),"NO ENCONTRADO")),"NO ENCONTRADO")),"NO ENCONTRADO"))</f>
        <v/>
      </c>
      <c r="E211" s="74">
        <f t="array" ref="E211">IF(OR($D211="",$D211="NO ENCONTRADO"),"",_xlfn.XLOOKUP($D211,Productos!$E:$E,Productos!$H:$H,""))</f>
        <v/>
      </c>
      <c r="F211" s="74">
        <f t="array" ref="F211">IF(OR($D211="",$D211="NO ENCONTRADO"),"",_xlfn.XLOOKUP($D211,Productos!$E:$E,Productos!$I:$I,""))</f>
        <v/>
      </c>
      <c r="G211" s="74">
        <f t="array" ref="G211">IF(OR($D211="",$D211="NO ENCONTRADO"),"",_xlfn.XLOOKUP($D211,Productos!$E:$E,Productos!$J:$J,""))</f>
        <v/>
      </c>
      <c r="H211" s="74">
        <f t="array" ref="H211">IF(OR($D211="",$D211="NO ENCONTRADO"),"",_xlfn.XLOOKUP($D211,Productos!$E:$E,Productos!$K:$K,""))</f>
        <v/>
      </c>
      <c r="I211" s="74">
        <f t="array" ref="I211">IF(OR($D211="",$D211="NO ENCONTRADO"),"",_xlfn.XLOOKUP($D211,Productos!$E:$E,Productos!$F:$F,""))</f>
        <v/>
      </c>
      <c r="J211" s="74">
        <f>IF($C211="","",IF($D211="NO ENCONTRADO",IF(COUNTIF($C$7:$C$1000,$C211)&gt;1,"⚠️ No encontrado | Duplicado","⚠️ No encontrado"),IF(COUNTIF($C$7:$C$1000,$C211)&gt;1,"⚠️ Duplicado","Verificado")))</f>
        <v/>
      </c>
    </row>
    <row r="212" ht="15.75" customHeight="1" s="176">
      <c r="B212" s="80" t="n"/>
      <c r="C212" s="77" t="n"/>
      <c r="D212" s="74">
        <f t="array" ref="D212">IF($C212="","",IFNA(_xlfn.XLOOKUP($C212,Productos!$A:$A,Productos!$E:$E,IFNA(_xlfn.XLOOKUP(TEXT($C212,"0"),Productos!$A:$A,Productos!$E:$E,IFNA(_xlfn.XLOOKUP(IFERROR(VALUE($C212),""),Productos!$A:$A,Productos!$E:$E,_xlfn.XLOOKUP($C212,Productos!$E:$E,Productos!$E:$E,"NO ENCONTRADO")),"NO ENCONTRADO")),"NO ENCONTRADO")),"NO ENCONTRADO"))</f>
        <v/>
      </c>
      <c r="E212" s="74">
        <f t="array" ref="E212">IF(OR($D212="",$D212="NO ENCONTRADO"),"",_xlfn.XLOOKUP($D212,Productos!$E:$E,Productos!$H:$H,""))</f>
        <v/>
      </c>
      <c r="F212" s="74">
        <f t="array" ref="F212">IF(OR($D212="",$D212="NO ENCONTRADO"),"",_xlfn.XLOOKUP($D212,Productos!$E:$E,Productos!$I:$I,""))</f>
        <v/>
      </c>
      <c r="G212" s="74">
        <f t="array" ref="G212">IF(OR($D212="",$D212="NO ENCONTRADO"),"",_xlfn.XLOOKUP($D212,Productos!$E:$E,Productos!$J:$J,""))</f>
        <v/>
      </c>
      <c r="H212" s="74">
        <f t="array" ref="H212">IF(OR($D212="",$D212="NO ENCONTRADO"),"",_xlfn.XLOOKUP($D212,Productos!$E:$E,Productos!$K:$K,""))</f>
        <v/>
      </c>
      <c r="I212" s="74">
        <f t="array" ref="I212">IF(OR($D212="",$D212="NO ENCONTRADO"),"",_xlfn.XLOOKUP($D212,Productos!$E:$E,Productos!$F:$F,""))</f>
        <v/>
      </c>
      <c r="J212" s="74">
        <f>IF($C212="","",IF($D212="NO ENCONTRADO",IF(COUNTIF($C$7:$C$1000,$C212)&gt;1,"⚠️ No encontrado | Duplicado","⚠️ No encontrado"),IF(COUNTIF($C$7:$C$1000,$C212)&gt;1,"⚠️ Duplicado","Verificado")))</f>
        <v/>
      </c>
    </row>
    <row r="213" ht="15.75" customHeight="1" s="176">
      <c r="B213" s="80" t="n"/>
      <c r="C213" s="77" t="n"/>
      <c r="D213" s="74">
        <f t="array" ref="D213">IF($C213="","",IFNA(_xlfn.XLOOKUP($C213,Productos!$A:$A,Productos!$E:$E,IFNA(_xlfn.XLOOKUP(TEXT($C213,"0"),Productos!$A:$A,Productos!$E:$E,IFNA(_xlfn.XLOOKUP(IFERROR(VALUE($C213),""),Productos!$A:$A,Productos!$E:$E,_xlfn.XLOOKUP($C213,Productos!$E:$E,Productos!$E:$E,"NO ENCONTRADO")),"NO ENCONTRADO")),"NO ENCONTRADO")),"NO ENCONTRADO"))</f>
        <v/>
      </c>
      <c r="E213" s="74">
        <f t="array" ref="E213">IF(OR($D213="",$D213="NO ENCONTRADO"),"",_xlfn.XLOOKUP($D213,Productos!$E:$E,Productos!$H:$H,""))</f>
        <v/>
      </c>
      <c r="F213" s="74">
        <f t="array" ref="F213">IF(OR($D213="",$D213="NO ENCONTRADO"),"",_xlfn.XLOOKUP($D213,Productos!$E:$E,Productos!$I:$I,""))</f>
        <v/>
      </c>
      <c r="G213" s="74">
        <f t="array" ref="G213">IF(OR($D213="",$D213="NO ENCONTRADO"),"",_xlfn.XLOOKUP($D213,Productos!$E:$E,Productos!$J:$J,""))</f>
        <v/>
      </c>
      <c r="H213" s="74">
        <f t="array" ref="H213">IF(OR($D213="",$D213="NO ENCONTRADO"),"",_xlfn.XLOOKUP($D213,Productos!$E:$E,Productos!$K:$K,""))</f>
        <v/>
      </c>
      <c r="I213" s="74">
        <f t="array" ref="I213">IF(OR($D213="",$D213="NO ENCONTRADO"),"",_xlfn.XLOOKUP($D213,Productos!$E:$E,Productos!$F:$F,""))</f>
        <v/>
      </c>
      <c r="J213" s="74">
        <f>IF($C213="","",IF($D213="NO ENCONTRADO",IF(COUNTIF($C$7:$C$1000,$C213)&gt;1,"⚠️ No encontrado | Duplicado","⚠️ No encontrado"),IF(COUNTIF($C$7:$C$1000,$C213)&gt;1,"⚠️ Duplicado","Verificado")))</f>
        <v/>
      </c>
    </row>
    <row r="214" ht="15.75" customHeight="1" s="176">
      <c r="B214" s="80" t="n"/>
      <c r="C214" s="77" t="n"/>
      <c r="D214" s="74">
        <f t="array" ref="D214">IF($C214="","",IFNA(_xlfn.XLOOKUP($C214,Productos!$A:$A,Productos!$E:$E,IFNA(_xlfn.XLOOKUP(TEXT($C214,"0"),Productos!$A:$A,Productos!$E:$E,IFNA(_xlfn.XLOOKUP(IFERROR(VALUE($C214),""),Productos!$A:$A,Productos!$E:$E,_xlfn.XLOOKUP($C214,Productos!$E:$E,Productos!$E:$E,"NO ENCONTRADO")),"NO ENCONTRADO")),"NO ENCONTRADO")),"NO ENCONTRADO"))</f>
        <v/>
      </c>
      <c r="E214" s="74">
        <f t="array" ref="E214">IF(OR($D214="",$D214="NO ENCONTRADO"),"",_xlfn.XLOOKUP($D214,Productos!$E:$E,Productos!$H:$H,""))</f>
        <v/>
      </c>
      <c r="F214" s="74">
        <f t="array" ref="F214">IF(OR($D214="",$D214="NO ENCONTRADO"),"",_xlfn.XLOOKUP($D214,Productos!$E:$E,Productos!$I:$I,""))</f>
        <v/>
      </c>
      <c r="G214" s="74">
        <f t="array" ref="G214">IF(OR($D214="",$D214="NO ENCONTRADO"),"",_xlfn.XLOOKUP($D214,Productos!$E:$E,Productos!$J:$J,""))</f>
        <v/>
      </c>
      <c r="H214" s="74">
        <f t="array" ref="H214">IF(OR($D214="",$D214="NO ENCONTRADO"),"",_xlfn.XLOOKUP($D214,Productos!$E:$E,Productos!$K:$K,""))</f>
        <v/>
      </c>
      <c r="I214" s="74">
        <f t="array" ref="I214">IF(OR($D214="",$D214="NO ENCONTRADO"),"",_xlfn.XLOOKUP($D214,Productos!$E:$E,Productos!$F:$F,""))</f>
        <v/>
      </c>
      <c r="J214" s="74">
        <f>IF($C214="","",IF($D214="NO ENCONTRADO",IF(COUNTIF($C$7:$C$1000,$C214)&gt;1,"⚠️ No encontrado | Duplicado","⚠️ No encontrado"),IF(COUNTIF($C$7:$C$1000,$C214)&gt;1,"⚠️ Duplicado","Verificado")))</f>
        <v/>
      </c>
    </row>
    <row r="215" ht="15.75" customHeight="1" s="176">
      <c r="B215" s="80" t="n"/>
      <c r="C215" s="77" t="n"/>
      <c r="D215" s="74">
        <f t="array" ref="D215">IF($C215="","",IFNA(_xlfn.XLOOKUP($C215,Productos!$A:$A,Productos!$E:$E,IFNA(_xlfn.XLOOKUP(TEXT($C215,"0"),Productos!$A:$A,Productos!$E:$E,IFNA(_xlfn.XLOOKUP(IFERROR(VALUE($C215),""),Productos!$A:$A,Productos!$E:$E,_xlfn.XLOOKUP($C215,Productos!$E:$E,Productos!$E:$E,"NO ENCONTRADO")),"NO ENCONTRADO")),"NO ENCONTRADO")),"NO ENCONTRADO"))</f>
        <v/>
      </c>
      <c r="E215" s="74">
        <f t="array" ref="E215">IF(OR($D215="",$D215="NO ENCONTRADO"),"",_xlfn.XLOOKUP($D215,Productos!$E:$E,Productos!$H:$H,""))</f>
        <v/>
      </c>
      <c r="F215" s="74">
        <f t="array" ref="F215">IF(OR($D215="",$D215="NO ENCONTRADO"),"",_xlfn.XLOOKUP($D215,Productos!$E:$E,Productos!$I:$I,""))</f>
        <v/>
      </c>
      <c r="G215" s="74">
        <f t="array" ref="G215">IF(OR($D215="",$D215="NO ENCONTRADO"),"",_xlfn.XLOOKUP($D215,Productos!$E:$E,Productos!$J:$J,""))</f>
        <v/>
      </c>
      <c r="H215" s="74">
        <f t="array" ref="H215">IF(OR($D215="",$D215="NO ENCONTRADO"),"",_xlfn.XLOOKUP($D215,Productos!$E:$E,Productos!$K:$K,""))</f>
        <v/>
      </c>
      <c r="I215" s="74">
        <f t="array" ref="I215">IF(OR($D215="",$D215="NO ENCONTRADO"),"",_xlfn.XLOOKUP($D215,Productos!$E:$E,Productos!$F:$F,""))</f>
        <v/>
      </c>
      <c r="J215" s="74">
        <f>IF($C215="","",IF($D215="NO ENCONTRADO",IF(COUNTIF($C$7:$C$1000,$C215)&gt;1,"⚠️ No encontrado | Duplicado","⚠️ No encontrado"),IF(COUNTIF($C$7:$C$1000,$C215)&gt;1,"⚠️ Duplicado","Verificado")))</f>
        <v/>
      </c>
    </row>
    <row r="216" ht="15.75" customHeight="1" s="176">
      <c r="B216" s="80" t="n"/>
      <c r="C216" s="77" t="n"/>
      <c r="D216" s="74">
        <f t="array" ref="D216">IF($C216="","",IFNA(_xlfn.XLOOKUP($C216,Productos!$A:$A,Productos!$E:$E,IFNA(_xlfn.XLOOKUP(TEXT($C216,"0"),Productos!$A:$A,Productos!$E:$E,IFNA(_xlfn.XLOOKUP(IFERROR(VALUE($C216),""),Productos!$A:$A,Productos!$E:$E,_xlfn.XLOOKUP($C216,Productos!$E:$E,Productos!$E:$E,"NO ENCONTRADO")),"NO ENCONTRADO")),"NO ENCONTRADO")),"NO ENCONTRADO"))</f>
        <v/>
      </c>
      <c r="E216" s="74">
        <f t="array" ref="E216">IF(OR($D216="",$D216="NO ENCONTRADO"),"",_xlfn.XLOOKUP($D216,Productos!$E:$E,Productos!$H:$H,""))</f>
        <v/>
      </c>
      <c r="F216" s="74">
        <f t="array" ref="F216">IF(OR($D216="",$D216="NO ENCONTRADO"),"",_xlfn.XLOOKUP($D216,Productos!$E:$E,Productos!$I:$I,""))</f>
        <v/>
      </c>
      <c r="G216" s="74">
        <f t="array" ref="G216">IF(OR($D216="",$D216="NO ENCONTRADO"),"",_xlfn.XLOOKUP($D216,Productos!$E:$E,Productos!$J:$J,""))</f>
        <v/>
      </c>
      <c r="H216" s="74">
        <f t="array" ref="H216">IF(OR($D216="",$D216="NO ENCONTRADO"),"",_xlfn.XLOOKUP($D216,Productos!$E:$E,Productos!$K:$K,""))</f>
        <v/>
      </c>
      <c r="I216" s="74">
        <f t="array" ref="I216">IF(OR($D216="",$D216="NO ENCONTRADO"),"",_xlfn.XLOOKUP($D216,Productos!$E:$E,Productos!$F:$F,""))</f>
        <v/>
      </c>
      <c r="J216" s="74">
        <f>IF($C216="","",IF($D216="NO ENCONTRADO",IF(COUNTIF($C$7:$C$1000,$C216)&gt;1,"⚠️ No encontrado | Duplicado","⚠️ No encontrado"),IF(COUNTIF($C$7:$C$1000,$C216)&gt;1,"⚠️ Duplicado","Verificado")))</f>
        <v/>
      </c>
    </row>
    <row r="217" ht="15.75" customHeight="1" s="176">
      <c r="B217" s="80" t="n"/>
      <c r="C217" s="77" t="n"/>
      <c r="D217" s="74">
        <f t="array" ref="D217">IF($C217="","",IFNA(_xlfn.XLOOKUP($C217,Productos!$A:$A,Productos!$E:$E,IFNA(_xlfn.XLOOKUP(TEXT($C217,"0"),Productos!$A:$A,Productos!$E:$E,IFNA(_xlfn.XLOOKUP(IFERROR(VALUE($C217),""),Productos!$A:$A,Productos!$E:$E,_xlfn.XLOOKUP($C217,Productos!$E:$E,Productos!$E:$E,"NO ENCONTRADO")),"NO ENCONTRADO")),"NO ENCONTRADO")),"NO ENCONTRADO"))</f>
        <v/>
      </c>
      <c r="E217" s="74">
        <f t="array" ref="E217">IF(OR($D217="",$D217="NO ENCONTRADO"),"",_xlfn.XLOOKUP($D217,Productos!$E:$E,Productos!$H:$H,""))</f>
        <v/>
      </c>
      <c r="F217" s="74">
        <f t="array" ref="F217">IF(OR($D217="",$D217="NO ENCONTRADO"),"",_xlfn.XLOOKUP($D217,Productos!$E:$E,Productos!$I:$I,""))</f>
        <v/>
      </c>
      <c r="G217" s="74">
        <f t="array" ref="G217">IF(OR($D217="",$D217="NO ENCONTRADO"),"",_xlfn.XLOOKUP($D217,Productos!$E:$E,Productos!$J:$J,""))</f>
        <v/>
      </c>
      <c r="H217" s="74">
        <f t="array" ref="H217">IF(OR($D217="",$D217="NO ENCONTRADO"),"",_xlfn.XLOOKUP($D217,Productos!$E:$E,Productos!$K:$K,""))</f>
        <v/>
      </c>
      <c r="I217" s="74">
        <f t="array" ref="I217">IF(OR($D217="",$D217="NO ENCONTRADO"),"",_xlfn.XLOOKUP($D217,Productos!$E:$E,Productos!$F:$F,""))</f>
        <v/>
      </c>
      <c r="J217" s="74">
        <f>IF($C217="","",IF($D217="NO ENCONTRADO",IF(COUNTIF($C$7:$C$1000,$C217)&gt;1,"⚠️ No encontrado | Duplicado","⚠️ No encontrado"),IF(COUNTIF($C$7:$C$1000,$C217)&gt;1,"⚠️ Duplicado","Verificado")))</f>
        <v/>
      </c>
    </row>
    <row r="218" ht="15.75" customHeight="1" s="176">
      <c r="B218" s="80" t="n"/>
      <c r="C218" s="77" t="n"/>
      <c r="D218" s="74">
        <f t="array" ref="D218">IF($C218="","",IFNA(_xlfn.XLOOKUP($C218,Productos!$A:$A,Productos!$E:$E,IFNA(_xlfn.XLOOKUP(TEXT($C218,"0"),Productos!$A:$A,Productos!$E:$E,IFNA(_xlfn.XLOOKUP(IFERROR(VALUE($C218),""),Productos!$A:$A,Productos!$E:$E,_xlfn.XLOOKUP($C218,Productos!$E:$E,Productos!$E:$E,"NO ENCONTRADO")),"NO ENCONTRADO")),"NO ENCONTRADO")),"NO ENCONTRADO"))</f>
        <v/>
      </c>
      <c r="E218" s="74">
        <f t="array" ref="E218">IF(OR($D218="",$D218="NO ENCONTRADO"),"",_xlfn.XLOOKUP($D218,Productos!$E:$E,Productos!$H:$H,""))</f>
        <v/>
      </c>
      <c r="F218" s="74">
        <f t="array" ref="F218">IF(OR($D218="",$D218="NO ENCONTRADO"),"",_xlfn.XLOOKUP($D218,Productos!$E:$E,Productos!$I:$I,""))</f>
        <v/>
      </c>
      <c r="G218" s="74">
        <f t="array" ref="G218">IF(OR($D218="",$D218="NO ENCONTRADO"),"",_xlfn.XLOOKUP($D218,Productos!$E:$E,Productos!$J:$J,""))</f>
        <v/>
      </c>
      <c r="H218" s="74">
        <f t="array" ref="H218">IF(OR($D218="",$D218="NO ENCONTRADO"),"",_xlfn.XLOOKUP($D218,Productos!$E:$E,Productos!$K:$K,""))</f>
        <v/>
      </c>
      <c r="I218" s="74">
        <f t="array" ref="I218">IF(OR($D218="",$D218="NO ENCONTRADO"),"",_xlfn.XLOOKUP($D218,Productos!$E:$E,Productos!$F:$F,""))</f>
        <v/>
      </c>
      <c r="J218" s="74">
        <f>IF($C218="","",IF($D218="NO ENCONTRADO",IF(COUNTIF($C$7:$C$1000,$C218)&gt;1,"⚠️ No encontrado | Duplicado","⚠️ No encontrado"),IF(COUNTIF($C$7:$C$1000,$C218)&gt;1,"⚠️ Duplicado","Verificado")))</f>
        <v/>
      </c>
    </row>
    <row r="219" ht="15.75" customHeight="1" s="176">
      <c r="B219" s="80" t="n"/>
      <c r="C219" s="77" t="n"/>
      <c r="D219" s="74">
        <f t="array" ref="D219">IF($C219="","",IFNA(_xlfn.XLOOKUP($C219,Productos!$A:$A,Productos!$E:$E,IFNA(_xlfn.XLOOKUP(TEXT($C219,"0"),Productos!$A:$A,Productos!$E:$E,IFNA(_xlfn.XLOOKUP(IFERROR(VALUE($C219),""),Productos!$A:$A,Productos!$E:$E,_xlfn.XLOOKUP($C219,Productos!$E:$E,Productos!$E:$E,"NO ENCONTRADO")),"NO ENCONTRADO")),"NO ENCONTRADO")),"NO ENCONTRADO"))</f>
        <v/>
      </c>
      <c r="E219" s="74">
        <f t="array" ref="E219">IF(OR($D219="",$D219="NO ENCONTRADO"),"",_xlfn.XLOOKUP($D219,Productos!$E:$E,Productos!$H:$H,""))</f>
        <v/>
      </c>
      <c r="F219" s="74">
        <f t="array" ref="F219">IF(OR($D219="",$D219="NO ENCONTRADO"),"",_xlfn.XLOOKUP($D219,Productos!$E:$E,Productos!$I:$I,""))</f>
        <v/>
      </c>
      <c r="G219" s="74">
        <f t="array" ref="G219">IF(OR($D219="",$D219="NO ENCONTRADO"),"",_xlfn.XLOOKUP($D219,Productos!$E:$E,Productos!$J:$J,""))</f>
        <v/>
      </c>
      <c r="H219" s="74">
        <f t="array" ref="H219">IF(OR($D219="",$D219="NO ENCONTRADO"),"",_xlfn.XLOOKUP($D219,Productos!$E:$E,Productos!$K:$K,""))</f>
        <v/>
      </c>
      <c r="I219" s="74">
        <f t="array" ref="I219">IF(OR($D219="",$D219="NO ENCONTRADO"),"",_xlfn.XLOOKUP($D219,Productos!$E:$E,Productos!$F:$F,""))</f>
        <v/>
      </c>
      <c r="J219" s="74">
        <f>IF($C219="","",IF($D219="NO ENCONTRADO",IF(COUNTIF($C$7:$C$1000,$C219)&gt;1,"⚠️ No encontrado | Duplicado","⚠️ No encontrado"),IF(COUNTIF($C$7:$C$1000,$C219)&gt;1,"⚠️ Duplicado","Verificado")))</f>
        <v/>
      </c>
    </row>
    <row r="220" ht="15.75" customHeight="1" s="176">
      <c r="B220" s="80" t="n"/>
      <c r="C220" s="77" t="n"/>
      <c r="D220" s="74">
        <f t="array" ref="D220">IF($C220="","",IFNA(_xlfn.XLOOKUP($C220,Productos!$A:$A,Productos!$E:$E,IFNA(_xlfn.XLOOKUP(TEXT($C220,"0"),Productos!$A:$A,Productos!$E:$E,IFNA(_xlfn.XLOOKUP(IFERROR(VALUE($C220),""),Productos!$A:$A,Productos!$E:$E,_xlfn.XLOOKUP($C220,Productos!$E:$E,Productos!$E:$E,"NO ENCONTRADO")),"NO ENCONTRADO")),"NO ENCONTRADO")),"NO ENCONTRADO"))</f>
        <v/>
      </c>
      <c r="E220" s="74">
        <f t="array" ref="E220">IF(OR($D220="",$D220="NO ENCONTRADO"),"",_xlfn.XLOOKUP($D220,Productos!$E:$E,Productos!$H:$H,""))</f>
        <v/>
      </c>
      <c r="F220" s="74">
        <f t="array" ref="F220">IF(OR($D220="",$D220="NO ENCONTRADO"),"",_xlfn.XLOOKUP($D220,Productos!$E:$E,Productos!$I:$I,""))</f>
        <v/>
      </c>
      <c r="G220" s="74">
        <f t="array" ref="G220">IF(OR($D220="",$D220="NO ENCONTRADO"),"",_xlfn.XLOOKUP($D220,Productos!$E:$E,Productos!$J:$J,""))</f>
        <v/>
      </c>
      <c r="H220" s="74">
        <f t="array" ref="H220">IF(OR($D220="",$D220="NO ENCONTRADO"),"",_xlfn.XLOOKUP($D220,Productos!$E:$E,Productos!$K:$K,""))</f>
        <v/>
      </c>
      <c r="I220" s="74">
        <f t="array" ref="I220">IF(OR($D220="",$D220="NO ENCONTRADO"),"",_xlfn.XLOOKUP($D220,Productos!$E:$E,Productos!$F:$F,""))</f>
        <v/>
      </c>
      <c r="J220" s="74">
        <f>IF($C220="","",IF($D220="NO ENCONTRADO",IF(COUNTIF($C$7:$C$1000,$C220)&gt;1,"⚠️ No encontrado | Duplicado","⚠️ No encontrado"),IF(COUNTIF($C$7:$C$1000,$C220)&gt;1,"⚠️ Duplicado","Verificado")))</f>
        <v/>
      </c>
    </row>
    <row r="221" ht="15.75" customHeight="1" s="176">
      <c r="B221" s="80" t="n"/>
      <c r="C221" s="74" t="n"/>
      <c r="D221" s="74">
        <f t="array" ref="D221">IF($C221="","",IFNA(_xlfn.XLOOKUP($C221,Productos!$A:$A,Productos!$E:$E,IFNA(_xlfn.XLOOKUP(TEXT($C221,"0"),Productos!$A:$A,Productos!$E:$E,IFNA(_xlfn.XLOOKUP(IFERROR(VALUE($C221),""),Productos!$A:$A,Productos!$E:$E,_xlfn.XLOOKUP($C221,Productos!$E:$E,Productos!$E:$E,"NO ENCONTRADO")),"NO ENCONTRADO")),"NO ENCONTRADO")),"NO ENCONTRADO"))</f>
        <v/>
      </c>
      <c r="E221" s="74">
        <f t="array" ref="E221">IF(OR($D221="",$D221="NO ENCONTRADO"),"",_xlfn.XLOOKUP($D221,Productos!$E:$E,Productos!$H:$H,""))</f>
        <v/>
      </c>
      <c r="F221" s="74">
        <f t="array" ref="F221">IF(OR($D221="",$D221="NO ENCONTRADO"),"",_xlfn.XLOOKUP($D221,Productos!$E:$E,Productos!$I:$I,""))</f>
        <v/>
      </c>
      <c r="G221" s="74">
        <f t="array" ref="G221">IF(OR($D221="",$D221="NO ENCONTRADO"),"",_xlfn.XLOOKUP($D221,Productos!$E:$E,Productos!$J:$J,""))</f>
        <v/>
      </c>
      <c r="H221" s="74">
        <f t="array" ref="H221">IF(OR($D221="",$D221="NO ENCONTRADO"),"",_xlfn.XLOOKUP($D221,Productos!$E:$E,Productos!$K:$K,""))</f>
        <v/>
      </c>
      <c r="I221" s="74">
        <f t="array" ref="I221">IF(OR($D221="",$D221="NO ENCONTRADO"),"",_xlfn.XLOOKUP($D221,Productos!$E:$E,Productos!$F:$F,""))</f>
        <v/>
      </c>
      <c r="J221" s="74">
        <f>IF($C221="","",IF($D221="NO ENCONTRADO",IF(COUNTIF($C$7:$C$1000,$C221)&gt;1,"⚠️ No encontrado | Duplicado","⚠️ No encontrado"),IF(COUNTIF($C$7:$C$1000,$C221)&gt;1,"⚠️ Duplicado","Verificado")))</f>
        <v/>
      </c>
    </row>
    <row r="222" ht="15.75" customHeight="1" s="176">
      <c r="B222" s="80" t="n"/>
      <c r="C222" s="74" t="n"/>
      <c r="D222" s="74">
        <f t="array" ref="D222">IF($C222="","",IFNA(_xlfn.XLOOKUP($C222,Productos!$A:$A,Productos!$E:$E,IFNA(_xlfn.XLOOKUP(TEXT($C222,"0"),Productos!$A:$A,Productos!$E:$E,IFNA(_xlfn.XLOOKUP(IFERROR(VALUE($C222),""),Productos!$A:$A,Productos!$E:$E,_xlfn.XLOOKUP($C222,Productos!$E:$E,Productos!$E:$E,"NO ENCONTRADO")),"NO ENCONTRADO")),"NO ENCONTRADO")),"NO ENCONTRADO"))</f>
        <v/>
      </c>
      <c r="E222" s="74">
        <f t="array" ref="E222">IF(OR($D222="",$D222="NO ENCONTRADO"),"",_xlfn.XLOOKUP($D222,Productos!$E:$E,Productos!$H:$H,""))</f>
        <v/>
      </c>
      <c r="F222" s="74">
        <f t="array" ref="F222">IF(OR($D222="",$D222="NO ENCONTRADO"),"",_xlfn.XLOOKUP($D222,Productos!$E:$E,Productos!$I:$I,""))</f>
        <v/>
      </c>
      <c r="G222" s="74">
        <f t="array" ref="G222">IF(OR($D222="",$D222="NO ENCONTRADO"),"",_xlfn.XLOOKUP($D222,Productos!$E:$E,Productos!$J:$J,""))</f>
        <v/>
      </c>
      <c r="H222" s="74">
        <f t="array" ref="H222">IF(OR($D222="",$D222="NO ENCONTRADO"),"",_xlfn.XLOOKUP($D222,Productos!$E:$E,Productos!$K:$K,""))</f>
        <v/>
      </c>
      <c r="I222" s="74">
        <f t="array" ref="I222">IF(OR($D222="",$D222="NO ENCONTRADO"),"",_xlfn.XLOOKUP($D222,Productos!$E:$E,Productos!$F:$F,""))</f>
        <v/>
      </c>
      <c r="J222" s="74">
        <f>IF($C222="","",IF($D222="NO ENCONTRADO",IF(COUNTIF($C$7:$C$1000,$C222)&gt;1,"⚠️ No encontrado | Duplicado","⚠️ No encontrado"),IF(COUNTIF($C$7:$C$1000,$C222)&gt;1,"⚠️ Duplicado","Verificado")))</f>
        <v/>
      </c>
    </row>
    <row r="223" ht="15.75" customHeight="1" s="176">
      <c r="B223" s="80" t="n"/>
      <c r="C223" s="74" t="n"/>
      <c r="D223" s="74">
        <f t="array" ref="D223">IF($C223="","",IFNA(_xlfn.XLOOKUP($C223,Productos!$A:$A,Productos!$E:$E,IFNA(_xlfn.XLOOKUP(TEXT($C223,"0"),Productos!$A:$A,Productos!$E:$E,IFNA(_xlfn.XLOOKUP(IFERROR(VALUE($C223),""),Productos!$A:$A,Productos!$E:$E,_xlfn.XLOOKUP($C223,Productos!$E:$E,Productos!$E:$E,"NO ENCONTRADO")),"NO ENCONTRADO")),"NO ENCONTRADO")),"NO ENCONTRADO"))</f>
        <v/>
      </c>
      <c r="E223" s="74">
        <f t="array" ref="E223">IF(OR($D223="",$D223="NO ENCONTRADO"),"",_xlfn.XLOOKUP($D223,Productos!$E:$E,Productos!$H:$H,""))</f>
        <v/>
      </c>
      <c r="F223" s="74">
        <f t="array" ref="F223">IF(OR($D223="",$D223="NO ENCONTRADO"),"",_xlfn.XLOOKUP($D223,Productos!$E:$E,Productos!$I:$I,""))</f>
        <v/>
      </c>
      <c r="G223" s="74">
        <f t="array" ref="G223">IF(OR($D223="",$D223="NO ENCONTRADO"),"",_xlfn.XLOOKUP($D223,Productos!$E:$E,Productos!$J:$J,""))</f>
        <v/>
      </c>
      <c r="H223" s="74">
        <f t="array" ref="H223">IF(OR($D223="",$D223="NO ENCONTRADO"),"",_xlfn.XLOOKUP($D223,Productos!$E:$E,Productos!$K:$K,""))</f>
        <v/>
      </c>
      <c r="I223" s="74">
        <f t="array" ref="I223">IF(OR($D223="",$D223="NO ENCONTRADO"),"",_xlfn.XLOOKUP($D223,Productos!$E:$E,Productos!$F:$F,""))</f>
        <v/>
      </c>
      <c r="J223" s="74">
        <f>IF($C223="","",IF($D223="NO ENCONTRADO",IF(COUNTIF($C$7:$C$1000,$C223)&gt;1,"⚠️ No encontrado | Duplicado","⚠️ No encontrado"),IF(COUNTIF($C$7:$C$1000,$C223)&gt;1,"⚠️ Duplicado","Verificado")))</f>
        <v/>
      </c>
    </row>
    <row r="224" ht="15.75" customHeight="1" s="176">
      <c r="B224" s="80" t="n"/>
      <c r="C224" s="74" t="n"/>
      <c r="D224" s="74">
        <f t="array" ref="D224">IF($C224="","",IFNA(_xlfn.XLOOKUP($C224,Productos!$A:$A,Productos!$E:$E,IFNA(_xlfn.XLOOKUP(TEXT($C224,"0"),Productos!$A:$A,Productos!$E:$E,IFNA(_xlfn.XLOOKUP(IFERROR(VALUE($C224),""),Productos!$A:$A,Productos!$E:$E,_xlfn.XLOOKUP($C224,Productos!$E:$E,Productos!$E:$E,"NO ENCONTRADO")),"NO ENCONTRADO")),"NO ENCONTRADO")),"NO ENCONTRADO"))</f>
        <v/>
      </c>
      <c r="E224" s="74">
        <f t="array" ref="E224">IF(OR($D224="",$D224="NO ENCONTRADO"),"",_xlfn.XLOOKUP($D224,Productos!$E:$E,Productos!$H:$H,""))</f>
        <v/>
      </c>
      <c r="F224" s="74">
        <f t="array" ref="F224">IF(OR($D224="",$D224="NO ENCONTRADO"),"",_xlfn.XLOOKUP($D224,Productos!$E:$E,Productos!$I:$I,""))</f>
        <v/>
      </c>
      <c r="G224" s="74">
        <f t="array" ref="G224">IF(OR($D224="",$D224="NO ENCONTRADO"),"",_xlfn.XLOOKUP($D224,Productos!$E:$E,Productos!$J:$J,""))</f>
        <v/>
      </c>
      <c r="H224" s="74">
        <f t="array" ref="H224">IF(OR($D224="",$D224="NO ENCONTRADO"),"",_xlfn.XLOOKUP($D224,Productos!$E:$E,Productos!$K:$K,""))</f>
        <v/>
      </c>
      <c r="I224" s="74">
        <f t="array" ref="I224">IF(OR($D224="",$D224="NO ENCONTRADO"),"",_xlfn.XLOOKUP($D224,Productos!$E:$E,Productos!$F:$F,""))</f>
        <v/>
      </c>
      <c r="J224" s="74">
        <f>IF($C224="","",IF($D224="NO ENCONTRADO",IF(COUNTIF($C$7:$C$1000,$C224)&gt;1,"⚠️ No encontrado | Duplicado","⚠️ No encontrado"),IF(COUNTIF($C$7:$C$1000,$C224)&gt;1,"⚠️ Duplicado","Verificado")))</f>
        <v/>
      </c>
    </row>
    <row r="225" ht="15.75" customHeight="1" s="176">
      <c r="B225" s="80" t="n"/>
      <c r="C225" s="74" t="n"/>
      <c r="D225" s="74">
        <f t="array" ref="D225">IF($C225="","",IFNA(_xlfn.XLOOKUP($C225,Productos!$A:$A,Productos!$E:$E,IFNA(_xlfn.XLOOKUP(TEXT($C225,"0"),Productos!$A:$A,Productos!$E:$E,IFNA(_xlfn.XLOOKUP(IFERROR(VALUE($C225),""),Productos!$A:$A,Productos!$E:$E,_xlfn.XLOOKUP($C225,Productos!$E:$E,Productos!$E:$E,"NO ENCONTRADO")),"NO ENCONTRADO")),"NO ENCONTRADO")),"NO ENCONTRADO"))</f>
        <v/>
      </c>
      <c r="E225" s="74">
        <f t="array" ref="E225">IF(OR($D225="",$D225="NO ENCONTRADO"),"",_xlfn.XLOOKUP($D225,Productos!$E:$E,Productos!$H:$H,""))</f>
        <v/>
      </c>
      <c r="F225" s="74">
        <f t="array" ref="F225">IF(OR($D225="",$D225="NO ENCONTRADO"),"",_xlfn.XLOOKUP($D225,Productos!$E:$E,Productos!$I:$I,""))</f>
        <v/>
      </c>
      <c r="G225" s="74">
        <f t="array" ref="G225">IF(OR($D225="",$D225="NO ENCONTRADO"),"",_xlfn.XLOOKUP($D225,Productos!$E:$E,Productos!$J:$J,""))</f>
        <v/>
      </c>
      <c r="H225" s="74">
        <f t="array" ref="H225">IF(OR($D225="",$D225="NO ENCONTRADO"),"",_xlfn.XLOOKUP($D225,Productos!$E:$E,Productos!$K:$K,""))</f>
        <v/>
      </c>
      <c r="I225" s="74">
        <f t="array" ref="I225">IF(OR($D225="",$D225="NO ENCONTRADO"),"",_xlfn.XLOOKUP($D225,Productos!$E:$E,Productos!$F:$F,""))</f>
        <v/>
      </c>
      <c r="J225" s="74">
        <f>IF($C225="","",IF($D225="NO ENCONTRADO",IF(COUNTIF($C$7:$C$1000,$C225)&gt;1,"⚠️ No encontrado | Duplicado","⚠️ No encontrado"),IF(COUNTIF($C$7:$C$1000,$C225)&gt;1,"⚠️ Duplicado","Verificado")))</f>
        <v/>
      </c>
    </row>
    <row r="226" ht="15.75" customHeight="1" s="176">
      <c r="B226" s="80" t="n"/>
      <c r="C226" s="74" t="n"/>
      <c r="D226" s="74">
        <f t="array" ref="D226">IF($C226="","",IFNA(_xlfn.XLOOKUP($C226,Productos!$A:$A,Productos!$E:$E,IFNA(_xlfn.XLOOKUP(TEXT($C226,"0"),Productos!$A:$A,Productos!$E:$E,IFNA(_xlfn.XLOOKUP(IFERROR(VALUE($C226),""),Productos!$A:$A,Productos!$E:$E,_xlfn.XLOOKUP($C226,Productos!$E:$E,Productos!$E:$E,"NO ENCONTRADO")),"NO ENCONTRADO")),"NO ENCONTRADO")),"NO ENCONTRADO"))</f>
        <v/>
      </c>
      <c r="E226" s="74">
        <f t="array" ref="E226">IF(OR($D226="",$D226="NO ENCONTRADO"),"",_xlfn.XLOOKUP($D226,Productos!$E:$E,Productos!$H:$H,""))</f>
        <v/>
      </c>
      <c r="F226" s="74">
        <f t="array" ref="F226">IF(OR($D226="",$D226="NO ENCONTRADO"),"",_xlfn.XLOOKUP($D226,Productos!$E:$E,Productos!$I:$I,""))</f>
        <v/>
      </c>
      <c r="G226" s="74">
        <f t="array" ref="G226">IF(OR($D226="",$D226="NO ENCONTRADO"),"",_xlfn.XLOOKUP($D226,Productos!$E:$E,Productos!$J:$J,""))</f>
        <v/>
      </c>
      <c r="H226" s="74">
        <f t="array" ref="H226">IF(OR($D226="",$D226="NO ENCONTRADO"),"",_xlfn.XLOOKUP($D226,Productos!$E:$E,Productos!$K:$K,""))</f>
        <v/>
      </c>
      <c r="I226" s="74">
        <f t="array" ref="I226">IF(OR($D226="",$D226="NO ENCONTRADO"),"",_xlfn.XLOOKUP($D226,Productos!$E:$E,Productos!$F:$F,""))</f>
        <v/>
      </c>
      <c r="J226" s="74">
        <f>IF($C226="","",IF($D226="NO ENCONTRADO",IF(COUNTIF($C$7:$C$1000,$C226)&gt;1,"⚠️ No encontrado | Duplicado","⚠️ No encontrado"),IF(COUNTIF($C$7:$C$1000,$C226)&gt;1,"⚠️ Duplicado","Verificado")))</f>
        <v/>
      </c>
    </row>
    <row r="227" ht="15.75" customHeight="1" s="176">
      <c r="B227" s="80" t="n"/>
      <c r="C227" s="74" t="n"/>
      <c r="D227" s="74">
        <f t="array" ref="D227">IF($C227="","",IFNA(_xlfn.XLOOKUP($C227,Productos!$A:$A,Productos!$E:$E,IFNA(_xlfn.XLOOKUP(TEXT($C227,"0"),Productos!$A:$A,Productos!$E:$E,IFNA(_xlfn.XLOOKUP(IFERROR(VALUE($C227),""),Productos!$A:$A,Productos!$E:$E,_xlfn.XLOOKUP($C227,Productos!$E:$E,Productos!$E:$E,"NO ENCONTRADO")),"NO ENCONTRADO")),"NO ENCONTRADO")),"NO ENCONTRADO"))</f>
        <v/>
      </c>
      <c r="E227" s="74">
        <f t="array" ref="E227">IF(OR($D227="",$D227="NO ENCONTRADO"),"",_xlfn.XLOOKUP($D227,Productos!$E:$E,Productos!$H:$H,""))</f>
        <v/>
      </c>
      <c r="F227" s="74">
        <f t="array" ref="F227">IF(OR($D227="",$D227="NO ENCONTRADO"),"",_xlfn.XLOOKUP($D227,Productos!$E:$E,Productos!$I:$I,""))</f>
        <v/>
      </c>
      <c r="G227" s="74">
        <f t="array" ref="G227">IF(OR($D227="",$D227="NO ENCONTRADO"),"",_xlfn.XLOOKUP($D227,Productos!$E:$E,Productos!$J:$J,""))</f>
        <v/>
      </c>
      <c r="H227" s="74">
        <f t="array" ref="H227">IF(OR($D227="",$D227="NO ENCONTRADO"),"",_xlfn.XLOOKUP($D227,Productos!$E:$E,Productos!$K:$K,""))</f>
        <v/>
      </c>
      <c r="I227" s="74">
        <f t="array" ref="I227">IF(OR($D227="",$D227="NO ENCONTRADO"),"",_xlfn.XLOOKUP($D227,Productos!$E:$E,Productos!$F:$F,""))</f>
        <v/>
      </c>
      <c r="J227" s="74">
        <f>IF($C227="","",IF($D227="NO ENCONTRADO",IF(COUNTIF($C$7:$C$1000,$C227)&gt;1,"⚠️ No encontrado | Duplicado","⚠️ No encontrado"),IF(COUNTIF($C$7:$C$1000,$C227)&gt;1,"⚠️ Duplicado","Verificado")))</f>
        <v/>
      </c>
    </row>
    <row r="228" ht="15.75" customHeight="1" s="176">
      <c r="B228" s="80" t="n"/>
      <c r="C228" s="74" t="n"/>
      <c r="D228" s="74">
        <f t="array" ref="D228">IF($C228="","",IFNA(_xlfn.XLOOKUP($C228,Productos!$A:$A,Productos!$E:$E,IFNA(_xlfn.XLOOKUP(TEXT($C228,"0"),Productos!$A:$A,Productos!$E:$E,IFNA(_xlfn.XLOOKUP(IFERROR(VALUE($C228),""),Productos!$A:$A,Productos!$E:$E,_xlfn.XLOOKUP($C228,Productos!$E:$E,Productos!$E:$E,"NO ENCONTRADO")),"NO ENCONTRADO")),"NO ENCONTRADO")),"NO ENCONTRADO"))</f>
        <v/>
      </c>
      <c r="E228" s="74">
        <f t="array" ref="E228">IF(OR($D228="",$D228="NO ENCONTRADO"),"",_xlfn.XLOOKUP($D228,Productos!$E:$E,Productos!$H:$H,""))</f>
        <v/>
      </c>
      <c r="F228" s="74">
        <f t="array" ref="F228">IF(OR($D228="",$D228="NO ENCONTRADO"),"",_xlfn.XLOOKUP($D228,Productos!$E:$E,Productos!$I:$I,""))</f>
        <v/>
      </c>
      <c r="G228" s="74">
        <f t="array" ref="G228">IF(OR($D228="",$D228="NO ENCONTRADO"),"",_xlfn.XLOOKUP($D228,Productos!$E:$E,Productos!$J:$J,""))</f>
        <v/>
      </c>
      <c r="H228" s="74">
        <f t="array" ref="H228">IF(OR($D228="",$D228="NO ENCONTRADO"),"",_xlfn.XLOOKUP($D228,Productos!$E:$E,Productos!$K:$K,""))</f>
        <v/>
      </c>
      <c r="I228" s="74">
        <f t="array" ref="I228">IF(OR($D228="",$D228="NO ENCONTRADO"),"",_xlfn.XLOOKUP($D228,Productos!$E:$E,Productos!$F:$F,""))</f>
        <v/>
      </c>
      <c r="J228" s="74">
        <f>IF($C228="","",IF($D228="NO ENCONTRADO",IF(COUNTIF($C$7:$C$1000,$C228)&gt;1,"⚠️ No encontrado | Duplicado","⚠️ No encontrado"),IF(COUNTIF($C$7:$C$1000,$C228)&gt;1,"⚠️ Duplicado","Verificado")))</f>
        <v/>
      </c>
    </row>
    <row r="229" ht="15.75" customHeight="1" s="176">
      <c r="B229" s="80" t="n"/>
      <c r="C229" s="74" t="n"/>
      <c r="D229" s="74">
        <f t="array" ref="D229">IF($C229="","",IFNA(_xlfn.XLOOKUP($C229,Productos!$A:$A,Productos!$E:$E,IFNA(_xlfn.XLOOKUP(TEXT($C229,"0"),Productos!$A:$A,Productos!$E:$E,IFNA(_xlfn.XLOOKUP(IFERROR(VALUE($C229),""),Productos!$A:$A,Productos!$E:$E,_xlfn.XLOOKUP($C229,Productos!$E:$E,Productos!$E:$E,"NO ENCONTRADO")),"NO ENCONTRADO")),"NO ENCONTRADO")),"NO ENCONTRADO"))</f>
        <v/>
      </c>
      <c r="E229" s="74">
        <f t="array" ref="E229">IF(OR($D229="",$D229="NO ENCONTRADO"),"",_xlfn.XLOOKUP($D229,Productos!$E:$E,Productos!$H:$H,""))</f>
        <v/>
      </c>
      <c r="F229" s="74">
        <f t="array" ref="F229">IF(OR($D229="",$D229="NO ENCONTRADO"),"",_xlfn.XLOOKUP($D229,Productos!$E:$E,Productos!$I:$I,""))</f>
        <v/>
      </c>
      <c r="G229" s="74">
        <f t="array" ref="G229">IF(OR($D229="",$D229="NO ENCONTRADO"),"",_xlfn.XLOOKUP($D229,Productos!$E:$E,Productos!$J:$J,""))</f>
        <v/>
      </c>
      <c r="H229" s="74">
        <f t="array" ref="H229">IF(OR($D229="",$D229="NO ENCONTRADO"),"",_xlfn.XLOOKUP($D229,Productos!$E:$E,Productos!$K:$K,""))</f>
        <v/>
      </c>
      <c r="I229" s="74">
        <f t="array" ref="I229">IF(OR($D229="",$D229="NO ENCONTRADO"),"",_xlfn.XLOOKUP($D229,Productos!$E:$E,Productos!$F:$F,""))</f>
        <v/>
      </c>
      <c r="J229" s="74">
        <f>IF($C229="","",IF($D229="NO ENCONTRADO",IF(COUNTIF($C$7:$C$1000,$C229)&gt;1,"⚠️ No encontrado | Duplicado","⚠️ No encontrado"),IF(COUNTIF($C$7:$C$1000,$C229)&gt;1,"⚠️ Duplicado","Verificado")))</f>
        <v/>
      </c>
    </row>
    <row r="230" ht="15.75" customHeight="1" s="176">
      <c r="B230" s="80" t="n"/>
      <c r="C230" s="74" t="n"/>
      <c r="D230" s="74">
        <f t="array" ref="D230">IF($C230="","",IFNA(_xlfn.XLOOKUP($C230,Productos!$A:$A,Productos!$E:$E,IFNA(_xlfn.XLOOKUP(TEXT($C230,"0"),Productos!$A:$A,Productos!$E:$E,IFNA(_xlfn.XLOOKUP(IFERROR(VALUE($C230),""),Productos!$A:$A,Productos!$E:$E,_xlfn.XLOOKUP($C230,Productos!$E:$E,Productos!$E:$E,"NO ENCONTRADO")),"NO ENCONTRADO")),"NO ENCONTRADO")),"NO ENCONTRADO"))</f>
        <v/>
      </c>
      <c r="E230" s="74">
        <f t="array" ref="E230">IF(OR($D230="",$D230="NO ENCONTRADO"),"",_xlfn.XLOOKUP($D230,Productos!$E:$E,Productos!$H:$H,""))</f>
        <v/>
      </c>
      <c r="F230" s="74">
        <f t="array" ref="F230">IF(OR($D230="",$D230="NO ENCONTRADO"),"",_xlfn.XLOOKUP($D230,Productos!$E:$E,Productos!$I:$I,""))</f>
        <v/>
      </c>
      <c r="G230" s="74">
        <f t="array" ref="G230">IF(OR($D230="",$D230="NO ENCONTRADO"),"",_xlfn.XLOOKUP($D230,Productos!$E:$E,Productos!$J:$J,""))</f>
        <v/>
      </c>
      <c r="H230" s="74">
        <f t="array" ref="H230">IF(OR($D230="",$D230="NO ENCONTRADO"),"",_xlfn.XLOOKUP($D230,Productos!$E:$E,Productos!$K:$K,""))</f>
        <v/>
      </c>
      <c r="I230" s="74">
        <f t="array" ref="I230">IF(OR($D230="",$D230="NO ENCONTRADO"),"",_xlfn.XLOOKUP($D230,Productos!$E:$E,Productos!$F:$F,""))</f>
        <v/>
      </c>
      <c r="J230" s="74">
        <f>IF($C230="","",IF($D230="NO ENCONTRADO",IF(COUNTIF($C$7:$C$1000,$C230)&gt;1,"⚠️ No encontrado | Duplicado","⚠️ No encontrado"),IF(COUNTIF($C$7:$C$1000,$C230)&gt;1,"⚠️ Duplicado","Verificado")))</f>
        <v/>
      </c>
    </row>
    <row r="231" ht="15.75" customHeight="1" s="176">
      <c r="B231" s="80" t="n"/>
      <c r="C231" s="74" t="n"/>
      <c r="D231" s="74">
        <f t="array" ref="D231">IF($C231="","",IFNA(_xlfn.XLOOKUP($C231,Productos!$A:$A,Productos!$E:$E,IFNA(_xlfn.XLOOKUP(TEXT($C231,"0"),Productos!$A:$A,Productos!$E:$E,IFNA(_xlfn.XLOOKUP(IFERROR(VALUE($C231),""),Productos!$A:$A,Productos!$E:$E,_xlfn.XLOOKUP($C231,Productos!$E:$E,Productos!$E:$E,"NO ENCONTRADO")),"NO ENCONTRADO")),"NO ENCONTRADO")),"NO ENCONTRADO"))</f>
        <v/>
      </c>
      <c r="E231" s="74">
        <f t="array" ref="E231">IF(OR($D231="",$D231="NO ENCONTRADO"),"",_xlfn.XLOOKUP($D231,Productos!$E:$E,Productos!$H:$H,""))</f>
        <v/>
      </c>
      <c r="F231" s="74">
        <f t="array" ref="F231">IF(OR($D231="",$D231="NO ENCONTRADO"),"",_xlfn.XLOOKUP($D231,Productos!$E:$E,Productos!$I:$I,""))</f>
        <v/>
      </c>
      <c r="G231" s="74">
        <f t="array" ref="G231">IF(OR($D231="",$D231="NO ENCONTRADO"),"",_xlfn.XLOOKUP($D231,Productos!$E:$E,Productos!$J:$J,""))</f>
        <v/>
      </c>
      <c r="H231" s="74">
        <f t="array" ref="H231">IF(OR($D231="",$D231="NO ENCONTRADO"),"",_xlfn.XLOOKUP($D231,Productos!$E:$E,Productos!$K:$K,""))</f>
        <v/>
      </c>
      <c r="I231" s="74">
        <f t="array" ref="I231">IF(OR($D231="",$D231="NO ENCONTRADO"),"",_xlfn.XLOOKUP($D231,Productos!$E:$E,Productos!$F:$F,""))</f>
        <v/>
      </c>
      <c r="J231" s="74">
        <f>IF($C231="","",IF($D231="NO ENCONTRADO",IF(COUNTIF($C$7:$C$1000,$C231)&gt;1,"⚠️ No encontrado | Duplicado","⚠️ No encontrado"),IF(COUNTIF($C$7:$C$1000,$C231)&gt;1,"⚠️ Duplicado","Verificado")))</f>
        <v/>
      </c>
    </row>
    <row r="232" ht="15.75" customHeight="1" s="176">
      <c r="B232" s="80" t="n"/>
      <c r="C232" s="74" t="n"/>
      <c r="D232" s="74">
        <f t="array" ref="D232">IF($C232="","",IFNA(_xlfn.XLOOKUP($C232,Productos!$A:$A,Productos!$E:$E,IFNA(_xlfn.XLOOKUP(TEXT($C232,"0"),Productos!$A:$A,Productos!$E:$E,IFNA(_xlfn.XLOOKUP(IFERROR(VALUE($C232),""),Productos!$A:$A,Productos!$E:$E,_xlfn.XLOOKUP($C232,Productos!$E:$E,Productos!$E:$E,"NO ENCONTRADO")),"NO ENCONTRADO")),"NO ENCONTRADO")),"NO ENCONTRADO"))</f>
        <v/>
      </c>
      <c r="E232" s="74">
        <f t="array" ref="E232">IF(OR($D232="",$D232="NO ENCONTRADO"),"",_xlfn.XLOOKUP($D232,Productos!$E:$E,Productos!$H:$H,""))</f>
        <v/>
      </c>
      <c r="F232" s="74">
        <f t="array" ref="F232">IF(OR($D232="",$D232="NO ENCONTRADO"),"",_xlfn.XLOOKUP($D232,Productos!$E:$E,Productos!$I:$I,""))</f>
        <v/>
      </c>
      <c r="G232" s="74">
        <f t="array" ref="G232">IF(OR($D232="",$D232="NO ENCONTRADO"),"",_xlfn.XLOOKUP($D232,Productos!$E:$E,Productos!$J:$J,""))</f>
        <v/>
      </c>
      <c r="H232" s="74">
        <f t="array" ref="H232">IF(OR($D232="",$D232="NO ENCONTRADO"),"",_xlfn.XLOOKUP($D232,Productos!$E:$E,Productos!$K:$K,""))</f>
        <v/>
      </c>
      <c r="I232" s="74">
        <f t="array" ref="I232">IF(OR($D232="",$D232="NO ENCONTRADO"),"",_xlfn.XLOOKUP($D232,Productos!$E:$E,Productos!$F:$F,""))</f>
        <v/>
      </c>
      <c r="J232" s="74">
        <f>IF($C232="","",IF($D232="NO ENCONTRADO",IF(COUNTIF($C$7:$C$1000,$C232)&gt;1,"⚠️ No encontrado | Duplicado","⚠️ No encontrado"),IF(COUNTIF($C$7:$C$1000,$C232)&gt;1,"⚠️ Duplicado","Verificado")))</f>
        <v/>
      </c>
    </row>
    <row r="233" ht="15.75" customHeight="1" s="176">
      <c r="B233" s="80" t="n"/>
      <c r="C233" s="74" t="n"/>
      <c r="D233" s="74">
        <f t="array" ref="D233">IF($C233="","",IFNA(_xlfn.XLOOKUP($C233,Productos!$A:$A,Productos!$E:$E,IFNA(_xlfn.XLOOKUP(TEXT($C233,"0"),Productos!$A:$A,Productos!$E:$E,IFNA(_xlfn.XLOOKUP(IFERROR(VALUE($C233),""),Productos!$A:$A,Productos!$E:$E,_xlfn.XLOOKUP($C233,Productos!$E:$E,Productos!$E:$E,"NO ENCONTRADO")),"NO ENCONTRADO")),"NO ENCONTRADO")),"NO ENCONTRADO"))</f>
        <v/>
      </c>
      <c r="E233" s="74">
        <f t="array" ref="E233">IF(OR($D233="",$D233="NO ENCONTRADO"),"",_xlfn.XLOOKUP($D233,Productos!$E:$E,Productos!$H:$H,""))</f>
        <v/>
      </c>
      <c r="F233" s="74">
        <f t="array" ref="F233">IF(OR($D233="",$D233="NO ENCONTRADO"),"",_xlfn.XLOOKUP($D233,Productos!$E:$E,Productos!$I:$I,""))</f>
        <v/>
      </c>
      <c r="G233" s="74">
        <f t="array" ref="G233">IF(OR($D233="",$D233="NO ENCONTRADO"),"",_xlfn.XLOOKUP($D233,Productos!$E:$E,Productos!$J:$J,""))</f>
        <v/>
      </c>
      <c r="H233" s="74">
        <f t="array" ref="H233">IF(OR($D233="",$D233="NO ENCONTRADO"),"",_xlfn.XLOOKUP($D233,Productos!$E:$E,Productos!$K:$K,""))</f>
        <v/>
      </c>
      <c r="I233" s="74">
        <f t="array" ref="I233">IF(OR($D233="",$D233="NO ENCONTRADO"),"",_xlfn.XLOOKUP($D233,Productos!$E:$E,Productos!$F:$F,""))</f>
        <v/>
      </c>
      <c r="J233" s="74">
        <f>IF($C233="","",IF($D233="NO ENCONTRADO",IF(COUNTIF($C$7:$C$1000,$C233)&gt;1,"⚠️ No encontrado | Duplicado","⚠️ No encontrado"),IF(COUNTIF($C$7:$C$1000,$C233)&gt;1,"⚠️ Duplicado","Verificado")))</f>
        <v/>
      </c>
    </row>
    <row r="234" ht="15.75" customHeight="1" s="176">
      <c r="B234" s="80" t="n"/>
      <c r="C234" s="74" t="n"/>
      <c r="D234" s="74">
        <f t="array" ref="D234">IF($C234="","",IFNA(_xlfn.XLOOKUP($C234,Productos!$A:$A,Productos!$E:$E,IFNA(_xlfn.XLOOKUP(TEXT($C234,"0"),Productos!$A:$A,Productos!$E:$E,IFNA(_xlfn.XLOOKUP(IFERROR(VALUE($C234),""),Productos!$A:$A,Productos!$E:$E,_xlfn.XLOOKUP($C234,Productos!$E:$E,Productos!$E:$E,"NO ENCONTRADO")),"NO ENCONTRADO")),"NO ENCONTRADO")),"NO ENCONTRADO"))</f>
        <v/>
      </c>
      <c r="E234" s="74">
        <f t="array" ref="E234">IF(OR($D234="",$D234="NO ENCONTRADO"),"",_xlfn.XLOOKUP($D234,Productos!$E:$E,Productos!$H:$H,""))</f>
        <v/>
      </c>
      <c r="F234" s="74">
        <f t="array" ref="F234">IF(OR($D234="",$D234="NO ENCONTRADO"),"",_xlfn.XLOOKUP($D234,Productos!$E:$E,Productos!$I:$I,""))</f>
        <v/>
      </c>
      <c r="G234" s="74">
        <f t="array" ref="G234">IF(OR($D234="",$D234="NO ENCONTRADO"),"",_xlfn.XLOOKUP($D234,Productos!$E:$E,Productos!$J:$J,""))</f>
        <v/>
      </c>
      <c r="H234" s="74">
        <f t="array" ref="H234">IF(OR($D234="",$D234="NO ENCONTRADO"),"",_xlfn.XLOOKUP($D234,Productos!$E:$E,Productos!$K:$K,""))</f>
        <v/>
      </c>
      <c r="I234" s="74">
        <f t="array" ref="I234">IF(OR($D234="",$D234="NO ENCONTRADO"),"",_xlfn.XLOOKUP($D234,Productos!$E:$E,Productos!$F:$F,""))</f>
        <v/>
      </c>
      <c r="J234" s="74">
        <f>IF($C234="","",IF($D234="NO ENCONTRADO",IF(COUNTIF($C$7:$C$1000,$C234)&gt;1,"⚠️ No encontrado | Duplicado","⚠️ No encontrado"),IF(COUNTIF($C$7:$C$1000,$C234)&gt;1,"⚠️ Duplicado","Verificado")))</f>
        <v/>
      </c>
    </row>
    <row r="235" ht="15.75" customHeight="1" s="176">
      <c r="B235" s="80" t="n"/>
      <c r="C235" s="74" t="n"/>
      <c r="D235" s="74">
        <f t="array" ref="D235">IF($C235="","",IFNA(_xlfn.XLOOKUP($C235,Productos!$A:$A,Productos!$E:$E,IFNA(_xlfn.XLOOKUP(TEXT($C235,"0"),Productos!$A:$A,Productos!$E:$E,IFNA(_xlfn.XLOOKUP(IFERROR(VALUE($C235),""),Productos!$A:$A,Productos!$E:$E,_xlfn.XLOOKUP($C235,Productos!$E:$E,Productos!$E:$E,"NO ENCONTRADO")),"NO ENCONTRADO")),"NO ENCONTRADO")),"NO ENCONTRADO"))</f>
        <v/>
      </c>
      <c r="E235" s="74">
        <f t="array" ref="E235">IF(OR($D235="",$D235="NO ENCONTRADO"),"",_xlfn.XLOOKUP($D235,Productos!$E:$E,Productos!$H:$H,""))</f>
        <v/>
      </c>
      <c r="F235" s="74">
        <f t="array" ref="F235">IF(OR($D235="",$D235="NO ENCONTRADO"),"",_xlfn.XLOOKUP($D235,Productos!$E:$E,Productos!$I:$I,""))</f>
        <v/>
      </c>
      <c r="G235" s="74">
        <f t="array" ref="G235">IF(OR($D235="",$D235="NO ENCONTRADO"),"",_xlfn.XLOOKUP($D235,Productos!$E:$E,Productos!$J:$J,""))</f>
        <v/>
      </c>
      <c r="H235" s="74">
        <f t="array" ref="H235">IF(OR($D235="",$D235="NO ENCONTRADO"),"",_xlfn.XLOOKUP($D235,Productos!$E:$E,Productos!$K:$K,""))</f>
        <v/>
      </c>
      <c r="I235" s="74">
        <f t="array" ref="I235">IF(OR($D235="",$D235="NO ENCONTRADO"),"",_xlfn.XLOOKUP($D235,Productos!$E:$E,Productos!$F:$F,""))</f>
        <v/>
      </c>
      <c r="J235" s="74">
        <f>IF($C235="","",IF($D235="NO ENCONTRADO",IF(COUNTIF($C$7:$C$1000,$C235)&gt;1,"⚠️ No encontrado | Duplicado","⚠️ No encontrado"),IF(COUNTIF($C$7:$C$1000,$C235)&gt;1,"⚠️ Duplicado","Verificado")))</f>
        <v/>
      </c>
    </row>
    <row r="236" ht="15.75" customHeight="1" s="176">
      <c r="B236" s="80" t="n"/>
      <c r="C236" s="74" t="n"/>
      <c r="D236" s="74">
        <f t="array" ref="D236">IF($C236="","",IFNA(_xlfn.XLOOKUP($C236,Productos!$A:$A,Productos!$E:$E,IFNA(_xlfn.XLOOKUP(TEXT($C236,"0"),Productos!$A:$A,Productos!$E:$E,IFNA(_xlfn.XLOOKUP(IFERROR(VALUE($C236),""),Productos!$A:$A,Productos!$E:$E,_xlfn.XLOOKUP($C236,Productos!$E:$E,Productos!$E:$E,"NO ENCONTRADO")),"NO ENCONTRADO")),"NO ENCONTRADO")),"NO ENCONTRADO"))</f>
        <v/>
      </c>
      <c r="E236" s="74">
        <f t="array" ref="E236">IF(OR($D236="",$D236="NO ENCONTRADO"),"",_xlfn.XLOOKUP($D236,Productos!$E:$E,Productos!$H:$H,""))</f>
        <v/>
      </c>
      <c r="F236" s="74">
        <f t="array" ref="F236">IF(OR($D236="",$D236="NO ENCONTRADO"),"",_xlfn.XLOOKUP($D236,Productos!$E:$E,Productos!$I:$I,""))</f>
        <v/>
      </c>
      <c r="G236" s="74">
        <f t="array" ref="G236">IF(OR($D236="",$D236="NO ENCONTRADO"),"",_xlfn.XLOOKUP($D236,Productos!$E:$E,Productos!$J:$J,""))</f>
        <v/>
      </c>
      <c r="H236" s="74">
        <f t="array" ref="H236">IF(OR($D236="",$D236="NO ENCONTRADO"),"",_xlfn.XLOOKUP($D236,Productos!$E:$E,Productos!$K:$K,""))</f>
        <v/>
      </c>
      <c r="I236" s="74">
        <f t="array" ref="I236">IF(OR($D236="",$D236="NO ENCONTRADO"),"",_xlfn.XLOOKUP($D236,Productos!$E:$E,Productos!$F:$F,""))</f>
        <v/>
      </c>
      <c r="J236" s="74">
        <f>IF($C236="","",IF($D236="NO ENCONTRADO",IF(COUNTIF($C$7:$C$1000,$C236)&gt;1,"⚠️ No encontrado | Duplicado","⚠️ No encontrado"),IF(COUNTIF($C$7:$C$1000,$C236)&gt;1,"⚠️ Duplicado","Verificado")))</f>
        <v/>
      </c>
    </row>
    <row r="237" ht="15.75" customHeight="1" s="176">
      <c r="B237" s="80" t="n"/>
      <c r="C237" s="74" t="n"/>
      <c r="D237" s="74">
        <f t="array" ref="D237">IF($C237="","",IFNA(_xlfn.XLOOKUP($C237,Productos!$A:$A,Productos!$E:$E,IFNA(_xlfn.XLOOKUP(TEXT($C237,"0"),Productos!$A:$A,Productos!$E:$E,IFNA(_xlfn.XLOOKUP(IFERROR(VALUE($C237),""),Productos!$A:$A,Productos!$E:$E,_xlfn.XLOOKUP($C237,Productos!$E:$E,Productos!$E:$E,"NO ENCONTRADO")),"NO ENCONTRADO")),"NO ENCONTRADO")),"NO ENCONTRADO"))</f>
        <v/>
      </c>
      <c r="E237" s="74">
        <f t="array" ref="E237">IF(OR($D237="",$D237="NO ENCONTRADO"),"",_xlfn.XLOOKUP($D237,Productos!$E:$E,Productos!$H:$H,""))</f>
        <v/>
      </c>
      <c r="F237" s="74">
        <f t="array" ref="F237">IF(OR($D237="",$D237="NO ENCONTRADO"),"",_xlfn.XLOOKUP($D237,Productos!$E:$E,Productos!$I:$I,""))</f>
        <v/>
      </c>
      <c r="G237" s="74">
        <f t="array" ref="G237">IF(OR($D237="",$D237="NO ENCONTRADO"),"",_xlfn.XLOOKUP($D237,Productos!$E:$E,Productos!$J:$J,""))</f>
        <v/>
      </c>
      <c r="H237" s="74">
        <f t="array" ref="H237">IF(OR($D237="",$D237="NO ENCONTRADO"),"",_xlfn.XLOOKUP($D237,Productos!$E:$E,Productos!$K:$K,""))</f>
        <v/>
      </c>
      <c r="I237" s="74">
        <f t="array" ref="I237">IF(OR($D237="",$D237="NO ENCONTRADO"),"",_xlfn.XLOOKUP($D237,Productos!$E:$E,Productos!$F:$F,""))</f>
        <v/>
      </c>
      <c r="J237" s="74">
        <f>IF($C237="","",IF($D237="NO ENCONTRADO",IF(COUNTIF($C$7:$C$1000,$C237)&gt;1,"⚠️ No encontrado | Duplicado","⚠️ No encontrado"),IF(COUNTIF($C$7:$C$1000,$C237)&gt;1,"⚠️ Duplicado","Verificado")))</f>
        <v/>
      </c>
    </row>
    <row r="238" ht="15.75" customHeight="1" s="176">
      <c r="B238" s="80" t="n"/>
      <c r="C238" s="74" t="n"/>
      <c r="D238" s="74">
        <f t="array" ref="D238">IF($C238="","",IFNA(_xlfn.XLOOKUP($C238,Productos!$A:$A,Productos!$E:$E,IFNA(_xlfn.XLOOKUP(TEXT($C238,"0"),Productos!$A:$A,Productos!$E:$E,IFNA(_xlfn.XLOOKUP(IFERROR(VALUE($C238),""),Productos!$A:$A,Productos!$E:$E,_xlfn.XLOOKUP($C238,Productos!$E:$E,Productos!$E:$E,"NO ENCONTRADO")),"NO ENCONTRADO")),"NO ENCONTRADO")),"NO ENCONTRADO"))</f>
        <v/>
      </c>
      <c r="E238" s="74">
        <f t="array" ref="E238">IF(OR($D238="",$D238="NO ENCONTRADO"),"",_xlfn.XLOOKUP($D238,Productos!$E:$E,Productos!$H:$H,""))</f>
        <v/>
      </c>
      <c r="F238" s="74">
        <f t="array" ref="F238">IF(OR($D238="",$D238="NO ENCONTRADO"),"",_xlfn.XLOOKUP($D238,Productos!$E:$E,Productos!$I:$I,""))</f>
        <v/>
      </c>
      <c r="G238" s="74">
        <f t="array" ref="G238">IF(OR($D238="",$D238="NO ENCONTRADO"),"",_xlfn.XLOOKUP($D238,Productos!$E:$E,Productos!$J:$J,""))</f>
        <v/>
      </c>
      <c r="H238" s="74">
        <f t="array" ref="H238">IF(OR($D238="",$D238="NO ENCONTRADO"),"",_xlfn.XLOOKUP($D238,Productos!$E:$E,Productos!$K:$K,""))</f>
        <v/>
      </c>
      <c r="I238" s="74">
        <f t="array" ref="I238">IF(OR($D238="",$D238="NO ENCONTRADO"),"",_xlfn.XLOOKUP($D238,Productos!$E:$E,Productos!$F:$F,""))</f>
        <v/>
      </c>
      <c r="J238" s="74">
        <f>IF($C238="","",IF($D238="NO ENCONTRADO",IF(COUNTIF($C$7:$C$1000,$C238)&gt;1,"⚠️ No encontrado | Duplicado","⚠️ No encontrado"),IF(COUNTIF($C$7:$C$1000,$C238)&gt;1,"⚠️ Duplicado","Verificado")))</f>
        <v/>
      </c>
    </row>
    <row r="239" ht="15.75" customHeight="1" s="176">
      <c r="B239" s="80" t="n"/>
      <c r="C239" s="74" t="n"/>
      <c r="D239" s="74">
        <f t="array" ref="D239">IF($C239="","",IFNA(_xlfn.XLOOKUP($C239,Productos!$A:$A,Productos!$E:$E,IFNA(_xlfn.XLOOKUP(TEXT($C239,"0"),Productos!$A:$A,Productos!$E:$E,IFNA(_xlfn.XLOOKUP(IFERROR(VALUE($C239),""),Productos!$A:$A,Productos!$E:$E,_xlfn.XLOOKUP($C239,Productos!$E:$E,Productos!$E:$E,"NO ENCONTRADO")),"NO ENCONTRADO")),"NO ENCONTRADO")),"NO ENCONTRADO"))</f>
        <v/>
      </c>
      <c r="E239" s="74">
        <f t="array" ref="E239">IF(OR($D239="",$D239="NO ENCONTRADO"),"",_xlfn.XLOOKUP($D239,Productos!$E:$E,Productos!$H:$H,""))</f>
        <v/>
      </c>
      <c r="F239" s="74">
        <f t="array" ref="F239">IF(OR($D239="",$D239="NO ENCONTRADO"),"",_xlfn.XLOOKUP($D239,Productos!$E:$E,Productos!$I:$I,""))</f>
        <v/>
      </c>
      <c r="G239" s="74">
        <f t="array" ref="G239">IF(OR($D239="",$D239="NO ENCONTRADO"),"",_xlfn.XLOOKUP($D239,Productos!$E:$E,Productos!$J:$J,""))</f>
        <v/>
      </c>
      <c r="H239" s="74">
        <f t="array" ref="H239">IF(OR($D239="",$D239="NO ENCONTRADO"),"",_xlfn.XLOOKUP($D239,Productos!$E:$E,Productos!$K:$K,""))</f>
        <v/>
      </c>
      <c r="I239" s="74">
        <f t="array" ref="I239">IF(OR($D239="",$D239="NO ENCONTRADO"),"",_xlfn.XLOOKUP($D239,Productos!$E:$E,Productos!$F:$F,""))</f>
        <v/>
      </c>
      <c r="J239" s="74">
        <f>IF($C239="","",IF($D239="NO ENCONTRADO",IF(COUNTIF($C$7:$C$1000,$C239)&gt;1,"⚠️ No encontrado | Duplicado","⚠️ No encontrado"),IF(COUNTIF($C$7:$C$1000,$C239)&gt;1,"⚠️ Duplicado","Verificado")))</f>
        <v/>
      </c>
    </row>
    <row r="240" ht="15.75" customHeight="1" s="176">
      <c r="B240" s="80" t="n"/>
      <c r="C240" s="74" t="n"/>
      <c r="D240" s="74">
        <f t="array" ref="D240">IF($C240="","",IFNA(_xlfn.XLOOKUP($C240,Productos!$A:$A,Productos!$E:$E,IFNA(_xlfn.XLOOKUP(TEXT($C240,"0"),Productos!$A:$A,Productos!$E:$E,IFNA(_xlfn.XLOOKUP(IFERROR(VALUE($C240),""),Productos!$A:$A,Productos!$E:$E,_xlfn.XLOOKUP($C240,Productos!$E:$E,Productos!$E:$E,"NO ENCONTRADO")),"NO ENCONTRADO")),"NO ENCONTRADO")),"NO ENCONTRADO"))</f>
        <v/>
      </c>
      <c r="E240" s="74">
        <f t="array" ref="E240">IF(OR($D240="",$D240="NO ENCONTRADO"),"",_xlfn.XLOOKUP($D240,Productos!$E:$E,Productos!$H:$H,""))</f>
        <v/>
      </c>
      <c r="F240" s="74">
        <f t="array" ref="F240">IF(OR($D240="",$D240="NO ENCONTRADO"),"",_xlfn.XLOOKUP($D240,Productos!$E:$E,Productos!$I:$I,""))</f>
        <v/>
      </c>
      <c r="G240" s="74">
        <f t="array" ref="G240">IF(OR($D240="",$D240="NO ENCONTRADO"),"",_xlfn.XLOOKUP($D240,Productos!$E:$E,Productos!$J:$J,""))</f>
        <v/>
      </c>
      <c r="H240" s="74">
        <f t="array" ref="H240">IF(OR($D240="",$D240="NO ENCONTRADO"),"",_xlfn.XLOOKUP($D240,Productos!$E:$E,Productos!$K:$K,""))</f>
        <v/>
      </c>
      <c r="I240" s="74">
        <f t="array" ref="I240">IF(OR($D240="",$D240="NO ENCONTRADO"),"",_xlfn.XLOOKUP($D240,Productos!$E:$E,Productos!$F:$F,""))</f>
        <v/>
      </c>
      <c r="J240" s="74">
        <f>IF($C240="","",IF($D240="NO ENCONTRADO",IF(COUNTIF($C$7:$C$1000,$C240)&gt;1,"⚠️ No encontrado | Duplicado","⚠️ No encontrado"),IF(COUNTIF($C$7:$C$1000,$C240)&gt;1,"⚠️ Duplicado","Verificado")))</f>
        <v/>
      </c>
    </row>
    <row r="241" ht="15.75" customHeight="1" s="176">
      <c r="B241" s="80" t="n"/>
      <c r="C241" s="74" t="n"/>
      <c r="D241" s="74">
        <f t="array" ref="D241">IF($C241="","",IFNA(_xlfn.XLOOKUP($C241,Productos!$A:$A,Productos!$E:$E,IFNA(_xlfn.XLOOKUP(TEXT($C241,"0"),Productos!$A:$A,Productos!$E:$E,IFNA(_xlfn.XLOOKUP(IFERROR(VALUE($C241),""),Productos!$A:$A,Productos!$E:$E,_xlfn.XLOOKUP($C241,Productos!$E:$E,Productos!$E:$E,"NO ENCONTRADO")),"NO ENCONTRADO")),"NO ENCONTRADO")),"NO ENCONTRADO"))</f>
        <v/>
      </c>
      <c r="E241" s="74">
        <f t="array" ref="E241">IF(OR($D241="",$D241="NO ENCONTRADO"),"",_xlfn.XLOOKUP($D241,Productos!$E:$E,Productos!$H:$H,""))</f>
        <v/>
      </c>
      <c r="F241" s="74">
        <f t="array" ref="F241">IF(OR($D241="",$D241="NO ENCONTRADO"),"",_xlfn.XLOOKUP($D241,Productos!$E:$E,Productos!$I:$I,""))</f>
        <v/>
      </c>
      <c r="G241" s="74">
        <f t="array" ref="G241">IF(OR($D241="",$D241="NO ENCONTRADO"),"",_xlfn.XLOOKUP($D241,Productos!$E:$E,Productos!$J:$J,""))</f>
        <v/>
      </c>
      <c r="H241" s="74">
        <f t="array" ref="H241">IF(OR($D241="",$D241="NO ENCONTRADO"),"",_xlfn.XLOOKUP($D241,Productos!$E:$E,Productos!$K:$K,""))</f>
        <v/>
      </c>
      <c r="I241" s="74">
        <f t="array" ref="I241">IF(OR($D241="",$D241="NO ENCONTRADO"),"",_xlfn.XLOOKUP($D241,Productos!$E:$E,Productos!$F:$F,""))</f>
        <v/>
      </c>
      <c r="J241" s="74">
        <f>IF($C241="","",IF($D241="NO ENCONTRADO",IF(COUNTIF($C$7:$C$1000,$C241)&gt;1,"⚠️ No encontrado | Duplicado","⚠️ No encontrado"),IF(COUNTIF($C$7:$C$1000,$C241)&gt;1,"⚠️ Duplicado","Verificado")))</f>
        <v/>
      </c>
    </row>
    <row r="242" ht="15.75" customHeight="1" s="176">
      <c r="B242" s="80" t="n"/>
      <c r="C242" s="74" t="n"/>
      <c r="D242" s="74">
        <f t="array" ref="D242">IF($C242="","",IFNA(_xlfn.XLOOKUP($C242,Productos!$A:$A,Productos!$E:$E,IFNA(_xlfn.XLOOKUP(TEXT($C242,"0"),Productos!$A:$A,Productos!$E:$E,IFNA(_xlfn.XLOOKUP(IFERROR(VALUE($C242),""),Productos!$A:$A,Productos!$E:$E,_xlfn.XLOOKUP($C242,Productos!$E:$E,Productos!$E:$E,"NO ENCONTRADO")),"NO ENCONTRADO")),"NO ENCONTRADO")),"NO ENCONTRADO"))</f>
        <v/>
      </c>
      <c r="E242" s="74">
        <f t="array" ref="E242">IF(OR($D242="",$D242="NO ENCONTRADO"),"",_xlfn.XLOOKUP($D242,Productos!$E:$E,Productos!$H:$H,""))</f>
        <v/>
      </c>
      <c r="F242" s="74">
        <f t="array" ref="F242">IF(OR($D242="",$D242="NO ENCONTRADO"),"",_xlfn.XLOOKUP($D242,Productos!$E:$E,Productos!$I:$I,""))</f>
        <v/>
      </c>
      <c r="G242" s="74">
        <f t="array" ref="G242">IF(OR($D242="",$D242="NO ENCONTRADO"),"",_xlfn.XLOOKUP($D242,Productos!$E:$E,Productos!$J:$J,""))</f>
        <v/>
      </c>
      <c r="H242" s="74">
        <f t="array" ref="H242">IF(OR($D242="",$D242="NO ENCONTRADO"),"",_xlfn.XLOOKUP($D242,Productos!$E:$E,Productos!$K:$K,""))</f>
        <v/>
      </c>
      <c r="I242" s="74">
        <f t="array" ref="I242">IF(OR($D242="",$D242="NO ENCONTRADO"),"",_xlfn.XLOOKUP($D242,Productos!$E:$E,Productos!$F:$F,""))</f>
        <v/>
      </c>
      <c r="J242" s="74">
        <f>IF($C242="","",IF($D242="NO ENCONTRADO",IF(COUNTIF($C$7:$C$1000,$C242)&gt;1,"⚠️ No encontrado | Duplicado","⚠️ No encontrado"),IF(COUNTIF($C$7:$C$1000,$C242)&gt;1,"⚠️ Duplicado","Verificado")))</f>
        <v/>
      </c>
    </row>
    <row r="243" ht="15.75" customHeight="1" s="176">
      <c r="B243" s="80" t="n"/>
      <c r="C243" s="74" t="n"/>
      <c r="D243" s="74">
        <f t="array" ref="D243">IF($C243="","",IFNA(_xlfn.XLOOKUP($C243,Productos!$A:$A,Productos!$E:$E,IFNA(_xlfn.XLOOKUP(TEXT($C243,"0"),Productos!$A:$A,Productos!$E:$E,IFNA(_xlfn.XLOOKUP(IFERROR(VALUE($C243),""),Productos!$A:$A,Productos!$E:$E,_xlfn.XLOOKUP($C243,Productos!$E:$E,Productos!$E:$E,"NO ENCONTRADO")),"NO ENCONTRADO")),"NO ENCONTRADO")),"NO ENCONTRADO"))</f>
        <v/>
      </c>
      <c r="E243" s="74">
        <f t="array" ref="E243">IF(OR($D243="",$D243="NO ENCONTRADO"),"",_xlfn.XLOOKUP($D243,Productos!$E:$E,Productos!$H:$H,""))</f>
        <v/>
      </c>
      <c r="F243" s="74">
        <f t="array" ref="F243">IF(OR($D243="",$D243="NO ENCONTRADO"),"",_xlfn.XLOOKUP($D243,Productos!$E:$E,Productos!$I:$I,""))</f>
        <v/>
      </c>
      <c r="G243" s="74">
        <f t="array" ref="G243">IF(OR($D243="",$D243="NO ENCONTRADO"),"",_xlfn.XLOOKUP($D243,Productos!$E:$E,Productos!$J:$J,""))</f>
        <v/>
      </c>
      <c r="H243" s="74">
        <f t="array" ref="H243">IF(OR($D243="",$D243="NO ENCONTRADO"),"",_xlfn.XLOOKUP($D243,Productos!$E:$E,Productos!$K:$K,""))</f>
        <v/>
      </c>
      <c r="I243" s="74">
        <f t="array" ref="I243">IF(OR($D243="",$D243="NO ENCONTRADO"),"",_xlfn.XLOOKUP($D243,Productos!$E:$E,Productos!$F:$F,""))</f>
        <v/>
      </c>
      <c r="J243" s="74">
        <f>IF($C243="","",IF($D243="NO ENCONTRADO",IF(COUNTIF($C$7:$C$1000,$C243)&gt;1,"⚠️ No encontrado | Duplicado","⚠️ No encontrado"),IF(COUNTIF($C$7:$C$1000,$C243)&gt;1,"⚠️ Duplicado","Verificado")))</f>
        <v/>
      </c>
    </row>
    <row r="244" ht="15.75" customHeight="1" s="176">
      <c r="B244" s="80" t="n"/>
      <c r="C244" s="74" t="n"/>
      <c r="D244" s="74">
        <f t="array" ref="D244">IF($C244="","",IFNA(_xlfn.XLOOKUP($C244,Productos!$A:$A,Productos!$E:$E,IFNA(_xlfn.XLOOKUP(TEXT($C244,"0"),Productos!$A:$A,Productos!$E:$E,IFNA(_xlfn.XLOOKUP(IFERROR(VALUE($C244),""),Productos!$A:$A,Productos!$E:$E,_xlfn.XLOOKUP($C244,Productos!$E:$E,Productos!$E:$E,"NO ENCONTRADO")),"NO ENCONTRADO")),"NO ENCONTRADO")),"NO ENCONTRADO"))</f>
        <v/>
      </c>
      <c r="E244" s="74">
        <f t="array" ref="E244">IF(OR($D244="",$D244="NO ENCONTRADO"),"",_xlfn.XLOOKUP($D244,Productos!$E:$E,Productos!$H:$H,""))</f>
        <v/>
      </c>
      <c r="F244" s="74">
        <f t="array" ref="F244">IF(OR($D244="",$D244="NO ENCONTRADO"),"",_xlfn.XLOOKUP($D244,Productos!$E:$E,Productos!$I:$I,""))</f>
        <v/>
      </c>
      <c r="G244" s="74">
        <f t="array" ref="G244">IF(OR($D244="",$D244="NO ENCONTRADO"),"",_xlfn.XLOOKUP($D244,Productos!$E:$E,Productos!$J:$J,""))</f>
        <v/>
      </c>
      <c r="H244" s="74">
        <f t="array" ref="H244">IF(OR($D244="",$D244="NO ENCONTRADO"),"",_xlfn.XLOOKUP($D244,Productos!$E:$E,Productos!$K:$K,""))</f>
        <v/>
      </c>
      <c r="I244" s="74">
        <f t="array" ref="I244">IF(OR($D244="",$D244="NO ENCONTRADO"),"",_xlfn.XLOOKUP($D244,Productos!$E:$E,Productos!$F:$F,""))</f>
        <v/>
      </c>
      <c r="J244" s="74">
        <f>IF($C244="","",IF($D244="NO ENCONTRADO",IF(COUNTIF($C$7:$C$1000,$C244)&gt;1,"⚠️ No encontrado | Duplicado","⚠️ No encontrado"),IF(COUNTIF($C$7:$C$1000,$C244)&gt;1,"⚠️ Duplicado","Verificado")))</f>
        <v/>
      </c>
    </row>
    <row r="245" ht="15.75" customHeight="1" s="176">
      <c r="B245" s="80" t="n"/>
      <c r="C245" s="74" t="n"/>
      <c r="D245" s="74">
        <f t="array" ref="D245">IF($C245="","",IFNA(_xlfn.XLOOKUP($C245,Productos!$A:$A,Productos!$E:$E,IFNA(_xlfn.XLOOKUP(TEXT($C245,"0"),Productos!$A:$A,Productos!$E:$E,IFNA(_xlfn.XLOOKUP(IFERROR(VALUE($C245),""),Productos!$A:$A,Productos!$E:$E,_xlfn.XLOOKUP($C245,Productos!$E:$E,Productos!$E:$E,"NO ENCONTRADO")),"NO ENCONTRADO")),"NO ENCONTRADO")),"NO ENCONTRADO"))</f>
        <v/>
      </c>
      <c r="E245" s="74">
        <f t="array" ref="E245">IF(OR($D245="",$D245="NO ENCONTRADO"),"",_xlfn.XLOOKUP($D245,Productos!$E:$E,Productos!$H:$H,""))</f>
        <v/>
      </c>
      <c r="F245" s="74">
        <f t="array" ref="F245">IF(OR($D245="",$D245="NO ENCONTRADO"),"",_xlfn.XLOOKUP($D245,Productos!$E:$E,Productos!$I:$I,""))</f>
        <v/>
      </c>
      <c r="G245" s="74">
        <f t="array" ref="G245">IF(OR($D245="",$D245="NO ENCONTRADO"),"",_xlfn.XLOOKUP($D245,Productos!$E:$E,Productos!$J:$J,""))</f>
        <v/>
      </c>
      <c r="H245" s="74">
        <f t="array" ref="H245">IF(OR($D245="",$D245="NO ENCONTRADO"),"",_xlfn.XLOOKUP($D245,Productos!$E:$E,Productos!$K:$K,""))</f>
        <v/>
      </c>
      <c r="I245" s="74">
        <f t="array" ref="I245">IF(OR($D245="",$D245="NO ENCONTRADO"),"",_xlfn.XLOOKUP($D245,Productos!$E:$E,Productos!$F:$F,""))</f>
        <v/>
      </c>
      <c r="J245" s="74">
        <f>IF($C245="","",IF($D245="NO ENCONTRADO",IF(COUNTIF($C$7:$C$1000,$C245)&gt;1,"⚠️ No encontrado | Duplicado","⚠️ No encontrado"),IF(COUNTIF($C$7:$C$1000,$C245)&gt;1,"⚠️ Duplicado","Verificado")))</f>
        <v/>
      </c>
    </row>
    <row r="246" ht="15.75" customHeight="1" s="176">
      <c r="B246" s="80" t="n"/>
      <c r="C246" s="74" t="n"/>
      <c r="D246" s="74">
        <f t="array" ref="D246">IF($C246="","",IFNA(_xlfn.XLOOKUP($C246,Productos!$A:$A,Productos!$E:$E,IFNA(_xlfn.XLOOKUP(TEXT($C246,"0"),Productos!$A:$A,Productos!$E:$E,IFNA(_xlfn.XLOOKUP(IFERROR(VALUE($C246),""),Productos!$A:$A,Productos!$E:$E,_xlfn.XLOOKUP($C246,Productos!$E:$E,Productos!$E:$E,"NO ENCONTRADO")),"NO ENCONTRADO")),"NO ENCONTRADO")),"NO ENCONTRADO"))</f>
        <v/>
      </c>
      <c r="E246" s="74">
        <f t="array" ref="E246">IF(OR($D246="",$D246="NO ENCONTRADO"),"",_xlfn.XLOOKUP($D246,Productos!$E:$E,Productos!$H:$H,""))</f>
        <v/>
      </c>
      <c r="F246" s="74">
        <f t="array" ref="F246">IF(OR($D246="",$D246="NO ENCONTRADO"),"",_xlfn.XLOOKUP($D246,Productos!$E:$E,Productos!$I:$I,""))</f>
        <v/>
      </c>
      <c r="G246" s="74">
        <f t="array" ref="G246">IF(OR($D246="",$D246="NO ENCONTRADO"),"",_xlfn.XLOOKUP($D246,Productos!$E:$E,Productos!$J:$J,""))</f>
        <v/>
      </c>
      <c r="H246" s="74">
        <f t="array" ref="H246">IF(OR($D246="",$D246="NO ENCONTRADO"),"",_xlfn.XLOOKUP($D246,Productos!$E:$E,Productos!$K:$K,""))</f>
        <v/>
      </c>
      <c r="I246" s="74">
        <f t="array" ref="I246">IF(OR($D246="",$D246="NO ENCONTRADO"),"",_xlfn.XLOOKUP($D246,Productos!$E:$E,Productos!$F:$F,""))</f>
        <v/>
      </c>
      <c r="J246" s="74">
        <f>IF($C246="","",IF($D246="NO ENCONTRADO",IF(COUNTIF($C$7:$C$1000,$C246)&gt;1,"⚠️ No encontrado | Duplicado","⚠️ No encontrado"),IF(COUNTIF($C$7:$C$1000,$C246)&gt;1,"⚠️ Duplicado","Verificado")))</f>
        <v/>
      </c>
    </row>
    <row r="247" ht="15.75" customHeight="1" s="176">
      <c r="B247" s="80" t="n"/>
      <c r="C247" s="74" t="n"/>
      <c r="D247" s="74">
        <f t="array" ref="D247">IF($C247="","",IFNA(_xlfn.XLOOKUP($C247,Productos!$A:$A,Productos!$E:$E,IFNA(_xlfn.XLOOKUP(TEXT($C247,"0"),Productos!$A:$A,Productos!$E:$E,IFNA(_xlfn.XLOOKUP(IFERROR(VALUE($C247),""),Productos!$A:$A,Productos!$E:$E,_xlfn.XLOOKUP($C247,Productos!$E:$E,Productos!$E:$E,"NO ENCONTRADO")),"NO ENCONTRADO")),"NO ENCONTRADO")),"NO ENCONTRADO"))</f>
        <v/>
      </c>
      <c r="E247" s="74">
        <f t="array" ref="E247">IF(OR($D247="",$D247="NO ENCONTRADO"),"",_xlfn.XLOOKUP($D247,Productos!$E:$E,Productos!$H:$H,""))</f>
        <v/>
      </c>
      <c r="F247" s="74">
        <f t="array" ref="F247">IF(OR($D247="",$D247="NO ENCONTRADO"),"",_xlfn.XLOOKUP($D247,Productos!$E:$E,Productos!$I:$I,""))</f>
        <v/>
      </c>
      <c r="G247" s="74">
        <f t="array" ref="G247">IF(OR($D247="",$D247="NO ENCONTRADO"),"",_xlfn.XLOOKUP($D247,Productos!$E:$E,Productos!$J:$J,""))</f>
        <v/>
      </c>
      <c r="H247" s="74">
        <f t="array" ref="H247">IF(OR($D247="",$D247="NO ENCONTRADO"),"",_xlfn.XLOOKUP($D247,Productos!$E:$E,Productos!$K:$K,""))</f>
        <v/>
      </c>
      <c r="I247" s="74">
        <f t="array" ref="I247">IF(OR($D247="",$D247="NO ENCONTRADO"),"",_xlfn.XLOOKUP($D247,Productos!$E:$E,Productos!$F:$F,""))</f>
        <v/>
      </c>
      <c r="J247" s="74">
        <f>IF($C247="","",IF($D247="NO ENCONTRADO",IF(COUNTIF($C$7:$C$1000,$C247)&gt;1,"⚠️ No encontrado | Duplicado","⚠️ No encontrado"),IF(COUNTIF($C$7:$C$1000,$C247)&gt;1,"⚠️ Duplicado","Verificado")))</f>
        <v/>
      </c>
    </row>
    <row r="248" ht="15.75" customHeight="1" s="176">
      <c r="B248" s="80" t="n"/>
      <c r="C248" s="74" t="n"/>
      <c r="D248" s="74">
        <f t="array" ref="D248">IF($C248="","",IFNA(_xlfn.XLOOKUP($C248,Productos!$A:$A,Productos!$E:$E,IFNA(_xlfn.XLOOKUP(TEXT($C248,"0"),Productos!$A:$A,Productos!$E:$E,IFNA(_xlfn.XLOOKUP(IFERROR(VALUE($C248),""),Productos!$A:$A,Productos!$E:$E,_xlfn.XLOOKUP($C248,Productos!$E:$E,Productos!$E:$E,"NO ENCONTRADO")),"NO ENCONTRADO")),"NO ENCONTRADO")),"NO ENCONTRADO"))</f>
        <v/>
      </c>
      <c r="E248" s="74">
        <f t="array" ref="E248">IF(OR($D248="",$D248="NO ENCONTRADO"),"",_xlfn.XLOOKUP($D248,Productos!$E:$E,Productos!$H:$H,""))</f>
        <v/>
      </c>
      <c r="F248" s="74">
        <f t="array" ref="F248">IF(OR($D248="",$D248="NO ENCONTRADO"),"",_xlfn.XLOOKUP($D248,Productos!$E:$E,Productos!$I:$I,""))</f>
        <v/>
      </c>
      <c r="G248" s="74">
        <f t="array" ref="G248">IF(OR($D248="",$D248="NO ENCONTRADO"),"",_xlfn.XLOOKUP($D248,Productos!$E:$E,Productos!$J:$J,""))</f>
        <v/>
      </c>
      <c r="H248" s="74">
        <f t="array" ref="H248">IF(OR($D248="",$D248="NO ENCONTRADO"),"",_xlfn.XLOOKUP($D248,Productos!$E:$E,Productos!$K:$K,""))</f>
        <v/>
      </c>
      <c r="I248" s="74">
        <f t="array" ref="I248">IF(OR($D248="",$D248="NO ENCONTRADO"),"",_xlfn.XLOOKUP($D248,Productos!$E:$E,Productos!$F:$F,""))</f>
        <v/>
      </c>
      <c r="J248" s="74">
        <f>IF($C248="","",IF($D248="NO ENCONTRADO",IF(COUNTIF($C$7:$C$1000,$C248)&gt;1,"⚠️ No encontrado | Duplicado","⚠️ No encontrado"),IF(COUNTIF($C$7:$C$1000,$C248)&gt;1,"⚠️ Duplicado","Verificado")))</f>
        <v/>
      </c>
    </row>
    <row r="249" ht="15.75" customHeight="1" s="176">
      <c r="B249" s="80" t="n"/>
      <c r="C249" s="74" t="n"/>
      <c r="D249" s="74">
        <f t="array" ref="D249">IF($C249="","",IFNA(_xlfn.XLOOKUP($C249,Productos!$A:$A,Productos!$E:$E,IFNA(_xlfn.XLOOKUP(TEXT($C249,"0"),Productos!$A:$A,Productos!$E:$E,IFNA(_xlfn.XLOOKUP(IFERROR(VALUE($C249),""),Productos!$A:$A,Productos!$E:$E,_xlfn.XLOOKUP($C249,Productos!$E:$E,Productos!$E:$E,"NO ENCONTRADO")),"NO ENCONTRADO")),"NO ENCONTRADO")),"NO ENCONTRADO"))</f>
        <v/>
      </c>
      <c r="E249" s="74">
        <f t="array" ref="E249">IF(OR($D249="",$D249="NO ENCONTRADO"),"",_xlfn.XLOOKUP($D249,Productos!$E:$E,Productos!$H:$H,""))</f>
        <v/>
      </c>
      <c r="F249" s="74">
        <f t="array" ref="F249">IF(OR($D249="",$D249="NO ENCONTRADO"),"",_xlfn.XLOOKUP($D249,Productos!$E:$E,Productos!$I:$I,""))</f>
        <v/>
      </c>
      <c r="G249" s="74">
        <f t="array" ref="G249">IF(OR($D249="",$D249="NO ENCONTRADO"),"",_xlfn.XLOOKUP($D249,Productos!$E:$E,Productos!$J:$J,""))</f>
        <v/>
      </c>
      <c r="H249" s="74">
        <f t="array" ref="H249">IF(OR($D249="",$D249="NO ENCONTRADO"),"",_xlfn.XLOOKUP($D249,Productos!$E:$E,Productos!$K:$K,""))</f>
        <v/>
      </c>
      <c r="I249" s="74">
        <f t="array" ref="I249">IF(OR($D249="",$D249="NO ENCONTRADO"),"",_xlfn.XLOOKUP($D249,Productos!$E:$E,Productos!$F:$F,""))</f>
        <v/>
      </c>
      <c r="J249" s="74">
        <f>IF($C249="","",IF($D249="NO ENCONTRADO",IF(COUNTIF($C$7:$C$1000,$C249)&gt;1,"⚠️ No encontrado | Duplicado","⚠️ No encontrado"),IF(COUNTIF($C$7:$C$1000,$C249)&gt;1,"⚠️ Duplicado","Verificado")))</f>
        <v/>
      </c>
    </row>
    <row r="250" ht="15.75" customHeight="1" s="176">
      <c r="B250" s="80" t="n"/>
      <c r="C250" s="74" t="n"/>
      <c r="D250" s="74">
        <f t="array" ref="D250">IF($C250="","",IFNA(_xlfn.XLOOKUP($C250,Productos!$A:$A,Productos!$E:$E,IFNA(_xlfn.XLOOKUP(TEXT($C250,"0"),Productos!$A:$A,Productos!$E:$E,IFNA(_xlfn.XLOOKUP(IFERROR(VALUE($C250),""),Productos!$A:$A,Productos!$E:$E,_xlfn.XLOOKUP($C250,Productos!$E:$E,Productos!$E:$E,"NO ENCONTRADO")),"NO ENCONTRADO")),"NO ENCONTRADO")),"NO ENCONTRADO"))</f>
        <v/>
      </c>
      <c r="E250" s="74">
        <f t="array" ref="E250">IF(OR($D250="",$D250="NO ENCONTRADO"),"",_xlfn.XLOOKUP($D250,Productos!$E:$E,Productos!$H:$H,""))</f>
        <v/>
      </c>
      <c r="F250" s="74">
        <f t="array" ref="F250">IF(OR($D250="",$D250="NO ENCONTRADO"),"",_xlfn.XLOOKUP($D250,Productos!$E:$E,Productos!$I:$I,""))</f>
        <v/>
      </c>
      <c r="G250" s="74">
        <f t="array" ref="G250">IF(OR($D250="",$D250="NO ENCONTRADO"),"",_xlfn.XLOOKUP($D250,Productos!$E:$E,Productos!$J:$J,""))</f>
        <v/>
      </c>
      <c r="H250" s="74">
        <f t="array" ref="H250">IF(OR($D250="",$D250="NO ENCONTRADO"),"",_xlfn.XLOOKUP($D250,Productos!$E:$E,Productos!$K:$K,""))</f>
        <v/>
      </c>
      <c r="I250" s="74">
        <f t="array" ref="I250">IF(OR($D250="",$D250="NO ENCONTRADO"),"",_xlfn.XLOOKUP($D250,Productos!$E:$E,Productos!$F:$F,""))</f>
        <v/>
      </c>
      <c r="J250" s="74">
        <f>IF($C250="","",IF($D250="NO ENCONTRADO",IF(COUNTIF($C$7:$C$1000,$C250)&gt;1,"⚠️ No encontrado | Duplicado","⚠️ No encontrado"),IF(COUNTIF($C$7:$C$1000,$C250)&gt;1,"⚠️ Duplicado","Verificado")))</f>
        <v/>
      </c>
    </row>
    <row r="251" ht="15.75" customHeight="1" s="176">
      <c r="B251" s="80" t="n"/>
      <c r="C251" s="74" t="n"/>
      <c r="D251" s="74">
        <f t="array" ref="D251">IF($C251="","",IFNA(_xlfn.XLOOKUP($C251,Productos!$A:$A,Productos!$E:$E,IFNA(_xlfn.XLOOKUP(TEXT($C251,"0"),Productos!$A:$A,Productos!$E:$E,IFNA(_xlfn.XLOOKUP(IFERROR(VALUE($C251),""),Productos!$A:$A,Productos!$E:$E,_xlfn.XLOOKUP($C251,Productos!$E:$E,Productos!$E:$E,"NO ENCONTRADO")),"NO ENCONTRADO")),"NO ENCONTRADO")),"NO ENCONTRADO"))</f>
        <v/>
      </c>
      <c r="E251" s="74">
        <f t="array" ref="E251">IF(OR($D251="",$D251="NO ENCONTRADO"),"",_xlfn.XLOOKUP($D251,Productos!$E:$E,Productos!$H:$H,""))</f>
        <v/>
      </c>
      <c r="F251" s="74">
        <f t="array" ref="F251">IF(OR($D251="",$D251="NO ENCONTRADO"),"",_xlfn.XLOOKUP($D251,Productos!$E:$E,Productos!$I:$I,""))</f>
        <v/>
      </c>
      <c r="G251" s="74">
        <f t="array" ref="G251">IF(OR($D251="",$D251="NO ENCONTRADO"),"",_xlfn.XLOOKUP($D251,Productos!$E:$E,Productos!$J:$J,""))</f>
        <v/>
      </c>
      <c r="H251" s="74">
        <f t="array" ref="H251">IF(OR($D251="",$D251="NO ENCONTRADO"),"",_xlfn.XLOOKUP($D251,Productos!$E:$E,Productos!$K:$K,""))</f>
        <v/>
      </c>
      <c r="I251" s="74">
        <f t="array" ref="I251">IF(OR($D251="",$D251="NO ENCONTRADO"),"",_xlfn.XLOOKUP($D251,Productos!$E:$E,Productos!$F:$F,""))</f>
        <v/>
      </c>
      <c r="J251" s="74">
        <f>IF($C251="","",IF($D251="NO ENCONTRADO",IF(COUNTIF($C$7:$C$1000,$C251)&gt;1,"⚠️ No encontrado | Duplicado","⚠️ No encontrado"),IF(COUNTIF($C$7:$C$1000,$C251)&gt;1,"⚠️ Duplicado","Verificado")))</f>
        <v/>
      </c>
    </row>
    <row r="252" ht="15.75" customHeight="1" s="176">
      <c r="B252" s="80" t="n"/>
      <c r="C252" s="74" t="n"/>
      <c r="D252" s="74">
        <f t="array" ref="D252">IF($C252="","",IFNA(_xlfn.XLOOKUP($C252,Productos!$A:$A,Productos!$E:$E,IFNA(_xlfn.XLOOKUP(TEXT($C252,"0"),Productos!$A:$A,Productos!$E:$E,IFNA(_xlfn.XLOOKUP(IFERROR(VALUE($C252),""),Productos!$A:$A,Productos!$E:$E,_xlfn.XLOOKUP($C252,Productos!$E:$E,Productos!$E:$E,"NO ENCONTRADO")),"NO ENCONTRADO")),"NO ENCONTRADO")),"NO ENCONTRADO"))</f>
        <v/>
      </c>
      <c r="E252" s="74">
        <f t="array" ref="E252">IF(OR($D252="",$D252="NO ENCONTRADO"),"",_xlfn.XLOOKUP($D252,Productos!$E:$E,Productos!$H:$H,""))</f>
        <v/>
      </c>
      <c r="F252" s="74">
        <f t="array" ref="F252">IF(OR($D252="",$D252="NO ENCONTRADO"),"",_xlfn.XLOOKUP($D252,Productos!$E:$E,Productos!$I:$I,""))</f>
        <v/>
      </c>
      <c r="G252" s="74">
        <f t="array" ref="G252">IF(OR($D252="",$D252="NO ENCONTRADO"),"",_xlfn.XLOOKUP($D252,Productos!$E:$E,Productos!$J:$J,""))</f>
        <v/>
      </c>
      <c r="H252" s="74">
        <f t="array" ref="H252">IF(OR($D252="",$D252="NO ENCONTRADO"),"",_xlfn.XLOOKUP($D252,Productos!$E:$E,Productos!$K:$K,""))</f>
        <v/>
      </c>
      <c r="I252" s="74">
        <f t="array" ref="I252">IF(OR($D252="",$D252="NO ENCONTRADO"),"",_xlfn.XLOOKUP($D252,Productos!$E:$E,Productos!$F:$F,""))</f>
        <v/>
      </c>
      <c r="J252" s="74">
        <f>IF($C252="","",IF($D252="NO ENCONTRADO",IF(COUNTIF($C$7:$C$1000,$C252)&gt;1,"⚠️ No encontrado | Duplicado","⚠️ No encontrado"),IF(COUNTIF($C$7:$C$1000,$C252)&gt;1,"⚠️ Duplicado","Verificado")))</f>
        <v/>
      </c>
    </row>
    <row r="253" ht="15.75" customHeight="1" s="176">
      <c r="B253" s="80" t="n"/>
      <c r="C253" s="74" t="n"/>
      <c r="D253" s="74">
        <f t="array" ref="D253">IF($C253="","",IFNA(_xlfn.XLOOKUP($C253,Productos!$A:$A,Productos!$E:$E,IFNA(_xlfn.XLOOKUP(TEXT($C253,"0"),Productos!$A:$A,Productos!$E:$E,IFNA(_xlfn.XLOOKUP(IFERROR(VALUE($C253),""),Productos!$A:$A,Productos!$E:$E,_xlfn.XLOOKUP($C253,Productos!$E:$E,Productos!$E:$E,"NO ENCONTRADO")),"NO ENCONTRADO")),"NO ENCONTRADO")),"NO ENCONTRADO"))</f>
        <v/>
      </c>
      <c r="E253" s="74">
        <f t="array" ref="E253">IF(OR($D253="",$D253="NO ENCONTRADO"),"",_xlfn.XLOOKUP($D253,Productos!$E:$E,Productos!$H:$H,""))</f>
        <v/>
      </c>
      <c r="F253" s="74">
        <f t="array" ref="F253">IF(OR($D253="",$D253="NO ENCONTRADO"),"",_xlfn.XLOOKUP($D253,Productos!$E:$E,Productos!$I:$I,""))</f>
        <v/>
      </c>
      <c r="G253" s="74">
        <f t="array" ref="G253">IF(OR($D253="",$D253="NO ENCONTRADO"),"",_xlfn.XLOOKUP($D253,Productos!$E:$E,Productos!$J:$J,""))</f>
        <v/>
      </c>
      <c r="H253" s="74">
        <f t="array" ref="H253">IF(OR($D253="",$D253="NO ENCONTRADO"),"",_xlfn.XLOOKUP($D253,Productos!$E:$E,Productos!$K:$K,""))</f>
        <v/>
      </c>
      <c r="I253" s="74">
        <f t="array" ref="I253">IF(OR($D253="",$D253="NO ENCONTRADO"),"",_xlfn.XLOOKUP($D253,Productos!$E:$E,Productos!$F:$F,""))</f>
        <v/>
      </c>
      <c r="J253" s="74">
        <f>IF($C253="","",IF($D253="NO ENCONTRADO",IF(COUNTIF($C$7:$C$1000,$C253)&gt;1,"⚠️ No encontrado | Duplicado","⚠️ No encontrado"),IF(COUNTIF($C$7:$C$1000,$C253)&gt;1,"⚠️ Duplicado","Verificado")))</f>
        <v/>
      </c>
    </row>
    <row r="254" ht="15.75" customHeight="1" s="176">
      <c r="B254" s="80" t="n"/>
      <c r="C254" s="74" t="n"/>
      <c r="D254" s="74">
        <f t="array" ref="D254">IF($C254="","",IFNA(_xlfn.XLOOKUP($C254,Productos!$A:$A,Productos!$E:$E,IFNA(_xlfn.XLOOKUP(TEXT($C254,"0"),Productos!$A:$A,Productos!$E:$E,IFNA(_xlfn.XLOOKUP(IFERROR(VALUE($C254),""),Productos!$A:$A,Productos!$E:$E,_xlfn.XLOOKUP($C254,Productos!$E:$E,Productos!$E:$E,"NO ENCONTRADO")),"NO ENCONTRADO")),"NO ENCONTRADO")),"NO ENCONTRADO"))</f>
        <v/>
      </c>
      <c r="E254" s="74">
        <f t="array" ref="E254">IF(OR($D254="",$D254="NO ENCONTRADO"),"",_xlfn.XLOOKUP($D254,Productos!$E:$E,Productos!$H:$H,""))</f>
        <v/>
      </c>
      <c r="F254" s="74">
        <f t="array" ref="F254">IF(OR($D254="",$D254="NO ENCONTRADO"),"",_xlfn.XLOOKUP($D254,Productos!$E:$E,Productos!$I:$I,""))</f>
        <v/>
      </c>
      <c r="G254" s="74">
        <f t="array" ref="G254">IF(OR($D254="",$D254="NO ENCONTRADO"),"",_xlfn.XLOOKUP($D254,Productos!$E:$E,Productos!$J:$J,""))</f>
        <v/>
      </c>
      <c r="H254" s="74">
        <f t="array" ref="H254">IF(OR($D254="",$D254="NO ENCONTRADO"),"",_xlfn.XLOOKUP($D254,Productos!$E:$E,Productos!$K:$K,""))</f>
        <v/>
      </c>
      <c r="I254" s="74">
        <f t="array" ref="I254">IF(OR($D254="",$D254="NO ENCONTRADO"),"",_xlfn.XLOOKUP($D254,Productos!$E:$E,Productos!$F:$F,""))</f>
        <v/>
      </c>
      <c r="J254" s="74">
        <f>IF($C254="","",IF($D254="NO ENCONTRADO",IF(COUNTIF($C$7:$C$1000,$C254)&gt;1,"⚠️ No encontrado | Duplicado","⚠️ No encontrado"),IF(COUNTIF($C$7:$C$1000,$C254)&gt;1,"⚠️ Duplicado","Verificado")))</f>
        <v/>
      </c>
    </row>
    <row r="255" ht="15.75" customHeight="1" s="176">
      <c r="B255" s="80" t="n"/>
      <c r="C255" s="74" t="n"/>
      <c r="D255" s="74">
        <f t="array" ref="D255">IF($C255="","",IFNA(_xlfn.XLOOKUP($C255,Productos!$A:$A,Productos!$E:$E,IFNA(_xlfn.XLOOKUP(TEXT($C255,"0"),Productos!$A:$A,Productos!$E:$E,IFNA(_xlfn.XLOOKUP(IFERROR(VALUE($C255),""),Productos!$A:$A,Productos!$E:$E,_xlfn.XLOOKUP($C255,Productos!$E:$E,Productos!$E:$E,"NO ENCONTRADO")),"NO ENCONTRADO")),"NO ENCONTRADO")),"NO ENCONTRADO"))</f>
        <v/>
      </c>
      <c r="E255" s="74">
        <f t="array" ref="E255">IF(OR($D255="",$D255="NO ENCONTRADO"),"",_xlfn.XLOOKUP($D255,Productos!$E:$E,Productos!$H:$H,""))</f>
        <v/>
      </c>
      <c r="F255" s="74">
        <f t="array" ref="F255">IF(OR($D255="",$D255="NO ENCONTRADO"),"",_xlfn.XLOOKUP($D255,Productos!$E:$E,Productos!$I:$I,""))</f>
        <v/>
      </c>
      <c r="G255" s="74">
        <f t="array" ref="G255">IF(OR($D255="",$D255="NO ENCONTRADO"),"",_xlfn.XLOOKUP($D255,Productos!$E:$E,Productos!$J:$J,""))</f>
        <v/>
      </c>
      <c r="H255" s="74">
        <f t="array" ref="H255">IF(OR($D255="",$D255="NO ENCONTRADO"),"",_xlfn.XLOOKUP($D255,Productos!$E:$E,Productos!$K:$K,""))</f>
        <v/>
      </c>
      <c r="I255" s="74">
        <f t="array" ref="I255">IF(OR($D255="",$D255="NO ENCONTRADO"),"",_xlfn.XLOOKUP($D255,Productos!$E:$E,Productos!$F:$F,""))</f>
        <v/>
      </c>
      <c r="J255" s="74">
        <f>IF($C255="","",IF($D255="NO ENCONTRADO",IF(COUNTIF($C$7:$C$1000,$C255)&gt;1,"⚠️ No encontrado | Duplicado","⚠️ No encontrado"),IF(COUNTIF($C$7:$C$1000,$C255)&gt;1,"⚠️ Duplicado","Verificado")))</f>
        <v/>
      </c>
    </row>
    <row r="256" ht="15.75" customHeight="1" s="176">
      <c r="B256" s="80" t="n"/>
      <c r="C256" s="74" t="n"/>
      <c r="D256" s="74">
        <f t="array" ref="D256">IF($C256="","",IFNA(_xlfn.XLOOKUP($C256,Productos!$A:$A,Productos!$E:$E,IFNA(_xlfn.XLOOKUP(TEXT($C256,"0"),Productos!$A:$A,Productos!$E:$E,IFNA(_xlfn.XLOOKUP(IFERROR(VALUE($C256),""),Productos!$A:$A,Productos!$E:$E,_xlfn.XLOOKUP($C256,Productos!$E:$E,Productos!$E:$E,"NO ENCONTRADO")),"NO ENCONTRADO")),"NO ENCONTRADO")),"NO ENCONTRADO"))</f>
        <v/>
      </c>
      <c r="E256" s="74">
        <f t="array" ref="E256">IF(OR($D256="",$D256="NO ENCONTRADO"),"",_xlfn.XLOOKUP($D256,Productos!$E:$E,Productos!$H:$H,""))</f>
        <v/>
      </c>
      <c r="F256" s="74">
        <f t="array" ref="F256">IF(OR($D256="",$D256="NO ENCONTRADO"),"",_xlfn.XLOOKUP($D256,Productos!$E:$E,Productos!$I:$I,""))</f>
        <v/>
      </c>
      <c r="G256" s="74">
        <f t="array" ref="G256">IF(OR($D256="",$D256="NO ENCONTRADO"),"",_xlfn.XLOOKUP($D256,Productos!$E:$E,Productos!$J:$J,""))</f>
        <v/>
      </c>
      <c r="H256" s="74">
        <f t="array" ref="H256">IF(OR($D256="",$D256="NO ENCONTRADO"),"",_xlfn.XLOOKUP($D256,Productos!$E:$E,Productos!$K:$K,""))</f>
        <v/>
      </c>
      <c r="I256" s="74">
        <f t="array" ref="I256">IF(OR($D256="",$D256="NO ENCONTRADO"),"",_xlfn.XLOOKUP($D256,Productos!$E:$E,Productos!$F:$F,""))</f>
        <v/>
      </c>
      <c r="J256" s="74">
        <f>IF($C256="","",IF($D256="NO ENCONTRADO",IF(COUNTIF($C$7:$C$1000,$C256)&gt;1,"⚠️ No encontrado | Duplicado","⚠️ No encontrado"),IF(COUNTIF($C$7:$C$1000,$C256)&gt;1,"⚠️ Duplicado","Verificado")))</f>
        <v/>
      </c>
    </row>
    <row r="257" ht="15.75" customHeight="1" s="176">
      <c r="B257" s="80" t="n"/>
      <c r="C257" s="74" t="n"/>
      <c r="D257" s="74">
        <f t="array" ref="D257">IF($C257="","",IFNA(_xlfn.XLOOKUP($C257,Productos!$A:$A,Productos!$E:$E,IFNA(_xlfn.XLOOKUP(TEXT($C257,"0"),Productos!$A:$A,Productos!$E:$E,IFNA(_xlfn.XLOOKUP(IFERROR(VALUE($C257),""),Productos!$A:$A,Productos!$E:$E,_xlfn.XLOOKUP($C257,Productos!$E:$E,Productos!$E:$E,"NO ENCONTRADO")),"NO ENCONTRADO")),"NO ENCONTRADO")),"NO ENCONTRADO"))</f>
        <v/>
      </c>
      <c r="E257" s="74">
        <f t="array" ref="E257">IF(OR($D257="",$D257="NO ENCONTRADO"),"",_xlfn.XLOOKUP($D257,Productos!$E:$E,Productos!$H:$H,""))</f>
        <v/>
      </c>
      <c r="F257" s="74">
        <f t="array" ref="F257">IF(OR($D257="",$D257="NO ENCONTRADO"),"",_xlfn.XLOOKUP($D257,Productos!$E:$E,Productos!$I:$I,""))</f>
        <v/>
      </c>
      <c r="G257" s="74">
        <f t="array" ref="G257">IF(OR($D257="",$D257="NO ENCONTRADO"),"",_xlfn.XLOOKUP($D257,Productos!$E:$E,Productos!$J:$J,""))</f>
        <v/>
      </c>
      <c r="H257" s="74">
        <f t="array" ref="H257">IF(OR($D257="",$D257="NO ENCONTRADO"),"",_xlfn.XLOOKUP($D257,Productos!$E:$E,Productos!$K:$K,""))</f>
        <v/>
      </c>
      <c r="I257" s="74">
        <f t="array" ref="I257">IF(OR($D257="",$D257="NO ENCONTRADO"),"",_xlfn.XLOOKUP($D257,Productos!$E:$E,Productos!$F:$F,""))</f>
        <v/>
      </c>
      <c r="J257" s="74">
        <f>IF($C257="","",IF($D257="NO ENCONTRADO",IF(COUNTIF($C$7:$C$1000,$C257)&gt;1,"⚠️ No encontrado | Duplicado","⚠️ No encontrado"),IF(COUNTIF($C$7:$C$1000,$C257)&gt;1,"⚠️ Duplicado","Verificado")))</f>
        <v/>
      </c>
    </row>
    <row r="258" ht="15.75" customHeight="1" s="176">
      <c r="B258" s="80" t="n"/>
      <c r="C258" s="74" t="n"/>
      <c r="D258" s="74">
        <f t="array" ref="D258">IF($C258="","",IFNA(_xlfn.XLOOKUP($C258,Productos!$A:$A,Productos!$E:$E,IFNA(_xlfn.XLOOKUP(TEXT($C258,"0"),Productos!$A:$A,Productos!$E:$E,IFNA(_xlfn.XLOOKUP(IFERROR(VALUE($C258),""),Productos!$A:$A,Productos!$E:$E,_xlfn.XLOOKUP($C258,Productos!$E:$E,Productos!$E:$E,"NO ENCONTRADO")),"NO ENCONTRADO")),"NO ENCONTRADO")),"NO ENCONTRADO"))</f>
        <v/>
      </c>
      <c r="E258" s="74">
        <f t="array" ref="E258">IF(OR($D258="",$D258="NO ENCONTRADO"),"",_xlfn.XLOOKUP($D258,Productos!$E:$E,Productos!$H:$H,""))</f>
        <v/>
      </c>
      <c r="F258" s="74">
        <f t="array" ref="F258">IF(OR($D258="",$D258="NO ENCONTRADO"),"",_xlfn.XLOOKUP($D258,Productos!$E:$E,Productos!$I:$I,""))</f>
        <v/>
      </c>
      <c r="G258" s="74">
        <f t="array" ref="G258">IF(OR($D258="",$D258="NO ENCONTRADO"),"",_xlfn.XLOOKUP($D258,Productos!$E:$E,Productos!$J:$J,""))</f>
        <v/>
      </c>
      <c r="H258" s="74">
        <f t="array" ref="H258">IF(OR($D258="",$D258="NO ENCONTRADO"),"",_xlfn.XLOOKUP($D258,Productos!$E:$E,Productos!$K:$K,""))</f>
        <v/>
      </c>
      <c r="I258" s="74">
        <f t="array" ref="I258">IF(OR($D258="",$D258="NO ENCONTRADO"),"",_xlfn.XLOOKUP($D258,Productos!$E:$E,Productos!$F:$F,""))</f>
        <v/>
      </c>
      <c r="J258" s="74">
        <f>IF($C258="","",IF($D258="NO ENCONTRADO",IF(COUNTIF($C$7:$C$1000,$C258)&gt;1,"⚠️ No encontrado | Duplicado","⚠️ No encontrado"),IF(COUNTIF($C$7:$C$1000,$C258)&gt;1,"⚠️ Duplicado","Verificado")))</f>
        <v/>
      </c>
    </row>
    <row r="259" ht="15.75" customHeight="1" s="176">
      <c r="B259" s="80" t="n"/>
      <c r="C259" s="74" t="n"/>
      <c r="D259" s="74">
        <f t="array" ref="D259">IF($C259="","",IFNA(_xlfn.XLOOKUP($C259,Productos!$A:$A,Productos!$E:$E,IFNA(_xlfn.XLOOKUP(TEXT($C259,"0"),Productos!$A:$A,Productos!$E:$E,IFNA(_xlfn.XLOOKUP(IFERROR(VALUE($C259),""),Productos!$A:$A,Productos!$E:$E,_xlfn.XLOOKUP($C259,Productos!$E:$E,Productos!$E:$E,"NO ENCONTRADO")),"NO ENCONTRADO")),"NO ENCONTRADO")),"NO ENCONTRADO"))</f>
        <v/>
      </c>
      <c r="E259" s="74">
        <f t="array" ref="E259">IF(OR($D259="",$D259="NO ENCONTRADO"),"",_xlfn.XLOOKUP($D259,Productos!$E:$E,Productos!$H:$H,""))</f>
        <v/>
      </c>
      <c r="F259" s="74">
        <f t="array" ref="F259">IF(OR($D259="",$D259="NO ENCONTRADO"),"",_xlfn.XLOOKUP($D259,Productos!$E:$E,Productos!$I:$I,""))</f>
        <v/>
      </c>
      <c r="G259" s="74">
        <f t="array" ref="G259">IF(OR($D259="",$D259="NO ENCONTRADO"),"",_xlfn.XLOOKUP($D259,Productos!$E:$E,Productos!$J:$J,""))</f>
        <v/>
      </c>
      <c r="H259" s="74">
        <f t="array" ref="H259">IF(OR($D259="",$D259="NO ENCONTRADO"),"",_xlfn.XLOOKUP($D259,Productos!$E:$E,Productos!$K:$K,""))</f>
        <v/>
      </c>
      <c r="I259" s="74">
        <f t="array" ref="I259">IF(OR($D259="",$D259="NO ENCONTRADO"),"",_xlfn.XLOOKUP($D259,Productos!$E:$E,Productos!$F:$F,""))</f>
        <v/>
      </c>
      <c r="J259" s="74">
        <f>IF($C259="","",IF($D259="NO ENCONTRADO",IF(COUNTIF($C$7:$C$1000,$C259)&gt;1,"⚠️ No encontrado | Duplicado","⚠️ No encontrado"),IF(COUNTIF($C$7:$C$1000,$C259)&gt;1,"⚠️ Duplicado","Verificado")))</f>
        <v/>
      </c>
    </row>
    <row r="260" ht="15.75" customHeight="1" s="176">
      <c r="B260" s="80" t="n"/>
      <c r="C260" s="74" t="n"/>
      <c r="D260" s="74">
        <f t="array" ref="D260">IF($C260="","",IFNA(_xlfn.XLOOKUP($C260,Productos!$A:$A,Productos!$E:$E,IFNA(_xlfn.XLOOKUP(TEXT($C260,"0"),Productos!$A:$A,Productos!$E:$E,IFNA(_xlfn.XLOOKUP(IFERROR(VALUE($C260),""),Productos!$A:$A,Productos!$E:$E,_xlfn.XLOOKUP($C260,Productos!$E:$E,Productos!$E:$E,"NO ENCONTRADO")),"NO ENCONTRADO")),"NO ENCONTRADO")),"NO ENCONTRADO"))</f>
        <v/>
      </c>
      <c r="E260" s="74">
        <f t="array" ref="E260">IF(OR($D260="",$D260="NO ENCONTRADO"),"",_xlfn.XLOOKUP($D260,Productos!$E:$E,Productos!$H:$H,""))</f>
        <v/>
      </c>
      <c r="F260" s="74">
        <f t="array" ref="F260">IF(OR($D260="",$D260="NO ENCONTRADO"),"",_xlfn.XLOOKUP($D260,Productos!$E:$E,Productos!$I:$I,""))</f>
        <v/>
      </c>
      <c r="G260" s="74">
        <f t="array" ref="G260">IF(OR($D260="",$D260="NO ENCONTRADO"),"",_xlfn.XLOOKUP($D260,Productos!$E:$E,Productos!$J:$J,""))</f>
        <v/>
      </c>
      <c r="H260" s="74">
        <f t="array" ref="H260">IF(OR($D260="",$D260="NO ENCONTRADO"),"",_xlfn.XLOOKUP($D260,Productos!$E:$E,Productos!$K:$K,""))</f>
        <v/>
      </c>
      <c r="I260" s="74">
        <f t="array" ref="I260">IF(OR($D260="",$D260="NO ENCONTRADO"),"",_xlfn.XLOOKUP($D260,Productos!$E:$E,Productos!$F:$F,""))</f>
        <v/>
      </c>
      <c r="J260" s="74">
        <f>IF($C260="","",IF($D260="NO ENCONTRADO",IF(COUNTIF($C$7:$C$1000,$C260)&gt;1,"⚠️ No encontrado | Duplicado","⚠️ No encontrado"),IF(COUNTIF($C$7:$C$1000,$C260)&gt;1,"⚠️ Duplicado","Verificado")))</f>
        <v/>
      </c>
    </row>
    <row r="261" ht="15.75" customHeight="1" s="176">
      <c r="B261" s="80" t="n"/>
      <c r="C261" s="74" t="n"/>
      <c r="D261" s="74">
        <f t="array" ref="D261">IF($C261="","",IFNA(_xlfn.XLOOKUP($C261,Productos!$A:$A,Productos!$E:$E,IFNA(_xlfn.XLOOKUP(TEXT($C261,"0"),Productos!$A:$A,Productos!$E:$E,IFNA(_xlfn.XLOOKUP(IFERROR(VALUE($C261),""),Productos!$A:$A,Productos!$E:$E,_xlfn.XLOOKUP($C261,Productos!$E:$E,Productos!$E:$E,"NO ENCONTRADO")),"NO ENCONTRADO")),"NO ENCONTRADO")),"NO ENCONTRADO"))</f>
        <v/>
      </c>
      <c r="E261" s="74">
        <f t="array" ref="E261">IF(OR($D261="",$D261="NO ENCONTRADO"),"",_xlfn.XLOOKUP($D261,Productos!$E:$E,Productos!$H:$H,""))</f>
        <v/>
      </c>
      <c r="F261" s="74">
        <f t="array" ref="F261">IF(OR($D261="",$D261="NO ENCONTRADO"),"",_xlfn.XLOOKUP($D261,Productos!$E:$E,Productos!$I:$I,""))</f>
        <v/>
      </c>
      <c r="G261" s="74">
        <f t="array" ref="G261">IF(OR($D261="",$D261="NO ENCONTRADO"),"",_xlfn.XLOOKUP($D261,Productos!$E:$E,Productos!$J:$J,""))</f>
        <v/>
      </c>
      <c r="H261" s="74">
        <f t="array" ref="H261">IF(OR($D261="",$D261="NO ENCONTRADO"),"",_xlfn.XLOOKUP($D261,Productos!$E:$E,Productos!$K:$K,""))</f>
        <v/>
      </c>
      <c r="I261" s="74">
        <f t="array" ref="I261">IF(OR($D261="",$D261="NO ENCONTRADO"),"",_xlfn.XLOOKUP($D261,Productos!$E:$E,Productos!$F:$F,""))</f>
        <v/>
      </c>
      <c r="J261" s="74">
        <f>IF($C261="","",IF($D261="NO ENCONTRADO",IF(COUNTIF($C$7:$C$1000,$C261)&gt;1,"⚠️ No encontrado | Duplicado","⚠️ No encontrado"),IF(COUNTIF($C$7:$C$1000,$C261)&gt;1,"⚠️ Duplicado","Verificado")))</f>
        <v/>
      </c>
    </row>
    <row r="262" ht="15.75" customHeight="1" s="176">
      <c r="B262" s="80" t="n"/>
      <c r="C262" s="74" t="n"/>
      <c r="D262" s="74">
        <f t="array" ref="D262">IF($C262="","",IFNA(_xlfn.XLOOKUP($C262,Productos!$A:$A,Productos!$E:$E,IFNA(_xlfn.XLOOKUP(TEXT($C262,"0"),Productos!$A:$A,Productos!$E:$E,IFNA(_xlfn.XLOOKUP(IFERROR(VALUE($C262),""),Productos!$A:$A,Productos!$E:$E,_xlfn.XLOOKUP($C262,Productos!$E:$E,Productos!$E:$E,"NO ENCONTRADO")),"NO ENCONTRADO")),"NO ENCONTRADO")),"NO ENCONTRADO"))</f>
        <v/>
      </c>
      <c r="E262" s="74">
        <f t="array" ref="E262">IF(OR($D262="",$D262="NO ENCONTRADO"),"",_xlfn.XLOOKUP($D262,Productos!$E:$E,Productos!$H:$H,""))</f>
        <v/>
      </c>
      <c r="F262" s="74">
        <f t="array" ref="F262">IF(OR($D262="",$D262="NO ENCONTRADO"),"",_xlfn.XLOOKUP($D262,Productos!$E:$E,Productos!$I:$I,""))</f>
        <v/>
      </c>
      <c r="G262" s="74">
        <f t="array" ref="G262">IF(OR($D262="",$D262="NO ENCONTRADO"),"",_xlfn.XLOOKUP($D262,Productos!$E:$E,Productos!$J:$J,""))</f>
        <v/>
      </c>
      <c r="H262" s="74">
        <f t="array" ref="H262">IF(OR($D262="",$D262="NO ENCONTRADO"),"",_xlfn.XLOOKUP($D262,Productos!$E:$E,Productos!$K:$K,""))</f>
        <v/>
      </c>
      <c r="I262" s="74">
        <f t="array" ref="I262">IF(OR($D262="",$D262="NO ENCONTRADO"),"",_xlfn.XLOOKUP($D262,Productos!$E:$E,Productos!$F:$F,""))</f>
        <v/>
      </c>
      <c r="J262" s="74">
        <f>IF($C262="","",IF($D262="NO ENCONTRADO",IF(COUNTIF($C$7:$C$1000,$C262)&gt;1,"⚠️ No encontrado | Duplicado","⚠️ No encontrado"),IF(COUNTIF($C$7:$C$1000,$C262)&gt;1,"⚠️ Duplicado","Verificado")))</f>
        <v/>
      </c>
    </row>
    <row r="263" ht="15.75" customHeight="1" s="176">
      <c r="B263" s="80" t="n"/>
      <c r="C263" s="74" t="n"/>
      <c r="D263" s="74">
        <f t="array" ref="D263">IF($C263="","",IFNA(_xlfn.XLOOKUP($C263,Productos!$A:$A,Productos!$E:$E,IFNA(_xlfn.XLOOKUP(TEXT($C263,"0"),Productos!$A:$A,Productos!$E:$E,IFNA(_xlfn.XLOOKUP(IFERROR(VALUE($C263),""),Productos!$A:$A,Productos!$E:$E,_xlfn.XLOOKUP($C263,Productos!$E:$E,Productos!$E:$E,"NO ENCONTRADO")),"NO ENCONTRADO")),"NO ENCONTRADO")),"NO ENCONTRADO"))</f>
        <v/>
      </c>
      <c r="E263" s="74">
        <f t="array" ref="E263">IF(OR($D263="",$D263="NO ENCONTRADO"),"",_xlfn.XLOOKUP($D263,Productos!$E:$E,Productos!$H:$H,""))</f>
        <v/>
      </c>
      <c r="F263" s="74">
        <f t="array" ref="F263">IF(OR($D263="",$D263="NO ENCONTRADO"),"",_xlfn.XLOOKUP($D263,Productos!$E:$E,Productos!$I:$I,""))</f>
        <v/>
      </c>
      <c r="G263" s="74">
        <f t="array" ref="G263">IF(OR($D263="",$D263="NO ENCONTRADO"),"",_xlfn.XLOOKUP($D263,Productos!$E:$E,Productos!$J:$J,""))</f>
        <v/>
      </c>
      <c r="H263" s="74">
        <f t="array" ref="H263">IF(OR($D263="",$D263="NO ENCONTRADO"),"",_xlfn.XLOOKUP($D263,Productos!$E:$E,Productos!$K:$K,""))</f>
        <v/>
      </c>
      <c r="I263" s="74">
        <f t="array" ref="I263">IF(OR($D263="",$D263="NO ENCONTRADO"),"",_xlfn.XLOOKUP($D263,Productos!$E:$E,Productos!$F:$F,""))</f>
        <v/>
      </c>
      <c r="J263" s="74">
        <f>IF($C263="","",IF($D263="NO ENCONTRADO",IF(COUNTIF($C$7:$C$1000,$C263)&gt;1,"⚠️ No encontrado | Duplicado","⚠️ No encontrado"),IF(COUNTIF($C$7:$C$1000,$C263)&gt;1,"⚠️ Duplicado","Verificado")))</f>
        <v/>
      </c>
    </row>
    <row r="264" ht="15.75" customHeight="1" s="176">
      <c r="B264" s="80" t="n"/>
      <c r="C264" s="74" t="n"/>
      <c r="D264" s="74">
        <f t="array" ref="D264">IF($C264="","",IFNA(_xlfn.XLOOKUP($C264,Productos!$A:$A,Productos!$E:$E,IFNA(_xlfn.XLOOKUP(TEXT($C264,"0"),Productos!$A:$A,Productos!$E:$E,IFNA(_xlfn.XLOOKUP(IFERROR(VALUE($C264),""),Productos!$A:$A,Productos!$E:$E,_xlfn.XLOOKUP($C264,Productos!$E:$E,Productos!$E:$E,"NO ENCONTRADO")),"NO ENCONTRADO")),"NO ENCONTRADO")),"NO ENCONTRADO"))</f>
        <v/>
      </c>
      <c r="E264" s="74">
        <f t="array" ref="E264">IF(OR($D264="",$D264="NO ENCONTRADO"),"",_xlfn.XLOOKUP($D264,Productos!$E:$E,Productos!$H:$H,""))</f>
        <v/>
      </c>
      <c r="F264" s="74">
        <f t="array" ref="F264">IF(OR($D264="",$D264="NO ENCONTRADO"),"",_xlfn.XLOOKUP($D264,Productos!$E:$E,Productos!$I:$I,""))</f>
        <v/>
      </c>
      <c r="G264" s="74">
        <f t="array" ref="G264">IF(OR($D264="",$D264="NO ENCONTRADO"),"",_xlfn.XLOOKUP($D264,Productos!$E:$E,Productos!$J:$J,""))</f>
        <v/>
      </c>
      <c r="H264" s="74">
        <f t="array" ref="H264">IF(OR($D264="",$D264="NO ENCONTRADO"),"",_xlfn.XLOOKUP($D264,Productos!$E:$E,Productos!$K:$K,""))</f>
        <v/>
      </c>
      <c r="I264" s="74">
        <f t="array" ref="I264">IF(OR($D264="",$D264="NO ENCONTRADO"),"",_xlfn.XLOOKUP($D264,Productos!$E:$E,Productos!$F:$F,""))</f>
        <v/>
      </c>
      <c r="J264" s="74">
        <f>IF($C264="","",IF($D264="NO ENCONTRADO",IF(COUNTIF($C$7:$C$1000,$C264)&gt;1,"⚠️ No encontrado | Duplicado","⚠️ No encontrado"),IF(COUNTIF($C$7:$C$1000,$C264)&gt;1,"⚠️ Duplicado","Verificado")))</f>
        <v/>
      </c>
    </row>
    <row r="265" ht="15.75" customHeight="1" s="176">
      <c r="B265" s="80" t="n"/>
      <c r="C265" s="74" t="n"/>
      <c r="D265" s="74">
        <f t="array" ref="D265">IF($C265="","",IFNA(_xlfn.XLOOKUP($C265,Productos!$A:$A,Productos!$E:$E,IFNA(_xlfn.XLOOKUP(TEXT($C265,"0"),Productos!$A:$A,Productos!$E:$E,IFNA(_xlfn.XLOOKUP(IFERROR(VALUE($C265),""),Productos!$A:$A,Productos!$E:$E,_xlfn.XLOOKUP($C265,Productos!$E:$E,Productos!$E:$E,"NO ENCONTRADO")),"NO ENCONTRADO")),"NO ENCONTRADO")),"NO ENCONTRADO"))</f>
        <v/>
      </c>
      <c r="E265" s="74">
        <f t="array" ref="E265">IF(OR($D265="",$D265="NO ENCONTRADO"),"",_xlfn.XLOOKUP($D265,Productos!$E:$E,Productos!$H:$H,""))</f>
        <v/>
      </c>
      <c r="F265" s="74">
        <f t="array" ref="F265">IF(OR($D265="",$D265="NO ENCONTRADO"),"",_xlfn.XLOOKUP($D265,Productos!$E:$E,Productos!$I:$I,""))</f>
        <v/>
      </c>
      <c r="G265" s="74">
        <f t="array" ref="G265">IF(OR($D265="",$D265="NO ENCONTRADO"),"",_xlfn.XLOOKUP($D265,Productos!$E:$E,Productos!$J:$J,""))</f>
        <v/>
      </c>
      <c r="H265" s="74">
        <f t="array" ref="H265">IF(OR($D265="",$D265="NO ENCONTRADO"),"",_xlfn.XLOOKUP($D265,Productos!$E:$E,Productos!$K:$K,""))</f>
        <v/>
      </c>
      <c r="I265" s="74">
        <f t="array" ref="I265">IF(OR($D265="",$D265="NO ENCONTRADO"),"",_xlfn.XLOOKUP($D265,Productos!$E:$E,Productos!$F:$F,""))</f>
        <v/>
      </c>
      <c r="J265" s="74">
        <f>IF($C265="","",IF($D265="NO ENCONTRADO",IF(COUNTIF($C$7:$C$1000,$C265)&gt;1,"⚠️ No encontrado | Duplicado","⚠️ No encontrado"),IF(COUNTIF($C$7:$C$1000,$C265)&gt;1,"⚠️ Duplicado","Verificado")))</f>
        <v/>
      </c>
    </row>
    <row r="266" ht="15.75" customHeight="1" s="176">
      <c r="B266" s="80" t="n"/>
      <c r="C266" s="74" t="n"/>
      <c r="D266" s="74">
        <f t="array" ref="D266">IF($C266="","",IFNA(_xlfn.XLOOKUP($C266,Productos!$A:$A,Productos!$E:$E,IFNA(_xlfn.XLOOKUP(TEXT($C266,"0"),Productos!$A:$A,Productos!$E:$E,IFNA(_xlfn.XLOOKUP(IFERROR(VALUE($C266),""),Productos!$A:$A,Productos!$E:$E,_xlfn.XLOOKUP($C266,Productos!$E:$E,Productos!$E:$E,"NO ENCONTRADO")),"NO ENCONTRADO")),"NO ENCONTRADO")),"NO ENCONTRADO"))</f>
        <v/>
      </c>
      <c r="E266" s="74">
        <f t="array" ref="E266">IF(OR($D266="",$D266="NO ENCONTRADO"),"",_xlfn.XLOOKUP($D266,Productos!$E:$E,Productos!$H:$H,""))</f>
        <v/>
      </c>
      <c r="F266" s="74">
        <f t="array" ref="F266">IF(OR($D266="",$D266="NO ENCONTRADO"),"",_xlfn.XLOOKUP($D266,Productos!$E:$E,Productos!$I:$I,""))</f>
        <v/>
      </c>
      <c r="G266" s="74">
        <f t="array" ref="G266">IF(OR($D266="",$D266="NO ENCONTRADO"),"",_xlfn.XLOOKUP($D266,Productos!$E:$E,Productos!$J:$J,""))</f>
        <v/>
      </c>
      <c r="H266" s="74">
        <f t="array" ref="H266">IF(OR($D266="",$D266="NO ENCONTRADO"),"",_xlfn.XLOOKUP($D266,Productos!$E:$E,Productos!$K:$K,""))</f>
        <v/>
      </c>
      <c r="I266" s="74">
        <f t="array" ref="I266">IF(OR($D266="",$D266="NO ENCONTRADO"),"",_xlfn.XLOOKUP($D266,Productos!$E:$E,Productos!$F:$F,""))</f>
        <v/>
      </c>
      <c r="J266" s="74">
        <f>IF($C266="","",IF($D266="NO ENCONTRADO",IF(COUNTIF($C$7:$C$1000,$C266)&gt;1,"⚠️ No encontrado | Duplicado","⚠️ No encontrado"),IF(COUNTIF($C$7:$C$1000,$C266)&gt;1,"⚠️ Duplicado","Verificado")))</f>
        <v/>
      </c>
    </row>
    <row r="267" ht="15.75" customHeight="1" s="176">
      <c r="B267" s="80" t="n"/>
      <c r="C267" s="74" t="n"/>
      <c r="D267" s="74">
        <f t="array" ref="D267">IF($C267="","",IFNA(_xlfn.XLOOKUP($C267,Productos!$A:$A,Productos!$E:$E,IFNA(_xlfn.XLOOKUP(TEXT($C267,"0"),Productos!$A:$A,Productos!$E:$E,IFNA(_xlfn.XLOOKUP(IFERROR(VALUE($C267),""),Productos!$A:$A,Productos!$E:$E,_xlfn.XLOOKUP($C267,Productos!$E:$E,Productos!$E:$E,"NO ENCONTRADO")),"NO ENCONTRADO")),"NO ENCONTRADO")),"NO ENCONTRADO"))</f>
        <v/>
      </c>
      <c r="E267" s="74">
        <f t="array" ref="E267">IF(OR($D267="",$D267="NO ENCONTRADO"),"",_xlfn.XLOOKUP($D267,Productos!$E:$E,Productos!$H:$H,""))</f>
        <v/>
      </c>
      <c r="F267" s="74">
        <f t="array" ref="F267">IF(OR($D267="",$D267="NO ENCONTRADO"),"",_xlfn.XLOOKUP($D267,Productos!$E:$E,Productos!$I:$I,""))</f>
        <v/>
      </c>
      <c r="G267" s="74">
        <f t="array" ref="G267">IF(OR($D267="",$D267="NO ENCONTRADO"),"",_xlfn.XLOOKUP($D267,Productos!$E:$E,Productos!$J:$J,""))</f>
        <v/>
      </c>
      <c r="H267" s="74">
        <f t="array" ref="H267">IF(OR($D267="",$D267="NO ENCONTRADO"),"",_xlfn.XLOOKUP($D267,Productos!$E:$E,Productos!$K:$K,""))</f>
        <v/>
      </c>
      <c r="I267" s="74">
        <f t="array" ref="I267">IF(OR($D267="",$D267="NO ENCONTRADO"),"",_xlfn.XLOOKUP($D267,Productos!$E:$E,Productos!$F:$F,""))</f>
        <v/>
      </c>
      <c r="J267" s="74">
        <f>IF($C267="","",IF($D267="NO ENCONTRADO",IF(COUNTIF($C$7:$C$1000,$C267)&gt;1,"⚠️ No encontrado | Duplicado","⚠️ No encontrado"),IF(COUNTIF($C$7:$C$1000,$C267)&gt;1,"⚠️ Duplicado","Verificado")))</f>
        <v/>
      </c>
    </row>
    <row r="268" ht="15.75" customHeight="1" s="176">
      <c r="B268" s="80" t="n"/>
      <c r="C268" s="74" t="n"/>
      <c r="D268" s="74">
        <f t="array" ref="D268">IF($C268="","",IFNA(_xlfn.XLOOKUP($C268,Productos!$A:$A,Productos!$E:$E,IFNA(_xlfn.XLOOKUP(TEXT($C268,"0"),Productos!$A:$A,Productos!$E:$E,IFNA(_xlfn.XLOOKUP(IFERROR(VALUE($C268),""),Productos!$A:$A,Productos!$E:$E,_xlfn.XLOOKUP($C268,Productos!$E:$E,Productos!$E:$E,"NO ENCONTRADO")),"NO ENCONTRADO")),"NO ENCONTRADO")),"NO ENCONTRADO"))</f>
        <v/>
      </c>
      <c r="E268" s="74">
        <f t="array" ref="E268">IF(OR($D268="",$D268="NO ENCONTRADO"),"",_xlfn.XLOOKUP($D268,Productos!$E:$E,Productos!$H:$H,""))</f>
        <v/>
      </c>
      <c r="F268" s="74">
        <f t="array" ref="F268">IF(OR($D268="",$D268="NO ENCONTRADO"),"",_xlfn.XLOOKUP($D268,Productos!$E:$E,Productos!$I:$I,""))</f>
        <v/>
      </c>
      <c r="G268" s="74">
        <f t="array" ref="G268">IF(OR($D268="",$D268="NO ENCONTRADO"),"",_xlfn.XLOOKUP($D268,Productos!$E:$E,Productos!$J:$J,""))</f>
        <v/>
      </c>
      <c r="H268" s="74">
        <f t="array" ref="H268">IF(OR($D268="",$D268="NO ENCONTRADO"),"",_xlfn.XLOOKUP($D268,Productos!$E:$E,Productos!$K:$K,""))</f>
        <v/>
      </c>
      <c r="I268" s="74">
        <f t="array" ref="I268">IF(OR($D268="",$D268="NO ENCONTRADO"),"",_xlfn.XLOOKUP($D268,Productos!$E:$E,Productos!$F:$F,""))</f>
        <v/>
      </c>
      <c r="J268" s="74">
        <f>IF($C268="","",IF($D268="NO ENCONTRADO",IF(COUNTIF($C$7:$C$1000,$C268)&gt;1,"⚠️ No encontrado | Duplicado","⚠️ No encontrado"),IF(COUNTIF($C$7:$C$1000,$C268)&gt;1,"⚠️ Duplicado","Verificado")))</f>
        <v/>
      </c>
    </row>
    <row r="269" ht="15.75" customHeight="1" s="176">
      <c r="B269" s="80" t="n"/>
      <c r="C269" s="74" t="n"/>
      <c r="D269" s="74">
        <f t="array" ref="D269">IF($C269="","",IFNA(_xlfn.XLOOKUP($C269,Productos!$A:$A,Productos!$E:$E,IFNA(_xlfn.XLOOKUP(TEXT($C269,"0"),Productos!$A:$A,Productos!$E:$E,IFNA(_xlfn.XLOOKUP(IFERROR(VALUE($C269),""),Productos!$A:$A,Productos!$E:$E,_xlfn.XLOOKUP($C269,Productos!$E:$E,Productos!$E:$E,"NO ENCONTRADO")),"NO ENCONTRADO")),"NO ENCONTRADO")),"NO ENCONTRADO"))</f>
        <v/>
      </c>
      <c r="E269" s="74">
        <f t="array" ref="E269">IF(OR($D269="",$D269="NO ENCONTRADO"),"",_xlfn.XLOOKUP($D269,Productos!$E:$E,Productos!$H:$H,""))</f>
        <v/>
      </c>
      <c r="F269" s="74">
        <f t="array" ref="F269">IF(OR($D269="",$D269="NO ENCONTRADO"),"",_xlfn.XLOOKUP($D269,Productos!$E:$E,Productos!$I:$I,""))</f>
        <v/>
      </c>
      <c r="G269" s="74">
        <f t="array" ref="G269">IF(OR($D269="",$D269="NO ENCONTRADO"),"",_xlfn.XLOOKUP($D269,Productos!$E:$E,Productos!$J:$J,""))</f>
        <v/>
      </c>
      <c r="H269" s="74">
        <f t="array" ref="H269">IF(OR($D269="",$D269="NO ENCONTRADO"),"",_xlfn.XLOOKUP($D269,Productos!$E:$E,Productos!$K:$K,""))</f>
        <v/>
      </c>
      <c r="I269" s="74">
        <f t="array" ref="I269">IF(OR($D269="",$D269="NO ENCONTRADO"),"",_xlfn.XLOOKUP($D269,Productos!$E:$E,Productos!$F:$F,""))</f>
        <v/>
      </c>
      <c r="J269" s="74">
        <f>IF($C269="","",IF($D269="NO ENCONTRADO",IF(COUNTIF($C$7:$C$1000,$C269)&gt;1,"⚠️ No encontrado | Duplicado","⚠️ No encontrado"),IF(COUNTIF($C$7:$C$1000,$C269)&gt;1,"⚠️ Duplicado","Verificado")))</f>
        <v/>
      </c>
    </row>
    <row r="270" ht="15.75" customHeight="1" s="176">
      <c r="B270" s="80" t="n"/>
      <c r="C270" s="74" t="n"/>
      <c r="D270" s="74">
        <f t="array" ref="D270">IF($C270="","",IFNA(_xlfn.XLOOKUP($C270,Productos!$A:$A,Productos!$E:$E,IFNA(_xlfn.XLOOKUP(TEXT($C270,"0"),Productos!$A:$A,Productos!$E:$E,IFNA(_xlfn.XLOOKUP(IFERROR(VALUE($C270),""),Productos!$A:$A,Productos!$E:$E,_xlfn.XLOOKUP($C270,Productos!$E:$E,Productos!$E:$E,"NO ENCONTRADO")),"NO ENCONTRADO")),"NO ENCONTRADO")),"NO ENCONTRADO"))</f>
        <v/>
      </c>
      <c r="E270" s="74">
        <f t="array" ref="E270">IF(OR($D270="",$D270="NO ENCONTRADO"),"",_xlfn.XLOOKUP($D270,Productos!$E:$E,Productos!$H:$H,""))</f>
        <v/>
      </c>
      <c r="F270" s="74">
        <f t="array" ref="F270">IF(OR($D270="",$D270="NO ENCONTRADO"),"",_xlfn.XLOOKUP($D270,Productos!$E:$E,Productos!$I:$I,""))</f>
        <v/>
      </c>
      <c r="G270" s="74">
        <f t="array" ref="G270">IF(OR($D270="",$D270="NO ENCONTRADO"),"",_xlfn.XLOOKUP($D270,Productos!$E:$E,Productos!$J:$J,""))</f>
        <v/>
      </c>
      <c r="H270" s="74">
        <f t="array" ref="H270">IF(OR($D270="",$D270="NO ENCONTRADO"),"",_xlfn.XLOOKUP($D270,Productos!$E:$E,Productos!$K:$K,""))</f>
        <v/>
      </c>
      <c r="I270" s="74">
        <f t="array" ref="I270">IF(OR($D270="",$D270="NO ENCONTRADO"),"",_xlfn.XLOOKUP($D270,Productos!$E:$E,Productos!$F:$F,""))</f>
        <v/>
      </c>
      <c r="J270" s="74">
        <f>IF($C270="","",IF($D270="NO ENCONTRADO",IF(COUNTIF($C$7:$C$1000,$C270)&gt;1,"⚠️ No encontrado | Duplicado","⚠️ No encontrado"),IF(COUNTIF($C$7:$C$1000,$C270)&gt;1,"⚠️ Duplicado","Verificado")))</f>
        <v/>
      </c>
    </row>
    <row r="271" ht="15.75" customHeight="1" s="176">
      <c r="B271" s="80" t="n"/>
      <c r="C271" s="74" t="n"/>
      <c r="D271" s="74">
        <f t="array" ref="D271">IF($C271="","",IFNA(_xlfn.XLOOKUP($C271,Productos!$A:$A,Productos!$E:$E,IFNA(_xlfn.XLOOKUP(TEXT($C271,"0"),Productos!$A:$A,Productos!$E:$E,IFNA(_xlfn.XLOOKUP(IFERROR(VALUE($C271),""),Productos!$A:$A,Productos!$E:$E,_xlfn.XLOOKUP($C271,Productos!$E:$E,Productos!$E:$E,"NO ENCONTRADO")),"NO ENCONTRADO")),"NO ENCONTRADO")),"NO ENCONTRADO"))</f>
        <v/>
      </c>
      <c r="E271" s="74">
        <f t="array" ref="E271">IF(OR($D271="",$D271="NO ENCONTRADO"),"",_xlfn.XLOOKUP($D271,Productos!$E:$E,Productos!$H:$H,""))</f>
        <v/>
      </c>
      <c r="F271" s="74">
        <f t="array" ref="F271">IF(OR($D271="",$D271="NO ENCONTRADO"),"",_xlfn.XLOOKUP($D271,Productos!$E:$E,Productos!$I:$I,""))</f>
        <v/>
      </c>
      <c r="G271" s="74">
        <f t="array" ref="G271">IF(OR($D271="",$D271="NO ENCONTRADO"),"",_xlfn.XLOOKUP($D271,Productos!$E:$E,Productos!$J:$J,""))</f>
        <v/>
      </c>
      <c r="H271" s="74">
        <f t="array" ref="H271">IF(OR($D271="",$D271="NO ENCONTRADO"),"",_xlfn.XLOOKUP($D271,Productos!$E:$E,Productos!$K:$K,""))</f>
        <v/>
      </c>
      <c r="I271" s="74">
        <f t="array" ref="I271">IF(OR($D271="",$D271="NO ENCONTRADO"),"",_xlfn.XLOOKUP($D271,Productos!$E:$E,Productos!$F:$F,""))</f>
        <v/>
      </c>
      <c r="J271" s="74">
        <f>IF($C271="","",IF($D271="NO ENCONTRADO",IF(COUNTIF($C$7:$C$1000,$C271)&gt;1,"⚠️ No encontrado | Duplicado","⚠️ No encontrado"),IF(COUNTIF($C$7:$C$1000,$C271)&gt;1,"⚠️ Duplicado","Verificado")))</f>
        <v/>
      </c>
    </row>
    <row r="272" ht="15.75" customHeight="1" s="176">
      <c r="B272" s="80" t="n"/>
      <c r="C272" s="74" t="n"/>
      <c r="D272" s="74">
        <f t="array" ref="D272">IF($C272="","",IFNA(_xlfn.XLOOKUP($C272,Productos!$A:$A,Productos!$E:$E,IFNA(_xlfn.XLOOKUP(TEXT($C272,"0"),Productos!$A:$A,Productos!$E:$E,IFNA(_xlfn.XLOOKUP(IFERROR(VALUE($C272),""),Productos!$A:$A,Productos!$E:$E,_xlfn.XLOOKUP($C272,Productos!$E:$E,Productos!$E:$E,"NO ENCONTRADO")),"NO ENCONTRADO")),"NO ENCONTRADO")),"NO ENCONTRADO"))</f>
        <v/>
      </c>
      <c r="E272" s="74">
        <f t="array" ref="E272">IF(OR($D272="",$D272="NO ENCONTRADO"),"",_xlfn.XLOOKUP($D272,Productos!$E:$E,Productos!$H:$H,""))</f>
        <v/>
      </c>
      <c r="F272" s="74">
        <f t="array" ref="F272">IF(OR($D272="",$D272="NO ENCONTRADO"),"",_xlfn.XLOOKUP($D272,Productos!$E:$E,Productos!$I:$I,""))</f>
        <v/>
      </c>
      <c r="G272" s="74">
        <f t="array" ref="G272">IF(OR($D272="",$D272="NO ENCONTRADO"),"",_xlfn.XLOOKUP($D272,Productos!$E:$E,Productos!$J:$J,""))</f>
        <v/>
      </c>
      <c r="H272" s="74">
        <f t="array" ref="H272">IF(OR($D272="",$D272="NO ENCONTRADO"),"",_xlfn.XLOOKUP($D272,Productos!$E:$E,Productos!$K:$K,""))</f>
        <v/>
      </c>
      <c r="I272" s="74">
        <f t="array" ref="I272">IF(OR($D272="",$D272="NO ENCONTRADO"),"",_xlfn.XLOOKUP($D272,Productos!$E:$E,Productos!$F:$F,""))</f>
        <v/>
      </c>
      <c r="J272" s="74">
        <f>IF($C272="","",IF($D272="NO ENCONTRADO",IF(COUNTIF($C$7:$C$1000,$C272)&gt;1,"⚠️ No encontrado | Duplicado","⚠️ No encontrado"),IF(COUNTIF($C$7:$C$1000,$C272)&gt;1,"⚠️ Duplicado","Verificado")))</f>
        <v/>
      </c>
    </row>
    <row r="273" ht="15.75" customHeight="1" s="176">
      <c r="B273" s="80" t="n"/>
      <c r="C273" s="74" t="n"/>
      <c r="D273" s="74">
        <f t="array" ref="D273">IF($C273="","",IFNA(_xlfn.XLOOKUP($C273,Productos!$A:$A,Productos!$E:$E,IFNA(_xlfn.XLOOKUP(TEXT($C273,"0"),Productos!$A:$A,Productos!$E:$E,IFNA(_xlfn.XLOOKUP(IFERROR(VALUE($C273),""),Productos!$A:$A,Productos!$E:$E,_xlfn.XLOOKUP($C273,Productos!$E:$E,Productos!$E:$E,"NO ENCONTRADO")),"NO ENCONTRADO")),"NO ENCONTRADO")),"NO ENCONTRADO"))</f>
        <v/>
      </c>
      <c r="E273" s="74">
        <f t="array" ref="E273">IF(OR($D273="",$D273="NO ENCONTRADO"),"",_xlfn.XLOOKUP($D273,Productos!$E:$E,Productos!$H:$H,""))</f>
        <v/>
      </c>
      <c r="F273" s="74">
        <f t="array" ref="F273">IF(OR($D273="",$D273="NO ENCONTRADO"),"",_xlfn.XLOOKUP($D273,Productos!$E:$E,Productos!$I:$I,""))</f>
        <v/>
      </c>
      <c r="G273" s="74">
        <f t="array" ref="G273">IF(OR($D273="",$D273="NO ENCONTRADO"),"",_xlfn.XLOOKUP($D273,Productos!$E:$E,Productos!$J:$J,""))</f>
        <v/>
      </c>
      <c r="H273" s="74">
        <f t="array" ref="H273">IF(OR($D273="",$D273="NO ENCONTRADO"),"",_xlfn.XLOOKUP($D273,Productos!$E:$E,Productos!$K:$K,""))</f>
        <v/>
      </c>
      <c r="I273" s="74">
        <f t="array" ref="I273">IF(OR($D273="",$D273="NO ENCONTRADO"),"",_xlfn.XLOOKUP($D273,Productos!$E:$E,Productos!$F:$F,""))</f>
        <v/>
      </c>
      <c r="J273" s="74">
        <f>IF($C273="","",IF($D273="NO ENCONTRADO",IF(COUNTIF($C$7:$C$1000,$C273)&gt;1,"⚠️ No encontrado | Duplicado","⚠️ No encontrado"),IF(COUNTIF($C$7:$C$1000,$C273)&gt;1,"⚠️ Duplicado","Verificado")))</f>
        <v/>
      </c>
    </row>
    <row r="274" ht="15.75" customHeight="1" s="176">
      <c r="B274" s="80" t="n"/>
      <c r="C274" s="74" t="n"/>
      <c r="D274" s="74">
        <f t="array" ref="D274">IF($C274="","",IFNA(_xlfn.XLOOKUP($C274,Productos!$A:$A,Productos!$E:$E,IFNA(_xlfn.XLOOKUP(TEXT($C274,"0"),Productos!$A:$A,Productos!$E:$E,IFNA(_xlfn.XLOOKUP(IFERROR(VALUE($C274),""),Productos!$A:$A,Productos!$E:$E,_xlfn.XLOOKUP($C274,Productos!$E:$E,Productos!$E:$E,"NO ENCONTRADO")),"NO ENCONTRADO")),"NO ENCONTRADO")),"NO ENCONTRADO"))</f>
        <v/>
      </c>
      <c r="E274" s="74">
        <f t="array" ref="E274">IF(OR($D274="",$D274="NO ENCONTRADO"),"",_xlfn.XLOOKUP($D274,Productos!$E:$E,Productos!$H:$H,""))</f>
        <v/>
      </c>
      <c r="F274" s="74">
        <f t="array" ref="F274">IF(OR($D274="",$D274="NO ENCONTRADO"),"",_xlfn.XLOOKUP($D274,Productos!$E:$E,Productos!$I:$I,""))</f>
        <v/>
      </c>
      <c r="G274" s="74">
        <f t="array" ref="G274">IF(OR($D274="",$D274="NO ENCONTRADO"),"",_xlfn.XLOOKUP($D274,Productos!$E:$E,Productos!$J:$J,""))</f>
        <v/>
      </c>
      <c r="H274" s="74">
        <f t="array" ref="H274">IF(OR($D274="",$D274="NO ENCONTRADO"),"",_xlfn.XLOOKUP($D274,Productos!$E:$E,Productos!$K:$K,""))</f>
        <v/>
      </c>
      <c r="I274" s="74">
        <f t="array" ref="I274">IF(OR($D274="",$D274="NO ENCONTRADO"),"",_xlfn.XLOOKUP($D274,Productos!$E:$E,Productos!$F:$F,""))</f>
        <v/>
      </c>
      <c r="J274" s="74">
        <f>IF($C274="","",IF($D274="NO ENCONTRADO",IF(COUNTIF($C$7:$C$1000,$C274)&gt;1,"⚠️ No encontrado | Duplicado","⚠️ No encontrado"),IF(COUNTIF($C$7:$C$1000,$C274)&gt;1,"⚠️ Duplicado","Verificado")))</f>
        <v/>
      </c>
    </row>
    <row r="275" ht="15.75" customHeight="1" s="176">
      <c r="B275" s="80" t="n"/>
      <c r="C275" s="74" t="n"/>
      <c r="D275" s="74">
        <f t="array" ref="D275">IF($C275="","",IFNA(_xlfn.XLOOKUP($C275,Productos!$A:$A,Productos!$E:$E,IFNA(_xlfn.XLOOKUP(TEXT($C275,"0"),Productos!$A:$A,Productos!$E:$E,IFNA(_xlfn.XLOOKUP(IFERROR(VALUE($C275),""),Productos!$A:$A,Productos!$E:$E,_xlfn.XLOOKUP($C275,Productos!$E:$E,Productos!$E:$E,"NO ENCONTRADO")),"NO ENCONTRADO")),"NO ENCONTRADO")),"NO ENCONTRADO"))</f>
        <v/>
      </c>
      <c r="E275" s="74">
        <f t="array" ref="E275">IF(OR($D275="",$D275="NO ENCONTRADO"),"",_xlfn.XLOOKUP($D275,Productos!$E:$E,Productos!$H:$H,""))</f>
        <v/>
      </c>
      <c r="F275" s="74">
        <f t="array" ref="F275">IF(OR($D275="",$D275="NO ENCONTRADO"),"",_xlfn.XLOOKUP($D275,Productos!$E:$E,Productos!$I:$I,""))</f>
        <v/>
      </c>
      <c r="G275" s="74">
        <f t="array" ref="G275">IF(OR($D275="",$D275="NO ENCONTRADO"),"",_xlfn.XLOOKUP($D275,Productos!$E:$E,Productos!$J:$J,""))</f>
        <v/>
      </c>
      <c r="H275" s="74">
        <f t="array" ref="H275">IF(OR($D275="",$D275="NO ENCONTRADO"),"",_xlfn.XLOOKUP($D275,Productos!$E:$E,Productos!$K:$K,""))</f>
        <v/>
      </c>
      <c r="I275" s="74">
        <f t="array" ref="I275">IF(OR($D275="",$D275="NO ENCONTRADO"),"",_xlfn.XLOOKUP($D275,Productos!$E:$E,Productos!$F:$F,""))</f>
        <v/>
      </c>
      <c r="J275" s="74">
        <f>IF($C275="","",IF($D275="NO ENCONTRADO",IF(COUNTIF($C$7:$C$1000,$C275)&gt;1,"⚠️ No encontrado | Duplicado","⚠️ No encontrado"),IF(COUNTIF($C$7:$C$1000,$C275)&gt;1,"⚠️ Duplicado","Verificado")))</f>
        <v/>
      </c>
    </row>
    <row r="276" ht="15.75" customHeight="1" s="176">
      <c r="B276" s="80" t="n"/>
      <c r="C276" s="74" t="n"/>
      <c r="D276" s="74">
        <f t="array" ref="D276">IF($C276="","",IFNA(_xlfn.XLOOKUP($C276,Productos!$A:$A,Productos!$E:$E,IFNA(_xlfn.XLOOKUP(TEXT($C276,"0"),Productos!$A:$A,Productos!$E:$E,IFNA(_xlfn.XLOOKUP(IFERROR(VALUE($C276),""),Productos!$A:$A,Productos!$E:$E,_xlfn.XLOOKUP($C276,Productos!$E:$E,Productos!$E:$E,"NO ENCONTRADO")),"NO ENCONTRADO")),"NO ENCONTRADO")),"NO ENCONTRADO"))</f>
        <v/>
      </c>
      <c r="E276" s="74">
        <f t="array" ref="E276">IF(OR($D276="",$D276="NO ENCONTRADO"),"",_xlfn.XLOOKUP($D276,Productos!$E:$E,Productos!$H:$H,""))</f>
        <v/>
      </c>
      <c r="F276" s="74">
        <f t="array" ref="F276">IF(OR($D276="",$D276="NO ENCONTRADO"),"",_xlfn.XLOOKUP($D276,Productos!$E:$E,Productos!$I:$I,""))</f>
        <v/>
      </c>
      <c r="G276" s="74">
        <f t="array" ref="G276">IF(OR($D276="",$D276="NO ENCONTRADO"),"",_xlfn.XLOOKUP($D276,Productos!$E:$E,Productos!$J:$J,""))</f>
        <v/>
      </c>
      <c r="H276" s="74">
        <f t="array" ref="H276">IF(OR($D276="",$D276="NO ENCONTRADO"),"",_xlfn.XLOOKUP($D276,Productos!$E:$E,Productos!$K:$K,""))</f>
        <v/>
      </c>
      <c r="I276" s="74">
        <f t="array" ref="I276">IF(OR($D276="",$D276="NO ENCONTRADO"),"",_xlfn.XLOOKUP($D276,Productos!$E:$E,Productos!$F:$F,""))</f>
        <v/>
      </c>
      <c r="J276" s="74">
        <f>IF($C276="","",IF($D276="NO ENCONTRADO",IF(COUNTIF($C$7:$C$1000,$C276)&gt;1,"⚠️ No encontrado | Duplicado","⚠️ No encontrado"),IF(COUNTIF($C$7:$C$1000,$C276)&gt;1,"⚠️ Duplicado","Verificado")))</f>
        <v/>
      </c>
    </row>
    <row r="277" ht="15.75" customHeight="1" s="176">
      <c r="B277" s="80" t="n"/>
      <c r="C277" s="74" t="n"/>
      <c r="D277" s="74">
        <f t="array" ref="D277">IF($C277="","",IFNA(_xlfn.XLOOKUP($C277,Productos!$A:$A,Productos!$E:$E,IFNA(_xlfn.XLOOKUP(TEXT($C277,"0"),Productos!$A:$A,Productos!$E:$E,IFNA(_xlfn.XLOOKUP(IFERROR(VALUE($C277),""),Productos!$A:$A,Productos!$E:$E,_xlfn.XLOOKUP($C277,Productos!$E:$E,Productos!$E:$E,"NO ENCONTRADO")),"NO ENCONTRADO")),"NO ENCONTRADO")),"NO ENCONTRADO"))</f>
        <v/>
      </c>
      <c r="E277" s="74">
        <f t="array" ref="E277">IF(OR($D277="",$D277="NO ENCONTRADO"),"",_xlfn.XLOOKUP($D277,Productos!$E:$E,Productos!$H:$H,""))</f>
        <v/>
      </c>
      <c r="F277" s="74">
        <f t="array" ref="F277">IF(OR($D277="",$D277="NO ENCONTRADO"),"",_xlfn.XLOOKUP($D277,Productos!$E:$E,Productos!$I:$I,""))</f>
        <v/>
      </c>
      <c r="G277" s="74">
        <f t="array" ref="G277">IF(OR($D277="",$D277="NO ENCONTRADO"),"",_xlfn.XLOOKUP($D277,Productos!$E:$E,Productos!$J:$J,""))</f>
        <v/>
      </c>
      <c r="H277" s="74">
        <f t="array" ref="H277">IF(OR($D277="",$D277="NO ENCONTRADO"),"",_xlfn.XLOOKUP($D277,Productos!$E:$E,Productos!$K:$K,""))</f>
        <v/>
      </c>
      <c r="I277" s="74">
        <f t="array" ref="I277">IF(OR($D277="",$D277="NO ENCONTRADO"),"",_xlfn.XLOOKUP($D277,Productos!$E:$E,Productos!$F:$F,""))</f>
        <v/>
      </c>
      <c r="J277" s="74">
        <f>IF($C277="","",IF($D277="NO ENCONTRADO",IF(COUNTIF($C$7:$C$1000,$C277)&gt;1,"⚠️ No encontrado | Duplicado","⚠️ No encontrado"),IF(COUNTIF($C$7:$C$1000,$C277)&gt;1,"⚠️ Duplicado","Verificado")))</f>
        <v/>
      </c>
    </row>
    <row r="278" ht="15.75" customHeight="1" s="176">
      <c r="B278" s="80" t="n"/>
      <c r="C278" s="74" t="n"/>
      <c r="D278" s="74">
        <f t="array" ref="D278">IF($C278="","",IFNA(_xlfn.XLOOKUP($C278,Productos!$A:$A,Productos!$E:$E,IFNA(_xlfn.XLOOKUP(TEXT($C278,"0"),Productos!$A:$A,Productos!$E:$E,IFNA(_xlfn.XLOOKUP(IFERROR(VALUE($C278),""),Productos!$A:$A,Productos!$E:$E,_xlfn.XLOOKUP($C278,Productos!$E:$E,Productos!$E:$E,"NO ENCONTRADO")),"NO ENCONTRADO")),"NO ENCONTRADO")),"NO ENCONTRADO"))</f>
        <v/>
      </c>
      <c r="E278" s="74">
        <f t="array" ref="E278">IF(OR($D278="",$D278="NO ENCONTRADO"),"",_xlfn.XLOOKUP($D278,Productos!$E:$E,Productos!$H:$H,""))</f>
        <v/>
      </c>
      <c r="F278" s="74">
        <f t="array" ref="F278">IF(OR($D278="",$D278="NO ENCONTRADO"),"",_xlfn.XLOOKUP($D278,Productos!$E:$E,Productos!$I:$I,""))</f>
        <v/>
      </c>
      <c r="G278" s="74">
        <f t="array" ref="G278">IF(OR($D278="",$D278="NO ENCONTRADO"),"",_xlfn.XLOOKUP($D278,Productos!$E:$E,Productos!$J:$J,""))</f>
        <v/>
      </c>
      <c r="H278" s="74">
        <f t="array" ref="H278">IF(OR($D278="",$D278="NO ENCONTRADO"),"",_xlfn.XLOOKUP($D278,Productos!$E:$E,Productos!$K:$K,""))</f>
        <v/>
      </c>
      <c r="I278" s="74">
        <f t="array" ref="I278">IF(OR($D278="",$D278="NO ENCONTRADO"),"",_xlfn.XLOOKUP($D278,Productos!$E:$E,Productos!$F:$F,""))</f>
        <v/>
      </c>
      <c r="J278" s="74">
        <f>IF($C278="","",IF($D278="NO ENCONTRADO",IF(COUNTIF($C$7:$C$1000,$C278)&gt;1,"⚠️ No encontrado | Duplicado","⚠️ No encontrado"),IF(COUNTIF($C$7:$C$1000,$C278)&gt;1,"⚠️ Duplicado","Verificado")))</f>
        <v/>
      </c>
    </row>
    <row r="279" ht="15.75" customHeight="1" s="176">
      <c r="B279" s="80" t="n"/>
      <c r="C279" s="74" t="n"/>
      <c r="D279" s="74">
        <f t="array" ref="D279">IF($C279="","",IFNA(_xlfn.XLOOKUP($C279,Productos!$A:$A,Productos!$E:$E,IFNA(_xlfn.XLOOKUP(TEXT($C279,"0"),Productos!$A:$A,Productos!$E:$E,IFNA(_xlfn.XLOOKUP(IFERROR(VALUE($C279),""),Productos!$A:$A,Productos!$E:$E,_xlfn.XLOOKUP($C279,Productos!$E:$E,Productos!$E:$E,"NO ENCONTRADO")),"NO ENCONTRADO")),"NO ENCONTRADO")),"NO ENCONTRADO"))</f>
        <v/>
      </c>
      <c r="E279" s="74">
        <f t="array" ref="E279">IF(OR($D279="",$D279="NO ENCONTRADO"),"",_xlfn.XLOOKUP($D279,Productos!$E:$E,Productos!$H:$H,""))</f>
        <v/>
      </c>
      <c r="F279" s="74">
        <f t="array" ref="F279">IF(OR($D279="",$D279="NO ENCONTRADO"),"",_xlfn.XLOOKUP($D279,Productos!$E:$E,Productos!$I:$I,""))</f>
        <v/>
      </c>
      <c r="G279" s="74">
        <f t="array" ref="G279">IF(OR($D279="",$D279="NO ENCONTRADO"),"",_xlfn.XLOOKUP($D279,Productos!$E:$E,Productos!$J:$J,""))</f>
        <v/>
      </c>
      <c r="H279" s="74">
        <f t="array" ref="H279">IF(OR($D279="",$D279="NO ENCONTRADO"),"",_xlfn.XLOOKUP($D279,Productos!$E:$E,Productos!$K:$K,""))</f>
        <v/>
      </c>
      <c r="I279" s="74">
        <f t="array" ref="I279">IF(OR($D279="",$D279="NO ENCONTRADO"),"",_xlfn.XLOOKUP($D279,Productos!$E:$E,Productos!$F:$F,""))</f>
        <v/>
      </c>
      <c r="J279" s="74">
        <f>IF($C279="","",IF($D279="NO ENCONTRADO",IF(COUNTIF($C$7:$C$1000,$C279)&gt;1,"⚠️ No encontrado | Duplicado","⚠️ No encontrado"),IF(COUNTIF($C$7:$C$1000,$C279)&gt;1,"⚠️ Duplicado","Verificado")))</f>
        <v/>
      </c>
    </row>
    <row r="280" ht="15.75" customHeight="1" s="176">
      <c r="B280" s="80" t="n"/>
      <c r="C280" s="74" t="n"/>
      <c r="D280" s="74">
        <f t="array" ref="D280">IF($C280="","",IFNA(_xlfn.XLOOKUP($C280,Productos!$A:$A,Productos!$E:$E,IFNA(_xlfn.XLOOKUP(TEXT($C280,"0"),Productos!$A:$A,Productos!$E:$E,IFNA(_xlfn.XLOOKUP(IFERROR(VALUE($C280),""),Productos!$A:$A,Productos!$E:$E,_xlfn.XLOOKUP($C280,Productos!$E:$E,Productos!$E:$E,"NO ENCONTRADO")),"NO ENCONTRADO")),"NO ENCONTRADO")),"NO ENCONTRADO"))</f>
        <v/>
      </c>
      <c r="E280" s="74">
        <f t="array" ref="E280">IF(OR($D280="",$D280="NO ENCONTRADO"),"",_xlfn.XLOOKUP($D280,Productos!$E:$E,Productos!$H:$H,""))</f>
        <v/>
      </c>
      <c r="F280" s="74">
        <f t="array" ref="F280">IF(OR($D280="",$D280="NO ENCONTRADO"),"",_xlfn.XLOOKUP($D280,Productos!$E:$E,Productos!$I:$I,""))</f>
        <v/>
      </c>
      <c r="G280" s="74">
        <f t="array" ref="G280">IF(OR($D280="",$D280="NO ENCONTRADO"),"",_xlfn.XLOOKUP($D280,Productos!$E:$E,Productos!$J:$J,""))</f>
        <v/>
      </c>
      <c r="H280" s="74">
        <f t="array" ref="H280">IF(OR($D280="",$D280="NO ENCONTRADO"),"",_xlfn.XLOOKUP($D280,Productos!$E:$E,Productos!$K:$K,""))</f>
        <v/>
      </c>
      <c r="I280" s="74">
        <f t="array" ref="I280">IF(OR($D280="",$D280="NO ENCONTRADO"),"",_xlfn.XLOOKUP($D280,Productos!$E:$E,Productos!$F:$F,""))</f>
        <v/>
      </c>
      <c r="J280" s="74">
        <f>IF($C280="","",IF($D280="NO ENCONTRADO",IF(COUNTIF($C$7:$C$1000,$C280)&gt;1,"⚠️ No encontrado | Duplicado","⚠️ No encontrado"),IF(COUNTIF($C$7:$C$1000,$C280)&gt;1,"⚠️ Duplicado","Verificado")))</f>
        <v/>
      </c>
    </row>
    <row r="281" ht="15.75" customHeight="1" s="176">
      <c r="B281" s="80" t="n"/>
      <c r="C281" s="74" t="n"/>
      <c r="D281" s="74">
        <f t="array" ref="D281">IF($C281="","",IFNA(_xlfn.XLOOKUP($C281,Productos!$A:$A,Productos!$E:$E,IFNA(_xlfn.XLOOKUP(TEXT($C281,"0"),Productos!$A:$A,Productos!$E:$E,IFNA(_xlfn.XLOOKUP(IFERROR(VALUE($C281),""),Productos!$A:$A,Productos!$E:$E,_xlfn.XLOOKUP($C281,Productos!$E:$E,Productos!$E:$E,"NO ENCONTRADO")),"NO ENCONTRADO")),"NO ENCONTRADO")),"NO ENCONTRADO"))</f>
        <v/>
      </c>
      <c r="E281" s="74">
        <f t="array" ref="E281">IF(OR($D281="",$D281="NO ENCONTRADO"),"",_xlfn.XLOOKUP($D281,Productos!$E:$E,Productos!$H:$H,""))</f>
        <v/>
      </c>
      <c r="F281" s="74">
        <f t="array" ref="F281">IF(OR($D281="",$D281="NO ENCONTRADO"),"",_xlfn.XLOOKUP($D281,Productos!$E:$E,Productos!$I:$I,""))</f>
        <v/>
      </c>
      <c r="G281" s="74">
        <f t="array" ref="G281">IF(OR($D281="",$D281="NO ENCONTRADO"),"",_xlfn.XLOOKUP($D281,Productos!$E:$E,Productos!$J:$J,""))</f>
        <v/>
      </c>
      <c r="H281" s="74">
        <f t="array" ref="H281">IF(OR($D281="",$D281="NO ENCONTRADO"),"",_xlfn.XLOOKUP($D281,Productos!$E:$E,Productos!$K:$K,""))</f>
        <v/>
      </c>
      <c r="I281" s="74">
        <f t="array" ref="I281">IF(OR($D281="",$D281="NO ENCONTRADO"),"",_xlfn.XLOOKUP($D281,Productos!$E:$E,Productos!$F:$F,""))</f>
        <v/>
      </c>
      <c r="J281" s="74">
        <f>IF($C281="","",IF($D281="NO ENCONTRADO",IF(COUNTIF($C$7:$C$1000,$C281)&gt;1,"⚠️ No encontrado | Duplicado","⚠️ No encontrado"),IF(COUNTIF($C$7:$C$1000,$C281)&gt;1,"⚠️ Duplicado","Verificado")))</f>
        <v/>
      </c>
    </row>
    <row r="282" ht="15.75" customHeight="1" s="176">
      <c r="B282" s="80" t="n"/>
      <c r="C282" s="74" t="n"/>
      <c r="D282" s="74">
        <f t="array" ref="D282">IF($C282="","",IFNA(_xlfn.XLOOKUP($C282,Productos!$A:$A,Productos!$E:$E,IFNA(_xlfn.XLOOKUP(TEXT($C282,"0"),Productos!$A:$A,Productos!$E:$E,IFNA(_xlfn.XLOOKUP(IFERROR(VALUE($C282),""),Productos!$A:$A,Productos!$E:$E,_xlfn.XLOOKUP($C282,Productos!$E:$E,Productos!$E:$E,"NO ENCONTRADO")),"NO ENCONTRADO")),"NO ENCONTRADO")),"NO ENCONTRADO"))</f>
        <v/>
      </c>
      <c r="E282" s="74">
        <f t="array" ref="E282">IF(OR($D282="",$D282="NO ENCONTRADO"),"",_xlfn.XLOOKUP($D282,Productos!$E:$E,Productos!$H:$H,""))</f>
        <v/>
      </c>
      <c r="F282" s="74">
        <f t="array" ref="F282">IF(OR($D282="",$D282="NO ENCONTRADO"),"",_xlfn.XLOOKUP($D282,Productos!$E:$E,Productos!$I:$I,""))</f>
        <v/>
      </c>
      <c r="G282" s="74">
        <f t="array" ref="G282">IF(OR($D282="",$D282="NO ENCONTRADO"),"",_xlfn.XLOOKUP($D282,Productos!$E:$E,Productos!$J:$J,""))</f>
        <v/>
      </c>
      <c r="H282" s="74">
        <f t="array" ref="H282">IF(OR($D282="",$D282="NO ENCONTRADO"),"",_xlfn.XLOOKUP($D282,Productos!$E:$E,Productos!$K:$K,""))</f>
        <v/>
      </c>
      <c r="I282" s="74">
        <f t="array" ref="I282">IF(OR($D282="",$D282="NO ENCONTRADO"),"",_xlfn.XLOOKUP($D282,Productos!$E:$E,Productos!$F:$F,""))</f>
        <v/>
      </c>
      <c r="J282" s="74">
        <f>IF($C282="","",IF($D282="NO ENCONTRADO",IF(COUNTIF($C$7:$C$1000,$C282)&gt;1,"⚠️ No encontrado | Duplicado","⚠️ No encontrado"),IF(COUNTIF($C$7:$C$1000,$C282)&gt;1,"⚠️ Duplicado","Verificado")))</f>
        <v/>
      </c>
    </row>
    <row r="283" ht="15.75" customHeight="1" s="176">
      <c r="B283" s="80" t="n"/>
      <c r="C283" s="74" t="n"/>
      <c r="D283" s="74">
        <f t="array" ref="D283">IF($C283="","",IFNA(_xlfn.XLOOKUP($C283,Productos!$A:$A,Productos!$E:$E,IFNA(_xlfn.XLOOKUP(TEXT($C283,"0"),Productos!$A:$A,Productos!$E:$E,IFNA(_xlfn.XLOOKUP(IFERROR(VALUE($C283),""),Productos!$A:$A,Productos!$E:$E,_xlfn.XLOOKUP($C283,Productos!$E:$E,Productos!$E:$E,"NO ENCONTRADO")),"NO ENCONTRADO")),"NO ENCONTRADO")),"NO ENCONTRADO"))</f>
        <v/>
      </c>
      <c r="E283" s="74">
        <f t="array" ref="E283">IF(OR($D283="",$D283="NO ENCONTRADO"),"",_xlfn.XLOOKUP($D283,Productos!$E:$E,Productos!$H:$H,""))</f>
        <v/>
      </c>
      <c r="F283" s="74">
        <f t="array" ref="F283">IF(OR($D283="",$D283="NO ENCONTRADO"),"",_xlfn.XLOOKUP($D283,Productos!$E:$E,Productos!$I:$I,""))</f>
        <v/>
      </c>
      <c r="G283" s="74">
        <f t="array" ref="G283">IF(OR($D283="",$D283="NO ENCONTRADO"),"",_xlfn.XLOOKUP($D283,Productos!$E:$E,Productos!$J:$J,""))</f>
        <v/>
      </c>
      <c r="H283" s="74">
        <f t="array" ref="H283">IF(OR($D283="",$D283="NO ENCONTRADO"),"",_xlfn.XLOOKUP($D283,Productos!$E:$E,Productos!$K:$K,""))</f>
        <v/>
      </c>
      <c r="I283" s="74">
        <f t="array" ref="I283">IF(OR($D283="",$D283="NO ENCONTRADO"),"",_xlfn.XLOOKUP($D283,Productos!$E:$E,Productos!$F:$F,""))</f>
        <v/>
      </c>
      <c r="J283" s="74">
        <f>IF($C283="","",IF($D283="NO ENCONTRADO",IF(COUNTIF($C$7:$C$1000,$C283)&gt;1,"⚠️ No encontrado | Duplicado","⚠️ No encontrado"),IF(COUNTIF($C$7:$C$1000,$C283)&gt;1,"⚠️ Duplicado","Verificado")))</f>
        <v/>
      </c>
    </row>
    <row r="284" ht="15.75" customHeight="1" s="176">
      <c r="B284" s="80" t="n"/>
      <c r="C284" s="74" t="n"/>
      <c r="D284" s="74">
        <f t="array" ref="D284">IF($C284="","",IFNA(_xlfn.XLOOKUP($C284,Productos!$A:$A,Productos!$E:$E,IFNA(_xlfn.XLOOKUP(TEXT($C284,"0"),Productos!$A:$A,Productos!$E:$E,IFNA(_xlfn.XLOOKUP(IFERROR(VALUE($C284),""),Productos!$A:$A,Productos!$E:$E,_xlfn.XLOOKUP($C284,Productos!$E:$E,Productos!$E:$E,"NO ENCONTRADO")),"NO ENCONTRADO")),"NO ENCONTRADO")),"NO ENCONTRADO"))</f>
        <v/>
      </c>
      <c r="E284" s="74">
        <f t="array" ref="E284">IF(OR($D284="",$D284="NO ENCONTRADO"),"",_xlfn.XLOOKUP($D284,Productos!$E:$E,Productos!$H:$H,""))</f>
        <v/>
      </c>
      <c r="F284" s="74">
        <f t="array" ref="F284">IF(OR($D284="",$D284="NO ENCONTRADO"),"",_xlfn.XLOOKUP($D284,Productos!$E:$E,Productos!$I:$I,""))</f>
        <v/>
      </c>
      <c r="G284" s="74">
        <f t="array" ref="G284">IF(OR($D284="",$D284="NO ENCONTRADO"),"",_xlfn.XLOOKUP($D284,Productos!$E:$E,Productos!$J:$J,""))</f>
        <v/>
      </c>
      <c r="H284" s="74">
        <f t="array" ref="H284">IF(OR($D284="",$D284="NO ENCONTRADO"),"",_xlfn.XLOOKUP($D284,Productos!$E:$E,Productos!$K:$K,""))</f>
        <v/>
      </c>
      <c r="I284" s="74">
        <f t="array" ref="I284">IF(OR($D284="",$D284="NO ENCONTRADO"),"",_xlfn.XLOOKUP($D284,Productos!$E:$E,Productos!$F:$F,""))</f>
        <v/>
      </c>
      <c r="J284" s="74">
        <f>IF($C284="","",IF($D284="NO ENCONTRADO",IF(COUNTIF($C$7:$C$1000,$C284)&gt;1,"⚠️ No encontrado | Duplicado","⚠️ No encontrado"),IF(COUNTIF($C$7:$C$1000,$C284)&gt;1,"⚠️ Duplicado","Verificado")))</f>
        <v/>
      </c>
    </row>
    <row r="285" ht="15.75" customHeight="1" s="176">
      <c r="B285" s="80" t="n"/>
      <c r="C285" s="74" t="n"/>
      <c r="D285" s="74">
        <f t="array" ref="D285">IF($C285="","",IFNA(_xlfn.XLOOKUP($C285,Productos!$A:$A,Productos!$E:$E,IFNA(_xlfn.XLOOKUP(TEXT($C285,"0"),Productos!$A:$A,Productos!$E:$E,IFNA(_xlfn.XLOOKUP(IFERROR(VALUE($C285),""),Productos!$A:$A,Productos!$E:$E,_xlfn.XLOOKUP($C285,Productos!$E:$E,Productos!$E:$E,"NO ENCONTRADO")),"NO ENCONTRADO")),"NO ENCONTRADO")),"NO ENCONTRADO"))</f>
        <v/>
      </c>
      <c r="E285" s="74">
        <f t="array" ref="E285">IF(OR($D285="",$D285="NO ENCONTRADO"),"",_xlfn.XLOOKUP($D285,Productos!$E:$E,Productos!$H:$H,""))</f>
        <v/>
      </c>
      <c r="F285" s="74">
        <f t="array" ref="F285">IF(OR($D285="",$D285="NO ENCONTRADO"),"",_xlfn.XLOOKUP($D285,Productos!$E:$E,Productos!$I:$I,""))</f>
        <v/>
      </c>
      <c r="G285" s="74">
        <f t="array" ref="G285">IF(OR($D285="",$D285="NO ENCONTRADO"),"",_xlfn.XLOOKUP($D285,Productos!$E:$E,Productos!$J:$J,""))</f>
        <v/>
      </c>
      <c r="H285" s="74">
        <f t="array" ref="H285">IF(OR($D285="",$D285="NO ENCONTRADO"),"",_xlfn.XLOOKUP($D285,Productos!$E:$E,Productos!$K:$K,""))</f>
        <v/>
      </c>
      <c r="I285" s="74">
        <f t="array" ref="I285">IF(OR($D285="",$D285="NO ENCONTRADO"),"",_xlfn.XLOOKUP($D285,Productos!$E:$E,Productos!$F:$F,""))</f>
        <v/>
      </c>
      <c r="J285" s="74">
        <f>IF($C285="","",IF($D285="NO ENCONTRADO",IF(COUNTIF($C$7:$C$1000,$C285)&gt;1,"⚠️ No encontrado | Duplicado","⚠️ No encontrado"),IF(COUNTIF($C$7:$C$1000,$C285)&gt;1,"⚠️ Duplicado","Verificado")))</f>
        <v/>
      </c>
    </row>
    <row r="286" ht="15.75" customHeight="1" s="176">
      <c r="B286" s="80" t="n"/>
      <c r="C286" s="74" t="n"/>
      <c r="D286" s="74">
        <f t="array" ref="D286">IF($C286="","",IFNA(_xlfn.XLOOKUP($C286,Productos!$A:$A,Productos!$E:$E,IFNA(_xlfn.XLOOKUP(TEXT($C286,"0"),Productos!$A:$A,Productos!$E:$E,IFNA(_xlfn.XLOOKUP(IFERROR(VALUE($C286),""),Productos!$A:$A,Productos!$E:$E,_xlfn.XLOOKUP($C286,Productos!$E:$E,Productos!$E:$E,"NO ENCONTRADO")),"NO ENCONTRADO")),"NO ENCONTRADO")),"NO ENCONTRADO"))</f>
        <v/>
      </c>
      <c r="E286" s="74">
        <f t="array" ref="E286">IF(OR($D286="",$D286="NO ENCONTRADO"),"",_xlfn.XLOOKUP($D286,Productos!$E:$E,Productos!$H:$H,""))</f>
        <v/>
      </c>
      <c r="F286" s="74">
        <f t="array" ref="F286">IF(OR($D286="",$D286="NO ENCONTRADO"),"",_xlfn.XLOOKUP($D286,Productos!$E:$E,Productos!$I:$I,""))</f>
        <v/>
      </c>
      <c r="G286" s="74">
        <f t="array" ref="G286">IF(OR($D286="",$D286="NO ENCONTRADO"),"",_xlfn.XLOOKUP($D286,Productos!$E:$E,Productos!$J:$J,""))</f>
        <v/>
      </c>
      <c r="H286" s="74">
        <f t="array" ref="H286">IF(OR($D286="",$D286="NO ENCONTRADO"),"",_xlfn.XLOOKUP($D286,Productos!$E:$E,Productos!$K:$K,""))</f>
        <v/>
      </c>
      <c r="I286" s="74">
        <f t="array" ref="I286">IF(OR($D286="",$D286="NO ENCONTRADO"),"",_xlfn.XLOOKUP($D286,Productos!$E:$E,Productos!$F:$F,""))</f>
        <v/>
      </c>
      <c r="J286" s="74">
        <f>IF($C286="","",IF($D286="NO ENCONTRADO",IF(COUNTIF($C$7:$C$1000,$C286)&gt;1,"⚠️ No encontrado | Duplicado","⚠️ No encontrado"),IF(COUNTIF($C$7:$C$1000,$C286)&gt;1,"⚠️ Duplicado","Verificado")))</f>
        <v/>
      </c>
    </row>
    <row r="287" ht="15.75" customHeight="1" s="176">
      <c r="B287" s="80" t="n"/>
      <c r="C287" s="74" t="n"/>
      <c r="D287" s="74">
        <f t="array" ref="D287">IF($C287="","",IFNA(_xlfn.XLOOKUP($C287,Productos!$A:$A,Productos!$E:$E,IFNA(_xlfn.XLOOKUP(TEXT($C287,"0"),Productos!$A:$A,Productos!$E:$E,IFNA(_xlfn.XLOOKUP(IFERROR(VALUE($C287),""),Productos!$A:$A,Productos!$E:$E,_xlfn.XLOOKUP($C287,Productos!$E:$E,Productos!$E:$E,"NO ENCONTRADO")),"NO ENCONTRADO")),"NO ENCONTRADO")),"NO ENCONTRADO"))</f>
        <v/>
      </c>
      <c r="E287" s="74">
        <f t="array" ref="E287">IF(OR($D287="",$D287="NO ENCONTRADO"),"",_xlfn.XLOOKUP($D287,Productos!$E:$E,Productos!$H:$H,""))</f>
        <v/>
      </c>
      <c r="F287" s="74">
        <f t="array" ref="F287">IF(OR($D287="",$D287="NO ENCONTRADO"),"",_xlfn.XLOOKUP($D287,Productos!$E:$E,Productos!$I:$I,""))</f>
        <v/>
      </c>
      <c r="G287" s="74">
        <f t="array" ref="G287">IF(OR($D287="",$D287="NO ENCONTRADO"),"",_xlfn.XLOOKUP($D287,Productos!$E:$E,Productos!$J:$J,""))</f>
        <v/>
      </c>
      <c r="H287" s="74">
        <f t="array" ref="H287">IF(OR($D287="",$D287="NO ENCONTRADO"),"",_xlfn.XLOOKUP($D287,Productos!$E:$E,Productos!$K:$K,""))</f>
        <v/>
      </c>
      <c r="I287" s="74">
        <f t="array" ref="I287">IF(OR($D287="",$D287="NO ENCONTRADO"),"",_xlfn.XLOOKUP($D287,Productos!$E:$E,Productos!$F:$F,""))</f>
        <v/>
      </c>
      <c r="J287" s="74">
        <f>IF($C287="","",IF($D287="NO ENCONTRADO",IF(COUNTIF($C$7:$C$1000,$C287)&gt;1,"⚠️ No encontrado | Duplicado","⚠️ No encontrado"),IF(COUNTIF($C$7:$C$1000,$C287)&gt;1,"⚠️ Duplicado","Verificado")))</f>
        <v/>
      </c>
    </row>
    <row r="288" ht="15.75" customHeight="1" s="176">
      <c r="B288" s="80" t="n"/>
      <c r="C288" s="74" t="n"/>
      <c r="D288" s="74">
        <f t="array" ref="D288">IF($C288="","",IFNA(_xlfn.XLOOKUP($C288,Productos!$A:$A,Productos!$E:$E,IFNA(_xlfn.XLOOKUP(TEXT($C288,"0"),Productos!$A:$A,Productos!$E:$E,IFNA(_xlfn.XLOOKUP(IFERROR(VALUE($C288),""),Productos!$A:$A,Productos!$E:$E,_xlfn.XLOOKUP($C288,Productos!$E:$E,Productos!$E:$E,"NO ENCONTRADO")),"NO ENCONTRADO")),"NO ENCONTRADO")),"NO ENCONTRADO"))</f>
        <v/>
      </c>
      <c r="E288" s="74">
        <f t="array" ref="E288">IF(OR($D288="",$D288="NO ENCONTRADO"),"",_xlfn.XLOOKUP($D288,Productos!$E:$E,Productos!$H:$H,""))</f>
        <v/>
      </c>
      <c r="F288" s="74">
        <f t="array" ref="F288">IF(OR($D288="",$D288="NO ENCONTRADO"),"",_xlfn.XLOOKUP($D288,Productos!$E:$E,Productos!$I:$I,""))</f>
        <v/>
      </c>
      <c r="G288" s="74">
        <f t="array" ref="G288">IF(OR($D288="",$D288="NO ENCONTRADO"),"",_xlfn.XLOOKUP($D288,Productos!$E:$E,Productos!$J:$J,""))</f>
        <v/>
      </c>
      <c r="H288" s="74">
        <f t="array" ref="H288">IF(OR($D288="",$D288="NO ENCONTRADO"),"",_xlfn.XLOOKUP($D288,Productos!$E:$E,Productos!$K:$K,""))</f>
        <v/>
      </c>
      <c r="I288" s="74">
        <f t="array" ref="I288">IF(OR($D288="",$D288="NO ENCONTRADO"),"",_xlfn.XLOOKUP($D288,Productos!$E:$E,Productos!$F:$F,""))</f>
        <v/>
      </c>
      <c r="J288" s="74">
        <f>IF($C288="","",IF($D288="NO ENCONTRADO",IF(COUNTIF($C$7:$C$1000,$C288)&gt;1,"⚠️ No encontrado | Duplicado","⚠️ No encontrado"),IF(COUNTIF($C$7:$C$1000,$C288)&gt;1,"⚠️ Duplicado","Verificado")))</f>
        <v/>
      </c>
    </row>
    <row r="289" ht="15.75" customHeight="1" s="176">
      <c r="B289" s="80" t="n"/>
      <c r="C289" s="74" t="n"/>
      <c r="D289" s="74">
        <f t="array" ref="D289">IF($C289="","",IFNA(_xlfn.XLOOKUP($C289,Productos!$A:$A,Productos!$E:$E,IFNA(_xlfn.XLOOKUP(TEXT($C289,"0"),Productos!$A:$A,Productos!$E:$E,IFNA(_xlfn.XLOOKUP(IFERROR(VALUE($C289),""),Productos!$A:$A,Productos!$E:$E,_xlfn.XLOOKUP($C289,Productos!$E:$E,Productos!$E:$E,"NO ENCONTRADO")),"NO ENCONTRADO")),"NO ENCONTRADO")),"NO ENCONTRADO"))</f>
        <v/>
      </c>
      <c r="E289" s="74">
        <f t="array" ref="E289">IF(OR($D289="",$D289="NO ENCONTRADO"),"",_xlfn.XLOOKUP($D289,Productos!$E:$E,Productos!$H:$H,""))</f>
        <v/>
      </c>
      <c r="F289" s="74">
        <f t="array" ref="F289">IF(OR($D289="",$D289="NO ENCONTRADO"),"",_xlfn.XLOOKUP($D289,Productos!$E:$E,Productos!$I:$I,""))</f>
        <v/>
      </c>
      <c r="G289" s="74">
        <f t="array" ref="G289">IF(OR($D289="",$D289="NO ENCONTRADO"),"",_xlfn.XLOOKUP($D289,Productos!$E:$E,Productos!$J:$J,""))</f>
        <v/>
      </c>
      <c r="H289" s="74">
        <f t="array" ref="H289">IF(OR($D289="",$D289="NO ENCONTRADO"),"",_xlfn.XLOOKUP($D289,Productos!$E:$E,Productos!$K:$K,""))</f>
        <v/>
      </c>
      <c r="I289" s="74">
        <f t="array" ref="I289">IF(OR($D289="",$D289="NO ENCONTRADO"),"",_xlfn.XLOOKUP($D289,Productos!$E:$E,Productos!$F:$F,""))</f>
        <v/>
      </c>
      <c r="J289" s="74">
        <f>IF($C289="","",IF($D289="NO ENCONTRADO",IF(COUNTIF($C$7:$C$1000,$C289)&gt;1,"⚠️ No encontrado | Duplicado","⚠️ No encontrado"),IF(COUNTIF($C$7:$C$1000,$C289)&gt;1,"⚠️ Duplicado","Verificado")))</f>
        <v/>
      </c>
    </row>
    <row r="290" ht="15.75" customHeight="1" s="176">
      <c r="B290" s="80" t="n"/>
      <c r="C290" s="74" t="n"/>
      <c r="D290" s="74">
        <f t="array" ref="D290">IF($C290="","",IFNA(_xlfn.XLOOKUP($C290,Productos!$A:$A,Productos!$E:$E,IFNA(_xlfn.XLOOKUP(TEXT($C290,"0"),Productos!$A:$A,Productos!$E:$E,IFNA(_xlfn.XLOOKUP(IFERROR(VALUE($C290),""),Productos!$A:$A,Productos!$E:$E,_xlfn.XLOOKUP($C290,Productos!$E:$E,Productos!$E:$E,"NO ENCONTRADO")),"NO ENCONTRADO")),"NO ENCONTRADO")),"NO ENCONTRADO"))</f>
        <v/>
      </c>
      <c r="E290" s="74">
        <f t="array" ref="E290">IF(OR($D290="",$D290="NO ENCONTRADO"),"",_xlfn.XLOOKUP($D290,Productos!$E:$E,Productos!$H:$H,""))</f>
        <v/>
      </c>
      <c r="F290" s="74">
        <f t="array" ref="F290">IF(OR($D290="",$D290="NO ENCONTRADO"),"",_xlfn.XLOOKUP($D290,Productos!$E:$E,Productos!$I:$I,""))</f>
        <v/>
      </c>
      <c r="G290" s="74">
        <f t="array" ref="G290">IF(OR($D290="",$D290="NO ENCONTRADO"),"",_xlfn.XLOOKUP($D290,Productos!$E:$E,Productos!$J:$J,""))</f>
        <v/>
      </c>
      <c r="H290" s="74">
        <f t="array" ref="H290">IF(OR($D290="",$D290="NO ENCONTRADO"),"",_xlfn.XLOOKUP($D290,Productos!$E:$E,Productos!$K:$K,""))</f>
        <v/>
      </c>
      <c r="I290" s="74">
        <f t="array" ref="I290">IF(OR($D290="",$D290="NO ENCONTRADO"),"",_xlfn.XLOOKUP($D290,Productos!$E:$E,Productos!$F:$F,""))</f>
        <v/>
      </c>
      <c r="J290" s="74">
        <f>IF($C290="","",IF($D290="NO ENCONTRADO",IF(COUNTIF($C$7:$C$1000,$C290)&gt;1,"⚠️ No encontrado | Duplicado","⚠️ No encontrado"),IF(COUNTIF($C$7:$C$1000,$C290)&gt;1,"⚠️ Duplicado","Verificado")))</f>
        <v/>
      </c>
    </row>
    <row r="291" ht="15.75" customHeight="1" s="176">
      <c r="B291" s="80" t="n"/>
      <c r="C291" s="74" t="n"/>
      <c r="D291" s="74">
        <f t="array" ref="D291">IF($C291="","",IFNA(_xlfn.XLOOKUP($C291,Productos!$A:$A,Productos!$E:$E,IFNA(_xlfn.XLOOKUP(TEXT($C291,"0"),Productos!$A:$A,Productos!$E:$E,IFNA(_xlfn.XLOOKUP(IFERROR(VALUE($C291),""),Productos!$A:$A,Productos!$E:$E,_xlfn.XLOOKUP($C291,Productos!$E:$E,Productos!$E:$E,"NO ENCONTRADO")),"NO ENCONTRADO")),"NO ENCONTRADO")),"NO ENCONTRADO"))</f>
        <v/>
      </c>
      <c r="E291" s="74">
        <f t="array" ref="E291">IF(OR($D291="",$D291="NO ENCONTRADO"),"",_xlfn.XLOOKUP($D291,Productos!$E:$E,Productos!$H:$H,""))</f>
        <v/>
      </c>
      <c r="F291" s="74">
        <f t="array" ref="F291">IF(OR($D291="",$D291="NO ENCONTRADO"),"",_xlfn.XLOOKUP($D291,Productos!$E:$E,Productos!$I:$I,""))</f>
        <v/>
      </c>
      <c r="G291" s="74">
        <f t="array" ref="G291">IF(OR($D291="",$D291="NO ENCONTRADO"),"",_xlfn.XLOOKUP($D291,Productos!$E:$E,Productos!$J:$J,""))</f>
        <v/>
      </c>
      <c r="H291" s="74">
        <f t="array" ref="H291">IF(OR($D291="",$D291="NO ENCONTRADO"),"",_xlfn.XLOOKUP($D291,Productos!$E:$E,Productos!$K:$K,""))</f>
        <v/>
      </c>
      <c r="I291" s="74">
        <f t="array" ref="I291">IF(OR($D291="",$D291="NO ENCONTRADO"),"",_xlfn.XLOOKUP($D291,Productos!$E:$E,Productos!$F:$F,""))</f>
        <v/>
      </c>
      <c r="J291" s="74">
        <f>IF($C291="","",IF($D291="NO ENCONTRADO",IF(COUNTIF($C$7:$C$1000,$C291)&gt;1,"⚠️ No encontrado | Duplicado","⚠️ No encontrado"),IF(COUNTIF($C$7:$C$1000,$C291)&gt;1,"⚠️ Duplicado","Verificado")))</f>
        <v/>
      </c>
    </row>
    <row r="292" ht="15.75" customHeight="1" s="176">
      <c r="B292" s="80" t="n"/>
      <c r="C292" s="74" t="n"/>
      <c r="D292" s="74">
        <f t="array" ref="D292">IF($C292="","",IFNA(_xlfn.XLOOKUP($C292,Productos!$A:$A,Productos!$E:$E,IFNA(_xlfn.XLOOKUP(TEXT($C292,"0"),Productos!$A:$A,Productos!$E:$E,IFNA(_xlfn.XLOOKUP(IFERROR(VALUE($C292),""),Productos!$A:$A,Productos!$E:$E,_xlfn.XLOOKUP($C292,Productos!$E:$E,Productos!$E:$E,"NO ENCONTRADO")),"NO ENCONTRADO")),"NO ENCONTRADO")),"NO ENCONTRADO"))</f>
        <v/>
      </c>
      <c r="E292" s="74">
        <f t="array" ref="E292">IF(OR($D292="",$D292="NO ENCONTRADO"),"",_xlfn.XLOOKUP($D292,Productos!$E:$E,Productos!$H:$H,""))</f>
        <v/>
      </c>
      <c r="F292" s="74">
        <f t="array" ref="F292">IF(OR($D292="",$D292="NO ENCONTRADO"),"",_xlfn.XLOOKUP($D292,Productos!$E:$E,Productos!$I:$I,""))</f>
        <v/>
      </c>
      <c r="G292" s="74">
        <f t="array" ref="G292">IF(OR($D292="",$D292="NO ENCONTRADO"),"",_xlfn.XLOOKUP($D292,Productos!$E:$E,Productos!$J:$J,""))</f>
        <v/>
      </c>
      <c r="H292" s="74">
        <f t="array" ref="H292">IF(OR($D292="",$D292="NO ENCONTRADO"),"",_xlfn.XLOOKUP($D292,Productos!$E:$E,Productos!$K:$K,""))</f>
        <v/>
      </c>
      <c r="I292" s="74">
        <f t="array" ref="I292">IF(OR($D292="",$D292="NO ENCONTRADO"),"",_xlfn.XLOOKUP($D292,Productos!$E:$E,Productos!$F:$F,""))</f>
        <v/>
      </c>
      <c r="J292" s="74">
        <f>IF($C292="","",IF($D292="NO ENCONTRADO",IF(COUNTIF($C$7:$C$1000,$C292)&gt;1,"⚠️ No encontrado | Duplicado","⚠️ No encontrado"),IF(COUNTIF($C$7:$C$1000,$C292)&gt;1,"⚠️ Duplicado","Verificado")))</f>
        <v/>
      </c>
    </row>
    <row r="293" ht="15.75" customHeight="1" s="176">
      <c r="B293" s="80" t="n"/>
      <c r="C293" s="74" t="n"/>
      <c r="D293" s="74">
        <f t="array" ref="D293">IF($C293="","",IFNA(_xlfn.XLOOKUP($C293,Productos!$A:$A,Productos!$E:$E,IFNA(_xlfn.XLOOKUP(TEXT($C293,"0"),Productos!$A:$A,Productos!$E:$E,IFNA(_xlfn.XLOOKUP(IFERROR(VALUE($C293),""),Productos!$A:$A,Productos!$E:$E,_xlfn.XLOOKUP($C293,Productos!$E:$E,Productos!$E:$E,"NO ENCONTRADO")),"NO ENCONTRADO")),"NO ENCONTRADO")),"NO ENCONTRADO"))</f>
        <v/>
      </c>
      <c r="E293" s="74">
        <f t="array" ref="E293">IF(OR($D293="",$D293="NO ENCONTRADO"),"",_xlfn.XLOOKUP($D293,Productos!$E:$E,Productos!$H:$H,""))</f>
        <v/>
      </c>
      <c r="F293" s="74">
        <f t="array" ref="F293">IF(OR($D293="",$D293="NO ENCONTRADO"),"",_xlfn.XLOOKUP($D293,Productos!$E:$E,Productos!$I:$I,""))</f>
        <v/>
      </c>
      <c r="G293" s="74">
        <f t="array" ref="G293">IF(OR($D293="",$D293="NO ENCONTRADO"),"",_xlfn.XLOOKUP($D293,Productos!$E:$E,Productos!$J:$J,""))</f>
        <v/>
      </c>
      <c r="H293" s="74">
        <f t="array" ref="H293">IF(OR($D293="",$D293="NO ENCONTRADO"),"",_xlfn.XLOOKUP($D293,Productos!$E:$E,Productos!$K:$K,""))</f>
        <v/>
      </c>
      <c r="I293" s="74">
        <f t="array" ref="I293">IF(OR($D293="",$D293="NO ENCONTRADO"),"",_xlfn.XLOOKUP($D293,Productos!$E:$E,Productos!$F:$F,""))</f>
        <v/>
      </c>
      <c r="J293" s="74">
        <f>IF($C293="","",IF($D293="NO ENCONTRADO",IF(COUNTIF($C$7:$C$1000,$C293)&gt;1,"⚠️ No encontrado | Duplicado","⚠️ No encontrado"),IF(COUNTIF($C$7:$C$1000,$C293)&gt;1,"⚠️ Duplicado","Verificado")))</f>
        <v/>
      </c>
    </row>
    <row r="294" ht="15.75" customHeight="1" s="176">
      <c r="B294" s="80" t="n"/>
      <c r="C294" s="74" t="n"/>
      <c r="D294" s="74">
        <f t="array" ref="D294">IF($C294="","",IFNA(_xlfn.XLOOKUP($C294,Productos!$A:$A,Productos!$E:$E,IFNA(_xlfn.XLOOKUP(TEXT($C294,"0"),Productos!$A:$A,Productos!$E:$E,IFNA(_xlfn.XLOOKUP(IFERROR(VALUE($C294),""),Productos!$A:$A,Productos!$E:$E,_xlfn.XLOOKUP($C294,Productos!$E:$E,Productos!$E:$E,"NO ENCONTRADO")),"NO ENCONTRADO")),"NO ENCONTRADO")),"NO ENCONTRADO"))</f>
        <v/>
      </c>
      <c r="E294" s="74">
        <f t="array" ref="E294">IF(OR($D294="",$D294="NO ENCONTRADO"),"",_xlfn.XLOOKUP($D294,Productos!$E:$E,Productos!$H:$H,""))</f>
        <v/>
      </c>
      <c r="F294" s="74">
        <f t="array" ref="F294">IF(OR($D294="",$D294="NO ENCONTRADO"),"",_xlfn.XLOOKUP($D294,Productos!$E:$E,Productos!$I:$I,""))</f>
        <v/>
      </c>
      <c r="G294" s="74">
        <f t="array" ref="G294">IF(OR($D294="",$D294="NO ENCONTRADO"),"",_xlfn.XLOOKUP($D294,Productos!$E:$E,Productos!$J:$J,""))</f>
        <v/>
      </c>
      <c r="H294" s="74">
        <f t="array" ref="H294">IF(OR($D294="",$D294="NO ENCONTRADO"),"",_xlfn.XLOOKUP($D294,Productos!$E:$E,Productos!$K:$K,""))</f>
        <v/>
      </c>
      <c r="I294" s="74">
        <f t="array" ref="I294">IF(OR($D294="",$D294="NO ENCONTRADO"),"",_xlfn.XLOOKUP($D294,Productos!$E:$E,Productos!$F:$F,""))</f>
        <v/>
      </c>
      <c r="J294" s="74">
        <f>IF($C294="","",IF($D294="NO ENCONTRADO",IF(COUNTIF($C$7:$C$1000,$C294)&gt;1,"⚠️ No encontrado | Duplicado","⚠️ No encontrado"),IF(COUNTIF($C$7:$C$1000,$C294)&gt;1,"⚠️ Duplicado","Verificado")))</f>
        <v/>
      </c>
    </row>
    <row r="295" ht="15.75" customHeight="1" s="176">
      <c r="B295" s="80" t="n"/>
      <c r="C295" s="74" t="n"/>
      <c r="D295" s="74">
        <f t="array" ref="D295">IF($C295="","",IFNA(_xlfn.XLOOKUP($C295,Productos!$A:$A,Productos!$E:$E,IFNA(_xlfn.XLOOKUP(TEXT($C295,"0"),Productos!$A:$A,Productos!$E:$E,IFNA(_xlfn.XLOOKUP(IFERROR(VALUE($C295),""),Productos!$A:$A,Productos!$E:$E,_xlfn.XLOOKUP($C295,Productos!$E:$E,Productos!$E:$E,"NO ENCONTRADO")),"NO ENCONTRADO")),"NO ENCONTRADO")),"NO ENCONTRADO"))</f>
        <v/>
      </c>
      <c r="E295" s="74">
        <f t="array" ref="E295">IF(OR($D295="",$D295="NO ENCONTRADO"),"",_xlfn.XLOOKUP($D295,Productos!$E:$E,Productos!$H:$H,""))</f>
        <v/>
      </c>
      <c r="F295" s="74">
        <f t="array" ref="F295">IF(OR($D295="",$D295="NO ENCONTRADO"),"",_xlfn.XLOOKUP($D295,Productos!$E:$E,Productos!$I:$I,""))</f>
        <v/>
      </c>
      <c r="G295" s="74">
        <f t="array" ref="G295">IF(OR($D295="",$D295="NO ENCONTRADO"),"",_xlfn.XLOOKUP($D295,Productos!$E:$E,Productos!$J:$J,""))</f>
        <v/>
      </c>
      <c r="H295" s="74">
        <f t="array" ref="H295">IF(OR($D295="",$D295="NO ENCONTRADO"),"",_xlfn.XLOOKUP($D295,Productos!$E:$E,Productos!$K:$K,""))</f>
        <v/>
      </c>
      <c r="I295" s="74">
        <f t="array" ref="I295">IF(OR($D295="",$D295="NO ENCONTRADO"),"",_xlfn.XLOOKUP($D295,Productos!$E:$E,Productos!$F:$F,""))</f>
        <v/>
      </c>
      <c r="J295" s="74">
        <f>IF($C295="","",IF($D295="NO ENCONTRADO",IF(COUNTIF($C$7:$C$1000,$C295)&gt;1,"⚠️ No encontrado | Duplicado","⚠️ No encontrado"),IF(COUNTIF($C$7:$C$1000,$C295)&gt;1,"⚠️ Duplicado","Verificado")))</f>
        <v/>
      </c>
    </row>
    <row r="296" ht="15.75" customHeight="1" s="176">
      <c r="B296" s="80" t="n"/>
      <c r="C296" s="74" t="n"/>
      <c r="D296" s="74">
        <f t="array" ref="D296">IF($C296="","",IFNA(_xlfn.XLOOKUP($C296,Productos!$A:$A,Productos!$E:$E,IFNA(_xlfn.XLOOKUP(TEXT($C296,"0"),Productos!$A:$A,Productos!$E:$E,IFNA(_xlfn.XLOOKUP(IFERROR(VALUE($C296),""),Productos!$A:$A,Productos!$E:$E,_xlfn.XLOOKUP($C296,Productos!$E:$E,Productos!$E:$E,"NO ENCONTRADO")),"NO ENCONTRADO")),"NO ENCONTRADO")),"NO ENCONTRADO"))</f>
        <v/>
      </c>
      <c r="E296" s="74">
        <f t="array" ref="E296">IF(OR($D296="",$D296="NO ENCONTRADO"),"",_xlfn.XLOOKUP($D296,Productos!$E:$E,Productos!$H:$H,""))</f>
        <v/>
      </c>
      <c r="F296" s="74">
        <f t="array" ref="F296">IF(OR($D296="",$D296="NO ENCONTRADO"),"",_xlfn.XLOOKUP($D296,Productos!$E:$E,Productos!$I:$I,""))</f>
        <v/>
      </c>
      <c r="G296" s="74">
        <f t="array" ref="G296">IF(OR($D296="",$D296="NO ENCONTRADO"),"",_xlfn.XLOOKUP($D296,Productos!$E:$E,Productos!$J:$J,""))</f>
        <v/>
      </c>
      <c r="H296" s="74">
        <f t="array" ref="H296">IF(OR($D296="",$D296="NO ENCONTRADO"),"",_xlfn.XLOOKUP($D296,Productos!$E:$E,Productos!$K:$K,""))</f>
        <v/>
      </c>
      <c r="I296" s="74">
        <f t="array" ref="I296">IF(OR($D296="",$D296="NO ENCONTRADO"),"",_xlfn.XLOOKUP($D296,Productos!$E:$E,Productos!$F:$F,""))</f>
        <v/>
      </c>
      <c r="J296" s="74">
        <f>IF($C296="","",IF($D296="NO ENCONTRADO",IF(COUNTIF($C$7:$C$1000,$C296)&gt;1,"⚠️ No encontrado | Duplicado","⚠️ No encontrado"),IF(COUNTIF($C$7:$C$1000,$C296)&gt;1,"⚠️ Duplicado","Verificado")))</f>
        <v/>
      </c>
    </row>
    <row r="297" ht="15.75" customHeight="1" s="176">
      <c r="B297" s="80" t="n"/>
      <c r="C297" s="74" t="n"/>
      <c r="D297" s="74">
        <f t="array" ref="D297">IF($C297="","",IFNA(_xlfn.XLOOKUP($C297,Productos!$A:$A,Productos!$E:$E,IFNA(_xlfn.XLOOKUP(TEXT($C297,"0"),Productos!$A:$A,Productos!$E:$E,IFNA(_xlfn.XLOOKUP(IFERROR(VALUE($C297),""),Productos!$A:$A,Productos!$E:$E,_xlfn.XLOOKUP($C297,Productos!$E:$E,Productos!$E:$E,"NO ENCONTRADO")),"NO ENCONTRADO")),"NO ENCONTRADO")),"NO ENCONTRADO"))</f>
        <v/>
      </c>
      <c r="E297" s="74">
        <f t="array" ref="E297">IF(OR($D297="",$D297="NO ENCONTRADO"),"",_xlfn.XLOOKUP($D297,Productos!$E:$E,Productos!$H:$H,""))</f>
        <v/>
      </c>
      <c r="F297" s="74">
        <f t="array" ref="F297">IF(OR($D297="",$D297="NO ENCONTRADO"),"",_xlfn.XLOOKUP($D297,Productos!$E:$E,Productos!$I:$I,""))</f>
        <v/>
      </c>
      <c r="G297" s="74">
        <f t="array" ref="G297">IF(OR($D297="",$D297="NO ENCONTRADO"),"",_xlfn.XLOOKUP($D297,Productos!$E:$E,Productos!$J:$J,""))</f>
        <v/>
      </c>
      <c r="H297" s="74">
        <f t="array" ref="H297">IF(OR($D297="",$D297="NO ENCONTRADO"),"",_xlfn.XLOOKUP($D297,Productos!$E:$E,Productos!$K:$K,""))</f>
        <v/>
      </c>
      <c r="I297" s="74">
        <f t="array" ref="I297">IF(OR($D297="",$D297="NO ENCONTRADO"),"",_xlfn.XLOOKUP($D297,Productos!$E:$E,Productos!$F:$F,""))</f>
        <v/>
      </c>
      <c r="J297" s="74">
        <f>IF($C297="","",IF($D297="NO ENCONTRADO",IF(COUNTIF($C$7:$C$1000,$C297)&gt;1,"⚠️ No encontrado | Duplicado","⚠️ No encontrado"),IF(COUNTIF($C$7:$C$1000,$C297)&gt;1,"⚠️ Duplicado","Verificado")))</f>
        <v/>
      </c>
    </row>
    <row r="298" ht="15.75" customHeight="1" s="176">
      <c r="B298" s="80" t="n"/>
      <c r="C298" s="74" t="n"/>
      <c r="D298" s="74">
        <f t="array" ref="D298">IF($C298="","",IFNA(_xlfn.XLOOKUP($C298,Productos!$A:$A,Productos!$E:$E,IFNA(_xlfn.XLOOKUP(TEXT($C298,"0"),Productos!$A:$A,Productos!$E:$E,IFNA(_xlfn.XLOOKUP(IFERROR(VALUE($C298),""),Productos!$A:$A,Productos!$E:$E,_xlfn.XLOOKUP($C298,Productos!$E:$E,Productos!$E:$E,"NO ENCONTRADO")),"NO ENCONTRADO")),"NO ENCONTRADO")),"NO ENCONTRADO"))</f>
        <v/>
      </c>
      <c r="E298" s="74">
        <f t="array" ref="E298">IF(OR($D298="",$D298="NO ENCONTRADO"),"",_xlfn.XLOOKUP($D298,Productos!$E:$E,Productos!$H:$H,""))</f>
        <v/>
      </c>
      <c r="F298" s="74">
        <f t="array" ref="F298">IF(OR($D298="",$D298="NO ENCONTRADO"),"",_xlfn.XLOOKUP($D298,Productos!$E:$E,Productos!$I:$I,""))</f>
        <v/>
      </c>
      <c r="G298" s="74">
        <f t="array" ref="G298">IF(OR($D298="",$D298="NO ENCONTRADO"),"",_xlfn.XLOOKUP($D298,Productos!$E:$E,Productos!$J:$J,""))</f>
        <v/>
      </c>
      <c r="H298" s="74">
        <f t="array" ref="H298">IF(OR($D298="",$D298="NO ENCONTRADO"),"",_xlfn.XLOOKUP($D298,Productos!$E:$E,Productos!$K:$K,""))</f>
        <v/>
      </c>
      <c r="I298" s="74">
        <f t="array" ref="I298">IF(OR($D298="",$D298="NO ENCONTRADO"),"",_xlfn.XLOOKUP($D298,Productos!$E:$E,Productos!$F:$F,""))</f>
        <v/>
      </c>
      <c r="J298" s="74">
        <f>IF($C298="","",IF($D298="NO ENCONTRADO",IF(COUNTIF($C$7:$C$1000,$C298)&gt;1,"⚠️ No encontrado | Duplicado","⚠️ No encontrado"),IF(COUNTIF($C$7:$C$1000,$C298)&gt;1,"⚠️ Duplicado","Verificado")))</f>
        <v/>
      </c>
    </row>
    <row r="299" ht="15.75" customHeight="1" s="176">
      <c r="B299" s="80" t="n"/>
      <c r="C299" s="74" t="n"/>
      <c r="D299" s="74">
        <f t="array" ref="D299">IF($C299="","",IFNA(_xlfn.XLOOKUP($C299,Productos!$A:$A,Productos!$E:$E,IFNA(_xlfn.XLOOKUP(TEXT($C299,"0"),Productos!$A:$A,Productos!$E:$E,IFNA(_xlfn.XLOOKUP(IFERROR(VALUE($C299),""),Productos!$A:$A,Productos!$E:$E,_xlfn.XLOOKUP($C299,Productos!$E:$E,Productos!$E:$E,"NO ENCONTRADO")),"NO ENCONTRADO")),"NO ENCONTRADO")),"NO ENCONTRADO"))</f>
        <v/>
      </c>
      <c r="E299" s="74">
        <f t="array" ref="E299">IF(OR($D299="",$D299="NO ENCONTRADO"),"",_xlfn.XLOOKUP($D299,Productos!$E:$E,Productos!$H:$H,""))</f>
        <v/>
      </c>
      <c r="F299" s="74">
        <f t="array" ref="F299">IF(OR($D299="",$D299="NO ENCONTRADO"),"",_xlfn.XLOOKUP($D299,Productos!$E:$E,Productos!$I:$I,""))</f>
        <v/>
      </c>
      <c r="G299" s="74">
        <f t="array" ref="G299">IF(OR($D299="",$D299="NO ENCONTRADO"),"",_xlfn.XLOOKUP($D299,Productos!$E:$E,Productos!$J:$J,""))</f>
        <v/>
      </c>
      <c r="H299" s="74">
        <f t="array" ref="H299">IF(OR($D299="",$D299="NO ENCONTRADO"),"",_xlfn.XLOOKUP($D299,Productos!$E:$E,Productos!$K:$K,""))</f>
        <v/>
      </c>
      <c r="I299" s="74">
        <f t="array" ref="I299">IF(OR($D299="",$D299="NO ENCONTRADO"),"",_xlfn.XLOOKUP($D299,Productos!$E:$E,Productos!$F:$F,""))</f>
        <v/>
      </c>
      <c r="J299" s="74">
        <f>IF($C299="","",IF($D299="NO ENCONTRADO",IF(COUNTIF($C$7:$C$1000,$C299)&gt;1,"⚠️ No encontrado | Duplicado","⚠️ No encontrado"),IF(COUNTIF($C$7:$C$1000,$C299)&gt;1,"⚠️ Duplicado","Verificado")))</f>
        <v/>
      </c>
    </row>
    <row r="300" ht="15.75" customHeight="1" s="176">
      <c r="B300" s="80" t="n"/>
      <c r="C300" s="74" t="n"/>
      <c r="D300" s="74">
        <f t="array" ref="D300">IF($C300="","",IFNA(_xlfn.XLOOKUP($C300,Productos!$A:$A,Productos!$E:$E,IFNA(_xlfn.XLOOKUP(TEXT($C300,"0"),Productos!$A:$A,Productos!$E:$E,IFNA(_xlfn.XLOOKUP(IFERROR(VALUE($C300),""),Productos!$A:$A,Productos!$E:$E,_xlfn.XLOOKUP($C300,Productos!$E:$E,Productos!$E:$E,"NO ENCONTRADO")),"NO ENCONTRADO")),"NO ENCONTRADO")),"NO ENCONTRADO"))</f>
        <v/>
      </c>
      <c r="E300" s="74">
        <f t="array" ref="E300">IF(OR($D300="",$D300="NO ENCONTRADO"),"",_xlfn.XLOOKUP($D300,Productos!$E:$E,Productos!$H:$H,""))</f>
        <v/>
      </c>
      <c r="F300" s="74">
        <f t="array" ref="F300">IF(OR($D300="",$D300="NO ENCONTRADO"),"",_xlfn.XLOOKUP($D300,Productos!$E:$E,Productos!$I:$I,""))</f>
        <v/>
      </c>
      <c r="G300" s="74">
        <f t="array" ref="G300">IF(OR($D300="",$D300="NO ENCONTRADO"),"",_xlfn.XLOOKUP($D300,Productos!$E:$E,Productos!$J:$J,""))</f>
        <v/>
      </c>
      <c r="H300" s="74">
        <f t="array" ref="H300">IF(OR($D300="",$D300="NO ENCONTRADO"),"",_xlfn.XLOOKUP($D300,Productos!$E:$E,Productos!$K:$K,""))</f>
        <v/>
      </c>
      <c r="I300" s="74">
        <f t="array" ref="I300">IF(OR($D300="",$D300="NO ENCONTRADO"),"",_xlfn.XLOOKUP($D300,Productos!$E:$E,Productos!$F:$F,""))</f>
        <v/>
      </c>
      <c r="J300" s="74">
        <f>IF($C300="","",IF($D300="NO ENCONTRADO",IF(COUNTIF($C$7:$C$1000,$C300)&gt;1,"⚠️ No encontrado | Duplicado","⚠️ No encontrado"),IF(COUNTIF($C$7:$C$1000,$C300)&gt;1,"⚠️ Duplicado","Verificado")))</f>
        <v/>
      </c>
    </row>
    <row r="301" ht="15.75" customHeight="1" s="176">
      <c r="B301" s="80" t="n"/>
      <c r="C301" s="74" t="n"/>
      <c r="D301" s="74">
        <f t="array" ref="D301">IF($C301="","",IFNA(_xlfn.XLOOKUP($C301,Productos!$A:$A,Productos!$E:$E,IFNA(_xlfn.XLOOKUP(TEXT($C301,"0"),Productos!$A:$A,Productos!$E:$E,IFNA(_xlfn.XLOOKUP(IFERROR(VALUE($C301),""),Productos!$A:$A,Productos!$E:$E,_xlfn.XLOOKUP($C301,Productos!$E:$E,Productos!$E:$E,"NO ENCONTRADO")),"NO ENCONTRADO")),"NO ENCONTRADO")),"NO ENCONTRADO"))</f>
        <v/>
      </c>
      <c r="E301" s="74">
        <f t="array" ref="E301">IF(OR($D301="",$D301="NO ENCONTRADO"),"",_xlfn.XLOOKUP($D301,Productos!$E:$E,Productos!$H:$H,""))</f>
        <v/>
      </c>
      <c r="F301" s="74">
        <f t="array" ref="F301">IF(OR($D301="",$D301="NO ENCONTRADO"),"",_xlfn.XLOOKUP($D301,Productos!$E:$E,Productos!$I:$I,""))</f>
        <v/>
      </c>
      <c r="G301" s="74">
        <f t="array" ref="G301">IF(OR($D301="",$D301="NO ENCONTRADO"),"",_xlfn.XLOOKUP($D301,Productos!$E:$E,Productos!$J:$J,""))</f>
        <v/>
      </c>
      <c r="H301" s="74">
        <f t="array" ref="H301">IF(OR($D301="",$D301="NO ENCONTRADO"),"",_xlfn.XLOOKUP($D301,Productos!$E:$E,Productos!$K:$K,""))</f>
        <v/>
      </c>
      <c r="I301" s="74">
        <f t="array" ref="I301">IF(OR($D301="",$D301="NO ENCONTRADO"),"",_xlfn.XLOOKUP($D301,Productos!$E:$E,Productos!$F:$F,""))</f>
        <v/>
      </c>
      <c r="J301" s="74">
        <f>IF($C301="","",IF($D301="NO ENCONTRADO",IF(COUNTIF($C$7:$C$1000,$C301)&gt;1,"⚠️ No encontrado | Duplicado","⚠️ No encontrado"),IF(COUNTIF($C$7:$C$1000,$C301)&gt;1,"⚠️ Duplicado","Verificado")))</f>
        <v/>
      </c>
    </row>
    <row r="302" ht="15.75" customHeight="1" s="176">
      <c r="B302" s="80" t="n"/>
      <c r="C302" s="74" t="n"/>
      <c r="D302" s="74">
        <f t="array" ref="D302">IF($C302="","",IFNA(_xlfn.XLOOKUP($C302,Productos!$A:$A,Productos!$E:$E,IFNA(_xlfn.XLOOKUP(TEXT($C302,"0"),Productos!$A:$A,Productos!$E:$E,IFNA(_xlfn.XLOOKUP(IFERROR(VALUE($C302),""),Productos!$A:$A,Productos!$E:$E,_xlfn.XLOOKUP($C302,Productos!$E:$E,Productos!$E:$E,"NO ENCONTRADO")),"NO ENCONTRADO")),"NO ENCONTRADO")),"NO ENCONTRADO"))</f>
        <v/>
      </c>
      <c r="E302" s="74">
        <f t="array" ref="E302">IF(OR($D302="",$D302="NO ENCONTRADO"),"",_xlfn.XLOOKUP($D302,Productos!$E:$E,Productos!$H:$H,""))</f>
        <v/>
      </c>
      <c r="F302" s="74">
        <f t="array" ref="F302">IF(OR($D302="",$D302="NO ENCONTRADO"),"",_xlfn.XLOOKUP($D302,Productos!$E:$E,Productos!$I:$I,""))</f>
        <v/>
      </c>
      <c r="G302" s="74">
        <f t="array" ref="G302">IF(OR($D302="",$D302="NO ENCONTRADO"),"",_xlfn.XLOOKUP($D302,Productos!$E:$E,Productos!$J:$J,""))</f>
        <v/>
      </c>
      <c r="H302" s="74">
        <f t="array" ref="H302">IF(OR($D302="",$D302="NO ENCONTRADO"),"",_xlfn.XLOOKUP($D302,Productos!$E:$E,Productos!$K:$K,""))</f>
        <v/>
      </c>
      <c r="I302" s="74">
        <f t="array" ref="I302">IF(OR($D302="",$D302="NO ENCONTRADO"),"",_xlfn.XLOOKUP($D302,Productos!$E:$E,Productos!$F:$F,""))</f>
        <v/>
      </c>
      <c r="J302" s="74">
        <f>IF($C302="","",IF($D302="NO ENCONTRADO",IF(COUNTIF($C$7:$C$1000,$C302)&gt;1,"⚠️ No encontrado | Duplicado","⚠️ No encontrado"),IF(COUNTIF($C$7:$C$1000,$C302)&gt;1,"⚠️ Duplicado","Verificado")))</f>
        <v/>
      </c>
    </row>
    <row r="303" ht="15.75" customHeight="1" s="176">
      <c r="B303" s="80" t="n"/>
      <c r="C303" s="74" t="n"/>
      <c r="D303" s="74">
        <f t="array" ref="D303">IF($C303="","",IFNA(_xlfn.XLOOKUP($C303,Productos!$A:$A,Productos!$E:$E,IFNA(_xlfn.XLOOKUP(TEXT($C303,"0"),Productos!$A:$A,Productos!$E:$E,IFNA(_xlfn.XLOOKUP(IFERROR(VALUE($C303),""),Productos!$A:$A,Productos!$E:$E,_xlfn.XLOOKUP($C303,Productos!$E:$E,Productos!$E:$E,"NO ENCONTRADO")),"NO ENCONTRADO")),"NO ENCONTRADO")),"NO ENCONTRADO"))</f>
        <v/>
      </c>
      <c r="E303" s="74">
        <f t="array" ref="E303">IF(OR($D303="",$D303="NO ENCONTRADO"),"",_xlfn.XLOOKUP($D303,Productos!$E:$E,Productos!$H:$H,""))</f>
        <v/>
      </c>
      <c r="F303" s="74">
        <f t="array" ref="F303">IF(OR($D303="",$D303="NO ENCONTRADO"),"",_xlfn.XLOOKUP($D303,Productos!$E:$E,Productos!$I:$I,""))</f>
        <v/>
      </c>
      <c r="G303" s="74">
        <f t="array" ref="G303">IF(OR($D303="",$D303="NO ENCONTRADO"),"",_xlfn.XLOOKUP($D303,Productos!$E:$E,Productos!$J:$J,""))</f>
        <v/>
      </c>
      <c r="H303" s="74">
        <f t="array" ref="H303">IF(OR($D303="",$D303="NO ENCONTRADO"),"",_xlfn.XLOOKUP($D303,Productos!$E:$E,Productos!$K:$K,""))</f>
        <v/>
      </c>
      <c r="I303" s="74">
        <f t="array" ref="I303">IF(OR($D303="",$D303="NO ENCONTRADO"),"",_xlfn.XLOOKUP($D303,Productos!$E:$E,Productos!$F:$F,""))</f>
        <v/>
      </c>
      <c r="J303" s="74">
        <f>IF($C303="","",IF($D303="NO ENCONTRADO",IF(COUNTIF($C$7:$C$1000,$C303)&gt;1,"⚠️ No encontrado | Duplicado","⚠️ No encontrado"),IF(COUNTIF($C$7:$C$1000,$C303)&gt;1,"⚠️ Duplicado","Verificado")))</f>
        <v/>
      </c>
    </row>
    <row r="304" ht="15.75" customHeight="1" s="176">
      <c r="B304" s="80" t="n"/>
      <c r="C304" s="74" t="n"/>
      <c r="D304" s="74">
        <f t="array" ref="D304">IF($C304="","",IFNA(_xlfn.XLOOKUP($C304,Productos!$A:$A,Productos!$E:$E,IFNA(_xlfn.XLOOKUP(TEXT($C304,"0"),Productos!$A:$A,Productos!$E:$E,IFNA(_xlfn.XLOOKUP(IFERROR(VALUE($C304),""),Productos!$A:$A,Productos!$E:$E,_xlfn.XLOOKUP($C304,Productos!$E:$E,Productos!$E:$E,"NO ENCONTRADO")),"NO ENCONTRADO")),"NO ENCONTRADO")),"NO ENCONTRADO"))</f>
        <v/>
      </c>
      <c r="E304" s="74">
        <f t="array" ref="E304">IF(OR($D304="",$D304="NO ENCONTRADO"),"",_xlfn.XLOOKUP($D304,Productos!$E:$E,Productos!$H:$H,""))</f>
        <v/>
      </c>
      <c r="F304" s="74">
        <f t="array" ref="F304">IF(OR($D304="",$D304="NO ENCONTRADO"),"",_xlfn.XLOOKUP($D304,Productos!$E:$E,Productos!$I:$I,""))</f>
        <v/>
      </c>
      <c r="G304" s="74">
        <f t="array" ref="G304">IF(OR($D304="",$D304="NO ENCONTRADO"),"",_xlfn.XLOOKUP($D304,Productos!$E:$E,Productos!$J:$J,""))</f>
        <v/>
      </c>
      <c r="H304" s="74">
        <f t="array" ref="H304">IF(OR($D304="",$D304="NO ENCONTRADO"),"",_xlfn.XLOOKUP($D304,Productos!$E:$E,Productos!$K:$K,""))</f>
        <v/>
      </c>
      <c r="I304" s="74">
        <f t="array" ref="I304">IF(OR($D304="",$D304="NO ENCONTRADO"),"",_xlfn.XLOOKUP($D304,Productos!$E:$E,Productos!$F:$F,""))</f>
        <v/>
      </c>
      <c r="J304" s="74">
        <f>IF($C304="","",IF($D304="NO ENCONTRADO",IF(COUNTIF($C$7:$C$1000,$C304)&gt;1,"⚠️ No encontrado | Duplicado","⚠️ No encontrado"),IF(COUNTIF($C$7:$C$1000,$C304)&gt;1,"⚠️ Duplicado","Verificado")))</f>
        <v/>
      </c>
    </row>
    <row r="305" ht="15.75" customHeight="1" s="176">
      <c r="B305" s="80" t="n"/>
      <c r="C305" s="74" t="n"/>
      <c r="D305" s="74">
        <f t="array" ref="D305">IF($C305="","",IFNA(_xlfn.XLOOKUP($C305,Productos!$A:$A,Productos!$E:$E,IFNA(_xlfn.XLOOKUP(TEXT($C305,"0"),Productos!$A:$A,Productos!$E:$E,IFNA(_xlfn.XLOOKUP(IFERROR(VALUE($C305),""),Productos!$A:$A,Productos!$E:$E,_xlfn.XLOOKUP($C305,Productos!$E:$E,Productos!$E:$E,"NO ENCONTRADO")),"NO ENCONTRADO")),"NO ENCONTRADO")),"NO ENCONTRADO"))</f>
        <v/>
      </c>
      <c r="E305" s="74">
        <f t="array" ref="E305">IF(OR($D305="",$D305="NO ENCONTRADO"),"",_xlfn.XLOOKUP($D305,Productos!$E:$E,Productos!$H:$H,""))</f>
        <v/>
      </c>
      <c r="F305" s="74">
        <f t="array" ref="F305">IF(OR($D305="",$D305="NO ENCONTRADO"),"",_xlfn.XLOOKUP($D305,Productos!$E:$E,Productos!$I:$I,""))</f>
        <v/>
      </c>
      <c r="G305" s="74">
        <f t="array" ref="G305">IF(OR($D305="",$D305="NO ENCONTRADO"),"",_xlfn.XLOOKUP($D305,Productos!$E:$E,Productos!$J:$J,""))</f>
        <v/>
      </c>
      <c r="H305" s="74">
        <f t="array" ref="H305">IF(OR($D305="",$D305="NO ENCONTRADO"),"",_xlfn.XLOOKUP($D305,Productos!$E:$E,Productos!$K:$K,""))</f>
        <v/>
      </c>
      <c r="I305" s="74">
        <f t="array" ref="I305">IF(OR($D305="",$D305="NO ENCONTRADO"),"",_xlfn.XLOOKUP($D305,Productos!$E:$E,Productos!$F:$F,""))</f>
        <v/>
      </c>
      <c r="J305" s="74">
        <f>IF($C305="","",IF($D305="NO ENCONTRADO",IF(COUNTIF($C$7:$C$1000,$C305)&gt;1,"⚠️ No encontrado | Duplicado","⚠️ No encontrado"),IF(COUNTIF($C$7:$C$1000,$C305)&gt;1,"⚠️ Duplicado","Verificado")))</f>
        <v/>
      </c>
    </row>
    <row r="306" ht="15.75" customHeight="1" s="176">
      <c r="B306" s="80" t="n"/>
      <c r="C306" s="74" t="n"/>
      <c r="D306" s="74">
        <f t="array" ref="D306">IF($C306="","",IFNA(_xlfn.XLOOKUP($C306,Productos!$A:$A,Productos!$E:$E,IFNA(_xlfn.XLOOKUP(TEXT($C306,"0"),Productos!$A:$A,Productos!$E:$E,IFNA(_xlfn.XLOOKUP(IFERROR(VALUE($C306),""),Productos!$A:$A,Productos!$E:$E,_xlfn.XLOOKUP($C306,Productos!$E:$E,Productos!$E:$E,"NO ENCONTRADO")),"NO ENCONTRADO")),"NO ENCONTRADO")),"NO ENCONTRADO"))</f>
        <v/>
      </c>
      <c r="E306" s="74">
        <f t="array" ref="E306">IF(OR($D306="",$D306="NO ENCONTRADO"),"",_xlfn.XLOOKUP($D306,Productos!$E:$E,Productos!$H:$H,""))</f>
        <v/>
      </c>
      <c r="F306" s="74">
        <f t="array" ref="F306">IF(OR($D306="",$D306="NO ENCONTRADO"),"",_xlfn.XLOOKUP($D306,Productos!$E:$E,Productos!$I:$I,""))</f>
        <v/>
      </c>
      <c r="G306" s="74">
        <f t="array" ref="G306">IF(OR($D306="",$D306="NO ENCONTRADO"),"",_xlfn.XLOOKUP($D306,Productos!$E:$E,Productos!$J:$J,""))</f>
        <v/>
      </c>
      <c r="H306" s="74">
        <f t="array" ref="H306">IF(OR($D306="",$D306="NO ENCONTRADO"),"",_xlfn.XLOOKUP($D306,Productos!$E:$E,Productos!$K:$K,""))</f>
        <v/>
      </c>
      <c r="I306" s="74">
        <f t="array" ref="I306">IF(OR($D306="",$D306="NO ENCONTRADO"),"",_xlfn.XLOOKUP($D306,Productos!$E:$E,Productos!$F:$F,""))</f>
        <v/>
      </c>
      <c r="J306" s="74">
        <f>IF($C306="","",IF($D306="NO ENCONTRADO",IF(COUNTIF($C$7:$C$1000,$C306)&gt;1,"⚠️ No encontrado | Duplicado","⚠️ No encontrado"),IF(COUNTIF($C$7:$C$1000,$C306)&gt;1,"⚠️ Duplicado","Verificado")))</f>
        <v/>
      </c>
    </row>
    <row r="307" ht="15.75" customHeight="1" s="176">
      <c r="B307" s="80" t="n"/>
      <c r="C307" s="74" t="n"/>
      <c r="D307" s="74">
        <f t="array" ref="D307">IF($C307="","",IFNA(_xlfn.XLOOKUP($C307,Productos!$A:$A,Productos!$E:$E,IFNA(_xlfn.XLOOKUP(TEXT($C307,"0"),Productos!$A:$A,Productos!$E:$E,IFNA(_xlfn.XLOOKUP(IFERROR(VALUE($C307),""),Productos!$A:$A,Productos!$E:$E,_xlfn.XLOOKUP($C307,Productos!$E:$E,Productos!$E:$E,"NO ENCONTRADO")),"NO ENCONTRADO")),"NO ENCONTRADO")),"NO ENCONTRADO"))</f>
        <v/>
      </c>
      <c r="E307" s="74">
        <f t="array" ref="E307">IF(OR($D307="",$D307="NO ENCONTRADO"),"",_xlfn.XLOOKUP($D307,Productos!$E:$E,Productos!$H:$H,""))</f>
        <v/>
      </c>
      <c r="F307" s="74">
        <f t="array" ref="F307">IF(OR($D307="",$D307="NO ENCONTRADO"),"",_xlfn.XLOOKUP($D307,Productos!$E:$E,Productos!$I:$I,""))</f>
        <v/>
      </c>
      <c r="G307" s="74">
        <f t="array" ref="G307">IF(OR($D307="",$D307="NO ENCONTRADO"),"",_xlfn.XLOOKUP($D307,Productos!$E:$E,Productos!$J:$J,""))</f>
        <v/>
      </c>
      <c r="H307" s="74">
        <f t="array" ref="H307">IF(OR($D307="",$D307="NO ENCONTRADO"),"",_xlfn.XLOOKUP($D307,Productos!$E:$E,Productos!$K:$K,""))</f>
        <v/>
      </c>
      <c r="I307" s="74">
        <f t="array" ref="I307">IF(OR($D307="",$D307="NO ENCONTRADO"),"",_xlfn.XLOOKUP($D307,Productos!$E:$E,Productos!$F:$F,""))</f>
        <v/>
      </c>
      <c r="J307" s="74">
        <f>IF($C307="","",IF($D307="NO ENCONTRADO",IF(COUNTIF($C$7:$C$1000,$C307)&gt;1,"⚠️ No encontrado | Duplicado","⚠️ No encontrado"),IF(COUNTIF($C$7:$C$1000,$C307)&gt;1,"⚠️ Duplicado","Verificado")))</f>
        <v/>
      </c>
    </row>
    <row r="308" ht="15.75" customHeight="1" s="176">
      <c r="B308" s="80" t="n"/>
      <c r="C308" s="74" t="n"/>
      <c r="D308" s="74">
        <f t="array" ref="D308">IF($C308="","",IFNA(_xlfn.XLOOKUP($C308,Productos!$A:$A,Productos!$E:$E,IFNA(_xlfn.XLOOKUP(TEXT($C308,"0"),Productos!$A:$A,Productos!$E:$E,IFNA(_xlfn.XLOOKUP(IFERROR(VALUE($C308),""),Productos!$A:$A,Productos!$E:$E,_xlfn.XLOOKUP($C308,Productos!$E:$E,Productos!$E:$E,"NO ENCONTRADO")),"NO ENCONTRADO")),"NO ENCONTRADO")),"NO ENCONTRADO"))</f>
        <v/>
      </c>
      <c r="E308" s="74">
        <f t="array" ref="E308">IF(OR($D308="",$D308="NO ENCONTRADO"),"",_xlfn.XLOOKUP($D308,Productos!$E:$E,Productos!$H:$H,""))</f>
        <v/>
      </c>
      <c r="F308" s="74">
        <f t="array" ref="F308">IF(OR($D308="",$D308="NO ENCONTRADO"),"",_xlfn.XLOOKUP($D308,Productos!$E:$E,Productos!$I:$I,""))</f>
        <v/>
      </c>
      <c r="G308" s="74">
        <f t="array" ref="G308">IF(OR($D308="",$D308="NO ENCONTRADO"),"",_xlfn.XLOOKUP($D308,Productos!$E:$E,Productos!$J:$J,""))</f>
        <v/>
      </c>
      <c r="H308" s="74">
        <f t="array" ref="H308">IF(OR($D308="",$D308="NO ENCONTRADO"),"",_xlfn.XLOOKUP($D308,Productos!$E:$E,Productos!$K:$K,""))</f>
        <v/>
      </c>
      <c r="I308" s="74">
        <f t="array" ref="I308">IF(OR($D308="",$D308="NO ENCONTRADO"),"",_xlfn.XLOOKUP($D308,Productos!$E:$E,Productos!$F:$F,""))</f>
        <v/>
      </c>
      <c r="J308" s="74">
        <f>IF($C308="","",IF($D308="NO ENCONTRADO",IF(COUNTIF($C$7:$C$1000,$C308)&gt;1,"⚠️ No encontrado | Duplicado","⚠️ No encontrado"),IF(COUNTIF($C$7:$C$1000,$C308)&gt;1,"⚠️ Duplicado","Verificado")))</f>
        <v/>
      </c>
    </row>
    <row r="309" ht="15.75" customHeight="1" s="176">
      <c r="B309" s="80" t="n"/>
      <c r="C309" s="74" t="n"/>
      <c r="D309" s="74">
        <f t="array" ref="D309">IF($C309="","",IFNA(_xlfn.XLOOKUP($C309,Productos!$A:$A,Productos!$E:$E,IFNA(_xlfn.XLOOKUP(TEXT($C309,"0"),Productos!$A:$A,Productos!$E:$E,IFNA(_xlfn.XLOOKUP(IFERROR(VALUE($C309),""),Productos!$A:$A,Productos!$E:$E,_xlfn.XLOOKUP($C309,Productos!$E:$E,Productos!$E:$E,"NO ENCONTRADO")),"NO ENCONTRADO")),"NO ENCONTRADO")),"NO ENCONTRADO"))</f>
        <v/>
      </c>
      <c r="E309" s="74">
        <f t="array" ref="E309">IF(OR($D309="",$D309="NO ENCONTRADO"),"",_xlfn.XLOOKUP($D309,Productos!$E:$E,Productos!$H:$H,""))</f>
        <v/>
      </c>
      <c r="F309" s="74">
        <f t="array" ref="F309">IF(OR($D309="",$D309="NO ENCONTRADO"),"",_xlfn.XLOOKUP($D309,Productos!$E:$E,Productos!$I:$I,""))</f>
        <v/>
      </c>
      <c r="G309" s="74">
        <f t="array" ref="G309">IF(OR($D309="",$D309="NO ENCONTRADO"),"",_xlfn.XLOOKUP($D309,Productos!$E:$E,Productos!$J:$J,""))</f>
        <v/>
      </c>
      <c r="H309" s="74">
        <f t="array" ref="H309">IF(OR($D309="",$D309="NO ENCONTRADO"),"",_xlfn.XLOOKUP($D309,Productos!$E:$E,Productos!$K:$K,""))</f>
        <v/>
      </c>
      <c r="I309" s="74">
        <f t="array" ref="I309">IF(OR($D309="",$D309="NO ENCONTRADO"),"",_xlfn.XLOOKUP($D309,Productos!$E:$E,Productos!$F:$F,""))</f>
        <v/>
      </c>
      <c r="J309" s="74">
        <f>IF($C309="","",IF($D309="NO ENCONTRADO",IF(COUNTIF($C$7:$C$1000,$C309)&gt;1,"⚠️ No encontrado | Duplicado","⚠️ No encontrado"),IF(COUNTIF($C$7:$C$1000,$C309)&gt;1,"⚠️ Duplicado","Verificado")))</f>
        <v/>
      </c>
    </row>
    <row r="310" ht="15.75" customHeight="1" s="176">
      <c r="B310" s="80" t="n"/>
      <c r="C310" s="74" t="n"/>
      <c r="D310" s="74">
        <f t="array" ref="D310">IF($C310="","",IFNA(_xlfn.XLOOKUP($C310,Productos!$A:$A,Productos!$E:$E,IFNA(_xlfn.XLOOKUP(TEXT($C310,"0"),Productos!$A:$A,Productos!$E:$E,IFNA(_xlfn.XLOOKUP(IFERROR(VALUE($C310),""),Productos!$A:$A,Productos!$E:$E,_xlfn.XLOOKUP($C310,Productos!$E:$E,Productos!$E:$E,"NO ENCONTRADO")),"NO ENCONTRADO")),"NO ENCONTRADO")),"NO ENCONTRADO"))</f>
        <v/>
      </c>
      <c r="E310" s="74">
        <f t="array" ref="E310">IF(OR($D310="",$D310="NO ENCONTRADO"),"",_xlfn.XLOOKUP($D310,Productos!$E:$E,Productos!$H:$H,""))</f>
        <v/>
      </c>
      <c r="F310" s="74">
        <f t="array" ref="F310">IF(OR($D310="",$D310="NO ENCONTRADO"),"",_xlfn.XLOOKUP($D310,Productos!$E:$E,Productos!$I:$I,""))</f>
        <v/>
      </c>
      <c r="G310" s="74">
        <f t="array" ref="G310">IF(OR($D310="",$D310="NO ENCONTRADO"),"",_xlfn.XLOOKUP($D310,Productos!$E:$E,Productos!$J:$J,""))</f>
        <v/>
      </c>
      <c r="H310" s="74">
        <f t="array" ref="H310">IF(OR($D310="",$D310="NO ENCONTRADO"),"",_xlfn.XLOOKUP($D310,Productos!$E:$E,Productos!$K:$K,""))</f>
        <v/>
      </c>
      <c r="I310" s="74">
        <f t="array" ref="I310">IF(OR($D310="",$D310="NO ENCONTRADO"),"",_xlfn.XLOOKUP($D310,Productos!$E:$E,Productos!$F:$F,""))</f>
        <v/>
      </c>
      <c r="J310" s="74">
        <f>IF($C310="","",IF($D310="NO ENCONTRADO",IF(COUNTIF($C$7:$C$1000,$C310)&gt;1,"⚠️ No encontrado | Duplicado","⚠️ No encontrado"),IF(COUNTIF($C$7:$C$1000,$C310)&gt;1,"⚠️ Duplicado","Verificado")))</f>
        <v/>
      </c>
    </row>
    <row r="311" ht="15.75" customHeight="1" s="176">
      <c r="B311" s="80" t="n"/>
      <c r="C311" s="74" t="n"/>
      <c r="D311" s="74">
        <f t="array" ref="D311">IF($C311="","",IFNA(_xlfn.XLOOKUP($C311,Productos!$A:$A,Productos!$E:$E,IFNA(_xlfn.XLOOKUP(TEXT($C311,"0"),Productos!$A:$A,Productos!$E:$E,IFNA(_xlfn.XLOOKUP(IFERROR(VALUE($C311),""),Productos!$A:$A,Productos!$E:$E,_xlfn.XLOOKUP($C311,Productos!$E:$E,Productos!$E:$E,"NO ENCONTRADO")),"NO ENCONTRADO")),"NO ENCONTRADO")),"NO ENCONTRADO"))</f>
        <v/>
      </c>
      <c r="E311" s="74">
        <f t="array" ref="E311">IF(OR($D311="",$D311="NO ENCONTRADO"),"",_xlfn.XLOOKUP($D311,Productos!$E:$E,Productos!$H:$H,""))</f>
        <v/>
      </c>
      <c r="F311" s="74">
        <f t="array" ref="F311">IF(OR($D311="",$D311="NO ENCONTRADO"),"",_xlfn.XLOOKUP($D311,Productos!$E:$E,Productos!$I:$I,""))</f>
        <v/>
      </c>
      <c r="G311" s="74">
        <f t="array" ref="G311">IF(OR($D311="",$D311="NO ENCONTRADO"),"",_xlfn.XLOOKUP($D311,Productos!$E:$E,Productos!$J:$J,""))</f>
        <v/>
      </c>
      <c r="H311" s="74">
        <f t="array" ref="H311">IF(OR($D311="",$D311="NO ENCONTRADO"),"",_xlfn.XLOOKUP($D311,Productos!$E:$E,Productos!$K:$K,""))</f>
        <v/>
      </c>
      <c r="I311" s="74">
        <f t="array" ref="I311">IF(OR($D311="",$D311="NO ENCONTRADO"),"",_xlfn.XLOOKUP($D311,Productos!$E:$E,Productos!$F:$F,""))</f>
        <v/>
      </c>
      <c r="J311" s="74">
        <f>IF($C311="","",IF($D311="NO ENCONTRADO",IF(COUNTIF($C$7:$C$1000,$C311)&gt;1,"⚠️ No encontrado | Duplicado","⚠️ No encontrado"),IF(COUNTIF($C$7:$C$1000,$C311)&gt;1,"⚠️ Duplicado","Verificado")))</f>
        <v/>
      </c>
    </row>
    <row r="312" ht="15.75" customHeight="1" s="176">
      <c r="B312" s="80" t="n"/>
      <c r="C312" s="74" t="n"/>
      <c r="D312" s="74">
        <f t="array" ref="D312">IF($C312="","",IFNA(_xlfn.XLOOKUP($C312,Productos!$A:$A,Productos!$E:$E,IFNA(_xlfn.XLOOKUP(TEXT($C312,"0"),Productos!$A:$A,Productos!$E:$E,IFNA(_xlfn.XLOOKUP(IFERROR(VALUE($C312),""),Productos!$A:$A,Productos!$E:$E,_xlfn.XLOOKUP($C312,Productos!$E:$E,Productos!$E:$E,"NO ENCONTRADO")),"NO ENCONTRADO")),"NO ENCONTRADO")),"NO ENCONTRADO"))</f>
        <v/>
      </c>
      <c r="E312" s="74">
        <f t="array" ref="E312">IF(OR($D312="",$D312="NO ENCONTRADO"),"",_xlfn.XLOOKUP($D312,Productos!$E:$E,Productos!$H:$H,""))</f>
        <v/>
      </c>
      <c r="F312" s="74">
        <f t="array" ref="F312">IF(OR($D312="",$D312="NO ENCONTRADO"),"",_xlfn.XLOOKUP($D312,Productos!$E:$E,Productos!$I:$I,""))</f>
        <v/>
      </c>
      <c r="G312" s="74">
        <f t="array" ref="G312">IF(OR($D312="",$D312="NO ENCONTRADO"),"",_xlfn.XLOOKUP($D312,Productos!$E:$E,Productos!$J:$J,""))</f>
        <v/>
      </c>
      <c r="H312" s="74">
        <f t="array" ref="H312">IF(OR($D312="",$D312="NO ENCONTRADO"),"",_xlfn.XLOOKUP($D312,Productos!$E:$E,Productos!$K:$K,""))</f>
        <v/>
      </c>
      <c r="I312" s="74">
        <f t="array" ref="I312">IF(OR($D312="",$D312="NO ENCONTRADO"),"",_xlfn.XLOOKUP($D312,Productos!$E:$E,Productos!$F:$F,""))</f>
        <v/>
      </c>
      <c r="J312" s="74">
        <f>IF($C312="","",IF($D312="NO ENCONTRADO",IF(COUNTIF($C$7:$C$1000,$C312)&gt;1,"⚠️ No encontrado | Duplicado","⚠️ No encontrado"),IF(COUNTIF($C$7:$C$1000,$C312)&gt;1,"⚠️ Duplicado","Verificado")))</f>
        <v/>
      </c>
    </row>
    <row r="313" ht="15.75" customHeight="1" s="176">
      <c r="B313" s="80" t="n"/>
      <c r="C313" s="74" t="n"/>
      <c r="D313" s="74">
        <f t="array" ref="D313">IF($C313="","",IFNA(_xlfn.XLOOKUP($C313,Productos!$A:$A,Productos!$E:$E,IFNA(_xlfn.XLOOKUP(TEXT($C313,"0"),Productos!$A:$A,Productos!$E:$E,IFNA(_xlfn.XLOOKUP(IFERROR(VALUE($C313),""),Productos!$A:$A,Productos!$E:$E,_xlfn.XLOOKUP($C313,Productos!$E:$E,Productos!$E:$E,"NO ENCONTRADO")),"NO ENCONTRADO")),"NO ENCONTRADO")),"NO ENCONTRADO"))</f>
        <v/>
      </c>
      <c r="E313" s="74">
        <f t="array" ref="E313">IF(OR($D313="",$D313="NO ENCONTRADO"),"",_xlfn.XLOOKUP($D313,Productos!$E:$E,Productos!$H:$H,""))</f>
        <v/>
      </c>
      <c r="F313" s="74">
        <f t="array" ref="F313">IF(OR($D313="",$D313="NO ENCONTRADO"),"",_xlfn.XLOOKUP($D313,Productos!$E:$E,Productos!$I:$I,""))</f>
        <v/>
      </c>
      <c r="G313" s="74">
        <f t="array" ref="G313">IF(OR($D313="",$D313="NO ENCONTRADO"),"",_xlfn.XLOOKUP($D313,Productos!$E:$E,Productos!$J:$J,""))</f>
        <v/>
      </c>
      <c r="H313" s="74">
        <f t="array" ref="H313">IF(OR($D313="",$D313="NO ENCONTRADO"),"",_xlfn.XLOOKUP($D313,Productos!$E:$E,Productos!$K:$K,""))</f>
        <v/>
      </c>
      <c r="I313" s="74">
        <f t="array" ref="I313">IF(OR($D313="",$D313="NO ENCONTRADO"),"",_xlfn.XLOOKUP($D313,Productos!$E:$E,Productos!$F:$F,""))</f>
        <v/>
      </c>
      <c r="J313" s="74">
        <f>IF($C313="","",IF($D313="NO ENCONTRADO",IF(COUNTIF($C$7:$C$1000,$C313)&gt;1,"⚠️ No encontrado | Duplicado","⚠️ No encontrado"),IF(COUNTIF($C$7:$C$1000,$C313)&gt;1,"⚠️ Duplicado","Verificado")))</f>
        <v/>
      </c>
    </row>
    <row r="314" ht="15.75" customHeight="1" s="176">
      <c r="B314" s="80" t="n"/>
      <c r="C314" s="74" t="n"/>
      <c r="D314" s="74">
        <f t="array" ref="D314">IF($C314="","",IFNA(_xlfn.XLOOKUP($C314,Productos!$A:$A,Productos!$E:$E,IFNA(_xlfn.XLOOKUP(TEXT($C314,"0"),Productos!$A:$A,Productos!$E:$E,IFNA(_xlfn.XLOOKUP(IFERROR(VALUE($C314),""),Productos!$A:$A,Productos!$E:$E,_xlfn.XLOOKUP($C314,Productos!$E:$E,Productos!$E:$E,"NO ENCONTRADO")),"NO ENCONTRADO")),"NO ENCONTRADO")),"NO ENCONTRADO"))</f>
        <v/>
      </c>
      <c r="E314" s="74">
        <f t="array" ref="E314">IF(OR($D314="",$D314="NO ENCONTRADO"),"",_xlfn.XLOOKUP($D314,Productos!$E:$E,Productos!$H:$H,""))</f>
        <v/>
      </c>
      <c r="F314" s="74">
        <f t="array" ref="F314">IF(OR($D314="",$D314="NO ENCONTRADO"),"",_xlfn.XLOOKUP($D314,Productos!$E:$E,Productos!$I:$I,""))</f>
        <v/>
      </c>
      <c r="G314" s="74">
        <f t="array" ref="G314">IF(OR($D314="",$D314="NO ENCONTRADO"),"",_xlfn.XLOOKUP($D314,Productos!$E:$E,Productos!$J:$J,""))</f>
        <v/>
      </c>
      <c r="H314" s="74">
        <f t="array" ref="H314">IF(OR($D314="",$D314="NO ENCONTRADO"),"",_xlfn.XLOOKUP($D314,Productos!$E:$E,Productos!$K:$K,""))</f>
        <v/>
      </c>
      <c r="I314" s="74">
        <f t="array" ref="I314">IF(OR($D314="",$D314="NO ENCONTRADO"),"",_xlfn.XLOOKUP($D314,Productos!$E:$E,Productos!$F:$F,""))</f>
        <v/>
      </c>
      <c r="J314" s="74">
        <f>IF($C314="","",IF($D314="NO ENCONTRADO",IF(COUNTIF($C$7:$C$1000,$C314)&gt;1,"⚠️ No encontrado | Duplicado","⚠️ No encontrado"),IF(COUNTIF($C$7:$C$1000,$C314)&gt;1,"⚠️ Duplicado","Verificado")))</f>
        <v/>
      </c>
    </row>
    <row r="315" ht="15.75" customHeight="1" s="176">
      <c r="B315" s="80" t="n"/>
      <c r="C315" s="74" t="n"/>
      <c r="D315" s="74">
        <f t="array" ref="D315">IF($C315="","",IFNA(_xlfn.XLOOKUP($C315,Productos!$A:$A,Productos!$E:$E,IFNA(_xlfn.XLOOKUP(TEXT($C315,"0"),Productos!$A:$A,Productos!$E:$E,IFNA(_xlfn.XLOOKUP(IFERROR(VALUE($C315),""),Productos!$A:$A,Productos!$E:$E,_xlfn.XLOOKUP($C315,Productos!$E:$E,Productos!$E:$E,"NO ENCONTRADO")),"NO ENCONTRADO")),"NO ENCONTRADO")),"NO ENCONTRADO"))</f>
        <v/>
      </c>
      <c r="E315" s="74">
        <f t="array" ref="E315">IF(OR($D315="",$D315="NO ENCONTRADO"),"",_xlfn.XLOOKUP($D315,Productos!$E:$E,Productos!$H:$H,""))</f>
        <v/>
      </c>
      <c r="F315" s="74">
        <f t="array" ref="F315">IF(OR($D315="",$D315="NO ENCONTRADO"),"",_xlfn.XLOOKUP($D315,Productos!$E:$E,Productos!$I:$I,""))</f>
        <v/>
      </c>
      <c r="G315" s="74">
        <f t="array" ref="G315">IF(OR($D315="",$D315="NO ENCONTRADO"),"",_xlfn.XLOOKUP($D315,Productos!$E:$E,Productos!$J:$J,""))</f>
        <v/>
      </c>
      <c r="H315" s="74">
        <f t="array" ref="H315">IF(OR($D315="",$D315="NO ENCONTRADO"),"",_xlfn.XLOOKUP($D315,Productos!$E:$E,Productos!$K:$K,""))</f>
        <v/>
      </c>
      <c r="I315" s="74">
        <f t="array" ref="I315">IF(OR($D315="",$D315="NO ENCONTRADO"),"",_xlfn.XLOOKUP($D315,Productos!$E:$E,Productos!$F:$F,""))</f>
        <v/>
      </c>
      <c r="J315" s="74">
        <f>IF($C315="","",IF($D315="NO ENCONTRADO",IF(COUNTIF($C$7:$C$1000,$C315)&gt;1,"⚠️ No encontrado | Duplicado","⚠️ No encontrado"),IF(COUNTIF($C$7:$C$1000,$C315)&gt;1,"⚠️ Duplicado","Verificado")))</f>
        <v/>
      </c>
    </row>
    <row r="316" ht="15.75" customHeight="1" s="176">
      <c r="B316" s="80" t="n"/>
      <c r="C316" s="74" t="n"/>
      <c r="D316" s="74">
        <f t="array" ref="D316">IF($C316="","",IFNA(_xlfn.XLOOKUP($C316,Productos!$A:$A,Productos!$E:$E,IFNA(_xlfn.XLOOKUP(TEXT($C316,"0"),Productos!$A:$A,Productos!$E:$E,IFNA(_xlfn.XLOOKUP(IFERROR(VALUE($C316),""),Productos!$A:$A,Productos!$E:$E,_xlfn.XLOOKUP($C316,Productos!$E:$E,Productos!$E:$E,"NO ENCONTRADO")),"NO ENCONTRADO")),"NO ENCONTRADO")),"NO ENCONTRADO"))</f>
        <v/>
      </c>
      <c r="E316" s="74">
        <f t="array" ref="E316">IF(OR($D316="",$D316="NO ENCONTRADO"),"",_xlfn.XLOOKUP($D316,Productos!$E:$E,Productos!$H:$H,""))</f>
        <v/>
      </c>
      <c r="F316" s="74">
        <f t="array" ref="F316">IF(OR($D316="",$D316="NO ENCONTRADO"),"",_xlfn.XLOOKUP($D316,Productos!$E:$E,Productos!$I:$I,""))</f>
        <v/>
      </c>
      <c r="G316" s="74">
        <f t="array" ref="G316">IF(OR($D316="",$D316="NO ENCONTRADO"),"",_xlfn.XLOOKUP($D316,Productos!$E:$E,Productos!$J:$J,""))</f>
        <v/>
      </c>
      <c r="H316" s="74">
        <f t="array" ref="H316">IF(OR($D316="",$D316="NO ENCONTRADO"),"",_xlfn.XLOOKUP($D316,Productos!$E:$E,Productos!$K:$K,""))</f>
        <v/>
      </c>
      <c r="I316" s="74">
        <f t="array" ref="I316">IF(OR($D316="",$D316="NO ENCONTRADO"),"",_xlfn.XLOOKUP($D316,Productos!$E:$E,Productos!$F:$F,""))</f>
        <v/>
      </c>
      <c r="J316" s="74">
        <f>IF($C316="","",IF($D316="NO ENCONTRADO",IF(COUNTIF($C$7:$C$1000,$C316)&gt;1,"⚠️ No encontrado | Duplicado","⚠️ No encontrado"),IF(COUNTIF($C$7:$C$1000,$C316)&gt;1,"⚠️ Duplicado","Verificado")))</f>
        <v/>
      </c>
    </row>
    <row r="317" ht="15.75" customHeight="1" s="176">
      <c r="B317" s="80" t="n"/>
      <c r="C317" s="74" t="n"/>
      <c r="D317" s="74">
        <f t="array" ref="D317">IF($C317="","",IFNA(_xlfn.XLOOKUP($C317,Productos!$A:$A,Productos!$E:$E,IFNA(_xlfn.XLOOKUP(TEXT($C317,"0"),Productos!$A:$A,Productos!$E:$E,IFNA(_xlfn.XLOOKUP(IFERROR(VALUE($C317),""),Productos!$A:$A,Productos!$E:$E,_xlfn.XLOOKUP($C317,Productos!$E:$E,Productos!$E:$E,"NO ENCONTRADO")),"NO ENCONTRADO")),"NO ENCONTRADO")),"NO ENCONTRADO"))</f>
        <v/>
      </c>
      <c r="E317" s="74">
        <f t="array" ref="E317">IF(OR($D317="",$D317="NO ENCONTRADO"),"",_xlfn.XLOOKUP($D317,Productos!$E:$E,Productos!$H:$H,""))</f>
        <v/>
      </c>
      <c r="F317" s="74">
        <f t="array" ref="F317">IF(OR($D317="",$D317="NO ENCONTRADO"),"",_xlfn.XLOOKUP($D317,Productos!$E:$E,Productos!$I:$I,""))</f>
        <v/>
      </c>
      <c r="G317" s="74">
        <f t="array" ref="G317">IF(OR($D317="",$D317="NO ENCONTRADO"),"",_xlfn.XLOOKUP($D317,Productos!$E:$E,Productos!$J:$J,""))</f>
        <v/>
      </c>
      <c r="H317" s="74">
        <f t="array" ref="H317">IF(OR($D317="",$D317="NO ENCONTRADO"),"",_xlfn.XLOOKUP($D317,Productos!$E:$E,Productos!$K:$K,""))</f>
        <v/>
      </c>
      <c r="I317" s="74">
        <f t="array" ref="I317">IF(OR($D317="",$D317="NO ENCONTRADO"),"",_xlfn.XLOOKUP($D317,Productos!$E:$E,Productos!$F:$F,""))</f>
        <v/>
      </c>
      <c r="J317" s="74">
        <f>IF($C317="","",IF($D317="NO ENCONTRADO",IF(COUNTIF($C$7:$C$1000,$C317)&gt;1,"⚠️ No encontrado | Duplicado","⚠️ No encontrado"),IF(COUNTIF($C$7:$C$1000,$C317)&gt;1,"⚠️ Duplicado","Verificado")))</f>
        <v/>
      </c>
    </row>
    <row r="318" ht="15.75" customHeight="1" s="176">
      <c r="B318" s="80" t="n"/>
      <c r="C318" s="74" t="n"/>
      <c r="D318" s="74">
        <f t="array" ref="D318">IF($C318="","",IFNA(_xlfn.XLOOKUP($C318,Productos!$A:$A,Productos!$E:$E,IFNA(_xlfn.XLOOKUP(TEXT($C318,"0"),Productos!$A:$A,Productos!$E:$E,IFNA(_xlfn.XLOOKUP(IFERROR(VALUE($C318),""),Productos!$A:$A,Productos!$E:$E,_xlfn.XLOOKUP($C318,Productos!$E:$E,Productos!$E:$E,"NO ENCONTRADO")),"NO ENCONTRADO")),"NO ENCONTRADO")),"NO ENCONTRADO"))</f>
        <v/>
      </c>
      <c r="E318" s="74">
        <f t="array" ref="E318">IF(OR($D318="",$D318="NO ENCONTRADO"),"",_xlfn.XLOOKUP($D318,Productos!$E:$E,Productos!$H:$H,""))</f>
        <v/>
      </c>
      <c r="F318" s="74">
        <f t="array" ref="F318">IF(OR($D318="",$D318="NO ENCONTRADO"),"",_xlfn.XLOOKUP($D318,Productos!$E:$E,Productos!$I:$I,""))</f>
        <v/>
      </c>
      <c r="G318" s="74">
        <f t="array" ref="G318">IF(OR($D318="",$D318="NO ENCONTRADO"),"",_xlfn.XLOOKUP($D318,Productos!$E:$E,Productos!$J:$J,""))</f>
        <v/>
      </c>
      <c r="H318" s="74">
        <f t="array" ref="H318">IF(OR($D318="",$D318="NO ENCONTRADO"),"",_xlfn.XLOOKUP($D318,Productos!$E:$E,Productos!$K:$K,""))</f>
        <v/>
      </c>
      <c r="I318" s="74">
        <f t="array" ref="I318">IF(OR($D318="",$D318="NO ENCONTRADO"),"",_xlfn.XLOOKUP($D318,Productos!$E:$E,Productos!$F:$F,""))</f>
        <v/>
      </c>
      <c r="J318" s="74">
        <f>IF($C318="","",IF($D318="NO ENCONTRADO",IF(COUNTIF($C$7:$C$1000,$C318)&gt;1,"⚠️ No encontrado | Duplicado","⚠️ No encontrado"),IF(COUNTIF($C$7:$C$1000,$C318)&gt;1,"⚠️ Duplicado","Verificado")))</f>
        <v/>
      </c>
    </row>
    <row r="319" ht="15.75" customHeight="1" s="176">
      <c r="B319" s="80" t="n"/>
      <c r="C319" s="74" t="n"/>
      <c r="D319" s="74">
        <f t="array" ref="D319">IF($C319="","",IFNA(_xlfn.XLOOKUP($C319,Productos!$A:$A,Productos!$E:$E,IFNA(_xlfn.XLOOKUP(TEXT($C319,"0"),Productos!$A:$A,Productos!$E:$E,IFNA(_xlfn.XLOOKUP(IFERROR(VALUE($C319),""),Productos!$A:$A,Productos!$E:$E,_xlfn.XLOOKUP($C319,Productos!$E:$E,Productos!$E:$E,"NO ENCONTRADO")),"NO ENCONTRADO")),"NO ENCONTRADO")),"NO ENCONTRADO"))</f>
        <v/>
      </c>
      <c r="E319" s="74">
        <f t="array" ref="E319">IF(OR($D319="",$D319="NO ENCONTRADO"),"",_xlfn.XLOOKUP($D319,Productos!$E:$E,Productos!$H:$H,""))</f>
        <v/>
      </c>
      <c r="F319" s="74">
        <f t="array" ref="F319">IF(OR($D319="",$D319="NO ENCONTRADO"),"",_xlfn.XLOOKUP($D319,Productos!$E:$E,Productos!$I:$I,""))</f>
        <v/>
      </c>
      <c r="G319" s="74">
        <f t="array" ref="G319">IF(OR($D319="",$D319="NO ENCONTRADO"),"",_xlfn.XLOOKUP($D319,Productos!$E:$E,Productos!$J:$J,""))</f>
        <v/>
      </c>
      <c r="H319" s="74">
        <f t="array" ref="H319">IF(OR($D319="",$D319="NO ENCONTRADO"),"",_xlfn.XLOOKUP($D319,Productos!$E:$E,Productos!$K:$K,""))</f>
        <v/>
      </c>
      <c r="I319" s="74">
        <f t="array" ref="I319">IF(OR($D319="",$D319="NO ENCONTRADO"),"",_xlfn.XLOOKUP($D319,Productos!$E:$E,Productos!$F:$F,""))</f>
        <v/>
      </c>
      <c r="J319" s="74">
        <f>IF($C319="","",IF($D319="NO ENCONTRADO",IF(COUNTIF($C$7:$C$1000,$C319)&gt;1,"⚠️ No encontrado | Duplicado","⚠️ No encontrado"),IF(COUNTIF($C$7:$C$1000,$C319)&gt;1,"⚠️ Duplicado","Verificado")))</f>
        <v/>
      </c>
    </row>
    <row r="320" ht="15.75" customHeight="1" s="176">
      <c r="B320" s="80" t="n"/>
      <c r="C320" s="74" t="n"/>
      <c r="D320" s="74">
        <f t="array" ref="D320">IF($C320="","",IFNA(_xlfn.XLOOKUP($C320,Productos!$A:$A,Productos!$E:$E,IFNA(_xlfn.XLOOKUP(TEXT($C320,"0"),Productos!$A:$A,Productos!$E:$E,IFNA(_xlfn.XLOOKUP(IFERROR(VALUE($C320),""),Productos!$A:$A,Productos!$E:$E,_xlfn.XLOOKUP($C320,Productos!$E:$E,Productos!$E:$E,"NO ENCONTRADO")),"NO ENCONTRADO")),"NO ENCONTRADO")),"NO ENCONTRADO"))</f>
        <v/>
      </c>
      <c r="E320" s="74">
        <f t="array" ref="E320">IF(OR($D320="",$D320="NO ENCONTRADO"),"",_xlfn.XLOOKUP($D320,Productos!$E:$E,Productos!$H:$H,""))</f>
        <v/>
      </c>
      <c r="F320" s="74">
        <f t="array" ref="F320">IF(OR($D320="",$D320="NO ENCONTRADO"),"",_xlfn.XLOOKUP($D320,Productos!$E:$E,Productos!$I:$I,""))</f>
        <v/>
      </c>
      <c r="G320" s="74">
        <f t="array" ref="G320">IF(OR($D320="",$D320="NO ENCONTRADO"),"",_xlfn.XLOOKUP($D320,Productos!$E:$E,Productos!$J:$J,""))</f>
        <v/>
      </c>
      <c r="H320" s="74">
        <f t="array" ref="H320">IF(OR($D320="",$D320="NO ENCONTRADO"),"",_xlfn.XLOOKUP($D320,Productos!$E:$E,Productos!$K:$K,""))</f>
        <v/>
      </c>
      <c r="I320" s="74">
        <f t="array" ref="I320">IF(OR($D320="",$D320="NO ENCONTRADO"),"",_xlfn.XLOOKUP($D320,Productos!$E:$E,Productos!$F:$F,""))</f>
        <v/>
      </c>
      <c r="J320" s="74">
        <f>IF($C320="","",IF($D320="NO ENCONTRADO",IF(COUNTIF($C$7:$C$1000,$C320)&gt;1,"⚠️ No encontrado | Duplicado","⚠️ No encontrado"),IF(COUNTIF($C$7:$C$1000,$C320)&gt;1,"⚠️ Duplicado","Verificado")))</f>
        <v/>
      </c>
    </row>
    <row r="321" ht="15.75" customHeight="1" s="176">
      <c r="B321" s="80" t="n"/>
      <c r="C321" s="74" t="n"/>
      <c r="D321" s="74">
        <f t="array" ref="D321">IF($C321="","",IFNA(_xlfn.XLOOKUP($C321,Productos!$A:$A,Productos!$E:$E,IFNA(_xlfn.XLOOKUP(TEXT($C321,"0"),Productos!$A:$A,Productos!$E:$E,IFNA(_xlfn.XLOOKUP(IFERROR(VALUE($C321),""),Productos!$A:$A,Productos!$E:$E,_xlfn.XLOOKUP($C321,Productos!$E:$E,Productos!$E:$E,"NO ENCONTRADO")),"NO ENCONTRADO")),"NO ENCONTRADO")),"NO ENCONTRADO"))</f>
        <v/>
      </c>
      <c r="E321" s="74">
        <f t="array" ref="E321">IF(OR($D321="",$D321="NO ENCONTRADO"),"",_xlfn.XLOOKUP($D321,Productos!$E:$E,Productos!$H:$H,""))</f>
        <v/>
      </c>
      <c r="F321" s="74">
        <f t="array" ref="F321">IF(OR($D321="",$D321="NO ENCONTRADO"),"",_xlfn.XLOOKUP($D321,Productos!$E:$E,Productos!$I:$I,""))</f>
        <v/>
      </c>
      <c r="G321" s="74">
        <f t="array" ref="G321">IF(OR($D321="",$D321="NO ENCONTRADO"),"",_xlfn.XLOOKUP($D321,Productos!$E:$E,Productos!$J:$J,""))</f>
        <v/>
      </c>
      <c r="H321" s="74">
        <f t="array" ref="H321">IF(OR($D321="",$D321="NO ENCONTRADO"),"",_xlfn.XLOOKUP($D321,Productos!$E:$E,Productos!$K:$K,""))</f>
        <v/>
      </c>
      <c r="I321" s="74">
        <f t="array" ref="I321">IF(OR($D321="",$D321="NO ENCONTRADO"),"",_xlfn.XLOOKUP($D321,Productos!$E:$E,Productos!$F:$F,""))</f>
        <v/>
      </c>
      <c r="J321" s="74">
        <f>IF($C321="","",IF($D321="NO ENCONTRADO",IF(COUNTIF($C$7:$C$1000,$C321)&gt;1,"⚠️ No encontrado | Duplicado","⚠️ No encontrado"),IF(COUNTIF($C$7:$C$1000,$C321)&gt;1,"⚠️ Duplicado","Verificado")))</f>
        <v/>
      </c>
    </row>
    <row r="322" ht="15.75" customHeight="1" s="176">
      <c r="B322" s="80" t="n"/>
      <c r="C322" s="74" t="n"/>
      <c r="D322" s="74">
        <f t="array" ref="D322">IF($C322="","",IFNA(_xlfn.XLOOKUP($C322,Productos!$A:$A,Productos!$E:$E,IFNA(_xlfn.XLOOKUP(TEXT($C322,"0"),Productos!$A:$A,Productos!$E:$E,IFNA(_xlfn.XLOOKUP(IFERROR(VALUE($C322),""),Productos!$A:$A,Productos!$E:$E,_xlfn.XLOOKUP($C322,Productos!$E:$E,Productos!$E:$E,"NO ENCONTRADO")),"NO ENCONTRADO")),"NO ENCONTRADO")),"NO ENCONTRADO"))</f>
        <v/>
      </c>
      <c r="E322" s="74">
        <f t="array" ref="E322">IF(OR($D322="",$D322="NO ENCONTRADO"),"",_xlfn.XLOOKUP($D322,Productos!$E:$E,Productos!$H:$H,""))</f>
        <v/>
      </c>
      <c r="F322" s="74">
        <f t="array" ref="F322">IF(OR($D322="",$D322="NO ENCONTRADO"),"",_xlfn.XLOOKUP($D322,Productos!$E:$E,Productos!$I:$I,""))</f>
        <v/>
      </c>
      <c r="G322" s="74">
        <f t="array" ref="G322">IF(OR($D322="",$D322="NO ENCONTRADO"),"",_xlfn.XLOOKUP($D322,Productos!$E:$E,Productos!$J:$J,""))</f>
        <v/>
      </c>
      <c r="H322" s="74">
        <f t="array" ref="H322">IF(OR($D322="",$D322="NO ENCONTRADO"),"",_xlfn.XLOOKUP($D322,Productos!$E:$E,Productos!$K:$K,""))</f>
        <v/>
      </c>
      <c r="I322" s="74">
        <f t="array" ref="I322">IF(OR($D322="",$D322="NO ENCONTRADO"),"",_xlfn.XLOOKUP($D322,Productos!$E:$E,Productos!$F:$F,""))</f>
        <v/>
      </c>
      <c r="J322" s="74">
        <f>IF($C322="","",IF($D322="NO ENCONTRADO",IF(COUNTIF($C$7:$C$1000,$C322)&gt;1,"⚠️ No encontrado | Duplicado","⚠️ No encontrado"),IF(COUNTIF($C$7:$C$1000,$C322)&gt;1,"⚠️ Duplicado","Verificado")))</f>
        <v/>
      </c>
    </row>
    <row r="323" ht="15.75" customHeight="1" s="176">
      <c r="B323" s="80" t="n"/>
      <c r="C323" s="74" t="n"/>
      <c r="D323" s="74">
        <f t="array" ref="D323">IF($C323="","",IFNA(_xlfn.XLOOKUP($C323,Productos!$A:$A,Productos!$E:$E,IFNA(_xlfn.XLOOKUP(TEXT($C323,"0"),Productos!$A:$A,Productos!$E:$E,IFNA(_xlfn.XLOOKUP(IFERROR(VALUE($C323),""),Productos!$A:$A,Productos!$E:$E,_xlfn.XLOOKUP($C323,Productos!$E:$E,Productos!$E:$E,"NO ENCONTRADO")),"NO ENCONTRADO")),"NO ENCONTRADO")),"NO ENCONTRADO"))</f>
        <v/>
      </c>
      <c r="E323" s="74">
        <f t="array" ref="E323">IF(OR($D323="",$D323="NO ENCONTRADO"),"",_xlfn.XLOOKUP($D323,Productos!$E:$E,Productos!$H:$H,""))</f>
        <v/>
      </c>
      <c r="F323" s="74">
        <f t="array" ref="F323">IF(OR($D323="",$D323="NO ENCONTRADO"),"",_xlfn.XLOOKUP($D323,Productos!$E:$E,Productos!$I:$I,""))</f>
        <v/>
      </c>
      <c r="G323" s="74">
        <f t="array" ref="G323">IF(OR($D323="",$D323="NO ENCONTRADO"),"",_xlfn.XLOOKUP($D323,Productos!$E:$E,Productos!$J:$J,""))</f>
        <v/>
      </c>
      <c r="H323" s="74">
        <f t="array" ref="H323">IF(OR($D323="",$D323="NO ENCONTRADO"),"",_xlfn.XLOOKUP($D323,Productos!$E:$E,Productos!$K:$K,""))</f>
        <v/>
      </c>
      <c r="I323" s="74">
        <f t="array" ref="I323">IF(OR($D323="",$D323="NO ENCONTRADO"),"",_xlfn.XLOOKUP($D323,Productos!$E:$E,Productos!$F:$F,""))</f>
        <v/>
      </c>
      <c r="J323" s="74">
        <f>IF($C323="","",IF($D323="NO ENCONTRADO",IF(COUNTIF($C$7:$C$1000,$C323)&gt;1,"⚠️ No encontrado | Duplicado","⚠️ No encontrado"),IF(COUNTIF($C$7:$C$1000,$C323)&gt;1,"⚠️ Duplicado","Verificado")))</f>
        <v/>
      </c>
    </row>
    <row r="324" ht="15.75" customHeight="1" s="176">
      <c r="B324" s="80" t="n"/>
      <c r="C324" s="74" t="n"/>
      <c r="D324" s="74">
        <f t="array" ref="D324">IF($C324="","",IFNA(_xlfn.XLOOKUP($C324,Productos!$A:$A,Productos!$E:$E,IFNA(_xlfn.XLOOKUP(TEXT($C324,"0"),Productos!$A:$A,Productos!$E:$E,IFNA(_xlfn.XLOOKUP(IFERROR(VALUE($C324),""),Productos!$A:$A,Productos!$E:$E,_xlfn.XLOOKUP($C324,Productos!$E:$E,Productos!$E:$E,"NO ENCONTRADO")),"NO ENCONTRADO")),"NO ENCONTRADO")),"NO ENCONTRADO"))</f>
        <v/>
      </c>
      <c r="E324" s="74">
        <f t="array" ref="E324">IF(OR($D324="",$D324="NO ENCONTRADO"),"",_xlfn.XLOOKUP($D324,Productos!$E:$E,Productos!$H:$H,""))</f>
        <v/>
      </c>
      <c r="F324" s="74">
        <f t="array" ref="F324">IF(OR($D324="",$D324="NO ENCONTRADO"),"",_xlfn.XLOOKUP($D324,Productos!$E:$E,Productos!$I:$I,""))</f>
        <v/>
      </c>
      <c r="G324" s="74">
        <f t="array" ref="G324">IF(OR($D324="",$D324="NO ENCONTRADO"),"",_xlfn.XLOOKUP($D324,Productos!$E:$E,Productos!$J:$J,""))</f>
        <v/>
      </c>
      <c r="H324" s="74">
        <f t="array" ref="H324">IF(OR($D324="",$D324="NO ENCONTRADO"),"",_xlfn.XLOOKUP($D324,Productos!$E:$E,Productos!$K:$K,""))</f>
        <v/>
      </c>
      <c r="I324" s="74">
        <f t="array" ref="I324">IF(OR($D324="",$D324="NO ENCONTRADO"),"",_xlfn.XLOOKUP($D324,Productos!$E:$E,Productos!$F:$F,""))</f>
        <v/>
      </c>
      <c r="J324" s="74">
        <f>IF($C324="","",IF($D324="NO ENCONTRADO",IF(COUNTIF($C$7:$C$1000,$C324)&gt;1,"⚠️ No encontrado | Duplicado","⚠️ No encontrado"),IF(COUNTIF($C$7:$C$1000,$C324)&gt;1,"⚠️ Duplicado","Verificado")))</f>
        <v/>
      </c>
    </row>
    <row r="325" ht="15.75" customHeight="1" s="176">
      <c r="B325" s="80" t="n"/>
      <c r="C325" s="74" t="n"/>
      <c r="D325" s="74">
        <f t="array" ref="D325">IF($C325="","",IFNA(_xlfn.XLOOKUP($C325,Productos!$A:$A,Productos!$E:$E,IFNA(_xlfn.XLOOKUP(TEXT($C325,"0"),Productos!$A:$A,Productos!$E:$E,IFNA(_xlfn.XLOOKUP(IFERROR(VALUE($C325),""),Productos!$A:$A,Productos!$E:$E,_xlfn.XLOOKUP($C325,Productos!$E:$E,Productos!$E:$E,"NO ENCONTRADO")),"NO ENCONTRADO")),"NO ENCONTRADO")),"NO ENCONTRADO"))</f>
        <v/>
      </c>
      <c r="E325" s="74">
        <f t="array" ref="E325">IF(OR($D325="",$D325="NO ENCONTRADO"),"",_xlfn.XLOOKUP($D325,Productos!$E:$E,Productos!$H:$H,""))</f>
        <v/>
      </c>
      <c r="F325" s="74">
        <f t="array" ref="F325">IF(OR($D325="",$D325="NO ENCONTRADO"),"",_xlfn.XLOOKUP($D325,Productos!$E:$E,Productos!$I:$I,""))</f>
        <v/>
      </c>
      <c r="G325" s="74">
        <f t="array" ref="G325">IF(OR($D325="",$D325="NO ENCONTRADO"),"",_xlfn.XLOOKUP($D325,Productos!$E:$E,Productos!$J:$J,""))</f>
        <v/>
      </c>
      <c r="H325" s="74">
        <f t="array" ref="H325">IF(OR($D325="",$D325="NO ENCONTRADO"),"",_xlfn.XLOOKUP($D325,Productos!$E:$E,Productos!$K:$K,""))</f>
        <v/>
      </c>
      <c r="I325" s="74">
        <f t="array" ref="I325">IF(OR($D325="",$D325="NO ENCONTRADO"),"",_xlfn.XLOOKUP($D325,Productos!$E:$E,Productos!$F:$F,""))</f>
        <v/>
      </c>
      <c r="J325" s="74">
        <f>IF($C325="","",IF($D325="NO ENCONTRADO",IF(COUNTIF($C$7:$C$1000,$C325)&gt;1,"⚠️ No encontrado | Duplicado","⚠️ No encontrado"),IF(COUNTIF($C$7:$C$1000,$C325)&gt;1,"⚠️ Duplicado","Verificado")))</f>
        <v/>
      </c>
    </row>
    <row r="326" ht="15.75" customHeight="1" s="176">
      <c r="B326" s="80" t="n"/>
      <c r="C326" s="74" t="n"/>
      <c r="D326" s="74">
        <f t="array" ref="D326">IF($C326="","",IFNA(_xlfn.XLOOKUP($C326,Productos!$A:$A,Productos!$E:$E,IFNA(_xlfn.XLOOKUP(TEXT($C326,"0"),Productos!$A:$A,Productos!$E:$E,IFNA(_xlfn.XLOOKUP(IFERROR(VALUE($C326),""),Productos!$A:$A,Productos!$E:$E,_xlfn.XLOOKUP($C326,Productos!$E:$E,Productos!$E:$E,"NO ENCONTRADO")),"NO ENCONTRADO")),"NO ENCONTRADO")),"NO ENCONTRADO"))</f>
        <v/>
      </c>
      <c r="E326" s="74">
        <f t="array" ref="E326">IF(OR($D326="",$D326="NO ENCONTRADO"),"",_xlfn.XLOOKUP($D326,Productos!$E:$E,Productos!$H:$H,""))</f>
        <v/>
      </c>
      <c r="F326" s="74">
        <f t="array" ref="F326">IF(OR($D326="",$D326="NO ENCONTRADO"),"",_xlfn.XLOOKUP($D326,Productos!$E:$E,Productos!$I:$I,""))</f>
        <v/>
      </c>
      <c r="G326" s="74">
        <f t="array" ref="G326">IF(OR($D326="",$D326="NO ENCONTRADO"),"",_xlfn.XLOOKUP($D326,Productos!$E:$E,Productos!$J:$J,""))</f>
        <v/>
      </c>
      <c r="H326" s="74">
        <f t="array" ref="H326">IF(OR($D326="",$D326="NO ENCONTRADO"),"",_xlfn.XLOOKUP($D326,Productos!$E:$E,Productos!$K:$K,""))</f>
        <v/>
      </c>
      <c r="I326" s="74">
        <f t="array" ref="I326">IF(OR($D326="",$D326="NO ENCONTRADO"),"",_xlfn.XLOOKUP($D326,Productos!$E:$E,Productos!$F:$F,""))</f>
        <v/>
      </c>
      <c r="J326" s="74">
        <f>IF($C326="","",IF($D326="NO ENCONTRADO",IF(COUNTIF($C$7:$C$1000,$C326)&gt;1,"⚠️ No encontrado | Duplicado","⚠️ No encontrado"),IF(COUNTIF($C$7:$C$1000,$C326)&gt;1,"⚠️ Duplicado","Verificado")))</f>
        <v/>
      </c>
    </row>
    <row r="327" ht="15.75" customHeight="1" s="176">
      <c r="B327" s="80" t="n"/>
      <c r="C327" s="74" t="n"/>
      <c r="D327" s="74">
        <f t="array" ref="D327">IF($C327="","",IFNA(_xlfn.XLOOKUP($C327,Productos!$A:$A,Productos!$E:$E,IFNA(_xlfn.XLOOKUP(TEXT($C327,"0"),Productos!$A:$A,Productos!$E:$E,IFNA(_xlfn.XLOOKUP(IFERROR(VALUE($C327),""),Productos!$A:$A,Productos!$E:$E,_xlfn.XLOOKUP($C327,Productos!$E:$E,Productos!$E:$E,"NO ENCONTRADO")),"NO ENCONTRADO")),"NO ENCONTRADO")),"NO ENCONTRADO"))</f>
        <v/>
      </c>
      <c r="E327" s="74">
        <f t="array" ref="E327">IF(OR($D327="",$D327="NO ENCONTRADO"),"",_xlfn.XLOOKUP($D327,Productos!$E:$E,Productos!$H:$H,""))</f>
        <v/>
      </c>
      <c r="F327" s="74">
        <f t="array" ref="F327">IF(OR($D327="",$D327="NO ENCONTRADO"),"",_xlfn.XLOOKUP($D327,Productos!$E:$E,Productos!$I:$I,""))</f>
        <v/>
      </c>
      <c r="G327" s="74">
        <f t="array" ref="G327">IF(OR($D327="",$D327="NO ENCONTRADO"),"",_xlfn.XLOOKUP($D327,Productos!$E:$E,Productos!$J:$J,""))</f>
        <v/>
      </c>
      <c r="H327" s="74">
        <f t="array" ref="H327">IF(OR($D327="",$D327="NO ENCONTRADO"),"",_xlfn.XLOOKUP($D327,Productos!$E:$E,Productos!$K:$K,""))</f>
        <v/>
      </c>
      <c r="I327" s="74">
        <f t="array" ref="I327">IF(OR($D327="",$D327="NO ENCONTRADO"),"",_xlfn.XLOOKUP($D327,Productos!$E:$E,Productos!$F:$F,""))</f>
        <v/>
      </c>
      <c r="J327" s="74">
        <f>IF($C327="","",IF($D327="NO ENCONTRADO",IF(COUNTIF($C$7:$C$1000,$C327)&gt;1,"⚠️ No encontrado | Duplicado","⚠️ No encontrado"),IF(COUNTIF($C$7:$C$1000,$C327)&gt;1,"⚠️ Duplicado","Verificado")))</f>
        <v/>
      </c>
    </row>
    <row r="328" ht="15.75" customHeight="1" s="176">
      <c r="B328" s="80" t="n"/>
      <c r="C328" s="74" t="n"/>
      <c r="D328" s="74">
        <f t="array" ref="D328">IF($C328="","",IFNA(_xlfn.XLOOKUP($C328,Productos!$A:$A,Productos!$E:$E,IFNA(_xlfn.XLOOKUP(TEXT($C328,"0"),Productos!$A:$A,Productos!$E:$E,IFNA(_xlfn.XLOOKUP(IFERROR(VALUE($C328),""),Productos!$A:$A,Productos!$E:$E,_xlfn.XLOOKUP($C328,Productos!$E:$E,Productos!$E:$E,"NO ENCONTRADO")),"NO ENCONTRADO")),"NO ENCONTRADO")),"NO ENCONTRADO"))</f>
        <v/>
      </c>
      <c r="E328" s="74">
        <f t="array" ref="E328">IF(OR($D328="",$D328="NO ENCONTRADO"),"",_xlfn.XLOOKUP($D328,Productos!$E:$E,Productos!$H:$H,""))</f>
        <v/>
      </c>
      <c r="F328" s="74">
        <f t="array" ref="F328">IF(OR($D328="",$D328="NO ENCONTRADO"),"",_xlfn.XLOOKUP($D328,Productos!$E:$E,Productos!$I:$I,""))</f>
        <v/>
      </c>
      <c r="G328" s="74">
        <f t="array" ref="G328">IF(OR($D328="",$D328="NO ENCONTRADO"),"",_xlfn.XLOOKUP($D328,Productos!$E:$E,Productos!$J:$J,""))</f>
        <v/>
      </c>
      <c r="H328" s="74">
        <f t="array" ref="H328">IF(OR($D328="",$D328="NO ENCONTRADO"),"",_xlfn.XLOOKUP($D328,Productos!$E:$E,Productos!$K:$K,""))</f>
        <v/>
      </c>
      <c r="I328" s="74">
        <f t="array" ref="I328">IF(OR($D328="",$D328="NO ENCONTRADO"),"",_xlfn.XLOOKUP($D328,Productos!$E:$E,Productos!$F:$F,""))</f>
        <v/>
      </c>
      <c r="J328" s="74">
        <f>IF($C328="","",IF($D328="NO ENCONTRADO",IF(COUNTIF($C$7:$C$1000,$C328)&gt;1,"⚠️ No encontrado | Duplicado","⚠️ No encontrado"),IF(COUNTIF($C$7:$C$1000,$C328)&gt;1,"⚠️ Duplicado","Verificado")))</f>
        <v/>
      </c>
    </row>
    <row r="329" ht="15.75" customHeight="1" s="176">
      <c r="B329" s="80" t="n"/>
      <c r="C329" s="74" t="n"/>
      <c r="D329" s="74">
        <f t="array" ref="D329">IF($C329="","",IFNA(_xlfn.XLOOKUP($C329,Productos!$A:$A,Productos!$E:$E,IFNA(_xlfn.XLOOKUP(TEXT($C329,"0"),Productos!$A:$A,Productos!$E:$E,IFNA(_xlfn.XLOOKUP(IFERROR(VALUE($C329),""),Productos!$A:$A,Productos!$E:$E,_xlfn.XLOOKUP($C329,Productos!$E:$E,Productos!$E:$E,"NO ENCONTRADO")),"NO ENCONTRADO")),"NO ENCONTRADO")),"NO ENCONTRADO"))</f>
        <v/>
      </c>
      <c r="E329" s="74">
        <f t="array" ref="E329">IF(OR($D329="",$D329="NO ENCONTRADO"),"",_xlfn.XLOOKUP($D329,Productos!$E:$E,Productos!$H:$H,""))</f>
        <v/>
      </c>
      <c r="F329" s="74">
        <f t="array" ref="F329">IF(OR($D329="",$D329="NO ENCONTRADO"),"",_xlfn.XLOOKUP($D329,Productos!$E:$E,Productos!$I:$I,""))</f>
        <v/>
      </c>
      <c r="G329" s="74">
        <f t="array" ref="G329">IF(OR($D329="",$D329="NO ENCONTRADO"),"",_xlfn.XLOOKUP($D329,Productos!$E:$E,Productos!$J:$J,""))</f>
        <v/>
      </c>
      <c r="H329" s="74">
        <f t="array" ref="H329">IF(OR($D329="",$D329="NO ENCONTRADO"),"",_xlfn.XLOOKUP($D329,Productos!$E:$E,Productos!$K:$K,""))</f>
        <v/>
      </c>
      <c r="I329" s="74">
        <f t="array" ref="I329">IF(OR($D329="",$D329="NO ENCONTRADO"),"",_xlfn.XLOOKUP($D329,Productos!$E:$E,Productos!$F:$F,""))</f>
        <v/>
      </c>
      <c r="J329" s="74">
        <f>IF($C329="","",IF($D329="NO ENCONTRADO",IF(COUNTIF($C$7:$C$1000,$C329)&gt;1,"⚠️ No encontrado | Duplicado","⚠️ No encontrado"),IF(COUNTIF($C$7:$C$1000,$C329)&gt;1,"⚠️ Duplicado","Verificado")))</f>
        <v/>
      </c>
    </row>
    <row r="330" ht="15.75" customHeight="1" s="176">
      <c r="B330" s="80" t="n"/>
      <c r="C330" s="74" t="n"/>
      <c r="D330" s="74">
        <f t="array" ref="D330">IF($C330="","",IFNA(_xlfn.XLOOKUP($C330,Productos!$A:$A,Productos!$E:$E,IFNA(_xlfn.XLOOKUP(TEXT($C330,"0"),Productos!$A:$A,Productos!$E:$E,IFNA(_xlfn.XLOOKUP(IFERROR(VALUE($C330),""),Productos!$A:$A,Productos!$E:$E,_xlfn.XLOOKUP($C330,Productos!$E:$E,Productos!$E:$E,"NO ENCONTRADO")),"NO ENCONTRADO")),"NO ENCONTRADO")),"NO ENCONTRADO"))</f>
        <v/>
      </c>
      <c r="E330" s="74">
        <f t="array" ref="E330">IF(OR($D330="",$D330="NO ENCONTRADO"),"",_xlfn.XLOOKUP($D330,Productos!$E:$E,Productos!$H:$H,""))</f>
        <v/>
      </c>
      <c r="F330" s="74">
        <f t="array" ref="F330">IF(OR($D330="",$D330="NO ENCONTRADO"),"",_xlfn.XLOOKUP($D330,Productos!$E:$E,Productos!$I:$I,""))</f>
        <v/>
      </c>
      <c r="G330" s="74">
        <f t="array" ref="G330">IF(OR($D330="",$D330="NO ENCONTRADO"),"",_xlfn.XLOOKUP($D330,Productos!$E:$E,Productos!$J:$J,""))</f>
        <v/>
      </c>
      <c r="H330" s="74">
        <f t="array" ref="H330">IF(OR($D330="",$D330="NO ENCONTRADO"),"",_xlfn.XLOOKUP($D330,Productos!$E:$E,Productos!$K:$K,""))</f>
        <v/>
      </c>
      <c r="I330" s="74">
        <f t="array" ref="I330">IF(OR($D330="",$D330="NO ENCONTRADO"),"",_xlfn.XLOOKUP($D330,Productos!$E:$E,Productos!$F:$F,""))</f>
        <v/>
      </c>
      <c r="J330" s="74">
        <f>IF($C330="","",IF($D330="NO ENCONTRADO",IF(COUNTIF($C$7:$C$1000,$C330)&gt;1,"⚠️ No encontrado | Duplicado","⚠️ No encontrado"),IF(COUNTIF($C$7:$C$1000,$C330)&gt;1,"⚠️ Duplicado","Verificado")))</f>
        <v/>
      </c>
    </row>
    <row r="331" ht="15.75" customHeight="1" s="176">
      <c r="B331" s="80" t="n"/>
      <c r="C331" s="74" t="n"/>
      <c r="D331" s="74">
        <f t="array" ref="D331">IF($C331="","",IFNA(_xlfn.XLOOKUP($C331,Productos!$A:$A,Productos!$E:$E,IFNA(_xlfn.XLOOKUP(TEXT($C331,"0"),Productos!$A:$A,Productos!$E:$E,IFNA(_xlfn.XLOOKUP(IFERROR(VALUE($C331),""),Productos!$A:$A,Productos!$E:$E,_xlfn.XLOOKUP($C331,Productos!$E:$E,Productos!$E:$E,"NO ENCONTRADO")),"NO ENCONTRADO")),"NO ENCONTRADO")),"NO ENCONTRADO"))</f>
        <v/>
      </c>
      <c r="E331" s="74">
        <f t="array" ref="E331">IF(OR($D331="",$D331="NO ENCONTRADO"),"",_xlfn.XLOOKUP($D331,Productos!$E:$E,Productos!$H:$H,""))</f>
        <v/>
      </c>
      <c r="F331" s="74">
        <f t="array" ref="F331">IF(OR($D331="",$D331="NO ENCONTRADO"),"",_xlfn.XLOOKUP($D331,Productos!$E:$E,Productos!$I:$I,""))</f>
        <v/>
      </c>
      <c r="G331" s="74">
        <f t="array" ref="G331">IF(OR($D331="",$D331="NO ENCONTRADO"),"",_xlfn.XLOOKUP($D331,Productos!$E:$E,Productos!$J:$J,""))</f>
        <v/>
      </c>
      <c r="H331" s="74">
        <f t="array" ref="H331">IF(OR($D331="",$D331="NO ENCONTRADO"),"",_xlfn.XLOOKUP($D331,Productos!$E:$E,Productos!$K:$K,""))</f>
        <v/>
      </c>
      <c r="I331" s="74">
        <f t="array" ref="I331">IF(OR($D331="",$D331="NO ENCONTRADO"),"",_xlfn.XLOOKUP($D331,Productos!$E:$E,Productos!$F:$F,""))</f>
        <v/>
      </c>
      <c r="J331" s="74">
        <f>IF($C331="","",IF($D331="NO ENCONTRADO",IF(COUNTIF($C$7:$C$1000,$C331)&gt;1,"⚠️ No encontrado | Duplicado","⚠️ No encontrado"),IF(COUNTIF($C$7:$C$1000,$C331)&gt;1,"⚠️ Duplicado","Verificado")))</f>
        <v/>
      </c>
    </row>
    <row r="332" ht="15.75" customHeight="1" s="176">
      <c r="B332" s="80" t="n"/>
      <c r="C332" s="74" t="n"/>
      <c r="D332" s="74">
        <f t="array" ref="D332">IF($C332="","",IFNA(_xlfn.XLOOKUP($C332,Productos!$A:$A,Productos!$E:$E,IFNA(_xlfn.XLOOKUP(TEXT($C332,"0"),Productos!$A:$A,Productos!$E:$E,IFNA(_xlfn.XLOOKUP(IFERROR(VALUE($C332),""),Productos!$A:$A,Productos!$E:$E,_xlfn.XLOOKUP($C332,Productos!$E:$E,Productos!$E:$E,"NO ENCONTRADO")),"NO ENCONTRADO")),"NO ENCONTRADO")),"NO ENCONTRADO"))</f>
        <v/>
      </c>
      <c r="E332" s="74">
        <f t="array" ref="E332">IF(OR($D332="",$D332="NO ENCONTRADO"),"",_xlfn.XLOOKUP($D332,Productos!$E:$E,Productos!$H:$H,""))</f>
        <v/>
      </c>
      <c r="F332" s="74">
        <f t="array" ref="F332">IF(OR($D332="",$D332="NO ENCONTRADO"),"",_xlfn.XLOOKUP($D332,Productos!$E:$E,Productos!$I:$I,""))</f>
        <v/>
      </c>
      <c r="G332" s="74">
        <f t="array" ref="G332">IF(OR($D332="",$D332="NO ENCONTRADO"),"",_xlfn.XLOOKUP($D332,Productos!$E:$E,Productos!$J:$J,""))</f>
        <v/>
      </c>
      <c r="H332" s="74">
        <f t="array" ref="H332">IF(OR($D332="",$D332="NO ENCONTRADO"),"",_xlfn.XLOOKUP($D332,Productos!$E:$E,Productos!$K:$K,""))</f>
        <v/>
      </c>
      <c r="I332" s="74">
        <f t="array" ref="I332">IF(OR($D332="",$D332="NO ENCONTRADO"),"",_xlfn.XLOOKUP($D332,Productos!$E:$E,Productos!$F:$F,""))</f>
        <v/>
      </c>
      <c r="J332" s="74">
        <f>IF($C332="","",IF($D332="NO ENCONTRADO",IF(COUNTIF($C$7:$C$1000,$C332)&gt;1,"⚠️ No encontrado | Duplicado","⚠️ No encontrado"),IF(COUNTIF($C$7:$C$1000,$C332)&gt;1,"⚠️ Duplicado","Verificado")))</f>
        <v/>
      </c>
    </row>
    <row r="333" ht="15.75" customHeight="1" s="176">
      <c r="B333" s="80" t="n"/>
      <c r="C333" s="74" t="n"/>
      <c r="D333" s="74">
        <f t="array" ref="D333">IF($C333="","",IFNA(_xlfn.XLOOKUP($C333,Productos!$A:$A,Productos!$E:$E,IFNA(_xlfn.XLOOKUP(TEXT($C333,"0"),Productos!$A:$A,Productos!$E:$E,IFNA(_xlfn.XLOOKUP(IFERROR(VALUE($C333),""),Productos!$A:$A,Productos!$E:$E,_xlfn.XLOOKUP($C333,Productos!$E:$E,Productos!$E:$E,"NO ENCONTRADO")),"NO ENCONTRADO")),"NO ENCONTRADO")),"NO ENCONTRADO"))</f>
        <v/>
      </c>
      <c r="E333" s="74">
        <f t="array" ref="E333">IF(OR($D333="",$D333="NO ENCONTRADO"),"",_xlfn.XLOOKUP($D333,Productos!$E:$E,Productos!$H:$H,""))</f>
        <v/>
      </c>
      <c r="F333" s="74">
        <f t="array" ref="F333">IF(OR($D333="",$D333="NO ENCONTRADO"),"",_xlfn.XLOOKUP($D333,Productos!$E:$E,Productos!$I:$I,""))</f>
        <v/>
      </c>
      <c r="G333" s="74">
        <f t="array" ref="G333">IF(OR($D333="",$D333="NO ENCONTRADO"),"",_xlfn.XLOOKUP($D333,Productos!$E:$E,Productos!$J:$J,""))</f>
        <v/>
      </c>
      <c r="H333" s="74">
        <f t="array" ref="H333">IF(OR($D333="",$D333="NO ENCONTRADO"),"",_xlfn.XLOOKUP($D333,Productos!$E:$E,Productos!$K:$K,""))</f>
        <v/>
      </c>
      <c r="I333" s="74">
        <f t="array" ref="I333">IF(OR($D333="",$D333="NO ENCONTRADO"),"",_xlfn.XLOOKUP($D333,Productos!$E:$E,Productos!$F:$F,""))</f>
        <v/>
      </c>
      <c r="J333" s="74">
        <f>IF($C333="","",IF($D333="NO ENCONTRADO",IF(COUNTIF($C$7:$C$1000,$C333)&gt;1,"⚠️ No encontrado | Duplicado","⚠️ No encontrado"),IF(COUNTIF($C$7:$C$1000,$C333)&gt;1,"⚠️ Duplicado","Verificado")))</f>
        <v/>
      </c>
    </row>
    <row r="334" ht="15.75" customHeight="1" s="176">
      <c r="B334" s="80" t="n"/>
      <c r="C334" s="74" t="n"/>
      <c r="D334" s="74">
        <f t="array" ref="D334">IF($C334="","",IFNA(_xlfn.XLOOKUP($C334,Productos!$A:$A,Productos!$E:$E,IFNA(_xlfn.XLOOKUP(TEXT($C334,"0"),Productos!$A:$A,Productos!$E:$E,IFNA(_xlfn.XLOOKUP(IFERROR(VALUE($C334),""),Productos!$A:$A,Productos!$E:$E,_xlfn.XLOOKUP($C334,Productos!$E:$E,Productos!$E:$E,"NO ENCONTRADO")),"NO ENCONTRADO")),"NO ENCONTRADO")),"NO ENCONTRADO"))</f>
        <v/>
      </c>
      <c r="E334" s="74">
        <f t="array" ref="E334">IF(OR($D334="",$D334="NO ENCONTRADO"),"",_xlfn.XLOOKUP($D334,Productos!$E:$E,Productos!$H:$H,""))</f>
        <v/>
      </c>
      <c r="F334" s="74">
        <f t="array" ref="F334">IF(OR($D334="",$D334="NO ENCONTRADO"),"",_xlfn.XLOOKUP($D334,Productos!$E:$E,Productos!$I:$I,""))</f>
        <v/>
      </c>
      <c r="G334" s="74">
        <f t="array" ref="G334">IF(OR($D334="",$D334="NO ENCONTRADO"),"",_xlfn.XLOOKUP($D334,Productos!$E:$E,Productos!$J:$J,""))</f>
        <v/>
      </c>
      <c r="H334" s="74">
        <f t="array" ref="H334">IF(OR($D334="",$D334="NO ENCONTRADO"),"",_xlfn.XLOOKUP($D334,Productos!$E:$E,Productos!$K:$K,""))</f>
        <v/>
      </c>
      <c r="I334" s="74">
        <f t="array" ref="I334">IF(OR($D334="",$D334="NO ENCONTRADO"),"",_xlfn.XLOOKUP($D334,Productos!$E:$E,Productos!$F:$F,""))</f>
        <v/>
      </c>
      <c r="J334" s="74">
        <f>IF($C334="","",IF($D334="NO ENCONTRADO",IF(COUNTIF($C$7:$C$1000,$C334)&gt;1,"⚠️ No encontrado | Duplicado","⚠️ No encontrado"),IF(COUNTIF($C$7:$C$1000,$C334)&gt;1,"⚠️ Duplicado","Verificado")))</f>
        <v/>
      </c>
    </row>
    <row r="335" ht="15.75" customHeight="1" s="176">
      <c r="B335" s="80" t="n"/>
      <c r="C335" s="74" t="n"/>
      <c r="D335" s="74">
        <f t="array" ref="D335">IF($C335="","",IFNA(_xlfn.XLOOKUP($C335,Productos!$A:$A,Productos!$E:$E,IFNA(_xlfn.XLOOKUP(TEXT($C335,"0"),Productos!$A:$A,Productos!$E:$E,IFNA(_xlfn.XLOOKUP(IFERROR(VALUE($C335),""),Productos!$A:$A,Productos!$E:$E,_xlfn.XLOOKUP($C335,Productos!$E:$E,Productos!$E:$E,"NO ENCONTRADO")),"NO ENCONTRADO")),"NO ENCONTRADO")),"NO ENCONTRADO"))</f>
        <v/>
      </c>
      <c r="E335" s="74">
        <f t="array" ref="E335">IF(OR($D335="",$D335="NO ENCONTRADO"),"",_xlfn.XLOOKUP($D335,Productos!$E:$E,Productos!$H:$H,""))</f>
        <v/>
      </c>
      <c r="F335" s="74">
        <f t="array" ref="F335">IF(OR($D335="",$D335="NO ENCONTRADO"),"",_xlfn.XLOOKUP($D335,Productos!$E:$E,Productos!$I:$I,""))</f>
        <v/>
      </c>
      <c r="G335" s="74">
        <f t="array" ref="G335">IF(OR($D335="",$D335="NO ENCONTRADO"),"",_xlfn.XLOOKUP($D335,Productos!$E:$E,Productos!$J:$J,""))</f>
        <v/>
      </c>
      <c r="H335" s="74">
        <f t="array" ref="H335">IF(OR($D335="",$D335="NO ENCONTRADO"),"",_xlfn.XLOOKUP($D335,Productos!$E:$E,Productos!$K:$K,""))</f>
        <v/>
      </c>
      <c r="I335" s="74">
        <f t="array" ref="I335">IF(OR($D335="",$D335="NO ENCONTRADO"),"",_xlfn.XLOOKUP($D335,Productos!$E:$E,Productos!$F:$F,""))</f>
        <v/>
      </c>
      <c r="J335" s="74">
        <f>IF($C335="","",IF($D335="NO ENCONTRADO",IF(COUNTIF($C$7:$C$1000,$C335)&gt;1,"⚠️ No encontrado | Duplicado","⚠️ No encontrado"),IF(COUNTIF($C$7:$C$1000,$C335)&gt;1,"⚠️ Duplicado","Verificado")))</f>
        <v/>
      </c>
    </row>
    <row r="336" ht="15.75" customHeight="1" s="176">
      <c r="B336" s="80" t="n"/>
      <c r="C336" s="74" t="n"/>
      <c r="D336" s="74">
        <f t="array" ref="D336">IF($C336="","",IFNA(_xlfn.XLOOKUP($C336,Productos!$A:$A,Productos!$E:$E,IFNA(_xlfn.XLOOKUP(TEXT($C336,"0"),Productos!$A:$A,Productos!$E:$E,IFNA(_xlfn.XLOOKUP(IFERROR(VALUE($C336),""),Productos!$A:$A,Productos!$E:$E,_xlfn.XLOOKUP($C336,Productos!$E:$E,Productos!$E:$E,"NO ENCONTRADO")),"NO ENCONTRADO")),"NO ENCONTRADO")),"NO ENCONTRADO"))</f>
        <v/>
      </c>
      <c r="E336" s="74">
        <f t="array" ref="E336">IF(OR($D336="",$D336="NO ENCONTRADO"),"",_xlfn.XLOOKUP($D336,Productos!$E:$E,Productos!$H:$H,""))</f>
        <v/>
      </c>
      <c r="F336" s="74">
        <f t="array" ref="F336">IF(OR($D336="",$D336="NO ENCONTRADO"),"",_xlfn.XLOOKUP($D336,Productos!$E:$E,Productos!$I:$I,""))</f>
        <v/>
      </c>
      <c r="G336" s="74">
        <f t="array" ref="G336">IF(OR($D336="",$D336="NO ENCONTRADO"),"",_xlfn.XLOOKUP($D336,Productos!$E:$E,Productos!$J:$J,""))</f>
        <v/>
      </c>
      <c r="H336" s="74">
        <f t="array" ref="H336">IF(OR($D336="",$D336="NO ENCONTRADO"),"",_xlfn.XLOOKUP($D336,Productos!$E:$E,Productos!$K:$K,""))</f>
        <v/>
      </c>
      <c r="I336" s="74">
        <f t="array" ref="I336">IF(OR($D336="",$D336="NO ENCONTRADO"),"",_xlfn.XLOOKUP($D336,Productos!$E:$E,Productos!$F:$F,""))</f>
        <v/>
      </c>
      <c r="J336" s="74">
        <f>IF($C336="","",IF($D336="NO ENCONTRADO",IF(COUNTIF($C$7:$C$1000,$C336)&gt;1,"⚠️ No encontrado | Duplicado","⚠️ No encontrado"),IF(COUNTIF($C$7:$C$1000,$C336)&gt;1,"⚠️ Duplicado","Verificado")))</f>
        <v/>
      </c>
    </row>
    <row r="337" ht="15.75" customHeight="1" s="176">
      <c r="B337" s="80" t="n"/>
      <c r="C337" s="74" t="n"/>
      <c r="D337" s="74">
        <f t="array" ref="D337">IF($C337="","",IFNA(_xlfn.XLOOKUP($C337,Productos!$A:$A,Productos!$E:$E,IFNA(_xlfn.XLOOKUP(TEXT($C337,"0"),Productos!$A:$A,Productos!$E:$E,IFNA(_xlfn.XLOOKUP(IFERROR(VALUE($C337),""),Productos!$A:$A,Productos!$E:$E,_xlfn.XLOOKUP($C337,Productos!$E:$E,Productos!$E:$E,"NO ENCONTRADO")),"NO ENCONTRADO")),"NO ENCONTRADO")),"NO ENCONTRADO"))</f>
        <v/>
      </c>
      <c r="E337" s="74">
        <f t="array" ref="E337">IF(OR($D337="",$D337="NO ENCONTRADO"),"",_xlfn.XLOOKUP($D337,Productos!$E:$E,Productos!$H:$H,""))</f>
        <v/>
      </c>
      <c r="F337" s="74">
        <f t="array" ref="F337">IF(OR($D337="",$D337="NO ENCONTRADO"),"",_xlfn.XLOOKUP($D337,Productos!$E:$E,Productos!$I:$I,""))</f>
        <v/>
      </c>
      <c r="G337" s="74">
        <f t="array" ref="G337">IF(OR($D337="",$D337="NO ENCONTRADO"),"",_xlfn.XLOOKUP($D337,Productos!$E:$E,Productos!$J:$J,""))</f>
        <v/>
      </c>
      <c r="H337" s="74">
        <f t="array" ref="H337">IF(OR($D337="",$D337="NO ENCONTRADO"),"",_xlfn.XLOOKUP($D337,Productos!$E:$E,Productos!$K:$K,""))</f>
        <v/>
      </c>
      <c r="I337" s="74">
        <f t="array" ref="I337">IF(OR($D337="",$D337="NO ENCONTRADO"),"",_xlfn.XLOOKUP($D337,Productos!$E:$E,Productos!$F:$F,""))</f>
        <v/>
      </c>
      <c r="J337" s="74">
        <f>IF($C337="","",IF($D337="NO ENCONTRADO",IF(COUNTIF($C$7:$C$1000,$C337)&gt;1,"⚠️ No encontrado | Duplicado","⚠️ No encontrado"),IF(COUNTIF($C$7:$C$1000,$C337)&gt;1,"⚠️ Duplicado","Verificado")))</f>
        <v/>
      </c>
    </row>
    <row r="338" ht="15.75" customHeight="1" s="176">
      <c r="B338" s="80" t="n"/>
      <c r="C338" s="74" t="n"/>
      <c r="D338" s="74">
        <f t="array" ref="D338">IF($C338="","",IFNA(_xlfn.XLOOKUP($C338,Productos!$A:$A,Productos!$E:$E,IFNA(_xlfn.XLOOKUP(TEXT($C338,"0"),Productos!$A:$A,Productos!$E:$E,IFNA(_xlfn.XLOOKUP(IFERROR(VALUE($C338),""),Productos!$A:$A,Productos!$E:$E,_xlfn.XLOOKUP($C338,Productos!$E:$E,Productos!$E:$E,"NO ENCONTRADO")),"NO ENCONTRADO")),"NO ENCONTRADO")),"NO ENCONTRADO"))</f>
        <v/>
      </c>
      <c r="E338" s="74">
        <f t="array" ref="E338">IF(OR($D338="",$D338="NO ENCONTRADO"),"",_xlfn.XLOOKUP($D338,Productos!$E:$E,Productos!$H:$H,""))</f>
        <v/>
      </c>
      <c r="F338" s="74">
        <f t="array" ref="F338">IF(OR($D338="",$D338="NO ENCONTRADO"),"",_xlfn.XLOOKUP($D338,Productos!$E:$E,Productos!$I:$I,""))</f>
        <v/>
      </c>
      <c r="G338" s="74">
        <f t="array" ref="G338">IF(OR($D338="",$D338="NO ENCONTRADO"),"",_xlfn.XLOOKUP($D338,Productos!$E:$E,Productos!$J:$J,""))</f>
        <v/>
      </c>
      <c r="H338" s="74">
        <f t="array" ref="H338">IF(OR($D338="",$D338="NO ENCONTRADO"),"",_xlfn.XLOOKUP($D338,Productos!$E:$E,Productos!$K:$K,""))</f>
        <v/>
      </c>
      <c r="I338" s="74">
        <f t="array" ref="I338">IF(OR($D338="",$D338="NO ENCONTRADO"),"",_xlfn.XLOOKUP($D338,Productos!$E:$E,Productos!$F:$F,""))</f>
        <v/>
      </c>
      <c r="J338" s="74">
        <f>IF($C338="","",IF($D338="NO ENCONTRADO",IF(COUNTIF($C$7:$C$1000,$C338)&gt;1,"⚠️ No encontrado | Duplicado","⚠️ No encontrado"),IF(COUNTIF($C$7:$C$1000,$C338)&gt;1,"⚠️ Duplicado","Verificado")))</f>
        <v/>
      </c>
    </row>
    <row r="339" ht="15.75" customHeight="1" s="176">
      <c r="B339" s="80" t="n"/>
      <c r="C339" s="74" t="n"/>
      <c r="D339" s="74">
        <f t="array" ref="D339">IF($C339="","",IFNA(_xlfn.XLOOKUP($C339,Productos!$A:$A,Productos!$E:$E,IFNA(_xlfn.XLOOKUP(TEXT($C339,"0"),Productos!$A:$A,Productos!$E:$E,IFNA(_xlfn.XLOOKUP(IFERROR(VALUE($C339),""),Productos!$A:$A,Productos!$E:$E,_xlfn.XLOOKUP($C339,Productos!$E:$E,Productos!$E:$E,"NO ENCONTRADO")),"NO ENCONTRADO")),"NO ENCONTRADO")),"NO ENCONTRADO"))</f>
        <v/>
      </c>
      <c r="E339" s="74">
        <f t="array" ref="E339">IF(OR($D339="",$D339="NO ENCONTRADO"),"",_xlfn.XLOOKUP($D339,Productos!$E:$E,Productos!$H:$H,""))</f>
        <v/>
      </c>
      <c r="F339" s="74">
        <f t="array" ref="F339">IF(OR($D339="",$D339="NO ENCONTRADO"),"",_xlfn.XLOOKUP($D339,Productos!$E:$E,Productos!$I:$I,""))</f>
        <v/>
      </c>
      <c r="G339" s="74">
        <f t="array" ref="G339">IF(OR($D339="",$D339="NO ENCONTRADO"),"",_xlfn.XLOOKUP($D339,Productos!$E:$E,Productos!$J:$J,""))</f>
        <v/>
      </c>
      <c r="H339" s="74">
        <f t="array" ref="H339">IF(OR($D339="",$D339="NO ENCONTRADO"),"",_xlfn.XLOOKUP($D339,Productos!$E:$E,Productos!$K:$K,""))</f>
        <v/>
      </c>
      <c r="I339" s="74">
        <f t="array" ref="I339">IF(OR($D339="",$D339="NO ENCONTRADO"),"",_xlfn.XLOOKUP($D339,Productos!$E:$E,Productos!$F:$F,""))</f>
        <v/>
      </c>
      <c r="J339" s="74">
        <f>IF($C339="","",IF($D339="NO ENCONTRADO",IF(COUNTIF($C$7:$C$1000,$C339)&gt;1,"⚠️ No encontrado | Duplicado","⚠️ No encontrado"),IF(COUNTIF($C$7:$C$1000,$C339)&gt;1,"⚠️ Duplicado","Verificado")))</f>
        <v/>
      </c>
    </row>
    <row r="340" ht="15.75" customHeight="1" s="176">
      <c r="B340" s="80" t="n"/>
      <c r="C340" s="74" t="n"/>
      <c r="D340" s="74">
        <f t="array" ref="D340">IF($C340="","",IFNA(_xlfn.XLOOKUP($C340,Productos!$A:$A,Productos!$E:$E,IFNA(_xlfn.XLOOKUP(TEXT($C340,"0"),Productos!$A:$A,Productos!$E:$E,IFNA(_xlfn.XLOOKUP(IFERROR(VALUE($C340),""),Productos!$A:$A,Productos!$E:$E,_xlfn.XLOOKUP($C340,Productos!$E:$E,Productos!$E:$E,"NO ENCONTRADO")),"NO ENCONTRADO")),"NO ENCONTRADO")),"NO ENCONTRADO"))</f>
        <v/>
      </c>
      <c r="E340" s="74">
        <f t="array" ref="E340">IF(OR($D340="",$D340="NO ENCONTRADO"),"",_xlfn.XLOOKUP($D340,Productos!$E:$E,Productos!$H:$H,""))</f>
        <v/>
      </c>
      <c r="F340" s="74">
        <f t="array" ref="F340">IF(OR($D340="",$D340="NO ENCONTRADO"),"",_xlfn.XLOOKUP($D340,Productos!$E:$E,Productos!$I:$I,""))</f>
        <v/>
      </c>
      <c r="G340" s="74">
        <f t="array" ref="G340">IF(OR($D340="",$D340="NO ENCONTRADO"),"",_xlfn.XLOOKUP($D340,Productos!$E:$E,Productos!$J:$J,""))</f>
        <v/>
      </c>
      <c r="H340" s="74">
        <f t="array" ref="H340">IF(OR($D340="",$D340="NO ENCONTRADO"),"",_xlfn.XLOOKUP($D340,Productos!$E:$E,Productos!$K:$K,""))</f>
        <v/>
      </c>
      <c r="I340" s="74">
        <f t="array" ref="I340">IF(OR($D340="",$D340="NO ENCONTRADO"),"",_xlfn.XLOOKUP($D340,Productos!$E:$E,Productos!$F:$F,""))</f>
        <v/>
      </c>
      <c r="J340" s="74">
        <f>IF($C340="","",IF($D340="NO ENCONTRADO",IF(COUNTIF($C$7:$C$1000,$C340)&gt;1,"⚠️ No encontrado | Duplicado","⚠️ No encontrado"),IF(COUNTIF($C$7:$C$1000,$C340)&gt;1,"⚠️ Duplicado","Verificado")))</f>
        <v/>
      </c>
    </row>
    <row r="341" ht="15.75" customHeight="1" s="176">
      <c r="B341" s="80" t="n"/>
      <c r="C341" s="74" t="n"/>
      <c r="D341" s="74">
        <f t="array" ref="D341">IF($C341="","",IFNA(_xlfn.XLOOKUP($C341,Productos!$A:$A,Productos!$E:$E,IFNA(_xlfn.XLOOKUP(TEXT($C341,"0"),Productos!$A:$A,Productos!$E:$E,IFNA(_xlfn.XLOOKUP(IFERROR(VALUE($C341),""),Productos!$A:$A,Productos!$E:$E,_xlfn.XLOOKUP($C341,Productos!$E:$E,Productos!$E:$E,"NO ENCONTRADO")),"NO ENCONTRADO")),"NO ENCONTRADO")),"NO ENCONTRADO"))</f>
        <v/>
      </c>
      <c r="E341" s="74">
        <f t="array" ref="E341">IF(OR($D341="",$D341="NO ENCONTRADO"),"",_xlfn.XLOOKUP($D341,Productos!$E:$E,Productos!$H:$H,""))</f>
        <v/>
      </c>
      <c r="F341" s="74">
        <f t="array" ref="F341">IF(OR($D341="",$D341="NO ENCONTRADO"),"",_xlfn.XLOOKUP($D341,Productos!$E:$E,Productos!$I:$I,""))</f>
        <v/>
      </c>
      <c r="G341" s="74">
        <f t="array" ref="G341">IF(OR($D341="",$D341="NO ENCONTRADO"),"",_xlfn.XLOOKUP($D341,Productos!$E:$E,Productos!$J:$J,""))</f>
        <v/>
      </c>
      <c r="H341" s="74">
        <f t="array" ref="H341">IF(OR($D341="",$D341="NO ENCONTRADO"),"",_xlfn.XLOOKUP($D341,Productos!$E:$E,Productos!$K:$K,""))</f>
        <v/>
      </c>
      <c r="I341" s="74">
        <f t="array" ref="I341">IF(OR($D341="",$D341="NO ENCONTRADO"),"",_xlfn.XLOOKUP($D341,Productos!$E:$E,Productos!$F:$F,""))</f>
        <v/>
      </c>
      <c r="J341" s="74">
        <f>IF($C341="","",IF($D341="NO ENCONTRADO",IF(COUNTIF($C$7:$C$1000,$C341)&gt;1,"⚠️ No encontrado | Duplicado","⚠️ No encontrado"),IF(COUNTIF($C$7:$C$1000,$C341)&gt;1,"⚠️ Duplicado","Verificado")))</f>
        <v/>
      </c>
    </row>
    <row r="342" ht="15.75" customHeight="1" s="176">
      <c r="B342" s="80" t="n"/>
      <c r="C342" s="74" t="n"/>
      <c r="D342" s="74">
        <f t="array" ref="D342">IF($C342="","",IFNA(_xlfn.XLOOKUP($C342,Productos!$A:$A,Productos!$E:$E,IFNA(_xlfn.XLOOKUP(TEXT($C342,"0"),Productos!$A:$A,Productos!$E:$E,IFNA(_xlfn.XLOOKUP(IFERROR(VALUE($C342),""),Productos!$A:$A,Productos!$E:$E,_xlfn.XLOOKUP($C342,Productos!$E:$E,Productos!$E:$E,"NO ENCONTRADO")),"NO ENCONTRADO")),"NO ENCONTRADO")),"NO ENCONTRADO"))</f>
        <v/>
      </c>
      <c r="E342" s="74">
        <f t="array" ref="E342">IF(OR($D342="",$D342="NO ENCONTRADO"),"",_xlfn.XLOOKUP($D342,Productos!$E:$E,Productos!$H:$H,""))</f>
        <v/>
      </c>
      <c r="F342" s="74">
        <f t="array" ref="F342">IF(OR($D342="",$D342="NO ENCONTRADO"),"",_xlfn.XLOOKUP($D342,Productos!$E:$E,Productos!$I:$I,""))</f>
        <v/>
      </c>
      <c r="G342" s="74">
        <f t="array" ref="G342">IF(OR($D342="",$D342="NO ENCONTRADO"),"",_xlfn.XLOOKUP($D342,Productos!$E:$E,Productos!$J:$J,""))</f>
        <v/>
      </c>
      <c r="H342" s="74">
        <f t="array" ref="H342">IF(OR($D342="",$D342="NO ENCONTRADO"),"",_xlfn.XLOOKUP($D342,Productos!$E:$E,Productos!$K:$K,""))</f>
        <v/>
      </c>
      <c r="I342" s="74">
        <f t="array" ref="I342">IF(OR($D342="",$D342="NO ENCONTRADO"),"",_xlfn.XLOOKUP($D342,Productos!$E:$E,Productos!$F:$F,""))</f>
        <v/>
      </c>
      <c r="J342" s="74">
        <f>IF($C342="","",IF($D342="NO ENCONTRADO",IF(COUNTIF($C$7:$C$1000,$C342)&gt;1,"⚠️ No encontrado | Duplicado","⚠️ No encontrado"),IF(COUNTIF($C$7:$C$1000,$C342)&gt;1,"⚠️ Duplicado","Verificado")))</f>
        <v/>
      </c>
    </row>
    <row r="343" ht="15.75" customHeight="1" s="176">
      <c r="B343" s="80" t="n"/>
      <c r="C343" s="74" t="n"/>
      <c r="D343" s="74">
        <f t="array" ref="D343">IF($C343="","",IFNA(_xlfn.XLOOKUP($C343,Productos!$A:$A,Productos!$E:$E,IFNA(_xlfn.XLOOKUP(TEXT($C343,"0"),Productos!$A:$A,Productos!$E:$E,IFNA(_xlfn.XLOOKUP(IFERROR(VALUE($C343),""),Productos!$A:$A,Productos!$E:$E,_xlfn.XLOOKUP($C343,Productos!$E:$E,Productos!$E:$E,"NO ENCONTRADO")),"NO ENCONTRADO")),"NO ENCONTRADO")),"NO ENCONTRADO"))</f>
        <v/>
      </c>
      <c r="E343" s="74">
        <f t="array" ref="E343">IF(OR($D343="",$D343="NO ENCONTRADO"),"",_xlfn.XLOOKUP($D343,Productos!$E:$E,Productos!$H:$H,""))</f>
        <v/>
      </c>
      <c r="F343" s="74">
        <f t="array" ref="F343">IF(OR($D343="",$D343="NO ENCONTRADO"),"",_xlfn.XLOOKUP($D343,Productos!$E:$E,Productos!$I:$I,""))</f>
        <v/>
      </c>
      <c r="G343" s="74">
        <f t="array" ref="G343">IF(OR($D343="",$D343="NO ENCONTRADO"),"",_xlfn.XLOOKUP($D343,Productos!$E:$E,Productos!$J:$J,""))</f>
        <v/>
      </c>
      <c r="H343" s="74">
        <f t="array" ref="H343">IF(OR($D343="",$D343="NO ENCONTRADO"),"",_xlfn.XLOOKUP($D343,Productos!$E:$E,Productos!$K:$K,""))</f>
        <v/>
      </c>
      <c r="I343" s="74">
        <f t="array" ref="I343">IF(OR($D343="",$D343="NO ENCONTRADO"),"",_xlfn.XLOOKUP($D343,Productos!$E:$E,Productos!$F:$F,""))</f>
        <v/>
      </c>
      <c r="J343" s="74">
        <f>IF($C343="","",IF($D343="NO ENCONTRADO",IF(COUNTIF($C$7:$C$1000,$C343)&gt;1,"⚠️ No encontrado | Duplicado","⚠️ No encontrado"),IF(COUNTIF($C$7:$C$1000,$C343)&gt;1,"⚠️ Duplicado","Verificado")))</f>
        <v/>
      </c>
    </row>
    <row r="344" ht="15.75" customHeight="1" s="176">
      <c r="B344" s="80" t="n"/>
      <c r="C344" s="74" t="n"/>
      <c r="D344" s="74">
        <f t="array" ref="D344">IF($C344="","",IFNA(_xlfn.XLOOKUP($C344,Productos!$A:$A,Productos!$E:$E,IFNA(_xlfn.XLOOKUP(TEXT($C344,"0"),Productos!$A:$A,Productos!$E:$E,IFNA(_xlfn.XLOOKUP(IFERROR(VALUE($C344),""),Productos!$A:$A,Productos!$E:$E,_xlfn.XLOOKUP($C344,Productos!$E:$E,Productos!$E:$E,"NO ENCONTRADO")),"NO ENCONTRADO")),"NO ENCONTRADO")),"NO ENCONTRADO"))</f>
        <v/>
      </c>
      <c r="E344" s="74">
        <f t="array" ref="E344">IF(OR($D344="",$D344="NO ENCONTRADO"),"",_xlfn.XLOOKUP($D344,Productos!$E:$E,Productos!$H:$H,""))</f>
        <v/>
      </c>
      <c r="F344" s="74">
        <f t="array" ref="F344">IF(OR($D344="",$D344="NO ENCONTRADO"),"",_xlfn.XLOOKUP($D344,Productos!$E:$E,Productos!$I:$I,""))</f>
        <v/>
      </c>
      <c r="G344" s="74">
        <f t="array" ref="G344">IF(OR($D344="",$D344="NO ENCONTRADO"),"",_xlfn.XLOOKUP($D344,Productos!$E:$E,Productos!$J:$J,""))</f>
        <v/>
      </c>
      <c r="H344" s="74">
        <f t="array" ref="H344">IF(OR($D344="",$D344="NO ENCONTRADO"),"",_xlfn.XLOOKUP($D344,Productos!$E:$E,Productos!$K:$K,""))</f>
        <v/>
      </c>
      <c r="I344" s="74">
        <f t="array" ref="I344">IF(OR($D344="",$D344="NO ENCONTRADO"),"",_xlfn.XLOOKUP($D344,Productos!$E:$E,Productos!$F:$F,""))</f>
        <v/>
      </c>
      <c r="J344" s="74">
        <f>IF($C344="","",IF($D344="NO ENCONTRADO",IF(COUNTIF($C$7:$C$1000,$C344)&gt;1,"⚠️ No encontrado | Duplicado","⚠️ No encontrado"),IF(COUNTIF($C$7:$C$1000,$C344)&gt;1,"⚠️ Duplicado","Verificado")))</f>
        <v/>
      </c>
    </row>
    <row r="345" ht="15.75" customHeight="1" s="176">
      <c r="B345" s="80" t="n"/>
      <c r="C345" s="74" t="n"/>
      <c r="D345" s="74">
        <f t="array" ref="D345">IF($C345="","",IFNA(_xlfn.XLOOKUP($C345,Productos!$A:$A,Productos!$E:$E,IFNA(_xlfn.XLOOKUP(TEXT($C345,"0"),Productos!$A:$A,Productos!$E:$E,IFNA(_xlfn.XLOOKUP(IFERROR(VALUE($C345),""),Productos!$A:$A,Productos!$E:$E,_xlfn.XLOOKUP($C345,Productos!$E:$E,Productos!$E:$E,"NO ENCONTRADO")),"NO ENCONTRADO")),"NO ENCONTRADO")),"NO ENCONTRADO"))</f>
        <v/>
      </c>
      <c r="E345" s="74">
        <f t="array" ref="E345">IF(OR($D345="",$D345="NO ENCONTRADO"),"",_xlfn.XLOOKUP($D345,Productos!$E:$E,Productos!$H:$H,""))</f>
        <v/>
      </c>
      <c r="F345" s="74">
        <f t="array" ref="F345">IF(OR($D345="",$D345="NO ENCONTRADO"),"",_xlfn.XLOOKUP($D345,Productos!$E:$E,Productos!$I:$I,""))</f>
        <v/>
      </c>
      <c r="G345" s="74">
        <f t="array" ref="G345">IF(OR($D345="",$D345="NO ENCONTRADO"),"",_xlfn.XLOOKUP($D345,Productos!$E:$E,Productos!$J:$J,""))</f>
        <v/>
      </c>
      <c r="H345" s="74">
        <f t="array" ref="H345">IF(OR($D345="",$D345="NO ENCONTRADO"),"",_xlfn.XLOOKUP($D345,Productos!$E:$E,Productos!$K:$K,""))</f>
        <v/>
      </c>
      <c r="I345" s="74">
        <f t="array" ref="I345">IF(OR($D345="",$D345="NO ENCONTRADO"),"",_xlfn.XLOOKUP($D345,Productos!$E:$E,Productos!$F:$F,""))</f>
        <v/>
      </c>
      <c r="J345" s="74">
        <f>IF($C345="","",IF($D345="NO ENCONTRADO",IF(COUNTIF($C$7:$C$1000,$C345)&gt;1,"⚠️ No encontrado | Duplicado","⚠️ No encontrado"),IF(COUNTIF($C$7:$C$1000,$C345)&gt;1,"⚠️ Duplicado","Verificado")))</f>
        <v/>
      </c>
    </row>
    <row r="346" ht="15.75" customHeight="1" s="176">
      <c r="B346" s="80" t="n"/>
      <c r="C346" s="74" t="n"/>
      <c r="D346" s="74">
        <f t="array" ref="D346">IF($C346="","",IFNA(_xlfn.XLOOKUP($C346,Productos!$A:$A,Productos!$E:$E,IFNA(_xlfn.XLOOKUP(TEXT($C346,"0"),Productos!$A:$A,Productos!$E:$E,IFNA(_xlfn.XLOOKUP(IFERROR(VALUE($C346),""),Productos!$A:$A,Productos!$E:$E,_xlfn.XLOOKUP($C346,Productos!$E:$E,Productos!$E:$E,"NO ENCONTRADO")),"NO ENCONTRADO")),"NO ENCONTRADO")),"NO ENCONTRADO"))</f>
        <v/>
      </c>
      <c r="E346" s="74">
        <f t="array" ref="E346">IF(OR($D346="",$D346="NO ENCONTRADO"),"",_xlfn.XLOOKUP($D346,Productos!$E:$E,Productos!$H:$H,""))</f>
        <v/>
      </c>
      <c r="F346" s="74">
        <f t="array" ref="F346">IF(OR($D346="",$D346="NO ENCONTRADO"),"",_xlfn.XLOOKUP($D346,Productos!$E:$E,Productos!$I:$I,""))</f>
        <v/>
      </c>
      <c r="G346" s="74">
        <f t="array" ref="G346">IF(OR($D346="",$D346="NO ENCONTRADO"),"",_xlfn.XLOOKUP($D346,Productos!$E:$E,Productos!$J:$J,""))</f>
        <v/>
      </c>
      <c r="H346" s="74">
        <f t="array" ref="H346">IF(OR($D346="",$D346="NO ENCONTRADO"),"",_xlfn.XLOOKUP($D346,Productos!$E:$E,Productos!$K:$K,""))</f>
        <v/>
      </c>
      <c r="I346" s="74">
        <f t="array" ref="I346">IF(OR($D346="",$D346="NO ENCONTRADO"),"",_xlfn.XLOOKUP($D346,Productos!$E:$E,Productos!$F:$F,""))</f>
        <v/>
      </c>
      <c r="J346" s="74">
        <f>IF($C346="","",IF($D346="NO ENCONTRADO",IF(COUNTIF($C$7:$C$1000,$C346)&gt;1,"⚠️ No encontrado | Duplicado","⚠️ No encontrado"),IF(COUNTIF($C$7:$C$1000,$C346)&gt;1,"⚠️ Duplicado","Verificado")))</f>
        <v/>
      </c>
    </row>
    <row r="347" ht="15.75" customHeight="1" s="176">
      <c r="B347" s="80" t="n"/>
      <c r="C347" s="74" t="n"/>
      <c r="D347" s="74">
        <f t="array" ref="D347">IF($C347="","",IFNA(_xlfn.XLOOKUP($C347,Productos!$A:$A,Productos!$E:$E,IFNA(_xlfn.XLOOKUP(TEXT($C347,"0"),Productos!$A:$A,Productos!$E:$E,IFNA(_xlfn.XLOOKUP(IFERROR(VALUE($C347),""),Productos!$A:$A,Productos!$E:$E,_xlfn.XLOOKUP($C347,Productos!$E:$E,Productos!$E:$E,"NO ENCONTRADO")),"NO ENCONTRADO")),"NO ENCONTRADO")),"NO ENCONTRADO"))</f>
        <v/>
      </c>
      <c r="E347" s="74">
        <f t="array" ref="E347">IF(OR($D347="",$D347="NO ENCONTRADO"),"",_xlfn.XLOOKUP($D347,Productos!$E:$E,Productos!$H:$H,""))</f>
        <v/>
      </c>
      <c r="F347" s="74">
        <f t="array" ref="F347">IF(OR($D347="",$D347="NO ENCONTRADO"),"",_xlfn.XLOOKUP($D347,Productos!$E:$E,Productos!$I:$I,""))</f>
        <v/>
      </c>
      <c r="G347" s="74">
        <f t="array" ref="G347">IF(OR($D347="",$D347="NO ENCONTRADO"),"",_xlfn.XLOOKUP($D347,Productos!$E:$E,Productos!$J:$J,""))</f>
        <v/>
      </c>
      <c r="H347" s="74">
        <f t="array" ref="H347">IF(OR($D347="",$D347="NO ENCONTRADO"),"",_xlfn.XLOOKUP($D347,Productos!$E:$E,Productos!$K:$K,""))</f>
        <v/>
      </c>
      <c r="I347" s="74">
        <f t="array" ref="I347">IF(OR($D347="",$D347="NO ENCONTRADO"),"",_xlfn.XLOOKUP($D347,Productos!$E:$E,Productos!$F:$F,""))</f>
        <v/>
      </c>
      <c r="J347" s="74">
        <f>IF($C347="","",IF($D347="NO ENCONTRADO",IF(COUNTIF($C$7:$C$1000,$C347)&gt;1,"⚠️ No encontrado | Duplicado","⚠️ No encontrado"),IF(COUNTIF($C$7:$C$1000,$C347)&gt;1,"⚠️ Duplicado","Verificado")))</f>
        <v/>
      </c>
    </row>
    <row r="348" ht="15.75" customHeight="1" s="176">
      <c r="B348" s="80" t="n"/>
      <c r="C348" s="74" t="n"/>
      <c r="D348" s="74">
        <f t="array" ref="D348">IF($C348="","",IFNA(_xlfn.XLOOKUP($C348,Productos!$A:$A,Productos!$E:$E,IFNA(_xlfn.XLOOKUP(TEXT($C348,"0"),Productos!$A:$A,Productos!$E:$E,IFNA(_xlfn.XLOOKUP(IFERROR(VALUE($C348),""),Productos!$A:$A,Productos!$E:$E,_xlfn.XLOOKUP($C348,Productos!$E:$E,Productos!$E:$E,"NO ENCONTRADO")),"NO ENCONTRADO")),"NO ENCONTRADO")),"NO ENCONTRADO"))</f>
        <v/>
      </c>
      <c r="E348" s="74">
        <f t="array" ref="E348">IF(OR($D348="",$D348="NO ENCONTRADO"),"",_xlfn.XLOOKUP($D348,Productos!$E:$E,Productos!$H:$H,""))</f>
        <v/>
      </c>
      <c r="F348" s="74">
        <f t="array" ref="F348">IF(OR($D348="",$D348="NO ENCONTRADO"),"",_xlfn.XLOOKUP($D348,Productos!$E:$E,Productos!$I:$I,""))</f>
        <v/>
      </c>
      <c r="G348" s="74">
        <f t="array" ref="G348">IF(OR($D348="",$D348="NO ENCONTRADO"),"",_xlfn.XLOOKUP($D348,Productos!$E:$E,Productos!$J:$J,""))</f>
        <v/>
      </c>
      <c r="H348" s="74">
        <f t="array" ref="H348">IF(OR($D348="",$D348="NO ENCONTRADO"),"",_xlfn.XLOOKUP($D348,Productos!$E:$E,Productos!$K:$K,""))</f>
        <v/>
      </c>
      <c r="I348" s="74">
        <f t="array" ref="I348">IF(OR($D348="",$D348="NO ENCONTRADO"),"",_xlfn.XLOOKUP($D348,Productos!$E:$E,Productos!$F:$F,""))</f>
        <v/>
      </c>
      <c r="J348" s="74">
        <f>IF($C348="","",IF($D348="NO ENCONTRADO",IF(COUNTIF($C$7:$C$1000,$C348)&gt;1,"⚠️ No encontrado | Duplicado","⚠️ No encontrado"),IF(COUNTIF($C$7:$C$1000,$C348)&gt;1,"⚠️ Duplicado","Verificado")))</f>
        <v/>
      </c>
    </row>
    <row r="349" ht="15.75" customHeight="1" s="176">
      <c r="B349" s="80" t="n"/>
      <c r="C349" s="74" t="n"/>
      <c r="D349" s="74">
        <f t="array" ref="D349">IF($C349="","",IFNA(_xlfn.XLOOKUP($C349,Productos!$A:$A,Productos!$E:$E,IFNA(_xlfn.XLOOKUP(TEXT($C349,"0"),Productos!$A:$A,Productos!$E:$E,IFNA(_xlfn.XLOOKUP(IFERROR(VALUE($C349),""),Productos!$A:$A,Productos!$E:$E,_xlfn.XLOOKUP($C349,Productos!$E:$E,Productos!$E:$E,"NO ENCONTRADO")),"NO ENCONTRADO")),"NO ENCONTRADO")),"NO ENCONTRADO"))</f>
        <v/>
      </c>
      <c r="E349" s="74">
        <f t="array" ref="E349">IF(OR($D349="",$D349="NO ENCONTRADO"),"",_xlfn.XLOOKUP($D349,Productos!$E:$E,Productos!$H:$H,""))</f>
        <v/>
      </c>
      <c r="F349" s="74">
        <f t="array" ref="F349">IF(OR($D349="",$D349="NO ENCONTRADO"),"",_xlfn.XLOOKUP($D349,Productos!$E:$E,Productos!$I:$I,""))</f>
        <v/>
      </c>
      <c r="G349" s="74">
        <f t="array" ref="G349">IF(OR($D349="",$D349="NO ENCONTRADO"),"",_xlfn.XLOOKUP($D349,Productos!$E:$E,Productos!$J:$J,""))</f>
        <v/>
      </c>
      <c r="H349" s="74">
        <f t="array" ref="H349">IF(OR($D349="",$D349="NO ENCONTRADO"),"",_xlfn.XLOOKUP($D349,Productos!$E:$E,Productos!$K:$K,""))</f>
        <v/>
      </c>
      <c r="I349" s="74">
        <f t="array" ref="I349">IF(OR($D349="",$D349="NO ENCONTRADO"),"",_xlfn.XLOOKUP($D349,Productos!$E:$E,Productos!$F:$F,""))</f>
        <v/>
      </c>
      <c r="J349" s="74">
        <f>IF($C349="","",IF($D349="NO ENCONTRADO",IF(COUNTIF($C$7:$C$1000,$C349)&gt;1,"⚠️ No encontrado | Duplicado","⚠️ No encontrado"),IF(COUNTIF($C$7:$C$1000,$C349)&gt;1,"⚠️ Duplicado","Verificado")))</f>
        <v/>
      </c>
    </row>
    <row r="350" ht="15.75" customHeight="1" s="176">
      <c r="B350" s="80" t="n"/>
      <c r="C350" s="74" t="n"/>
      <c r="D350" s="74">
        <f t="array" ref="D350">IF($C350="","",IFNA(_xlfn.XLOOKUP($C350,Productos!$A:$A,Productos!$E:$E,IFNA(_xlfn.XLOOKUP(TEXT($C350,"0"),Productos!$A:$A,Productos!$E:$E,IFNA(_xlfn.XLOOKUP(IFERROR(VALUE($C350),""),Productos!$A:$A,Productos!$E:$E,_xlfn.XLOOKUP($C350,Productos!$E:$E,Productos!$E:$E,"NO ENCONTRADO")),"NO ENCONTRADO")),"NO ENCONTRADO")),"NO ENCONTRADO"))</f>
        <v/>
      </c>
      <c r="E350" s="74">
        <f t="array" ref="E350">IF(OR($D350="",$D350="NO ENCONTRADO"),"",_xlfn.XLOOKUP($D350,Productos!$E:$E,Productos!$H:$H,""))</f>
        <v/>
      </c>
      <c r="F350" s="74">
        <f t="array" ref="F350">IF(OR($D350="",$D350="NO ENCONTRADO"),"",_xlfn.XLOOKUP($D350,Productos!$E:$E,Productos!$I:$I,""))</f>
        <v/>
      </c>
      <c r="G350" s="74">
        <f t="array" ref="G350">IF(OR($D350="",$D350="NO ENCONTRADO"),"",_xlfn.XLOOKUP($D350,Productos!$E:$E,Productos!$J:$J,""))</f>
        <v/>
      </c>
      <c r="H350" s="74">
        <f t="array" ref="H350">IF(OR($D350="",$D350="NO ENCONTRADO"),"",_xlfn.XLOOKUP($D350,Productos!$E:$E,Productos!$K:$K,""))</f>
        <v/>
      </c>
      <c r="I350" s="74">
        <f t="array" ref="I350">IF(OR($D350="",$D350="NO ENCONTRADO"),"",_xlfn.XLOOKUP($D350,Productos!$E:$E,Productos!$F:$F,""))</f>
        <v/>
      </c>
      <c r="J350" s="74">
        <f>IF($C350="","",IF($D350="NO ENCONTRADO",IF(COUNTIF($C$7:$C$1000,$C350)&gt;1,"⚠️ No encontrado | Duplicado","⚠️ No encontrado"),IF(COUNTIF($C$7:$C$1000,$C350)&gt;1,"⚠️ Duplicado","Verificado")))</f>
        <v/>
      </c>
    </row>
    <row r="351" ht="15.75" customHeight="1" s="176">
      <c r="B351" s="80" t="n"/>
      <c r="C351" s="74" t="n"/>
      <c r="D351" s="74">
        <f t="array" ref="D351">IF($C351="","",IFNA(_xlfn.XLOOKUP($C351,Productos!$A:$A,Productos!$E:$E,IFNA(_xlfn.XLOOKUP(TEXT($C351,"0"),Productos!$A:$A,Productos!$E:$E,IFNA(_xlfn.XLOOKUP(IFERROR(VALUE($C351),""),Productos!$A:$A,Productos!$E:$E,_xlfn.XLOOKUP($C351,Productos!$E:$E,Productos!$E:$E,"NO ENCONTRADO")),"NO ENCONTRADO")),"NO ENCONTRADO")),"NO ENCONTRADO"))</f>
        <v/>
      </c>
      <c r="E351" s="74">
        <f t="array" ref="E351">IF(OR($D351="",$D351="NO ENCONTRADO"),"",_xlfn.XLOOKUP($D351,Productos!$E:$E,Productos!$H:$H,""))</f>
        <v/>
      </c>
      <c r="F351" s="74">
        <f t="array" ref="F351">IF(OR($D351="",$D351="NO ENCONTRADO"),"",_xlfn.XLOOKUP($D351,Productos!$E:$E,Productos!$I:$I,""))</f>
        <v/>
      </c>
      <c r="G351" s="74">
        <f t="array" ref="G351">IF(OR($D351="",$D351="NO ENCONTRADO"),"",_xlfn.XLOOKUP($D351,Productos!$E:$E,Productos!$J:$J,""))</f>
        <v/>
      </c>
      <c r="H351" s="74">
        <f t="array" ref="H351">IF(OR($D351="",$D351="NO ENCONTRADO"),"",_xlfn.XLOOKUP($D351,Productos!$E:$E,Productos!$K:$K,""))</f>
        <v/>
      </c>
      <c r="I351" s="74">
        <f t="array" ref="I351">IF(OR($D351="",$D351="NO ENCONTRADO"),"",_xlfn.XLOOKUP($D351,Productos!$E:$E,Productos!$F:$F,""))</f>
        <v/>
      </c>
      <c r="J351" s="74">
        <f>IF($C351="","",IF($D351="NO ENCONTRADO",IF(COUNTIF($C$7:$C$1000,$C351)&gt;1,"⚠️ No encontrado | Duplicado","⚠️ No encontrado"),IF(COUNTIF($C$7:$C$1000,$C351)&gt;1,"⚠️ Duplicado","Verificado")))</f>
        <v/>
      </c>
    </row>
    <row r="352" ht="15.75" customHeight="1" s="176">
      <c r="B352" s="80" t="n"/>
      <c r="C352" s="74" t="n"/>
      <c r="D352" s="74">
        <f t="array" ref="D352">IF($C352="","",IFNA(_xlfn.XLOOKUP($C352,Productos!$A:$A,Productos!$E:$E,IFNA(_xlfn.XLOOKUP(TEXT($C352,"0"),Productos!$A:$A,Productos!$E:$E,IFNA(_xlfn.XLOOKUP(IFERROR(VALUE($C352),""),Productos!$A:$A,Productos!$E:$E,_xlfn.XLOOKUP($C352,Productos!$E:$E,Productos!$E:$E,"NO ENCONTRADO")),"NO ENCONTRADO")),"NO ENCONTRADO")),"NO ENCONTRADO"))</f>
        <v/>
      </c>
      <c r="E352" s="74">
        <f t="array" ref="E352">IF(OR($D352="",$D352="NO ENCONTRADO"),"",_xlfn.XLOOKUP($D352,Productos!$E:$E,Productos!$H:$H,""))</f>
        <v/>
      </c>
      <c r="F352" s="74">
        <f t="array" ref="F352">IF(OR($D352="",$D352="NO ENCONTRADO"),"",_xlfn.XLOOKUP($D352,Productos!$E:$E,Productos!$I:$I,""))</f>
        <v/>
      </c>
      <c r="G352" s="74">
        <f t="array" ref="G352">IF(OR($D352="",$D352="NO ENCONTRADO"),"",_xlfn.XLOOKUP($D352,Productos!$E:$E,Productos!$J:$J,""))</f>
        <v/>
      </c>
      <c r="H352" s="74">
        <f t="array" ref="H352">IF(OR($D352="",$D352="NO ENCONTRADO"),"",_xlfn.XLOOKUP($D352,Productos!$E:$E,Productos!$K:$K,""))</f>
        <v/>
      </c>
      <c r="I352" s="74">
        <f t="array" ref="I352">IF(OR($D352="",$D352="NO ENCONTRADO"),"",_xlfn.XLOOKUP($D352,Productos!$E:$E,Productos!$F:$F,""))</f>
        <v/>
      </c>
      <c r="J352" s="74">
        <f>IF($C352="","",IF($D352="NO ENCONTRADO",IF(COUNTIF($C$7:$C$1000,$C352)&gt;1,"⚠️ No encontrado | Duplicado","⚠️ No encontrado"),IF(COUNTIF($C$7:$C$1000,$C352)&gt;1,"⚠️ Duplicado","Verificado")))</f>
        <v/>
      </c>
    </row>
    <row r="353" ht="15.75" customHeight="1" s="176">
      <c r="B353" s="80" t="n"/>
      <c r="C353" s="74" t="n"/>
      <c r="D353" s="74">
        <f t="array" ref="D353">IF($C353="","",IFNA(_xlfn.XLOOKUP($C353,Productos!$A:$A,Productos!$E:$E,IFNA(_xlfn.XLOOKUP(TEXT($C353,"0"),Productos!$A:$A,Productos!$E:$E,IFNA(_xlfn.XLOOKUP(IFERROR(VALUE($C353),""),Productos!$A:$A,Productos!$E:$E,_xlfn.XLOOKUP($C353,Productos!$E:$E,Productos!$E:$E,"NO ENCONTRADO")),"NO ENCONTRADO")),"NO ENCONTRADO")),"NO ENCONTRADO"))</f>
        <v/>
      </c>
      <c r="E353" s="74">
        <f t="array" ref="E353">IF(OR($D353="",$D353="NO ENCONTRADO"),"",_xlfn.XLOOKUP($D353,Productos!$E:$E,Productos!$H:$H,""))</f>
        <v/>
      </c>
      <c r="F353" s="74">
        <f t="array" ref="F353">IF(OR($D353="",$D353="NO ENCONTRADO"),"",_xlfn.XLOOKUP($D353,Productos!$E:$E,Productos!$I:$I,""))</f>
        <v/>
      </c>
      <c r="G353" s="74">
        <f t="array" ref="G353">IF(OR($D353="",$D353="NO ENCONTRADO"),"",_xlfn.XLOOKUP($D353,Productos!$E:$E,Productos!$J:$J,""))</f>
        <v/>
      </c>
      <c r="H353" s="74">
        <f t="array" ref="H353">IF(OR($D353="",$D353="NO ENCONTRADO"),"",_xlfn.XLOOKUP($D353,Productos!$E:$E,Productos!$K:$K,""))</f>
        <v/>
      </c>
      <c r="I353" s="74">
        <f t="array" ref="I353">IF(OR($D353="",$D353="NO ENCONTRADO"),"",_xlfn.XLOOKUP($D353,Productos!$E:$E,Productos!$F:$F,""))</f>
        <v/>
      </c>
      <c r="J353" s="74">
        <f>IF($C353="","",IF($D353="NO ENCONTRADO",IF(COUNTIF($C$7:$C$1000,$C353)&gt;1,"⚠️ No encontrado | Duplicado","⚠️ No encontrado"),IF(COUNTIF($C$7:$C$1000,$C353)&gt;1,"⚠️ Duplicado","Verificado")))</f>
        <v/>
      </c>
    </row>
    <row r="354" ht="15.75" customHeight="1" s="176">
      <c r="B354" s="80" t="n"/>
      <c r="C354" s="74" t="n"/>
      <c r="D354" s="74">
        <f t="array" ref="D354">IF($C354="","",IFNA(_xlfn.XLOOKUP($C354,Productos!$A:$A,Productos!$E:$E,IFNA(_xlfn.XLOOKUP(TEXT($C354,"0"),Productos!$A:$A,Productos!$E:$E,IFNA(_xlfn.XLOOKUP(IFERROR(VALUE($C354),""),Productos!$A:$A,Productos!$E:$E,_xlfn.XLOOKUP($C354,Productos!$E:$E,Productos!$E:$E,"NO ENCONTRADO")),"NO ENCONTRADO")),"NO ENCONTRADO")),"NO ENCONTRADO"))</f>
        <v/>
      </c>
      <c r="E354" s="74">
        <f t="array" ref="E354">IF(OR($D354="",$D354="NO ENCONTRADO"),"",_xlfn.XLOOKUP($D354,Productos!$E:$E,Productos!$H:$H,""))</f>
        <v/>
      </c>
      <c r="F354" s="74">
        <f t="array" ref="F354">IF(OR($D354="",$D354="NO ENCONTRADO"),"",_xlfn.XLOOKUP($D354,Productos!$E:$E,Productos!$I:$I,""))</f>
        <v/>
      </c>
      <c r="G354" s="74">
        <f t="array" ref="G354">IF(OR($D354="",$D354="NO ENCONTRADO"),"",_xlfn.XLOOKUP($D354,Productos!$E:$E,Productos!$J:$J,""))</f>
        <v/>
      </c>
      <c r="H354" s="74">
        <f t="array" ref="H354">IF(OR($D354="",$D354="NO ENCONTRADO"),"",_xlfn.XLOOKUP($D354,Productos!$E:$E,Productos!$K:$K,""))</f>
        <v/>
      </c>
      <c r="I354" s="74">
        <f t="array" ref="I354">IF(OR($D354="",$D354="NO ENCONTRADO"),"",_xlfn.XLOOKUP($D354,Productos!$E:$E,Productos!$F:$F,""))</f>
        <v/>
      </c>
      <c r="J354" s="74">
        <f>IF($C354="","",IF($D354="NO ENCONTRADO",IF(COUNTIF($C$7:$C$1000,$C354)&gt;1,"⚠️ No encontrado | Duplicado","⚠️ No encontrado"),IF(COUNTIF($C$7:$C$1000,$C354)&gt;1,"⚠️ Duplicado","Verificado")))</f>
        <v/>
      </c>
    </row>
    <row r="355" ht="15.75" customHeight="1" s="176">
      <c r="B355" s="80" t="n"/>
      <c r="C355" s="74" t="n"/>
      <c r="D355" s="74">
        <f t="array" ref="D355">IF($C355="","",IFNA(_xlfn.XLOOKUP($C355,Productos!$A:$A,Productos!$E:$E,IFNA(_xlfn.XLOOKUP(TEXT($C355,"0"),Productos!$A:$A,Productos!$E:$E,IFNA(_xlfn.XLOOKUP(IFERROR(VALUE($C355),""),Productos!$A:$A,Productos!$E:$E,_xlfn.XLOOKUP($C355,Productos!$E:$E,Productos!$E:$E,"NO ENCONTRADO")),"NO ENCONTRADO")),"NO ENCONTRADO")),"NO ENCONTRADO"))</f>
        <v/>
      </c>
      <c r="E355" s="74">
        <f t="array" ref="E355">IF(OR($D355="",$D355="NO ENCONTRADO"),"",_xlfn.XLOOKUP($D355,Productos!$E:$E,Productos!$H:$H,""))</f>
        <v/>
      </c>
      <c r="F355" s="74">
        <f t="array" ref="F355">IF(OR($D355="",$D355="NO ENCONTRADO"),"",_xlfn.XLOOKUP($D355,Productos!$E:$E,Productos!$I:$I,""))</f>
        <v/>
      </c>
      <c r="G355" s="74">
        <f t="array" ref="G355">IF(OR($D355="",$D355="NO ENCONTRADO"),"",_xlfn.XLOOKUP($D355,Productos!$E:$E,Productos!$J:$J,""))</f>
        <v/>
      </c>
      <c r="H355" s="74">
        <f t="array" ref="H355">IF(OR($D355="",$D355="NO ENCONTRADO"),"",_xlfn.XLOOKUP($D355,Productos!$E:$E,Productos!$K:$K,""))</f>
        <v/>
      </c>
      <c r="I355" s="74">
        <f t="array" ref="I355">IF(OR($D355="",$D355="NO ENCONTRADO"),"",_xlfn.XLOOKUP($D355,Productos!$E:$E,Productos!$F:$F,""))</f>
        <v/>
      </c>
      <c r="J355" s="74">
        <f>IF($C355="","",IF($D355="NO ENCONTRADO",IF(COUNTIF($C$7:$C$1000,$C355)&gt;1,"⚠️ No encontrado | Duplicado","⚠️ No encontrado"),IF(COUNTIF($C$7:$C$1000,$C355)&gt;1,"⚠️ Duplicado","Verificado")))</f>
        <v/>
      </c>
    </row>
    <row r="356" ht="15.75" customHeight="1" s="176">
      <c r="B356" s="80" t="n"/>
      <c r="C356" s="74" t="n"/>
      <c r="D356" s="74">
        <f t="array" ref="D356">IF($C356="","",IFNA(_xlfn.XLOOKUP($C356,Productos!$A:$A,Productos!$E:$E,IFNA(_xlfn.XLOOKUP(TEXT($C356,"0"),Productos!$A:$A,Productos!$E:$E,IFNA(_xlfn.XLOOKUP(IFERROR(VALUE($C356),""),Productos!$A:$A,Productos!$E:$E,_xlfn.XLOOKUP($C356,Productos!$E:$E,Productos!$E:$E,"NO ENCONTRADO")),"NO ENCONTRADO")),"NO ENCONTRADO")),"NO ENCONTRADO"))</f>
        <v/>
      </c>
      <c r="E356" s="74">
        <f t="array" ref="E356">IF(OR($D356="",$D356="NO ENCONTRADO"),"",_xlfn.XLOOKUP($D356,Productos!$E:$E,Productos!$H:$H,""))</f>
        <v/>
      </c>
      <c r="F356" s="74">
        <f t="array" ref="F356">IF(OR($D356="",$D356="NO ENCONTRADO"),"",_xlfn.XLOOKUP($D356,Productos!$E:$E,Productos!$I:$I,""))</f>
        <v/>
      </c>
      <c r="G356" s="74">
        <f t="array" ref="G356">IF(OR($D356="",$D356="NO ENCONTRADO"),"",_xlfn.XLOOKUP($D356,Productos!$E:$E,Productos!$J:$J,""))</f>
        <v/>
      </c>
      <c r="H356" s="74">
        <f t="array" ref="H356">IF(OR($D356="",$D356="NO ENCONTRADO"),"",_xlfn.XLOOKUP($D356,Productos!$E:$E,Productos!$K:$K,""))</f>
        <v/>
      </c>
      <c r="I356" s="74">
        <f t="array" ref="I356">IF(OR($D356="",$D356="NO ENCONTRADO"),"",_xlfn.XLOOKUP($D356,Productos!$E:$E,Productos!$F:$F,""))</f>
        <v/>
      </c>
      <c r="J356" s="74">
        <f>IF($C356="","",IF($D356="NO ENCONTRADO",IF(COUNTIF($C$7:$C$1000,$C356)&gt;1,"⚠️ No encontrado | Duplicado","⚠️ No encontrado"),IF(COUNTIF($C$7:$C$1000,$C356)&gt;1,"⚠️ Duplicado","Verificado")))</f>
        <v/>
      </c>
    </row>
    <row r="357" ht="15.75" customHeight="1" s="176">
      <c r="B357" s="80" t="n"/>
      <c r="C357" s="74" t="n"/>
      <c r="D357" s="74">
        <f t="array" ref="D357">IF($C357="","",IFNA(_xlfn.XLOOKUP($C357,Productos!$A:$A,Productos!$E:$E,IFNA(_xlfn.XLOOKUP(TEXT($C357,"0"),Productos!$A:$A,Productos!$E:$E,IFNA(_xlfn.XLOOKUP(IFERROR(VALUE($C357),""),Productos!$A:$A,Productos!$E:$E,_xlfn.XLOOKUP($C357,Productos!$E:$E,Productos!$E:$E,"NO ENCONTRADO")),"NO ENCONTRADO")),"NO ENCONTRADO")),"NO ENCONTRADO"))</f>
        <v/>
      </c>
      <c r="E357" s="74">
        <f t="array" ref="E357">IF(OR($D357="",$D357="NO ENCONTRADO"),"",_xlfn.XLOOKUP($D357,Productos!$E:$E,Productos!$H:$H,""))</f>
        <v/>
      </c>
      <c r="F357" s="74">
        <f t="array" ref="F357">IF(OR($D357="",$D357="NO ENCONTRADO"),"",_xlfn.XLOOKUP($D357,Productos!$E:$E,Productos!$I:$I,""))</f>
        <v/>
      </c>
      <c r="G357" s="74">
        <f t="array" ref="G357">IF(OR($D357="",$D357="NO ENCONTRADO"),"",_xlfn.XLOOKUP($D357,Productos!$E:$E,Productos!$J:$J,""))</f>
        <v/>
      </c>
      <c r="H357" s="74">
        <f t="array" ref="H357">IF(OR($D357="",$D357="NO ENCONTRADO"),"",_xlfn.XLOOKUP($D357,Productos!$E:$E,Productos!$K:$K,""))</f>
        <v/>
      </c>
      <c r="I357" s="74">
        <f t="array" ref="I357">IF(OR($D357="",$D357="NO ENCONTRADO"),"",_xlfn.XLOOKUP($D357,Productos!$E:$E,Productos!$F:$F,""))</f>
        <v/>
      </c>
      <c r="J357" s="74">
        <f>IF($C357="","",IF($D357="NO ENCONTRADO",IF(COUNTIF($C$7:$C$1000,$C357)&gt;1,"⚠️ No encontrado | Duplicado","⚠️ No encontrado"),IF(COUNTIF($C$7:$C$1000,$C357)&gt;1,"⚠️ Duplicado","Verificado")))</f>
        <v/>
      </c>
    </row>
    <row r="358" ht="15.75" customHeight="1" s="176">
      <c r="B358" s="80" t="n"/>
      <c r="C358" s="74" t="n"/>
      <c r="D358" s="74">
        <f t="array" ref="D358">IF($C358="","",IFNA(_xlfn.XLOOKUP($C358,Productos!$A:$A,Productos!$E:$E,IFNA(_xlfn.XLOOKUP(TEXT($C358,"0"),Productos!$A:$A,Productos!$E:$E,IFNA(_xlfn.XLOOKUP(IFERROR(VALUE($C358),""),Productos!$A:$A,Productos!$E:$E,_xlfn.XLOOKUP($C358,Productos!$E:$E,Productos!$E:$E,"NO ENCONTRADO")),"NO ENCONTRADO")),"NO ENCONTRADO")),"NO ENCONTRADO"))</f>
        <v/>
      </c>
      <c r="E358" s="74">
        <f t="array" ref="E358">IF(OR($D358="",$D358="NO ENCONTRADO"),"",_xlfn.XLOOKUP($D358,Productos!$E:$E,Productos!$H:$H,""))</f>
        <v/>
      </c>
      <c r="F358" s="74">
        <f t="array" ref="F358">IF(OR($D358="",$D358="NO ENCONTRADO"),"",_xlfn.XLOOKUP($D358,Productos!$E:$E,Productos!$I:$I,""))</f>
        <v/>
      </c>
      <c r="G358" s="74">
        <f t="array" ref="G358">IF(OR($D358="",$D358="NO ENCONTRADO"),"",_xlfn.XLOOKUP($D358,Productos!$E:$E,Productos!$J:$J,""))</f>
        <v/>
      </c>
      <c r="H358" s="74">
        <f t="array" ref="H358">IF(OR($D358="",$D358="NO ENCONTRADO"),"",_xlfn.XLOOKUP($D358,Productos!$E:$E,Productos!$K:$K,""))</f>
        <v/>
      </c>
      <c r="I358" s="74">
        <f t="array" ref="I358">IF(OR($D358="",$D358="NO ENCONTRADO"),"",_xlfn.XLOOKUP($D358,Productos!$E:$E,Productos!$F:$F,""))</f>
        <v/>
      </c>
      <c r="J358" s="74">
        <f>IF($C358="","",IF($D358="NO ENCONTRADO",IF(COUNTIF($C$7:$C$1000,$C358)&gt;1,"⚠️ No encontrado | Duplicado","⚠️ No encontrado"),IF(COUNTIF($C$7:$C$1000,$C358)&gt;1,"⚠️ Duplicado","Verificado")))</f>
        <v/>
      </c>
    </row>
    <row r="359" ht="15.75" customHeight="1" s="176">
      <c r="B359" s="80" t="n"/>
      <c r="C359" s="74" t="n"/>
      <c r="D359" s="74">
        <f t="array" ref="D359">IF($C359="","",IFNA(_xlfn.XLOOKUP($C359,Productos!$A:$A,Productos!$E:$E,IFNA(_xlfn.XLOOKUP(TEXT($C359,"0"),Productos!$A:$A,Productos!$E:$E,IFNA(_xlfn.XLOOKUP(IFERROR(VALUE($C359),""),Productos!$A:$A,Productos!$E:$E,_xlfn.XLOOKUP($C359,Productos!$E:$E,Productos!$E:$E,"NO ENCONTRADO")),"NO ENCONTRADO")),"NO ENCONTRADO")),"NO ENCONTRADO"))</f>
        <v/>
      </c>
      <c r="E359" s="74">
        <f t="array" ref="E359">IF(OR($D359="",$D359="NO ENCONTRADO"),"",_xlfn.XLOOKUP($D359,Productos!$E:$E,Productos!$H:$H,""))</f>
        <v/>
      </c>
      <c r="F359" s="74">
        <f t="array" ref="F359">IF(OR($D359="",$D359="NO ENCONTRADO"),"",_xlfn.XLOOKUP($D359,Productos!$E:$E,Productos!$I:$I,""))</f>
        <v/>
      </c>
      <c r="G359" s="74">
        <f t="array" ref="G359">IF(OR($D359="",$D359="NO ENCONTRADO"),"",_xlfn.XLOOKUP($D359,Productos!$E:$E,Productos!$J:$J,""))</f>
        <v/>
      </c>
      <c r="H359" s="74">
        <f t="array" ref="H359">IF(OR($D359="",$D359="NO ENCONTRADO"),"",_xlfn.XLOOKUP($D359,Productos!$E:$E,Productos!$K:$K,""))</f>
        <v/>
      </c>
      <c r="I359" s="74">
        <f t="array" ref="I359">IF(OR($D359="",$D359="NO ENCONTRADO"),"",_xlfn.XLOOKUP($D359,Productos!$E:$E,Productos!$F:$F,""))</f>
        <v/>
      </c>
      <c r="J359" s="74">
        <f>IF($C359="","",IF($D359="NO ENCONTRADO",IF(COUNTIF($C$7:$C$1000,$C359)&gt;1,"⚠️ No encontrado | Duplicado","⚠️ No encontrado"),IF(COUNTIF($C$7:$C$1000,$C359)&gt;1,"⚠️ Duplicado","Verificado")))</f>
        <v/>
      </c>
    </row>
    <row r="360" ht="15.75" customHeight="1" s="176">
      <c r="B360" s="80" t="n"/>
      <c r="C360" s="74" t="n"/>
      <c r="D360" s="74">
        <f t="array" ref="D360">IF($C360="","",IFNA(_xlfn.XLOOKUP($C360,Productos!$A:$A,Productos!$E:$E,IFNA(_xlfn.XLOOKUP(TEXT($C360,"0"),Productos!$A:$A,Productos!$E:$E,IFNA(_xlfn.XLOOKUP(IFERROR(VALUE($C360),""),Productos!$A:$A,Productos!$E:$E,_xlfn.XLOOKUP($C360,Productos!$E:$E,Productos!$E:$E,"NO ENCONTRADO")),"NO ENCONTRADO")),"NO ENCONTRADO")),"NO ENCONTRADO"))</f>
        <v/>
      </c>
      <c r="E360" s="74">
        <f t="array" ref="E360">IF(OR($D360="",$D360="NO ENCONTRADO"),"",_xlfn.XLOOKUP($D360,Productos!$E:$E,Productos!$H:$H,""))</f>
        <v/>
      </c>
      <c r="F360" s="74">
        <f t="array" ref="F360">IF(OR($D360="",$D360="NO ENCONTRADO"),"",_xlfn.XLOOKUP($D360,Productos!$E:$E,Productos!$I:$I,""))</f>
        <v/>
      </c>
      <c r="G360" s="74">
        <f t="array" ref="G360">IF(OR($D360="",$D360="NO ENCONTRADO"),"",_xlfn.XLOOKUP($D360,Productos!$E:$E,Productos!$J:$J,""))</f>
        <v/>
      </c>
      <c r="H360" s="74">
        <f t="array" ref="H360">IF(OR($D360="",$D360="NO ENCONTRADO"),"",_xlfn.XLOOKUP($D360,Productos!$E:$E,Productos!$K:$K,""))</f>
        <v/>
      </c>
      <c r="I360" s="74">
        <f t="array" ref="I360">IF(OR($D360="",$D360="NO ENCONTRADO"),"",_xlfn.XLOOKUP($D360,Productos!$E:$E,Productos!$F:$F,""))</f>
        <v/>
      </c>
      <c r="J360" s="74">
        <f>IF($C360="","",IF($D360="NO ENCONTRADO",IF(COUNTIF($C$7:$C$1000,$C360)&gt;1,"⚠️ No encontrado | Duplicado","⚠️ No encontrado"),IF(COUNTIF($C$7:$C$1000,$C360)&gt;1,"⚠️ Duplicado","Verificado")))</f>
        <v/>
      </c>
    </row>
    <row r="361" ht="15.75" customHeight="1" s="176">
      <c r="B361" s="80" t="n"/>
      <c r="C361" s="74" t="n"/>
      <c r="D361" s="74">
        <f t="array" ref="D361">IF($C361="","",IFNA(_xlfn.XLOOKUP($C361,Productos!$A:$A,Productos!$E:$E,IFNA(_xlfn.XLOOKUP(TEXT($C361,"0"),Productos!$A:$A,Productos!$E:$E,IFNA(_xlfn.XLOOKUP(IFERROR(VALUE($C361),""),Productos!$A:$A,Productos!$E:$E,_xlfn.XLOOKUP($C361,Productos!$E:$E,Productos!$E:$E,"NO ENCONTRADO")),"NO ENCONTRADO")),"NO ENCONTRADO")),"NO ENCONTRADO"))</f>
        <v/>
      </c>
      <c r="E361" s="74">
        <f t="array" ref="E361">IF(OR($D361="",$D361="NO ENCONTRADO"),"",_xlfn.XLOOKUP($D361,Productos!$E:$E,Productos!$H:$H,""))</f>
        <v/>
      </c>
      <c r="F361" s="74">
        <f t="array" ref="F361">IF(OR($D361="",$D361="NO ENCONTRADO"),"",_xlfn.XLOOKUP($D361,Productos!$E:$E,Productos!$I:$I,""))</f>
        <v/>
      </c>
      <c r="G361" s="74">
        <f t="array" ref="G361">IF(OR($D361="",$D361="NO ENCONTRADO"),"",_xlfn.XLOOKUP($D361,Productos!$E:$E,Productos!$J:$J,""))</f>
        <v/>
      </c>
      <c r="H361" s="74">
        <f t="array" ref="H361">IF(OR($D361="",$D361="NO ENCONTRADO"),"",_xlfn.XLOOKUP($D361,Productos!$E:$E,Productos!$K:$K,""))</f>
        <v/>
      </c>
      <c r="I361" s="74">
        <f t="array" ref="I361">IF(OR($D361="",$D361="NO ENCONTRADO"),"",_xlfn.XLOOKUP($D361,Productos!$E:$E,Productos!$F:$F,""))</f>
        <v/>
      </c>
      <c r="J361" s="74">
        <f>IF($C361="","",IF($D361="NO ENCONTRADO",IF(COUNTIF($C$7:$C$1000,$C361)&gt;1,"⚠️ No encontrado | Duplicado","⚠️ No encontrado"),IF(COUNTIF($C$7:$C$1000,$C361)&gt;1,"⚠️ Duplicado","Verificado")))</f>
        <v/>
      </c>
    </row>
    <row r="362" ht="15.75" customHeight="1" s="176">
      <c r="B362" s="80" t="n"/>
      <c r="C362" s="74" t="n"/>
      <c r="D362" s="74">
        <f t="array" ref="D362">IF($C362="","",IFNA(_xlfn.XLOOKUP($C362,Productos!$A:$A,Productos!$E:$E,IFNA(_xlfn.XLOOKUP(TEXT($C362,"0"),Productos!$A:$A,Productos!$E:$E,IFNA(_xlfn.XLOOKUP(IFERROR(VALUE($C362),""),Productos!$A:$A,Productos!$E:$E,_xlfn.XLOOKUP($C362,Productos!$E:$E,Productos!$E:$E,"NO ENCONTRADO")),"NO ENCONTRADO")),"NO ENCONTRADO")),"NO ENCONTRADO"))</f>
        <v/>
      </c>
      <c r="E362" s="74">
        <f t="array" ref="E362">IF(OR($D362="",$D362="NO ENCONTRADO"),"",_xlfn.XLOOKUP($D362,Productos!$E:$E,Productos!$H:$H,""))</f>
        <v/>
      </c>
      <c r="F362" s="74">
        <f t="array" ref="F362">IF(OR($D362="",$D362="NO ENCONTRADO"),"",_xlfn.XLOOKUP($D362,Productos!$E:$E,Productos!$I:$I,""))</f>
        <v/>
      </c>
      <c r="G362" s="74">
        <f t="array" ref="G362">IF(OR($D362="",$D362="NO ENCONTRADO"),"",_xlfn.XLOOKUP($D362,Productos!$E:$E,Productos!$J:$J,""))</f>
        <v/>
      </c>
      <c r="H362" s="74">
        <f t="array" ref="H362">IF(OR($D362="",$D362="NO ENCONTRADO"),"",_xlfn.XLOOKUP($D362,Productos!$E:$E,Productos!$K:$K,""))</f>
        <v/>
      </c>
      <c r="I362" s="74">
        <f t="array" ref="I362">IF(OR($D362="",$D362="NO ENCONTRADO"),"",_xlfn.XLOOKUP($D362,Productos!$E:$E,Productos!$F:$F,""))</f>
        <v/>
      </c>
      <c r="J362" s="74">
        <f>IF($C362="","",IF($D362="NO ENCONTRADO",IF(COUNTIF($C$7:$C$1000,$C362)&gt;1,"⚠️ No encontrado | Duplicado","⚠️ No encontrado"),IF(COUNTIF($C$7:$C$1000,$C362)&gt;1,"⚠️ Duplicado","Verificado")))</f>
        <v/>
      </c>
    </row>
    <row r="363" ht="15.75" customHeight="1" s="176">
      <c r="B363" s="80" t="n"/>
      <c r="C363" s="74" t="n"/>
      <c r="D363" s="74">
        <f t="array" ref="D363">IF($C363="","",IFNA(_xlfn.XLOOKUP($C363,Productos!$A:$A,Productos!$E:$E,IFNA(_xlfn.XLOOKUP(TEXT($C363,"0"),Productos!$A:$A,Productos!$E:$E,IFNA(_xlfn.XLOOKUP(IFERROR(VALUE($C363),""),Productos!$A:$A,Productos!$E:$E,_xlfn.XLOOKUP($C363,Productos!$E:$E,Productos!$E:$E,"NO ENCONTRADO")),"NO ENCONTRADO")),"NO ENCONTRADO")),"NO ENCONTRADO"))</f>
        <v/>
      </c>
      <c r="E363" s="74">
        <f t="array" ref="E363">IF(OR($D363="",$D363="NO ENCONTRADO"),"",_xlfn.XLOOKUP($D363,Productos!$E:$E,Productos!$H:$H,""))</f>
        <v/>
      </c>
      <c r="F363" s="74">
        <f t="array" ref="F363">IF(OR($D363="",$D363="NO ENCONTRADO"),"",_xlfn.XLOOKUP($D363,Productos!$E:$E,Productos!$I:$I,""))</f>
        <v/>
      </c>
      <c r="G363" s="74">
        <f t="array" ref="G363">IF(OR($D363="",$D363="NO ENCONTRADO"),"",_xlfn.XLOOKUP($D363,Productos!$E:$E,Productos!$J:$J,""))</f>
        <v/>
      </c>
      <c r="H363" s="74">
        <f t="array" ref="H363">IF(OR($D363="",$D363="NO ENCONTRADO"),"",_xlfn.XLOOKUP($D363,Productos!$E:$E,Productos!$K:$K,""))</f>
        <v/>
      </c>
      <c r="I363" s="74">
        <f t="array" ref="I363">IF(OR($D363="",$D363="NO ENCONTRADO"),"",_xlfn.XLOOKUP($D363,Productos!$E:$E,Productos!$F:$F,""))</f>
        <v/>
      </c>
      <c r="J363" s="74">
        <f>IF($C363="","",IF($D363="NO ENCONTRADO",IF(COUNTIF($C$7:$C$1000,$C363)&gt;1,"⚠️ No encontrado | Duplicado","⚠️ No encontrado"),IF(COUNTIF($C$7:$C$1000,$C363)&gt;1,"⚠️ Duplicado","Verificado")))</f>
        <v/>
      </c>
    </row>
    <row r="364" ht="15.75" customHeight="1" s="176">
      <c r="B364" s="80" t="n"/>
      <c r="C364" s="74" t="n"/>
      <c r="D364" s="74">
        <f t="array" ref="D364">IF($C364="","",IFNA(_xlfn.XLOOKUP($C364,Productos!$A:$A,Productos!$E:$E,IFNA(_xlfn.XLOOKUP(TEXT($C364,"0"),Productos!$A:$A,Productos!$E:$E,IFNA(_xlfn.XLOOKUP(IFERROR(VALUE($C364),""),Productos!$A:$A,Productos!$E:$E,_xlfn.XLOOKUP($C364,Productos!$E:$E,Productos!$E:$E,"NO ENCONTRADO")),"NO ENCONTRADO")),"NO ENCONTRADO")),"NO ENCONTRADO"))</f>
        <v/>
      </c>
      <c r="E364" s="74">
        <f t="array" ref="E364">IF(OR($D364="",$D364="NO ENCONTRADO"),"",_xlfn.XLOOKUP($D364,Productos!$E:$E,Productos!$H:$H,""))</f>
        <v/>
      </c>
      <c r="F364" s="74">
        <f t="array" ref="F364">IF(OR($D364="",$D364="NO ENCONTRADO"),"",_xlfn.XLOOKUP($D364,Productos!$E:$E,Productos!$I:$I,""))</f>
        <v/>
      </c>
      <c r="G364" s="74">
        <f t="array" ref="G364">IF(OR($D364="",$D364="NO ENCONTRADO"),"",_xlfn.XLOOKUP($D364,Productos!$E:$E,Productos!$J:$J,""))</f>
        <v/>
      </c>
      <c r="H364" s="74">
        <f t="array" ref="H364">IF(OR($D364="",$D364="NO ENCONTRADO"),"",_xlfn.XLOOKUP($D364,Productos!$E:$E,Productos!$K:$K,""))</f>
        <v/>
      </c>
      <c r="I364" s="74">
        <f t="array" ref="I364">IF(OR($D364="",$D364="NO ENCONTRADO"),"",_xlfn.XLOOKUP($D364,Productos!$E:$E,Productos!$F:$F,""))</f>
        <v/>
      </c>
      <c r="J364" s="74">
        <f>IF($C364="","",IF($D364="NO ENCONTRADO",IF(COUNTIF($C$7:$C$1000,$C364)&gt;1,"⚠️ No encontrado | Duplicado","⚠️ No encontrado"),IF(COUNTIF($C$7:$C$1000,$C364)&gt;1,"⚠️ Duplicado","Verificado")))</f>
        <v/>
      </c>
    </row>
    <row r="365" ht="15.75" customHeight="1" s="176">
      <c r="B365" s="80" t="n"/>
      <c r="C365" s="74" t="n"/>
      <c r="D365" s="74">
        <f t="array" ref="D365">IF($C365="","",IFNA(_xlfn.XLOOKUP($C365,Productos!$A:$A,Productos!$E:$E,IFNA(_xlfn.XLOOKUP(TEXT($C365,"0"),Productos!$A:$A,Productos!$E:$E,IFNA(_xlfn.XLOOKUP(IFERROR(VALUE($C365),""),Productos!$A:$A,Productos!$E:$E,_xlfn.XLOOKUP($C365,Productos!$E:$E,Productos!$E:$E,"NO ENCONTRADO")),"NO ENCONTRADO")),"NO ENCONTRADO")),"NO ENCONTRADO"))</f>
        <v/>
      </c>
      <c r="E365" s="74">
        <f t="array" ref="E365">IF(OR($D365="",$D365="NO ENCONTRADO"),"",_xlfn.XLOOKUP($D365,Productos!$E:$E,Productos!$H:$H,""))</f>
        <v/>
      </c>
      <c r="F365" s="74">
        <f t="array" ref="F365">IF(OR($D365="",$D365="NO ENCONTRADO"),"",_xlfn.XLOOKUP($D365,Productos!$E:$E,Productos!$I:$I,""))</f>
        <v/>
      </c>
      <c r="G365" s="74">
        <f t="array" ref="G365">IF(OR($D365="",$D365="NO ENCONTRADO"),"",_xlfn.XLOOKUP($D365,Productos!$E:$E,Productos!$J:$J,""))</f>
        <v/>
      </c>
      <c r="H365" s="74">
        <f t="array" ref="H365">IF(OR($D365="",$D365="NO ENCONTRADO"),"",_xlfn.XLOOKUP($D365,Productos!$E:$E,Productos!$K:$K,""))</f>
        <v/>
      </c>
      <c r="I365" s="74">
        <f t="array" ref="I365">IF(OR($D365="",$D365="NO ENCONTRADO"),"",_xlfn.XLOOKUP($D365,Productos!$E:$E,Productos!$F:$F,""))</f>
        <v/>
      </c>
      <c r="J365" s="74">
        <f>IF($C365="","",IF($D365="NO ENCONTRADO",IF(COUNTIF($C$7:$C$1000,$C365)&gt;1,"⚠️ No encontrado | Duplicado","⚠️ No encontrado"),IF(COUNTIF($C$7:$C$1000,$C365)&gt;1,"⚠️ Duplicado","Verificado")))</f>
        <v/>
      </c>
    </row>
    <row r="366" ht="15.75" customHeight="1" s="176">
      <c r="B366" s="80" t="n"/>
      <c r="C366" s="74" t="n"/>
      <c r="D366" s="74">
        <f t="array" ref="D366">IF($C366="","",IFNA(_xlfn.XLOOKUP($C366,Productos!$A:$A,Productos!$E:$E,IFNA(_xlfn.XLOOKUP(TEXT($C366,"0"),Productos!$A:$A,Productos!$E:$E,IFNA(_xlfn.XLOOKUP(IFERROR(VALUE($C366),""),Productos!$A:$A,Productos!$E:$E,_xlfn.XLOOKUP($C366,Productos!$E:$E,Productos!$E:$E,"NO ENCONTRADO")),"NO ENCONTRADO")),"NO ENCONTRADO")),"NO ENCONTRADO"))</f>
        <v/>
      </c>
      <c r="E366" s="74">
        <f t="array" ref="E366">IF(OR($D366="",$D366="NO ENCONTRADO"),"",_xlfn.XLOOKUP($D366,Productos!$E:$E,Productos!$H:$H,""))</f>
        <v/>
      </c>
      <c r="F366" s="74">
        <f t="array" ref="F366">IF(OR($D366="",$D366="NO ENCONTRADO"),"",_xlfn.XLOOKUP($D366,Productos!$E:$E,Productos!$I:$I,""))</f>
        <v/>
      </c>
      <c r="G366" s="74">
        <f t="array" ref="G366">IF(OR($D366="",$D366="NO ENCONTRADO"),"",_xlfn.XLOOKUP($D366,Productos!$E:$E,Productos!$J:$J,""))</f>
        <v/>
      </c>
      <c r="H366" s="74">
        <f t="array" ref="H366">IF(OR($D366="",$D366="NO ENCONTRADO"),"",_xlfn.XLOOKUP($D366,Productos!$E:$E,Productos!$K:$K,""))</f>
        <v/>
      </c>
      <c r="I366" s="74">
        <f t="array" ref="I366">IF(OR($D366="",$D366="NO ENCONTRADO"),"",_xlfn.XLOOKUP($D366,Productos!$E:$E,Productos!$F:$F,""))</f>
        <v/>
      </c>
      <c r="J366" s="74">
        <f>IF($C366="","",IF($D366="NO ENCONTRADO",IF(COUNTIF($C$7:$C$1000,$C366)&gt;1,"⚠️ No encontrado | Duplicado","⚠️ No encontrado"),IF(COUNTIF($C$7:$C$1000,$C366)&gt;1,"⚠️ Duplicado","Verificado")))</f>
        <v/>
      </c>
    </row>
    <row r="367" ht="15.75" customHeight="1" s="176">
      <c r="B367" s="80" t="n"/>
      <c r="C367" s="74" t="n"/>
      <c r="D367" s="74">
        <f t="array" ref="D367">IF($C367="","",IFNA(_xlfn.XLOOKUP($C367,Productos!$A:$A,Productos!$E:$E,IFNA(_xlfn.XLOOKUP(TEXT($C367,"0"),Productos!$A:$A,Productos!$E:$E,IFNA(_xlfn.XLOOKUP(IFERROR(VALUE($C367),""),Productos!$A:$A,Productos!$E:$E,_xlfn.XLOOKUP($C367,Productos!$E:$E,Productos!$E:$E,"NO ENCONTRADO")),"NO ENCONTRADO")),"NO ENCONTRADO")),"NO ENCONTRADO"))</f>
        <v/>
      </c>
      <c r="E367" s="74">
        <f t="array" ref="E367">IF(OR($D367="",$D367="NO ENCONTRADO"),"",_xlfn.XLOOKUP($D367,Productos!$E:$E,Productos!$H:$H,""))</f>
        <v/>
      </c>
      <c r="F367" s="74">
        <f t="array" ref="F367">IF(OR($D367="",$D367="NO ENCONTRADO"),"",_xlfn.XLOOKUP($D367,Productos!$E:$E,Productos!$I:$I,""))</f>
        <v/>
      </c>
      <c r="G367" s="74">
        <f t="array" ref="G367">IF(OR($D367="",$D367="NO ENCONTRADO"),"",_xlfn.XLOOKUP($D367,Productos!$E:$E,Productos!$J:$J,""))</f>
        <v/>
      </c>
      <c r="H367" s="74">
        <f t="array" ref="H367">IF(OR($D367="",$D367="NO ENCONTRADO"),"",_xlfn.XLOOKUP($D367,Productos!$E:$E,Productos!$K:$K,""))</f>
        <v/>
      </c>
      <c r="I367" s="74">
        <f t="array" ref="I367">IF(OR($D367="",$D367="NO ENCONTRADO"),"",_xlfn.XLOOKUP($D367,Productos!$E:$E,Productos!$F:$F,""))</f>
        <v/>
      </c>
      <c r="J367" s="74">
        <f>IF($C367="","",IF($D367="NO ENCONTRADO",IF(COUNTIF($C$7:$C$1000,$C367)&gt;1,"⚠️ No encontrado | Duplicado","⚠️ No encontrado"),IF(COUNTIF($C$7:$C$1000,$C367)&gt;1,"⚠️ Duplicado","Verificado")))</f>
        <v/>
      </c>
    </row>
    <row r="368" ht="15.75" customHeight="1" s="176">
      <c r="B368" s="80" t="n"/>
      <c r="C368" s="74" t="n"/>
      <c r="D368" s="74">
        <f t="array" ref="D368">IF($C368="","",IFNA(_xlfn.XLOOKUP($C368,Productos!$A:$A,Productos!$E:$E,IFNA(_xlfn.XLOOKUP(TEXT($C368,"0"),Productos!$A:$A,Productos!$E:$E,IFNA(_xlfn.XLOOKUP(IFERROR(VALUE($C368),""),Productos!$A:$A,Productos!$E:$E,_xlfn.XLOOKUP($C368,Productos!$E:$E,Productos!$E:$E,"NO ENCONTRADO")),"NO ENCONTRADO")),"NO ENCONTRADO")),"NO ENCONTRADO"))</f>
        <v/>
      </c>
      <c r="E368" s="74">
        <f t="array" ref="E368">IF(OR($D368="",$D368="NO ENCONTRADO"),"",_xlfn.XLOOKUP($D368,Productos!$E:$E,Productos!$H:$H,""))</f>
        <v/>
      </c>
      <c r="F368" s="74">
        <f t="array" ref="F368">IF(OR($D368="",$D368="NO ENCONTRADO"),"",_xlfn.XLOOKUP($D368,Productos!$E:$E,Productos!$I:$I,""))</f>
        <v/>
      </c>
      <c r="G368" s="74">
        <f t="array" ref="G368">IF(OR($D368="",$D368="NO ENCONTRADO"),"",_xlfn.XLOOKUP($D368,Productos!$E:$E,Productos!$J:$J,""))</f>
        <v/>
      </c>
      <c r="H368" s="74">
        <f t="array" ref="H368">IF(OR($D368="",$D368="NO ENCONTRADO"),"",_xlfn.XLOOKUP($D368,Productos!$E:$E,Productos!$K:$K,""))</f>
        <v/>
      </c>
      <c r="I368" s="74">
        <f t="array" ref="I368">IF(OR($D368="",$D368="NO ENCONTRADO"),"",_xlfn.XLOOKUP($D368,Productos!$E:$E,Productos!$F:$F,""))</f>
        <v/>
      </c>
      <c r="J368" s="74">
        <f>IF($C368="","",IF($D368="NO ENCONTRADO",IF(COUNTIF($C$7:$C$1000,$C368)&gt;1,"⚠️ No encontrado | Duplicado","⚠️ No encontrado"),IF(COUNTIF($C$7:$C$1000,$C368)&gt;1,"⚠️ Duplicado","Verificado")))</f>
        <v/>
      </c>
    </row>
    <row r="369" ht="15.75" customHeight="1" s="176">
      <c r="B369" s="80" t="n"/>
      <c r="C369" s="74" t="n"/>
      <c r="D369" s="74">
        <f t="array" ref="D369">IF($C369="","",IFNA(_xlfn.XLOOKUP($C369,Productos!$A:$A,Productos!$E:$E,IFNA(_xlfn.XLOOKUP(TEXT($C369,"0"),Productos!$A:$A,Productos!$E:$E,IFNA(_xlfn.XLOOKUP(IFERROR(VALUE($C369),""),Productos!$A:$A,Productos!$E:$E,_xlfn.XLOOKUP($C369,Productos!$E:$E,Productos!$E:$E,"NO ENCONTRADO")),"NO ENCONTRADO")),"NO ENCONTRADO")),"NO ENCONTRADO"))</f>
        <v/>
      </c>
      <c r="E369" s="74">
        <f t="array" ref="E369">IF(OR($D369="",$D369="NO ENCONTRADO"),"",_xlfn.XLOOKUP($D369,Productos!$E:$E,Productos!$H:$H,""))</f>
        <v/>
      </c>
      <c r="F369" s="74">
        <f t="array" ref="F369">IF(OR($D369="",$D369="NO ENCONTRADO"),"",_xlfn.XLOOKUP($D369,Productos!$E:$E,Productos!$I:$I,""))</f>
        <v/>
      </c>
      <c r="G369" s="74">
        <f t="array" ref="G369">IF(OR($D369="",$D369="NO ENCONTRADO"),"",_xlfn.XLOOKUP($D369,Productos!$E:$E,Productos!$J:$J,""))</f>
        <v/>
      </c>
      <c r="H369" s="74">
        <f t="array" ref="H369">IF(OR($D369="",$D369="NO ENCONTRADO"),"",_xlfn.XLOOKUP($D369,Productos!$E:$E,Productos!$K:$K,""))</f>
        <v/>
      </c>
      <c r="I369" s="74">
        <f t="array" ref="I369">IF(OR($D369="",$D369="NO ENCONTRADO"),"",_xlfn.XLOOKUP($D369,Productos!$E:$E,Productos!$F:$F,""))</f>
        <v/>
      </c>
      <c r="J369" s="74">
        <f>IF($C369="","",IF($D369="NO ENCONTRADO",IF(COUNTIF($C$7:$C$1000,$C369)&gt;1,"⚠️ No encontrado | Duplicado","⚠️ No encontrado"),IF(COUNTIF($C$7:$C$1000,$C369)&gt;1,"⚠️ Duplicado","Verificado")))</f>
        <v/>
      </c>
    </row>
    <row r="370" ht="15.75" customHeight="1" s="176">
      <c r="B370" s="80" t="n"/>
      <c r="C370" s="74" t="n"/>
      <c r="D370" s="74">
        <f t="array" ref="D370">IF($C370="","",IFNA(_xlfn.XLOOKUP($C370,Productos!$A:$A,Productos!$E:$E,IFNA(_xlfn.XLOOKUP(TEXT($C370,"0"),Productos!$A:$A,Productos!$E:$E,IFNA(_xlfn.XLOOKUP(IFERROR(VALUE($C370),""),Productos!$A:$A,Productos!$E:$E,_xlfn.XLOOKUP($C370,Productos!$E:$E,Productos!$E:$E,"NO ENCONTRADO")),"NO ENCONTRADO")),"NO ENCONTRADO")),"NO ENCONTRADO"))</f>
        <v/>
      </c>
      <c r="E370" s="74">
        <f t="array" ref="E370">IF(OR($D370="",$D370="NO ENCONTRADO"),"",_xlfn.XLOOKUP($D370,Productos!$E:$E,Productos!$H:$H,""))</f>
        <v/>
      </c>
      <c r="F370" s="74">
        <f t="array" ref="F370">IF(OR($D370="",$D370="NO ENCONTRADO"),"",_xlfn.XLOOKUP($D370,Productos!$E:$E,Productos!$I:$I,""))</f>
        <v/>
      </c>
      <c r="G370" s="74">
        <f t="array" ref="G370">IF(OR($D370="",$D370="NO ENCONTRADO"),"",_xlfn.XLOOKUP($D370,Productos!$E:$E,Productos!$J:$J,""))</f>
        <v/>
      </c>
      <c r="H370" s="74">
        <f t="array" ref="H370">IF(OR($D370="",$D370="NO ENCONTRADO"),"",_xlfn.XLOOKUP($D370,Productos!$E:$E,Productos!$K:$K,""))</f>
        <v/>
      </c>
      <c r="I370" s="74">
        <f t="array" ref="I370">IF(OR($D370="",$D370="NO ENCONTRADO"),"",_xlfn.XLOOKUP($D370,Productos!$E:$E,Productos!$F:$F,""))</f>
        <v/>
      </c>
      <c r="J370" s="74">
        <f>IF($C370="","",IF($D370="NO ENCONTRADO",IF(COUNTIF($C$7:$C$1000,$C370)&gt;1,"⚠️ No encontrado | Duplicado","⚠️ No encontrado"),IF(COUNTIF($C$7:$C$1000,$C370)&gt;1,"⚠️ Duplicado","Verificado")))</f>
        <v/>
      </c>
    </row>
    <row r="371" ht="15.75" customHeight="1" s="176">
      <c r="B371" s="80" t="n"/>
      <c r="C371" s="74" t="n"/>
      <c r="D371" s="74">
        <f t="array" ref="D371">IF($C371="","",IFNA(_xlfn.XLOOKUP($C371,Productos!$A:$A,Productos!$E:$E,IFNA(_xlfn.XLOOKUP(TEXT($C371,"0"),Productos!$A:$A,Productos!$E:$E,IFNA(_xlfn.XLOOKUP(IFERROR(VALUE($C371),""),Productos!$A:$A,Productos!$E:$E,_xlfn.XLOOKUP($C371,Productos!$E:$E,Productos!$E:$E,"NO ENCONTRADO")),"NO ENCONTRADO")),"NO ENCONTRADO")),"NO ENCONTRADO"))</f>
        <v/>
      </c>
      <c r="E371" s="74">
        <f t="array" ref="E371">IF(OR($D371="",$D371="NO ENCONTRADO"),"",_xlfn.XLOOKUP($D371,Productos!$E:$E,Productos!$H:$H,""))</f>
        <v/>
      </c>
      <c r="F371" s="74">
        <f t="array" ref="F371">IF(OR($D371="",$D371="NO ENCONTRADO"),"",_xlfn.XLOOKUP($D371,Productos!$E:$E,Productos!$I:$I,""))</f>
        <v/>
      </c>
      <c r="G371" s="74">
        <f t="array" ref="G371">IF(OR($D371="",$D371="NO ENCONTRADO"),"",_xlfn.XLOOKUP($D371,Productos!$E:$E,Productos!$J:$J,""))</f>
        <v/>
      </c>
      <c r="H371" s="74">
        <f t="array" ref="H371">IF(OR($D371="",$D371="NO ENCONTRADO"),"",_xlfn.XLOOKUP($D371,Productos!$E:$E,Productos!$K:$K,""))</f>
        <v/>
      </c>
      <c r="I371" s="74">
        <f t="array" ref="I371">IF(OR($D371="",$D371="NO ENCONTRADO"),"",_xlfn.XLOOKUP($D371,Productos!$E:$E,Productos!$F:$F,""))</f>
        <v/>
      </c>
      <c r="J371" s="74">
        <f>IF($C371="","",IF($D371="NO ENCONTRADO",IF(COUNTIF($C$7:$C$1000,$C371)&gt;1,"⚠️ No encontrado | Duplicado","⚠️ No encontrado"),IF(COUNTIF($C$7:$C$1000,$C371)&gt;1,"⚠️ Duplicado","Verificado")))</f>
        <v/>
      </c>
    </row>
    <row r="372" ht="15.75" customHeight="1" s="176">
      <c r="B372" s="80" t="n"/>
      <c r="C372" s="74" t="n"/>
      <c r="D372" s="74">
        <f t="array" ref="D372">IF($C372="","",IFNA(_xlfn.XLOOKUP($C372,Productos!$A:$A,Productos!$E:$E,IFNA(_xlfn.XLOOKUP(TEXT($C372,"0"),Productos!$A:$A,Productos!$E:$E,IFNA(_xlfn.XLOOKUP(IFERROR(VALUE($C372),""),Productos!$A:$A,Productos!$E:$E,_xlfn.XLOOKUP($C372,Productos!$E:$E,Productos!$E:$E,"NO ENCONTRADO")),"NO ENCONTRADO")),"NO ENCONTRADO")),"NO ENCONTRADO"))</f>
        <v/>
      </c>
      <c r="E372" s="74">
        <f t="array" ref="E372">IF(OR($D372="",$D372="NO ENCONTRADO"),"",_xlfn.XLOOKUP($D372,Productos!$E:$E,Productos!$H:$H,""))</f>
        <v/>
      </c>
      <c r="F372" s="74">
        <f t="array" ref="F372">IF(OR($D372="",$D372="NO ENCONTRADO"),"",_xlfn.XLOOKUP($D372,Productos!$E:$E,Productos!$I:$I,""))</f>
        <v/>
      </c>
      <c r="G372" s="74">
        <f t="array" ref="G372">IF(OR($D372="",$D372="NO ENCONTRADO"),"",_xlfn.XLOOKUP($D372,Productos!$E:$E,Productos!$J:$J,""))</f>
        <v/>
      </c>
      <c r="H372" s="74">
        <f t="array" ref="H372">IF(OR($D372="",$D372="NO ENCONTRADO"),"",_xlfn.XLOOKUP($D372,Productos!$E:$E,Productos!$K:$K,""))</f>
        <v/>
      </c>
      <c r="I372" s="74">
        <f t="array" ref="I372">IF(OR($D372="",$D372="NO ENCONTRADO"),"",_xlfn.XLOOKUP($D372,Productos!$E:$E,Productos!$F:$F,""))</f>
        <v/>
      </c>
      <c r="J372" s="74">
        <f>IF($C372="","",IF($D372="NO ENCONTRADO",IF(COUNTIF($C$7:$C$1000,$C372)&gt;1,"⚠️ No encontrado | Duplicado","⚠️ No encontrado"),IF(COUNTIF($C$7:$C$1000,$C372)&gt;1,"⚠️ Duplicado","Verificado")))</f>
        <v/>
      </c>
    </row>
    <row r="373" ht="15.75" customHeight="1" s="176">
      <c r="B373" s="80" t="n"/>
      <c r="C373" s="74" t="n"/>
      <c r="D373" s="74">
        <f t="array" ref="D373">IF($C373="","",IFNA(_xlfn.XLOOKUP($C373,Productos!$A:$A,Productos!$E:$E,IFNA(_xlfn.XLOOKUP(TEXT($C373,"0"),Productos!$A:$A,Productos!$E:$E,IFNA(_xlfn.XLOOKUP(IFERROR(VALUE($C373),""),Productos!$A:$A,Productos!$E:$E,_xlfn.XLOOKUP($C373,Productos!$E:$E,Productos!$E:$E,"NO ENCONTRADO")),"NO ENCONTRADO")),"NO ENCONTRADO")),"NO ENCONTRADO"))</f>
        <v/>
      </c>
      <c r="E373" s="74">
        <f t="array" ref="E373">IF(OR($D373="",$D373="NO ENCONTRADO"),"",_xlfn.XLOOKUP($D373,Productos!$E:$E,Productos!$H:$H,""))</f>
        <v/>
      </c>
      <c r="F373" s="74">
        <f t="array" ref="F373">IF(OR($D373="",$D373="NO ENCONTRADO"),"",_xlfn.XLOOKUP($D373,Productos!$E:$E,Productos!$I:$I,""))</f>
        <v/>
      </c>
      <c r="G373" s="74">
        <f t="array" ref="G373">IF(OR($D373="",$D373="NO ENCONTRADO"),"",_xlfn.XLOOKUP($D373,Productos!$E:$E,Productos!$J:$J,""))</f>
        <v/>
      </c>
      <c r="H373" s="74">
        <f t="array" ref="H373">IF(OR($D373="",$D373="NO ENCONTRADO"),"",_xlfn.XLOOKUP($D373,Productos!$E:$E,Productos!$K:$K,""))</f>
        <v/>
      </c>
      <c r="I373" s="74">
        <f t="array" ref="I373">IF(OR($D373="",$D373="NO ENCONTRADO"),"",_xlfn.XLOOKUP($D373,Productos!$E:$E,Productos!$F:$F,""))</f>
        <v/>
      </c>
      <c r="J373" s="74">
        <f>IF($C373="","",IF($D373="NO ENCONTRADO",IF(COUNTIF($C$7:$C$1000,$C373)&gt;1,"⚠️ No encontrado | Duplicado","⚠️ No encontrado"),IF(COUNTIF($C$7:$C$1000,$C373)&gt;1,"⚠️ Duplicado","Verificado")))</f>
        <v/>
      </c>
    </row>
    <row r="374" ht="15.75" customHeight="1" s="176">
      <c r="B374" s="80" t="n"/>
      <c r="C374" s="74" t="n"/>
      <c r="D374" s="74">
        <f t="array" ref="D374">IF($C374="","",IFNA(_xlfn.XLOOKUP($C374,Productos!$A:$A,Productos!$E:$E,IFNA(_xlfn.XLOOKUP(TEXT($C374,"0"),Productos!$A:$A,Productos!$E:$E,IFNA(_xlfn.XLOOKUP(IFERROR(VALUE($C374),""),Productos!$A:$A,Productos!$E:$E,_xlfn.XLOOKUP($C374,Productos!$E:$E,Productos!$E:$E,"NO ENCONTRADO")),"NO ENCONTRADO")),"NO ENCONTRADO")),"NO ENCONTRADO"))</f>
        <v/>
      </c>
      <c r="E374" s="74">
        <f t="array" ref="E374">IF(OR($D374="",$D374="NO ENCONTRADO"),"",_xlfn.XLOOKUP($D374,Productos!$E:$E,Productos!$H:$H,""))</f>
        <v/>
      </c>
      <c r="F374" s="74">
        <f t="array" ref="F374">IF(OR($D374="",$D374="NO ENCONTRADO"),"",_xlfn.XLOOKUP($D374,Productos!$E:$E,Productos!$I:$I,""))</f>
        <v/>
      </c>
      <c r="G374" s="74">
        <f t="array" ref="G374">IF(OR($D374="",$D374="NO ENCONTRADO"),"",_xlfn.XLOOKUP($D374,Productos!$E:$E,Productos!$J:$J,""))</f>
        <v/>
      </c>
      <c r="H374" s="74">
        <f t="array" ref="H374">IF(OR($D374="",$D374="NO ENCONTRADO"),"",_xlfn.XLOOKUP($D374,Productos!$E:$E,Productos!$K:$K,""))</f>
        <v/>
      </c>
      <c r="I374" s="74">
        <f t="array" ref="I374">IF(OR($D374="",$D374="NO ENCONTRADO"),"",_xlfn.XLOOKUP($D374,Productos!$E:$E,Productos!$F:$F,""))</f>
        <v/>
      </c>
      <c r="J374" s="74">
        <f>IF($C374="","",IF($D374="NO ENCONTRADO",IF(COUNTIF($C$7:$C$1000,$C374)&gt;1,"⚠️ No encontrado | Duplicado","⚠️ No encontrado"),IF(COUNTIF($C$7:$C$1000,$C374)&gt;1,"⚠️ Duplicado","Verificado")))</f>
        <v/>
      </c>
    </row>
    <row r="375" ht="15.75" customHeight="1" s="176">
      <c r="B375" s="80" t="n"/>
      <c r="C375" s="74" t="n"/>
      <c r="D375" s="74">
        <f t="array" ref="D375">IF($C375="","",IFNA(_xlfn.XLOOKUP($C375,Productos!$A:$A,Productos!$E:$E,IFNA(_xlfn.XLOOKUP(TEXT($C375,"0"),Productos!$A:$A,Productos!$E:$E,IFNA(_xlfn.XLOOKUP(IFERROR(VALUE($C375),""),Productos!$A:$A,Productos!$E:$E,_xlfn.XLOOKUP($C375,Productos!$E:$E,Productos!$E:$E,"NO ENCONTRADO")),"NO ENCONTRADO")),"NO ENCONTRADO")),"NO ENCONTRADO"))</f>
        <v/>
      </c>
      <c r="E375" s="74">
        <f t="array" ref="E375">IF(OR($D375="",$D375="NO ENCONTRADO"),"",_xlfn.XLOOKUP($D375,Productos!$E:$E,Productos!$H:$H,""))</f>
        <v/>
      </c>
      <c r="F375" s="74">
        <f t="array" ref="F375">IF(OR($D375="",$D375="NO ENCONTRADO"),"",_xlfn.XLOOKUP($D375,Productos!$E:$E,Productos!$I:$I,""))</f>
        <v/>
      </c>
      <c r="G375" s="74">
        <f t="array" ref="G375">IF(OR($D375="",$D375="NO ENCONTRADO"),"",_xlfn.XLOOKUP($D375,Productos!$E:$E,Productos!$J:$J,""))</f>
        <v/>
      </c>
      <c r="H375" s="74">
        <f t="array" ref="H375">IF(OR($D375="",$D375="NO ENCONTRADO"),"",_xlfn.XLOOKUP($D375,Productos!$E:$E,Productos!$K:$K,""))</f>
        <v/>
      </c>
      <c r="I375" s="74">
        <f t="array" ref="I375">IF(OR($D375="",$D375="NO ENCONTRADO"),"",_xlfn.XLOOKUP($D375,Productos!$E:$E,Productos!$F:$F,""))</f>
        <v/>
      </c>
      <c r="J375" s="74">
        <f>IF($C375="","",IF($D375="NO ENCONTRADO",IF(COUNTIF($C$7:$C$1000,$C375)&gt;1,"⚠️ No encontrado | Duplicado","⚠️ No encontrado"),IF(COUNTIF($C$7:$C$1000,$C375)&gt;1,"⚠️ Duplicado","Verificado")))</f>
        <v/>
      </c>
    </row>
    <row r="376" ht="15.75" customHeight="1" s="176">
      <c r="B376" s="80" t="n"/>
      <c r="C376" s="74" t="n"/>
      <c r="D376" s="74">
        <f t="array" ref="D376">IF($C376="","",IFNA(_xlfn.XLOOKUP($C376,Productos!$A:$A,Productos!$E:$E,IFNA(_xlfn.XLOOKUP(TEXT($C376,"0"),Productos!$A:$A,Productos!$E:$E,IFNA(_xlfn.XLOOKUP(IFERROR(VALUE($C376),""),Productos!$A:$A,Productos!$E:$E,_xlfn.XLOOKUP($C376,Productos!$E:$E,Productos!$E:$E,"NO ENCONTRADO")),"NO ENCONTRADO")),"NO ENCONTRADO")),"NO ENCONTRADO"))</f>
        <v/>
      </c>
      <c r="E376" s="74">
        <f t="array" ref="E376">IF(OR($D376="",$D376="NO ENCONTRADO"),"",_xlfn.XLOOKUP($D376,Productos!$E:$E,Productos!$H:$H,""))</f>
        <v/>
      </c>
      <c r="F376" s="74">
        <f t="array" ref="F376">IF(OR($D376="",$D376="NO ENCONTRADO"),"",_xlfn.XLOOKUP($D376,Productos!$E:$E,Productos!$I:$I,""))</f>
        <v/>
      </c>
      <c r="G376" s="74">
        <f t="array" ref="G376">IF(OR($D376="",$D376="NO ENCONTRADO"),"",_xlfn.XLOOKUP($D376,Productos!$E:$E,Productos!$J:$J,""))</f>
        <v/>
      </c>
      <c r="H376" s="74">
        <f t="array" ref="H376">IF(OR($D376="",$D376="NO ENCONTRADO"),"",_xlfn.XLOOKUP($D376,Productos!$E:$E,Productos!$K:$K,""))</f>
        <v/>
      </c>
      <c r="I376" s="74">
        <f t="array" ref="I376">IF(OR($D376="",$D376="NO ENCONTRADO"),"",_xlfn.XLOOKUP($D376,Productos!$E:$E,Productos!$F:$F,""))</f>
        <v/>
      </c>
      <c r="J376" s="74">
        <f>IF($C376="","",IF($D376="NO ENCONTRADO",IF(COUNTIF($C$7:$C$1000,$C376)&gt;1,"⚠️ No encontrado | Duplicado","⚠️ No encontrado"),IF(COUNTIF($C$7:$C$1000,$C376)&gt;1,"⚠️ Duplicado","Verificado")))</f>
        <v/>
      </c>
    </row>
    <row r="377" ht="15.75" customHeight="1" s="176">
      <c r="B377" s="80" t="n"/>
      <c r="C377" s="74" t="n"/>
      <c r="D377" s="74">
        <f t="array" ref="D377">IF($C377="","",IFNA(_xlfn.XLOOKUP($C377,Productos!$A:$A,Productos!$E:$E,IFNA(_xlfn.XLOOKUP(TEXT($C377,"0"),Productos!$A:$A,Productos!$E:$E,IFNA(_xlfn.XLOOKUP(IFERROR(VALUE($C377),""),Productos!$A:$A,Productos!$E:$E,_xlfn.XLOOKUP($C377,Productos!$E:$E,Productos!$E:$E,"NO ENCONTRADO")),"NO ENCONTRADO")),"NO ENCONTRADO")),"NO ENCONTRADO"))</f>
        <v/>
      </c>
      <c r="E377" s="74">
        <f t="array" ref="E377">IF(OR($D377="",$D377="NO ENCONTRADO"),"",_xlfn.XLOOKUP($D377,Productos!$E:$E,Productos!$H:$H,""))</f>
        <v/>
      </c>
      <c r="F377" s="74">
        <f t="array" ref="F377">IF(OR($D377="",$D377="NO ENCONTRADO"),"",_xlfn.XLOOKUP($D377,Productos!$E:$E,Productos!$I:$I,""))</f>
        <v/>
      </c>
      <c r="G377" s="74">
        <f t="array" ref="G377">IF(OR($D377="",$D377="NO ENCONTRADO"),"",_xlfn.XLOOKUP($D377,Productos!$E:$E,Productos!$J:$J,""))</f>
        <v/>
      </c>
      <c r="H377" s="74">
        <f t="array" ref="H377">IF(OR($D377="",$D377="NO ENCONTRADO"),"",_xlfn.XLOOKUP($D377,Productos!$E:$E,Productos!$K:$K,""))</f>
        <v/>
      </c>
      <c r="I377" s="74">
        <f t="array" ref="I377">IF(OR($D377="",$D377="NO ENCONTRADO"),"",_xlfn.XLOOKUP($D377,Productos!$E:$E,Productos!$F:$F,""))</f>
        <v/>
      </c>
      <c r="J377" s="74">
        <f>IF($C377="","",IF($D377="NO ENCONTRADO",IF(COUNTIF($C$7:$C$1000,$C377)&gt;1,"⚠️ No encontrado | Duplicado","⚠️ No encontrado"),IF(COUNTIF($C$7:$C$1000,$C377)&gt;1,"⚠️ Duplicado","Verificado")))</f>
        <v/>
      </c>
    </row>
    <row r="378" ht="15.75" customHeight="1" s="176">
      <c r="B378" s="80" t="n"/>
      <c r="C378" s="74" t="n"/>
      <c r="D378" s="74">
        <f t="array" ref="D378">IF($C378="","",IFNA(_xlfn.XLOOKUP($C378,Productos!$A:$A,Productos!$E:$E,IFNA(_xlfn.XLOOKUP(TEXT($C378,"0"),Productos!$A:$A,Productos!$E:$E,IFNA(_xlfn.XLOOKUP(IFERROR(VALUE($C378),""),Productos!$A:$A,Productos!$E:$E,_xlfn.XLOOKUP($C378,Productos!$E:$E,Productos!$E:$E,"NO ENCONTRADO")),"NO ENCONTRADO")),"NO ENCONTRADO")),"NO ENCONTRADO"))</f>
        <v/>
      </c>
      <c r="E378" s="74">
        <f t="array" ref="E378">IF(OR($D378="",$D378="NO ENCONTRADO"),"",_xlfn.XLOOKUP($D378,Productos!$E:$E,Productos!$H:$H,""))</f>
        <v/>
      </c>
      <c r="F378" s="74">
        <f t="array" ref="F378">IF(OR($D378="",$D378="NO ENCONTRADO"),"",_xlfn.XLOOKUP($D378,Productos!$E:$E,Productos!$I:$I,""))</f>
        <v/>
      </c>
      <c r="G378" s="74">
        <f t="array" ref="G378">IF(OR($D378="",$D378="NO ENCONTRADO"),"",_xlfn.XLOOKUP($D378,Productos!$E:$E,Productos!$J:$J,""))</f>
        <v/>
      </c>
      <c r="H378" s="74">
        <f t="array" ref="H378">IF(OR($D378="",$D378="NO ENCONTRADO"),"",_xlfn.XLOOKUP($D378,Productos!$E:$E,Productos!$K:$K,""))</f>
        <v/>
      </c>
      <c r="I378" s="74">
        <f t="array" ref="I378">IF(OR($D378="",$D378="NO ENCONTRADO"),"",_xlfn.XLOOKUP($D378,Productos!$E:$E,Productos!$F:$F,""))</f>
        <v/>
      </c>
      <c r="J378" s="74">
        <f>IF($C378="","",IF($D378="NO ENCONTRADO",IF(COUNTIF($C$7:$C$1000,$C378)&gt;1,"⚠️ No encontrado | Duplicado","⚠️ No encontrado"),IF(COUNTIF($C$7:$C$1000,$C378)&gt;1,"⚠️ Duplicado","Verificado")))</f>
        <v/>
      </c>
    </row>
    <row r="379" ht="15.75" customHeight="1" s="176">
      <c r="B379" s="80" t="n"/>
      <c r="C379" s="74" t="n"/>
      <c r="D379" s="74">
        <f t="array" ref="D379">IF($C379="","",IFNA(_xlfn.XLOOKUP($C379,Productos!$A:$A,Productos!$E:$E,IFNA(_xlfn.XLOOKUP(TEXT($C379,"0"),Productos!$A:$A,Productos!$E:$E,IFNA(_xlfn.XLOOKUP(IFERROR(VALUE($C379),""),Productos!$A:$A,Productos!$E:$E,_xlfn.XLOOKUP($C379,Productos!$E:$E,Productos!$E:$E,"NO ENCONTRADO")),"NO ENCONTRADO")),"NO ENCONTRADO")),"NO ENCONTRADO"))</f>
        <v/>
      </c>
      <c r="E379" s="74">
        <f t="array" ref="E379">IF(OR($D379="",$D379="NO ENCONTRADO"),"",_xlfn.XLOOKUP($D379,Productos!$E:$E,Productos!$H:$H,""))</f>
        <v/>
      </c>
      <c r="F379" s="74">
        <f t="array" ref="F379">IF(OR($D379="",$D379="NO ENCONTRADO"),"",_xlfn.XLOOKUP($D379,Productos!$E:$E,Productos!$I:$I,""))</f>
        <v/>
      </c>
      <c r="G379" s="74">
        <f t="array" ref="G379">IF(OR($D379="",$D379="NO ENCONTRADO"),"",_xlfn.XLOOKUP($D379,Productos!$E:$E,Productos!$J:$J,""))</f>
        <v/>
      </c>
      <c r="H379" s="74">
        <f t="array" ref="H379">IF(OR($D379="",$D379="NO ENCONTRADO"),"",_xlfn.XLOOKUP($D379,Productos!$E:$E,Productos!$K:$K,""))</f>
        <v/>
      </c>
      <c r="I379" s="74">
        <f t="array" ref="I379">IF(OR($D379="",$D379="NO ENCONTRADO"),"",_xlfn.XLOOKUP($D379,Productos!$E:$E,Productos!$F:$F,""))</f>
        <v/>
      </c>
      <c r="J379" s="74">
        <f>IF($C379="","",IF($D379="NO ENCONTRADO",IF(COUNTIF($C$7:$C$1000,$C379)&gt;1,"⚠️ No encontrado | Duplicado","⚠️ No encontrado"),IF(COUNTIF($C$7:$C$1000,$C379)&gt;1,"⚠️ Duplicado","Verificado")))</f>
        <v/>
      </c>
    </row>
    <row r="380" ht="15.75" customHeight="1" s="176">
      <c r="B380" s="80" t="n"/>
      <c r="C380" s="74" t="n"/>
      <c r="D380" s="74">
        <f t="array" ref="D380">IF($C380="","",IFNA(_xlfn.XLOOKUP($C380,Productos!$A:$A,Productos!$E:$E,IFNA(_xlfn.XLOOKUP(TEXT($C380,"0"),Productos!$A:$A,Productos!$E:$E,IFNA(_xlfn.XLOOKUP(IFERROR(VALUE($C380),""),Productos!$A:$A,Productos!$E:$E,_xlfn.XLOOKUP($C380,Productos!$E:$E,Productos!$E:$E,"NO ENCONTRADO")),"NO ENCONTRADO")),"NO ENCONTRADO")),"NO ENCONTRADO"))</f>
        <v/>
      </c>
      <c r="E380" s="74">
        <f t="array" ref="E380">IF(OR($D380="",$D380="NO ENCONTRADO"),"",_xlfn.XLOOKUP($D380,Productos!$E:$E,Productos!$H:$H,""))</f>
        <v/>
      </c>
      <c r="F380" s="74">
        <f t="array" ref="F380">IF(OR($D380="",$D380="NO ENCONTRADO"),"",_xlfn.XLOOKUP($D380,Productos!$E:$E,Productos!$I:$I,""))</f>
        <v/>
      </c>
      <c r="G380" s="74">
        <f t="array" ref="G380">IF(OR($D380="",$D380="NO ENCONTRADO"),"",_xlfn.XLOOKUP($D380,Productos!$E:$E,Productos!$J:$J,""))</f>
        <v/>
      </c>
      <c r="H380" s="74">
        <f t="array" ref="H380">IF(OR($D380="",$D380="NO ENCONTRADO"),"",_xlfn.XLOOKUP($D380,Productos!$E:$E,Productos!$K:$K,""))</f>
        <v/>
      </c>
      <c r="I380" s="74">
        <f t="array" ref="I380">IF(OR($D380="",$D380="NO ENCONTRADO"),"",_xlfn.XLOOKUP($D380,Productos!$E:$E,Productos!$F:$F,""))</f>
        <v/>
      </c>
      <c r="J380" s="74">
        <f>IF($C380="","",IF($D380="NO ENCONTRADO",IF(COUNTIF($C$7:$C$1000,$C380)&gt;1,"⚠️ No encontrado | Duplicado","⚠️ No encontrado"),IF(COUNTIF($C$7:$C$1000,$C380)&gt;1,"⚠️ Duplicado","Verificado")))</f>
        <v/>
      </c>
    </row>
    <row r="381" ht="15.75" customHeight="1" s="176">
      <c r="B381" s="80" t="n"/>
      <c r="C381" s="74" t="n"/>
      <c r="D381" s="74">
        <f t="array" ref="D381">IF($C381="","",IFNA(_xlfn.XLOOKUP($C381,Productos!$A:$A,Productos!$E:$E,IFNA(_xlfn.XLOOKUP(TEXT($C381,"0"),Productos!$A:$A,Productos!$E:$E,IFNA(_xlfn.XLOOKUP(IFERROR(VALUE($C381),""),Productos!$A:$A,Productos!$E:$E,_xlfn.XLOOKUP($C381,Productos!$E:$E,Productos!$E:$E,"NO ENCONTRADO")),"NO ENCONTRADO")),"NO ENCONTRADO")),"NO ENCONTRADO"))</f>
        <v/>
      </c>
      <c r="E381" s="74">
        <f t="array" ref="E381">IF(OR($D381="",$D381="NO ENCONTRADO"),"",_xlfn.XLOOKUP($D381,Productos!$E:$E,Productos!$H:$H,""))</f>
        <v/>
      </c>
      <c r="F381" s="74">
        <f t="array" ref="F381">IF(OR($D381="",$D381="NO ENCONTRADO"),"",_xlfn.XLOOKUP($D381,Productos!$E:$E,Productos!$I:$I,""))</f>
        <v/>
      </c>
      <c r="G381" s="74">
        <f t="array" ref="G381">IF(OR($D381="",$D381="NO ENCONTRADO"),"",_xlfn.XLOOKUP($D381,Productos!$E:$E,Productos!$J:$J,""))</f>
        <v/>
      </c>
      <c r="H381" s="74">
        <f t="array" ref="H381">IF(OR($D381="",$D381="NO ENCONTRADO"),"",_xlfn.XLOOKUP($D381,Productos!$E:$E,Productos!$K:$K,""))</f>
        <v/>
      </c>
      <c r="I381" s="74">
        <f t="array" ref="I381">IF(OR($D381="",$D381="NO ENCONTRADO"),"",_xlfn.XLOOKUP($D381,Productos!$E:$E,Productos!$F:$F,""))</f>
        <v/>
      </c>
      <c r="J381" s="74">
        <f>IF($C381="","",IF($D381="NO ENCONTRADO",IF(COUNTIF($C$7:$C$1000,$C381)&gt;1,"⚠️ No encontrado | Duplicado","⚠️ No encontrado"),IF(COUNTIF($C$7:$C$1000,$C381)&gt;1,"⚠️ Duplicado","Verificado")))</f>
        <v/>
      </c>
    </row>
    <row r="382" ht="15.75" customHeight="1" s="176">
      <c r="B382" s="80" t="n"/>
      <c r="C382" s="74" t="n"/>
      <c r="D382" s="74">
        <f t="array" ref="D382">IF($C382="","",IFNA(_xlfn.XLOOKUP($C382,Productos!$A:$A,Productos!$E:$E,IFNA(_xlfn.XLOOKUP(TEXT($C382,"0"),Productos!$A:$A,Productos!$E:$E,IFNA(_xlfn.XLOOKUP(IFERROR(VALUE($C382),""),Productos!$A:$A,Productos!$E:$E,_xlfn.XLOOKUP($C382,Productos!$E:$E,Productos!$E:$E,"NO ENCONTRADO")),"NO ENCONTRADO")),"NO ENCONTRADO")),"NO ENCONTRADO"))</f>
        <v/>
      </c>
      <c r="E382" s="74">
        <f t="array" ref="E382">IF(OR($D382="",$D382="NO ENCONTRADO"),"",_xlfn.XLOOKUP($D382,Productos!$E:$E,Productos!$H:$H,""))</f>
        <v/>
      </c>
      <c r="F382" s="74">
        <f t="array" ref="F382">IF(OR($D382="",$D382="NO ENCONTRADO"),"",_xlfn.XLOOKUP($D382,Productos!$E:$E,Productos!$I:$I,""))</f>
        <v/>
      </c>
      <c r="G382" s="74">
        <f t="array" ref="G382">IF(OR($D382="",$D382="NO ENCONTRADO"),"",_xlfn.XLOOKUP($D382,Productos!$E:$E,Productos!$J:$J,""))</f>
        <v/>
      </c>
      <c r="H382" s="74">
        <f t="array" ref="H382">IF(OR($D382="",$D382="NO ENCONTRADO"),"",_xlfn.XLOOKUP($D382,Productos!$E:$E,Productos!$K:$K,""))</f>
        <v/>
      </c>
      <c r="I382" s="74">
        <f t="array" ref="I382">IF(OR($D382="",$D382="NO ENCONTRADO"),"",_xlfn.XLOOKUP($D382,Productos!$E:$E,Productos!$F:$F,""))</f>
        <v/>
      </c>
      <c r="J382" s="74">
        <f>IF($C382="","",IF($D382="NO ENCONTRADO",IF(COUNTIF($C$7:$C$1000,$C382)&gt;1,"⚠️ No encontrado | Duplicado","⚠️ No encontrado"),IF(COUNTIF($C$7:$C$1000,$C382)&gt;1,"⚠️ Duplicado","Verificado")))</f>
        <v/>
      </c>
    </row>
    <row r="383" ht="15.75" customHeight="1" s="176">
      <c r="B383" s="80" t="n"/>
      <c r="C383" s="74" t="n"/>
      <c r="D383" s="74">
        <f t="array" ref="D383">IF($C383="","",IFNA(_xlfn.XLOOKUP($C383,Productos!$A:$A,Productos!$E:$E,IFNA(_xlfn.XLOOKUP(TEXT($C383,"0"),Productos!$A:$A,Productos!$E:$E,IFNA(_xlfn.XLOOKUP(IFERROR(VALUE($C383),""),Productos!$A:$A,Productos!$E:$E,_xlfn.XLOOKUP($C383,Productos!$E:$E,Productos!$E:$E,"NO ENCONTRADO")),"NO ENCONTRADO")),"NO ENCONTRADO")),"NO ENCONTRADO"))</f>
        <v/>
      </c>
      <c r="E383" s="74">
        <f t="array" ref="E383">IF(OR($D383="",$D383="NO ENCONTRADO"),"",_xlfn.XLOOKUP($D383,Productos!$E:$E,Productos!$H:$H,""))</f>
        <v/>
      </c>
      <c r="F383" s="74">
        <f t="array" ref="F383">IF(OR($D383="",$D383="NO ENCONTRADO"),"",_xlfn.XLOOKUP($D383,Productos!$E:$E,Productos!$I:$I,""))</f>
        <v/>
      </c>
      <c r="G383" s="74">
        <f t="array" ref="G383">IF(OR($D383="",$D383="NO ENCONTRADO"),"",_xlfn.XLOOKUP($D383,Productos!$E:$E,Productos!$J:$J,""))</f>
        <v/>
      </c>
      <c r="H383" s="74">
        <f t="array" ref="H383">IF(OR($D383="",$D383="NO ENCONTRADO"),"",_xlfn.XLOOKUP($D383,Productos!$E:$E,Productos!$K:$K,""))</f>
        <v/>
      </c>
      <c r="I383" s="74">
        <f t="array" ref="I383">IF(OR($D383="",$D383="NO ENCONTRADO"),"",_xlfn.XLOOKUP($D383,Productos!$E:$E,Productos!$F:$F,""))</f>
        <v/>
      </c>
      <c r="J383" s="74">
        <f>IF($C383="","",IF($D383="NO ENCONTRADO",IF(COUNTIF($C$7:$C$1000,$C383)&gt;1,"⚠️ No encontrado | Duplicado","⚠️ No encontrado"),IF(COUNTIF($C$7:$C$1000,$C383)&gt;1,"⚠️ Duplicado","Verificado")))</f>
        <v/>
      </c>
    </row>
    <row r="384" ht="15.75" customHeight="1" s="176">
      <c r="B384" s="80" t="n"/>
      <c r="C384" s="74" t="n"/>
      <c r="D384" s="74">
        <f t="array" ref="D384">IF($C384="","",IFNA(_xlfn.XLOOKUP($C384,Productos!$A:$A,Productos!$E:$E,IFNA(_xlfn.XLOOKUP(TEXT($C384,"0"),Productos!$A:$A,Productos!$E:$E,IFNA(_xlfn.XLOOKUP(IFERROR(VALUE($C384),""),Productos!$A:$A,Productos!$E:$E,_xlfn.XLOOKUP($C384,Productos!$E:$E,Productos!$E:$E,"NO ENCONTRADO")),"NO ENCONTRADO")),"NO ENCONTRADO")),"NO ENCONTRADO"))</f>
        <v/>
      </c>
      <c r="E384" s="74">
        <f t="array" ref="E384">IF(OR($D384="",$D384="NO ENCONTRADO"),"",_xlfn.XLOOKUP($D384,Productos!$E:$E,Productos!$H:$H,""))</f>
        <v/>
      </c>
      <c r="F384" s="74">
        <f t="array" ref="F384">IF(OR($D384="",$D384="NO ENCONTRADO"),"",_xlfn.XLOOKUP($D384,Productos!$E:$E,Productos!$I:$I,""))</f>
        <v/>
      </c>
      <c r="G384" s="74">
        <f t="array" ref="G384">IF(OR($D384="",$D384="NO ENCONTRADO"),"",_xlfn.XLOOKUP($D384,Productos!$E:$E,Productos!$J:$J,""))</f>
        <v/>
      </c>
      <c r="H384" s="74">
        <f t="array" ref="H384">IF(OR($D384="",$D384="NO ENCONTRADO"),"",_xlfn.XLOOKUP($D384,Productos!$E:$E,Productos!$K:$K,""))</f>
        <v/>
      </c>
      <c r="I384" s="74">
        <f t="array" ref="I384">IF(OR($D384="",$D384="NO ENCONTRADO"),"",_xlfn.XLOOKUP($D384,Productos!$E:$E,Productos!$F:$F,""))</f>
        <v/>
      </c>
      <c r="J384" s="74">
        <f>IF($C384="","",IF($D384="NO ENCONTRADO",IF(COUNTIF($C$7:$C$1000,$C384)&gt;1,"⚠️ No encontrado | Duplicado","⚠️ No encontrado"),IF(COUNTIF($C$7:$C$1000,$C384)&gt;1,"⚠️ Duplicado","Verificado")))</f>
        <v/>
      </c>
    </row>
    <row r="385" ht="15.75" customHeight="1" s="176">
      <c r="B385" s="80" t="n"/>
      <c r="C385" s="74" t="n"/>
      <c r="D385" s="74">
        <f t="array" ref="D385">IF($C385="","",IFNA(_xlfn.XLOOKUP($C385,Productos!$A:$A,Productos!$E:$E,IFNA(_xlfn.XLOOKUP(TEXT($C385,"0"),Productos!$A:$A,Productos!$E:$E,IFNA(_xlfn.XLOOKUP(IFERROR(VALUE($C385),""),Productos!$A:$A,Productos!$E:$E,_xlfn.XLOOKUP($C385,Productos!$E:$E,Productos!$E:$E,"NO ENCONTRADO")),"NO ENCONTRADO")),"NO ENCONTRADO")),"NO ENCONTRADO"))</f>
        <v/>
      </c>
      <c r="E385" s="74">
        <f t="array" ref="E385">IF(OR($D385="",$D385="NO ENCONTRADO"),"",_xlfn.XLOOKUP($D385,Productos!$E:$E,Productos!$H:$H,""))</f>
        <v/>
      </c>
      <c r="F385" s="74">
        <f t="array" ref="F385">IF(OR($D385="",$D385="NO ENCONTRADO"),"",_xlfn.XLOOKUP($D385,Productos!$E:$E,Productos!$I:$I,""))</f>
        <v/>
      </c>
      <c r="G385" s="74">
        <f t="array" ref="G385">IF(OR($D385="",$D385="NO ENCONTRADO"),"",_xlfn.XLOOKUP($D385,Productos!$E:$E,Productos!$J:$J,""))</f>
        <v/>
      </c>
      <c r="H385" s="74">
        <f t="array" ref="H385">IF(OR($D385="",$D385="NO ENCONTRADO"),"",_xlfn.XLOOKUP($D385,Productos!$E:$E,Productos!$K:$K,""))</f>
        <v/>
      </c>
      <c r="I385" s="74">
        <f t="array" ref="I385">IF(OR($D385="",$D385="NO ENCONTRADO"),"",_xlfn.XLOOKUP($D385,Productos!$E:$E,Productos!$F:$F,""))</f>
        <v/>
      </c>
      <c r="J385" s="74">
        <f>IF($C385="","",IF($D385="NO ENCONTRADO",IF(COUNTIF($C$7:$C$1000,$C385)&gt;1,"⚠️ No encontrado | Duplicado","⚠️ No encontrado"),IF(COUNTIF($C$7:$C$1000,$C385)&gt;1,"⚠️ Duplicado","Verificado")))</f>
        <v/>
      </c>
    </row>
    <row r="386" ht="15.75" customHeight="1" s="176">
      <c r="B386" s="80" t="n"/>
      <c r="C386" s="74" t="n"/>
      <c r="D386" s="74">
        <f t="array" ref="D386">IF($C386="","",IFNA(_xlfn.XLOOKUP($C386,Productos!$A:$A,Productos!$E:$E,IFNA(_xlfn.XLOOKUP(TEXT($C386,"0"),Productos!$A:$A,Productos!$E:$E,IFNA(_xlfn.XLOOKUP(IFERROR(VALUE($C386),""),Productos!$A:$A,Productos!$E:$E,_xlfn.XLOOKUP($C386,Productos!$E:$E,Productos!$E:$E,"NO ENCONTRADO")),"NO ENCONTRADO")),"NO ENCONTRADO")),"NO ENCONTRADO"))</f>
        <v/>
      </c>
      <c r="E386" s="74">
        <f t="array" ref="E386">IF(OR($D386="",$D386="NO ENCONTRADO"),"",_xlfn.XLOOKUP($D386,Productos!$E:$E,Productos!$H:$H,""))</f>
        <v/>
      </c>
      <c r="F386" s="74">
        <f t="array" ref="F386">IF(OR($D386="",$D386="NO ENCONTRADO"),"",_xlfn.XLOOKUP($D386,Productos!$E:$E,Productos!$I:$I,""))</f>
        <v/>
      </c>
      <c r="G386" s="74">
        <f t="array" ref="G386">IF(OR($D386="",$D386="NO ENCONTRADO"),"",_xlfn.XLOOKUP($D386,Productos!$E:$E,Productos!$J:$J,""))</f>
        <v/>
      </c>
      <c r="H386" s="74">
        <f t="array" ref="H386">IF(OR($D386="",$D386="NO ENCONTRADO"),"",_xlfn.XLOOKUP($D386,Productos!$E:$E,Productos!$K:$K,""))</f>
        <v/>
      </c>
      <c r="I386" s="74">
        <f t="array" ref="I386">IF(OR($D386="",$D386="NO ENCONTRADO"),"",_xlfn.XLOOKUP($D386,Productos!$E:$E,Productos!$F:$F,""))</f>
        <v/>
      </c>
      <c r="J386" s="74">
        <f>IF($C386="","",IF($D386="NO ENCONTRADO",IF(COUNTIF($C$7:$C$1000,$C386)&gt;1,"⚠️ No encontrado | Duplicado","⚠️ No encontrado"),IF(COUNTIF($C$7:$C$1000,$C386)&gt;1,"⚠️ Duplicado","Verificado")))</f>
        <v/>
      </c>
    </row>
    <row r="387" ht="15.75" customHeight="1" s="176">
      <c r="B387" s="80" t="n"/>
      <c r="C387" s="74" t="n"/>
      <c r="D387" s="74">
        <f t="array" ref="D387">IF($C387="","",IFNA(_xlfn.XLOOKUP($C387,Productos!$A:$A,Productos!$E:$E,IFNA(_xlfn.XLOOKUP(TEXT($C387,"0"),Productos!$A:$A,Productos!$E:$E,IFNA(_xlfn.XLOOKUP(IFERROR(VALUE($C387),""),Productos!$A:$A,Productos!$E:$E,_xlfn.XLOOKUP($C387,Productos!$E:$E,Productos!$E:$E,"NO ENCONTRADO")),"NO ENCONTRADO")),"NO ENCONTRADO")),"NO ENCONTRADO"))</f>
        <v/>
      </c>
      <c r="E387" s="74">
        <f t="array" ref="E387">IF(OR($D387="",$D387="NO ENCONTRADO"),"",_xlfn.XLOOKUP($D387,Productos!$E:$E,Productos!$H:$H,""))</f>
        <v/>
      </c>
      <c r="F387" s="74">
        <f t="array" ref="F387">IF(OR($D387="",$D387="NO ENCONTRADO"),"",_xlfn.XLOOKUP($D387,Productos!$E:$E,Productos!$I:$I,""))</f>
        <v/>
      </c>
      <c r="G387" s="74">
        <f t="array" ref="G387">IF(OR($D387="",$D387="NO ENCONTRADO"),"",_xlfn.XLOOKUP($D387,Productos!$E:$E,Productos!$J:$J,""))</f>
        <v/>
      </c>
      <c r="H387" s="74">
        <f t="array" ref="H387">IF(OR($D387="",$D387="NO ENCONTRADO"),"",_xlfn.XLOOKUP($D387,Productos!$E:$E,Productos!$K:$K,""))</f>
        <v/>
      </c>
      <c r="I387" s="74">
        <f t="array" ref="I387">IF(OR($D387="",$D387="NO ENCONTRADO"),"",_xlfn.XLOOKUP($D387,Productos!$E:$E,Productos!$F:$F,""))</f>
        <v/>
      </c>
      <c r="J387" s="74">
        <f>IF($C387="","",IF($D387="NO ENCONTRADO",IF(COUNTIF($C$7:$C$1000,$C387)&gt;1,"⚠️ No encontrado | Duplicado","⚠️ No encontrado"),IF(COUNTIF($C$7:$C$1000,$C387)&gt;1,"⚠️ Duplicado","Verificado")))</f>
        <v/>
      </c>
    </row>
    <row r="388" ht="15.75" customHeight="1" s="176">
      <c r="B388" s="80" t="n"/>
      <c r="C388" s="74" t="n"/>
      <c r="D388" s="74">
        <f t="array" ref="D388">IF($C388="","",IFNA(_xlfn.XLOOKUP($C388,Productos!$A:$A,Productos!$E:$E,IFNA(_xlfn.XLOOKUP(TEXT($C388,"0"),Productos!$A:$A,Productos!$E:$E,IFNA(_xlfn.XLOOKUP(IFERROR(VALUE($C388),""),Productos!$A:$A,Productos!$E:$E,_xlfn.XLOOKUP($C388,Productos!$E:$E,Productos!$E:$E,"NO ENCONTRADO")),"NO ENCONTRADO")),"NO ENCONTRADO")),"NO ENCONTRADO"))</f>
        <v/>
      </c>
      <c r="E388" s="74">
        <f t="array" ref="E388">IF(OR($D388="",$D388="NO ENCONTRADO"),"",_xlfn.XLOOKUP($D388,Productos!$E:$E,Productos!$H:$H,""))</f>
        <v/>
      </c>
      <c r="F388" s="74">
        <f t="array" ref="F388">IF(OR($D388="",$D388="NO ENCONTRADO"),"",_xlfn.XLOOKUP($D388,Productos!$E:$E,Productos!$I:$I,""))</f>
        <v/>
      </c>
      <c r="G388" s="74">
        <f t="array" ref="G388">IF(OR($D388="",$D388="NO ENCONTRADO"),"",_xlfn.XLOOKUP($D388,Productos!$E:$E,Productos!$J:$J,""))</f>
        <v/>
      </c>
      <c r="H388" s="74">
        <f t="array" ref="H388">IF(OR($D388="",$D388="NO ENCONTRADO"),"",_xlfn.XLOOKUP($D388,Productos!$E:$E,Productos!$K:$K,""))</f>
        <v/>
      </c>
      <c r="I388" s="74">
        <f t="array" ref="I388">IF(OR($D388="",$D388="NO ENCONTRADO"),"",_xlfn.XLOOKUP($D388,Productos!$E:$E,Productos!$F:$F,""))</f>
        <v/>
      </c>
      <c r="J388" s="74">
        <f>IF($C388="","",IF($D388="NO ENCONTRADO",IF(COUNTIF($C$7:$C$1000,$C388)&gt;1,"⚠️ No encontrado | Duplicado","⚠️ No encontrado"),IF(COUNTIF($C$7:$C$1000,$C388)&gt;1,"⚠️ Duplicado","Verificado")))</f>
        <v/>
      </c>
    </row>
    <row r="389" ht="15.75" customHeight="1" s="176">
      <c r="B389" s="80" t="n"/>
      <c r="C389" s="74" t="n"/>
      <c r="D389" s="74">
        <f t="array" ref="D389">IF($C389="","",IFNA(_xlfn.XLOOKUP($C389,Productos!$A:$A,Productos!$E:$E,IFNA(_xlfn.XLOOKUP(TEXT($C389,"0"),Productos!$A:$A,Productos!$E:$E,IFNA(_xlfn.XLOOKUP(IFERROR(VALUE($C389),""),Productos!$A:$A,Productos!$E:$E,_xlfn.XLOOKUP($C389,Productos!$E:$E,Productos!$E:$E,"NO ENCONTRADO")),"NO ENCONTRADO")),"NO ENCONTRADO")),"NO ENCONTRADO"))</f>
        <v/>
      </c>
      <c r="E389" s="74">
        <f t="array" ref="E389">IF(OR($D389="",$D389="NO ENCONTRADO"),"",_xlfn.XLOOKUP($D389,Productos!$E:$E,Productos!$H:$H,""))</f>
        <v/>
      </c>
      <c r="F389" s="74">
        <f t="array" ref="F389">IF(OR($D389="",$D389="NO ENCONTRADO"),"",_xlfn.XLOOKUP($D389,Productos!$E:$E,Productos!$I:$I,""))</f>
        <v/>
      </c>
      <c r="G389" s="74">
        <f t="array" ref="G389">IF(OR($D389="",$D389="NO ENCONTRADO"),"",_xlfn.XLOOKUP($D389,Productos!$E:$E,Productos!$J:$J,""))</f>
        <v/>
      </c>
      <c r="H389" s="74">
        <f t="array" ref="H389">IF(OR($D389="",$D389="NO ENCONTRADO"),"",_xlfn.XLOOKUP($D389,Productos!$E:$E,Productos!$K:$K,""))</f>
        <v/>
      </c>
      <c r="I389" s="74">
        <f t="array" ref="I389">IF(OR($D389="",$D389="NO ENCONTRADO"),"",_xlfn.XLOOKUP($D389,Productos!$E:$E,Productos!$F:$F,""))</f>
        <v/>
      </c>
      <c r="J389" s="74">
        <f>IF($C389="","",IF($D389="NO ENCONTRADO",IF(COUNTIF($C$7:$C$1000,$C389)&gt;1,"⚠️ No encontrado | Duplicado","⚠️ No encontrado"),IF(COUNTIF($C$7:$C$1000,$C389)&gt;1,"⚠️ Duplicado","Verificado")))</f>
        <v/>
      </c>
    </row>
    <row r="390" ht="15.75" customHeight="1" s="176">
      <c r="B390" s="80" t="n"/>
      <c r="C390" s="74" t="n"/>
      <c r="D390" s="74">
        <f t="array" ref="D390">IF($C390="","",IFNA(_xlfn.XLOOKUP($C390,Productos!$A:$A,Productos!$E:$E,IFNA(_xlfn.XLOOKUP(TEXT($C390,"0"),Productos!$A:$A,Productos!$E:$E,IFNA(_xlfn.XLOOKUP(IFERROR(VALUE($C390),""),Productos!$A:$A,Productos!$E:$E,_xlfn.XLOOKUP($C390,Productos!$E:$E,Productos!$E:$E,"NO ENCONTRADO")),"NO ENCONTRADO")),"NO ENCONTRADO")),"NO ENCONTRADO"))</f>
        <v/>
      </c>
      <c r="E390" s="74">
        <f t="array" ref="E390">IF(OR($D390="",$D390="NO ENCONTRADO"),"",_xlfn.XLOOKUP($D390,Productos!$E:$E,Productos!$H:$H,""))</f>
        <v/>
      </c>
      <c r="F390" s="74">
        <f t="array" ref="F390">IF(OR($D390="",$D390="NO ENCONTRADO"),"",_xlfn.XLOOKUP($D390,Productos!$E:$E,Productos!$I:$I,""))</f>
        <v/>
      </c>
      <c r="G390" s="74">
        <f t="array" ref="G390">IF(OR($D390="",$D390="NO ENCONTRADO"),"",_xlfn.XLOOKUP($D390,Productos!$E:$E,Productos!$J:$J,""))</f>
        <v/>
      </c>
      <c r="H390" s="74">
        <f t="array" ref="H390">IF(OR($D390="",$D390="NO ENCONTRADO"),"",_xlfn.XLOOKUP($D390,Productos!$E:$E,Productos!$K:$K,""))</f>
        <v/>
      </c>
      <c r="I390" s="74">
        <f t="array" ref="I390">IF(OR($D390="",$D390="NO ENCONTRADO"),"",_xlfn.XLOOKUP($D390,Productos!$E:$E,Productos!$F:$F,""))</f>
        <v/>
      </c>
      <c r="J390" s="74">
        <f>IF($C390="","",IF($D390="NO ENCONTRADO",IF(COUNTIF($C$7:$C$1000,$C390)&gt;1,"⚠️ No encontrado | Duplicado","⚠️ No encontrado"),IF(COUNTIF($C$7:$C$1000,$C390)&gt;1,"⚠️ Duplicado","Verificado")))</f>
        <v/>
      </c>
    </row>
    <row r="391" ht="15.75" customHeight="1" s="176">
      <c r="B391" s="80" t="n"/>
      <c r="C391" s="74" t="n"/>
      <c r="D391" s="74">
        <f t="array" ref="D391">IF($C391="","",IFNA(_xlfn.XLOOKUP($C391,Productos!$A:$A,Productos!$E:$E,IFNA(_xlfn.XLOOKUP(TEXT($C391,"0"),Productos!$A:$A,Productos!$E:$E,IFNA(_xlfn.XLOOKUP(IFERROR(VALUE($C391),""),Productos!$A:$A,Productos!$E:$E,_xlfn.XLOOKUP($C391,Productos!$E:$E,Productos!$E:$E,"NO ENCONTRADO")),"NO ENCONTRADO")),"NO ENCONTRADO")),"NO ENCONTRADO"))</f>
        <v/>
      </c>
      <c r="E391" s="74">
        <f t="array" ref="E391">IF(OR($D391="",$D391="NO ENCONTRADO"),"",_xlfn.XLOOKUP($D391,Productos!$E:$E,Productos!$H:$H,""))</f>
        <v/>
      </c>
      <c r="F391" s="74">
        <f t="array" ref="F391">IF(OR($D391="",$D391="NO ENCONTRADO"),"",_xlfn.XLOOKUP($D391,Productos!$E:$E,Productos!$I:$I,""))</f>
        <v/>
      </c>
      <c r="G391" s="74">
        <f t="array" ref="G391">IF(OR($D391="",$D391="NO ENCONTRADO"),"",_xlfn.XLOOKUP($D391,Productos!$E:$E,Productos!$J:$J,""))</f>
        <v/>
      </c>
      <c r="H391" s="74">
        <f t="array" ref="H391">IF(OR($D391="",$D391="NO ENCONTRADO"),"",_xlfn.XLOOKUP($D391,Productos!$E:$E,Productos!$K:$K,""))</f>
        <v/>
      </c>
      <c r="I391" s="74">
        <f t="array" ref="I391">IF(OR($D391="",$D391="NO ENCONTRADO"),"",_xlfn.XLOOKUP($D391,Productos!$E:$E,Productos!$F:$F,""))</f>
        <v/>
      </c>
      <c r="J391" s="74">
        <f>IF($C391="","",IF($D391="NO ENCONTRADO",IF(COUNTIF($C$7:$C$1000,$C391)&gt;1,"⚠️ No encontrado | Duplicado","⚠️ No encontrado"),IF(COUNTIF($C$7:$C$1000,$C391)&gt;1,"⚠️ Duplicado","Verificado")))</f>
        <v/>
      </c>
    </row>
    <row r="392" ht="15.75" customHeight="1" s="176">
      <c r="B392" s="80" t="n"/>
      <c r="C392" s="74" t="n"/>
      <c r="D392" s="74">
        <f t="array" ref="D392">IF($C392="","",IFNA(_xlfn.XLOOKUP($C392,Productos!$A:$A,Productos!$E:$E,IFNA(_xlfn.XLOOKUP(TEXT($C392,"0"),Productos!$A:$A,Productos!$E:$E,IFNA(_xlfn.XLOOKUP(IFERROR(VALUE($C392),""),Productos!$A:$A,Productos!$E:$E,_xlfn.XLOOKUP($C392,Productos!$E:$E,Productos!$E:$E,"NO ENCONTRADO")),"NO ENCONTRADO")),"NO ENCONTRADO")),"NO ENCONTRADO"))</f>
        <v/>
      </c>
      <c r="E392" s="74">
        <f t="array" ref="E392">IF(OR($D392="",$D392="NO ENCONTRADO"),"",_xlfn.XLOOKUP($D392,Productos!$E:$E,Productos!$H:$H,""))</f>
        <v/>
      </c>
      <c r="F392" s="74">
        <f t="array" ref="F392">IF(OR($D392="",$D392="NO ENCONTRADO"),"",_xlfn.XLOOKUP($D392,Productos!$E:$E,Productos!$I:$I,""))</f>
        <v/>
      </c>
      <c r="G392" s="74">
        <f t="array" ref="G392">IF(OR($D392="",$D392="NO ENCONTRADO"),"",_xlfn.XLOOKUP($D392,Productos!$E:$E,Productos!$J:$J,""))</f>
        <v/>
      </c>
      <c r="H392" s="74">
        <f t="array" ref="H392">IF(OR($D392="",$D392="NO ENCONTRADO"),"",_xlfn.XLOOKUP($D392,Productos!$E:$E,Productos!$K:$K,""))</f>
        <v/>
      </c>
      <c r="I392" s="74">
        <f t="array" ref="I392">IF(OR($D392="",$D392="NO ENCONTRADO"),"",_xlfn.XLOOKUP($D392,Productos!$E:$E,Productos!$F:$F,""))</f>
        <v/>
      </c>
      <c r="J392" s="74">
        <f>IF($C392="","",IF($D392="NO ENCONTRADO",IF(COUNTIF($C$7:$C$1000,$C392)&gt;1,"⚠️ No encontrado | Duplicado","⚠️ No encontrado"),IF(COUNTIF($C$7:$C$1000,$C392)&gt;1,"⚠️ Duplicado","Verificado")))</f>
        <v/>
      </c>
    </row>
    <row r="393" ht="15.75" customHeight="1" s="176">
      <c r="B393" s="80" t="n"/>
      <c r="C393" s="74" t="n"/>
      <c r="D393" s="74">
        <f t="array" ref="D393">IF($C393="","",IFNA(_xlfn.XLOOKUP($C393,Productos!$A:$A,Productos!$E:$E,IFNA(_xlfn.XLOOKUP(TEXT($C393,"0"),Productos!$A:$A,Productos!$E:$E,IFNA(_xlfn.XLOOKUP(IFERROR(VALUE($C393),""),Productos!$A:$A,Productos!$E:$E,_xlfn.XLOOKUP($C393,Productos!$E:$E,Productos!$E:$E,"NO ENCONTRADO")),"NO ENCONTRADO")),"NO ENCONTRADO")),"NO ENCONTRADO"))</f>
        <v/>
      </c>
      <c r="E393" s="74">
        <f t="array" ref="E393">IF(OR($D393="",$D393="NO ENCONTRADO"),"",_xlfn.XLOOKUP($D393,Productos!$E:$E,Productos!$H:$H,""))</f>
        <v/>
      </c>
      <c r="F393" s="74">
        <f t="array" ref="F393">IF(OR($D393="",$D393="NO ENCONTRADO"),"",_xlfn.XLOOKUP($D393,Productos!$E:$E,Productos!$I:$I,""))</f>
        <v/>
      </c>
      <c r="G393" s="74">
        <f t="array" ref="G393">IF(OR($D393="",$D393="NO ENCONTRADO"),"",_xlfn.XLOOKUP($D393,Productos!$E:$E,Productos!$J:$J,""))</f>
        <v/>
      </c>
      <c r="H393" s="74">
        <f t="array" ref="H393">IF(OR($D393="",$D393="NO ENCONTRADO"),"",_xlfn.XLOOKUP($D393,Productos!$E:$E,Productos!$K:$K,""))</f>
        <v/>
      </c>
      <c r="I393" s="74">
        <f t="array" ref="I393">IF(OR($D393="",$D393="NO ENCONTRADO"),"",_xlfn.XLOOKUP($D393,Productos!$E:$E,Productos!$F:$F,""))</f>
        <v/>
      </c>
      <c r="J393" s="74">
        <f>IF($C393="","",IF($D393="NO ENCONTRADO",IF(COUNTIF($C$7:$C$1000,$C393)&gt;1,"⚠️ No encontrado | Duplicado","⚠️ No encontrado"),IF(COUNTIF($C$7:$C$1000,$C393)&gt;1,"⚠️ Duplicado","Verificado")))</f>
        <v/>
      </c>
    </row>
    <row r="394" ht="15.75" customHeight="1" s="176">
      <c r="B394" s="80" t="n"/>
      <c r="C394" s="74" t="n"/>
      <c r="D394" s="74">
        <f t="array" ref="D394">IF($C394="","",IFNA(_xlfn.XLOOKUP($C394,Productos!$A:$A,Productos!$E:$E,IFNA(_xlfn.XLOOKUP(TEXT($C394,"0"),Productos!$A:$A,Productos!$E:$E,IFNA(_xlfn.XLOOKUP(IFERROR(VALUE($C394),""),Productos!$A:$A,Productos!$E:$E,_xlfn.XLOOKUP($C394,Productos!$E:$E,Productos!$E:$E,"NO ENCONTRADO")),"NO ENCONTRADO")),"NO ENCONTRADO")),"NO ENCONTRADO"))</f>
        <v/>
      </c>
      <c r="E394" s="74">
        <f t="array" ref="E394">IF(OR($D394="",$D394="NO ENCONTRADO"),"",_xlfn.XLOOKUP($D394,Productos!$E:$E,Productos!$H:$H,""))</f>
        <v/>
      </c>
      <c r="F394" s="74">
        <f t="array" ref="F394">IF(OR($D394="",$D394="NO ENCONTRADO"),"",_xlfn.XLOOKUP($D394,Productos!$E:$E,Productos!$I:$I,""))</f>
        <v/>
      </c>
      <c r="G394" s="74">
        <f t="array" ref="G394">IF(OR($D394="",$D394="NO ENCONTRADO"),"",_xlfn.XLOOKUP($D394,Productos!$E:$E,Productos!$J:$J,""))</f>
        <v/>
      </c>
      <c r="H394" s="74">
        <f t="array" ref="H394">IF(OR($D394="",$D394="NO ENCONTRADO"),"",_xlfn.XLOOKUP($D394,Productos!$E:$E,Productos!$K:$K,""))</f>
        <v/>
      </c>
      <c r="I394" s="74">
        <f t="array" ref="I394">IF(OR($D394="",$D394="NO ENCONTRADO"),"",_xlfn.XLOOKUP($D394,Productos!$E:$E,Productos!$F:$F,""))</f>
        <v/>
      </c>
      <c r="J394" s="74">
        <f>IF($C394="","",IF($D394="NO ENCONTRADO",IF(COUNTIF($C$7:$C$1000,$C394)&gt;1,"⚠️ No encontrado | Duplicado","⚠️ No encontrado"),IF(COUNTIF($C$7:$C$1000,$C394)&gt;1,"⚠️ Duplicado","Verificado")))</f>
        <v/>
      </c>
    </row>
    <row r="395" ht="15.75" customHeight="1" s="176">
      <c r="B395" s="80" t="n"/>
      <c r="C395" s="74" t="n"/>
      <c r="D395" s="74">
        <f t="array" ref="D395">IF($C395="","",IFNA(_xlfn.XLOOKUP($C395,Productos!$A:$A,Productos!$E:$E,IFNA(_xlfn.XLOOKUP(TEXT($C395,"0"),Productos!$A:$A,Productos!$E:$E,IFNA(_xlfn.XLOOKUP(IFERROR(VALUE($C395),""),Productos!$A:$A,Productos!$E:$E,_xlfn.XLOOKUP($C395,Productos!$E:$E,Productos!$E:$E,"NO ENCONTRADO")),"NO ENCONTRADO")),"NO ENCONTRADO")),"NO ENCONTRADO"))</f>
        <v/>
      </c>
      <c r="E395" s="74">
        <f t="array" ref="E395">IF(OR($D395="",$D395="NO ENCONTRADO"),"",_xlfn.XLOOKUP($D395,Productos!$E:$E,Productos!$H:$H,""))</f>
        <v/>
      </c>
      <c r="F395" s="74">
        <f t="array" ref="F395">IF(OR($D395="",$D395="NO ENCONTRADO"),"",_xlfn.XLOOKUP($D395,Productos!$E:$E,Productos!$I:$I,""))</f>
        <v/>
      </c>
      <c r="G395" s="74">
        <f t="array" ref="G395">IF(OR($D395="",$D395="NO ENCONTRADO"),"",_xlfn.XLOOKUP($D395,Productos!$E:$E,Productos!$J:$J,""))</f>
        <v/>
      </c>
      <c r="H395" s="74">
        <f t="array" ref="H395">IF(OR($D395="",$D395="NO ENCONTRADO"),"",_xlfn.XLOOKUP($D395,Productos!$E:$E,Productos!$K:$K,""))</f>
        <v/>
      </c>
      <c r="I395" s="74">
        <f t="array" ref="I395">IF(OR($D395="",$D395="NO ENCONTRADO"),"",_xlfn.XLOOKUP($D395,Productos!$E:$E,Productos!$F:$F,""))</f>
        <v/>
      </c>
      <c r="J395" s="74">
        <f>IF($C395="","",IF($D395="NO ENCONTRADO",IF(COUNTIF($C$7:$C$1000,$C395)&gt;1,"⚠️ No encontrado | Duplicado","⚠️ No encontrado"),IF(COUNTIF($C$7:$C$1000,$C395)&gt;1,"⚠️ Duplicado","Verificado")))</f>
        <v/>
      </c>
    </row>
    <row r="396" ht="15.75" customHeight="1" s="176">
      <c r="B396" s="80" t="n"/>
      <c r="C396" s="74" t="n"/>
      <c r="D396" s="74">
        <f t="array" ref="D396">IF($C396="","",IFNA(_xlfn.XLOOKUP($C396,Productos!$A:$A,Productos!$E:$E,IFNA(_xlfn.XLOOKUP(TEXT($C396,"0"),Productos!$A:$A,Productos!$E:$E,IFNA(_xlfn.XLOOKUP(IFERROR(VALUE($C396),""),Productos!$A:$A,Productos!$E:$E,_xlfn.XLOOKUP($C396,Productos!$E:$E,Productos!$E:$E,"NO ENCONTRADO")),"NO ENCONTRADO")),"NO ENCONTRADO")),"NO ENCONTRADO"))</f>
        <v/>
      </c>
      <c r="E396" s="74">
        <f t="array" ref="E396">IF(OR($D396="",$D396="NO ENCONTRADO"),"",_xlfn.XLOOKUP($D396,Productos!$E:$E,Productos!$H:$H,""))</f>
        <v/>
      </c>
      <c r="F396" s="74">
        <f t="array" ref="F396">IF(OR($D396="",$D396="NO ENCONTRADO"),"",_xlfn.XLOOKUP($D396,Productos!$E:$E,Productos!$I:$I,""))</f>
        <v/>
      </c>
      <c r="G396" s="74">
        <f t="array" ref="G396">IF(OR($D396="",$D396="NO ENCONTRADO"),"",_xlfn.XLOOKUP($D396,Productos!$E:$E,Productos!$J:$J,""))</f>
        <v/>
      </c>
      <c r="H396" s="74">
        <f t="array" ref="H396">IF(OR($D396="",$D396="NO ENCONTRADO"),"",_xlfn.XLOOKUP($D396,Productos!$E:$E,Productos!$K:$K,""))</f>
        <v/>
      </c>
      <c r="I396" s="74">
        <f t="array" ref="I396">IF(OR($D396="",$D396="NO ENCONTRADO"),"",_xlfn.XLOOKUP($D396,Productos!$E:$E,Productos!$F:$F,""))</f>
        <v/>
      </c>
      <c r="J396" s="74">
        <f>IF($C396="","",IF($D396="NO ENCONTRADO",IF(COUNTIF($C$7:$C$1000,$C396)&gt;1,"⚠️ No encontrado | Duplicado","⚠️ No encontrado"),IF(COUNTIF($C$7:$C$1000,$C396)&gt;1,"⚠️ Duplicado","Verificado")))</f>
        <v/>
      </c>
    </row>
    <row r="397" ht="15.75" customHeight="1" s="176">
      <c r="B397" s="80" t="n"/>
      <c r="C397" s="74" t="n"/>
      <c r="D397" s="74">
        <f t="array" ref="D397">IF($C397="","",IFNA(_xlfn.XLOOKUP($C397,Productos!$A:$A,Productos!$E:$E,IFNA(_xlfn.XLOOKUP(TEXT($C397,"0"),Productos!$A:$A,Productos!$E:$E,IFNA(_xlfn.XLOOKUP(IFERROR(VALUE($C397),""),Productos!$A:$A,Productos!$E:$E,_xlfn.XLOOKUP($C397,Productos!$E:$E,Productos!$E:$E,"NO ENCONTRADO")),"NO ENCONTRADO")),"NO ENCONTRADO")),"NO ENCONTRADO"))</f>
        <v/>
      </c>
      <c r="E397" s="74">
        <f t="array" ref="E397">IF(OR($D397="",$D397="NO ENCONTRADO"),"",_xlfn.XLOOKUP($D397,Productos!$E:$E,Productos!$H:$H,""))</f>
        <v/>
      </c>
      <c r="F397" s="74">
        <f t="array" ref="F397">IF(OR($D397="",$D397="NO ENCONTRADO"),"",_xlfn.XLOOKUP($D397,Productos!$E:$E,Productos!$I:$I,""))</f>
        <v/>
      </c>
      <c r="G397" s="74">
        <f t="array" ref="G397">IF(OR($D397="",$D397="NO ENCONTRADO"),"",_xlfn.XLOOKUP($D397,Productos!$E:$E,Productos!$J:$J,""))</f>
        <v/>
      </c>
      <c r="H397" s="74">
        <f t="array" ref="H397">IF(OR($D397="",$D397="NO ENCONTRADO"),"",_xlfn.XLOOKUP($D397,Productos!$E:$E,Productos!$K:$K,""))</f>
        <v/>
      </c>
      <c r="I397" s="74">
        <f t="array" ref="I397">IF(OR($D397="",$D397="NO ENCONTRADO"),"",_xlfn.XLOOKUP($D397,Productos!$E:$E,Productos!$F:$F,""))</f>
        <v/>
      </c>
      <c r="J397" s="74">
        <f>IF($C397="","",IF($D397="NO ENCONTRADO",IF(COUNTIF($C$7:$C$1000,$C397)&gt;1,"⚠️ No encontrado | Duplicado","⚠️ No encontrado"),IF(COUNTIF($C$7:$C$1000,$C397)&gt;1,"⚠️ Duplicado","Verificado")))</f>
        <v/>
      </c>
    </row>
    <row r="398" ht="15.75" customHeight="1" s="176">
      <c r="B398" s="80" t="n"/>
      <c r="C398" s="74" t="n"/>
      <c r="D398" s="74">
        <f t="array" ref="D398">IF($C398="","",IFNA(_xlfn.XLOOKUP($C398,Productos!$A:$A,Productos!$E:$E,IFNA(_xlfn.XLOOKUP(TEXT($C398,"0"),Productos!$A:$A,Productos!$E:$E,IFNA(_xlfn.XLOOKUP(IFERROR(VALUE($C398),""),Productos!$A:$A,Productos!$E:$E,_xlfn.XLOOKUP($C398,Productos!$E:$E,Productos!$E:$E,"NO ENCONTRADO")),"NO ENCONTRADO")),"NO ENCONTRADO")),"NO ENCONTRADO"))</f>
        <v/>
      </c>
      <c r="E398" s="74">
        <f t="array" ref="E398">IF(OR($D398="",$D398="NO ENCONTRADO"),"",_xlfn.XLOOKUP($D398,Productos!$E:$E,Productos!$H:$H,""))</f>
        <v/>
      </c>
      <c r="F398" s="74">
        <f t="array" ref="F398">IF(OR($D398="",$D398="NO ENCONTRADO"),"",_xlfn.XLOOKUP($D398,Productos!$E:$E,Productos!$I:$I,""))</f>
        <v/>
      </c>
      <c r="G398" s="74">
        <f t="array" ref="G398">IF(OR($D398="",$D398="NO ENCONTRADO"),"",_xlfn.XLOOKUP($D398,Productos!$E:$E,Productos!$J:$J,""))</f>
        <v/>
      </c>
      <c r="H398" s="74">
        <f t="array" ref="H398">IF(OR($D398="",$D398="NO ENCONTRADO"),"",_xlfn.XLOOKUP($D398,Productos!$E:$E,Productos!$K:$K,""))</f>
        <v/>
      </c>
      <c r="I398" s="74">
        <f t="array" ref="I398">IF(OR($D398="",$D398="NO ENCONTRADO"),"",_xlfn.XLOOKUP($D398,Productos!$E:$E,Productos!$F:$F,""))</f>
        <v/>
      </c>
      <c r="J398" s="74">
        <f>IF($C398="","",IF($D398="NO ENCONTRADO",IF(COUNTIF($C$7:$C$1000,$C398)&gt;1,"⚠️ No encontrado | Duplicado","⚠️ No encontrado"),IF(COUNTIF($C$7:$C$1000,$C398)&gt;1,"⚠️ Duplicado","Verificado")))</f>
        <v/>
      </c>
    </row>
    <row r="399" ht="15.75" customHeight="1" s="176">
      <c r="B399" s="80" t="n"/>
      <c r="C399" s="74" t="n"/>
      <c r="D399" s="74">
        <f t="array" ref="D399">IF($C399="","",IFNA(_xlfn.XLOOKUP($C399,Productos!$A:$A,Productos!$E:$E,IFNA(_xlfn.XLOOKUP(TEXT($C399,"0"),Productos!$A:$A,Productos!$E:$E,IFNA(_xlfn.XLOOKUP(IFERROR(VALUE($C399),""),Productos!$A:$A,Productos!$E:$E,_xlfn.XLOOKUP($C399,Productos!$E:$E,Productos!$E:$E,"NO ENCONTRADO")),"NO ENCONTRADO")),"NO ENCONTRADO")),"NO ENCONTRADO"))</f>
        <v/>
      </c>
      <c r="E399" s="74">
        <f t="array" ref="E399">IF(OR($D399="",$D399="NO ENCONTRADO"),"",_xlfn.XLOOKUP($D399,Productos!$E:$E,Productos!$H:$H,""))</f>
        <v/>
      </c>
      <c r="F399" s="74">
        <f t="array" ref="F399">IF(OR($D399="",$D399="NO ENCONTRADO"),"",_xlfn.XLOOKUP($D399,Productos!$E:$E,Productos!$I:$I,""))</f>
        <v/>
      </c>
      <c r="G399" s="74">
        <f t="array" ref="G399">IF(OR($D399="",$D399="NO ENCONTRADO"),"",_xlfn.XLOOKUP($D399,Productos!$E:$E,Productos!$J:$J,""))</f>
        <v/>
      </c>
      <c r="H399" s="74">
        <f t="array" ref="H399">IF(OR($D399="",$D399="NO ENCONTRADO"),"",_xlfn.XLOOKUP($D399,Productos!$E:$E,Productos!$K:$K,""))</f>
        <v/>
      </c>
      <c r="I399" s="74">
        <f t="array" ref="I399">IF(OR($D399="",$D399="NO ENCONTRADO"),"",_xlfn.XLOOKUP($D399,Productos!$E:$E,Productos!$F:$F,""))</f>
        <v/>
      </c>
      <c r="J399" s="74">
        <f>IF($C399="","",IF($D399="NO ENCONTRADO",IF(COUNTIF($C$7:$C$1000,$C399)&gt;1,"⚠️ No encontrado | Duplicado","⚠️ No encontrado"),IF(COUNTIF($C$7:$C$1000,$C399)&gt;1,"⚠️ Duplicado","Verificado")))</f>
        <v/>
      </c>
    </row>
    <row r="400" ht="15.75" customHeight="1" s="176">
      <c r="B400" s="80" t="n"/>
      <c r="C400" s="74" t="n"/>
      <c r="D400" s="74">
        <f t="array" ref="D400">IF($C400="","",IFNA(_xlfn.XLOOKUP($C400,Productos!$A:$A,Productos!$E:$E,IFNA(_xlfn.XLOOKUP(TEXT($C400,"0"),Productos!$A:$A,Productos!$E:$E,IFNA(_xlfn.XLOOKUP(IFERROR(VALUE($C400),""),Productos!$A:$A,Productos!$E:$E,_xlfn.XLOOKUP($C400,Productos!$E:$E,Productos!$E:$E,"NO ENCONTRADO")),"NO ENCONTRADO")),"NO ENCONTRADO")),"NO ENCONTRADO"))</f>
        <v/>
      </c>
      <c r="E400" s="74">
        <f t="array" ref="E400">IF(OR($D400="",$D400="NO ENCONTRADO"),"",_xlfn.XLOOKUP($D400,Productos!$E:$E,Productos!$H:$H,""))</f>
        <v/>
      </c>
      <c r="F400" s="74">
        <f t="array" ref="F400">IF(OR($D400="",$D400="NO ENCONTRADO"),"",_xlfn.XLOOKUP($D400,Productos!$E:$E,Productos!$I:$I,""))</f>
        <v/>
      </c>
      <c r="G400" s="74">
        <f t="array" ref="G400">IF(OR($D400="",$D400="NO ENCONTRADO"),"",_xlfn.XLOOKUP($D400,Productos!$E:$E,Productos!$J:$J,""))</f>
        <v/>
      </c>
      <c r="H400" s="74">
        <f t="array" ref="H400">IF(OR($D400="",$D400="NO ENCONTRADO"),"",_xlfn.XLOOKUP($D400,Productos!$E:$E,Productos!$K:$K,""))</f>
        <v/>
      </c>
      <c r="I400" s="74">
        <f t="array" ref="I400">IF(OR($D400="",$D400="NO ENCONTRADO"),"",_xlfn.XLOOKUP($D400,Productos!$E:$E,Productos!$F:$F,""))</f>
        <v/>
      </c>
      <c r="J400" s="74">
        <f>IF($C400="","",IF($D400="NO ENCONTRADO",IF(COUNTIF($C$7:$C$1000,$C400)&gt;1,"⚠️ No encontrado | Duplicado","⚠️ No encontrado"),IF(COUNTIF($C$7:$C$1000,$C400)&gt;1,"⚠️ Duplicado","Verificado")))</f>
        <v/>
      </c>
    </row>
    <row r="401" ht="15.75" customHeight="1" s="176">
      <c r="B401" s="80" t="n"/>
      <c r="C401" s="74" t="n"/>
      <c r="D401" s="74">
        <f t="array" ref="D401">IF($C401="","",IFNA(_xlfn.XLOOKUP($C401,Productos!$A:$A,Productos!$E:$E,IFNA(_xlfn.XLOOKUP(TEXT($C401,"0"),Productos!$A:$A,Productos!$E:$E,IFNA(_xlfn.XLOOKUP(IFERROR(VALUE($C401),""),Productos!$A:$A,Productos!$E:$E,_xlfn.XLOOKUP($C401,Productos!$E:$E,Productos!$E:$E,"NO ENCONTRADO")),"NO ENCONTRADO")),"NO ENCONTRADO")),"NO ENCONTRADO"))</f>
        <v/>
      </c>
      <c r="E401" s="74">
        <f t="array" ref="E401">IF(OR($D401="",$D401="NO ENCONTRADO"),"",_xlfn.XLOOKUP($D401,Productos!$E:$E,Productos!$H:$H,""))</f>
        <v/>
      </c>
      <c r="F401" s="74">
        <f t="array" ref="F401">IF(OR($D401="",$D401="NO ENCONTRADO"),"",_xlfn.XLOOKUP($D401,Productos!$E:$E,Productos!$I:$I,""))</f>
        <v/>
      </c>
      <c r="G401" s="74">
        <f t="array" ref="G401">IF(OR($D401="",$D401="NO ENCONTRADO"),"",_xlfn.XLOOKUP($D401,Productos!$E:$E,Productos!$J:$J,""))</f>
        <v/>
      </c>
      <c r="H401" s="74">
        <f t="array" ref="H401">IF(OR($D401="",$D401="NO ENCONTRADO"),"",_xlfn.XLOOKUP($D401,Productos!$E:$E,Productos!$K:$K,""))</f>
        <v/>
      </c>
      <c r="I401" s="74">
        <f t="array" ref="I401">IF(OR($D401="",$D401="NO ENCONTRADO"),"",_xlfn.XLOOKUP($D401,Productos!$E:$E,Productos!$F:$F,""))</f>
        <v/>
      </c>
      <c r="J401" s="74">
        <f>IF($C401="","",IF($D401="NO ENCONTRADO",IF(COUNTIF($C$7:$C$1000,$C401)&gt;1,"⚠️ No encontrado | Duplicado","⚠️ No encontrado"),IF(COUNTIF($C$7:$C$1000,$C401)&gt;1,"⚠️ Duplicado","Verificado")))</f>
        <v/>
      </c>
    </row>
    <row r="402" ht="15.75" customHeight="1" s="176">
      <c r="B402" s="80" t="n"/>
      <c r="C402" s="74" t="n"/>
      <c r="D402" s="74">
        <f t="array" ref="D402">IF($C402="","",IFNA(_xlfn.XLOOKUP($C402,Productos!$A:$A,Productos!$E:$E,IFNA(_xlfn.XLOOKUP(TEXT($C402,"0"),Productos!$A:$A,Productos!$E:$E,IFNA(_xlfn.XLOOKUP(IFERROR(VALUE($C402),""),Productos!$A:$A,Productos!$E:$E,_xlfn.XLOOKUP($C402,Productos!$E:$E,Productos!$E:$E,"NO ENCONTRADO")),"NO ENCONTRADO")),"NO ENCONTRADO")),"NO ENCONTRADO"))</f>
        <v/>
      </c>
      <c r="E402" s="74">
        <f t="array" ref="E402">IF(OR($D402="",$D402="NO ENCONTRADO"),"",_xlfn.XLOOKUP($D402,Productos!$E:$E,Productos!$H:$H,""))</f>
        <v/>
      </c>
      <c r="F402" s="74">
        <f t="array" ref="F402">IF(OR($D402="",$D402="NO ENCONTRADO"),"",_xlfn.XLOOKUP($D402,Productos!$E:$E,Productos!$I:$I,""))</f>
        <v/>
      </c>
      <c r="G402" s="74">
        <f t="array" ref="G402">IF(OR($D402="",$D402="NO ENCONTRADO"),"",_xlfn.XLOOKUP($D402,Productos!$E:$E,Productos!$J:$J,""))</f>
        <v/>
      </c>
      <c r="H402" s="74">
        <f t="array" ref="H402">IF(OR($D402="",$D402="NO ENCONTRADO"),"",_xlfn.XLOOKUP($D402,Productos!$E:$E,Productos!$K:$K,""))</f>
        <v/>
      </c>
      <c r="I402" s="74">
        <f t="array" ref="I402">IF(OR($D402="",$D402="NO ENCONTRADO"),"",_xlfn.XLOOKUP($D402,Productos!$E:$E,Productos!$F:$F,""))</f>
        <v/>
      </c>
      <c r="J402" s="74">
        <f>IF($C402="","",IF($D402="NO ENCONTRADO",IF(COUNTIF($C$7:$C$1000,$C402)&gt;1,"⚠️ No encontrado | Duplicado","⚠️ No encontrado"),IF(COUNTIF($C$7:$C$1000,$C402)&gt;1,"⚠️ Duplicado","Verificado")))</f>
        <v/>
      </c>
    </row>
    <row r="403" ht="15.75" customHeight="1" s="176">
      <c r="B403" s="80" t="n"/>
      <c r="C403" s="74" t="n"/>
      <c r="D403" s="74">
        <f t="array" ref="D403">IF($C403="","",IFNA(_xlfn.XLOOKUP($C403,Productos!$A:$A,Productos!$E:$E,IFNA(_xlfn.XLOOKUP(TEXT($C403,"0"),Productos!$A:$A,Productos!$E:$E,IFNA(_xlfn.XLOOKUP(IFERROR(VALUE($C403),""),Productos!$A:$A,Productos!$E:$E,_xlfn.XLOOKUP($C403,Productos!$E:$E,Productos!$E:$E,"NO ENCONTRADO")),"NO ENCONTRADO")),"NO ENCONTRADO")),"NO ENCONTRADO"))</f>
        <v/>
      </c>
      <c r="E403" s="74">
        <f t="array" ref="E403">IF(OR($D403="",$D403="NO ENCONTRADO"),"",_xlfn.XLOOKUP($D403,Productos!$E:$E,Productos!$H:$H,""))</f>
        <v/>
      </c>
      <c r="F403" s="74">
        <f t="array" ref="F403">IF(OR($D403="",$D403="NO ENCONTRADO"),"",_xlfn.XLOOKUP($D403,Productos!$E:$E,Productos!$I:$I,""))</f>
        <v/>
      </c>
      <c r="G403" s="74">
        <f t="array" ref="G403">IF(OR($D403="",$D403="NO ENCONTRADO"),"",_xlfn.XLOOKUP($D403,Productos!$E:$E,Productos!$J:$J,""))</f>
        <v/>
      </c>
      <c r="H403" s="74">
        <f t="array" ref="H403">IF(OR($D403="",$D403="NO ENCONTRADO"),"",_xlfn.XLOOKUP($D403,Productos!$E:$E,Productos!$K:$K,""))</f>
        <v/>
      </c>
      <c r="I403" s="74">
        <f t="array" ref="I403">IF(OR($D403="",$D403="NO ENCONTRADO"),"",_xlfn.XLOOKUP($D403,Productos!$E:$E,Productos!$F:$F,""))</f>
        <v/>
      </c>
      <c r="J403" s="74">
        <f>IF($C403="","",IF($D403="NO ENCONTRADO",IF(COUNTIF($C$7:$C$1000,$C403)&gt;1,"⚠️ No encontrado | Duplicado","⚠️ No encontrado"),IF(COUNTIF($C$7:$C$1000,$C403)&gt;1,"⚠️ Duplicado","Verificado")))</f>
        <v/>
      </c>
    </row>
    <row r="404" ht="15.75" customHeight="1" s="176">
      <c r="B404" s="80" t="n"/>
      <c r="C404" s="74" t="n"/>
      <c r="D404" s="74">
        <f t="array" ref="D404">IF($C404="","",IFNA(_xlfn.XLOOKUP($C404,Productos!$A:$A,Productos!$E:$E,IFNA(_xlfn.XLOOKUP(TEXT($C404,"0"),Productos!$A:$A,Productos!$E:$E,IFNA(_xlfn.XLOOKUP(IFERROR(VALUE($C404),""),Productos!$A:$A,Productos!$E:$E,_xlfn.XLOOKUP($C404,Productos!$E:$E,Productos!$E:$E,"NO ENCONTRADO")),"NO ENCONTRADO")),"NO ENCONTRADO")),"NO ENCONTRADO"))</f>
        <v/>
      </c>
      <c r="E404" s="74">
        <f t="array" ref="E404">IF(OR($D404="",$D404="NO ENCONTRADO"),"",_xlfn.XLOOKUP($D404,Productos!$E:$E,Productos!$H:$H,""))</f>
        <v/>
      </c>
      <c r="F404" s="74">
        <f t="array" ref="F404">IF(OR($D404="",$D404="NO ENCONTRADO"),"",_xlfn.XLOOKUP($D404,Productos!$E:$E,Productos!$I:$I,""))</f>
        <v/>
      </c>
      <c r="G404" s="74">
        <f t="array" ref="G404">IF(OR($D404="",$D404="NO ENCONTRADO"),"",_xlfn.XLOOKUP($D404,Productos!$E:$E,Productos!$J:$J,""))</f>
        <v/>
      </c>
      <c r="H404" s="74">
        <f t="array" ref="H404">IF(OR($D404="",$D404="NO ENCONTRADO"),"",_xlfn.XLOOKUP($D404,Productos!$E:$E,Productos!$K:$K,""))</f>
        <v/>
      </c>
      <c r="I404" s="74">
        <f t="array" ref="I404">IF(OR($D404="",$D404="NO ENCONTRADO"),"",_xlfn.XLOOKUP($D404,Productos!$E:$E,Productos!$F:$F,""))</f>
        <v/>
      </c>
      <c r="J404" s="74">
        <f>IF($C404="","",IF($D404="NO ENCONTRADO",IF(COUNTIF($C$7:$C$1000,$C404)&gt;1,"⚠️ No encontrado | Duplicado","⚠️ No encontrado"),IF(COUNTIF($C$7:$C$1000,$C404)&gt;1,"⚠️ Duplicado","Verificado")))</f>
        <v/>
      </c>
    </row>
    <row r="405" ht="15.75" customHeight="1" s="176">
      <c r="B405" s="80" t="n"/>
      <c r="C405" s="74" t="n"/>
      <c r="D405" s="74">
        <f t="array" ref="D405">IF($C405="","",IFNA(_xlfn.XLOOKUP($C405,Productos!$A:$A,Productos!$E:$E,IFNA(_xlfn.XLOOKUP(TEXT($C405,"0"),Productos!$A:$A,Productos!$E:$E,IFNA(_xlfn.XLOOKUP(IFERROR(VALUE($C405),""),Productos!$A:$A,Productos!$E:$E,_xlfn.XLOOKUP($C405,Productos!$E:$E,Productos!$E:$E,"NO ENCONTRADO")),"NO ENCONTRADO")),"NO ENCONTRADO")),"NO ENCONTRADO"))</f>
        <v/>
      </c>
      <c r="E405" s="74">
        <f t="array" ref="E405">IF(OR($D405="",$D405="NO ENCONTRADO"),"",_xlfn.XLOOKUP($D405,Productos!$E:$E,Productos!$H:$H,""))</f>
        <v/>
      </c>
      <c r="F405" s="74">
        <f t="array" ref="F405">IF(OR($D405="",$D405="NO ENCONTRADO"),"",_xlfn.XLOOKUP($D405,Productos!$E:$E,Productos!$I:$I,""))</f>
        <v/>
      </c>
      <c r="G405" s="74">
        <f t="array" ref="G405">IF(OR($D405="",$D405="NO ENCONTRADO"),"",_xlfn.XLOOKUP($D405,Productos!$E:$E,Productos!$J:$J,""))</f>
        <v/>
      </c>
      <c r="H405" s="74">
        <f t="array" ref="H405">IF(OR($D405="",$D405="NO ENCONTRADO"),"",_xlfn.XLOOKUP($D405,Productos!$E:$E,Productos!$K:$K,""))</f>
        <v/>
      </c>
      <c r="I405" s="74">
        <f t="array" ref="I405">IF(OR($D405="",$D405="NO ENCONTRADO"),"",_xlfn.XLOOKUP($D405,Productos!$E:$E,Productos!$F:$F,""))</f>
        <v/>
      </c>
      <c r="J405" s="74">
        <f>IF($C405="","",IF($D405="NO ENCONTRADO",IF(COUNTIF($C$7:$C$1000,$C405)&gt;1,"⚠️ No encontrado | Duplicado","⚠️ No encontrado"),IF(COUNTIF($C$7:$C$1000,$C405)&gt;1,"⚠️ Duplicado","Verificado")))</f>
        <v/>
      </c>
    </row>
    <row r="406" ht="15.75" customHeight="1" s="176">
      <c r="B406" s="80" t="n"/>
      <c r="C406" s="74" t="n"/>
      <c r="D406" s="74">
        <f t="array" ref="D406">IF($C406="","",IFNA(_xlfn.XLOOKUP($C406,Productos!$A:$A,Productos!$E:$E,IFNA(_xlfn.XLOOKUP(TEXT($C406,"0"),Productos!$A:$A,Productos!$E:$E,IFNA(_xlfn.XLOOKUP(IFERROR(VALUE($C406),""),Productos!$A:$A,Productos!$E:$E,_xlfn.XLOOKUP($C406,Productos!$E:$E,Productos!$E:$E,"NO ENCONTRADO")),"NO ENCONTRADO")),"NO ENCONTRADO")),"NO ENCONTRADO"))</f>
        <v/>
      </c>
      <c r="E406" s="74">
        <f t="array" ref="E406">IF(OR($D406="",$D406="NO ENCONTRADO"),"",_xlfn.XLOOKUP($D406,Productos!$E:$E,Productos!$H:$H,""))</f>
        <v/>
      </c>
      <c r="F406" s="74">
        <f t="array" ref="F406">IF(OR($D406="",$D406="NO ENCONTRADO"),"",_xlfn.XLOOKUP($D406,Productos!$E:$E,Productos!$I:$I,""))</f>
        <v/>
      </c>
      <c r="G406" s="74">
        <f t="array" ref="G406">IF(OR($D406="",$D406="NO ENCONTRADO"),"",_xlfn.XLOOKUP($D406,Productos!$E:$E,Productos!$J:$J,""))</f>
        <v/>
      </c>
      <c r="H406" s="74">
        <f t="array" ref="H406">IF(OR($D406="",$D406="NO ENCONTRADO"),"",_xlfn.XLOOKUP($D406,Productos!$E:$E,Productos!$K:$K,""))</f>
        <v/>
      </c>
      <c r="I406" s="74">
        <f t="array" ref="I406">IF(OR($D406="",$D406="NO ENCONTRADO"),"",_xlfn.XLOOKUP($D406,Productos!$E:$E,Productos!$F:$F,""))</f>
        <v/>
      </c>
      <c r="J406" s="74">
        <f>IF($C406="","",IF($D406="NO ENCONTRADO",IF(COUNTIF($C$7:$C$1000,$C406)&gt;1,"⚠️ No encontrado | Duplicado","⚠️ No encontrado"),IF(COUNTIF($C$7:$C$1000,$C406)&gt;1,"⚠️ Duplicado","Verificado")))</f>
        <v/>
      </c>
    </row>
    <row r="407" ht="15.75" customHeight="1" s="176">
      <c r="B407" s="80" t="n"/>
      <c r="C407" s="74" t="n"/>
      <c r="D407" s="74">
        <f t="array" ref="D407">IF($C407="","",IFNA(_xlfn.XLOOKUP($C407,Productos!$A:$A,Productos!$E:$E,IFNA(_xlfn.XLOOKUP(TEXT($C407,"0"),Productos!$A:$A,Productos!$E:$E,IFNA(_xlfn.XLOOKUP(IFERROR(VALUE($C407),""),Productos!$A:$A,Productos!$E:$E,_xlfn.XLOOKUP($C407,Productos!$E:$E,Productos!$E:$E,"NO ENCONTRADO")),"NO ENCONTRADO")),"NO ENCONTRADO")),"NO ENCONTRADO"))</f>
        <v/>
      </c>
      <c r="E407" s="74">
        <f t="array" ref="E407">IF(OR($D407="",$D407="NO ENCONTRADO"),"",_xlfn.XLOOKUP($D407,Productos!$E:$E,Productos!$H:$H,""))</f>
        <v/>
      </c>
      <c r="F407" s="74">
        <f t="array" ref="F407">IF(OR($D407="",$D407="NO ENCONTRADO"),"",_xlfn.XLOOKUP($D407,Productos!$E:$E,Productos!$I:$I,""))</f>
        <v/>
      </c>
      <c r="G407" s="74">
        <f t="array" ref="G407">IF(OR($D407="",$D407="NO ENCONTRADO"),"",_xlfn.XLOOKUP($D407,Productos!$E:$E,Productos!$J:$J,""))</f>
        <v/>
      </c>
      <c r="H407" s="74">
        <f t="array" ref="H407">IF(OR($D407="",$D407="NO ENCONTRADO"),"",_xlfn.XLOOKUP($D407,Productos!$E:$E,Productos!$K:$K,""))</f>
        <v/>
      </c>
      <c r="I407" s="74">
        <f t="array" ref="I407">IF(OR($D407="",$D407="NO ENCONTRADO"),"",_xlfn.XLOOKUP($D407,Productos!$E:$E,Productos!$F:$F,""))</f>
        <v/>
      </c>
      <c r="J407" s="74">
        <f>IF($C407="","",IF($D407="NO ENCONTRADO",IF(COUNTIF($C$7:$C$1000,$C407)&gt;1,"⚠️ No encontrado | Duplicado","⚠️ No encontrado"),IF(COUNTIF($C$7:$C$1000,$C407)&gt;1,"⚠️ Duplicado","Verificado")))</f>
        <v/>
      </c>
    </row>
    <row r="408" ht="15.75" customHeight="1" s="176">
      <c r="B408" s="80" t="n"/>
      <c r="C408" s="74" t="n"/>
      <c r="D408" s="74">
        <f t="array" ref="D408">IF($C408="","",IFNA(_xlfn.XLOOKUP($C408,Productos!$A:$A,Productos!$E:$E,IFNA(_xlfn.XLOOKUP(TEXT($C408,"0"),Productos!$A:$A,Productos!$E:$E,IFNA(_xlfn.XLOOKUP(IFERROR(VALUE($C408),""),Productos!$A:$A,Productos!$E:$E,_xlfn.XLOOKUP($C408,Productos!$E:$E,Productos!$E:$E,"NO ENCONTRADO")),"NO ENCONTRADO")),"NO ENCONTRADO")),"NO ENCONTRADO"))</f>
        <v/>
      </c>
      <c r="E408" s="74">
        <f t="array" ref="E408">IF(OR($D408="",$D408="NO ENCONTRADO"),"",_xlfn.XLOOKUP($D408,Productos!$E:$E,Productos!$H:$H,""))</f>
        <v/>
      </c>
      <c r="F408" s="74">
        <f t="array" ref="F408">IF(OR($D408="",$D408="NO ENCONTRADO"),"",_xlfn.XLOOKUP($D408,Productos!$E:$E,Productos!$I:$I,""))</f>
        <v/>
      </c>
      <c r="G408" s="74">
        <f t="array" ref="G408">IF(OR($D408="",$D408="NO ENCONTRADO"),"",_xlfn.XLOOKUP($D408,Productos!$E:$E,Productos!$J:$J,""))</f>
        <v/>
      </c>
      <c r="H408" s="74">
        <f t="array" ref="H408">IF(OR($D408="",$D408="NO ENCONTRADO"),"",_xlfn.XLOOKUP($D408,Productos!$E:$E,Productos!$K:$K,""))</f>
        <v/>
      </c>
      <c r="I408" s="74">
        <f t="array" ref="I408">IF(OR($D408="",$D408="NO ENCONTRADO"),"",_xlfn.XLOOKUP($D408,Productos!$E:$E,Productos!$F:$F,""))</f>
        <v/>
      </c>
      <c r="J408" s="74">
        <f>IF($C408="","",IF($D408="NO ENCONTRADO",IF(COUNTIF($C$7:$C$1000,$C408)&gt;1,"⚠️ No encontrado | Duplicado","⚠️ No encontrado"),IF(COUNTIF($C$7:$C$1000,$C408)&gt;1,"⚠️ Duplicado","Verificado")))</f>
        <v/>
      </c>
    </row>
    <row r="409" ht="15.75" customHeight="1" s="176">
      <c r="B409" s="80" t="n"/>
      <c r="C409" s="74" t="n"/>
      <c r="D409" s="74">
        <f t="array" ref="D409">IF($C409="","",IFNA(_xlfn.XLOOKUP($C409,Productos!$A:$A,Productos!$E:$E,IFNA(_xlfn.XLOOKUP(TEXT($C409,"0"),Productos!$A:$A,Productos!$E:$E,IFNA(_xlfn.XLOOKUP(IFERROR(VALUE($C409),""),Productos!$A:$A,Productos!$E:$E,_xlfn.XLOOKUP($C409,Productos!$E:$E,Productos!$E:$E,"NO ENCONTRADO")),"NO ENCONTRADO")),"NO ENCONTRADO")),"NO ENCONTRADO"))</f>
        <v/>
      </c>
      <c r="E409" s="74">
        <f t="array" ref="E409">IF(OR($D409="",$D409="NO ENCONTRADO"),"",_xlfn.XLOOKUP($D409,Productos!$E:$E,Productos!$H:$H,""))</f>
        <v/>
      </c>
      <c r="F409" s="74">
        <f t="array" ref="F409">IF(OR($D409="",$D409="NO ENCONTRADO"),"",_xlfn.XLOOKUP($D409,Productos!$E:$E,Productos!$I:$I,""))</f>
        <v/>
      </c>
      <c r="G409" s="74">
        <f t="array" ref="G409">IF(OR($D409="",$D409="NO ENCONTRADO"),"",_xlfn.XLOOKUP($D409,Productos!$E:$E,Productos!$J:$J,""))</f>
        <v/>
      </c>
      <c r="H409" s="74">
        <f t="array" ref="H409">IF(OR($D409="",$D409="NO ENCONTRADO"),"",_xlfn.XLOOKUP($D409,Productos!$E:$E,Productos!$K:$K,""))</f>
        <v/>
      </c>
      <c r="I409" s="74">
        <f t="array" ref="I409">IF(OR($D409="",$D409="NO ENCONTRADO"),"",_xlfn.XLOOKUP($D409,Productos!$E:$E,Productos!$F:$F,""))</f>
        <v/>
      </c>
      <c r="J409" s="74">
        <f>IF($C409="","",IF($D409="NO ENCONTRADO",IF(COUNTIF($C$7:$C$1000,$C409)&gt;1,"⚠️ No encontrado | Duplicado","⚠️ No encontrado"),IF(COUNTIF($C$7:$C$1000,$C409)&gt;1,"⚠️ Duplicado","Verificado")))</f>
        <v/>
      </c>
    </row>
    <row r="410" ht="15.75" customHeight="1" s="176">
      <c r="B410" s="80" t="n"/>
      <c r="C410" s="74" t="n"/>
      <c r="D410" s="74">
        <f t="array" ref="D410">IF($C410="","",IFNA(_xlfn.XLOOKUP($C410,Productos!$A:$A,Productos!$E:$E,IFNA(_xlfn.XLOOKUP(TEXT($C410,"0"),Productos!$A:$A,Productos!$E:$E,IFNA(_xlfn.XLOOKUP(IFERROR(VALUE($C410),""),Productos!$A:$A,Productos!$E:$E,_xlfn.XLOOKUP($C410,Productos!$E:$E,Productos!$E:$E,"NO ENCONTRADO")),"NO ENCONTRADO")),"NO ENCONTRADO")),"NO ENCONTRADO"))</f>
        <v/>
      </c>
      <c r="E410" s="74">
        <f t="array" ref="E410">IF(OR($D410="",$D410="NO ENCONTRADO"),"",_xlfn.XLOOKUP($D410,Productos!$E:$E,Productos!$H:$H,""))</f>
        <v/>
      </c>
      <c r="F410" s="74">
        <f t="array" ref="F410">IF(OR($D410="",$D410="NO ENCONTRADO"),"",_xlfn.XLOOKUP($D410,Productos!$E:$E,Productos!$I:$I,""))</f>
        <v/>
      </c>
      <c r="G410" s="74">
        <f t="array" ref="G410">IF(OR($D410="",$D410="NO ENCONTRADO"),"",_xlfn.XLOOKUP($D410,Productos!$E:$E,Productos!$J:$J,""))</f>
        <v/>
      </c>
      <c r="H410" s="74">
        <f t="array" ref="H410">IF(OR($D410="",$D410="NO ENCONTRADO"),"",_xlfn.XLOOKUP($D410,Productos!$E:$E,Productos!$K:$K,""))</f>
        <v/>
      </c>
      <c r="I410" s="74">
        <f t="array" ref="I410">IF(OR($D410="",$D410="NO ENCONTRADO"),"",_xlfn.XLOOKUP($D410,Productos!$E:$E,Productos!$F:$F,""))</f>
        <v/>
      </c>
      <c r="J410" s="74">
        <f>IF($C410="","",IF($D410="NO ENCONTRADO",IF(COUNTIF($C$7:$C$1000,$C410)&gt;1,"⚠️ No encontrado | Duplicado","⚠️ No encontrado"),IF(COUNTIF($C$7:$C$1000,$C410)&gt;1,"⚠️ Duplicado","Verificado")))</f>
        <v/>
      </c>
    </row>
    <row r="411" ht="15.75" customHeight="1" s="176">
      <c r="B411" s="80" t="n"/>
      <c r="C411" s="74" t="n"/>
      <c r="D411" s="74">
        <f t="array" ref="D411">IF($C411="","",IFNA(_xlfn.XLOOKUP($C411,Productos!$A:$A,Productos!$E:$E,IFNA(_xlfn.XLOOKUP(TEXT($C411,"0"),Productos!$A:$A,Productos!$E:$E,IFNA(_xlfn.XLOOKUP(IFERROR(VALUE($C411),""),Productos!$A:$A,Productos!$E:$E,_xlfn.XLOOKUP($C411,Productos!$E:$E,Productos!$E:$E,"NO ENCONTRADO")),"NO ENCONTRADO")),"NO ENCONTRADO")),"NO ENCONTRADO"))</f>
        <v/>
      </c>
      <c r="E411" s="74">
        <f t="array" ref="E411">IF(OR($D411="",$D411="NO ENCONTRADO"),"",_xlfn.XLOOKUP($D411,Productos!$E:$E,Productos!$H:$H,""))</f>
        <v/>
      </c>
      <c r="F411" s="74">
        <f t="array" ref="F411">IF(OR($D411="",$D411="NO ENCONTRADO"),"",_xlfn.XLOOKUP($D411,Productos!$E:$E,Productos!$I:$I,""))</f>
        <v/>
      </c>
      <c r="G411" s="74">
        <f t="array" ref="G411">IF(OR($D411="",$D411="NO ENCONTRADO"),"",_xlfn.XLOOKUP($D411,Productos!$E:$E,Productos!$J:$J,""))</f>
        <v/>
      </c>
      <c r="H411" s="74">
        <f t="array" ref="H411">IF(OR($D411="",$D411="NO ENCONTRADO"),"",_xlfn.XLOOKUP($D411,Productos!$E:$E,Productos!$K:$K,""))</f>
        <v/>
      </c>
      <c r="I411" s="74">
        <f t="array" ref="I411">IF(OR($D411="",$D411="NO ENCONTRADO"),"",_xlfn.XLOOKUP($D411,Productos!$E:$E,Productos!$F:$F,""))</f>
        <v/>
      </c>
      <c r="J411" s="74">
        <f>IF($C411="","",IF($D411="NO ENCONTRADO",IF(COUNTIF($C$7:$C$1000,$C411)&gt;1,"⚠️ No encontrado | Duplicado","⚠️ No encontrado"),IF(COUNTIF($C$7:$C$1000,$C411)&gt;1,"⚠️ Duplicado","Verificado")))</f>
        <v/>
      </c>
    </row>
    <row r="412" ht="15.75" customHeight="1" s="176">
      <c r="B412" s="80" t="n"/>
      <c r="C412" s="74" t="n"/>
      <c r="D412" s="74">
        <f t="array" ref="D412">IF($C412="","",IFNA(_xlfn.XLOOKUP($C412,Productos!$A:$A,Productos!$E:$E,IFNA(_xlfn.XLOOKUP(TEXT($C412,"0"),Productos!$A:$A,Productos!$E:$E,IFNA(_xlfn.XLOOKUP(IFERROR(VALUE($C412),""),Productos!$A:$A,Productos!$E:$E,_xlfn.XLOOKUP($C412,Productos!$E:$E,Productos!$E:$E,"NO ENCONTRADO")),"NO ENCONTRADO")),"NO ENCONTRADO")),"NO ENCONTRADO"))</f>
        <v/>
      </c>
      <c r="E412" s="74">
        <f t="array" ref="E412">IF(OR($D412="",$D412="NO ENCONTRADO"),"",_xlfn.XLOOKUP($D412,Productos!$E:$E,Productos!$H:$H,""))</f>
        <v/>
      </c>
      <c r="F412" s="74">
        <f t="array" ref="F412">IF(OR($D412="",$D412="NO ENCONTRADO"),"",_xlfn.XLOOKUP($D412,Productos!$E:$E,Productos!$I:$I,""))</f>
        <v/>
      </c>
      <c r="G412" s="74">
        <f t="array" ref="G412">IF(OR($D412="",$D412="NO ENCONTRADO"),"",_xlfn.XLOOKUP($D412,Productos!$E:$E,Productos!$J:$J,""))</f>
        <v/>
      </c>
      <c r="H412" s="74">
        <f t="array" ref="H412">IF(OR($D412="",$D412="NO ENCONTRADO"),"",_xlfn.XLOOKUP($D412,Productos!$E:$E,Productos!$K:$K,""))</f>
        <v/>
      </c>
      <c r="I412" s="74">
        <f t="array" ref="I412">IF(OR($D412="",$D412="NO ENCONTRADO"),"",_xlfn.XLOOKUP($D412,Productos!$E:$E,Productos!$F:$F,""))</f>
        <v/>
      </c>
      <c r="J412" s="74">
        <f>IF($C412="","",IF($D412="NO ENCONTRADO",IF(COUNTIF($C$7:$C$1000,$C412)&gt;1,"⚠️ No encontrado | Duplicado","⚠️ No encontrado"),IF(COUNTIF($C$7:$C$1000,$C412)&gt;1,"⚠️ Duplicado","Verificado")))</f>
        <v/>
      </c>
    </row>
    <row r="413" ht="15.75" customHeight="1" s="176">
      <c r="B413" s="80" t="n"/>
      <c r="C413" s="74" t="n"/>
      <c r="D413" s="74">
        <f t="array" ref="D413">IF($C413="","",IFNA(_xlfn.XLOOKUP($C413,Productos!$A:$A,Productos!$E:$E,IFNA(_xlfn.XLOOKUP(TEXT($C413,"0"),Productos!$A:$A,Productos!$E:$E,IFNA(_xlfn.XLOOKUP(IFERROR(VALUE($C413),""),Productos!$A:$A,Productos!$E:$E,_xlfn.XLOOKUP($C413,Productos!$E:$E,Productos!$E:$E,"NO ENCONTRADO")),"NO ENCONTRADO")),"NO ENCONTRADO")),"NO ENCONTRADO"))</f>
        <v/>
      </c>
      <c r="E413" s="74">
        <f t="array" ref="E413">IF(OR($D413="",$D413="NO ENCONTRADO"),"",_xlfn.XLOOKUP($D413,Productos!$E:$E,Productos!$H:$H,""))</f>
        <v/>
      </c>
      <c r="F413" s="74">
        <f t="array" ref="F413">IF(OR($D413="",$D413="NO ENCONTRADO"),"",_xlfn.XLOOKUP($D413,Productos!$E:$E,Productos!$I:$I,""))</f>
        <v/>
      </c>
      <c r="G413" s="74">
        <f t="array" ref="G413">IF(OR($D413="",$D413="NO ENCONTRADO"),"",_xlfn.XLOOKUP($D413,Productos!$E:$E,Productos!$J:$J,""))</f>
        <v/>
      </c>
      <c r="H413" s="74">
        <f t="array" ref="H413">IF(OR($D413="",$D413="NO ENCONTRADO"),"",_xlfn.XLOOKUP($D413,Productos!$E:$E,Productos!$K:$K,""))</f>
        <v/>
      </c>
      <c r="I413" s="74">
        <f t="array" ref="I413">IF(OR($D413="",$D413="NO ENCONTRADO"),"",_xlfn.XLOOKUP($D413,Productos!$E:$E,Productos!$F:$F,""))</f>
        <v/>
      </c>
      <c r="J413" s="74">
        <f>IF($C413="","",IF($D413="NO ENCONTRADO",IF(COUNTIF($C$7:$C$1000,$C413)&gt;1,"⚠️ No encontrado | Duplicado","⚠️ No encontrado"),IF(COUNTIF($C$7:$C$1000,$C413)&gt;1,"⚠️ Duplicado","Verificado")))</f>
        <v/>
      </c>
    </row>
    <row r="414" ht="15.75" customHeight="1" s="176">
      <c r="B414" s="80" t="n"/>
      <c r="C414" s="74" t="n"/>
      <c r="D414" s="74">
        <f t="array" ref="D414">IF($C414="","",IFNA(_xlfn.XLOOKUP($C414,Productos!$A:$A,Productos!$E:$E,IFNA(_xlfn.XLOOKUP(TEXT($C414,"0"),Productos!$A:$A,Productos!$E:$E,IFNA(_xlfn.XLOOKUP(IFERROR(VALUE($C414),""),Productos!$A:$A,Productos!$E:$E,_xlfn.XLOOKUP($C414,Productos!$E:$E,Productos!$E:$E,"NO ENCONTRADO")),"NO ENCONTRADO")),"NO ENCONTRADO")),"NO ENCONTRADO"))</f>
        <v/>
      </c>
      <c r="E414" s="74">
        <f t="array" ref="E414">IF(OR($D414="",$D414="NO ENCONTRADO"),"",_xlfn.XLOOKUP($D414,Productos!$E:$E,Productos!$H:$H,""))</f>
        <v/>
      </c>
      <c r="F414" s="74">
        <f t="array" ref="F414">IF(OR($D414="",$D414="NO ENCONTRADO"),"",_xlfn.XLOOKUP($D414,Productos!$E:$E,Productos!$I:$I,""))</f>
        <v/>
      </c>
      <c r="G414" s="74">
        <f t="array" ref="G414">IF(OR($D414="",$D414="NO ENCONTRADO"),"",_xlfn.XLOOKUP($D414,Productos!$E:$E,Productos!$J:$J,""))</f>
        <v/>
      </c>
      <c r="H414" s="74">
        <f t="array" ref="H414">IF(OR($D414="",$D414="NO ENCONTRADO"),"",_xlfn.XLOOKUP($D414,Productos!$E:$E,Productos!$K:$K,""))</f>
        <v/>
      </c>
      <c r="I414" s="74">
        <f t="array" ref="I414">IF(OR($D414="",$D414="NO ENCONTRADO"),"",_xlfn.XLOOKUP($D414,Productos!$E:$E,Productos!$F:$F,""))</f>
        <v/>
      </c>
      <c r="J414" s="74">
        <f>IF($C414="","",IF($D414="NO ENCONTRADO",IF(COUNTIF($C$7:$C$1000,$C414)&gt;1,"⚠️ No encontrado | Duplicado","⚠️ No encontrado"),IF(COUNTIF($C$7:$C$1000,$C414)&gt;1,"⚠️ Duplicado","Verificado")))</f>
        <v/>
      </c>
    </row>
    <row r="415" ht="15.75" customHeight="1" s="176">
      <c r="B415" s="80" t="n"/>
      <c r="C415" s="74" t="n"/>
      <c r="D415" s="74">
        <f t="array" ref="D415">IF($C415="","",IFNA(_xlfn.XLOOKUP($C415,Productos!$A:$A,Productos!$E:$E,IFNA(_xlfn.XLOOKUP(TEXT($C415,"0"),Productos!$A:$A,Productos!$E:$E,IFNA(_xlfn.XLOOKUP(IFERROR(VALUE($C415),""),Productos!$A:$A,Productos!$E:$E,_xlfn.XLOOKUP($C415,Productos!$E:$E,Productos!$E:$E,"NO ENCONTRADO")),"NO ENCONTRADO")),"NO ENCONTRADO")),"NO ENCONTRADO"))</f>
        <v/>
      </c>
      <c r="E415" s="74">
        <f t="array" ref="E415">IF(OR($D415="",$D415="NO ENCONTRADO"),"",_xlfn.XLOOKUP($D415,Productos!$E:$E,Productos!$H:$H,""))</f>
        <v/>
      </c>
      <c r="F415" s="74">
        <f t="array" ref="F415">IF(OR($D415="",$D415="NO ENCONTRADO"),"",_xlfn.XLOOKUP($D415,Productos!$E:$E,Productos!$I:$I,""))</f>
        <v/>
      </c>
      <c r="G415" s="74">
        <f t="array" ref="G415">IF(OR($D415="",$D415="NO ENCONTRADO"),"",_xlfn.XLOOKUP($D415,Productos!$E:$E,Productos!$J:$J,""))</f>
        <v/>
      </c>
      <c r="H415" s="74">
        <f t="array" ref="H415">IF(OR($D415="",$D415="NO ENCONTRADO"),"",_xlfn.XLOOKUP($D415,Productos!$E:$E,Productos!$K:$K,""))</f>
        <v/>
      </c>
      <c r="I415" s="74">
        <f t="array" ref="I415">IF(OR($D415="",$D415="NO ENCONTRADO"),"",_xlfn.XLOOKUP($D415,Productos!$E:$E,Productos!$F:$F,""))</f>
        <v/>
      </c>
      <c r="J415" s="74">
        <f>IF($C415="","",IF($D415="NO ENCONTRADO",IF(COUNTIF($C$7:$C$1000,$C415)&gt;1,"⚠️ No encontrado | Duplicado","⚠️ No encontrado"),IF(COUNTIF($C$7:$C$1000,$C415)&gt;1,"⚠️ Duplicado","Verificado")))</f>
        <v/>
      </c>
    </row>
    <row r="416" ht="15.75" customHeight="1" s="176">
      <c r="B416" s="80" t="n"/>
      <c r="C416" s="74" t="n"/>
      <c r="D416" s="74">
        <f t="array" ref="D416">IF($C416="","",IFNA(_xlfn.XLOOKUP($C416,Productos!$A:$A,Productos!$E:$E,IFNA(_xlfn.XLOOKUP(TEXT($C416,"0"),Productos!$A:$A,Productos!$E:$E,IFNA(_xlfn.XLOOKUP(IFERROR(VALUE($C416),""),Productos!$A:$A,Productos!$E:$E,_xlfn.XLOOKUP($C416,Productos!$E:$E,Productos!$E:$E,"NO ENCONTRADO")),"NO ENCONTRADO")),"NO ENCONTRADO")),"NO ENCONTRADO"))</f>
        <v/>
      </c>
      <c r="E416" s="74">
        <f t="array" ref="E416">IF(OR($D416="",$D416="NO ENCONTRADO"),"",_xlfn.XLOOKUP($D416,Productos!$E:$E,Productos!$H:$H,""))</f>
        <v/>
      </c>
      <c r="F416" s="74">
        <f t="array" ref="F416">IF(OR($D416="",$D416="NO ENCONTRADO"),"",_xlfn.XLOOKUP($D416,Productos!$E:$E,Productos!$I:$I,""))</f>
        <v/>
      </c>
      <c r="G416" s="74">
        <f t="array" ref="G416">IF(OR($D416="",$D416="NO ENCONTRADO"),"",_xlfn.XLOOKUP($D416,Productos!$E:$E,Productos!$J:$J,""))</f>
        <v/>
      </c>
      <c r="H416" s="74">
        <f t="array" ref="H416">IF(OR($D416="",$D416="NO ENCONTRADO"),"",_xlfn.XLOOKUP($D416,Productos!$E:$E,Productos!$K:$K,""))</f>
        <v/>
      </c>
      <c r="I416" s="74">
        <f t="array" ref="I416">IF(OR($D416="",$D416="NO ENCONTRADO"),"",_xlfn.XLOOKUP($D416,Productos!$E:$E,Productos!$F:$F,""))</f>
        <v/>
      </c>
      <c r="J416" s="74">
        <f>IF($C416="","",IF($D416="NO ENCONTRADO",IF(COUNTIF($C$7:$C$1000,$C416)&gt;1,"⚠️ No encontrado | Duplicado","⚠️ No encontrado"),IF(COUNTIF($C$7:$C$1000,$C416)&gt;1,"⚠️ Duplicado","Verificado")))</f>
        <v/>
      </c>
    </row>
    <row r="417" ht="15.75" customHeight="1" s="176">
      <c r="B417" s="80" t="n"/>
      <c r="C417" s="74" t="n"/>
      <c r="D417" s="74">
        <f t="array" ref="D417">IF($C417="","",IFNA(_xlfn.XLOOKUP($C417,Productos!$A:$A,Productos!$E:$E,IFNA(_xlfn.XLOOKUP(TEXT($C417,"0"),Productos!$A:$A,Productos!$E:$E,IFNA(_xlfn.XLOOKUP(IFERROR(VALUE($C417),""),Productos!$A:$A,Productos!$E:$E,_xlfn.XLOOKUP($C417,Productos!$E:$E,Productos!$E:$E,"NO ENCONTRADO")),"NO ENCONTRADO")),"NO ENCONTRADO")),"NO ENCONTRADO"))</f>
        <v/>
      </c>
      <c r="E417" s="74">
        <f t="array" ref="E417">IF(OR($D417="",$D417="NO ENCONTRADO"),"",_xlfn.XLOOKUP($D417,Productos!$E:$E,Productos!$H:$H,""))</f>
        <v/>
      </c>
      <c r="F417" s="74">
        <f t="array" ref="F417">IF(OR($D417="",$D417="NO ENCONTRADO"),"",_xlfn.XLOOKUP($D417,Productos!$E:$E,Productos!$I:$I,""))</f>
        <v/>
      </c>
      <c r="G417" s="74">
        <f t="array" ref="G417">IF(OR($D417="",$D417="NO ENCONTRADO"),"",_xlfn.XLOOKUP($D417,Productos!$E:$E,Productos!$J:$J,""))</f>
        <v/>
      </c>
      <c r="H417" s="74">
        <f t="array" ref="H417">IF(OR($D417="",$D417="NO ENCONTRADO"),"",_xlfn.XLOOKUP($D417,Productos!$E:$E,Productos!$K:$K,""))</f>
        <v/>
      </c>
      <c r="I417" s="74">
        <f t="array" ref="I417">IF(OR($D417="",$D417="NO ENCONTRADO"),"",_xlfn.XLOOKUP($D417,Productos!$E:$E,Productos!$F:$F,""))</f>
        <v/>
      </c>
      <c r="J417" s="74">
        <f>IF($C417="","",IF($D417="NO ENCONTRADO",IF(COUNTIF($C$7:$C$1000,$C417)&gt;1,"⚠️ No encontrado | Duplicado","⚠️ No encontrado"),IF(COUNTIF($C$7:$C$1000,$C417)&gt;1,"⚠️ Duplicado","Verificado")))</f>
        <v/>
      </c>
    </row>
    <row r="418" ht="15.75" customHeight="1" s="176">
      <c r="B418" s="80" t="n"/>
      <c r="C418" s="74" t="n"/>
      <c r="D418" s="74">
        <f t="array" ref="D418">IF($C418="","",IFNA(_xlfn.XLOOKUP($C418,Productos!$A:$A,Productos!$E:$E,IFNA(_xlfn.XLOOKUP(TEXT($C418,"0"),Productos!$A:$A,Productos!$E:$E,IFNA(_xlfn.XLOOKUP(IFERROR(VALUE($C418),""),Productos!$A:$A,Productos!$E:$E,_xlfn.XLOOKUP($C418,Productos!$E:$E,Productos!$E:$E,"NO ENCONTRADO")),"NO ENCONTRADO")),"NO ENCONTRADO")),"NO ENCONTRADO"))</f>
        <v/>
      </c>
      <c r="E418" s="74">
        <f t="array" ref="E418">IF(OR($D418="",$D418="NO ENCONTRADO"),"",_xlfn.XLOOKUP($D418,Productos!$E:$E,Productos!$H:$H,""))</f>
        <v/>
      </c>
      <c r="F418" s="74">
        <f t="array" ref="F418">IF(OR($D418="",$D418="NO ENCONTRADO"),"",_xlfn.XLOOKUP($D418,Productos!$E:$E,Productos!$I:$I,""))</f>
        <v/>
      </c>
      <c r="G418" s="74">
        <f t="array" ref="G418">IF(OR($D418="",$D418="NO ENCONTRADO"),"",_xlfn.XLOOKUP($D418,Productos!$E:$E,Productos!$J:$J,""))</f>
        <v/>
      </c>
      <c r="H418" s="74">
        <f t="array" ref="H418">IF(OR($D418="",$D418="NO ENCONTRADO"),"",_xlfn.XLOOKUP($D418,Productos!$E:$E,Productos!$K:$K,""))</f>
        <v/>
      </c>
      <c r="I418" s="74">
        <f t="array" ref="I418">IF(OR($D418="",$D418="NO ENCONTRADO"),"",_xlfn.XLOOKUP($D418,Productos!$E:$E,Productos!$F:$F,""))</f>
        <v/>
      </c>
      <c r="J418" s="74">
        <f>IF($C418="","",IF($D418="NO ENCONTRADO",IF(COUNTIF($C$7:$C$1000,$C418)&gt;1,"⚠️ No encontrado | Duplicado","⚠️ No encontrado"),IF(COUNTIF($C$7:$C$1000,$C418)&gt;1,"⚠️ Duplicado","Verificado")))</f>
        <v/>
      </c>
    </row>
    <row r="419" ht="15.75" customHeight="1" s="176">
      <c r="B419" s="80" t="n"/>
      <c r="C419" s="74" t="n"/>
      <c r="D419" s="74">
        <f t="array" ref="D419">IF($C419="","",IFNA(_xlfn.XLOOKUP($C419,Productos!$A:$A,Productos!$E:$E,IFNA(_xlfn.XLOOKUP(TEXT($C419,"0"),Productos!$A:$A,Productos!$E:$E,IFNA(_xlfn.XLOOKUP(IFERROR(VALUE($C419),""),Productos!$A:$A,Productos!$E:$E,_xlfn.XLOOKUP($C419,Productos!$E:$E,Productos!$E:$E,"NO ENCONTRADO")),"NO ENCONTRADO")),"NO ENCONTRADO")),"NO ENCONTRADO"))</f>
        <v/>
      </c>
      <c r="E419" s="74">
        <f t="array" ref="E419">IF(OR($D419="",$D419="NO ENCONTRADO"),"",_xlfn.XLOOKUP($D419,Productos!$E:$E,Productos!$H:$H,""))</f>
        <v/>
      </c>
      <c r="F419" s="74">
        <f t="array" ref="F419">IF(OR($D419="",$D419="NO ENCONTRADO"),"",_xlfn.XLOOKUP($D419,Productos!$E:$E,Productos!$I:$I,""))</f>
        <v/>
      </c>
      <c r="G419" s="74">
        <f t="array" ref="G419">IF(OR($D419="",$D419="NO ENCONTRADO"),"",_xlfn.XLOOKUP($D419,Productos!$E:$E,Productos!$J:$J,""))</f>
        <v/>
      </c>
      <c r="H419" s="74">
        <f t="array" ref="H419">IF(OR($D419="",$D419="NO ENCONTRADO"),"",_xlfn.XLOOKUP($D419,Productos!$E:$E,Productos!$K:$K,""))</f>
        <v/>
      </c>
      <c r="I419" s="74">
        <f t="array" ref="I419">IF(OR($D419="",$D419="NO ENCONTRADO"),"",_xlfn.XLOOKUP($D419,Productos!$E:$E,Productos!$F:$F,""))</f>
        <v/>
      </c>
      <c r="J419" s="74">
        <f>IF($C419="","",IF($D419="NO ENCONTRADO",IF(COUNTIF($C$7:$C$1000,$C419)&gt;1,"⚠️ No encontrado | Duplicado","⚠️ No encontrado"),IF(COUNTIF($C$7:$C$1000,$C419)&gt;1,"⚠️ Duplicado","Verificado")))</f>
        <v/>
      </c>
    </row>
    <row r="420" ht="15.75" customHeight="1" s="176">
      <c r="B420" s="80" t="n"/>
      <c r="C420" s="74" t="n"/>
      <c r="D420" s="74">
        <f t="array" ref="D420">IF($C420="","",IFNA(_xlfn.XLOOKUP($C420,Productos!$A:$A,Productos!$E:$E,IFNA(_xlfn.XLOOKUP(TEXT($C420,"0"),Productos!$A:$A,Productos!$E:$E,IFNA(_xlfn.XLOOKUP(IFERROR(VALUE($C420),""),Productos!$A:$A,Productos!$E:$E,_xlfn.XLOOKUP($C420,Productos!$E:$E,Productos!$E:$E,"NO ENCONTRADO")),"NO ENCONTRADO")),"NO ENCONTRADO")),"NO ENCONTRADO"))</f>
        <v/>
      </c>
      <c r="E420" s="74">
        <f t="array" ref="E420">IF(OR($D420="",$D420="NO ENCONTRADO"),"",_xlfn.XLOOKUP($D420,Productos!$E:$E,Productos!$H:$H,""))</f>
        <v/>
      </c>
      <c r="F420" s="74">
        <f t="array" ref="F420">IF(OR($D420="",$D420="NO ENCONTRADO"),"",_xlfn.XLOOKUP($D420,Productos!$E:$E,Productos!$I:$I,""))</f>
        <v/>
      </c>
      <c r="G420" s="74">
        <f t="array" ref="G420">IF(OR($D420="",$D420="NO ENCONTRADO"),"",_xlfn.XLOOKUP($D420,Productos!$E:$E,Productos!$J:$J,""))</f>
        <v/>
      </c>
      <c r="H420" s="74">
        <f t="array" ref="H420">IF(OR($D420="",$D420="NO ENCONTRADO"),"",_xlfn.XLOOKUP($D420,Productos!$E:$E,Productos!$K:$K,""))</f>
        <v/>
      </c>
      <c r="I420" s="74">
        <f t="array" ref="I420">IF(OR($D420="",$D420="NO ENCONTRADO"),"",_xlfn.XLOOKUP($D420,Productos!$E:$E,Productos!$F:$F,""))</f>
        <v/>
      </c>
      <c r="J420" s="74">
        <f>IF($C420="","",IF($D420="NO ENCONTRADO",IF(COUNTIF($C$7:$C$1000,$C420)&gt;1,"⚠️ No encontrado | Duplicado","⚠️ No encontrado"),IF(COUNTIF($C$7:$C$1000,$C420)&gt;1,"⚠️ Duplicado","Verificado")))</f>
        <v/>
      </c>
    </row>
    <row r="421" ht="15.75" customHeight="1" s="176">
      <c r="B421" s="80" t="n"/>
      <c r="C421" s="74" t="n"/>
      <c r="D421" s="74">
        <f t="array" ref="D421">IF($C421="","",IFNA(_xlfn.XLOOKUP($C421,Productos!$A:$A,Productos!$E:$E,IFNA(_xlfn.XLOOKUP(TEXT($C421,"0"),Productos!$A:$A,Productos!$E:$E,IFNA(_xlfn.XLOOKUP(IFERROR(VALUE($C421),""),Productos!$A:$A,Productos!$E:$E,_xlfn.XLOOKUP($C421,Productos!$E:$E,Productos!$E:$E,"NO ENCONTRADO")),"NO ENCONTRADO")),"NO ENCONTRADO")),"NO ENCONTRADO"))</f>
        <v/>
      </c>
      <c r="E421" s="74">
        <f t="array" ref="E421">IF(OR($D421="",$D421="NO ENCONTRADO"),"",_xlfn.XLOOKUP($D421,Productos!$E:$E,Productos!$H:$H,""))</f>
        <v/>
      </c>
      <c r="F421" s="74">
        <f t="array" ref="F421">IF(OR($D421="",$D421="NO ENCONTRADO"),"",_xlfn.XLOOKUP($D421,Productos!$E:$E,Productos!$I:$I,""))</f>
        <v/>
      </c>
      <c r="G421" s="74">
        <f t="array" ref="G421">IF(OR($D421="",$D421="NO ENCONTRADO"),"",_xlfn.XLOOKUP($D421,Productos!$E:$E,Productos!$J:$J,""))</f>
        <v/>
      </c>
      <c r="H421" s="74">
        <f t="array" ref="H421">IF(OR($D421="",$D421="NO ENCONTRADO"),"",_xlfn.XLOOKUP($D421,Productos!$E:$E,Productos!$K:$K,""))</f>
        <v/>
      </c>
      <c r="I421" s="74">
        <f t="array" ref="I421">IF(OR($D421="",$D421="NO ENCONTRADO"),"",_xlfn.XLOOKUP($D421,Productos!$E:$E,Productos!$F:$F,""))</f>
        <v/>
      </c>
      <c r="J421" s="74">
        <f>IF($C421="","",IF($D421="NO ENCONTRADO",IF(COUNTIF($C$7:$C$1000,$C421)&gt;1,"⚠️ No encontrado | Duplicado","⚠️ No encontrado"),IF(COUNTIF($C$7:$C$1000,$C421)&gt;1,"⚠️ Duplicado","Verificado")))</f>
        <v/>
      </c>
    </row>
    <row r="422" ht="15.75" customHeight="1" s="176">
      <c r="B422" s="80" t="n"/>
      <c r="C422" s="74" t="n"/>
      <c r="D422" s="74">
        <f t="array" ref="D422">IF($C422="","",IFNA(_xlfn.XLOOKUP($C422,Productos!$A:$A,Productos!$E:$E,IFNA(_xlfn.XLOOKUP(TEXT($C422,"0"),Productos!$A:$A,Productos!$E:$E,IFNA(_xlfn.XLOOKUP(IFERROR(VALUE($C422),""),Productos!$A:$A,Productos!$E:$E,_xlfn.XLOOKUP($C422,Productos!$E:$E,Productos!$E:$E,"NO ENCONTRADO")),"NO ENCONTRADO")),"NO ENCONTRADO")),"NO ENCONTRADO"))</f>
        <v/>
      </c>
      <c r="E422" s="74">
        <f t="array" ref="E422">IF(OR($D422="",$D422="NO ENCONTRADO"),"",_xlfn.XLOOKUP($D422,Productos!$E:$E,Productos!$H:$H,""))</f>
        <v/>
      </c>
      <c r="F422" s="74">
        <f t="array" ref="F422">IF(OR($D422="",$D422="NO ENCONTRADO"),"",_xlfn.XLOOKUP($D422,Productos!$E:$E,Productos!$I:$I,""))</f>
        <v/>
      </c>
      <c r="G422" s="74">
        <f t="array" ref="G422">IF(OR($D422="",$D422="NO ENCONTRADO"),"",_xlfn.XLOOKUP($D422,Productos!$E:$E,Productos!$J:$J,""))</f>
        <v/>
      </c>
      <c r="H422" s="74">
        <f t="array" ref="H422">IF(OR($D422="",$D422="NO ENCONTRADO"),"",_xlfn.XLOOKUP($D422,Productos!$E:$E,Productos!$K:$K,""))</f>
        <v/>
      </c>
      <c r="I422" s="74">
        <f t="array" ref="I422">IF(OR($D422="",$D422="NO ENCONTRADO"),"",_xlfn.XLOOKUP($D422,Productos!$E:$E,Productos!$F:$F,""))</f>
        <v/>
      </c>
      <c r="J422" s="74">
        <f>IF($C422="","",IF($D422="NO ENCONTRADO",IF(COUNTIF($C$7:$C$1000,$C422)&gt;1,"⚠️ No encontrado | Duplicado","⚠️ No encontrado"),IF(COUNTIF($C$7:$C$1000,$C422)&gt;1,"⚠️ Duplicado","Verificado")))</f>
        <v/>
      </c>
    </row>
    <row r="423" ht="15.75" customHeight="1" s="176">
      <c r="B423" s="80" t="n"/>
      <c r="C423" s="74" t="n"/>
      <c r="D423" s="74">
        <f t="array" ref="D423">IF($C423="","",IFNA(_xlfn.XLOOKUP($C423,Productos!$A:$A,Productos!$E:$E,IFNA(_xlfn.XLOOKUP(TEXT($C423,"0"),Productos!$A:$A,Productos!$E:$E,IFNA(_xlfn.XLOOKUP(IFERROR(VALUE($C423),""),Productos!$A:$A,Productos!$E:$E,_xlfn.XLOOKUP($C423,Productos!$E:$E,Productos!$E:$E,"NO ENCONTRADO")),"NO ENCONTRADO")),"NO ENCONTRADO")),"NO ENCONTRADO"))</f>
        <v/>
      </c>
      <c r="E423" s="74">
        <f t="array" ref="E423">IF(OR($D423="",$D423="NO ENCONTRADO"),"",_xlfn.XLOOKUP($D423,Productos!$E:$E,Productos!$H:$H,""))</f>
        <v/>
      </c>
      <c r="F423" s="74">
        <f t="array" ref="F423">IF(OR($D423="",$D423="NO ENCONTRADO"),"",_xlfn.XLOOKUP($D423,Productos!$E:$E,Productos!$I:$I,""))</f>
        <v/>
      </c>
      <c r="G423" s="74">
        <f t="array" ref="G423">IF(OR($D423="",$D423="NO ENCONTRADO"),"",_xlfn.XLOOKUP($D423,Productos!$E:$E,Productos!$J:$J,""))</f>
        <v/>
      </c>
      <c r="H423" s="74">
        <f t="array" ref="H423">IF(OR($D423="",$D423="NO ENCONTRADO"),"",_xlfn.XLOOKUP($D423,Productos!$E:$E,Productos!$K:$K,""))</f>
        <v/>
      </c>
      <c r="I423" s="74">
        <f t="array" ref="I423">IF(OR($D423="",$D423="NO ENCONTRADO"),"",_xlfn.XLOOKUP($D423,Productos!$E:$E,Productos!$F:$F,""))</f>
        <v/>
      </c>
      <c r="J423" s="74">
        <f>IF($C423="","",IF($D423="NO ENCONTRADO",IF(COUNTIF($C$7:$C$1000,$C423)&gt;1,"⚠️ No encontrado | Duplicado","⚠️ No encontrado"),IF(COUNTIF($C$7:$C$1000,$C423)&gt;1,"⚠️ Duplicado","Verificado")))</f>
        <v/>
      </c>
    </row>
    <row r="424" ht="15.75" customHeight="1" s="176">
      <c r="B424" s="80" t="n"/>
      <c r="C424" s="74" t="n"/>
      <c r="D424" s="74">
        <f t="array" ref="D424">IF($C424="","",IFNA(_xlfn.XLOOKUP($C424,Productos!$A:$A,Productos!$E:$E,IFNA(_xlfn.XLOOKUP(TEXT($C424,"0"),Productos!$A:$A,Productos!$E:$E,IFNA(_xlfn.XLOOKUP(IFERROR(VALUE($C424),""),Productos!$A:$A,Productos!$E:$E,_xlfn.XLOOKUP($C424,Productos!$E:$E,Productos!$E:$E,"NO ENCONTRADO")),"NO ENCONTRADO")),"NO ENCONTRADO")),"NO ENCONTRADO"))</f>
        <v/>
      </c>
      <c r="E424" s="74">
        <f t="array" ref="E424">IF(OR($D424="",$D424="NO ENCONTRADO"),"",_xlfn.XLOOKUP($D424,Productos!$E:$E,Productos!$H:$H,""))</f>
        <v/>
      </c>
      <c r="F424" s="74">
        <f t="array" ref="F424">IF(OR($D424="",$D424="NO ENCONTRADO"),"",_xlfn.XLOOKUP($D424,Productos!$E:$E,Productos!$I:$I,""))</f>
        <v/>
      </c>
      <c r="G424" s="74">
        <f t="array" ref="G424">IF(OR($D424="",$D424="NO ENCONTRADO"),"",_xlfn.XLOOKUP($D424,Productos!$E:$E,Productos!$J:$J,""))</f>
        <v/>
      </c>
      <c r="H424" s="74">
        <f t="array" ref="H424">IF(OR($D424="",$D424="NO ENCONTRADO"),"",_xlfn.XLOOKUP($D424,Productos!$E:$E,Productos!$K:$K,""))</f>
        <v/>
      </c>
      <c r="I424" s="74">
        <f t="array" ref="I424">IF(OR($D424="",$D424="NO ENCONTRADO"),"",_xlfn.XLOOKUP($D424,Productos!$E:$E,Productos!$F:$F,""))</f>
        <v/>
      </c>
      <c r="J424" s="74">
        <f>IF($C424="","",IF($D424="NO ENCONTRADO",IF(COUNTIF($C$7:$C$1000,$C424)&gt;1,"⚠️ No encontrado | Duplicado","⚠️ No encontrado"),IF(COUNTIF($C$7:$C$1000,$C424)&gt;1,"⚠️ Duplicado","Verificado")))</f>
        <v/>
      </c>
    </row>
    <row r="425" ht="15.75" customHeight="1" s="176">
      <c r="B425" s="80" t="n"/>
      <c r="C425" s="74" t="n"/>
      <c r="D425" s="74">
        <f t="array" ref="D425">IF($C425="","",IFNA(_xlfn.XLOOKUP($C425,Productos!$A:$A,Productos!$E:$E,IFNA(_xlfn.XLOOKUP(TEXT($C425,"0"),Productos!$A:$A,Productos!$E:$E,IFNA(_xlfn.XLOOKUP(IFERROR(VALUE($C425),""),Productos!$A:$A,Productos!$E:$E,_xlfn.XLOOKUP($C425,Productos!$E:$E,Productos!$E:$E,"NO ENCONTRADO")),"NO ENCONTRADO")),"NO ENCONTRADO")),"NO ENCONTRADO"))</f>
        <v/>
      </c>
      <c r="E425" s="74">
        <f t="array" ref="E425">IF(OR($D425="",$D425="NO ENCONTRADO"),"",_xlfn.XLOOKUP($D425,Productos!$E:$E,Productos!$H:$H,""))</f>
        <v/>
      </c>
      <c r="F425" s="74">
        <f t="array" ref="F425">IF(OR($D425="",$D425="NO ENCONTRADO"),"",_xlfn.XLOOKUP($D425,Productos!$E:$E,Productos!$I:$I,""))</f>
        <v/>
      </c>
      <c r="G425" s="74">
        <f t="array" ref="G425">IF(OR($D425="",$D425="NO ENCONTRADO"),"",_xlfn.XLOOKUP($D425,Productos!$E:$E,Productos!$J:$J,""))</f>
        <v/>
      </c>
      <c r="H425" s="74">
        <f t="array" ref="H425">IF(OR($D425="",$D425="NO ENCONTRADO"),"",_xlfn.XLOOKUP($D425,Productos!$E:$E,Productos!$K:$K,""))</f>
        <v/>
      </c>
      <c r="I425" s="74">
        <f t="array" ref="I425">IF(OR($D425="",$D425="NO ENCONTRADO"),"",_xlfn.XLOOKUP($D425,Productos!$E:$E,Productos!$F:$F,""))</f>
        <v/>
      </c>
      <c r="J425" s="74">
        <f>IF($C425="","",IF($D425="NO ENCONTRADO",IF(COUNTIF($C$7:$C$1000,$C425)&gt;1,"⚠️ No encontrado | Duplicado","⚠️ No encontrado"),IF(COUNTIF($C$7:$C$1000,$C425)&gt;1,"⚠️ Duplicado","Verificado")))</f>
        <v/>
      </c>
    </row>
    <row r="426" ht="15.75" customHeight="1" s="176">
      <c r="B426" s="80" t="n"/>
      <c r="C426" s="74" t="n"/>
      <c r="D426" s="74">
        <f t="array" ref="D426">IF($C426="","",IFNA(_xlfn.XLOOKUP($C426,Productos!$A:$A,Productos!$E:$E,IFNA(_xlfn.XLOOKUP(TEXT($C426,"0"),Productos!$A:$A,Productos!$E:$E,IFNA(_xlfn.XLOOKUP(IFERROR(VALUE($C426),""),Productos!$A:$A,Productos!$E:$E,_xlfn.XLOOKUP($C426,Productos!$E:$E,Productos!$E:$E,"NO ENCONTRADO")),"NO ENCONTRADO")),"NO ENCONTRADO")),"NO ENCONTRADO"))</f>
        <v/>
      </c>
      <c r="E426" s="74">
        <f t="array" ref="E426">IF(OR($D426="",$D426="NO ENCONTRADO"),"",_xlfn.XLOOKUP($D426,Productos!$E:$E,Productos!$H:$H,""))</f>
        <v/>
      </c>
      <c r="F426" s="74">
        <f t="array" ref="F426">IF(OR($D426="",$D426="NO ENCONTRADO"),"",_xlfn.XLOOKUP($D426,Productos!$E:$E,Productos!$I:$I,""))</f>
        <v/>
      </c>
      <c r="G426" s="74">
        <f t="array" ref="G426">IF(OR($D426="",$D426="NO ENCONTRADO"),"",_xlfn.XLOOKUP($D426,Productos!$E:$E,Productos!$J:$J,""))</f>
        <v/>
      </c>
      <c r="H426" s="74">
        <f t="array" ref="H426">IF(OR($D426="",$D426="NO ENCONTRADO"),"",_xlfn.XLOOKUP($D426,Productos!$E:$E,Productos!$K:$K,""))</f>
        <v/>
      </c>
      <c r="I426" s="74">
        <f t="array" ref="I426">IF(OR($D426="",$D426="NO ENCONTRADO"),"",_xlfn.XLOOKUP($D426,Productos!$E:$E,Productos!$F:$F,""))</f>
        <v/>
      </c>
      <c r="J426" s="74">
        <f>IF($C426="","",IF($D426="NO ENCONTRADO",IF(COUNTIF($C$7:$C$1000,$C426)&gt;1,"⚠️ No encontrado | Duplicado","⚠️ No encontrado"),IF(COUNTIF($C$7:$C$1000,$C426)&gt;1,"⚠️ Duplicado","Verificado")))</f>
        <v/>
      </c>
    </row>
    <row r="427" ht="15.75" customHeight="1" s="176">
      <c r="B427" s="80" t="n"/>
      <c r="C427" s="74" t="n"/>
      <c r="D427" s="74">
        <f t="array" ref="D427">IF($C427="","",IFNA(_xlfn.XLOOKUP($C427,Productos!$A:$A,Productos!$E:$E,IFNA(_xlfn.XLOOKUP(TEXT($C427,"0"),Productos!$A:$A,Productos!$E:$E,IFNA(_xlfn.XLOOKUP(IFERROR(VALUE($C427),""),Productos!$A:$A,Productos!$E:$E,_xlfn.XLOOKUP($C427,Productos!$E:$E,Productos!$E:$E,"NO ENCONTRADO")),"NO ENCONTRADO")),"NO ENCONTRADO")),"NO ENCONTRADO"))</f>
        <v/>
      </c>
      <c r="E427" s="74">
        <f t="array" ref="E427">IF(OR($D427="",$D427="NO ENCONTRADO"),"",_xlfn.XLOOKUP($D427,Productos!$E:$E,Productos!$H:$H,""))</f>
        <v/>
      </c>
      <c r="F427" s="74">
        <f t="array" ref="F427">IF(OR($D427="",$D427="NO ENCONTRADO"),"",_xlfn.XLOOKUP($D427,Productos!$E:$E,Productos!$I:$I,""))</f>
        <v/>
      </c>
      <c r="G427" s="74">
        <f t="array" ref="G427">IF(OR($D427="",$D427="NO ENCONTRADO"),"",_xlfn.XLOOKUP($D427,Productos!$E:$E,Productos!$J:$J,""))</f>
        <v/>
      </c>
      <c r="H427" s="74">
        <f t="array" ref="H427">IF(OR($D427="",$D427="NO ENCONTRADO"),"",_xlfn.XLOOKUP($D427,Productos!$E:$E,Productos!$K:$K,""))</f>
        <v/>
      </c>
      <c r="I427" s="74">
        <f t="array" ref="I427">IF(OR($D427="",$D427="NO ENCONTRADO"),"",_xlfn.XLOOKUP($D427,Productos!$E:$E,Productos!$F:$F,""))</f>
        <v/>
      </c>
      <c r="J427" s="74">
        <f>IF($C427="","",IF($D427="NO ENCONTRADO",IF(COUNTIF($C$7:$C$1000,$C427)&gt;1,"⚠️ No encontrado | Duplicado","⚠️ No encontrado"),IF(COUNTIF($C$7:$C$1000,$C427)&gt;1,"⚠️ Duplicado","Verificado")))</f>
        <v/>
      </c>
    </row>
    <row r="428" ht="15.75" customHeight="1" s="176">
      <c r="B428" s="80" t="n"/>
      <c r="C428" s="74" t="n"/>
      <c r="D428" s="74">
        <f t="array" ref="D428">IF($C428="","",IFNA(_xlfn.XLOOKUP($C428,Productos!$A:$A,Productos!$E:$E,IFNA(_xlfn.XLOOKUP(TEXT($C428,"0"),Productos!$A:$A,Productos!$E:$E,IFNA(_xlfn.XLOOKUP(IFERROR(VALUE($C428),""),Productos!$A:$A,Productos!$E:$E,_xlfn.XLOOKUP($C428,Productos!$E:$E,Productos!$E:$E,"NO ENCONTRADO")),"NO ENCONTRADO")),"NO ENCONTRADO")),"NO ENCONTRADO"))</f>
        <v/>
      </c>
      <c r="E428" s="74">
        <f t="array" ref="E428">IF(OR($D428="",$D428="NO ENCONTRADO"),"",_xlfn.XLOOKUP($D428,Productos!$E:$E,Productos!$H:$H,""))</f>
        <v/>
      </c>
      <c r="F428" s="74">
        <f t="array" ref="F428">IF(OR($D428="",$D428="NO ENCONTRADO"),"",_xlfn.XLOOKUP($D428,Productos!$E:$E,Productos!$I:$I,""))</f>
        <v/>
      </c>
      <c r="G428" s="74">
        <f t="array" ref="G428">IF(OR($D428="",$D428="NO ENCONTRADO"),"",_xlfn.XLOOKUP($D428,Productos!$E:$E,Productos!$J:$J,""))</f>
        <v/>
      </c>
      <c r="H428" s="74">
        <f t="array" ref="H428">IF(OR($D428="",$D428="NO ENCONTRADO"),"",_xlfn.XLOOKUP($D428,Productos!$E:$E,Productos!$K:$K,""))</f>
        <v/>
      </c>
      <c r="I428" s="74">
        <f t="array" ref="I428">IF(OR($D428="",$D428="NO ENCONTRADO"),"",_xlfn.XLOOKUP($D428,Productos!$E:$E,Productos!$F:$F,""))</f>
        <v/>
      </c>
      <c r="J428" s="74">
        <f>IF($C428="","",IF($D428="NO ENCONTRADO",IF(COUNTIF($C$7:$C$1000,$C428)&gt;1,"⚠️ No encontrado | Duplicado","⚠️ No encontrado"),IF(COUNTIF($C$7:$C$1000,$C428)&gt;1,"⚠️ Duplicado","Verificado")))</f>
        <v/>
      </c>
    </row>
    <row r="429" ht="15.75" customHeight="1" s="176">
      <c r="B429" s="80" t="n"/>
      <c r="C429" s="74" t="n"/>
      <c r="D429" s="74">
        <f t="array" ref="D429">IF($C429="","",IFNA(_xlfn.XLOOKUP($C429,Productos!$A:$A,Productos!$E:$E,IFNA(_xlfn.XLOOKUP(TEXT($C429,"0"),Productos!$A:$A,Productos!$E:$E,IFNA(_xlfn.XLOOKUP(IFERROR(VALUE($C429),""),Productos!$A:$A,Productos!$E:$E,_xlfn.XLOOKUP($C429,Productos!$E:$E,Productos!$E:$E,"NO ENCONTRADO")),"NO ENCONTRADO")),"NO ENCONTRADO")),"NO ENCONTRADO"))</f>
        <v/>
      </c>
      <c r="E429" s="74">
        <f t="array" ref="E429">IF(OR($D429="",$D429="NO ENCONTRADO"),"",_xlfn.XLOOKUP($D429,Productos!$E:$E,Productos!$H:$H,""))</f>
        <v/>
      </c>
      <c r="F429" s="74">
        <f t="array" ref="F429">IF(OR($D429="",$D429="NO ENCONTRADO"),"",_xlfn.XLOOKUP($D429,Productos!$E:$E,Productos!$I:$I,""))</f>
        <v/>
      </c>
      <c r="G429" s="74">
        <f t="array" ref="G429">IF(OR($D429="",$D429="NO ENCONTRADO"),"",_xlfn.XLOOKUP($D429,Productos!$E:$E,Productos!$J:$J,""))</f>
        <v/>
      </c>
      <c r="H429" s="74">
        <f t="array" ref="H429">IF(OR($D429="",$D429="NO ENCONTRADO"),"",_xlfn.XLOOKUP($D429,Productos!$E:$E,Productos!$K:$K,""))</f>
        <v/>
      </c>
      <c r="I429" s="74">
        <f t="array" ref="I429">IF(OR($D429="",$D429="NO ENCONTRADO"),"",_xlfn.XLOOKUP($D429,Productos!$E:$E,Productos!$F:$F,""))</f>
        <v/>
      </c>
      <c r="J429" s="74">
        <f>IF($C429="","",IF($D429="NO ENCONTRADO",IF(COUNTIF($C$7:$C$1000,$C429)&gt;1,"⚠️ No encontrado | Duplicado","⚠️ No encontrado"),IF(COUNTIF($C$7:$C$1000,$C429)&gt;1,"⚠️ Duplicado","Verificado")))</f>
        <v/>
      </c>
    </row>
    <row r="430" ht="15.75" customHeight="1" s="176">
      <c r="B430" s="80" t="n"/>
      <c r="C430" s="74" t="n"/>
      <c r="D430" s="74">
        <f t="array" ref="D430">IF($C430="","",IFNA(_xlfn.XLOOKUP($C430,Productos!$A:$A,Productos!$E:$E,IFNA(_xlfn.XLOOKUP(TEXT($C430,"0"),Productos!$A:$A,Productos!$E:$E,IFNA(_xlfn.XLOOKUP(IFERROR(VALUE($C430),""),Productos!$A:$A,Productos!$E:$E,_xlfn.XLOOKUP($C430,Productos!$E:$E,Productos!$E:$E,"NO ENCONTRADO")),"NO ENCONTRADO")),"NO ENCONTRADO")),"NO ENCONTRADO"))</f>
        <v/>
      </c>
      <c r="E430" s="74">
        <f t="array" ref="E430">IF(OR($D430="",$D430="NO ENCONTRADO"),"",_xlfn.XLOOKUP($D430,Productos!$E:$E,Productos!$H:$H,""))</f>
        <v/>
      </c>
      <c r="F430" s="74">
        <f t="array" ref="F430">IF(OR($D430="",$D430="NO ENCONTRADO"),"",_xlfn.XLOOKUP($D430,Productos!$E:$E,Productos!$I:$I,""))</f>
        <v/>
      </c>
      <c r="G430" s="74">
        <f t="array" ref="G430">IF(OR($D430="",$D430="NO ENCONTRADO"),"",_xlfn.XLOOKUP($D430,Productos!$E:$E,Productos!$J:$J,""))</f>
        <v/>
      </c>
      <c r="H430" s="74">
        <f t="array" ref="H430">IF(OR($D430="",$D430="NO ENCONTRADO"),"",_xlfn.XLOOKUP($D430,Productos!$E:$E,Productos!$K:$K,""))</f>
        <v/>
      </c>
      <c r="I430" s="74">
        <f t="array" ref="I430">IF(OR($D430="",$D430="NO ENCONTRADO"),"",_xlfn.XLOOKUP($D430,Productos!$E:$E,Productos!$F:$F,""))</f>
        <v/>
      </c>
      <c r="J430" s="74">
        <f>IF($C430="","",IF($D430="NO ENCONTRADO",IF(COUNTIF($C$7:$C$1000,$C430)&gt;1,"⚠️ No encontrado | Duplicado","⚠️ No encontrado"),IF(COUNTIF($C$7:$C$1000,$C430)&gt;1,"⚠️ Duplicado","Verificado")))</f>
        <v/>
      </c>
    </row>
    <row r="431" ht="15.75" customHeight="1" s="176">
      <c r="B431" s="80" t="n"/>
      <c r="C431" s="74" t="n"/>
      <c r="D431" s="74">
        <f t="array" ref="D431">IF($C431="","",IFNA(_xlfn.XLOOKUP($C431,Productos!$A:$A,Productos!$E:$E,IFNA(_xlfn.XLOOKUP(TEXT($C431,"0"),Productos!$A:$A,Productos!$E:$E,IFNA(_xlfn.XLOOKUP(IFERROR(VALUE($C431),""),Productos!$A:$A,Productos!$E:$E,_xlfn.XLOOKUP($C431,Productos!$E:$E,Productos!$E:$E,"NO ENCONTRADO")),"NO ENCONTRADO")),"NO ENCONTRADO")),"NO ENCONTRADO"))</f>
        <v/>
      </c>
      <c r="E431" s="74">
        <f t="array" ref="E431">IF(OR($D431="",$D431="NO ENCONTRADO"),"",_xlfn.XLOOKUP($D431,Productos!$E:$E,Productos!$H:$H,""))</f>
        <v/>
      </c>
      <c r="F431" s="74">
        <f t="array" ref="F431">IF(OR($D431="",$D431="NO ENCONTRADO"),"",_xlfn.XLOOKUP($D431,Productos!$E:$E,Productos!$I:$I,""))</f>
        <v/>
      </c>
      <c r="G431" s="74">
        <f t="array" ref="G431">IF(OR($D431="",$D431="NO ENCONTRADO"),"",_xlfn.XLOOKUP($D431,Productos!$E:$E,Productos!$J:$J,""))</f>
        <v/>
      </c>
      <c r="H431" s="74">
        <f t="array" ref="H431">IF(OR($D431="",$D431="NO ENCONTRADO"),"",_xlfn.XLOOKUP($D431,Productos!$E:$E,Productos!$K:$K,""))</f>
        <v/>
      </c>
      <c r="I431" s="74">
        <f t="array" ref="I431">IF(OR($D431="",$D431="NO ENCONTRADO"),"",_xlfn.XLOOKUP($D431,Productos!$E:$E,Productos!$F:$F,""))</f>
        <v/>
      </c>
      <c r="J431" s="74">
        <f>IF($C431="","",IF($D431="NO ENCONTRADO",IF(COUNTIF($C$7:$C$1000,$C431)&gt;1,"⚠️ No encontrado | Duplicado","⚠️ No encontrado"),IF(COUNTIF($C$7:$C$1000,$C431)&gt;1,"⚠️ Duplicado","Verificado")))</f>
        <v/>
      </c>
    </row>
    <row r="432" ht="15.75" customHeight="1" s="176">
      <c r="B432" s="80" t="n"/>
      <c r="C432" s="74" t="n"/>
      <c r="D432" s="74">
        <f t="array" ref="D432">IF($C432="","",IFNA(_xlfn.XLOOKUP($C432,Productos!$A:$A,Productos!$E:$E,IFNA(_xlfn.XLOOKUP(TEXT($C432,"0"),Productos!$A:$A,Productos!$E:$E,IFNA(_xlfn.XLOOKUP(IFERROR(VALUE($C432),""),Productos!$A:$A,Productos!$E:$E,_xlfn.XLOOKUP($C432,Productos!$E:$E,Productos!$E:$E,"NO ENCONTRADO")),"NO ENCONTRADO")),"NO ENCONTRADO")),"NO ENCONTRADO"))</f>
        <v/>
      </c>
      <c r="E432" s="74">
        <f t="array" ref="E432">IF(OR($D432="",$D432="NO ENCONTRADO"),"",_xlfn.XLOOKUP($D432,Productos!$E:$E,Productos!$H:$H,""))</f>
        <v/>
      </c>
      <c r="F432" s="74">
        <f t="array" ref="F432">IF(OR($D432="",$D432="NO ENCONTRADO"),"",_xlfn.XLOOKUP($D432,Productos!$E:$E,Productos!$I:$I,""))</f>
        <v/>
      </c>
      <c r="G432" s="74">
        <f t="array" ref="G432">IF(OR($D432="",$D432="NO ENCONTRADO"),"",_xlfn.XLOOKUP($D432,Productos!$E:$E,Productos!$J:$J,""))</f>
        <v/>
      </c>
      <c r="H432" s="74">
        <f t="array" ref="H432">IF(OR($D432="",$D432="NO ENCONTRADO"),"",_xlfn.XLOOKUP($D432,Productos!$E:$E,Productos!$K:$K,""))</f>
        <v/>
      </c>
      <c r="I432" s="74">
        <f t="array" ref="I432">IF(OR($D432="",$D432="NO ENCONTRADO"),"",_xlfn.XLOOKUP($D432,Productos!$E:$E,Productos!$F:$F,""))</f>
        <v/>
      </c>
      <c r="J432" s="74">
        <f>IF($C432="","",IF($D432="NO ENCONTRADO",IF(COUNTIF($C$7:$C$1000,$C432)&gt;1,"⚠️ No encontrado | Duplicado","⚠️ No encontrado"),IF(COUNTIF($C$7:$C$1000,$C432)&gt;1,"⚠️ Duplicado","Verificado")))</f>
        <v/>
      </c>
    </row>
    <row r="433" ht="15.75" customHeight="1" s="176">
      <c r="B433" s="80" t="n"/>
      <c r="C433" s="74" t="n"/>
      <c r="D433" s="74">
        <f t="array" ref="D433">IF($C433="","",IFNA(_xlfn.XLOOKUP($C433,Productos!$A:$A,Productos!$E:$E,IFNA(_xlfn.XLOOKUP(TEXT($C433,"0"),Productos!$A:$A,Productos!$E:$E,IFNA(_xlfn.XLOOKUP(IFERROR(VALUE($C433),""),Productos!$A:$A,Productos!$E:$E,_xlfn.XLOOKUP($C433,Productos!$E:$E,Productos!$E:$E,"NO ENCONTRADO")),"NO ENCONTRADO")),"NO ENCONTRADO")),"NO ENCONTRADO"))</f>
        <v/>
      </c>
      <c r="E433" s="74">
        <f t="array" ref="E433">IF(OR($D433="",$D433="NO ENCONTRADO"),"",_xlfn.XLOOKUP($D433,Productos!$E:$E,Productos!$H:$H,""))</f>
        <v/>
      </c>
      <c r="F433" s="74">
        <f t="array" ref="F433">IF(OR($D433="",$D433="NO ENCONTRADO"),"",_xlfn.XLOOKUP($D433,Productos!$E:$E,Productos!$I:$I,""))</f>
        <v/>
      </c>
      <c r="G433" s="74">
        <f t="array" ref="G433">IF(OR($D433="",$D433="NO ENCONTRADO"),"",_xlfn.XLOOKUP($D433,Productos!$E:$E,Productos!$J:$J,""))</f>
        <v/>
      </c>
      <c r="H433" s="74">
        <f t="array" ref="H433">IF(OR($D433="",$D433="NO ENCONTRADO"),"",_xlfn.XLOOKUP($D433,Productos!$E:$E,Productos!$K:$K,""))</f>
        <v/>
      </c>
      <c r="I433" s="74">
        <f t="array" ref="I433">IF(OR($D433="",$D433="NO ENCONTRADO"),"",_xlfn.XLOOKUP($D433,Productos!$E:$E,Productos!$F:$F,""))</f>
        <v/>
      </c>
      <c r="J433" s="74">
        <f>IF($C433="","",IF($D433="NO ENCONTRADO",IF(COUNTIF($C$7:$C$1000,$C433)&gt;1,"⚠️ No encontrado | Duplicado","⚠️ No encontrado"),IF(COUNTIF($C$7:$C$1000,$C433)&gt;1,"⚠️ Duplicado","Verificado")))</f>
        <v/>
      </c>
    </row>
    <row r="434" ht="15.75" customHeight="1" s="176">
      <c r="B434" s="80" t="n"/>
      <c r="C434" s="74" t="n"/>
      <c r="D434" s="74">
        <f t="array" ref="D434">IF($C434="","",IFNA(_xlfn.XLOOKUP($C434,Productos!$A:$A,Productos!$E:$E,IFNA(_xlfn.XLOOKUP(TEXT($C434,"0"),Productos!$A:$A,Productos!$E:$E,IFNA(_xlfn.XLOOKUP(IFERROR(VALUE($C434),""),Productos!$A:$A,Productos!$E:$E,_xlfn.XLOOKUP($C434,Productos!$E:$E,Productos!$E:$E,"NO ENCONTRADO")),"NO ENCONTRADO")),"NO ENCONTRADO")),"NO ENCONTRADO"))</f>
        <v/>
      </c>
      <c r="E434" s="74">
        <f t="array" ref="E434">IF(OR($D434="",$D434="NO ENCONTRADO"),"",_xlfn.XLOOKUP($D434,Productos!$E:$E,Productos!$H:$H,""))</f>
        <v/>
      </c>
      <c r="F434" s="74">
        <f t="array" ref="F434">IF(OR($D434="",$D434="NO ENCONTRADO"),"",_xlfn.XLOOKUP($D434,Productos!$E:$E,Productos!$I:$I,""))</f>
        <v/>
      </c>
      <c r="G434" s="74">
        <f t="array" ref="G434">IF(OR($D434="",$D434="NO ENCONTRADO"),"",_xlfn.XLOOKUP($D434,Productos!$E:$E,Productos!$J:$J,""))</f>
        <v/>
      </c>
      <c r="H434" s="74">
        <f t="array" ref="H434">IF(OR($D434="",$D434="NO ENCONTRADO"),"",_xlfn.XLOOKUP($D434,Productos!$E:$E,Productos!$K:$K,""))</f>
        <v/>
      </c>
      <c r="I434" s="74">
        <f t="array" ref="I434">IF(OR($D434="",$D434="NO ENCONTRADO"),"",_xlfn.XLOOKUP($D434,Productos!$E:$E,Productos!$F:$F,""))</f>
        <v/>
      </c>
      <c r="J434" s="74">
        <f>IF($C434="","",IF($D434="NO ENCONTRADO",IF(COUNTIF($C$7:$C$1000,$C434)&gt;1,"⚠️ No encontrado | Duplicado","⚠️ No encontrado"),IF(COUNTIF($C$7:$C$1000,$C434)&gt;1,"⚠️ Duplicado","Verificado")))</f>
        <v/>
      </c>
    </row>
    <row r="435" ht="15.75" customHeight="1" s="176">
      <c r="B435" s="80" t="n"/>
      <c r="C435" s="74" t="n"/>
      <c r="D435" s="74">
        <f t="array" ref="D435">IF($C435="","",IFNA(_xlfn.XLOOKUP($C435,Productos!$A:$A,Productos!$E:$E,IFNA(_xlfn.XLOOKUP(TEXT($C435,"0"),Productos!$A:$A,Productos!$E:$E,IFNA(_xlfn.XLOOKUP(IFERROR(VALUE($C435),""),Productos!$A:$A,Productos!$E:$E,_xlfn.XLOOKUP($C435,Productos!$E:$E,Productos!$E:$E,"NO ENCONTRADO")),"NO ENCONTRADO")),"NO ENCONTRADO")),"NO ENCONTRADO"))</f>
        <v/>
      </c>
      <c r="E435" s="74">
        <f t="array" ref="E435">IF(OR($D435="",$D435="NO ENCONTRADO"),"",_xlfn.XLOOKUP($D435,Productos!$E:$E,Productos!$H:$H,""))</f>
        <v/>
      </c>
      <c r="F435" s="74">
        <f t="array" ref="F435">IF(OR($D435="",$D435="NO ENCONTRADO"),"",_xlfn.XLOOKUP($D435,Productos!$E:$E,Productos!$I:$I,""))</f>
        <v/>
      </c>
      <c r="G435" s="74">
        <f t="array" ref="G435">IF(OR($D435="",$D435="NO ENCONTRADO"),"",_xlfn.XLOOKUP($D435,Productos!$E:$E,Productos!$J:$J,""))</f>
        <v/>
      </c>
      <c r="H435" s="74">
        <f t="array" ref="H435">IF(OR($D435="",$D435="NO ENCONTRADO"),"",_xlfn.XLOOKUP($D435,Productos!$E:$E,Productos!$K:$K,""))</f>
        <v/>
      </c>
      <c r="I435" s="74">
        <f t="array" ref="I435">IF(OR($D435="",$D435="NO ENCONTRADO"),"",_xlfn.XLOOKUP($D435,Productos!$E:$E,Productos!$F:$F,""))</f>
        <v/>
      </c>
      <c r="J435" s="74">
        <f>IF($C435="","",IF($D435="NO ENCONTRADO",IF(COUNTIF($C$7:$C$1000,$C435)&gt;1,"⚠️ No encontrado | Duplicado","⚠️ No encontrado"),IF(COUNTIF($C$7:$C$1000,$C435)&gt;1,"⚠️ Duplicado","Verificado")))</f>
        <v/>
      </c>
    </row>
    <row r="436" ht="15.75" customHeight="1" s="176">
      <c r="B436" s="80" t="n"/>
      <c r="C436" s="74" t="n"/>
      <c r="D436" s="74">
        <f t="array" ref="D436">IF($C436="","",IFNA(_xlfn.XLOOKUP($C436,Productos!$A:$A,Productos!$E:$E,IFNA(_xlfn.XLOOKUP(TEXT($C436,"0"),Productos!$A:$A,Productos!$E:$E,IFNA(_xlfn.XLOOKUP(IFERROR(VALUE($C436),""),Productos!$A:$A,Productos!$E:$E,_xlfn.XLOOKUP($C436,Productos!$E:$E,Productos!$E:$E,"NO ENCONTRADO")),"NO ENCONTRADO")),"NO ENCONTRADO")),"NO ENCONTRADO"))</f>
        <v/>
      </c>
      <c r="E436" s="74">
        <f t="array" ref="E436">IF(OR($D436="",$D436="NO ENCONTRADO"),"",_xlfn.XLOOKUP($D436,Productos!$E:$E,Productos!$H:$H,""))</f>
        <v/>
      </c>
      <c r="F436" s="74">
        <f t="array" ref="F436">IF(OR($D436="",$D436="NO ENCONTRADO"),"",_xlfn.XLOOKUP($D436,Productos!$E:$E,Productos!$I:$I,""))</f>
        <v/>
      </c>
      <c r="G436" s="74">
        <f t="array" ref="G436">IF(OR($D436="",$D436="NO ENCONTRADO"),"",_xlfn.XLOOKUP($D436,Productos!$E:$E,Productos!$J:$J,""))</f>
        <v/>
      </c>
      <c r="H436" s="74">
        <f t="array" ref="H436">IF(OR($D436="",$D436="NO ENCONTRADO"),"",_xlfn.XLOOKUP($D436,Productos!$E:$E,Productos!$K:$K,""))</f>
        <v/>
      </c>
      <c r="I436" s="74">
        <f t="array" ref="I436">IF(OR($D436="",$D436="NO ENCONTRADO"),"",_xlfn.XLOOKUP($D436,Productos!$E:$E,Productos!$F:$F,""))</f>
        <v/>
      </c>
      <c r="J436" s="74">
        <f>IF($C436="","",IF($D436="NO ENCONTRADO",IF(COUNTIF($C$7:$C$1000,$C436)&gt;1,"⚠️ No encontrado | Duplicado","⚠️ No encontrado"),IF(COUNTIF($C$7:$C$1000,$C436)&gt;1,"⚠️ Duplicado","Verificado")))</f>
        <v/>
      </c>
    </row>
    <row r="437" ht="15.75" customHeight="1" s="176">
      <c r="B437" s="80" t="n"/>
      <c r="C437" s="74" t="n"/>
      <c r="D437" s="74">
        <f t="array" ref="D437">IF($C437="","",IFNA(_xlfn.XLOOKUP($C437,Productos!$A:$A,Productos!$E:$E,IFNA(_xlfn.XLOOKUP(TEXT($C437,"0"),Productos!$A:$A,Productos!$E:$E,IFNA(_xlfn.XLOOKUP(IFERROR(VALUE($C437),""),Productos!$A:$A,Productos!$E:$E,_xlfn.XLOOKUP($C437,Productos!$E:$E,Productos!$E:$E,"NO ENCONTRADO")),"NO ENCONTRADO")),"NO ENCONTRADO")),"NO ENCONTRADO"))</f>
        <v/>
      </c>
      <c r="E437" s="74">
        <f t="array" ref="E437">IF(OR($D437="",$D437="NO ENCONTRADO"),"",_xlfn.XLOOKUP($D437,Productos!$E:$E,Productos!$H:$H,""))</f>
        <v/>
      </c>
      <c r="F437" s="74">
        <f t="array" ref="F437">IF(OR($D437="",$D437="NO ENCONTRADO"),"",_xlfn.XLOOKUP($D437,Productos!$E:$E,Productos!$I:$I,""))</f>
        <v/>
      </c>
      <c r="G437" s="74">
        <f t="array" ref="G437">IF(OR($D437="",$D437="NO ENCONTRADO"),"",_xlfn.XLOOKUP($D437,Productos!$E:$E,Productos!$J:$J,""))</f>
        <v/>
      </c>
      <c r="H437" s="74">
        <f t="array" ref="H437">IF(OR($D437="",$D437="NO ENCONTRADO"),"",_xlfn.XLOOKUP($D437,Productos!$E:$E,Productos!$K:$K,""))</f>
        <v/>
      </c>
      <c r="I437" s="74">
        <f t="array" ref="I437">IF(OR($D437="",$D437="NO ENCONTRADO"),"",_xlfn.XLOOKUP($D437,Productos!$E:$E,Productos!$F:$F,""))</f>
        <v/>
      </c>
      <c r="J437" s="74">
        <f>IF($C437="","",IF($D437="NO ENCONTRADO",IF(COUNTIF($C$7:$C$1000,$C437)&gt;1,"⚠️ No encontrado | Duplicado","⚠️ No encontrado"),IF(COUNTIF($C$7:$C$1000,$C437)&gt;1,"⚠️ Duplicado","Verificado")))</f>
        <v/>
      </c>
    </row>
    <row r="438" ht="15.75" customHeight="1" s="176">
      <c r="B438" s="80" t="n"/>
      <c r="C438" s="74" t="n"/>
      <c r="D438" s="74">
        <f t="array" ref="D438">IF($C438="","",IFNA(_xlfn.XLOOKUP($C438,Productos!$A:$A,Productos!$E:$E,IFNA(_xlfn.XLOOKUP(TEXT($C438,"0"),Productos!$A:$A,Productos!$E:$E,IFNA(_xlfn.XLOOKUP(IFERROR(VALUE($C438),""),Productos!$A:$A,Productos!$E:$E,_xlfn.XLOOKUP($C438,Productos!$E:$E,Productos!$E:$E,"NO ENCONTRADO")),"NO ENCONTRADO")),"NO ENCONTRADO")),"NO ENCONTRADO"))</f>
        <v/>
      </c>
      <c r="E438" s="74">
        <f t="array" ref="E438">IF(OR($D438="",$D438="NO ENCONTRADO"),"",_xlfn.XLOOKUP($D438,Productos!$E:$E,Productos!$H:$H,""))</f>
        <v/>
      </c>
      <c r="F438" s="74">
        <f t="array" ref="F438">IF(OR($D438="",$D438="NO ENCONTRADO"),"",_xlfn.XLOOKUP($D438,Productos!$E:$E,Productos!$I:$I,""))</f>
        <v/>
      </c>
      <c r="G438" s="74">
        <f t="array" ref="G438">IF(OR($D438="",$D438="NO ENCONTRADO"),"",_xlfn.XLOOKUP($D438,Productos!$E:$E,Productos!$J:$J,""))</f>
        <v/>
      </c>
      <c r="H438" s="74">
        <f t="array" ref="H438">IF(OR($D438="",$D438="NO ENCONTRADO"),"",_xlfn.XLOOKUP($D438,Productos!$E:$E,Productos!$K:$K,""))</f>
        <v/>
      </c>
      <c r="I438" s="74">
        <f t="array" ref="I438">IF(OR($D438="",$D438="NO ENCONTRADO"),"",_xlfn.XLOOKUP($D438,Productos!$E:$E,Productos!$F:$F,""))</f>
        <v/>
      </c>
      <c r="J438" s="74">
        <f>IF($C438="","",IF($D438="NO ENCONTRADO",IF(COUNTIF($C$7:$C$1000,$C438)&gt;1,"⚠️ No encontrado | Duplicado","⚠️ No encontrado"),IF(COUNTIF($C$7:$C$1000,$C438)&gt;1,"⚠️ Duplicado","Verificado")))</f>
        <v/>
      </c>
    </row>
    <row r="439" ht="15.75" customHeight="1" s="176">
      <c r="B439" s="80" t="n"/>
      <c r="C439" s="74" t="n"/>
      <c r="D439" s="74">
        <f t="array" ref="D439">IF($C439="","",IFNA(_xlfn.XLOOKUP($C439,Productos!$A:$A,Productos!$E:$E,IFNA(_xlfn.XLOOKUP(TEXT($C439,"0"),Productos!$A:$A,Productos!$E:$E,IFNA(_xlfn.XLOOKUP(IFERROR(VALUE($C439),""),Productos!$A:$A,Productos!$E:$E,_xlfn.XLOOKUP($C439,Productos!$E:$E,Productos!$E:$E,"NO ENCONTRADO")),"NO ENCONTRADO")),"NO ENCONTRADO")),"NO ENCONTRADO"))</f>
        <v/>
      </c>
      <c r="E439" s="74">
        <f t="array" ref="E439">IF(OR($D439="",$D439="NO ENCONTRADO"),"",_xlfn.XLOOKUP($D439,Productos!$E:$E,Productos!$H:$H,""))</f>
        <v/>
      </c>
      <c r="F439" s="74">
        <f t="array" ref="F439">IF(OR($D439="",$D439="NO ENCONTRADO"),"",_xlfn.XLOOKUP($D439,Productos!$E:$E,Productos!$I:$I,""))</f>
        <v/>
      </c>
      <c r="G439" s="74">
        <f t="array" ref="G439">IF(OR($D439="",$D439="NO ENCONTRADO"),"",_xlfn.XLOOKUP($D439,Productos!$E:$E,Productos!$J:$J,""))</f>
        <v/>
      </c>
      <c r="H439" s="74">
        <f t="array" ref="H439">IF(OR($D439="",$D439="NO ENCONTRADO"),"",_xlfn.XLOOKUP($D439,Productos!$E:$E,Productos!$K:$K,""))</f>
        <v/>
      </c>
      <c r="I439" s="74">
        <f t="array" ref="I439">IF(OR($D439="",$D439="NO ENCONTRADO"),"",_xlfn.XLOOKUP($D439,Productos!$E:$E,Productos!$F:$F,""))</f>
        <v/>
      </c>
      <c r="J439" s="74">
        <f>IF($C439="","",IF($D439="NO ENCONTRADO",IF(COUNTIF($C$7:$C$1000,$C439)&gt;1,"⚠️ No encontrado | Duplicado","⚠️ No encontrado"),IF(COUNTIF($C$7:$C$1000,$C439)&gt;1,"⚠️ Duplicado","Verificado")))</f>
        <v/>
      </c>
    </row>
    <row r="440" ht="15.75" customHeight="1" s="176">
      <c r="B440" s="80" t="n"/>
      <c r="C440" s="74" t="n"/>
      <c r="D440" s="74">
        <f t="array" ref="D440">IF($C440="","",IFNA(_xlfn.XLOOKUP($C440,Productos!$A:$A,Productos!$E:$E,IFNA(_xlfn.XLOOKUP(TEXT($C440,"0"),Productos!$A:$A,Productos!$E:$E,IFNA(_xlfn.XLOOKUP(IFERROR(VALUE($C440),""),Productos!$A:$A,Productos!$E:$E,_xlfn.XLOOKUP($C440,Productos!$E:$E,Productos!$E:$E,"NO ENCONTRADO")),"NO ENCONTRADO")),"NO ENCONTRADO")),"NO ENCONTRADO"))</f>
        <v/>
      </c>
      <c r="E440" s="74">
        <f t="array" ref="E440">IF(OR($D440="",$D440="NO ENCONTRADO"),"",_xlfn.XLOOKUP($D440,Productos!$E:$E,Productos!$H:$H,""))</f>
        <v/>
      </c>
      <c r="F440" s="74">
        <f t="array" ref="F440">IF(OR($D440="",$D440="NO ENCONTRADO"),"",_xlfn.XLOOKUP($D440,Productos!$E:$E,Productos!$I:$I,""))</f>
        <v/>
      </c>
      <c r="G440" s="74">
        <f t="array" ref="G440">IF(OR($D440="",$D440="NO ENCONTRADO"),"",_xlfn.XLOOKUP($D440,Productos!$E:$E,Productos!$J:$J,""))</f>
        <v/>
      </c>
      <c r="H440" s="74">
        <f t="array" ref="H440">IF(OR($D440="",$D440="NO ENCONTRADO"),"",_xlfn.XLOOKUP($D440,Productos!$E:$E,Productos!$K:$K,""))</f>
        <v/>
      </c>
      <c r="I440" s="74">
        <f t="array" ref="I440">IF(OR($D440="",$D440="NO ENCONTRADO"),"",_xlfn.XLOOKUP($D440,Productos!$E:$E,Productos!$F:$F,""))</f>
        <v/>
      </c>
      <c r="J440" s="74">
        <f>IF($C440="","",IF($D440="NO ENCONTRADO",IF(COUNTIF($C$7:$C$1000,$C440)&gt;1,"⚠️ No encontrado | Duplicado","⚠️ No encontrado"),IF(COUNTIF($C$7:$C$1000,$C440)&gt;1,"⚠️ Duplicado","Verificado")))</f>
        <v/>
      </c>
    </row>
    <row r="441" ht="15.75" customHeight="1" s="176">
      <c r="B441" s="80" t="n"/>
      <c r="C441" s="74" t="n"/>
      <c r="D441" s="74">
        <f t="array" ref="D441">IF($C441="","",IFNA(_xlfn.XLOOKUP($C441,Productos!$A:$A,Productos!$E:$E,IFNA(_xlfn.XLOOKUP(TEXT($C441,"0"),Productos!$A:$A,Productos!$E:$E,IFNA(_xlfn.XLOOKUP(IFERROR(VALUE($C441),""),Productos!$A:$A,Productos!$E:$E,_xlfn.XLOOKUP($C441,Productos!$E:$E,Productos!$E:$E,"NO ENCONTRADO")),"NO ENCONTRADO")),"NO ENCONTRADO")),"NO ENCONTRADO"))</f>
        <v/>
      </c>
      <c r="E441" s="74">
        <f t="array" ref="E441">IF(OR($D441="",$D441="NO ENCONTRADO"),"",_xlfn.XLOOKUP($D441,Productos!$E:$E,Productos!$H:$H,""))</f>
        <v/>
      </c>
      <c r="F441" s="74">
        <f t="array" ref="F441">IF(OR($D441="",$D441="NO ENCONTRADO"),"",_xlfn.XLOOKUP($D441,Productos!$E:$E,Productos!$I:$I,""))</f>
        <v/>
      </c>
      <c r="G441" s="74">
        <f t="array" ref="G441">IF(OR($D441="",$D441="NO ENCONTRADO"),"",_xlfn.XLOOKUP($D441,Productos!$E:$E,Productos!$J:$J,""))</f>
        <v/>
      </c>
      <c r="H441" s="74">
        <f t="array" ref="H441">IF(OR($D441="",$D441="NO ENCONTRADO"),"",_xlfn.XLOOKUP($D441,Productos!$E:$E,Productos!$K:$K,""))</f>
        <v/>
      </c>
      <c r="I441" s="74">
        <f t="array" ref="I441">IF(OR($D441="",$D441="NO ENCONTRADO"),"",_xlfn.XLOOKUP($D441,Productos!$E:$E,Productos!$F:$F,""))</f>
        <v/>
      </c>
      <c r="J441" s="74">
        <f>IF($C441="","",IF($D441="NO ENCONTRADO",IF(COUNTIF($C$7:$C$1000,$C441)&gt;1,"⚠️ No encontrado | Duplicado","⚠️ No encontrado"),IF(COUNTIF($C$7:$C$1000,$C441)&gt;1,"⚠️ Duplicado","Verificado")))</f>
        <v/>
      </c>
    </row>
    <row r="442" ht="15.75" customHeight="1" s="176">
      <c r="B442" s="80" t="n"/>
      <c r="C442" s="74" t="n"/>
      <c r="D442" s="74">
        <f t="array" ref="D442">IF($C442="","",IFNA(_xlfn.XLOOKUP($C442,Productos!$A:$A,Productos!$E:$E,IFNA(_xlfn.XLOOKUP(TEXT($C442,"0"),Productos!$A:$A,Productos!$E:$E,IFNA(_xlfn.XLOOKUP(IFERROR(VALUE($C442),""),Productos!$A:$A,Productos!$E:$E,_xlfn.XLOOKUP($C442,Productos!$E:$E,Productos!$E:$E,"NO ENCONTRADO")),"NO ENCONTRADO")),"NO ENCONTRADO")),"NO ENCONTRADO"))</f>
        <v/>
      </c>
      <c r="E442" s="74">
        <f t="array" ref="E442">IF(OR($D442="",$D442="NO ENCONTRADO"),"",_xlfn.XLOOKUP($D442,Productos!$E:$E,Productos!$H:$H,""))</f>
        <v/>
      </c>
      <c r="F442" s="74">
        <f t="array" ref="F442">IF(OR($D442="",$D442="NO ENCONTRADO"),"",_xlfn.XLOOKUP($D442,Productos!$E:$E,Productos!$I:$I,""))</f>
        <v/>
      </c>
      <c r="G442" s="74">
        <f t="array" ref="G442">IF(OR($D442="",$D442="NO ENCONTRADO"),"",_xlfn.XLOOKUP($D442,Productos!$E:$E,Productos!$J:$J,""))</f>
        <v/>
      </c>
      <c r="H442" s="74">
        <f t="array" ref="H442">IF(OR($D442="",$D442="NO ENCONTRADO"),"",_xlfn.XLOOKUP($D442,Productos!$E:$E,Productos!$K:$K,""))</f>
        <v/>
      </c>
      <c r="I442" s="74">
        <f t="array" ref="I442">IF(OR($D442="",$D442="NO ENCONTRADO"),"",_xlfn.XLOOKUP($D442,Productos!$E:$E,Productos!$F:$F,""))</f>
        <v/>
      </c>
      <c r="J442" s="74">
        <f>IF($C442="","",IF($D442="NO ENCONTRADO",IF(COUNTIF($C$7:$C$1000,$C442)&gt;1,"⚠️ No encontrado | Duplicado","⚠️ No encontrado"),IF(COUNTIF($C$7:$C$1000,$C442)&gt;1,"⚠️ Duplicado","Verificado")))</f>
        <v/>
      </c>
    </row>
    <row r="443" ht="15.75" customHeight="1" s="176">
      <c r="B443" s="80" t="n"/>
      <c r="C443" s="74" t="n"/>
      <c r="D443" s="74">
        <f t="array" ref="D443">IF($C443="","",IFNA(_xlfn.XLOOKUP($C443,Productos!$A:$A,Productos!$E:$E,IFNA(_xlfn.XLOOKUP(TEXT($C443,"0"),Productos!$A:$A,Productos!$E:$E,IFNA(_xlfn.XLOOKUP(IFERROR(VALUE($C443),""),Productos!$A:$A,Productos!$E:$E,_xlfn.XLOOKUP($C443,Productos!$E:$E,Productos!$E:$E,"NO ENCONTRADO")),"NO ENCONTRADO")),"NO ENCONTRADO")),"NO ENCONTRADO"))</f>
        <v/>
      </c>
      <c r="E443" s="74">
        <f t="array" ref="E443">IF(OR($D443="",$D443="NO ENCONTRADO"),"",_xlfn.XLOOKUP($D443,Productos!$E:$E,Productos!$H:$H,""))</f>
        <v/>
      </c>
      <c r="F443" s="74">
        <f t="array" ref="F443">IF(OR($D443="",$D443="NO ENCONTRADO"),"",_xlfn.XLOOKUP($D443,Productos!$E:$E,Productos!$I:$I,""))</f>
        <v/>
      </c>
      <c r="G443" s="74">
        <f t="array" ref="G443">IF(OR($D443="",$D443="NO ENCONTRADO"),"",_xlfn.XLOOKUP($D443,Productos!$E:$E,Productos!$J:$J,""))</f>
        <v/>
      </c>
      <c r="H443" s="74">
        <f t="array" ref="H443">IF(OR($D443="",$D443="NO ENCONTRADO"),"",_xlfn.XLOOKUP($D443,Productos!$E:$E,Productos!$K:$K,""))</f>
        <v/>
      </c>
      <c r="I443" s="74">
        <f t="array" ref="I443">IF(OR($D443="",$D443="NO ENCONTRADO"),"",_xlfn.XLOOKUP($D443,Productos!$E:$E,Productos!$F:$F,""))</f>
        <v/>
      </c>
      <c r="J443" s="74">
        <f>IF($C443="","",IF($D443="NO ENCONTRADO",IF(COUNTIF($C$7:$C$1000,$C443)&gt;1,"⚠️ No encontrado | Duplicado","⚠️ No encontrado"),IF(COUNTIF($C$7:$C$1000,$C443)&gt;1,"⚠️ Duplicado","Verificado")))</f>
        <v/>
      </c>
    </row>
    <row r="444" ht="15.75" customHeight="1" s="176">
      <c r="B444" s="80" t="n"/>
      <c r="C444" s="74" t="n"/>
      <c r="D444" s="74">
        <f t="array" ref="D444">IF($C444="","",IFNA(_xlfn.XLOOKUP($C444,Productos!$A:$A,Productos!$E:$E,IFNA(_xlfn.XLOOKUP(TEXT($C444,"0"),Productos!$A:$A,Productos!$E:$E,IFNA(_xlfn.XLOOKUP(IFERROR(VALUE($C444),""),Productos!$A:$A,Productos!$E:$E,_xlfn.XLOOKUP($C444,Productos!$E:$E,Productos!$E:$E,"NO ENCONTRADO")),"NO ENCONTRADO")),"NO ENCONTRADO")),"NO ENCONTRADO"))</f>
        <v/>
      </c>
      <c r="E444" s="74">
        <f t="array" ref="E444">IF(OR($D444="",$D444="NO ENCONTRADO"),"",_xlfn.XLOOKUP($D444,Productos!$E:$E,Productos!$H:$H,""))</f>
        <v/>
      </c>
      <c r="F444" s="74">
        <f t="array" ref="F444">IF(OR($D444="",$D444="NO ENCONTRADO"),"",_xlfn.XLOOKUP($D444,Productos!$E:$E,Productos!$I:$I,""))</f>
        <v/>
      </c>
      <c r="G444" s="74">
        <f t="array" ref="G444">IF(OR($D444="",$D444="NO ENCONTRADO"),"",_xlfn.XLOOKUP($D444,Productos!$E:$E,Productos!$J:$J,""))</f>
        <v/>
      </c>
      <c r="H444" s="74">
        <f t="array" ref="H444">IF(OR($D444="",$D444="NO ENCONTRADO"),"",_xlfn.XLOOKUP($D444,Productos!$E:$E,Productos!$K:$K,""))</f>
        <v/>
      </c>
      <c r="I444" s="74">
        <f t="array" ref="I444">IF(OR($D444="",$D444="NO ENCONTRADO"),"",_xlfn.XLOOKUP($D444,Productos!$E:$E,Productos!$F:$F,""))</f>
        <v/>
      </c>
      <c r="J444" s="74">
        <f>IF($C444="","",IF($D444="NO ENCONTRADO",IF(COUNTIF($C$7:$C$1000,$C444)&gt;1,"⚠️ No encontrado | Duplicado","⚠️ No encontrado"),IF(COUNTIF($C$7:$C$1000,$C444)&gt;1,"⚠️ Duplicado","Verificado")))</f>
        <v/>
      </c>
    </row>
    <row r="445" ht="15.75" customHeight="1" s="176">
      <c r="B445" s="80" t="n"/>
      <c r="C445" s="74" t="n"/>
      <c r="D445" s="74">
        <f t="array" ref="D445">IF($C445="","",IFNA(_xlfn.XLOOKUP($C445,Productos!$A:$A,Productos!$E:$E,IFNA(_xlfn.XLOOKUP(TEXT($C445,"0"),Productos!$A:$A,Productos!$E:$E,IFNA(_xlfn.XLOOKUP(IFERROR(VALUE($C445),""),Productos!$A:$A,Productos!$E:$E,_xlfn.XLOOKUP($C445,Productos!$E:$E,Productos!$E:$E,"NO ENCONTRADO")),"NO ENCONTRADO")),"NO ENCONTRADO")),"NO ENCONTRADO"))</f>
        <v/>
      </c>
      <c r="E445" s="74">
        <f t="array" ref="E445">IF(OR($D445="",$D445="NO ENCONTRADO"),"",_xlfn.XLOOKUP($D445,Productos!$E:$E,Productos!$H:$H,""))</f>
        <v/>
      </c>
      <c r="F445" s="74">
        <f t="array" ref="F445">IF(OR($D445="",$D445="NO ENCONTRADO"),"",_xlfn.XLOOKUP($D445,Productos!$E:$E,Productos!$I:$I,""))</f>
        <v/>
      </c>
      <c r="G445" s="74">
        <f t="array" ref="G445">IF(OR($D445="",$D445="NO ENCONTRADO"),"",_xlfn.XLOOKUP($D445,Productos!$E:$E,Productos!$J:$J,""))</f>
        <v/>
      </c>
      <c r="H445" s="74">
        <f t="array" ref="H445">IF(OR($D445="",$D445="NO ENCONTRADO"),"",_xlfn.XLOOKUP($D445,Productos!$E:$E,Productos!$K:$K,""))</f>
        <v/>
      </c>
      <c r="I445" s="74">
        <f t="array" ref="I445">IF(OR($D445="",$D445="NO ENCONTRADO"),"",_xlfn.XLOOKUP($D445,Productos!$E:$E,Productos!$F:$F,""))</f>
        <v/>
      </c>
      <c r="J445" s="74">
        <f>IF($C445="","",IF($D445="NO ENCONTRADO",IF(COUNTIF($C$7:$C$1000,$C445)&gt;1,"⚠️ No encontrado | Duplicado","⚠️ No encontrado"),IF(COUNTIF($C$7:$C$1000,$C445)&gt;1,"⚠️ Duplicado","Verificado")))</f>
        <v/>
      </c>
    </row>
    <row r="446" ht="15.75" customHeight="1" s="176">
      <c r="B446" s="80" t="n"/>
      <c r="C446" s="74" t="n"/>
      <c r="D446" s="74">
        <f t="array" ref="D446">IF($C446="","",IFNA(_xlfn.XLOOKUP($C446,Productos!$A:$A,Productos!$E:$E,IFNA(_xlfn.XLOOKUP(TEXT($C446,"0"),Productos!$A:$A,Productos!$E:$E,IFNA(_xlfn.XLOOKUP(IFERROR(VALUE($C446),""),Productos!$A:$A,Productos!$E:$E,_xlfn.XLOOKUP($C446,Productos!$E:$E,Productos!$E:$E,"NO ENCONTRADO")),"NO ENCONTRADO")),"NO ENCONTRADO")),"NO ENCONTRADO"))</f>
        <v/>
      </c>
      <c r="E446" s="74">
        <f t="array" ref="E446">IF(OR($D446="",$D446="NO ENCONTRADO"),"",_xlfn.XLOOKUP($D446,Productos!$E:$E,Productos!$H:$H,""))</f>
        <v/>
      </c>
      <c r="F446" s="74">
        <f t="array" ref="F446">IF(OR($D446="",$D446="NO ENCONTRADO"),"",_xlfn.XLOOKUP($D446,Productos!$E:$E,Productos!$I:$I,""))</f>
        <v/>
      </c>
      <c r="G446" s="74">
        <f t="array" ref="G446">IF(OR($D446="",$D446="NO ENCONTRADO"),"",_xlfn.XLOOKUP($D446,Productos!$E:$E,Productos!$J:$J,""))</f>
        <v/>
      </c>
      <c r="H446" s="74">
        <f t="array" ref="H446">IF(OR($D446="",$D446="NO ENCONTRADO"),"",_xlfn.XLOOKUP($D446,Productos!$E:$E,Productos!$K:$K,""))</f>
        <v/>
      </c>
      <c r="I446" s="74">
        <f t="array" ref="I446">IF(OR($D446="",$D446="NO ENCONTRADO"),"",_xlfn.XLOOKUP($D446,Productos!$E:$E,Productos!$F:$F,""))</f>
        <v/>
      </c>
      <c r="J446" s="74">
        <f>IF($C446="","",IF($D446="NO ENCONTRADO",IF(COUNTIF($C$7:$C$1000,$C446)&gt;1,"⚠️ No encontrado | Duplicado","⚠️ No encontrado"),IF(COUNTIF($C$7:$C$1000,$C446)&gt;1,"⚠️ Duplicado","Verificado")))</f>
        <v/>
      </c>
    </row>
    <row r="447" ht="15.75" customHeight="1" s="176">
      <c r="B447" s="80" t="n"/>
      <c r="C447" s="74" t="n"/>
      <c r="D447" s="74">
        <f t="array" ref="D447">IF($C447="","",IFNA(_xlfn.XLOOKUP($C447,Productos!$A:$A,Productos!$E:$E,IFNA(_xlfn.XLOOKUP(TEXT($C447,"0"),Productos!$A:$A,Productos!$E:$E,IFNA(_xlfn.XLOOKUP(IFERROR(VALUE($C447),""),Productos!$A:$A,Productos!$E:$E,_xlfn.XLOOKUP($C447,Productos!$E:$E,Productos!$E:$E,"NO ENCONTRADO")),"NO ENCONTRADO")),"NO ENCONTRADO")),"NO ENCONTRADO"))</f>
        <v/>
      </c>
      <c r="E447" s="74">
        <f t="array" ref="E447">IF(OR($D447="",$D447="NO ENCONTRADO"),"",_xlfn.XLOOKUP($D447,Productos!$E:$E,Productos!$H:$H,""))</f>
        <v/>
      </c>
      <c r="F447" s="74">
        <f t="array" ref="F447">IF(OR($D447="",$D447="NO ENCONTRADO"),"",_xlfn.XLOOKUP($D447,Productos!$E:$E,Productos!$I:$I,""))</f>
        <v/>
      </c>
      <c r="G447" s="74">
        <f t="array" ref="G447">IF(OR($D447="",$D447="NO ENCONTRADO"),"",_xlfn.XLOOKUP($D447,Productos!$E:$E,Productos!$J:$J,""))</f>
        <v/>
      </c>
      <c r="H447" s="74">
        <f t="array" ref="H447">IF(OR($D447="",$D447="NO ENCONTRADO"),"",_xlfn.XLOOKUP($D447,Productos!$E:$E,Productos!$K:$K,""))</f>
        <v/>
      </c>
      <c r="I447" s="74">
        <f t="array" ref="I447">IF(OR($D447="",$D447="NO ENCONTRADO"),"",_xlfn.XLOOKUP($D447,Productos!$E:$E,Productos!$F:$F,""))</f>
        <v/>
      </c>
      <c r="J447" s="74">
        <f>IF($C447="","",IF($D447="NO ENCONTRADO",IF(COUNTIF($C$7:$C$1000,$C447)&gt;1,"⚠️ No encontrado | Duplicado","⚠️ No encontrado"),IF(COUNTIF($C$7:$C$1000,$C447)&gt;1,"⚠️ Duplicado","Verificado")))</f>
        <v/>
      </c>
    </row>
    <row r="448" ht="15.75" customHeight="1" s="176">
      <c r="B448" s="80" t="n"/>
      <c r="C448" s="74" t="n"/>
      <c r="D448" s="74">
        <f t="array" ref="D448">IF($C448="","",IFNA(_xlfn.XLOOKUP($C448,Productos!$A:$A,Productos!$E:$E,IFNA(_xlfn.XLOOKUP(TEXT($C448,"0"),Productos!$A:$A,Productos!$E:$E,IFNA(_xlfn.XLOOKUP(IFERROR(VALUE($C448),""),Productos!$A:$A,Productos!$E:$E,_xlfn.XLOOKUP($C448,Productos!$E:$E,Productos!$E:$E,"NO ENCONTRADO")),"NO ENCONTRADO")),"NO ENCONTRADO")),"NO ENCONTRADO"))</f>
        <v/>
      </c>
      <c r="E448" s="74">
        <f t="array" ref="E448">IF(OR($D448="",$D448="NO ENCONTRADO"),"",_xlfn.XLOOKUP($D448,Productos!$E:$E,Productos!$H:$H,""))</f>
        <v/>
      </c>
      <c r="F448" s="74">
        <f t="array" ref="F448">IF(OR($D448="",$D448="NO ENCONTRADO"),"",_xlfn.XLOOKUP($D448,Productos!$E:$E,Productos!$I:$I,""))</f>
        <v/>
      </c>
      <c r="G448" s="74">
        <f t="array" ref="G448">IF(OR($D448="",$D448="NO ENCONTRADO"),"",_xlfn.XLOOKUP($D448,Productos!$E:$E,Productos!$J:$J,""))</f>
        <v/>
      </c>
      <c r="H448" s="74">
        <f t="array" ref="H448">IF(OR($D448="",$D448="NO ENCONTRADO"),"",_xlfn.XLOOKUP($D448,Productos!$E:$E,Productos!$K:$K,""))</f>
        <v/>
      </c>
      <c r="I448" s="74">
        <f t="array" ref="I448">IF(OR($D448="",$D448="NO ENCONTRADO"),"",_xlfn.XLOOKUP($D448,Productos!$E:$E,Productos!$F:$F,""))</f>
        <v/>
      </c>
      <c r="J448" s="74">
        <f>IF($C448="","",IF($D448="NO ENCONTRADO",IF(COUNTIF($C$7:$C$1000,$C448)&gt;1,"⚠️ No encontrado | Duplicado","⚠️ No encontrado"),IF(COUNTIF($C$7:$C$1000,$C448)&gt;1,"⚠️ Duplicado","Verificado")))</f>
        <v/>
      </c>
    </row>
    <row r="449" ht="15.75" customHeight="1" s="176">
      <c r="B449" s="80" t="n"/>
      <c r="C449" s="74" t="n"/>
      <c r="D449" s="74">
        <f t="array" ref="D449">IF($C449="","",IFNA(_xlfn.XLOOKUP($C449,Productos!$A:$A,Productos!$E:$E,IFNA(_xlfn.XLOOKUP(TEXT($C449,"0"),Productos!$A:$A,Productos!$E:$E,IFNA(_xlfn.XLOOKUP(IFERROR(VALUE($C449),""),Productos!$A:$A,Productos!$E:$E,_xlfn.XLOOKUP($C449,Productos!$E:$E,Productos!$E:$E,"NO ENCONTRADO")),"NO ENCONTRADO")),"NO ENCONTRADO")),"NO ENCONTRADO"))</f>
        <v/>
      </c>
      <c r="E449" s="74">
        <f t="array" ref="E449">IF(OR($D449="",$D449="NO ENCONTRADO"),"",_xlfn.XLOOKUP($D449,Productos!$E:$E,Productos!$H:$H,""))</f>
        <v/>
      </c>
      <c r="F449" s="74">
        <f t="array" ref="F449">IF(OR($D449="",$D449="NO ENCONTRADO"),"",_xlfn.XLOOKUP($D449,Productos!$E:$E,Productos!$I:$I,""))</f>
        <v/>
      </c>
      <c r="G449" s="74">
        <f t="array" ref="G449">IF(OR($D449="",$D449="NO ENCONTRADO"),"",_xlfn.XLOOKUP($D449,Productos!$E:$E,Productos!$J:$J,""))</f>
        <v/>
      </c>
      <c r="H449" s="74">
        <f t="array" ref="H449">IF(OR($D449="",$D449="NO ENCONTRADO"),"",_xlfn.XLOOKUP($D449,Productos!$E:$E,Productos!$K:$K,""))</f>
        <v/>
      </c>
      <c r="I449" s="74">
        <f t="array" ref="I449">IF(OR($D449="",$D449="NO ENCONTRADO"),"",_xlfn.XLOOKUP($D449,Productos!$E:$E,Productos!$F:$F,""))</f>
        <v/>
      </c>
      <c r="J449" s="74">
        <f>IF($C449="","",IF($D449="NO ENCONTRADO",IF(COUNTIF($C$7:$C$1000,$C449)&gt;1,"⚠️ No encontrado | Duplicado","⚠️ No encontrado"),IF(COUNTIF($C$7:$C$1000,$C449)&gt;1,"⚠️ Duplicado","Verificado")))</f>
        <v/>
      </c>
    </row>
    <row r="450" ht="15.75" customHeight="1" s="176">
      <c r="B450" s="80" t="n"/>
      <c r="C450" s="74" t="n"/>
      <c r="D450" s="74">
        <f t="array" ref="D450">IF($C450="","",IFNA(_xlfn.XLOOKUP($C450,Productos!$A:$A,Productos!$E:$E,IFNA(_xlfn.XLOOKUP(TEXT($C450,"0"),Productos!$A:$A,Productos!$E:$E,IFNA(_xlfn.XLOOKUP(IFERROR(VALUE($C450),""),Productos!$A:$A,Productos!$E:$E,_xlfn.XLOOKUP($C450,Productos!$E:$E,Productos!$E:$E,"NO ENCONTRADO")),"NO ENCONTRADO")),"NO ENCONTRADO")),"NO ENCONTRADO"))</f>
        <v/>
      </c>
      <c r="E450" s="74">
        <f t="array" ref="E450">IF(OR($D450="",$D450="NO ENCONTRADO"),"",_xlfn.XLOOKUP($D450,Productos!$E:$E,Productos!$H:$H,""))</f>
        <v/>
      </c>
      <c r="F450" s="74">
        <f t="array" ref="F450">IF(OR($D450="",$D450="NO ENCONTRADO"),"",_xlfn.XLOOKUP($D450,Productos!$E:$E,Productos!$I:$I,""))</f>
        <v/>
      </c>
      <c r="G450" s="74">
        <f t="array" ref="G450">IF(OR($D450="",$D450="NO ENCONTRADO"),"",_xlfn.XLOOKUP($D450,Productos!$E:$E,Productos!$J:$J,""))</f>
        <v/>
      </c>
      <c r="H450" s="74">
        <f t="array" ref="H450">IF(OR($D450="",$D450="NO ENCONTRADO"),"",_xlfn.XLOOKUP($D450,Productos!$E:$E,Productos!$K:$K,""))</f>
        <v/>
      </c>
      <c r="I450" s="74">
        <f t="array" ref="I450">IF(OR($D450="",$D450="NO ENCONTRADO"),"",_xlfn.XLOOKUP($D450,Productos!$E:$E,Productos!$F:$F,""))</f>
        <v/>
      </c>
      <c r="J450" s="74">
        <f>IF($C450="","",IF($D450="NO ENCONTRADO",IF(COUNTIF($C$7:$C$1000,$C450)&gt;1,"⚠️ No encontrado | Duplicado","⚠️ No encontrado"),IF(COUNTIF($C$7:$C$1000,$C450)&gt;1,"⚠️ Duplicado","Verificado")))</f>
        <v/>
      </c>
    </row>
    <row r="451" ht="15.75" customHeight="1" s="176">
      <c r="B451" s="80" t="n"/>
      <c r="C451" s="74" t="n"/>
      <c r="D451" s="74">
        <f t="array" ref="D451">IF($C451="","",IFNA(_xlfn.XLOOKUP($C451,Productos!$A:$A,Productos!$E:$E,IFNA(_xlfn.XLOOKUP(TEXT($C451,"0"),Productos!$A:$A,Productos!$E:$E,IFNA(_xlfn.XLOOKUP(IFERROR(VALUE($C451),""),Productos!$A:$A,Productos!$E:$E,_xlfn.XLOOKUP($C451,Productos!$E:$E,Productos!$E:$E,"NO ENCONTRADO")),"NO ENCONTRADO")),"NO ENCONTRADO")),"NO ENCONTRADO"))</f>
        <v/>
      </c>
      <c r="E451" s="74">
        <f t="array" ref="E451">IF(OR($D451="",$D451="NO ENCONTRADO"),"",_xlfn.XLOOKUP($D451,Productos!$E:$E,Productos!$H:$H,""))</f>
        <v/>
      </c>
      <c r="F451" s="74">
        <f t="array" ref="F451">IF(OR($D451="",$D451="NO ENCONTRADO"),"",_xlfn.XLOOKUP($D451,Productos!$E:$E,Productos!$I:$I,""))</f>
        <v/>
      </c>
      <c r="G451" s="74">
        <f t="array" ref="G451">IF(OR($D451="",$D451="NO ENCONTRADO"),"",_xlfn.XLOOKUP($D451,Productos!$E:$E,Productos!$J:$J,""))</f>
        <v/>
      </c>
      <c r="H451" s="74">
        <f t="array" ref="H451">IF(OR($D451="",$D451="NO ENCONTRADO"),"",_xlfn.XLOOKUP($D451,Productos!$E:$E,Productos!$K:$K,""))</f>
        <v/>
      </c>
      <c r="I451" s="74">
        <f t="array" ref="I451">IF(OR($D451="",$D451="NO ENCONTRADO"),"",_xlfn.XLOOKUP($D451,Productos!$E:$E,Productos!$F:$F,""))</f>
        <v/>
      </c>
      <c r="J451" s="74">
        <f>IF($C451="","",IF($D451="NO ENCONTRADO",IF(COUNTIF($C$7:$C$1000,$C451)&gt;1,"⚠️ No encontrado | Duplicado","⚠️ No encontrado"),IF(COUNTIF($C$7:$C$1000,$C451)&gt;1,"⚠️ Duplicado","Verificado")))</f>
        <v/>
      </c>
    </row>
    <row r="452" ht="15.75" customHeight="1" s="176">
      <c r="B452" s="80" t="n"/>
      <c r="C452" s="74" t="n"/>
      <c r="D452" s="74">
        <f t="array" ref="D452">IF($C452="","",IFNA(_xlfn.XLOOKUP($C452,Productos!$A:$A,Productos!$E:$E,IFNA(_xlfn.XLOOKUP(TEXT($C452,"0"),Productos!$A:$A,Productos!$E:$E,IFNA(_xlfn.XLOOKUP(IFERROR(VALUE($C452),""),Productos!$A:$A,Productos!$E:$E,_xlfn.XLOOKUP($C452,Productos!$E:$E,Productos!$E:$E,"NO ENCONTRADO")),"NO ENCONTRADO")),"NO ENCONTRADO")),"NO ENCONTRADO"))</f>
        <v/>
      </c>
      <c r="E452" s="74">
        <f t="array" ref="E452">IF(OR($D452="",$D452="NO ENCONTRADO"),"",_xlfn.XLOOKUP($D452,Productos!$E:$E,Productos!$H:$H,""))</f>
        <v/>
      </c>
      <c r="F452" s="74">
        <f t="array" ref="F452">IF(OR($D452="",$D452="NO ENCONTRADO"),"",_xlfn.XLOOKUP($D452,Productos!$E:$E,Productos!$I:$I,""))</f>
        <v/>
      </c>
      <c r="G452" s="74">
        <f t="array" ref="G452">IF(OR($D452="",$D452="NO ENCONTRADO"),"",_xlfn.XLOOKUP($D452,Productos!$E:$E,Productos!$J:$J,""))</f>
        <v/>
      </c>
      <c r="H452" s="74">
        <f t="array" ref="H452">IF(OR($D452="",$D452="NO ENCONTRADO"),"",_xlfn.XLOOKUP($D452,Productos!$E:$E,Productos!$K:$K,""))</f>
        <v/>
      </c>
      <c r="I452" s="74">
        <f t="array" ref="I452">IF(OR($D452="",$D452="NO ENCONTRADO"),"",_xlfn.XLOOKUP($D452,Productos!$E:$E,Productos!$F:$F,""))</f>
        <v/>
      </c>
      <c r="J452" s="74">
        <f>IF($C452="","",IF($D452="NO ENCONTRADO",IF(COUNTIF($C$7:$C$1000,$C452)&gt;1,"⚠️ No encontrado | Duplicado","⚠️ No encontrado"),IF(COUNTIF($C$7:$C$1000,$C452)&gt;1,"⚠️ Duplicado","Verificado")))</f>
        <v/>
      </c>
    </row>
    <row r="453" ht="15.75" customHeight="1" s="176">
      <c r="B453" s="80" t="n"/>
      <c r="C453" s="74" t="n"/>
      <c r="D453" s="74">
        <f t="array" ref="D453">IF($C453="","",IFNA(_xlfn.XLOOKUP($C453,Productos!$A:$A,Productos!$E:$E,IFNA(_xlfn.XLOOKUP(TEXT($C453,"0"),Productos!$A:$A,Productos!$E:$E,IFNA(_xlfn.XLOOKUP(IFERROR(VALUE($C453),""),Productos!$A:$A,Productos!$E:$E,_xlfn.XLOOKUP($C453,Productos!$E:$E,Productos!$E:$E,"NO ENCONTRADO")),"NO ENCONTRADO")),"NO ENCONTRADO")),"NO ENCONTRADO"))</f>
        <v/>
      </c>
      <c r="E453" s="74">
        <f t="array" ref="E453">IF(OR($D453="",$D453="NO ENCONTRADO"),"",_xlfn.XLOOKUP($D453,Productos!$E:$E,Productos!$H:$H,""))</f>
        <v/>
      </c>
      <c r="F453" s="74">
        <f t="array" ref="F453">IF(OR($D453="",$D453="NO ENCONTRADO"),"",_xlfn.XLOOKUP($D453,Productos!$E:$E,Productos!$I:$I,""))</f>
        <v/>
      </c>
      <c r="G453" s="74">
        <f t="array" ref="G453">IF(OR($D453="",$D453="NO ENCONTRADO"),"",_xlfn.XLOOKUP($D453,Productos!$E:$E,Productos!$J:$J,""))</f>
        <v/>
      </c>
      <c r="H453" s="74">
        <f t="array" ref="H453">IF(OR($D453="",$D453="NO ENCONTRADO"),"",_xlfn.XLOOKUP($D453,Productos!$E:$E,Productos!$K:$K,""))</f>
        <v/>
      </c>
      <c r="I453" s="74">
        <f t="array" ref="I453">IF(OR($D453="",$D453="NO ENCONTRADO"),"",_xlfn.XLOOKUP($D453,Productos!$E:$E,Productos!$F:$F,""))</f>
        <v/>
      </c>
      <c r="J453" s="74">
        <f>IF($C453="","",IF($D453="NO ENCONTRADO",IF(COUNTIF($C$7:$C$1000,$C453)&gt;1,"⚠️ No encontrado | Duplicado","⚠️ No encontrado"),IF(COUNTIF($C$7:$C$1000,$C453)&gt;1,"⚠️ Duplicado","Verificado")))</f>
        <v/>
      </c>
    </row>
    <row r="454" ht="15.75" customHeight="1" s="176">
      <c r="B454" s="80" t="n"/>
      <c r="C454" s="74" t="n"/>
      <c r="D454" s="74">
        <f t="array" ref="D454">IF($C454="","",IFNA(_xlfn.XLOOKUP($C454,Productos!$A:$A,Productos!$E:$E,IFNA(_xlfn.XLOOKUP(TEXT($C454,"0"),Productos!$A:$A,Productos!$E:$E,IFNA(_xlfn.XLOOKUP(IFERROR(VALUE($C454),""),Productos!$A:$A,Productos!$E:$E,_xlfn.XLOOKUP($C454,Productos!$E:$E,Productos!$E:$E,"NO ENCONTRADO")),"NO ENCONTRADO")),"NO ENCONTRADO")),"NO ENCONTRADO"))</f>
        <v/>
      </c>
      <c r="E454" s="74">
        <f t="array" ref="E454">IF(OR($D454="",$D454="NO ENCONTRADO"),"",_xlfn.XLOOKUP($D454,Productos!$E:$E,Productos!$H:$H,""))</f>
        <v/>
      </c>
      <c r="F454" s="74">
        <f t="array" ref="F454">IF(OR($D454="",$D454="NO ENCONTRADO"),"",_xlfn.XLOOKUP($D454,Productos!$E:$E,Productos!$I:$I,""))</f>
        <v/>
      </c>
      <c r="G454" s="74">
        <f t="array" ref="G454">IF(OR($D454="",$D454="NO ENCONTRADO"),"",_xlfn.XLOOKUP($D454,Productos!$E:$E,Productos!$J:$J,""))</f>
        <v/>
      </c>
      <c r="H454" s="74">
        <f t="array" ref="H454">IF(OR($D454="",$D454="NO ENCONTRADO"),"",_xlfn.XLOOKUP($D454,Productos!$E:$E,Productos!$K:$K,""))</f>
        <v/>
      </c>
      <c r="I454" s="74">
        <f t="array" ref="I454">IF(OR($D454="",$D454="NO ENCONTRADO"),"",_xlfn.XLOOKUP($D454,Productos!$E:$E,Productos!$F:$F,""))</f>
        <v/>
      </c>
      <c r="J454" s="74">
        <f>IF($C454="","",IF($D454="NO ENCONTRADO",IF(COUNTIF($C$7:$C$1000,$C454)&gt;1,"⚠️ No encontrado | Duplicado","⚠️ No encontrado"),IF(COUNTIF($C$7:$C$1000,$C454)&gt;1,"⚠️ Duplicado","Verificado")))</f>
        <v/>
      </c>
    </row>
    <row r="455" ht="15.75" customHeight="1" s="176">
      <c r="B455" s="80" t="n"/>
      <c r="C455" s="74" t="n"/>
      <c r="D455" s="74">
        <f t="array" ref="D455">IF($C455="","",IFNA(_xlfn.XLOOKUP($C455,Productos!$A:$A,Productos!$E:$E,IFNA(_xlfn.XLOOKUP(TEXT($C455,"0"),Productos!$A:$A,Productos!$E:$E,IFNA(_xlfn.XLOOKUP(IFERROR(VALUE($C455),""),Productos!$A:$A,Productos!$E:$E,_xlfn.XLOOKUP($C455,Productos!$E:$E,Productos!$E:$E,"NO ENCONTRADO")),"NO ENCONTRADO")),"NO ENCONTRADO")),"NO ENCONTRADO"))</f>
        <v/>
      </c>
      <c r="E455" s="74">
        <f t="array" ref="E455">IF(OR($D455="",$D455="NO ENCONTRADO"),"",_xlfn.XLOOKUP($D455,Productos!$E:$E,Productos!$H:$H,""))</f>
        <v/>
      </c>
      <c r="F455" s="74">
        <f t="array" ref="F455">IF(OR($D455="",$D455="NO ENCONTRADO"),"",_xlfn.XLOOKUP($D455,Productos!$E:$E,Productos!$I:$I,""))</f>
        <v/>
      </c>
      <c r="G455" s="74">
        <f t="array" ref="G455">IF(OR($D455="",$D455="NO ENCONTRADO"),"",_xlfn.XLOOKUP($D455,Productos!$E:$E,Productos!$J:$J,""))</f>
        <v/>
      </c>
      <c r="H455" s="74">
        <f t="array" ref="H455">IF(OR($D455="",$D455="NO ENCONTRADO"),"",_xlfn.XLOOKUP($D455,Productos!$E:$E,Productos!$K:$K,""))</f>
        <v/>
      </c>
      <c r="I455" s="74">
        <f t="array" ref="I455">IF(OR($D455="",$D455="NO ENCONTRADO"),"",_xlfn.XLOOKUP($D455,Productos!$E:$E,Productos!$F:$F,""))</f>
        <v/>
      </c>
      <c r="J455" s="74">
        <f>IF($C455="","",IF($D455="NO ENCONTRADO",IF(COUNTIF($C$7:$C$1000,$C455)&gt;1,"⚠️ No encontrado | Duplicado","⚠️ No encontrado"),IF(COUNTIF($C$7:$C$1000,$C455)&gt;1,"⚠️ Duplicado","Verificado")))</f>
        <v/>
      </c>
    </row>
    <row r="456" ht="15.75" customHeight="1" s="176">
      <c r="B456" s="80" t="n"/>
      <c r="C456" s="74" t="n"/>
      <c r="D456" s="74">
        <f t="array" ref="D456">IF($C456="","",IFNA(_xlfn.XLOOKUP($C456,Productos!$A:$A,Productos!$E:$E,IFNA(_xlfn.XLOOKUP(TEXT($C456,"0"),Productos!$A:$A,Productos!$E:$E,IFNA(_xlfn.XLOOKUP(IFERROR(VALUE($C456),""),Productos!$A:$A,Productos!$E:$E,_xlfn.XLOOKUP($C456,Productos!$E:$E,Productos!$E:$E,"NO ENCONTRADO")),"NO ENCONTRADO")),"NO ENCONTRADO")),"NO ENCONTRADO"))</f>
        <v/>
      </c>
      <c r="E456" s="74">
        <f t="array" ref="E456">IF(OR($D456="",$D456="NO ENCONTRADO"),"",_xlfn.XLOOKUP($D456,Productos!$E:$E,Productos!$H:$H,""))</f>
        <v/>
      </c>
      <c r="F456" s="74">
        <f t="array" ref="F456">IF(OR($D456="",$D456="NO ENCONTRADO"),"",_xlfn.XLOOKUP($D456,Productos!$E:$E,Productos!$I:$I,""))</f>
        <v/>
      </c>
      <c r="G456" s="74">
        <f t="array" ref="G456">IF(OR($D456="",$D456="NO ENCONTRADO"),"",_xlfn.XLOOKUP($D456,Productos!$E:$E,Productos!$J:$J,""))</f>
        <v/>
      </c>
      <c r="H456" s="74">
        <f t="array" ref="H456">IF(OR($D456="",$D456="NO ENCONTRADO"),"",_xlfn.XLOOKUP($D456,Productos!$E:$E,Productos!$K:$K,""))</f>
        <v/>
      </c>
      <c r="I456" s="74">
        <f t="array" ref="I456">IF(OR($D456="",$D456="NO ENCONTRADO"),"",_xlfn.XLOOKUP($D456,Productos!$E:$E,Productos!$F:$F,""))</f>
        <v/>
      </c>
      <c r="J456" s="74">
        <f>IF($C456="","",IF($D456="NO ENCONTRADO",IF(COUNTIF($C$7:$C$1000,$C456)&gt;1,"⚠️ No encontrado | Duplicado","⚠️ No encontrado"),IF(COUNTIF($C$7:$C$1000,$C456)&gt;1,"⚠️ Duplicado","Verificado")))</f>
        <v/>
      </c>
    </row>
    <row r="457" ht="15.75" customHeight="1" s="176">
      <c r="B457" s="80" t="n"/>
      <c r="C457" s="74" t="n"/>
      <c r="D457" s="74">
        <f t="array" ref="D457">IF($C457="","",IFNA(_xlfn.XLOOKUP($C457,Productos!$A:$A,Productos!$E:$E,IFNA(_xlfn.XLOOKUP(TEXT($C457,"0"),Productos!$A:$A,Productos!$E:$E,IFNA(_xlfn.XLOOKUP(IFERROR(VALUE($C457),""),Productos!$A:$A,Productos!$E:$E,_xlfn.XLOOKUP($C457,Productos!$E:$E,Productos!$E:$E,"NO ENCONTRADO")),"NO ENCONTRADO")),"NO ENCONTRADO")),"NO ENCONTRADO"))</f>
        <v/>
      </c>
      <c r="E457" s="74">
        <f t="array" ref="E457">IF(OR($D457="",$D457="NO ENCONTRADO"),"",_xlfn.XLOOKUP($D457,Productos!$E:$E,Productos!$H:$H,""))</f>
        <v/>
      </c>
      <c r="F457" s="74">
        <f t="array" ref="F457">IF(OR($D457="",$D457="NO ENCONTRADO"),"",_xlfn.XLOOKUP($D457,Productos!$E:$E,Productos!$I:$I,""))</f>
        <v/>
      </c>
      <c r="G457" s="74">
        <f t="array" ref="G457">IF(OR($D457="",$D457="NO ENCONTRADO"),"",_xlfn.XLOOKUP($D457,Productos!$E:$E,Productos!$J:$J,""))</f>
        <v/>
      </c>
      <c r="H457" s="74">
        <f t="array" ref="H457">IF(OR($D457="",$D457="NO ENCONTRADO"),"",_xlfn.XLOOKUP($D457,Productos!$E:$E,Productos!$K:$K,""))</f>
        <v/>
      </c>
      <c r="I457" s="74">
        <f t="array" ref="I457">IF(OR($D457="",$D457="NO ENCONTRADO"),"",_xlfn.XLOOKUP($D457,Productos!$E:$E,Productos!$F:$F,""))</f>
        <v/>
      </c>
      <c r="J457" s="74">
        <f>IF($C457="","",IF($D457="NO ENCONTRADO",IF(COUNTIF($C$7:$C$1000,$C457)&gt;1,"⚠️ No encontrado | Duplicado","⚠️ No encontrado"),IF(COUNTIF($C$7:$C$1000,$C457)&gt;1,"⚠️ Duplicado","Verificado")))</f>
        <v/>
      </c>
    </row>
    <row r="458" ht="15.75" customHeight="1" s="176">
      <c r="B458" s="80" t="n"/>
      <c r="C458" s="74" t="n"/>
      <c r="D458" s="74">
        <f t="array" ref="D458">IF($C458="","",IFNA(_xlfn.XLOOKUP($C458,Productos!$A:$A,Productos!$E:$E,IFNA(_xlfn.XLOOKUP(TEXT($C458,"0"),Productos!$A:$A,Productos!$E:$E,IFNA(_xlfn.XLOOKUP(IFERROR(VALUE($C458),""),Productos!$A:$A,Productos!$E:$E,_xlfn.XLOOKUP($C458,Productos!$E:$E,Productos!$E:$E,"NO ENCONTRADO")),"NO ENCONTRADO")),"NO ENCONTRADO")),"NO ENCONTRADO"))</f>
        <v/>
      </c>
      <c r="E458" s="74">
        <f t="array" ref="E458">IF(OR($D458="",$D458="NO ENCONTRADO"),"",_xlfn.XLOOKUP($D458,Productos!$E:$E,Productos!$H:$H,""))</f>
        <v/>
      </c>
      <c r="F458" s="74">
        <f t="array" ref="F458">IF(OR($D458="",$D458="NO ENCONTRADO"),"",_xlfn.XLOOKUP($D458,Productos!$E:$E,Productos!$I:$I,""))</f>
        <v/>
      </c>
      <c r="G458" s="74">
        <f t="array" ref="G458">IF(OR($D458="",$D458="NO ENCONTRADO"),"",_xlfn.XLOOKUP($D458,Productos!$E:$E,Productos!$J:$J,""))</f>
        <v/>
      </c>
      <c r="H458" s="74">
        <f t="array" ref="H458">IF(OR($D458="",$D458="NO ENCONTRADO"),"",_xlfn.XLOOKUP($D458,Productos!$E:$E,Productos!$K:$K,""))</f>
        <v/>
      </c>
      <c r="I458" s="74">
        <f t="array" ref="I458">IF(OR($D458="",$D458="NO ENCONTRADO"),"",_xlfn.XLOOKUP($D458,Productos!$E:$E,Productos!$F:$F,""))</f>
        <v/>
      </c>
      <c r="J458" s="74">
        <f>IF($C458="","",IF($D458="NO ENCONTRADO",IF(COUNTIF($C$7:$C$1000,$C458)&gt;1,"⚠️ No encontrado | Duplicado","⚠️ No encontrado"),IF(COUNTIF($C$7:$C$1000,$C458)&gt;1,"⚠️ Duplicado","Verificado")))</f>
        <v/>
      </c>
    </row>
    <row r="459" ht="15.75" customHeight="1" s="176">
      <c r="B459" s="80" t="n"/>
      <c r="C459" s="74" t="n"/>
      <c r="D459" s="74">
        <f t="array" ref="D459">IF($C459="","",IFNA(_xlfn.XLOOKUP($C459,Productos!$A:$A,Productos!$E:$E,IFNA(_xlfn.XLOOKUP(TEXT($C459,"0"),Productos!$A:$A,Productos!$E:$E,IFNA(_xlfn.XLOOKUP(IFERROR(VALUE($C459),""),Productos!$A:$A,Productos!$E:$E,_xlfn.XLOOKUP($C459,Productos!$E:$E,Productos!$E:$E,"NO ENCONTRADO")),"NO ENCONTRADO")),"NO ENCONTRADO")),"NO ENCONTRADO"))</f>
        <v/>
      </c>
      <c r="E459" s="74">
        <f t="array" ref="E459">IF(OR($D459="",$D459="NO ENCONTRADO"),"",_xlfn.XLOOKUP($D459,Productos!$E:$E,Productos!$H:$H,""))</f>
        <v/>
      </c>
      <c r="F459" s="74">
        <f t="array" ref="F459">IF(OR($D459="",$D459="NO ENCONTRADO"),"",_xlfn.XLOOKUP($D459,Productos!$E:$E,Productos!$I:$I,""))</f>
        <v/>
      </c>
      <c r="G459" s="74">
        <f t="array" ref="G459">IF(OR($D459="",$D459="NO ENCONTRADO"),"",_xlfn.XLOOKUP($D459,Productos!$E:$E,Productos!$J:$J,""))</f>
        <v/>
      </c>
      <c r="H459" s="74">
        <f t="array" ref="H459">IF(OR($D459="",$D459="NO ENCONTRADO"),"",_xlfn.XLOOKUP($D459,Productos!$E:$E,Productos!$K:$K,""))</f>
        <v/>
      </c>
      <c r="I459" s="74">
        <f t="array" ref="I459">IF(OR($D459="",$D459="NO ENCONTRADO"),"",_xlfn.XLOOKUP($D459,Productos!$E:$E,Productos!$F:$F,""))</f>
        <v/>
      </c>
      <c r="J459" s="74">
        <f>IF($C459="","",IF($D459="NO ENCONTRADO",IF(COUNTIF($C$7:$C$1000,$C459)&gt;1,"⚠️ No encontrado | Duplicado","⚠️ No encontrado"),IF(COUNTIF($C$7:$C$1000,$C459)&gt;1,"⚠️ Duplicado","Verificado")))</f>
        <v/>
      </c>
    </row>
    <row r="460" ht="15.75" customHeight="1" s="176">
      <c r="B460" s="80" t="n"/>
      <c r="C460" s="74" t="n"/>
      <c r="D460" s="74">
        <f t="array" ref="D460">IF($C460="","",IFNA(_xlfn.XLOOKUP($C460,Productos!$A:$A,Productos!$E:$E,IFNA(_xlfn.XLOOKUP(TEXT($C460,"0"),Productos!$A:$A,Productos!$E:$E,IFNA(_xlfn.XLOOKUP(IFERROR(VALUE($C460),""),Productos!$A:$A,Productos!$E:$E,_xlfn.XLOOKUP($C460,Productos!$E:$E,Productos!$E:$E,"NO ENCONTRADO")),"NO ENCONTRADO")),"NO ENCONTRADO")),"NO ENCONTRADO"))</f>
        <v/>
      </c>
      <c r="E460" s="74">
        <f t="array" ref="E460">IF(OR($D460="",$D460="NO ENCONTRADO"),"",_xlfn.XLOOKUP($D460,Productos!$E:$E,Productos!$H:$H,""))</f>
        <v/>
      </c>
      <c r="F460" s="74">
        <f t="array" ref="F460">IF(OR($D460="",$D460="NO ENCONTRADO"),"",_xlfn.XLOOKUP($D460,Productos!$E:$E,Productos!$I:$I,""))</f>
        <v/>
      </c>
      <c r="G460" s="74">
        <f t="array" ref="G460">IF(OR($D460="",$D460="NO ENCONTRADO"),"",_xlfn.XLOOKUP($D460,Productos!$E:$E,Productos!$J:$J,""))</f>
        <v/>
      </c>
      <c r="H460" s="74">
        <f t="array" ref="H460">IF(OR($D460="",$D460="NO ENCONTRADO"),"",_xlfn.XLOOKUP($D460,Productos!$E:$E,Productos!$K:$K,""))</f>
        <v/>
      </c>
      <c r="I460" s="74">
        <f t="array" ref="I460">IF(OR($D460="",$D460="NO ENCONTRADO"),"",_xlfn.XLOOKUP($D460,Productos!$E:$E,Productos!$F:$F,""))</f>
        <v/>
      </c>
      <c r="J460" s="74">
        <f>IF($C460="","",IF($D460="NO ENCONTRADO",IF(COUNTIF($C$7:$C$1000,$C460)&gt;1,"⚠️ No encontrado | Duplicado","⚠️ No encontrado"),IF(COUNTIF($C$7:$C$1000,$C460)&gt;1,"⚠️ Duplicado","Verificado")))</f>
        <v/>
      </c>
    </row>
    <row r="461" ht="15.75" customHeight="1" s="176">
      <c r="B461" s="80" t="n"/>
      <c r="C461" s="74" t="n"/>
      <c r="D461" s="74">
        <f t="array" ref="D461">IF($C461="","",IFNA(_xlfn.XLOOKUP($C461,Productos!$A:$A,Productos!$E:$E,IFNA(_xlfn.XLOOKUP(TEXT($C461,"0"),Productos!$A:$A,Productos!$E:$E,IFNA(_xlfn.XLOOKUP(IFERROR(VALUE($C461),""),Productos!$A:$A,Productos!$E:$E,_xlfn.XLOOKUP($C461,Productos!$E:$E,Productos!$E:$E,"NO ENCONTRADO")),"NO ENCONTRADO")),"NO ENCONTRADO")),"NO ENCONTRADO"))</f>
        <v/>
      </c>
      <c r="E461" s="74">
        <f t="array" ref="E461">IF(OR($D461="",$D461="NO ENCONTRADO"),"",_xlfn.XLOOKUP($D461,Productos!$E:$E,Productos!$H:$H,""))</f>
        <v/>
      </c>
      <c r="F461" s="74">
        <f t="array" ref="F461">IF(OR($D461="",$D461="NO ENCONTRADO"),"",_xlfn.XLOOKUP($D461,Productos!$E:$E,Productos!$I:$I,""))</f>
        <v/>
      </c>
      <c r="G461" s="74">
        <f t="array" ref="G461">IF(OR($D461="",$D461="NO ENCONTRADO"),"",_xlfn.XLOOKUP($D461,Productos!$E:$E,Productos!$J:$J,""))</f>
        <v/>
      </c>
      <c r="H461" s="74">
        <f t="array" ref="H461">IF(OR($D461="",$D461="NO ENCONTRADO"),"",_xlfn.XLOOKUP($D461,Productos!$E:$E,Productos!$K:$K,""))</f>
        <v/>
      </c>
      <c r="I461" s="74">
        <f t="array" ref="I461">IF(OR($D461="",$D461="NO ENCONTRADO"),"",_xlfn.XLOOKUP($D461,Productos!$E:$E,Productos!$F:$F,""))</f>
        <v/>
      </c>
      <c r="J461" s="74">
        <f>IF($C461="","",IF($D461="NO ENCONTRADO",IF(COUNTIF($C$7:$C$1000,$C461)&gt;1,"⚠️ No encontrado | Duplicado","⚠️ No encontrado"),IF(COUNTIF($C$7:$C$1000,$C461)&gt;1,"⚠️ Duplicado","Verificado")))</f>
        <v/>
      </c>
    </row>
    <row r="462" ht="15.75" customHeight="1" s="176">
      <c r="B462" s="80" t="n"/>
      <c r="C462" s="74" t="n"/>
      <c r="D462" s="74">
        <f t="array" ref="D462">IF($C462="","",IFNA(_xlfn.XLOOKUP($C462,Productos!$A:$A,Productos!$E:$E,IFNA(_xlfn.XLOOKUP(TEXT($C462,"0"),Productos!$A:$A,Productos!$E:$E,IFNA(_xlfn.XLOOKUP(IFERROR(VALUE($C462),""),Productos!$A:$A,Productos!$E:$E,_xlfn.XLOOKUP($C462,Productos!$E:$E,Productos!$E:$E,"NO ENCONTRADO")),"NO ENCONTRADO")),"NO ENCONTRADO")),"NO ENCONTRADO"))</f>
        <v/>
      </c>
      <c r="E462" s="74">
        <f t="array" ref="E462">IF(OR($D462="",$D462="NO ENCONTRADO"),"",_xlfn.XLOOKUP($D462,Productos!$E:$E,Productos!$H:$H,""))</f>
        <v/>
      </c>
      <c r="F462" s="74">
        <f t="array" ref="F462">IF(OR($D462="",$D462="NO ENCONTRADO"),"",_xlfn.XLOOKUP($D462,Productos!$E:$E,Productos!$I:$I,""))</f>
        <v/>
      </c>
      <c r="G462" s="74">
        <f t="array" ref="G462">IF(OR($D462="",$D462="NO ENCONTRADO"),"",_xlfn.XLOOKUP($D462,Productos!$E:$E,Productos!$J:$J,""))</f>
        <v/>
      </c>
      <c r="H462" s="74">
        <f t="array" ref="H462">IF(OR($D462="",$D462="NO ENCONTRADO"),"",_xlfn.XLOOKUP($D462,Productos!$E:$E,Productos!$K:$K,""))</f>
        <v/>
      </c>
      <c r="I462" s="74">
        <f t="array" ref="I462">IF(OR($D462="",$D462="NO ENCONTRADO"),"",_xlfn.XLOOKUP($D462,Productos!$E:$E,Productos!$F:$F,""))</f>
        <v/>
      </c>
      <c r="J462" s="74">
        <f>IF($C462="","",IF($D462="NO ENCONTRADO",IF(COUNTIF($C$7:$C$1000,$C462)&gt;1,"⚠️ No encontrado | Duplicado","⚠️ No encontrado"),IF(COUNTIF($C$7:$C$1000,$C462)&gt;1,"⚠️ Duplicado","Verificado")))</f>
        <v/>
      </c>
    </row>
    <row r="463" ht="15.75" customHeight="1" s="176">
      <c r="B463" s="80" t="n"/>
      <c r="C463" s="74" t="n"/>
      <c r="D463" s="74">
        <f t="array" ref="D463">IF($C463="","",IFNA(_xlfn.XLOOKUP($C463,Productos!$A:$A,Productos!$E:$E,IFNA(_xlfn.XLOOKUP(TEXT($C463,"0"),Productos!$A:$A,Productos!$E:$E,IFNA(_xlfn.XLOOKUP(IFERROR(VALUE($C463),""),Productos!$A:$A,Productos!$E:$E,_xlfn.XLOOKUP($C463,Productos!$E:$E,Productos!$E:$E,"NO ENCONTRADO")),"NO ENCONTRADO")),"NO ENCONTRADO")),"NO ENCONTRADO"))</f>
        <v/>
      </c>
      <c r="E463" s="74">
        <f t="array" ref="E463">IF(OR($D463="",$D463="NO ENCONTRADO"),"",_xlfn.XLOOKUP($D463,Productos!$E:$E,Productos!$H:$H,""))</f>
        <v/>
      </c>
      <c r="F463" s="74">
        <f t="array" ref="F463">IF(OR($D463="",$D463="NO ENCONTRADO"),"",_xlfn.XLOOKUP($D463,Productos!$E:$E,Productos!$I:$I,""))</f>
        <v/>
      </c>
      <c r="G463" s="74">
        <f t="array" ref="G463">IF(OR($D463="",$D463="NO ENCONTRADO"),"",_xlfn.XLOOKUP($D463,Productos!$E:$E,Productos!$J:$J,""))</f>
        <v/>
      </c>
      <c r="H463" s="74">
        <f t="array" ref="H463">IF(OR($D463="",$D463="NO ENCONTRADO"),"",_xlfn.XLOOKUP($D463,Productos!$E:$E,Productos!$K:$K,""))</f>
        <v/>
      </c>
      <c r="I463" s="74">
        <f t="array" ref="I463">IF(OR($D463="",$D463="NO ENCONTRADO"),"",_xlfn.XLOOKUP($D463,Productos!$E:$E,Productos!$F:$F,""))</f>
        <v/>
      </c>
      <c r="J463" s="74">
        <f>IF($C463="","",IF($D463="NO ENCONTRADO",IF(COUNTIF($C$7:$C$1000,$C463)&gt;1,"⚠️ No encontrado | Duplicado","⚠️ No encontrado"),IF(COUNTIF($C$7:$C$1000,$C463)&gt;1,"⚠️ Duplicado","Verificado")))</f>
        <v/>
      </c>
    </row>
    <row r="464" ht="15.75" customHeight="1" s="176">
      <c r="B464" s="80" t="n"/>
      <c r="C464" s="74" t="n"/>
      <c r="D464" s="74">
        <f t="array" ref="D464">IF($C464="","",IFNA(_xlfn.XLOOKUP($C464,Productos!$A:$A,Productos!$E:$E,IFNA(_xlfn.XLOOKUP(TEXT($C464,"0"),Productos!$A:$A,Productos!$E:$E,IFNA(_xlfn.XLOOKUP(IFERROR(VALUE($C464),""),Productos!$A:$A,Productos!$E:$E,_xlfn.XLOOKUP($C464,Productos!$E:$E,Productos!$E:$E,"NO ENCONTRADO")),"NO ENCONTRADO")),"NO ENCONTRADO")),"NO ENCONTRADO"))</f>
        <v/>
      </c>
      <c r="E464" s="74">
        <f t="array" ref="E464">IF(OR($D464="",$D464="NO ENCONTRADO"),"",_xlfn.XLOOKUP($D464,Productos!$E:$E,Productos!$H:$H,""))</f>
        <v/>
      </c>
      <c r="F464" s="74">
        <f t="array" ref="F464">IF(OR($D464="",$D464="NO ENCONTRADO"),"",_xlfn.XLOOKUP($D464,Productos!$E:$E,Productos!$I:$I,""))</f>
        <v/>
      </c>
      <c r="G464" s="74">
        <f t="array" ref="G464">IF(OR($D464="",$D464="NO ENCONTRADO"),"",_xlfn.XLOOKUP($D464,Productos!$E:$E,Productos!$J:$J,""))</f>
        <v/>
      </c>
      <c r="H464" s="74">
        <f t="array" ref="H464">IF(OR($D464="",$D464="NO ENCONTRADO"),"",_xlfn.XLOOKUP($D464,Productos!$E:$E,Productos!$K:$K,""))</f>
        <v/>
      </c>
      <c r="I464" s="74">
        <f t="array" ref="I464">IF(OR($D464="",$D464="NO ENCONTRADO"),"",_xlfn.XLOOKUP($D464,Productos!$E:$E,Productos!$F:$F,""))</f>
        <v/>
      </c>
      <c r="J464" s="74">
        <f>IF($C464="","",IF($D464="NO ENCONTRADO",IF(COUNTIF($C$7:$C$1000,$C464)&gt;1,"⚠️ No encontrado | Duplicado","⚠️ No encontrado"),IF(COUNTIF($C$7:$C$1000,$C464)&gt;1,"⚠️ Duplicado","Verificado")))</f>
        <v/>
      </c>
    </row>
    <row r="465" ht="15.75" customHeight="1" s="176">
      <c r="B465" s="80" t="n"/>
      <c r="C465" s="74" t="n"/>
      <c r="D465" s="74">
        <f t="array" ref="D465">IF($C465="","",IFNA(_xlfn.XLOOKUP($C465,Productos!$A:$A,Productos!$E:$E,IFNA(_xlfn.XLOOKUP(TEXT($C465,"0"),Productos!$A:$A,Productos!$E:$E,IFNA(_xlfn.XLOOKUP(IFERROR(VALUE($C465),""),Productos!$A:$A,Productos!$E:$E,_xlfn.XLOOKUP($C465,Productos!$E:$E,Productos!$E:$E,"NO ENCONTRADO")),"NO ENCONTRADO")),"NO ENCONTRADO")),"NO ENCONTRADO"))</f>
        <v/>
      </c>
      <c r="E465" s="74">
        <f t="array" ref="E465">IF(OR($D465="",$D465="NO ENCONTRADO"),"",_xlfn.XLOOKUP($D465,Productos!$E:$E,Productos!$H:$H,""))</f>
        <v/>
      </c>
      <c r="F465" s="74">
        <f t="array" ref="F465">IF(OR($D465="",$D465="NO ENCONTRADO"),"",_xlfn.XLOOKUP($D465,Productos!$E:$E,Productos!$I:$I,""))</f>
        <v/>
      </c>
      <c r="G465" s="74">
        <f t="array" ref="G465">IF(OR($D465="",$D465="NO ENCONTRADO"),"",_xlfn.XLOOKUP($D465,Productos!$E:$E,Productos!$J:$J,""))</f>
        <v/>
      </c>
      <c r="H465" s="74">
        <f t="array" ref="H465">IF(OR($D465="",$D465="NO ENCONTRADO"),"",_xlfn.XLOOKUP($D465,Productos!$E:$E,Productos!$K:$K,""))</f>
        <v/>
      </c>
      <c r="I465" s="74">
        <f t="array" ref="I465">IF(OR($D465="",$D465="NO ENCONTRADO"),"",_xlfn.XLOOKUP($D465,Productos!$E:$E,Productos!$F:$F,""))</f>
        <v/>
      </c>
      <c r="J465" s="74">
        <f>IF($C465="","",IF($D465="NO ENCONTRADO",IF(COUNTIF($C$7:$C$1000,$C465)&gt;1,"⚠️ No encontrado | Duplicado","⚠️ No encontrado"),IF(COUNTIF($C$7:$C$1000,$C465)&gt;1,"⚠️ Duplicado","Verificado")))</f>
        <v/>
      </c>
    </row>
    <row r="466" ht="15.75" customHeight="1" s="176">
      <c r="B466" s="80" t="n"/>
      <c r="C466" s="74" t="n"/>
      <c r="D466" s="74">
        <f t="array" ref="D466">IF($C466="","",IFNA(_xlfn.XLOOKUP($C466,Productos!$A:$A,Productos!$E:$E,IFNA(_xlfn.XLOOKUP(TEXT($C466,"0"),Productos!$A:$A,Productos!$E:$E,IFNA(_xlfn.XLOOKUP(IFERROR(VALUE($C466),""),Productos!$A:$A,Productos!$E:$E,_xlfn.XLOOKUP($C466,Productos!$E:$E,Productos!$E:$E,"NO ENCONTRADO")),"NO ENCONTRADO")),"NO ENCONTRADO")),"NO ENCONTRADO"))</f>
        <v/>
      </c>
      <c r="E466" s="74">
        <f t="array" ref="E466">IF(OR($D466="",$D466="NO ENCONTRADO"),"",_xlfn.XLOOKUP($D466,Productos!$E:$E,Productos!$H:$H,""))</f>
        <v/>
      </c>
      <c r="F466" s="74">
        <f t="array" ref="F466">IF(OR($D466="",$D466="NO ENCONTRADO"),"",_xlfn.XLOOKUP($D466,Productos!$E:$E,Productos!$I:$I,""))</f>
        <v/>
      </c>
      <c r="G466" s="74">
        <f t="array" ref="G466">IF(OR($D466="",$D466="NO ENCONTRADO"),"",_xlfn.XLOOKUP($D466,Productos!$E:$E,Productos!$J:$J,""))</f>
        <v/>
      </c>
      <c r="H466" s="74">
        <f t="array" ref="H466">IF(OR($D466="",$D466="NO ENCONTRADO"),"",_xlfn.XLOOKUP($D466,Productos!$E:$E,Productos!$K:$K,""))</f>
        <v/>
      </c>
      <c r="I466" s="74">
        <f t="array" ref="I466">IF(OR($D466="",$D466="NO ENCONTRADO"),"",_xlfn.XLOOKUP($D466,Productos!$E:$E,Productos!$F:$F,""))</f>
        <v/>
      </c>
      <c r="J466" s="74">
        <f>IF($C466="","",IF($D466="NO ENCONTRADO",IF(COUNTIF($C$7:$C$1000,$C466)&gt;1,"⚠️ No encontrado | Duplicado","⚠️ No encontrado"),IF(COUNTIF($C$7:$C$1000,$C466)&gt;1,"⚠️ Duplicado","Verificado")))</f>
        <v/>
      </c>
    </row>
    <row r="467" ht="15.75" customHeight="1" s="176">
      <c r="B467" s="80" t="n"/>
      <c r="C467" s="74" t="n"/>
      <c r="D467" s="74">
        <f t="array" ref="D467">IF($C467="","",IFNA(_xlfn.XLOOKUP($C467,Productos!$A:$A,Productos!$E:$E,IFNA(_xlfn.XLOOKUP(TEXT($C467,"0"),Productos!$A:$A,Productos!$E:$E,IFNA(_xlfn.XLOOKUP(IFERROR(VALUE($C467),""),Productos!$A:$A,Productos!$E:$E,_xlfn.XLOOKUP($C467,Productos!$E:$E,Productos!$E:$E,"NO ENCONTRADO")),"NO ENCONTRADO")),"NO ENCONTRADO")),"NO ENCONTRADO"))</f>
        <v/>
      </c>
      <c r="E467" s="74">
        <f t="array" ref="E467">IF(OR($D467="",$D467="NO ENCONTRADO"),"",_xlfn.XLOOKUP($D467,Productos!$E:$E,Productos!$H:$H,""))</f>
        <v/>
      </c>
      <c r="F467" s="74">
        <f t="array" ref="F467">IF(OR($D467="",$D467="NO ENCONTRADO"),"",_xlfn.XLOOKUP($D467,Productos!$E:$E,Productos!$I:$I,""))</f>
        <v/>
      </c>
      <c r="G467" s="74">
        <f t="array" ref="G467">IF(OR($D467="",$D467="NO ENCONTRADO"),"",_xlfn.XLOOKUP($D467,Productos!$E:$E,Productos!$J:$J,""))</f>
        <v/>
      </c>
      <c r="H467" s="74">
        <f t="array" ref="H467">IF(OR($D467="",$D467="NO ENCONTRADO"),"",_xlfn.XLOOKUP($D467,Productos!$E:$E,Productos!$K:$K,""))</f>
        <v/>
      </c>
      <c r="I467" s="74">
        <f t="array" ref="I467">IF(OR($D467="",$D467="NO ENCONTRADO"),"",_xlfn.XLOOKUP($D467,Productos!$E:$E,Productos!$F:$F,""))</f>
        <v/>
      </c>
      <c r="J467" s="74">
        <f>IF($C467="","",IF($D467="NO ENCONTRADO",IF(COUNTIF($C$7:$C$1000,$C467)&gt;1,"⚠️ No encontrado | Duplicado","⚠️ No encontrado"),IF(COUNTIF($C$7:$C$1000,$C467)&gt;1,"⚠️ Duplicado","Verificado")))</f>
        <v/>
      </c>
    </row>
    <row r="468" ht="15.75" customHeight="1" s="176">
      <c r="B468" s="80" t="n"/>
      <c r="C468" s="74" t="n"/>
      <c r="D468" s="74">
        <f t="array" ref="D468">IF($C468="","",IFNA(_xlfn.XLOOKUP($C468,Productos!$A:$A,Productos!$E:$E,IFNA(_xlfn.XLOOKUP(TEXT($C468,"0"),Productos!$A:$A,Productos!$E:$E,IFNA(_xlfn.XLOOKUP(IFERROR(VALUE($C468),""),Productos!$A:$A,Productos!$E:$E,_xlfn.XLOOKUP($C468,Productos!$E:$E,Productos!$E:$E,"NO ENCONTRADO")),"NO ENCONTRADO")),"NO ENCONTRADO")),"NO ENCONTRADO"))</f>
        <v/>
      </c>
      <c r="E468" s="74">
        <f t="array" ref="E468">IF(OR($D468="",$D468="NO ENCONTRADO"),"",_xlfn.XLOOKUP($D468,Productos!$E:$E,Productos!$H:$H,""))</f>
        <v/>
      </c>
      <c r="F468" s="74">
        <f t="array" ref="F468">IF(OR($D468="",$D468="NO ENCONTRADO"),"",_xlfn.XLOOKUP($D468,Productos!$E:$E,Productos!$I:$I,""))</f>
        <v/>
      </c>
      <c r="G468" s="74">
        <f t="array" ref="G468">IF(OR($D468="",$D468="NO ENCONTRADO"),"",_xlfn.XLOOKUP($D468,Productos!$E:$E,Productos!$J:$J,""))</f>
        <v/>
      </c>
      <c r="H468" s="74">
        <f t="array" ref="H468">IF(OR($D468="",$D468="NO ENCONTRADO"),"",_xlfn.XLOOKUP($D468,Productos!$E:$E,Productos!$K:$K,""))</f>
        <v/>
      </c>
      <c r="I468" s="74">
        <f t="array" ref="I468">IF(OR($D468="",$D468="NO ENCONTRADO"),"",_xlfn.XLOOKUP($D468,Productos!$E:$E,Productos!$F:$F,""))</f>
        <v/>
      </c>
      <c r="J468" s="74">
        <f>IF($C468="","",IF($D468="NO ENCONTRADO",IF(COUNTIF($C$7:$C$1000,$C468)&gt;1,"⚠️ No encontrado | Duplicado","⚠️ No encontrado"),IF(COUNTIF($C$7:$C$1000,$C468)&gt;1,"⚠️ Duplicado","Verificado")))</f>
        <v/>
      </c>
    </row>
    <row r="469" ht="15.75" customHeight="1" s="176">
      <c r="B469" s="80" t="n"/>
      <c r="C469" s="74" t="n"/>
      <c r="D469" s="74">
        <f t="array" ref="D469">IF($C469="","",IFNA(_xlfn.XLOOKUP($C469,Productos!$A:$A,Productos!$E:$E,IFNA(_xlfn.XLOOKUP(TEXT($C469,"0"),Productos!$A:$A,Productos!$E:$E,IFNA(_xlfn.XLOOKUP(IFERROR(VALUE($C469),""),Productos!$A:$A,Productos!$E:$E,_xlfn.XLOOKUP($C469,Productos!$E:$E,Productos!$E:$E,"NO ENCONTRADO")),"NO ENCONTRADO")),"NO ENCONTRADO")),"NO ENCONTRADO"))</f>
        <v/>
      </c>
      <c r="E469" s="74">
        <f t="array" ref="E469">IF(OR($D469="",$D469="NO ENCONTRADO"),"",_xlfn.XLOOKUP($D469,Productos!$E:$E,Productos!$H:$H,""))</f>
        <v/>
      </c>
      <c r="F469" s="74">
        <f t="array" ref="F469">IF(OR($D469="",$D469="NO ENCONTRADO"),"",_xlfn.XLOOKUP($D469,Productos!$E:$E,Productos!$I:$I,""))</f>
        <v/>
      </c>
      <c r="G469" s="74">
        <f t="array" ref="G469">IF(OR($D469="",$D469="NO ENCONTRADO"),"",_xlfn.XLOOKUP($D469,Productos!$E:$E,Productos!$J:$J,""))</f>
        <v/>
      </c>
      <c r="H469" s="74">
        <f t="array" ref="H469">IF(OR($D469="",$D469="NO ENCONTRADO"),"",_xlfn.XLOOKUP($D469,Productos!$E:$E,Productos!$K:$K,""))</f>
        <v/>
      </c>
      <c r="I469" s="74">
        <f t="array" ref="I469">IF(OR($D469="",$D469="NO ENCONTRADO"),"",_xlfn.XLOOKUP($D469,Productos!$E:$E,Productos!$F:$F,""))</f>
        <v/>
      </c>
      <c r="J469" s="74">
        <f>IF($C469="","",IF($D469="NO ENCONTRADO",IF(COUNTIF($C$7:$C$1000,$C469)&gt;1,"⚠️ No encontrado | Duplicado","⚠️ No encontrado"),IF(COUNTIF($C$7:$C$1000,$C469)&gt;1,"⚠️ Duplicado","Verificado")))</f>
        <v/>
      </c>
    </row>
    <row r="470" ht="15.75" customHeight="1" s="176">
      <c r="B470" s="80" t="n"/>
      <c r="C470" s="74" t="n"/>
      <c r="D470" s="74">
        <f t="array" ref="D470">IF($C470="","",IFNA(_xlfn.XLOOKUP($C470,Productos!$A:$A,Productos!$E:$E,IFNA(_xlfn.XLOOKUP(TEXT($C470,"0"),Productos!$A:$A,Productos!$E:$E,IFNA(_xlfn.XLOOKUP(IFERROR(VALUE($C470),""),Productos!$A:$A,Productos!$E:$E,_xlfn.XLOOKUP($C470,Productos!$E:$E,Productos!$E:$E,"NO ENCONTRADO")),"NO ENCONTRADO")),"NO ENCONTRADO")),"NO ENCONTRADO"))</f>
        <v/>
      </c>
      <c r="E470" s="74">
        <f t="array" ref="E470">IF(OR($D470="",$D470="NO ENCONTRADO"),"",_xlfn.XLOOKUP($D470,Productos!$E:$E,Productos!$H:$H,""))</f>
        <v/>
      </c>
      <c r="F470" s="74">
        <f t="array" ref="F470">IF(OR($D470="",$D470="NO ENCONTRADO"),"",_xlfn.XLOOKUP($D470,Productos!$E:$E,Productos!$I:$I,""))</f>
        <v/>
      </c>
      <c r="G470" s="74">
        <f t="array" ref="G470">IF(OR($D470="",$D470="NO ENCONTRADO"),"",_xlfn.XLOOKUP($D470,Productos!$E:$E,Productos!$J:$J,""))</f>
        <v/>
      </c>
      <c r="H470" s="74">
        <f t="array" ref="H470">IF(OR($D470="",$D470="NO ENCONTRADO"),"",_xlfn.XLOOKUP($D470,Productos!$E:$E,Productos!$K:$K,""))</f>
        <v/>
      </c>
      <c r="I470" s="74">
        <f t="array" ref="I470">IF(OR($D470="",$D470="NO ENCONTRADO"),"",_xlfn.XLOOKUP($D470,Productos!$E:$E,Productos!$F:$F,""))</f>
        <v/>
      </c>
      <c r="J470" s="74">
        <f>IF($C470="","",IF($D470="NO ENCONTRADO",IF(COUNTIF($C$7:$C$1000,$C470)&gt;1,"⚠️ No encontrado | Duplicado","⚠️ No encontrado"),IF(COUNTIF($C$7:$C$1000,$C470)&gt;1,"⚠️ Duplicado","Verificado")))</f>
        <v/>
      </c>
    </row>
    <row r="471" ht="15.75" customHeight="1" s="176">
      <c r="B471" s="80" t="n"/>
      <c r="C471" s="74" t="n"/>
      <c r="D471" s="74">
        <f t="array" ref="D471">IF($C471="","",IFNA(_xlfn.XLOOKUP($C471,Productos!$A:$A,Productos!$E:$E,IFNA(_xlfn.XLOOKUP(TEXT($C471,"0"),Productos!$A:$A,Productos!$E:$E,IFNA(_xlfn.XLOOKUP(IFERROR(VALUE($C471),""),Productos!$A:$A,Productos!$E:$E,_xlfn.XLOOKUP($C471,Productos!$E:$E,Productos!$E:$E,"NO ENCONTRADO")),"NO ENCONTRADO")),"NO ENCONTRADO")),"NO ENCONTRADO"))</f>
        <v/>
      </c>
      <c r="E471" s="74">
        <f t="array" ref="E471">IF(OR($D471="",$D471="NO ENCONTRADO"),"",_xlfn.XLOOKUP($D471,Productos!$E:$E,Productos!$H:$H,""))</f>
        <v/>
      </c>
      <c r="F471" s="74">
        <f t="array" ref="F471">IF(OR($D471="",$D471="NO ENCONTRADO"),"",_xlfn.XLOOKUP($D471,Productos!$E:$E,Productos!$I:$I,""))</f>
        <v/>
      </c>
      <c r="G471" s="74">
        <f t="array" ref="G471">IF(OR($D471="",$D471="NO ENCONTRADO"),"",_xlfn.XLOOKUP($D471,Productos!$E:$E,Productos!$J:$J,""))</f>
        <v/>
      </c>
      <c r="H471" s="74">
        <f t="array" ref="H471">IF(OR($D471="",$D471="NO ENCONTRADO"),"",_xlfn.XLOOKUP($D471,Productos!$E:$E,Productos!$K:$K,""))</f>
        <v/>
      </c>
      <c r="I471" s="74">
        <f t="array" ref="I471">IF(OR($D471="",$D471="NO ENCONTRADO"),"",_xlfn.XLOOKUP($D471,Productos!$E:$E,Productos!$F:$F,""))</f>
        <v/>
      </c>
      <c r="J471" s="74">
        <f>IF($C471="","",IF($D471="NO ENCONTRADO",IF(COUNTIF($C$7:$C$1000,$C471)&gt;1,"⚠️ No encontrado | Duplicado","⚠️ No encontrado"),IF(COUNTIF($C$7:$C$1000,$C471)&gt;1,"⚠️ Duplicado","Verificado")))</f>
        <v/>
      </c>
    </row>
    <row r="472" ht="15.75" customHeight="1" s="176">
      <c r="B472" s="80" t="n"/>
      <c r="C472" s="74" t="n"/>
      <c r="D472" s="74">
        <f t="array" ref="D472">IF($C472="","",IFNA(_xlfn.XLOOKUP($C472,Productos!$A:$A,Productos!$E:$E,IFNA(_xlfn.XLOOKUP(TEXT($C472,"0"),Productos!$A:$A,Productos!$E:$E,IFNA(_xlfn.XLOOKUP(IFERROR(VALUE($C472),""),Productos!$A:$A,Productos!$E:$E,_xlfn.XLOOKUP($C472,Productos!$E:$E,Productos!$E:$E,"NO ENCONTRADO")),"NO ENCONTRADO")),"NO ENCONTRADO")),"NO ENCONTRADO"))</f>
        <v/>
      </c>
      <c r="E472" s="74">
        <f t="array" ref="E472">IF(OR($D472="",$D472="NO ENCONTRADO"),"",_xlfn.XLOOKUP($D472,Productos!$E:$E,Productos!$H:$H,""))</f>
        <v/>
      </c>
      <c r="F472" s="74">
        <f t="array" ref="F472">IF(OR($D472="",$D472="NO ENCONTRADO"),"",_xlfn.XLOOKUP($D472,Productos!$E:$E,Productos!$I:$I,""))</f>
        <v/>
      </c>
      <c r="G472" s="74">
        <f t="array" ref="G472">IF(OR($D472="",$D472="NO ENCONTRADO"),"",_xlfn.XLOOKUP($D472,Productos!$E:$E,Productos!$J:$J,""))</f>
        <v/>
      </c>
      <c r="H472" s="74">
        <f t="array" ref="H472">IF(OR($D472="",$D472="NO ENCONTRADO"),"",_xlfn.XLOOKUP($D472,Productos!$E:$E,Productos!$K:$K,""))</f>
        <v/>
      </c>
      <c r="I472" s="74">
        <f t="array" ref="I472">IF(OR($D472="",$D472="NO ENCONTRADO"),"",_xlfn.XLOOKUP($D472,Productos!$E:$E,Productos!$F:$F,""))</f>
        <v/>
      </c>
      <c r="J472" s="74">
        <f>IF($C472="","",IF($D472="NO ENCONTRADO",IF(COUNTIF($C$7:$C$1000,$C472)&gt;1,"⚠️ No encontrado | Duplicado","⚠️ No encontrado"),IF(COUNTIF($C$7:$C$1000,$C472)&gt;1,"⚠️ Duplicado","Verificado")))</f>
        <v/>
      </c>
    </row>
    <row r="473" ht="15.75" customHeight="1" s="176">
      <c r="B473" s="80" t="n"/>
      <c r="C473" s="74" t="n"/>
      <c r="D473" s="74">
        <f t="array" ref="D473">IF($C473="","",IFNA(_xlfn.XLOOKUP($C473,Productos!$A:$A,Productos!$E:$E,IFNA(_xlfn.XLOOKUP(TEXT($C473,"0"),Productos!$A:$A,Productos!$E:$E,IFNA(_xlfn.XLOOKUP(IFERROR(VALUE($C473),""),Productos!$A:$A,Productos!$E:$E,_xlfn.XLOOKUP($C473,Productos!$E:$E,Productos!$E:$E,"NO ENCONTRADO")),"NO ENCONTRADO")),"NO ENCONTRADO")),"NO ENCONTRADO"))</f>
        <v/>
      </c>
      <c r="E473" s="74">
        <f t="array" ref="E473">IF(OR($D473="",$D473="NO ENCONTRADO"),"",_xlfn.XLOOKUP($D473,Productos!$E:$E,Productos!$H:$H,""))</f>
        <v/>
      </c>
      <c r="F473" s="74">
        <f t="array" ref="F473">IF(OR($D473="",$D473="NO ENCONTRADO"),"",_xlfn.XLOOKUP($D473,Productos!$E:$E,Productos!$I:$I,""))</f>
        <v/>
      </c>
      <c r="G473" s="74">
        <f t="array" ref="G473">IF(OR($D473="",$D473="NO ENCONTRADO"),"",_xlfn.XLOOKUP($D473,Productos!$E:$E,Productos!$J:$J,""))</f>
        <v/>
      </c>
      <c r="H473" s="74">
        <f t="array" ref="H473">IF(OR($D473="",$D473="NO ENCONTRADO"),"",_xlfn.XLOOKUP($D473,Productos!$E:$E,Productos!$K:$K,""))</f>
        <v/>
      </c>
      <c r="I473" s="74">
        <f t="array" ref="I473">IF(OR($D473="",$D473="NO ENCONTRADO"),"",_xlfn.XLOOKUP($D473,Productos!$E:$E,Productos!$F:$F,""))</f>
        <v/>
      </c>
      <c r="J473" s="74">
        <f>IF($C473="","",IF($D473="NO ENCONTRADO",IF(COUNTIF($C$7:$C$1000,$C473)&gt;1,"⚠️ No encontrado | Duplicado","⚠️ No encontrado"),IF(COUNTIF($C$7:$C$1000,$C473)&gt;1,"⚠️ Duplicado","Verificado")))</f>
        <v/>
      </c>
    </row>
    <row r="474" ht="15.75" customHeight="1" s="176">
      <c r="B474" s="80" t="n"/>
      <c r="C474" s="74" t="n"/>
      <c r="D474" s="74">
        <f t="array" ref="D474">IF($C474="","",IFNA(_xlfn.XLOOKUP($C474,Productos!$A:$A,Productos!$E:$E,IFNA(_xlfn.XLOOKUP(TEXT($C474,"0"),Productos!$A:$A,Productos!$E:$E,IFNA(_xlfn.XLOOKUP(IFERROR(VALUE($C474),""),Productos!$A:$A,Productos!$E:$E,_xlfn.XLOOKUP($C474,Productos!$E:$E,Productos!$E:$E,"NO ENCONTRADO")),"NO ENCONTRADO")),"NO ENCONTRADO")),"NO ENCONTRADO"))</f>
        <v/>
      </c>
      <c r="E474" s="74">
        <f t="array" ref="E474">IF(OR($D474="",$D474="NO ENCONTRADO"),"",_xlfn.XLOOKUP($D474,Productos!$E:$E,Productos!$H:$H,""))</f>
        <v/>
      </c>
      <c r="F474" s="74">
        <f t="array" ref="F474">IF(OR($D474="",$D474="NO ENCONTRADO"),"",_xlfn.XLOOKUP($D474,Productos!$E:$E,Productos!$I:$I,""))</f>
        <v/>
      </c>
      <c r="G474" s="74">
        <f t="array" ref="G474">IF(OR($D474="",$D474="NO ENCONTRADO"),"",_xlfn.XLOOKUP($D474,Productos!$E:$E,Productos!$J:$J,""))</f>
        <v/>
      </c>
      <c r="H474" s="74">
        <f t="array" ref="H474">IF(OR($D474="",$D474="NO ENCONTRADO"),"",_xlfn.XLOOKUP($D474,Productos!$E:$E,Productos!$K:$K,""))</f>
        <v/>
      </c>
      <c r="I474" s="74">
        <f t="array" ref="I474">IF(OR($D474="",$D474="NO ENCONTRADO"),"",_xlfn.XLOOKUP($D474,Productos!$E:$E,Productos!$F:$F,""))</f>
        <v/>
      </c>
      <c r="J474" s="74">
        <f>IF($C474="","",IF($D474="NO ENCONTRADO",IF(COUNTIF($C$7:$C$1000,$C474)&gt;1,"⚠️ No encontrado | Duplicado","⚠️ No encontrado"),IF(COUNTIF($C$7:$C$1000,$C474)&gt;1,"⚠️ Duplicado","Verificado")))</f>
        <v/>
      </c>
    </row>
    <row r="475" ht="15.75" customHeight="1" s="176">
      <c r="B475" s="80" t="n"/>
      <c r="C475" s="74" t="n"/>
      <c r="D475" s="74">
        <f t="array" ref="D475">IF($C475="","",IFNA(_xlfn.XLOOKUP($C475,Productos!$A:$A,Productos!$E:$E,IFNA(_xlfn.XLOOKUP(TEXT($C475,"0"),Productos!$A:$A,Productos!$E:$E,IFNA(_xlfn.XLOOKUP(IFERROR(VALUE($C475),""),Productos!$A:$A,Productos!$E:$E,_xlfn.XLOOKUP($C475,Productos!$E:$E,Productos!$E:$E,"NO ENCONTRADO")),"NO ENCONTRADO")),"NO ENCONTRADO")),"NO ENCONTRADO"))</f>
        <v/>
      </c>
      <c r="E475" s="74">
        <f t="array" ref="E475">IF(OR($D475="",$D475="NO ENCONTRADO"),"",_xlfn.XLOOKUP($D475,Productos!$E:$E,Productos!$H:$H,""))</f>
        <v/>
      </c>
      <c r="F475" s="74">
        <f t="array" ref="F475">IF(OR($D475="",$D475="NO ENCONTRADO"),"",_xlfn.XLOOKUP($D475,Productos!$E:$E,Productos!$I:$I,""))</f>
        <v/>
      </c>
      <c r="G475" s="74">
        <f t="array" ref="G475">IF(OR($D475="",$D475="NO ENCONTRADO"),"",_xlfn.XLOOKUP($D475,Productos!$E:$E,Productos!$J:$J,""))</f>
        <v/>
      </c>
      <c r="H475" s="74">
        <f t="array" ref="H475">IF(OR($D475="",$D475="NO ENCONTRADO"),"",_xlfn.XLOOKUP($D475,Productos!$E:$E,Productos!$K:$K,""))</f>
        <v/>
      </c>
      <c r="I475" s="74">
        <f t="array" ref="I475">IF(OR($D475="",$D475="NO ENCONTRADO"),"",_xlfn.XLOOKUP($D475,Productos!$E:$E,Productos!$F:$F,""))</f>
        <v/>
      </c>
      <c r="J475" s="74">
        <f>IF($C475="","",IF($D475="NO ENCONTRADO",IF(COUNTIF($C$7:$C$1000,$C475)&gt;1,"⚠️ No encontrado | Duplicado","⚠️ No encontrado"),IF(COUNTIF($C$7:$C$1000,$C475)&gt;1,"⚠️ Duplicado","Verificado")))</f>
        <v/>
      </c>
    </row>
    <row r="476" ht="15.75" customHeight="1" s="176">
      <c r="B476" s="80" t="n"/>
      <c r="C476" s="74" t="n"/>
      <c r="D476" s="74">
        <f t="array" ref="D476">IF($C476="","",IFNA(_xlfn.XLOOKUP($C476,Productos!$A:$A,Productos!$E:$E,IFNA(_xlfn.XLOOKUP(TEXT($C476,"0"),Productos!$A:$A,Productos!$E:$E,IFNA(_xlfn.XLOOKUP(IFERROR(VALUE($C476),""),Productos!$A:$A,Productos!$E:$E,_xlfn.XLOOKUP($C476,Productos!$E:$E,Productos!$E:$E,"NO ENCONTRADO")),"NO ENCONTRADO")),"NO ENCONTRADO")),"NO ENCONTRADO"))</f>
        <v/>
      </c>
      <c r="E476" s="74">
        <f t="array" ref="E476">IF(OR($D476="",$D476="NO ENCONTRADO"),"",_xlfn.XLOOKUP($D476,Productos!$E:$E,Productos!$H:$H,""))</f>
        <v/>
      </c>
      <c r="F476" s="74">
        <f t="array" ref="F476">IF(OR($D476="",$D476="NO ENCONTRADO"),"",_xlfn.XLOOKUP($D476,Productos!$E:$E,Productos!$I:$I,""))</f>
        <v/>
      </c>
      <c r="G476" s="74">
        <f t="array" ref="G476">IF(OR($D476="",$D476="NO ENCONTRADO"),"",_xlfn.XLOOKUP($D476,Productos!$E:$E,Productos!$J:$J,""))</f>
        <v/>
      </c>
      <c r="H476" s="74">
        <f t="array" ref="H476">IF(OR($D476="",$D476="NO ENCONTRADO"),"",_xlfn.XLOOKUP($D476,Productos!$E:$E,Productos!$K:$K,""))</f>
        <v/>
      </c>
      <c r="I476" s="74">
        <f t="array" ref="I476">IF(OR($D476="",$D476="NO ENCONTRADO"),"",_xlfn.XLOOKUP($D476,Productos!$E:$E,Productos!$F:$F,""))</f>
        <v/>
      </c>
      <c r="J476" s="74">
        <f>IF($C476="","",IF($D476="NO ENCONTRADO",IF(COUNTIF($C$7:$C$1000,$C476)&gt;1,"⚠️ No encontrado | Duplicado","⚠️ No encontrado"),IF(COUNTIF($C$7:$C$1000,$C476)&gt;1,"⚠️ Duplicado","Verificado")))</f>
        <v/>
      </c>
    </row>
    <row r="477" ht="15.75" customHeight="1" s="176">
      <c r="B477" s="80" t="n"/>
      <c r="C477" s="74" t="n"/>
      <c r="D477" s="74">
        <f t="array" ref="D477">IF($C477="","",IFNA(_xlfn.XLOOKUP($C477,Productos!$A:$A,Productos!$E:$E,IFNA(_xlfn.XLOOKUP(TEXT($C477,"0"),Productos!$A:$A,Productos!$E:$E,IFNA(_xlfn.XLOOKUP(IFERROR(VALUE($C477),""),Productos!$A:$A,Productos!$E:$E,_xlfn.XLOOKUP($C477,Productos!$E:$E,Productos!$E:$E,"NO ENCONTRADO")),"NO ENCONTRADO")),"NO ENCONTRADO")),"NO ENCONTRADO"))</f>
        <v/>
      </c>
      <c r="E477" s="74">
        <f t="array" ref="E477">IF(OR($D477="",$D477="NO ENCONTRADO"),"",_xlfn.XLOOKUP($D477,Productos!$E:$E,Productos!$H:$H,""))</f>
        <v/>
      </c>
      <c r="F477" s="74">
        <f t="array" ref="F477">IF(OR($D477="",$D477="NO ENCONTRADO"),"",_xlfn.XLOOKUP($D477,Productos!$E:$E,Productos!$I:$I,""))</f>
        <v/>
      </c>
      <c r="G477" s="74">
        <f t="array" ref="G477">IF(OR($D477="",$D477="NO ENCONTRADO"),"",_xlfn.XLOOKUP($D477,Productos!$E:$E,Productos!$J:$J,""))</f>
        <v/>
      </c>
      <c r="H477" s="74">
        <f t="array" ref="H477">IF(OR($D477="",$D477="NO ENCONTRADO"),"",_xlfn.XLOOKUP($D477,Productos!$E:$E,Productos!$K:$K,""))</f>
        <v/>
      </c>
      <c r="I477" s="74">
        <f t="array" ref="I477">IF(OR($D477="",$D477="NO ENCONTRADO"),"",_xlfn.XLOOKUP($D477,Productos!$E:$E,Productos!$F:$F,""))</f>
        <v/>
      </c>
      <c r="J477" s="74">
        <f>IF($C477="","",IF($D477="NO ENCONTRADO",IF(COUNTIF($C$7:$C$1000,$C477)&gt;1,"⚠️ No encontrado | Duplicado","⚠️ No encontrado"),IF(COUNTIF($C$7:$C$1000,$C477)&gt;1,"⚠️ Duplicado","Verificado")))</f>
        <v/>
      </c>
    </row>
    <row r="478" ht="15.75" customHeight="1" s="176">
      <c r="B478" s="80" t="n"/>
      <c r="C478" s="74" t="n"/>
      <c r="D478" s="74">
        <f t="array" ref="D478">IF($C478="","",IFNA(_xlfn.XLOOKUP($C478,Productos!$A:$A,Productos!$E:$E,IFNA(_xlfn.XLOOKUP(TEXT($C478,"0"),Productos!$A:$A,Productos!$E:$E,IFNA(_xlfn.XLOOKUP(IFERROR(VALUE($C478),""),Productos!$A:$A,Productos!$E:$E,_xlfn.XLOOKUP($C478,Productos!$E:$E,Productos!$E:$E,"NO ENCONTRADO")),"NO ENCONTRADO")),"NO ENCONTRADO")),"NO ENCONTRADO"))</f>
        <v/>
      </c>
      <c r="E478" s="74">
        <f t="array" ref="E478">IF(OR($D478="",$D478="NO ENCONTRADO"),"",_xlfn.XLOOKUP($D478,Productos!$E:$E,Productos!$H:$H,""))</f>
        <v/>
      </c>
      <c r="F478" s="74">
        <f t="array" ref="F478">IF(OR($D478="",$D478="NO ENCONTRADO"),"",_xlfn.XLOOKUP($D478,Productos!$E:$E,Productos!$I:$I,""))</f>
        <v/>
      </c>
      <c r="G478" s="74">
        <f t="array" ref="G478">IF(OR($D478="",$D478="NO ENCONTRADO"),"",_xlfn.XLOOKUP($D478,Productos!$E:$E,Productos!$J:$J,""))</f>
        <v/>
      </c>
      <c r="H478" s="74">
        <f t="array" ref="H478">IF(OR($D478="",$D478="NO ENCONTRADO"),"",_xlfn.XLOOKUP($D478,Productos!$E:$E,Productos!$K:$K,""))</f>
        <v/>
      </c>
      <c r="I478" s="74">
        <f t="array" ref="I478">IF(OR($D478="",$D478="NO ENCONTRADO"),"",_xlfn.XLOOKUP($D478,Productos!$E:$E,Productos!$F:$F,""))</f>
        <v/>
      </c>
      <c r="J478" s="74">
        <f>IF($C478="","",IF($D478="NO ENCONTRADO",IF(COUNTIF($C$7:$C$1000,$C478)&gt;1,"⚠️ No encontrado | Duplicado","⚠️ No encontrado"),IF(COUNTIF($C$7:$C$1000,$C478)&gt;1,"⚠️ Duplicado","Verificado")))</f>
        <v/>
      </c>
    </row>
    <row r="479" ht="15.75" customHeight="1" s="176">
      <c r="B479" s="80" t="n"/>
      <c r="C479" s="74" t="n"/>
      <c r="D479" s="74">
        <f t="array" ref="D479">IF($C479="","",IFNA(_xlfn.XLOOKUP($C479,Productos!$A:$A,Productos!$E:$E,IFNA(_xlfn.XLOOKUP(TEXT($C479,"0"),Productos!$A:$A,Productos!$E:$E,IFNA(_xlfn.XLOOKUP(IFERROR(VALUE($C479),""),Productos!$A:$A,Productos!$E:$E,_xlfn.XLOOKUP($C479,Productos!$E:$E,Productos!$E:$E,"NO ENCONTRADO")),"NO ENCONTRADO")),"NO ENCONTRADO")),"NO ENCONTRADO"))</f>
        <v/>
      </c>
      <c r="E479" s="74">
        <f t="array" ref="E479">IF(OR($D479="",$D479="NO ENCONTRADO"),"",_xlfn.XLOOKUP($D479,Productos!$E:$E,Productos!$H:$H,""))</f>
        <v/>
      </c>
      <c r="F479" s="74">
        <f t="array" ref="F479">IF(OR($D479="",$D479="NO ENCONTRADO"),"",_xlfn.XLOOKUP($D479,Productos!$E:$E,Productos!$I:$I,""))</f>
        <v/>
      </c>
      <c r="G479" s="74">
        <f t="array" ref="G479">IF(OR($D479="",$D479="NO ENCONTRADO"),"",_xlfn.XLOOKUP($D479,Productos!$E:$E,Productos!$J:$J,""))</f>
        <v/>
      </c>
      <c r="H479" s="74">
        <f t="array" ref="H479">IF(OR($D479="",$D479="NO ENCONTRADO"),"",_xlfn.XLOOKUP($D479,Productos!$E:$E,Productos!$K:$K,""))</f>
        <v/>
      </c>
      <c r="I479" s="74">
        <f t="array" ref="I479">IF(OR($D479="",$D479="NO ENCONTRADO"),"",_xlfn.XLOOKUP($D479,Productos!$E:$E,Productos!$F:$F,""))</f>
        <v/>
      </c>
      <c r="J479" s="74">
        <f>IF($C479="","",IF($D479="NO ENCONTRADO",IF(COUNTIF($C$7:$C$1000,$C479)&gt;1,"⚠️ No encontrado | Duplicado","⚠️ No encontrado"),IF(COUNTIF($C$7:$C$1000,$C479)&gt;1,"⚠️ Duplicado","Verificado")))</f>
        <v/>
      </c>
    </row>
    <row r="480" ht="15.75" customHeight="1" s="176">
      <c r="B480" s="80" t="n"/>
      <c r="C480" s="74" t="n"/>
      <c r="D480" s="74">
        <f t="array" ref="D480">IF($C480="","",IFNA(_xlfn.XLOOKUP($C480,Productos!$A:$A,Productos!$E:$E,IFNA(_xlfn.XLOOKUP(TEXT($C480,"0"),Productos!$A:$A,Productos!$E:$E,IFNA(_xlfn.XLOOKUP(IFERROR(VALUE($C480),""),Productos!$A:$A,Productos!$E:$E,_xlfn.XLOOKUP($C480,Productos!$E:$E,Productos!$E:$E,"NO ENCONTRADO")),"NO ENCONTRADO")),"NO ENCONTRADO")),"NO ENCONTRADO"))</f>
        <v/>
      </c>
      <c r="E480" s="74">
        <f t="array" ref="E480">IF(OR($D480="",$D480="NO ENCONTRADO"),"",_xlfn.XLOOKUP($D480,Productos!$E:$E,Productos!$H:$H,""))</f>
        <v/>
      </c>
      <c r="F480" s="74">
        <f t="array" ref="F480">IF(OR($D480="",$D480="NO ENCONTRADO"),"",_xlfn.XLOOKUP($D480,Productos!$E:$E,Productos!$I:$I,""))</f>
        <v/>
      </c>
      <c r="G480" s="74">
        <f t="array" ref="G480">IF(OR($D480="",$D480="NO ENCONTRADO"),"",_xlfn.XLOOKUP($D480,Productos!$E:$E,Productos!$J:$J,""))</f>
        <v/>
      </c>
      <c r="H480" s="74">
        <f t="array" ref="H480">IF(OR($D480="",$D480="NO ENCONTRADO"),"",_xlfn.XLOOKUP($D480,Productos!$E:$E,Productos!$K:$K,""))</f>
        <v/>
      </c>
      <c r="I480" s="74">
        <f t="array" ref="I480">IF(OR($D480="",$D480="NO ENCONTRADO"),"",_xlfn.XLOOKUP($D480,Productos!$E:$E,Productos!$F:$F,""))</f>
        <v/>
      </c>
      <c r="J480" s="74">
        <f>IF($C480="","",IF($D480="NO ENCONTRADO",IF(COUNTIF($C$7:$C$1000,$C480)&gt;1,"⚠️ No encontrado | Duplicado","⚠️ No encontrado"),IF(COUNTIF($C$7:$C$1000,$C480)&gt;1,"⚠️ Duplicado","Verificado")))</f>
        <v/>
      </c>
    </row>
    <row r="481" ht="15.75" customHeight="1" s="176">
      <c r="B481" s="80" t="n"/>
      <c r="C481" s="74" t="n"/>
      <c r="D481" s="74">
        <f t="array" ref="D481">IF($C481="","",IFNA(_xlfn.XLOOKUP($C481,Productos!$A:$A,Productos!$E:$E,IFNA(_xlfn.XLOOKUP(TEXT($C481,"0"),Productos!$A:$A,Productos!$E:$E,IFNA(_xlfn.XLOOKUP(IFERROR(VALUE($C481),""),Productos!$A:$A,Productos!$E:$E,_xlfn.XLOOKUP($C481,Productos!$E:$E,Productos!$E:$E,"NO ENCONTRADO")),"NO ENCONTRADO")),"NO ENCONTRADO")),"NO ENCONTRADO"))</f>
        <v/>
      </c>
      <c r="E481" s="74">
        <f t="array" ref="E481">IF(OR($D481="",$D481="NO ENCONTRADO"),"",_xlfn.XLOOKUP($D481,Productos!$E:$E,Productos!$H:$H,""))</f>
        <v/>
      </c>
      <c r="F481" s="74">
        <f t="array" ref="F481">IF(OR($D481="",$D481="NO ENCONTRADO"),"",_xlfn.XLOOKUP($D481,Productos!$E:$E,Productos!$I:$I,""))</f>
        <v/>
      </c>
      <c r="G481" s="74">
        <f t="array" ref="G481">IF(OR($D481="",$D481="NO ENCONTRADO"),"",_xlfn.XLOOKUP($D481,Productos!$E:$E,Productos!$J:$J,""))</f>
        <v/>
      </c>
      <c r="H481" s="74">
        <f t="array" ref="H481">IF(OR($D481="",$D481="NO ENCONTRADO"),"",_xlfn.XLOOKUP($D481,Productos!$E:$E,Productos!$K:$K,""))</f>
        <v/>
      </c>
      <c r="I481" s="74">
        <f t="array" ref="I481">IF(OR($D481="",$D481="NO ENCONTRADO"),"",_xlfn.XLOOKUP($D481,Productos!$E:$E,Productos!$F:$F,""))</f>
        <v/>
      </c>
      <c r="J481" s="74">
        <f>IF($C481="","",IF($D481="NO ENCONTRADO",IF(COUNTIF($C$7:$C$1000,$C481)&gt;1,"⚠️ No encontrado | Duplicado","⚠️ No encontrado"),IF(COUNTIF($C$7:$C$1000,$C481)&gt;1,"⚠️ Duplicado","Verificado")))</f>
        <v/>
      </c>
    </row>
    <row r="482" ht="15.75" customHeight="1" s="176">
      <c r="B482" s="80" t="n"/>
      <c r="C482" s="74" t="n"/>
      <c r="D482" s="74">
        <f t="array" ref="D482">IF($C482="","",IFNA(_xlfn.XLOOKUP($C482,Productos!$A:$A,Productos!$E:$E,IFNA(_xlfn.XLOOKUP(TEXT($C482,"0"),Productos!$A:$A,Productos!$E:$E,IFNA(_xlfn.XLOOKUP(IFERROR(VALUE($C482),""),Productos!$A:$A,Productos!$E:$E,_xlfn.XLOOKUP($C482,Productos!$E:$E,Productos!$E:$E,"NO ENCONTRADO")),"NO ENCONTRADO")),"NO ENCONTRADO")),"NO ENCONTRADO"))</f>
        <v/>
      </c>
      <c r="E482" s="74">
        <f t="array" ref="E482">IF(OR($D482="",$D482="NO ENCONTRADO"),"",_xlfn.XLOOKUP($D482,Productos!$E:$E,Productos!$H:$H,""))</f>
        <v/>
      </c>
      <c r="F482" s="74">
        <f t="array" ref="F482">IF(OR($D482="",$D482="NO ENCONTRADO"),"",_xlfn.XLOOKUP($D482,Productos!$E:$E,Productos!$I:$I,""))</f>
        <v/>
      </c>
      <c r="G482" s="74">
        <f t="array" ref="G482">IF(OR($D482="",$D482="NO ENCONTRADO"),"",_xlfn.XLOOKUP($D482,Productos!$E:$E,Productos!$J:$J,""))</f>
        <v/>
      </c>
      <c r="H482" s="74">
        <f t="array" ref="H482">IF(OR($D482="",$D482="NO ENCONTRADO"),"",_xlfn.XLOOKUP($D482,Productos!$E:$E,Productos!$K:$K,""))</f>
        <v/>
      </c>
      <c r="I482" s="74">
        <f t="array" ref="I482">IF(OR($D482="",$D482="NO ENCONTRADO"),"",_xlfn.XLOOKUP($D482,Productos!$E:$E,Productos!$F:$F,""))</f>
        <v/>
      </c>
      <c r="J482" s="74">
        <f>IF($C482="","",IF($D482="NO ENCONTRADO",IF(COUNTIF($C$7:$C$1000,$C482)&gt;1,"⚠️ No encontrado | Duplicado","⚠️ No encontrado"),IF(COUNTIF($C$7:$C$1000,$C482)&gt;1,"⚠️ Duplicado","Verificado")))</f>
        <v/>
      </c>
    </row>
    <row r="483" ht="15.75" customHeight="1" s="176">
      <c r="B483" s="80" t="n"/>
      <c r="C483" s="74" t="n"/>
      <c r="D483" s="74">
        <f t="array" ref="D483">IF($C483="","",IFNA(_xlfn.XLOOKUP($C483,Productos!$A:$A,Productos!$E:$E,IFNA(_xlfn.XLOOKUP(TEXT($C483,"0"),Productos!$A:$A,Productos!$E:$E,IFNA(_xlfn.XLOOKUP(IFERROR(VALUE($C483),""),Productos!$A:$A,Productos!$E:$E,_xlfn.XLOOKUP($C483,Productos!$E:$E,Productos!$E:$E,"NO ENCONTRADO")),"NO ENCONTRADO")),"NO ENCONTRADO")),"NO ENCONTRADO"))</f>
        <v/>
      </c>
      <c r="E483" s="74">
        <f t="array" ref="E483">IF(OR($D483="",$D483="NO ENCONTRADO"),"",_xlfn.XLOOKUP($D483,Productos!$E:$E,Productos!$H:$H,""))</f>
        <v/>
      </c>
      <c r="F483" s="74">
        <f t="array" ref="F483">IF(OR($D483="",$D483="NO ENCONTRADO"),"",_xlfn.XLOOKUP($D483,Productos!$E:$E,Productos!$I:$I,""))</f>
        <v/>
      </c>
      <c r="G483" s="74">
        <f t="array" ref="G483">IF(OR($D483="",$D483="NO ENCONTRADO"),"",_xlfn.XLOOKUP($D483,Productos!$E:$E,Productos!$J:$J,""))</f>
        <v/>
      </c>
      <c r="H483" s="74">
        <f t="array" ref="H483">IF(OR($D483="",$D483="NO ENCONTRADO"),"",_xlfn.XLOOKUP($D483,Productos!$E:$E,Productos!$K:$K,""))</f>
        <v/>
      </c>
      <c r="I483" s="74">
        <f t="array" ref="I483">IF(OR($D483="",$D483="NO ENCONTRADO"),"",_xlfn.XLOOKUP($D483,Productos!$E:$E,Productos!$F:$F,""))</f>
        <v/>
      </c>
      <c r="J483" s="74">
        <f>IF($C483="","",IF($D483="NO ENCONTRADO",IF(COUNTIF($C$7:$C$1000,$C483)&gt;1,"⚠️ No encontrado | Duplicado","⚠️ No encontrado"),IF(COUNTIF($C$7:$C$1000,$C483)&gt;1,"⚠️ Duplicado","Verificado")))</f>
        <v/>
      </c>
    </row>
    <row r="484" ht="15.75" customHeight="1" s="176">
      <c r="B484" s="80" t="n"/>
      <c r="C484" s="74" t="n"/>
      <c r="D484" s="74">
        <f t="array" ref="D484">IF($C484="","",IFNA(_xlfn.XLOOKUP($C484,Productos!$A:$A,Productos!$E:$E,IFNA(_xlfn.XLOOKUP(TEXT($C484,"0"),Productos!$A:$A,Productos!$E:$E,IFNA(_xlfn.XLOOKUP(IFERROR(VALUE($C484),""),Productos!$A:$A,Productos!$E:$E,_xlfn.XLOOKUP($C484,Productos!$E:$E,Productos!$E:$E,"NO ENCONTRADO")),"NO ENCONTRADO")),"NO ENCONTRADO")),"NO ENCONTRADO"))</f>
        <v/>
      </c>
      <c r="E484" s="74">
        <f t="array" ref="E484">IF(OR($D484="",$D484="NO ENCONTRADO"),"",_xlfn.XLOOKUP($D484,Productos!$E:$E,Productos!$H:$H,""))</f>
        <v/>
      </c>
      <c r="F484" s="74">
        <f t="array" ref="F484">IF(OR($D484="",$D484="NO ENCONTRADO"),"",_xlfn.XLOOKUP($D484,Productos!$E:$E,Productos!$I:$I,""))</f>
        <v/>
      </c>
      <c r="G484" s="74">
        <f t="array" ref="G484">IF(OR($D484="",$D484="NO ENCONTRADO"),"",_xlfn.XLOOKUP($D484,Productos!$E:$E,Productos!$J:$J,""))</f>
        <v/>
      </c>
      <c r="H484" s="74">
        <f t="array" ref="H484">IF(OR($D484="",$D484="NO ENCONTRADO"),"",_xlfn.XLOOKUP($D484,Productos!$E:$E,Productos!$K:$K,""))</f>
        <v/>
      </c>
      <c r="I484" s="74">
        <f t="array" ref="I484">IF(OR($D484="",$D484="NO ENCONTRADO"),"",_xlfn.XLOOKUP($D484,Productos!$E:$E,Productos!$F:$F,""))</f>
        <v/>
      </c>
      <c r="J484" s="74">
        <f>IF($C484="","",IF($D484="NO ENCONTRADO",IF(COUNTIF($C$7:$C$1000,$C484)&gt;1,"⚠️ No encontrado | Duplicado","⚠️ No encontrado"),IF(COUNTIF($C$7:$C$1000,$C484)&gt;1,"⚠️ Duplicado","Verificado")))</f>
        <v/>
      </c>
    </row>
    <row r="485" ht="15.75" customHeight="1" s="176">
      <c r="B485" s="80" t="n"/>
      <c r="C485" s="74" t="n"/>
      <c r="D485" s="74">
        <f t="array" ref="D485">IF($C485="","",IFNA(_xlfn.XLOOKUP($C485,Productos!$A:$A,Productos!$E:$E,IFNA(_xlfn.XLOOKUP(TEXT($C485,"0"),Productos!$A:$A,Productos!$E:$E,IFNA(_xlfn.XLOOKUP(IFERROR(VALUE($C485),""),Productos!$A:$A,Productos!$E:$E,_xlfn.XLOOKUP($C485,Productos!$E:$E,Productos!$E:$E,"NO ENCONTRADO")),"NO ENCONTRADO")),"NO ENCONTRADO")),"NO ENCONTRADO"))</f>
        <v/>
      </c>
      <c r="E485" s="74">
        <f t="array" ref="E485">IF(OR($D485="",$D485="NO ENCONTRADO"),"",_xlfn.XLOOKUP($D485,Productos!$E:$E,Productos!$H:$H,""))</f>
        <v/>
      </c>
      <c r="F485" s="74">
        <f t="array" ref="F485">IF(OR($D485="",$D485="NO ENCONTRADO"),"",_xlfn.XLOOKUP($D485,Productos!$E:$E,Productos!$I:$I,""))</f>
        <v/>
      </c>
      <c r="G485" s="74">
        <f t="array" ref="G485">IF(OR($D485="",$D485="NO ENCONTRADO"),"",_xlfn.XLOOKUP($D485,Productos!$E:$E,Productos!$J:$J,""))</f>
        <v/>
      </c>
      <c r="H485" s="74">
        <f t="array" ref="H485">IF(OR($D485="",$D485="NO ENCONTRADO"),"",_xlfn.XLOOKUP($D485,Productos!$E:$E,Productos!$K:$K,""))</f>
        <v/>
      </c>
      <c r="I485" s="74">
        <f t="array" ref="I485">IF(OR($D485="",$D485="NO ENCONTRADO"),"",_xlfn.XLOOKUP($D485,Productos!$E:$E,Productos!$F:$F,""))</f>
        <v/>
      </c>
      <c r="J485" s="74">
        <f>IF($C485="","",IF($D485="NO ENCONTRADO",IF(COUNTIF($C$7:$C$1000,$C485)&gt;1,"⚠️ No encontrado | Duplicado","⚠️ No encontrado"),IF(COUNTIF($C$7:$C$1000,$C485)&gt;1,"⚠️ Duplicado","Verificado")))</f>
        <v/>
      </c>
    </row>
    <row r="486" ht="15.75" customHeight="1" s="176">
      <c r="B486" s="80" t="n"/>
      <c r="C486" s="74" t="n"/>
      <c r="D486" s="74">
        <f t="array" ref="D486">IF($C486="","",IFNA(_xlfn.XLOOKUP($C486,Productos!$A:$A,Productos!$E:$E,IFNA(_xlfn.XLOOKUP(TEXT($C486,"0"),Productos!$A:$A,Productos!$E:$E,IFNA(_xlfn.XLOOKUP(IFERROR(VALUE($C486),""),Productos!$A:$A,Productos!$E:$E,_xlfn.XLOOKUP($C486,Productos!$E:$E,Productos!$E:$E,"NO ENCONTRADO")),"NO ENCONTRADO")),"NO ENCONTRADO")),"NO ENCONTRADO"))</f>
        <v/>
      </c>
      <c r="E486" s="74">
        <f t="array" ref="E486">IF(OR($D486="",$D486="NO ENCONTRADO"),"",_xlfn.XLOOKUP($D486,Productos!$E:$E,Productos!$H:$H,""))</f>
        <v/>
      </c>
      <c r="F486" s="74">
        <f t="array" ref="F486">IF(OR($D486="",$D486="NO ENCONTRADO"),"",_xlfn.XLOOKUP($D486,Productos!$E:$E,Productos!$I:$I,""))</f>
        <v/>
      </c>
      <c r="G486" s="74">
        <f t="array" ref="G486">IF(OR($D486="",$D486="NO ENCONTRADO"),"",_xlfn.XLOOKUP($D486,Productos!$E:$E,Productos!$J:$J,""))</f>
        <v/>
      </c>
      <c r="H486" s="74">
        <f t="array" ref="H486">IF(OR($D486="",$D486="NO ENCONTRADO"),"",_xlfn.XLOOKUP($D486,Productos!$E:$E,Productos!$K:$K,""))</f>
        <v/>
      </c>
      <c r="I486" s="74">
        <f t="array" ref="I486">IF(OR($D486="",$D486="NO ENCONTRADO"),"",_xlfn.XLOOKUP($D486,Productos!$E:$E,Productos!$F:$F,""))</f>
        <v/>
      </c>
      <c r="J486" s="74">
        <f>IF($C486="","",IF($D486="NO ENCONTRADO",IF(COUNTIF($C$7:$C$1000,$C486)&gt;1,"⚠️ No encontrado | Duplicado","⚠️ No encontrado"),IF(COUNTIF($C$7:$C$1000,$C486)&gt;1,"⚠️ Duplicado","Verificado")))</f>
        <v/>
      </c>
    </row>
    <row r="487" ht="15.75" customHeight="1" s="176">
      <c r="B487" s="80" t="n"/>
      <c r="C487" s="74" t="n"/>
      <c r="D487" s="74">
        <f t="array" ref="D487">IF($C487="","",IFNA(_xlfn.XLOOKUP($C487,Productos!$A:$A,Productos!$E:$E,IFNA(_xlfn.XLOOKUP(TEXT($C487,"0"),Productos!$A:$A,Productos!$E:$E,IFNA(_xlfn.XLOOKUP(IFERROR(VALUE($C487),""),Productos!$A:$A,Productos!$E:$E,_xlfn.XLOOKUP($C487,Productos!$E:$E,Productos!$E:$E,"NO ENCONTRADO")),"NO ENCONTRADO")),"NO ENCONTRADO")),"NO ENCONTRADO"))</f>
        <v/>
      </c>
      <c r="E487" s="74">
        <f t="array" ref="E487">IF(OR($D487="",$D487="NO ENCONTRADO"),"",_xlfn.XLOOKUP($D487,Productos!$E:$E,Productos!$H:$H,""))</f>
        <v/>
      </c>
      <c r="F487" s="74">
        <f t="array" ref="F487">IF(OR($D487="",$D487="NO ENCONTRADO"),"",_xlfn.XLOOKUP($D487,Productos!$E:$E,Productos!$I:$I,""))</f>
        <v/>
      </c>
      <c r="G487" s="74">
        <f t="array" ref="G487">IF(OR($D487="",$D487="NO ENCONTRADO"),"",_xlfn.XLOOKUP($D487,Productos!$E:$E,Productos!$J:$J,""))</f>
        <v/>
      </c>
      <c r="H487" s="74">
        <f t="array" ref="H487">IF(OR($D487="",$D487="NO ENCONTRADO"),"",_xlfn.XLOOKUP($D487,Productos!$E:$E,Productos!$K:$K,""))</f>
        <v/>
      </c>
      <c r="I487" s="74">
        <f t="array" ref="I487">IF(OR($D487="",$D487="NO ENCONTRADO"),"",_xlfn.XLOOKUP($D487,Productos!$E:$E,Productos!$F:$F,""))</f>
        <v/>
      </c>
      <c r="J487" s="74">
        <f>IF($C487="","",IF($D487="NO ENCONTRADO",IF(COUNTIF($C$7:$C$1000,$C487)&gt;1,"⚠️ No encontrado | Duplicado","⚠️ No encontrado"),IF(COUNTIF($C$7:$C$1000,$C487)&gt;1,"⚠️ Duplicado","Verificado")))</f>
        <v/>
      </c>
    </row>
    <row r="488" ht="15.75" customHeight="1" s="176">
      <c r="B488" s="80" t="n"/>
      <c r="C488" s="74" t="n"/>
      <c r="D488" s="74">
        <f t="array" ref="D488">IF($C488="","",IFNA(_xlfn.XLOOKUP($C488,Productos!$A:$A,Productos!$E:$E,IFNA(_xlfn.XLOOKUP(TEXT($C488,"0"),Productos!$A:$A,Productos!$E:$E,IFNA(_xlfn.XLOOKUP(IFERROR(VALUE($C488),""),Productos!$A:$A,Productos!$E:$E,_xlfn.XLOOKUP($C488,Productos!$E:$E,Productos!$E:$E,"NO ENCONTRADO")),"NO ENCONTRADO")),"NO ENCONTRADO")),"NO ENCONTRADO"))</f>
        <v/>
      </c>
      <c r="E488" s="74">
        <f t="array" ref="E488">IF(OR($D488="",$D488="NO ENCONTRADO"),"",_xlfn.XLOOKUP($D488,Productos!$E:$E,Productos!$H:$H,""))</f>
        <v/>
      </c>
      <c r="F488" s="74">
        <f t="array" ref="F488">IF(OR($D488="",$D488="NO ENCONTRADO"),"",_xlfn.XLOOKUP($D488,Productos!$E:$E,Productos!$I:$I,""))</f>
        <v/>
      </c>
      <c r="G488" s="74">
        <f t="array" ref="G488">IF(OR($D488="",$D488="NO ENCONTRADO"),"",_xlfn.XLOOKUP($D488,Productos!$E:$E,Productos!$J:$J,""))</f>
        <v/>
      </c>
      <c r="H488" s="74">
        <f t="array" ref="H488">IF(OR($D488="",$D488="NO ENCONTRADO"),"",_xlfn.XLOOKUP($D488,Productos!$E:$E,Productos!$K:$K,""))</f>
        <v/>
      </c>
      <c r="I488" s="74">
        <f t="array" ref="I488">IF(OR($D488="",$D488="NO ENCONTRADO"),"",_xlfn.XLOOKUP($D488,Productos!$E:$E,Productos!$F:$F,""))</f>
        <v/>
      </c>
      <c r="J488" s="74">
        <f>IF($C488="","",IF($D488="NO ENCONTRADO",IF(COUNTIF($C$7:$C$1000,$C488)&gt;1,"⚠️ No encontrado | Duplicado","⚠️ No encontrado"),IF(COUNTIF($C$7:$C$1000,$C488)&gt;1,"⚠️ Duplicado","Verificado")))</f>
        <v/>
      </c>
    </row>
    <row r="489" ht="15.75" customHeight="1" s="176">
      <c r="B489" s="80" t="n"/>
      <c r="C489" s="74" t="n"/>
      <c r="D489" s="74">
        <f t="array" ref="D489">IF($C489="","",IFNA(_xlfn.XLOOKUP($C489,Productos!$A:$A,Productos!$E:$E,IFNA(_xlfn.XLOOKUP(TEXT($C489,"0"),Productos!$A:$A,Productos!$E:$E,IFNA(_xlfn.XLOOKUP(IFERROR(VALUE($C489),""),Productos!$A:$A,Productos!$E:$E,_xlfn.XLOOKUP($C489,Productos!$E:$E,Productos!$E:$E,"NO ENCONTRADO")),"NO ENCONTRADO")),"NO ENCONTRADO")),"NO ENCONTRADO"))</f>
        <v/>
      </c>
      <c r="E489" s="74">
        <f t="array" ref="E489">IF(OR($D489="",$D489="NO ENCONTRADO"),"",_xlfn.XLOOKUP($D489,Productos!$E:$E,Productos!$H:$H,""))</f>
        <v/>
      </c>
      <c r="F489" s="74">
        <f t="array" ref="F489">IF(OR($D489="",$D489="NO ENCONTRADO"),"",_xlfn.XLOOKUP($D489,Productos!$E:$E,Productos!$I:$I,""))</f>
        <v/>
      </c>
      <c r="G489" s="74">
        <f t="array" ref="G489">IF(OR($D489="",$D489="NO ENCONTRADO"),"",_xlfn.XLOOKUP($D489,Productos!$E:$E,Productos!$J:$J,""))</f>
        <v/>
      </c>
      <c r="H489" s="74">
        <f t="array" ref="H489">IF(OR($D489="",$D489="NO ENCONTRADO"),"",_xlfn.XLOOKUP($D489,Productos!$E:$E,Productos!$K:$K,""))</f>
        <v/>
      </c>
      <c r="I489" s="74">
        <f t="array" ref="I489">IF(OR($D489="",$D489="NO ENCONTRADO"),"",_xlfn.XLOOKUP($D489,Productos!$E:$E,Productos!$F:$F,""))</f>
        <v/>
      </c>
      <c r="J489" s="74">
        <f>IF($C489="","",IF($D489="NO ENCONTRADO",IF(COUNTIF($C$7:$C$1000,$C489)&gt;1,"⚠️ No encontrado | Duplicado","⚠️ No encontrado"),IF(COUNTIF($C$7:$C$1000,$C489)&gt;1,"⚠️ Duplicado","Verificado")))</f>
        <v/>
      </c>
    </row>
    <row r="490" ht="15.75" customHeight="1" s="176">
      <c r="B490" s="80" t="n"/>
      <c r="C490" s="74" t="n"/>
      <c r="D490" s="74">
        <f t="array" ref="D490">IF($C490="","",IFNA(_xlfn.XLOOKUP($C490,Productos!$A:$A,Productos!$E:$E,IFNA(_xlfn.XLOOKUP(TEXT($C490,"0"),Productos!$A:$A,Productos!$E:$E,IFNA(_xlfn.XLOOKUP(IFERROR(VALUE($C490),""),Productos!$A:$A,Productos!$E:$E,_xlfn.XLOOKUP($C490,Productos!$E:$E,Productos!$E:$E,"NO ENCONTRADO")),"NO ENCONTRADO")),"NO ENCONTRADO")),"NO ENCONTRADO"))</f>
        <v/>
      </c>
      <c r="E490" s="74">
        <f t="array" ref="E490">IF(OR($D490="",$D490="NO ENCONTRADO"),"",_xlfn.XLOOKUP($D490,Productos!$E:$E,Productos!$H:$H,""))</f>
        <v/>
      </c>
      <c r="F490" s="74">
        <f t="array" ref="F490">IF(OR($D490="",$D490="NO ENCONTRADO"),"",_xlfn.XLOOKUP($D490,Productos!$E:$E,Productos!$I:$I,""))</f>
        <v/>
      </c>
      <c r="G490" s="74">
        <f t="array" ref="G490">IF(OR($D490="",$D490="NO ENCONTRADO"),"",_xlfn.XLOOKUP($D490,Productos!$E:$E,Productos!$J:$J,""))</f>
        <v/>
      </c>
      <c r="H490" s="74">
        <f t="array" ref="H490">IF(OR($D490="",$D490="NO ENCONTRADO"),"",_xlfn.XLOOKUP($D490,Productos!$E:$E,Productos!$K:$K,""))</f>
        <v/>
      </c>
      <c r="I490" s="74">
        <f t="array" ref="I490">IF(OR($D490="",$D490="NO ENCONTRADO"),"",_xlfn.XLOOKUP($D490,Productos!$E:$E,Productos!$F:$F,""))</f>
        <v/>
      </c>
      <c r="J490" s="74">
        <f>IF($C490="","",IF($D490="NO ENCONTRADO",IF(COUNTIF($C$7:$C$1000,$C490)&gt;1,"⚠️ No encontrado | Duplicado","⚠️ No encontrado"),IF(COUNTIF($C$7:$C$1000,$C490)&gt;1,"⚠️ Duplicado","Verificado")))</f>
        <v/>
      </c>
    </row>
    <row r="491" ht="15.75" customHeight="1" s="176">
      <c r="B491" s="80" t="n"/>
      <c r="C491" s="74" t="n"/>
      <c r="D491" s="74">
        <f t="array" ref="D491">IF($C491="","",IFNA(_xlfn.XLOOKUP($C491,Productos!$A:$A,Productos!$E:$E,IFNA(_xlfn.XLOOKUP(TEXT($C491,"0"),Productos!$A:$A,Productos!$E:$E,IFNA(_xlfn.XLOOKUP(IFERROR(VALUE($C491),""),Productos!$A:$A,Productos!$E:$E,_xlfn.XLOOKUP($C491,Productos!$E:$E,Productos!$E:$E,"NO ENCONTRADO")),"NO ENCONTRADO")),"NO ENCONTRADO")),"NO ENCONTRADO"))</f>
        <v/>
      </c>
      <c r="E491" s="74">
        <f t="array" ref="E491">IF(OR($D491="",$D491="NO ENCONTRADO"),"",_xlfn.XLOOKUP($D491,Productos!$E:$E,Productos!$H:$H,""))</f>
        <v/>
      </c>
      <c r="F491" s="74">
        <f t="array" ref="F491">IF(OR($D491="",$D491="NO ENCONTRADO"),"",_xlfn.XLOOKUP($D491,Productos!$E:$E,Productos!$I:$I,""))</f>
        <v/>
      </c>
      <c r="G491" s="74">
        <f t="array" ref="G491">IF(OR($D491="",$D491="NO ENCONTRADO"),"",_xlfn.XLOOKUP($D491,Productos!$E:$E,Productos!$J:$J,""))</f>
        <v/>
      </c>
      <c r="H491" s="74">
        <f t="array" ref="H491">IF(OR($D491="",$D491="NO ENCONTRADO"),"",_xlfn.XLOOKUP($D491,Productos!$E:$E,Productos!$K:$K,""))</f>
        <v/>
      </c>
      <c r="I491" s="74">
        <f t="array" ref="I491">IF(OR($D491="",$D491="NO ENCONTRADO"),"",_xlfn.XLOOKUP($D491,Productos!$E:$E,Productos!$F:$F,""))</f>
        <v/>
      </c>
      <c r="J491" s="74">
        <f>IF($C491="","",IF($D491="NO ENCONTRADO",IF(COUNTIF($C$7:$C$1000,$C491)&gt;1,"⚠️ No encontrado | Duplicado","⚠️ No encontrado"),IF(COUNTIF($C$7:$C$1000,$C491)&gt;1,"⚠️ Duplicado","Verificado")))</f>
        <v/>
      </c>
    </row>
    <row r="492" ht="15.75" customHeight="1" s="176">
      <c r="B492" s="80" t="n"/>
      <c r="C492" s="74" t="n"/>
      <c r="D492" s="74">
        <f t="array" ref="D492">IF($C492="","",IFNA(_xlfn.XLOOKUP($C492,Productos!$A:$A,Productos!$E:$E,IFNA(_xlfn.XLOOKUP(TEXT($C492,"0"),Productos!$A:$A,Productos!$E:$E,IFNA(_xlfn.XLOOKUP(IFERROR(VALUE($C492),""),Productos!$A:$A,Productos!$E:$E,_xlfn.XLOOKUP($C492,Productos!$E:$E,Productos!$E:$E,"NO ENCONTRADO")),"NO ENCONTRADO")),"NO ENCONTRADO")),"NO ENCONTRADO"))</f>
        <v/>
      </c>
      <c r="E492" s="74">
        <f t="array" ref="E492">IF(OR($D492="",$D492="NO ENCONTRADO"),"",_xlfn.XLOOKUP($D492,Productos!$E:$E,Productos!$H:$H,""))</f>
        <v/>
      </c>
      <c r="F492" s="74">
        <f t="array" ref="F492">IF(OR($D492="",$D492="NO ENCONTRADO"),"",_xlfn.XLOOKUP($D492,Productos!$E:$E,Productos!$I:$I,""))</f>
        <v/>
      </c>
      <c r="G492" s="74">
        <f t="array" ref="G492">IF(OR($D492="",$D492="NO ENCONTRADO"),"",_xlfn.XLOOKUP($D492,Productos!$E:$E,Productos!$J:$J,""))</f>
        <v/>
      </c>
      <c r="H492" s="74">
        <f t="array" ref="H492">IF(OR($D492="",$D492="NO ENCONTRADO"),"",_xlfn.XLOOKUP($D492,Productos!$E:$E,Productos!$K:$K,""))</f>
        <v/>
      </c>
      <c r="I492" s="74">
        <f t="array" ref="I492">IF(OR($D492="",$D492="NO ENCONTRADO"),"",_xlfn.XLOOKUP($D492,Productos!$E:$E,Productos!$F:$F,""))</f>
        <v/>
      </c>
      <c r="J492" s="74">
        <f>IF($C492="","",IF($D492="NO ENCONTRADO",IF(COUNTIF($C$7:$C$1000,$C492)&gt;1,"⚠️ No encontrado | Duplicado","⚠️ No encontrado"),IF(COUNTIF($C$7:$C$1000,$C492)&gt;1,"⚠️ Duplicado","Verificado")))</f>
        <v/>
      </c>
    </row>
    <row r="493" ht="15.75" customHeight="1" s="176">
      <c r="B493" s="80" t="n"/>
      <c r="C493" s="74" t="n"/>
      <c r="D493" s="74">
        <f t="array" ref="D493">IF($C493="","",IFNA(_xlfn.XLOOKUP($C493,Productos!$A:$A,Productos!$E:$E,IFNA(_xlfn.XLOOKUP(TEXT($C493,"0"),Productos!$A:$A,Productos!$E:$E,IFNA(_xlfn.XLOOKUP(IFERROR(VALUE($C493),""),Productos!$A:$A,Productos!$E:$E,_xlfn.XLOOKUP($C493,Productos!$E:$E,Productos!$E:$E,"NO ENCONTRADO")),"NO ENCONTRADO")),"NO ENCONTRADO")),"NO ENCONTRADO"))</f>
        <v/>
      </c>
      <c r="E493" s="74">
        <f t="array" ref="E493">IF(OR($D493="",$D493="NO ENCONTRADO"),"",_xlfn.XLOOKUP($D493,Productos!$E:$E,Productos!$H:$H,""))</f>
        <v/>
      </c>
      <c r="F493" s="74">
        <f t="array" ref="F493">IF(OR($D493="",$D493="NO ENCONTRADO"),"",_xlfn.XLOOKUP($D493,Productos!$E:$E,Productos!$I:$I,""))</f>
        <v/>
      </c>
      <c r="G493" s="74">
        <f t="array" ref="G493">IF(OR($D493="",$D493="NO ENCONTRADO"),"",_xlfn.XLOOKUP($D493,Productos!$E:$E,Productos!$J:$J,""))</f>
        <v/>
      </c>
      <c r="H493" s="74">
        <f t="array" ref="H493">IF(OR($D493="",$D493="NO ENCONTRADO"),"",_xlfn.XLOOKUP($D493,Productos!$E:$E,Productos!$K:$K,""))</f>
        <v/>
      </c>
      <c r="I493" s="74">
        <f t="array" ref="I493">IF(OR($D493="",$D493="NO ENCONTRADO"),"",_xlfn.XLOOKUP($D493,Productos!$E:$E,Productos!$F:$F,""))</f>
        <v/>
      </c>
      <c r="J493" s="74">
        <f>IF($C493="","",IF($D493="NO ENCONTRADO",IF(COUNTIF($C$7:$C$1000,$C493)&gt;1,"⚠️ No encontrado | Duplicado","⚠️ No encontrado"),IF(COUNTIF($C$7:$C$1000,$C493)&gt;1,"⚠️ Duplicado","Verificado")))</f>
        <v/>
      </c>
    </row>
    <row r="494" ht="15.75" customHeight="1" s="176">
      <c r="B494" s="80" t="n"/>
      <c r="C494" s="74" t="n"/>
      <c r="D494" s="74">
        <f t="array" ref="D494">IF($C494="","",IFNA(_xlfn.XLOOKUP($C494,Productos!$A:$A,Productos!$E:$E,IFNA(_xlfn.XLOOKUP(TEXT($C494,"0"),Productos!$A:$A,Productos!$E:$E,IFNA(_xlfn.XLOOKUP(IFERROR(VALUE($C494),""),Productos!$A:$A,Productos!$E:$E,_xlfn.XLOOKUP($C494,Productos!$E:$E,Productos!$E:$E,"NO ENCONTRADO")),"NO ENCONTRADO")),"NO ENCONTRADO")),"NO ENCONTRADO"))</f>
        <v/>
      </c>
      <c r="E494" s="74">
        <f t="array" ref="E494">IF(OR($D494="",$D494="NO ENCONTRADO"),"",_xlfn.XLOOKUP($D494,Productos!$E:$E,Productos!$H:$H,""))</f>
        <v/>
      </c>
      <c r="F494" s="74">
        <f t="array" ref="F494">IF(OR($D494="",$D494="NO ENCONTRADO"),"",_xlfn.XLOOKUP($D494,Productos!$E:$E,Productos!$I:$I,""))</f>
        <v/>
      </c>
      <c r="G494" s="74">
        <f t="array" ref="G494">IF(OR($D494="",$D494="NO ENCONTRADO"),"",_xlfn.XLOOKUP($D494,Productos!$E:$E,Productos!$J:$J,""))</f>
        <v/>
      </c>
      <c r="H494" s="74">
        <f t="array" ref="H494">IF(OR($D494="",$D494="NO ENCONTRADO"),"",_xlfn.XLOOKUP($D494,Productos!$E:$E,Productos!$K:$K,""))</f>
        <v/>
      </c>
      <c r="I494" s="74">
        <f t="array" ref="I494">IF(OR($D494="",$D494="NO ENCONTRADO"),"",_xlfn.XLOOKUP($D494,Productos!$E:$E,Productos!$F:$F,""))</f>
        <v/>
      </c>
      <c r="J494" s="74">
        <f>IF($C494="","",IF($D494="NO ENCONTRADO",IF(COUNTIF($C$7:$C$1000,$C494)&gt;1,"⚠️ No encontrado | Duplicado","⚠️ No encontrado"),IF(COUNTIF($C$7:$C$1000,$C494)&gt;1,"⚠️ Duplicado","Verificado")))</f>
        <v/>
      </c>
    </row>
    <row r="495" ht="15.75" customHeight="1" s="176">
      <c r="B495" s="80" t="n"/>
      <c r="C495" s="74" t="n"/>
      <c r="D495" s="74">
        <f t="array" ref="D495">IF($C495="","",IFNA(_xlfn.XLOOKUP($C495,Productos!$A:$A,Productos!$E:$E,IFNA(_xlfn.XLOOKUP(TEXT($C495,"0"),Productos!$A:$A,Productos!$E:$E,IFNA(_xlfn.XLOOKUP(IFERROR(VALUE($C495),""),Productos!$A:$A,Productos!$E:$E,_xlfn.XLOOKUP($C495,Productos!$E:$E,Productos!$E:$E,"NO ENCONTRADO")),"NO ENCONTRADO")),"NO ENCONTRADO")),"NO ENCONTRADO"))</f>
        <v/>
      </c>
      <c r="E495" s="74">
        <f t="array" ref="E495">IF(OR($D495="",$D495="NO ENCONTRADO"),"",_xlfn.XLOOKUP($D495,Productos!$E:$E,Productos!$H:$H,""))</f>
        <v/>
      </c>
      <c r="F495" s="74">
        <f t="array" ref="F495">IF(OR($D495="",$D495="NO ENCONTRADO"),"",_xlfn.XLOOKUP($D495,Productos!$E:$E,Productos!$I:$I,""))</f>
        <v/>
      </c>
      <c r="G495" s="74">
        <f t="array" ref="G495">IF(OR($D495="",$D495="NO ENCONTRADO"),"",_xlfn.XLOOKUP($D495,Productos!$E:$E,Productos!$J:$J,""))</f>
        <v/>
      </c>
      <c r="H495" s="74">
        <f t="array" ref="H495">IF(OR($D495="",$D495="NO ENCONTRADO"),"",_xlfn.XLOOKUP($D495,Productos!$E:$E,Productos!$K:$K,""))</f>
        <v/>
      </c>
      <c r="I495" s="74">
        <f t="array" ref="I495">IF(OR($D495="",$D495="NO ENCONTRADO"),"",_xlfn.XLOOKUP($D495,Productos!$E:$E,Productos!$F:$F,""))</f>
        <v/>
      </c>
      <c r="J495" s="74">
        <f>IF($C495="","",IF($D495="NO ENCONTRADO",IF(COUNTIF($C$7:$C$1000,$C495)&gt;1,"⚠️ No encontrado | Duplicado","⚠️ No encontrado"),IF(COUNTIF($C$7:$C$1000,$C495)&gt;1,"⚠️ Duplicado","Verificado")))</f>
        <v/>
      </c>
    </row>
    <row r="496" ht="15.75" customHeight="1" s="176">
      <c r="B496" s="80" t="n"/>
      <c r="C496" s="74" t="n"/>
      <c r="D496" s="74">
        <f t="array" ref="D496">IF($C496="","",IFNA(_xlfn.XLOOKUP($C496,Productos!$A:$A,Productos!$E:$E,IFNA(_xlfn.XLOOKUP(TEXT($C496,"0"),Productos!$A:$A,Productos!$E:$E,IFNA(_xlfn.XLOOKUP(IFERROR(VALUE($C496),""),Productos!$A:$A,Productos!$E:$E,_xlfn.XLOOKUP($C496,Productos!$E:$E,Productos!$E:$E,"NO ENCONTRADO")),"NO ENCONTRADO")),"NO ENCONTRADO")),"NO ENCONTRADO"))</f>
        <v/>
      </c>
      <c r="E496" s="74">
        <f t="array" ref="E496">IF(OR($D496="",$D496="NO ENCONTRADO"),"",_xlfn.XLOOKUP($D496,Productos!$E:$E,Productos!$H:$H,""))</f>
        <v/>
      </c>
      <c r="F496" s="74">
        <f t="array" ref="F496">IF(OR($D496="",$D496="NO ENCONTRADO"),"",_xlfn.XLOOKUP($D496,Productos!$E:$E,Productos!$I:$I,""))</f>
        <v/>
      </c>
      <c r="G496" s="74">
        <f t="array" ref="G496">IF(OR($D496="",$D496="NO ENCONTRADO"),"",_xlfn.XLOOKUP($D496,Productos!$E:$E,Productos!$J:$J,""))</f>
        <v/>
      </c>
      <c r="H496" s="74">
        <f t="array" ref="H496">IF(OR($D496="",$D496="NO ENCONTRADO"),"",_xlfn.XLOOKUP($D496,Productos!$E:$E,Productos!$K:$K,""))</f>
        <v/>
      </c>
      <c r="I496" s="74">
        <f t="array" ref="I496">IF(OR($D496="",$D496="NO ENCONTRADO"),"",_xlfn.XLOOKUP($D496,Productos!$E:$E,Productos!$F:$F,""))</f>
        <v/>
      </c>
      <c r="J496" s="74">
        <f>IF($C496="","",IF($D496="NO ENCONTRADO",IF(COUNTIF($C$7:$C$1000,$C496)&gt;1,"⚠️ No encontrado | Duplicado","⚠️ No encontrado"),IF(COUNTIF($C$7:$C$1000,$C496)&gt;1,"⚠️ Duplicado","Verificado")))</f>
        <v/>
      </c>
    </row>
    <row r="497" ht="15.75" customHeight="1" s="176">
      <c r="B497" s="80" t="n"/>
      <c r="C497" s="74" t="n"/>
      <c r="D497" s="74">
        <f t="array" ref="D497">IF($C497="","",IFNA(_xlfn.XLOOKUP($C497,Productos!$A:$A,Productos!$E:$E,IFNA(_xlfn.XLOOKUP(TEXT($C497,"0"),Productos!$A:$A,Productos!$E:$E,IFNA(_xlfn.XLOOKUP(IFERROR(VALUE($C497),""),Productos!$A:$A,Productos!$E:$E,_xlfn.XLOOKUP($C497,Productos!$E:$E,Productos!$E:$E,"NO ENCONTRADO")),"NO ENCONTRADO")),"NO ENCONTRADO")),"NO ENCONTRADO"))</f>
        <v/>
      </c>
      <c r="E497" s="74">
        <f t="array" ref="E497">IF(OR($D497="",$D497="NO ENCONTRADO"),"",_xlfn.XLOOKUP($D497,Productos!$E:$E,Productos!$H:$H,""))</f>
        <v/>
      </c>
      <c r="F497" s="74">
        <f t="array" ref="F497">IF(OR($D497="",$D497="NO ENCONTRADO"),"",_xlfn.XLOOKUP($D497,Productos!$E:$E,Productos!$I:$I,""))</f>
        <v/>
      </c>
      <c r="G497" s="74">
        <f t="array" ref="G497">IF(OR($D497="",$D497="NO ENCONTRADO"),"",_xlfn.XLOOKUP($D497,Productos!$E:$E,Productos!$J:$J,""))</f>
        <v/>
      </c>
      <c r="H497" s="74">
        <f t="array" ref="H497">IF(OR($D497="",$D497="NO ENCONTRADO"),"",_xlfn.XLOOKUP($D497,Productos!$E:$E,Productos!$K:$K,""))</f>
        <v/>
      </c>
      <c r="I497" s="74">
        <f t="array" ref="I497">IF(OR($D497="",$D497="NO ENCONTRADO"),"",_xlfn.XLOOKUP($D497,Productos!$E:$E,Productos!$F:$F,""))</f>
        <v/>
      </c>
      <c r="J497" s="74">
        <f>IF($C497="","",IF($D497="NO ENCONTRADO",IF(COUNTIF($C$7:$C$1000,$C497)&gt;1,"⚠️ No encontrado | Duplicado","⚠️ No encontrado"),IF(COUNTIF($C$7:$C$1000,$C497)&gt;1,"⚠️ Duplicado","Verificado")))</f>
        <v/>
      </c>
    </row>
    <row r="498" ht="15.75" customHeight="1" s="176">
      <c r="B498" s="80" t="n"/>
      <c r="C498" s="74" t="n"/>
      <c r="D498" s="74">
        <f t="array" ref="D498">IF($C498="","",IFNA(_xlfn.XLOOKUP($C498,Productos!$A:$A,Productos!$E:$E,IFNA(_xlfn.XLOOKUP(TEXT($C498,"0"),Productos!$A:$A,Productos!$E:$E,IFNA(_xlfn.XLOOKUP(IFERROR(VALUE($C498),""),Productos!$A:$A,Productos!$E:$E,_xlfn.XLOOKUP($C498,Productos!$E:$E,Productos!$E:$E,"NO ENCONTRADO")),"NO ENCONTRADO")),"NO ENCONTRADO")),"NO ENCONTRADO"))</f>
        <v/>
      </c>
      <c r="E498" s="74">
        <f t="array" ref="E498">IF(OR($D498="",$D498="NO ENCONTRADO"),"",_xlfn.XLOOKUP($D498,Productos!$E:$E,Productos!$H:$H,""))</f>
        <v/>
      </c>
      <c r="F498" s="74">
        <f t="array" ref="F498">IF(OR($D498="",$D498="NO ENCONTRADO"),"",_xlfn.XLOOKUP($D498,Productos!$E:$E,Productos!$I:$I,""))</f>
        <v/>
      </c>
      <c r="G498" s="74">
        <f t="array" ref="G498">IF(OR($D498="",$D498="NO ENCONTRADO"),"",_xlfn.XLOOKUP($D498,Productos!$E:$E,Productos!$J:$J,""))</f>
        <v/>
      </c>
      <c r="H498" s="74">
        <f t="array" ref="H498">IF(OR($D498="",$D498="NO ENCONTRADO"),"",_xlfn.XLOOKUP($D498,Productos!$E:$E,Productos!$K:$K,""))</f>
        <v/>
      </c>
      <c r="I498" s="74">
        <f t="array" ref="I498">IF(OR($D498="",$D498="NO ENCONTRADO"),"",_xlfn.XLOOKUP($D498,Productos!$E:$E,Productos!$F:$F,""))</f>
        <v/>
      </c>
      <c r="J498" s="74">
        <f>IF($C498="","",IF($D498="NO ENCONTRADO",IF(COUNTIF($C$7:$C$1000,$C498)&gt;1,"⚠️ No encontrado | Duplicado","⚠️ No encontrado"),IF(COUNTIF($C$7:$C$1000,$C498)&gt;1,"⚠️ Duplicado","Verificado")))</f>
        <v/>
      </c>
    </row>
    <row r="499" ht="15.75" customHeight="1" s="176">
      <c r="B499" s="80" t="n"/>
      <c r="C499" s="74" t="n"/>
      <c r="D499" s="74">
        <f t="array" ref="D499">IF($C499="","",IFNA(_xlfn.XLOOKUP($C499,Productos!$A:$A,Productos!$E:$E,IFNA(_xlfn.XLOOKUP(TEXT($C499,"0"),Productos!$A:$A,Productos!$E:$E,IFNA(_xlfn.XLOOKUP(IFERROR(VALUE($C499),""),Productos!$A:$A,Productos!$E:$E,_xlfn.XLOOKUP($C499,Productos!$E:$E,Productos!$E:$E,"NO ENCONTRADO")),"NO ENCONTRADO")),"NO ENCONTRADO")),"NO ENCONTRADO"))</f>
        <v/>
      </c>
      <c r="E499" s="74">
        <f t="array" ref="E499">IF(OR($D499="",$D499="NO ENCONTRADO"),"",_xlfn.XLOOKUP($D499,Productos!$E:$E,Productos!$H:$H,""))</f>
        <v/>
      </c>
      <c r="F499" s="74">
        <f t="array" ref="F499">IF(OR($D499="",$D499="NO ENCONTRADO"),"",_xlfn.XLOOKUP($D499,Productos!$E:$E,Productos!$I:$I,""))</f>
        <v/>
      </c>
      <c r="G499" s="74">
        <f t="array" ref="G499">IF(OR($D499="",$D499="NO ENCONTRADO"),"",_xlfn.XLOOKUP($D499,Productos!$E:$E,Productos!$J:$J,""))</f>
        <v/>
      </c>
      <c r="H499" s="74">
        <f t="array" ref="H499">IF(OR($D499="",$D499="NO ENCONTRADO"),"",_xlfn.XLOOKUP($D499,Productos!$E:$E,Productos!$K:$K,""))</f>
        <v/>
      </c>
      <c r="I499" s="74">
        <f t="array" ref="I499">IF(OR($D499="",$D499="NO ENCONTRADO"),"",_xlfn.XLOOKUP($D499,Productos!$E:$E,Productos!$F:$F,""))</f>
        <v/>
      </c>
      <c r="J499" s="74">
        <f>IF($C499="","",IF($D499="NO ENCONTRADO",IF(COUNTIF($C$7:$C$1000,$C499)&gt;1,"⚠️ No encontrado | Duplicado","⚠️ No encontrado"),IF(COUNTIF($C$7:$C$1000,$C499)&gt;1,"⚠️ Duplicado","Verificado")))</f>
        <v/>
      </c>
    </row>
    <row r="500" ht="15.75" customHeight="1" s="176">
      <c r="B500" s="80" t="n"/>
      <c r="C500" s="74" t="n"/>
      <c r="D500" s="74">
        <f t="array" ref="D500">IF($C500="","",IFNA(_xlfn.XLOOKUP($C500,Productos!$A:$A,Productos!$E:$E,IFNA(_xlfn.XLOOKUP(TEXT($C500,"0"),Productos!$A:$A,Productos!$E:$E,IFNA(_xlfn.XLOOKUP(IFERROR(VALUE($C500),""),Productos!$A:$A,Productos!$E:$E,_xlfn.XLOOKUP($C500,Productos!$E:$E,Productos!$E:$E,"NO ENCONTRADO")),"NO ENCONTRADO")),"NO ENCONTRADO")),"NO ENCONTRADO"))</f>
        <v/>
      </c>
      <c r="E500" s="74">
        <f t="array" ref="E500">IF(OR($D500="",$D500="NO ENCONTRADO"),"",_xlfn.XLOOKUP($D500,Productos!$E:$E,Productos!$H:$H,""))</f>
        <v/>
      </c>
      <c r="F500" s="74">
        <f t="array" ref="F500">IF(OR($D500="",$D500="NO ENCONTRADO"),"",_xlfn.XLOOKUP($D500,Productos!$E:$E,Productos!$I:$I,""))</f>
        <v/>
      </c>
      <c r="G500" s="74">
        <f t="array" ref="G500">IF(OR($D500="",$D500="NO ENCONTRADO"),"",_xlfn.XLOOKUP($D500,Productos!$E:$E,Productos!$J:$J,""))</f>
        <v/>
      </c>
      <c r="H500" s="74">
        <f t="array" ref="H500">IF(OR($D500="",$D500="NO ENCONTRADO"),"",_xlfn.XLOOKUP($D500,Productos!$E:$E,Productos!$K:$K,""))</f>
        <v/>
      </c>
      <c r="I500" s="74">
        <f t="array" ref="I500">IF(OR($D500="",$D500="NO ENCONTRADO"),"",_xlfn.XLOOKUP($D500,Productos!$E:$E,Productos!$F:$F,""))</f>
        <v/>
      </c>
      <c r="J500" s="74">
        <f>IF($C500="","",IF($D500="NO ENCONTRADO",IF(COUNTIF($C$7:$C$1000,$C500)&gt;1,"⚠️ No encontrado | Duplicado","⚠️ No encontrado"),IF(COUNTIF($C$7:$C$1000,$C500)&gt;1,"⚠️ Duplicado","Verificado")))</f>
        <v/>
      </c>
    </row>
    <row r="501" ht="15.75" customHeight="1" s="176">
      <c r="B501" s="80" t="n"/>
      <c r="C501" s="74" t="n"/>
      <c r="D501" s="74">
        <f t="array" ref="D501">IF($C501="","",IFNA(_xlfn.XLOOKUP($C501,Productos!$A:$A,Productos!$E:$E,IFNA(_xlfn.XLOOKUP(TEXT($C501,"0"),Productos!$A:$A,Productos!$E:$E,IFNA(_xlfn.XLOOKUP(IFERROR(VALUE($C501),""),Productos!$A:$A,Productos!$E:$E,_xlfn.XLOOKUP($C501,Productos!$E:$E,Productos!$E:$E,"NO ENCONTRADO")),"NO ENCONTRADO")),"NO ENCONTRADO")),"NO ENCONTRADO"))</f>
        <v/>
      </c>
      <c r="E501" s="74">
        <f t="array" ref="E501">IF(OR($D501="",$D501="NO ENCONTRADO"),"",_xlfn.XLOOKUP($D501,Productos!$E:$E,Productos!$H:$H,""))</f>
        <v/>
      </c>
      <c r="F501" s="74">
        <f t="array" ref="F501">IF(OR($D501="",$D501="NO ENCONTRADO"),"",_xlfn.XLOOKUP($D501,Productos!$E:$E,Productos!$I:$I,""))</f>
        <v/>
      </c>
      <c r="G501" s="74">
        <f t="array" ref="G501">IF(OR($D501="",$D501="NO ENCONTRADO"),"",_xlfn.XLOOKUP($D501,Productos!$E:$E,Productos!$J:$J,""))</f>
        <v/>
      </c>
      <c r="H501" s="74">
        <f t="array" ref="H501">IF(OR($D501="",$D501="NO ENCONTRADO"),"",_xlfn.XLOOKUP($D501,Productos!$E:$E,Productos!$K:$K,""))</f>
        <v/>
      </c>
      <c r="I501" s="74">
        <f t="array" ref="I501">IF(OR($D501="",$D501="NO ENCONTRADO"),"",_xlfn.XLOOKUP($D501,Productos!$E:$E,Productos!$F:$F,""))</f>
        <v/>
      </c>
      <c r="J501" s="74">
        <f>IF($C501="","",IF($D501="NO ENCONTRADO",IF(COUNTIF($C$7:$C$1000,$C501)&gt;1,"⚠️ No encontrado | Duplicado","⚠️ No encontrado"),IF(COUNTIF($C$7:$C$1000,$C501)&gt;1,"⚠️ Duplicado","Verificado")))</f>
        <v/>
      </c>
    </row>
    <row r="502" ht="15.75" customHeight="1" s="176">
      <c r="B502" s="80" t="n"/>
      <c r="C502" s="74" t="n"/>
      <c r="D502" s="74">
        <f t="array" ref="D502">IF($C502="","",IFNA(_xlfn.XLOOKUP($C502,Productos!$A:$A,Productos!$E:$E,IFNA(_xlfn.XLOOKUP(TEXT($C502,"0"),Productos!$A:$A,Productos!$E:$E,IFNA(_xlfn.XLOOKUP(IFERROR(VALUE($C502),""),Productos!$A:$A,Productos!$E:$E,_xlfn.XLOOKUP($C502,Productos!$E:$E,Productos!$E:$E,"NO ENCONTRADO")),"NO ENCONTRADO")),"NO ENCONTRADO")),"NO ENCONTRADO"))</f>
        <v/>
      </c>
      <c r="E502" s="74">
        <f t="array" ref="E502">IF(OR($D502="",$D502="NO ENCONTRADO"),"",_xlfn.XLOOKUP($D502,Productos!$E:$E,Productos!$H:$H,""))</f>
        <v/>
      </c>
      <c r="F502" s="74">
        <f t="array" ref="F502">IF(OR($D502="",$D502="NO ENCONTRADO"),"",_xlfn.XLOOKUP($D502,Productos!$E:$E,Productos!$I:$I,""))</f>
        <v/>
      </c>
      <c r="G502" s="74">
        <f t="array" ref="G502">IF(OR($D502="",$D502="NO ENCONTRADO"),"",_xlfn.XLOOKUP($D502,Productos!$E:$E,Productos!$J:$J,""))</f>
        <v/>
      </c>
      <c r="H502" s="74">
        <f t="array" ref="H502">IF(OR($D502="",$D502="NO ENCONTRADO"),"",_xlfn.XLOOKUP($D502,Productos!$E:$E,Productos!$K:$K,""))</f>
        <v/>
      </c>
      <c r="I502" s="74">
        <f t="array" ref="I502">IF(OR($D502="",$D502="NO ENCONTRADO"),"",_xlfn.XLOOKUP($D502,Productos!$E:$E,Productos!$F:$F,""))</f>
        <v/>
      </c>
      <c r="J502" s="74">
        <f>IF($C502="","",IF($D502="NO ENCONTRADO",IF(COUNTIF($C$7:$C$1000,$C502)&gt;1,"⚠️ No encontrado | Duplicado","⚠️ No encontrado"),IF(COUNTIF($C$7:$C$1000,$C502)&gt;1,"⚠️ Duplicado","Verificado")))</f>
        <v/>
      </c>
    </row>
    <row r="503" ht="15.75" customHeight="1" s="176">
      <c r="B503" s="80" t="n"/>
      <c r="C503" s="74" t="n"/>
      <c r="D503" s="74">
        <f t="array" ref="D503">IF($C503="","",IFNA(_xlfn.XLOOKUP($C503,Productos!$A:$A,Productos!$E:$E,IFNA(_xlfn.XLOOKUP(TEXT($C503,"0"),Productos!$A:$A,Productos!$E:$E,IFNA(_xlfn.XLOOKUP(IFERROR(VALUE($C503),""),Productos!$A:$A,Productos!$E:$E,_xlfn.XLOOKUP($C503,Productos!$E:$E,Productos!$E:$E,"NO ENCONTRADO")),"NO ENCONTRADO")),"NO ENCONTRADO")),"NO ENCONTRADO"))</f>
        <v/>
      </c>
      <c r="E503" s="74">
        <f t="array" ref="E503">IF(OR($D503="",$D503="NO ENCONTRADO"),"",_xlfn.XLOOKUP($D503,Productos!$E:$E,Productos!$H:$H,""))</f>
        <v/>
      </c>
      <c r="F503" s="74">
        <f t="array" ref="F503">IF(OR($D503="",$D503="NO ENCONTRADO"),"",_xlfn.XLOOKUP($D503,Productos!$E:$E,Productos!$I:$I,""))</f>
        <v/>
      </c>
      <c r="G503" s="74">
        <f t="array" ref="G503">IF(OR($D503="",$D503="NO ENCONTRADO"),"",_xlfn.XLOOKUP($D503,Productos!$E:$E,Productos!$J:$J,""))</f>
        <v/>
      </c>
      <c r="H503" s="74">
        <f t="array" ref="H503">IF(OR($D503="",$D503="NO ENCONTRADO"),"",_xlfn.XLOOKUP($D503,Productos!$E:$E,Productos!$K:$K,""))</f>
        <v/>
      </c>
      <c r="I503" s="74">
        <f t="array" ref="I503">IF(OR($D503="",$D503="NO ENCONTRADO"),"",_xlfn.XLOOKUP($D503,Productos!$E:$E,Productos!$F:$F,""))</f>
        <v/>
      </c>
      <c r="J503" s="74">
        <f>IF($C503="","",IF($D503="NO ENCONTRADO",IF(COUNTIF($C$7:$C$1000,$C503)&gt;1,"⚠️ No encontrado | Duplicado","⚠️ No encontrado"),IF(COUNTIF($C$7:$C$1000,$C503)&gt;1,"⚠️ Duplicado","Verificado")))</f>
        <v/>
      </c>
    </row>
    <row r="504" ht="15.75" customHeight="1" s="176">
      <c r="B504" s="80" t="n"/>
      <c r="C504" s="74" t="n"/>
      <c r="D504" s="74">
        <f t="array" ref="D504">IF($C504="","",IFNA(_xlfn.XLOOKUP($C504,Productos!$A:$A,Productos!$E:$E,IFNA(_xlfn.XLOOKUP(TEXT($C504,"0"),Productos!$A:$A,Productos!$E:$E,IFNA(_xlfn.XLOOKUP(IFERROR(VALUE($C504),""),Productos!$A:$A,Productos!$E:$E,_xlfn.XLOOKUP($C504,Productos!$E:$E,Productos!$E:$E,"NO ENCONTRADO")),"NO ENCONTRADO")),"NO ENCONTRADO")),"NO ENCONTRADO"))</f>
        <v/>
      </c>
      <c r="E504" s="74">
        <f t="array" ref="E504">IF(OR($D504="",$D504="NO ENCONTRADO"),"",_xlfn.XLOOKUP($D504,Productos!$E:$E,Productos!$H:$H,""))</f>
        <v/>
      </c>
      <c r="F504" s="74">
        <f t="array" ref="F504">IF(OR($D504="",$D504="NO ENCONTRADO"),"",_xlfn.XLOOKUP($D504,Productos!$E:$E,Productos!$I:$I,""))</f>
        <v/>
      </c>
      <c r="G504" s="74">
        <f t="array" ref="G504">IF(OR($D504="",$D504="NO ENCONTRADO"),"",_xlfn.XLOOKUP($D504,Productos!$E:$E,Productos!$J:$J,""))</f>
        <v/>
      </c>
      <c r="H504" s="74">
        <f t="array" ref="H504">IF(OR($D504="",$D504="NO ENCONTRADO"),"",_xlfn.XLOOKUP($D504,Productos!$E:$E,Productos!$K:$K,""))</f>
        <v/>
      </c>
      <c r="I504" s="74">
        <f t="array" ref="I504">IF(OR($D504="",$D504="NO ENCONTRADO"),"",_xlfn.XLOOKUP($D504,Productos!$E:$E,Productos!$F:$F,""))</f>
        <v/>
      </c>
      <c r="J504" s="74">
        <f>IF($C504="","",IF($D504="NO ENCONTRADO",IF(COUNTIF($C$7:$C$1000,$C504)&gt;1,"⚠️ No encontrado | Duplicado","⚠️ No encontrado"),IF(COUNTIF($C$7:$C$1000,$C504)&gt;1,"⚠️ Duplicado","Verificado")))</f>
        <v/>
      </c>
    </row>
    <row r="505" ht="15.75" customHeight="1" s="176">
      <c r="B505" s="80" t="n"/>
      <c r="C505" s="74" t="n"/>
      <c r="D505" s="74">
        <f t="array" ref="D505">IF($C505="","",IFNA(_xlfn.XLOOKUP($C505,Productos!$A:$A,Productos!$E:$E,IFNA(_xlfn.XLOOKUP(TEXT($C505,"0"),Productos!$A:$A,Productos!$E:$E,IFNA(_xlfn.XLOOKUP(IFERROR(VALUE($C505),""),Productos!$A:$A,Productos!$E:$E,_xlfn.XLOOKUP($C505,Productos!$E:$E,Productos!$E:$E,"NO ENCONTRADO")),"NO ENCONTRADO")),"NO ENCONTRADO")),"NO ENCONTRADO"))</f>
        <v/>
      </c>
      <c r="E505" s="74">
        <f t="array" ref="E505">IF(OR($D505="",$D505="NO ENCONTRADO"),"",_xlfn.XLOOKUP($D505,Productos!$E:$E,Productos!$H:$H,""))</f>
        <v/>
      </c>
      <c r="F505" s="74">
        <f t="array" ref="F505">IF(OR($D505="",$D505="NO ENCONTRADO"),"",_xlfn.XLOOKUP($D505,Productos!$E:$E,Productos!$I:$I,""))</f>
        <v/>
      </c>
      <c r="G505" s="74">
        <f t="array" ref="G505">IF(OR($D505="",$D505="NO ENCONTRADO"),"",_xlfn.XLOOKUP($D505,Productos!$E:$E,Productos!$J:$J,""))</f>
        <v/>
      </c>
      <c r="H505" s="74">
        <f t="array" ref="H505">IF(OR($D505="",$D505="NO ENCONTRADO"),"",_xlfn.XLOOKUP($D505,Productos!$E:$E,Productos!$K:$K,""))</f>
        <v/>
      </c>
      <c r="I505" s="74">
        <f t="array" ref="I505">IF(OR($D505="",$D505="NO ENCONTRADO"),"",_xlfn.XLOOKUP($D505,Productos!$E:$E,Productos!$F:$F,""))</f>
        <v/>
      </c>
      <c r="J505" s="74">
        <f>IF($C505="","",IF($D505="NO ENCONTRADO",IF(COUNTIF($C$7:$C$1000,$C505)&gt;1,"⚠️ No encontrado | Duplicado","⚠️ No encontrado"),IF(COUNTIF($C$7:$C$1000,$C505)&gt;1,"⚠️ Duplicado","Verificado")))</f>
        <v/>
      </c>
    </row>
    <row r="506" ht="15.75" customHeight="1" s="176">
      <c r="B506" s="80" t="n"/>
      <c r="C506" s="74" t="n"/>
      <c r="D506" s="74">
        <f t="array" ref="D506">IF($C506="","",IFNA(_xlfn.XLOOKUP($C506,Productos!$A:$A,Productos!$E:$E,IFNA(_xlfn.XLOOKUP(TEXT($C506,"0"),Productos!$A:$A,Productos!$E:$E,IFNA(_xlfn.XLOOKUP(IFERROR(VALUE($C506),""),Productos!$A:$A,Productos!$E:$E,_xlfn.XLOOKUP($C506,Productos!$E:$E,Productos!$E:$E,"NO ENCONTRADO")),"NO ENCONTRADO")),"NO ENCONTRADO")),"NO ENCONTRADO"))</f>
        <v/>
      </c>
      <c r="E506" s="74">
        <f t="array" ref="E506">IF(OR($D506="",$D506="NO ENCONTRADO"),"",_xlfn.XLOOKUP($D506,Productos!$E:$E,Productos!$H:$H,""))</f>
        <v/>
      </c>
      <c r="F506" s="74">
        <f t="array" ref="F506">IF(OR($D506="",$D506="NO ENCONTRADO"),"",_xlfn.XLOOKUP($D506,Productos!$E:$E,Productos!$I:$I,""))</f>
        <v/>
      </c>
      <c r="G506" s="74">
        <f t="array" ref="G506">IF(OR($D506="",$D506="NO ENCONTRADO"),"",_xlfn.XLOOKUP($D506,Productos!$E:$E,Productos!$J:$J,""))</f>
        <v/>
      </c>
      <c r="H506" s="74">
        <f t="array" ref="H506">IF(OR($D506="",$D506="NO ENCONTRADO"),"",_xlfn.XLOOKUP($D506,Productos!$E:$E,Productos!$K:$K,""))</f>
        <v/>
      </c>
      <c r="I506" s="74">
        <f t="array" ref="I506">IF(OR($D506="",$D506="NO ENCONTRADO"),"",_xlfn.XLOOKUP($D506,Productos!$E:$E,Productos!$F:$F,""))</f>
        <v/>
      </c>
      <c r="J506" s="74">
        <f>IF($C506="","",IF($D506="NO ENCONTRADO",IF(COUNTIF($C$7:$C$1000,$C506)&gt;1,"⚠️ No encontrado | Duplicado","⚠️ No encontrado"),IF(COUNTIF($C$7:$C$1000,$C506)&gt;1,"⚠️ Duplicado","Verificado")))</f>
        <v/>
      </c>
    </row>
    <row r="507" ht="15.75" customHeight="1" s="176">
      <c r="B507" s="80" t="n"/>
      <c r="C507" s="74" t="n"/>
      <c r="D507" s="74">
        <f t="array" ref="D507">IF($C507="","",IFNA(_xlfn.XLOOKUP($C507,Productos!$A:$A,Productos!$E:$E,IFNA(_xlfn.XLOOKUP(TEXT($C507,"0"),Productos!$A:$A,Productos!$E:$E,IFNA(_xlfn.XLOOKUP(IFERROR(VALUE($C507),""),Productos!$A:$A,Productos!$E:$E,_xlfn.XLOOKUP($C507,Productos!$E:$E,Productos!$E:$E,"NO ENCONTRADO")),"NO ENCONTRADO")),"NO ENCONTRADO")),"NO ENCONTRADO"))</f>
        <v/>
      </c>
      <c r="E507" s="74">
        <f t="array" ref="E507">IF(OR($D507="",$D507="NO ENCONTRADO"),"",_xlfn.XLOOKUP($D507,Productos!$E:$E,Productos!$H:$H,""))</f>
        <v/>
      </c>
      <c r="F507" s="74">
        <f t="array" ref="F507">IF(OR($D507="",$D507="NO ENCONTRADO"),"",_xlfn.XLOOKUP($D507,Productos!$E:$E,Productos!$I:$I,""))</f>
        <v/>
      </c>
      <c r="G507" s="74">
        <f t="array" ref="G507">IF(OR($D507="",$D507="NO ENCONTRADO"),"",_xlfn.XLOOKUP($D507,Productos!$E:$E,Productos!$J:$J,""))</f>
        <v/>
      </c>
      <c r="H507" s="74">
        <f t="array" ref="H507">IF(OR($D507="",$D507="NO ENCONTRADO"),"",_xlfn.XLOOKUP($D507,Productos!$E:$E,Productos!$K:$K,""))</f>
        <v/>
      </c>
      <c r="I507" s="74">
        <f t="array" ref="I507">IF(OR($D507="",$D507="NO ENCONTRADO"),"",_xlfn.XLOOKUP($D507,Productos!$E:$E,Productos!$F:$F,""))</f>
        <v/>
      </c>
      <c r="J507" s="74">
        <f>IF($C507="","",IF($D507="NO ENCONTRADO",IF(COUNTIF($C$7:$C$1000,$C507)&gt;1,"⚠️ No encontrado | Duplicado","⚠️ No encontrado"),IF(COUNTIF($C$7:$C$1000,$C507)&gt;1,"⚠️ Duplicado","Verificado")))</f>
        <v/>
      </c>
    </row>
    <row r="508" ht="15.75" customHeight="1" s="176">
      <c r="B508" s="80" t="n"/>
      <c r="C508" s="74" t="n"/>
      <c r="D508" s="74">
        <f t="array" ref="D508">IF($C508="","",IFNA(_xlfn.XLOOKUP($C508,Productos!$A:$A,Productos!$E:$E,IFNA(_xlfn.XLOOKUP(TEXT($C508,"0"),Productos!$A:$A,Productos!$E:$E,IFNA(_xlfn.XLOOKUP(IFERROR(VALUE($C508),""),Productos!$A:$A,Productos!$E:$E,_xlfn.XLOOKUP($C508,Productos!$E:$E,Productos!$E:$E,"NO ENCONTRADO")),"NO ENCONTRADO")),"NO ENCONTRADO")),"NO ENCONTRADO"))</f>
        <v/>
      </c>
      <c r="E508" s="74">
        <f t="array" ref="E508">IF(OR($D508="",$D508="NO ENCONTRADO"),"",_xlfn.XLOOKUP($D508,Productos!$E:$E,Productos!$H:$H,""))</f>
        <v/>
      </c>
      <c r="F508" s="74">
        <f t="array" ref="F508">IF(OR($D508="",$D508="NO ENCONTRADO"),"",_xlfn.XLOOKUP($D508,Productos!$E:$E,Productos!$I:$I,""))</f>
        <v/>
      </c>
      <c r="G508" s="74">
        <f t="array" ref="G508">IF(OR($D508="",$D508="NO ENCONTRADO"),"",_xlfn.XLOOKUP($D508,Productos!$E:$E,Productos!$J:$J,""))</f>
        <v/>
      </c>
      <c r="H508" s="74">
        <f t="array" ref="H508">IF(OR($D508="",$D508="NO ENCONTRADO"),"",_xlfn.XLOOKUP($D508,Productos!$E:$E,Productos!$K:$K,""))</f>
        <v/>
      </c>
      <c r="I508" s="74">
        <f t="array" ref="I508">IF(OR($D508="",$D508="NO ENCONTRADO"),"",_xlfn.XLOOKUP($D508,Productos!$E:$E,Productos!$F:$F,""))</f>
        <v/>
      </c>
      <c r="J508" s="74">
        <f>IF($C508="","",IF($D508="NO ENCONTRADO",IF(COUNTIF($C$7:$C$1000,$C508)&gt;1,"⚠️ No encontrado | Duplicado","⚠️ No encontrado"),IF(COUNTIF($C$7:$C$1000,$C508)&gt;1,"⚠️ Duplicado","Verificado")))</f>
        <v/>
      </c>
    </row>
    <row r="509" ht="15.75" customHeight="1" s="176">
      <c r="B509" s="80" t="n"/>
      <c r="C509" s="74" t="n"/>
      <c r="D509" s="74">
        <f t="array" ref="D509">IF($C509="","",IFNA(_xlfn.XLOOKUP($C509,Productos!$A:$A,Productos!$E:$E,IFNA(_xlfn.XLOOKUP(TEXT($C509,"0"),Productos!$A:$A,Productos!$E:$E,IFNA(_xlfn.XLOOKUP(IFERROR(VALUE($C509),""),Productos!$A:$A,Productos!$E:$E,_xlfn.XLOOKUP($C509,Productos!$E:$E,Productos!$E:$E,"NO ENCONTRADO")),"NO ENCONTRADO")),"NO ENCONTRADO")),"NO ENCONTRADO"))</f>
        <v/>
      </c>
      <c r="E509" s="74">
        <f t="array" ref="E509">IF(OR($D509="",$D509="NO ENCONTRADO"),"",_xlfn.XLOOKUP($D509,Productos!$E:$E,Productos!$H:$H,""))</f>
        <v/>
      </c>
      <c r="F509" s="74">
        <f t="array" ref="F509">IF(OR($D509="",$D509="NO ENCONTRADO"),"",_xlfn.XLOOKUP($D509,Productos!$E:$E,Productos!$I:$I,""))</f>
        <v/>
      </c>
      <c r="G509" s="74">
        <f t="array" ref="G509">IF(OR($D509="",$D509="NO ENCONTRADO"),"",_xlfn.XLOOKUP($D509,Productos!$E:$E,Productos!$J:$J,""))</f>
        <v/>
      </c>
      <c r="H509" s="74">
        <f t="array" ref="H509">IF(OR($D509="",$D509="NO ENCONTRADO"),"",_xlfn.XLOOKUP($D509,Productos!$E:$E,Productos!$K:$K,""))</f>
        <v/>
      </c>
      <c r="I509" s="74">
        <f t="array" ref="I509">IF(OR($D509="",$D509="NO ENCONTRADO"),"",_xlfn.XLOOKUP($D509,Productos!$E:$E,Productos!$F:$F,""))</f>
        <v/>
      </c>
      <c r="J509" s="74">
        <f>IF($C509="","",IF($D509="NO ENCONTRADO",IF(COUNTIF($C$7:$C$1000,$C509)&gt;1,"⚠️ No encontrado | Duplicado","⚠️ No encontrado"),IF(COUNTIF($C$7:$C$1000,$C509)&gt;1,"⚠️ Duplicado","Verificado")))</f>
        <v/>
      </c>
    </row>
    <row r="510" ht="15.75" customHeight="1" s="176">
      <c r="B510" s="80" t="n"/>
      <c r="C510" s="74" t="n"/>
      <c r="D510" s="74">
        <f t="array" ref="D510">IF($C510="","",IFNA(_xlfn.XLOOKUP($C510,Productos!$A:$A,Productos!$E:$E,IFNA(_xlfn.XLOOKUP(TEXT($C510,"0"),Productos!$A:$A,Productos!$E:$E,IFNA(_xlfn.XLOOKUP(IFERROR(VALUE($C510),""),Productos!$A:$A,Productos!$E:$E,_xlfn.XLOOKUP($C510,Productos!$E:$E,Productos!$E:$E,"NO ENCONTRADO")),"NO ENCONTRADO")),"NO ENCONTRADO")),"NO ENCONTRADO"))</f>
        <v/>
      </c>
      <c r="E510" s="74">
        <f t="array" ref="E510">IF(OR($D510="",$D510="NO ENCONTRADO"),"",_xlfn.XLOOKUP($D510,Productos!$E:$E,Productos!$H:$H,""))</f>
        <v/>
      </c>
      <c r="F510" s="74">
        <f t="array" ref="F510">IF(OR($D510="",$D510="NO ENCONTRADO"),"",_xlfn.XLOOKUP($D510,Productos!$E:$E,Productos!$I:$I,""))</f>
        <v/>
      </c>
      <c r="G510" s="74">
        <f t="array" ref="G510">IF(OR($D510="",$D510="NO ENCONTRADO"),"",_xlfn.XLOOKUP($D510,Productos!$E:$E,Productos!$J:$J,""))</f>
        <v/>
      </c>
      <c r="H510" s="74">
        <f t="array" ref="H510">IF(OR($D510="",$D510="NO ENCONTRADO"),"",_xlfn.XLOOKUP($D510,Productos!$E:$E,Productos!$K:$K,""))</f>
        <v/>
      </c>
      <c r="I510" s="74">
        <f t="array" ref="I510">IF(OR($D510="",$D510="NO ENCONTRADO"),"",_xlfn.XLOOKUP($D510,Productos!$E:$E,Productos!$F:$F,""))</f>
        <v/>
      </c>
      <c r="J510" s="74">
        <f>IF($C510="","",IF($D510="NO ENCONTRADO",IF(COUNTIF($C$7:$C$1000,$C510)&gt;1,"⚠️ No encontrado | Duplicado","⚠️ No encontrado"),IF(COUNTIF($C$7:$C$1000,$C510)&gt;1,"⚠️ Duplicado","Verificado")))</f>
        <v/>
      </c>
    </row>
    <row r="511" ht="15.75" customHeight="1" s="176">
      <c r="B511" s="80" t="n"/>
      <c r="C511" s="74" t="n"/>
      <c r="D511" s="74">
        <f t="array" ref="D511">IF($C511="","",IFNA(_xlfn.XLOOKUP($C511,Productos!$A:$A,Productos!$E:$E,IFNA(_xlfn.XLOOKUP(TEXT($C511,"0"),Productos!$A:$A,Productos!$E:$E,IFNA(_xlfn.XLOOKUP(IFERROR(VALUE($C511),""),Productos!$A:$A,Productos!$E:$E,_xlfn.XLOOKUP($C511,Productos!$E:$E,Productos!$E:$E,"NO ENCONTRADO")),"NO ENCONTRADO")),"NO ENCONTRADO")),"NO ENCONTRADO"))</f>
        <v/>
      </c>
      <c r="E511" s="74">
        <f t="array" ref="E511">IF(OR($D511="",$D511="NO ENCONTRADO"),"",_xlfn.XLOOKUP($D511,Productos!$E:$E,Productos!$H:$H,""))</f>
        <v/>
      </c>
      <c r="F511" s="74">
        <f t="array" ref="F511">IF(OR($D511="",$D511="NO ENCONTRADO"),"",_xlfn.XLOOKUP($D511,Productos!$E:$E,Productos!$I:$I,""))</f>
        <v/>
      </c>
      <c r="G511" s="74">
        <f t="array" ref="G511">IF(OR($D511="",$D511="NO ENCONTRADO"),"",_xlfn.XLOOKUP($D511,Productos!$E:$E,Productos!$J:$J,""))</f>
        <v/>
      </c>
      <c r="H511" s="74">
        <f t="array" ref="H511">IF(OR($D511="",$D511="NO ENCONTRADO"),"",_xlfn.XLOOKUP($D511,Productos!$E:$E,Productos!$K:$K,""))</f>
        <v/>
      </c>
      <c r="I511" s="74">
        <f t="array" ref="I511">IF(OR($D511="",$D511="NO ENCONTRADO"),"",_xlfn.XLOOKUP($D511,Productos!$E:$E,Productos!$F:$F,""))</f>
        <v/>
      </c>
      <c r="J511" s="74">
        <f>IF($C511="","",IF($D511="NO ENCONTRADO",IF(COUNTIF($C$7:$C$1000,$C511)&gt;1,"⚠️ No encontrado | Duplicado","⚠️ No encontrado"),IF(COUNTIF($C$7:$C$1000,$C511)&gt;1,"⚠️ Duplicado","Verificado")))</f>
        <v/>
      </c>
    </row>
    <row r="512" ht="15.75" customHeight="1" s="176">
      <c r="B512" s="80" t="n"/>
      <c r="C512" s="74" t="n"/>
      <c r="D512" s="74">
        <f t="array" ref="D512">IF($C512="","",IFNA(_xlfn.XLOOKUP($C512,Productos!$A:$A,Productos!$E:$E,IFNA(_xlfn.XLOOKUP(TEXT($C512,"0"),Productos!$A:$A,Productos!$E:$E,IFNA(_xlfn.XLOOKUP(IFERROR(VALUE($C512),""),Productos!$A:$A,Productos!$E:$E,_xlfn.XLOOKUP($C512,Productos!$E:$E,Productos!$E:$E,"NO ENCONTRADO")),"NO ENCONTRADO")),"NO ENCONTRADO")),"NO ENCONTRADO"))</f>
        <v/>
      </c>
      <c r="E512" s="74">
        <f t="array" ref="E512">IF(OR($D512="",$D512="NO ENCONTRADO"),"",_xlfn.XLOOKUP($D512,Productos!$E:$E,Productos!$H:$H,""))</f>
        <v/>
      </c>
      <c r="F512" s="74">
        <f t="array" ref="F512">IF(OR($D512="",$D512="NO ENCONTRADO"),"",_xlfn.XLOOKUP($D512,Productos!$E:$E,Productos!$I:$I,""))</f>
        <v/>
      </c>
      <c r="G512" s="74">
        <f t="array" ref="G512">IF(OR($D512="",$D512="NO ENCONTRADO"),"",_xlfn.XLOOKUP($D512,Productos!$E:$E,Productos!$J:$J,""))</f>
        <v/>
      </c>
      <c r="H512" s="74">
        <f t="array" ref="H512">IF(OR($D512="",$D512="NO ENCONTRADO"),"",_xlfn.XLOOKUP($D512,Productos!$E:$E,Productos!$K:$K,""))</f>
        <v/>
      </c>
      <c r="I512" s="74">
        <f t="array" ref="I512">IF(OR($D512="",$D512="NO ENCONTRADO"),"",_xlfn.XLOOKUP($D512,Productos!$E:$E,Productos!$F:$F,""))</f>
        <v/>
      </c>
      <c r="J512" s="74">
        <f>IF($C512="","",IF($D512="NO ENCONTRADO",IF(COUNTIF($C$7:$C$1000,$C512)&gt;1,"⚠️ No encontrado | Duplicado","⚠️ No encontrado"),IF(COUNTIF($C$7:$C$1000,$C512)&gt;1,"⚠️ Duplicado","Verificado")))</f>
        <v/>
      </c>
    </row>
    <row r="513" ht="15.75" customHeight="1" s="176">
      <c r="B513" s="80" t="n"/>
      <c r="C513" s="74" t="n"/>
      <c r="D513" s="74">
        <f t="array" ref="D513">IF($C513="","",IFNA(_xlfn.XLOOKUP($C513,Productos!$A:$A,Productos!$E:$E,IFNA(_xlfn.XLOOKUP(TEXT($C513,"0"),Productos!$A:$A,Productos!$E:$E,IFNA(_xlfn.XLOOKUP(IFERROR(VALUE($C513),""),Productos!$A:$A,Productos!$E:$E,_xlfn.XLOOKUP($C513,Productos!$E:$E,Productos!$E:$E,"NO ENCONTRADO")),"NO ENCONTRADO")),"NO ENCONTRADO")),"NO ENCONTRADO"))</f>
        <v/>
      </c>
      <c r="E513" s="74">
        <f t="array" ref="E513">IF(OR($D513="",$D513="NO ENCONTRADO"),"",_xlfn.XLOOKUP($D513,Productos!$E:$E,Productos!$H:$H,""))</f>
        <v/>
      </c>
      <c r="F513" s="74">
        <f t="array" ref="F513">IF(OR($D513="",$D513="NO ENCONTRADO"),"",_xlfn.XLOOKUP($D513,Productos!$E:$E,Productos!$I:$I,""))</f>
        <v/>
      </c>
      <c r="G513" s="74">
        <f t="array" ref="G513">IF(OR($D513="",$D513="NO ENCONTRADO"),"",_xlfn.XLOOKUP($D513,Productos!$E:$E,Productos!$J:$J,""))</f>
        <v/>
      </c>
      <c r="H513" s="74">
        <f t="array" ref="H513">IF(OR($D513="",$D513="NO ENCONTRADO"),"",_xlfn.XLOOKUP($D513,Productos!$E:$E,Productos!$K:$K,""))</f>
        <v/>
      </c>
      <c r="I513" s="74">
        <f t="array" ref="I513">IF(OR($D513="",$D513="NO ENCONTRADO"),"",_xlfn.XLOOKUP($D513,Productos!$E:$E,Productos!$F:$F,""))</f>
        <v/>
      </c>
      <c r="J513" s="74">
        <f>IF($C513="","",IF($D513="NO ENCONTRADO",IF(COUNTIF($C$7:$C$1000,$C513)&gt;1,"⚠️ No encontrado | Duplicado","⚠️ No encontrado"),IF(COUNTIF($C$7:$C$1000,$C513)&gt;1,"⚠️ Duplicado","Verificado")))</f>
        <v/>
      </c>
    </row>
    <row r="514" ht="15.75" customHeight="1" s="176">
      <c r="B514" s="80" t="n"/>
      <c r="C514" s="74" t="n"/>
      <c r="D514" s="74">
        <f t="array" ref="D514">IF($C514="","",IFNA(_xlfn.XLOOKUP($C514,Productos!$A:$A,Productos!$E:$E,IFNA(_xlfn.XLOOKUP(TEXT($C514,"0"),Productos!$A:$A,Productos!$E:$E,IFNA(_xlfn.XLOOKUP(IFERROR(VALUE($C514),""),Productos!$A:$A,Productos!$E:$E,_xlfn.XLOOKUP($C514,Productos!$E:$E,Productos!$E:$E,"NO ENCONTRADO")),"NO ENCONTRADO")),"NO ENCONTRADO")),"NO ENCONTRADO"))</f>
        <v/>
      </c>
      <c r="E514" s="74">
        <f t="array" ref="E514">IF(OR($D514="",$D514="NO ENCONTRADO"),"",_xlfn.XLOOKUP($D514,Productos!$E:$E,Productos!$H:$H,""))</f>
        <v/>
      </c>
      <c r="F514" s="74">
        <f t="array" ref="F514">IF(OR($D514="",$D514="NO ENCONTRADO"),"",_xlfn.XLOOKUP($D514,Productos!$E:$E,Productos!$I:$I,""))</f>
        <v/>
      </c>
      <c r="G514" s="74">
        <f t="array" ref="G514">IF(OR($D514="",$D514="NO ENCONTRADO"),"",_xlfn.XLOOKUP($D514,Productos!$E:$E,Productos!$J:$J,""))</f>
        <v/>
      </c>
      <c r="H514" s="74">
        <f t="array" ref="H514">IF(OR($D514="",$D514="NO ENCONTRADO"),"",_xlfn.XLOOKUP($D514,Productos!$E:$E,Productos!$K:$K,""))</f>
        <v/>
      </c>
      <c r="I514" s="74">
        <f t="array" ref="I514">IF(OR($D514="",$D514="NO ENCONTRADO"),"",_xlfn.XLOOKUP($D514,Productos!$E:$E,Productos!$F:$F,""))</f>
        <v/>
      </c>
      <c r="J514" s="74">
        <f>IF($C514="","",IF($D514="NO ENCONTRADO",IF(COUNTIF($C$7:$C$1000,$C514)&gt;1,"⚠️ No encontrado | Duplicado","⚠️ No encontrado"),IF(COUNTIF($C$7:$C$1000,$C514)&gt;1,"⚠️ Duplicado","Verificado")))</f>
        <v/>
      </c>
    </row>
    <row r="515" ht="15.75" customHeight="1" s="176">
      <c r="B515" s="80" t="n"/>
      <c r="C515" s="74" t="n"/>
      <c r="D515" s="74">
        <f t="array" ref="D515">IF($C515="","",IFNA(_xlfn.XLOOKUP($C515,Productos!$A:$A,Productos!$E:$E,IFNA(_xlfn.XLOOKUP(TEXT($C515,"0"),Productos!$A:$A,Productos!$E:$E,IFNA(_xlfn.XLOOKUP(IFERROR(VALUE($C515),""),Productos!$A:$A,Productos!$E:$E,_xlfn.XLOOKUP($C515,Productos!$E:$E,Productos!$E:$E,"NO ENCONTRADO")),"NO ENCONTRADO")),"NO ENCONTRADO")),"NO ENCONTRADO"))</f>
        <v/>
      </c>
      <c r="E515" s="74">
        <f t="array" ref="E515">IF(OR($D515="",$D515="NO ENCONTRADO"),"",_xlfn.XLOOKUP($D515,Productos!$E:$E,Productos!$H:$H,""))</f>
        <v/>
      </c>
      <c r="F515" s="74">
        <f t="array" ref="F515">IF(OR($D515="",$D515="NO ENCONTRADO"),"",_xlfn.XLOOKUP($D515,Productos!$E:$E,Productos!$I:$I,""))</f>
        <v/>
      </c>
      <c r="G515" s="74">
        <f t="array" ref="G515">IF(OR($D515="",$D515="NO ENCONTRADO"),"",_xlfn.XLOOKUP($D515,Productos!$E:$E,Productos!$J:$J,""))</f>
        <v/>
      </c>
      <c r="H515" s="74">
        <f t="array" ref="H515">IF(OR($D515="",$D515="NO ENCONTRADO"),"",_xlfn.XLOOKUP($D515,Productos!$E:$E,Productos!$K:$K,""))</f>
        <v/>
      </c>
      <c r="I515" s="74">
        <f t="array" ref="I515">IF(OR($D515="",$D515="NO ENCONTRADO"),"",_xlfn.XLOOKUP($D515,Productos!$E:$E,Productos!$F:$F,""))</f>
        <v/>
      </c>
      <c r="J515" s="74">
        <f>IF($C515="","",IF($D515="NO ENCONTRADO",IF(COUNTIF($C$7:$C$1000,$C515)&gt;1,"⚠️ No encontrado | Duplicado","⚠️ No encontrado"),IF(COUNTIF($C$7:$C$1000,$C515)&gt;1,"⚠️ Duplicado","Verificado")))</f>
        <v/>
      </c>
    </row>
    <row r="516" ht="15.75" customHeight="1" s="176">
      <c r="B516" s="80" t="n"/>
      <c r="C516" s="74" t="n"/>
      <c r="D516" s="74">
        <f t="array" ref="D516">IF($C516="","",IFNA(_xlfn.XLOOKUP($C516,Productos!$A:$A,Productos!$E:$E,IFNA(_xlfn.XLOOKUP(TEXT($C516,"0"),Productos!$A:$A,Productos!$E:$E,IFNA(_xlfn.XLOOKUP(IFERROR(VALUE($C516),""),Productos!$A:$A,Productos!$E:$E,_xlfn.XLOOKUP($C516,Productos!$E:$E,Productos!$E:$E,"NO ENCONTRADO")),"NO ENCONTRADO")),"NO ENCONTRADO")),"NO ENCONTRADO"))</f>
        <v/>
      </c>
      <c r="E516" s="74">
        <f t="array" ref="E516">IF(OR($D516="",$D516="NO ENCONTRADO"),"",_xlfn.XLOOKUP($D516,Productos!$E:$E,Productos!$H:$H,""))</f>
        <v/>
      </c>
      <c r="F516" s="74">
        <f t="array" ref="F516">IF(OR($D516="",$D516="NO ENCONTRADO"),"",_xlfn.XLOOKUP($D516,Productos!$E:$E,Productos!$I:$I,""))</f>
        <v/>
      </c>
      <c r="G516" s="74">
        <f t="array" ref="G516">IF(OR($D516="",$D516="NO ENCONTRADO"),"",_xlfn.XLOOKUP($D516,Productos!$E:$E,Productos!$J:$J,""))</f>
        <v/>
      </c>
      <c r="H516" s="74">
        <f t="array" ref="H516">IF(OR($D516="",$D516="NO ENCONTRADO"),"",_xlfn.XLOOKUP($D516,Productos!$E:$E,Productos!$K:$K,""))</f>
        <v/>
      </c>
      <c r="I516" s="74">
        <f t="array" ref="I516">IF(OR($D516="",$D516="NO ENCONTRADO"),"",_xlfn.XLOOKUP($D516,Productos!$E:$E,Productos!$F:$F,""))</f>
        <v/>
      </c>
      <c r="J516" s="74">
        <f>IF($C516="","",IF($D516="NO ENCONTRADO",IF(COUNTIF($C$7:$C$1000,$C516)&gt;1,"⚠️ No encontrado | Duplicado","⚠️ No encontrado"),IF(COUNTIF($C$7:$C$1000,$C516)&gt;1,"⚠️ Duplicado","Verificado")))</f>
        <v/>
      </c>
    </row>
    <row r="517" ht="15.75" customHeight="1" s="176">
      <c r="B517" s="80" t="n"/>
      <c r="C517" s="74" t="n"/>
      <c r="D517" s="74">
        <f t="array" ref="D517">IF($C517="","",IFNA(_xlfn.XLOOKUP($C517,Productos!$A:$A,Productos!$E:$E,IFNA(_xlfn.XLOOKUP(TEXT($C517,"0"),Productos!$A:$A,Productos!$E:$E,IFNA(_xlfn.XLOOKUP(IFERROR(VALUE($C517),""),Productos!$A:$A,Productos!$E:$E,_xlfn.XLOOKUP($C517,Productos!$E:$E,Productos!$E:$E,"NO ENCONTRADO")),"NO ENCONTRADO")),"NO ENCONTRADO")),"NO ENCONTRADO"))</f>
        <v/>
      </c>
      <c r="E517" s="74">
        <f t="array" ref="E517">IF(OR($D517="",$D517="NO ENCONTRADO"),"",_xlfn.XLOOKUP($D517,Productos!$E:$E,Productos!$H:$H,""))</f>
        <v/>
      </c>
      <c r="F517" s="74">
        <f t="array" ref="F517">IF(OR($D517="",$D517="NO ENCONTRADO"),"",_xlfn.XLOOKUP($D517,Productos!$E:$E,Productos!$I:$I,""))</f>
        <v/>
      </c>
      <c r="G517" s="74">
        <f t="array" ref="G517">IF(OR($D517="",$D517="NO ENCONTRADO"),"",_xlfn.XLOOKUP($D517,Productos!$E:$E,Productos!$J:$J,""))</f>
        <v/>
      </c>
      <c r="H517" s="74">
        <f t="array" ref="H517">IF(OR($D517="",$D517="NO ENCONTRADO"),"",_xlfn.XLOOKUP($D517,Productos!$E:$E,Productos!$K:$K,""))</f>
        <v/>
      </c>
      <c r="I517" s="74">
        <f t="array" ref="I517">IF(OR($D517="",$D517="NO ENCONTRADO"),"",_xlfn.XLOOKUP($D517,Productos!$E:$E,Productos!$F:$F,""))</f>
        <v/>
      </c>
      <c r="J517" s="74">
        <f>IF($C517="","",IF($D517="NO ENCONTRADO",IF(COUNTIF($C$7:$C$1000,$C517)&gt;1,"⚠️ No encontrado | Duplicado","⚠️ No encontrado"),IF(COUNTIF($C$7:$C$1000,$C517)&gt;1,"⚠️ Duplicado","Verificado")))</f>
        <v/>
      </c>
    </row>
    <row r="518" ht="15.75" customHeight="1" s="176">
      <c r="B518" s="80" t="n"/>
      <c r="C518" s="74" t="n"/>
      <c r="D518" s="74">
        <f t="array" ref="D518">IF($C518="","",IFNA(_xlfn.XLOOKUP($C518,Productos!$A:$A,Productos!$E:$E,IFNA(_xlfn.XLOOKUP(TEXT($C518,"0"),Productos!$A:$A,Productos!$E:$E,IFNA(_xlfn.XLOOKUP(IFERROR(VALUE($C518),""),Productos!$A:$A,Productos!$E:$E,_xlfn.XLOOKUP($C518,Productos!$E:$E,Productos!$E:$E,"NO ENCONTRADO")),"NO ENCONTRADO")),"NO ENCONTRADO")),"NO ENCONTRADO"))</f>
        <v/>
      </c>
      <c r="E518" s="74">
        <f t="array" ref="E518">IF(OR($D518="",$D518="NO ENCONTRADO"),"",_xlfn.XLOOKUP($D518,Productos!$E:$E,Productos!$H:$H,""))</f>
        <v/>
      </c>
      <c r="F518" s="74">
        <f t="array" ref="F518">IF(OR($D518="",$D518="NO ENCONTRADO"),"",_xlfn.XLOOKUP($D518,Productos!$E:$E,Productos!$I:$I,""))</f>
        <v/>
      </c>
      <c r="G518" s="74">
        <f t="array" ref="G518">IF(OR($D518="",$D518="NO ENCONTRADO"),"",_xlfn.XLOOKUP($D518,Productos!$E:$E,Productos!$J:$J,""))</f>
        <v/>
      </c>
      <c r="H518" s="74">
        <f t="array" ref="H518">IF(OR($D518="",$D518="NO ENCONTRADO"),"",_xlfn.XLOOKUP($D518,Productos!$E:$E,Productos!$K:$K,""))</f>
        <v/>
      </c>
      <c r="I518" s="74">
        <f t="array" ref="I518">IF(OR($D518="",$D518="NO ENCONTRADO"),"",_xlfn.XLOOKUP($D518,Productos!$E:$E,Productos!$F:$F,""))</f>
        <v/>
      </c>
      <c r="J518" s="74">
        <f>IF($C518="","",IF($D518="NO ENCONTRADO",IF(COUNTIF($C$7:$C$1000,$C518)&gt;1,"⚠️ No encontrado | Duplicado","⚠️ No encontrado"),IF(COUNTIF($C$7:$C$1000,$C518)&gt;1,"⚠️ Duplicado","Verificado")))</f>
        <v/>
      </c>
    </row>
    <row r="519" ht="15.75" customHeight="1" s="176">
      <c r="B519" s="80" t="n"/>
      <c r="C519" s="74" t="n"/>
      <c r="D519" s="74">
        <f t="array" ref="D519">IF($C519="","",IFNA(_xlfn.XLOOKUP($C519,Productos!$A:$A,Productos!$E:$E,IFNA(_xlfn.XLOOKUP(TEXT($C519,"0"),Productos!$A:$A,Productos!$E:$E,IFNA(_xlfn.XLOOKUP(IFERROR(VALUE($C519),""),Productos!$A:$A,Productos!$E:$E,_xlfn.XLOOKUP($C519,Productos!$E:$E,Productos!$E:$E,"NO ENCONTRADO")),"NO ENCONTRADO")),"NO ENCONTRADO")),"NO ENCONTRADO"))</f>
        <v/>
      </c>
      <c r="E519" s="74">
        <f t="array" ref="E519">IF(OR($D519="",$D519="NO ENCONTRADO"),"",_xlfn.XLOOKUP($D519,Productos!$E:$E,Productos!$H:$H,""))</f>
        <v/>
      </c>
      <c r="F519" s="74">
        <f t="array" ref="F519">IF(OR($D519="",$D519="NO ENCONTRADO"),"",_xlfn.XLOOKUP($D519,Productos!$E:$E,Productos!$I:$I,""))</f>
        <v/>
      </c>
      <c r="G519" s="74">
        <f t="array" ref="G519">IF(OR($D519="",$D519="NO ENCONTRADO"),"",_xlfn.XLOOKUP($D519,Productos!$E:$E,Productos!$J:$J,""))</f>
        <v/>
      </c>
      <c r="H519" s="74">
        <f t="array" ref="H519">IF(OR($D519="",$D519="NO ENCONTRADO"),"",_xlfn.XLOOKUP($D519,Productos!$E:$E,Productos!$K:$K,""))</f>
        <v/>
      </c>
      <c r="I519" s="74">
        <f t="array" ref="I519">IF(OR($D519="",$D519="NO ENCONTRADO"),"",_xlfn.XLOOKUP($D519,Productos!$E:$E,Productos!$F:$F,""))</f>
        <v/>
      </c>
      <c r="J519" s="74">
        <f>IF($C519="","",IF($D519="NO ENCONTRADO",IF(COUNTIF($C$7:$C$1000,$C519)&gt;1,"⚠️ No encontrado | Duplicado","⚠️ No encontrado"),IF(COUNTIF($C$7:$C$1000,$C519)&gt;1,"⚠️ Duplicado","Verificado")))</f>
        <v/>
      </c>
    </row>
    <row r="520" ht="15.75" customHeight="1" s="176">
      <c r="B520" s="80" t="n"/>
      <c r="C520" s="74" t="n"/>
      <c r="D520" s="74">
        <f t="array" ref="D520">IF($C520="","",IFNA(_xlfn.XLOOKUP($C520,Productos!$A:$A,Productos!$E:$E,IFNA(_xlfn.XLOOKUP(TEXT($C520,"0"),Productos!$A:$A,Productos!$E:$E,IFNA(_xlfn.XLOOKUP(IFERROR(VALUE($C520),""),Productos!$A:$A,Productos!$E:$E,_xlfn.XLOOKUP($C520,Productos!$E:$E,Productos!$E:$E,"NO ENCONTRADO")),"NO ENCONTRADO")),"NO ENCONTRADO")),"NO ENCONTRADO"))</f>
        <v/>
      </c>
      <c r="E520" s="74">
        <f t="array" ref="E520">IF(OR($D520="",$D520="NO ENCONTRADO"),"",_xlfn.XLOOKUP($D520,Productos!$E:$E,Productos!$H:$H,""))</f>
        <v/>
      </c>
      <c r="F520" s="74">
        <f t="array" ref="F520">IF(OR($D520="",$D520="NO ENCONTRADO"),"",_xlfn.XLOOKUP($D520,Productos!$E:$E,Productos!$I:$I,""))</f>
        <v/>
      </c>
      <c r="G520" s="74">
        <f t="array" ref="G520">IF(OR($D520="",$D520="NO ENCONTRADO"),"",_xlfn.XLOOKUP($D520,Productos!$E:$E,Productos!$J:$J,""))</f>
        <v/>
      </c>
      <c r="H520" s="74">
        <f t="array" ref="H520">IF(OR($D520="",$D520="NO ENCONTRADO"),"",_xlfn.XLOOKUP($D520,Productos!$E:$E,Productos!$K:$K,""))</f>
        <v/>
      </c>
      <c r="I520" s="74">
        <f t="array" ref="I520">IF(OR($D520="",$D520="NO ENCONTRADO"),"",_xlfn.XLOOKUP($D520,Productos!$E:$E,Productos!$F:$F,""))</f>
        <v/>
      </c>
      <c r="J520" s="74">
        <f>IF($C520="","",IF($D520="NO ENCONTRADO",IF(COUNTIF($C$7:$C$1000,$C520)&gt;1,"⚠️ No encontrado | Duplicado","⚠️ No encontrado"),IF(COUNTIF($C$7:$C$1000,$C520)&gt;1,"⚠️ Duplicado","Verificado")))</f>
        <v/>
      </c>
    </row>
    <row r="521" ht="15.75" customHeight="1" s="176">
      <c r="B521" s="80" t="n"/>
      <c r="C521" s="74" t="n"/>
      <c r="D521" s="74">
        <f t="array" ref="D521">IF($C521="","",IFNA(_xlfn.XLOOKUP($C521,Productos!$A:$A,Productos!$E:$E,IFNA(_xlfn.XLOOKUP(TEXT($C521,"0"),Productos!$A:$A,Productos!$E:$E,IFNA(_xlfn.XLOOKUP(IFERROR(VALUE($C521),""),Productos!$A:$A,Productos!$E:$E,_xlfn.XLOOKUP($C521,Productos!$E:$E,Productos!$E:$E,"NO ENCONTRADO")),"NO ENCONTRADO")),"NO ENCONTRADO")),"NO ENCONTRADO"))</f>
        <v/>
      </c>
      <c r="E521" s="74">
        <f t="array" ref="E521">IF(OR($D521="",$D521="NO ENCONTRADO"),"",_xlfn.XLOOKUP($D521,Productos!$E:$E,Productos!$H:$H,""))</f>
        <v/>
      </c>
      <c r="F521" s="74">
        <f t="array" ref="F521">IF(OR($D521="",$D521="NO ENCONTRADO"),"",_xlfn.XLOOKUP($D521,Productos!$E:$E,Productos!$I:$I,""))</f>
        <v/>
      </c>
      <c r="G521" s="74">
        <f t="array" ref="G521">IF(OR($D521="",$D521="NO ENCONTRADO"),"",_xlfn.XLOOKUP($D521,Productos!$E:$E,Productos!$J:$J,""))</f>
        <v/>
      </c>
      <c r="H521" s="74">
        <f t="array" ref="H521">IF(OR($D521="",$D521="NO ENCONTRADO"),"",_xlfn.XLOOKUP($D521,Productos!$E:$E,Productos!$K:$K,""))</f>
        <v/>
      </c>
      <c r="I521" s="74">
        <f t="array" ref="I521">IF(OR($D521="",$D521="NO ENCONTRADO"),"",_xlfn.XLOOKUP($D521,Productos!$E:$E,Productos!$F:$F,""))</f>
        <v/>
      </c>
      <c r="J521" s="74">
        <f>IF($C521="","",IF($D521="NO ENCONTRADO",IF(COUNTIF($C$7:$C$1000,$C521)&gt;1,"⚠️ No encontrado | Duplicado","⚠️ No encontrado"),IF(COUNTIF($C$7:$C$1000,$C521)&gt;1,"⚠️ Duplicado","Verificado")))</f>
        <v/>
      </c>
    </row>
    <row r="522" ht="15.75" customHeight="1" s="176">
      <c r="B522" s="80" t="n"/>
      <c r="C522" s="74" t="n"/>
      <c r="D522" s="74">
        <f t="array" ref="D522">IF($C522="","",IFNA(_xlfn.XLOOKUP($C522,Productos!$A:$A,Productos!$E:$E,IFNA(_xlfn.XLOOKUP(TEXT($C522,"0"),Productos!$A:$A,Productos!$E:$E,IFNA(_xlfn.XLOOKUP(IFERROR(VALUE($C522),""),Productos!$A:$A,Productos!$E:$E,_xlfn.XLOOKUP($C522,Productos!$E:$E,Productos!$E:$E,"NO ENCONTRADO")),"NO ENCONTRADO")),"NO ENCONTRADO")),"NO ENCONTRADO"))</f>
        <v/>
      </c>
      <c r="E522" s="74">
        <f t="array" ref="E522">IF(OR($D522="",$D522="NO ENCONTRADO"),"",_xlfn.XLOOKUP($D522,Productos!$E:$E,Productos!$H:$H,""))</f>
        <v/>
      </c>
      <c r="F522" s="74">
        <f t="array" ref="F522">IF(OR($D522="",$D522="NO ENCONTRADO"),"",_xlfn.XLOOKUP($D522,Productos!$E:$E,Productos!$I:$I,""))</f>
        <v/>
      </c>
      <c r="G522" s="74">
        <f t="array" ref="G522">IF(OR($D522="",$D522="NO ENCONTRADO"),"",_xlfn.XLOOKUP($D522,Productos!$E:$E,Productos!$J:$J,""))</f>
        <v/>
      </c>
      <c r="H522" s="74">
        <f t="array" ref="H522">IF(OR($D522="",$D522="NO ENCONTRADO"),"",_xlfn.XLOOKUP($D522,Productos!$E:$E,Productos!$K:$K,""))</f>
        <v/>
      </c>
      <c r="I522" s="74">
        <f t="array" ref="I522">IF(OR($D522="",$D522="NO ENCONTRADO"),"",_xlfn.XLOOKUP($D522,Productos!$E:$E,Productos!$F:$F,""))</f>
        <v/>
      </c>
      <c r="J522" s="74">
        <f>IF($C522="","",IF($D522="NO ENCONTRADO",IF(COUNTIF($C$7:$C$1000,$C522)&gt;1,"⚠️ No encontrado | Duplicado","⚠️ No encontrado"),IF(COUNTIF($C$7:$C$1000,$C522)&gt;1,"⚠️ Duplicado","Verificado")))</f>
        <v/>
      </c>
    </row>
    <row r="523" ht="15.75" customHeight="1" s="176">
      <c r="B523" s="80" t="n"/>
      <c r="C523" s="74" t="n"/>
      <c r="D523" s="74">
        <f t="array" ref="D523">IF($C523="","",IFNA(_xlfn.XLOOKUP($C523,Productos!$A:$A,Productos!$E:$E,IFNA(_xlfn.XLOOKUP(TEXT($C523,"0"),Productos!$A:$A,Productos!$E:$E,IFNA(_xlfn.XLOOKUP(IFERROR(VALUE($C523),""),Productos!$A:$A,Productos!$E:$E,_xlfn.XLOOKUP($C523,Productos!$E:$E,Productos!$E:$E,"NO ENCONTRADO")),"NO ENCONTRADO")),"NO ENCONTRADO")),"NO ENCONTRADO"))</f>
        <v/>
      </c>
      <c r="E523" s="74">
        <f t="array" ref="E523">IF(OR($D523="",$D523="NO ENCONTRADO"),"",_xlfn.XLOOKUP($D523,Productos!$E:$E,Productos!$H:$H,""))</f>
        <v/>
      </c>
      <c r="F523" s="74">
        <f t="array" ref="F523">IF(OR($D523="",$D523="NO ENCONTRADO"),"",_xlfn.XLOOKUP($D523,Productos!$E:$E,Productos!$I:$I,""))</f>
        <v/>
      </c>
      <c r="G523" s="74">
        <f t="array" ref="G523">IF(OR($D523="",$D523="NO ENCONTRADO"),"",_xlfn.XLOOKUP($D523,Productos!$E:$E,Productos!$J:$J,""))</f>
        <v/>
      </c>
      <c r="H523" s="74">
        <f t="array" ref="H523">IF(OR($D523="",$D523="NO ENCONTRADO"),"",_xlfn.XLOOKUP($D523,Productos!$E:$E,Productos!$K:$K,""))</f>
        <v/>
      </c>
      <c r="I523" s="74">
        <f t="array" ref="I523">IF(OR($D523="",$D523="NO ENCONTRADO"),"",_xlfn.XLOOKUP($D523,Productos!$E:$E,Productos!$F:$F,""))</f>
        <v/>
      </c>
      <c r="J523" s="74">
        <f>IF($C523="","",IF($D523="NO ENCONTRADO",IF(COUNTIF($C$7:$C$1000,$C523)&gt;1,"⚠️ No encontrado | Duplicado","⚠️ No encontrado"),IF(COUNTIF($C$7:$C$1000,$C523)&gt;1,"⚠️ Duplicado","Verificado")))</f>
        <v/>
      </c>
    </row>
    <row r="524" ht="15.75" customHeight="1" s="176">
      <c r="B524" s="80" t="n"/>
      <c r="C524" s="74" t="n"/>
      <c r="D524" s="74">
        <f t="array" ref="D524">IF($C524="","",IFNA(_xlfn.XLOOKUP($C524,Productos!$A:$A,Productos!$E:$E,IFNA(_xlfn.XLOOKUP(TEXT($C524,"0"),Productos!$A:$A,Productos!$E:$E,IFNA(_xlfn.XLOOKUP(IFERROR(VALUE($C524),""),Productos!$A:$A,Productos!$E:$E,_xlfn.XLOOKUP($C524,Productos!$E:$E,Productos!$E:$E,"NO ENCONTRADO")),"NO ENCONTRADO")),"NO ENCONTRADO")),"NO ENCONTRADO"))</f>
        <v/>
      </c>
      <c r="E524" s="74">
        <f t="array" ref="E524">IF(OR($D524="",$D524="NO ENCONTRADO"),"",_xlfn.XLOOKUP($D524,Productos!$E:$E,Productos!$H:$H,""))</f>
        <v/>
      </c>
      <c r="F524" s="74">
        <f t="array" ref="F524">IF(OR($D524="",$D524="NO ENCONTRADO"),"",_xlfn.XLOOKUP($D524,Productos!$E:$E,Productos!$I:$I,""))</f>
        <v/>
      </c>
      <c r="G524" s="74">
        <f t="array" ref="G524">IF(OR($D524="",$D524="NO ENCONTRADO"),"",_xlfn.XLOOKUP($D524,Productos!$E:$E,Productos!$J:$J,""))</f>
        <v/>
      </c>
      <c r="H524" s="74">
        <f t="array" ref="H524">IF(OR($D524="",$D524="NO ENCONTRADO"),"",_xlfn.XLOOKUP($D524,Productos!$E:$E,Productos!$K:$K,""))</f>
        <v/>
      </c>
      <c r="I524" s="74">
        <f t="array" ref="I524">IF(OR($D524="",$D524="NO ENCONTRADO"),"",_xlfn.XLOOKUP($D524,Productos!$E:$E,Productos!$F:$F,""))</f>
        <v/>
      </c>
      <c r="J524" s="74">
        <f>IF($C524="","",IF($D524="NO ENCONTRADO",IF(COUNTIF($C$7:$C$1000,$C524)&gt;1,"⚠️ No encontrado | Duplicado","⚠️ No encontrado"),IF(COUNTIF($C$7:$C$1000,$C524)&gt;1,"⚠️ Duplicado","Verificado")))</f>
        <v/>
      </c>
    </row>
    <row r="525" ht="15.75" customHeight="1" s="176">
      <c r="B525" s="80" t="n"/>
      <c r="C525" s="74" t="n"/>
      <c r="D525" s="74">
        <f t="array" ref="D525">IF($C525="","",IFNA(_xlfn.XLOOKUP($C525,Productos!$A:$A,Productos!$E:$E,IFNA(_xlfn.XLOOKUP(TEXT($C525,"0"),Productos!$A:$A,Productos!$E:$E,IFNA(_xlfn.XLOOKUP(IFERROR(VALUE($C525),""),Productos!$A:$A,Productos!$E:$E,_xlfn.XLOOKUP($C525,Productos!$E:$E,Productos!$E:$E,"NO ENCONTRADO")),"NO ENCONTRADO")),"NO ENCONTRADO")),"NO ENCONTRADO"))</f>
        <v/>
      </c>
      <c r="E525" s="74">
        <f t="array" ref="E525">IF(OR($D525="",$D525="NO ENCONTRADO"),"",_xlfn.XLOOKUP($D525,Productos!$E:$E,Productos!$H:$H,""))</f>
        <v/>
      </c>
      <c r="F525" s="74">
        <f t="array" ref="F525">IF(OR($D525="",$D525="NO ENCONTRADO"),"",_xlfn.XLOOKUP($D525,Productos!$E:$E,Productos!$I:$I,""))</f>
        <v/>
      </c>
      <c r="G525" s="74">
        <f t="array" ref="G525">IF(OR($D525="",$D525="NO ENCONTRADO"),"",_xlfn.XLOOKUP($D525,Productos!$E:$E,Productos!$J:$J,""))</f>
        <v/>
      </c>
      <c r="H525" s="74">
        <f t="array" ref="H525">IF(OR($D525="",$D525="NO ENCONTRADO"),"",_xlfn.XLOOKUP($D525,Productos!$E:$E,Productos!$K:$K,""))</f>
        <v/>
      </c>
      <c r="I525" s="74">
        <f t="array" ref="I525">IF(OR($D525="",$D525="NO ENCONTRADO"),"",_xlfn.XLOOKUP($D525,Productos!$E:$E,Productos!$F:$F,""))</f>
        <v/>
      </c>
      <c r="J525" s="74">
        <f>IF($C525="","",IF($D525="NO ENCONTRADO",IF(COUNTIF($C$7:$C$1000,$C525)&gt;1,"⚠️ No encontrado | Duplicado","⚠️ No encontrado"),IF(COUNTIF($C$7:$C$1000,$C525)&gt;1,"⚠️ Duplicado","Verificado")))</f>
        <v/>
      </c>
    </row>
    <row r="526" ht="15.75" customHeight="1" s="176">
      <c r="B526" s="80" t="n"/>
      <c r="C526" s="74" t="n"/>
      <c r="D526" s="74">
        <f t="array" ref="D526">IF($C526="","",IFNA(_xlfn.XLOOKUP($C526,Productos!$A:$A,Productos!$E:$E,IFNA(_xlfn.XLOOKUP(TEXT($C526,"0"),Productos!$A:$A,Productos!$E:$E,IFNA(_xlfn.XLOOKUP(IFERROR(VALUE($C526),""),Productos!$A:$A,Productos!$E:$E,_xlfn.XLOOKUP($C526,Productos!$E:$E,Productos!$E:$E,"NO ENCONTRADO")),"NO ENCONTRADO")),"NO ENCONTRADO")),"NO ENCONTRADO"))</f>
        <v/>
      </c>
      <c r="E526" s="74">
        <f t="array" ref="E526">IF(OR($D526="",$D526="NO ENCONTRADO"),"",_xlfn.XLOOKUP($D526,Productos!$E:$E,Productos!$H:$H,""))</f>
        <v/>
      </c>
      <c r="F526" s="74">
        <f t="array" ref="F526">IF(OR($D526="",$D526="NO ENCONTRADO"),"",_xlfn.XLOOKUP($D526,Productos!$E:$E,Productos!$I:$I,""))</f>
        <v/>
      </c>
      <c r="G526" s="74">
        <f t="array" ref="G526">IF(OR($D526="",$D526="NO ENCONTRADO"),"",_xlfn.XLOOKUP($D526,Productos!$E:$E,Productos!$J:$J,""))</f>
        <v/>
      </c>
      <c r="H526" s="74">
        <f t="array" ref="H526">IF(OR($D526="",$D526="NO ENCONTRADO"),"",_xlfn.XLOOKUP($D526,Productos!$E:$E,Productos!$K:$K,""))</f>
        <v/>
      </c>
      <c r="I526" s="74">
        <f t="array" ref="I526">IF(OR($D526="",$D526="NO ENCONTRADO"),"",_xlfn.XLOOKUP($D526,Productos!$E:$E,Productos!$F:$F,""))</f>
        <v/>
      </c>
      <c r="J526" s="74">
        <f>IF($C526="","",IF($D526="NO ENCONTRADO",IF(COUNTIF($C$7:$C$1000,$C526)&gt;1,"⚠️ No encontrado | Duplicado","⚠️ No encontrado"),IF(COUNTIF($C$7:$C$1000,$C526)&gt;1,"⚠️ Duplicado","Verificado")))</f>
        <v/>
      </c>
    </row>
    <row r="527" ht="15.75" customHeight="1" s="176">
      <c r="B527" s="80" t="n"/>
      <c r="C527" s="74" t="n"/>
      <c r="D527" s="74">
        <f t="array" ref="D527">IF($C527="","",IFNA(_xlfn.XLOOKUP($C527,Productos!$A:$A,Productos!$E:$E,IFNA(_xlfn.XLOOKUP(TEXT($C527,"0"),Productos!$A:$A,Productos!$E:$E,IFNA(_xlfn.XLOOKUP(IFERROR(VALUE($C527),""),Productos!$A:$A,Productos!$E:$E,_xlfn.XLOOKUP($C527,Productos!$E:$E,Productos!$E:$E,"NO ENCONTRADO")),"NO ENCONTRADO")),"NO ENCONTRADO")),"NO ENCONTRADO"))</f>
        <v/>
      </c>
      <c r="E527" s="74">
        <f t="array" ref="E527">IF(OR($D527="",$D527="NO ENCONTRADO"),"",_xlfn.XLOOKUP($D527,Productos!$E:$E,Productos!$H:$H,""))</f>
        <v/>
      </c>
      <c r="F527" s="74">
        <f t="array" ref="F527">IF(OR($D527="",$D527="NO ENCONTRADO"),"",_xlfn.XLOOKUP($D527,Productos!$E:$E,Productos!$I:$I,""))</f>
        <v/>
      </c>
      <c r="G527" s="74">
        <f t="array" ref="G527">IF(OR($D527="",$D527="NO ENCONTRADO"),"",_xlfn.XLOOKUP($D527,Productos!$E:$E,Productos!$J:$J,""))</f>
        <v/>
      </c>
      <c r="H527" s="74">
        <f t="array" ref="H527">IF(OR($D527="",$D527="NO ENCONTRADO"),"",_xlfn.XLOOKUP($D527,Productos!$E:$E,Productos!$K:$K,""))</f>
        <v/>
      </c>
      <c r="I527" s="74">
        <f t="array" ref="I527">IF(OR($D527="",$D527="NO ENCONTRADO"),"",_xlfn.XLOOKUP($D527,Productos!$E:$E,Productos!$F:$F,""))</f>
        <v/>
      </c>
      <c r="J527" s="74">
        <f>IF($C527="","",IF($D527="NO ENCONTRADO",IF(COUNTIF($C$7:$C$1000,$C527)&gt;1,"⚠️ No encontrado | Duplicado","⚠️ No encontrado"),IF(COUNTIF($C$7:$C$1000,$C527)&gt;1,"⚠️ Duplicado","Verificado")))</f>
        <v/>
      </c>
    </row>
    <row r="528" ht="15.75" customHeight="1" s="176">
      <c r="B528" s="80" t="n"/>
      <c r="C528" s="74" t="n"/>
      <c r="D528" s="74">
        <f t="array" ref="D528">IF($C528="","",IFNA(_xlfn.XLOOKUP($C528,Productos!$A:$A,Productos!$E:$E,IFNA(_xlfn.XLOOKUP(TEXT($C528,"0"),Productos!$A:$A,Productos!$E:$E,IFNA(_xlfn.XLOOKUP(IFERROR(VALUE($C528),""),Productos!$A:$A,Productos!$E:$E,_xlfn.XLOOKUP($C528,Productos!$E:$E,Productos!$E:$E,"NO ENCONTRADO")),"NO ENCONTRADO")),"NO ENCONTRADO")),"NO ENCONTRADO"))</f>
        <v/>
      </c>
      <c r="E528" s="74">
        <f t="array" ref="E528">IF(OR($D528="",$D528="NO ENCONTRADO"),"",_xlfn.XLOOKUP($D528,Productos!$E:$E,Productos!$H:$H,""))</f>
        <v/>
      </c>
      <c r="F528" s="74">
        <f t="array" ref="F528">IF(OR($D528="",$D528="NO ENCONTRADO"),"",_xlfn.XLOOKUP($D528,Productos!$E:$E,Productos!$I:$I,""))</f>
        <v/>
      </c>
      <c r="G528" s="74">
        <f t="array" ref="G528">IF(OR($D528="",$D528="NO ENCONTRADO"),"",_xlfn.XLOOKUP($D528,Productos!$E:$E,Productos!$J:$J,""))</f>
        <v/>
      </c>
      <c r="H528" s="74">
        <f t="array" ref="H528">IF(OR($D528="",$D528="NO ENCONTRADO"),"",_xlfn.XLOOKUP($D528,Productos!$E:$E,Productos!$K:$K,""))</f>
        <v/>
      </c>
      <c r="I528" s="74">
        <f t="array" ref="I528">IF(OR($D528="",$D528="NO ENCONTRADO"),"",_xlfn.XLOOKUP($D528,Productos!$E:$E,Productos!$F:$F,""))</f>
        <v/>
      </c>
      <c r="J528" s="74">
        <f>IF($C528="","",IF($D528="NO ENCONTRADO",IF(COUNTIF($C$7:$C$1000,$C528)&gt;1,"⚠️ No encontrado | Duplicado","⚠️ No encontrado"),IF(COUNTIF($C$7:$C$1000,$C528)&gt;1,"⚠️ Duplicado","Verificado")))</f>
        <v/>
      </c>
    </row>
    <row r="529" ht="15.75" customHeight="1" s="176">
      <c r="B529" s="80" t="n"/>
      <c r="C529" s="74" t="n"/>
      <c r="D529" s="74">
        <f t="array" ref="D529">IF($C529="","",IFNA(_xlfn.XLOOKUP($C529,Productos!$A:$A,Productos!$E:$E,IFNA(_xlfn.XLOOKUP(TEXT($C529,"0"),Productos!$A:$A,Productos!$E:$E,IFNA(_xlfn.XLOOKUP(IFERROR(VALUE($C529),""),Productos!$A:$A,Productos!$E:$E,_xlfn.XLOOKUP($C529,Productos!$E:$E,Productos!$E:$E,"NO ENCONTRADO")),"NO ENCONTRADO")),"NO ENCONTRADO")),"NO ENCONTRADO"))</f>
        <v/>
      </c>
      <c r="E529" s="74">
        <f t="array" ref="E529">IF(OR($D529="",$D529="NO ENCONTRADO"),"",_xlfn.XLOOKUP($D529,Productos!$E:$E,Productos!$H:$H,""))</f>
        <v/>
      </c>
      <c r="F529" s="74">
        <f t="array" ref="F529">IF(OR($D529="",$D529="NO ENCONTRADO"),"",_xlfn.XLOOKUP($D529,Productos!$E:$E,Productos!$I:$I,""))</f>
        <v/>
      </c>
      <c r="G529" s="74">
        <f t="array" ref="G529">IF(OR($D529="",$D529="NO ENCONTRADO"),"",_xlfn.XLOOKUP($D529,Productos!$E:$E,Productos!$J:$J,""))</f>
        <v/>
      </c>
      <c r="H529" s="74">
        <f t="array" ref="H529">IF(OR($D529="",$D529="NO ENCONTRADO"),"",_xlfn.XLOOKUP($D529,Productos!$E:$E,Productos!$K:$K,""))</f>
        <v/>
      </c>
      <c r="I529" s="74">
        <f t="array" ref="I529">IF(OR($D529="",$D529="NO ENCONTRADO"),"",_xlfn.XLOOKUP($D529,Productos!$E:$E,Productos!$F:$F,""))</f>
        <v/>
      </c>
      <c r="J529" s="74">
        <f>IF($C529="","",IF($D529="NO ENCONTRADO",IF(COUNTIF($C$7:$C$1000,$C529)&gt;1,"⚠️ No encontrado | Duplicado","⚠️ No encontrado"),IF(COUNTIF($C$7:$C$1000,$C529)&gt;1,"⚠️ Duplicado","Verificado")))</f>
        <v/>
      </c>
    </row>
    <row r="530" ht="15.75" customHeight="1" s="176">
      <c r="B530" s="80" t="n"/>
      <c r="C530" s="74" t="n"/>
      <c r="D530" s="74">
        <f t="array" ref="D530">IF($C530="","",IFNA(_xlfn.XLOOKUP($C530,Productos!$A:$A,Productos!$E:$E,IFNA(_xlfn.XLOOKUP(TEXT($C530,"0"),Productos!$A:$A,Productos!$E:$E,IFNA(_xlfn.XLOOKUP(IFERROR(VALUE($C530),""),Productos!$A:$A,Productos!$E:$E,_xlfn.XLOOKUP($C530,Productos!$E:$E,Productos!$E:$E,"NO ENCONTRADO")),"NO ENCONTRADO")),"NO ENCONTRADO")),"NO ENCONTRADO"))</f>
        <v/>
      </c>
      <c r="E530" s="74">
        <f t="array" ref="E530">IF(OR($D530="",$D530="NO ENCONTRADO"),"",_xlfn.XLOOKUP($D530,Productos!$E:$E,Productos!$H:$H,""))</f>
        <v/>
      </c>
      <c r="F530" s="74">
        <f t="array" ref="F530">IF(OR($D530="",$D530="NO ENCONTRADO"),"",_xlfn.XLOOKUP($D530,Productos!$E:$E,Productos!$I:$I,""))</f>
        <v/>
      </c>
      <c r="G530" s="74">
        <f t="array" ref="G530">IF(OR($D530="",$D530="NO ENCONTRADO"),"",_xlfn.XLOOKUP($D530,Productos!$E:$E,Productos!$J:$J,""))</f>
        <v/>
      </c>
      <c r="H530" s="74">
        <f t="array" ref="H530">IF(OR($D530="",$D530="NO ENCONTRADO"),"",_xlfn.XLOOKUP($D530,Productos!$E:$E,Productos!$K:$K,""))</f>
        <v/>
      </c>
      <c r="I530" s="74">
        <f t="array" ref="I530">IF(OR($D530="",$D530="NO ENCONTRADO"),"",_xlfn.XLOOKUP($D530,Productos!$E:$E,Productos!$F:$F,""))</f>
        <v/>
      </c>
      <c r="J530" s="74">
        <f>IF($C530="","",IF($D530="NO ENCONTRADO",IF(COUNTIF($C$7:$C$1000,$C530)&gt;1,"⚠️ No encontrado | Duplicado","⚠️ No encontrado"),IF(COUNTIF($C$7:$C$1000,$C530)&gt;1,"⚠️ Duplicado","Verificado")))</f>
        <v/>
      </c>
    </row>
    <row r="531" ht="15.75" customHeight="1" s="176">
      <c r="B531" s="80" t="n"/>
      <c r="C531" s="74" t="n"/>
      <c r="D531" s="74">
        <f t="array" ref="D531">IF($C531="","",IFNA(_xlfn.XLOOKUP($C531,Productos!$A:$A,Productos!$E:$E,IFNA(_xlfn.XLOOKUP(TEXT($C531,"0"),Productos!$A:$A,Productos!$E:$E,IFNA(_xlfn.XLOOKUP(IFERROR(VALUE($C531),""),Productos!$A:$A,Productos!$E:$E,_xlfn.XLOOKUP($C531,Productos!$E:$E,Productos!$E:$E,"NO ENCONTRADO")),"NO ENCONTRADO")),"NO ENCONTRADO")),"NO ENCONTRADO"))</f>
        <v/>
      </c>
      <c r="E531" s="74">
        <f t="array" ref="E531">IF(OR($D531="",$D531="NO ENCONTRADO"),"",_xlfn.XLOOKUP($D531,Productos!$E:$E,Productos!$H:$H,""))</f>
        <v/>
      </c>
      <c r="F531" s="74">
        <f t="array" ref="F531">IF(OR($D531="",$D531="NO ENCONTRADO"),"",_xlfn.XLOOKUP($D531,Productos!$E:$E,Productos!$I:$I,""))</f>
        <v/>
      </c>
      <c r="G531" s="74">
        <f t="array" ref="G531">IF(OR($D531="",$D531="NO ENCONTRADO"),"",_xlfn.XLOOKUP($D531,Productos!$E:$E,Productos!$J:$J,""))</f>
        <v/>
      </c>
      <c r="H531" s="74">
        <f t="array" ref="H531">IF(OR($D531="",$D531="NO ENCONTRADO"),"",_xlfn.XLOOKUP($D531,Productos!$E:$E,Productos!$K:$K,""))</f>
        <v/>
      </c>
      <c r="I531" s="74">
        <f t="array" ref="I531">IF(OR($D531="",$D531="NO ENCONTRADO"),"",_xlfn.XLOOKUP($D531,Productos!$E:$E,Productos!$F:$F,""))</f>
        <v/>
      </c>
      <c r="J531" s="74">
        <f>IF($C531="","",IF($D531="NO ENCONTRADO",IF(COUNTIF($C$7:$C$1000,$C531)&gt;1,"⚠️ No encontrado | Duplicado","⚠️ No encontrado"),IF(COUNTIF($C$7:$C$1000,$C531)&gt;1,"⚠️ Duplicado","Verificado")))</f>
        <v/>
      </c>
    </row>
    <row r="532" ht="15.75" customHeight="1" s="176">
      <c r="B532" s="80" t="n"/>
      <c r="C532" s="74" t="n"/>
      <c r="D532" s="74">
        <f t="array" ref="D532">IF($C532="","",IFNA(_xlfn.XLOOKUP($C532,Productos!$A:$A,Productos!$E:$E,IFNA(_xlfn.XLOOKUP(TEXT($C532,"0"),Productos!$A:$A,Productos!$E:$E,IFNA(_xlfn.XLOOKUP(IFERROR(VALUE($C532),""),Productos!$A:$A,Productos!$E:$E,_xlfn.XLOOKUP($C532,Productos!$E:$E,Productos!$E:$E,"NO ENCONTRADO")),"NO ENCONTRADO")),"NO ENCONTRADO")),"NO ENCONTRADO"))</f>
        <v/>
      </c>
      <c r="E532" s="74">
        <f t="array" ref="E532">IF(OR($D532="",$D532="NO ENCONTRADO"),"",_xlfn.XLOOKUP($D532,Productos!$E:$E,Productos!$H:$H,""))</f>
        <v/>
      </c>
      <c r="F532" s="74">
        <f t="array" ref="F532">IF(OR($D532="",$D532="NO ENCONTRADO"),"",_xlfn.XLOOKUP($D532,Productos!$E:$E,Productos!$I:$I,""))</f>
        <v/>
      </c>
      <c r="G532" s="74">
        <f t="array" ref="G532">IF(OR($D532="",$D532="NO ENCONTRADO"),"",_xlfn.XLOOKUP($D532,Productos!$E:$E,Productos!$J:$J,""))</f>
        <v/>
      </c>
      <c r="H532" s="74">
        <f t="array" ref="H532">IF(OR($D532="",$D532="NO ENCONTRADO"),"",_xlfn.XLOOKUP($D532,Productos!$E:$E,Productos!$K:$K,""))</f>
        <v/>
      </c>
      <c r="I532" s="74">
        <f t="array" ref="I532">IF(OR($D532="",$D532="NO ENCONTRADO"),"",_xlfn.XLOOKUP($D532,Productos!$E:$E,Productos!$F:$F,""))</f>
        <v/>
      </c>
      <c r="J532" s="74">
        <f>IF($C532="","",IF($D532="NO ENCONTRADO",IF(COUNTIF($C$7:$C$1000,$C532)&gt;1,"⚠️ No encontrado | Duplicado","⚠️ No encontrado"),IF(COUNTIF($C$7:$C$1000,$C532)&gt;1,"⚠️ Duplicado","Verificado")))</f>
        <v/>
      </c>
    </row>
    <row r="533" ht="15.75" customHeight="1" s="176">
      <c r="B533" s="80" t="n"/>
      <c r="C533" s="74" t="n"/>
      <c r="D533" s="74">
        <f t="array" ref="D533">IF($C533="","",IFNA(_xlfn.XLOOKUP($C533,Productos!$A:$A,Productos!$E:$E,IFNA(_xlfn.XLOOKUP(TEXT($C533,"0"),Productos!$A:$A,Productos!$E:$E,IFNA(_xlfn.XLOOKUP(IFERROR(VALUE($C533),""),Productos!$A:$A,Productos!$E:$E,_xlfn.XLOOKUP($C533,Productos!$E:$E,Productos!$E:$E,"NO ENCONTRADO")),"NO ENCONTRADO")),"NO ENCONTRADO")),"NO ENCONTRADO"))</f>
        <v/>
      </c>
      <c r="E533" s="74">
        <f t="array" ref="E533">IF(OR($D533="",$D533="NO ENCONTRADO"),"",_xlfn.XLOOKUP($D533,Productos!$E:$E,Productos!$H:$H,""))</f>
        <v/>
      </c>
      <c r="F533" s="74">
        <f t="array" ref="F533">IF(OR($D533="",$D533="NO ENCONTRADO"),"",_xlfn.XLOOKUP($D533,Productos!$E:$E,Productos!$I:$I,""))</f>
        <v/>
      </c>
      <c r="G533" s="74">
        <f t="array" ref="G533">IF(OR($D533="",$D533="NO ENCONTRADO"),"",_xlfn.XLOOKUP($D533,Productos!$E:$E,Productos!$J:$J,""))</f>
        <v/>
      </c>
      <c r="H533" s="74">
        <f t="array" ref="H533">IF(OR($D533="",$D533="NO ENCONTRADO"),"",_xlfn.XLOOKUP($D533,Productos!$E:$E,Productos!$K:$K,""))</f>
        <v/>
      </c>
      <c r="I533" s="74">
        <f t="array" ref="I533">IF(OR($D533="",$D533="NO ENCONTRADO"),"",_xlfn.XLOOKUP($D533,Productos!$E:$E,Productos!$F:$F,""))</f>
        <v/>
      </c>
      <c r="J533" s="74">
        <f>IF($C533="","",IF($D533="NO ENCONTRADO",IF(COUNTIF($C$7:$C$1000,$C533)&gt;1,"⚠️ No encontrado | Duplicado","⚠️ No encontrado"),IF(COUNTIF($C$7:$C$1000,$C533)&gt;1,"⚠️ Duplicado","Verificado")))</f>
        <v/>
      </c>
    </row>
    <row r="534" ht="15.75" customHeight="1" s="176">
      <c r="B534" s="80" t="n"/>
      <c r="C534" s="74" t="n"/>
      <c r="D534" s="74">
        <f t="array" ref="D534">IF($C534="","",IFNA(_xlfn.XLOOKUP($C534,Productos!$A:$A,Productos!$E:$E,IFNA(_xlfn.XLOOKUP(TEXT($C534,"0"),Productos!$A:$A,Productos!$E:$E,IFNA(_xlfn.XLOOKUP(IFERROR(VALUE($C534),""),Productos!$A:$A,Productos!$E:$E,_xlfn.XLOOKUP($C534,Productos!$E:$E,Productos!$E:$E,"NO ENCONTRADO")),"NO ENCONTRADO")),"NO ENCONTRADO")),"NO ENCONTRADO"))</f>
        <v/>
      </c>
      <c r="E534" s="74">
        <f t="array" ref="E534">IF(OR($D534="",$D534="NO ENCONTRADO"),"",_xlfn.XLOOKUP($D534,Productos!$E:$E,Productos!$H:$H,""))</f>
        <v/>
      </c>
      <c r="F534" s="74">
        <f t="array" ref="F534">IF(OR($D534="",$D534="NO ENCONTRADO"),"",_xlfn.XLOOKUP($D534,Productos!$E:$E,Productos!$I:$I,""))</f>
        <v/>
      </c>
      <c r="G534" s="74">
        <f t="array" ref="G534">IF(OR($D534="",$D534="NO ENCONTRADO"),"",_xlfn.XLOOKUP($D534,Productos!$E:$E,Productos!$J:$J,""))</f>
        <v/>
      </c>
      <c r="H534" s="74">
        <f t="array" ref="H534">IF(OR($D534="",$D534="NO ENCONTRADO"),"",_xlfn.XLOOKUP($D534,Productos!$E:$E,Productos!$K:$K,""))</f>
        <v/>
      </c>
      <c r="I534" s="74">
        <f t="array" ref="I534">IF(OR($D534="",$D534="NO ENCONTRADO"),"",_xlfn.XLOOKUP($D534,Productos!$E:$E,Productos!$F:$F,""))</f>
        <v/>
      </c>
      <c r="J534" s="74">
        <f>IF($C534="","",IF($D534="NO ENCONTRADO",IF(COUNTIF($C$7:$C$1000,$C534)&gt;1,"⚠️ No encontrado | Duplicado","⚠️ No encontrado"),IF(COUNTIF($C$7:$C$1000,$C534)&gt;1,"⚠️ Duplicado","Verificado")))</f>
        <v/>
      </c>
    </row>
    <row r="535" ht="15.75" customHeight="1" s="176">
      <c r="B535" s="80" t="n"/>
      <c r="C535" s="74" t="n"/>
      <c r="D535" s="74">
        <f t="array" ref="D535">IF($C535="","",IFNA(_xlfn.XLOOKUP($C535,Productos!$A:$A,Productos!$E:$E,IFNA(_xlfn.XLOOKUP(TEXT($C535,"0"),Productos!$A:$A,Productos!$E:$E,IFNA(_xlfn.XLOOKUP(IFERROR(VALUE($C535),""),Productos!$A:$A,Productos!$E:$E,_xlfn.XLOOKUP($C535,Productos!$E:$E,Productos!$E:$E,"NO ENCONTRADO")),"NO ENCONTRADO")),"NO ENCONTRADO")),"NO ENCONTRADO"))</f>
        <v/>
      </c>
      <c r="E535" s="74">
        <f t="array" ref="E535">IF(OR($D535="",$D535="NO ENCONTRADO"),"",_xlfn.XLOOKUP($D535,Productos!$E:$E,Productos!$H:$H,""))</f>
        <v/>
      </c>
      <c r="F535" s="74">
        <f t="array" ref="F535">IF(OR($D535="",$D535="NO ENCONTRADO"),"",_xlfn.XLOOKUP($D535,Productos!$E:$E,Productos!$I:$I,""))</f>
        <v/>
      </c>
      <c r="G535" s="74">
        <f t="array" ref="G535">IF(OR($D535="",$D535="NO ENCONTRADO"),"",_xlfn.XLOOKUP($D535,Productos!$E:$E,Productos!$J:$J,""))</f>
        <v/>
      </c>
      <c r="H535" s="74">
        <f t="array" ref="H535">IF(OR($D535="",$D535="NO ENCONTRADO"),"",_xlfn.XLOOKUP($D535,Productos!$E:$E,Productos!$K:$K,""))</f>
        <v/>
      </c>
      <c r="I535" s="74">
        <f t="array" ref="I535">IF(OR($D535="",$D535="NO ENCONTRADO"),"",_xlfn.XLOOKUP($D535,Productos!$E:$E,Productos!$F:$F,""))</f>
        <v/>
      </c>
      <c r="J535" s="74">
        <f>IF($C535="","",IF($D535="NO ENCONTRADO",IF(COUNTIF($C$7:$C$1000,$C535)&gt;1,"⚠️ No encontrado | Duplicado","⚠️ No encontrado"),IF(COUNTIF($C$7:$C$1000,$C535)&gt;1,"⚠️ Duplicado","Verificado")))</f>
        <v/>
      </c>
    </row>
    <row r="536" ht="15.75" customHeight="1" s="176">
      <c r="B536" s="80" t="n"/>
      <c r="C536" s="74" t="n"/>
      <c r="D536" s="74">
        <f t="array" ref="D536">IF($C536="","",IFNA(_xlfn.XLOOKUP($C536,Productos!$A:$A,Productos!$E:$E,IFNA(_xlfn.XLOOKUP(TEXT($C536,"0"),Productos!$A:$A,Productos!$E:$E,IFNA(_xlfn.XLOOKUP(IFERROR(VALUE($C536),""),Productos!$A:$A,Productos!$E:$E,_xlfn.XLOOKUP($C536,Productos!$E:$E,Productos!$E:$E,"NO ENCONTRADO")),"NO ENCONTRADO")),"NO ENCONTRADO")),"NO ENCONTRADO"))</f>
        <v/>
      </c>
      <c r="E536" s="74">
        <f t="array" ref="E536">IF(OR($D536="",$D536="NO ENCONTRADO"),"",_xlfn.XLOOKUP($D536,Productos!$E:$E,Productos!$H:$H,""))</f>
        <v/>
      </c>
      <c r="F536" s="74">
        <f t="array" ref="F536">IF(OR($D536="",$D536="NO ENCONTRADO"),"",_xlfn.XLOOKUP($D536,Productos!$E:$E,Productos!$I:$I,""))</f>
        <v/>
      </c>
      <c r="G536" s="74">
        <f t="array" ref="G536">IF(OR($D536="",$D536="NO ENCONTRADO"),"",_xlfn.XLOOKUP($D536,Productos!$E:$E,Productos!$J:$J,""))</f>
        <v/>
      </c>
      <c r="H536" s="74">
        <f t="array" ref="H536">IF(OR($D536="",$D536="NO ENCONTRADO"),"",_xlfn.XLOOKUP($D536,Productos!$E:$E,Productos!$K:$K,""))</f>
        <v/>
      </c>
      <c r="I536" s="74">
        <f t="array" ref="I536">IF(OR($D536="",$D536="NO ENCONTRADO"),"",_xlfn.XLOOKUP($D536,Productos!$E:$E,Productos!$F:$F,""))</f>
        <v/>
      </c>
      <c r="J536" s="74">
        <f>IF($C536="","",IF($D536="NO ENCONTRADO",IF(COUNTIF($C$7:$C$1000,$C536)&gt;1,"⚠️ No encontrado | Duplicado","⚠️ No encontrado"),IF(COUNTIF($C$7:$C$1000,$C536)&gt;1,"⚠️ Duplicado","Verificado")))</f>
        <v/>
      </c>
    </row>
    <row r="537" ht="15.75" customHeight="1" s="176">
      <c r="B537" s="80" t="n"/>
      <c r="C537" s="74" t="n"/>
      <c r="D537" s="74">
        <f t="array" ref="D537">IF($C537="","",IFNA(_xlfn.XLOOKUP($C537,Productos!$A:$A,Productos!$E:$E,IFNA(_xlfn.XLOOKUP(TEXT($C537,"0"),Productos!$A:$A,Productos!$E:$E,IFNA(_xlfn.XLOOKUP(IFERROR(VALUE($C537),""),Productos!$A:$A,Productos!$E:$E,_xlfn.XLOOKUP($C537,Productos!$E:$E,Productos!$E:$E,"NO ENCONTRADO")),"NO ENCONTRADO")),"NO ENCONTRADO")),"NO ENCONTRADO"))</f>
        <v/>
      </c>
      <c r="E537" s="74">
        <f t="array" ref="E537">IF(OR($D537="",$D537="NO ENCONTRADO"),"",_xlfn.XLOOKUP($D537,Productos!$E:$E,Productos!$H:$H,""))</f>
        <v/>
      </c>
      <c r="F537" s="74">
        <f t="array" ref="F537">IF(OR($D537="",$D537="NO ENCONTRADO"),"",_xlfn.XLOOKUP($D537,Productos!$E:$E,Productos!$I:$I,""))</f>
        <v/>
      </c>
      <c r="G537" s="74">
        <f t="array" ref="G537">IF(OR($D537="",$D537="NO ENCONTRADO"),"",_xlfn.XLOOKUP($D537,Productos!$E:$E,Productos!$J:$J,""))</f>
        <v/>
      </c>
      <c r="H537" s="74">
        <f t="array" ref="H537">IF(OR($D537="",$D537="NO ENCONTRADO"),"",_xlfn.XLOOKUP($D537,Productos!$E:$E,Productos!$K:$K,""))</f>
        <v/>
      </c>
      <c r="I537" s="74">
        <f t="array" ref="I537">IF(OR($D537="",$D537="NO ENCONTRADO"),"",_xlfn.XLOOKUP($D537,Productos!$E:$E,Productos!$F:$F,""))</f>
        <v/>
      </c>
      <c r="J537" s="74">
        <f>IF($C537="","",IF($D537="NO ENCONTRADO",IF(COUNTIF($C$7:$C$1000,$C537)&gt;1,"⚠️ No encontrado | Duplicado","⚠️ No encontrado"),IF(COUNTIF($C$7:$C$1000,$C537)&gt;1,"⚠️ Duplicado","Verificado")))</f>
        <v/>
      </c>
    </row>
    <row r="538" ht="15.75" customHeight="1" s="176">
      <c r="B538" s="80" t="n"/>
      <c r="C538" s="74" t="n"/>
      <c r="D538" s="74">
        <f t="array" ref="D538">IF($C538="","",IFNA(_xlfn.XLOOKUP($C538,Productos!$A:$A,Productos!$E:$E,IFNA(_xlfn.XLOOKUP(TEXT($C538,"0"),Productos!$A:$A,Productos!$E:$E,IFNA(_xlfn.XLOOKUP(IFERROR(VALUE($C538),""),Productos!$A:$A,Productos!$E:$E,_xlfn.XLOOKUP($C538,Productos!$E:$E,Productos!$E:$E,"NO ENCONTRADO")),"NO ENCONTRADO")),"NO ENCONTRADO")),"NO ENCONTRADO"))</f>
        <v/>
      </c>
      <c r="E538" s="74">
        <f t="array" ref="E538">IF(OR($D538="",$D538="NO ENCONTRADO"),"",_xlfn.XLOOKUP($D538,Productos!$E:$E,Productos!$H:$H,""))</f>
        <v/>
      </c>
      <c r="F538" s="74">
        <f t="array" ref="F538">IF(OR($D538="",$D538="NO ENCONTRADO"),"",_xlfn.XLOOKUP($D538,Productos!$E:$E,Productos!$I:$I,""))</f>
        <v/>
      </c>
      <c r="G538" s="74">
        <f t="array" ref="G538">IF(OR($D538="",$D538="NO ENCONTRADO"),"",_xlfn.XLOOKUP($D538,Productos!$E:$E,Productos!$J:$J,""))</f>
        <v/>
      </c>
      <c r="H538" s="74">
        <f t="array" ref="H538">IF(OR($D538="",$D538="NO ENCONTRADO"),"",_xlfn.XLOOKUP($D538,Productos!$E:$E,Productos!$K:$K,""))</f>
        <v/>
      </c>
      <c r="I538" s="74">
        <f t="array" ref="I538">IF(OR($D538="",$D538="NO ENCONTRADO"),"",_xlfn.XLOOKUP($D538,Productos!$E:$E,Productos!$F:$F,""))</f>
        <v/>
      </c>
      <c r="J538" s="74">
        <f>IF($C538="","",IF($D538="NO ENCONTRADO",IF(COUNTIF($C$7:$C$1000,$C538)&gt;1,"⚠️ No encontrado | Duplicado","⚠️ No encontrado"),IF(COUNTIF($C$7:$C$1000,$C538)&gt;1,"⚠️ Duplicado","Verificado")))</f>
        <v/>
      </c>
    </row>
    <row r="539" ht="15.75" customHeight="1" s="176">
      <c r="B539" s="80" t="n"/>
      <c r="C539" s="74" t="n"/>
      <c r="D539" s="74">
        <f t="array" ref="D539">IF($C539="","",IFNA(_xlfn.XLOOKUP($C539,Productos!$A:$A,Productos!$E:$E,IFNA(_xlfn.XLOOKUP(TEXT($C539,"0"),Productos!$A:$A,Productos!$E:$E,IFNA(_xlfn.XLOOKUP(IFERROR(VALUE($C539),""),Productos!$A:$A,Productos!$E:$E,_xlfn.XLOOKUP($C539,Productos!$E:$E,Productos!$E:$E,"NO ENCONTRADO")),"NO ENCONTRADO")),"NO ENCONTRADO")),"NO ENCONTRADO"))</f>
        <v/>
      </c>
      <c r="E539" s="74">
        <f t="array" ref="E539">IF(OR($D539="",$D539="NO ENCONTRADO"),"",_xlfn.XLOOKUP($D539,Productos!$E:$E,Productos!$H:$H,""))</f>
        <v/>
      </c>
      <c r="F539" s="74">
        <f t="array" ref="F539">IF(OR($D539="",$D539="NO ENCONTRADO"),"",_xlfn.XLOOKUP($D539,Productos!$E:$E,Productos!$I:$I,""))</f>
        <v/>
      </c>
      <c r="G539" s="74">
        <f t="array" ref="G539">IF(OR($D539="",$D539="NO ENCONTRADO"),"",_xlfn.XLOOKUP($D539,Productos!$E:$E,Productos!$J:$J,""))</f>
        <v/>
      </c>
      <c r="H539" s="74">
        <f t="array" ref="H539">IF(OR($D539="",$D539="NO ENCONTRADO"),"",_xlfn.XLOOKUP($D539,Productos!$E:$E,Productos!$K:$K,""))</f>
        <v/>
      </c>
      <c r="I539" s="74">
        <f t="array" ref="I539">IF(OR($D539="",$D539="NO ENCONTRADO"),"",_xlfn.XLOOKUP($D539,Productos!$E:$E,Productos!$F:$F,""))</f>
        <v/>
      </c>
      <c r="J539" s="74">
        <f>IF($C539="","",IF($D539="NO ENCONTRADO",IF(COUNTIF($C$7:$C$1000,$C539)&gt;1,"⚠️ No encontrado | Duplicado","⚠️ No encontrado"),IF(COUNTIF($C$7:$C$1000,$C539)&gt;1,"⚠️ Duplicado","Verificado")))</f>
        <v/>
      </c>
    </row>
    <row r="540" ht="15.75" customHeight="1" s="176">
      <c r="B540" s="80" t="n"/>
      <c r="C540" s="74" t="n"/>
      <c r="D540" s="74">
        <f t="array" ref="D540">IF($C540="","",IFNA(_xlfn.XLOOKUP($C540,Productos!$A:$A,Productos!$E:$E,IFNA(_xlfn.XLOOKUP(TEXT($C540,"0"),Productos!$A:$A,Productos!$E:$E,IFNA(_xlfn.XLOOKUP(IFERROR(VALUE($C540),""),Productos!$A:$A,Productos!$E:$E,_xlfn.XLOOKUP($C540,Productos!$E:$E,Productos!$E:$E,"NO ENCONTRADO")),"NO ENCONTRADO")),"NO ENCONTRADO")),"NO ENCONTRADO"))</f>
        <v/>
      </c>
      <c r="E540" s="74">
        <f t="array" ref="E540">IF(OR($D540="",$D540="NO ENCONTRADO"),"",_xlfn.XLOOKUP($D540,Productos!$E:$E,Productos!$H:$H,""))</f>
        <v/>
      </c>
      <c r="F540" s="74">
        <f t="array" ref="F540">IF(OR($D540="",$D540="NO ENCONTRADO"),"",_xlfn.XLOOKUP($D540,Productos!$E:$E,Productos!$I:$I,""))</f>
        <v/>
      </c>
      <c r="G540" s="74">
        <f t="array" ref="G540">IF(OR($D540="",$D540="NO ENCONTRADO"),"",_xlfn.XLOOKUP($D540,Productos!$E:$E,Productos!$J:$J,""))</f>
        <v/>
      </c>
      <c r="H540" s="74">
        <f t="array" ref="H540">IF(OR($D540="",$D540="NO ENCONTRADO"),"",_xlfn.XLOOKUP($D540,Productos!$E:$E,Productos!$K:$K,""))</f>
        <v/>
      </c>
      <c r="I540" s="74">
        <f t="array" ref="I540">IF(OR($D540="",$D540="NO ENCONTRADO"),"",_xlfn.XLOOKUP($D540,Productos!$E:$E,Productos!$F:$F,""))</f>
        <v/>
      </c>
      <c r="J540" s="74">
        <f>IF($C540="","",IF($D540="NO ENCONTRADO",IF(COUNTIF($C$7:$C$1000,$C540)&gt;1,"⚠️ No encontrado | Duplicado","⚠️ No encontrado"),IF(COUNTIF($C$7:$C$1000,$C540)&gt;1,"⚠️ Duplicado","Verificado")))</f>
        <v/>
      </c>
    </row>
    <row r="541" ht="15.75" customHeight="1" s="176">
      <c r="B541" s="80" t="n"/>
      <c r="C541" s="74" t="n"/>
      <c r="D541" s="74">
        <f t="array" ref="D541">IF($C541="","",IFNA(_xlfn.XLOOKUP($C541,Productos!$A:$A,Productos!$E:$E,IFNA(_xlfn.XLOOKUP(TEXT($C541,"0"),Productos!$A:$A,Productos!$E:$E,IFNA(_xlfn.XLOOKUP(IFERROR(VALUE($C541),""),Productos!$A:$A,Productos!$E:$E,_xlfn.XLOOKUP($C541,Productos!$E:$E,Productos!$E:$E,"NO ENCONTRADO")),"NO ENCONTRADO")),"NO ENCONTRADO")),"NO ENCONTRADO"))</f>
        <v/>
      </c>
      <c r="E541" s="74">
        <f t="array" ref="E541">IF(OR($D541="",$D541="NO ENCONTRADO"),"",_xlfn.XLOOKUP($D541,Productos!$E:$E,Productos!$H:$H,""))</f>
        <v/>
      </c>
      <c r="F541" s="74">
        <f t="array" ref="F541">IF(OR($D541="",$D541="NO ENCONTRADO"),"",_xlfn.XLOOKUP($D541,Productos!$E:$E,Productos!$I:$I,""))</f>
        <v/>
      </c>
      <c r="G541" s="74">
        <f t="array" ref="G541">IF(OR($D541="",$D541="NO ENCONTRADO"),"",_xlfn.XLOOKUP($D541,Productos!$E:$E,Productos!$J:$J,""))</f>
        <v/>
      </c>
      <c r="H541" s="74">
        <f t="array" ref="H541">IF(OR($D541="",$D541="NO ENCONTRADO"),"",_xlfn.XLOOKUP($D541,Productos!$E:$E,Productos!$K:$K,""))</f>
        <v/>
      </c>
      <c r="I541" s="74">
        <f t="array" ref="I541">IF(OR($D541="",$D541="NO ENCONTRADO"),"",_xlfn.XLOOKUP($D541,Productos!$E:$E,Productos!$F:$F,""))</f>
        <v/>
      </c>
      <c r="J541" s="74">
        <f>IF($C541="","",IF($D541="NO ENCONTRADO",IF(COUNTIF($C$7:$C$1000,$C541)&gt;1,"⚠️ No encontrado | Duplicado","⚠️ No encontrado"),IF(COUNTIF($C$7:$C$1000,$C541)&gt;1,"⚠️ Duplicado","Verificado")))</f>
        <v/>
      </c>
    </row>
    <row r="542" ht="15.75" customHeight="1" s="176">
      <c r="B542" s="80" t="n"/>
      <c r="C542" s="74" t="n"/>
      <c r="D542" s="74">
        <f t="array" ref="D542">IF($C542="","",IFNA(_xlfn.XLOOKUP($C542,Productos!$A:$A,Productos!$E:$E,IFNA(_xlfn.XLOOKUP(TEXT($C542,"0"),Productos!$A:$A,Productos!$E:$E,IFNA(_xlfn.XLOOKUP(IFERROR(VALUE($C542),""),Productos!$A:$A,Productos!$E:$E,_xlfn.XLOOKUP($C542,Productos!$E:$E,Productos!$E:$E,"NO ENCONTRADO")),"NO ENCONTRADO")),"NO ENCONTRADO")),"NO ENCONTRADO"))</f>
        <v/>
      </c>
      <c r="E542" s="74">
        <f t="array" ref="E542">IF(OR($D542="",$D542="NO ENCONTRADO"),"",_xlfn.XLOOKUP($D542,Productos!$E:$E,Productos!$H:$H,""))</f>
        <v/>
      </c>
      <c r="F542" s="74">
        <f t="array" ref="F542">IF(OR($D542="",$D542="NO ENCONTRADO"),"",_xlfn.XLOOKUP($D542,Productos!$E:$E,Productos!$I:$I,""))</f>
        <v/>
      </c>
      <c r="G542" s="74">
        <f t="array" ref="G542">IF(OR($D542="",$D542="NO ENCONTRADO"),"",_xlfn.XLOOKUP($D542,Productos!$E:$E,Productos!$J:$J,""))</f>
        <v/>
      </c>
      <c r="H542" s="74">
        <f t="array" ref="H542">IF(OR($D542="",$D542="NO ENCONTRADO"),"",_xlfn.XLOOKUP($D542,Productos!$E:$E,Productos!$K:$K,""))</f>
        <v/>
      </c>
      <c r="I542" s="74">
        <f t="array" ref="I542">IF(OR($D542="",$D542="NO ENCONTRADO"),"",_xlfn.XLOOKUP($D542,Productos!$E:$E,Productos!$F:$F,""))</f>
        <v/>
      </c>
      <c r="J542" s="74">
        <f>IF($C542="","",IF($D542="NO ENCONTRADO",IF(COUNTIF($C$7:$C$1000,$C542)&gt;1,"⚠️ No encontrado | Duplicado","⚠️ No encontrado"),IF(COUNTIF($C$7:$C$1000,$C542)&gt;1,"⚠️ Duplicado","Verificado")))</f>
        <v/>
      </c>
    </row>
    <row r="543" ht="15.75" customHeight="1" s="176">
      <c r="B543" s="80" t="n"/>
      <c r="C543" s="74" t="n"/>
      <c r="D543" s="74">
        <f t="array" ref="D543">IF($C543="","",IFNA(_xlfn.XLOOKUP($C543,Productos!$A:$A,Productos!$E:$E,IFNA(_xlfn.XLOOKUP(TEXT($C543,"0"),Productos!$A:$A,Productos!$E:$E,IFNA(_xlfn.XLOOKUP(IFERROR(VALUE($C543),""),Productos!$A:$A,Productos!$E:$E,_xlfn.XLOOKUP($C543,Productos!$E:$E,Productos!$E:$E,"NO ENCONTRADO")),"NO ENCONTRADO")),"NO ENCONTRADO")),"NO ENCONTRADO"))</f>
        <v/>
      </c>
      <c r="E543" s="74">
        <f t="array" ref="E543">IF(OR($D543="",$D543="NO ENCONTRADO"),"",_xlfn.XLOOKUP($D543,Productos!$E:$E,Productos!$H:$H,""))</f>
        <v/>
      </c>
      <c r="F543" s="74">
        <f t="array" ref="F543">IF(OR($D543="",$D543="NO ENCONTRADO"),"",_xlfn.XLOOKUP($D543,Productos!$E:$E,Productos!$I:$I,""))</f>
        <v/>
      </c>
      <c r="G543" s="74">
        <f t="array" ref="G543">IF(OR($D543="",$D543="NO ENCONTRADO"),"",_xlfn.XLOOKUP($D543,Productos!$E:$E,Productos!$J:$J,""))</f>
        <v/>
      </c>
      <c r="H543" s="74">
        <f t="array" ref="H543">IF(OR($D543="",$D543="NO ENCONTRADO"),"",_xlfn.XLOOKUP($D543,Productos!$E:$E,Productos!$K:$K,""))</f>
        <v/>
      </c>
      <c r="I543" s="74">
        <f t="array" ref="I543">IF(OR($D543="",$D543="NO ENCONTRADO"),"",_xlfn.XLOOKUP($D543,Productos!$E:$E,Productos!$F:$F,""))</f>
        <v/>
      </c>
      <c r="J543" s="74">
        <f>IF($C543="","",IF($D543="NO ENCONTRADO",IF(COUNTIF($C$7:$C$1000,$C543)&gt;1,"⚠️ No encontrado | Duplicado","⚠️ No encontrado"),IF(COUNTIF($C$7:$C$1000,$C543)&gt;1,"⚠️ Duplicado","Verificado")))</f>
        <v/>
      </c>
    </row>
    <row r="544" ht="15.75" customHeight="1" s="176">
      <c r="B544" s="80" t="n"/>
      <c r="C544" s="74" t="n"/>
      <c r="D544" s="74">
        <f t="array" ref="D544">IF($C544="","",IFNA(_xlfn.XLOOKUP($C544,Productos!$A:$A,Productos!$E:$E,IFNA(_xlfn.XLOOKUP(TEXT($C544,"0"),Productos!$A:$A,Productos!$E:$E,IFNA(_xlfn.XLOOKUP(IFERROR(VALUE($C544),""),Productos!$A:$A,Productos!$E:$E,_xlfn.XLOOKUP($C544,Productos!$E:$E,Productos!$E:$E,"NO ENCONTRADO")),"NO ENCONTRADO")),"NO ENCONTRADO")),"NO ENCONTRADO"))</f>
        <v/>
      </c>
      <c r="E544" s="74">
        <f t="array" ref="E544">IF(OR($D544="",$D544="NO ENCONTRADO"),"",_xlfn.XLOOKUP($D544,Productos!$E:$E,Productos!$H:$H,""))</f>
        <v/>
      </c>
      <c r="F544" s="74">
        <f t="array" ref="F544">IF(OR($D544="",$D544="NO ENCONTRADO"),"",_xlfn.XLOOKUP($D544,Productos!$E:$E,Productos!$I:$I,""))</f>
        <v/>
      </c>
      <c r="G544" s="74">
        <f t="array" ref="G544">IF(OR($D544="",$D544="NO ENCONTRADO"),"",_xlfn.XLOOKUP($D544,Productos!$E:$E,Productos!$J:$J,""))</f>
        <v/>
      </c>
      <c r="H544" s="74">
        <f t="array" ref="H544">IF(OR($D544="",$D544="NO ENCONTRADO"),"",_xlfn.XLOOKUP($D544,Productos!$E:$E,Productos!$K:$K,""))</f>
        <v/>
      </c>
      <c r="I544" s="74">
        <f t="array" ref="I544">IF(OR($D544="",$D544="NO ENCONTRADO"),"",_xlfn.XLOOKUP($D544,Productos!$E:$E,Productos!$F:$F,""))</f>
        <v/>
      </c>
      <c r="J544" s="74">
        <f>IF($C544="","",IF($D544="NO ENCONTRADO",IF(COUNTIF($C$7:$C$1000,$C544)&gt;1,"⚠️ No encontrado | Duplicado","⚠️ No encontrado"),IF(COUNTIF($C$7:$C$1000,$C544)&gt;1,"⚠️ Duplicado","Verificado")))</f>
        <v/>
      </c>
    </row>
    <row r="545" ht="15.75" customHeight="1" s="176">
      <c r="B545" s="80" t="n"/>
      <c r="C545" s="74" t="n"/>
      <c r="D545" s="74">
        <f t="array" ref="D545">IF($C545="","",IFNA(_xlfn.XLOOKUP($C545,Productos!$A:$A,Productos!$E:$E,IFNA(_xlfn.XLOOKUP(TEXT($C545,"0"),Productos!$A:$A,Productos!$E:$E,IFNA(_xlfn.XLOOKUP(IFERROR(VALUE($C545),""),Productos!$A:$A,Productos!$E:$E,_xlfn.XLOOKUP($C545,Productos!$E:$E,Productos!$E:$E,"NO ENCONTRADO")),"NO ENCONTRADO")),"NO ENCONTRADO")),"NO ENCONTRADO"))</f>
        <v/>
      </c>
      <c r="E545" s="74">
        <f t="array" ref="E545">IF(OR($D545="",$D545="NO ENCONTRADO"),"",_xlfn.XLOOKUP($D545,Productos!$E:$E,Productos!$H:$H,""))</f>
        <v/>
      </c>
      <c r="F545" s="74">
        <f t="array" ref="F545">IF(OR($D545="",$D545="NO ENCONTRADO"),"",_xlfn.XLOOKUP($D545,Productos!$E:$E,Productos!$I:$I,""))</f>
        <v/>
      </c>
      <c r="G545" s="74">
        <f t="array" ref="G545">IF(OR($D545="",$D545="NO ENCONTRADO"),"",_xlfn.XLOOKUP($D545,Productos!$E:$E,Productos!$J:$J,""))</f>
        <v/>
      </c>
      <c r="H545" s="74">
        <f t="array" ref="H545">IF(OR($D545="",$D545="NO ENCONTRADO"),"",_xlfn.XLOOKUP($D545,Productos!$E:$E,Productos!$K:$K,""))</f>
        <v/>
      </c>
      <c r="I545" s="74">
        <f t="array" ref="I545">IF(OR($D545="",$D545="NO ENCONTRADO"),"",_xlfn.XLOOKUP($D545,Productos!$E:$E,Productos!$F:$F,""))</f>
        <v/>
      </c>
      <c r="J545" s="74">
        <f>IF($C545="","",IF($D545="NO ENCONTRADO",IF(COUNTIF($C$7:$C$1000,$C545)&gt;1,"⚠️ No encontrado | Duplicado","⚠️ No encontrado"),IF(COUNTIF($C$7:$C$1000,$C545)&gt;1,"⚠️ Duplicado","Verificado")))</f>
        <v/>
      </c>
    </row>
    <row r="546" ht="15.75" customHeight="1" s="176">
      <c r="B546" s="80" t="n"/>
      <c r="C546" s="74" t="n"/>
      <c r="D546" s="74">
        <f t="array" ref="D546">IF($C546="","",IFNA(_xlfn.XLOOKUP($C546,Productos!$A:$A,Productos!$E:$E,IFNA(_xlfn.XLOOKUP(TEXT($C546,"0"),Productos!$A:$A,Productos!$E:$E,IFNA(_xlfn.XLOOKUP(IFERROR(VALUE($C546),""),Productos!$A:$A,Productos!$E:$E,_xlfn.XLOOKUP($C546,Productos!$E:$E,Productos!$E:$E,"NO ENCONTRADO")),"NO ENCONTRADO")),"NO ENCONTRADO")),"NO ENCONTRADO"))</f>
        <v/>
      </c>
      <c r="E546" s="74">
        <f t="array" ref="E546">IF(OR($D546="",$D546="NO ENCONTRADO"),"",_xlfn.XLOOKUP($D546,Productos!$E:$E,Productos!$H:$H,""))</f>
        <v/>
      </c>
      <c r="F546" s="74">
        <f t="array" ref="F546">IF(OR($D546="",$D546="NO ENCONTRADO"),"",_xlfn.XLOOKUP($D546,Productos!$E:$E,Productos!$I:$I,""))</f>
        <v/>
      </c>
      <c r="G546" s="74">
        <f t="array" ref="G546">IF(OR($D546="",$D546="NO ENCONTRADO"),"",_xlfn.XLOOKUP($D546,Productos!$E:$E,Productos!$J:$J,""))</f>
        <v/>
      </c>
      <c r="H546" s="74">
        <f t="array" ref="H546">IF(OR($D546="",$D546="NO ENCONTRADO"),"",_xlfn.XLOOKUP($D546,Productos!$E:$E,Productos!$K:$K,""))</f>
        <v/>
      </c>
      <c r="I546" s="74">
        <f t="array" ref="I546">IF(OR($D546="",$D546="NO ENCONTRADO"),"",_xlfn.XLOOKUP($D546,Productos!$E:$E,Productos!$F:$F,""))</f>
        <v/>
      </c>
      <c r="J546" s="74">
        <f>IF($C546="","",IF($D546="NO ENCONTRADO",IF(COUNTIF($C$7:$C$1000,$C546)&gt;1,"⚠️ No encontrado | Duplicado","⚠️ No encontrado"),IF(COUNTIF($C$7:$C$1000,$C546)&gt;1,"⚠️ Duplicado","Verificado")))</f>
        <v/>
      </c>
    </row>
    <row r="547" ht="15.75" customHeight="1" s="176">
      <c r="B547" s="80" t="n"/>
      <c r="C547" s="74" t="n"/>
      <c r="D547" s="74">
        <f t="array" ref="D547">IF($C547="","",IFNA(_xlfn.XLOOKUP($C547,Productos!$A:$A,Productos!$E:$E,IFNA(_xlfn.XLOOKUP(TEXT($C547,"0"),Productos!$A:$A,Productos!$E:$E,IFNA(_xlfn.XLOOKUP(IFERROR(VALUE($C547),""),Productos!$A:$A,Productos!$E:$E,_xlfn.XLOOKUP($C547,Productos!$E:$E,Productos!$E:$E,"NO ENCONTRADO")),"NO ENCONTRADO")),"NO ENCONTRADO")),"NO ENCONTRADO"))</f>
        <v/>
      </c>
      <c r="E547" s="74">
        <f t="array" ref="E547">IF(OR($D547="",$D547="NO ENCONTRADO"),"",_xlfn.XLOOKUP($D547,Productos!$E:$E,Productos!$H:$H,""))</f>
        <v/>
      </c>
      <c r="F547" s="74">
        <f t="array" ref="F547">IF(OR($D547="",$D547="NO ENCONTRADO"),"",_xlfn.XLOOKUP($D547,Productos!$E:$E,Productos!$I:$I,""))</f>
        <v/>
      </c>
      <c r="G547" s="74">
        <f t="array" ref="G547">IF(OR($D547="",$D547="NO ENCONTRADO"),"",_xlfn.XLOOKUP($D547,Productos!$E:$E,Productos!$J:$J,""))</f>
        <v/>
      </c>
      <c r="H547" s="74">
        <f t="array" ref="H547">IF(OR($D547="",$D547="NO ENCONTRADO"),"",_xlfn.XLOOKUP($D547,Productos!$E:$E,Productos!$K:$K,""))</f>
        <v/>
      </c>
      <c r="I547" s="74">
        <f t="array" ref="I547">IF(OR($D547="",$D547="NO ENCONTRADO"),"",_xlfn.XLOOKUP($D547,Productos!$E:$E,Productos!$F:$F,""))</f>
        <v/>
      </c>
      <c r="J547" s="74">
        <f>IF($C547="","",IF($D547="NO ENCONTRADO",IF(COUNTIF($C$7:$C$1000,$C547)&gt;1,"⚠️ No encontrado | Duplicado","⚠️ No encontrado"),IF(COUNTIF($C$7:$C$1000,$C547)&gt;1,"⚠️ Duplicado","Verificado")))</f>
        <v/>
      </c>
    </row>
    <row r="548" ht="15.75" customHeight="1" s="176">
      <c r="B548" s="80" t="n"/>
      <c r="C548" s="74" t="n"/>
      <c r="D548" s="74">
        <f t="array" ref="D548">IF($C548="","",IFNA(_xlfn.XLOOKUP($C548,Productos!$A:$A,Productos!$E:$E,IFNA(_xlfn.XLOOKUP(TEXT($C548,"0"),Productos!$A:$A,Productos!$E:$E,IFNA(_xlfn.XLOOKUP(IFERROR(VALUE($C548),""),Productos!$A:$A,Productos!$E:$E,_xlfn.XLOOKUP($C548,Productos!$E:$E,Productos!$E:$E,"NO ENCONTRADO")),"NO ENCONTRADO")),"NO ENCONTRADO")),"NO ENCONTRADO"))</f>
        <v/>
      </c>
      <c r="E548" s="74">
        <f t="array" ref="E548">IF(OR($D548="",$D548="NO ENCONTRADO"),"",_xlfn.XLOOKUP($D548,Productos!$E:$E,Productos!$H:$H,""))</f>
        <v/>
      </c>
      <c r="F548" s="74">
        <f t="array" ref="F548">IF(OR($D548="",$D548="NO ENCONTRADO"),"",_xlfn.XLOOKUP($D548,Productos!$E:$E,Productos!$I:$I,""))</f>
        <v/>
      </c>
      <c r="G548" s="74">
        <f t="array" ref="G548">IF(OR($D548="",$D548="NO ENCONTRADO"),"",_xlfn.XLOOKUP($D548,Productos!$E:$E,Productos!$J:$J,""))</f>
        <v/>
      </c>
      <c r="H548" s="74">
        <f t="array" ref="H548">IF(OR($D548="",$D548="NO ENCONTRADO"),"",_xlfn.XLOOKUP($D548,Productos!$E:$E,Productos!$K:$K,""))</f>
        <v/>
      </c>
      <c r="I548" s="74">
        <f t="array" ref="I548">IF(OR($D548="",$D548="NO ENCONTRADO"),"",_xlfn.XLOOKUP($D548,Productos!$E:$E,Productos!$F:$F,""))</f>
        <v/>
      </c>
      <c r="J548" s="74">
        <f>IF($C548="","",IF($D548="NO ENCONTRADO",IF(COUNTIF($C$7:$C$1000,$C548)&gt;1,"⚠️ No encontrado | Duplicado","⚠️ No encontrado"),IF(COUNTIF($C$7:$C$1000,$C548)&gt;1,"⚠️ Duplicado","Verificado")))</f>
        <v/>
      </c>
    </row>
    <row r="549" ht="15.75" customHeight="1" s="176">
      <c r="B549" s="80" t="n"/>
      <c r="C549" s="74" t="n"/>
      <c r="D549" s="74">
        <f t="array" ref="D549">IF($C549="","",IFNA(_xlfn.XLOOKUP($C549,Productos!$A:$A,Productos!$E:$E,IFNA(_xlfn.XLOOKUP(TEXT($C549,"0"),Productos!$A:$A,Productos!$E:$E,IFNA(_xlfn.XLOOKUP(IFERROR(VALUE($C549),""),Productos!$A:$A,Productos!$E:$E,_xlfn.XLOOKUP($C549,Productos!$E:$E,Productos!$E:$E,"NO ENCONTRADO")),"NO ENCONTRADO")),"NO ENCONTRADO")),"NO ENCONTRADO"))</f>
        <v/>
      </c>
      <c r="E549" s="74">
        <f t="array" ref="E549">IF(OR($D549="",$D549="NO ENCONTRADO"),"",_xlfn.XLOOKUP($D549,Productos!$E:$E,Productos!$H:$H,""))</f>
        <v/>
      </c>
      <c r="F549" s="74">
        <f t="array" ref="F549">IF(OR($D549="",$D549="NO ENCONTRADO"),"",_xlfn.XLOOKUP($D549,Productos!$E:$E,Productos!$I:$I,""))</f>
        <v/>
      </c>
      <c r="G549" s="74">
        <f t="array" ref="G549">IF(OR($D549="",$D549="NO ENCONTRADO"),"",_xlfn.XLOOKUP($D549,Productos!$E:$E,Productos!$J:$J,""))</f>
        <v/>
      </c>
      <c r="H549" s="74">
        <f t="array" ref="H549">IF(OR($D549="",$D549="NO ENCONTRADO"),"",_xlfn.XLOOKUP($D549,Productos!$E:$E,Productos!$K:$K,""))</f>
        <v/>
      </c>
      <c r="I549" s="74">
        <f t="array" ref="I549">IF(OR($D549="",$D549="NO ENCONTRADO"),"",_xlfn.XLOOKUP($D549,Productos!$E:$E,Productos!$F:$F,""))</f>
        <v/>
      </c>
      <c r="J549" s="74">
        <f>IF($C549="","",IF($D549="NO ENCONTRADO",IF(COUNTIF($C$7:$C$1000,$C549)&gt;1,"⚠️ No encontrado | Duplicado","⚠️ No encontrado"),IF(COUNTIF($C$7:$C$1000,$C549)&gt;1,"⚠️ Duplicado","Verificado")))</f>
        <v/>
      </c>
    </row>
    <row r="550" ht="15.75" customHeight="1" s="176">
      <c r="B550" s="80" t="n"/>
      <c r="C550" s="74" t="n"/>
      <c r="D550" s="74">
        <f t="array" ref="D550">IF($C550="","",IFNA(_xlfn.XLOOKUP($C550,Productos!$A:$A,Productos!$E:$E,IFNA(_xlfn.XLOOKUP(TEXT($C550,"0"),Productos!$A:$A,Productos!$E:$E,IFNA(_xlfn.XLOOKUP(IFERROR(VALUE($C550),""),Productos!$A:$A,Productos!$E:$E,_xlfn.XLOOKUP($C550,Productos!$E:$E,Productos!$E:$E,"NO ENCONTRADO")),"NO ENCONTRADO")),"NO ENCONTRADO")),"NO ENCONTRADO"))</f>
        <v/>
      </c>
      <c r="E550" s="74">
        <f t="array" ref="E550">IF(OR($D550="",$D550="NO ENCONTRADO"),"",_xlfn.XLOOKUP($D550,Productos!$E:$E,Productos!$H:$H,""))</f>
        <v/>
      </c>
      <c r="F550" s="74">
        <f t="array" ref="F550">IF(OR($D550="",$D550="NO ENCONTRADO"),"",_xlfn.XLOOKUP($D550,Productos!$E:$E,Productos!$I:$I,""))</f>
        <v/>
      </c>
      <c r="G550" s="74">
        <f t="array" ref="G550">IF(OR($D550="",$D550="NO ENCONTRADO"),"",_xlfn.XLOOKUP($D550,Productos!$E:$E,Productos!$J:$J,""))</f>
        <v/>
      </c>
      <c r="H550" s="74">
        <f t="array" ref="H550">IF(OR($D550="",$D550="NO ENCONTRADO"),"",_xlfn.XLOOKUP($D550,Productos!$E:$E,Productos!$K:$K,""))</f>
        <v/>
      </c>
      <c r="I550" s="74">
        <f t="array" ref="I550">IF(OR($D550="",$D550="NO ENCONTRADO"),"",_xlfn.XLOOKUP($D550,Productos!$E:$E,Productos!$F:$F,""))</f>
        <v/>
      </c>
      <c r="J550" s="74">
        <f>IF($C550="","",IF($D550="NO ENCONTRADO",IF(COUNTIF($C$7:$C$1000,$C550)&gt;1,"⚠️ No encontrado | Duplicado","⚠️ No encontrado"),IF(COUNTIF($C$7:$C$1000,$C550)&gt;1,"⚠️ Duplicado","Verificado")))</f>
        <v/>
      </c>
    </row>
    <row r="551" ht="15.75" customHeight="1" s="176">
      <c r="B551" s="80" t="n"/>
      <c r="C551" s="74" t="n"/>
      <c r="D551" s="74">
        <f t="array" ref="D551">IF($C551="","",IFNA(_xlfn.XLOOKUP($C551,Productos!$A:$A,Productos!$E:$E,IFNA(_xlfn.XLOOKUP(TEXT($C551,"0"),Productos!$A:$A,Productos!$E:$E,IFNA(_xlfn.XLOOKUP(IFERROR(VALUE($C551),""),Productos!$A:$A,Productos!$E:$E,_xlfn.XLOOKUP($C551,Productos!$E:$E,Productos!$E:$E,"NO ENCONTRADO")),"NO ENCONTRADO")),"NO ENCONTRADO")),"NO ENCONTRADO"))</f>
        <v/>
      </c>
      <c r="E551" s="74">
        <f t="array" ref="E551">IF(OR($D551="",$D551="NO ENCONTRADO"),"",_xlfn.XLOOKUP($D551,Productos!$E:$E,Productos!$H:$H,""))</f>
        <v/>
      </c>
      <c r="F551" s="74">
        <f t="array" ref="F551">IF(OR($D551="",$D551="NO ENCONTRADO"),"",_xlfn.XLOOKUP($D551,Productos!$E:$E,Productos!$I:$I,""))</f>
        <v/>
      </c>
      <c r="G551" s="74">
        <f t="array" ref="G551">IF(OR($D551="",$D551="NO ENCONTRADO"),"",_xlfn.XLOOKUP($D551,Productos!$E:$E,Productos!$J:$J,""))</f>
        <v/>
      </c>
      <c r="H551" s="74">
        <f t="array" ref="H551">IF(OR($D551="",$D551="NO ENCONTRADO"),"",_xlfn.XLOOKUP($D551,Productos!$E:$E,Productos!$K:$K,""))</f>
        <v/>
      </c>
      <c r="I551" s="74">
        <f t="array" ref="I551">IF(OR($D551="",$D551="NO ENCONTRADO"),"",_xlfn.XLOOKUP($D551,Productos!$E:$E,Productos!$F:$F,""))</f>
        <v/>
      </c>
      <c r="J551" s="74">
        <f>IF($C551="","",IF($D551="NO ENCONTRADO",IF(COUNTIF($C$7:$C$1000,$C551)&gt;1,"⚠️ No encontrado | Duplicado","⚠️ No encontrado"),IF(COUNTIF($C$7:$C$1000,$C551)&gt;1,"⚠️ Duplicado","Verificado")))</f>
        <v/>
      </c>
    </row>
    <row r="552" ht="15.75" customHeight="1" s="176">
      <c r="B552" s="80" t="n"/>
      <c r="C552" s="74" t="n"/>
      <c r="D552" s="74">
        <f t="array" ref="D552">IF($C552="","",IFNA(_xlfn.XLOOKUP($C552,Productos!$A:$A,Productos!$E:$E,IFNA(_xlfn.XLOOKUP(TEXT($C552,"0"),Productos!$A:$A,Productos!$E:$E,IFNA(_xlfn.XLOOKUP(IFERROR(VALUE($C552),""),Productos!$A:$A,Productos!$E:$E,_xlfn.XLOOKUP($C552,Productos!$E:$E,Productos!$E:$E,"NO ENCONTRADO")),"NO ENCONTRADO")),"NO ENCONTRADO")),"NO ENCONTRADO"))</f>
        <v/>
      </c>
      <c r="E552" s="74">
        <f t="array" ref="E552">IF(OR($D552="",$D552="NO ENCONTRADO"),"",_xlfn.XLOOKUP($D552,Productos!$E:$E,Productos!$H:$H,""))</f>
        <v/>
      </c>
      <c r="F552" s="74">
        <f t="array" ref="F552">IF(OR($D552="",$D552="NO ENCONTRADO"),"",_xlfn.XLOOKUP($D552,Productos!$E:$E,Productos!$I:$I,""))</f>
        <v/>
      </c>
      <c r="G552" s="74">
        <f t="array" ref="G552">IF(OR($D552="",$D552="NO ENCONTRADO"),"",_xlfn.XLOOKUP($D552,Productos!$E:$E,Productos!$J:$J,""))</f>
        <v/>
      </c>
      <c r="H552" s="74">
        <f t="array" ref="H552">IF(OR($D552="",$D552="NO ENCONTRADO"),"",_xlfn.XLOOKUP($D552,Productos!$E:$E,Productos!$K:$K,""))</f>
        <v/>
      </c>
      <c r="I552" s="74">
        <f t="array" ref="I552">IF(OR($D552="",$D552="NO ENCONTRADO"),"",_xlfn.XLOOKUP($D552,Productos!$E:$E,Productos!$F:$F,""))</f>
        <v/>
      </c>
      <c r="J552" s="74">
        <f>IF($C552="","",IF($D552="NO ENCONTRADO",IF(COUNTIF($C$7:$C$1000,$C552)&gt;1,"⚠️ No encontrado | Duplicado","⚠️ No encontrado"),IF(COUNTIF($C$7:$C$1000,$C552)&gt;1,"⚠️ Duplicado","Verificado")))</f>
        <v/>
      </c>
    </row>
    <row r="553" ht="15.75" customHeight="1" s="176">
      <c r="B553" s="80" t="n"/>
      <c r="C553" s="74" t="n"/>
      <c r="D553" s="74">
        <f t="array" ref="D553">IF($C553="","",IFNA(_xlfn.XLOOKUP($C553,Productos!$A:$A,Productos!$E:$E,IFNA(_xlfn.XLOOKUP(TEXT($C553,"0"),Productos!$A:$A,Productos!$E:$E,IFNA(_xlfn.XLOOKUP(IFERROR(VALUE($C553),""),Productos!$A:$A,Productos!$E:$E,_xlfn.XLOOKUP($C553,Productos!$E:$E,Productos!$E:$E,"NO ENCONTRADO")),"NO ENCONTRADO")),"NO ENCONTRADO")),"NO ENCONTRADO"))</f>
        <v/>
      </c>
      <c r="E553" s="74">
        <f t="array" ref="E553">IF(OR($D553="",$D553="NO ENCONTRADO"),"",_xlfn.XLOOKUP($D553,Productos!$E:$E,Productos!$H:$H,""))</f>
        <v/>
      </c>
      <c r="F553" s="74">
        <f t="array" ref="F553">IF(OR($D553="",$D553="NO ENCONTRADO"),"",_xlfn.XLOOKUP($D553,Productos!$E:$E,Productos!$I:$I,""))</f>
        <v/>
      </c>
      <c r="G553" s="74">
        <f t="array" ref="G553">IF(OR($D553="",$D553="NO ENCONTRADO"),"",_xlfn.XLOOKUP($D553,Productos!$E:$E,Productos!$J:$J,""))</f>
        <v/>
      </c>
      <c r="H553" s="74">
        <f t="array" ref="H553">IF(OR($D553="",$D553="NO ENCONTRADO"),"",_xlfn.XLOOKUP($D553,Productos!$E:$E,Productos!$K:$K,""))</f>
        <v/>
      </c>
      <c r="I553" s="74">
        <f t="array" ref="I553">IF(OR($D553="",$D553="NO ENCONTRADO"),"",_xlfn.XLOOKUP($D553,Productos!$E:$E,Productos!$F:$F,""))</f>
        <v/>
      </c>
      <c r="J553" s="74">
        <f>IF($C553="","",IF($D553="NO ENCONTRADO",IF(COUNTIF($C$7:$C$1000,$C553)&gt;1,"⚠️ No encontrado | Duplicado","⚠️ No encontrado"),IF(COUNTIF($C$7:$C$1000,$C553)&gt;1,"⚠️ Duplicado","Verificado")))</f>
        <v/>
      </c>
    </row>
    <row r="554" ht="15.75" customHeight="1" s="176">
      <c r="B554" s="80" t="n"/>
      <c r="C554" s="74" t="n"/>
      <c r="D554" s="74">
        <f t="array" ref="D554">IF($C554="","",IFNA(_xlfn.XLOOKUP($C554,Productos!$A:$A,Productos!$E:$E,IFNA(_xlfn.XLOOKUP(TEXT($C554,"0"),Productos!$A:$A,Productos!$E:$E,IFNA(_xlfn.XLOOKUP(IFERROR(VALUE($C554),""),Productos!$A:$A,Productos!$E:$E,_xlfn.XLOOKUP($C554,Productos!$E:$E,Productos!$E:$E,"NO ENCONTRADO")),"NO ENCONTRADO")),"NO ENCONTRADO")),"NO ENCONTRADO"))</f>
        <v/>
      </c>
      <c r="E554" s="74">
        <f t="array" ref="E554">IF(OR($D554="",$D554="NO ENCONTRADO"),"",_xlfn.XLOOKUP($D554,Productos!$E:$E,Productos!$H:$H,""))</f>
        <v/>
      </c>
      <c r="F554" s="74">
        <f t="array" ref="F554">IF(OR($D554="",$D554="NO ENCONTRADO"),"",_xlfn.XLOOKUP($D554,Productos!$E:$E,Productos!$I:$I,""))</f>
        <v/>
      </c>
      <c r="G554" s="74">
        <f t="array" ref="G554">IF(OR($D554="",$D554="NO ENCONTRADO"),"",_xlfn.XLOOKUP($D554,Productos!$E:$E,Productos!$J:$J,""))</f>
        <v/>
      </c>
      <c r="H554" s="74">
        <f t="array" ref="H554">IF(OR($D554="",$D554="NO ENCONTRADO"),"",_xlfn.XLOOKUP($D554,Productos!$E:$E,Productos!$K:$K,""))</f>
        <v/>
      </c>
      <c r="I554" s="74">
        <f t="array" ref="I554">IF(OR($D554="",$D554="NO ENCONTRADO"),"",_xlfn.XLOOKUP($D554,Productos!$E:$E,Productos!$F:$F,""))</f>
        <v/>
      </c>
      <c r="J554" s="74">
        <f>IF($C554="","",IF($D554="NO ENCONTRADO",IF(COUNTIF($C$7:$C$1000,$C554)&gt;1,"⚠️ No encontrado | Duplicado","⚠️ No encontrado"),IF(COUNTIF($C$7:$C$1000,$C554)&gt;1,"⚠️ Duplicado","Verificado")))</f>
        <v/>
      </c>
    </row>
    <row r="555" ht="15.75" customHeight="1" s="176">
      <c r="B555" s="80" t="n"/>
      <c r="C555" s="74" t="n"/>
      <c r="D555" s="74">
        <f t="array" ref="D555">IF($C555="","",IFNA(_xlfn.XLOOKUP($C555,Productos!$A:$A,Productos!$E:$E,IFNA(_xlfn.XLOOKUP(TEXT($C555,"0"),Productos!$A:$A,Productos!$E:$E,IFNA(_xlfn.XLOOKUP(IFERROR(VALUE($C555),""),Productos!$A:$A,Productos!$E:$E,_xlfn.XLOOKUP($C555,Productos!$E:$E,Productos!$E:$E,"NO ENCONTRADO")),"NO ENCONTRADO")),"NO ENCONTRADO")),"NO ENCONTRADO"))</f>
        <v/>
      </c>
      <c r="E555" s="74">
        <f t="array" ref="E555">IF(OR($D555="",$D555="NO ENCONTRADO"),"",_xlfn.XLOOKUP($D555,Productos!$E:$E,Productos!$H:$H,""))</f>
        <v/>
      </c>
      <c r="F555" s="74">
        <f t="array" ref="F555">IF(OR($D555="",$D555="NO ENCONTRADO"),"",_xlfn.XLOOKUP($D555,Productos!$E:$E,Productos!$I:$I,""))</f>
        <v/>
      </c>
      <c r="G555" s="74">
        <f t="array" ref="G555">IF(OR($D555="",$D555="NO ENCONTRADO"),"",_xlfn.XLOOKUP($D555,Productos!$E:$E,Productos!$J:$J,""))</f>
        <v/>
      </c>
      <c r="H555" s="74">
        <f t="array" ref="H555">IF(OR($D555="",$D555="NO ENCONTRADO"),"",_xlfn.XLOOKUP($D555,Productos!$E:$E,Productos!$K:$K,""))</f>
        <v/>
      </c>
      <c r="I555" s="74">
        <f t="array" ref="I555">IF(OR($D555="",$D555="NO ENCONTRADO"),"",_xlfn.XLOOKUP($D555,Productos!$E:$E,Productos!$F:$F,""))</f>
        <v/>
      </c>
      <c r="J555" s="74">
        <f>IF($C555="","",IF($D555="NO ENCONTRADO",IF(COUNTIF($C$7:$C$1000,$C555)&gt;1,"⚠️ No encontrado | Duplicado","⚠️ No encontrado"),IF(COUNTIF($C$7:$C$1000,$C555)&gt;1,"⚠️ Duplicado","Verificado")))</f>
        <v/>
      </c>
    </row>
    <row r="556" ht="15.75" customHeight="1" s="176">
      <c r="B556" s="80" t="n"/>
      <c r="C556" s="74" t="n"/>
      <c r="D556" s="74">
        <f t="array" ref="D556">IF($C556="","",IFNA(_xlfn.XLOOKUP($C556,Productos!$A:$A,Productos!$E:$E,IFNA(_xlfn.XLOOKUP(TEXT($C556,"0"),Productos!$A:$A,Productos!$E:$E,IFNA(_xlfn.XLOOKUP(IFERROR(VALUE($C556),""),Productos!$A:$A,Productos!$E:$E,_xlfn.XLOOKUP($C556,Productos!$E:$E,Productos!$E:$E,"NO ENCONTRADO")),"NO ENCONTRADO")),"NO ENCONTRADO")),"NO ENCONTRADO"))</f>
        <v/>
      </c>
      <c r="E556" s="74">
        <f t="array" ref="E556">IF(OR($D556="",$D556="NO ENCONTRADO"),"",_xlfn.XLOOKUP($D556,Productos!$E:$E,Productos!$H:$H,""))</f>
        <v/>
      </c>
      <c r="F556" s="74">
        <f t="array" ref="F556">IF(OR($D556="",$D556="NO ENCONTRADO"),"",_xlfn.XLOOKUP($D556,Productos!$E:$E,Productos!$I:$I,""))</f>
        <v/>
      </c>
      <c r="G556" s="74">
        <f t="array" ref="G556">IF(OR($D556="",$D556="NO ENCONTRADO"),"",_xlfn.XLOOKUP($D556,Productos!$E:$E,Productos!$J:$J,""))</f>
        <v/>
      </c>
      <c r="H556" s="74">
        <f t="array" ref="H556">IF(OR($D556="",$D556="NO ENCONTRADO"),"",_xlfn.XLOOKUP($D556,Productos!$E:$E,Productos!$K:$K,""))</f>
        <v/>
      </c>
      <c r="I556" s="74">
        <f t="array" ref="I556">IF(OR($D556="",$D556="NO ENCONTRADO"),"",_xlfn.XLOOKUP($D556,Productos!$E:$E,Productos!$F:$F,""))</f>
        <v/>
      </c>
      <c r="J556" s="74">
        <f>IF($C556="","",IF($D556="NO ENCONTRADO",IF(COUNTIF($C$7:$C$1000,$C556)&gt;1,"⚠️ No encontrado | Duplicado","⚠️ No encontrado"),IF(COUNTIF($C$7:$C$1000,$C556)&gt;1,"⚠️ Duplicado","Verificado")))</f>
        <v/>
      </c>
    </row>
    <row r="557" ht="15.75" customHeight="1" s="176">
      <c r="B557" s="80" t="n"/>
      <c r="C557" s="74" t="n"/>
      <c r="D557" s="74">
        <f t="array" ref="D557">IF($C557="","",IFNA(_xlfn.XLOOKUP($C557,Productos!$A:$A,Productos!$E:$E,IFNA(_xlfn.XLOOKUP(TEXT($C557,"0"),Productos!$A:$A,Productos!$E:$E,IFNA(_xlfn.XLOOKUP(IFERROR(VALUE($C557),""),Productos!$A:$A,Productos!$E:$E,_xlfn.XLOOKUP($C557,Productos!$E:$E,Productos!$E:$E,"NO ENCONTRADO")),"NO ENCONTRADO")),"NO ENCONTRADO")),"NO ENCONTRADO"))</f>
        <v/>
      </c>
      <c r="E557" s="74">
        <f t="array" ref="E557">IF(OR($D557="",$D557="NO ENCONTRADO"),"",_xlfn.XLOOKUP($D557,Productos!$E:$E,Productos!$H:$H,""))</f>
        <v/>
      </c>
      <c r="F557" s="74">
        <f t="array" ref="F557">IF(OR($D557="",$D557="NO ENCONTRADO"),"",_xlfn.XLOOKUP($D557,Productos!$E:$E,Productos!$I:$I,""))</f>
        <v/>
      </c>
      <c r="G557" s="74">
        <f t="array" ref="G557">IF(OR($D557="",$D557="NO ENCONTRADO"),"",_xlfn.XLOOKUP($D557,Productos!$E:$E,Productos!$J:$J,""))</f>
        <v/>
      </c>
      <c r="H557" s="74">
        <f t="array" ref="H557">IF(OR($D557="",$D557="NO ENCONTRADO"),"",_xlfn.XLOOKUP($D557,Productos!$E:$E,Productos!$K:$K,""))</f>
        <v/>
      </c>
      <c r="I557" s="74">
        <f t="array" ref="I557">IF(OR($D557="",$D557="NO ENCONTRADO"),"",_xlfn.XLOOKUP($D557,Productos!$E:$E,Productos!$F:$F,""))</f>
        <v/>
      </c>
      <c r="J557" s="74">
        <f>IF($C557="","",IF($D557="NO ENCONTRADO",IF(COUNTIF($C$7:$C$1000,$C557)&gt;1,"⚠️ No encontrado | Duplicado","⚠️ No encontrado"),IF(COUNTIF($C$7:$C$1000,$C557)&gt;1,"⚠️ Duplicado","Verificado")))</f>
        <v/>
      </c>
    </row>
    <row r="558" ht="15.75" customHeight="1" s="176">
      <c r="B558" s="80" t="n"/>
      <c r="C558" s="74" t="n"/>
      <c r="D558" s="74">
        <f t="array" ref="D558">IF($C558="","",IFNA(_xlfn.XLOOKUP($C558,Productos!$A:$A,Productos!$E:$E,IFNA(_xlfn.XLOOKUP(TEXT($C558,"0"),Productos!$A:$A,Productos!$E:$E,IFNA(_xlfn.XLOOKUP(IFERROR(VALUE($C558),""),Productos!$A:$A,Productos!$E:$E,_xlfn.XLOOKUP($C558,Productos!$E:$E,Productos!$E:$E,"NO ENCONTRADO")),"NO ENCONTRADO")),"NO ENCONTRADO")),"NO ENCONTRADO"))</f>
        <v/>
      </c>
      <c r="E558" s="74">
        <f t="array" ref="E558">IF(OR($D558="",$D558="NO ENCONTRADO"),"",_xlfn.XLOOKUP($D558,Productos!$E:$E,Productos!$H:$H,""))</f>
        <v/>
      </c>
      <c r="F558" s="74">
        <f t="array" ref="F558">IF(OR($D558="",$D558="NO ENCONTRADO"),"",_xlfn.XLOOKUP($D558,Productos!$E:$E,Productos!$I:$I,""))</f>
        <v/>
      </c>
      <c r="G558" s="74">
        <f t="array" ref="G558">IF(OR($D558="",$D558="NO ENCONTRADO"),"",_xlfn.XLOOKUP($D558,Productos!$E:$E,Productos!$J:$J,""))</f>
        <v/>
      </c>
      <c r="H558" s="74">
        <f t="array" ref="H558">IF(OR($D558="",$D558="NO ENCONTRADO"),"",_xlfn.XLOOKUP($D558,Productos!$E:$E,Productos!$K:$K,""))</f>
        <v/>
      </c>
      <c r="I558" s="74">
        <f t="array" ref="I558">IF(OR($D558="",$D558="NO ENCONTRADO"),"",_xlfn.XLOOKUP($D558,Productos!$E:$E,Productos!$F:$F,""))</f>
        <v/>
      </c>
      <c r="J558" s="74">
        <f>IF($C558="","",IF($D558="NO ENCONTRADO",IF(COUNTIF($C$7:$C$1000,$C558)&gt;1,"⚠️ No encontrado | Duplicado","⚠️ No encontrado"),IF(COUNTIF($C$7:$C$1000,$C558)&gt;1,"⚠️ Duplicado","Verificado")))</f>
        <v/>
      </c>
    </row>
    <row r="559" ht="15.75" customHeight="1" s="176">
      <c r="B559" s="80" t="n"/>
      <c r="C559" s="74" t="n"/>
      <c r="D559" s="74">
        <f t="array" ref="D559">IF($C559="","",IFNA(_xlfn.XLOOKUP($C559,Productos!$A:$A,Productos!$E:$E,IFNA(_xlfn.XLOOKUP(TEXT($C559,"0"),Productos!$A:$A,Productos!$E:$E,IFNA(_xlfn.XLOOKUP(IFERROR(VALUE($C559),""),Productos!$A:$A,Productos!$E:$E,_xlfn.XLOOKUP($C559,Productos!$E:$E,Productos!$E:$E,"NO ENCONTRADO")),"NO ENCONTRADO")),"NO ENCONTRADO")),"NO ENCONTRADO"))</f>
        <v/>
      </c>
      <c r="E559" s="74">
        <f t="array" ref="E559">IF(OR($D559="",$D559="NO ENCONTRADO"),"",_xlfn.XLOOKUP($D559,Productos!$E:$E,Productos!$H:$H,""))</f>
        <v/>
      </c>
      <c r="F559" s="74">
        <f t="array" ref="F559">IF(OR($D559="",$D559="NO ENCONTRADO"),"",_xlfn.XLOOKUP($D559,Productos!$E:$E,Productos!$I:$I,""))</f>
        <v/>
      </c>
      <c r="G559" s="74">
        <f t="array" ref="G559">IF(OR($D559="",$D559="NO ENCONTRADO"),"",_xlfn.XLOOKUP($D559,Productos!$E:$E,Productos!$J:$J,""))</f>
        <v/>
      </c>
      <c r="H559" s="74">
        <f t="array" ref="H559">IF(OR($D559="",$D559="NO ENCONTRADO"),"",_xlfn.XLOOKUP($D559,Productos!$E:$E,Productos!$K:$K,""))</f>
        <v/>
      </c>
      <c r="I559" s="74">
        <f t="array" ref="I559">IF(OR($D559="",$D559="NO ENCONTRADO"),"",_xlfn.XLOOKUP($D559,Productos!$E:$E,Productos!$F:$F,""))</f>
        <v/>
      </c>
      <c r="J559" s="74">
        <f>IF($C559="","",IF($D559="NO ENCONTRADO",IF(COUNTIF($C$7:$C$1000,$C559)&gt;1,"⚠️ No encontrado | Duplicado","⚠️ No encontrado"),IF(COUNTIF($C$7:$C$1000,$C559)&gt;1,"⚠️ Duplicado","Verificado")))</f>
        <v/>
      </c>
    </row>
    <row r="560" ht="15.75" customHeight="1" s="176">
      <c r="B560" s="80" t="n"/>
      <c r="C560" s="74" t="n"/>
      <c r="D560" s="74">
        <f t="array" ref="D560">IF($C560="","",IFNA(_xlfn.XLOOKUP($C560,Productos!$A:$A,Productos!$E:$E,IFNA(_xlfn.XLOOKUP(TEXT($C560,"0"),Productos!$A:$A,Productos!$E:$E,IFNA(_xlfn.XLOOKUP(IFERROR(VALUE($C560),""),Productos!$A:$A,Productos!$E:$E,_xlfn.XLOOKUP($C560,Productos!$E:$E,Productos!$E:$E,"NO ENCONTRADO")),"NO ENCONTRADO")),"NO ENCONTRADO")),"NO ENCONTRADO"))</f>
        <v/>
      </c>
      <c r="E560" s="74">
        <f t="array" ref="E560">IF(OR($D560="",$D560="NO ENCONTRADO"),"",_xlfn.XLOOKUP($D560,Productos!$E:$E,Productos!$H:$H,""))</f>
        <v/>
      </c>
      <c r="F560" s="74">
        <f t="array" ref="F560">IF(OR($D560="",$D560="NO ENCONTRADO"),"",_xlfn.XLOOKUP($D560,Productos!$E:$E,Productos!$I:$I,""))</f>
        <v/>
      </c>
      <c r="G560" s="74">
        <f t="array" ref="G560">IF(OR($D560="",$D560="NO ENCONTRADO"),"",_xlfn.XLOOKUP($D560,Productos!$E:$E,Productos!$J:$J,""))</f>
        <v/>
      </c>
      <c r="H560" s="74">
        <f t="array" ref="H560">IF(OR($D560="",$D560="NO ENCONTRADO"),"",_xlfn.XLOOKUP($D560,Productos!$E:$E,Productos!$K:$K,""))</f>
        <v/>
      </c>
      <c r="I560" s="74">
        <f t="array" ref="I560">IF(OR($D560="",$D560="NO ENCONTRADO"),"",_xlfn.XLOOKUP($D560,Productos!$E:$E,Productos!$F:$F,""))</f>
        <v/>
      </c>
      <c r="J560" s="74">
        <f>IF($C560="","",IF($D560="NO ENCONTRADO",IF(COUNTIF($C$7:$C$1000,$C560)&gt;1,"⚠️ No encontrado | Duplicado","⚠️ No encontrado"),IF(COUNTIF($C$7:$C$1000,$C560)&gt;1,"⚠️ Duplicado","Verificado")))</f>
        <v/>
      </c>
    </row>
    <row r="561" ht="15.75" customHeight="1" s="176">
      <c r="B561" s="80" t="n"/>
      <c r="C561" s="74" t="n"/>
      <c r="D561" s="74">
        <f t="array" ref="D561">IF($C561="","",IFNA(_xlfn.XLOOKUP($C561,Productos!$A:$A,Productos!$E:$E,IFNA(_xlfn.XLOOKUP(TEXT($C561,"0"),Productos!$A:$A,Productos!$E:$E,IFNA(_xlfn.XLOOKUP(IFERROR(VALUE($C561),""),Productos!$A:$A,Productos!$E:$E,_xlfn.XLOOKUP($C561,Productos!$E:$E,Productos!$E:$E,"NO ENCONTRADO")),"NO ENCONTRADO")),"NO ENCONTRADO")),"NO ENCONTRADO"))</f>
        <v/>
      </c>
      <c r="E561" s="74">
        <f t="array" ref="E561">IF(OR($D561="",$D561="NO ENCONTRADO"),"",_xlfn.XLOOKUP($D561,Productos!$E:$E,Productos!$H:$H,""))</f>
        <v/>
      </c>
      <c r="F561" s="74">
        <f t="array" ref="F561">IF(OR($D561="",$D561="NO ENCONTRADO"),"",_xlfn.XLOOKUP($D561,Productos!$E:$E,Productos!$I:$I,""))</f>
        <v/>
      </c>
      <c r="G561" s="74">
        <f t="array" ref="G561">IF(OR($D561="",$D561="NO ENCONTRADO"),"",_xlfn.XLOOKUP($D561,Productos!$E:$E,Productos!$J:$J,""))</f>
        <v/>
      </c>
      <c r="H561" s="74">
        <f t="array" ref="H561">IF(OR($D561="",$D561="NO ENCONTRADO"),"",_xlfn.XLOOKUP($D561,Productos!$E:$E,Productos!$K:$K,""))</f>
        <v/>
      </c>
      <c r="I561" s="74">
        <f t="array" ref="I561">IF(OR($D561="",$D561="NO ENCONTRADO"),"",_xlfn.XLOOKUP($D561,Productos!$E:$E,Productos!$F:$F,""))</f>
        <v/>
      </c>
      <c r="J561" s="74">
        <f>IF($C561="","",IF($D561="NO ENCONTRADO",IF(COUNTIF($C$7:$C$1000,$C561)&gt;1,"⚠️ No encontrado | Duplicado","⚠️ No encontrado"),IF(COUNTIF($C$7:$C$1000,$C561)&gt;1,"⚠️ Duplicado","Verificado")))</f>
        <v/>
      </c>
    </row>
    <row r="562" ht="15.75" customHeight="1" s="176">
      <c r="B562" s="80" t="n"/>
      <c r="C562" s="74" t="n"/>
      <c r="D562" s="74">
        <f t="array" ref="D562">IF($C562="","",IFNA(_xlfn.XLOOKUP($C562,Productos!$A:$A,Productos!$E:$E,IFNA(_xlfn.XLOOKUP(TEXT($C562,"0"),Productos!$A:$A,Productos!$E:$E,IFNA(_xlfn.XLOOKUP(IFERROR(VALUE($C562),""),Productos!$A:$A,Productos!$E:$E,_xlfn.XLOOKUP($C562,Productos!$E:$E,Productos!$E:$E,"NO ENCONTRADO")),"NO ENCONTRADO")),"NO ENCONTRADO")),"NO ENCONTRADO"))</f>
        <v/>
      </c>
      <c r="E562" s="74">
        <f t="array" ref="E562">IF(OR($D562="",$D562="NO ENCONTRADO"),"",_xlfn.XLOOKUP($D562,Productos!$E:$E,Productos!$H:$H,""))</f>
        <v/>
      </c>
      <c r="F562" s="74">
        <f t="array" ref="F562">IF(OR($D562="",$D562="NO ENCONTRADO"),"",_xlfn.XLOOKUP($D562,Productos!$E:$E,Productos!$I:$I,""))</f>
        <v/>
      </c>
      <c r="G562" s="74">
        <f t="array" ref="G562">IF(OR($D562="",$D562="NO ENCONTRADO"),"",_xlfn.XLOOKUP($D562,Productos!$E:$E,Productos!$J:$J,""))</f>
        <v/>
      </c>
      <c r="H562" s="74">
        <f t="array" ref="H562">IF(OR($D562="",$D562="NO ENCONTRADO"),"",_xlfn.XLOOKUP($D562,Productos!$E:$E,Productos!$K:$K,""))</f>
        <v/>
      </c>
      <c r="I562" s="74">
        <f t="array" ref="I562">IF(OR($D562="",$D562="NO ENCONTRADO"),"",_xlfn.XLOOKUP($D562,Productos!$E:$E,Productos!$F:$F,""))</f>
        <v/>
      </c>
      <c r="J562" s="74">
        <f>IF($C562="","",IF($D562="NO ENCONTRADO",IF(COUNTIF($C$7:$C$1000,$C562)&gt;1,"⚠️ No encontrado | Duplicado","⚠️ No encontrado"),IF(COUNTIF($C$7:$C$1000,$C562)&gt;1,"⚠️ Duplicado","Verificado")))</f>
        <v/>
      </c>
    </row>
    <row r="563" ht="15.75" customHeight="1" s="176">
      <c r="B563" s="80" t="n"/>
      <c r="C563" s="74" t="n"/>
      <c r="D563" s="74">
        <f t="array" ref="D563">IF($C563="","",IFNA(_xlfn.XLOOKUP($C563,Productos!$A:$A,Productos!$E:$E,IFNA(_xlfn.XLOOKUP(TEXT($C563,"0"),Productos!$A:$A,Productos!$E:$E,IFNA(_xlfn.XLOOKUP(IFERROR(VALUE($C563),""),Productos!$A:$A,Productos!$E:$E,_xlfn.XLOOKUP($C563,Productos!$E:$E,Productos!$E:$E,"NO ENCONTRADO")),"NO ENCONTRADO")),"NO ENCONTRADO")),"NO ENCONTRADO"))</f>
        <v/>
      </c>
      <c r="E563" s="74">
        <f t="array" ref="E563">IF(OR($D563="",$D563="NO ENCONTRADO"),"",_xlfn.XLOOKUP($D563,Productos!$E:$E,Productos!$H:$H,""))</f>
        <v/>
      </c>
      <c r="F563" s="74">
        <f t="array" ref="F563">IF(OR($D563="",$D563="NO ENCONTRADO"),"",_xlfn.XLOOKUP($D563,Productos!$E:$E,Productos!$I:$I,""))</f>
        <v/>
      </c>
      <c r="G563" s="74">
        <f t="array" ref="G563">IF(OR($D563="",$D563="NO ENCONTRADO"),"",_xlfn.XLOOKUP($D563,Productos!$E:$E,Productos!$J:$J,""))</f>
        <v/>
      </c>
      <c r="H563" s="74">
        <f t="array" ref="H563">IF(OR($D563="",$D563="NO ENCONTRADO"),"",_xlfn.XLOOKUP($D563,Productos!$E:$E,Productos!$K:$K,""))</f>
        <v/>
      </c>
      <c r="I563" s="74">
        <f t="array" ref="I563">IF(OR($D563="",$D563="NO ENCONTRADO"),"",_xlfn.XLOOKUP($D563,Productos!$E:$E,Productos!$F:$F,""))</f>
        <v/>
      </c>
      <c r="J563" s="74">
        <f>IF($C563="","",IF($D563="NO ENCONTRADO",IF(COUNTIF($C$7:$C$1000,$C563)&gt;1,"⚠️ No encontrado | Duplicado","⚠️ No encontrado"),IF(COUNTIF($C$7:$C$1000,$C563)&gt;1,"⚠️ Duplicado","Verificado")))</f>
        <v/>
      </c>
    </row>
    <row r="564" ht="15.75" customHeight="1" s="176">
      <c r="B564" s="80" t="n"/>
      <c r="C564" s="74" t="n"/>
      <c r="D564" s="74">
        <f t="array" ref="D564">IF($C564="","",IFNA(_xlfn.XLOOKUP($C564,Productos!$A:$A,Productos!$E:$E,IFNA(_xlfn.XLOOKUP(TEXT($C564,"0"),Productos!$A:$A,Productos!$E:$E,IFNA(_xlfn.XLOOKUP(IFERROR(VALUE($C564),""),Productos!$A:$A,Productos!$E:$E,_xlfn.XLOOKUP($C564,Productos!$E:$E,Productos!$E:$E,"NO ENCONTRADO")),"NO ENCONTRADO")),"NO ENCONTRADO")),"NO ENCONTRADO"))</f>
        <v/>
      </c>
      <c r="E564" s="74">
        <f t="array" ref="E564">IF(OR($D564="",$D564="NO ENCONTRADO"),"",_xlfn.XLOOKUP($D564,Productos!$E:$E,Productos!$H:$H,""))</f>
        <v/>
      </c>
      <c r="F564" s="74">
        <f t="array" ref="F564">IF(OR($D564="",$D564="NO ENCONTRADO"),"",_xlfn.XLOOKUP($D564,Productos!$E:$E,Productos!$I:$I,""))</f>
        <v/>
      </c>
      <c r="G564" s="74">
        <f t="array" ref="G564">IF(OR($D564="",$D564="NO ENCONTRADO"),"",_xlfn.XLOOKUP($D564,Productos!$E:$E,Productos!$J:$J,""))</f>
        <v/>
      </c>
      <c r="H564" s="74">
        <f t="array" ref="H564">IF(OR($D564="",$D564="NO ENCONTRADO"),"",_xlfn.XLOOKUP($D564,Productos!$E:$E,Productos!$K:$K,""))</f>
        <v/>
      </c>
      <c r="I564" s="74">
        <f t="array" ref="I564">IF(OR($D564="",$D564="NO ENCONTRADO"),"",_xlfn.XLOOKUP($D564,Productos!$E:$E,Productos!$F:$F,""))</f>
        <v/>
      </c>
      <c r="J564" s="74">
        <f>IF($C564="","",IF($D564="NO ENCONTRADO",IF(COUNTIF($C$7:$C$1000,$C564)&gt;1,"⚠️ No encontrado | Duplicado","⚠️ No encontrado"),IF(COUNTIF($C$7:$C$1000,$C564)&gt;1,"⚠️ Duplicado","Verificado")))</f>
        <v/>
      </c>
    </row>
    <row r="565" ht="15.75" customHeight="1" s="176">
      <c r="B565" s="80" t="n"/>
      <c r="C565" s="74" t="n"/>
      <c r="D565" s="74">
        <f t="array" ref="D565">IF($C565="","",IFNA(_xlfn.XLOOKUP($C565,Productos!$A:$A,Productos!$E:$E,IFNA(_xlfn.XLOOKUP(TEXT($C565,"0"),Productos!$A:$A,Productos!$E:$E,IFNA(_xlfn.XLOOKUP(IFERROR(VALUE($C565),""),Productos!$A:$A,Productos!$E:$E,_xlfn.XLOOKUP($C565,Productos!$E:$E,Productos!$E:$E,"NO ENCONTRADO")),"NO ENCONTRADO")),"NO ENCONTRADO")),"NO ENCONTRADO"))</f>
        <v/>
      </c>
      <c r="E565" s="74">
        <f t="array" ref="E565">IF(OR($D565="",$D565="NO ENCONTRADO"),"",_xlfn.XLOOKUP($D565,Productos!$E:$E,Productos!$H:$H,""))</f>
        <v/>
      </c>
      <c r="F565" s="74">
        <f t="array" ref="F565">IF(OR($D565="",$D565="NO ENCONTRADO"),"",_xlfn.XLOOKUP($D565,Productos!$E:$E,Productos!$I:$I,""))</f>
        <v/>
      </c>
      <c r="G565" s="74">
        <f t="array" ref="G565">IF(OR($D565="",$D565="NO ENCONTRADO"),"",_xlfn.XLOOKUP($D565,Productos!$E:$E,Productos!$J:$J,""))</f>
        <v/>
      </c>
      <c r="H565" s="74">
        <f t="array" ref="H565">IF(OR($D565="",$D565="NO ENCONTRADO"),"",_xlfn.XLOOKUP($D565,Productos!$E:$E,Productos!$K:$K,""))</f>
        <v/>
      </c>
      <c r="I565" s="74">
        <f t="array" ref="I565">IF(OR($D565="",$D565="NO ENCONTRADO"),"",_xlfn.XLOOKUP($D565,Productos!$E:$E,Productos!$F:$F,""))</f>
        <v/>
      </c>
      <c r="J565" s="74">
        <f>IF($C565="","",IF($D565="NO ENCONTRADO",IF(COUNTIF($C$7:$C$1000,$C565)&gt;1,"⚠️ No encontrado | Duplicado","⚠️ No encontrado"),IF(COUNTIF($C$7:$C$1000,$C565)&gt;1,"⚠️ Duplicado","Verificado")))</f>
        <v/>
      </c>
    </row>
    <row r="566" ht="15.75" customHeight="1" s="176">
      <c r="B566" s="80" t="n"/>
      <c r="C566" s="74" t="n"/>
      <c r="D566" s="74">
        <f t="array" ref="D566">IF($C566="","",IFNA(_xlfn.XLOOKUP($C566,Productos!$A:$A,Productos!$E:$E,IFNA(_xlfn.XLOOKUP(TEXT($C566,"0"),Productos!$A:$A,Productos!$E:$E,IFNA(_xlfn.XLOOKUP(IFERROR(VALUE($C566),""),Productos!$A:$A,Productos!$E:$E,_xlfn.XLOOKUP($C566,Productos!$E:$E,Productos!$E:$E,"NO ENCONTRADO")),"NO ENCONTRADO")),"NO ENCONTRADO")),"NO ENCONTRADO"))</f>
        <v/>
      </c>
      <c r="E566" s="74">
        <f t="array" ref="E566">IF(OR($D566="",$D566="NO ENCONTRADO"),"",_xlfn.XLOOKUP($D566,Productos!$E:$E,Productos!$H:$H,""))</f>
        <v/>
      </c>
      <c r="F566" s="74">
        <f t="array" ref="F566">IF(OR($D566="",$D566="NO ENCONTRADO"),"",_xlfn.XLOOKUP($D566,Productos!$E:$E,Productos!$I:$I,""))</f>
        <v/>
      </c>
      <c r="G566" s="74">
        <f t="array" ref="G566">IF(OR($D566="",$D566="NO ENCONTRADO"),"",_xlfn.XLOOKUP($D566,Productos!$E:$E,Productos!$J:$J,""))</f>
        <v/>
      </c>
      <c r="H566" s="74">
        <f t="array" ref="H566">IF(OR($D566="",$D566="NO ENCONTRADO"),"",_xlfn.XLOOKUP($D566,Productos!$E:$E,Productos!$K:$K,""))</f>
        <v/>
      </c>
      <c r="I566" s="74">
        <f t="array" ref="I566">IF(OR($D566="",$D566="NO ENCONTRADO"),"",_xlfn.XLOOKUP($D566,Productos!$E:$E,Productos!$F:$F,""))</f>
        <v/>
      </c>
      <c r="J566" s="74">
        <f>IF($C566="","",IF($D566="NO ENCONTRADO",IF(COUNTIF($C$7:$C$1000,$C566)&gt;1,"⚠️ No encontrado | Duplicado","⚠️ No encontrado"),IF(COUNTIF($C$7:$C$1000,$C566)&gt;1,"⚠️ Duplicado","Verificado")))</f>
        <v/>
      </c>
    </row>
    <row r="567" ht="15.75" customHeight="1" s="176">
      <c r="B567" s="80" t="n"/>
      <c r="C567" s="74" t="n"/>
      <c r="D567" s="74">
        <f t="array" ref="D567">IF($C567="","",IFNA(_xlfn.XLOOKUP($C567,Productos!$A:$A,Productos!$E:$E,IFNA(_xlfn.XLOOKUP(TEXT($C567,"0"),Productos!$A:$A,Productos!$E:$E,IFNA(_xlfn.XLOOKUP(IFERROR(VALUE($C567),""),Productos!$A:$A,Productos!$E:$E,_xlfn.XLOOKUP($C567,Productos!$E:$E,Productos!$E:$E,"NO ENCONTRADO")),"NO ENCONTRADO")),"NO ENCONTRADO")),"NO ENCONTRADO"))</f>
        <v/>
      </c>
      <c r="E567" s="74">
        <f t="array" ref="E567">IF(OR($D567="",$D567="NO ENCONTRADO"),"",_xlfn.XLOOKUP($D567,Productos!$E:$E,Productos!$H:$H,""))</f>
        <v/>
      </c>
      <c r="F567" s="74">
        <f t="array" ref="F567">IF(OR($D567="",$D567="NO ENCONTRADO"),"",_xlfn.XLOOKUP($D567,Productos!$E:$E,Productos!$I:$I,""))</f>
        <v/>
      </c>
      <c r="G567" s="74">
        <f t="array" ref="G567">IF(OR($D567="",$D567="NO ENCONTRADO"),"",_xlfn.XLOOKUP($D567,Productos!$E:$E,Productos!$J:$J,""))</f>
        <v/>
      </c>
      <c r="H567" s="74">
        <f t="array" ref="H567">IF(OR($D567="",$D567="NO ENCONTRADO"),"",_xlfn.XLOOKUP($D567,Productos!$E:$E,Productos!$K:$K,""))</f>
        <v/>
      </c>
      <c r="I567" s="74">
        <f t="array" ref="I567">IF(OR($D567="",$D567="NO ENCONTRADO"),"",_xlfn.XLOOKUP($D567,Productos!$E:$E,Productos!$F:$F,""))</f>
        <v/>
      </c>
      <c r="J567" s="74">
        <f>IF($C567="","",IF($D567="NO ENCONTRADO",IF(COUNTIF($C$7:$C$1000,$C567)&gt;1,"⚠️ No encontrado | Duplicado","⚠️ No encontrado"),IF(COUNTIF($C$7:$C$1000,$C567)&gt;1,"⚠️ Duplicado","Verificado")))</f>
        <v/>
      </c>
    </row>
    <row r="568" ht="15.75" customHeight="1" s="176">
      <c r="B568" s="80" t="n"/>
      <c r="C568" s="74" t="n"/>
      <c r="D568" s="74">
        <f t="array" ref="D568">IF($C568="","",IFNA(_xlfn.XLOOKUP($C568,Productos!$A:$A,Productos!$E:$E,IFNA(_xlfn.XLOOKUP(TEXT($C568,"0"),Productos!$A:$A,Productos!$E:$E,IFNA(_xlfn.XLOOKUP(IFERROR(VALUE($C568),""),Productos!$A:$A,Productos!$E:$E,_xlfn.XLOOKUP($C568,Productos!$E:$E,Productos!$E:$E,"NO ENCONTRADO")),"NO ENCONTRADO")),"NO ENCONTRADO")),"NO ENCONTRADO"))</f>
        <v/>
      </c>
      <c r="E568" s="74">
        <f t="array" ref="E568">IF(OR($D568="",$D568="NO ENCONTRADO"),"",_xlfn.XLOOKUP($D568,Productos!$E:$E,Productos!$H:$H,""))</f>
        <v/>
      </c>
      <c r="F568" s="74">
        <f t="array" ref="F568">IF(OR($D568="",$D568="NO ENCONTRADO"),"",_xlfn.XLOOKUP($D568,Productos!$E:$E,Productos!$I:$I,""))</f>
        <v/>
      </c>
      <c r="G568" s="74">
        <f t="array" ref="G568">IF(OR($D568="",$D568="NO ENCONTRADO"),"",_xlfn.XLOOKUP($D568,Productos!$E:$E,Productos!$J:$J,""))</f>
        <v/>
      </c>
      <c r="H568" s="74">
        <f t="array" ref="H568">IF(OR($D568="",$D568="NO ENCONTRADO"),"",_xlfn.XLOOKUP($D568,Productos!$E:$E,Productos!$K:$K,""))</f>
        <v/>
      </c>
      <c r="I568" s="74">
        <f t="array" ref="I568">IF(OR($D568="",$D568="NO ENCONTRADO"),"",_xlfn.XLOOKUP($D568,Productos!$E:$E,Productos!$F:$F,""))</f>
        <v/>
      </c>
      <c r="J568" s="74">
        <f>IF($C568="","",IF($D568="NO ENCONTRADO",IF(COUNTIF($C$7:$C$1000,$C568)&gt;1,"⚠️ No encontrado | Duplicado","⚠️ No encontrado"),IF(COUNTIF($C$7:$C$1000,$C568)&gt;1,"⚠️ Duplicado","Verificado")))</f>
        <v/>
      </c>
    </row>
    <row r="569" ht="15.75" customHeight="1" s="176">
      <c r="B569" s="80" t="n"/>
      <c r="C569" s="74" t="n"/>
      <c r="D569" s="74">
        <f t="array" ref="D569">IF($C569="","",IFNA(_xlfn.XLOOKUP($C569,Productos!$A:$A,Productos!$E:$E,IFNA(_xlfn.XLOOKUP(TEXT($C569,"0"),Productos!$A:$A,Productos!$E:$E,IFNA(_xlfn.XLOOKUP(IFERROR(VALUE($C569),""),Productos!$A:$A,Productos!$E:$E,_xlfn.XLOOKUP($C569,Productos!$E:$E,Productos!$E:$E,"NO ENCONTRADO")),"NO ENCONTRADO")),"NO ENCONTRADO")),"NO ENCONTRADO"))</f>
        <v/>
      </c>
      <c r="E569" s="74">
        <f t="array" ref="E569">IF(OR($D569="",$D569="NO ENCONTRADO"),"",_xlfn.XLOOKUP($D569,Productos!$E:$E,Productos!$H:$H,""))</f>
        <v/>
      </c>
      <c r="F569" s="74">
        <f t="array" ref="F569">IF(OR($D569="",$D569="NO ENCONTRADO"),"",_xlfn.XLOOKUP($D569,Productos!$E:$E,Productos!$I:$I,""))</f>
        <v/>
      </c>
      <c r="G569" s="74">
        <f t="array" ref="G569">IF(OR($D569="",$D569="NO ENCONTRADO"),"",_xlfn.XLOOKUP($D569,Productos!$E:$E,Productos!$J:$J,""))</f>
        <v/>
      </c>
      <c r="H569" s="74">
        <f t="array" ref="H569">IF(OR($D569="",$D569="NO ENCONTRADO"),"",_xlfn.XLOOKUP($D569,Productos!$E:$E,Productos!$K:$K,""))</f>
        <v/>
      </c>
      <c r="I569" s="74">
        <f t="array" ref="I569">IF(OR($D569="",$D569="NO ENCONTRADO"),"",_xlfn.XLOOKUP($D569,Productos!$E:$E,Productos!$F:$F,""))</f>
        <v/>
      </c>
      <c r="J569" s="74">
        <f>IF($C569="","",IF($D569="NO ENCONTRADO",IF(COUNTIF($C$7:$C$1000,$C569)&gt;1,"⚠️ No encontrado | Duplicado","⚠️ No encontrado"),IF(COUNTIF($C$7:$C$1000,$C569)&gt;1,"⚠️ Duplicado","Verificado")))</f>
        <v/>
      </c>
    </row>
    <row r="570" ht="15.75" customHeight="1" s="176">
      <c r="B570" s="80" t="n"/>
      <c r="C570" s="74" t="n"/>
      <c r="D570" s="74">
        <f t="array" ref="D570">IF($C570="","",IFNA(_xlfn.XLOOKUP($C570,Productos!$A:$A,Productos!$E:$E,IFNA(_xlfn.XLOOKUP(TEXT($C570,"0"),Productos!$A:$A,Productos!$E:$E,IFNA(_xlfn.XLOOKUP(IFERROR(VALUE($C570),""),Productos!$A:$A,Productos!$E:$E,_xlfn.XLOOKUP($C570,Productos!$E:$E,Productos!$E:$E,"NO ENCONTRADO")),"NO ENCONTRADO")),"NO ENCONTRADO")),"NO ENCONTRADO"))</f>
        <v/>
      </c>
      <c r="E570" s="74">
        <f t="array" ref="E570">IF(OR($D570="",$D570="NO ENCONTRADO"),"",_xlfn.XLOOKUP($D570,Productos!$E:$E,Productos!$H:$H,""))</f>
        <v/>
      </c>
      <c r="F570" s="74">
        <f t="array" ref="F570">IF(OR($D570="",$D570="NO ENCONTRADO"),"",_xlfn.XLOOKUP($D570,Productos!$E:$E,Productos!$I:$I,""))</f>
        <v/>
      </c>
      <c r="G570" s="74">
        <f t="array" ref="G570">IF(OR($D570="",$D570="NO ENCONTRADO"),"",_xlfn.XLOOKUP($D570,Productos!$E:$E,Productos!$J:$J,""))</f>
        <v/>
      </c>
      <c r="H570" s="74">
        <f t="array" ref="H570">IF(OR($D570="",$D570="NO ENCONTRADO"),"",_xlfn.XLOOKUP($D570,Productos!$E:$E,Productos!$K:$K,""))</f>
        <v/>
      </c>
      <c r="I570" s="74">
        <f t="array" ref="I570">IF(OR($D570="",$D570="NO ENCONTRADO"),"",_xlfn.XLOOKUP($D570,Productos!$E:$E,Productos!$F:$F,""))</f>
        <v/>
      </c>
      <c r="J570" s="74">
        <f>IF($C570="","",IF($D570="NO ENCONTRADO",IF(COUNTIF($C$7:$C$1000,$C570)&gt;1,"⚠️ No encontrado | Duplicado","⚠️ No encontrado"),IF(COUNTIF($C$7:$C$1000,$C570)&gt;1,"⚠️ Duplicado","Verificado")))</f>
        <v/>
      </c>
    </row>
    <row r="571" ht="15.75" customHeight="1" s="176">
      <c r="B571" s="80" t="n"/>
      <c r="C571" s="74" t="n"/>
      <c r="D571" s="74">
        <f t="array" ref="D571">IF($C571="","",IFNA(_xlfn.XLOOKUP($C571,Productos!$A:$A,Productos!$E:$E,IFNA(_xlfn.XLOOKUP(TEXT($C571,"0"),Productos!$A:$A,Productos!$E:$E,IFNA(_xlfn.XLOOKUP(IFERROR(VALUE($C571),""),Productos!$A:$A,Productos!$E:$E,_xlfn.XLOOKUP($C571,Productos!$E:$E,Productos!$E:$E,"NO ENCONTRADO")),"NO ENCONTRADO")),"NO ENCONTRADO")),"NO ENCONTRADO"))</f>
        <v/>
      </c>
      <c r="E571" s="74">
        <f t="array" ref="E571">IF(OR($D571="",$D571="NO ENCONTRADO"),"",_xlfn.XLOOKUP($D571,Productos!$E:$E,Productos!$H:$H,""))</f>
        <v/>
      </c>
      <c r="F571" s="74">
        <f t="array" ref="F571">IF(OR($D571="",$D571="NO ENCONTRADO"),"",_xlfn.XLOOKUP($D571,Productos!$E:$E,Productos!$I:$I,""))</f>
        <v/>
      </c>
      <c r="G571" s="74">
        <f t="array" ref="G571">IF(OR($D571="",$D571="NO ENCONTRADO"),"",_xlfn.XLOOKUP($D571,Productos!$E:$E,Productos!$J:$J,""))</f>
        <v/>
      </c>
      <c r="H571" s="74">
        <f t="array" ref="H571">IF(OR($D571="",$D571="NO ENCONTRADO"),"",_xlfn.XLOOKUP($D571,Productos!$E:$E,Productos!$K:$K,""))</f>
        <v/>
      </c>
      <c r="I571" s="74">
        <f t="array" ref="I571">IF(OR($D571="",$D571="NO ENCONTRADO"),"",_xlfn.XLOOKUP($D571,Productos!$E:$E,Productos!$F:$F,""))</f>
        <v/>
      </c>
      <c r="J571" s="74">
        <f>IF($C571="","",IF($D571="NO ENCONTRADO",IF(COUNTIF($C$7:$C$1000,$C571)&gt;1,"⚠️ No encontrado | Duplicado","⚠️ No encontrado"),IF(COUNTIF($C$7:$C$1000,$C571)&gt;1,"⚠️ Duplicado","Verificado")))</f>
        <v/>
      </c>
    </row>
    <row r="572" ht="15.75" customHeight="1" s="176">
      <c r="B572" s="80" t="n"/>
      <c r="C572" s="74" t="n"/>
      <c r="D572" s="74">
        <f t="array" ref="D572">IF($C572="","",IFNA(_xlfn.XLOOKUP($C572,Productos!$A:$A,Productos!$E:$E,IFNA(_xlfn.XLOOKUP(TEXT($C572,"0"),Productos!$A:$A,Productos!$E:$E,IFNA(_xlfn.XLOOKUP(IFERROR(VALUE($C572),""),Productos!$A:$A,Productos!$E:$E,_xlfn.XLOOKUP($C572,Productos!$E:$E,Productos!$E:$E,"NO ENCONTRADO")),"NO ENCONTRADO")),"NO ENCONTRADO")),"NO ENCONTRADO"))</f>
        <v/>
      </c>
      <c r="E572" s="74">
        <f t="array" ref="E572">IF(OR($D572="",$D572="NO ENCONTRADO"),"",_xlfn.XLOOKUP($D572,Productos!$E:$E,Productos!$H:$H,""))</f>
        <v/>
      </c>
      <c r="F572" s="74">
        <f t="array" ref="F572">IF(OR($D572="",$D572="NO ENCONTRADO"),"",_xlfn.XLOOKUP($D572,Productos!$E:$E,Productos!$I:$I,""))</f>
        <v/>
      </c>
      <c r="G572" s="74">
        <f t="array" ref="G572">IF(OR($D572="",$D572="NO ENCONTRADO"),"",_xlfn.XLOOKUP($D572,Productos!$E:$E,Productos!$J:$J,""))</f>
        <v/>
      </c>
      <c r="H572" s="74">
        <f t="array" ref="H572">IF(OR($D572="",$D572="NO ENCONTRADO"),"",_xlfn.XLOOKUP($D572,Productos!$E:$E,Productos!$K:$K,""))</f>
        <v/>
      </c>
      <c r="I572" s="74">
        <f t="array" ref="I572">IF(OR($D572="",$D572="NO ENCONTRADO"),"",_xlfn.XLOOKUP($D572,Productos!$E:$E,Productos!$F:$F,""))</f>
        <v/>
      </c>
      <c r="J572" s="74">
        <f>IF($C572="","",IF($D572="NO ENCONTRADO",IF(COUNTIF($C$7:$C$1000,$C572)&gt;1,"⚠️ No encontrado | Duplicado","⚠️ No encontrado"),IF(COUNTIF($C$7:$C$1000,$C572)&gt;1,"⚠️ Duplicado","Verificado")))</f>
        <v/>
      </c>
    </row>
    <row r="573" ht="15.75" customHeight="1" s="176">
      <c r="B573" s="80" t="n"/>
      <c r="C573" s="74" t="n"/>
      <c r="D573" s="74">
        <f t="array" ref="D573">IF($C573="","",IFNA(_xlfn.XLOOKUP($C573,Productos!$A:$A,Productos!$E:$E,IFNA(_xlfn.XLOOKUP(TEXT($C573,"0"),Productos!$A:$A,Productos!$E:$E,IFNA(_xlfn.XLOOKUP(IFERROR(VALUE($C573),""),Productos!$A:$A,Productos!$E:$E,_xlfn.XLOOKUP($C573,Productos!$E:$E,Productos!$E:$E,"NO ENCONTRADO")),"NO ENCONTRADO")),"NO ENCONTRADO")),"NO ENCONTRADO"))</f>
        <v/>
      </c>
      <c r="E573" s="74">
        <f t="array" ref="E573">IF(OR($D573="",$D573="NO ENCONTRADO"),"",_xlfn.XLOOKUP($D573,Productos!$E:$E,Productos!$H:$H,""))</f>
        <v/>
      </c>
      <c r="F573" s="74">
        <f t="array" ref="F573">IF(OR($D573="",$D573="NO ENCONTRADO"),"",_xlfn.XLOOKUP($D573,Productos!$E:$E,Productos!$I:$I,""))</f>
        <v/>
      </c>
      <c r="G573" s="74">
        <f t="array" ref="G573">IF(OR($D573="",$D573="NO ENCONTRADO"),"",_xlfn.XLOOKUP($D573,Productos!$E:$E,Productos!$J:$J,""))</f>
        <v/>
      </c>
      <c r="H573" s="74">
        <f t="array" ref="H573">IF(OR($D573="",$D573="NO ENCONTRADO"),"",_xlfn.XLOOKUP($D573,Productos!$E:$E,Productos!$K:$K,""))</f>
        <v/>
      </c>
      <c r="I573" s="74">
        <f t="array" ref="I573">IF(OR($D573="",$D573="NO ENCONTRADO"),"",_xlfn.XLOOKUP($D573,Productos!$E:$E,Productos!$F:$F,""))</f>
        <v/>
      </c>
      <c r="J573" s="74">
        <f>IF($C573="","",IF($D573="NO ENCONTRADO",IF(COUNTIF($C$7:$C$1000,$C573)&gt;1,"⚠️ No encontrado | Duplicado","⚠️ No encontrado"),IF(COUNTIF($C$7:$C$1000,$C573)&gt;1,"⚠️ Duplicado","Verificado")))</f>
        <v/>
      </c>
    </row>
    <row r="574" ht="15.75" customHeight="1" s="176">
      <c r="B574" s="80" t="n"/>
      <c r="C574" s="74" t="n"/>
      <c r="D574" s="74">
        <f t="array" ref="D574">IF($C574="","",IFNA(_xlfn.XLOOKUP($C574,Productos!$A:$A,Productos!$E:$E,IFNA(_xlfn.XLOOKUP(TEXT($C574,"0"),Productos!$A:$A,Productos!$E:$E,IFNA(_xlfn.XLOOKUP(IFERROR(VALUE($C574),""),Productos!$A:$A,Productos!$E:$E,_xlfn.XLOOKUP($C574,Productos!$E:$E,Productos!$E:$E,"NO ENCONTRADO")),"NO ENCONTRADO")),"NO ENCONTRADO")),"NO ENCONTRADO"))</f>
        <v/>
      </c>
      <c r="E574" s="74">
        <f t="array" ref="E574">IF(OR($D574="",$D574="NO ENCONTRADO"),"",_xlfn.XLOOKUP($D574,Productos!$E:$E,Productos!$H:$H,""))</f>
        <v/>
      </c>
      <c r="F574" s="74">
        <f t="array" ref="F574">IF(OR($D574="",$D574="NO ENCONTRADO"),"",_xlfn.XLOOKUP($D574,Productos!$E:$E,Productos!$I:$I,""))</f>
        <v/>
      </c>
      <c r="G574" s="74">
        <f t="array" ref="G574">IF(OR($D574="",$D574="NO ENCONTRADO"),"",_xlfn.XLOOKUP($D574,Productos!$E:$E,Productos!$J:$J,""))</f>
        <v/>
      </c>
      <c r="H574" s="74">
        <f t="array" ref="H574">IF(OR($D574="",$D574="NO ENCONTRADO"),"",_xlfn.XLOOKUP($D574,Productos!$E:$E,Productos!$K:$K,""))</f>
        <v/>
      </c>
      <c r="I574" s="74">
        <f t="array" ref="I574">IF(OR($D574="",$D574="NO ENCONTRADO"),"",_xlfn.XLOOKUP($D574,Productos!$E:$E,Productos!$F:$F,""))</f>
        <v/>
      </c>
      <c r="J574" s="74">
        <f>IF($C574="","",IF($D574="NO ENCONTRADO",IF(COUNTIF($C$7:$C$1000,$C574)&gt;1,"⚠️ No encontrado | Duplicado","⚠️ No encontrado"),IF(COUNTIF($C$7:$C$1000,$C574)&gt;1,"⚠️ Duplicado","Verificado")))</f>
        <v/>
      </c>
    </row>
    <row r="575" ht="15.75" customHeight="1" s="176">
      <c r="B575" s="80" t="n"/>
      <c r="C575" s="74" t="n"/>
      <c r="D575" s="74">
        <f t="array" ref="D575">IF($C575="","",IFNA(_xlfn.XLOOKUP($C575,Productos!$A:$A,Productos!$E:$E,IFNA(_xlfn.XLOOKUP(TEXT($C575,"0"),Productos!$A:$A,Productos!$E:$E,IFNA(_xlfn.XLOOKUP(IFERROR(VALUE($C575),""),Productos!$A:$A,Productos!$E:$E,_xlfn.XLOOKUP($C575,Productos!$E:$E,Productos!$E:$E,"NO ENCONTRADO")),"NO ENCONTRADO")),"NO ENCONTRADO")),"NO ENCONTRADO"))</f>
        <v/>
      </c>
      <c r="E575" s="74">
        <f t="array" ref="E575">IF(OR($D575="",$D575="NO ENCONTRADO"),"",_xlfn.XLOOKUP($D575,Productos!$E:$E,Productos!$H:$H,""))</f>
        <v/>
      </c>
      <c r="F575" s="74">
        <f t="array" ref="F575">IF(OR($D575="",$D575="NO ENCONTRADO"),"",_xlfn.XLOOKUP($D575,Productos!$E:$E,Productos!$I:$I,""))</f>
        <v/>
      </c>
      <c r="G575" s="74">
        <f t="array" ref="G575">IF(OR($D575="",$D575="NO ENCONTRADO"),"",_xlfn.XLOOKUP($D575,Productos!$E:$E,Productos!$J:$J,""))</f>
        <v/>
      </c>
      <c r="H575" s="74">
        <f t="array" ref="H575">IF(OR($D575="",$D575="NO ENCONTRADO"),"",_xlfn.XLOOKUP($D575,Productos!$E:$E,Productos!$K:$K,""))</f>
        <v/>
      </c>
      <c r="I575" s="74">
        <f t="array" ref="I575">IF(OR($D575="",$D575="NO ENCONTRADO"),"",_xlfn.XLOOKUP($D575,Productos!$E:$E,Productos!$F:$F,""))</f>
        <v/>
      </c>
      <c r="J575" s="74">
        <f>IF($C575="","",IF($D575="NO ENCONTRADO",IF(COUNTIF($C$7:$C$1000,$C575)&gt;1,"⚠️ No encontrado | Duplicado","⚠️ No encontrado"),IF(COUNTIF($C$7:$C$1000,$C575)&gt;1,"⚠️ Duplicado","Verificado")))</f>
        <v/>
      </c>
    </row>
    <row r="576" ht="15.75" customHeight="1" s="176">
      <c r="B576" s="80" t="n"/>
      <c r="C576" s="74" t="n"/>
      <c r="D576" s="74">
        <f t="array" ref="D576">IF($C576="","",IFNA(_xlfn.XLOOKUP($C576,Productos!$A:$A,Productos!$E:$E,IFNA(_xlfn.XLOOKUP(TEXT($C576,"0"),Productos!$A:$A,Productos!$E:$E,IFNA(_xlfn.XLOOKUP(IFERROR(VALUE($C576),""),Productos!$A:$A,Productos!$E:$E,_xlfn.XLOOKUP($C576,Productos!$E:$E,Productos!$E:$E,"NO ENCONTRADO")),"NO ENCONTRADO")),"NO ENCONTRADO")),"NO ENCONTRADO"))</f>
        <v/>
      </c>
      <c r="E576" s="74">
        <f t="array" ref="E576">IF(OR($D576="",$D576="NO ENCONTRADO"),"",_xlfn.XLOOKUP($D576,Productos!$E:$E,Productos!$H:$H,""))</f>
        <v/>
      </c>
      <c r="F576" s="74">
        <f t="array" ref="F576">IF(OR($D576="",$D576="NO ENCONTRADO"),"",_xlfn.XLOOKUP($D576,Productos!$E:$E,Productos!$I:$I,""))</f>
        <v/>
      </c>
      <c r="G576" s="74">
        <f t="array" ref="G576">IF(OR($D576="",$D576="NO ENCONTRADO"),"",_xlfn.XLOOKUP($D576,Productos!$E:$E,Productos!$J:$J,""))</f>
        <v/>
      </c>
      <c r="H576" s="74">
        <f t="array" ref="H576">IF(OR($D576="",$D576="NO ENCONTRADO"),"",_xlfn.XLOOKUP($D576,Productos!$E:$E,Productos!$K:$K,""))</f>
        <v/>
      </c>
      <c r="I576" s="74">
        <f t="array" ref="I576">IF(OR($D576="",$D576="NO ENCONTRADO"),"",_xlfn.XLOOKUP($D576,Productos!$E:$E,Productos!$F:$F,""))</f>
        <v/>
      </c>
      <c r="J576" s="74">
        <f>IF($C576="","",IF($D576="NO ENCONTRADO",IF(COUNTIF($C$7:$C$1000,$C576)&gt;1,"⚠️ No encontrado | Duplicado","⚠️ No encontrado"),IF(COUNTIF($C$7:$C$1000,$C576)&gt;1,"⚠️ Duplicado","Verificado")))</f>
        <v/>
      </c>
    </row>
    <row r="577" ht="15.75" customHeight="1" s="176">
      <c r="B577" s="80" t="n"/>
      <c r="C577" s="74" t="n"/>
      <c r="D577" s="74">
        <f t="array" ref="D577">IF($C577="","",IFNA(_xlfn.XLOOKUP($C577,Productos!$A:$A,Productos!$E:$E,IFNA(_xlfn.XLOOKUP(TEXT($C577,"0"),Productos!$A:$A,Productos!$E:$E,IFNA(_xlfn.XLOOKUP(IFERROR(VALUE($C577),""),Productos!$A:$A,Productos!$E:$E,_xlfn.XLOOKUP($C577,Productos!$E:$E,Productos!$E:$E,"NO ENCONTRADO")),"NO ENCONTRADO")),"NO ENCONTRADO")),"NO ENCONTRADO"))</f>
        <v/>
      </c>
      <c r="E577" s="74">
        <f t="array" ref="E577">IF(OR($D577="",$D577="NO ENCONTRADO"),"",_xlfn.XLOOKUP($D577,Productos!$E:$E,Productos!$H:$H,""))</f>
        <v/>
      </c>
      <c r="F577" s="74">
        <f t="array" ref="F577">IF(OR($D577="",$D577="NO ENCONTRADO"),"",_xlfn.XLOOKUP($D577,Productos!$E:$E,Productos!$I:$I,""))</f>
        <v/>
      </c>
      <c r="G577" s="74">
        <f t="array" ref="G577">IF(OR($D577="",$D577="NO ENCONTRADO"),"",_xlfn.XLOOKUP($D577,Productos!$E:$E,Productos!$J:$J,""))</f>
        <v/>
      </c>
      <c r="H577" s="74">
        <f t="array" ref="H577">IF(OR($D577="",$D577="NO ENCONTRADO"),"",_xlfn.XLOOKUP($D577,Productos!$E:$E,Productos!$K:$K,""))</f>
        <v/>
      </c>
      <c r="I577" s="74">
        <f t="array" ref="I577">IF(OR($D577="",$D577="NO ENCONTRADO"),"",_xlfn.XLOOKUP($D577,Productos!$E:$E,Productos!$F:$F,""))</f>
        <v/>
      </c>
      <c r="J577" s="74">
        <f>IF($C577="","",IF($D577="NO ENCONTRADO",IF(COUNTIF($C$7:$C$1000,$C577)&gt;1,"⚠️ No encontrado | Duplicado","⚠️ No encontrado"),IF(COUNTIF($C$7:$C$1000,$C577)&gt;1,"⚠️ Duplicado","Verificado")))</f>
        <v/>
      </c>
    </row>
    <row r="578" ht="15.75" customHeight="1" s="176">
      <c r="B578" s="80" t="n"/>
      <c r="C578" s="74" t="n"/>
      <c r="D578" s="74">
        <f t="array" ref="D578">IF($C578="","",IFNA(_xlfn.XLOOKUP($C578,Productos!$A:$A,Productos!$E:$E,IFNA(_xlfn.XLOOKUP(TEXT($C578,"0"),Productos!$A:$A,Productos!$E:$E,IFNA(_xlfn.XLOOKUP(IFERROR(VALUE($C578),""),Productos!$A:$A,Productos!$E:$E,_xlfn.XLOOKUP($C578,Productos!$E:$E,Productos!$E:$E,"NO ENCONTRADO")),"NO ENCONTRADO")),"NO ENCONTRADO")),"NO ENCONTRADO"))</f>
        <v/>
      </c>
      <c r="E578" s="74">
        <f t="array" ref="E578">IF(OR($D578="",$D578="NO ENCONTRADO"),"",_xlfn.XLOOKUP($D578,Productos!$E:$E,Productos!$H:$H,""))</f>
        <v/>
      </c>
      <c r="F578" s="74">
        <f t="array" ref="F578">IF(OR($D578="",$D578="NO ENCONTRADO"),"",_xlfn.XLOOKUP($D578,Productos!$E:$E,Productos!$I:$I,""))</f>
        <v/>
      </c>
      <c r="G578" s="74">
        <f t="array" ref="G578">IF(OR($D578="",$D578="NO ENCONTRADO"),"",_xlfn.XLOOKUP($D578,Productos!$E:$E,Productos!$J:$J,""))</f>
        <v/>
      </c>
      <c r="H578" s="74">
        <f t="array" ref="H578">IF(OR($D578="",$D578="NO ENCONTRADO"),"",_xlfn.XLOOKUP($D578,Productos!$E:$E,Productos!$K:$K,""))</f>
        <v/>
      </c>
      <c r="I578" s="74">
        <f t="array" ref="I578">IF(OR($D578="",$D578="NO ENCONTRADO"),"",_xlfn.XLOOKUP($D578,Productos!$E:$E,Productos!$F:$F,""))</f>
        <v/>
      </c>
      <c r="J578" s="74">
        <f>IF($C578="","",IF($D578="NO ENCONTRADO",IF(COUNTIF($C$7:$C$1000,$C578)&gt;1,"⚠️ No encontrado | Duplicado","⚠️ No encontrado"),IF(COUNTIF($C$7:$C$1000,$C578)&gt;1,"⚠️ Duplicado","Verificado")))</f>
        <v/>
      </c>
    </row>
    <row r="579" ht="15.75" customHeight="1" s="176">
      <c r="B579" s="80" t="n"/>
      <c r="C579" s="74" t="n"/>
      <c r="D579" s="74">
        <f t="array" ref="D579">IF($C579="","",IFNA(_xlfn.XLOOKUP($C579,Productos!$A:$A,Productos!$E:$E,IFNA(_xlfn.XLOOKUP(TEXT($C579,"0"),Productos!$A:$A,Productos!$E:$E,IFNA(_xlfn.XLOOKUP(IFERROR(VALUE($C579),""),Productos!$A:$A,Productos!$E:$E,_xlfn.XLOOKUP($C579,Productos!$E:$E,Productos!$E:$E,"NO ENCONTRADO")),"NO ENCONTRADO")),"NO ENCONTRADO")),"NO ENCONTRADO"))</f>
        <v/>
      </c>
      <c r="E579" s="74">
        <f t="array" ref="E579">IF(OR($D579="",$D579="NO ENCONTRADO"),"",_xlfn.XLOOKUP($D579,Productos!$E:$E,Productos!$H:$H,""))</f>
        <v/>
      </c>
      <c r="F579" s="74">
        <f t="array" ref="F579">IF(OR($D579="",$D579="NO ENCONTRADO"),"",_xlfn.XLOOKUP($D579,Productos!$E:$E,Productos!$I:$I,""))</f>
        <v/>
      </c>
      <c r="G579" s="74">
        <f t="array" ref="G579">IF(OR($D579="",$D579="NO ENCONTRADO"),"",_xlfn.XLOOKUP($D579,Productos!$E:$E,Productos!$J:$J,""))</f>
        <v/>
      </c>
      <c r="H579" s="74">
        <f t="array" ref="H579">IF(OR($D579="",$D579="NO ENCONTRADO"),"",_xlfn.XLOOKUP($D579,Productos!$E:$E,Productos!$K:$K,""))</f>
        <v/>
      </c>
      <c r="I579" s="74">
        <f t="array" ref="I579">IF(OR($D579="",$D579="NO ENCONTRADO"),"",_xlfn.XLOOKUP($D579,Productos!$E:$E,Productos!$F:$F,""))</f>
        <v/>
      </c>
      <c r="J579" s="74">
        <f>IF($C579="","",IF($D579="NO ENCONTRADO",IF(COUNTIF($C$7:$C$1000,$C579)&gt;1,"⚠️ No encontrado | Duplicado","⚠️ No encontrado"),IF(COUNTIF($C$7:$C$1000,$C579)&gt;1,"⚠️ Duplicado","Verificado")))</f>
        <v/>
      </c>
    </row>
    <row r="580" ht="15.75" customHeight="1" s="176">
      <c r="B580" s="80" t="n"/>
      <c r="C580" s="74" t="n"/>
      <c r="D580" s="74">
        <f t="array" ref="D580">IF($C580="","",IFNA(_xlfn.XLOOKUP($C580,Productos!$A:$A,Productos!$E:$E,IFNA(_xlfn.XLOOKUP(TEXT($C580,"0"),Productos!$A:$A,Productos!$E:$E,IFNA(_xlfn.XLOOKUP(IFERROR(VALUE($C580),""),Productos!$A:$A,Productos!$E:$E,_xlfn.XLOOKUP($C580,Productos!$E:$E,Productos!$E:$E,"NO ENCONTRADO")),"NO ENCONTRADO")),"NO ENCONTRADO")),"NO ENCONTRADO"))</f>
        <v/>
      </c>
      <c r="E580" s="74">
        <f t="array" ref="E580">IF(OR($D580="",$D580="NO ENCONTRADO"),"",_xlfn.XLOOKUP($D580,Productos!$E:$E,Productos!$H:$H,""))</f>
        <v/>
      </c>
      <c r="F580" s="74">
        <f t="array" ref="F580">IF(OR($D580="",$D580="NO ENCONTRADO"),"",_xlfn.XLOOKUP($D580,Productos!$E:$E,Productos!$I:$I,""))</f>
        <v/>
      </c>
      <c r="G580" s="74">
        <f t="array" ref="G580">IF(OR($D580="",$D580="NO ENCONTRADO"),"",_xlfn.XLOOKUP($D580,Productos!$E:$E,Productos!$J:$J,""))</f>
        <v/>
      </c>
      <c r="H580" s="74">
        <f t="array" ref="H580">IF(OR($D580="",$D580="NO ENCONTRADO"),"",_xlfn.XLOOKUP($D580,Productos!$E:$E,Productos!$K:$K,""))</f>
        <v/>
      </c>
      <c r="I580" s="74">
        <f t="array" ref="I580">IF(OR($D580="",$D580="NO ENCONTRADO"),"",_xlfn.XLOOKUP($D580,Productos!$E:$E,Productos!$F:$F,""))</f>
        <v/>
      </c>
      <c r="J580" s="74">
        <f>IF($C580="","",IF($D580="NO ENCONTRADO",IF(COUNTIF($C$7:$C$1000,$C580)&gt;1,"⚠️ No encontrado | Duplicado","⚠️ No encontrado"),IF(COUNTIF($C$7:$C$1000,$C580)&gt;1,"⚠️ Duplicado","Verificado")))</f>
        <v/>
      </c>
    </row>
    <row r="581" ht="15.75" customHeight="1" s="176">
      <c r="B581" s="80" t="n"/>
      <c r="C581" s="74" t="n"/>
      <c r="D581" s="74">
        <f t="array" ref="D581">IF($C581="","",IFNA(_xlfn.XLOOKUP($C581,Productos!$A:$A,Productos!$E:$E,IFNA(_xlfn.XLOOKUP(TEXT($C581,"0"),Productos!$A:$A,Productos!$E:$E,IFNA(_xlfn.XLOOKUP(IFERROR(VALUE($C581),""),Productos!$A:$A,Productos!$E:$E,_xlfn.XLOOKUP($C581,Productos!$E:$E,Productos!$E:$E,"NO ENCONTRADO")),"NO ENCONTRADO")),"NO ENCONTRADO")),"NO ENCONTRADO"))</f>
        <v/>
      </c>
      <c r="E581" s="74">
        <f t="array" ref="E581">IF(OR($D581="",$D581="NO ENCONTRADO"),"",_xlfn.XLOOKUP($D581,Productos!$E:$E,Productos!$H:$H,""))</f>
        <v/>
      </c>
      <c r="F581" s="74">
        <f t="array" ref="F581">IF(OR($D581="",$D581="NO ENCONTRADO"),"",_xlfn.XLOOKUP($D581,Productos!$E:$E,Productos!$I:$I,""))</f>
        <v/>
      </c>
      <c r="G581" s="74">
        <f t="array" ref="G581">IF(OR($D581="",$D581="NO ENCONTRADO"),"",_xlfn.XLOOKUP($D581,Productos!$E:$E,Productos!$J:$J,""))</f>
        <v/>
      </c>
      <c r="H581" s="74">
        <f t="array" ref="H581">IF(OR($D581="",$D581="NO ENCONTRADO"),"",_xlfn.XLOOKUP($D581,Productos!$E:$E,Productos!$K:$K,""))</f>
        <v/>
      </c>
      <c r="I581" s="74">
        <f t="array" ref="I581">IF(OR($D581="",$D581="NO ENCONTRADO"),"",_xlfn.XLOOKUP($D581,Productos!$E:$E,Productos!$F:$F,""))</f>
        <v/>
      </c>
      <c r="J581" s="74">
        <f>IF($C581="","",IF($D581="NO ENCONTRADO",IF(COUNTIF($C$7:$C$1000,$C581)&gt;1,"⚠️ No encontrado | Duplicado","⚠️ No encontrado"),IF(COUNTIF($C$7:$C$1000,$C581)&gt;1,"⚠️ Duplicado","Verificado")))</f>
        <v/>
      </c>
    </row>
    <row r="582" ht="15.75" customHeight="1" s="176">
      <c r="B582" s="80" t="n"/>
      <c r="C582" s="74" t="n"/>
      <c r="D582" s="74">
        <f t="array" ref="D582">IF($C582="","",IFNA(_xlfn.XLOOKUP($C582,Productos!$A:$A,Productos!$E:$E,IFNA(_xlfn.XLOOKUP(TEXT($C582,"0"),Productos!$A:$A,Productos!$E:$E,IFNA(_xlfn.XLOOKUP(IFERROR(VALUE($C582),""),Productos!$A:$A,Productos!$E:$E,_xlfn.XLOOKUP($C582,Productos!$E:$E,Productos!$E:$E,"NO ENCONTRADO")),"NO ENCONTRADO")),"NO ENCONTRADO")),"NO ENCONTRADO"))</f>
        <v/>
      </c>
      <c r="E582" s="74">
        <f t="array" ref="E582">IF(OR($D582="",$D582="NO ENCONTRADO"),"",_xlfn.XLOOKUP($D582,Productos!$E:$E,Productos!$H:$H,""))</f>
        <v/>
      </c>
      <c r="F582" s="74">
        <f t="array" ref="F582">IF(OR($D582="",$D582="NO ENCONTRADO"),"",_xlfn.XLOOKUP($D582,Productos!$E:$E,Productos!$I:$I,""))</f>
        <v/>
      </c>
      <c r="G582" s="74">
        <f t="array" ref="G582">IF(OR($D582="",$D582="NO ENCONTRADO"),"",_xlfn.XLOOKUP($D582,Productos!$E:$E,Productos!$J:$J,""))</f>
        <v/>
      </c>
      <c r="H582" s="74">
        <f t="array" ref="H582">IF(OR($D582="",$D582="NO ENCONTRADO"),"",_xlfn.XLOOKUP($D582,Productos!$E:$E,Productos!$K:$K,""))</f>
        <v/>
      </c>
      <c r="I582" s="74">
        <f t="array" ref="I582">IF(OR($D582="",$D582="NO ENCONTRADO"),"",_xlfn.XLOOKUP($D582,Productos!$E:$E,Productos!$F:$F,""))</f>
        <v/>
      </c>
      <c r="J582" s="74">
        <f>IF($C582="","",IF($D582="NO ENCONTRADO",IF(COUNTIF($C$7:$C$1000,$C582)&gt;1,"⚠️ No encontrado | Duplicado","⚠️ No encontrado"),IF(COUNTIF($C$7:$C$1000,$C582)&gt;1,"⚠️ Duplicado","Verificado")))</f>
        <v/>
      </c>
    </row>
    <row r="583" ht="15.75" customHeight="1" s="176">
      <c r="B583" s="80" t="n"/>
      <c r="C583" s="74" t="n"/>
      <c r="D583" s="74">
        <f t="array" ref="D583">IF($C583="","",IFNA(_xlfn.XLOOKUP($C583,Productos!$A:$A,Productos!$E:$E,IFNA(_xlfn.XLOOKUP(TEXT($C583,"0"),Productos!$A:$A,Productos!$E:$E,IFNA(_xlfn.XLOOKUP(IFERROR(VALUE($C583),""),Productos!$A:$A,Productos!$E:$E,_xlfn.XLOOKUP($C583,Productos!$E:$E,Productos!$E:$E,"NO ENCONTRADO")),"NO ENCONTRADO")),"NO ENCONTRADO")),"NO ENCONTRADO"))</f>
        <v/>
      </c>
      <c r="E583" s="74">
        <f t="array" ref="E583">IF(OR($D583="",$D583="NO ENCONTRADO"),"",_xlfn.XLOOKUP($D583,Productos!$E:$E,Productos!$H:$H,""))</f>
        <v/>
      </c>
      <c r="F583" s="74">
        <f t="array" ref="F583">IF(OR($D583="",$D583="NO ENCONTRADO"),"",_xlfn.XLOOKUP($D583,Productos!$E:$E,Productos!$I:$I,""))</f>
        <v/>
      </c>
      <c r="G583" s="74">
        <f t="array" ref="G583">IF(OR($D583="",$D583="NO ENCONTRADO"),"",_xlfn.XLOOKUP($D583,Productos!$E:$E,Productos!$J:$J,""))</f>
        <v/>
      </c>
      <c r="H583" s="74">
        <f t="array" ref="H583">IF(OR($D583="",$D583="NO ENCONTRADO"),"",_xlfn.XLOOKUP($D583,Productos!$E:$E,Productos!$K:$K,""))</f>
        <v/>
      </c>
      <c r="I583" s="74">
        <f t="array" ref="I583">IF(OR($D583="",$D583="NO ENCONTRADO"),"",_xlfn.XLOOKUP($D583,Productos!$E:$E,Productos!$F:$F,""))</f>
        <v/>
      </c>
      <c r="J583" s="74">
        <f>IF($C583="","",IF($D583="NO ENCONTRADO",IF(COUNTIF($C$7:$C$1000,$C583)&gt;1,"⚠️ No encontrado | Duplicado","⚠️ No encontrado"),IF(COUNTIF($C$7:$C$1000,$C583)&gt;1,"⚠️ Duplicado","Verificado")))</f>
        <v/>
      </c>
    </row>
    <row r="584" ht="15.75" customHeight="1" s="176">
      <c r="B584" s="80" t="n"/>
      <c r="C584" s="74" t="n"/>
      <c r="D584" s="74">
        <f t="array" ref="D584">IF($C584="","",IFNA(_xlfn.XLOOKUP($C584,Productos!$A:$A,Productos!$E:$E,IFNA(_xlfn.XLOOKUP(TEXT($C584,"0"),Productos!$A:$A,Productos!$E:$E,IFNA(_xlfn.XLOOKUP(IFERROR(VALUE($C584),""),Productos!$A:$A,Productos!$E:$E,_xlfn.XLOOKUP($C584,Productos!$E:$E,Productos!$E:$E,"NO ENCONTRADO")),"NO ENCONTRADO")),"NO ENCONTRADO")),"NO ENCONTRADO"))</f>
        <v/>
      </c>
      <c r="E584" s="74">
        <f t="array" ref="E584">IF(OR($D584="",$D584="NO ENCONTRADO"),"",_xlfn.XLOOKUP($D584,Productos!$E:$E,Productos!$H:$H,""))</f>
        <v/>
      </c>
      <c r="F584" s="74">
        <f t="array" ref="F584">IF(OR($D584="",$D584="NO ENCONTRADO"),"",_xlfn.XLOOKUP($D584,Productos!$E:$E,Productos!$I:$I,""))</f>
        <v/>
      </c>
      <c r="G584" s="74">
        <f t="array" ref="G584">IF(OR($D584="",$D584="NO ENCONTRADO"),"",_xlfn.XLOOKUP($D584,Productos!$E:$E,Productos!$J:$J,""))</f>
        <v/>
      </c>
      <c r="H584" s="74">
        <f t="array" ref="H584">IF(OR($D584="",$D584="NO ENCONTRADO"),"",_xlfn.XLOOKUP($D584,Productos!$E:$E,Productos!$K:$K,""))</f>
        <v/>
      </c>
      <c r="I584" s="74">
        <f t="array" ref="I584">IF(OR($D584="",$D584="NO ENCONTRADO"),"",_xlfn.XLOOKUP($D584,Productos!$E:$E,Productos!$F:$F,""))</f>
        <v/>
      </c>
      <c r="J584" s="74">
        <f>IF($C584="","",IF($D584="NO ENCONTRADO",IF(COUNTIF($C$7:$C$1000,$C584)&gt;1,"⚠️ No encontrado | Duplicado","⚠️ No encontrado"),IF(COUNTIF($C$7:$C$1000,$C584)&gt;1,"⚠️ Duplicado","Verificado")))</f>
        <v/>
      </c>
    </row>
    <row r="585" ht="15.75" customHeight="1" s="176">
      <c r="B585" s="80" t="n"/>
      <c r="C585" s="74" t="n"/>
      <c r="D585" s="74">
        <f t="array" ref="D585">IF($C585="","",IFNA(_xlfn.XLOOKUP($C585,Productos!$A:$A,Productos!$E:$E,IFNA(_xlfn.XLOOKUP(TEXT($C585,"0"),Productos!$A:$A,Productos!$E:$E,IFNA(_xlfn.XLOOKUP(IFERROR(VALUE($C585),""),Productos!$A:$A,Productos!$E:$E,_xlfn.XLOOKUP($C585,Productos!$E:$E,Productos!$E:$E,"NO ENCONTRADO")),"NO ENCONTRADO")),"NO ENCONTRADO")),"NO ENCONTRADO"))</f>
        <v/>
      </c>
      <c r="E585" s="74">
        <f t="array" ref="E585">IF(OR($D585="",$D585="NO ENCONTRADO"),"",_xlfn.XLOOKUP($D585,Productos!$E:$E,Productos!$H:$H,""))</f>
        <v/>
      </c>
      <c r="F585" s="74">
        <f t="array" ref="F585">IF(OR($D585="",$D585="NO ENCONTRADO"),"",_xlfn.XLOOKUP($D585,Productos!$E:$E,Productos!$I:$I,""))</f>
        <v/>
      </c>
      <c r="G585" s="74">
        <f t="array" ref="G585">IF(OR($D585="",$D585="NO ENCONTRADO"),"",_xlfn.XLOOKUP($D585,Productos!$E:$E,Productos!$J:$J,""))</f>
        <v/>
      </c>
      <c r="H585" s="74">
        <f t="array" ref="H585">IF(OR($D585="",$D585="NO ENCONTRADO"),"",_xlfn.XLOOKUP($D585,Productos!$E:$E,Productos!$K:$K,""))</f>
        <v/>
      </c>
      <c r="I585" s="74">
        <f t="array" ref="I585">IF(OR($D585="",$D585="NO ENCONTRADO"),"",_xlfn.XLOOKUP($D585,Productos!$E:$E,Productos!$F:$F,""))</f>
        <v/>
      </c>
      <c r="J585" s="74">
        <f>IF($C585="","",IF($D585="NO ENCONTRADO",IF(COUNTIF($C$7:$C$1000,$C585)&gt;1,"⚠️ No encontrado | Duplicado","⚠️ No encontrado"),IF(COUNTIF($C$7:$C$1000,$C585)&gt;1,"⚠️ Duplicado","Verificado")))</f>
        <v/>
      </c>
    </row>
    <row r="586" ht="15.75" customHeight="1" s="176">
      <c r="B586" s="80" t="n"/>
      <c r="C586" s="74" t="n"/>
      <c r="D586" s="74">
        <f t="array" ref="D586">IF($C586="","",IFNA(_xlfn.XLOOKUP($C586,Productos!$A:$A,Productos!$E:$E,IFNA(_xlfn.XLOOKUP(TEXT($C586,"0"),Productos!$A:$A,Productos!$E:$E,IFNA(_xlfn.XLOOKUP(IFERROR(VALUE($C586),""),Productos!$A:$A,Productos!$E:$E,_xlfn.XLOOKUP($C586,Productos!$E:$E,Productos!$E:$E,"NO ENCONTRADO")),"NO ENCONTRADO")),"NO ENCONTRADO")),"NO ENCONTRADO"))</f>
        <v/>
      </c>
      <c r="E586" s="74">
        <f t="array" ref="E586">IF(OR($D586="",$D586="NO ENCONTRADO"),"",_xlfn.XLOOKUP($D586,Productos!$E:$E,Productos!$H:$H,""))</f>
        <v/>
      </c>
      <c r="F586" s="74">
        <f t="array" ref="F586">IF(OR($D586="",$D586="NO ENCONTRADO"),"",_xlfn.XLOOKUP($D586,Productos!$E:$E,Productos!$I:$I,""))</f>
        <v/>
      </c>
      <c r="G586" s="74">
        <f t="array" ref="G586">IF(OR($D586="",$D586="NO ENCONTRADO"),"",_xlfn.XLOOKUP($D586,Productos!$E:$E,Productos!$J:$J,""))</f>
        <v/>
      </c>
      <c r="H586" s="74">
        <f t="array" ref="H586">IF(OR($D586="",$D586="NO ENCONTRADO"),"",_xlfn.XLOOKUP($D586,Productos!$E:$E,Productos!$K:$K,""))</f>
        <v/>
      </c>
      <c r="I586" s="74">
        <f t="array" ref="I586">IF(OR($D586="",$D586="NO ENCONTRADO"),"",_xlfn.XLOOKUP($D586,Productos!$E:$E,Productos!$F:$F,""))</f>
        <v/>
      </c>
      <c r="J586" s="74">
        <f>IF($C586="","",IF($D586="NO ENCONTRADO",IF(COUNTIF($C$7:$C$1000,$C586)&gt;1,"⚠️ No encontrado | Duplicado","⚠️ No encontrado"),IF(COUNTIF($C$7:$C$1000,$C586)&gt;1,"⚠️ Duplicado","Verificado")))</f>
        <v/>
      </c>
    </row>
    <row r="587" ht="15.75" customHeight="1" s="176">
      <c r="B587" s="80" t="n"/>
      <c r="C587" s="74" t="n"/>
      <c r="D587" s="74">
        <f t="array" ref="D587">IF($C587="","",IFNA(_xlfn.XLOOKUP($C587,Productos!$A:$A,Productos!$E:$E,IFNA(_xlfn.XLOOKUP(TEXT($C587,"0"),Productos!$A:$A,Productos!$E:$E,IFNA(_xlfn.XLOOKUP(IFERROR(VALUE($C587),""),Productos!$A:$A,Productos!$E:$E,_xlfn.XLOOKUP($C587,Productos!$E:$E,Productos!$E:$E,"NO ENCONTRADO")),"NO ENCONTRADO")),"NO ENCONTRADO")),"NO ENCONTRADO"))</f>
        <v/>
      </c>
      <c r="E587" s="74">
        <f t="array" ref="E587">IF(OR($D587="",$D587="NO ENCONTRADO"),"",_xlfn.XLOOKUP($D587,Productos!$E:$E,Productos!$H:$H,""))</f>
        <v/>
      </c>
      <c r="F587" s="74">
        <f t="array" ref="F587">IF(OR($D587="",$D587="NO ENCONTRADO"),"",_xlfn.XLOOKUP($D587,Productos!$E:$E,Productos!$I:$I,""))</f>
        <v/>
      </c>
      <c r="G587" s="74">
        <f t="array" ref="G587">IF(OR($D587="",$D587="NO ENCONTRADO"),"",_xlfn.XLOOKUP($D587,Productos!$E:$E,Productos!$J:$J,""))</f>
        <v/>
      </c>
      <c r="H587" s="74">
        <f t="array" ref="H587">IF(OR($D587="",$D587="NO ENCONTRADO"),"",_xlfn.XLOOKUP($D587,Productos!$E:$E,Productos!$K:$K,""))</f>
        <v/>
      </c>
      <c r="I587" s="74">
        <f t="array" ref="I587">IF(OR($D587="",$D587="NO ENCONTRADO"),"",_xlfn.XLOOKUP($D587,Productos!$E:$E,Productos!$F:$F,""))</f>
        <v/>
      </c>
      <c r="J587" s="74">
        <f>IF($C587="","",IF($D587="NO ENCONTRADO",IF(COUNTIF($C$7:$C$1000,$C587)&gt;1,"⚠️ No encontrado | Duplicado","⚠️ No encontrado"),IF(COUNTIF($C$7:$C$1000,$C587)&gt;1,"⚠️ Duplicado","Verificado")))</f>
        <v/>
      </c>
    </row>
    <row r="588" ht="15.75" customHeight="1" s="176">
      <c r="B588" s="80" t="n"/>
      <c r="C588" s="74" t="n"/>
      <c r="D588" s="74">
        <f t="array" ref="D588">IF($C588="","",IFNA(_xlfn.XLOOKUP($C588,Productos!$A:$A,Productos!$E:$E,IFNA(_xlfn.XLOOKUP(TEXT($C588,"0"),Productos!$A:$A,Productos!$E:$E,IFNA(_xlfn.XLOOKUP(IFERROR(VALUE($C588),""),Productos!$A:$A,Productos!$E:$E,_xlfn.XLOOKUP($C588,Productos!$E:$E,Productos!$E:$E,"NO ENCONTRADO")),"NO ENCONTRADO")),"NO ENCONTRADO")),"NO ENCONTRADO"))</f>
        <v/>
      </c>
      <c r="E588" s="74">
        <f t="array" ref="E588">IF(OR($D588="",$D588="NO ENCONTRADO"),"",_xlfn.XLOOKUP($D588,Productos!$E:$E,Productos!$H:$H,""))</f>
        <v/>
      </c>
      <c r="F588" s="74">
        <f t="array" ref="F588">IF(OR($D588="",$D588="NO ENCONTRADO"),"",_xlfn.XLOOKUP($D588,Productos!$E:$E,Productos!$I:$I,""))</f>
        <v/>
      </c>
      <c r="G588" s="74">
        <f t="array" ref="G588">IF(OR($D588="",$D588="NO ENCONTRADO"),"",_xlfn.XLOOKUP($D588,Productos!$E:$E,Productos!$J:$J,""))</f>
        <v/>
      </c>
      <c r="H588" s="74">
        <f t="array" ref="H588">IF(OR($D588="",$D588="NO ENCONTRADO"),"",_xlfn.XLOOKUP($D588,Productos!$E:$E,Productos!$K:$K,""))</f>
        <v/>
      </c>
      <c r="I588" s="74">
        <f t="array" ref="I588">IF(OR($D588="",$D588="NO ENCONTRADO"),"",_xlfn.XLOOKUP($D588,Productos!$E:$E,Productos!$F:$F,""))</f>
        <v/>
      </c>
      <c r="J588" s="74">
        <f>IF($C588="","",IF($D588="NO ENCONTRADO",IF(COUNTIF($C$7:$C$1000,$C588)&gt;1,"⚠️ No encontrado | Duplicado","⚠️ No encontrado"),IF(COUNTIF($C$7:$C$1000,$C588)&gt;1,"⚠️ Duplicado","Verificado")))</f>
        <v/>
      </c>
    </row>
    <row r="589" ht="15.75" customHeight="1" s="176">
      <c r="B589" s="80" t="n"/>
      <c r="C589" s="74" t="n"/>
      <c r="D589" s="74">
        <f t="array" ref="D589">IF($C589="","",IFNA(_xlfn.XLOOKUP($C589,Productos!$A:$A,Productos!$E:$E,IFNA(_xlfn.XLOOKUP(TEXT($C589,"0"),Productos!$A:$A,Productos!$E:$E,IFNA(_xlfn.XLOOKUP(IFERROR(VALUE($C589),""),Productos!$A:$A,Productos!$E:$E,_xlfn.XLOOKUP($C589,Productos!$E:$E,Productos!$E:$E,"NO ENCONTRADO")),"NO ENCONTRADO")),"NO ENCONTRADO")),"NO ENCONTRADO"))</f>
        <v/>
      </c>
      <c r="E589" s="74">
        <f t="array" ref="E589">IF(OR($D589="",$D589="NO ENCONTRADO"),"",_xlfn.XLOOKUP($D589,Productos!$E:$E,Productos!$H:$H,""))</f>
        <v/>
      </c>
      <c r="F589" s="74">
        <f t="array" ref="F589">IF(OR($D589="",$D589="NO ENCONTRADO"),"",_xlfn.XLOOKUP($D589,Productos!$E:$E,Productos!$I:$I,""))</f>
        <v/>
      </c>
      <c r="G589" s="74">
        <f t="array" ref="G589">IF(OR($D589="",$D589="NO ENCONTRADO"),"",_xlfn.XLOOKUP($D589,Productos!$E:$E,Productos!$J:$J,""))</f>
        <v/>
      </c>
      <c r="H589" s="74">
        <f t="array" ref="H589">IF(OR($D589="",$D589="NO ENCONTRADO"),"",_xlfn.XLOOKUP($D589,Productos!$E:$E,Productos!$K:$K,""))</f>
        <v/>
      </c>
      <c r="I589" s="74">
        <f t="array" ref="I589">IF(OR($D589="",$D589="NO ENCONTRADO"),"",_xlfn.XLOOKUP($D589,Productos!$E:$E,Productos!$F:$F,""))</f>
        <v/>
      </c>
      <c r="J589" s="74">
        <f>IF($C589="","",IF($D589="NO ENCONTRADO",IF(COUNTIF($C$7:$C$1000,$C589)&gt;1,"⚠️ No encontrado | Duplicado","⚠️ No encontrado"),IF(COUNTIF($C$7:$C$1000,$C589)&gt;1,"⚠️ Duplicado","Verificado")))</f>
        <v/>
      </c>
    </row>
    <row r="590" ht="15.75" customHeight="1" s="176">
      <c r="B590" s="80" t="n"/>
      <c r="C590" s="74" t="n"/>
      <c r="D590" s="74">
        <f t="array" ref="D590">IF($C590="","",IFNA(_xlfn.XLOOKUP($C590,Productos!$A:$A,Productos!$E:$E,IFNA(_xlfn.XLOOKUP(TEXT($C590,"0"),Productos!$A:$A,Productos!$E:$E,IFNA(_xlfn.XLOOKUP(IFERROR(VALUE($C590),""),Productos!$A:$A,Productos!$E:$E,_xlfn.XLOOKUP($C590,Productos!$E:$E,Productos!$E:$E,"NO ENCONTRADO")),"NO ENCONTRADO")),"NO ENCONTRADO")),"NO ENCONTRADO"))</f>
        <v/>
      </c>
      <c r="E590" s="74">
        <f t="array" ref="E590">IF(OR($D590="",$D590="NO ENCONTRADO"),"",_xlfn.XLOOKUP($D590,Productos!$E:$E,Productos!$H:$H,""))</f>
        <v/>
      </c>
      <c r="F590" s="74">
        <f t="array" ref="F590">IF(OR($D590="",$D590="NO ENCONTRADO"),"",_xlfn.XLOOKUP($D590,Productos!$E:$E,Productos!$I:$I,""))</f>
        <v/>
      </c>
      <c r="G590" s="74">
        <f t="array" ref="G590">IF(OR($D590="",$D590="NO ENCONTRADO"),"",_xlfn.XLOOKUP($D590,Productos!$E:$E,Productos!$J:$J,""))</f>
        <v/>
      </c>
      <c r="H590" s="74">
        <f t="array" ref="H590">IF(OR($D590="",$D590="NO ENCONTRADO"),"",_xlfn.XLOOKUP($D590,Productos!$E:$E,Productos!$K:$K,""))</f>
        <v/>
      </c>
      <c r="I590" s="74">
        <f t="array" ref="I590">IF(OR($D590="",$D590="NO ENCONTRADO"),"",_xlfn.XLOOKUP($D590,Productos!$E:$E,Productos!$F:$F,""))</f>
        <v/>
      </c>
      <c r="J590" s="74">
        <f>IF($C590="","",IF($D590="NO ENCONTRADO",IF(COUNTIF($C$7:$C$1000,$C590)&gt;1,"⚠️ No encontrado | Duplicado","⚠️ No encontrado"),IF(COUNTIF($C$7:$C$1000,$C590)&gt;1,"⚠️ Duplicado","Verificado")))</f>
        <v/>
      </c>
    </row>
    <row r="591" ht="15.75" customHeight="1" s="176">
      <c r="B591" s="80" t="n"/>
      <c r="C591" s="74" t="n"/>
      <c r="D591" s="74">
        <f t="array" ref="D591">IF($C591="","",IFNA(_xlfn.XLOOKUP($C591,Productos!$A:$A,Productos!$E:$E,IFNA(_xlfn.XLOOKUP(TEXT($C591,"0"),Productos!$A:$A,Productos!$E:$E,IFNA(_xlfn.XLOOKUP(IFERROR(VALUE($C591),""),Productos!$A:$A,Productos!$E:$E,_xlfn.XLOOKUP($C591,Productos!$E:$E,Productos!$E:$E,"NO ENCONTRADO")),"NO ENCONTRADO")),"NO ENCONTRADO")),"NO ENCONTRADO"))</f>
        <v/>
      </c>
      <c r="E591" s="74">
        <f t="array" ref="E591">IF(OR($D591="",$D591="NO ENCONTRADO"),"",_xlfn.XLOOKUP($D591,Productos!$E:$E,Productos!$H:$H,""))</f>
        <v/>
      </c>
      <c r="F591" s="74">
        <f t="array" ref="F591">IF(OR($D591="",$D591="NO ENCONTRADO"),"",_xlfn.XLOOKUP($D591,Productos!$E:$E,Productos!$I:$I,""))</f>
        <v/>
      </c>
      <c r="G591" s="74">
        <f t="array" ref="G591">IF(OR($D591="",$D591="NO ENCONTRADO"),"",_xlfn.XLOOKUP($D591,Productos!$E:$E,Productos!$J:$J,""))</f>
        <v/>
      </c>
      <c r="H591" s="74">
        <f t="array" ref="H591">IF(OR($D591="",$D591="NO ENCONTRADO"),"",_xlfn.XLOOKUP($D591,Productos!$E:$E,Productos!$K:$K,""))</f>
        <v/>
      </c>
      <c r="I591" s="74">
        <f t="array" ref="I591">IF(OR($D591="",$D591="NO ENCONTRADO"),"",_xlfn.XLOOKUP($D591,Productos!$E:$E,Productos!$F:$F,""))</f>
        <v/>
      </c>
      <c r="J591" s="74">
        <f>IF($C591="","",IF($D591="NO ENCONTRADO",IF(COUNTIF($C$7:$C$1000,$C591)&gt;1,"⚠️ No encontrado | Duplicado","⚠️ No encontrado"),IF(COUNTIF($C$7:$C$1000,$C591)&gt;1,"⚠️ Duplicado","Verificado")))</f>
        <v/>
      </c>
    </row>
    <row r="592" ht="15.75" customHeight="1" s="176">
      <c r="B592" s="80" t="n"/>
      <c r="C592" s="74" t="n"/>
      <c r="D592" s="74">
        <f t="array" ref="D592">IF($C592="","",IFNA(_xlfn.XLOOKUP($C592,Productos!$A:$A,Productos!$E:$E,IFNA(_xlfn.XLOOKUP(TEXT($C592,"0"),Productos!$A:$A,Productos!$E:$E,IFNA(_xlfn.XLOOKUP(IFERROR(VALUE($C592),""),Productos!$A:$A,Productos!$E:$E,_xlfn.XLOOKUP($C592,Productos!$E:$E,Productos!$E:$E,"NO ENCONTRADO")),"NO ENCONTRADO")),"NO ENCONTRADO")),"NO ENCONTRADO"))</f>
        <v/>
      </c>
      <c r="E592" s="74">
        <f t="array" ref="E592">IF(OR($D592="",$D592="NO ENCONTRADO"),"",_xlfn.XLOOKUP($D592,Productos!$E:$E,Productos!$H:$H,""))</f>
        <v/>
      </c>
      <c r="F592" s="74">
        <f t="array" ref="F592">IF(OR($D592="",$D592="NO ENCONTRADO"),"",_xlfn.XLOOKUP($D592,Productos!$E:$E,Productos!$I:$I,""))</f>
        <v/>
      </c>
      <c r="G592" s="74">
        <f t="array" ref="G592">IF(OR($D592="",$D592="NO ENCONTRADO"),"",_xlfn.XLOOKUP($D592,Productos!$E:$E,Productos!$J:$J,""))</f>
        <v/>
      </c>
      <c r="H592" s="74">
        <f t="array" ref="H592">IF(OR($D592="",$D592="NO ENCONTRADO"),"",_xlfn.XLOOKUP($D592,Productos!$E:$E,Productos!$K:$K,""))</f>
        <v/>
      </c>
      <c r="I592" s="74">
        <f t="array" ref="I592">IF(OR($D592="",$D592="NO ENCONTRADO"),"",_xlfn.XLOOKUP($D592,Productos!$E:$E,Productos!$F:$F,""))</f>
        <v/>
      </c>
      <c r="J592" s="74">
        <f>IF($C592="","",IF($D592="NO ENCONTRADO",IF(COUNTIF($C$7:$C$1000,$C592)&gt;1,"⚠️ No encontrado | Duplicado","⚠️ No encontrado"),IF(COUNTIF($C$7:$C$1000,$C592)&gt;1,"⚠️ Duplicado","Verificado")))</f>
        <v/>
      </c>
    </row>
    <row r="593" ht="15.75" customHeight="1" s="176">
      <c r="B593" s="80" t="n"/>
      <c r="C593" s="74" t="n"/>
      <c r="D593" s="74">
        <f t="array" ref="D593">IF($C593="","",IFNA(_xlfn.XLOOKUP($C593,Productos!$A:$A,Productos!$E:$E,IFNA(_xlfn.XLOOKUP(TEXT($C593,"0"),Productos!$A:$A,Productos!$E:$E,IFNA(_xlfn.XLOOKUP(IFERROR(VALUE($C593),""),Productos!$A:$A,Productos!$E:$E,_xlfn.XLOOKUP($C593,Productos!$E:$E,Productos!$E:$E,"NO ENCONTRADO")),"NO ENCONTRADO")),"NO ENCONTRADO")),"NO ENCONTRADO"))</f>
        <v/>
      </c>
      <c r="E593" s="74">
        <f t="array" ref="E593">IF(OR($D593="",$D593="NO ENCONTRADO"),"",_xlfn.XLOOKUP($D593,Productos!$E:$E,Productos!$H:$H,""))</f>
        <v/>
      </c>
      <c r="F593" s="74">
        <f t="array" ref="F593">IF(OR($D593="",$D593="NO ENCONTRADO"),"",_xlfn.XLOOKUP($D593,Productos!$E:$E,Productos!$I:$I,""))</f>
        <v/>
      </c>
      <c r="G593" s="74">
        <f t="array" ref="G593">IF(OR($D593="",$D593="NO ENCONTRADO"),"",_xlfn.XLOOKUP($D593,Productos!$E:$E,Productos!$J:$J,""))</f>
        <v/>
      </c>
      <c r="H593" s="74">
        <f t="array" ref="H593">IF(OR($D593="",$D593="NO ENCONTRADO"),"",_xlfn.XLOOKUP($D593,Productos!$E:$E,Productos!$K:$K,""))</f>
        <v/>
      </c>
      <c r="I593" s="74">
        <f t="array" ref="I593">IF(OR($D593="",$D593="NO ENCONTRADO"),"",_xlfn.XLOOKUP($D593,Productos!$E:$E,Productos!$F:$F,""))</f>
        <v/>
      </c>
      <c r="J593" s="74">
        <f>IF($C593="","",IF($D593="NO ENCONTRADO",IF(COUNTIF($C$7:$C$1000,$C593)&gt;1,"⚠️ No encontrado | Duplicado","⚠️ No encontrado"),IF(COUNTIF($C$7:$C$1000,$C593)&gt;1,"⚠️ Duplicado","Verificado")))</f>
        <v/>
      </c>
    </row>
    <row r="594" ht="15.75" customHeight="1" s="176">
      <c r="B594" s="80" t="n"/>
      <c r="C594" s="74" t="n"/>
      <c r="D594" s="74">
        <f t="array" ref="D594">IF($C594="","",IFNA(_xlfn.XLOOKUP($C594,Productos!$A:$A,Productos!$E:$E,IFNA(_xlfn.XLOOKUP(TEXT($C594,"0"),Productos!$A:$A,Productos!$E:$E,IFNA(_xlfn.XLOOKUP(IFERROR(VALUE($C594),""),Productos!$A:$A,Productos!$E:$E,_xlfn.XLOOKUP($C594,Productos!$E:$E,Productos!$E:$E,"NO ENCONTRADO")),"NO ENCONTRADO")),"NO ENCONTRADO")),"NO ENCONTRADO"))</f>
        <v/>
      </c>
      <c r="E594" s="74">
        <f t="array" ref="E594">IF(OR($D594="",$D594="NO ENCONTRADO"),"",_xlfn.XLOOKUP($D594,Productos!$E:$E,Productos!$H:$H,""))</f>
        <v/>
      </c>
      <c r="F594" s="74">
        <f t="array" ref="F594">IF(OR($D594="",$D594="NO ENCONTRADO"),"",_xlfn.XLOOKUP($D594,Productos!$E:$E,Productos!$I:$I,""))</f>
        <v/>
      </c>
      <c r="G594" s="74">
        <f t="array" ref="G594">IF(OR($D594="",$D594="NO ENCONTRADO"),"",_xlfn.XLOOKUP($D594,Productos!$E:$E,Productos!$J:$J,""))</f>
        <v/>
      </c>
      <c r="H594" s="74">
        <f t="array" ref="H594">IF(OR($D594="",$D594="NO ENCONTRADO"),"",_xlfn.XLOOKUP($D594,Productos!$E:$E,Productos!$K:$K,""))</f>
        <v/>
      </c>
      <c r="I594" s="74">
        <f t="array" ref="I594">IF(OR($D594="",$D594="NO ENCONTRADO"),"",_xlfn.XLOOKUP($D594,Productos!$E:$E,Productos!$F:$F,""))</f>
        <v/>
      </c>
      <c r="J594" s="74">
        <f>IF($C594="","",IF($D594="NO ENCONTRADO",IF(COUNTIF($C$7:$C$1000,$C594)&gt;1,"⚠️ No encontrado | Duplicado","⚠️ No encontrado"),IF(COUNTIF($C$7:$C$1000,$C594)&gt;1,"⚠️ Duplicado","Verificado")))</f>
        <v/>
      </c>
    </row>
    <row r="595" ht="15.75" customHeight="1" s="176">
      <c r="B595" s="80" t="n"/>
      <c r="C595" s="74" t="n"/>
      <c r="D595" s="74">
        <f t="array" ref="D595">IF($C595="","",IFNA(_xlfn.XLOOKUP($C595,Productos!$A:$A,Productos!$E:$E,IFNA(_xlfn.XLOOKUP(TEXT($C595,"0"),Productos!$A:$A,Productos!$E:$E,IFNA(_xlfn.XLOOKUP(IFERROR(VALUE($C595),""),Productos!$A:$A,Productos!$E:$E,_xlfn.XLOOKUP($C595,Productos!$E:$E,Productos!$E:$E,"NO ENCONTRADO")),"NO ENCONTRADO")),"NO ENCONTRADO")),"NO ENCONTRADO"))</f>
        <v/>
      </c>
      <c r="E595" s="74">
        <f t="array" ref="E595">IF(OR($D595="",$D595="NO ENCONTRADO"),"",_xlfn.XLOOKUP($D595,Productos!$E:$E,Productos!$H:$H,""))</f>
        <v/>
      </c>
      <c r="F595" s="74">
        <f t="array" ref="F595">IF(OR($D595="",$D595="NO ENCONTRADO"),"",_xlfn.XLOOKUP($D595,Productos!$E:$E,Productos!$I:$I,""))</f>
        <v/>
      </c>
      <c r="G595" s="74">
        <f t="array" ref="G595">IF(OR($D595="",$D595="NO ENCONTRADO"),"",_xlfn.XLOOKUP($D595,Productos!$E:$E,Productos!$J:$J,""))</f>
        <v/>
      </c>
      <c r="H595" s="74">
        <f t="array" ref="H595">IF(OR($D595="",$D595="NO ENCONTRADO"),"",_xlfn.XLOOKUP($D595,Productos!$E:$E,Productos!$K:$K,""))</f>
        <v/>
      </c>
      <c r="I595" s="74">
        <f t="array" ref="I595">IF(OR($D595="",$D595="NO ENCONTRADO"),"",_xlfn.XLOOKUP($D595,Productos!$E:$E,Productos!$F:$F,""))</f>
        <v/>
      </c>
      <c r="J595" s="74">
        <f>IF($C595="","",IF($D595="NO ENCONTRADO",IF(COUNTIF($C$7:$C$1000,$C595)&gt;1,"⚠️ No encontrado | Duplicado","⚠️ No encontrado"),IF(COUNTIF($C$7:$C$1000,$C595)&gt;1,"⚠️ Duplicado","Verificado")))</f>
        <v/>
      </c>
    </row>
    <row r="596" ht="15.75" customHeight="1" s="176">
      <c r="B596" s="80" t="n"/>
      <c r="C596" s="74" t="n"/>
      <c r="D596" s="74">
        <f t="array" ref="D596">IF($C596="","",IFNA(_xlfn.XLOOKUP($C596,Productos!$A:$A,Productos!$E:$E,IFNA(_xlfn.XLOOKUP(TEXT($C596,"0"),Productos!$A:$A,Productos!$E:$E,IFNA(_xlfn.XLOOKUP(IFERROR(VALUE($C596),""),Productos!$A:$A,Productos!$E:$E,_xlfn.XLOOKUP($C596,Productos!$E:$E,Productos!$E:$E,"NO ENCONTRADO")),"NO ENCONTRADO")),"NO ENCONTRADO")),"NO ENCONTRADO"))</f>
        <v/>
      </c>
      <c r="E596" s="74">
        <f t="array" ref="E596">IF(OR($D596="",$D596="NO ENCONTRADO"),"",_xlfn.XLOOKUP($D596,Productos!$E:$E,Productos!$H:$H,""))</f>
        <v/>
      </c>
      <c r="F596" s="74">
        <f t="array" ref="F596">IF(OR($D596="",$D596="NO ENCONTRADO"),"",_xlfn.XLOOKUP($D596,Productos!$E:$E,Productos!$I:$I,""))</f>
        <v/>
      </c>
      <c r="G596" s="74">
        <f t="array" ref="G596">IF(OR($D596="",$D596="NO ENCONTRADO"),"",_xlfn.XLOOKUP($D596,Productos!$E:$E,Productos!$J:$J,""))</f>
        <v/>
      </c>
      <c r="H596" s="74">
        <f t="array" ref="H596">IF(OR($D596="",$D596="NO ENCONTRADO"),"",_xlfn.XLOOKUP($D596,Productos!$E:$E,Productos!$K:$K,""))</f>
        <v/>
      </c>
      <c r="I596" s="74">
        <f t="array" ref="I596">IF(OR($D596="",$D596="NO ENCONTRADO"),"",_xlfn.XLOOKUP($D596,Productos!$E:$E,Productos!$F:$F,""))</f>
        <v/>
      </c>
      <c r="J596" s="74">
        <f>IF($C596="","",IF($D596="NO ENCONTRADO",IF(COUNTIF($C$7:$C$1000,$C596)&gt;1,"⚠️ No encontrado | Duplicado","⚠️ No encontrado"),IF(COUNTIF($C$7:$C$1000,$C596)&gt;1,"⚠️ Duplicado","Verificado")))</f>
        <v/>
      </c>
    </row>
    <row r="597" ht="15.75" customHeight="1" s="176">
      <c r="B597" s="80" t="n"/>
      <c r="C597" s="74" t="n"/>
      <c r="D597" s="74">
        <f t="array" ref="D597">IF($C597="","",IFNA(_xlfn.XLOOKUP($C597,Productos!$A:$A,Productos!$E:$E,IFNA(_xlfn.XLOOKUP(TEXT($C597,"0"),Productos!$A:$A,Productos!$E:$E,IFNA(_xlfn.XLOOKUP(IFERROR(VALUE($C597),""),Productos!$A:$A,Productos!$E:$E,_xlfn.XLOOKUP($C597,Productos!$E:$E,Productos!$E:$E,"NO ENCONTRADO")),"NO ENCONTRADO")),"NO ENCONTRADO")),"NO ENCONTRADO"))</f>
        <v/>
      </c>
      <c r="E597" s="74">
        <f t="array" ref="E597">IF(OR($D597="",$D597="NO ENCONTRADO"),"",_xlfn.XLOOKUP($D597,Productos!$E:$E,Productos!$H:$H,""))</f>
        <v/>
      </c>
      <c r="F597" s="74">
        <f t="array" ref="F597">IF(OR($D597="",$D597="NO ENCONTRADO"),"",_xlfn.XLOOKUP($D597,Productos!$E:$E,Productos!$I:$I,""))</f>
        <v/>
      </c>
      <c r="G597" s="74">
        <f t="array" ref="G597">IF(OR($D597="",$D597="NO ENCONTRADO"),"",_xlfn.XLOOKUP($D597,Productos!$E:$E,Productos!$J:$J,""))</f>
        <v/>
      </c>
      <c r="H597" s="74">
        <f t="array" ref="H597">IF(OR($D597="",$D597="NO ENCONTRADO"),"",_xlfn.XLOOKUP($D597,Productos!$E:$E,Productos!$K:$K,""))</f>
        <v/>
      </c>
      <c r="I597" s="74">
        <f t="array" ref="I597">IF(OR($D597="",$D597="NO ENCONTRADO"),"",_xlfn.XLOOKUP($D597,Productos!$E:$E,Productos!$F:$F,""))</f>
        <v/>
      </c>
      <c r="J597" s="74">
        <f>IF($C597="","",IF($D597="NO ENCONTRADO",IF(COUNTIF($C$7:$C$1000,$C597)&gt;1,"⚠️ No encontrado | Duplicado","⚠️ No encontrado"),IF(COUNTIF($C$7:$C$1000,$C597)&gt;1,"⚠️ Duplicado","Verificado")))</f>
        <v/>
      </c>
    </row>
    <row r="598" ht="15.75" customHeight="1" s="176">
      <c r="B598" s="80" t="n"/>
      <c r="C598" s="74" t="n"/>
      <c r="D598" s="74">
        <f t="array" ref="D598">IF($C598="","",IFNA(_xlfn.XLOOKUP($C598,Productos!$A:$A,Productos!$E:$E,IFNA(_xlfn.XLOOKUP(TEXT($C598,"0"),Productos!$A:$A,Productos!$E:$E,IFNA(_xlfn.XLOOKUP(IFERROR(VALUE($C598),""),Productos!$A:$A,Productos!$E:$E,_xlfn.XLOOKUP($C598,Productos!$E:$E,Productos!$E:$E,"NO ENCONTRADO")),"NO ENCONTRADO")),"NO ENCONTRADO")),"NO ENCONTRADO"))</f>
        <v/>
      </c>
      <c r="E598" s="74">
        <f t="array" ref="E598">IF(OR($D598="",$D598="NO ENCONTRADO"),"",_xlfn.XLOOKUP($D598,Productos!$E:$E,Productos!$H:$H,""))</f>
        <v/>
      </c>
      <c r="F598" s="74">
        <f t="array" ref="F598">IF(OR($D598="",$D598="NO ENCONTRADO"),"",_xlfn.XLOOKUP($D598,Productos!$E:$E,Productos!$I:$I,""))</f>
        <v/>
      </c>
      <c r="G598" s="74">
        <f t="array" ref="G598">IF(OR($D598="",$D598="NO ENCONTRADO"),"",_xlfn.XLOOKUP($D598,Productos!$E:$E,Productos!$J:$J,""))</f>
        <v/>
      </c>
      <c r="H598" s="74">
        <f t="array" ref="H598">IF(OR($D598="",$D598="NO ENCONTRADO"),"",_xlfn.XLOOKUP($D598,Productos!$E:$E,Productos!$K:$K,""))</f>
        <v/>
      </c>
      <c r="I598" s="74">
        <f t="array" ref="I598">IF(OR($D598="",$D598="NO ENCONTRADO"),"",_xlfn.XLOOKUP($D598,Productos!$E:$E,Productos!$F:$F,""))</f>
        <v/>
      </c>
      <c r="J598" s="74">
        <f>IF($C598="","",IF($D598="NO ENCONTRADO",IF(COUNTIF($C$7:$C$1000,$C598)&gt;1,"⚠️ No encontrado | Duplicado","⚠️ No encontrado"),IF(COUNTIF($C$7:$C$1000,$C598)&gt;1,"⚠️ Duplicado","Verificado")))</f>
        <v/>
      </c>
    </row>
    <row r="599" ht="15.75" customHeight="1" s="176">
      <c r="B599" s="80" t="n"/>
      <c r="C599" s="74" t="n"/>
      <c r="D599" s="74">
        <f t="array" ref="D599">IF($C599="","",IFNA(_xlfn.XLOOKUP($C599,Productos!$A:$A,Productos!$E:$E,IFNA(_xlfn.XLOOKUP(TEXT($C599,"0"),Productos!$A:$A,Productos!$E:$E,IFNA(_xlfn.XLOOKUP(IFERROR(VALUE($C599),""),Productos!$A:$A,Productos!$E:$E,_xlfn.XLOOKUP($C599,Productos!$E:$E,Productos!$E:$E,"NO ENCONTRADO")),"NO ENCONTRADO")),"NO ENCONTRADO")),"NO ENCONTRADO"))</f>
        <v/>
      </c>
      <c r="E599" s="74">
        <f t="array" ref="E599">IF(OR($D599="",$D599="NO ENCONTRADO"),"",_xlfn.XLOOKUP($D599,Productos!$E:$E,Productos!$H:$H,""))</f>
        <v/>
      </c>
      <c r="F599" s="74">
        <f t="array" ref="F599">IF(OR($D599="",$D599="NO ENCONTRADO"),"",_xlfn.XLOOKUP($D599,Productos!$E:$E,Productos!$I:$I,""))</f>
        <v/>
      </c>
      <c r="G599" s="74">
        <f t="array" ref="G599">IF(OR($D599="",$D599="NO ENCONTRADO"),"",_xlfn.XLOOKUP($D599,Productos!$E:$E,Productos!$J:$J,""))</f>
        <v/>
      </c>
      <c r="H599" s="74">
        <f t="array" ref="H599">IF(OR($D599="",$D599="NO ENCONTRADO"),"",_xlfn.XLOOKUP($D599,Productos!$E:$E,Productos!$K:$K,""))</f>
        <v/>
      </c>
      <c r="I599" s="74">
        <f t="array" ref="I599">IF(OR($D599="",$D599="NO ENCONTRADO"),"",_xlfn.XLOOKUP($D599,Productos!$E:$E,Productos!$F:$F,""))</f>
        <v/>
      </c>
      <c r="J599" s="74">
        <f>IF($C599="","",IF($D599="NO ENCONTRADO",IF(COUNTIF($C$7:$C$1000,$C599)&gt;1,"⚠️ No encontrado | Duplicado","⚠️ No encontrado"),IF(COUNTIF($C$7:$C$1000,$C599)&gt;1,"⚠️ Duplicado","Verificado")))</f>
        <v/>
      </c>
    </row>
    <row r="600" ht="15.75" customHeight="1" s="176">
      <c r="B600" s="80" t="n"/>
      <c r="C600" s="74" t="n"/>
      <c r="D600" s="74">
        <f t="array" ref="D600">IF($C600="","",IFNA(_xlfn.XLOOKUP($C600,Productos!$A:$A,Productos!$E:$E,IFNA(_xlfn.XLOOKUP(TEXT($C600,"0"),Productos!$A:$A,Productos!$E:$E,IFNA(_xlfn.XLOOKUP(IFERROR(VALUE($C600),""),Productos!$A:$A,Productos!$E:$E,_xlfn.XLOOKUP($C600,Productos!$E:$E,Productos!$E:$E,"NO ENCONTRADO")),"NO ENCONTRADO")),"NO ENCONTRADO")),"NO ENCONTRADO"))</f>
        <v/>
      </c>
      <c r="E600" s="74">
        <f t="array" ref="E600">IF(OR($D600="",$D600="NO ENCONTRADO"),"",_xlfn.XLOOKUP($D600,Productos!$E:$E,Productos!$H:$H,""))</f>
        <v/>
      </c>
      <c r="F600" s="74">
        <f t="array" ref="F600">IF(OR($D600="",$D600="NO ENCONTRADO"),"",_xlfn.XLOOKUP($D600,Productos!$E:$E,Productos!$I:$I,""))</f>
        <v/>
      </c>
      <c r="G600" s="74">
        <f t="array" ref="G600">IF(OR($D600="",$D600="NO ENCONTRADO"),"",_xlfn.XLOOKUP($D600,Productos!$E:$E,Productos!$J:$J,""))</f>
        <v/>
      </c>
      <c r="H600" s="74">
        <f t="array" ref="H600">IF(OR($D600="",$D600="NO ENCONTRADO"),"",_xlfn.XLOOKUP($D600,Productos!$E:$E,Productos!$K:$K,""))</f>
        <v/>
      </c>
      <c r="I600" s="74">
        <f t="array" ref="I600">IF(OR($D600="",$D600="NO ENCONTRADO"),"",_xlfn.XLOOKUP($D600,Productos!$E:$E,Productos!$F:$F,""))</f>
        <v/>
      </c>
      <c r="J600" s="74">
        <f>IF($C600="","",IF($D600="NO ENCONTRADO",IF(COUNTIF($C$7:$C$1000,$C600)&gt;1,"⚠️ No encontrado | Duplicado","⚠️ No encontrado"),IF(COUNTIF($C$7:$C$1000,$C600)&gt;1,"⚠️ Duplicado","Verificado")))</f>
        <v/>
      </c>
    </row>
    <row r="601" ht="15.75" customHeight="1" s="176">
      <c r="B601" s="80" t="n"/>
      <c r="C601" s="74" t="n"/>
      <c r="D601" s="74">
        <f t="array" ref="D601">IF($C601="","",IFNA(_xlfn.XLOOKUP($C601,Productos!$A:$A,Productos!$E:$E,IFNA(_xlfn.XLOOKUP(TEXT($C601,"0"),Productos!$A:$A,Productos!$E:$E,IFNA(_xlfn.XLOOKUP(IFERROR(VALUE($C601),""),Productos!$A:$A,Productos!$E:$E,_xlfn.XLOOKUP($C601,Productos!$E:$E,Productos!$E:$E,"NO ENCONTRADO")),"NO ENCONTRADO")),"NO ENCONTRADO")),"NO ENCONTRADO"))</f>
        <v/>
      </c>
      <c r="E601" s="74">
        <f t="array" ref="E601">IF(OR($D601="",$D601="NO ENCONTRADO"),"",_xlfn.XLOOKUP($D601,Productos!$E:$E,Productos!$H:$H,""))</f>
        <v/>
      </c>
      <c r="F601" s="74">
        <f t="array" ref="F601">IF(OR($D601="",$D601="NO ENCONTRADO"),"",_xlfn.XLOOKUP($D601,Productos!$E:$E,Productos!$I:$I,""))</f>
        <v/>
      </c>
      <c r="G601" s="74">
        <f t="array" ref="G601">IF(OR($D601="",$D601="NO ENCONTRADO"),"",_xlfn.XLOOKUP($D601,Productos!$E:$E,Productos!$J:$J,""))</f>
        <v/>
      </c>
      <c r="H601" s="74">
        <f t="array" ref="H601">IF(OR($D601="",$D601="NO ENCONTRADO"),"",_xlfn.XLOOKUP($D601,Productos!$E:$E,Productos!$K:$K,""))</f>
        <v/>
      </c>
      <c r="I601" s="74">
        <f t="array" ref="I601">IF(OR($D601="",$D601="NO ENCONTRADO"),"",_xlfn.XLOOKUP($D601,Productos!$E:$E,Productos!$F:$F,""))</f>
        <v/>
      </c>
      <c r="J601" s="74">
        <f>IF($C601="","",IF($D601="NO ENCONTRADO",IF(COUNTIF($C$7:$C$1000,$C601)&gt;1,"⚠️ No encontrado | Duplicado","⚠️ No encontrado"),IF(COUNTIF($C$7:$C$1000,$C601)&gt;1,"⚠️ Duplicado","Verificado")))</f>
        <v/>
      </c>
    </row>
    <row r="602" ht="15.75" customHeight="1" s="176">
      <c r="B602" s="80" t="n"/>
      <c r="C602" s="74" t="n"/>
      <c r="D602" s="74">
        <f t="array" ref="D602">IF($C602="","",IFNA(_xlfn.XLOOKUP($C602,Productos!$A:$A,Productos!$E:$E,IFNA(_xlfn.XLOOKUP(TEXT($C602,"0"),Productos!$A:$A,Productos!$E:$E,IFNA(_xlfn.XLOOKUP(IFERROR(VALUE($C602),""),Productos!$A:$A,Productos!$E:$E,_xlfn.XLOOKUP($C602,Productos!$E:$E,Productos!$E:$E,"NO ENCONTRADO")),"NO ENCONTRADO")),"NO ENCONTRADO")),"NO ENCONTRADO"))</f>
        <v/>
      </c>
      <c r="E602" s="74">
        <f t="array" ref="E602">IF(OR($D602="",$D602="NO ENCONTRADO"),"",_xlfn.XLOOKUP($D602,Productos!$E:$E,Productos!$H:$H,""))</f>
        <v/>
      </c>
      <c r="F602" s="74">
        <f t="array" ref="F602">IF(OR($D602="",$D602="NO ENCONTRADO"),"",_xlfn.XLOOKUP($D602,Productos!$E:$E,Productos!$I:$I,""))</f>
        <v/>
      </c>
      <c r="G602" s="74">
        <f t="array" ref="G602">IF(OR($D602="",$D602="NO ENCONTRADO"),"",_xlfn.XLOOKUP($D602,Productos!$E:$E,Productos!$J:$J,""))</f>
        <v/>
      </c>
      <c r="H602" s="74">
        <f t="array" ref="H602">IF(OR($D602="",$D602="NO ENCONTRADO"),"",_xlfn.XLOOKUP($D602,Productos!$E:$E,Productos!$K:$K,""))</f>
        <v/>
      </c>
      <c r="I602" s="74">
        <f t="array" ref="I602">IF(OR($D602="",$D602="NO ENCONTRADO"),"",_xlfn.XLOOKUP($D602,Productos!$E:$E,Productos!$F:$F,""))</f>
        <v/>
      </c>
      <c r="J602" s="74">
        <f>IF($C602="","",IF($D602="NO ENCONTRADO",IF(COUNTIF($C$7:$C$1000,$C602)&gt;1,"⚠️ No encontrado | Duplicado","⚠️ No encontrado"),IF(COUNTIF($C$7:$C$1000,$C602)&gt;1,"⚠️ Duplicado","Verificado")))</f>
        <v/>
      </c>
    </row>
    <row r="603" ht="15.75" customHeight="1" s="176">
      <c r="B603" s="80" t="n"/>
      <c r="C603" s="74" t="n"/>
      <c r="D603" s="74">
        <f t="array" ref="D603">IF($C603="","",IFNA(_xlfn.XLOOKUP($C603,Productos!$A:$A,Productos!$E:$E,IFNA(_xlfn.XLOOKUP(TEXT($C603,"0"),Productos!$A:$A,Productos!$E:$E,IFNA(_xlfn.XLOOKUP(IFERROR(VALUE($C603),""),Productos!$A:$A,Productos!$E:$E,_xlfn.XLOOKUP($C603,Productos!$E:$E,Productos!$E:$E,"NO ENCONTRADO")),"NO ENCONTRADO")),"NO ENCONTRADO")),"NO ENCONTRADO"))</f>
        <v/>
      </c>
      <c r="E603" s="74">
        <f t="array" ref="E603">IF(OR($D603="",$D603="NO ENCONTRADO"),"",_xlfn.XLOOKUP($D603,Productos!$E:$E,Productos!$H:$H,""))</f>
        <v/>
      </c>
      <c r="F603" s="74">
        <f t="array" ref="F603">IF(OR($D603="",$D603="NO ENCONTRADO"),"",_xlfn.XLOOKUP($D603,Productos!$E:$E,Productos!$I:$I,""))</f>
        <v/>
      </c>
      <c r="G603" s="74">
        <f t="array" ref="G603">IF(OR($D603="",$D603="NO ENCONTRADO"),"",_xlfn.XLOOKUP($D603,Productos!$E:$E,Productos!$J:$J,""))</f>
        <v/>
      </c>
      <c r="H603" s="74">
        <f t="array" ref="H603">IF(OR($D603="",$D603="NO ENCONTRADO"),"",_xlfn.XLOOKUP($D603,Productos!$E:$E,Productos!$K:$K,""))</f>
        <v/>
      </c>
      <c r="I603" s="74">
        <f t="array" ref="I603">IF(OR($D603="",$D603="NO ENCONTRADO"),"",_xlfn.XLOOKUP($D603,Productos!$E:$E,Productos!$F:$F,""))</f>
        <v/>
      </c>
      <c r="J603" s="74">
        <f>IF($C603="","",IF($D603="NO ENCONTRADO",IF(COUNTIF($C$7:$C$1000,$C603)&gt;1,"⚠️ No encontrado | Duplicado","⚠️ No encontrado"),IF(COUNTIF($C$7:$C$1000,$C603)&gt;1,"⚠️ Duplicado","Verificado")))</f>
        <v/>
      </c>
    </row>
    <row r="604" ht="15.75" customHeight="1" s="176">
      <c r="B604" s="80" t="n"/>
      <c r="C604" s="74" t="n"/>
      <c r="D604" s="74">
        <f t="array" ref="D604">IF($C604="","",IFNA(_xlfn.XLOOKUP($C604,Productos!$A:$A,Productos!$E:$E,IFNA(_xlfn.XLOOKUP(TEXT($C604,"0"),Productos!$A:$A,Productos!$E:$E,IFNA(_xlfn.XLOOKUP(IFERROR(VALUE($C604),""),Productos!$A:$A,Productos!$E:$E,_xlfn.XLOOKUP($C604,Productos!$E:$E,Productos!$E:$E,"NO ENCONTRADO")),"NO ENCONTRADO")),"NO ENCONTRADO")),"NO ENCONTRADO"))</f>
        <v/>
      </c>
      <c r="E604" s="74">
        <f t="array" ref="E604">IF(OR($D604="",$D604="NO ENCONTRADO"),"",_xlfn.XLOOKUP($D604,Productos!$E:$E,Productos!$H:$H,""))</f>
        <v/>
      </c>
      <c r="F604" s="74">
        <f t="array" ref="F604">IF(OR($D604="",$D604="NO ENCONTRADO"),"",_xlfn.XLOOKUP($D604,Productos!$E:$E,Productos!$I:$I,""))</f>
        <v/>
      </c>
      <c r="G604" s="74">
        <f t="array" ref="G604">IF(OR($D604="",$D604="NO ENCONTRADO"),"",_xlfn.XLOOKUP($D604,Productos!$E:$E,Productos!$J:$J,""))</f>
        <v/>
      </c>
      <c r="H604" s="74">
        <f t="array" ref="H604">IF(OR($D604="",$D604="NO ENCONTRADO"),"",_xlfn.XLOOKUP($D604,Productos!$E:$E,Productos!$K:$K,""))</f>
        <v/>
      </c>
      <c r="I604" s="74">
        <f t="array" ref="I604">IF(OR($D604="",$D604="NO ENCONTRADO"),"",_xlfn.XLOOKUP($D604,Productos!$E:$E,Productos!$F:$F,""))</f>
        <v/>
      </c>
      <c r="J604" s="74">
        <f>IF($C604="","",IF($D604="NO ENCONTRADO",IF(COUNTIF($C$7:$C$1000,$C604)&gt;1,"⚠️ No encontrado | Duplicado","⚠️ No encontrado"),IF(COUNTIF($C$7:$C$1000,$C604)&gt;1,"⚠️ Duplicado","Verificado")))</f>
        <v/>
      </c>
    </row>
    <row r="605" ht="15.75" customHeight="1" s="176">
      <c r="B605" s="80" t="n"/>
      <c r="C605" s="74" t="n"/>
      <c r="D605" s="74">
        <f t="array" ref="D605">IF($C605="","",IFNA(_xlfn.XLOOKUP($C605,Productos!$A:$A,Productos!$E:$E,IFNA(_xlfn.XLOOKUP(TEXT($C605,"0"),Productos!$A:$A,Productos!$E:$E,IFNA(_xlfn.XLOOKUP(IFERROR(VALUE($C605),""),Productos!$A:$A,Productos!$E:$E,_xlfn.XLOOKUP($C605,Productos!$E:$E,Productos!$E:$E,"NO ENCONTRADO")),"NO ENCONTRADO")),"NO ENCONTRADO")),"NO ENCONTRADO"))</f>
        <v/>
      </c>
      <c r="E605" s="74">
        <f t="array" ref="E605">IF(OR($D605="",$D605="NO ENCONTRADO"),"",_xlfn.XLOOKUP($D605,Productos!$E:$E,Productos!$H:$H,""))</f>
        <v/>
      </c>
      <c r="F605" s="74">
        <f t="array" ref="F605">IF(OR($D605="",$D605="NO ENCONTRADO"),"",_xlfn.XLOOKUP($D605,Productos!$E:$E,Productos!$I:$I,""))</f>
        <v/>
      </c>
      <c r="G605" s="74">
        <f t="array" ref="G605">IF(OR($D605="",$D605="NO ENCONTRADO"),"",_xlfn.XLOOKUP($D605,Productos!$E:$E,Productos!$J:$J,""))</f>
        <v/>
      </c>
      <c r="H605" s="74">
        <f t="array" ref="H605">IF(OR($D605="",$D605="NO ENCONTRADO"),"",_xlfn.XLOOKUP($D605,Productos!$E:$E,Productos!$K:$K,""))</f>
        <v/>
      </c>
      <c r="I605" s="74">
        <f t="array" ref="I605">IF(OR($D605="",$D605="NO ENCONTRADO"),"",_xlfn.XLOOKUP($D605,Productos!$E:$E,Productos!$F:$F,""))</f>
        <v/>
      </c>
      <c r="J605" s="74">
        <f>IF($C605="","",IF($D605="NO ENCONTRADO",IF(COUNTIF($C$7:$C$1000,$C605)&gt;1,"⚠️ No encontrado | Duplicado","⚠️ No encontrado"),IF(COUNTIF($C$7:$C$1000,$C605)&gt;1,"⚠️ Duplicado","Verificado")))</f>
        <v/>
      </c>
    </row>
    <row r="606" ht="15.75" customHeight="1" s="176">
      <c r="B606" s="80" t="n"/>
      <c r="C606" s="74" t="n"/>
      <c r="D606" s="74">
        <f t="array" ref="D606">IF($C606="","",IFNA(_xlfn.XLOOKUP($C606,Productos!$A:$A,Productos!$E:$E,IFNA(_xlfn.XLOOKUP(TEXT($C606,"0"),Productos!$A:$A,Productos!$E:$E,IFNA(_xlfn.XLOOKUP(IFERROR(VALUE($C606),""),Productos!$A:$A,Productos!$E:$E,_xlfn.XLOOKUP($C606,Productos!$E:$E,Productos!$E:$E,"NO ENCONTRADO")),"NO ENCONTRADO")),"NO ENCONTRADO")),"NO ENCONTRADO"))</f>
        <v/>
      </c>
      <c r="E606" s="74">
        <f t="array" ref="E606">IF(OR($D606="",$D606="NO ENCONTRADO"),"",_xlfn.XLOOKUP($D606,Productos!$E:$E,Productos!$H:$H,""))</f>
        <v/>
      </c>
      <c r="F606" s="74">
        <f t="array" ref="F606">IF(OR($D606="",$D606="NO ENCONTRADO"),"",_xlfn.XLOOKUP($D606,Productos!$E:$E,Productos!$I:$I,""))</f>
        <v/>
      </c>
      <c r="G606" s="74">
        <f t="array" ref="G606">IF(OR($D606="",$D606="NO ENCONTRADO"),"",_xlfn.XLOOKUP($D606,Productos!$E:$E,Productos!$J:$J,""))</f>
        <v/>
      </c>
      <c r="H606" s="74">
        <f t="array" ref="H606">IF(OR($D606="",$D606="NO ENCONTRADO"),"",_xlfn.XLOOKUP($D606,Productos!$E:$E,Productos!$K:$K,""))</f>
        <v/>
      </c>
      <c r="I606" s="74">
        <f t="array" ref="I606">IF(OR($D606="",$D606="NO ENCONTRADO"),"",_xlfn.XLOOKUP($D606,Productos!$E:$E,Productos!$F:$F,""))</f>
        <v/>
      </c>
      <c r="J606" s="74">
        <f>IF($C606="","",IF($D606="NO ENCONTRADO",IF(COUNTIF($C$7:$C$1000,$C606)&gt;1,"⚠️ No encontrado | Duplicado","⚠️ No encontrado"),IF(COUNTIF($C$7:$C$1000,$C606)&gt;1,"⚠️ Duplicado","Verificado")))</f>
        <v/>
      </c>
    </row>
    <row r="607" ht="15.75" customHeight="1" s="176">
      <c r="B607" s="80" t="n"/>
      <c r="C607" s="74" t="n"/>
      <c r="D607" s="74">
        <f t="array" ref="D607">IF($C607="","",IFNA(_xlfn.XLOOKUP($C607,Productos!$A:$A,Productos!$E:$E,IFNA(_xlfn.XLOOKUP(TEXT($C607,"0"),Productos!$A:$A,Productos!$E:$E,IFNA(_xlfn.XLOOKUP(IFERROR(VALUE($C607),""),Productos!$A:$A,Productos!$E:$E,_xlfn.XLOOKUP($C607,Productos!$E:$E,Productos!$E:$E,"NO ENCONTRADO")),"NO ENCONTRADO")),"NO ENCONTRADO")),"NO ENCONTRADO"))</f>
        <v/>
      </c>
      <c r="E607" s="74">
        <f t="array" ref="E607">IF(OR($D607="",$D607="NO ENCONTRADO"),"",_xlfn.XLOOKUP($D607,Productos!$E:$E,Productos!$H:$H,""))</f>
        <v/>
      </c>
      <c r="F607" s="74">
        <f t="array" ref="F607">IF(OR($D607="",$D607="NO ENCONTRADO"),"",_xlfn.XLOOKUP($D607,Productos!$E:$E,Productos!$I:$I,""))</f>
        <v/>
      </c>
      <c r="G607" s="74">
        <f t="array" ref="G607">IF(OR($D607="",$D607="NO ENCONTRADO"),"",_xlfn.XLOOKUP($D607,Productos!$E:$E,Productos!$J:$J,""))</f>
        <v/>
      </c>
      <c r="H607" s="74">
        <f t="array" ref="H607">IF(OR($D607="",$D607="NO ENCONTRADO"),"",_xlfn.XLOOKUP($D607,Productos!$E:$E,Productos!$K:$K,""))</f>
        <v/>
      </c>
      <c r="I607" s="74">
        <f t="array" ref="I607">IF(OR($D607="",$D607="NO ENCONTRADO"),"",_xlfn.XLOOKUP($D607,Productos!$E:$E,Productos!$F:$F,""))</f>
        <v/>
      </c>
      <c r="J607" s="74">
        <f>IF($C607="","",IF($D607="NO ENCONTRADO",IF(COUNTIF($C$7:$C$1000,$C607)&gt;1,"⚠️ No encontrado | Duplicado","⚠️ No encontrado"),IF(COUNTIF($C$7:$C$1000,$C607)&gt;1,"⚠️ Duplicado","Verificado")))</f>
        <v/>
      </c>
    </row>
    <row r="608" ht="15.75" customHeight="1" s="176">
      <c r="B608" s="80" t="n"/>
      <c r="C608" s="74" t="n"/>
      <c r="D608" s="74">
        <f t="array" ref="D608">IF($C608="","",IFNA(_xlfn.XLOOKUP($C608,Productos!$A:$A,Productos!$E:$E,IFNA(_xlfn.XLOOKUP(TEXT($C608,"0"),Productos!$A:$A,Productos!$E:$E,IFNA(_xlfn.XLOOKUP(IFERROR(VALUE($C608),""),Productos!$A:$A,Productos!$E:$E,_xlfn.XLOOKUP($C608,Productos!$E:$E,Productos!$E:$E,"NO ENCONTRADO")),"NO ENCONTRADO")),"NO ENCONTRADO")),"NO ENCONTRADO"))</f>
        <v/>
      </c>
      <c r="E608" s="74">
        <f t="array" ref="E608">IF(OR($D608="",$D608="NO ENCONTRADO"),"",_xlfn.XLOOKUP($D608,Productos!$E:$E,Productos!$H:$H,""))</f>
        <v/>
      </c>
      <c r="F608" s="74">
        <f t="array" ref="F608">IF(OR($D608="",$D608="NO ENCONTRADO"),"",_xlfn.XLOOKUP($D608,Productos!$E:$E,Productos!$I:$I,""))</f>
        <v/>
      </c>
      <c r="G608" s="74">
        <f t="array" ref="G608">IF(OR($D608="",$D608="NO ENCONTRADO"),"",_xlfn.XLOOKUP($D608,Productos!$E:$E,Productos!$J:$J,""))</f>
        <v/>
      </c>
      <c r="H608" s="74">
        <f t="array" ref="H608">IF(OR($D608="",$D608="NO ENCONTRADO"),"",_xlfn.XLOOKUP($D608,Productos!$E:$E,Productos!$K:$K,""))</f>
        <v/>
      </c>
      <c r="I608" s="74">
        <f t="array" ref="I608">IF(OR($D608="",$D608="NO ENCONTRADO"),"",_xlfn.XLOOKUP($D608,Productos!$E:$E,Productos!$F:$F,""))</f>
        <v/>
      </c>
      <c r="J608" s="74">
        <f>IF($C608="","",IF($D608="NO ENCONTRADO",IF(COUNTIF($C$7:$C$1000,$C608)&gt;1,"⚠️ No encontrado | Duplicado","⚠️ No encontrado"),IF(COUNTIF($C$7:$C$1000,$C608)&gt;1,"⚠️ Duplicado","Verificado")))</f>
        <v/>
      </c>
    </row>
    <row r="609" ht="15.75" customHeight="1" s="176">
      <c r="B609" s="80" t="n"/>
      <c r="C609" s="74" t="n"/>
      <c r="D609" s="74">
        <f t="array" ref="D609">IF($C609="","",IFNA(_xlfn.XLOOKUP($C609,Productos!$A:$A,Productos!$E:$E,IFNA(_xlfn.XLOOKUP(TEXT($C609,"0"),Productos!$A:$A,Productos!$E:$E,IFNA(_xlfn.XLOOKUP(IFERROR(VALUE($C609),""),Productos!$A:$A,Productos!$E:$E,_xlfn.XLOOKUP($C609,Productos!$E:$E,Productos!$E:$E,"NO ENCONTRADO")),"NO ENCONTRADO")),"NO ENCONTRADO")),"NO ENCONTRADO"))</f>
        <v/>
      </c>
      <c r="E609" s="74">
        <f t="array" ref="E609">IF(OR($D609="",$D609="NO ENCONTRADO"),"",_xlfn.XLOOKUP($D609,Productos!$E:$E,Productos!$H:$H,""))</f>
        <v/>
      </c>
      <c r="F609" s="74">
        <f t="array" ref="F609">IF(OR($D609="",$D609="NO ENCONTRADO"),"",_xlfn.XLOOKUP($D609,Productos!$E:$E,Productos!$I:$I,""))</f>
        <v/>
      </c>
      <c r="G609" s="74">
        <f t="array" ref="G609">IF(OR($D609="",$D609="NO ENCONTRADO"),"",_xlfn.XLOOKUP($D609,Productos!$E:$E,Productos!$J:$J,""))</f>
        <v/>
      </c>
      <c r="H609" s="74">
        <f t="array" ref="H609">IF(OR($D609="",$D609="NO ENCONTRADO"),"",_xlfn.XLOOKUP($D609,Productos!$E:$E,Productos!$K:$K,""))</f>
        <v/>
      </c>
      <c r="I609" s="74">
        <f t="array" ref="I609">IF(OR($D609="",$D609="NO ENCONTRADO"),"",_xlfn.XLOOKUP($D609,Productos!$E:$E,Productos!$F:$F,""))</f>
        <v/>
      </c>
      <c r="J609" s="74">
        <f>IF($C609="","",IF($D609="NO ENCONTRADO",IF(COUNTIF($C$7:$C$1000,$C609)&gt;1,"⚠️ No encontrado | Duplicado","⚠️ No encontrado"),IF(COUNTIF($C$7:$C$1000,$C609)&gt;1,"⚠️ Duplicado","Verificado")))</f>
        <v/>
      </c>
    </row>
    <row r="610" ht="15.75" customHeight="1" s="176">
      <c r="B610" s="80" t="n"/>
      <c r="C610" s="74" t="n"/>
      <c r="D610" s="74">
        <f t="array" ref="D610">IF($C610="","",IFNA(_xlfn.XLOOKUP($C610,Productos!$A:$A,Productos!$E:$E,IFNA(_xlfn.XLOOKUP(TEXT($C610,"0"),Productos!$A:$A,Productos!$E:$E,IFNA(_xlfn.XLOOKUP(IFERROR(VALUE($C610),""),Productos!$A:$A,Productos!$E:$E,_xlfn.XLOOKUP($C610,Productos!$E:$E,Productos!$E:$E,"NO ENCONTRADO")),"NO ENCONTRADO")),"NO ENCONTRADO")),"NO ENCONTRADO"))</f>
        <v/>
      </c>
      <c r="E610" s="74">
        <f t="array" ref="E610">IF(OR($D610="",$D610="NO ENCONTRADO"),"",_xlfn.XLOOKUP($D610,Productos!$E:$E,Productos!$H:$H,""))</f>
        <v/>
      </c>
      <c r="F610" s="74">
        <f t="array" ref="F610">IF(OR($D610="",$D610="NO ENCONTRADO"),"",_xlfn.XLOOKUP($D610,Productos!$E:$E,Productos!$I:$I,""))</f>
        <v/>
      </c>
      <c r="G610" s="74">
        <f t="array" ref="G610">IF(OR($D610="",$D610="NO ENCONTRADO"),"",_xlfn.XLOOKUP($D610,Productos!$E:$E,Productos!$J:$J,""))</f>
        <v/>
      </c>
      <c r="H610" s="74">
        <f t="array" ref="H610">IF(OR($D610="",$D610="NO ENCONTRADO"),"",_xlfn.XLOOKUP($D610,Productos!$E:$E,Productos!$K:$K,""))</f>
        <v/>
      </c>
      <c r="I610" s="74">
        <f t="array" ref="I610">IF(OR($D610="",$D610="NO ENCONTRADO"),"",_xlfn.XLOOKUP($D610,Productos!$E:$E,Productos!$F:$F,""))</f>
        <v/>
      </c>
      <c r="J610" s="74">
        <f>IF($C610="","",IF($D610="NO ENCONTRADO",IF(COUNTIF($C$7:$C$1000,$C610)&gt;1,"⚠️ No encontrado | Duplicado","⚠️ No encontrado"),IF(COUNTIF($C$7:$C$1000,$C610)&gt;1,"⚠️ Duplicado","Verificado")))</f>
        <v/>
      </c>
    </row>
    <row r="611" ht="15.75" customHeight="1" s="176">
      <c r="B611" s="80" t="n"/>
      <c r="C611" s="74" t="n"/>
      <c r="D611" s="74">
        <f t="array" ref="D611">IF($C611="","",IFNA(_xlfn.XLOOKUP($C611,Productos!$A:$A,Productos!$E:$E,IFNA(_xlfn.XLOOKUP(TEXT($C611,"0"),Productos!$A:$A,Productos!$E:$E,IFNA(_xlfn.XLOOKUP(IFERROR(VALUE($C611),""),Productos!$A:$A,Productos!$E:$E,_xlfn.XLOOKUP($C611,Productos!$E:$E,Productos!$E:$E,"NO ENCONTRADO")),"NO ENCONTRADO")),"NO ENCONTRADO")),"NO ENCONTRADO"))</f>
        <v/>
      </c>
      <c r="E611" s="74">
        <f t="array" ref="E611">IF(OR($D611="",$D611="NO ENCONTRADO"),"",_xlfn.XLOOKUP($D611,Productos!$E:$E,Productos!$H:$H,""))</f>
        <v/>
      </c>
      <c r="F611" s="74">
        <f t="array" ref="F611">IF(OR($D611="",$D611="NO ENCONTRADO"),"",_xlfn.XLOOKUP($D611,Productos!$E:$E,Productos!$I:$I,""))</f>
        <v/>
      </c>
      <c r="G611" s="74">
        <f t="array" ref="G611">IF(OR($D611="",$D611="NO ENCONTRADO"),"",_xlfn.XLOOKUP($D611,Productos!$E:$E,Productos!$J:$J,""))</f>
        <v/>
      </c>
      <c r="H611" s="74">
        <f t="array" ref="H611">IF(OR($D611="",$D611="NO ENCONTRADO"),"",_xlfn.XLOOKUP($D611,Productos!$E:$E,Productos!$K:$K,""))</f>
        <v/>
      </c>
      <c r="I611" s="74">
        <f t="array" ref="I611">IF(OR($D611="",$D611="NO ENCONTRADO"),"",_xlfn.XLOOKUP($D611,Productos!$E:$E,Productos!$F:$F,""))</f>
        <v/>
      </c>
      <c r="J611" s="74">
        <f>IF($C611="","",IF($D611="NO ENCONTRADO",IF(COUNTIF($C$7:$C$1000,$C611)&gt;1,"⚠️ No encontrado | Duplicado","⚠️ No encontrado"),IF(COUNTIF($C$7:$C$1000,$C611)&gt;1,"⚠️ Duplicado","Verificado")))</f>
        <v/>
      </c>
    </row>
    <row r="612" ht="15.75" customHeight="1" s="176">
      <c r="B612" s="80" t="n"/>
      <c r="C612" s="74" t="n"/>
      <c r="D612" s="74">
        <f t="array" ref="D612">IF($C612="","",IFNA(_xlfn.XLOOKUP($C612,Productos!$A:$A,Productos!$E:$E,IFNA(_xlfn.XLOOKUP(TEXT($C612,"0"),Productos!$A:$A,Productos!$E:$E,IFNA(_xlfn.XLOOKUP(IFERROR(VALUE($C612),""),Productos!$A:$A,Productos!$E:$E,_xlfn.XLOOKUP($C612,Productos!$E:$E,Productos!$E:$E,"NO ENCONTRADO")),"NO ENCONTRADO")),"NO ENCONTRADO")),"NO ENCONTRADO"))</f>
        <v/>
      </c>
      <c r="E612" s="74">
        <f t="array" ref="E612">IF(OR($D612="",$D612="NO ENCONTRADO"),"",_xlfn.XLOOKUP($D612,Productos!$E:$E,Productos!$H:$H,""))</f>
        <v/>
      </c>
      <c r="F612" s="74">
        <f t="array" ref="F612">IF(OR($D612="",$D612="NO ENCONTRADO"),"",_xlfn.XLOOKUP($D612,Productos!$E:$E,Productos!$I:$I,""))</f>
        <v/>
      </c>
      <c r="G612" s="74">
        <f t="array" ref="G612">IF(OR($D612="",$D612="NO ENCONTRADO"),"",_xlfn.XLOOKUP($D612,Productos!$E:$E,Productos!$J:$J,""))</f>
        <v/>
      </c>
      <c r="H612" s="74">
        <f t="array" ref="H612">IF(OR($D612="",$D612="NO ENCONTRADO"),"",_xlfn.XLOOKUP($D612,Productos!$E:$E,Productos!$K:$K,""))</f>
        <v/>
      </c>
      <c r="I612" s="74">
        <f t="array" ref="I612">IF(OR($D612="",$D612="NO ENCONTRADO"),"",_xlfn.XLOOKUP($D612,Productos!$E:$E,Productos!$F:$F,""))</f>
        <v/>
      </c>
      <c r="J612" s="74">
        <f>IF($C612="","",IF($D612="NO ENCONTRADO",IF(COUNTIF($C$7:$C$1000,$C612)&gt;1,"⚠️ No encontrado | Duplicado","⚠️ No encontrado"),IF(COUNTIF($C$7:$C$1000,$C612)&gt;1,"⚠️ Duplicado","Verificado")))</f>
        <v/>
      </c>
    </row>
    <row r="613" ht="15.75" customHeight="1" s="176">
      <c r="B613" s="80" t="n"/>
      <c r="C613" s="74" t="n"/>
      <c r="D613" s="74">
        <f t="array" ref="D613">IF($C613="","",IFNA(_xlfn.XLOOKUP($C613,Productos!$A:$A,Productos!$E:$E,IFNA(_xlfn.XLOOKUP(TEXT($C613,"0"),Productos!$A:$A,Productos!$E:$E,IFNA(_xlfn.XLOOKUP(IFERROR(VALUE($C613),""),Productos!$A:$A,Productos!$E:$E,_xlfn.XLOOKUP($C613,Productos!$E:$E,Productos!$E:$E,"NO ENCONTRADO")),"NO ENCONTRADO")),"NO ENCONTRADO")),"NO ENCONTRADO"))</f>
        <v/>
      </c>
      <c r="E613" s="74">
        <f t="array" ref="E613">IF(OR($D613="",$D613="NO ENCONTRADO"),"",_xlfn.XLOOKUP($D613,Productos!$E:$E,Productos!$H:$H,""))</f>
        <v/>
      </c>
      <c r="F613" s="74">
        <f t="array" ref="F613">IF(OR($D613="",$D613="NO ENCONTRADO"),"",_xlfn.XLOOKUP($D613,Productos!$E:$E,Productos!$I:$I,""))</f>
        <v/>
      </c>
      <c r="G613" s="74">
        <f t="array" ref="G613">IF(OR($D613="",$D613="NO ENCONTRADO"),"",_xlfn.XLOOKUP($D613,Productos!$E:$E,Productos!$J:$J,""))</f>
        <v/>
      </c>
      <c r="H613" s="74">
        <f t="array" ref="H613">IF(OR($D613="",$D613="NO ENCONTRADO"),"",_xlfn.XLOOKUP($D613,Productos!$E:$E,Productos!$K:$K,""))</f>
        <v/>
      </c>
      <c r="I613" s="74">
        <f t="array" ref="I613">IF(OR($D613="",$D613="NO ENCONTRADO"),"",_xlfn.XLOOKUP($D613,Productos!$E:$E,Productos!$F:$F,""))</f>
        <v/>
      </c>
      <c r="J613" s="74">
        <f>IF($C613="","",IF($D613="NO ENCONTRADO",IF(COUNTIF($C$7:$C$1000,$C613)&gt;1,"⚠️ No encontrado | Duplicado","⚠️ No encontrado"),IF(COUNTIF($C$7:$C$1000,$C613)&gt;1,"⚠️ Duplicado","Verificado")))</f>
        <v/>
      </c>
    </row>
    <row r="614" ht="15.75" customHeight="1" s="176">
      <c r="B614" s="80" t="n"/>
      <c r="C614" s="74" t="n"/>
      <c r="D614" s="74">
        <f t="array" ref="D614">IF($C614="","",IFNA(_xlfn.XLOOKUP($C614,Productos!$A:$A,Productos!$E:$E,IFNA(_xlfn.XLOOKUP(TEXT($C614,"0"),Productos!$A:$A,Productos!$E:$E,IFNA(_xlfn.XLOOKUP(IFERROR(VALUE($C614),""),Productos!$A:$A,Productos!$E:$E,_xlfn.XLOOKUP($C614,Productos!$E:$E,Productos!$E:$E,"NO ENCONTRADO")),"NO ENCONTRADO")),"NO ENCONTRADO")),"NO ENCONTRADO"))</f>
        <v/>
      </c>
      <c r="E614" s="74">
        <f t="array" ref="E614">IF(OR($D614="",$D614="NO ENCONTRADO"),"",_xlfn.XLOOKUP($D614,Productos!$E:$E,Productos!$H:$H,""))</f>
        <v/>
      </c>
      <c r="F614" s="74">
        <f t="array" ref="F614">IF(OR($D614="",$D614="NO ENCONTRADO"),"",_xlfn.XLOOKUP($D614,Productos!$E:$E,Productos!$I:$I,""))</f>
        <v/>
      </c>
      <c r="G614" s="74">
        <f t="array" ref="G614">IF(OR($D614="",$D614="NO ENCONTRADO"),"",_xlfn.XLOOKUP($D614,Productos!$E:$E,Productos!$J:$J,""))</f>
        <v/>
      </c>
      <c r="H614" s="74">
        <f t="array" ref="H614">IF(OR($D614="",$D614="NO ENCONTRADO"),"",_xlfn.XLOOKUP($D614,Productos!$E:$E,Productos!$K:$K,""))</f>
        <v/>
      </c>
      <c r="I614" s="74">
        <f t="array" ref="I614">IF(OR($D614="",$D614="NO ENCONTRADO"),"",_xlfn.XLOOKUP($D614,Productos!$E:$E,Productos!$F:$F,""))</f>
        <v/>
      </c>
      <c r="J614" s="74">
        <f>IF($C614="","",IF($D614="NO ENCONTRADO",IF(COUNTIF($C$7:$C$1000,$C614)&gt;1,"⚠️ No encontrado | Duplicado","⚠️ No encontrado"),IF(COUNTIF($C$7:$C$1000,$C614)&gt;1,"⚠️ Duplicado","Verificado")))</f>
        <v/>
      </c>
    </row>
    <row r="615" ht="15.75" customHeight="1" s="176">
      <c r="B615" s="80" t="n"/>
      <c r="C615" s="74" t="n"/>
      <c r="D615" s="74">
        <f t="array" ref="D615">IF($C615="","",IFNA(_xlfn.XLOOKUP($C615,Productos!$A:$A,Productos!$E:$E,IFNA(_xlfn.XLOOKUP(TEXT($C615,"0"),Productos!$A:$A,Productos!$E:$E,IFNA(_xlfn.XLOOKUP(IFERROR(VALUE($C615),""),Productos!$A:$A,Productos!$E:$E,_xlfn.XLOOKUP($C615,Productos!$E:$E,Productos!$E:$E,"NO ENCONTRADO")),"NO ENCONTRADO")),"NO ENCONTRADO")),"NO ENCONTRADO"))</f>
        <v/>
      </c>
      <c r="E615" s="74">
        <f t="array" ref="E615">IF(OR($D615="",$D615="NO ENCONTRADO"),"",_xlfn.XLOOKUP($D615,Productos!$E:$E,Productos!$H:$H,""))</f>
        <v/>
      </c>
      <c r="F615" s="74">
        <f t="array" ref="F615">IF(OR($D615="",$D615="NO ENCONTRADO"),"",_xlfn.XLOOKUP($D615,Productos!$E:$E,Productos!$I:$I,""))</f>
        <v/>
      </c>
      <c r="G615" s="74">
        <f t="array" ref="G615">IF(OR($D615="",$D615="NO ENCONTRADO"),"",_xlfn.XLOOKUP($D615,Productos!$E:$E,Productos!$J:$J,""))</f>
        <v/>
      </c>
      <c r="H615" s="74">
        <f t="array" ref="H615">IF(OR($D615="",$D615="NO ENCONTRADO"),"",_xlfn.XLOOKUP($D615,Productos!$E:$E,Productos!$K:$K,""))</f>
        <v/>
      </c>
      <c r="I615" s="74">
        <f t="array" ref="I615">IF(OR($D615="",$D615="NO ENCONTRADO"),"",_xlfn.XLOOKUP($D615,Productos!$E:$E,Productos!$F:$F,""))</f>
        <v/>
      </c>
      <c r="J615" s="74">
        <f>IF($C615="","",IF($D615="NO ENCONTRADO",IF(COUNTIF($C$7:$C$1000,$C615)&gt;1,"⚠️ No encontrado | Duplicado","⚠️ No encontrado"),IF(COUNTIF($C$7:$C$1000,$C615)&gt;1,"⚠️ Duplicado","Verificado")))</f>
        <v/>
      </c>
    </row>
    <row r="616" ht="15.75" customHeight="1" s="176">
      <c r="B616" s="80" t="n"/>
      <c r="C616" s="74" t="n"/>
      <c r="D616" s="74">
        <f t="array" ref="D616">IF($C616="","",IFNA(_xlfn.XLOOKUP($C616,Productos!$A:$A,Productos!$E:$E,IFNA(_xlfn.XLOOKUP(TEXT($C616,"0"),Productos!$A:$A,Productos!$E:$E,IFNA(_xlfn.XLOOKUP(IFERROR(VALUE($C616),""),Productos!$A:$A,Productos!$E:$E,_xlfn.XLOOKUP($C616,Productos!$E:$E,Productos!$E:$E,"NO ENCONTRADO")),"NO ENCONTRADO")),"NO ENCONTRADO")),"NO ENCONTRADO"))</f>
        <v/>
      </c>
      <c r="E616" s="74">
        <f t="array" ref="E616">IF(OR($D616="",$D616="NO ENCONTRADO"),"",_xlfn.XLOOKUP($D616,Productos!$E:$E,Productos!$H:$H,""))</f>
        <v/>
      </c>
      <c r="F616" s="74">
        <f t="array" ref="F616">IF(OR($D616="",$D616="NO ENCONTRADO"),"",_xlfn.XLOOKUP($D616,Productos!$E:$E,Productos!$I:$I,""))</f>
        <v/>
      </c>
      <c r="G616" s="74">
        <f t="array" ref="G616">IF(OR($D616="",$D616="NO ENCONTRADO"),"",_xlfn.XLOOKUP($D616,Productos!$E:$E,Productos!$J:$J,""))</f>
        <v/>
      </c>
      <c r="H616" s="74">
        <f t="array" ref="H616">IF(OR($D616="",$D616="NO ENCONTRADO"),"",_xlfn.XLOOKUP($D616,Productos!$E:$E,Productos!$K:$K,""))</f>
        <v/>
      </c>
      <c r="I616" s="74">
        <f t="array" ref="I616">IF(OR($D616="",$D616="NO ENCONTRADO"),"",_xlfn.XLOOKUP($D616,Productos!$E:$E,Productos!$F:$F,""))</f>
        <v/>
      </c>
      <c r="J616" s="74">
        <f>IF($C616="","",IF($D616="NO ENCONTRADO",IF(COUNTIF($C$7:$C$1000,$C616)&gt;1,"⚠️ No encontrado | Duplicado","⚠️ No encontrado"),IF(COUNTIF($C$7:$C$1000,$C616)&gt;1,"⚠️ Duplicado","Verificado")))</f>
        <v/>
      </c>
    </row>
    <row r="617" ht="15.75" customHeight="1" s="176">
      <c r="B617" s="80" t="n"/>
      <c r="C617" s="74" t="n"/>
      <c r="D617" s="74">
        <f t="array" ref="D617">IF($C617="","",IFNA(_xlfn.XLOOKUP($C617,Productos!$A:$A,Productos!$E:$E,IFNA(_xlfn.XLOOKUP(TEXT($C617,"0"),Productos!$A:$A,Productos!$E:$E,IFNA(_xlfn.XLOOKUP(IFERROR(VALUE($C617),""),Productos!$A:$A,Productos!$E:$E,_xlfn.XLOOKUP($C617,Productos!$E:$E,Productos!$E:$E,"NO ENCONTRADO")),"NO ENCONTRADO")),"NO ENCONTRADO")),"NO ENCONTRADO"))</f>
        <v/>
      </c>
      <c r="E617" s="74">
        <f t="array" ref="E617">IF(OR($D617="",$D617="NO ENCONTRADO"),"",_xlfn.XLOOKUP($D617,Productos!$E:$E,Productos!$H:$H,""))</f>
        <v/>
      </c>
      <c r="F617" s="74">
        <f t="array" ref="F617">IF(OR($D617="",$D617="NO ENCONTRADO"),"",_xlfn.XLOOKUP($D617,Productos!$E:$E,Productos!$I:$I,""))</f>
        <v/>
      </c>
      <c r="G617" s="74">
        <f t="array" ref="G617">IF(OR($D617="",$D617="NO ENCONTRADO"),"",_xlfn.XLOOKUP($D617,Productos!$E:$E,Productos!$J:$J,""))</f>
        <v/>
      </c>
      <c r="H617" s="74">
        <f t="array" ref="H617">IF(OR($D617="",$D617="NO ENCONTRADO"),"",_xlfn.XLOOKUP($D617,Productos!$E:$E,Productos!$K:$K,""))</f>
        <v/>
      </c>
      <c r="I617" s="74">
        <f t="array" ref="I617">IF(OR($D617="",$D617="NO ENCONTRADO"),"",_xlfn.XLOOKUP($D617,Productos!$E:$E,Productos!$F:$F,""))</f>
        <v/>
      </c>
      <c r="J617" s="74">
        <f>IF($C617="","",IF($D617="NO ENCONTRADO",IF(COUNTIF($C$7:$C$1000,$C617)&gt;1,"⚠️ No encontrado | Duplicado","⚠️ No encontrado"),IF(COUNTIF($C$7:$C$1000,$C617)&gt;1,"⚠️ Duplicado","Verificado")))</f>
        <v/>
      </c>
    </row>
    <row r="618" ht="15.75" customHeight="1" s="176">
      <c r="B618" s="80" t="n"/>
      <c r="C618" s="74" t="n"/>
      <c r="D618" s="74">
        <f t="array" ref="D618">IF($C618="","",IFNA(_xlfn.XLOOKUP($C618,Productos!$A:$A,Productos!$E:$E,IFNA(_xlfn.XLOOKUP(TEXT($C618,"0"),Productos!$A:$A,Productos!$E:$E,IFNA(_xlfn.XLOOKUP(IFERROR(VALUE($C618),""),Productos!$A:$A,Productos!$E:$E,_xlfn.XLOOKUP($C618,Productos!$E:$E,Productos!$E:$E,"NO ENCONTRADO")),"NO ENCONTRADO")),"NO ENCONTRADO")),"NO ENCONTRADO"))</f>
        <v/>
      </c>
      <c r="E618" s="74">
        <f t="array" ref="E618">IF(OR($D618="",$D618="NO ENCONTRADO"),"",_xlfn.XLOOKUP($D618,Productos!$E:$E,Productos!$H:$H,""))</f>
        <v/>
      </c>
      <c r="F618" s="74">
        <f t="array" ref="F618">IF(OR($D618="",$D618="NO ENCONTRADO"),"",_xlfn.XLOOKUP($D618,Productos!$E:$E,Productos!$I:$I,""))</f>
        <v/>
      </c>
      <c r="G618" s="74">
        <f t="array" ref="G618">IF(OR($D618="",$D618="NO ENCONTRADO"),"",_xlfn.XLOOKUP($D618,Productos!$E:$E,Productos!$J:$J,""))</f>
        <v/>
      </c>
      <c r="H618" s="74">
        <f t="array" ref="H618">IF(OR($D618="",$D618="NO ENCONTRADO"),"",_xlfn.XLOOKUP($D618,Productos!$E:$E,Productos!$K:$K,""))</f>
        <v/>
      </c>
      <c r="I618" s="74">
        <f t="array" ref="I618">IF(OR($D618="",$D618="NO ENCONTRADO"),"",_xlfn.XLOOKUP($D618,Productos!$E:$E,Productos!$F:$F,""))</f>
        <v/>
      </c>
      <c r="J618" s="74">
        <f>IF($C618="","",IF($D618="NO ENCONTRADO",IF(COUNTIF($C$7:$C$1000,$C618)&gt;1,"⚠️ No encontrado | Duplicado","⚠️ No encontrado"),IF(COUNTIF($C$7:$C$1000,$C618)&gt;1,"⚠️ Duplicado","Verificado")))</f>
        <v/>
      </c>
    </row>
    <row r="619" ht="15.75" customHeight="1" s="176">
      <c r="B619" s="80" t="n"/>
      <c r="C619" s="74" t="n"/>
      <c r="D619" s="74">
        <f t="array" ref="D619">IF($C619="","",IFNA(_xlfn.XLOOKUP($C619,Productos!$A:$A,Productos!$E:$E,IFNA(_xlfn.XLOOKUP(TEXT($C619,"0"),Productos!$A:$A,Productos!$E:$E,IFNA(_xlfn.XLOOKUP(IFERROR(VALUE($C619),""),Productos!$A:$A,Productos!$E:$E,_xlfn.XLOOKUP($C619,Productos!$E:$E,Productos!$E:$E,"NO ENCONTRADO")),"NO ENCONTRADO")),"NO ENCONTRADO")),"NO ENCONTRADO"))</f>
        <v/>
      </c>
      <c r="E619" s="74">
        <f t="array" ref="E619">IF(OR($D619="",$D619="NO ENCONTRADO"),"",_xlfn.XLOOKUP($D619,Productos!$E:$E,Productos!$H:$H,""))</f>
        <v/>
      </c>
      <c r="F619" s="74">
        <f t="array" ref="F619">IF(OR($D619="",$D619="NO ENCONTRADO"),"",_xlfn.XLOOKUP($D619,Productos!$E:$E,Productos!$I:$I,""))</f>
        <v/>
      </c>
      <c r="G619" s="74">
        <f t="array" ref="G619">IF(OR($D619="",$D619="NO ENCONTRADO"),"",_xlfn.XLOOKUP($D619,Productos!$E:$E,Productos!$J:$J,""))</f>
        <v/>
      </c>
      <c r="H619" s="74">
        <f t="array" ref="H619">IF(OR($D619="",$D619="NO ENCONTRADO"),"",_xlfn.XLOOKUP($D619,Productos!$E:$E,Productos!$K:$K,""))</f>
        <v/>
      </c>
      <c r="I619" s="74">
        <f t="array" ref="I619">IF(OR($D619="",$D619="NO ENCONTRADO"),"",_xlfn.XLOOKUP($D619,Productos!$E:$E,Productos!$F:$F,""))</f>
        <v/>
      </c>
      <c r="J619" s="74">
        <f>IF($C619="","",IF($D619="NO ENCONTRADO",IF(COUNTIF($C$7:$C$1000,$C619)&gt;1,"⚠️ No encontrado | Duplicado","⚠️ No encontrado"),IF(COUNTIF($C$7:$C$1000,$C619)&gt;1,"⚠️ Duplicado","Verificado")))</f>
        <v/>
      </c>
    </row>
    <row r="620" ht="15.75" customHeight="1" s="176">
      <c r="B620" s="80" t="n"/>
      <c r="C620" s="74" t="n"/>
      <c r="D620" s="74">
        <f t="array" ref="D620">IF($C620="","",IFNA(_xlfn.XLOOKUP($C620,Productos!$A:$A,Productos!$E:$E,IFNA(_xlfn.XLOOKUP(TEXT($C620,"0"),Productos!$A:$A,Productos!$E:$E,IFNA(_xlfn.XLOOKUP(IFERROR(VALUE($C620),""),Productos!$A:$A,Productos!$E:$E,_xlfn.XLOOKUP($C620,Productos!$E:$E,Productos!$E:$E,"NO ENCONTRADO")),"NO ENCONTRADO")),"NO ENCONTRADO")),"NO ENCONTRADO"))</f>
        <v/>
      </c>
      <c r="E620" s="74">
        <f t="array" ref="E620">IF(OR($D620="",$D620="NO ENCONTRADO"),"",_xlfn.XLOOKUP($D620,Productos!$E:$E,Productos!$H:$H,""))</f>
        <v/>
      </c>
      <c r="F620" s="74">
        <f t="array" ref="F620">IF(OR($D620="",$D620="NO ENCONTRADO"),"",_xlfn.XLOOKUP($D620,Productos!$E:$E,Productos!$I:$I,""))</f>
        <v/>
      </c>
      <c r="G620" s="74">
        <f t="array" ref="G620">IF(OR($D620="",$D620="NO ENCONTRADO"),"",_xlfn.XLOOKUP($D620,Productos!$E:$E,Productos!$J:$J,""))</f>
        <v/>
      </c>
      <c r="H620" s="74">
        <f t="array" ref="H620">IF(OR($D620="",$D620="NO ENCONTRADO"),"",_xlfn.XLOOKUP($D620,Productos!$E:$E,Productos!$K:$K,""))</f>
        <v/>
      </c>
      <c r="I620" s="74">
        <f t="array" ref="I620">IF(OR($D620="",$D620="NO ENCONTRADO"),"",_xlfn.XLOOKUP($D620,Productos!$E:$E,Productos!$F:$F,""))</f>
        <v/>
      </c>
      <c r="J620" s="74">
        <f>IF($C620="","",IF($D620="NO ENCONTRADO",IF(COUNTIF($C$7:$C$1000,$C620)&gt;1,"⚠️ No encontrado | Duplicado","⚠️ No encontrado"),IF(COUNTIF($C$7:$C$1000,$C620)&gt;1,"⚠️ Duplicado","Verificado")))</f>
        <v/>
      </c>
    </row>
    <row r="621" ht="15.75" customHeight="1" s="176">
      <c r="B621" s="80" t="n"/>
      <c r="C621" s="74" t="n"/>
      <c r="D621" s="74">
        <f t="array" ref="D621">IF($C621="","",IFNA(_xlfn.XLOOKUP($C621,Productos!$A:$A,Productos!$E:$E,IFNA(_xlfn.XLOOKUP(TEXT($C621,"0"),Productos!$A:$A,Productos!$E:$E,IFNA(_xlfn.XLOOKUP(IFERROR(VALUE($C621),""),Productos!$A:$A,Productos!$E:$E,_xlfn.XLOOKUP($C621,Productos!$E:$E,Productos!$E:$E,"NO ENCONTRADO")),"NO ENCONTRADO")),"NO ENCONTRADO")),"NO ENCONTRADO"))</f>
        <v/>
      </c>
      <c r="E621" s="74">
        <f t="array" ref="E621">IF(OR($D621="",$D621="NO ENCONTRADO"),"",_xlfn.XLOOKUP($D621,Productos!$E:$E,Productos!$H:$H,""))</f>
        <v/>
      </c>
      <c r="F621" s="74">
        <f t="array" ref="F621">IF(OR($D621="",$D621="NO ENCONTRADO"),"",_xlfn.XLOOKUP($D621,Productos!$E:$E,Productos!$I:$I,""))</f>
        <v/>
      </c>
      <c r="G621" s="74">
        <f t="array" ref="G621">IF(OR($D621="",$D621="NO ENCONTRADO"),"",_xlfn.XLOOKUP($D621,Productos!$E:$E,Productos!$J:$J,""))</f>
        <v/>
      </c>
      <c r="H621" s="74">
        <f t="array" ref="H621">IF(OR($D621="",$D621="NO ENCONTRADO"),"",_xlfn.XLOOKUP($D621,Productos!$E:$E,Productos!$K:$K,""))</f>
        <v/>
      </c>
      <c r="I621" s="74">
        <f t="array" ref="I621">IF(OR($D621="",$D621="NO ENCONTRADO"),"",_xlfn.XLOOKUP($D621,Productos!$E:$E,Productos!$F:$F,""))</f>
        <v/>
      </c>
      <c r="J621" s="74">
        <f>IF($C621="","",IF($D621="NO ENCONTRADO",IF(COUNTIF($C$7:$C$1000,$C621)&gt;1,"⚠️ No encontrado | Duplicado","⚠️ No encontrado"),IF(COUNTIF($C$7:$C$1000,$C621)&gt;1,"⚠️ Duplicado","Verificado")))</f>
        <v/>
      </c>
    </row>
    <row r="622" ht="15.75" customHeight="1" s="176">
      <c r="B622" s="80" t="n"/>
      <c r="C622" s="74" t="n"/>
      <c r="D622" s="74">
        <f t="array" ref="D622">IF($C622="","",IFNA(_xlfn.XLOOKUP($C622,Productos!$A:$A,Productos!$E:$E,IFNA(_xlfn.XLOOKUP(TEXT($C622,"0"),Productos!$A:$A,Productos!$E:$E,IFNA(_xlfn.XLOOKUP(IFERROR(VALUE($C622),""),Productos!$A:$A,Productos!$E:$E,_xlfn.XLOOKUP($C622,Productos!$E:$E,Productos!$E:$E,"NO ENCONTRADO")),"NO ENCONTRADO")),"NO ENCONTRADO")),"NO ENCONTRADO"))</f>
        <v/>
      </c>
      <c r="E622" s="74">
        <f t="array" ref="E622">IF(OR($D622="",$D622="NO ENCONTRADO"),"",_xlfn.XLOOKUP($D622,Productos!$E:$E,Productos!$H:$H,""))</f>
        <v/>
      </c>
      <c r="F622" s="74">
        <f t="array" ref="F622">IF(OR($D622="",$D622="NO ENCONTRADO"),"",_xlfn.XLOOKUP($D622,Productos!$E:$E,Productos!$I:$I,""))</f>
        <v/>
      </c>
      <c r="G622" s="74">
        <f t="array" ref="G622">IF(OR($D622="",$D622="NO ENCONTRADO"),"",_xlfn.XLOOKUP($D622,Productos!$E:$E,Productos!$J:$J,""))</f>
        <v/>
      </c>
      <c r="H622" s="74">
        <f t="array" ref="H622">IF(OR($D622="",$D622="NO ENCONTRADO"),"",_xlfn.XLOOKUP($D622,Productos!$E:$E,Productos!$K:$K,""))</f>
        <v/>
      </c>
      <c r="I622" s="74">
        <f t="array" ref="I622">IF(OR($D622="",$D622="NO ENCONTRADO"),"",_xlfn.XLOOKUP($D622,Productos!$E:$E,Productos!$F:$F,""))</f>
        <v/>
      </c>
      <c r="J622" s="74">
        <f>IF($C622="","",IF($D622="NO ENCONTRADO",IF(COUNTIF($C$7:$C$1000,$C622)&gt;1,"⚠️ No encontrado | Duplicado","⚠️ No encontrado"),IF(COUNTIF($C$7:$C$1000,$C622)&gt;1,"⚠️ Duplicado","Verificado")))</f>
        <v/>
      </c>
    </row>
    <row r="623" ht="15.75" customHeight="1" s="176">
      <c r="B623" s="80" t="n"/>
      <c r="C623" s="74" t="n"/>
      <c r="D623" s="74">
        <f t="array" ref="D623">IF($C623="","",IFNA(_xlfn.XLOOKUP($C623,Productos!$A:$A,Productos!$E:$E,IFNA(_xlfn.XLOOKUP(TEXT($C623,"0"),Productos!$A:$A,Productos!$E:$E,IFNA(_xlfn.XLOOKUP(IFERROR(VALUE($C623),""),Productos!$A:$A,Productos!$E:$E,_xlfn.XLOOKUP($C623,Productos!$E:$E,Productos!$E:$E,"NO ENCONTRADO")),"NO ENCONTRADO")),"NO ENCONTRADO")),"NO ENCONTRADO"))</f>
        <v/>
      </c>
      <c r="E623" s="74">
        <f t="array" ref="E623">IF(OR($D623="",$D623="NO ENCONTRADO"),"",_xlfn.XLOOKUP($D623,Productos!$E:$E,Productos!$H:$H,""))</f>
        <v/>
      </c>
      <c r="F623" s="74">
        <f t="array" ref="F623">IF(OR($D623="",$D623="NO ENCONTRADO"),"",_xlfn.XLOOKUP($D623,Productos!$E:$E,Productos!$I:$I,""))</f>
        <v/>
      </c>
      <c r="G623" s="74">
        <f t="array" ref="G623">IF(OR($D623="",$D623="NO ENCONTRADO"),"",_xlfn.XLOOKUP($D623,Productos!$E:$E,Productos!$J:$J,""))</f>
        <v/>
      </c>
      <c r="H623" s="74">
        <f t="array" ref="H623">IF(OR($D623="",$D623="NO ENCONTRADO"),"",_xlfn.XLOOKUP($D623,Productos!$E:$E,Productos!$K:$K,""))</f>
        <v/>
      </c>
      <c r="I623" s="74">
        <f t="array" ref="I623">IF(OR($D623="",$D623="NO ENCONTRADO"),"",_xlfn.XLOOKUP($D623,Productos!$E:$E,Productos!$F:$F,""))</f>
        <v/>
      </c>
      <c r="J623" s="74">
        <f>IF($C623="","",IF($D623="NO ENCONTRADO",IF(COUNTIF($C$7:$C$1000,$C623)&gt;1,"⚠️ No encontrado | Duplicado","⚠️ No encontrado"),IF(COUNTIF($C$7:$C$1000,$C623)&gt;1,"⚠️ Duplicado","Verificado")))</f>
        <v/>
      </c>
    </row>
    <row r="624" ht="15.75" customHeight="1" s="176">
      <c r="B624" s="80" t="n"/>
      <c r="C624" s="74" t="n"/>
      <c r="D624" s="74">
        <f t="array" ref="D624">IF($C624="","",IFNA(_xlfn.XLOOKUP($C624,Productos!$A:$A,Productos!$E:$E,IFNA(_xlfn.XLOOKUP(TEXT($C624,"0"),Productos!$A:$A,Productos!$E:$E,IFNA(_xlfn.XLOOKUP(IFERROR(VALUE($C624),""),Productos!$A:$A,Productos!$E:$E,_xlfn.XLOOKUP($C624,Productos!$E:$E,Productos!$E:$E,"NO ENCONTRADO")),"NO ENCONTRADO")),"NO ENCONTRADO")),"NO ENCONTRADO"))</f>
        <v/>
      </c>
      <c r="E624" s="74">
        <f t="array" ref="E624">IF(OR($D624="",$D624="NO ENCONTRADO"),"",_xlfn.XLOOKUP($D624,Productos!$E:$E,Productos!$H:$H,""))</f>
        <v/>
      </c>
      <c r="F624" s="74">
        <f t="array" ref="F624">IF(OR($D624="",$D624="NO ENCONTRADO"),"",_xlfn.XLOOKUP($D624,Productos!$E:$E,Productos!$I:$I,""))</f>
        <v/>
      </c>
      <c r="G624" s="74">
        <f t="array" ref="G624">IF(OR($D624="",$D624="NO ENCONTRADO"),"",_xlfn.XLOOKUP($D624,Productos!$E:$E,Productos!$J:$J,""))</f>
        <v/>
      </c>
      <c r="H624" s="74">
        <f t="array" ref="H624">IF(OR($D624="",$D624="NO ENCONTRADO"),"",_xlfn.XLOOKUP($D624,Productos!$E:$E,Productos!$K:$K,""))</f>
        <v/>
      </c>
      <c r="I624" s="74">
        <f t="array" ref="I624">IF(OR($D624="",$D624="NO ENCONTRADO"),"",_xlfn.XLOOKUP($D624,Productos!$E:$E,Productos!$F:$F,""))</f>
        <v/>
      </c>
      <c r="J624" s="74">
        <f>IF($C624="","",IF($D624="NO ENCONTRADO",IF(COUNTIF($C$7:$C$1000,$C624)&gt;1,"⚠️ No encontrado | Duplicado","⚠️ No encontrado"),IF(COUNTIF($C$7:$C$1000,$C624)&gt;1,"⚠️ Duplicado","Verificado")))</f>
        <v/>
      </c>
    </row>
    <row r="625" ht="15.75" customHeight="1" s="176">
      <c r="B625" s="80" t="n"/>
      <c r="C625" s="74" t="n"/>
      <c r="D625" s="74">
        <f t="array" ref="D625">IF($C625="","",IFNA(_xlfn.XLOOKUP($C625,Productos!$A:$A,Productos!$E:$E,IFNA(_xlfn.XLOOKUP(TEXT($C625,"0"),Productos!$A:$A,Productos!$E:$E,IFNA(_xlfn.XLOOKUP(IFERROR(VALUE($C625),""),Productos!$A:$A,Productos!$E:$E,_xlfn.XLOOKUP($C625,Productos!$E:$E,Productos!$E:$E,"NO ENCONTRADO")),"NO ENCONTRADO")),"NO ENCONTRADO")),"NO ENCONTRADO"))</f>
        <v/>
      </c>
      <c r="E625" s="74">
        <f t="array" ref="E625">IF(OR($D625="",$D625="NO ENCONTRADO"),"",_xlfn.XLOOKUP($D625,Productos!$E:$E,Productos!$H:$H,""))</f>
        <v/>
      </c>
      <c r="F625" s="74">
        <f t="array" ref="F625">IF(OR($D625="",$D625="NO ENCONTRADO"),"",_xlfn.XLOOKUP($D625,Productos!$E:$E,Productos!$I:$I,""))</f>
        <v/>
      </c>
      <c r="G625" s="74">
        <f t="array" ref="G625">IF(OR($D625="",$D625="NO ENCONTRADO"),"",_xlfn.XLOOKUP($D625,Productos!$E:$E,Productos!$J:$J,""))</f>
        <v/>
      </c>
      <c r="H625" s="74">
        <f t="array" ref="H625">IF(OR($D625="",$D625="NO ENCONTRADO"),"",_xlfn.XLOOKUP($D625,Productos!$E:$E,Productos!$K:$K,""))</f>
        <v/>
      </c>
      <c r="I625" s="74">
        <f t="array" ref="I625">IF(OR($D625="",$D625="NO ENCONTRADO"),"",_xlfn.XLOOKUP($D625,Productos!$E:$E,Productos!$F:$F,""))</f>
        <v/>
      </c>
      <c r="J625" s="74">
        <f>IF($C625="","",IF($D625="NO ENCONTRADO",IF(COUNTIF($C$7:$C$1000,$C625)&gt;1,"⚠️ No encontrado | Duplicado","⚠️ No encontrado"),IF(COUNTIF($C$7:$C$1000,$C625)&gt;1,"⚠️ Duplicado","Verificado")))</f>
        <v/>
      </c>
    </row>
    <row r="626" ht="15.75" customHeight="1" s="176">
      <c r="B626" s="80" t="n"/>
      <c r="C626" s="74" t="n"/>
      <c r="D626" s="74">
        <f t="array" ref="D626">IF($C626="","",IFNA(_xlfn.XLOOKUP($C626,Productos!$A:$A,Productos!$E:$E,IFNA(_xlfn.XLOOKUP(TEXT($C626,"0"),Productos!$A:$A,Productos!$E:$E,IFNA(_xlfn.XLOOKUP(IFERROR(VALUE($C626),""),Productos!$A:$A,Productos!$E:$E,_xlfn.XLOOKUP($C626,Productos!$E:$E,Productos!$E:$E,"NO ENCONTRADO")),"NO ENCONTRADO")),"NO ENCONTRADO")),"NO ENCONTRADO"))</f>
        <v/>
      </c>
      <c r="E626" s="74">
        <f t="array" ref="E626">IF(OR($D626="",$D626="NO ENCONTRADO"),"",_xlfn.XLOOKUP($D626,Productos!$E:$E,Productos!$H:$H,""))</f>
        <v/>
      </c>
      <c r="F626" s="74">
        <f t="array" ref="F626">IF(OR($D626="",$D626="NO ENCONTRADO"),"",_xlfn.XLOOKUP($D626,Productos!$E:$E,Productos!$I:$I,""))</f>
        <v/>
      </c>
      <c r="G626" s="74">
        <f t="array" ref="G626">IF(OR($D626="",$D626="NO ENCONTRADO"),"",_xlfn.XLOOKUP($D626,Productos!$E:$E,Productos!$J:$J,""))</f>
        <v/>
      </c>
      <c r="H626" s="74">
        <f t="array" ref="H626">IF(OR($D626="",$D626="NO ENCONTRADO"),"",_xlfn.XLOOKUP($D626,Productos!$E:$E,Productos!$K:$K,""))</f>
        <v/>
      </c>
      <c r="I626" s="74">
        <f t="array" ref="I626">IF(OR($D626="",$D626="NO ENCONTRADO"),"",_xlfn.XLOOKUP($D626,Productos!$E:$E,Productos!$F:$F,""))</f>
        <v/>
      </c>
      <c r="J626" s="74">
        <f>IF($C626="","",IF($D626="NO ENCONTRADO",IF(COUNTIF($C$7:$C$1000,$C626)&gt;1,"⚠️ No encontrado | Duplicado","⚠️ No encontrado"),IF(COUNTIF($C$7:$C$1000,$C626)&gt;1,"⚠️ Duplicado","Verificado")))</f>
        <v/>
      </c>
    </row>
    <row r="627" ht="15.75" customHeight="1" s="176">
      <c r="B627" s="80" t="n"/>
      <c r="C627" s="74" t="n"/>
      <c r="D627" s="74">
        <f t="array" ref="D627">IF($C627="","",IFNA(_xlfn.XLOOKUP($C627,Productos!$A:$A,Productos!$E:$E,IFNA(_xlfn.XLOOKUP(TEXT($C627,"0"),Productos!$A:$A,Productos!$E:$E,IFNA(_xlfn.XLOOKUP(IFERROR(VALUE($C627),""),Productos!$A:$A,Productos!$E:$E,_xlfn.XLOOKUP($C627,Productos!$E:$E,Productos!$E:$E,"NO ENCONTRADO")),"NO ENCONTRADO")),"NO ENCONTRADO")),"NO ENCONTRADO"))</f>
        <v/>
      </c>
      <c r="E627" s="74">
        <f t="array" ref="E627">IF(OR($D627="",$D627="NO ENCONTRADO"),"",_xlfn.XLOOKUP($D627,Productos!$E:$E,Productos!$H:$H,""))</f>
        <v/>
      </c>
      <c r="F627" s="74">
        <f t="array" ref="F627">IF(OR($D627="",$D627="NO ENCONTRADO"),"",_xlfn.XLOOKUP($D627,Productos!$E:$E,Productos!$I:$I,""))</f>
        <v/>
      </c>
      <c r="G627" s="74">
        <f t="array" ref="G627">IF(OR($D627="",$D627="NO ENCONTRADO"),"",_xlfn.XLOOKUP($D627,Productos!$E:$E,Productos!$J:$J,""))</f>
        <v/>
      </c>
      <c r="H627" s="74">
        <f t="array" ref="H627">IF(OR($D627="",$D627="NO ENCONTRADO"),"",_xlfn.XLOOKUP($D627,Productos!$E:$E,Productos!$K:$K,""))</f>
        <v/>
      </c>
      <c r="I627" s="74">
        <f t="array" ref="I627">IF(OR($D627="",$D627="NO ENCONTRADO"),"",_xlfn.XLOOKUP($D627,Productos!$E:$E,Productos!$F:$F,""))</f>
        <v/>
      </c>
      <c r="J627" s="74">
        <f>IF($C627="","",IF($D627="NO ENCONTRADO",IF(COUNTIF($C$7:$C$1000,$C627)&gt;1,"⚠️ No encontrado | Duplicado","⚠️ No encontrado"),IF(COUNTIF($C$7:$C$1000,$C627)&gt;1,"⚠️ Duplicado","Verificado")))</f>
        <v/>
      </c>
    </row>
    <row r="628" ht="15.75" customHeight="1" s="176">
      <c r="B628" s="80" t="n"/>
      <c r="C628" s="74" t="n"/>
      <c r="D628" s="74">
        <f t="array" ref="D628">IF($C628="","",IFNA(_xlfn.XLOOKUP($C628,Productos!$A:$A,Productos!$E:$E,IFNA(_xlfn.XLOOKUP(TEXT($C628,"0"),Productos!$A:$A,Productos!$E:$E,IFNA(_xlfn.XLOOKUP(IFERROR(VALUE($C628),""),Productos!$A:$A,Productos!$E:$E,_xlfn.XLOOKUP($C628,Productos!$E:$E,Productos!$E:$E,"NO ENCONTRADO")),"NO ENCONTRADO")),"NO ENCONTRADO")),"NO ENCONTRADO"))</f>
        <v/>
      </c>
      <c r="E628" s="74">
        <f t="array" ref="E628">IF(OR($D628="",$D628="NO ENCONTRADO"),"",_xlfn.XLOOKUP($D628,Productos!$E:$E,Productos!$H:$H,""))</f>
        <v/>
      </c>
      <c r="F628" s="74">
        <f t="array" ref="F628">IF(OR($D628="",$D628="NO ENCONTRADO"),"",_xlfn.XLOOKUP($D628,Productos!$E:$E,Productos!$I:$I,""))</f>
        <v/>
      </c>
      <c r="G628" s="74">
        <f t="array" ref="G628">IF(OR($D628="",$D628="NO ENCONTRADO"),"",_xlfn.XLOOKUP($D628,Productos!$E:$E,Productos!$J:$J,""))</f>
        <v/>
      </c>
      <c r="H628" s="74">
        <f t="array" ref="H628">IF(OR($D628="",$D628="NO ENCONTRADO"),"",_xlfn.XLOOKUP($D628,Productos!$E:$E,Productos!$K:$K,""))</f>
        <v/>
      </c>
      <c r="I628" s="74">
        <f t="array" ref="I628">IF(OR($D628="",$D628="NO ENCONTRADO"),"",_xlfn.XLOOKUP($D628,Productos!$E:$E,Productos!$F:$F,""))</f>
        <v/>
      </c>
      <c r="J628" s="74">
        <f>IF($C628="","",IF($D628="NO ENCONTRADO",IF(COUNTIF($C$7:$C$1000,$C628)&gt;1,"⚠️ No encontrado | Duplicado","⚠️ No encontrado"),IF(COUNTIF($C$7:$C$1000,$C628)&gt;1,"⚠️ Duplicado","Verificado")))</f>
        <v/>
      </c>
    </row>
    <row r="629" ht="15.75" customHeight="1" s="176">
      <c r="B629" s="80" t="n"/>
      <c r="C629" s="74" t="n"/>
      <c r="D629" s="74">
        <f t="array" ref="D629">IF($C629="","",IFNA(_xlfn.XLOOKUP($C629,Productos!$A:$A,Productos!$E:$E,IFNA(_xlfn.XLOOKUP(TEXT($C629,"0"),Productos!$A:$A,Productos!$E:$E,IFNA(_xlfn.XLOOKUP(IFERROR(VALUE($C629),""),Productos!$A:$A,Productos!$E:$E,_xlfn.XLOOKUP($C629,Productos!$E:$E,Productos!$E:$E,"NO ENCONTRADO")),"NO ENCONTRADO")),"NO ENCONTRADO")),"NO ENCONTRADO"))</f>
        <v/>
      </c>
      <c r="E629" s="74">
        <f t="array" ref="E629">IF(OR($D629="",$D629="NO ENCONTRADO"),"",_xlfn.XLOOKUP($D629,Productos!$E:$E,Productos!$H:$H,""))</f>
        <v/>
      </c>
      <c r="F629" s="74">
        <f t="array" ref="F629">IF(OR($D629="",$D629="NO ENCONTRADO"),"",_xlfn.XLOOKUP($D629,Productos!$E:$E,Productos!$I:$I,""))</f>
        <v/>
      </c>
      <c r="G629" s="74">
        <f t="array" ref="G629">IF(OR($D629="",$D629="NO ENCONTRADO"),"",_xlfn.XLOOKUP($D629,Productos!$E:$E,Productos!$J:$J,""))</f>
        <v/>
      </c>
      <c r="H629" s="74">
        <f t="array" ref="H629">IF(OR($D629="",$D629="NO ENCONTRADO"),"",_xlfn.XLOOKUP($D629,Productos!$E:$E,Productos!$K:$K,""))</f>
        <v/>
      </c>
      <c r="I629" s="74">
        <f t="array" ref="I629">IF(OR($D629="",$D629="NO ENCONTRADO"),"",_xlfn.XLOOKUP($D629,Productos!$E:$E,Productos!$F:$F,""))</f>
        <v/>
      </c>
      <c r="J629" s="74">
        <f>IF($C629="","",IF($D629="NO ENCONTRADO",IF(COUNTIF($C$7:$C$1000,$C629)&gt;1,"⚠️ No encontrado | Duplicado","⚠️ No encontrado"),IF(COUNTIF($C$7:$C$1000,$C629)&gt;1,"⚠️ Duplicado","Verificado")))</f>
        <v/>
      </c>
    </row>
    <row r="630" ht="15.75" customHeight="1" s="176">
      <c r="B630" s="80" t="n"/>
      <c r="C630" s="74" t="n"/>
      <c r="D630" s="74">
        <f t="array" ref="D630">IF($C630="","",IFNA(_xlfn.XLOOKUP($C630,Productos!$A:$A,Productos!$E:$E,IFNA(_xlfn.XLOOKUP(TEXT($C630,"0"),Productos!$A:$A,Productos!$E:$E,IFNA(_xlfn.XLOOKUP(IFERROR(VALUE($C630),""),Productos!$A:$A,Productos!$E:$E,_xlfn.XLOOKUP($C630,Productos!$E:$E,Productos!$E:$E,"NO ENCONTRADO")),"NO ENCONTRADO")),"NO ENCONTRADO")),"NO ENCONTRADO"))</f>
        <v/>
      </c>
      <c r="E630" s="74">
        <f t="array" ref="E630">IF(OR($D630="",$D630="NO ENCONTRADO"),"",_xlfn.XLOOKUP($D630,Productos!$E:$E,Productos!$H:$H,""))</f>
        <v/>
      </c>
      <c r="F630" s="74">
        <f t="array" ref="F630">IF(OR($D630="",$D630="NO ENCONTRADO"),"",_xlfn.XLOOKUP($D630,Productos!$E:$E,Productos!$I:$I,""))</f>
        <v/>
      </c>
      <c r="G630" s="74">
        <f t="array" ref="G630">IF(OR($D630="",$D630="NO ENCONTRADO"),"",_xlfn.XLOOKUP($D630,Productos!$E:$E,Productos!$J:$J,""))</f>
        <v/>
      </c>
      <c r="H630" s="74">
        <f t="array" ref="H630">IF(OR($D630="",$D630="NO ENCONTRADO"),"",_xlfn.XLOOKUP($D630,Productos!$E:$E,Productos!$K:$K,""))</f>
        <v/>
      </c>
      <c r="I630" s="74">
        <f t="array" ref="I630">IF(OR($D630="",$D630="NO ENCONTRADO"),"",_xlfn.XLOOKUP($D630,Productos!$E:$E,Productos!$F:$F,""))</f>
        <v/>
      </c>
      <c r="J630" s="74">
        <f>IF($C630="","",IF($D630="NO ENCONTRADO",IF(COUNTIF($C$7:$C$1000,$C630)&gt;1,"⚠️ No encontrado | Duplicado","⚠️ No encontrado"),IF(COUNTIF($C$7:$C$1000,$C630)&gt;1,"⚠️ Duplicado","Verificado")))</f>
        <v/>
      </c>
    </row>
    <row r="631" ht="15.75" customHeight="1" s="176">
      <c r="B631" s="80" t="n"/>
      <c r="C631" s="74" t="n"/>
      <c r="D631" s="74">
        <f t="array" ref="D631">IF($C631="","",IFNA(_xlfn.XLOOKUP($C631,Productos!$A:$A,Productos!$E:$E,IFNA(_xlfn.XLOOKUP(TEXT($C631,"0"),Productos!$A:$A,Productos!$E:$E,IFNA(_xlfn.XLOOKUP(IFERROR(VALUE($C631),""),Productos!$A:$A,Productos!$E:$E,_xlfn.XLOOKUP($C631,Productos!$E:$E,Productos!$E:$E,"NO ENCONTRADO")),"NO ENCONTRADO")),"NO ENCONTRADO")),"NO ENCONTRADO"))</f>
        <v/>
      </c>
      <c r="E631" s="74">
        <f t="array" ref="E631">IF(OR($D631="",$D631="NO ENCONTRADO"),"",_xlfn.XLOOKUP($D631,Productos!$E:$E,Productos!$H:$H,""))</f>
        <v/>
      </c>
      <c r="F631" s="74">
        <f t="array" ref="F631">IF(OR($D631="",$D631="NO ENCONTRADO"),"",_xlfn.XLOOKUP($D631,Productos!$E:$E,Productos!$I:$I,""))</f>
        <v/>
      </c>
      <c r="G631" s="74">
        <f t="array" ref="G631">IF(OR($D631="",$D631="NO ENCONTRADO"),"",_xlfn.XLOOKUP($D631,Productos!$E:$E,Productos!$J:$J,""))</f>
        <v/>
      </c>
      <c r="H631" s="74">
        <f t="array" ref="H631">IF(OR($D631="",$D631="NO ENCONTRADO"),"",_xlfn.XLOOKUP($D631,Productos!$E:$E,Productos!$K:$K,""))</f>
        <v/>
      </c>
      <c r="I631" s="74">
        <f t="array" ref="I631">IF(OR($D631="",$D631="NO ENCONTRADO"),"",_xlfn.XLOOKUP($D631,Productos!$E:$E,Productos!$F:$F,""))</f>
        <v/>
      </c>
      <c r="J631" s="74">
        <f>IF($C631="","",IF($D631="NO ENCONTRADO",IF(COUNTIF($C$7:$C$1000,$C631)&gt;1,"⚠️ No encontrado | Duplicado","⚠️ No encontrado"),IF(COUNTIF($C$7:$C$1000,$C631)&gt;1,"⚠️ Duplicado","Verificado")))</f>
        <v/>
      </c>
    </row>
    <row r="632" ht="15.75" customHeight="1" s="176">
      <c r="B632" s="80" t="n"/>
      <c r="C632" s="74" t="n"/>
      <c r="D632" s="74">
        <f t="array" ref="D632">IF($C632="","",IFNA(_xlfn.XLOOKUP($C632,Productos!$A:$A,Productos!$E:$E,IFNA(_xlfn.XLOOKUP(TEXT($C632,"0"),Productos!$A:$A,Productos!$E:$E,IFNA(_xlfn.XLOOKUP(IFERROR(VALUE($C632),""),Productos!$A:$A,Productos!$E:$E,_xlfn.XLOOKUP($C632,Productos!$E:$E,Productos!$E:$E,"NO ENCONTRADO")),"NO ENCONTRADO")),"NO ENCONTRADO")),"NO ENCONTRADO"))</f>
        <v/>
      </c>
      <c r="E632" s="74">
        <f t="array" ref="E632">IF(OR($D632="",$D632="NO ENCONTRADO"),"",_xlfn.XLOOKUP($D632,Productos!$E:$E,Productos!$H:$H,""))</f>
        <v/>
      </c>
      <c r="F632" s="74">
        <f t="array" ref="F632">IF(OR($D632="",$D632="NO ENCONTRADO"),"",_xlfn.XLOOKUP($D632,Productos!$E:$E,Productos!$I:$I,""))</f>
        <v/>
      </c>
      <c r="G632" s="74">
        <f t="array" ref="G632">IF(OR($D632="",$D632="NO ENCONTRADO"),"",_xlfn.XLOOKUP($D632,Productos!$E:$E,Productos!$J:$J,""))</f>
        <v/>
      </c>
      <c r="H632" s="74">
        <f t="array" ref="H632">IF(OR($D632="",$D632="NO ENCONTRADO"),"",_xlfn.XLOOKUP($D632,Productos!$E:$E,Productos!$K:$K,""))</f>
        <v/>
      </c>
      <c r="I632" s="74">
        <f t="array" ref="I632">IF(OR($D632="",$D632="NO ENCONTRADO"),"",_xlfn.XLOOKUP($D632,Productos!$E:$E,Productos!$F:$F,""))</f>
        <v/>
      </c>
      <c r="J632" s="74">
        <f>IF($C632="","",IF($D632="NO ENCONTRADO",IF(COUNTIF($C$7:$C$1000,$C632)&gt;1,"⚠️ No encontrado | Duplicado","⚠️ No encontrado"),IF(COUNTIF($C$7:$C$1000,$C632)&gt;1,"⚠️ Duplicado","Verificado")))</f>
        <v/>
      </c>
    </row>
    <row r="633" ht="15.75" customHeight="1" s="176">
      <c r="B633" s="80" t="n"/>
      <c r="C633" s="74" t="n"/>
      <c r="D633" s="74">
        <f t="array" ref="D633">IF($C633="","",IFNA(_xlfn.XLOOKUP($C633,Productos!$A:$A,Productos!$E:$E,IFNA(_xlfn.XLOOKUP(TEXT($C633,"0"),Productos!$A:$A,Productos!$E:$E,IFNA(_xlfn.XLOOKUP(IFERROR(VALUE($C633),""),Productos!$A:$A,Productos!$E:$E,_xlfn.XLOOKUP($C633,Productos!$E:$E,Productos!$E:$E,"NO ENCONTRADO")),"NO ENCONTRADO")),"NO ENCONTRADO")),"NO ENCONTRADO"))</f>
        <v/>
      </c>
      <c r="E633" s="74">
        <f t="array" ref="E633">IF(OR($D633="",$D633="NO ENCONTRADO"),"",_xlfn.XLOOKUP($D633,Productos!$E:$E,Productos!$H:$H,""))</f>
        <v/>
      </c>
      <c r="F633" s="74">
        <f t="array" ref="F633">IF(OR($D633="",$D633="NO ENCONTRADO"),"",_xlfn.XLOOKUP($D633,Productos!$E:$E,Productos!$I:$I,""))</f>
        <v/>
      </c>
      <c r="G633" s="74">
        <f t="array" ref="G633">IF(OR($D633="",$D633="NO ENCONTRADO"),"",_xlfn.XLOOKUP($D633,Productos!$E:$E,Productos!$J:$J,""))</f>
        <v/>
      </c>
      <c r="H633" s="74">
        <f t="array" ref="H633">IF(OR($D633="",$D633="NO ENCONTRADO"),"",_xlfn.XLOOKUP($D633,Productos!$E:$E,Productos!$K:$K,""))</f>
        <v/>
      </c>
      <c r="I633" s="74">
        <f t="array" ref="I633">IF(OR($D633="",$D633="NO ENCONTRADO"),"",_xlfn.XLOOKUP($D633,Productos!$E:$E,Productos!$F:$F,""))</f>
        <v/>
      </c>
      <c r="J633" s="74">
        <f>IF($C633="","",IF($D633="NO ENCONTRADO",IF(COUNTIF($C$7:$C$1000,$C633)&gt;1,"⚠️ No encontrado | Duplicado","⚠️ No encontrado"),IF(COUNTIF($C$7:$C$1000,$C633)&gt;1,"⚠️ Duplicado","Verificado")))</f>
        <v/>
      </c>
    </row>
    <row r="634" ht="15.75" customHeight="1" s="176">
      <c r="B634" s="80" t="n"/>
      <c r="C634" s="74" t="n"/>
      <c r="D634" s="74">
        <f t="array" ref="D634">IF($C634="","",IFNA(_xlfn.XLOOKUP($C634,Productos!$A:$A,Productos!$E:$E,IFNA(_xlfn.XLOOKUP(TEXT($C634,"0"),Productos!$A:$A,Productos!$E:$E,IFNA(_xlfn.XLOOKUP(IFERROR(VALUE($C634),""),Productos!$A:$A,Productos!$E:$E,_xlfn.XLOOKUP($C634,Productos!$E:$E,Productos!$E:$E,"NO ENCONTRADO")),"NO ENCONTRADO")),"NO ENCONTRADO")),"NO ENCONTRADO"))</f>
        <v/>
      </c>
      <c r="E634" s="74">
        <f t="array" ref="E634">IF(OR($D634="",$D634="NO ENCONTRADO"),"",_xlfn.XLOOKUP($D634,Productos!$E:$E,Productos!$H:$H,""))</f>
        <v/>
      </c>
      <c r="F634" s="74">
        <f t="array" ref="F634">IF(OR($D634="",$D634="NO ENCONTRADO"),"",_xlfn.XLOOKUP($D634,Productos!$E:$E,Productos!$I:$I,""))</f>
        <v/>
      </c>
      <c r="G634" s="74">
        <f t="array" ref="G634">IF(OR($D634="",$D634="NO ENCONTRADO"),"",_xlfn.XLOOKUP($D634,Productos!$E:$E,Productos!$J:$J,""))</f>
        <v/>
      </c>
      <c r="H634" s="74">
        <f t="array" ref="H634">IF(OR($D634="",$D634="NO ENCONTRADO"),"",_xlfn.XLOOKUP($D634,Productos!$E:$E,Productos!$K:$K,""))</f>
        <v/>
      </c>
      <c r="I634" s="74">
        <f t="array" ref="I634">IF(OR($D634="",$D634="NO ENCONTRADO"),"",_xlfn.XLOOKUP($D634,Productos!$E:$E,Productos!$F:$F,""))</f>
        <v/>
      </c>
      <c r="J634" s="74">
        <f>IF($C634="","",IF($D634="NO ENCONTRADO",IF(COUNTIF($C$7:$C$1000,$C634)&gt;1,"⚠️ No encontrado | Duplicado","⚠️ No encontrado"),IF(COUNTIF($C$7:$C$1000,$C634)&gt;1,"⚠️ Duplicado","Verificado")))</f>
        <v/>
      </c>
    </row>
    <row r="635" ht="15.75" customHeight="1" s="176">
      <c r="B635" s="80" t="n"/>
      <c r="C635" s="74" t="n"/>
      <c r="D635" s="74">
        <f t="array" ref="D635">IF($C635="","",IFNA(_xlfn.XLOOKUP($C635,Productos!$A:$A,Productos!$E:$E,IFNA(_xlfn.XLOOKUP(TEXT($C635,"0"),Productos!$A:$A,Productos!$E:$E,IFNA(_xlfn.XLOOKUP(IFERROR(VALUE($C635),""),Productos!$A:$A,Productos!$E:$E,_xlfn.XLOOKUP($C635,Productos!$E:$E,Productos!$E:$E,"NO ENCONTRADO")),"NO ENCONTRADO")),"NO ENCONTRADO")),"NO ENCONTRADO"))</f>
        <v/>
      </c>
      <c r="E635" s="74">
        <f t="array" ref="E635">IF(OR($D635="",$D635="NO ENCONTRADO"),"",_xlfn.XLOOKUP($D635,Productos!$E:$E,Productos!$H:$H,""))</f>
        <v/>
      </c>
      <c r="F635" s="74">
        <f t="array" ref="F635">IF(OR($D635="",$D635="NO ENCONTRADO"),"",_xlfn.XLOOKUP($D635,Productos!$E:$E,Productos!$I:$I,""))</f>
        <v/>
      </c>
      <c r="G635" s="74">
        <f t="array" ref="G635">IF(OR($D635="",$D635="NO ENCONTRADO"),"",_xlfn.XLOOKUP($D635,Productos!$E:$E,Productos!$J:$J,""))</f>
        <v/>
      </c>
      <c r="H635" s="74">
        <f t="array" ref="H635">IF(OR($D635="",$D635="NO ENCONTRADO"),"",_xlfn.XLOOKUP($D635,Productos!$E:$E,Productos!$K:$K,""))</f>
        <v/>
      </c>
      <c r="I635" s="74">
        <f t="array" ref="I635">IF(OR($D635="",$D635="NO ENCONTRADO"),"",_xlfn.XLOOKUP($D635,Productos!$E:$E,Productos!$F:$F,""))</f>
        <v/>
      </c>
      <c r="J635" s="74">
        <f>IF($C635="","",IF($D635="NO ENCONTRADO",IF(COUNTIF($C$7:$C$1000,$C635)&gt;1,"⚠️ No encontrado | Duplicado","⚠️ No encontrado"),IF(COUNTIF($C$7:$C$1000,$C635)&gt;1,"⚠️ Duplicado","Verificado")))</f>
        <v/>
      </c>
    </row>
    <row r="636" ht="15.75" customHeight="1" s="176">
      <c r="B636" s="80" t="n"/>
      <c r="C636" s="74" t="n"/>
      <c r="D636" s="74">
        <f t="array" ref="D636">IF($C636="","",IFNA(_xlfn.XLOOKUP($C636,Productos!$A:$A,Productos!$E:$E,IFNA(_xlfn.XLOOKUP(TEXT($C636,"0"),Productos!$A:$A,Productos!$E:$E,IFNA(_xlfn.XLOOKUP(IFERROR(VALUE($C636),""),Productos!$A:$A,Productos!$E:$E,_xlfn.XLOOKUP($C636,Productos!$E:$E,Productos!$E:$E,"NO ENCONTRADO")),"NO ENCONTRADO")),"NO ENCONTRADO")),"NO ENCONTRADO"))</f>
        <v/>
      </c>
      <c r="E636" s="74">
        <f t="array" ref="E636">IF(OR($D636="",$D636="NO ENCONTRADO"),"",_xlfn.XLOOKUP($D636,Productos!$E:$E,Productos!$H:$H,""))</f>
        <v/>
      </c>
      <c r="F636" s="74">
        <f t="array" ref="F636">IF(OR($D636="",$D636="NO ENCONTRADO"),"",_xlfn.XLOOKUP($D636,Productos!$E:$E,Productos!$I:$I,""))</f>
        <v/>
      </c>
      <c r="G636" s="74">
        <f t="array" ref="G636">IF(OR($D636="",$D636="NO ENCONTRADO"),"",_xlfn.XLOOKUP($D636,Productos!$E:$E,Productos!$J:$J,""))</f>
        <v/>
      </c>
      <c r="H636" s="74">
        <f t="array" ref="H636">IF(OR($D636="",$D636="NO ENCONTRADO"),"",_xlfn.XLOOKUP($D636,Productos!$E:$E,Productos!$K:$K,""))</f>
        <v/>
      </c>
      <c r="I636" s="74">
        <f t="array" ref="I636">IF(OR($D636="",$D636="NO ENCONTRADO"),"",_xlfn.XLOOKUP($D636,Productos!$E:$E,Productos!$F:$F,""))</f>
        <v/>
      </c>
      <c r="J636" s="74">
        <f>IF($C636="","",IF($D636="NO ENCONTRADO",IF(COUNTIF($C$7:$C$1000,$C636)&gt;1,"⚠️ No encontrado | Duplicado","⚠️ No encontrado"),IF(COUNTIF($C$7:$C$1000,$C636)&gt;1,"⚠️ Duplicado","Verificado")))</f>
        <v/>
      </c>
    </row>
    <row r="637" ht="15.75" customHeight="1" s="176">
      <c r="B637" s="80" t="n"/>
      <c r="C637" s="74" t="n"/>
      <c r="D637" s="74">
        <f t="array" ref="D637">IF($C637="","",IFNA(_xlfn.XLOOKUP($C637,Productos!$A:$A,Productos!$E:$E,IFNA(_xlfn.XLOOKUP(TEXT($C637,"0"),Productos!$A:$A,Productos!$E:$E,IFNA(_xlfn.XLOOKUP(IFERROR(VALUE($C637),""),Productos!$A:$A,Productos!$E:$E,_xlfn.XLOOKUP($C637,Productos!$E:$E,Productos!$E:$E,"NO ENCONTRADO")),"NO ENCONTRADO")),"NO ENCONTRADO")),"NO ENCONTRADO"))</f>
        <v/>
      </c>
      <c r="E637" s="74">
        <f t="array" ref="E637">IF(OR($D637="",$D637="NO ENCONTRADO"),"",_xlfn.XLOOKUP($D637,Productos!$E:$E,Productos!$H:$H,""))</f>
        <v/>
      </c>
      <c r="F637" s="74">
        <f t="array" ref="F637">IF(OR($D637="",$D637="NO ENCONTRADO"),"",_xlfn.XLOOKUP($D637,Productos!$E:$E,Productos!$I:$I,""))</f>
        <v/>
      </c>
      <c r="G637" s="74">
        <f t="array" ref="G637">IF(OR($D637="",$D637="NO ENCONTRADO"),"",_xlfn.XLOOKUP($D637,Productos!$E:$E,Productos!$J:$J,""))</f>
        <v/>
      </c>
      <c r="H637" s="74">
        <f t="array" ref="H637">IF(OR($D637="",$D637="NO ENCONTRADO"),"",_xlfn.XLOOKUP($D637,Productos!$E:$E,Productos!$K:$K,""))</f>
        <v/>
      </c>
      <c r="I637" s="74">
        <f t="array" ref="I637">IF(OR($D637="",$D637="NO ENCONTRADO"),"",_xlfn.XLOOKUP($D637,Productos!$E:$E,Productos!$F:$F,""))</f>
        <v/>
      </c>
      <c r="J637" s="74">
        <f>IF($C637="","",IF($D637="NO ENCONTRADO",IF(COUNTIF($C$7:$C$1000,$C637)&gt;1,"⚠️ No encontrado | Duplicado","⚠️ No encontrado"),IF(COUNTIF($C$7:$C$1000,$C637)&gt;1,"⚠️ Duplicado","Verificado")))</f>
        <v/>
      </c>
    </row>
    <row r="638" ht="15.75" customHeight="1" s="176">
      <c r="B638" s="80" t="n"/>
      <c r="C638" s="74" t="n"/>
      <c r="D638" s="74">
        <f t="array" ref="D638">IF($C638="","",IFNA(_xlfn.XLOOKUP($C638,Productos!$A:$A,Productos!$E:$E,IFNA(_xlfn.XLOOKUP(TEXT($C638,"0"),Productos!$A:$A,Productos!$E:$E,IFNA(_xlfn.XLOOKUP(IFERROR(VALUE($C638),""),Productos!$A:$A,Productos!$E:$E,_xlfn.XLOOKUP($C638,Productos!$E:$E,Productos!$E:$E,"NO ENCONTRADO")),"NO ENCONTRADO")),"NO ENCONTRADO")),"NO ENCONTRADO"))</f>
        <v/>
      </c>
      <c r="E638" s="74">
        <f t="array" ref="E638">IF(OR($D638="",$D638="NO ENCONTRADO"),"",_xlfn.XLOOKUP($D638,Productos!$E:$E,Productos!$H:$H,""))</f>
        <v/>
      </c>
      <c r="F638" s="74">
        <f t="array" ref="F638">IF(OR($D638="",$D638="NO ENCONTRADO"),"",_xlfn.XLOOKUP($D638,Productos!$E:$E,Productos!$I:$I,""))</f>
        <v/>
      </c>
      <c r="G638" s="74">
        <f t="array" ref="G638">IF(OR($D638="",$D638="NO ENCONTRADO"),"",_xlfn.XLOOKUP($D638,Productos!$E:$E,Productos!$J:$J,""))</f>
        <v/>
      </c>
      <c r="H638" s="74">
        <f t="array" ref="H638">IF(OR($D638="",$D638="NO ENCONTRADO"),"",_xlfn.XLOOKUP($D638,Productos!$E:$E,Productos!$K:$K,""))</f>
        <v/>
      </c>
      <c r="I638" s="74">
        <f t="array" ref="I638">IF(OR($D638="",$D638="NO ENCONTRADO"),"",_xlfn.XLOOKUP($D638,Productos!$E:$E,Productos!$F:$F,""))</f>
        <v/>
      </c>
      <c r="J638" s="74">
        <f>IF($C638="","",IF($D638="NO ENCONTRADO",IF(COUNTIF($C$7:$C$1000,$C638)&gt;1,"⚠️ No encontrado | Duplicado","⚠️ No encontrado"),IF(COUNTIF($C$7:$C$1000,$C638)&gt;1,"⚠️ Duplicado","Verificado")))</f>
        <v/>
      </c>
    </row>
    <row r="639" ht="15.75" customHeight="1" s="176">
      <c r="B639" s="80" t="n"/>
      <c r="C639" s="74" t="n"/>
      <c r="D639" s="74">
        <f t="array" ref="D639">IF($C639="","",IFNA(_xlfn.XLOOKUP($C639,Productos!$A:$A,Productos!$E:$E,IFNA(_xlfn.XLOOKUP(TEXT($C639,"0"),Productos!$A:$A,Productos!$E:$E,IFNA(_xlfn.XLOOKUP(IFERROR(VALUE($C639),""),Productos!$A:$A,Productos!$E:$E,_xlfn.XLOOKUP($C639,Productos!$E:$E,Productos!$E:$E,"NO ENCONTRADO")),"NO ENCONTRADO")),"NO ENCONTRADO")),"NO ENCONTRADO"))</f>
        <v/>
      </c>
      <c r="E639" s="74">
        <f t="array" ref="E639">IF(OR($D639="",$D639="NO ENCONTRADO"),"",_xlfn.XLOOKUP($D639,Productos!$E:$E,Productos!$H:$H,""))</f>
        <v/>
      </c>
      <c r="F639" s="74">
        <f t="array" ref="F639">IF(OR($D639="",$D639="NO ENCONTRADO"),"",_xlfn.XLOOKUP($D639,Productos!$E:$E,Productos!$I:$I,""))</f>
        <v/>
      </c>
      <c r="G639" s="74">
        <f t="array" ref="G639">IF(OR($D639="",$D639="NO ENCONTRADO"),"",_xlfn.XLOOKUP($D639,Productos!$E:$E,Productos!$J:$J,""))</f>
        <v/>
      </c>
      <c r="H639" s="74">
        <f t="array" ref="H639">IF(OR($D639="",$D639="NO ENCONTRADO"),"",_xlfn.XLOOKUP($D639,Productos!$E:$E,Productos!$K:$K,""))</f>
        <v/>
      </c>
      <c r="I639" s="74">
        <f t="array" ref="I639">IF(OR($D639="",$D639="NO ENCONTRADO"),"",_xlfn.XLOOKUP($D639,Productos!$E:$E,Productos!$F:$F,""))</f>
        <v/>
      </c>
      <c r="J639" s="74">
        <f>IF($C639="","",IF($D639="NO ENCONTRADO",IF(COUNTIF($C$7:$C$1000,$C639)&gt;1,"⚠️ No encontrado | Duplicado","⚠️ No encontrado"),IF(COUNTIF($C$7:$C$1000,$C639)&gt;1,"⚠️ Duplicado","Verificado")))</f>
        <v/>
      </c>
    </row>
    <row r="640" ht="15.75" customHeight="1" s="176">
      <c r="B640" s="80" t="n"/>
      <c r="C640" s="74" t="n"/>
      <c r="D640" s="74">
        <f t="array" ref="D640">IF($C640="","",IFNA(_xlfn.XLOOKUP($C640,Productos!$A:$A,Productos!$E:$E,IFNA(_xlfn.XLOOKUP(TEXT($C640,"0"),Productos!$A:$A,Productos!$E:$E,IFNA(_xlfn.XLOOKUP(IFERROR(VALUE($C640),""),Productos!$A:$A,Productos!$E:$E,_xlfn.XLOOKUP($C640,Productos!$E:$E,Productos!$E:$E,"NO ENCONTRADO")),"NO ENCONTRADO")),"NO ENCONTRADO")),"NO ENCONTRADO"))</f>
        <v/>
      </c>
      <c r="E640" s="74">
        <f t="array" ref="E640">IF(OR($D640="",$D640="NO ENCONTRADO"),"",_xlfn.XLOOKUP($D640,Productos!$E:$E,Productos!$H:$H,""))</f>
        <v/>
      </c>
      <c r="F640" s="74">
        <f t="array" ref="F640">IF(OR($D640="",$D640="NO ENCONTRADO"),"",_xlfn.XLOOKUP($D640,Productos!$E:$E,Productos!$I:$I,""))</f>
        <v/>
      </c>
      <c r="G640" s="74">
        <f t="array" ref="G640">IF(OR($D640="",$D640="NO ENCONTRADO"),"",_xlfn.XLOOKUP($D640,Productos!$E:$E,Productos!$J:$J,""))</f>
        <v/>
      </c>
      <c r="H640" s="74">
        <f t="array" ref="H640">IF(OR($D640="",$D640="NO ENCONTRADO"),"",_xlfn.XLOOKUP($D640,Productos!$E:$E,Productos!$K:$K,""))</f>
        <v/>
      </c>
      <c r="I640" s="74">
        <f t="array" ref="I640">IF(OR($D640="",$D640="NO ENCONTRADO"),"",_xlfn.XLOOKUP($D640,Productos!$E:$E,Productos!$F:$F,""))</f>
        <v/>
      </c>
      <c r="J640" s="74">
        <f>IF($C640="","",IF($D640="NO ENCONTRADO",IF(COUNTIF($C$7:$C$1000,$C640)&gt;1,"⚠️ No encontrado | Duplicado","⚠️ No encontrado"),IF(COUNTIF($C$7:$C$1000,$C640)&gt;1,"⚠️ Duplicado","Verificado")))</f>
        <v/>
      </c>
    </row>
    <row r="641" ht="15.75" customHeight="1" s="176">
      <c r="B641" s="80" t="n"/>
      <c r="C641" s="74" t="n"/>
      <c r="D641" s="74">
        <f t="array" ref="D641">IF($C641="","",IFNA(_xlfn.XLOOKUP($C641,Productos!$A:$A,Productos!$E:$E,IFNA(_xlfn.XLOOKUP(TEXT($C641,"0"),Productos!$A:$A,Productos!$E:$E,IFNA(_xlfn.XLOOKUP(IFERROR(VALUE($C641),""),Productos!$A:$A,Productos!$E:$E,_xlfn.XLOOKUP($C641,Productos!$E:$E,Productos!$E:$E,"NO ENCONTRADO")),"NO ENCONTRADO")),"NO ENCONTRADO")),"NO ENCONTRADO"))</f>
        <v/>
      </c>
      <c r="E641" s="74">
        <f t="array" ref="E641">IF(OR($D641="",$D641="NO ENCONTRADO"),"",_xlfn.XLOOKUP($D641,Productos!$E:$E,Productos!$H:$H,""))</f>
        <v/>
      </c>
      <c r="F641" s="74">
        <f t="array" ref="F641">IF(OR($D641="",$D641="NO ENCONTRADO"),"",_xlfn.XLOOKUP($D641,Productos!$E:$E,Productos!$I:$I,""))</f>
        <v/>
      </c>
      <c r="G641" s="74">
        <f t="array" ref="G641">IF(OR($D641="",$D641="NO ENCONTRADO"),"",_xlfn.XLOOKUP($D641,Productos!$E:$E,Productos!$J:$J,""))</f>
        <v/>
      </c>
      <c r="H641" s="74">
        <f t="array" ref="H641">IF(OR($D641="",$D641="NO ENCONTRADO"),"",_xlfn.XLOOKUP($D641,Productos!$E:$E,Productos!$K:$K,""))</f>
        <v/>
      </c>
      <c r="I641" s="74">
        <f t="array" ref="I641">IF(OR($D641="",$D641="NO ENCONTRADO"),"",_xlfn.XLOOKUP($D641,Productos!$E:$E,Productos!$F:$F,""))</f>
        <v/>
      </c>
      <c r="J641" s="74">
        <f>IF($C641="","",IF($D641="NO ENCONTRADO",IF(COUNTIF($C$7:$C$1000,$C641)&gt;1,"⚠️ No encontrado | Duplicado","⚠️ No encontrado"),IF(COUNTIF($C$7:$C$1000,$C641)&gt;1,"⚠️ Duplicado","Verificado")))</f>
        <v/>
      </c>
    </row>
    <row r="642" ht="15.75" customHeight="1" s="176">
      <c r="B642" s="80" t="n"/>
      <c r="C642" s="74" t="n"/>
      <c r="D642" s="74">
        <f t="array" ref="D642">IF($C642="","",IFNA(_xlfn.XLOOKUP($C642,Productos!$A:$A,Productos!$E:$E,IFNA(_xlfn.XLOOKUP(TEXT($C642,"0"),Productos!$A:$A,Productos!$E:$E,IFNA(_xlfn.XLOOKUP(IFERROR(VALUE($C642),""),Productos!$A:$A,Productos!$E:$E,_xlfn.XLOOKUP($C642,Productos!$E:$E,Productos!$E:$E,"NO ENCONTRADO")),"NO ENCONTRADO")),"NO ENCONTRADO")),"NO ENCONTRADO"))</f>
        <v/>
      </c>
      <c r="E642" s="74">
        <f t="array" ref="E642">IF(OR($D642="",$D642="NO ENCONTRADO"),"",_xlfn.XLOOKUP($D642,Productos!$E:$E,Productos!$H:$H,""))</f>
        <v/>
      </c>
      <c r="F642" s="74">
        <f t="array" ref="F642">IF(OR($D642="",$D642="NO ENCONTRADO"),"",_xlfn.XLOOKUP($D642,Productos!$E:$E,Productos!$I:$I,""))</f>
        <v/>
      </c>
      <c r="G642" s="74">
        <f t="array" ref="G642">IF(OR($D642="",$D642="NO ENCONTRADO"),"",_xlfn.XLOOKUP($D642,Productos!$E:$E,Productos!$J:$J,""))</f>
        <v/>
      </c>
      <c r="H642" s="74">
        <f t="array" ref="H642">IF(OR($D642="",$D642="NO ENCONTRADO"),"",_xlfn.XLOOKUP($D642,Productos!$E:$E,Productos!$K:$K,""))</f>
        <v/>
      </c>
      <c r="I642" s="74">
        <f t="array" ref="I642">IF(OR($D642="",$D642="NO ENCONTRADO"),"",_xlfn.XLOOKUP($D642,Productos!$E:$E,Productos!$F:$F,""))</f>
        <v/>
      </c>
      <c r="J642" s="74">
        <f>IF($C642="","",IF($D642="NO ENCONTRADO",IF(COUNTIF($C$7:$C$1000,$C642)&gt;1,"⚠️ No encontrado | Duplicado","⚠️ No encontrado"),IF(COUNTIF($C$7:$C$1000,$C642)&gt;1,"⚠️ Duplicado","Verificado")))</f>
        <v/>
      </c>
    </row>
    <row r="643" ht="15.75" customHeight="1" s="176">
      <c r="B643" s="80" t="n"/>
      <c r="C643" s="74" t="n"/>
      <c r="D643" s="74">
        <f t="array" ref="D643">IF($C643="","",IFNA(_xlfn.XLOOKUP($C643,Productos!$A:$A,Productos!$E:$E,IFNA(_xlfn.XLOOKUP(TEXT($C643,"0"),Productos!$A:$A,Productos!$E:$E,IFNA(_xlfn.XLOOKUP(IFERROR(VALUE($C643),""),Productos!$A:$A,Productos!$E:$E,_xlfn.XLOOKUP($C643,Productos!$E:$E,Productos!$E:$E,"NO ENCONTRADO")),"NO ENCONTRADO")),"NO ENCONTRADO")),"NO ENCONTRADO"))</f>
        <v/>
      </c>
      <c r="E643" s="74">
        <f t="array" ref="E643">IF(OR($D643="",$D643="NO ENCONTRADO"),"",_xlfn.XLOOKUP($D643,Productos!$E:$E,Productos!$H:$H,""))</f>
        <v/>
      </c>
      <c r="F643" s="74">
        <f t="array" ref="F643">IF(OR($D643="",$D643="NO ENCONTRADO"),"",_xlfn.XLOOKUP($D643,Productos!$E:$E,Productos!$I:$I,""))</f>
        <v/>
      </c>
      <c r="G643" s="74">
        <f t="array" ref="G643">IF(OR($D643="",$D643="NO ENCONTRADO"),"",_xlfn.XLOOKUP($D643,Productos!$E:$E,Productos!$J:$J,""))</f>
        <v/>
      </c>
      <c r="H643" s="74">
        <f t="array" ref="H643">IF(OR($D643="",$D643="NO ENCONTRADO"),"",_xlfn.XLOOKUP($D643,Productos!$E:$E,Productos!$K:$K,""))</f>
        <v/>
      </c>
      <c r="I643" s="74">
        <f t="array" ref="I643">IF(OR($D643="",$D643="NO ENCONTRADO"),"",_xlfn.XLOOKUP($D643,Productos!$E:$E,Productos!$F:$F,""))</f>
        <v/>
      </c>
      <c r="J643" s="74">
        <f>IF($C643="","",IF($D643="NO ENCONTRADO",IF(COUNTIF($C$7:$C$1000,$C643)&gt;1,"⚠️ No encontrado | Duplicado","⚠️ No encontrado"),IF(COUNTIF($C$7:$C$1000,$C643)&gt;1,"⚠️ Duplicado","Verificado")))</f>
        <v/>
      </c>
    </row>
    <row r="644" ht="15.75" customHeight="1" s="176">
      <c r="B644" s="80" t="n"/>
      <c r="C644" s="74" t="n"/>
      <c r="D644" s="74">
        <f t="array" ref="D644">IF($C644="","",IFNA(_xlfn.XLOOKUP($C644,Productos!$A:$A,Productos!$E:$E,IFNA(_xlfn.XLOOKUP(TEXT($C644,"0"),Productos!$A:$A,Productos!$E:$E,IFNA(_xlfn.XLOOKUP(IFERROR(VALUE($C644),""),Productos!$A:$A,Productos!$E:$E,_xlfn.XLOOKUP($C644,Productos!$E:$E,Productos!$E:$E,"NO ENCONTRADO")),"NO ENCONTRADO")),"NO ENCONTRADO")),"NO ENCONTRADO"))</f>
        <v/>
      </c>
      <c r="E644" s="74">
        <f t="array" ref="E644">IF(OR($D644="",$D644="NO ENCONTRADO"),"",_xlfn.XLOOKUP($D644,Productos!$E:$E,Productos!$H:$H,""))</f>
        <v/>
      </c>
      <c r="F644" s="74">
        <f t="array" ref="F644">IF(OR($D644="",$D644="NO ENCONTRADO"),"",_xlfn.XLOOKUP($D644,Productos!$E:$E,Productos!$I:$I,""))</f>
        <v/>
      </c>
      <c r="G644" s="74">
        <f t="array" ref="G644">IF(OR($D644="",$D644="NO ENCONTRADO"),"",_xlfn.XLOOKUP($D644,Productos!$E:$E,Productos!$J:$J,""))</f>
        <v/>
      </c>
      <c r="H644" s="74">
        <f t="array" ref="H644">IF(OR($D644="",$D644="NO ENCONTRADO"),"",_xlfn.XLOOKUP($D644,Productos!$E:$E,Productos!$K:$K,""))</f>
        <v/>
      </c>
      <c r="I644" s="74">
        <f t="array" ref="I644">IF(OR($D644="",$D644="NO ENCONTRADO"),"",_xlfn.XLOOKUP($D644,Productos!$E:$E,Productos!$F:$F,""))</f>
        <v/>
      </c>
      <c r="J644" s="74">
        <f>IF($C644="","",IF($D644="NO ENCONTRADO",IF(COUNTIF($C$7:$C$1000,$C644)&gt;1,"⚠️ No encontrado | Duplicado","⚠️ No encontrado"),IF(COUNTIF($C$7:$C$1000,$C644)&gt;1,"⚠️ Duplicado","Verificado")))</f>
        <v/>
      </c>
    </row>
    <row r="645" ht="15.75" customHeight="1" s="176">
      <c r="B645" s="80" t="n"/>
      <c r="C645" s="74" t="n"/>
      <c r="D645" s="74">
        <f t="array" ref="D645">IF($C645="","",IFNA(_xlfn.XLOOKUP($C645,Productos!$A:$A,Productos!$E:$E,IFNA(_xlfn.XLOOKUP(TEXT($C645,"0"),Productos!$A:$A,Productos!$E:$E,IFNA(_xlfn.XLOOKUP(IFERROR(VALUE($C645),""),Productos!$A:$A,Productos!$E:$E,_xlfn.XLOOKUP($C645,Productos!$E:$E,Productos!$E:$E,"NO ENCONTRADO")),"NO ENCONTRADO")),"NO ENCONTRADO")),"NO ENCONTRADO"))</f>
        <v/>
      </c>
      <c r="E645" s="74">
        <f t="array" ref="E645">IF(OR($D645="",$D645="NO ENCONTRADO"),"",_xlfn.XLOOKUP($D645,Productos!$E:$E,Productos!$H:$H,""))</f>
        <v/>
      </c>
      <c r="F645" s="74">
        <f t="array" ref="F645">IF(OR($D645="",$D645="NO ENCONTRADO"),"",_xlfn.XLOOKUP($D645,Productos!$E:$E,Productos!$I:$I,""))</f>
        <v/>
      </c>
      <c r="G645" s="74">
        <f t="array" ref="G645">IF(OR($D645="",$D645="NO ENCONTRADO"),"",_xlfn.XLOOKUP($D645,Productos!$E:$E,Productos!$J:$J,""))</f>
        <v/>
      </c>
      <c r="H645" s="74">
        <f t="array" ref="H645">IF(OR($D645="",$D645="NO ENCONTRADO"),"",_xlfn.XLOOKUP($D645,Productos!$E:$E,Productos!$K:$K,""))</f>
        <v/>
      </c>
      <c r="I645" s="74">
        <f t="array" ref="I645">IF(OR($D645="",$D645="NO ENCONTRADO"),"",_xlfn.XLOOKUP($D645,Productos!$E:$E,Productos!$F:$F,""))</f>
        <v/>
      </c>
      <c r="J645" s="74">
        <f>IF($C645="","",IF($D645="NO ENCONTRADO",IF(COUNTIF($C$7:$C$1000,$C645)&gt;1,"⚠️ No encontrado | Duplicado","⚠️ No encontrado"),IF(COUNTIF($C$7:$C$1000,$C645)&gt;1,"⚠️ Duplicado","Verificado")))</f>
        <v/>
      </c>
    </row>
    <row r="646" ht="15.75" customHeight="1" s="176">
      <c r="B646" s="80" t="n"/>
      <c r="C646" s="74" t="n"/>
      <c r="D646" s="74">
        <f t="array" ref="D646">IF($C646="","",IFNA(_xlfn.XLOOKUP($C646,Productos!$A:$A,Productos!$E:$E,IFNA(_xlfn.XLOOKUP(TEXT($C646,"0"),Productos!$A:$A,Productos!$E:$E,IFNA(_xlfn.XLOOKUP(IFERROR(VALUE($C646),""),Productos!$A:$A,Productos!$E:$E,_xlfn.XLOOKUP($C646,Productos!$E:$E,Productos!$E:$E,"NO ENCONTRADO")),"NO ENCONTRADO")),"NO ENCONTRADO")),"NO ENCONTRADO"))</f>
        <v/>
      </c>
      <c r="E646" s="74">
        <f t="array" ref="E646">IF(OR($D646="",$D646="NO ENCONTRADO"),"",_xlfn.XLOOKUP($D646,Productos!$E:$E,Productos!$H:$H,""))</f>
        <v/>
      </c>
      <c r="F646" s="74">
        <f t="array" ref="F646">IF(OR($D646="",$D646="NO ENCONTRADO"),"",_xlfn.XLOOKUP($D646,Productos!$E:$E,Productos!$I:$I,""))</f>
        <v/>
      </c>
      <c r="G646" s="74">
        <f t="array" ref="G646">IF(OR($D646="",$D646="NO ENCONTRADO"),"",_xlfn.XLOOKUP($D646,Productos!$E:$E,Productos!$J:$J,""))</f>
        <v/>
      </c>
      <c r="H646" s="74">
        <f t="array" ref="H646">IF(OR($D646="",$D646="NO ENCONTRADO"),"",_xlfn.XLOOKUP($D646,Productos!$E:$E,Productos!$K:$K,""))</f>
        <v/>
      </c>
      <c r="I646" s="74">
        <f t="array" ref="I646">IF(OR($D646="",$D646="NO ENCONTRADO"),"",_xlfn.XLOOKUP($D646,Productos!$E:$E,Productos!$F:$F,""))</f>
        <v/>
      </c>
      <c r="J646" s="74">
        <f>IF($C646="","",IF($D646="NO ENCONTRADO",IF(COUNTIF($C$7:$C$1000,$C646)&gt;1,"⚠️ No encontrado | Duplicado","⚠️ No encontrado"),IF(COUNTIF($C$7:$C$1000,$C646)&gt;1,"⚠️ Duplicado","Verificado")))</f>
        <v/>
      </c>
    </row>
    <row r="647" ht="15.75" customHeight="1" s="176">
      <c r="B647" s="80" t="n"/>
      <c r="C647" s="74" t="n"/>
      <c r="D647" s="74">
        <f t="array" ref="D647">IF($C647="","",IFNA(_xlfn.XLOOKUP($C647,Productos!$A:$A,Productos!$E:$E,IFNA(_xlfn.XLOOKUP(TEXT($C647,"0"),Productos!$A:$A,Productos!$E:$E,IFNA(_xlfn.XLOOKUP(IFERROR(VALUE($C647),""),Productos!$A:$A,Productos!$E:$E,_xlfn.XLOOKUP($C647,Productos!$E:$E,Productos!$E:$E,"NO ENCONTRADO")),"NO ENCONTRADO")),"NO ENCONTRADO")),"NO ENCONTRADO"))</f>
        <v/>
      </c>
      <c r="E647" s="74">
        <f t="array" ref="E647">IF(OR($D647="",$D647="NO ENCONTRADO"),"",_xlfn.XLOOKUP($D647,Productos!$E:$E,Productos!$H:$H,""))</f>
        <v/>
      </c>
      <c r="F647" s="74">
        <f t="array" ref="F647">IF(OR($D647="",$D647="NO ENCONTRADO"),"",_xlfn.XLOOKUP($D647,Productos!$E:$E,Productos!$I:$I,""))</f>
        <v/>
      </c>
      <c r="G647" s="74">
        <f t="array" ref="G647">IF(OR($D647="",$D647="NO ENCONTRADO"),"",_xlfn.XLOOKUP($D647,Productos!$E:$E,Productos!$J:$J,""))</f>
        <v/>
      </c>
      <c r="H647" s="74">
        <f t="array" ref="H647">IF(OR($D647="",$D647="NO ENCONTRADO"),"",_xlfn.XLOOKUP($D647,Productos!$E:$E,Productos!$K:$K,""))</f>
        <v/>
      </c>
      <c r="I647" s="74">
        <f t="array" ref="I647">IF(OR($D647="",$D647="NO ENCONTRADO"),"",_xlfn.XLOOKUP($D647,Productos!$E:$E,Productos!$F:$F,""))</f>
        <v/>
      </c>
      <c r="J647" s="74">
        <f>IF($C647="","",IF($D647="NO ENCONTRADO",IF(COUNTIF($C$7:$C$1000,$C647)&gt;1,"⚠️ No encontrado | Duplicado","⚠️ No encontrado"),IF(COUNTIF($C$7:$C$1000,$C647)&gt;1,"⚠️ Duplicado","Verificado")))</f>
        <v/>
      </c>
    </row>
    <row r="648" ht="15.75" customHeight="1" s="176">
      <c r="B648" s="80" t="n"/>
      <c r="C648" s="74" t="n"/>
      <c r="D648" s="74">
        <f t="array" ref="D648">IF($C648="","",IFNA(_xlfn.XLOOKUP($C648,Productos!$A:$A,Productos!$E:$E,IFNA(_xlfn.XLOOKUP(TEXT($C648,"0"),Productos!$A:$A,Productos!$E:$E,IFNA(_xlfn.XLOOKUP(IFERROR(VALUE($C648),""),Productos!$A:$A,Productos!$E:$E,_xlfn.XLOOKUP($C648,Productos!$E:$E,Productos!$E:$E,"NO ENCONTRADO")),"NO ENCONTRADO")),"NO ENCONTRADO")),"NO ENCONTRADO"))</f>
        <v/>
      </c>
      <c r="E648" s="74">
        <f t="array" ref="E648">IF(OR($D648="",$D648="NO ENCONTRADO"),"",_xlfn.XLOOKUP($D648,Productos!$E:$E,Productos!$H:$H,""))</f>
        <v/>
      </c>
      <c r="F648" s="74">
        <f t="array" ref="F648">IF(OR($D648="",$D648="NO ENCONTRADO"),"",_xlfn.XLOOKUP($D648,Productos!$E:$E,Productos!$I:$I,""))</f>
        <v/>
      </c>
      <c r="G648" s="74">
        <f t="array" ref="G648">IF(OR($D648="",$D648="NO ENCONTRADO"),"",_xlfn.XLOOKUP($D648,Productos!$E:$E,Productos!$J:$J,""))</f>
        <v/>
      </c>
      <c r="H648" s="74">
        <f t="array" ref="H648">IF(OR($D648="",$D648="NO ENCONTRADO"),"",_xlfn.XLOOKUP($D648,Productos!$E:$E,Productos!$K:$K,""))</f>
        <v/>
      </c>
      <c r="I648" s="74">
        <f t="array" ref="I648">IF(OR($D648="",$D648="NO ENCONTRADO"),"",_xlfn.XLOOKUP($D648,Productos!$E:$E,Productos!$F:$F,""))</f>
        <v/>
      </c>
      <c r="J648" s="74">
        <f>IF($C648="","",IF($D648="NO ENCONTRADO",IF(COUNTIF($C$7:$C$1000,$C648)&gt;1,"⚠️ No encontrado | Duplicado","⚠️ No encontrado"),IF(COUNTIF($C$7:$C$1000,$C648)&gt;1,"⚠️ Duplicado","Verificado")))</f>
        <v/>
      </c>
    </row>
    <row r="649" ht="15.75" customHeight="1" s="176">
      <c r="B649" s="80" t="n"/>
      <c r="C649" s="74" t="n"/>
      <c r="D649" s="74">
        <f t="array" ref="D649">IF($C649="","",IFNA(_xlfn.XLOOKUP($C649,Productos!$A:$A,Productos!$E:$E,IFNA(_xlfn.XLOOKUP(TEXT($C649,"0"),Productos!$A:$A,Productos!$E:$E,IFNA(_xlfn.XLOOKUP(IFERROR(VALUE($C649),""),Productos!$A:$A,Productos!$E:$E,_xlfn.XLOOKUP($C649,Productos!$E:$E,Productos!$E:$E,"NO ENCONTRADO")),"NO ENCONTRADO")),"NO ENCONTRADO")),"NO ENCONTRADO"))</f>
        <v/>
      </c>
      <c r="E649" s="74">
        <f t="array" ref="E649">IF(OR($D649="",$D649="NO ENCONTRADO"),"",_xlfn.XLOOKUP($D649,Productos!$E:$E,Productos!$H:$H,""))</f>
        <v/>
      </c>
      <c r="F649" s="74">
        <f t="array" ref="F649">IF(OR($D649="",$D649="NO ENCONTRADO"),"",_xlfn.XLOOKUP($D649,Productos!$E:$E,Productos!$I:$I,""))</f>
        <v/>
      </c>
      <c r="G649" s="74">
        <f t="array" ref="G649">IF(OR($D649="",$D649="NO ENCONTRADO"),"",_xlfn.XLOOKUP($D649,Productos!$E:$E,Productos!$J:$J,""))</f>
        <v/>
      </c>
      <c r="H649" s="74">
        <f t="array" ref="H649">IF(OR($D649="",$D649="NO ENCONTRADO"),"",_xlfn.XLOOKUP($D649,Productos!$E:$E,Productos!$K:$K,""))</f>
        <v/>
      </c>
      <c r="I649" s="74">
        <f t="array" ref="I649">IF(OR($D649="",$D649="NO ENCONTRADO"),"",_xlfn.XLOOKUP($D649,Productos!$E:$E,Productos!$F:$F,""))</f>
        <v/>
      </c>
      <c r="J649" s="74">
        <f>IF($C649="","",IF($D649="NO ENCONTRADO",IF(COUNTIF($C$7:$C$1000,$C649)&gt;1,"⚠️ No encontrado | Duplicado","⚠️ No encontrado"),IF(COUNTIF($C$7:$C$1000,$C649)&gt;1,"⚠️ Duplicado","Verificado")))</f>
        <v/>
      </c>
    </row>
    <row r="650" ht="15.75" customHeight="1" s="176">
      <c r="B650" s="80" t="n"/>
      <c r="C650" s="74" t="n"/>
      <c r="D650" s="74">
        <f t="array" ref="D650">IF($C650="","",IFNA(_xlfn.XLOOKUP($C650,Productos!$A:$A,Productos!$E:$E,IFNA(_xlfn.XLOOKUP(TEXT($C650,"0"),Productos!$A:$A,Productos!$E:$E,IFNA(_xlfn.XLOOKUP(IFERROR(VALUE($C650),""),Productos!$A:$A,Productos!$E:$E,_xlfn.XLOOKUP($C650,Productos!$E:$E,Productos!$E:$E,"NO ENCONTRADO")),"NO ENCONTRADO")),"NO ENCONTRADO")),"NO ENCONTRADO"))</f>
        <v/>
      </c>
      <c r="E650" s="74">
        <f t="array" ref="E650">IF(OR($D650="",$D650="NO ENCONTRADO"),"",_xlfn.XLOOKUP($D650,Productos!$E:$E,Productos!$H:$H,""))</f>
        <v/>
      </c>
      <c r="F650" s="74">
        <f t="array" ref="F650">IF(OR($D650="",$D650="NO ENCONTRADO"),"",_xlfn.XLOOKUP($D650,Productos!$E:$E,Productos!$I:$I,""))</f>
        <v/>
      </c>
      <c r="G650" s="74">
        <f t="array" ref="G650">IF(OR($D650="",$D650="NO ENCONTRADO"),"",_xlfn.XLOOKUP($D650,Productos!$E:$E,Productos!$J:$J,""))</f>
        <v/>
      </c>
      <c r="H650" s="74">
        <f t="array" ref="H650">IF(OR($D650="",$D650="NO ENCONTRADO"),"",_xlfn.XLOOKUP($D650,Productos!$E:$E,Productos!$K:$K,""))</f>
        <v/>
      </c>
      <c r="I650" s="74">
        <f t="array" ref="I650">IF(OR($D650="",$D650="NO ENCONTRADO"),"",_xlfn.XLOOKUP($D650,Productos!$E:$E,Productos!$F:$F,""))</f>
        <v/>
      </c>
      <c r="J650" s="74">
        <f>IF($C650="","",IF($D650="NO ENCONTRADO",IF(COUNTIF($C$7:$C$1000,$C650)&gt;1,"⚠️ No encontrado | Duplicado","⚠️ No encontrado"),IF(COUNTIF($C$7:$C$1000,$C650)&gt;1,"⚠️ Duplicado","Verificado")))</f>
        <v/>
      </c>
    </row>
    <row r="651" ht="15.75" customHeight="1" s="176">
      <c r="B651" s="80" t="n"/>
      <c r="C651" s="74" t="n"/>
      <c r="D651" s="74">
        <f t="array" ref="D651">IF($C651="","",IFNA(_xlfn.XLOOKUP($C651,Productos!$A:$A,Productos!$E:$E,IFNA(_xlfn.XLOOKUP(TEXT($C651,"0"),Productos!$A:$A,Productos!$E:$E,IFNA(_xlfn.XLOOKUP(IFERROR(VALUE($C651),""),Productos!$A:$A,Productos!$E:$E,_xlfn.XLOOKUP($C651,Productos!$E:$E,Productos!$E:$E,"NO ENCONTRADO")),"NO ENCONTRADO")),"NO ENCONTRADO")),"NO ENCONTRADO"))</f>
        <v/>
      </c>
      <c r="E651" s="74">
        <f t="array" ref="E651">IF(OR($D651="",$D651="NO ENCONTRADO"),"",_xlfn.XLOOKUP($D651,Productos!$E:$E,Productos!$H:$H,""))</f>
        <v/>
      </c>
      <c r="F651" s="74">
        <f t="array" ref="F651">IF(OR($D651="",$D651="NO ENCONTRADO"),"",_xlfn.XLOOKUP($D651,Productos!$E:$E,Productos!$I:$I,""))</f>
        <v/>
      </c>
      <c r="G651" s="74">
        <f t="array" ref="G651">IF(OR($D651="",$D651="NO ENCONTRADO"),"",_xlfn.XLOOKUP($D651,Productos!$E:$E,Productos!$J:$J,""))</f>
        <v/>
      </c>
      <c r="H651" s="74">
        <f t="array" ref="H651">IF(OR($D651="",$D651="NO ENCONTRADO"),"",_xlfn.XLOOKUP($D651,Productos!$E:$E,Productos!$K:$K,""))</f>
        <v/>
      </c>
      <c r="I651" s="74">
        <f t="array" ref="I651">IF(OR($D651="",$D651="NO ENCONTRADO"),"",_xlfn.XLOOKUP($D651,Productos!$E:$E,Productos!$F:$F,""))</f>
        <v/>
      </c>
      <c r="J651" s="74">
        <f>IF($C651="","",IF($D651="NO ENCONTRADO",IF(COUNTIF($C$7:$C$1000,$C651)&gt;1,"⚠️ No encontrado | Duplicado","⚠️ No encontrado"),IF(COUNTIF($C$7:$C$1000,$C651)&gt;1,"⚠️ Duplicado","Verificado")))</f>
        <v/>
      </c>
    </row>
    <row r="652" ht="15.75" customHeight="1" s="176">
      <c r="B652" s="80" t="n"/>
      <c r="C652" s="74" t="n"/>
      <c r="D652" s="74">
        <f t="array" ref="D652">IF($C652="","",IFNA(_xlfn.XLOOKUP($C652,Productos!$A:$A,Productos!$E:$E,IFNA(_xlfn.XLOOKUP(TEXT($C652,"0"),Productos!$A:$A,Productos!$E:$E,IFNA(_xlfn.XLOOKUP(IFERROR(VALUE($C652),""),Productos!$A:$A,Productos!$E:$E,_xlfn.XLOOKUP($C652,Productos!$E:$E,Productos!$E:$E,"NO ENCONTRADO")),"NO ENCONTRADO")),"NO ENCONTRADO")),"NO ENCONTRADO"))</f>
        <v/>
      </c>
      <c r="E652" s="74">
        <f t="array" ref="E652">IF(OR($D652="",$D652="NO ENCONTRADO"),"",_xlfn.XLOOKUP($D652,Productos!$E:$E,Productos!$H:$H,""))</f>
        <v/>
      </c>
      <c r="F652" s="74">
        <f t="array" ref="F652">IF(OR($D652="",$D652="NO ENCONTRADO"),"",_xlfn.XLOOKUP($D652,Productos!$E:$E,Productos!$I:$I,""))</f>
        <v/>
      </c>
      <c r="G652" s="74">
        <f t="array" ref="G652">IF(OR($D652="",$D652="NO ENCONTRADO"),"",_xlfn.XLOOKUP($D652,Productos!$E:$E,Productos!$J:$J,""))</f>
        <v/>
      </c>
      <c r="H652" s="74">
        <f t="array" ref="H652">IF(OR($D652="",$D652="NO ENCONTRADO"),"",_xlfn.XLOOKUP($D652,Productos!$E:$E,Productos!$K:$K,""))</f>
        <v/>
      </c>
      <c r="I652" s="74">
        <f t="array" ref="I652">IF(OR($D652="",$D652="NO ENCONTRADO"),"",_xlfn.XLOOKUP($D652,Productos!$E:$E,Productos!$F:$F,""))</f>
        <v/>
      </c>
      <c r="J652" s="74">
        <f>IF($C652="","",IF($D652="NO ENCONTRADO",IF(COUNTIF($C$7:$C$1000,$C652)&gt;1,"⚠️ No encontrado | Duplicado","⚠️ No encontrado"),IF(COUNTIF($C$7:$C$1000,$C652)&gt;1,"⚠️ Duplicado","Verificado")))</f>
        <v/>
      </c>
    </row>
    <row r="653" ht="15.75" customHeight="1" s="176">
      <c r="B653" s="80" t="n"/>
      <c r="C653" s="74" t="n"/>
      <c r="D653" s="74">
        <f t="array" ref="D653">IF($C653="","",IFNA(_xlfn.XLOOKUP($C653,Productos!$A:$A,Productos!$E:$E,IFNA(_xlfn.XLOOKUP(TEXT($C653,"0"),Productos!$A:$A,Productos!$E:$E,IFNA(_xlfn.XLOOKUP(IFERROR(VALUE($C653),""),Productos!$A:$A,Productos!$E:$E,_xlfn.XLOOKUP($C653,Productos!$E:$E,Productos!$E:$E,"NO ENCONTRADO")),"NO ENCONTRADO")),"NO ENCONTRADO")),"NO ENCONTRADO"))</f>
        <v/>
      </c>
      <c r="E653" s="74">
        <f t="array" ref="E653">IF(OR($D653="",$D653="NO ENCONTRADO"),"",_xlfn.XLOOKUP($D653,Productos!$E:$E,Productos!$H:$H,""))</f>
        <v/>
      </c>
      <c r="F653" s="74">
        <f t="array" ref="F653">IF(OR($D653="",$D653="NO ENCONTRADO"),"",_xlfn.XLOOKUP($D653,Productos!$E:$E,Productos!$I:$I,""))</f>
        <v/>
      </c>
      <c r="G653" s="74">
        <f t="array" ref="G653">IF(OR($D653="",$D653="NO ENCONTRADO"),"",_xlfn.XLOOKUP($D653,Productos!$E:$E,Productos!$J:$J,""))</f>
        <v/>
      </c>
      <c r="H653" s="74">
        <f t="array" ref="H653">IF(OR($D653="",$D653="NO ENCONTRADO"),"",_xlfn.XLOOKUP($D653,Productos!$E:$E,Productos!$K:$K,""))</f>
        <v/>
      </c>
      <c r="I653" s="74">
        <f t="array" ref="I653">IF(OR($D653="",$D653="NO ENCONTRADO"),"",_xlfn.XLOOKUP($D653,Productos!$E:$E,Productos!$F:$F,""))</f>
        <v/>
      </c>
      <c r="J653" s="74">
        <f>IF($C653="","",IF($D653="NO ENCONTRADO",IF(COUNTIF($C$7:$C$1000,$C653)&gt;1,"⚠️ No encontrado | Duplicado","⚠️ No encontrado"),IF(COUNTIF($C$7:$C$1000,$C653)&gt;1,"⚠️ Duplicado","Verificado")))</f>
        <v/>
      </c>
    </row>
    <row r="654" ht="15.75" customHeight="1" s="176">
      <c r="B654" s="80" t="n"/>
      <c r="C654" s="74" t="n"/>
      <c r="D654" s="74">
        <f t="array" ref="D654">IF($C654="","",IFNA(_xlfn.XLOOKUP($C654,Productos!$A:$A,Productos!$E:$E,IFNA(_xlfn.XLOOKUP(TEXT($C654,"0"),Productos!$A:$A,Productos!$E:$E,IFNA(_xlfn.XLOOKUP(IFERROR(VALUE($C654),""),Productos!$A:$A,Productos!$E:$E,_xlfn.XLOOKUP($C654,Productos!$E:$E,Productos!$E:$E,"NO ENCONTRADO")),"NO ENCONTRADO")),"NO ENCONTRADO")),"NO ENCONTRADO"))</f>
        <v/>
      </c>
      <c r="E654" s="74">
        <f t="array" ref="E654">IF(OR($D654="",$D654="NO ENCONTRADO"),"",_xlfn.XLOOKUP($D654,Productos!$E:$E,Productos!$H:$H,""))</f>
        <v/>
      </c>
      <c r="F654" s="74">
        <f t="array" ref="F654">IF(OR($D654="",$D654="NO ENCONTRADO"),"",_xlfn.XLOOKUP($D654,Productos!$E:$E,Productos!$I:$I,""))</f>
        <v/>
      </c>
      <c r="G654" s="74">
        <f t="array" ref="G654">IF(OR($D654="",$D654="NO ENCONTRADO"),"",_xlfn.XLOOKUP($D654,Productos!$E:$E,Productos!$J:$J,""))</f>
        <v/>
      </c>
      <c r="H654" s="74">
        <f t="array" ref="H654">IF(OR($D654="",$D654="NO ENCONTRADO"),"",_xlfn.XLOOKUP($D654,Productos!$E:$E,Productos!$K:$K,""))</f>
        <v/>
      </c>
      <c r="I654" s="74">
        <f t="array" ref="I654">IF(OR($D654="",$D654="NO ENCONTRADO"),"",_xlfn.XLOOKUP($D654,Productos!$E:$E,Productos!$F:$F,""))</f>
        <v/>
      </c>
      <c r="J654" s="74">
        <f>IF($C654="","",IF($D654="NO ENCONTRADO",IF(COUNTIF($C$7:$C$1000,$C654)&gt;1,"⚠️ No encontrado | Duplicado","⚠️ No encontrado"),IF(COUNTIF($C$7:$C$1000,$C654)&gt;1,"⚠️ Duplicado","Verificado")))</f>
        <v/>
      </c>
    </row>
    <row r="655" ht="15.75" customHeight="1" s="176">
      <c r="B655" s="80" t="n"/>
      <c r="C655" s="74" t="n"/>
      <c r="D655" s="74">
        <f t="array" ref="D655">IF($C655="","",IFNA(_xlfn.XLOOKUP($C655,Productos!$A:$A,Productos!$E:$E,IFNA(_xlfn.XLOOKUP(TEXT($C655,"0"),Productos!$A:$A,Productos!$E:$E,IFNA(_xlfn.XLOOKUP(IFERROR(VALUE($C655),""),Productos!$A:$A,Productos!$E:$E,_xlfn.XLOOKUP($C655,Productos!$E:$E,Productos!$E:$E,"NO ENCONTRADO")),"NO ENCONTRADO")),"NO ENCONTRADO")),"NO ENCONTRADO"))</f>
        <v/>
      </c>
      <c r="E655" s="74">
        <f t="array" ref="E655">IF(OR($D655="",$D655="NO ENCONTRADO"),"",_xlfn.XLOOKUP($D655,Productos!$E:$E,Productos!$H:$H,""))</f>
        <v/>
      </c>
      <c r="F655" s="74">
        <f t="array" ref="F655">IF(OR($D655="",$D655="NO ENCONTRADO"),"",_xlfn.XLOOKUP($D655,Productos!$E:$E,Productos!$I:$I,""))</f>
        <v/>
      </c>
      <c r="G655" s="74">
        <f t="array" ref="G655">IF(OR($D655="",$D655="NO ENCONTRADO"),"",_xlfn.XLOOKUP($D655,Productos!$E:$E,Productos!$J:$J,""))</f>
        <v/>
      </c>
      <c r="H655" s="74">
        <f t="array" ref="H655">IF(OR($D655="",$D655="NO ENCONTRADO"),"",_xlfn.XLOOKUP($D655,Productos!$E:$E,Productos!$K:$K,""))</f>
        <v/>
      </c>
      <c r="I655" s="74">
        <f t="array" ref="I655">IF(OR($D655="",$D655="NO ENCONTRADO"),"",_xlfn.XLOOKUP($D655,Productos!$E:$E,Productos!$F:$F,""))</f>
        <v/>
      </c>
      <c r="J655" s="74">
        <f>IF($C655="","",IF($D655="NO ENCONTRADO",IF(COUNTIF($C$7:$C$1000,$C655)&gt;1,"⚠️ No encontrado | Duplicado","⚠️ No encontrado"),IF(COUNTIF($C$7:$C$1000,$C655)&gt;1,"⚠️ Duplicado","Verificado")))</f>
        <v/>
      </c>
    </row>
    <row r="656" ht="15.75" customHeight="1" s="176">
      <c r="B656" s="80" t="n"/>
      <c r="C656" s="74" t="n"/>
      <c r="D656" s="74">
        <f t="array" ref="D656">IF($C656="","",IFNA(_xlfn.XLOOKUP($C656,Productos!$A:$A,Productos!$E:$E,IFNA(_xlfn.XLOOKUP(TEXT($C656,"0"),Productos!$A:$A,Productos!$E:$E,IFNA(_xlfn.XLOOKUP(IFERROR(VALUE($C656),""),Productos!$A:$A,Productos!$E:$E,_xlfn.XLOOKUP($C656,Productos!$E:$E,Productos!$E:$E,"NO ENCONTRADO")),"NO ENCONTRADO")),"NO ENCONTRADO")),"NO ENCONTRADO"))</f>
        <v/>
      </c>
      <c r="E656" s="74">
        <f t="array" ref="E656">IF(OR($D656="",$D656="NO ENCONTRADO"),"",_xlfn.XLOOKUP($D656,Productos!$E:$E,Productos!$H:$H,""))</f>
        <v/>
      </c>
      <c r="F656" s="74">
        <f t="array" ref="F656">IF(OR($D656="",$D656="NO ENCONTRADO"),"",_xlfn.XLOOKUP($D656,Productos!$E:$E,Productos!$I:$I,""))</f>
        <v/>
      </c>
      <c r="G656" s="74">
        <f t="array" ref="G656">IF(OR($D656="",$D656="NO ENCONTRADO"),"",_xlfn.XLOOKUP($D656,Productos!$E:$E,Productos!$J:$J,""))</f>
        <v/>
      </c>
      <c r="H656" s="74">
        <f t="array" ref="H656">IF(OR($D656="",$D656="NO ENCONTRADO"),"",_xlfn.XLOOKUP($D656,Productos!$E:$E,Productos!$K:$K,""))</f>
        <v/>
      </c>
      <c r="I656" s="74">
        <f t="array" ref="I656">IF(OR($D656="",$D656="NO ENCONTRADO"),"",_xlfn.XLOOKUP($D656,Productos!$E:$E,Productos!$F:$F,""))</f>
        <v/>
      </c>
      <c r="J656" s="74">
        <f>IF($C656="","",IF($D656="NO ENCONTRADO",IF(COUNTIF($C$7:$C$1000,$C656)&gt;1,"⚠️ No encontrado | Duplicado","⚠️ No encontrado"),IF(COUNTIF($C$7:$C$1000,$C656)&gt;1,"⚠️ Duplicado","Verificado")))</f>
        <v/>
      </c>
    </row>
    <row r="657" ht="15.75" customHeight="1" s="176">
      <c r="B657" s="80" t="n"/>
      <c r="C657" s="74" t="n"/>
      <c r="D657" s="74">
        <f t="array" ref="D657">IF($C657="","",IFNA(_xlfn.XLOOKUP($C657,Productos!$A:$A,Productos!$E:$E,IFNA(_xlfn.XLOOKUP(TEXT($C657,"0"),Productos!$A:$A,Productos!$E:$E,IFNA(_xlfn.XLOOKUP(IFERROR(VALUE($C657),""),Productos!$A:$A,Productos!$E:$E,_xlfn.XLOOKUP($C657,Productos!$E:$E,Productos!$E:$E,"NO ENCONTRADO")),"NO ENCONTRADO")),"NO ENCONTRADO")),"NO ENCONTRADO"))</f>
        <v/>
      </c>
      <c r="E657" s="74">
        <f t="array" ref="E657">IF(OR($D657="",$D657="NO ENCONTRADO"),"",_xlfn.XLOOKUP($D657,Productos!$E:$E,Productos!$H:$H,""))</f>
        <v/>
      </c>
      <c r="F657" s="74">
        <f t="array" ref="F657">IF(OR($D657="",$D657="NO ENCONTRADO"),"",_xlfn.XLOOKUP($D657,Productos!$E:$E,Productos!$I:$I,""))</f>
        <v/>
      </c>
      <c r="G657" s="74">
        <f t="array" ref="G657">IF(OR($D657="",$D657="NO ENCONTRADO"),"",_xlfn.XLOOKUP($D657,Productos!$E:$E,Productos!$J:$J,""))</f>
        <v/>
      </c>
      <c r="H657" s="74">
        <f t="array" ref="H657">IF(OR($D657="",$D657="NO ENCONTRADO"),"",_xlfn.XLOOKUP($D657,Productos!$E:$E,Productos!$K:$K,""))</f>
        <v/>
      </c>
      <c r="I657" s="74">
        <f t="array" ref="I657">IF(OR($D657="",$D657="NO ENCONTRADO"),"",_xlfn.XLOOKUP($D657,Productos!$E:$E,Productos!$F:$F,""))</f>
        <v/>
      </c>
      <c r="J657" s="74">
        <f>IF($C657="","",IF($D657="NO ENCONTRADO",IF(COUNTIF($C$7:$C$1000,$C657)&gt;1,"⚠️ No encontrado | Duplicado","⚠️ No encontrado"),IF(COUNTIF($C$7:$C$1000,$C657)&gt;1,"⚠️ Duplicado","Verificado")))</f>
        <v/>
      </c>
    </row>
    <row r="658" ht="15.75" customHeight="1" s="176">
      <c r="B658" s="80" t="n"/>
      <c r="C658" s="74" t="n"/>
      <c r="D658" s="74">
        <f t="array" ref="D658">IF($C658="","",IFNA(_xlfn.XLOOKUP($C658,Productos!$A:$A,Productos!$E:$E,IFNA(_xlfn.XLOOKUP(TEXT($C658,"0"),Productos!$A:$A,Productos!$E:$E,IFNA(_xlfn.XLOOKUP(IFERROR(VALUE($C658),""),Productos!$A:$A,Productos!$E:$E,_xlfn.XLOOKUP($C658,Productos!$E:$E,Productos!$E:$E,"NO ENCONTRADO")),"NO ENCONTRADO")),"NO ENCONTRADO")),"NO ENCONTRADO"))</f>
        <v/>
      </c>
      <c r="E658" s="74">
        <f t="array" ref="E658">IF(OR($D658="",$D658="NO ENCONTRADO"),"",_xlfn.XLOOKUP($D658,Productos!$E:$E,Productos!$H:$H,""))</f>
        <v/>
      </c>
      <c r="F658" s="74">
        <f t="array" ref="F658">IF(OR($D658="",$D658="NO ENCONTRADO"),"",_xlfn.XLOOKUP($D658,Productos!$E:$E,Productos!$I:$I,""))</f>
        <v/>
      </c>
      <c r="G658" s="74">
        <f t="array" ref="G658">IF(OR($D658="",$D658="NO ENCONTRADO"),"",_xlfn.XLOOKUP($D658,Productos!$E:$E,Productos!$J:$J,""))</f>
        <v/>
      </c>
      <c r="H658" s="74">
        <f t="array" ref="H658">IF(OR($D658="",$D658="NO ENCONTRADO"),"",_xlfn.XLOOKUP($D658,Productos!$E:$E,Productos!$K:$K,""))</f>
        <v/>
      </c>
      <c r="I658" s="74">
        <f t="array" ref="I658">IF(OR($D658="",$D658="NO ENCONTRADO"),"",_xlfn.XLOOKUP($D658,Productos!$E:$E,Productos!$F:$F,""))</f>
        <v/>
      </c>
      <c r="J658" s="74">
        <f>IF($C658="","",IF($D658="NO ENCONTRADO",IF(COUNTIF($C$7:$C$1000,$C658)&gt;1,"⚠️ No encontrado | Duplicado","⚠️ No encontrado"),IF(COUNTIF($C$7:$C$1000,$C658)&gt;1,"⚠️ Duplicado","Verificado")))</f>
        <v/>
      </c>
    </row>
    <row r="659" ht="15.75" customHeight="1" s="176">
      <c r="B659" s="80" t="n"/>
      <c r="C659" s="74" t="n"/>
      <c r="D659" s="74">
        <f t="array" ref="D659">IF($C659="","",IFNA(_xlfn.XLOOKUP($C659,Productos!$A:$A,Productos!$E:$E,IFNA(_xlfn.XLOOKUP(TEXT($C659,"0"),Productos!$A:$A,Productos!$E:$E,IFNA(_xlfn.XLOOKUP(IFERROR(VALUE($C659),""),Productos!$A:$A,Productos!$E:$E,_xlfn.XLOOKUP($C659,Productos!$E:$E,Productos!$E:$E,"NO ENCONTRADO")),"NO ENCONTRADO")),"NO ENCONTRADO")),"NO ENCONTRADO"))</f>
        <v/>
      </c>
      <c r="E659" s="74">
        <f t="array" ref="E659">IF(OR($D659="",$D659="NO ENCONTRADO"),"",_xlfn.XLOOKUP($D659,Productos!$E:$E,Productos!$H:$H,""))</f>
        <v/>
      </c>
      <c r="F659" s="74">
        <f t="array" ref="F659">IF(OR($D659="",$D659="NO ENCONTRADO"),"",_xlfn.XLOOKUP($D659,Productos!$E:$E,Productos!$I:$I,""))</f>
        <v/>
      </c>
      <c r="G659" s="74">
        <f t="array" ref="G659">IF(OR($D659="",$D659="NO ENCONTRADO"),"",_xlfn.XLOOKUP($D659,Productos!$E:$E,Productos!$J:$J,""))</f>
        <v/>
      </c>
      <c r="H659" s="74">
        <f t="array" ref="H659">IF(OR($D659="",$D659="NO ENCONTRADO"),"",_xlfn.XLOOKUP($D659,Productos!$E:$E,Productos!$K:$K,""))</f>
        <v/>
      </c>
      <c r="I659" s="74">
        <f t="array" ref="I659">IF(OR($D659="",$D659="NO ENCONTRADO"),"",_xlfn.XLOOKUP($D659,Productos!$E:$E,Productos!$F:$F,""))</f>
        <v/>
      </c>
      <c r="J659" s="74">
        <f>IF($C659="","",IF($D659="NO ENCONTRADO",IF(COUNTIF($C$7:$C$1000,$C659)&gt;1,"⚠️ No encontrado | Duplicado","⚠️ No encontrado"),IF(COUNTIF($C$7:$C$1000,$C659)&gt;1,"⚠️ Duplicado","Verificado")))</f>
        <v/>
      </c>
    </row>
    <row r="660" ht="15.75" customHeight="1" s="176">
      <c r="B660" s="80" t="n"/>
      <c r="C660" s="74" t="n"/>
      <c r="D660" s="74">
        <f t="array" ref="D660">IF($C660="","",IFNA(_xlfn.XLOOKUP($C660,Productos!$A:$A,Productos!$E:$E,IFNA(_xlfn.XLOOKUP(TEXT($C660,"0"),Productos!$A:$A,Productos!$E:$E,IFNA(_xlfn.XLOOKUP(IFERROR(VALUE($C660),""),Productos!$A:$A,Productos!$E:$E,_xlfn.XLOOKUP($C660,Productos!$E:$E,Productos!$E:$E,"NO ENCONTRADO")),"NO ENCONTRADO")),"NO ENCONTRADO")),"NO ENCONTRADO"))</f>
        <v/>
      </c>
      <c r="E660" s="74">
        <f t="array" ref="E660">IF(OR($D660="",$D660="NO ENCONTRADO"),"",_xlfn.XLOOKUP($D660,Productos!$E:$E,Productos!$H:$H,""))</f>
        <v/>
      </c>
      <c r="F660" s="74">
        <f t="array" ref="F660">IF(OR($D660="",$D660="NO ENCONTRADO"),"",_xlfn.XLOOKUP($D660,Productos!$E:$E,Productos!$I:$I,""))</f>
        <v/>
      </c>
      <c r="G660" s="74">
        <f t="array" ref="G660">IF(OR($D660="",$D660="NO ENCONTRADO"),"",_xlfn.XLOOKUP($D660,Productos!$E:$E,Productos!$J:$J,""))</f>
        <v/>
      </c>
      <c r="H660" s="74">
        <f t="array" ref="H660">IF(OR($D660="",$D660="NO ENCONTRADO"),"",_xlfn.XLOOKUP($D660,Productos!$E:$E,Productos!$K:$K,""))</f>
        <v/>
      </c>
      <c r="I660" s="74">
        <f t="array" ref="I660">IF(OR($D660="",$D660="NO ENCONTRADO"),"",_xlfn.XLOOKUP($D660,Productos!$E:$E,Productos!$F:$F,""))</f>
        <v/>
      </c>
      <c r="J660" s="74">
        <f>IF($C660="","",IF($D660="NO ENCONTRADO",IF(COUNTIF($C$7:$C$1000,$C660)&gt;1,"⚠️ No encontrado | Duplicado","⚠️ No encontrado"),IF(COUNTIF($C$7:$C$1000,$C660)&gt;1,"⚠️ Duplicado","Verificado")))</f>
        <v/>
      </c>
    </row>
    <row r="661" ht="15.75" customHeight="1" s="176">
      <c r="B661" s="80" t="n"/>
      <c r="C661" s="74" t="n"/>
      <c r="D661" s="74">
        <f t="array" ref="D661">IF($C661="","",IFNA(_xlfn.XLOOKUP($C661,Productos!$A:$A,Productos!$E:$E,IFNA(_xlfn.XLOOKUP(TEXT($C661,"0"),Productos!$A:$A,Productos!$E:$E,IFNA(_xlfn.XLOOKUP(IFERROR(VALUE($C661),""),Productos!$A:$A,Productos!$E:$E,_xlfn.XLOOKUP($C661,Productos!$E:$E,Productos!$E:$E,"NO ENCONTRADO")),"NO ENCONTRADO")),"NO ENCONTRADO")),"NO ENCONTRADO"))</f>
        <v/>
      </c>
      <c r="E661" s="74">
        <f t="array" ref="E661">IF(OR($D661="",$D661="NO ENCONTRADO"),"",_xlfn.XLOOKUP($D661,Productos!$E:$E,Productos!$H:$H,""))</f>
        <v/>
      </c>
      <c r="F661" s="74">
        <f t="array" ref="F661">IF(OR($D661="",$D661="NO ENCONTRADO"),"",_xlfn.XLOOKUP($D661,Productos!$E:$E,Productos!$I:$I,""))</f>
        <v/>
      </c>
      <c r="G661" s="74">
        <f t="array" ref="G661">IF(OR($D661="",$D661="NO ENCONTRADO"),"",_xlfn.XLOOKUP($D661,Productos!$E:$E,Productos!$J:$J,""))</f>
        <v/>
      </c>
      <c r="H661" s="74">
        <f t="array" ref="H661">IF(OR($D661="",$D661="NO ENCONTRADO"),"",_xlfn.XLOOKUP($D661,Productos!$E:$E,Productos!$K:$K,""))</f>
        <v/>
      </c>
      <c r="I661" s="74">
        <f t="array" ref="I661">IF(OR($D661="",$D661="NO ENCONTRADO"),"",_xlfn.XLOOKUP($D661,Productos!$E:$E,Productos!$F:$F,""))</f>
        <v/>
      </c>
      <c r="J661" s="74">
        <f>IF($C661="","",IF($D661="NO ENCONTRADO",IF(COUNTIF($C$7:$C$1000,$C661)&gt;1,"⚠️ No encontrado | Duplicado","⚠️ No encontrado"),IF(COUNTIF($C$7:$C$1000,$C661)&gt;1,"⚠️ Duplicado","Verificado")))</f>
        <v/>
      </c>
    </row>
    <row r="662" ht="15.75" customHeight="1" s="176">
      <c r="B662" s="80" t="n"/>
      <c r="C662" s="74" t="n"/>
      <c r="D662" s="74">
        <f t="array" ref="D662">IF($C662="","",IFNA(_xlfn.XLOOKUP($C662,Productos!$A:$A,Productos!$E:$E,IFNA(_xlfn.XLOOKUP(TEXT($C662,"0"),Productos!$A:$A,Productos!$E:$E,IFNA(_xlfn.XLOOKUP(IFERROR(VALUE($C662),""),Productos!$A:$A,Productos!$E:$E,_xlfn.XLOOKUP($C662,Productos!$E:$E,Productos!$E:$E,"NO ENCONTRADO")),"NO ENCONTRADO")),"NO ENCONTRADO")),"NO ENCONTRADO"))</f>
        <v/>
      </c>
      <c r="E662" s="74">
        <f t="array" ref="E662">IF(OR($D662="",$D662="NO ENCONTRADO"),"",_xlfn.XLOOKUP($D662,Productos!$E:$E,Productos!$H:$H,""))</f>
        <v/>
      </c>
      <c r="F662" s="74">
        <f t="array" ref="F662">IF(OR($D662="",$D662="NO ENCONTRADO"),"",_xlfn.XLOOKUP($D662,Productos!$E:$E,Productos!$I:$I,""))</f>
        <v/>
      </c>
      <c r="G662" s="74">
        <f t="array" ref="G662">IF(OR($D662="",$D662="NO ENCONTRADO"),"",_xlfn.XLOOKUP($D662,Productos!$E:$E,Productos!$J:$J,""))</f>
        <v/>
      </c>
      <c r="H662" s="74">
        <f t="array" ref="H662">IF(OR($D662="",$D662="NO ENCONTRADO"),"",_xlfn.XLOOKUP($D662,Productos!$E:$E,Productos!$K:$K,""))</f>
        <v/>
      </c>
      <c r="I662" s="74">
        <f t="array" ref="I662">IF(OR($D662="",$D662="NO ENCONTRADO"),"",_xlfn.XLOOKUP($D662,Productos!$E:$E,Productos!$F:$F,""))</f>
        <v/>
      </c>
      <c r="J662" s="74">
        <f>IF($C662="","",IF($D662="NO ENCONTRADO",IF(COUNTIF($C$7:$C$1000,$C662)&gt;1,"⚠️ No encontrado | Duplicado","⚠️ No encontrado"),IF(COUNTIF($C$7:$C$1000,$C662)&gt;1,"⚠️ Duplicado","Verificado")))</f>
        <v/>
      </c>
    </row>
    <row r="663" ht="15.75" customHeight="1" s="176">
      <c r="B663" s="80" t="n"/>
      <c r="C663" s="74" t="n"/>
      <c r="D663" s="74">
        <f t="array" ref="D663">IF($C663="","",IFNA(_xlfn.XLOOKUP($C663,Productos!$A:$A,Productos!$E:$E,IFNA(_xlfn.XLOOKUP(TEXT($C663,"0"),Productos!$A:$A,Productos!$E:$E,IFNA(_xlfn.XLOOKUP(IFERROR(VALUE($C663),""),Productos!$A:$A,Productos!$E:$E,_xlfn.XLOOKUP($C663,Productos!$E:$E,Productos!$E:$E,"NO ENCONTRADO")),"NO ENCONTRADO")),"NO ENCONTRADO")),"NO ENCONTRADO"))</f>
        <v/>
      </c>
      <c r="E663" s="74">
        <f t="array" ref="E663">IF(OR($D663="",$D663="NO ENCONTRADO"),"",_xlfn.XLOOKUP($D663,Productos!$E:$E,Productos!$H:$H,""))</f>
        <v/>
      </c>
      <c r="F663" s="74">
        <f t="array" ref="F663">IF(OR($D663="",$D663="NO ENCONTRADO"),"",_xlfn.XLOOKUP($D663,Productos!$E:$E,Productos!$I:$I,""))</f>
        <v/>
      </c>
      <c r="G663" s="74">
        <f t="array" ref="G663">IF(OR($D663="",$D663="NO ENCONTRADO"),"",_xlfn.XLOOKUP($D663,Productos!$E:$E,Productos!$J:$J,""))</f>
        <v/>
      </c>
      <c r="H663" s="74">
        <f t="array" ref="H663">IF(OR($D663="",$D663="NO ENCONTRADO"),"",_xlfn.XLOOKUP($D663,Productos!$E:$E,Productos!$K:$K,""))</f>
        <v/>
      </c>
      <c r="I663" s="74">
        <f t="array" ref="I663">IF(OR($D663="",$D663="NO ENCONTRADO"),"",_xlfn.XLOOKUP($D663,Productos!$E:$E,Productos!$F:$F,""))</f>
        <v/>
      </c>
      <c r="J663" s="74">
        <f>IF($C663="","",IF($D663="NO ENCONTRADO",IF(COUNTIF($C$7:$C$1000,$C663)&gt;1,"⚠️ No encontrado | Duplicado","⚠️ No encontrado"),IF(COUNTIF($C$7:$C$1000,$C663)&gt;1,"⚠️ Duplicado","Verificado")))</f>
        <v/>
      </c>
    </row>
    <row r="664" ht="15.75" customHeight="1" s="176">
      <c r="B664" s="80" t="n"/>
      <c r="C664" s="74" t="n"/>
      <c r="D664" s="74">
        <f t="array" ref="D664">IF($C664="","",IFNA(_xlfn.XLOOKUP($C664,Productos!$A:$A,Productos!$E:$E,IFNA(_xlfn.XLOOKUP(TEXT($C664,"0"),Productos!$A:$A,Productos!$E:$E,IFNA(_xlfn.XLOOKUP(IFERROR(VALUE($C664),""),Productos!$A:$A,Productos!$E:$E,_xlfn.XLOOKUP($C664,Productos!$E:$E,Productos!$E:$E,"NO ENCONTRADO")),"NO ENCONTRADO")),"NO ENCONTRADO")),"NO ENCONTRADO"))</f>
        <v/>
      </c>
      <c r="E664" s="74">
        <f t="array" ref="E664">IF(OR($D664="",$D664="NO ENCONTRADO"),"",_xlfn.XLOOKUP($D664,Productos!$E:$E,Productos!$H:$H,""))</f>
        <v/>
      </c>
      <c r="F664" s="74">
        <f t="array" ref="F664">IF(OR($D664="",$D664="NO ENCONTRADO"),"",_xlfn.XLOOKUP($D664,Productos!$E:$E,Productos!$I:$I,""))</f>
        <v/>
      </c>
      <c r="G664" s="74">
        <f t="array" ref="G664">IF(OR($D664="",$D664="NO ENCONTRADO"),"",_xlfn.XLOOKUP($D664,Productos!$E:$E,Productos!$J:$J,""))</f>
        <v/>
      </c>
      <c r="H664" s="74">
        <f t="array" ref="H664">IF(OR($D664="",$D664="NO ENCONTRADO"),"",_xlfn.XLOOKUP($D664,Productos!$E:$E,Productos!$K:$K,""))</f>
        <v/>
      </c>
      <c r="I664" s="74">
        <f t="array" ref="I664">IF(OR($D664="",$D664="NO ENCONTRADO"),"",_xlfn.XLOOKUP($D664,Productos!$E:$E,Productos!$F:$F,""))</f>
        <v/>
      </c>
      <c r="J664" s="74">
        <f>IF($C664="","",IF($D664="NO ENCONTRADO",IF(COUNTIF($C$7:$C$1000,$C664)&gt;1,"⚠️ No encontrado | Duplicado","⚠️ No encontrado"),IF(COUNTIF($C$7:$C$1000,$C664)&gt;1,"⚠️ Duplicado","Verificado")))</f>
        <v/>
      </c>
    </row>
    <row r="665" ht="15.75" customHeight="1" s="176">
      <c r="B665" s="80" t="n"/>
      <c r="C665" s="74" t="n"/>
      <c r="D665" s="74">
        <f t="array" ref="D665">IF($C665="","",IFNA(_xlfn.XLOOKUP($C665,Productos!$A:$A,Productos!$E:$E,IFNA(_xlfn.XLOOKUP(TEXT($C665,"0"),Productos!$A:$A,Productos!$E:$E,IFNA(_xlfn.XLOOKUP(IFERROR(VALUE($C665),""),Productos!$A:$A,Productos!$E:$E,_xlfn.XLOOKUP($C665,Productos!$E:$E,Productos!$E:$E,"NO ENCONTRADO")),"NO ENCONTRADO")),"NO ENCONTRADO")),"NO ENCONTRADO"))</f>
        <v/>
      </c>
      <c r="E665" s="74">
        <f t="array" ref="E665">IF(OR($D665="",$D665="NO ENCONTRADO"),"",_xlfn.XLOOKUP($D665,Productos!$E:$E,Productos!$H:$H,""))</f>
        <v/>
      </c>
      <c r="F665" s="74">
        <f t="array" ref="F665">IF(OR($D665="",$D665="NO ENCONTRADO"),"",_xlfn.XLOOKUP($D665,Productos!$E:$E,Productos!$I:$I,""))</f>
        <v/>
      </c>
      <c r="G665" s="74">
        <f t="array" ref="G665">IF(OR($D665="",$D665="NO ENCONTRADO"),"",_xlfn.XLOOKUP($D665,Productos!$E:$E,Productos!$J:$J,""))</f>
        <v/>
      </c>
      <c r="H665" s="74">
        <f t="array" ref="H665">IF(OR($D665="",$D665="NO ENCONTRADO"),"",_xlfn.XLOOKUP($D665,Productos!$E:$E,Productos!$K:$K,""))</f>
        <v/>
      </c>
      <c r="I665" s="74">
        <f t="array" ref="I665">IF(OR($D665="",$D665="NO ENCONTRADO"),"",_xlfn.XLOOKUP($D665,Productos!$E:$E,Productos!$F:$F,""))</f>
        <v/>
      </c>
      <c r="J665" s="74">
        <f>IF($C665="","",IF($D665="NO ENCONTRADO",IF(COUNTIF($C$7:$C$1000,$C665)&gt;1,"⚠️ No encontrado | Duplicado","⚠️ No encontrado"),IF(COUNTIF($C$7:$C$1000,$C665)&gt;1,"⚠️ Duplicado","Verificado")))</f>
        <v/>
      </c>
    </row>
    <row r="666" ht="15.75" customHeight="1" s="176">
      <c r="B666" s="80" t="n"/>
      <c r="C666" s="74" t="n"/>
      <c r="D666" s="74">
        <f t="array" ref="D666">IF($C666="","",IFNA(_xlfn.XLOOKUP($C666,Productos!$A:$A,Productos!$E:$E,IFNA(_xlfn.XLOOKUP(TEXT($C666,"0"),Productos!$A:$A,Productos!$E:$E,IFNA(_xlfn.XLOOKUP(IFERROR(VALUE($C666),""),Productos!$A:$A,Productos!$E:$E,_xlfn.XLOOKUP($C666,Productos!$E:$E,Productos!$E:$E,"NO ENCONTRADO")),"NO ENCONTRADO")),"NO ENCONTRADO")),"NO ENCONTRADO"))</f>
        <v/>
      </c>
      <c r="E666" s="74">
        <f t="array" ref="E666">IF(OR($D666="",$D666="NO ENCONTRADO"),"",_xlfn.XLOOKUP($D666,Productos!$E:$E,Productos!$H:$H,""))</f>
        <v/>
      </c>
      <c r="F666" s="74">
        <f t="array" ref="F666">IF(OR($D666="",$D666="NO ENCONTRADO"),"",_xlfn.XLOOKUP($D666,Productos!$E:$E,Productos!$I:$I,""))</f>
        <v/>
      </c>
      <c r="G666" s="74">
        <f t="array" ref="G666">IF(OR($D666="",$D666="NO ENCONTRADO"),"",_xlfn.XLOOKUP($D666,Productos!$E:$E,Productos!$J:$J,""))</f>
        <v/>
      </c>
      <c r="H666" s="74">
        <f t="array" ref="H666">IF(OR($D666="",$D666="NO ENCONTRADO"),"",_xlfn.XLOOKUP($D666,Productos!$E:$E,Productos!$K:$K,""))</f>
        <v/>
      </c>
      <c r="I666" s="74">
        <f t="array" ref="I666">IF(OR($D666="",$D666="NO ENCONTRADO"),"",_xlfn.XLOOKUP($D666,Productos!$E:$E,Productos!$F:$F,""))</f>
        <v/>
      </c>
      <c r="J666" s="74">
        <f>IF($C666="","",IF($D666="NO ENCONTRADO",IF(COUNTIF($C$7:$C$1000,$C666)&gt;1,"⚠️ No encontrado | Duplicado","⚠️ No encontrado"),IF(COUNTIF($C$7:$C$1000,$C666)&gt;1,"⚠️ Duplicado","Verificado")))</f>
        <v/>
      </c>
    </row>
    <row r="667" ht="15.75" customHeight="1" s="176">
      <c r="B667" s="80" t="n"/>
      <c r="C667" s="74" t="n"/>
      <c r="D667" s="74">
        <f t="array" ref="D667">IF($C667="","",IFNA(_xlfn.XLOOKUP($C667,Productos!$A:$A,Productos!$E:$E,IFNA(_xlfn.XLOOKUP(TEXT($C667,"0"),Productos!$A:$A,Productos!$E:$E,IFNA(_xlfn.XLOOKUP(IFERROR(VALUE($C667),""),Productos!$A:$A,Productos!$E:$E,_xlfn.XLOOKUP($C667,Productos!$E:$E,Productos!$E:$E,"NO ENCONTRADO")),"NO ENCONTRADO")),"NO ENCONTRADO")),"NO ENCONTRADO"))</f>
        <v/>
      </c>
      <c r="E667" s="74">
        <f t="array" ref="E667">IF(OR($D667="",$D667="NO ENCONTRADO"),"",_xlfn.XLOOKUP($D667,Productos!$E:$E,Productos!$H:$H,""))</f>
        <v/>
      </c>
      <c r="F667" s="74">
        <f t="array" ref="F667">IF(OR($D667="",$D667="NO ENCONTRADO"),"",_xlfn.XLOOKUP($D667,Productos!$E:$E,Productos!$I:$I,""))</f>
        <v/>
      </c>
      <c r="G667" s="74">
        <f t="array" ref="G667">IF(OR($D667="",$D667="NO ENCONTRADO"),"",_xlfn.XLOOKUP($D667,Productos!$E:$E,Productos!$J:$J,""))</f>
        <v/>
      </c>
      <c r="H667" s="74">
        <f t="array" ref="H667">IF(OR($D667="",$D667="NO ENCONTRADO"),"",_xlfn.XLOOKUP($D667,Productos!$E:$E,Productos!$K:$K,""))</f>
        <v/>
      </c>
      <c r="I667" s="74">
        <f t="array" ref="I667">IF(OR($D667="",$D667="NO ENCONTRADO"),"",_xlfn.XLOOKUP($D667,Productos!$E:$E,Productos!$F:$F,""))</f>
        <v/>
      </c>
      <c r="J667" s="74">
        <f>IF($C667="","",IF($D667="NO ENCONTRADO",IF(COUNTIF($C$7:$C$1000,$C667)&gt;1,"⚠️ No encontrado | Duplicado","⚠️ No encontrado"),IF(COUNTIF($C$7:$C$1000,$C667)&gt;1,"⚠️ Duplicado","Verificado")))</f>
        <v/>
      </c>
    </row>
    <row r="668" ht="15.75" customHeight="1" s="176">
      <c r="B668" s="80" t="n"/>
      <c r="C668" s="74" t="n"/>
      <c r="D668" s="74">
        <f t="array" ref="D668">IF($C668="","",IFNA(_xlfn.XLOOKUP($C668,Productos!$A:$A,Productos!$E:$E,IFNA(_xlfn.XLOOKUP(TEXT($C668,"0"),Productos!$A:$A,Productos!$E:$E,IFNA(_xlfn.XLOOKUP(IFERROR(VALUE($C668),""),Productos!$A:$A,Productos!$E:$E,_xlfn.XLOOKUP($C668,Productos!$E:$E,Productos!$E:$E,"NO ENCONTRADO")),"NO ENCONTRADO")),"NO ENCONTRADO")),"NO ENCONTRADO"))</f>
        <v/>
      </c>
      <c r="E668" s="74">
        <f t="array" ref="E668">IF(OR($D668="",$D668="NO ENCONTRADO"),"",_xlfn.XLOOKUP($D668,Productos!$E:$E,Productos!$H:$H,""))</f>
        <v/>
      </c>
      <c r="F668" s="74">
        <f t="array" ref="F668">IF(OR($D668="",$D668="NO ENCONTRADO"),"",_xlfn.XLOOKUP($D668,Productos!$E:$E,Productos!$I:$I,""))</f>
        <v/>
      </c>
      <c r="G668" s="74">
        <f t="array" ref="G668">IF(OR($D668="",$D668="NO ENCONTRADO"),"",_xlfn.XLOOKUP($D668,Productos!$E:$E,Productos!$J:$J,""))</f>
        <v/>
      </c>
      <c r="H668" s="74">
        <f t="array" ref="H668">IF(OR($D668="",$D668="NO ENCONTRADO"),"",_xlfn.XLOOKUP($D668,Productos!$E:$E,Productos!$K:$K,""))</f>
        <v/>
      </c>
      <c r="I668" s="74">
        <f t="array" ref="I668">IF(OR($D668="",$D668="NO ENCONTRADO"),"",_xlfn.XLOOKUP($D668,Productos!$E:$E,Productos!$F:$F,""))</f>
        <v/>
      </c>
      <c r="J668" s="74">
        <f>IF($C668="","",IF($D668="NO ENCONTRADO",IF(COUNTIF($C$7:$C$1000,$C668)&gt;1,"⚠️ No encontrado | Duplicado","⚠️ No encontrado"),IF(COUNTIF($C$7:$C$1000,$C668)&gt;1,"⚠️ Duplicado","Verificado")))</f>
        <v/>
      </c>
    </row>
    <row r="669" ht="15.75" customHeight="1" s="176">
      <c r="B669" s="80" t="n"/>
      <c r="C669" s="74" t="n"/>
      <c r="D669" s="74">
        <f t="array" ref="D669">IF($C669="","",IFNA(_xlfn.XLOOKUP($C669,Productos!$A:$A,Productos!$E:$E,IFNA(_xlfn.XLOOKUP(TEXT($C669,"0"),Productos!$A:$A,Productos!$E:$E,IFNA(_xlfn.XLOOKUP(IFERROR(VALUE($C669),""),Productos!$A:$A,Productos!$E:$E,_xlfn.XLOOKUP($C669,Productos!$E:$E,Productos!$E:$E,"NO ENCONTRADO")),"NO ENCONTRADO")),"NO ENCONTRADO")),"NO ENCONTRADO"))</f>
        <v/>
      </c>
      <c r="E669" s="74">
        <f t="array" ref="E669">IF(OR($D669="",$D669="NO ENCONTRADO"),"",_xlfn.XLOOKUP($D669,Productos!$E:$E,Productos!$H:$H,""))</f>
        <v/>
      </c>
      <c r="F669" s="74">
        <f t="array" ref="F669">IF(OR($D669="",$D669="NO ENCONTRADO"),"",_xlfn.XLOOKUP($D669,Productos!$E:$E,Productos!$I:$I,""))</f>
        <v/>
      </c>
      <c r="G669" s="74">
        <f t="array" ref="G669">IF(OR($D669="",$D669="NO ENCONTRADO"),"",_xlfn.XLOOKUP($D669,Productos!$E:$E,Productos!$J:$J,""))</f>
        <v/>
      </c>
      <c r="H669" s="74">
        <f t="array" ref="H669">IF(OR($D669="",$D669="NO ENCONTRADO"),"",_xlfn.XLOOKUP($D669,Productos!$E:$E,Productos!$K:$K,""))</f>
        <v/>
      </c>
      <c r="I669" s="74">
        <f t="array" ref="I669">IF(OR($D669="",$D669="NO ENCONTRADO"),"",_xlfn.XLOOKUP($D669,Productos!$E:$E,Productos!$F:$F,""))</f>
        <v/>
      </c>
      <c r="J669" s="74">
        <f>IF($C669="","",IF($D669="NO ENCONTRADO",IF(COUNTIF($C$7:$C$1000,$C669)&gt;1,"⚠️ No encontrado | Duplicado","⚠️ No encontrado"),IF(COUNTIF($C$7:$C$1000,$C669)&gt;1,"⚠️ Duplicado","Verificado")))</f>
        <v/>
      </c>
    </row>
    <row r="670" ht="15.75" customHeight="1" s="176">
      <c r="B670" s="80" t="n"/>
      <c r="C670" s="74" t="n"/>
      <c r="D670" s="74">
        <f t="array" ref="D670">IF($C670="","",IFNA(_xlfn.XLOOKUP($C670,Productos!$A:$A,Productos!$E:$E,IFNA(_xlfn.XLOOKUP(TEXT($C670,"0"),Productos!$A:$A,Productos!$E:$E,IFNA(_xlfn.XLOOKUP(IFERROR(VALUE($C670),""),Productos!$A:$A,Productos!$E:$E,_xlfn.XLOOKUP($C670,Productos!$E:$E,Productos!$E:$E,"NO ENCONTRADO")),"NO ENCONTRADO")),"NO ENCONTRADO")),"NO ENCONTRADO"))</f>
        <v/>
      </c>
      <c r="E670" s="74">
        <f t="array" ref="E670">IF(OR($D670="",$D670="NO ENCONTRADO"),"",_xlfn.XLOOKUP($D670,Productos!$E:$E,Productos!$H:$H,""))</f>
        <v/>
      </c>
      <c r="F670" s="74">
        <f t="array" ref="F670">IF(OR($D670="",$D670="NO ENCONTRADO"),"",_xlfn.XLOOKUP($D670,Productos!$E:$E,Productos!$I:$I,""))</f>
        <v/>
      </c>
      <c r="G670" s="74">
        <f t="array" ref="G670">IF(OR($D670="",$D670="NO ENCONTRADO"),"",_xlfn.XLOOKUP($D670,Productos!$E:$E,Productos!$J:$J,""))</f>
        <v/>
      </c>
      <c r="H670" s="74">
        <f t="array" ref="H670">IF(OR($D670="",$D670="NO ENCONTRADO"),"",_xlfn.XLOOKUP($D670,Productos!$E:$E,Productos!$K:$K,""))</f>
        <v/>
      </c>
      <c r="I670" s="74">
        <f t="array" ref="I670">IF(OR($D670="",$D670="NO ENCONTRADO"),"",_xlfn.XLOOKUP($D670,Productos!$E:$E,Productos!$F:$F,""))</f>
        <v/>
      </c>
      <c r="J670" s="74">
        <f>IF($C670="","",IF($D670="NO ENCONTRADO",IF(COUNTIF($C$7:$C$1000,$C670)&gt;1,"⚠️ No encontrado | Duplicado","⚠️ No encontrado"),IF(COUNTIF($C$7:$C$1000,$C670)&gt;1,"⚠️ Duplicado","Verificado")))</f>
        <v/>
      </c>
    </row>
    <row r="671" ht="15.75" customHeight="1" s="176">
      <c r="B671" s="80" t="n"/>
      <c r="C671" s="74" t="n"/>
      <c r="D671" s="74">
        <f t="array" ref="D671">IF($C671="","",IFNA(_xlfn.XLOOKUP($C671,Productos!$A:$A,Productos!$E:$E,IFNA(_xlfn.XLOOKUP(TEXT($C671,"0"),Productos!$A:$A,Productos!$E:$E,IFNA(_xlfn.XLOOKUP(IFERROR(VALUE($C671),""),Productos!$A:$A,Productos!$E:$E,_xlfn.XLOOKUP($C671,Productos!$E:$E,Productos!$E:$E,"NO ENCONTRADO")),"NO ENCONTRADO")),"NO ENCONTRADO")),"NO ENCONTRADO"))</f>
        <v/>
      </c>
      <c r="E671" s="74">
        <f t="array" ref="E671">IF(OR($D671="",$D671="NO ENCONTRADO"),"",_xlfn.XLOOKUP($D671,Productos!$E:$E,Productos!$H:$H,""))</f>
        <v/>
      </c>
      <c r="F671" s="74">
        <f t="array" ref="F671">IF(OR($D671="",$D671="NO ENCONTRADO"),"",_xlfn.XLOOKUP($D671,Productos!$E:$E,Productos!$I:$I,""))</f>
        <v/>
      </c>
      <c r="G671" s="74">
        <f t="array" ref="G671">IF(OR($D671="",$D671="NO ENCONTRADO"),"",_xlfn.XLOOKUP($D671,Productos!$E:$E,Productos!$J:$J,""))</f>
        <v/>
      </c>
      <c r="H671" s="74">
        <f t="array" ref="H671">IF(OR($D671="",$D671="NO ENCONTRADO"),"",_xlfn.XLOOKUP($D671,Productos!$E:$E,Productos!$K:$K,""))</f>
        <v/>
      </c>
      <c r="I671" s="74">
        <f t="array" ref="I671">IF(OR($D671="",$D671="NO ENCONTRADO"),"",_xlfn.XLOOKUP($D671,Productos!$E:$E,Productos!$F:$F,""))</f>
        <v/>
      </c>
      <c r="J671" s="74">
        <f>IF($C671="","",IF($D671="NO ENCONTRADO",IF(COUNTIF($C$7:$C$1000,$C671)&gt;1,"⚠️ No encontrado | Duplicado","⚠️ No encontrado"),IF(COUNTIF($C$7:$C$1000,$C671)&gt;1,"⚠️ Duplicado","Verificado")))</f>
        <v/>
      </c>
    </row>
    <row r="672" ht="15.75" customHeight="1" s="176">
      <c r="B672" s="80" t="n"/>
      <c r="C672" s="74" t="n"/>
      <c r="D672" s="74">
        <f t="array" ref="D672">IF($C672="","",IFNA(_xlfn.XLOOKUP($C672,Productos!$A:$A,Productos!$E:$E,IFNA(_xlfn.XLOOKUP(TEXT($C672,"0"),Productos!$A:$A,Productos!$E:$E,IFNA(_xlfn.XLOOKUP(IFERROR(VALUE($C672),""),Productos!$A:$A,Productos!$E:$E,_xlfn.XLOOKUP($C672,Productos!$E:$E,Productos!$E:$E,"NO ENCONTRADO")),"NO ENCONTRADO")),"NO ENCONTRADO")),"NO ENCONTRADO"))</f>
        <v/>
      </c>
      <c r="E672" s="74">
        <f t="array" ref="E672">IF(OR($D672="",$D672="NO ENCONTRADO"),"",_xlfn.XLOOKUP($D672,Productos!$E:$E,Productos!$H:$H,""))</f>
        <v/>
      </c>
      <c r="F672" s="74">
        <f t="array" ref="F672">IF(OR($D672="",$D672="NO ENCONTRADO"),"",_xlfn.XLOOKUP($D672,Productos!$E:$E,Productos!$I:$I,""))</f>
        <v/>
      </c>
      <c r="G672" s="74">
        <f t="array" ref="G672">IF(OR($D672="",$D672="NO ENCONTRADO"),"",_xlfn.XLOOKUP($D672,Productos!$E:$E,Productos!$J:$J,""))</f>
        <v/>
      </c>
      <c r="H672" s="74">
        <f t="array" ref="H672">IF(OR($D672="",$D672="NO ENCONTRADO"),"",_xlfn.XLOOKUP($D672,Productos!$E:$E,Productos!$K:$K,""))</f>
        <v/>
      </c>
      <c r="I672" s="74">
        <f t="array" ref="I672">IF(OR($D672="",$D672="NO ENCONTRADO"),"",_xlfn.XLOOKUP($D672,Productos!$E:$E,Productos!$F:$F,""))</f>
        <v/>
      </c>
      <c r="J672" s="74">
        <f>IF($C672="","",IF($D672="NO ENCONTRADO",IF(COUNTIF($C$7:$C$1000,$C672)&gt;1,"⚠️ No encontrado | Duplicado","⚠️ No encontrado"),IF(COUNTIF($C$7:$C$1000,$C672)&gt;1,"⚠️ Duplicado","Verificado")))</f>
        <v/>
      </c>
    </row>
    <row r="673" ht="15.75" customHeight="1" s="176">
      <c r="B673" s="80" t="n"/>
      <c r="C673" s="74" t="n"/>
      <c r="D673" s="74">
        <f t="array" ref="D673">IF($C673="","",IFNA(_xlfn.XLOOKUP($C673,Productos!$A:$A,Productos!$E:$E,IFNA(_xlfn.XLOOKUP(TEXT($C673,"0"),Productos!$A:$A,Productos!$E:$E,IFNA(_xlfn.XLOOKUP(IFERROR(VALUE($C673),""),Productos!$A:$A,Productos!$E:$E,_xlfn.XLOOKUP($C673,Productos!$E:$E,Productos!$E:$E,"NO ENCONTRADO")),"NO ENCONTRADO")),"NO ENCONTRADO")),"NO ENCONTRADO"))</f>
        <v/>
      </c>
      <c r="E673" s="74">
        <f t="array" ref="E673">IF(OR($D673="",$D673="NO ENCONTRADO"),"",_xlfn.XLOOKUP($D673,Productos!$E:$E,Productos!$H:$H,""))</f>
        <v/>
      </c>
      <c r="F673" s="74">
        <f t="array" ref="F673">IF(OR($D673="",$D673="NO ENCONTRADO"),"",_xlfn.XLOOKUP($D673,Productos!$E:$E,Productos!$I:$I,""))</f>
        <v/>
      </c>
      <c r="G673" s="74">
        <f t="array" ref="G673">IF(OR($D673="",$D673="NO ENCONTRADO"),"",_xlfn.XLOOKUP($D673,Productos!$E:$E,Productos!$J:$J,""))</f>
        <v/>
      </c>
      <c r="H673" s="74">
        <f t="array" ref="H673">IF(OR($D673="",$D673="NO ENCONTRADO"),"",_xlfn.XLOOKUP($D673,Productos!$E:$E,Productos!$K:$K,""))</f>
        <v/>
      </c>
      <c r="I673" s="74">
        <f t="array" ref="I673">IF(OR($D673="",$D673="NO ENCONTRADO"),"",_xlfn.XLOOKUP($D673,Productos!$E:$E,Productos!$F:$F,""))</f>
        <v/>
      </c>
      <c r="J673" s="74">
        <f>IF($C673="","",IF($D673="NO ENCONTRADO",IF(COUNTIF($C$7:$C$1000,$C673)&gt;1,"⚠️ No encontrado | Duplicado","⚠️ No encontrado"),IF(COUNTIF($C$7:$C$1000,$C673)&gt;1,"⚠️ Duplicado","Verificado")))</f>
        <v/>
      </c>
    </row>
    <row r="674" ht="15.75" customHeight="1" s="176">
      <c r="B674" s="80" t="n"/>
      <c r="C674" s="74" t="n"/>
      <c r="D674" s="74">
        <f t="array" ref="D674">IF($C674="","",IFNA(_xlfn.XLOOKUP($C674,Productos!$A:$A,Productos!$E:$E,IFNA(_xlfn.XLOOKUP(TEXT($C674,"0"),Productos!$A:$A,Productos!$E:$E,IFNA(_xlfn.XLOOKUP(IFERROR(VALUE($C674),""),Productos!$A:$A,Productos!$E:$E,_xlfn.XLOOKUP($C674,Productos!$E:$E,Productos!$E:$E,"NO ENCONTRADO")),"NO ENCONTRADO")),"NO ENCONTRADO")),"NO ENCONTRADO"))</f>
        <v/>
      </c>
      <c r="E674" s="74">
        <f t="array" ref="E674">IF(OR($D674="",$D674="NO ENCONTRADO"),"",_xlfn.XLOOKUP($D674,Productos!$E:$E,Productos!$H:$H,""))</f>
        <v/>
      </c>
      <c r="F674" s="74">
        <f t="array" ref="F674">IF(OR($D674="",$D674="NO ENCONTRADO"),"",_xlfn.XLOOKUP($D674,Productos!$E:$E,Productos!$I:$I,""))</f>
        <v/>
      </c>
      <c r="G674" s="74">
        <f t="array" ref="G674">IF(OR($D674="",$D674="NO ENCONTRADO"),"",_xlfn.XLOOKUP($D674,Productos!$E:$E,Productos!$J:$J,""))</f>
        <v/>
      </c>
      <c r="H674" s="74">
        <f t="array" ref="H674">IF(OR($D674="",$D674="NO ENCONTRADO"),"",_xlfn.XLOOKUP($D674,Productos!$E:$E,Productos!$K:$K,""))</f>
        <v/>
      </c>
      <c r="I674" s="74">
        <f t="array" ref="I674">IF(OR($D674="",$D674="NO ENCONTRADO"),"",_xlfn.XLOOKUP($D674,Productos!$E:$E,Productos!$F:$F,""))</f>
        <v/>
      </c>
      <c r="J674" s="74">
        <f>IF($C674="","",IF($D674="NO ENCONTRADO",IF(COUNTIF($C$7:$C$1000,$C674)&gt;1,"⚠️ No encontrado | Duplicado","⚠️ No encontrado"),IF(COUNTIF($C$7:$C$1000,$C674)&gt;1,"⚠️ Duplicado","Verificado")))</f>
        <v/>
      </c>
    </row>
    <row r="675" ht="15.75" customHeight="1" s="176">
      <c r="B675" s="80" t="n"/>
      <c r="C675" s="74" t="n"/>
      <c r="D675" s="74">
        <f t="array" ref="D675">IF($C675="","",IFNA(_xlfn.XLOOKUP($C675,Productos!$A:$A,Productos!$E:$E,IFNA(_xlfn.XLOOKUP(TEXT($C675,"0"),Productos!$A:$A,Productos!$E:$E,IFNA(_xlfn.XLOOKUP(IFERROR(VALUE($C675),""),Productos!$A:$A,Productos!$E:$E,_xlfn.XLOOKUP($C675,Productos!$E:$E,Productos!$E:$E,"NO ENCONTRADO")),"NO ENCONTRADO")),"NO ENCONTRADO")),"NO ENCONTRADO"))</f>
        <v/>
      </c>
      <c r="E675" s="74">
        <f t="array" ref="E675">IF(OR($D675="",$D675="NO ENCONTRADO"),"",_xlfn.XLOOKUP($D675,Productos!$E:$E,Productos!$H:$H,""))</f>
        <v/>
      </c>
      <c r="F675" s="74">
        <f t="array" ref="F675">IF(OR($D675="",$D675="NO ENCONTRADO"),"",_xlfn.XLOOKUP($D675,Productos!$E:$E,Productos!$I:$I,""))</f>
        <v/>
      </c>
      <c r="G675" s="74">
        <f t="array" ref="G675">IF(OR($D675="",$D675="NO ENCONTRADO"),"",_xlfn.XLOOKUP($D675,Productos!$E:$E,Productos!$J:$J,""))</f>
        <v/>
      </c>
      <c r="H675" s="74">
        <f t="array" ref="H675">IF(OR($D675="",$D675="NO ENCONTRADO"),"",_xlfn.XLOOKUP($D675,Productos!$E:$E,Productos!$K:$K,""))</f>
        <v/>
      </c>
      <c r="I675" s="74">
        <f t="array" ref="I675">IF(OR($D675="",$D675="NO ENCONTRADO"),"",_xlfn.XLOOKUP($D675,Productos!$E:$E,Productos!$F:$F,""))</f>
        <v/>
      </c>
      <c r="J675" s="74">
        <f>IF($C675="","",IF($D675="NO ENCONTRADO",IF(COUNTIF($C$7:$C$1000,$C675)&gt;1,"⚠️ No encontrado | Duplicado","⚠️ No encontrado"),IF(COUNTIF($C$7:$C$1000,$C675)&gt;1,"⚠️ Duplicado","Verificado")))</f>
        <v/>
      </c>
    </row>
    <row r="676" ht="15.75" customHeight="1" s="176">
      <c r="B676" s="80" t="n"/>
      <c r="C676" s="74" t="n"/>
      <c r="D676" s="74">
        <f t="array" ref="D676">IF($C676="","",IFNA(_xlfn.XLOOKUP($C676,Productos!$A:$A,Productos!$E:$E,IFNA(_xlfn.XLOOKUP(TEXT($C676,"0"),Productos!$A:$A,Productos!$E:$E,IFNA(_xlfn.XLOOKUP(IFERROR(VALUE($C676),""),Productos!$A:$A,Productos!$E:$E,_xlfn.XLOOKUP($C676,Productos!$E:$E,Productos!$E:$E,"NO ENCONTRADO")),"NO ENCONTRADO")),"NO ENCONTRADO")),"NO ENCONTRADO"))</f>
        <v/>
      </c>
      <c r="E676" s="74">
        <f t="array" ref="E676">IF(OR($D676="",$D676="NO ENCONTRADO"),"",_xlfn.XLOOKUP($D676,Productos!$E:$E,Productos!$H:$H,""))</f>
        <v/>
      </c>
      <c r="F676" s="74">
        <f t="array" ref="F676">IF(OR($D676="",$D676="NO ENCONTRADO"),"",_xlfn.XLOOKUP($D676,Productos!$E:$E,Productos!$I:$I,""))</f>
        <v/>
      </c>
      <c r="G676" s="74">
        <f t="array" ref="G676">IF(OR($D676="",$D676="NO ENCONTRADO"),"",_xlfn.XLOOKUP($D676,Productos!$E:$E,Productos!$J:$J,""))</f>
        <v/>
      </c>
      <c r="H676" s="74">
        <f t="array" ref="H676">IF(OR($D676="",$D676="NO ENCONTRADO"),"",_xlfn.XLOOKUP($D676,Productos!$E:$E,Productos!$K:$K,""))</f>
        <v/>
      </c>
      <c r="I676" s="74">
        <f t="array" ref="I676">IF(OR($D676="",$D676="NO ENCONTRADO"),"",_xlfn.XLOOKUP($D676,Productos!$E:$E,Productos!$F:$F,""))</f>
        <v/>
      </c>
      <c r="J676" s="74">
        <f>IF($C676="","",IF($D676="NO ENCONTRADO",IF(COUNTIF($C$7:$C$1000,$C676)&gt;1,"⚠️ No encontrado | Duplicado","⚠️ No encontrado"),IF(COUNTIF($C$7:$C$1000,$C676)&gt;1,"⚠️ Duplicado","Verificado")))</f>
        <v/>
      </c>
    </row>
    <row r="677" ht="15.75" customHeight="1" s="176">
      <c r="B677" s="80" t="n"/>
      <c r="C677" s="74" t="n"/>
      <c r="D677" s="74">
        <f t="array" ref="D677">IF($C677="","",IFNA(_xlfn.XLOOKUP($C677,Productos!$A:$A,Productos!$E:$E,IFNA(_xlfn.XLOOKUP(TEXT($C677,"0"),Productos!$A:$A,Productos!$E:$E,IFNA(_xlfn.XLOOKUP(IFERROR(VALUE($C677),""),Productos!$A:$A,Productos!$E:$E,_xlfn.XLOOKUP($C677,Productos!$E:$E,Productos!$E:$E,"NO ENCONTRADO")),"NO ENCONTRADO")),"NO ENCONTRADO")),"NO ENCONTRADO"))</f>
        <v/>
      </c>
      <c r="E677" s="74">
        <f t="array" ref="E677">IF(OR($D677="",$D677="NO ENCONTRADO"),"",_xlfn.XLOOKUP($D677,Productos!$E:$E,Productos!$H:$H,""))</f>
        <v/>
      </c>
      <c r="F677" s="74">
        <f t="array" ref="F677">IF(OR($D677="",$D677="NO ENCONTRADO"),"",_xlfn.XLOOKUP($D677,Productos!$E:$E,Productos!$I:$I,""))</f>
        <v/>
      </c>
      <c r="G677" s="74">
        <f t="array" ref="G677">IF(OR($D677="",$D677="NO ENCONTRADO"),"",_xlfn.XLOOKUP($D677,Productos!$E:$E,Productos!$J:$J,""))</f>
        <v/>
      </c>
      <c r="H677" s="74">
        <f t="array" ref="H677">IF(OR($D677="",$D677="NO ENCONTRADO"),"",_xlfn.XLOOKUP($D677,Productos!$E:$E,Productos!$K:$K,""))</f>
        <v/>
      </c>
      <c r="I677" s="74">
        <f t="array" ref="I677">IF(OR($D677="",$D677="NO ENCONTRADO"),"",_xlfn.XLOOKUP($D677,Productos!$E:$E,Productos!$F:$F,""))</f>
        <v/>
      </c>
      <c r="J677" s="74">
        <f>IF($C677="","",IF($D677="NO ENCONTRADO",IF(COUNTIF($C$7:$C$1000,$C677)&gt;1,"⚠️ No encontrado | Duplicado","⚠️ No encontrado"),IF(COUNTIF($C$7:$C$1000,$C677)&gt;1,"⚠️ Duplicado","Verificado")))</f>
        <v/>
      </c>
    </row>
    <row r="678" ht="15.75" customHeight="1" s="176">
      <c r="B678" s="80" t="n"/>
      <c r="C678" s="74" t="n"/>
      <c r="D678" s="74">
        <f t="array" ref="D678">IF($C678="","",IFNA(_xlfn.XLOOKUP($C678,Productos!$A:$A,Productos!$E:$E,IFNA(_xlfn.XLOOKUP(TEXT($C678,"0"),Productos!$A:$A,Productos!$E:$E,IFNA(_xlfn.XLOOKUP(IFERROR(VALUE($C678),""),Productos!$A:$A,Productos!$E:$E,_xlfn.XLOOKUP($C678,Productos!$E:$E,Productos!$E:$E,"NO ENCONTRADO")),"NO ENCONTRADO")),"NO ENCONTRADO")),"NO ENCONTRADO"))</f>
        <v/>
      </c>
      <c r="E678" s="74">
        <f t="array" ref="E678">IF(OR($D678="",$D678="NO ENCONTRADO"),"",_xlfn.XLOOKUP($D678,Productos!$E:$E,Productos!$H:$H,""))</f>
        <v/>
      </c>
      <c r="F678" s="74">
        <f t="array" ref="F678">IF(OR($D678="",$D678="NO ENCONTRADO"),"",_xlfn.XLOOKUP($D678,Productos!$E:$E,Productos!$I:$I,""))</f>
        <v/>
      </c>
      <c r="G678" s="74">
        <f t="array" ref="G678">IF(OR($D678="",$D678="NO ENCONTRADO"),"",_xlfn.XLOOKUP($D678,Productos!$E:$E,Productos!$J:$J,""))</f>
        <v/>
      </c>
      <c r="H678" s="74">
        <f t="array" ref="H678">IF(OR($D678="",$D678="NO ENCONTRADO"),"",_xlfn.XLOOKUP($D678,Productos!$E:$E,Productos!$K:$K,""))</f>
        <v/>
      </c>
      <c r="I678" s="74">
        <f t="array" ref="I678">IF(OR($D678="",$D678="NO ENCONTRADO"),"",_xlfn.XLOOKUP($D678,Productos!$E:$E,Productos!$F:$F,""))</f>
        <v/>
      </c>
      <c r="J678" s="74">
        <f>IF($C678="","",IF($D678="NO ENCONTRADO",IF(COUNTIF($C$7:$C$1000,$C678)&gt;1,"⚠️ No encontrado | Duplicado","⚠️ No encontrado"),IF(COUNTIF($C$7:$C$1000,$C678)&gt;1,"⚠️ Duplicado","Verificado")))</f>
        <v/>
      </c>
    </row>
    <row r="679" ht="15.75" customHeight="1" s="176">
      <c r="B679" s="80" t="n"/>
      <c r="C679" s="74" t="n"/>
      <c r="D679" s="74">
        <f t="array" ref="D679">IF($C679="","",IFNA(_xlfn.XLOOKUP($C679,Productos!$A:$A,Productos!$E:$E,IFNA(_xlfn.XLOOKUP(TEXT($C679,"0"),Productos!$A:$A,Productos!$E:$E,IFNA(_xlfn.XLOOKUP(IFERROR(VALUE($C679),""),Productos!$A:$A,Productos!$E:$E,_xlfn.XLOOKUP($C679,Productos!$E:$E,Productos!$E:$E,"NO ENCONTRADO")),"NO ENCONTRADO")),"NO ENCONTRADO")),"NO ENCONTRADO"))</f>
        <v/>
      </c>
      <c r="E679" s="74">
        <f t="array" ref="E679">IF(OR($D679="",$D679="NO ENCONTRADO"),"",_xlfn.XLOOKUP($D679,Productos!$E:$E,Productos!$H:$H,""))</f>
        <v/>
      </c>
      <c r="F679" s="74">
        <f t="array" ref="F679">IF(OR($D679="",$D679="NO ENCONTRADO"),"",_xlfn.XLOOKUP($D679,Productos!$E:$E,Productos!$I:$I,""))</f>
        <v/>
      </c>
      <c r="G679" s="74">
        <f t="array" ref="G679">IF(OR($D679="",$D679="NO ENCONTRADO"),"",_xlfn.XLOOKUP($D679,Productos!$E:$E,Productos!$J:$J,""))</f>
        <v/>
      </c>
      <c r="H679" s="74">
        <f t="array" ref="H679">IF(OR($D679="",$D679="NO ENCONTRADO"),"",_xlfn.XLOOKUP($D679,Productos!$E:$E,Productos!$K:$K,""))</f>
        <v/>
      </c>
      <c r="I679" s="74">
        <f t="array" ref="I679">IF(OR($D679="",$D679="NO ENCONTRADO"),"",_xlfn.XLOOKUP($D679,Productos!$E:$E,Productos!$F:$F,""))</f>
        <v/>
      </c>
      <c r="J679" s="74">
        <f>IF($C679="","",IF($D679="NO ENCONTRADO",IF(COUNTIF($C$7:$C$1000,$C679)&gt;1,"⚠️ No encontrado | Duplicado","⚠️ No encontrado"),IF(COUNTIF($C$7:$C$1000,$C679)&gt;1,"⚠️ Duplicado","Verificado")))</f>
        <v/>
      </c>
    </row>
    <row r="680" ht="15.75" customHeight="1" s="176">
      <c r="B680" s="80" t="n"/>
      <c r="C680" s="74" t="n"/>
      <c r="D680" s="74">
        <f t="array" ref="D680">IF($C680="","",IFNA(_xlfn.XLOOKUP($C680,Productos!$A:$A,Productos!$E:$E,IFNA(_xlfn.XLOOKUP(TEXT($C680,"0"),Productos!$A:$A,Productos!$E:$E,IFNA(_xlfn.XLOOKUP(IFERROR(VALUE($C680),""),Productos!$A:$A,Productos!$E:$E,_xlfn.XLOOKUP($C680,Productos!$E:$E,Productos!$E:$E,"NO ENCONTRADO")),"NO ENCONTRADO")),"NO ENCONTRADO")),"NO ENCONTRADO"))</f>
        <v/>
      </c>
      <c r="E680" s="74">
        <f t="array" ref="E680">IF(OR($D680="",$D680="NO ENCONTRADO"),"",_xlfn.XLOOKUP($D680,Productos!$E:$E,Productos!$H:$H,""))</f>
        <v/>
      </c>
      <c r="F680" s="74">
        <f t="array" ref="F680">IF(OR($D680="",$D680="NO ENCONTRADO"),"",_xlfn.XLOOKUP($D680,Productos!$E:$E,Productos!$I:$I,""))</f>
        <v/>
      </c>
      <c r="G680" s="74">
        <f t="array" ref="G680">IF(OR($D680="",$D680="NO ENCONTRADO"),"",_xlfn.XLOOKUP($D680,Productos!$E:$E,Productos!$J:$J,""))</f>
        <v/>
      </c>
      <c r="H680" s="74">
        <f t="array" ref="H680">IF(OR($D680="",$D680="NO ENCONTRADO"),"",_xlfn.XLOOKUP($D680,Productos!$E:$E,Productos!$K:$K,""))</f>
        <v/>
      </c>
      <c r="I680" s="74">
        <f t="array" ref="I680">IF(OR($D680="",$D680="NO ENCONTRADO"),"",_xlfn.XLOOKUP($D680,Productos!$E:$E,Productos!$F:$F,""))</f>
        <v/>
      </c>
      <c r="J680" s="74">
        <f>IF($C680="","",IF($D680="NO ENCONTRADO",IF(COUNTIF($C$7:$C$1000,$C680)&gt;1,"⚠️ No encontrado | Duplicado","⚠️ No encontrado"),IF(COUNTIF($C$7:$C$1000,$C680)&gt;1,"⚠️ Duplicado","Verificado")))</f>
        <v/>
      </c>
    </row>
    <row r="681" ht="15.75" customHeight="1" s="176">
      <c r="B681" s="80" t="n"/>
      <c r="C681" s="74" t="n"/>
      <c r="D681" s="74">
        <f t="array" ref="D681">IF($C681="","",IFNA(_xlfn.XLOOKUP($C681,Productos!$A:$A,Productos!$E:$E,IFNA(_xlfn.XLOOKUP(TEXT($C681,"0"),Productos!$A:$A,Productos!$E:$E,IFNA(_xlfn.XLOOKUP(IFERROR(VALUE($C681),""),Productos!$A:$A,Productos!$E:$E,_xlfn.XLOOKUP($C681,Productos!$E:$E,Productos!$E:$E,"NO ENCONTRADO")),"NO ENCONTRADO")),"NO ENCONTRADO")),"NO ENCONTRADO"))</f>
        <v/>
      </c>
      <c r="E681" s="74">
        <f t="array" ref="E681">IF(OR($D681="",$D681="NO ENCONTRADO"),"",_xlfn.XLOOKUP($D681,Productos!$E:$E,Productos!$H:$H,""))</f>
        <v/>
      </c>
      <c r="F681" s="74">
        <f t="array" ref="F681">IF(OR($D681="",$D681="NO ENCONTRADO"),"",_xlfn.XLOOKUP($D681,Productos!$E:$E,Productos!$I:$I,""))</f>
        <v/>
      </c>
      <c r="G681" s="74">
        <f t="array" ref="G681">IF(OR($D681="",$D681="NO ENCONTRADO"),"",_xlfn.XLOOKUP($D681,Productos!$E:$E,Productos!$J:$J,""))</f>
        <v/>
      </c>
      <c r="H681" s="74">
        <f t="array" ref="H681">IF(OR($D681="",$D681="NO ENCONTRADO"),"",_xlfn.XLOOKUP($D681,Productos!$E:$E,Productos!$K:$K,""))</f>
        <v/>
      </c>
      <c r="I681" s="74">
        <f t="array" ref="I681">IF(OR($D681="",$D681="NO ENCONTRADO"),"",_xlfn.XLOOKUP($D681,Productos!$E:$E,Productos!$F:$F,""))</f>
        <v/>
      </c>
      <c r="J681" s="74">
        <f>IF($C681="","",IF($D681="NO ENCONTRADO",IF(COUNTIF($C$7:$C$1000,$C681)&gt;1,"⚠️ No encontrado | Duplicado","⚠️ No encontrado"),IF(COUNTIF($C$7:$C$1000,$C681)&gt;1,"⚠️ Duplicado","Verificado")))</f>
        <v/>
      </c>
    </row>
    <row r="682" ht="15.75" customHeight="1" s="176">
      <c r="B682" s="80" t="n"/>
      <c r="C682" s="74" t="n"/>
      <c r="D682" s="74">
        <f t="array" ref="D682">IF($C682="","",IFNA(_xlfn.XLOOKUP($C682,Productos!$A:$A,Productos!$E:$E,IFNA(_xlfn.XLOOKUP(TEXT($C682,"0"),Productos!$A:$A,Productos!$E:$E,IFNA(_xlfn.XLOOKUP(IFERROR(VALUE($C682),""),Productos!$A:$A,Productos!$E:$E,_xlfn.XLOOKUP($C682,Productos!$E:$E,Productos!$E:$E,"NO ENCONTRADO")),"NO ENCONTRADO")),"NO ENCONTRADO")),"NO ENCONTRADO"))</f>
        <v/>
      </c>
      <c r="E682" s="74">
        <f t="array" ref="E682">IF(OR($D682="",$D682="NO ENCONTRADO"),"",_xlfn.XLOOKUP($D682,Productos!$E:$E,Productos!$H:$H,""))</f>
        <v/>
      </c>
      <c r="F682" s="74">
        <f t="array" ref="F682">IF(OR($D682="",$D682="NO ENCONTRADO"),"",_xlfn.XLOOKUP($D682,Productos!$E:$E,Productos!$I:$I,""))</f>
        <v/>
      </c>
      <c r="G682" s="74">
        <f t="array" ref="G682">IF(OR($D682="",$D682="NO ENCONTRADO"),"",_xlfn.XLOOKUP($D682,Productos!$E:$E,Productos!$J:$J,""))</f>
        <v/>
      </c>
      <c r="H682" s="74">
        <f t="array" ref="H682">IF(OR($D682="",$D682="NO ENCONTRADO"),"",_xlfn.XLOOKUP($D682,Productos!$E:$E,Productos!$K:$K,""))</f>
        <v/>
      </c>
      <c r="I682" s="74">
        <f t="array" ref="I682">IF(OR($D682="",$D682="NO ENCONTRADO"),"",_xlfn.XLOOKUP($D682,Productos!$E:$E,Productos!$F:$F,""))</f>
        <v/>
      </c>
      <c r="J682" s="74">
        <f>IF($C682="","",IF($D682="NO ENCONTRADO",IF(COUNTIF($C$7:$C$1000,$C682)&gt;1,"⚠️ No encontrado | Duplicado","⚠️ No encontrado"),IF(COUNTIF($C$7:$C$1000,$C682)&gt;1,"⚠️ Duplicado","Verificado")))</f>
        <v/>
      </c>
    </row>
    <row r="683" ht="15.75" customHeight="1" s="176">
      <c r="B683" s="80" t="n"/>
      <c r="C683" s="74" t="n"/>
      <c r="D683" s="74">
        <f t="array" ref="D683">IF($C683="","",IFNA(_xlfn.XLOOKUP($C683,Productos!$A:$A,Productos!$E:$E,IFNA(_xlfn.XLOOKUP(TEXT($C683,"0"),Productos!$A:$A,Productos!$E:$E,IFNA(_xlfn.XLOOKUP(IFERROR(VALUE($C683),""),Productos!$A:$A,Productos!$E:$E,_xlfn.XLOOKUP($C683,Productos!$E:$E,Productos!$E:$E,"NO ENCONTRADO")),"NO ENCONTRADO")),"NO ENCONTRADO")),"NO ENCONTRADO"))</f>
        <v/>
      </c>
      <c r="E683" s="74">
        <f t="array" ref="E683">IF(OR($D683="",$D683="NO ENCONTRADO"),"",_xlfn.XLOOKUP($D683,Productos!$E:$E,Productos!$H:$H,""))</f>
        <v/>
      </c>
      <c r="F683" s="74">
        <f t="array" ref="F683">IF(OR($D683="",$D683="NO ENCONTRADO"),"",_xlfn.XLOOKUP($D683,Productos!$E:$E,Productos!$I:$I,""))</f>
        <v/>
      </c>
      <c r="G683" s="74">
        <f t="array" ref="G683">IF(OR($D683="",$D683="NO ENCONTRADO"),"",_xlfn.XLOOKUP($D683,Productos!$E:$E,Productos!$J:$J,""))</f>
        <v/>
      </c>
      <c r="H683" s="74">
        <f t="array" ref="H683">IF(OR($D683="",$D683="NO ENCONTRADO"),"",_xlfn.XLOOKUP($D683,Productos!$E:$E,Productos!$K:$K,""))</f>
        <v/>
      </c>
      <c r="I683" s="74">
        <f t="array" ref="I683">IF(OR($D683="",$D683="NO ENCONTRADO"),"",_xlfn.XLOOKUP($D683,Productos!$E:$E,Productos!$F:$F,""))</f>
        <v/>
      </c>
      <c r="J683" s="74">
        <f>IF($C683="","",IF($D683="NO ENCONTRADO",IF(COUNTIF($C$7:$C$1000,$C683)&gt;1,"⚠️ No encontrado | Duplicado","⚠️ No encontrado"),IF(COUNTIF($C$7:$C$1000,$C683)&gt;1,"⚠️ Duplicado","Verificado")))</f>
        <v/>
      </c>
    </row>
    <row r="684" ht="15.75" customHeight="1" s="176">
      <c r="B684" s="80" t="n"/>
      <c r="C684" s="74" t="n"/>
      <c r="D684" s="74">
        <f t="array" ref="D684">IF($C684="","",IFNA(_xlfn.XLOOKUP($C684,Productos!$A:$A,Productos!$E:$E,IFNA(_xlfn.XLOOKUP(TEXT($C684,"0"),Productos!$A:$A,Productos!$E:$E,IFNA(_xlfn.XLOOKUP(IFERROR(VALUE($C684),""),Productos!$A:$A,Productos!$E:$E,_xlfn.XLOOKUP($C684,Productos!$E:$E,Productos!$E:$E,"NO ENCONTRADO")),"NO ENCONTRADO")),"NO ENCONTRADO")),"NO ENCONTRADO"))</f>
        <v/>
      </c>
      <c r="E684" s="74">
        <f t="array" ref="E684">IF(OR($D684="",$D684="NO ENCONTRADO"),"",_xlfn.XLOOKUP($D684,Productos!$E:$E,Productos!$H:$H,""))</f>
        <v/>
      </c>
      <c r="F684" s="74">
        <f t="array" ref="F684">IF(OR($D684="",$D684="NO ENCONTRADO"),"",_xlfn.XLOOKUP($D684,Productos!$E:$E,Productos!$I:$I,""))</f>
        <v/>
      </c>
      <c r="G684" s="74">
        <f t="array" ref="G684">IF(OR($D684="",$D684="NO ENCONTRADO"),"",_xlfn.XLOOKUP($D684,Productos!$E:$E,Productos!$J:$J,""))</f>
        <v/>
      </c>
      <c r="H684" s="74">
        <f t="array" ref="H684">IF(OR($D684="",$D684="NO ENCONTRADO"),"",_xlfn.XLOOKUP($D684,Productos!$E:$E,Productos!$K:$K,""))</f>
        <v/>
      </c>
      <c r="I684" s="74">
        <f t="array" ref="I684">IF(OR($D684="",$D684="NO ENCONTRADO"),"",_xlfn.XLOOKUP($D684,Productos!$E:$E,Productos!$F:$F,""))</f>
        <v/>
      </c>
      <c r="J684" s="74">
        <f>IF($C684="","",IF($D684="NO ENCONTRADO",IF(COUNTIF($C$7:$C$1000,$C684)&gt;1,"⚠️ No encontrado | Duplicado","⚠️ No encontrado"),IF(COUNTIF($C$7:$C$1000,$C684)&gt;1,"⚠️ Duplicado","Verificado")))</f>
        <v/>
      </c>
    </row>
    <row r="685" ht="15.75" customHeight="1" s="176">
      <c r="B685" s="80" t="n"/>
      <c r="C685" s="74" t="n"/>
      <c r="D685" s="74">
        <f t="array" ref="D685">IF($C685="","",IFNA(_xlfn.XLOOKUP($C685,Productos!$A:$A,Productos!$E:$E,IFNA(_xlfn.XLOOKUP(TEXT($C685,"0"),Productos!$A:$A,Productos!$E:$E,IFNA(_xlfn.XLOOKUP(IFERROR(VALUE($C685),""),Productos!$A:$A,Productos!$E:$E,_xlfn.XLOOKUP($C685,Productos!$E:$E,Productos!$E:$E,"NO ENCONTRADO")),"NO ENCONTRADO")),"NO ENCONTRADO")),"NO ENCONTRADO"))</f>
        <v/>
      </c>
      <c r="E685" s="74">
        <f t="array" ref="E685">IF(OR($D685="",$D685="NO ENCONTRADO"),"",_xlfn.XLOOKUP($D685,Productos!$E:$E,Productos!$H:$H,""))</f>
        <v/>
      </c>
      <c r="F685" s="74">
        <f t="array" ref="F685">IF(OR($D685="",$D685="NO ENCONTRADO"),"",_xlfn.XLOOKUP($D685,Productos!$E:$E,Productos!$I:$I,""))</f>
        <v/>
      </c>
      <c r="G685" s="74">
        <f t="array" ref="G685">IF(OR($D685="",$D685="NO ENCONTRADO"),"",_xlfn.XLOOKUP($D685,Productos!$E:$E,Productos!$J:$J,""))</f>
        <v/>
      </c>
      <c r="H685" s="74">
        <f t="array" ref="H685">IF(OR($D685="",$D685="NO ENCONTRADO"),"",_xlfn.XLOOKUP($D685,Productos!$E:$E,Productos!$K:$K,""))</f>
        <v/>
      </c>
      <c r="I685" s="74">
        <f t="array" ref="I685">IF(OR($D685="",$D685="NO ENCONTRADO"),"",_xlfn.XLOOKUP($D685,Productos!$E:$E,Productos!$F:$F,""))</f>
        <v/>
      </c>
      <c r="J685" s="74">
        <f>IF($C685="","",IF($D685="NO ENCONTRADO",IF(COUNTIF($C$7:$C$1000,$C685)&gt;1,"⚠️ No encontrado | Duplicado","⚠️ No encontrado"),IF(COUNTIF($C$7:$C$1000,$C685)&gt;1,"⚠️ Duplicado","Verificado")))</f>
        <v/>
      </c>
    </row>
    <row r="686" ht="15.75" customHeight="1" s="176">
      <c r="B686" s="80" t="n"/>
      <c r="C686" s="74" t="n"/>
      <c r="D686" s="74">
        <f t="array" ref="D686">IF($C686="","",IFNA(_xlfn.XLOOKUP($C686,Productos!$A:$A,Productos!$E:$E,IFNA(_xlfn.XLOOKUP(TEXT($C686,"0"),Productos!$A:$A,Productos!$E:$E,IFNA(_xlfn.XLOOKUP(IFERROR(VALUE($C686),""),Productos!$A:$A,Productos!$E:$E,_xlfn.XLOOKUP($C686,Productos!$E:$E,Productos!$E:$E,"NO ENCONTRADO")),"NO ENCONTRADO")),"NO ENCONTRADO")),"NO ENCONTRADO"))</f>
        <v/>
      </c>
      <c r="E686" s="74">
        <f t="array" ref="E686">IF(OR($D686="",$D686="NO ENCONTRADO"),"",_xlfn.XLOOKUP($D686,Productos!$E:$E,Productos!$H:$H,""))</f>
        <v/>
      </c>
      <c r="F686" s="74">
        <f t="array" ref="F686">IF(OR($D686="",$D686="NO ENCONTRADO"),"",_xlfn.XLOOKUP($D686,Productos!$E:$E,Productos!$I:$I,""))</f>
        <v/>
      </c>
      <c r="G686" s="74">
        <f t="array" ref="G686">IF(OR($D686="",$D686="NO ENCONTRADO"),"",_xlfn.XLOOKUP($D686,Productos!$E:$E,Productos!$J:$J,""))</f>
        <v/>
      </c>
      <c r="H686" s="74">
        <f t="array" ref="H686">IF(OR($D686="",$D686="NO ENCONTRADO"),"",_xlfn.XLOOKUP($D686,Productos!$E:$E,Productos!$K:$K,""))</f>
        <v/>
      </c>
      <c r="I686" s="74">
        <f t="array" ref="I686">IF(OR($D686="",$D686="NO ENCONTRADO"),"",_xlfn.XLOOKUP($D686,Productos!$E:$E,Productos!$F:$F,""))</f>
        <v/>
      </c>
      <c r="J686" s="74">
        <f>IF($C686="","",IF($D686="NO ENCONTRADO",IF(COUNTIF($C$7:$C$1000,$C686)&gt;1,"⚠️ No encontrado | Duplicado","⚠️ No encontrado"),IF(COUNTIF($C$7:$C$1000,$C686)&gt;1,"⚠️ Duplicado","Verificado")))</f>
        <v/>
      </c>
    </row>
    <row r="687" ht="15.75" customHeight="1" s="176">
      <c r="B687" s="80" t="n"/>
      <c r="C687" s="74" t="n"/>
      <c r="D687" s="74">
        <f t="array" ref="D687">IF($C687="","",IFNA(_xlfn.XLOOKUP($C687,Productos!$A:$A,Productos!$E:$E,IFNA(_xlfn.XLOOKUP(TEXT($C687,"0"),Productos!$A:$A,Productos!$E:$E,IFNA(_xlfn.XLOOKUP(IFERROR(VALUE($C687),""),Productos!$A:$A,Productos!$E:$E,_xlfn.XLOOKUP($C687,Productos!$E:$E,Productos!$E:$E,"NO ENCONTRADO")),"NO ENCONTRADO")),"NO ENCONTRADO")),"NO ENCONTRADO"))</f>
        <v/>
      </c>
      <c r="E687" s="74">
        <f t="array" ref="E687">IF(OR($D687="",$D687="NO ENCONTRADO"),"",_xlfn.XLOOKUP($D687,Productos!$E:$E,Productos!$H:$H,""))</f>
        <v/>
      </c>
      <c r="F687" s="74">
        <f t="array" ref="F687">IF(OR($D687="",$D687="NO ENCONTRADO"),"",_xlfn.XLOOKUP($D687,Productos!$E:$E,Productos!$I:$I,""))</f>
        <v/>
      </c>
      <c r="G687" s="74">
        <f t="array" ref="G687">IF(OR($D687="",$D687="NO ENCONTRADO"),"",_xlfn.XLOOKUP($D687,Productos!$E:$E,Productos!$J:$J,""))</f>
        <v/>
      </c>
      <c r="H687" s="74">
        <f t="array" ref="H687">IF(OR($D687="",$D687="NO ENCONTRADO"),"",_xlfn.XLOOKUP($D687,Productos!$E:$E,Productos!$K:$K,""))</f>
        <v/>
      </c>
      <c r="I687" s="74">
        <f t="array" ref="I687">IF(OR($D687="",$D687="NO ENCONTRADO"),"",_xlfn.XLOOKUP($D687,Productos!$E:$E,Productos!$F:$F,""))</f>
        <v/>
      </c>
      <c r="J687" s="74">
        <f>IF($C687="","",IF($D687="NO ENCONTRADO",IF(COUNTIF($C$7:$C$1000,$C687)&gt;1,"⚠️ No encontrado | Duplicado","⚠️ No encontrado"),IF(COUNTIF($C$7:$C$1000,$C687)&gt;1,"⚠️ Duplicado","Verificado")))</f>
        <v/>
      </c>
    </row>
    <row r="688" ht="15.75" customHeight="1" s="176">
      <c r="B688" s="80" t="n"/>
      <c r="C688" s="74" t="n"/>
      <c r="D688" s="74">
        <f t="array" ref="D688">IF($C688="","",IFNA(_xlfn.XLOOKUP($C688,Productos!$A:$A,Productos!$E:$E,IFNA(_xlfn.XLOOKUP(TEXT($C688,"0"),Productos!$A:$A,Productos!$E:$E,IFNA(_xlfn.XLOOKUP(IFERROR(VALUE($C688),""),Productos!$A:$A,Productos!$E:$E,_xlfn.XLOOKUP($C688,Productos!$E:$E,Productos!$E:$E,"NO ENCONTRADO")),"NO ENCONTRADO")),"NO ENCONTRADO")),"NO ENCONTRADO"))</f>
        <v/>
      </c>
      <c r="E688" s="74">
        <f t="array" ref="E688">IF(OR($D688="",$D688="NO ENCONTRADO"),"",_xlfn.XLOOKUP($D688,Productos!$E:$E,Productos!$H:$H,""))</f>
        <v/>
      </c>
      <c r="F688" s="74">
        <f t="array" ref="F688">IF(OR($D688="",$D688="NO ENCONTRADO"),"",_xlfn.XLOOKUP($D688,Productos!$E:$E,Productos!$I:$I,""))</f>
        <v/>
      </c>
      <c r="G688" s="74">
        <f t="array" ref="G688">IF(OR($D688="",$D688="NO ENCONTRADO"),"",_xlfn.XLOOKUP($D688,Productos!$E:$E,Productos!$J:$J,""))</f>
        <v/>
      </c>
      <c r="H688" s="74">
        <f t="array" ref="H688">IF(OR($D688="",$D688="NO ENCONTRADO"),"",_xlfn.XLOOKUP($D688,Productos!$E:$E,Productos!$K:$K,""))</f>
        <v/>
      </c>
      <c r="I688" s="74">
        <f t="array" ref="I688">IF(OR($D688="",$D688="NO ENCONTRADO"),"",_xlfn.XLOOKUP($D688,Productos!$E:$E,Productos!$F:$F,""))</f>
        <v/>
      </c>
      <c r="J688" s="74">
        <f>IF($C688="","",IF($D688="NO ENCONTRADO",IF(COUNTIF($C$7:$C$1000,$C688)&gt;1,"⚠️ No encontrado | Duplicado","⚠️ No encontrado"),IF(COUNTIF($C$7:$C$1000,$C688)&gt;1,"⚠️ Duplicado","Verificado")))</f>
        <v/>
      </c>
    </row>
    <row r="689" ht="15.75" customHeight="1" s="176">
      <c r="B689" s="80" t="n"/>
      <c r="C689" s="74" t="n"/>
      <c r="D689" s="74">
        <f t="array" ref="D689">IF($C689="","",IFNA(_xlfn.XLOOKUP($C689,Productos!$A:$A,Productos!$E:$E,IFNA(_xlfn.XLOOKUP(TEXT($C689,"0"),Productos!$A:$A,Productos!$E:$E,IFNA(_xlfn.XLOOKUP(IFERROR(VALUE($C689),""),Productos!$A:$A,Productos!$E:$E,_xlfn.XLOOKUP($C689,Productos!$E:$E,Productos!$E:$E,"NO ENCONTRADO")),"NO ENCONTRADO")),"NO ENCONTRADO")),"NO ENCONTRADO"))</f>
        <v/>
      </c>
      <c r="E689" s="74">
        <f t="array" ref="E689">IF(OR($D689="",$D689="NO ENCONTRADO"),"",_xlfn.XLOOKUP($D689,Productos!$E:$E,Productos!$H:$H,""))</f>
        <v/>
      </c>
      <c r="F689" s="74">
        <f t="array" ref="F689">IF(OR($D689="",$D689="NO ENCONTRADO"),"",_xlfn.XLOOKUP($D689,Productos!$E:$E,Productos!$I:$I,""))</f>
        <v/>
      </c>
      <c r="G689" s="74">
        <f t="array" ref="G689">IF(OR($D689="",$D689="NO ENCONTRADO"),"",_xlfn.XLOOKUP($D689,Productos!$E:$E,Productos!$J:$J,""))</f>
        <v/>
      </c>
      <c r="H689" s="74">
        <f t="array" ref="H689">IF(OR($D689="",$D689="NO ENCONTRADO"),"",_xlfn.XLOOKUP($D689,Productos!$E:$E,Productos!$K:$K,""))</f>
        <v/>
      </c>
      <c r="I689" s="74">
        <f t="array" ref="I689">IF(OR($D689="",$D689="NO ENCONTRADO"),"",_xlfn.XLOOKUP($D689,Productos!$E:$E,Productos!$F:$F,""))</f>
        <v/>
      </c>
      <c r="J689" s="74">
        <f>IF($C689="","",IF($D689="NO ENCONTRADO",IF(COUNTIF($C$7:$C$1000,$C689)&gt;1,"⚠️ No encontrado | Duplicado","⚠️ No encontrado"),IF(COUNTIF($C$7:$C$1000,$C689)&gt;1,"⚠️ Duplicado","Verificado")))</f>
        <v/>
      </c>
    </row>
    <row r="690" ht="15.75" customHeight="1" s="176">
      <c r="B690" s="80" t="n"/>
      <c r="C690" s="74" t="n"/>
      <c r="D690" s="74">
        <f t="array" ref="D690">IF($C690="","",IFNA(_xlfn.XLOOKUP($C690,Productos!$A:$A,Productos!$E:$E,IFNA(_xlfn.XLOOKUP(TEXT($C690,"0"),Productos!$A:$A,Productos!$E:$E,IFNA(_xlfn.XLOOKUP(IFERROR(VALUE($C690),""),Productos!$A:$A,Productos!$E:$E,_xlfn.XLOOKUP($C690,Productos!$E:$E,Productos!$E:$E,"NO ENCONTRADO")),"NO ENCONTRADO")),"NO ENCONTRADO")),"NO ENCONTRADO"))</f>
        <v/>
      </c>
      <c r="E690" s="74">
        <f t="array" ref="E690">IF(OR($D690="",$D690="NO ENCONTRADO"),"",_xlfn.XLOOKUP($D690,Productos!$E:$E,Productos!$H:$H,""))</f>
        <v/>
      </c>
      <c r="F690" s="74">
        <f t="array" ref="F690">IF(OR($D690="",$D690="NO ENCONTRADO"),"",_xlfn.XLOOKUP($D690,Productos!$E:$E,Productos!$I:$I,""))</f>
        <v/>
      </c>
      <c r="G690" s="74">
        <f t="array" ref="G690">IF(OR($D690="",$D690="NO ENCONTRADO"),"",_xlfn.XLOOKUP($D690,Productos!$E:$E,Productos!$J:$J,""))</f>
        <v/>
      </c>
      <c r="H690" s="74">
        <f t="array" ref="H690">IF(OR($D690="",$D690="NO ENCONTRADO"),"",_xlfn.XLOOKUP($D690,Productos!$E:$E,Productos!$K:$K,""))</f>
        <v/>
      </c>
      <c r="I690" s="74">
        <f t="array" ref="I690">IF(OR($D690="",$D690="NO ENCONTRADO"),"",_xlfn.XLOOKUP($D690,Productos!$E:$E,Productos!$F:$F,""))</f>
        <v/>
      </c>
      <c r="J690" s="74">
        <f>IF($C690="","",IF($D690="NO ENCONTRADO",IF(COUNTIF($C$7:$C$1000,$C690)&gt;1,"⚠️ No encontrado | Duplicado","⚠️ No encontrado"),IF(COUNTIF($C$7:$C$1000,$C690)&gt;1,"⚠️ Duplicado","Verificado")))</f>
        <v/>
      </c>
    </row>
    <row r="691" ht="15.75" customHeight="1" s="176">
      <c r="B691" s="80" t="n"/>
      <c r="C691" s="74" t="n"/>
      <c r="D691" s="74">
        <f t="array" ref="D691">IF($C691="","",IFNA(_xlfn.XLOOKUP($C691,Productos!$A:$A,Productos!$E:$E,IFNA(_xlfn.XLOOKUP(TEXT($C691,"0"),Productos!$A:$A,Productos!$E:$E,IFNA(_xlfn.XLOOKUP(IFERROR(VALUE($C691),""),Productos!$A:$A,Productos!$E:$E,_xlfn.XLOOKUP($C691,Productos!$E:$E,Productos!$E:$E,"NO ENCONTRADO")),"NO ENCONTRADO")),"NO ENCONTRADO")),"NO ENCONTRADO"))</f>
        <v/>
      </c>
      <c r="E691" s="74">
        <f t="array" ref="E691">IF(OR($D691="",$D691="NO ENCONTRADO"),"",_xlfn.XLOOKUP($D691,Productos!$E:$E,Productos!$H:$H,""))</f>
        <v/>
      </c>
      <c r="F691" s="74">
        <f t="array" ref="F691">IF(OR($D691="",$D691="NO ENCONTRADO"),"",_xlfn.XLOOKUP($D691,Productos!$E:$E,Productos!$I:$I,""))</f>
        <v/>
      </c>
      <c r="G691" s="74">
        <f t="array" ref="G691">IF(OR($D691="",$D691="NO ENCONTRADO"),"",_xlfn.XLOOKUP($D691,Productos!$E:$E,Productos!$J:$J,""))</f>
        <v/>
      </c>
      <c r="H691" s="74">
        <f t="array" ref="H691">IF(OR($D691="",$D691="NO ENCONTRADO"),"",_xlfn.XLOOKUP($D691,Productos!$E:$E,Productos!$K:$K,""))</f>
        <v/>
      </c>
      <c r="I691" s="74">
        <f t="array" ref="I691">IF(OR($D691="",$D691="NO ENCONTRADO"),"",_xlfn.XLOOKUP($D691,Productos!$E:$E,Productos!$F:$F,""))</f>
        <v/>
      </c>
      <c r="J691" s="74">
        <f>IF($C691="","",IF($D691="NO ENCONTRADO",IF(COUNTIF($C$7:$C$1000,$C691)&gt;1,"⚠️ No encontrado | Duplicado","⚠️ No encontrado"),IF(COUNTIF($C$7:$C$1000,$C691)&gt;1,"⚠️ Duplicado","Verificado")))</f>
        <v/>
      </c>
    </row>
    <row r="692" ht="15.75" customHeight="1" s="176">
      <c r="B692" s="80" t="n"/>
      <c r="C692" s="74" t="n"/>
      <c r="D692" s="74">
        <f t="array" ref="D692">IF($C692="","",IFNA(_xlfn.XLOOKUP($C692,Productos!$A:$A,Productos!$E:$E,IFNA(_xlfn.XLOOKUP(TEXT($C692,"0"),Productos!$A:$A,Productos!$E:$E,IFNA(_xlfn.XLOOKUP(IFERROR(VALUE($C692),""),Productos!$A:$A,Productos!$E:$E,_xlfn.XLOOKUP($C692,Productos!$E:$E,Productos!$E:$E,"NO ENCONTRADO")),"NO ENCONTRADO")),"NO ENCONTRADO")),"NO ENCONTRADO"))</f>
        <v/>
      </c>
      <c r="E692" s="74">
        <f t="array" ref="E692">IF(OR($D692="",$D692="NO ENCONTRADO"),"",_xlfn.XLOOKUP($D692,Productos!$E:$E,Productos!$H:$H,""))</f>
        <v/>
      </c>
      <c r="F692" s="74">
        <f t="array" ref="F692">IF(OR($D692="",$D692="NO ENCONTRADO"),"",_xlfn.XLOOKUP($D692,Productos!$E:$E,Productos!$I:$I,""))</f>
        <v/>
      </c>
      <c r="G692" s="74">
        <f t="array" ref="G692">IF(OR($D692="",$D692="NO ENCONTRADO"),"",_xlfn.XLOOKUP($D692,Productos!$E:$E,Productos!$J:$J,""))</f>
        <v/>
      </c>
      <c r="H692" s="74">
        <f t="array" ref="H692">IF(OR($D692="",$D692="NO ENCONTRADO"),"",_xlfn.XLOOKUP($D692,Productos!$E:$E,Productos!$K:$K,""))</f>
        <v/>
      </c>
      <c r="I692" s="74">
        <f t="array" ref="I692">IF(OR($D692="",$D692="NO ENCONTRADO"),"",_xlfn.XLOOKUP($D692,Productos!$E:$E,Productos!$F:$F,""))</f>
        <v/>
      </c>
      <c r="J692" s="74">
        <f>IF($C692="","",IF($D692="NO ENCONTRADO",IF(COUNTIF($C$7:$C$1000,$C692)&gt;1,"⚠️ No encontrado | Duplicado","⚠️ No encontrado"),IF(COUNTIF($C$7:$C$1000,$C692)&gt;1,"⚠️ Duplicado","Verificado")))</f>
        <v/>
      </c>
    </row>
    <row r="693" ht="15.75" customHeight="1" s="176">
      <c r="B693" s="80" t="n"/>
      <c r="C693" s="74" t="n"/>
      <c r="D693" s="74">
        <f t="array" ref="D693">IF($C693="","",IFNA(_xlfn.XLOOKUP($C693,Productos!$A:$A,Productos!$E:$E,IFNA(_xlfn.XLOOKUP(TEXT($C693,"0"),Productos!$A:$A,Productos!$E:$E,IFNA(_xlfn.XLOOKUP(IFERROR(VALUE($C693),""),Productos!$A:$A,Productos!$E:$E,_xlfn.XLOOKUP($C693,Productos!$E:$E,Productos!$E:$E,"NO ENCONTRADO")),"NO ENCONTRADO")),"NO ENCONTRADO")),"NO ENCONTRADO"))</f>
        <v/>
      </c>
      <c r="E693" s="74">
        <f t="array" ref="E693">IF(OR($D693="",$D693="NO ENCONTRADO"),"",_xlfn.XLOOKUP($D693,Productos!$E:$E,Productos!$H:$H,""))</f>
        <v/>
      </c>
      <c r="F693" s="74">
        <f t="array" ref="F693">IF(OR($D693="",$D693="NO ENCONTRADO"),"",_xlfn.XLOOKUP($D693,Productos!$E:$E,Productos!$I:$I,""))</f>
        <v/>
      </c>
      <c r="G693" s="74">
        <f t="array" ref="G693">IF(OR($D693="",$D693="NO ENCONTRADO"),"",_xlfn.XLOOKUP($D693,Productos!$E:$E,Productos!$J:$J,""))</f>
        <v/>
      </c>
      <c r="H693" s="74">
        <f t="array" ref="H693">IF(OR($D693="",$D693="NO ENCONTRADO"),"",_xlfn.XLOOKUP($D693,Productos!$E:$E,Productos!$K:$K,""))</f>
        <v/>
      </c>
      <c r="I693" s="74">
        <f t="array" ref="I693">IF(OR($D693="",$D693="NO ENCONTRADO"),"",_xlfn.XLOOKUP($D693,Productos!$E:$E,Productos!$F:$F,""))</f>
        <v/>
      </c>
      <c r="J693" s="74">
        <f>IF($C693="","",IF($D693="NO ENCONTRADO",IF(COUNTIF($C$7:$C$1000,$C693)&gt;1,"⚠️ No encontrado | Duplicado","⚠️ No encontrado"),IF(COUNTIF($C$7:$C$1000,$C693)&gt;1,"⚠️ Duplicado","Verificado")))</f>
        <v/>
      </c>
    </row>
    <row r="694" ht="15.75" customHeight="1" s="176">
      <c r="B694" s="80" t="n"/>
      <c r="C694" s="74" t="n"/>
      <c r="D694" s="74">
        <f t="array" ref="D694">IF($C694="","",IFNA(_xlfn.XLOOKUP($C694,Productos!$A:$A,Productos!$E:$E,IFNA(_xlfn.XLOOKUP(TEXT($C694,"0"),Productos!$A:$A,Productos!$E:$E,IFNA(_xlfn.XLOOKUP(IFERROR(VALUE($C694),""),Productos!$A:$A,Productos!$E:$E,_xlfn.XLOOKUP($C694,Productos!$E:$E,Productos!$E:$E,"NO ENCONTRADO")),"NO ENCONTRADO")),"NO ENCONTRADO")),"NO ENCONTRADO"))</f>
        <v/>
      </c>
      <c r="E694" s="74">
        <f t="array" ref="E694">IF(OR($D694="",$D694="NO ENCONTRADO"),"",_xlfn.XLOOKUP($D694,Productos!$E:$E,Productos!$H:$H,""))</f>
        <v/>
      </c>
      <c r="F694" s="74">
        <f t="array" ref="F694">IF(OR($D694="",$D694="NO ENCONTRADO"),"",_xlfn.XLOOKUP($D694,Productos!$E:$E,Productos!$I:$I,""))</f>
        <v/>
      </c>
      <c r="G694" s="74">
        <f t="array" ref="G694">IF(OR($D694="",$D694="NO ENCONTRADO"),"",_xlfn.XLOOKUP($D694,Productos!$E:$E,Productos!$J:$J,""))</f>
        <v/>
      </c>
      <c r="H694" s="74">
        <f t="array" ref="H694">IF(OR($D694="",$D694="NO ENCONTRADO"),"",_xlfn.XLOOKUP($D694,Productos!$E:$E,Productos!$K:$K,""))</f>
        <v/>
      </c>
      <c r="I694" s="74">
        <f t="array" ref="I694">IF(OR($D694="",$D694="NO ENCONTRADO"),"",_xlfn.XLOOKUP($D694,Productos!$E:$E,Productos!$F:$F,""))</f>
        <v/>
      </c>
      <c r="J694" s="74">
        <f>IF($C694="","",IF($D694="NO ENCONTRADO",IF(COUNTIF($C$7:$C$1000,$C694)&gt;1,"⚠️ No encontrado | Duplicado","⚠️ No encontrado"),IF(COUNTIF($C$7:$C$1000,$C694)&gt;1,"⚠️ Duplicado","Verificado")))</f>
        <v/>
      </c>
    </row>
    <row r="695" ht="15.75" customHeight="1" s="176">
      <c r="B695" s="80" t="n"/>
      <c r="C695" s="74" t="n"/>
      <c r="D695" s="74">
        <f t="array" ref="D695">IF($C695="","",IFNA(_xlfn.XLOOKUP($C695,Productos!$A:$A,Productos!$E:$E,IFNA(_xlfn.XLOOKUP(TEXT($C695,"0"),Productos!$A:$A,Productos!$E:$E,IFNA(_xlfn.XLOOKUP(IFERROR(VALUE($C695),""),Productos!$A:$A,Productos!$E:$E,_xlfn.XLOOKUP($C695,Productos!$E:$E,Productos!$E:$E,"NO ENCONTRADO")),"NO ENCONTRADO")),"NO ENCONTRADO")),"NO ENCONTRADO"))</f>
        <v/>
      </c>
      <c r="E695" s="74">
        <f t="array" ref="E695">IF(OR($D695="",$D695="NO ENCONTRADO"),"",_xlfn.XLOOKUP($D695,Productos!$E:$E,Productos!$H:$H,""))</f>
        <v/>
      </c>
      <c r="F695" s="74">
        <f t="array" ref="F695">IF(OR($D695="",$D695="NO ENCONTRADO"),"",_xlfn.XLOOKUP($D695,Productos!$E:$E,Productos!$I:$I,""))</f>
        <v/>
      </c>
      <c r="G695" s="74">
        <f t="array" ref="G695">IF(OR($D695="",$D695="NO ENCONTRADO"),"",_xlfn.XLOOKUP($D695,Productos!$E:$E,Productos!$J:$J,""))</f>
        <v/>
      </c>
      <c r="H695" s="74">
        <f t="array" ref="H695">IF(OR($D695="",$D695="NO ENCONTRADO"),"",_xlfn.XLOOKUP($D695,Productos!$E:$E,Productos!$K:$K,""))</f>
        <v/>
      </c>
      <c r="I695" s="74">
        <f t="array" ref="I695">IF(OR($D695="",$D695="NO ENCONTRADO"),"",_xlfn.XLOOKUP($D695,Productos!$E:$E,Productos!$F:$F,""))</f>
        <v/>
      </c>
      <c r="J695" s="74">
        <f>IF($C695="","",IF($D695="NO ENCONTRADO",IF(COUNTIF($C$7:$C$1000,$C695)&gt;1,"⚠️ No encontrado | Duplicado","⚠️ No encontrado"),IF(COUNTIF($C$7:$C$1000,$C695)&gt;1,"⚠️ Duplicado","Verificado")))</f>
        <v/>
      </c>
    </row>
    <row r="696" ht="15.75" customHeight="1" s="176">
      <c r="B696" s="80" t="n"/>
      <c r="C696" s="74" t="n"/>
      <c r="D696" s="74">
        <f t="array" ref="D696">IF($C696="","",IFNA(_xlfn.XLOOKUP($C696,Productos!$A:$A,Productos!$E:$E,IFNA(_xlfn.XLOOKUP(TEXT($C696,"0"),Productos!$A:$A,Productos!$E:$E,IFNA(_xlfn.XLOOKUP(IFERROR(VALUE($C696),""),Productos!$A:$A,Productos!$E:$E,_xlfn.XLOOKUP($C696,Productos!$E:$E,Productos!$E:$E,"NO ENCONTRADO")),"NO ENCONTRADO")),"NO ENCONTRADO")),"NO ENCONTRADO"))</f>
        <v/>
      </c>
      <c r="E696" s="74">
        <f t="array" ref="E696">IF(OR($D696="",$D696="NO ENCONTRADO"),"",_xlfn.XLOOKUP($D696,Productos!$E:$E,Productos!$H:$H,""))</f>
        <v/>
      </c>
      <c r="F696" s="74">
        <f t="array" ref="F696">IF(OR($D696="",$D696="NO ENCONTRADO"),"",_xlfn.XLOOKUP($D696,Productos!$E:$E,Productos!$I:$I,""))</f>
        <v/>
      </c>
      <c r="G696" s="74">
        <f t="array" ref="G696">IF(OR($D696="",$D696="NO ENCONTRADO"),"",_xlfn.XLOOKUP($D696,Productos!$E:$E,Productos!$J:$J,""))</f>
        <v/>
      </c>
      <c r="H696" s="74">
        <f t="array" ref="H696">IF(OR($D696="",$D696="NO ENCONTRADO"),"",_xlfn.XLOOKUP($D696,Productos!$E:$E,Productos!$K:$K,""))</f>
        <v/>
      </c>
      <c r="I696" s="74">
        <f t="array" ref="I696">IF(OR($D696="",$D696="NO ENCONTRADO"),"",_xlfn.XLOOKUP($D696,Productos!$E:$E,Productos!$F:$F,""))</f>
        <v/>
      </c>
      <c r="J696" s="74">
        <f>IF($C696="","",IF($D696="NO ENCONTRADO",IF(COUNTIF($C$7:$C$1000,$C696)&gt;1,"⚠️ No encontrado | Duplicado","⚠️ No encontrado"),IF(COUNTIF($C$7:$C$1000,$C696)&gt;1,"⚠️ Duplicado","Verificado")))</f>
        <v/>
      </c>
    </row>
    <row r="697" ht="15.75" customHeight="1" s="176">
      <c r="B697" s="80" t="n"/>
      <c r="C697" s="74" t="n"/>
      <c r="D697" s="74">
        <f t="array" ref="D697">IF($C697="","",IFNA(_xlfn.XLOOKUP($C697,Productos!$A:$A,Productos!$E:$E,IFNA(_xlfn.XLOOKUP(TEXT($C697,"0"),Productos!$A:$A,Productos!$E:$E,IFNA(_xlfn.XLOOKUP(IFERROR(VALUE($C697),""),Productos!$A:$A,Productos!$E:$E,_xlfn.XLOOKUP($C697,Productos!$E:$E,Productos!$E:$E,"NO ENCONTRADO")),"NO ENCONTRADO")),"NO ENCONTRADO")),"NO ENCONTRADO"))</f>
        <v/>
      </c>
      <c r="E697" s="74">
        <f t="array" ref="E697">IF(OR($D697="",$D697="NO ENCONTRADO"),"",_xlfn.XLOOKUP($D697,Productos!$E:$E,Productos!$H:$H,""))</f>
        <v/>
      </c>
      <c r="F697" s="74">
        <f t="array" ref="F697">IF(OR($D697="",$D697="NO ENCONTRADO"),"",_xlfn.XLOOKUP($D697,Productos!$E:$E,Productos!$I:$I,""))</f>
        <v/>
      </c>
      <c r="G697" s="74">
        <f t="array" ref="G697">IF(OR($D697="",$D697="NO ENCONTRADO"),"",_xlfn.XLOOKUP($D697,Productos!$E:$E,Productos!$J:$J,""))</f>
        <v/>
      </c>
      <c r="H697" s="74">
        <f t="array" ref="H697">IF(OR($D697="",$D697="NO ENCONTRADO"),"",_xlfn.XLOOKUP($D697,Productos!$E:$E,Productos!$K:$K,""))</f>
        <v/>
      </c>
      <c r="I697" s="74">
        <f t="array" ref="I697">IF(OR($D697="",$D697="NO ENCONTRADO"),"",_xlfn.XLOOKUP($D697,Productos!$E:$E,Productos!$F:$F,""))</f>
        <v/>
      </c>
      <c r="J697" s="74">
        <f>IF($C697="","",IF($D697="NO ENCONTRADO",IF(COUNTIF($C$7:$C$1000,$C697)&gt;1,"⚠️ No encontrado | Duplicado","⚠️ No encontrado"),IF(COUNTIF($C$7:$C$1000,$C697)&gt;1,"⚠️ Duplicado","Verificado")))</f>
        <v/>
      </c>
    </row>
    <row r="698" ht="15.75" customHeight="1" s="176">
      <c r="B698" s="80" t="n"/>
      <c r="C698" s="74" t="n"/>
      <c r="D698" s="74">
        <f t="array" ref="D698">IF($C698="","",IFNA(_xlfn.XLOOKUP($C698,Productos!$A:$A,Productos!$E:$E,IFNA(_xlfn.XLOOKUP(TEXT($C698,"0"),Productos!$A:$A,Productos!$E:$E,IFNA(_xlfn.XLOOKUP(IFERROR(VALUE($C698),""),Productos!$A:$A,Productos!$E:$E,_xlfn.XLOOKUP($C698,Productos!$E:$E,Productos!$E:$E,"NO ENCONTRADO")),"NO ENCONTRADO")),"NO ENCONTRADO")),"NO ENCONTRADO"))</f>
        <v/>
      </c>
      <c r="E698" s="74">
        <f t="array" ref="E698">IF(OR($D698="",$D698="NO ENCONTRADO"),"",_xlfn.XLOOKUP($D698,Productos!$E:$E,Productos!$H:$H,""))</f>
        <v/>
      </c>
      <c r="F698" s="74">
        <f t="array" ref="F698">IF(OR($D698="",$D698="NO ENCONTRADO"),"",_xlfn.XLOOKUP($D698,Productos!$E:$E,Productos!$I:$I,""))</f>
        <v/>
      </c>
      <c r="G698" s="74">
        <f t="array" ref="G698">IF(OR($D698="",$D698="NO ENCONTRADO"),"",_xlfn.XLOOKUP($D698,Productos!$E:$E,Productos!$J:$J,""))</f>
        <v/>
      </c>
      <c r="H698" s="74">
        <f t="array" ref="H698">IF(OR($D698="",$D698="NO ENCONTRADO"),"",_xlfn.XLOOKUP($D698,Productos!$E:$E,Productos!$K:$K,""))</f>
        <v/>
      </c>
      <c r="I698" s="74">
        <f t="array" ref="I698">IF(OR($D698="",$D698="NO ENCONTRADO"),"",_xlfn.XLOOKUP($D698,Productos!$E:$E,Productos!$F:$F,""))</f>
        <v/>
      </c>
      <c r="J698" s="74">
        <f>IF($C698="","",IF($D698="NO ENCONTRADO",IF(COUNTIF($C$7:$C$1000,$C698)&gt;1,"⚠️ No encontrado | Duplicado","⚠️ No encontrado"),IF(COUNTIF($C$7:$C$1000,$C698)&gt;1,"⚠️ Duplicado","Verificado")))</f>
        <v/>
      </c>
    </row>
    <row r="699" ht="15.75" customHeight="1" s="176">
      <c r="B699" s="80" t="n"/>
      <c r="C699" s="74" t="n"/>
      <c r="D699" s="74">
        <f t="array" ref="D699">IF($C699="","",IFNA(_xlfn.XLOOKUP($C699,Productos!$A:$A,Productos!$E:$E,IFNA(_xlfn.XLOOKUP(TEXT($C699,"0"),Productos!$A:$A,Productos!$E:$E,IFNA(_xlfn.XLOOKUP(IFERROR(VALUE($C699),""),Productos!$A:$A,Productos!$E:$E,_xlfn.XLOOKUP($C699,Productos!$E:$E,Productos!$E:$E,"NO ENCONTRADO")),"NO ENCONTRADO")),"NO ENCONTRADO")),"NO ENCONTRADO"))</f>
        <v/>
      </c>
      <c r="E699" s="74">
        <f t="array" ref="E699">IF(OR($D699="",$D699="NO ENCONTRADO"),"",_xlfn.XLOOKUP($D699,Productos!$E:$E,Productos!$H:$H,""))</f>
        <v/>
      </c>
      <c r="F699" s="74">
        <f t="array" ref="F699">IF(OR($D699="",$D699="NO ENCONTRADO"),"",_xlfn.XLOOKUP($D699,Productos!$E:$E,Productos!$I:$I,""))</f>
        <v/>
      </c>
      <c r="G699" s="74">
        <f t="array" ref="G699">IF(OR($D699="",$D699="NO ENCONTRADO"),"",_xlfn.XLOOKUP($D699,Productos!$E:$E,Productos!$J:$J,""))</f>
        <v/>
      </c>
      <c r="H699" s="74">
        <f t="array" ref="H699">IF(OR($D699="",$D699="NO ENCONTRADO"),"",_xlfn.XLOOKUP($D699,Productos!$E:$E,Productos!$K:$K,""))</f>
        <v/>
      </c>
      <c r="I699" s="74">
        <f t="array" ref="I699">IF(OR($D699="",$D699="NO ENCONTRADO"),"",_xlfn.XLOOKUP($D699,Productos!$E:$E,Productos!$F:$F,""))</f>
        <v/>
      </c>
      <c r="J699" s="74">
        <f>IF($C699="","",IF($D699="NO ENCONTRADO",IF(COUNTIF($C$7:$C$1000,$C699)&gt;1,"⚠️ No encontrado | Duplicado","⚠️ No encontrado"),IF(COUNTIF($C$7:$C$1000,$C699)&gt;1,"⚠️ Duplicado","Verificado")))</f>
        <v/>
      </c>
    </row>
    <row r="700" ht="15.75" customHeight="1" s="176">
      <c r="B700" s="80" t="n"/>
      <c r="C700" s="74" t="n"/>
      <c r="D700" s="74">
        <f t="array" ref="D700">IF($C700="","",IFNA(_xlfn.XLOOKUP($C700,Productos!$A:$A,Productos!$E:$E,IFNA(_xlfn.XLOOKUP(TEXT($C700,"0"),Productos!$A:$A,Productos!$E:$E,IFNA(_xlfn.XLOOKUP(IFERROR(VALUE($C700),""),Productos!$A:$A,Productos!$E:$E,_xlfn.XLOOKUP($C700,Productos!$E:$E,Productos!$E:$E,"NO ENCONTRADO")),"NO ENCONTRADO")),"NO ENCONTRADO")),"NO ENCONTRADO"))</f>
        <v/>
      </c>
      <c r="E700" s="74">
        <f t="array" ref="E700">IF(OR($D700="",$D700="NO ENCONTRADO"),"",_xlfn.XLOOKUP($D700,Productos!$E:$E,Productos!$H:$H,""))</f>
        <v/>
      </c>
      <c r="F700" s="74">
        <f t="array" ref="F700">IF(OR($D700="",$D700="NO ENCONTRADO"),"",_xlfn.XLOOKUP($D700,Productos!$E:$E,Productos!$I:$I,""))</f>
        <v/>
      </c>
      <c r="G700" s="74">
        <f t="array" ref="G700">IF(OR($D700="",$D700="NO ENCONTRADO"),"",_xlfn.XLOOKUP($D700,Productos!$E:$E,Productos!$J:$J,""))</f>
        <v/>
      </c>
      <c r="H700" s="74">
        <f t="array" ref="H700">IF(OR($D700="",$D700="NO ENCONTRADO"),"",_xlfn.XLOOKUP($D700,Productos!$E:$E,Productos!$K:$K,""))</f>
        <v/>
      </c>
      <c r="I700" s="74">
        <f t="array" ref="I700">IF(OR($D700="",$D700="NO ENCONTRADO"),"",_xlfn.XLOOKUP($D700,Productos!$E:$E,Productos!$F:$F,""))</f>
        <v/>
      </c>
      <c r="J700" s="74">
        <f>IF($C700="","",IF($D700="NO ENCONTRADO",IF(COUNTIF($C$7:$C$1000,$C700)&gt;1,"⚠️ No encontrado | Duplicado","⚠️ No encontrado"),IF(COUNTIF($C$7:$C$1000,$C700)&gt;1,"⚠️ Duplicado","Verificado")))</f>
        <v/>
      </c>
    </row>
    <row r="701" ht="15.75" customHeight="1" s="176">
      <c r="B701" s="80" t="n"/>
      <c r="C701" s="74" t="n"/>
      <c r="D701" s="74">
        <f t="array" ref="D701">IF($C701="","",IFNA(_xlfn.XLOOKUP($C701,Productos!$A:$A,Productos!$E:$E,IFNA(_xlfn.XLOOKUP(TEXT($C701,"0"),Productos!$A:$A,Productos!$E:$E,IFNA(_xlfn.XLOOKUP(IFERROR(VALUE($C701),""),Productos!$A:$A,Productos!$E:$E,_xlfn.XLOOKUP($C701,Productos!$E:$E,Productos!$E:$E,"NO ENCONTRADO")),"NO ENCONTRADO")),"NO ENCONTRADO")),"NO ENCONTRADO"))</f>
        <v/>
      </c>
      <c r="E701" s="74">
        <f t="array" ref="E701">IF(OR($D701="",$D701="NO ENCONTRADO"),"",_xlfn.XLOOKUP($D701,Productos!$E:$E,Productos!$H:$H,""))</f>
        <v/>
      </c>
      <c r="F701" s="74">
        <f t="array" ref="F701">IF(OR($D701="",$D701="NO ENCONTRADO"),"",_xlfn.XLOOKUP($D701,Productos!$E:$E,Productos!$I:$I,""))</f>
        <v/>
      </c>
      <c r="G701" s="74">
        <f t="array" ref="G701">IF(OR($D701="",$D701="NO ENCONTRADO"),"",_xlfn.XLOOKUP($D701,Productos!$E:$E,Productos!$J:$J,""))</f>
        <v/>
      </c>
      <c r="H701" s="74">
        <f t="array" ref="H701">IF(OR($D701="",$D701="NO ENCONTRADO"),"",_xlfn.XLOOKUP($D701,Productos!$E:$E,Productos!$K:$K,""))</f>
        <v/>
      </c>
      <c r="I701" s="74">
        <f t="array" ref="I701">IF(OR($D701="",$D701="NO ENCONTRADO"),"",_xlfn.XLOOKUP($D701,Productos!$E:$E,Productos!$F:$F,""))</f>
        <v/>
      </c>
      <c r="J701" s="74">
        <f>IF($C701="","",IF($D701="NO ENCONTRADO",IF(COUNTIF($C$7:$C$1000,$C701)&gt;1,"⚠️ No encontrado | Duplicado","⚠️ No encontrado"),IF(COUNTIF($C$7:$C$1000,$C701)&gt;1,"⚠️ Duplicado","Verificado")))</f>
        <v/>
      </c>
    </row>
    <row r="702" ht="15.75" customHeight="1" s="176">
      <c r="B702" s="80" t="n"/>
      <c r="C702" s="74" t="n"/>
      <c r="D702" s="74">
        <f t="array" ref="D702">IF($C702="","",IFNA(_xlfn.XLOOKUP($C702,Productos!$A:$A,Productos!$E:$E,IFNA(_xlfn.XLOOKUP(TEXT($C702,"0"),Productos!$A:$A,Productos!$E:$E,IFNA(_xlfn.XLOOKUP(IFERROR(VALUE($C702),""),Productos!$A:$A,Productos!$E:$E,_xlfn.XLOOKUP($C702,Productos!$E:$E,Productos!$E:$E,"NO ENCONTRADO")),"NO ENCONTRADO")),"NO ENCONTRADO")),"NO ENCONTRADO"))</f>
        <v/>
      </c>
      <c r="E702" s="74">
        <f t="array" ref="E702">IF(OR($D702="",$D702="NO ENCONTRADO"),"",_xlfn.XLOOKUP($D702,Productos!$E:$E,Productos!$H:$H,""))</f>
        <v/>
      </c>
      <c r="F702" s="74">
        <f t="array" ref="F702">IF(OR($D702="",$D702="NO ENCONTRADO"),"",_xlfn.XLOOKUP($D702,Productos!$E:$E,Productos!$I:$I,""))</f>
        <v/>
      </c>
      <c r="G702" s="74">
        <f t="array" ref="G702">IF(OR($D702="",$D702="NO ENCONTRADO"),"",_xlfn.XLOOKUP($D702,Productos!$E:$E,Productos!$J:$J,""))</f>
        <v/>
      </c>
      <c r="H702" s="74">
        <f t="array" ref="H702">IF(OR($D702="",$D702="NO ENCONTRADO"),"",_xlfn.XLOOKUP($D702,Productos!$E:$E,Productos!$K:$K,""))</f>
        <v/>
      </c>
      <c r="I702" s="74">
        <f t="array" ref="I702">IF(OR($D702="",$D702="NO ENCONTRADO"),"",_xlfn.XLOOKUP($D702,Productos!$E:$E,Productos!$F:$F,""))</f>
        <v/>
      </c>
      <c r="J702" s="74">
        <f>IF($C702="","",IF($D702="NO ENCONTRADO",IF(COUNTIF($C$7:$C$1000,$C702)&gt;1,"⚠️ No encontrado | Duplicado","⚠️ No encontrado"),IF(COUNTIF($C$7:$C$1000,$C702)&gt;1,"⚠️ Duplicado","Verificado")))</f>
        <v/>
      </c>
    </row>
    <row r="703" ht="15.75" customHeight="1" s="176">
      <c r="B703" s="80" t="n"/>
      <c r="C703" s="74" t="n"/>
      <c r="D703" s="74">
        <f t="array" ref="D703">IF($C703="","",IFNA(_xlfn.XLOOKUP($C703,Productos!$A:$A,Productos!$E:$E,IFNA(_xlfn.XLOOKUP(TEXT($C703,"0"),Productos!$A:$A,Productos!$E:$E,IFNA(_xlfn.XLOOKUP(IFERROR(VALUE($C703),""),Productos!$A:$A,Productos!$E:$E,_xlfn.XLOOKUP($C703,Productos!$E:$E,Productos!$E:$E,"NO ENCONTRADO")),"NO ENCONTRADO")),"NO ENCONTRADO")),"NO ENCONTRADO"))</f>
        <v/>
      </c>
      <c r="E703" s="74">
        <f t="array" ref="E703">IF(OR($D703="",$D703="NO ENCONTRADO"),"",_xlfn.XLOOKUP($D703,Productos!$E:$E,Productos!$H:$H,""))</f>
        <v/>
      </c>
      <c r="F703" s="74">
        <f t="array" ref="F703">IF(OR($D703="",$D703="NO ENCONTRADO"),"",_xlfn.XLOOKUP($D703,Productos!$E:$E,Productos!$I:$I,""))</f>
        <v/>
      </c>
      <c r="G703" s="74">
        <f t="array" ref="G703">IF(OR($D703="",$D703="NO ENCONTRADO"),"",_xlfn.XLOOKUP($D703,Productos!$E:$E,Productos!$J:$J,""))</f>
        <v/>
      </c>
      <c r="H703" s="74">
        <f t="array" ref="H703">IF(OR($D703="",$D703="NO ENCONTRADO"),"",_xlfn.XLOOKUP($D703,Productos!$E:$E,Productos!$K:$K,""))</f>
        <v/>
      </c>
      <c r="I703" s="74">
        <f t="array" ref="I703">IF(OR($D703="",$D703="NO ENCONTRADO"),"",_xlfn.XLOOKUP($D703,Productos!$E:$E,Productos!$F:$F,""))</f>
        <v/>
      </c>
      <c r="J703" s="74">
        <f>IF($C703="","",IF($D703="NO ENCONTRADO",IF(COUNTIF($C$7:$C$1000,$C703)&gt;1,"⚠️ No encontrado | Duplicado","⚠️ No encontrado"),IF(COUNTIF($C$7:$C$1000,$C703)&gt;1,"⚠️ Duplicado","Verificado")))</f>
        <v/>
      </c>
    </row>
    <row r="704" ht="15.75" customHeight="1" s="176">
      <c r="B704" s="80" t="n"/>
      <c r="C704" s="74" t="n"/>
      <c r="D704" s="74">
        <f t="array" ref="D704">IF($C704="","",IFNA(_xlfn.XLOOKUP($C704,Productos!$A:$A,Productos!$E:$E,IFNA(_xlfn.XLOOKUP(TEXT($C704,"0"),Productos!$A:$A,Productos!$E:$E,IFNA(_xlfn.XLOOKUP(IFERROR(VALUE($C704),""),Productos!$A:$A,Productos!$E:$E,_xlfn.XLOOKUP($C704,Productos!$E:$E,Productos!$E:$E,"NO ENCONTRADO")),"NO ENCONTRADO")),"NO ENCONTRADO")),"NO ENCONTRADO"))</f>
        <v/>
      </c>
      <c r="E704" s="74">
        <f t="array" ref="E704">IF(OR($D704="",$D704="NO ENCONTRADO"),"",_xlfn.XLOOKUP($D704,Productos!$E:$E,Productos!$H:$H,""))</f>
        <v/>
      </c>
      <c r="F704" s="74">
        <f t="array" ref="F704">IF(OR($D704="",$D704="NO ENCONTRADO"),"",_xlfn.XLOOKUP($D704,Productos!$E:$E,Productos!$I:$I,""))</f>
        <v/>
      </c>
      <c r="G704" s="74">
        <f t="array" ref="G704">IF(OR($D704="",$D704="NO ENCONTRADO"),"",_xlfn.XLOOKUP($D704,Productos!$E:$E,Productos!$J:$J,""))</f>
        <v/>
      </c>
      <c r="H704" s="74">
        <f t="array" ref="H704">IF(OR($D704="",$D704="NO ENCONTRADO"),"",_xlfn.XLOOKUP($D704,Productos!$E:$E,Productos!$K:$K,""))</f>
        <v/>
      </c>
      <c r="I704" s="74">
        <f t="array" ref="I704">IF(OR($D704="",$D704="NO ENCONTRADO"),"",_xlfn.XLOOKUP($D704,Productos!$E:$E,Productos!$F:$F,""))</f>
        <v/>
      </c>
      <c r="J704" s="74">
        <f>IF($C704="","",IF($D704="NO ENCONTRADO",IF(COUNTIF($C$7:$C$1000,$C704)&gt;1,"⚠️ No encontrado | Duplicado","⚠️ No encontrado"),IF(COUNTIF($C$7:$C$1000,$C704)&gt;1,"⚠️ Duplicado","Verificado")))</f>
        <v/>
      </c>
    </row>
    <row r="705" ht="15.75" customHeight="1" s="176">
      <c r="B705" s="80" t="n"/>
      <c r="C705" s="74" t="n"/>
      <c r="D705" s="74">
        <f t="array" ref="D705">IF($C705="","",IFNA(_xlfn.XLOOKUP($C705,Productos!$A:$A,Productos!$E:$E,IFNA(_xlfn.XLOOKUP(TEXT($C705,"0"),Productos!$A:$A,Productos!$E:$E,IFNA(_xlfn.XLOOKUP(IFERROR(VALUE($C705),""),Productos!$A:$A,Productos!$E:$E,_xlfn.XLOOKUP($C705,Productos!$E:$E,Productos!$E:$E,"NO ENCONTRADO")),"NO ENCONTRADO")),"NO ENCONTRADO")),"NO ENCONTRADO"))</f>
        <v/>
      </c>
      <c r="E705" s="74">
        <f t="array" ref="E705">IF(OR($D705="",$D705="NO ENCONTRADO"),"",_xlfn.XLOOKUP($D705,Productos!$E:$E,Productos!$H:$H,""))</f>
        <v/>
      </c>
      <c r="F705" s="74">
        <f t="array" ref="F705">IF(OR($D705="",$D705="NO ENCONTRADO"),"",_xlfn.XLOOKUP($D705,Productos!$E:$E,Productos!$I:$I,""))</f>
        <v/>
      </c>
      <c r="G705" s="74">
        <f t="array" ref="G705">IF(OR($D705="",$D705="NO ENCONTRADO"),"",_xlfn.XLOOKUP($D705,Productos!$E:$E,Productos!$J:$J,""))</f>
        <v/>
      </c>
      <c r="H705" s="74">
        <f t="array" ref="H705">IF(OR($D705="",$D705="NO ENCONTRADO"),"",_xlfn.XLOOKUP($D705,Productos!$E:$E,Productos!$K:$K,""))</f>
        <v/>
      </c>
      <c r="I705" s="74">
        <f t="array" ref="I705">IF(OR($D705="",$D705="NO ENCONTRADO"),"",_xlfn.XLOOKUP($D705,Productos!$E:$E,Productos!$F:$F,""))</f>
        <v/>
      </c>
      <c r="J705" s="74">
        <f>IF($C705="","",IF($D705="NO ENCONTRADO",IF(COUNTIF($C$7:$C$1000,$C705)&gt;1,"⚠️ No encontrado | Duplicado","⚠️ No encontrado"),IF(COUNTIF($C$7:$C$1000,$C705)&gt;1,"⚠️ Duplicado","Verificado")))</f>
        <v/>
      </c>
    </row>
    <row r="706" ht="15.75" customHeight="1" s="176">
      <c r="B706" s="80" t="n"/>
      <c r="C706" s="74" t="n"/>
      <c r="D706" s="74">
        <f t="array" ref="D706">IF($C706="","",IFNA(_xlfn.XLOOKUP($C706,Productos!$A:$A,Productos!$E:$E,IFNA(_xlfn.XLOOKUP(TEXT($C706,"0"),Productos!$A:$A,Productos!$E:$E,IFNA(_xlfn.XLOOKUP(IFERROR(VALUE($C706),""),Productos!$A:$A,Productos!$E:$E,_xlfn.XLOOKUP($C706,Productos!$E:$E,Productos!$E:$E,"NO ENCONTRADO")),"NO ENCONTRADO")),"NO ENCONTRADO")),"NO ENCONTRADO"))</f>
        <v/>
      </c>
      <c r="E706" s="74">
        <f t="array" ref="E706">IF(OR($D706="",$D706="NO ENCONTRADO"),"",_xlfn.XLOOKUP($D706,Productos!$E:$E,Productos!$H:$H,""))</f>
        <v/>
      </c>
      <c r="F706" s="74">
        <f t="array" ref="F706">IF(OR($D706="",$D706="NO ENCONTRADO"),"",_xlfn.XLOOKUP($D706,Productos!$E:$E,Productos!$I:$I,""))</f>
        <v/>
      </c>
      <c r="G706" s="74">
        <f t="array" ref="G706">IF(OR($D706="",$D706="NO ENCONTRADO"),"",_xlfn.XLOOKUP($D706,Productos!$E:$E,Productos!$J:$J,""))</f>
        <v/>
      </c>
      <c r="H706" s="74">
        <f t="array" ref="H706">IF(OR($D706="",$D706="NO ENCONTRADO"),"",_xlfn.XLOOKUP($D706,Productos!$E:$E,Productos!$K:$K,""))</f>
        <v/>
      </c>
      <c r="I706" s="74">
        <f t="array" ref="I706">IF(OR($D706="",$D706="NO ENCONTRADO"),"",_xlfn.XLOOKUP($D706,Productos!$E:$E,Productos!$F:$F,""))</f>
        <v/>
      </c>
      <c r="J706" s="74">
        <f>IF($C706="","",IF($D706="NO ENCONTRADO",IF(COUNTIF($C$7:$C$1000,$C706)&gt;1,"⚠️ No encontrado | Duplicado","⚠️ No encontrado"),IF(COUNTIF($C$7:$C$1000,$C706)&gt;1,"⚠️ Duplicado","Verificado")))</f>
        <v/>
      </c>
    </row>
    <row r="707" ht="15.75" customHeight="1" s="176">
      <c r="B707" s="80" t="n"/>
      <c r="C707" s="74" t="n"/>
      <c r="D707" s="74">
        <f t="array" ref="D707">IF($C707="","",IFNA(_xlfn.XLOOKUP($C707,Productos!$A:$A,Productos!$E:$E,IFNA(_xlfn.XLOOKUP(TEXT($C707,"0"),Productos!$A:$A,Productos!$E:$E,IFNA(_xlfn.XLOOKUP(IFERROR(VALUE($C707),""),Productos!$A:$A,Productos!$E:$E,_xlfn.XLOOKUP($C707,Productos!$E:$E,Productos!$E:$E,"NO ENCONTRADO")),"NO ENCONTRADO")),"NO ENCONTRADO")),"NO ENCONTRADO"))</f>
        <v/>
      </c>
      <c r="E707" s="74">
        <f t="array" ref="E707">IF(OR($D707="",$D707="NO ENCONTRADO"),"",_xlfn.XLOOKUP($D707,Productos!$E:$E,Productos!$H:$H,""))</f>
        <v/>
      </c>
      <c r="F707" s="74">
        <f t="array" ref="F707">IF(OR($D707="",$D707="NO ENCONTRADO"),"",_xlfn.XLOOKUP($D707,Productos!$E:$E,Productos!$I:$I,""))</f>
        <v/>
      </c>
      <c r="G707" s="74">
        <f t="array" ref="G707">IF(OR($D707="",$D707="NO ENCONTRADO"),"",_xlfn.XLOOKUP($D707,Productos!$E:$E,Productos!$J:$J,""))</f>
        <v/>
      </c>
      <c r="H707" s="74">
        <f t="array" ref="H707">IF(OR($D707="",$D707="NO ENCONTRADO"),"",_xlfn.XLOOKUP($D707,Productos!$E:$E,Productos!$K:$K,""))</f>
        <v/>
      </c>
      <c r="I707" s="74">
        <f t="array" ref="I707">IF(OR($D707="",$D707="NO ENCONTRADO"),"",_xlfn.XLOOKUP($D707,Productos!$E:$E,Productos!$F:$F,""))</f>
        <v/>
      </c>
      <c r="J707" s="74">
        <f>IF($C707="","",IF($D707="NO ENCONTRADO",IF(COUNTIF($C$7:$C$1000,$C707)&gt;1,"⚠️ No encontrado | Duplicado","⚠️ No encontrado"),IF(COUNTIF($C$7:$C$1000,$C707)&gt;1,"⚠️ Duplicado","Verificado")))</f>
        <v/>
      </c>
    </row>
    <row r="708" ht="15.75" customHeight="1" s="176">
      <c r="B708" s="80" t="n"/>
      <c r="C708" s="74" t="n"/>
      <c r="D708" s="74">
        <f t="array" ref="D708">IF($C708="","",IFNA(_xlfn.XLOOKUP($C708,Productos!$A:$A,Productos!$E:$E,IFNA(_xlfn.XLOOKUP(TEXT($C708,"0"),Productos!$A:$A,Productos!$E:$E,IFNA(_xlfn.XLOOKUP(IFERROR(VALUE($C708),""),Productos!$A:$A,Productos!$E:$E,_xlfn.XLOOKUP($C708,Productos!$E:$E,Productos!$E:$E,"NO ENCONTRADO")),"NO ENCONTRADO")),"NO ENCONTRADO")),"NO ENCONTRADO"))</f>
        <v/>
      </c>
      <c r="E708" s="74">
        <f t="array" ref="E708">IF(OR($D708="",$D708="NO ENCONTRADO"),"",_xlfn.XLOOKUP($D708,Productos!$E:$E,Productos!$H:$H,""))</f>
        <v/>
      </c>
      <c r="F708" s="74">
        <f t="array" ref="F708">IF(OR($D708="",$D708="NO ENCONTRADO"),"",_xlfn.XLOOKUP($D708,Productos!$E:$E,Productos!$I:$I,""))</f>
        <v/>
      </c>
      <c r="G708" s="74">
        <f t="array" ref="G708">IF(OR($D708="",$D708="NO ENCONTRADO"),"",_xlfn.XLOOKUP($D708,Productos!$E:$E,Productos!$J:$J,""))</f>
        <v/>
      </c>
      <c r="H708" s="74">
        <f t="array" ref="H708">IF(OR($D708="",$D708="NO ENCONTRADO"),"",_xlfn.XLOOKUP($D708,Productos!$E:$E,Productos!$K:$K,""))</f>
        <v/>
      </c>
      <c r="I708" s="74">
        <f t="array" ref="I708">IF(OR($D708="",$D708="NO ENCONTRADO"),"",_xlfn.XLOOKUP($D708,Productos!$E:$E,Productos!$F:$F,""))</f>
        <v/>
      </c>
      <c r="J708" s="74">
        <f>IF($C708="","",IF($D708="NO ENCONTRADO",IF(COUNTIF($C$7:$C$1000,$C708)&gt;1,"⚠️ No encontrado | Duplicado","⚠️ No encontrado"),IF(COUNTIF($C$7:$C$1000,$C708)&gt;1,"⚠️ Duplicado","Verificado")))</f>
        <v/>
      </c>
    </row>
    <row r="709" ht="15.75" customHeight="1" s="176">
      <c r="B709" s="80" t="n"/>
      <c r="C709" s="74" t="n"/>
      <c r="D709" s="74">
        <f t="array" ref="D709">IF($C709="","",IFNA(_xlfn.XLOOKUP($C709,Productos!$A:$A,Productos!$E:$E,IFNA(_xlfn.XLOOKUP(TEXT($C709,"0"),Productos!$A:$A,Productos!$E:$E,IFNA(_xlfn.XLOOKUP(IFERROR(VALUE($C709),""),Productos!$A:$A,Productos!$E:$E,_xlfn.XLOOKUP($C709,Productos!$E:$E,Productos!$E:$E,"NO ENCONTRADO")),"NO ENCONTRADO")),"NO ENCONTRADO")),"NO ENCONTRADO"))</f>
        <v/>
      </c>
      <c r="E709" s="74">
        <f t="array" ref="E709">IF(OR($D709="",$D709="NO ENCONTRADO"),"",_xlfn.XLOOKUP($D709,Productos!$E:$E,Productos!$H:$H,""))</f>
        <v/>
      </c>
      <c r="F709" s="74">
        <f t="array" ref="F709">IF(OR($D709="",$D709="NO ENCONTRADO"),"",_xlfn.XLOOKUP($D709,Productos!$E:$E,Productos!$I:$I,""))</f>
        <v/>
      </c>
      <c r="G709" s="74">
        <f t="array" ref="G709">IF(OR($D709="",$D709="NO ENCONTRADO"),"",_xlfn.XLOOKUP($D709,Productos!$E:$E,Productos!$J:$J,""))</f>
        <v/>
      </c>
      <c r="H709" s="74">
        <f t="array" ref="H709">IF(OR($D709="",$D709="NO ENCONTRADO"),"",_xlfn.XLOOKUP($D709,Productos!$E:$E,Productos!$K:$K,""))</f>
        <v/>
      </c>
      <c r="I709" s="74">
        <f t="array" ref="I709">IF(OR($D709="",$D709="NO ENCONTRADO"),"",_xlfn.XLOOKUP($D709,Productos!$E:$E,Productos!$F:$F,""))</f>
        <v/>
      </c>
      <c r="J709" s="74">
        <f>IF($C709="","",IF($D709="NO ENCONTRADO",IF(COUNTIF($C$7:$C$1000,$C709)&gt;1,"⚠️ No encontrado | Duplicado","⚠️ No encontrado"),IF(COUNTIF($C$7:$C$1000,$C709)&gt;1,"⚠️ Duplicado","Verificado")))</f>
        <v/>
      </c>
    </row>
    <row r="710" ht="15.75" customHeight="1" s="176">
      <c r="B710" s="80" t="n"/>
      <c r="C710" s="74" t="n"/>
      <c r="D710" s="74">
        <f t="array" ref="D710">IF($C710="","",IFNA(_xlfn.XLOOKUP($C710,Productos!$A:$A,Productos!$E:$E,IFNA(_xlfn.XLOOKUP(TEXT($C710,"0"),Productos!$A:$A,Productos!$E:$E,IFNA(_xlfn.XLOOKUP(IFERROR(VALUE($C710),""),Productos!$A:$A,Productos!$E:$E,_xlfn.XLOOKUP($C710,Productos!$E:$E,Productos!$E:$E,"NO ENCONTRADO")),"NO ENCONTRADO")),"NO ENCONTRADO")),"NO ENCONTRADO"))</f>
        <v/>
      </c>
      <c r="E710" s="74">
        <f t="array" ref="E710">IF(OR($D710="",$D710="NO ENCONTRADO"),"",_xlfn.XLOOKUP($D710,Productos!$E:$E,Productos!$H:$H,""))</f>
        <v/>
      </c>
      <c r="F710" s="74">
        <f t="array" ref="F710">IF(OR($D710="",$D710="NO ENCONTRADO"),"",_xlfn.XLOOKUP($D710,Productos!$E:$E,Productos!$I:$I,""))</f>
        <v/>
      </c>
      <c r="G710" s="74">
        <f t="array" ref="G710">IF(OR($D710="",$D710="NO ENCONTRADO"),"",_xlfn.XLOOKUP($D710,Productos!$E:$E,Productos!$J:$J,""))</f>
        <v/>
      </c>
      <c r="H710" s="74">
        <f t="array" ref="H710">IF(OR($D710="",$D710="NO ENCONTRADO"),"",_xlfn.XLOOKUP($D710,Productos!$E:$E,Productos!$K:$K,""))</f>
        <v/>
      </c>
      <c r="I710" s="74">
        <f t="array" ref="I710">IF(OR($D710="",$D710="NO ENCONTRADO"),"",_xlfn.XLOOKUP($D710,Productos!$E:$E,Productos!$F:$F,""))</f>
        <v/>
      </c>
      <c r="J710" s="74">
        <f>IF($C710="","",IF($D710="NO ENCONTRADO",IF(COUNTIF($C$7:$C$1000,$C710)&gt;1,"⚠️ No encontrado | Duplicado","⚠️ No encontrado"),IF(COUNTIF($C$7:$C$1000,$C710)&gt;1,"⚠️ Duplicado","Verificado")))</f>
        <v/>
      </c>
    </row>
    <row r="711" ht="15.75" customHeight="1" s="176">
      <c r="B711" s="80" t="n"/>
      <c r="C711" s="74" t="n"/>
      <c r="D711" s="74">
        <f t="array" ref="D711">IF($C711="","",IFNA(_xlfn.XLOOKUP($C711,Productos!$A:$A,Productos!$E:$E,IFNA(_xlfn.XLOOKUP(TEXT($C711,"0"),Productos!$A:$A,Productos!$E:$E,IFNA(_xlfn.XLOOKUP(IFERROR(VALUE($C711),""),Productos!$A:$A,Productos!$E:$E,_xlfn.XLOOKUP($C711,Productos!$E:$E,Productos!$E:$E,"NO ENCONTRADO")),"NO ENCONTRADO")),"NO ENCONTRADO")),"NO ENCONTRADO"))</f>
        <v/>
      </c>
      <c r="E711" s="74">
        <f t="array" ref="E711">IF(OR($D711="",$D711="NO ENCONTRADO"),"",_xlfn.XLOOKUP($D711,Productos!$E:$E,Productos!$H:$H,""))</f>
        <v/>
      </c>
      <c r="F711" s="74">
        <f t="array" ref="F711">IF(OR($D711="",$D711="NO ENCONTRADO"),"",_xlfn.XLOOKUP($D711,Productos!$E:$E,Productos!$I:$I,""))</f>
        <v/>
      </c>
      <c r="G711" s="74">
        <f t="array" ref="G711">IF(OR($D711="",$D711="NO ENCONTRADO"),"",_xlfn.XLOOKUP($D711,Productos!$E:$E,Productos!$J:$J,""))</f>
        <v/>
      </c>
      <c r="H711" s="74">
        <f t="array" ref="H711">IF(OR($D711="",$D711="NO ENCONTRADO"),"",_xlfn.XLOOKUP($D711,Productos!$E:$E,Productos!$K:$K,""))</f>
        <v/>
      </c>
      <c r="I711" s="74">
        <f t="array" ref="I711">IF(OR($D711="",$D711="NO ENCONTRADO"),"",_xlfn.XLOOKUP($D711,Productos!$E:$E,Productos!$F:$F,""))</f>
        <v/>
      </c>
      <c r="J711" s="74">
        <f>IF($C711="","",IF($D711="NO ENCONTRADO",IF(COUNTIF($C$7:$C$1000,$C711)&gt;1,"⚠️ No encontrado | Duplicado","⚠️ No encontrado"),IF(COUNTIF($C$7:$C$1000,$C711)&gt;1,"⚠️ Duplicado","Verificado")))</f>
        <v/>
      </c>
    </row>
    <row r="712" ht="15.75" customHeight="1" s="176">
      <c r="B712" s="80" t="n"/>
      <c r="C712" s="74" t="n"/>
      <c r="D712" s="74">
        <f t="array" ref="D712">IF($C712="","",IFNA(_xlfn.XLOOKUP($C712,Productos!$A:$A,Productos!$E:$E,IFNA(_xlfn.XLOOKUP(TEXT($C712,"0"),Productos!$A:$A,Productos!$E:$E,IFNA(_xlfn.XLOOKUP(IFERROR(VALUE($C712),""),Productos!$A:$A,Productos!$E:$E,_xlfn.XLOOKUP($C712,Productos!$E:$E,Productos!$E:$E,"NO ENCONTRADO")),"NO ENCONTRADO")),"NO ENCONTRADO")),"NO ENCONTRADO"))</f>
        <v/>
      </c>
      <c r="E712" s="74">
        <f t="array" ref="E712">IF(OR($D712="",$D712="NO ENCONTRADO"),"",_xlfn.XLOOKUP($D712,Productos!$E:$E,Productos!$H:$H,""))</f>
        <v/>
      </c>
      <c r="F712" s="74">
        <f t="array" ref="F712">IF(OR($D712="",$D712="NO ENCONTRADO"),"",_xlfn.XLOOKUP($D712,Productos!$E:$E,Productos!$I:$I,""))</f>
        <v/>
      </c>
      <c r="G712" s="74">
        <f t="array" ref="G712">IF(OR($D712="",$D712="NO ENCONTRADO"),"",_xlfn.XLOOKUP($D712,Productos!$E:$E,Productos!$J:$J,""))</f>
        <v/>
      </c>
      <c r="H712" s="74">
        <f t="array" ref="H712">IF(OR($D712="",$D712="NO ENCONTRADO"),"",_xlfn.XLOOKUP($D712,Productos!$E:$E,Productos!$K:$K,""))</f>
        <v/>
      </c>
      <c r="I712" s="74">
        <f t="array" ref="I712">IF(OR($D712="",$D712="NO ENCONTRADO"),"",_xlfn.XLOOKUP($D712,Productos!$E:$E,Productos!$F:$F,""))</f>
        <v/>
      </c>
      <c r="J712" s="74">
        <f>IF($C712="","",IF($D712="NO ENCONTRADO",IF(COUNTIF($C$7:$C$1000,$C712)&gt;1,"⚠️ No encontrado | Duplicado","⚠️ No encontrado"),IF(COUNTIF($C$7:$C$1000,$C712)&gt;1,"⚠️ Duplicado","Verificado")))</f>
        <v/>
      </c>
    </row>
    <row r="713" ht="15.75" customHeight="1" s="176">
      <c r="B713" s="80" t="n"/>
      <c r="C713" s="74" t="n"/>
      <c r="D713" s="74">
        <f t="array" ref="D713">IF($C713="","",IFNA(_xlfn.XLOOKUP($C713,Productos!$A:$A,Productos!$E:$E,IFNA(_xlfn.XLOOKUP(TEXT($C713,"0"),Productos!$A:$A,Productos!$E:$E,IFNA(_xlfn.XLOOKUP(IFERROR(VALUE($C713),""),Productos!$A:$A,Productos!$E:$E,_xlfn.XLOOKUP($C713,Productos!$E:$E,Productos!$E:$E,"NO ENCONTRADO")),"NO ENCONTRADO")),"NO ENCONTRADO")),"NO ENCONTRADO"))</f>
        <v/>
      </c>
      <c r="E713" s="74">
        <f t="array" ref="E713">IF(OR($D713="",$D713="NO ENCONTRADO"),"",_xlfn.XLOOKUP($D713,Productos!$E:$E,Productos!$H:$H,""))</f>
        <v/>
      </c>
      <c r="F713" s="74">
        <f t="array" ref="F713">IF(OR($D713="",$D713="NO ENCONTRADO"),"",_xlfn.XLOOKUP($D713,Productos!$E:$E,Productos!$I:$I,""))</f>
        <v/>
      </c>
      <c r="G713" s="74">
        <f t="array" ref="G713">IF(OR($D713="",$D713="NO ENCONTRADO"),"",_xlfn.XLOOKUP($D713,Productos!$E:$E,Productos!$J:$J,""))</f>
        <v/>
      </c>
      <c r="H713" s="74">
        <f t="array" ref="H713">IF(OR($D713="",$D713="NO ENCONTRADO"),"",_xlfn.XLOOKUP($D713,Productos!$E:$E,Productos!$K:$K,""))</f>
        <v/>
      </c>
      <c r="I713" s="74">
        <f t="array" ref="I713">IF(OR($D713="",$D713="NO ENCONTRADO"),"",_xlfn.XLOOKUP($D713,Productos!$E:$E,Productos!$F:$F,""))</f>
        <v/>
      </c>
      <c r="J713" s="74">
        <f>IF($C713="","",IF($D713="NO ENCONTRADO",IF(COUNTIF($C$7:$C$1000,$C713)&gt;1,"⚠️ No encontrado | Duplicado","⚠️ No encontrado"),IF(COUNTIF($C$7:$C$1000,$C713)&gt;1,"⚠️ Duplicado","Verificado")))</f>
        <v/>
      </c>
    </row>
    <row r="714" ht="15.75" customHeight="1" s="176">
      <c r="B714" s="80" t="n"/>
      <c r="C714" s="74" t="n"/>
      <c r="D714" s="74">
        <f t="array" ref="D714">IF($C714="","",IFNA(_xlfn.XLOOKUP($C714,Productos!$A:$A,Productos!$E:$E,IFNA(_xlfn.XLOOKUP(TEXT($C714,"0"),Productos!$A:$A,Productos!$E:$E,IFNA(_xlfn.XLOOKUP(IFERROR(VALUE($C714),""),Productos!$A:$A,Productos!$E:$E,_xlfn.XLOOKUP($C714,Productos!$E:$E,Productos!$E:$E,"NO ENCONTRADO")),"NO ENCONTRADO")),"NO ENCONTRADO")),"NO ENCONTRADO"))</f>
        <v/>
      </c>
      <c r="E714" s="74">
        <f t="array" ref="E714">IF(OR($D714="",$D714="NO ENCONTRADO"),"",_xlfn.XLOOKUP($D714,Productos!$E:$E,Productos!$H:$H,""))</f>
        <v/>
      </c>
      <c r="F714" s="74">
        <f t="array" ref="F714">IF(OR($D714="",$D714="NO ENCONTRADO"),"",_xlfn.XLOOKUP($D714,Productos!$E:$E,Productos!$I:$I,""))</f>
        <v/>
      </c>
      <c r="G714" s="74">
        <f t="array" ref="G714">IF(OR($D714="",$D714="NO ENCONTRADO"),"",_xlfn.XLOOKUP($D714,Productos!$E:$E,Productos!$J:$J,""))</f>
        <v/>
      </c>
      <c r="H714" s="74">
        <f t="array" ref="H714">IF(OR($D714="",$D714="NO ENCONTRADO"),"",_xlfn.XLOOKUP($D714,Productos!$E:$E,Productos!$K:$K,""))</f>
        <v/>
      </c>
      <c r="I714" s="74">
        <f t="array" ref="I714">IF(OR($D714="",$D714="NO ENCONTRADO"),"",_xlfn.XLOOKUP($D714,Productos!$E:$E,Productos!$F:$F,""))</f>
        <v/>
      </c>
      <c r="J714" s="74">
        <f>IF($C714="","",IF($D714="NO ENCONTRADO",IF(COUNTIF($C$7:$C$1000,$C714)&gt;1,"⚠️ No encontrado | Duplicado","⚠️ No encontrado"),IF(COUNTIF($C$7:$C$1000,$C714)&gt;1,"⚠️ Duplicado","Verificado")))</f>
        <v/>
      </c>
    </row>
    <row r="715" ht="15.75" customHeight="1" s="176">
      <c r="B715" s="80" t="n"/>
      <c r="C715" s="74" t="n"/>
      <c r="D715" s="74">
        <f t="array" ref="D715">IF($C715="","",IFNA(_xlfn.XLOOKUP($C715,Productos!$A:$A,Productos!$E:$E,IFNA(_xlfn.XLOOKUP(TEXT($C715,"0"),Productos!$A:$A,Productos!$E:$E,IFNA(_xlfn.XLOOKUP(IFERROR(VALUE($C715),""),Productos!$A:$A,Productos!$E:$E,_xlfn.XLOOKUP($C715,Productos!$E:$E,Productos!$E:$E,"NO ENCONTRADO")),"NO ENCONTRADO")),"NO ENCONTRADO")),"NO ENCONTRADO"))</f>
        <v/>
      </c>
      <c r="E715" s="74">
        <f t="array" ref="E715">IF(OR($D715="",$D715="NO ENCONTRADO"),"",_xlfn.XLOOKUP($D715,Productos!$E:$E,Productos!$H:$H,""))</f>
        <v/>
      </c>
      <c r="F715" s="74">
        <f t="array" ref="F715">IF(OR($D715="",$D715="NO ENCONTRADO"),"",_xlfn.XLOOKUP($D715,Productos!$E:$E,Productos!$I:$I,""))</f>
        <v/>
      </c>
      <c r="G715" s="74">
        <f t="array" ref="G715">IF(OR($D715="",$D715="NO ENCONTRADO"),"",_xlfn.XLOOKUP($D715,Productos!$E:$E,Productos!$J:$J,""))</f>
        <v/>
      </c>
      <c r="H715" s="74">
        <f t="array" ref="H715">IF(OR($D715="",$D715="NO ENCONTRADO"),"",_xlfn.XLOOKUP($D715,Productos!$E:$E,Productos!$K:$K,""))</f>
        <v/>
      </c>
      <c r="I715" s="74">
        <f t="array" ref="I715">IF(OR($D715="",$D715="NO ENCONTRADO"),"",_xlfn.XLOOKUP($D715,Productos!$E:$E,Productos!$F:$F,""))</f>
        <v/>
      </c>
      <c r="J715" s="74">
        <f>IF($C715="","",IF($D715="NO ENCONTRADO",IF(COUNTIF($C$7:$C$1000,$C715)&gt;1,"⚠️ No encontrado | Duplicado","⚠️ No encontrado"),IF(COUNTIF($C$7:$C$1000,$C715)&gt;1,"⚠️ Duplicado","Verificado")))</f>
        <v/>
      </c>
    </row>
    <row r="716" ht="15.75" customHeight="1" s="176">
      <c r="B716" s="80" t="n"/>
      <c r="C716" s="74" t="n"/>
      <c r="D716" s="74">
        <f t="array" ref="D716">IF($C716="","",IFNA(_xlfn.XLOOKUP($C716,Productos!$A:$A,Productos!$E:$E,IFNA(_xlfn.XLOOKUP(TEXT($C716,"0"),Productos!$A:$A,Productos!$E:$E,IFNA(_xlfn.XLOOKUP(IFERROR(VALUE($C716),""),Productos!$A:$A,Productos!$E:$E,_xlfn.XLOOKUP($C716,Productos!$E:$E,Productos!$E:$E,"NO ENCONTRADO")),"NO ENCONTRADO")),"NO ENCONTRADO")),"NO ENCONTRADO"))</f>
        <v/>
      </c>
      <c r="E716" s="74">
        <f t="array" ref="E716">IF(OR($D716="",$D716="NO ENCONTRADO"),"",_xlfn.XLOOKUP($D716,Productos!$E:$E,Productos!$H:$H,""))</f>
        <v/>
      </c>
      <c r="F716" s="74">
        <f t="array" ref="F716">IF(OR($D716="",$D716="NO ENCONTRADO"),"",_xlfn.XLOOKUP($D716,Productos!$E:$E,Productos!$I:$I,""))</f>
        <v/>
      </c>
      <c r="G716" s="74">
        <f t="array" ref="G716">IF(OR($D716="",$D716="NO ENCONTRADO"),"",_xlfn.XLOOKUP($D716,Productos!$E:$E,Productos!$J:$J,""))</f>
        <v/>
      </c>
      <c r="H716" s="74">
        <f t="array" ref="H716">IF(OR($D716="",$D716="NO ENCONTRADO"),"",_xlfn.XLOOKUP($D716,Productos!$E:$E,Productos!$K:$K,""))</f>
        <v/>
      </c>
      <c r="I716" s="74">
        <f t="array" ref="I716">IF(OR($D716="",$D716="NO ENCONTRADO"),"",_xlfn.XLOOKUP($D716,Productos!$E:$E,Productos!$F:$F,""))</f>
        <v/>
      </c>
      <c r="J716" s="74">
        <f>IF($C716="","",IF($D716="NO ENCONTRADO",IF(COUNTIF($C$7:$C$1000,$C716)&gt;1,"⚠️ No encontrado | Duplicado","⚠️ No encontrado"),IF(COUNTIF($C$7:$C$1000,$C716)&gt;1,"⚠️ Duplicado","Verificado")))</f>
        <v/>
      </c>
    </row>
    <row r="717" ht="15.75" customHeight="1" s="176">
      <c r="B717" s="80" t="n"/>
      <c r="C717" s="74" t="n"/>
      <c r="D717" s="74">
        <f t="array" ref="D717">IF($C717="","",IFNA(_xlfn.XLOOKUP($C717,Productos!$A:$A,Productos!$E:$E,IFNA(_xlfn.XLOOKUP(TEXT($C717,"0"),Productos!$A:$A,Productos!$E:$E,IFNA(_xlfn.XLOOKUP(IFERROR(VALUE($C717),""),Productos!$A:$A,Productos!$E:$E,_xlfn.XLOOKUP($C717,Productos!$E:$E,Productos!$E:$E,"NO ENCONTRADO")),"NO ENCONTRADO")),"NO ENCONTRADO")),"NO ENCONTRADO"))</f>
        <v/>
      </c>
      <c r="E717" s="74">
        <f t="array" ref="E717">IF(OR($D717="",$D717="NO ENCONTRADO"),"",_xlfn.XLOOKUP($D717,Productos!$E:$E,Productos!$H:$H,""))</f>
        <v/>
      </c>
      <c r="F717" s="74">
        <f t="array" ref="F717">IF(OR($D717="",$D717="NO ENCONTRADO"),"",_xlfn.XLOOKUP($D717,Productos!$E:$E,Productos!$I:$I,""))</f>
        <v/>
      </c>
      <c r="G717" s="74">
        <f t="array" ref="G717">IF(OR($D717="",$D717="NO ENCONTRADO"),"",_xlfn.XLOOKUP($D717,Productos!$E:$E,Productos!$J:$J,""))</f>
        <v/>
      </c>
      <c r="H717" s="74">
        <f t="array" ref="H717">IF(OR($D717="",$D717="NO ENCONTRADO"),"",_xlfn.XLOOKUP($D717,Productos!$E:$E,Productos!$K:$K,""))</f>
        <v/>
      </c>
      <c r="I717" s="74">
        <f t="array" ref="I717">IF(OR($D717="",$D717="NO ENCONTRADO"),"",_xlfn.XLOOKUP($D717,Productos!$E:$E,Productos!$F:$F,""))</f>
        <v/>
      </c>
      <c r="J717" s="74">
        <f>IF($C717="","",IF($D717="NO ENCONTRADO",IF(COUNTIF($C$7:$C$1000,$C717)&gt;1,"⚠️ No encontrado | Duplicado","⚠️ No encontrado"),IF(COUNTIF($C$7:$C$1000,$C717)&gt;1,"⚠️ Duplicado","Verificado")))</f>
        <v/>
      </c>
    </row>
    <row r="718" ht="15.75" customHeight="1" s="176">
      <c r="B718" s="80" t="n"/>
      <c r="C718" s="74" t="n"/>
      <c r="D718" s="74">
        <f t="array" ref="D718">IF($C718="","",IFNA(_xlfn.XLOOKUP($C718,Productos!$A:$A,Productos!$E:$E,IFNA(_xlfn.XLOOKUP(TEXT($C718,"0"),Productos!$A:$A,Productos!$E:$E,IFNA(_xlfn.XLOOKUP(IFERROR(VALUE($C718),""),Productos!$A:$A,Productos!$E:$E,_xlfn.XLOOKUP($C718,Productos!$E:$E,Productos!$E:$E,"NO ENCONTRADO")),"NO ENCONTRADO")),"NO ENCONTRADO")),"NO ENCONTRADO"))</f>
        <v/>
      </c>
      <c r="E718" s="74">
        <f t="array" ref="E718">IF(OR($D718="",$D718="NO ENCONTRADO"),"",_xlfn.XLOOKUP($D718,Productos!$E:$E,Productos!$H:$H,""))</f>
        <v/>
      </c>
      <c r="F718" s="74">
        <f t="array" ref="F718">IF(OR($D718="",$D718="NO ENCONTRADO"),"",_xlfn.XLOOKUP($D718,Productos!$E:$E,Productos!$I:$I,""))</f>
        <v/>
      </c>
      <c r="G718" s="74">
        <f t="array" ref="G718">IF(OR($D718="",$D718="NO ENCONTRADO"),"",_xlfn.XLOOKUP($D718,Productos!$E:$E,Productos!$J:$J,""))</f>
        <v/>
      </c>
      <c r="H718" s="74">
        <f t="array" ref="H718">IF(OR($D718="",$D718="NO ENCONTRADO"),"",_xlfn.XLOOKUP($D718,Productos!$E:$E,Productos!$K:$K,""))</f>
        <v/>
      </c>
      <c r="I718" s="74">
        <f t="array" ref="I718">IF(OR($D718="",$D718="NO ENCONTRADO"),"",_xlfn.XLOOKUP($D718,Productos!$E:$E,Productos!$F:$F,""))</f>
        <v/>
      </c>
      <c r="J718" s="74">
        <f>IF($C718="","",IF($D718="NO ENCONTRADO",IF(COUNTIF($C$7:$C$1000,$C718)&gt;1,"⚠️ No encontrado | Duplicado","⚠️ No encontrado"),IF(COUNTIF($C$7:$C$1000,$C718)&gt;1,"⚠️ Duplicado","Verificado")))</f>
        <v/>
      </c>
    </row>
    <row r="719" ht="15.75" customHeight="1" s="176">
      <c r="B719" s="80" t="n"/>
      <c r="C719" s="74" t="n"/>
      <c r="D719" s="74">
        <f t="array" ref="D719">IF($C719="","",IFNA(_xlfn.XLOOKUP($C719,Productos!$A:$A,Productos!$E:$E,IFNA(_xlfn.XLOOKUP(TEXT($C719,"0"),Productos!$A:$A,Productos!$E:$E,IFNA(_xlfn.XLOOKUP(IFERROR(VALUE($C719),""),Productos!$A:$A,Productos!$E:$E,_xlfn.XLOOKUP($C719,Productos!$E:$E,Productos!$E:$E,"NO ENCONTRADO")),"NO ENCONTRADO")),"NO ENCONTRADO")),"NO ENCONTRADO"))</f>
        <v/>
      </c>
      <c r="E719" s="74">
        <f t="array" ref="E719">IF(OR($D719="",$D719="NO ENCONTRADO"),"",_xlfn.XLOOKUP($D719,Productos!$E:$E,Productos!$H:$H,""))</f>
        <v/>
      </c>
      <c r="F719" s="74">
        <f t="array" ref="F719">IF(OR($D719="",$D719="NO ENCONTRADO"),"",_xlfn.XLOOKUP($D719,Productos!$E:$E,Productos!$I:$I,""))</f>
        <v/>
      </c>
      <c r="G719" s="74">
        <f t="array" ref="G719">IF(OR($D719="",$D719="NO ENCONTRADO"),"",_xlfn.XLOOKUP($D719,Productos!$E:$E,Productos!$J:$J,""))</f>
        <v/>
      </c>
      <c r="H719" s="74">
        <f t="array" ref="H719">IF(OR($D719="",$D719="NO ENCONTRADO"),"",_xlfn.XLOOKUP($D719,Productos!$E:$E,Productos!$K:$K,""))</f>
        <v/>
      </c>
      <c r="I719" s="74">
        <f t="array" ref="I719">IF(OR($D719="",$D719="NO ENCONTRADO"),"",_xlfn.XLOOKUP($D719,Productos!$E:$E,Productos!$F:$F,""))</f>
        <v/>
      </c>
      <c r="J719" s="74">
        <f>IF($C719="","",IF($D719="NO ENCONTRADO",IF(COUNTIF($C$7:$C$1000,$C719)&gt;1,"⚠️ No encontrado | Duplicado","⚠️ No encontrado"),IF(COUNTIF($C$7:$C$1000,$C719)&gt;1,"⚠️ Duplicado","Verificado")))</f>
        <v/>
      </c>
    </row>
    <row r="720" ht="15.75" customHeight="1" s="176">
      <c r="B720" s="80" t="n"/>
      <c r="C720" s="74" t="n"/>
      <c r="D720" s="74">
        <f t="array" ref="D720">IF($C720="","",IFNA(_xlfn.XLOOKUP($C720,Productos!$A:$A,Productos!$E:$E,IFNA(_xlfn.XLOOKUP(TEXT($C720,"0"),Productos!$A:$A,Productos!$E:$E,IFNA(_xlfn.XLOOKUP(IFERROR(VALUE($C720),""),Productos!$A:$A,Productos!$E:$E,_xlfn.XLOOKUP($C720,Productos!$E:$E,Productos!$E:$E,"NO ENCONTRADO")),"NO ENCONTRADO")),"NO ENCONTRADO")),"NO ENCONTRADO"))</f>
        <v/>
      </c>
      <c r="E720" s="74">
        <f t="array" ref="E720">IF(OR($D720="",$D720="NO ENCONTRADO"),"",_xlfn.XLOOKUP($D720,Productos!$E:$E,Productos!$H:$H,""))</f>
        <v/>
      </c>
      <c r="F720" s="74">
        <f t="array" ref="F720">IF(OR($D720="",$D720="NO ENCONTRADO"),"",_xlfn.XLOOKUP($D720,Productos!$E:$E,Productos!$I:$I,""))</f>
        <v/>
      </c>
      <c r="G720" s="74">
        <f t="array" ref="G720">IF(OR($D720="",$D720="NO ENCONTRADO"),"",_xlfn.XLOOKUP($D720,Productos!$E:$E,Productos!$J:$J,""))</f>
        <v/>
      </c>
      <c r="H720" s="74">
        <f t="array" ref="H720">IF(OR($D720="",$D720="NO ENCONTRADO"),"",_xlfn.XLOOKUP($D720,Productos!$E:$E,Productos!$K:$K,""))</f>
        <v/>
      </c>
      <c r="I720" s="74">
        <f t="array" ref="I720">IF(OR($D720="",$D720="NO ENCONTRADO"),"",_xlfn.XLOOKUP($D720,Productos!$E:$E,Productos!$F:$F,""))</f>
        <v/>
      </c>
      <c r="J720" s="74">
        <f>IF($C720="","",IF($D720="NO ENCONTRADO",IF(COUNTIF($C$7:$C$1000,$C720)&gt;1,"⚠️ No encontrado | Duplicado","⚠️ No encontrado"),IF(COUNTIF($C$7:$C$1000,$C720)&gt;1,"⚠️ Duplicado","Verificado")))</f>
        <v/>
      </c>
    </row>
    <row r="721" ht="15.75" customHeight="1" s="176">
      <c r="B721" s="80" t="n"/>
      <c r="C721" s="74" t="n"/>
      <c r="D721" s="74">
        <f t="array" ref="D721">IF($C721="","",IFNA(_xlfn.XLOOKUP($C721,Productos!$A:$A,Productos!$E:$E,IFNA(_xlfn.XLOOKUP(TEXT($C721,"0"),Productos!$A:$A,Productos!$E:$E,IFNA(_xlfn.XLOOKUP(IFERROR(VALUE($C721),""),Productos!$A:$A,Productos!$E:$E,_xlfn.XLOOKUP($C721,Productos!$E:$E,Productos!$E:$E,"NO ENCONTRADO")),"NO ENCONTRADO")),"NO ENCONTRADO")),"NO ENCONTRADO"))</f>
        <v/>
      </c>
      <c r="E721" s="74">
        <f t="array" ref="E721">IF(OR($D721="",$D721="NO ENCONTRADO"),"",_xlfn.XLOOKUP($D721,Productos!$E:$E,Productos!$H:$H,""))</f>
        <v/>
      </c>
      <c r="F721" s="74">
        <f t="array" ref="F721">IF(OR($D721="",$D721="NO ENCONTRADO"),"",_xlfn.XLOOKUP($D721,Productos!$E:$E,Productos!$I:$I,""))</f>
        <v/>
      </c>
      <c r="G721" s="74">
        <f t="array" ref="G721">IF(OR($D721="",$D721="NO ENCONTRADO"),"",_xlfn.XLOOKUP($D721,Productos!$E:$E,Productos!$J:$J,""))</f>
        <v/>
      </c>
      <c r="H721" s="74">
        <f t="array" ref="H721">IF(OR($D721="",$D721="NO ENCONTRADO"),"",_xlfn.XLOOKUP($D721,Productos!$E:$E,Productos!$K:$K,""))</f>
        <v/>
      </c>
      <c r="I721" s="74">
        <f t="array" ref="I721">IF(OR($D721="",$D721="NO ENCONTRADO"),"",_xlfn.XLOOKUP($D721,Productos!$E:$E,Productos!$F:$F,""))</f>
        <v/>
      </c>
      <c r="J721" s="74">
        <f>IF($C721="","",IF($D721="NO ENCONTRADO",IF(COUNTIF($C$7:$C$1000,$C721)&gt;1,"⚠️ No encontrado | Duplicado","⚠️ No encontrado"),IF(COUNTIF($C$7:$C$1000,$C721)&gt;1,"⚠️ Duplicado","Verificado")))</f>
        <v/>
      </c>
    </row>
    <row r="722" ht="15.75" customHeight="1" s="176">
      <c r="B722" s="80" t="n"/>
      <c r="C722" s="74" t="n"/>
      <c r="D722" s="74">
        <f t="array" ref="D722">IF($C722="","",IFNA(_xlfn.XLOOKUP($C722,Productos!$A:$A,Productos!$E:$E,IFNA(_xlfn.XLOOKUP(TEXT($C722,"0"),Productos!$A:$A,Productos!$E:$E,IFNA(_xlfn.XLOOKUP(IFERROR(VALUE($C722),""),Productos!$A:$A,Productos!$E:$E,_xlfn.XLOOKUP($C722,Productos!$E:$E,Productos!$E:$E,"NO ENCONTRADO")),"NO ENCONTRADO")),"NO ENCONTRADO")),"NO ENCONTRADO"))</f>
        <v/>
      </c>
      <c r="E722" s="74">
        <f t="array" ref="E722">IF(OR($D722="",$D722="NO ENCONTRADO"),"",_xlfn.XLOOKUP($D722,Productos!$E:$E,Productos!$H:$H,""))</f>
        <v/>
      </c>
      <c r="F722" s="74">
        <f t="array" ref="F722">IF(OR($D722="",$D722="NO ENCONTRADO"),"",_xlfn.XLOOKUP($D722,Productos!$E:$E,Productos!$I:$I,""))</f>
        <v/>
      </c>
      <c r="G722" s="74">
        <f t="array" ref="G722">IF(OR($D722="",$D722="NO ENCONTRADO"),"",_xlfn.XLOOKUP($D722,Productos!$E:$E,Productos!$J:$J,""))</f>
        <v/>
      </c>
      <c r="H722" s="74">
        <f t="array" ref="H722">IF(OR($D722="",$D722="NO ENCONTRADO"),"",_xlfn.XLOOKUP($D722,Productos!$E:$E,Productos!$K:$K,""))</f>
        <v/>
      </c>
      <c r="I722" s="74">
        <f t="array" ref="I722">IF(OR($D722="",$D722="NO ENCONTRADO"),"",_xlfn.XLOOKUP($D722,Productos!$E:$E,Productos!$F:$F,""))</f>
        <v/>
      </c>
      <c r="J722" s="74">
        <f>IF($C722="","",IF($D722="NO ENCONTRADO",IF(COUNTIF($C$7:$C$1000,$C722)&gt;1,"⚠️ No encontrado | Duplicado","⚠️ No encontrado"),IF(COUNTIF($C$7:$C$1000,$C722)&gt;1,"⚠️ Duplicado","Verificado")))</f>
        <v/>
      </c>
    </row>
    <row r="723" ht="15.75" customHeight="1" s="176">
      <c r="B723" s="80" t="n"/>
      <c r="C723" s="74" t="n"/>
      <c r="D723" s="74">
        <f t="array" ref="D723">IF($C723="","",IFNA(_xlfn.XLOOKUP($C723,Productos!$A:$A,Productos!$E:$E,IFNA(_xlfn.XLOOKUP(TEXT($C723,"0"),Productos!$A:$A,Productos!$E:$E,IFNA(_xlfn.XLOOKUP(IFERROR(VALUE($C723),""),Productos!$A:$A,Productos!$E:$E,_xlfn.XLOOKUP($C723,Productos!$E:$E,Productos!$E:$E,"NO ENCONTRADO")),"NO ENCONTRADO")),"NO ENCONTRADO")),"NO ENCONTRADO"))</f>
        <v/>
      </c>
      <c r="E723" s="74">
        <f t="array" ref="E723">IF(OR($D723="",$D723="NO ENCONTRADO"),"",_xlfn.XLOOKUP($D723,Productos!$E:$E,Productos!$H:$H,""))</f>
        <v/>
      </c>
      <c r="F723" s="74">
        <f t="array" ref="F723">IF(OR($D723="",$D723="NO ENCONTRADO"),"",_xlfn.XLOOKUP($D723,Productos!$E:$E,Productos!$I:$I,""))</f>
        <v/>
      </c>
      <c r="G723" s="74">
        <f t="array" ref="G723">IF(OR($D723="",$D723="NO ENCONTRADO"),"",_xlfn.XLOOKUP($D723,Productos!$E:$E,Productos!$J:$J,""))</f>
        <v/>
      </c>
      <c r="H723" s="74">
        <f t="array" ref="H723">IF(OR($D723="",$D723="NO ENCONTRADO"),"",_xlfn.XLOOKUP($D723,Productos!$E:$E,Productos!$K:$K,""))</f>
        <v/>
      </c>
      <c r="I723" s="74">
        <f t="array" ref="I723">IF(OR($D723="",$D723="NO ENCONTRADO"),"",_xlfn.XLOOKUP($D723,Productos!$E:$E,Productos!$F:$F,""))</f>
        <v/>
      </c>
      <c r="J723" s="74">
        <f>IF($C723="","",IF($D723="NO ENCONTRADO",IF(COUNTIF($C$7:$C$1000,$C723)&gt;1,"⚠️ No encontrado | Duplicado","⚠️ No encontrado"),IF(COUNTIF($C$7:$C$1000,$C723)&gt;1,"⚠️ Duplicado","Verificado")))</f>
        <v/>
      </c>
    </row>
    <row r="724" ht="15.75" customHeight="1" s="176">
      <c r="B724" s="80" t="n"/>
      <c r="C724" s="74" t="n"/>
      <c r="D724" s="74">
        <f t="array" ref="D724">IF($C724="","",IFNA(_xlfn.XLOOKUP($C724,Productos!$A:$A,Productos!$E:$E,IFNA(_xlfn.XLOOKUP(TEXT($C724,"0"),Productos!$A:$A,Productos!$E:$E,IFNA(_xlfn.XLOOKUP(IFERROR(VALUE($C724),""),Productos!$A:$A,Productos!$E:$E,_xlfn.XLOOKUP($C724,Productos!$E:$E,Productos!$E:$E,"NO ENCONTRADO")),"NO ENCONTRADO")),"NO ENCONTRADO")),"NO ENCONTRADO"))</f>
        <v/>
      </c>
      <c r="E724" s="74">
        <f t="array" ref="E724">IF(OR($D724="",$D724="NO ENCONTRADO"),"",_xlfn.XLOOKUP($D724,Productos!$E:$E,Productos!$H:$H,""))</f>
        <v/>
      </c>
      <c r="F724" s="74">
        <f t="array" ref="F724">IF(OR($D724="",$D724="NO ENCONTRADO"),"",_xlfn.XLOOKUP($D724,Productos!$E:$E,Productos!$I:$I,""))</f>
        <v/>
      </c>
      <c r="G724" s="74">
        <f t="array" ref="G724">IF(OR($D724="",$D724="NO ENCONTRADO"),"",_xlfn.XLOOKUP($D724,Productos!$E:$E,Productos!$J:$J,""))</f>
        <v/>
      </c>
      <c r="H724" s="74">
        <f t="array" ref="H724">IF(OR($D724="",$D724="NO ENCONTRADO"),"",_xlfn.XLOOKUP($D724,Productos!$E:$E,Productos!$K:$K,""))</f>
        <v/>
      </c>
      <c r="I724" s="74">
        <f t="array" ref="I724">IF(OR($D724="",$D724="NO ENCONTRADO"),"",_xlfn.XLOOKUP($D724,Productos!$E:$E,Productos!$F:$F,""))</f>
        <v/>
      </c>
      <c r="J724" s="74">
        <f>IF($C724="","",IF($D724="NO ENCONTRADO",IF(COUNTIF($C$7:$C$1000,$C724)&gt;1,"⚠️ No encontrado | Duplicado","⚠️ No encontrado"),IF(COUNTIF($C$7:$C$1000,$C724)&gt;1,"⚠️ Duplicado","Verificado")))</f>
        <v/>
      </c>
    </row>
    <row r="725" ht="15.75" customHeight="1" s="176">
      <c r="B725" s="80" t="n"/>
      <c r="C725" s="74" t="n"/>
      <c r="D725" s="74">
        <f t="array" ref="D725">IF($C725="","",IFNA(_xlfn.XLOOKUP($C725,Productos!$A:$A,Productos!$E:$E,IFNA(_xlfn.XLOOKUP(TEXT($C725,"0"),Productos!$A:$A,Productos!$E:$E,IFNA(_xlfn.XLOOKUP(IFERROR(VALUE($C725),""),Productos!$A:$A,Productos!$E:$E,_xlfn.XLOOKUP($C725,Productos!$E:$E,Productos!$E:$E,"NO ENCONTRADO")),"NO ENCONTRADO")),"NO ENCONTRADO")),"NO ENCONTRADO"))</f>
        <v/>
      </c>
      <c r="E725" s="74">
        <f t="array" ref="E725">IF(OR($D725="",$D725="NO ENCONTRADO"),"",_xlfn.XLOOKUP($D725,Productos!$E:$E,Productos!$H:$H,""))</f>
        <v/>
      </c>
      <c r="F725" s="74">
        <f t="array" ref="F725">IF(OR($D725="",$D725="NO ENCONTRADO"),"",_xlfn.XLOOKUP($D725,Productos!$E:$E,Productos!$I:$I,""))</f>
        <v/>
      </c>
      <c r="G725" s="74">
        <f t="array" ref="G725">IF(OR($D725="",$D725="NO ENCONTRADO"),"",_xlfn.XLOOKUP($D725,Productos!$E:$E,Productos!$J:$J,""))</f>
        <v/>
      </c>
      <c r="H725" s="74">
        <f t="array" ref="H725">IF(OR($D725="",$D725="NO ENCONTRADO"),"",_xlfn.XLOOKUP($D725,Productos!$E:$E,Productos!$K:$K,""))</f>
        <v/>
      </c>
      <c r="I725" s="74">
        <f t="array" ref="I725">IF(OR($D725="",$D725="NO ENCONTRADO"),"",_xlfn.XLOOKUP($D725,Productos!$E:$E,Productos!$F:$F,""))</f>
        <v/>
      </c>
      <c r="J725" s="74">
        <f>IF($C725="","",IF($D725="NO ENCONTRADO",IF(COUNTIF($C$7:$C$1000,$C725)&gt;1,"⚠️ No encontrado | Duplicado","⚠️ No encontrado"),IF(COUNTIF($C$7:$C$1000,$C725)&gt;1,"⚠️ Duplicado","Verificado")))</f>
        <v/>
      </c>
    </row>
    <row r="726" ht="15.75" customHeight="1" s="176">
      <c r="B726" s="80" t="n"/>
      <c r="C726" s="74" t="n"/>
      <c r="D726" s="74">
        <f t="array" ref="D726">IF($C726="","",IFNA(_xlfn.XLOOKUP($C726,Productos!$A:$A,Productos!$E:$E,IFNA(_xlfn.XLOOKUP(TEXT($C726,"0"),Productos!$A:$A,Productos!$E:$E,IFNA(_xlfn.XLOOKUP(IFERROR(VALUE($C726),""),Productos!$A:$A,Productos!$E:$E,_xlfn.XLOOKUP($C726,Productos!$E:$E,Productos!$E:$E,"NO ENCONTRADO")),"NO ENCONTRADO")),"NO ENCONTRADO")),"NO ENCONTRADO"))</f>
        <v/>
      </c>
      <c r="E726" s="74">
        <f t="array" ref="E726">IF(OR($D726="",$D726="NO ENCONTRADO"),"",_xlfn.XLOOKUP($D726,Productos!$E:$E,Productos!$H:$H,""))</f>
        <v/>
      </c>
      <c r="F726" s="74">
        <f t="array" ref="F726">IF(OR($D726="",$D726="NO ENCONTRADO"),"",_xlfn.XLOOKUP($D726,Productos!$E:$E,Productos!$I:$I,""))</f>
        <v/>
      </c>
      <c r="G726" s="74">
        <f t="array" ref="G726">IF(OR($D726="",$D726="NO ENCONTRADO"),"",_xlfn.XLOOKUP($D726,Productos!$E:$E,Productos!$J:$J,""))</f>
        <v/>
      </c>
      <c r="H726" s="74">
        <f t="array" ref="H726">IF(OR($D726="",$D726="NO ENCONTRADO"),"",_xlfn.XLOOKUP($D726,Productos!$E:$E,Productos!$K:$K,""))</f>
        <v/>
      </c>
      <c r="I726" s="74">
        <f t="array" ref="I726">IF(OR($D726="",$D726="NO ENCONTRADO"),"",_xlfn.XLOOKUP($D726,Productos!$E:$E,Productos!$F:$F,""))</f>
        <v/>
      </c>
      <c r="J726" s="74">
        <f>IF($C726="","",IF($D726="NO ENCONTRADO",IF(COUNTIF($C$7:$C$1000,$C726)&gt;1,"⚠️ No encontrado | Duplicado","⚠️ No encontrado"),IF(COUNTIF($C$7:$C$1000,$C726)&gt;1,"⚠️ Duplicado","Verificado")))</f>
        <v/>
      </c>
    </row>
    <row r="727" ht="15.75" customHeight="1" s="176">
      <c r="B727" s="80" t="n"/>
      <c r="C727" s="74" t="n"/>
      <c r="D727" s="74">
        <f t="array" ref="D727">IF($C727="","",IFNA(_xlfn.XLOOKUP($C727,Productos!$A:$A,Productos!$E:$E,IFNA(_xlfn.XLOOKUP(TEXT($C727,"0"),Productos!$A:$A,Productos!$E:$E,IFNA(_xlfn.XLOOKUP(IFERROR(VALUE($C727),""),Productos!$A:$A,Productos!$E:$E,_xlfn.XLOOKUP($C727,Productos!$E:$E,Productos!$E:$E,"NO ENCONTRADO")),"NO ENCONTRADO")),"NO ENCONTRADO")),"NO ENCONTRADO"))</f>
        <v/>
      </c>
      <c r="E727" s="74">
        <f t="array" ref="E727">IF(OR($D727="",$D727="NO ENCONTRADO"),"",_xlfn.XLOOKUP($D727,Productos!$E:$E,Productos!$H:$H,""))</f>
        <v/>
      </c>
      <c r="F727" s="74">
        <f t="array" ref="F727">IF(OR($D727="",$D727="NO ENCONTRADO"),"",_xlfn.XLOOKUP($D727,Productos!$E:$E,Productos!$I:$I,""))</f>
        <v/>
      </c>
      <c r="G727" s="74">
        <f t="array" ref="G727">IF(OR($D727="",$D727="NO ENCONTRADO"),"",_xlfn.XLOOKUP($D727,Productos!$E:$E,Productos!$J:$J,""))</f>
        <v/>
      </c>
      <c r="H727" s="74">
        <f t="array" ref="H727">IF(OR($D727="",$D727="NO ENCONTRADO"),"",_xlfn.XLOOKUP($D727,Productos!$E:$E,Productos!$K:$K,""))</f>
        <v/>
      </c>
      <c r="I727" s="74">
        <f t="array" ref="I727">IF(OR($D727="",$D727="NO ENCONTRADO"),"",_xlfn.XLOOKUP($D727,Productos!$E:$E,Productos!$F:$F,""))</f>
        <v/>
      </c>
      <c r="J727" s="74">
        <f>IF($C727="","",IF($D727="NO ENCONTRADO",IF(COUNTIF($C$7:$C$1000,$C727)&gt;1,"⚠️ No encontrado | Duplicado","⚠️ No encontrado"),IF(COUNTIF($C$7:$C$1000,$C727)&gt;1,"⚠️ Duplicado","Verificado")))</f>
        <v/>
      </c>
    </row>
    <row r="728" ht="15.75" customHeight="1" s="176">
      <c r="B728" s="80" t="n"/>
      <c r="C728" s="74" t="n"/>
      <c r="D728" s="74">
        <f t="array" ref="D728">IF($C728="","",IFNA(_xlfn.XLOOKUP($C728,Productos!$A:$A,Productos!$E:$E,IFNA(_xlfn.XLOOKUP(TEXT($C728,"0"),Productos!$A:$A,Productos!$E:$E,IFNA(_xlfn.XLOOKUP(IFERROR(VALUE($C728),""),Productos!$A:$A,Productos!$E:$E,_xlfn.XLOOKUP($C728,Productos!$E:$E,Productos!$E:$E,"NO ENCONTRADO")),"NO ENCONTRADO")),"NO ENCONTRADO")),"NO ENCONTRADO"))</f>
        <v/>
      </c>
      <c r="E728" s="74">
        <f t="array" ref="E728">IF(OR($D728="",$D728="NO ENCONTRADO"),"",_xlfn.XLOOKUP($D728,Productos!$E:$E,Productos!$H:$H,""))</f>
        <v/>
      </c>
      <c r="F728" s="74">
        <f t="array" ref="F728">IF(OR($D728="",$D728="NO ENCONTRADO"),"",_xlfn.XLOOKUP($D728,Productos!$E:$E,Productos!$I:$I,""))</f>
        <v/>
      </c>
      <c r="G728" s="74">
        <f t="array" ref="G728">IF(OR($D728="",$D728="NO ENCONTRADO"),"",_xlfn.XLOOKUP($D728,Productos!$E:$E,Productos!$J:$J,""))</f>
        <v/>
      </c>
      <c r="H728" s="74">
        <f t="array" ref="H728">IF(OR($D728="",$D728="NO ENCONTRADO"),"",_xlfn.XLOOKUP($D728,Productos!$E:$E,Productos!$K:$K,""))</f>
        <v/>
      </c>
      <c r="I728" s="74">
        <f t="array" ref="I728">IF(OR($D728="",$D728="NO ENCONTRADO"),"",_xlfn.XLOOKUP($D728,Productos!$E:$E,Productos!$F:$F,""))</f>
        <v/>
      </c>
      <c r="J728" s="74">
        <f>IF($C728="","",IF($D728="NO ENCONTRADO",IF(COUNTIF($C$7:$C$1000,$C728)&gt;1,"⚠️ No encontrado | Duplicado","⚠️ No encontrado"),IF(COUNTIF($C$7:$C$1000,$C728)&gt;1,"⚠️ Duplicado","Verificado")))</f>
        <v/>
      </c>
    </row>
    <row r="729" ht="15.75" customHeight="1" s="176">
      <c r="B729" s="80" t="n"/>
      <c r="C729" s="74" t="n"/>
      <c r="D729" s="74">
        <f t="array" ref="D729">IF($C729="","",IFNA(_xlfn.XLOOKUP($C729,Productos!$A:$A,Productos!$E:$E,IFNA(_xlfn.XLOOKUP(TEXT($C729,"0"),Productos!$A:$A,Productos!$E:$E,IFNA(_xlfn.XLOOKUP(IFERROR(VALUE($C729),""),Productos!$A:$A,Productos!$E:$E,_xlfn.XLOOKUP($C729,Productos!$E:$E,Productos!$E:$E,"NO ENCONTRADO")),"NO ENCONTRADO")),"NO ENCONTRADO")),"NO ENCONTRADO"))</f>
        <v/>
      </c>
      <c r="E729" s="74">
        <f t="array" ref="E729">IF(OR($D729="",$D729="NO ENCONTRADO"),"",_xlfn.XLOOKUP($D729,Productos!$E:$E,Productos!$H:$H,""))</f>
        <v/>
      </c>
      <c r="F729" s="74">
        <f t="array" ref="F729">IF(OR($D729="",$D729="NO ENCONTRADO"),"",_xlfn.XLOOKUP($D729,Productos!$E:$E,Productos!$I:$I,""))</f>
        <v/>
      </c>
      <c r="G729" s="74">
        <f t="array" ref="G729">IF(OR($D729="",$D729="NO ENCONTRADO"),"",_xlfn.XLOOKUP($D729,Productos!$E:$E,Productos!$J:$J,""))</f>
        <v/>
      </c>
      <c r="H729" s="74">
        <f t="array" ref="H729">IF(OR($D729="",$D729="NO ENCONTRADO"),"",_xlfn.XLOOKUP($D729,Productos!$E:$E,Productos!$K:$K,""))</f>
        <v/>
      </c>
      <c r="I729" s="74">
        <f t="array" ref="I729">IF(OR($D729="",$D729="NO ENCONTRADO"),"",_xlfn.XLOOKUP($D729,Productos!$E:$E,Productos!$F:$F,""))</f>
        <v/>
      </c>
      <c r="J729" s="74">
        <f>IF($C729="","",IF($D729="NO ENCONTRADO",IF(COUNTIF($C$7:$C$1000,$C729)&gt;1,"⚠️ No encontrado | Duplicado","⚠️ No encontrado"),IF(COUNTIF($C$7:$C$1000,$C729)&gt;1,"⚠️ Duplicado","Verificado")))</f>
        <v/>
      </c>
    </row>
    <row r="730" ht="15.75" customHeight="1" s="176">
      <c r="B730" s="80" t="n"/>
      <c r="C730" s="74" t="n"/>
      <c r="D730" s="74">
        <f t="array" ref="D730">IF($C730="","",IFNA(_xlfn.XLOOKUP($C730,Productos!$A:$A,Productos!$E:$E,IFNA(_xlfn.XLOOKUP(TEXT($C730,"0"),Productos!$A:$A,Productos!$E:$E,IFNA(_xlfn.XLOOKUP(IFERROR(VALUE($C730),""),Productos!$A:$A,Productos!$E:$E,_xlfn.XLOOKUP($C730,Productos!$E:$E,Productos!$E:$E,"NO ENCONTRADO")),"NO ENCONTRADO")),"NO ENCONTRADO")),"NO ENCONTRADO"))</f>
        <v/>
      </c>
      <c r="E730" s="74">
        <f t="array" ref="E730">IF(OR($D730="",$D730="NO ENCONTRADO"),"",_xlfn.XLOOKUP($D730,Productos!$E:$E,Productos!$H:$H,""))</f>
        <v/>
      </c>
      <c r="F730" s="74">
        <f t="array" ref="F730">IF(OR($D730="",$D730="NO ENCONTRADO"),"",_xlfn.XLOOKUP($D730,Productos!$E:$E,Productos!$I:$I,""))</f>
        <v/>
      </c>
      <c r="G730" s="74">
        <f t="array" ref="G730">IF(OR($D730="",$D730="NO ENCONTRADO"),"",_xlfn.XLOOKUP($D730,Productos!$E:$E,Productos!$J:$J,""))</f>
        <v/>
      </c>
      <c r="H730" s="74">
        <f t="array" ref="H730">IF(OR($D730="",$D730="NO ENCONTRADO"),"",_xlfn.XLOOKUP($D730,Productos!$E:$E,Productos!$K:$K,""))</f>
        <v/>
      </c>
      <c r="I730" s="74">
        <f t="array" ref="I730">IF(OR($D730="",$D730="NO ENCONTRADO"),"",_xlfn.XLOOKUP($D730,Productos!$E:$E,Productos!$F:$F,""))</f>
        <v/>
      </c>
      <c r="J730" s="74">
        <f>IF($C730="","",IF($D730="NO ENCONTRADO",IF(COUNTIF($C$7:$C$1000,$C730)&gt;1,"⚠️ No encontrado | Duplicado","⚠️ No encontrado"),IF(COUNTIF($C$7:$C$1000,$C730)&gt;1,"⚠️ Duplicado","Verificado")))</f>
        <v/>
      </c>
    </row>
    <row r="731" ht="15.75" customHeight="1" s="176">
      <c r="B731" s="80" t="n"/>
      <c r="C731" s="74" t="n"/>
      <c r="D731" s="74">
        <f t="array" ref="D731">IF($C731="","",IFNA(_xlfn.XLOOKUP($C731,Productos!$A:$A,Productos!$E:$E,IFNA(_xlfn.XLOOKUP(TEXT($C731,"0"),Productos!$A:$A,Productos!$E:$E,IFNA(_xlfn.XLOOKUP(IFERROR(VALUE($C731),""),Productos!$A:$A,Productos!$E:$E,_xlfn.XLOOKUP($C731,Productos!$E:$E,Productos!$E:$E,"NO ENCONTRADO")),"NO ENCONTRADO")),"NO ENCONTRADO")),"NO ENCONTRADO"))</f>
        <v/>
      </c>
      <c r="E731" s="74">
        <f t="array" ref="E731">IF(OR($D731="",$D731="NO ENCONTRADO"),"",_xlfn.XLOOKUP($D731,Productos!$E:$E,Productos!$H:$H,""))</f>
        <v/>
      </c>
      <c r="F731" s="74">
        <f t="array" ref="F731">IF(OR($D731="",$D731="NO ENCONTRADO"),"",_xlfn.XLOOKUP($D731,Productos!$E:$E,Productos!$I:$I,""))</f>
        <v/>
      </c>
      <c r="G731" s="74">
        <f t="array" ref="G731">IF(OR($D731="",$D731="NO ENCONTRADO"),"",_xlfn.XLOOKUP($D731,Productos!$E:$E,Productos!$J:$J,""))</f>
        <v/>
      </c>
      <c r="H731" s="74">
        <f t="array" ref="H731">IF(OR($D731="",$D731="NO ENCONTRADO"),"",_xlfn.XLOOKUP($D731,Productos!$E:$E,Productos!$K:$K,""))</f>
        <v/>
      </c>
      <c r="I731" s="74">
        <f t="array" ref="I731">IF(OR($D731="",$D731="NO ENCONTRADO"),"",_xlfn.XLOOKUP($D731,Productos!$E:$E,Productos!$F:$F,""))</f>
        <v/>
      </c>
      <c r="J731" s="74">
        <f>IF($C731="","",IF($D731="NO ENCONTRADO",IF(COUNTIF($C$7:$C$1000,$C731)&gt;1,"⚠️ No encontrado | Duplicado","⚠️ No encontrado"),IF(COUNTIF($C$7:$C$1000,$C731)&gt;1,"⚠️ Duplicado","Verificado")))</f>
        <v/>
      </c>
    </row>
    <row r="732" ht="15.75" customHeight="1" s="176">
      <c r="B732" s="80" t="n"/>
      <c r="C732" s="74" t="n"/>
      <c r="D732" s="74">
        <f t="array" ref="D732">IF($C732="","",IFNA(_xlfn.XLOOKUP($C732,Productos!$A:$A,Productos!$E:$E,IFNA(_xlfn.XLOOKUP(TEXT($C732,"0"),Productos!$A:$A,Productos!$E:$E,IFNA(_xlfn.XLOOKUP(IFERROR(VALUE($C732),""),Productos!$A:$A,Productos!$E:$E,_xlfn.XLOOKUP($C732,Productos!$E:$E,Productos!$E:$E,"NO ENCONTRADO")),"NO ENCONTRADO")),"NO ENCONTRADO")),"NO ENCONTRADO"))</f>
        <v/>
      </c>
      <c r="E732" s="74">
        <f t="array" ref="E732">IF(OR($D732="",$D732="NO ENCONTRADO"),"",_xlfn.XLOOKUP($D732,Productos!$E:$E,Productos!$H:$H,""))</f>
        <v/>
      </c>
      <c r="F732" s="74">
        <f t="array" ref="F732">IF(OR($D732="",$D732="NO ENCONTRADO"),"",_xlfn.XLOOKUP($D732,Productos!$E:$E,Productos!$I:$I,""))</f>
        <v/>
      </c>
      <c r="G732" s="74">
        <f t="array" ref="G732">IF(OR($D732="",$D732="NO ENCONTRADO"),"",_xlfn.XLOOKUP($D732,Productos!$E:$E,Productos!$J:$J,""))</f>
        <v/>
      </c>
      <c r="H732" s="74">
        <f t="array" ref="H732">IF(OR($D732="",$D732="NO ENCONTRADO"),"",_xlfn.XLOOKUP($D732,Productos!$E:$E,Productos!$K:$K,""))</f>
        <v/>
      </c>
      <c r="I732" s="74">
        <f t="array" ref="I732">IF(OR($D732="",$D732="NO ENCONTRADO"),"",_xlfn.XLOOKUP($D732,Productos!$E:$E,Productos!$F:$F,""))</f>
        <v/>
      </c>
      <c r="J732" s="74">
        <f>IF($C732="","",IF($D732="NO ENCONTRADO",IF(COUNTIF($C$7:$C$1000,$C732)&gt;1,"⚠️ No encontrado | Duplicado","⚠️ No encontrado"),IF(COUNTIF($C$7:$C$1000,$C732)&gt;1,"⚠️ Duplicado","Verificado")))</f>
        <v/>
      </c>
    </row>
    <row r="733" ht="15.75" customHeight="1" s="176">
      <c r="B733" s="80" t="n"/>
      <c r="C733" s="74" t="n"/>
      <c r="D733" s="74">
        <f t="array" ref="D733">IF($C733="","",IFNA(_xlfn.XLOOKUP($C733,Productos!$A:$A,Productos!$E:$E,IFNA(_xlfn.XLOOKUP(TEXT($C733,"0"),Productos!$A:$A,Productos!$E:$E,IFNA(_xlfn.XLOOKUP(IFERROR(VALUE($C733),""),Productos!$A:$A,Productos!$E:$E,_xlfn.XLOOKUP($C733,Productos!$E:$E,Productos!$E:$E,"NO ENCONTRADO")),"NO ENCONTRADO")),"NO ENCONTRADO")),"NO ENCONTRADO"))</f>
        <v/>
      </c>
      <c r="E733" s="74">
        <f t="array" ref="E733">IF(OR($D733="",$D733="NO ENCONTRADO"),"",_xlfn.XLOOKUP($D733,Productos!$E:$E,Productos!$H:$H,""))</f>
        <v/>
      </c>
      <c r="F733" s="74">
        <f t="array" ref="F733">IF(OR($D733="",$D733="NO ENCONTRADO"),"",_xlfn.XLOOKUP($D733,Productos!$E:$E,Productos!$I:$I,""))</f>
        <v/>
      </c>
      <c r="G733" s="74">
        <f t="array" ref="G733">IF(OR($D733="",$D733="NO ENCONTRADO"),"",_xlfn.XLOOKUP($D733,Productos!$E:$E,Productos!$J:$J,""))</f>
        <v/>
      </c>
      <c r="H733" s="74">
        <f t="array" ref="H733">IF(OR($D733="",$D733="NO ENCONTRADO"),"",_xlfn.XLOOKUP($D733,Productos!$E:$E,Productos!$K:$K,""))</f>
        <v/>
      </c>
      <c r="I733" s="74">
        <f t="array" ref="I733">IF(OR($D733="",$D733="NO ENCONTRADO"),"",_xlfn.XLOOKUP($D733,Productos!$E:$E,Productos!$F:$F,""))</f>
        <v/>
      </c>
      <c r="J733" s="74">
        <f>IF($C733="","",IF($D733="NO ENCONTRADO",IF(COUNTIF($C$7:$C$1000,$C733)&gt;1,"⚠️ No encontrado | Duplicado","⚠️ No encontrado"),IF(COUNTIF($C$7:$C$1000,$C733)&gt;1,"⚠️ Duplicado","Verificado")))</f>
        <v/>
      </c>
    </row>
    <row r="734" ht="15.75" customHeight="1" s="176">
      <c r="B734" s="80" t="n"/>
      <c r="C734" s="74" t="n"/>
      <c r="D734" s="74">
        <f t="array" ref="D734">IF($C734="","",IFNA(_xlfn.XLOOKUP($C734,Productos!$A:$A,Productos!$E:$E,IFNA(_xlfn.XLOOKUP(TEXT($C734,"0"),Productos!$A:$A,Productos!$E:$E,IFNA(_xlfn.XLOOKUP(IFERROR(VALUE($C734),""),Productos!$A:$A,Productos!$E:$E,_xlfn.XLOOKUP($C734,Productos!$E:$E,Productos!$E:$E,"NO ENCONTRADO")),"NO ENCONTRADO")),"NO ENCONTRADO")),"NO ENCONTRADO"))</f>
        <v/>
      </c>
      <c r="E734" s="74">
        <f t="array" ref="E734">IF(OR($D734="",$D734="NO ENCONTRADO"),"",_xlfn.XLOOKUP($D734,Productos!$E:$E,Productos!$H:$H,""))</f>
        <v/>
      </c>
      <c r="F734" s="74">
        <f t="array" ref="F734">IF(OR($D734="",$D734="NO ENCONTRADO"),"",_xlfn.XLOOKUP($D734,Productos!$E:$E,Productos!$I:$I,""))</f>
        <v/>
      </c>
      <c r="G734" s="74">
        <f t="array" ref="G734">IF(OR($D734="",$D734="NO ENCONTRADO"),"",_xlfn.XLOOKUP($D734,Productos!$E:$E,Productos!$J:$J,""))</f>
        <v/>
      </c>
      <c r="H734" s="74">
        <f t="array" ref="H734">IF(OR($D734="",$D734="NO ENCONTRADO"),"",_xlfn.XLOOKUP($D734,Productos!$E:$E,Productos!$K:$K,""))</f>
        <v/>
      </c>
      <c r="I734" s="74">
        <f t="array" ref="I734">IF(OR($D734="",$D734="NO ENCONTRADO"),"",_xlfn.XLOOKUP($D734,Productos!$E:$E,Productos!$F:$F,""))</f>
        <v/>
      </c>
      <c r="J734" s="74">
        <f>IF($C734="","",IF($D734="NO ENCONTRADO",IF(COUNTIF($C$7:$C$1000,$C734)&gt;1,"⚠️ No encontrado | Duplicado","⚠️ No encontrado"),IF(COUNTIF($C$7:$C$1000,$C734)&gt;1,"⚠️ Duplicado","Verificado")))</f>
        <v/>
      </c>
    </row>
    <row r="735" ht="15.75" customHeight="1" s="176">
      <c r="B735" s="80" t="n"/>
      <c r="C735" s="74" t="n"/>
      <c r="D735" s="74">
        <f t="array" ref="D735">IF($C735="","",IFNA(_xlfn.XLOOKUP($C735,Productos!$A:$A,Productos!$E:$E,IFNA(_xlfn.XLOOKUP(TEXT($C735,"0"),Productos!$A:$A,Productos!$E:$E,IFNA(_xlfn.XLOOKUP(IFERROR(VALUE($C735),""),Productos!$A:$A,Productos!$E:$E,_xlfn.XLOOKUP($C735,Productos!$E:$E,Productos!$E:$E,"NO ENCONTRADO")),"NO ENCONTRADO")),"NO ENCONTRADO")),"NO ENCONTRADO"))</f>
        <v/>
      </c>
      <c r="E735" s="74">
        <f t="array" ref="E735">IF(OR($D735="",$D735="NO ENCONTRADO"),"",_xlfn.XLOOKUP($D735,Productos!$E:$E,Productos!$H:$H,""))</f>
        <v/>
      </c>
      <c r="F735" s="74">
        <f t="array" ref="F735">IF(OR($D735="",$D735="NO ENCONTRADO"),"",_xlfn.XLOOKUP($D735,Productos!$E:$E,Productos!$I:$I,""))</f>
        <v/>
      </c>
      <c r="G735" s="74">
        <f t="array" ref="G735">IF(OR($D735="",$D735="NO ENCONTRADO"),"",_xlfn.XLOOKUP($D735,Productos!$E:$E,Productos!$J:$J,""))</f>
        <v/>
      </c>
      <c r="H735" s="74">
        <f t="array" ref="H735">IF(OR($D735="",$D735="NO ENCONTRADO"),"",_xlfn.XLOOKUP($D735,Productos!$E:$E,Productos!$K:$K,""))</f>
        <v/>
      </c>
      <c r="I735" s="74">
        <f t="array" ref="I735">IF(OR($D735="",$D735="NO ENCONTRADO"),"",_xlfn.XLOOKUP($D735,Productos!$E:$E,Productos!$F:$F,""))</f>
        <v/>
      </c>
      <c r="J735" s="74">
        <f>IF($C735="","",IF($D735="NO ENCONTRADO",IF(COUNTIF($C$7:$C$1000,$C735)&gt;1,"⚠️ No encontrado | Duplicado","⚠️ No encontrado"),IF(COUNTIF($C$7:$C$1000,$C735)&gt;1,"⚠️ Duplicado","Verificado")))</f>
        <v/>
      </c>
    </row>
    <row r="736" ht="15.75" customHeight="1" s="176">
      <c r="B736" s="80" t="n"/>
      <c r="C736" s="74" t="n"/>
      <c r="D736" s="74">
        <f t="array" ref="D736">IF($C736="","",IFNA(_xlfn.XLOOKUP($C736,Productos!$A:$A,Productos!$E:$E,IFNA(_xlfn.XLOOKUP(TEXT($C736,"0"),Productos!$A:$A,Productos!$E:$E,IFNA(_xlfn.XLOOKUP(IFERROR(VALUE($C736),""),Productos!$A:$A,Productos!$E:$E,_xlfn.XLOOKUP($C736,Productos!$E:$E,Productos!$E:$E,"NO ENCONTRADO")),"NO ENCONTRADO")),"NO ENCONTRADO")),"NO ENCONTRADO"))</f>
        <v/>
      </c>
      <c r="E736" s="74">
        <f t="array" ref="E736">IF(OR($D736="",$D736="NO ENCONTRADO"),"",_xlfn.XLOOKUP($D736,Productos!$E:$E,Productos!$H:$H,""))</f>
        <v/>
      </c>
      <c r="F736" s="74">
        <f t="array" ref="F736">IF(OR($D736="",$D736="NO ENCONTRADO"),"",_xlfn.XLOOKUP($D736,Productos!$E:$E,Productos!$I:$I,""))</f>
        <v/>
      </c>
      <c r="G736" s="74">
        <f t="array" ref="G736">IF(OR($D736="",$D736="NO ENCONTRADO"),"",_xlfn.XLOOKUP($D736,Productos!$E:$E,Productos!$J:$J,""))</f>
        <v/>
      </c>
      <c r="H736" s="74">
        <f t="array" ref="H736">IF(OR($D736="",$D736="NO ENCONTRADO"),"",_xlfn.XLOOKUP($D736,Productos!$E:$E,Productos!$K:$K,""))</f>
        <v/>
      </c>
      <c r="I736" s="74">
        <f t="array" ref="I736">IF(OR($D736="",$D736="NO ENCONTRADO"),"",_xlfn.XLOOKUP($D736,Productos!$E:$E,Productos!$F:$F,""))</f>
        <v/>
      </c>
      <c r="J736" s="74">
        <f>IF($C736="","",IF($D736="NO ENCONTRADO",IF(COUNTIF($C$7:$C$1000,$C736)&gt;1,"⚠️ No encontrado | Duplicado","⚠️ No encontrado"),IF(COUNTIF($C$7:$C$1000,$C736)&gt;1,"⚠️ Duplicado","Verificado")))</f>
        <v/>
      </c>
    </row>
    <row r="737" ht="15.75" customHeight="1" s="176">
      <c r="B737" s="80" t="n"/>
      <c r="C737" s="74" t="n"/>
      <c r="D737" s="74">
        <f t="array" ref="D737">IF($C737="","",IFNA(_xlfn.XLOOKUP($C737,Productos!$A:$A,Productos!$E:$E,IFNA(_xlfn.XLOOKUP(TEXT($C737,"0"),Productos!$A:$A,Productos!$E:$E,IFNA(_xlfn.XLOOKUP(IFERROR(VALUE($C737),""),Productos!$A:$A,Productos!$E:$E,_xlfn.XLOOKUP($C737,Productos!$E:$E,Productos!$E:$E,"NO ENCONTRADO")),"NO ENCONTRADO")),"NO ENCONTRADO")),"NO ENCONTRADO"))</f>
        <v/>
      </c>
      <c r="E737" s="74">
        <f t="array" ref="E737">IF(OR($D737="",$D737="NO ENCONTRADO"),"",_xlfn.XLOOKUP($D737,Productos!$E:$E,Productos!$H:$H,""))</f>
        <v/>
      </c>
      <c r="F737" s="74">
        <f t="array" ref="F737">IF(OR($D737="",$D737="NO ENCONTRADO"),"",_xlfn.XLOOKUP($D737,Productos!$E:$E,Productos!$I:$I,""))</f>
        <v/>
      </c>
      <c r="G737" s="74">
        <f t="array" ref="G737">IF(OR($D737="",$D737="NO ENCONTRADO"),"",_xlfn.XLOOKUP($D737,Productos!$E:$E,Productos!$J:$J,""))</f>
        <v/>
      </c>
      <c r="H737" s="74">
        <f t="array" ref="H737">IF(OR($D737="",$D737="NO ENCONTRADO"),"",_xlfn.XLOOKUP($D737,Productos!$E:$E,Productos!$K:$K,""))</f>
        <v/>
      </c>
      <c r="I737" s="74">
        <f t="array" ref="I737">IF(OR($D737="",$D737="NO ENCONTRADO"),"",_xlfn.XLOOKUP($D737,Productos!$E:$E,Productos!$F:$F,""))</f>
        <v/>
      </c>
      <c r="J737" s="74">
        <f>IF($C737="","",IF($D737="NO ENCONTRADO",IF(COUNTIF($C$7:$C$1000,$C737)&gt;1,"⚠️ No encontrado | Duplicado","⚠️ No encontrado"),IF(COUNTIF($C$7:$C$1000,$C737)&gt;1,"⚠️ Duplicado","Verificado")))</f>
        <v/>
      </c>
    </row>
    <row r="738" ht="15.75" customHeight="1" s="176">
      <c r="B738" s="80" t="n"/>
      <c r="C738" s="74" t="n"/>
      <c r="D738" s="74">
        <f t="array" ref="D738">IF($C738="","",IFNA(_xlfn.XLOOKUP($C738,Productos!$A:$A,Productos!$E:$E,IFNA(_xlfn.XLOOKUP(TEXT($C738,"0"),Productos!$A:$A,Productos!$E:$E,IFNA(_xlfn.XLOOKUP(IFERROR(VALUE($C738),""),Productos!$A:$A,Productos!$E:$E,_xlfn.XLOOKUP($C738,Productos!$E:$E,Productos!$E:$E,"NO ENCONTRADO")),"NO ENCONTRADO")),"NO ENCONTRADO")),"NO ENCONTRADO"))</f>
        <v/>
      </c>
      <c r="E738" s="74">
        <f t="array" ref="E738">IF(OR($D738="",$D738="NO ENCONTRADO"),"",_xlfn.XLOOKUP($D738,Productos!$E:$E,Productos!$H:$H,""))</f>
        <v/>
      </c>
      <c r="F738" s="74">
        <f t="array" ref="F738">IF(OR($D738="",$D738="NO ENCONTRADO"),"",_xlfn.XLOOKUP($D738,Productos!$E:$E,Productos!$I:$I,""))</f>
        <v/>
      </c>
      <c r="G738" s="74">
        <f t="array" ref="G738">IF(OR($D738="",$D738="NO ENCONTRADO"),"",_xlfn.XLOOKUP($D738,Productos!$E:$E,Productos!$J:$J,""))</f>
        <v/>
      </c>
      <c r="H738" s="74">
        <f t="array" ref="H738">IF(OR($D738="",$D738="NO ENCONTRADO"),"",_xlfn.XLOOKUP($D738,Productos!$E:$E,Productos!$K:$K,""))</f>
        <v/>
      </c>
      <c r="I738" s="74">
        <f t="array" ref="I738">IF(OR($D738="",$D738="NO ENCONTRADO"),"",_xlfn.XLOOKUP($D738,Productos!$E:$E,Productos!$F:$F,""))</f>
        <v/>
      </c>
      <c r="J738" s="74">
        <f>IF($C738="","",IF($D738="NO ENCONTRADO",IF(COUNTIF($C$7:$C$1000,$C738)&gt;1,"⚠️ No encontrado | Duplicado","⚠️ No encontrado"),IF(COUNTIF($C$7:$C$1000,$C738)&gt;1,"⚠️ Duplicado","Verificado")))</f>
        <v/>
      </c>
    </row>
    <row r="739" ht="15.75" customHeight="1" s="176">
      <c r="B739" s="80" t="n"/>
      <c r="C739" s="74" t="n"/>
      <c r="D739" s="74">
        <f t="array" ref="D739">IF($C739="","",IFNA(_xlfn.XLOOKUP($C739,Productos!$A:$A,Productos!$E:$E,IFNA(_xlfn.XLOOKUP(TEXT($C739,"0"),Productos!$A:$A,Productos!$E:$E,IFNA(_xlfn.XLOOKUP(IFERROR(VALUE($C739),""),Productos!$A:$A,Productos!$E:$E,_xlfn.XLOOKUP($C739,Productos!$E:$E,Productos!$E:$E,"NO ENCONTRADO")),"NO ENCONTRADO")),"NO ENCONTRADO")),"NO ENCONTRADO"))</f>
        <v/>
      </c>
      <c r="E739" s="74">
        <f t="array" ref="E739">IF(OR($D739="",$D739="NO ENCONTRADO"),"",_xlfn.XLOOKUP($D739,Productos!$E:$E,Productos!$H:$H,""))</f>
        <v/>
      </c>
      <c r="F739" s="74">
        <f t="array" ref="F739">IF(OR($D739="",$D739="NO ENCONTRADO"),"",_xlfn.XLOOKUP($D739,Productos!$E:$E,Productos!$I:$I,""))</f>
        <v/>
      </c>
      <c r="G739" s="74">
        <f t="array" ref="G739">IF(OR($D739="",$D739="NO ENCONTRADO"),"",_xlfn.XLOOKUP($D739,Productos!$E:$E,Productos!$J:$J,""))</f>
        <v/>
      </c>
      <c r="H739" s="74">
        <f t="array" ref="H739">IF(OR($D739="",$D739="NO ENCONTRADO"),"",_xlfn.XLOOKUP($D739,Productos!$E:$E,Productos!$K:$K,""))</f>
        <v/>
      </c>
      <c r="I739" s="74">
        <f t="array" ref="I739">IF(OR($D739="",$D739="NO ENCONTRADO"),"",_xlfn.XLOOKUP($D739,Productos!$E:$E,Productos!$F:$F,""))</f>
        <v/>
      </c>
      <c r="J739" s="74">
        <f>IF($C739="","",IF($D739="NO ENCONTRADO",IF(COUNTIF($C$7:$C$1000,$C739)&gt;1,"⚠️ No encontrado | Duplicado","⚠️ No encontrado"),IF(COUNTIF($C$7:$C$1000,$C739)&gt;1,"⚠️ Duplicado","Verificado")))</f>
        <v/>
      </c>
    </row>
    <row r="740" ht="15.75" customHeight="1" s="176">
      <c r="B740" s="80" t="n"/>
      <c r="C740" s="74" t="n"/>
      <c r="D740" s="74">
        <f t="array" ref="D740">IF($C740="","",IFNA(_xlfn.XLOOKUP($C740,Productos!$A:$A,Productos!$E:$E,IFNA(_xlfn.XLOOKUP(TEXT($C740,"0"),Productos!$A:$A,Productos!$E:$E,IFNA(_xlfn.XLOOKUP(IFERROR(VALUE($C740),""),Productos!$A:$A,Productos!$E:$E,_xlfn.XLOOKUP($C740,Productos!$E:$E,Productos!$E:$E,"NO ENCONTRADO")),"NO ENCONTRADO")),"NO ENCONTRADO")),"NO ENCONTRADO"))</f>
        <v/>
      </c>
      <c r="E740" s="74">
        <f t="array" ref="E740">IF(OR($D740="",$D740="NO ENCONTRADO"),"",_xlfn.XLOOKUP($D740,Productos!$E:$E,Productos!$H:$H,""))</f>
        <v/>
      </c>
      <c r="F740" s="74">
        <f t="array" ref="F740">IF(OR($D740="",$D740="NO ENCONTRADO"),"",_xlfn.XLOOKUP($D740,Productos!$E:$E,Productos!$I:$I,""))</f>
        <v/>
      </c>
      <c r="G740" s="74">
        <f t="array" ref="G740">IF(OR($D740="",$D740="NO ENCONTRADO"),"",_xlfn.XLOOKUP($D740,Productos!$E:$E,Productos!$J:$J,""))</f>
        <v/>
      </c>
      <c r="H740" s="74">
        <f t="array" ref="H740">IF(OR($D740="",$D740="NO ENCONTRADO"),"",_xlfn.XLOOKUP($D740,Productos!$E:$E,Productos!$K:$K,""))</f>
        <v/>
      </c>
      <c r="I740" s="74">
        <f t="array" ref="I740">IF(OR($D740="",$D740="NO ENCONTRADO"),"",_xlfn.XLOOKUP($D740,Productos!$E:$E,Productos!$F:$F,""))</f>
        <v/>
      </c>
      <c r="J740" s="74">
        <f>IF($C740="","",IF($D740="NO ENCONTRADO",IF(COUNTIF($C$7:$C$1000,$C740)&gt;1,"⚠️ No encontrado | Duplicado","⚠️ No encontrado"),IF(COUNTIF($C$7:$C$1000,$C740)&gt;1,"⚠️ Duplicado","Verificado")))</f>
        <v/>
      </c>
    </row>
    <row r="741" ht="15.75" customHeight="1" s="176">
      <c r="B741" s="80" t="n"/>
      <c r="C741" s="74" t="n"/>
      <c r="D741" s="74">
        <f t="array" ref="D741">IF($C741="","",IFNA(_xlfn.XLOOKUP($C741,Productos!$A:$A,Productos!$E:$E,IFNA(_xlfn.XLOOKUP(TEXT($C741,"0"),Productos!$A:$A,Productos!$E:$E,IFNA(_xlfn.XLOOKUP(IFERROR(VALUE($C741),""),Productos!$A:$A,Productos!$E:$E,_xlfn.XLOOKUP($C741,Productos!$E:$E,Productos!$E:$E,"NO ENCONTRADO")),"NO ENCONTRADO")),"NO ENCONTRADO")),"NO ENCONTRADO"))</f>
        <v/>
      </c>
      <c r="E741" s="74">
        <f t="array" ref="E741">IF(OR($D741="",$D741="NO ENCONTRADO"),"",_xlfn.XLOOKUP($D741,Productos!$E:$E,Productos!$H:$H,""))</f>
        <v/>
      </c>
      <c r="F741" s="74">
        <f t="array" ref="F741">IF(OR($D741="",$D741="NO ENCONTRADO"),"",_xlfn.XLOOKUP($D741,Productos!$E:$E,Productos!$I:$I,""))</f>
        <v/>
      </c>
      <c r="G741" s="74">
        <f t="array" ref="G741">IF(OR($D741="",$D741="NO ENCONTRADO"),"",_xlfn.XLOOKUP($D741,Productos!$E:$E,Productos!$J:$J,""))</f>
        <v/>
      </c>
      <c r="H741" s="74">
        <f t="array" ref="H741">IF(OR($D741="",$D741="NO ENCONTRADO"),"",_xlfn.XLOOKUP($D741,Productos!$E:$E,Productos!$K:$K,""))</f>
        <v/>
      </c>
      <c r="I741" s="74">
        <f t="array" ref="I741">IF(OR($D741="",$D741="NO ENCONTRADO"),"",_xlfn.XLOOKUP($D741,Productos!$E:$E,Productos!$F:$F,""))</f>
        <v/>
      </c>
      <c r="J741" s="74">
        <f>IF($C741="","",IF($D741="NO ENCONTRADO",IF(COUNTIF($C$7:$C$1000,$C741)&gt;1,"⚠️ No encontrado | Duplicado","⚠️ No encontrado"),IF(COUNTIF($C$7:$C$1000,$C741)&gt;1,"⚠️ Duplicado","Verificado")))</f>
        <v/>
      </c>
    </row>
    <row r="742" ht="15.75" customHeight="1" s="176">
      <c r="B742" s="80" t="n"/>
      <c r="C742" s="74" t="n"/>
      <c r="D742" s="74">
        <f t="array" ref="D742">IF($C742="","",IFNA(_xlfn.XLOOKUP($C742,Productos!$A:$A,Productos!$E:$E,IFNA(_xlfn.XLOOKUP(TEXT($C742,"0"),Productos!$A:$A,Productos!$E:$E,IFNA(_xlfn.XLOOKUP(IFERROR(VALUE($C742),""),Productos!$A:$A,Productos!$E:$E,_xlfn.XLOOKUP($C742,Productos!$E:$E,Productos!$E:$E,"NO ENCONTRADO")),"NO ENCONTRADO")),"NO ENCONTRADO")),"NO ENCONTRADO"))</f>
        <v/>
      </c>
      <c r="E742" s="74">
        <f t="array" ref="E742">IF(OR($D742="",$D742="NO ENCONTRADO"),"",_xlfn.XLOOKUP($D742,Productos!$E:$E,Productos!$H:$H,""))</f>
        <v/>
      </c>
      <c r="F742" s="74">
        <f t="array" ref="F742">IF(OR($D742="",$D742="NO ENCONTRADO"),"",_xlfn.XLOOKUP($D742,Productos!$E:$E,Productos!$I:$I,""))</f>
        <v/>
      </c>
      <c r="G742" s="74">
        <f t="array" ref="G742">IF(OR($D742="",$D742="NO ENCONTRADO"),"",_xlfn.XLOOKUP($D742,Productos!$E:$E,Productos!$J:$J,""))</f>
        <v/>
      </c>
      <c r="H742" s="74">
        <f t="array" ref="H742">IF(OR($D742="",$D742="NO ENCONTRADO"),"",_xlfn.XLOOKUP($D742,Productos!$E:$E,Productos!$K:$K,""))</f>
        <v/>
      </c>
      <c r="I742" s="74">
        <f t="array" ref="I742">IF(OR($D742="",$D742="NO ENCONTRADO"),"",_xlfn.XLOOKUP($D742,Productos!$E:$E,Productos!$F:$F,""))</f>
        <v/>
      </c>
      <c r="J742" s="74">
        <f>IF($C742="","",IF($D742="NO ENCONTRADO",IF(COUNTIF($C$7:$C$1000,$C742)&gt;1,"⚠️ No encontrado | Duplicado","⚠️ No encontrado"),IF(COUNTIF($C$7:$C$1000,$C742)&gt;1,"⚠️ Duplicado","Verificado")))</f>
        <v/>
      </c>
    </row>
    <row r="743" ht="15.75" customHeight="1" s="176">
      <c r="B743" s="80" t="n"/>
      <c r="C743" s="74" t="n"/>
      <c r="D743" s="74">
        <f t="array" ref="D743">IF($C743="","",IFNA(_xlfn.XLOOKUP($C743,Productos!$A:$A,Productos!$E:$E,IFNA(_xlfn.XLOOKUP(TEXT($C743,"0"),Productos!$A:$A,Productos!$E:$E,IFNA(_xlfn.XLOOKUP(IFERROR(VALUE($C743),""),Productos!$A:$A,Productos!$E:$E,_xlfn.XLOOKUP($C743,Productos!$E:$E,Productos!$E:$E,"NO ENCONTRADO")),"NO ENCONTRADO")),"NO ENCONTRADO")),"NO ENCONTRADO"))</f>
        <v/>
      </c>
      <c r="E743" s="74">
        <f t="array" ref="E743">IF(OR($D743="",$D743="NO ENCONTRADO"),"",_xlfn.XLOOKUP($D743,Productos!$E:$E,Productos!$H:$H,""))</f>
        <v/>
      </c>
      <c r="F743" s="74">
        <f t="array" ref="F743">IF(OR($D743="",$D743="NO ENCONTRADO"),"",_xlfn.XLOOKUP($D743,Productos!$E:$E,Productos!$I:$I,""))</f>
        <v/>
      </c>
      <c r="G743" s="74">
        <f t="array" ref="G743">IF(OR($D743="",$D743="NO ENCONTRADO"),"",_xlfn.XLOOKUP($D743,Productos!$E:$E,Productos!$J:$J,""))</f>
        <v/>
      </c>
      <c r="H743" s="74">
        <f t="array" ref="H743">IF(OR($D743="",$D743="NO ENCONTRADO"),"",_xlfn.XLOOKUP($D743,Productos!$E:$E,Productos!$K:$K,""))</f>
        <v/>
      </c>
      <c r="I743" s="74">
        <f t="array" ref="I743">IF(OR($D743="",$D743="NO ENCONTRADO"),"",_xlfn.XLOOKUP($D743,Productos!$E:$E,Productos!$F:$F,""))</f>
        <v/>
      </c>
      <c r="J743" s="74">
        <f>IF($C743="","",IF($D743="NO ENCONTRADO",IF(COUNTIF($C$7:$C$1000,$C743)&gt;1,"⚠️ No encontrado | Duplicado","⚠️ No encontrado"),IF(COUNTIF($C$7:$C$1000,$C743)&gt;1,"⚠️ Duplicado","Verificado")))</f>
        <v/>
      </c>
    </row>
    <row r="744" ht="15.75" customHeight="1" s="176">
      <c r="B744" s="80" t="n"/>
      <c r="C744" s="74" t="n"/>
      <c r="D744" s="74">
        <f t="array" ref="D744">IF($C744="","",IFNA(_xlfn.XLOOKUP($C744,Productos!$A:$A,Productos!$E:$E,IFNA(_xlfn.XLOOKUP(TEXT($C744,"0"),Productos!$A:$A,Productos!$E:$E,IFNA(_xlfn.XLOOKUP(IFERROR(VALUE($C744),""),Productos!$A:$A,Productos!$E:$E,_xlfn.XLOOKUP($C744,Productos!$E:$E,Productos!$E:$E,"NO ENCONTRADO")),"NO ENCONTRADO")),"NO ENCONTRADO")),"NO ENCONTRADO"))</f>
        <v/>
      </c>
      <c r="E744" s="74">
        <f t="array" ref="E744">IF(OR($D744="",$D744="NO ENCONTRADO"),"",_xlfn.XLOOKUP($D744,Productos!$E:$E,Productos!$H:$H,""))</f>
        <v/>
      </c>
      <c r="F744" s="74">
        <f t="array" ref="F744">IF(OR($D744="",$D744="NO ENCONTRADO"),"",_xlfn.XLOOKUP($D744,Productos!$E:$E,Productos!$I:$I,""))</f>
        <v/>
      </c>
      <c r="G744" s="74">
        <f t="array" ref="G744">IF(OR($D744="",$D744="NO ENCONTRADO"),"",_xlfn.XLOOKUP($D744,Productos!$E:$E,Productos!$J:$J,""))</f>
        <v/>
      </c>
      <c r="H744" s="74">
        <f t="array" ref="H744">IF(OR($D744="",$D744="NO ENCONTRADO"),"",_xlfn.XLOOKUP($D744,Productos!$E:$E,Productos!$K:$K,""))</f>
        <v/>
      </c>
      <c r="I744" s="74">
        <f t="array" ref="I744">IF(OR($D744="",$D744="NO ENCONTRADO"),"",_xlfn.XLOOKUP($D744,Productos!$E:$E,Productos!$F:$F,""))</f>
        <v/>
      </c>
      <c r="J744" s="74">
        <f>IF($C744="","",IF($D744="NO ENCONTRADO",IF(COUNTIF($C$7:$C$1000,$C744)&gt;1,"⚠️ No encontrado | Duplicado","⚠️ No encontrado"),IF(COUNTIF($C$7:$C$1000,$C744)&gt;1,"⚠️ Duplicado","Verificado")))</f>
        <v/>
      </c>
    </row>
    <row r="745" ht="15.75" customHeight="1" s="176">
      <c r="B745" s="80" t="n"/>
      <c r="C745" s="74" t="n"/>
      <c r="D745" s="74">
        <f t="array" ref="D745">IF($C745="","",IFNA(_xlfn.XLOOKUP($C745,Productos!$A:$A,Productos!$E:$E,IFNA(_xlfn.XLOOKUP(TEXT($C745,"0"),Productos!$A:$A,Productos!$E:$E,IFNA(_xlfn.XLOOKUP(IFERROR(VALUE($C745),""),Productos!$A:$A,Productos!$E:$E,_xlfn.XLOOKUP($C745,Productos!$E:$E,Productos!$E:$E,"NO ENCONTRADO")),"NO ENCONTRADO")),"NO ENCONTRADO")),"NO ENCONTRADO"))</f>
        <v/>
      </c>
      <c r="E745" s="74">
        <f t="array" ref="E745">IF(OR($D745="",$D745="NO ENCONTRADO"),"",_xlfn.XLOOKUP($D745,Productos!$E:$E,Productos!$H:$H,""))</f>
        <v/>
      </c>
      <c r="F745" s="74">
        <f t="array" ref="F745">IF(OR($D745="",$D745="NO ENCONTRADO"),"",_xlfn.XLOOKUP($D745,Productos!$E:$E,Productos!$I:$I,""))</f>
        <v/>
      </c>
      <c r="G745" s="74">
        <f t="array" ref="G745">IF(OR($D745="",$D745="NO ENCONTRADO"),"",_xlfn.XLOOKUP($D745,Productos!$E:$E,Productos!$J:$J,""))</f>
        <v/>
      </c>
      <c r="H745" s="74">
        <f t="array" ref="H745">IF(OR($D745="",$D745="NO ENCONTRADO"),"",_xlfn.XLOOKUP($D745,Productos!$E:$E,Productos!$K:$K,""))</f>
        <v/>
      </c>
      <c r="I745" s="74">
        <f t="array" ref="I745">IF(OR($D745="",$D745="NO ENCONTRADO"),"",_xlfn.XLOOKUP($D745,Productos!$E:$E,Productos!$F:$F,""))</f>
        <v/>
      </c>
      <c r="J745" s="74">
        <f>IF($C745="","",IF($D745="NO ENCONTRADO",IF(COUNTIF($C$7:$C$1000,$C745)&gt;1,"⚠️ No encontrado | Duplicado","⚠️ No encontrado"),IF(COUNTIF($C$7:$C$1000,$C745)&gt;1,"⚠️ Duplicado","Verificado")))</f>
        <v/>
      </c>
    </row>
    <row r="746" ht="15.75" customHeight="1" s="176">
      <c r="B746" s="80" t="n"/>
      <c r="C746" s="74" t="n"/>
      <c r="D746" s="74">
        <f t="array" ref="D746">IF($C746="","",IFNA(_xlfn.XLOOKUP($C746,Productos!$A:$A,Productos!$E:$E,IFNA(_xlfn.XLOOKUP(TEXT($C746,"0"),Productos!$A:$A,Productos!$E:$E,IFNA(_xlfn.XLOOKUP(IFERROR(VALUE($C746),""),Productos!$A:$A,Productos!$E:$E,_xlfn.XLOOKUP($C746,Productos!$E:$E,Productos!$E:$E,"NO ENCONTRADO")),"NO ENCONTRADO")),"NO ENCONTRADO")),"NO ENCONTRADO"))</f>
        <v/>
      </c>
      <c r="E746" s="74">
        <f t="array" ref="E746">IF(OR($D746="",$D746="NO ENCONTRADO"),"",_xlfn.XLOOKUP($D746,Productos!$E:$E,Productos!$H:$H,""))</f>
        <v/>
      </c>
      <c r="F746" s="74">
        <f t="array" ref="F746">IF(OR($D746="",$D746="NO ENCONTRADO"),"",_xlfn.XLOOKUP($D746,Productos!$E:$E,Productos!$I:$I,""))</f>
        <v/>
      </c>
      <c r="G746" s="74">
        <f t="array" ref="G746">IF(OR($D746="",$D746="NO ENCONTRADO"),"",_xlfn.XLOOKUP($D746,Productos!$E:$E,Productos!$J:$J,""))</f>
        <v/>
      </c>
      <c r="H746" s="74">
        <f t="array" ref="H746">IF(OR($D746="",$D746="NO ENCONTRADO"),"",_xlfn.XLOOKUP($D746,Productos!$E:$E,Productos!$K:$K,""))</f>
        <v/>
      </c>
      <c r="I746" s="74">
        <f t="array" ref="I746">IF(OR($D746="",$D746="NO ENCONTRADO"),"",_xlfn.XLOOKUP($D746,Productos!$E:$E,Productos!$F:$F,""))</f>
        <v/>
      </c>
      <c r="J746" s="74">
        <f>IF($C746="","",IF($D746="NO ENCONTRADO",IF(COUNTIF($C$7:$C$1000,$C746)&gt;1,"⚠️ No encontrado | Duplicado","⚠️ No encontrado"),IF(COUNTIF($C$7:$C$1000,$C746)&gt;1,"⚠️ Duplicado","Verificado")))</f>
        <v/>
      </c>
    </row>
    <row r="747" ht="15.75" customHeight="1" s="176">
      <c r="B747" s="80" t="n"/>
      <c r="C747" s="74" t="n"/>
      <c r="D747" s="74">
        <f t="array" ref="D747">IF($C747="","",IFNA(_xlfn.XLOOKUP($C747,Productos!$A:$A,Productos!$E:$E,IFNA(_xlfn.XLOOKUP(TEXT($C747,"0"),Productos!$A:$A,Productos!$E:$E,IFNA(_xlfn.XLOOKUP(IFERROR(VALUE($C747),""),Productos!$A:$A,Productos!$E:$E,_xlfn.XLOOKUP($C747,Productos!$E:$E,Productos!$E:$E,"NO ENCONTRADO")),"NO ENCONTRADO")),"NO ENCONTRADO")),"NO ENCONTRADO"))</f>
        <v/>
      </c>
      <c r="E747" s="74">
        <f t="array" ref="E747">IF(OR($D747="",$D747="NO ENCONTRADO"),"",_xlfn.XLOOKUP($D747,Productos!$E:$E,Productos!$H:$H,""))</f>
        <v/>
      </c>
      <c r="F747" s="74">
        <f t="array" ref="F747">IF(OR($D747="",$D747="NO ENCONTRADO"),"",_xlfn.XLOOKUP($D747,Productos!$E:$E,Productos!$I:$I,""))</f>
        <v/>
      </c>
      <c r="G747" s="74">
        <f t="array" ref="G747">IF(OR($D747="",$D747="NO ENCONTRADO"),"",_xlfn.XLOOKUP($D747,Productos!$E:$E,Productos!$J:$J,""))</f>
        <v/>
      </c>
      <c r="H747" s="74">
        <f t="array" ref="H747">IF(OR($D747="",$D747="NO ENCONTRADO"),"",_xlfn.XLOOKUP($D747,Productos!$E:$E,Productos!$K:$K,""))</f>
        <v/>
      </c>
      <c r="I747" s="74">
        <f t="array" ref="I747">IF(OR($D747="",$D747="NO ENCONTRADO"),"",_xlfn.XLOOKUP($D747,Productos!$E:$E,Productos!$F:$F,""))</f>
        <v/>
      </c>
      <c r="J747" s="74">
        <f>IF($C747="","",IF($D747="NO ENCONTRADO",IF(COUNTIF($C$7:$C$1000,$C747)&gt;1,"⚠️ No encontrado | Duplicado","⚠️ No encontrado"),IF(COUNTIF($C$7:$C$1000,$C747)&gt;1,"⚠️ Duplicado","Verificado")))</f>
        <v/>
      </c>
    </row>
    <row r="748" ht="15.75" customHeight="1" s="176">
      <c r="B748" s="80" t="n"/>
      <c r="C748" s="74" t="n"/>
      <c r="D748" s="74">
        <f t="array" ref="D748">IF($C748="","",IFNA(_xlfn.XLOOKUP($C748,Productos!$A:$A,Productos!$E:$E,IFNA(_xlfn.XLOOKUP(TEXT($C748,"0"),Productos!$A:$A,Productos!$E:$E,IFNA(_xlfn.XLOOKUP(IFERROR(VALUE($C748),""),Productos!$A:$A,Productos!$E:$E,_xlfn.XLOOKUP($C748,Productos!$E:$E,Productos!$E:$E,"NO ENCONTRADO")),"NO ENCONTRADO")),"NO ENCONTRADO")),"NO ENCONTRADO"))</f>
        <v/>
      </c>
      <c r="E748" s="74">
        <f t="array" ref="E748">IF(OR($D748="",$D748="NO ENCONTRADO"),"",_xlfn.XLOOKUP($D748,Productos!$E:$E,Productos!$H:$H,""))</f>
        <v/>
      </c>
      <c r="F748" s="74">
        <f t="array" ref="F748">IF(OR($D748="",$D748="NO ENCONTRADO"),"",_xlfn.XLOOKUP($D748,Productos!$E:$E,Productos!$I:$I,""))</f>
        <v/>
      </c>
      <c r="G748" s="74">
        <f t="array" ref="G748">IF(OR($D748="",$D748="NO ENCONTRADO"),"",_xlfn.XLOOKUP($D748,Productos!$E:$E,Productos!$J:$J,""))</f>
        <v/>
      </c>
      <c r="H748" s="74">
        <f t="array" ref="H748">IF(OR($D748="",$D748="NO ENCONTRADO"),"",_xlfn.XLOOKUP($D748,Productos!$E:$E,Productos!$K:$K,""))</f>
        <v/>
      </c>
      <c r="I748" s="74">
        <f t="array" ref="I748">IF(OR($D748="",$D748="NO ENCONTRADO"),"",_xlfn.XLOOKUP($D748,Productos!$E:$E,Productos!$F:$F,""))</f>
        <v/>
      </c>
      <c r="J748" s="74">
        <f>IF($C748="","",IF($D748="NO ENCONTRADO",IF(COUNTIF($C$7:$C$1000,$C748)&gt;1,"⚠️ No encontrado | Duplicado","⚠️ No encontrado"),IF(COUNTIF($C$7:$C$1000,$C748)&gt;1,"⚠️ Duplicado","Verificado")))</f>
        <v/>
      </c>
    </row>
    <row r="749" ht="15.75" customHeight="1" s="176">
      <c r="B749" s="80" t="n"/>
      <c r="C749" s="74" t="n"/>
      <c r="D749" s="74">
        <f t="array" ref="D749">IF($C749="","",IFNA(_xlfn.XLOOKUP($C749,Productos!$A:$A,Productos!$E:$E,IFNA(_xlfn.XLOOKUP(TEXT($C749,"0"),Productos!$A:$A,Productos!$E:$E,IFNA(_xlfn.XLOOKUP(IFERROR(VALUE($C749),""),Productos!$A:$A,Productos!$E:$E,_xlfn.XLOOKUP($C749,Productos!$E:$E,Productos!$E:$E,"NO ENCONTRADO")),"NO ENCONTRADO")),"NO ENCONTRADO")),"NO ENCONTRADO"))</f>
        <v/>
      </c>
      <c r="E749" s="74">
        <f t="array" ref="E749">IF(OR($D749="",$D749="NO ENCONTRADO"),"",_xlfn.XLOOKUP($D749,Productos!$E:$E,Productos!$H:$H,""))</f>
        <v/>
      </c>
      <c r="F749" s="74">
        <f t="array" ref="F749">IF(OR($D749="",$D749="NO ENCONTRADO"),"",_xlfn.XLOOKUP($D749,Productos!$E:$E,Productos!$I:$I,""))</f>
        <v/>
      </c>
      <c r="G749" s="74">
        <f t="array" ref="G749">IF(OR($D749="",$D749="NO ENCONTRADO"),"",_xlfn.XLOOKUP($D749,Productos!$E:$E,Productos!$J:$J,""))</f>
        <v/>
      </c>
      <c r="H749" s="74">
        <f t="array" ref="H749">IF(OR($D749="",$D749="NO ENCONTRADO"),"",_xlfn.XLOOKUP($D749,Productos!$E:$E,Productos!$K:$K,""))</f>
        <v/>
      </c>
      <c r="I749" s="74">
        <f t="array" ref="I749">IF(OR($D749="",$D749="NO ENCONTRADO"),"",_xlfn.XLOOKUP($D749,Productos!$E:$E,Productos!$F:$F,""))</f>
        <v/>
      </c>
      <c r="J749" s="74">
        <f>IF($C749="","",IF($D749="NO ENCONTRADO",IF(COUNTIF($C$7:$C$1000,$C749)&gt;1,"⚠️ No encontrado | Duplicado","⚠️ No encontrado"),IF(COUNTIF($C$7:$C$1000,$C749)&gt;1,"⚠️ Duplicado","Verificado")))</f>
        <v/>
      </c>
    </row>
    <row r="750" ht="15.75" customHeight="1" s="176">
      <c r="B750" s="80" t="n"/>
      <c r="C750" s="74" t="n"/>
      <c r="D750" s="74">
        <f t="array" ref="D750">IF($C750="","",IFNA(_xlfn.XLOOKUP($C750,Productos!$A:$A,Productos!$E:$E,IFNA(_xlfn.XLOOKUP(TEXT($C750,"0"),Productos!$A:$A,Productos!$E:$E,IFNA(_xlfn.XLOOKUP(IFERROR(VALUE($C750),""),Productos!$A:$A,Productos!$E:$E,_xlfn.XLOOKUP($C750,Productos!$E:$E,Productos!$E:$E,"NO ENCONTRADO")),"NO ENCONTRADO")),"NO ENCONTRADO")),"NO ENCONTRADO"))</f>
        <v/>
      </c>
      <c r="E750" s="74">
        <f t="array" ref="E750">IF(OR($D750="",$D750="NO ENCONTRADO"),"",_xlfn.XLOOKUP($D750,Productos!$E:$E,Productos!$H:$H,""))</f>
        <v/>
      </c>
      <c r="F750" s="74">
        <f t="array" ref="F750">IF(OR($D750="",$D750="NO ENCONTRADO"),"",_xlfn.XLOOKUP($D750,Productos!$E:$E,Productos!$I:$I,""))</f>
        <v/>
      </c>
      <c r="G750" s="74">
        <f t="array" ref="G750">IF(OR($D750="",$D750="NO ENCONTRADO"),"",_xlfn.XLOOKUP($D750,Productos!$E:$E,Productos!$J:$J,""))</f>
        <v/>
      </c>
      <c r="H750" s="74">
        <f t="array" ref="H750">IF(OR($D750="",$D750="NO ENCONTRADO"),"",_xlfn.XLOOKUP($D750,Productos!$E:$E,Productos!$K:$K,""))</f>
        <v/>
      </c>
      <c r="I750" s="74">
        <f t="array" ref="I750">IF(OR($D750="",$D750="NO ENCONTRADO"),"",_xlfn.XLOOKUP($D750,Productos!$E:$E,Productos!$F:$F,""))</f>
        <v/>
      </c>
      <c r="J750" s="74">
        <f>IF($C750="","",IF($D750="NO ENCONTRADO",IF(COUNTIF($C$7:$C$1000,$C750)&gt;1,"⚠️ No encontrado | Duplicado","⚠️ No encontrado"),IF(COUNTIF($C$7:$C$1000,$C750)&gt;1,"⚠️ Duplicado","Verificado")))</f>
        <v/>
      </c>
    </row>
    <row r="751" ht="15.75" customHeight="1" s="176">
      <c r="B751" s="80" t="n"/>
      <c r="C751" s="74" t="n"/>
      <c r="D751" s="74">
        <f t="array" ref="D751">IF($C751="","",IFNA(_xlfn.XLOOKUP($C751,Productos!$A:$A,Productos!$E:$E,IFNA(_xlfn.XLOOKUP(TEXT($C751,"0"),Productos!$A:$A,Productos!$E:$E,IFNA(_xlfn.XLOOKUP(IFERROR(VALUE($C751),""),Productos!$A:$A,Productos!$E:$E,_xlfn.XLOOKUP($C751,Productos!$E:$E,Productos!$E:$E,"NO ENCONTRADO")),"NO ENCONTRADO")),"NO ENCONTRADO")),"NO ENCONTRADO"))</f>
        <v/>
      </c>
      <c r="E751" s="74">
        <f t="array" ref="E751">IF(OR($D751="",$D751="NO ENCONTRADO"),"",_xlfn.XLOOKUP($D751,Productos!$E:$E,Productos!$H:$H,""))</f>
        <v/>
      </c>
      <c r="F751" s="74">
        <f t="array" ref="F751">IF(OR($D751="",$D751="NO ENCONTRADO"),"",_xlfn.XLOOKUP($D751,Productos!$E:$E,Productos!$I:$I,""))</f>
        <v/>
      </c>
      <c r="G751" s="74">
        <f t="array" ref="G751">IF(OR($D751="",$D751="NO ENCONTRADO"),"",_xlfn.XLOOKUP($D751,Productos!$E:$E,Productos!$J:$J,""))</f>
        <v/>
      </c>
      <c r="H751" s="74">
        <f t="array" ref="H751">IF(OR($D751="",$D751="NO ENCONTRADO"),"",_xlfn.XLOOKUP($D751,Productos!$E:$E,Productos!$K:$K,""))</f>
        <v/>
      </c>
      <c r="I751" s="74">
        <f t="array" ref="I751">IF(OR($D751="",$D751="NO ENCONTRADO"),"",_xlfn.XLOOKUP($D751,Productos!$E:$E,Productos!$F:$F,""))</f>
        <v/>
      </c>
      <c r="J751" s="74">
        <f>IF($C751="","",IF($D751="NO ENCONTRADO",IF(COUNTIF($C$7:$C$1000,$C751)&gt;1,"⚠️ No encontrado | Duplicado","⚠️ No encontrado"),IF(COUNTIF($C$7:$C$1000,$C751)&gt;1,"⚠️ Duplicado","Verificado")))</f>
        <v/>
      </c>
    </row>
    <row r="752" ht="15.75" customHeight="1" s="176">
      <c r="B752" s="80" t="n"/>
      <c r="C752" s="74" t="n"/>
      <c r="D752" s="74">
        <f t="array" ref="D752">IF($C752="","",IFNA(_xlfn.XLOOKUP($C752,Productos!$A:$A,Productos!$E:$E,IFNA(_xlfn.XLOOKUP(TEXT($C752,"0"),Productos!$A:$A,Productos!$E:$E,IFNA(_xlfn.XLOOKUP(IFERROR(VALUE($C752),""),Productos!$A:$A,Productos!$E:$E,_xlfn.XLOOKUP($C752,Productos!$E:$E,Productos!$E:$E,"NO ENCONTRADO")),"NO ENCONTRADO")),"NO ENCONTRADO")),"NO ENCONTRADO"))</f>
        <v/>
      </c>
      <c r="E752" s="74">
        <f t="array" ref="E752">IF(OR($D752="",$D752="NO ENCONTRADO"),"",_xlfn.XLOOKUP($D752,Productos!$E:$E,Productos!$H:$H,""))</f>
        <v/>
      </c>
      <c r="F752" s="74">
        <f t="array" ref="F752">IF(OR($D752="",$D752="NO ENCONTRADO"),"",_xlfn.XLOOKUP($D752,Productos!$E:$E,Productos!$I:$I,""))</f>
        <v/>
      </c>
      <c r="G752" s="74">
        <f t="array" ref="G752">IF(OR($D752="",$D752="NO ENCONTRADO"),"",_xlfn.XLOOKUP($D752,Productos!$E:$E,Productos!$J:$J,""))</f>
        <v/>
      </c>
      <c r="H752" s="74">
        <f t="array" ref="H752">IF(OR($D752="",$D752="NO ENCONTRADO"),"",_xlfn.XLOOKUP($D752,Productos!$E:$E,Productos!$K:$K,""))</f>
        <v/>
      </c>
      <c r="I752" s="74">
        <f t="array" ref="I752">IF(OR($D752="",$D752="NO ENCONTRADO"),"",_xlfn.XLOOKUP($D752,Productos!$E:$E,Productos!$F:$F,""))</f>
        <v/>
      </c>
      <c r="J752" s="74">
        <f>IF($C752="","",IF($D752="NO ENCONTRADO",IF(COUNTIF($C$7:$C$1000,$C752)&gt;1,"⚠️ No encontrado | Duplicado","⚠️ No encontrado"),IF(COUNTIF($C$7:$C$1000,$C752)&gt;1,"⚠️ Duplicado","Verificado")))</f>
        <v/>
      </c>
    </row>
    <row r="753" ht="15.75" customHeight="1" s="176">
      <c r="B753" s="80" t="n"/>
      <c r="C753" s="74" t="n"/>
      <c r="D753" s="74">
        <f t="array" ref="D753">IF($C753="","",IFNA(_xlfn.XLOOKUP($C753,Productos!$A:$A,Productos!$E:$E,IFNA(_xlfn.XLOOKUP(TEXT($C753,"0"),Productos!$A:$A,Productos!$E:$E,IFNA(_xlfn.XLOOKUP(IFERROR(VALUE($C753),""),Productos!$A:$A,Productos!$E:$E,_xlfn.XLOOKUP($C753,Productos!$E:$E,Productos!$E:$E,"NO ENCONTRADO")),"NO ENCONTRADO")),"NO ENCONTRADO")),"NO ENCONTRADO"))</f>
        <v/>
      </c>
      <c r="E753" s="74">
        <f t="array" ref="E753">IF(OR($D753="",$D753="NO ENCONTRADO"),"",_xlfn.XLOOKUP($D753,Productos!$E:$E,Productos!$H:$H,""))</f>
        <v/>
      </c>
      <c r="F753" s="74">
        <f t="array" ref="F753">IF(OR($D753="",$D753="NO ENCONTRADO"),"",_xlfn.XLOOKUP($D753,Productos!$E:$E,Productos!$I:$I,""))</f>
        <v/>
      </c>
      <c r="G753" s="74">
        <f t="array" ref="G753">IF(OR($D753="",$D753="NO ENCONTRADO"),"",_xlfn.XLOOKUP($D753,Productos!$E:$E,Productos!$J:$J,""))</f>
        <v/>
      </c>
      <c r="H753" s="74">
        <f t="array" ref="H753">IF(OR($D753="",$D753="NO ENCONTRADO"),"",_xlfn.XLOOKUP($D753,Productos!$E:$E,Productos!$K:$K,""))</f>
        <v/>
      </c>
      <c r="I753" s="74">
        <f t="array" ref="I753">IF(OR($D753="",$D753="NO ENCONTRADO"),"",_xlfn.XLOOKUP($D753,Productos!$E:$E,Productos!$F:$F,""))</f>
        <v/>
      </c>
      <c r="J753" s="74">
        <f>IF($C753="","",IF($D753="NO ENCONTRADO",IF(COUNTIF($C$7:$C$1000,$C753)&gt;1,"⚠️ No encontrado | Duplicado","⚠️ No encontrado"),IF(COUNTIF($C$7:$C$1000,$C753)&gt;1,"⚠️ Duplicado","Verificado")))</f>
        <v/>
      </c>
    </row>
    <row r="754" ht="15.75" customHeight="1" s="176">
      <c r="B754" s="80" t="n"/>
      <c r="C754" s="74" t="n"/>
      <c r="D754" s="74">
        <f t="array" ref="D754">IF($C754="","",IFNA(_xlfn.XLOOKUP($C754,Productos!$A:$A,Productos!$E:$E,IFNA(_xlfn.XLOOKUP(TEXT($C754,"0"),Productos!$A:$A,Productos!$E:$E,IFNA(_xlfn.XLOOKUP(IFERROR(VALUE($C754),""),Productos!$A:$A,Productos!$E:$E,_xlfn.XLOOKUP($C754,Productos!$E:$E,Productos!$E:$E,"NO ENCONTRADO")),"NO ENCONTRADO")),"NO ENCONTRADO")),"NO ENCONTRADO"))</f>
        <v/>
      </c>
      <c r="E754" s="74">
        <f t="array" ref="E754">IF(OR($D754="",$D754="NO ENCONTRADO"),"",_xlfn.XLOOKUP($D754,Productos!$E:$E,Productos!$H:$H,""))</f>
        <v/>
      </c>
      <c r="F754" s="74">
        <f t="array" ref="F754">IF(OR($D754="",$D754="NO ENCONTRADO"),"",_xlfn.XLOOKUP($D754,Productos!$E:$E,Productos!$I:$I,""))</f>
        <v/>
      </c>
      <c r="G754" s="74">
        <f t="array" ref="G754">IF(OR($D754="",$D754="NO ENCONTRADO"),"",_xlfn.XLOOKUP($D754,Productos!$E:$E,Productos!$J:$J,""))</f>
        <v/>
      </c>
      <c r="H754" s="74">
        <f t="array" ref="H754">IF(OR($D754="",$D754="NO ENCONTRADO"),"",_xlfn.XLOOKUP($D754,Productos!$E:$E,Productos!$K:$K,""))</f>
        <v/>
      </c>
      <c r="I754" s="74">
        <f t="array" ref="I754">IF(OR($D754="",$D754="NO ENCONTRADO"),"",_xlfn.XLOOKUP($D754,Productos!$E:$E,Productos!$F:$F,""))</f>
        <v/>
      </c>
      <c r="J754" s="74">
        <f>IF($C754="","",IF($D754="NO ENCONTRADO",IF(COUNTIF($C$7:$C$1000,$C754)&gt;1,"⚠️ No encontrado | Duplicado","⚠️ No encontrado"),IF(COUNTIF($C$7:$C$1000,$C754)&gt;1,"⚠️ Duplicado","Verificado")))</f>
        <v/>
      </c>
    </row>
    <row r="755" ht="15.75" customHeight="1" s="176">
      <c r="B755" s="80" t="n"/>
      <c r="C755" s="74" t="n"/>
      <c r="D755" s="74">
        <f t="array" ref="D755">IF($C755="","",IFNA(_xlfn.XLOOKUP($C755,Productos!$A:$A,Productos!$E:$E,IFNA(_xlfn.XLOOKUP(TEXT($C755,"0"),Productos!$A:$A,Productos!$E:$E,IFNA(_xlfn.XLOOKUP(IFERROR(VALUE($C755),""),Productos!$A:$A,Productos!$E:$E,_xlfn.XLOOKUP($C755,Productos!$E:$E,Productos!$E:$E,"NO ENCONTRADO")),"NO ENCONTRADO")),"NO ENCONTRADO")),"NO ENCONTRADO"))</f>
        <v/>
      </c>
      <c r="E755" s="74">
        <f t="array" ref="E755">IF(OR($D755="",$D755="NO ENCONTRADO"),"",_xlfn.XLOOKUP($D755,Productos!$E:$E,Productos!$H:$H,""))</f>
        <v/>
      </c>
      <c r="F755" s="74">
        <f t="array" ref="F755">IF(OR($D755="",$D755="NO ENCONTRADO"),"",_xlfn.XLOOKUP($D755,Productos!$E:$E,Productos!$I:$I,""))</f>
        <v/>
      </c>
      <c r="G755" s="74">
        <f t="array" ref="G755">IF(OR($D755="",$D755="NO ENCONTRADO"),"",_xlfn.XLOOKUP($D755,Productos!$E:$E,Productos!$J:$J,""))</f>
        <v/>
      </c>
      <c r="H755" s="74">
        <f t="array" ref="H755">IF(OR($D755="",$D755="NO ENCONTRADO"),"",_xlfn.XLOOKUP($D755,Productos!$E:$E,Productos!$K:$K,""))</f>
        <v/>
      </c>
      <c r="I755" s="74">
        <f t="array" ref="I755">IF(OR($D755="",$D755="NO ENCONTRADO"),"",_xlfn.XLOOKUP($D755,Productos!$E:$E,Productos!$F:$F,""))</f>
        <v/>
      </c>
      <c r="J755" s="74">
        <f>IF($C755="","",IF($D755="NO ENCONTRADO",IF(COUNTIF($C$7:$C$1000,$C755)&gt;1,"⚠️ No encontrado | Duplicado","⚠️ No encontrado"),IF(COUNTIF($C$7:$C$1000,$C755)&gt;1,"⚠️ Duplicado","Verificado")))</f>
        <v/>
      </c>
    </row>
    <row r="756" ht="15.75" customHeight="1" s="176">
      <c r="B756" s="80" t="n"/>
      <c r="C756" s="74" t="n"/>
      <c r="D756" s="74">
        <f t="array" ref="D756">IF($C756="","",IFNA(_xlfn.XLOOKUP($C756,Productos!$A:$A,Productos!$E:$E,IFNA(_xlfn.XLOOKUP(TEXT($C756,"0"),Productos!$A:$A,Productos!$E:$E,IFNA(_xlfn.XLOOKUP(IFERROR(VALUE($C756),""),Productos!$A:$A,Productos!$E:$E,_xlfn.XLOOKUP($C756,Productos!$E:$E,Productos!$E:$E,"NO ENCONTRADO")),"NO ENCONTRADO")),"NO ENCONTRADO")),"NO ENCONTRADO"))</f>
        <v/>
      </c>
      <c r="E756" s="74">
        <f t="array" ref="E756">IF(OR($D756="",$D756="NO ENCONTRADO"),"",_xlfn.XLOOKUP($D756,Productos!$E:$E,Productos!$H:$H,""))</f>
        <v/>
      </c>
      <c r="F756" s="74">
        <f t="array" ref="F756">IF(OR($D756="",$D756="NO ENCONTRADO"),"",_xlfn.XLOOKUP($D756,Productos!$E:$E,Productos!$I:$I,""))</f>
        <v/>
      </c>
      <c r="G756" s="74">
        <f t="array" ref="G756">IF(OR($D756="",$D756="NO ENCONTRADO"),"",_xlfn.XLOOKUP($D756,Productos!$E:$E,Productos!$J:$J,""))</f>
        <v/>
      </c>
      <c r="H756" s="74">
        <f t="array" ref="H756">IF(OR($D756="",$D756="NO ENCONTRADO"),"",_xlfn.XLOOKUP($D756,Productos!$E:$E,Productos!$K:$K,""))</f>
        <v/>
      </c>
      <c r="I756" s="74">
        <f t="array" ref="I756">IF(OR($D756="",$D756="NO ENCONTRADO"),"",_xlfn.XLOOKUP($D756,Productos!$E:$E,Productos!$F:$F,""))</f>
        <v/>
      </c>
      <c r="J756" s="74">
        <f>IF($C756="","",IF($D756="NO ENCONTRADO",IF(COUNTIF($C$7:$C$1000,$C756)&gt;1,"⚠️ No encontrado | Duplicado","⚠️ No encontrado"),IF(COUNTIF($C$7:$C$1000,$C756)&gt;1,"⚠️ Duplicado","Verificado")))</f>
        <v/>
      </c>
    </row>
    <row r="757" ht="15.75" customHeight="1" s="176">
      <c r="B757" s="80" t="n"/>
      <c r="C757" s="74" t="n"/>
      <c r="D757" s="74">
        <f t="array" ref="D757">IF($C757="","",IFNA(_xlfn.XLOOKUP($C757,Productos!$A:$A,Productos!$E:$E,IFNA(_xlfn.XLOOKUP(TEXT($C757,"0"),Productos!$A:$A,Productos!$E:$E,IFNA(_xlfn.XLOOKUP(IFERROR(VALUE($C757),""),Productos!$A:$A,Productos!$E:$E,_xlfn.XLOOKUP($C757,Productos!$E:$E,Productos!$E:$E,"NO ENCONTRADO")),"NO ENCONTRADO")),"NO ENCONTRADO")),"NO ENCONTRADO"))</f>
        <v/>
      </c>
      <c r="E757" s="74">
        <f t="array" ref="E757">IF(OR($D757="",$D757="NO ENCONTRADO"),"",_xlfn.XLOOKUP($D757,Productos!$E:$E,Productos!$H:$H,""))</f>
        <v/>
      </c>
      <c r="F757" s="74">
        <f t="array" ref="F757">IF(OR($D757="",$D757="NO ENCONTRADO"),"",_xlfn.XLOOKUP($D757,Productos!$E:$E,Productos!$I:$I,""))</f>
        <v/>
      </c>
      <c r="G757" s="74">
        <f t="array" ref="G757">IF(OR($D757="",$D757="NO ENCONTRADO"),"",_xlfn.XLOOKUP($D757,Productos!$E:$E,Productos!$J:$J,""))</f>
        <v/>
      </c>
      <c r="H757" s="74">
        <f t="array" ref="H757">IF(OR($D757="",$D757="NO ENCONTRADO"),"",_xlfn.XLOOKUP($D757,Productos!$E:$E,Productos!$K:$K,""))</f>
        <v/>
      </c>
      <c r="I757" s="74">
        <f t="array" ref="I757">IF(OR($D757="",$D757="NO ENCONTRADO"),"",_xlfn.XLOOKUP($D757,Productos!$E:$E,Productos!$F:$F,""))</f>
        <v/>
      </c>
      <c r="J757" s="74">
        <f>IF($C757="","",IF($D757="NO ENCONTRADO",IF(COUNTIF($C$7:$C$1000,$C757)&gt;1,"⚠️ No encontrado | Duplicado","⚠️ No encontrado"),IF(COUNTIF($C$7:$C$1000,$C757)&gt;1,"⚠️ Duplicado","Verificado")))</f>
        <v/>
      </c>
    </row>
    <row r="758" ht="15.75" customHeight="1" s="176">
      <c r="B758" s="80" t="n"/>
      <c r="C758" s="74" t="n"/>
      <c r="D758" s="74">
        <f t="array" ref="D758">IF($C758="","",IFNA(_xlfn.XLOOKUP($C758,Productos!$A:$A,Productos!$E:$E,IFNA(_xlfn.XLOOKUP(TEXT($C758,"0"),Productos!$A:$A,Productos!$E:$E,IFNA(_xlfn.XLOOKUP(IFERROR(VALUE($C758),""),Productos!$A:$A,Productos!$E:$E,_xlfn.XLOOKUP($C758,Productos!$E:$E,Productos!$E:$E,"NO ENCONTRADO")),"NO ENCONTRADO")),"NO ENCONTRADO")),"NO ENCONTRADO"))</f>
        <v/>
      </c>
      <c r="E758" s="74">
        <f t="array" ref="E758">IF(OR($D758="",$D758="NO ENCONTRADO"),"",_xlfn.XLOOKUP($D758,Productos!$E:$E,Productos!$H:$H,""))</f>
        <v/>
      </c>
      <c r="F758" s="74">
        <f t="array" ref="F758">IF(OR($D758="",$D758="NO ENCONTRADO"),"",_xlfn.XLOOKUP($D758,Productos!$E:$E,Productos!$I:$I,""))</f>
        <v/>
      </c>
      <c r="G758" s="74">
        <f t="array" ref="G758">IF(OR($D758="",$D758="NO ENCONTRADO"),"",_xlfn.XLOOKUP($D758,Productos!$E:$E,Productos!$J:$J,""))</f>
        <v/>
      </c>
      <c r="H758" s="74">
        <f t="array" ref="H758">IF(OR($D758="",$D758="NO ENCONTRADO"),"",_xlfn.XLOOKUP($D758,Productos!$E:$E,Productos!$K:$K,""))</f>
        <v/>
      </c>
      <c r="I758" s="74">
        <f t="array" ref="I758">IF(OR($D758="",$D758="NO ENCONTRADO"),"",_xlfn.XLOOKUP($D758,Productos!$E:$E,Productos!$F:$F,""))</f>
        <v/>
      </c>
      <c r="J758" s="74">
        <f>IF($C758="","",IF($D758="NO ENCONTRADO",IF(COUNTIF($C$7:$C$1000,$C758)&gt;1,"⚠️ No encontrado | Duplicado","⚠️ No encontrado"),IF(COUNTIF($C$7:$C$1000,$C758)&gt;1,"⚠️ Duplicado","Verificado")))</f>
        <v/>
      </c>
    </row>
    <row r="759" ht="15.75" customHeight="1" s="176">
      <c r="B759" s="80" t="n"/>
      <c r="C759" s="74" t="n"/>
      <c r="D759" s="74">
        <f t="array" ref="D759">IF($C759="","",IFNA(_xlfn.XLOOKUP($C759,Productos!$A:$A,Productos!$E:$E,IFNA(_xlfn.XLOOKUP(TEXT($C759,"0"),Productos!$A:$A,Productos!$E:$E,IFNA(_xlfn.XLOOKUP(IFERROR(VALUE($C759),""),Productos!$A:$A,Productos!$E:$E,_xlfn.XLOOKUP($C759,Productos!$E:$E,Productos!$E:$E,"NO ENCONTRADO")),"NO ENCONTRADO")),"NO ENCONTRADO")),"NO ENCONTRADO"))</f>
        <v/>
      </c>
      <c r="E759" s="74">
        <f t="array" ref="E759">IF(OR($D759="",$D759="NO ENCONTRADO"),"",_xlfn.XLOOKUP($D759,Productos!$E:$E,Productos!$H:$H,""))</f>
        <v/>
      </c>
      <c r="F759" s="74">
        <f t="array" ref="F759">IF(OR($D759="",$D759="NO ENCONTRADO"),"",_xlfn.XLOOKUP($D759,Productos!$E:$E,Productos!$I:$I,""))</f>
        <v/>
      </c>
      <c r="G759" s="74">
        <f t="array" ref="G759">IF(OR($D759="",$D759="NO ENCONTRADO"),"",_xlfn.XLOOKUP($D759,Productos!$E:$E,Productos!$J:$J,""))</f>
        <v/>
      </c>
      <c r="H759" s="74">
        <f t="array" ref="H759">IF(OR($D759="",$D759="NO ENCONTRADO"),"",_xlfn.XLOOKUP($D759,Productos!$E:$E,Productos!$K:$K,""))</f>
        <v/>
      </c>
      <c r="I759" s="74">
        <f t="array" ref="I759">IF(OR($D759="",$D759="NO ENCONTRADO"),"",_xlfn.XLOOKUP($D759,Productos!$E:$E,Productos!$F:$F,""))</f>
        <v/>
      </c>
      <c r="J759" s="74">
        <f>IF($C759="","",IF($D759="NO ENCONTRADO",IF(COUNTIF($C$7:$C$1000,$C759)&gt;1,"⚠️ No encontrado | Duplicado","⚠️ No encontrado"),IF(COUNTIF($C$7:$C$1000,$C759)&gt;1,"⚠️ Duplicado","Verificado")))</f>
        <v/>
      </c>
    </row>
    <row r="760" ht="15.75" customHeight="1" s="176">
      <c r="B760" s="80" t="n"/>
      <c r="C760" s="74" t="n"/>
      <c r="D760" s="74">
        <f t="array" ref="D760">IF($C760="","",IFNA(_xlfn.XLOOKUP($C760,Productos!$A:$A,Productos!$E:$E,IFNA(_xlfn.XLOOKUP(TEXT($C760,"0"),Productos!$A:$A,Productos!$E:$E,IFNA(_xlfn.XLOOKUP(IFERROR(VALUE($C760),""),Productos!$A:$A,Productos!$E:$E,_xlfn.XLOOKUP($C760,Productos!$E:$E,Productos!$E:$E,"NO ENCONTRADO")),"NO ENCONTRADO")),"NO ENCONTRADO")),"NO ENCONTRADO"))</f>
        <v/>
      </c>
      <c r="E760" s="74">
        <f t="array" ref="E760">IF(OR($D760="",$D760="NO ENCONTRADO"),"",_xlfn.XLOOKUP($D760,Productos!$E:$E,Productos!$H:$H,""))</f>
        <v/>
      </c>
      <c r="F760" s="74">
        <f t="array" ref="F760">IF(OR($D760="",$D760="NO ENCONTRADO"),"",_xlfn.XLOOKUP($D760,Productos!$E:$E,Productos!$I:$I,""))</f>
        <v/>
      </c>
      <c r="G760" s="74">
        <f t="array" ref="G760">IF(OR($D760="",$D760="NO ENCONTRADO"),"",_xlfn.XLOOKUP($D760,Productos!$E:$E,Productos!$J:$J,""))</f>
        <v/>
      </c>
      <c r="H760" s="74">
        <f t="array" ref="H760">IF(OR($D760="",$D760="NO ENCONTRADO"),"",_xlfn.XLOOKUP($D760,Productos!$E:$E,Productos!$K:$K,""))</f>
        <v/>
      </c>
      <c r="I760" s="74">
        <f t="array" ref="I760">IF(OR($D760="",$D760="NO ENCONTRADO"),"",_xlfn.XLOOKUP($D760,Productos!$E:$E,Productos!$F:$F,""))</f>
        <v/>
      </c>
      <c r="J760" s="74">
        <f>IF($C760="","",IF($D760="NO ENCONTRADO",IF(COUNTIF($C$7:$C$1000,$C760)&gt;1,"⚠️ No encontrado | Duplicado","⚠️ No encontrado"),IF(COUNTIF($C$7:$C$1000,$C760)&gt;1,"⚠️ Duplicado","Verificado")))</f>
        <v/>
      </c>
    </row>
    <row r="761" ht="15.75" customHeight="1" s="176">
      <c r="B761" s="80" t="n"/>
      <c r="C761" s="74" t="n"/>
      <c r="D761" s="74">
        <f t="array" ref="D761">IF($C761="","",IFNA(_xlfn.XLOOKUP($C761,Productos!$A:$A,Productos!$E:$E,IFNA(_xlfn.XLOOKUP(TEXT($C761,"0"),Productos!$A:$A,Productos!$E:$E,IFNA(_xlfn.XLOOKUP(IFERROR(VALUE($C761),""),Productos!$A:$A,Productos!$E:$E,_xlfn.XLOOKUP($C761,Productos!$E:$E,Productos!$E:$E,"NO ENCONTRADO")),"NO ENCONTRADO")),"NO ENCONTRADO")),"NO ENCONTRADO"))</f>
        <v/>
      </c>
      <c r="E761" s="74">
        <f t="array" ref="E761">IF(OR($D761="",$D761="NO ENCONTRADO"),"",_xlfn.XLOOKUP($D761,Productos!$E:$E,Productos!$H:$H,""))</f>
        <v/>
      </c>
      <c r="F761" s="74">
        <f t="array" ref="F761">IF(OR($D761="",$D761="NO ENCONTRADO"),"",_xlfn.XLOOKUP($D761,Productos!$E:$E,Productos!$I:$I,""))</f>
        <v/>
      </c>
      <c r="G761" s="74">
        <f t="array" ref="G761">IF(OR($D761="",$D761="NO ENCONTRADO"),"",_xlfn.XLOOKUP($D761,Productos!$E:$E,Productos!$J:$J,""))</f>
        <v/>
      </c>
      <c r="H761" s="74">
        <f t="array" ref="H761">IF(OR($D761="",$D761="NO ENCONTRADO"),"",_xlfn.XLOOKUP($D761,Productos!$E:$E,Productos!$K:$K,""))</f>
        <v/>
      </c>
      <c r="I761" s="74">
        <f t="array" ref="I761">IF(OR($D761="",$D761="NO ENCONTRADO"),"",_xlfn.XLOOKUP($D761,Productos!$E:$E,Productos!$F:$F,""))</f>
        <v/>
      </c>
      <c r="J761" s="74">
        <f>IF($C761="","",IF($D761="NO ENCONTRADO",IF(COUNTIF($C$7:$C$1000,$C761)&gt;1,"⚠️ No encontrado | Duplicado","⚠️ No encontrado"),IF(COUNTIF($C$7:$C$1000,$C761)&gt;1,"⚠️ Duplicado","Verificado")))</f>
        <v/>
      </c>
    </row>
    <row r="762" ht="15.75" customHeight="1" s="176">
      <c r="B762" s="80" t="n"/>
      <c r="C762" s="74" t="n"/>
      <c r="D762" s="74">
        <f t="array" ref="D762">IF($C762="","",IFNA(_xlfn.XLOOKUP($C762,Productos!$A:$A,Productos!$E:$E,IFNA(_xlfn.XLOOKUP(TEXT($C762,"0"),Productos!$A:$A,Productos!$E:$E,IFNA(_xlfn.XLOOKUP(IFERROR(VALUE($C762),""),Productos!$A:$A,Productos!$E:$E,_xlfn.XLOOKUP($C762,Productos!$E:$E,Productos!$E:$E,"NO ENCONTRADO")),"NO ENCONTRADO")),"NO ENCONTRADO")),"NO ENCONTRADO"))</f>
        <v/>
      </c>
      <c r="E762" s="74">
        <f t="array" ref="E762">IF(OR($D762="",$D762="NO ENCONTRADO"),"",_xlfn.XLOOKUP($D762,Productos!$E:$E,Productos!$H:$H,""))</f>
        <v/>
      </c>
      <c r="F762" s="74">
        <f t="array" ref="F762">IF(OR($D762="",$D762="NO ENCONTRADO"),"",_xlfn.XLOOKUP($D762,Productos!$E:$E,Productos!$I:$I,""))</f>
        <v/>
      </c>
      <c r="G762" s="74">
        <f t="array" ref="G762">IF(OR($D762="",$D762="NO ENCONTRADO"),"",_xlfn.XLOOKUP($D762,Productos!$E:$E,Productos!$J:$J,""))</f>
        <v/>
      </c>
      <c r="H762" s="74">
        <f t="array" ref="H762">IF(OR($D762="",$D762="NO ENCONTRADO"),"",_xlfn.XLOOKUP($D762,Productos!$E:$E,Productos!$K:$K,""))</f>
        <v/>
      </c>
      <c r="I762" s="74">
        <f t="array" ref="I762">IF(OR($D762="",$D762="NO ENCONTRADO"),"",_xlfn.XLOOKUP($D762,Productos!$E:$E,Productos!$F:$F,""))</f>
        <v/>
      </c>
      <c r="J762" s="74">
        <f>IF($C762="","",IF($D762="NO ENCONTRADO",IF(COUNTIF($C$7:$C$1000,$C762)&gt;1,"⚠️ No encontrado | Duplicado","⚠️ No encontrado"),IF(COUNTIF($C$7:$C$1000,$C762)&gt;1,"⚠️ Duplicado","Verificado")))</f>
        <v/>
      </c>
    </row>
    <row r="763" ht="15.75" customHeight="1" s="176">
      <c r="B763" s="80" t="n"/>
      <c r="C763" s="74" t="n"/>
      <c r="D763" s="74">
        <f t="array" ref="D763">IF($C763="","",IFNA(_xlfn.XLOOKUP($C763,Productos!$A:$A,Productos!$E:$E,IFNA(_xlfn.XLOOKUP(TEXT($C763,"0"),Productos!$A:$A,Productos!$E:$E,IFNA(_xlfn.XLOOKUP(IFERROR(VALUE($C763),""),Productos!$A:$A,Productos!$E:$E,_xlfn.XLOOKUP($C763,Productos!$E:$E,Productos!$E:$E,"NO ENCONTRADO")),"NO ENCONTRADO")),"NO ENCONTRADO")),"NO ENCONTRADO"))</f>
        <v/>
      </c>
      <c r="E763" s="74">
        <f t="array" ref="E763">IF(OR($D763="",$D763="NO ENCONTRADO"),"",_xlfn.XLOOKUP($D763,Productos!$E:$E,Productos!$H:$H,""))</f>
        <v/>
      </c>
      <c r="F763" s="74">
        <f t="array" ref="F763">IF(OR($D763="",$D763="NO ENCONTRADO"),"",_xlfn.XLOOKUP($D763,Productos!$E:$E,Productos!$I:$I,""))</f>
        <v/>
      </c>
      <c r="G763" s="74">
        <f t="array" ref="G763">IF(OR($D763="",$D763="NO ENCONTRADO"),"",_xlfn.XLOOKUP($D763,Productos!$E:$E,Productos!$J:$J,""))</f>
        <v/>
      </c>
      <c r="H763" s="74">
        <f t="array" ref="H763">IF(OR($D763="",$D763="NO ENCONTRADO"),"",_xlfn.XLOOKUP($D763,Productos!$E:$E,Productos!$K:$K,""))</f>
        <v/>
      </c>
      <c r="I763" s="74">
        <f t="array" ref="I763">IF(OR($D763="",$D763="NO ENCONTRADO"),"",_xlfn.XLOOKUP($D763,Productos!$E:$E,Productos!$F:$F,""))</f>
        <v/>
      </c>
      <c r="J763" s="74">
        <f>IF($C763="","",IF($D763="NO ENCONTRADO",IF(COUNTIF($C$7:$C$1000,$C763)&gt;1,"⚠️ No encontrado | Duplicado","⚠️ No encontrado"),IF(COUNTIF($C$7:$C$1000,$C763)&gt;1,"⚠️ Duplicado","Verificado")))</f>
        <v/>
      </c>
    </row>
    <row r="764" ht="15.75" customHeight="1" s="176">
      <c r="B764" s="80" t="n"/>
      <c r="C764" s="74" t="n"/>
      <c r="D764" s="74">
        <f t="array" ref="D764">IF($C764="","",IFNA(_xlfn.XLOOKUP($C764,Productos!$A:$A,Productos!$E:$E,IFNA(_xlfn.XLOOKUP(TEXT($C764,"0"),Productos!$A:$A,Productos!$E:$E,IFNA(_xlfn.XLOOKUP(IFERROR(VALUE($C764),""),Productos!$A:$A,Productos!$E:$E,_xlfn.XLOOKUP($C764,Productos!$E:$E,Productos!$E:$E,"NO ENCONTRADO")),"NO ENCONTRADO")),"NO ENCONTRADO")),"NO ENCONTRADO"))</f>
        <v/>
      </c>
      <c r="E764" s="74">
        <f t="array" ref="E764">IF(OR($D764="",$D764="NO ENCONTRADO"),"",_xlfn.XLOOKUP($D764,Productos!$E:$E,Productos!$H:$H,""))</f>
        <v/>
      </c>
      <c r="F764" s="74">
        <f t="array" ref="F764">IF(OR($D764="",$D764="NO ENCONTRADO"),"",_xlfn.XLOOKUP($D764,Productos!$E:$E,Productos!$I:$I,""))</f>
        <v/>
      </c>
      <c r="G764" s="74">
        <f t="array" ref="G764">IF(OR($D764="",$D764="NO ENCONTRADO"),"",_xlfn.XLOOKUP($D764,Productos!$E:$E,Productos!$J:$J,""))</f>
        <v/>
      </c>
      <c r="H764" s="74">
        <f t="array" ref="H764">IF(OR($D764="",$D764="NO ENCONTRADO"),"",_xlfn.XLOOKUP($D764,Productos!$E:$E,Productos!$K:$K,""))</f>
        <v/>
      </c>
      <c r="I764" s="74">
        <f t="array" ref="I764">IF(OR($D764="",$D764="NO ENCONTRADO"),"",_xlfn.XLOOKUP($D764,Productos!$E:$E,Productos!$F:$F,""))</f>
        <v/>
      </c>
      <c r="J764" s="74">
        <f>IF($C764="","",IF($D764="NO ENCONTRADO",IF(COUNTIF($C$7:$C$1000,$C764)&gt;1,"⚠️ No encontrado | Duplicado","⚠️ No encontrado"),IF(COUNTIF($C$7:$C$1000,$C764)&gt;1,"⚠️ Duplicado","Verificado")))</f>
        <v/>
      </c>
    </row>
    <row r="765" ht="15.75" customHeight="1" s="176">
      <c r="B765" s="80" t="n"/>
      <c r="C765" s="74" t="n"/>
      <c r="D765" s="74">
        <f t="array" ref="D765">IF($C765="","",IFNA(_xlfn.XLOOKUP($C765,Productos!$A:$A,Productos!$E:$E,IFNA(_xlfn.XLOOKUP(TEXT($C765,"0"),Productos!$A:$A,Productos!$E:$E,IFNA(_xlfn.XLOOKUP(IFERROR(VALUE($C765),""),Productos!$A:$A,Productos!$E:$E,_xlfn.XLOOKUP($C765,Productos!$E:$E,Productos!$E:$E,"NO ENCONTRADO")),"NO ENCONTRADO")),"NO ENCONTRADO")),"NO ENCONTRADO"))</f>
        <v/>
      </c>
      <c r="E765" s="74">
        <f t="array" ref="E765">IF(OR($D765="",$D765="NO ENCONTRADO"),"",_xlfn.XLOOKUP($D765,Productos!$E:$E,Productos!$H:$H,""))</f>
        <v/>
      </c>
      <c r="F765" s="74">
        <f t="array" ref="F765">IF(OR($D765="",$D765="NO ENCONTRADO"),"",_xlfn.XLOOKUP($D765,Productos!$E:$E,Productos!$I:$I,""))</f>
        <v/>
      </c>
      <c r="G765" s="74">
        <f t="array" ref="G765">IF(OR($D765="",$D765="NO ENCONTRADO"),"",_xlfn.XLOOKUP($D765,Productos!$E:$E,Productos!$J:$J,""))</f>
        <v/>
      </c>
      <c r="H765" s="74">
        <f t="array" ref="H765">IF(OR($D765="",$D765="NO ENCONTRADO"),"",_xlfn.XLOOKUP($D765,Productos!$E:$E,Productos!$K:$K,""))</f>
        <v/>
      </c>
      <c r="I765" s="74">
        <f t="array" ref="I765">IF(OR($D765="",$D765="NO ENCONTRADO"),"",_xlfn.XLOOKUP($D765,Productos!$E:$E,Productos!$F:$F,""))</f>
        <v/>
      </c>
      <c r="J765" s="74">
        <f>IF($C765="","",IF($D765="NO ENCONTRADO",IF(COUNTIF($C$7:$C$1000,$C765)&gt;1,"⚠️ No encontrado | Duplicado","⚠️ No encontrado"),IF(COUNTIF($C$7:$C$1000,$C765)&gt;1,"⚠️ Duplicado","Verificado")))</f>
        <v/>
      </c>
    </row>
    <row r="766" ht="15.75" customHeight="1" s="176">
      <c r="B766" s="80" t="n"/>
      <c r="C766" s="74" t="n"/>
      <c r="D766" s="74">
        <f t="array" ref="D766">IF($C766="","",IFNA(_xlfn.XLOOKUP($C766,Productos!$A:$A,Productos!$E:$E,IFNA(_xlfn.XLOOKUP(TEXT($C766,"0"),Productos!$A:$A,Productos!$E:$E,IFNA(_xlfn.XLOOKUP(IFERROR(VALUE($C766),""),Productos!$A:$A,Productos!$E:$E,_xlfn.XLOOKUP($C766,Productos!$E:$E,Productos!$E:$E,"NO ENCONTRADO")),"NO ENCONTRADO")),"NO ENCONTRADO")),"NO ENCONTRADO"))</f>
        <v/>
      </c>
      <c r="E766" s="74">
        <f t="array" ref="E766">IF(OR($D766="",$D766="NO ENCONTRADO"),"",_xlfn.XLOOKUP($D766,Productos!$E:$E,Productos!$H:$H,""))</f>
        <v/>
      </c>
      <c r="F766" s="74">
        <f t="array" ref="F766">IF(OR($D766="",$D766="NO ENCONTRADO"),"",_xlfn.XLOOKUP($D766,Productos!$E:$E,Productos!$I:$I,""))</f>
        <v/>
      </c>
      <c r="G766" s="74">
        <f t="array" ref="G766">IF(OR($D766="",$D766="NO ENCONTRADO"),"",_xlfn.XLOOKUP($D766,Productos!$E:$E,Productos!$J:$J,""))</f>
        <v/>
      </c>
      <c r="H766" s="74">
        <f t="array" ref="H766">IF(OR($D766="",$D766="NO ENCONTRADO"),"",_xlfn.XLOOKUP($D766,Productos!$E:$E,Productos!$K:$K,""))</f>
        <v/>
      </c>
      <c r="I766" s="74">
        <f t="array" ref="I766">IF(OR($D766="",$D766="NO ENCONTRADO"),"",_xlfn.XLOOKUP($D766,Productos!$E:$E,Productos!$F:$F,""))</f>
        <v/>
      </c>
      <c r="J766" s="74">
        <f>IF($C766="","",IF($D766="NO ENCONTRADO",IF(COUNTIF($C$7:$C$1000,$C766)&gt;1,"⚠️ No encontrado | Duplicado","⚠️ No encontrado"),IF(COUNTIF($C$7:$C$1000,$C766)&gt;1,"⚠️ Duplicado","Verificado")))</f>
        <v/>
      </c>
    </row>
    <row r="767" ht="15.75" customHeight="1" s="176">
      <c r="B767" s="80" t="n"/>
      <c r="C767" s="74" t="n"/>
      <c r="D767" s="74">
        <f t="array" ref="D767">IF($C767="","",IFNA(_xlfn.XLOOKUP($C767,Productos!$A:$A,Productos!$E:$E,IFNA(_xlfn.XLOOKUP(TEXT($C767,"0"),Productos!$A:$A,Productos!$E:$E,IFNA(_xlfn.XLOOKUP(IFERROR(VALUE($C767),""),Productos!$A:$A,Productos!$E:$E,_xlfn.XLOOKUP($C767,Productos!$E:$E,Productos!$E:$E,"NO ENCONTRADO")),"NO ENCONTRADO")),"NO ENCONTRADO")),"NO ENCONTRADO"))</f>
        <v/>
      </c>
      <c r="E767" s="74">
        <f t="array" ref="E767">IF(OR($D767="",$D767="NO ENCONTRADO"),"",_xlfn.XLOOKUP($D767,Productos!$E:$E,Productos!$H:$H,""))</f>
        <v/>
      </c>
      <c r="F767" s="74">
        <f t="array" ref="F767">IF(OR($D767="",$D767="NO ENCONTRADO"),"",_xlfn.XLOOKUP($D767,Productos!$E:$E,Productos!$I:$I,""))</f>
        <v/>
      </c>
      <c r="G767" s="74">
        <f t="array" ref="G767">IF(OR($D767="",$D767="NO ENCONTRADO"),"",_xlfn.XLOOKUP($D767,Productos!$E:$E,Productos!$J:$J,""))</f>
        <v/>
      </c>
      <c r="H767" s="74">
        <f t="array" ref="H767">IF(OR($D767="",$D767="NO ENCONTRADO"),"",_xlfn.XLOOKUP($D767,Productos!$E:$E,Productos!$K:$K,""))</f>
        <v/>
      </c>
      <c r="I767" s="74">
        <f t="array" ref="I767">IF(OR($D767="",$D767="NO ENCONTRADO"),"",_xlfn.XLOOKUP($D767,Productos!$E:$E,Productos!$F:$F,""))</f>
        <v/>
      </c>
      <c r="J767" s="74">
        <f>IF($C767="","",IF($D767="NO ENCONTRADO",IF(COUNTIF($C$7:$C$1000,$C767)&gt;1,"⚠️ No encontrado | Duplicado","⚠️ No encontrado"),IF(COUNTIF($C$7:$C$1000,$C767)&gt;1,"⚠️ Duplicado","Verificado")))</f>
        <v/>
      </c>
    </row>
    <row r="768" ht="15.75" customHeight="1" s="176">
      <c r="B768" s="80" t="n"/>
      <c r="C768" s="74" t="n"/>
      <c r="D768" s="74">
        <f t="array" ref="D768">IF($C768="","",IFNA(_xlfn.XLOOKUP($C768,Productos!$A:$A,Productos!$E:$E,IFNA(_xlfn.XLOOKUP(TEXT($C768,"0"),Productos!$A:$A,Productos!$E:$E,IFNA(_xlfn.XLOOKUP(IFERROR(VALUE($C768),""),Productos!$A:$A,Productos!$E:$E,_xlfn.XLOOKUP($C768,Productos!$E:$E,Productos!$E:$E,"NO ENCONTRADO")),"NO ENCONTRADO")),"NO ENCONTRADO")),"NO ENCONTRADO"))</f>
        <v/>
      </c>
      <c r="E768" s="74">
        <f t="array" ref="E768">IF(OR($D768="",$D768="NO ENCONTRADO"),"",_xlfn.XLOOKUP($D768,Productos!$E:$E,Productos!$H:$H,""))</f>
        <v/>
      </c>
      <c r="F768" s="74">
        <f t="array" ref="F768">IF(OR($D768="",$D768="NO ENCONTRADO"),"",_xlfn.XLOOKUP($D768,Productos!$E:$E,Productos!$I:$I,""))</f>
        <v/>
      </c>
      <c r="G768" s="74">
        <f t="array" ref="G768">IF(OR($D768="",$D768="NO ENCONTRADO"),"",_xlfn.XLOOKUP($D768,Productos!$E:$E,Productos!$J:$J,""))</f>
        <v/>
      </c>
      <c r="H768" s="74">
        <f t="array" ref="H768">IF(OR($D768="",$D768="NO ENCONTRADO"),"",_xlfn.XLOOKUP($D768,Productos!$E:$E,Productos!$K:$K,""))</f>
        <v/>
      </c>
      <c r="I768" s="74">
        <f t="array" ref="I768">IF(OR($D768="",$D768="NO ENCONTRADO"),"",_xlfn.XLOOKUP($D768,Productos!$E:$E,Productos!$F:$F,""))</f>
        <v/>
      </c>
      <c r="J768" s="74">
        <f>IF($C768="","",IF($D768="NO ENCONTRADO",IF(COUNTIF($C$7:$C$1000,$C768)&gt;1,"⚠️ No encontrado | Duplicado","⚠️ No encontrado"),IF(COUNTIF($C$7:$C$1000,$C768)&gt;1,"⚠️ Duplicado","Verificado")))</f>
        <v/>
      </c>
    </row>
    <row r="769" ht="15.75" customHeight="1" s="176">
      <c r="B769" s="80" t="n"/>
      <c r="C769" s="74" t="n"/>
      <c r="D769" s="74">
        <f t="array" ref="D769">IF($C769="","",IFNA(_xlfn.XLOOKUP($C769,Productos!$A:$A,Productos!$E:$E,IFNA(_xlfn.XLOOKUP(TEXT($C769,"0"),Productos!$A:$A,Productos!$E:$E,IFNA(_xlfn.XLOOKUP(IFERROR(VALUE($C769),""),Productos!$A:$A,Productos!$E:$E,_xlfn.XLOOKUP($C769,Productos!$E:$E,Productos!$E:$E,"NO ENCONTRADO")),"NO ENCONTRADO")),"NO ENCONTRADO")),"NO ENCONTRADO"))</f>
        <v/>
      </c>
      <c r="E769" s="74">
        <f t="array" ref="E769">IF(OR($D769="",$D769="NO ENCONTRADO"),"",_xlfn.XLOOKUP($D769,Productos!$E:$E,Productos!$H:$H,""))</f>
        <v/>
      </c>
      <c r="F769" s="74">
        <f t="array" ref="F769">IF(OR($D769="",$D769="NO ENCONTRADO"),"",_xlfn.XLOOKUP($D769,Productos!$E:$E,Productos!$I:$I,""))</f>
        <v/>
      </c>
      <c r="G769" s="74">
        <f t="array" ref="G769">IF(OR($D769="",$D769="NO ENCONTRADO"),"",_xlfn.XLOOKUP($D769,Productos!$E:$E,Productos!$J:$J,""))</f>
        <v/>
      </c>
      <c r="H769" s="74">
        <f t="array" ref="H769">IF(OR($D769="",$D769="NO ENCONTRADO"),"",_xlfn.XLOOKUP($D769,Productos!$E:$E,Productos!$K:$K,""))</f>
        <v/>
      </c>
      <c r="I769" s="74">
        <f t="array" ref="I769">IF(OR($D769="",$D769="NO ENCONTRADO"),"",_xlfn.XLOOKUP($D769,Productos!$E:$E,Productos!$F:$F,""))</f>
        <v/>
      </c>
      <c r="J769" s="74">
        <f>IF($C769="","",IF($D769="NO ENCONTRADO",IF(COUNTIF($C$7:$C$1000,$C769)&gt;1,"⚠️ No encontrado | Duplicado","⚠️ No encontrado"),IF(COUNTIF($C$7:$C$1000,$C769)&gt;1,"⚠️ Duplicado","Verificado")))</f>
        <v/>
      </c>
    </row>
    <row r="770" ht="15.75" customHeight="1" s="176">
      <c r="B770" s="80" t="n"/>
      <c r="C770" s="74" t="n"/>
      <c r="D770" s="74">
        <f t="array" ref="D770">IF($C770="","",IFNA(_xlfn.XLOOKUP($C770,Productos!$A:$A,Productos!$E:$E,IFNA(_xlfn.XLOOKUP(TEXT($C770,"0"),Productos!$A:$A,Productos!$E:$E,IFNA(_xlfn.XLOOKUP(IFERROR(VALUE($C770),""),Productos!$A:$A,Productos!$E:$E,_xlfn.XLOOKUP($C770,Productos!$E:$E,Productos!$E:$E,"NO ENCONTRADO")),"NO ENCONTRADO")),"NO ENCONTRADO")),"NO ENCONTRADO"))</f>
        <v/>
      </c>
      <c r="E770" s="74">
        <f t="array" ref="E770">IF(OR($D770="",$D770="NO ENCONTRADO"),"",_xlfn.XLOOKUP($D770,Productos!$E:$E,Productos!$H:$H,""))</f>
        <v/>
      </c>
      <c r="F770" s="74">
        <f t="array" ref="F770">IF(OR($D770="",$D770="NO ENCONTRADO"),"",_xlfn.XLOOKUP($D770,Productos!$E:$E,Productos!$I:$I,""))</f>
        <v/>
      </c>
      <c r="G770" s="74">
        <f t="array" ref="G770">IF(OR($D770="",$D770="NO ENCONTRADO"),"",_xlfn.XLOOKUP($D770,Productos!$E:$E,Productos!$J:$J,""))</f>
        <v/>
      </c>
      <c r="H770" s="74">
        <f t="array" ref="H770">IF(OR($D770="",$D770="NO ENCONTRADO"),"",_xlfn.XLOOKUP($D770,Productos!$E:$E,Productos!$K:$K,""))</f>
        <v/>
      </c>
      <c r="I770" s="74">
        <f t="array" ref="I770">IF(OR($D770="",$D770="NO ENCONTRADO"),"",_xlfn.XLOOKUP($D770,Productos!$E:$E,Productos!$F:$F,""))</f>
        <v/>
      </c>
      <c r="J770" s="74">
        <f>IF($C770="","",IF($D770="NO ENCONTRADO",IF(COUNTIF($C$7:$C$1000,$C770)&gt;1,"⚠️ No encontrado | Duplicado","⚠️ No encontrado"),IF(COUNTIF($C$7:$C$1000,$C770)&gt;1,"⚠️ Duplicado","Verificado")))</f>
        <v/>
      </c>
    </row>
    <row r="771" ht="15.75" customHeight="1" s="176">
      <c r="B771" s="80" t="n"/>
      <c r="C771" s="74" t="n"/>
      <c r="D771" s="74">
        <f t="array" ref="D771">IF($C771="","",IFNA(_xlfn.XLOOKUP($C771,Productos!$A:$A,Productos!$E:$E,IFNA(_xlfn.XLOOKUP(TEXT($C771,"0"),Productos!$A:$A,Productos!$E:$E,IFNA(_xlfn.XLOOKUP(IFERROR(VALUE($C771),""),Productos!$A:$A,Productos!$E:$E,_xlfn.XLOOKUP($C771,Productos!$E:$E,Productos!$E:$E,"NO ENCONTRADO")),"NO ENCONTRADO")),"NO ENCONTRADO")),"NO ENCONTRADO"))</f>
        <v/>
      </c>
      <c r="E771" s="74">
        <f t="array" ref="E771">IF(OR($D771="",$D771="NO ENCONTRADO"),"",_xlfn.XLOOKUP($D771,Productos!$E:$E,Productos!$H:$H,""))</f>
        <v/>
      </c>
      <c r="F771" s="74">
        <f t="array" ref="F771">IF(OR($D771="",$D771="NO ENCONTRADO"),"",_xlfn.XLOOKUP($D771,Productos!$E:$E,Productos!$I:$I,""))</f>
        <v/>
      </c>
      <c r="G771" s="74">
        <f t="array" ref="G771">IF(OR($D771="",$D771="NO ENCONTRADO"),"",_xlfn.XLOOKUP($D771,Productos!$E:$E,Productos!$J:$J,""))</f>
        <v/>
      </c>
      <c r="H771" s="74">
        <f t="array" ref="H771">IF(OR($D771="",$D771="NO ENCONTRADO"),"",_xlfn.XLOOKUP($D771,Productos!$E:$E,Productos!$K:$K,""))</f>
        <v/>
      </c>
      <c r="I771" s="74">
        <f t="array" ref="I771">IF(OR($D771="",$D771="NO ENCONTRADO"),"",_xlfn.XLOOKUP($D771,Productos!$E:$E,Productos!$F:$F,""))</f>
        <v/>
      </c>
      <c r="J771" s="74">
        <f>IF($C771="","",IF($D771="NO ENCONTRADO",IF(COUNTIF($C$7:$C$1000,$C771)&gt;1,"⚠️ No encontrado | Duplicado","⚠️ No encontrado"),IF(COUNTIF($C$7:$C$1000,$C771)&gt;1,"⚠️ Duplicado","Verificado")))</f>
        <v/>
      </c>
    </row>
    <row r="772" ht="15.75" customHeight="1" s="176">
      <c r="B772" s="80" t="n"/>
      <c r="C772" s="74" t="n"/>
      <c r="D772" s="74">
        <f t="array" ref="D772">IF($C772="","",IFNA(_xlfn.XLOOKUP($C772,Productos!$A:$A,Productos!$E:$E,IFNA(_xlfn.XLOOKUP(TEXT($C772,"0"),Productos!$A:$A,Productos!$E:$E,IFNA(_xlfn.XLOOKUP(IFERROR(VALUE($C772),""),Productos!$A:$A,Productos!$E:$E,_xlfn.XLOOKUP($C772,Productos!$E:$E,Productos!$E:$E,"NO ENCONTRADO")),"NO ENCONTRADO")),"NO ENCONTRADO")),"NO ENCONTRADO"))</f>
        <v/>
      </c>
      <c r="E772" s="74">
        <f t="array" ref="E772">IF(OR($D772="",$D772="NO ENCONTRADO"),"",_xlfn.XLOOKUP($D772,Productos!$E:$E,Productos!$H:$H,""))</f>
        <v/>
      </c>
      <c r="F772" s="74">
        <f t="array" ref="F772">IF(OR($D772="",$D772="NO ENCONTRADO"),"",_xlfn.XLOOKUP($D772,Productos!$E:$E,Productos!$I:$I,""))</f>
        <v/>
      </c>
      <c r="G772" s="74">
        <f t="array" ref="G772">IF(OR($D772="",$D772="NO ENCONTRADO"),"",_xlfn.XLOOKUP($D772,Productos!$E:$E,Productos!$J:$J,""))</f>
        <v/>
      </c>
      <c r="H772" s="74">
        <f t="array" ref="H772">IF(OR($D772="",$D772="NO ENCONTRADO"),"",_xlfn.XLOOKUP($D772,Productos!$E:$E,Productos!$K:$K,""))</f>
        <v/>
      </c>
      <c r="I772" s="74">
        <f t="array" ref="I772">IF(OR($D772="",$D772="NO ENCONTRADO"),"",_xlfn.XLOOKUP($D772,Productos!$E:$E,Productos!$F:$F,""))</f>
        <v/>
      </c>
      <c r="J772" s="74">
        <f>IF($C772="","",IF($D772="NO ENCONTRADO",IF(COUNTIF($C$7:$C$1000,$C772)&gt;1,"⚠️ No encontrado | Duplicado","⚠️ No encontrado"),IF(COUNTIF($C$7:$C$1000,$C772)&gt;1,"⚠️ Duplicado","Verificado")))</f>
        <v/>
      </c>
    </row>
    <row r="773" ht="15.75" customHeight="1" s="176">
      <c r="B773" s="80" t="n"/>
      <c r="C773" s="74" t="n"/>
      <c r="D773" s="74">
        <f t="array" ref="D773">IF($C773="","",IFNA(_xlfn.XLOOKUP($C773,Productos!$A:$A,Productos!$E:$E,IFNA(_xlfn.XLOOKUP(TEXT($C773,"0"),Productos!$A:$A,Productos!$E:$E,IFNA(_xlfn.XLOOKUP(IFERROR(VALUE($C773),""),Productos!$A:$A,Productos!$E:$E,_xlfn.XLOOKUP($C773,Productos!$E:$E,Productos!$E:$E,"NO ENCONTRADO")),"NO ENCONTRADO")),"NO ENCONTRADO")),"NO ENCONTRADO"))</f>
        <v/>
      </c>
      <c r="E773" s="74">
        <f t="array" ref="E773">IF(OR($D773="",$D773="NO ENCONTRADO"),"",_xlfn.XLOOKUP($D773,Productos!$E:$E,Productos!$H:$H,""))</f>
        <v/>
      </c>
      <c r="F773" s="74">
        <f t="array" ref="F773">IF(OR($D773="",$D773="NO ENCONTRADO"),"",_xlfn.XLOOKUP($D773,Productos!$E:$E,Productos!$I:$I,""))</f>
        <v/>
      </c>
      <c r="G773" s="74">
        <f t="array" ref="G773">IF(OR($D773="",$D773="NO ENCONTRADO"),"",_xlfn.XLOOKUP($D773,Productos!$E:$E,Productos!$J:$J,""))</f>
        <v/>
      </c>
      <c r="H773" s="74">
        <f t="array" ref="H773">IF(OR($D773="",$D773="NO ENCONTRADO"),"",_xlfn.XLOOKUP($D773,Productos!$E:$E,Productos!$K:$K,""))</f>
        <v/>
      </c>
      <c r="I773" s="74">
        <f t="array" ref="I773">IF(OR($D773="",$D773="NO ENCONTRADO"),"",_xlfn.XLOOKUP($D773,Productos!$E:$E,Productos!$F:$F,""))</f>
        <v/>
      </c>
      <c r="J773" s="74">
        <f>IF($C773="","",IF($D773="NO ENCONTRADO",IF(COUNTIF($C$7:$C$1000,$C773)&gt;1,"⚠️ No encontrado | Duplicado","⚠️ No encontrado"),IF(COUNTIF($C$7:$C$1000,$C773)&gt;1,"⚠️ Duplicado","Verificado")))</f>
        <v/>
      </c>
    </row>
    <row r="774" ht="15.75" customHeight="1" s="176">
      <c r="B774" s="80" t="n"/>
      <c r="C774" s="74" t="n"/>
      <c r="D774" s="74">
        <f t="array" ref="D774">IF($C774="","",IFNA(_xlfn.XLOOKUP($C774,Productos!$A:$A,Productos!$E:$E,IFNA(_xlfn.XLOOKUP(TEXT($C774,"0"),Productos!$A:$A,Productos!$E:$E,IFNA(_xlfn.XLOOKUP(IFERROR(VALUE($C774),""),Productos!$A:$A,Productos!$E:$E,_xlfn.XLOOKUP($C774,Productos!$E:$E,Productos!$E:$E,"NO ENCONTRADO")),"NO ENCONTRADO")),"NO ENCONTRADO")),"NO ENCONTRADO"))</f>
        <v/>
      </c>
      <c r="E774" s="74">
        <f t="array" ref="E774">IF(OR($D774="",$D774="NO ENCONTRADO"),"",_xlfn.XLOOKUP($D774,Productos!$E:$E,Productos!$H:$H,""))</f>
        <v/>
      </c>
      <c r="F774" s="74">
        <f t="array" ref="F774">IF(OR($D774="",$D774="NO ENCONTRADO"),"",_xlfn.XLOOKUP($D774,Productos!$E:$E,Productos!$I:$I,""))</f>
        <v/>
      </c>
      <c r="G774" s="74">
        <f t="array" ref="G774">IF(OR($D774="",$D774="NO ENCONTRADO"),"",_xlfn.XLOOKUP($D774,Productos!$E:$E,Productos!$J:$J,""))</f>
        <v/>
      </c>
      <c r="H774" s="74">
        <f t="array" ref="H774">IF(OR($D774="",$D774="NO ENCONTRADO"),"",_xlfn.XLOOKUP($D774,Productos!$E:$E,Productos!$K:$K,""))</f>
        <v/>
      </c>
      <c r="I774" s="74">
        <f t="array" ref="I774">IF(OR($D774="",$D774="NO ENCONTRADO"),"",_xlfn.XLOOKUP($D774,Productos!$E:$E,Productos!$F:$F,""))</f>
        <v/>
      </c>
      <c r="J774" s="74">
        <f>IF($C774="","",IF($D774="NO ENCONTRADO",IF(COUNTIF($C$7:$C$1000,$C774)&gt;1,"⚠️ No encontrado | Duplicado","⚠️ No encontrado"),IF(COUNTIF($C$7:$C$1000,$C774)&gt;1,"⚠️ Duplicado","Verificado")))</f>
        <v/>
      </c>
    </row>
    <row r="775" ht="15.75" customHeight="1" s="176">
      <c r="B775" s="80" t="n"/>
      <c r="C775" s="74" t="n"/>
      <c r="D775" s="74">
        <f t="array" ref="D775">IF($C775="","",IFNA(_xlfn.XLOOKUP($C775,Productos!$A:$A,Productos!$E:$E,IFNA(_xlfn.XLOOKUP(TEXT($C775,"0"),Productos!$A:$A,Productos!$E:$E,IFNA(_xlfn.XLOOKUP(IFERROR(VALUE($C775),""),Productos!$A:$A,Productos!$E:$E,_xlfn.XLOOKUP($C775,Productos!$E:$E,Productos!$E:$E,"NO ENCONTRADO")),"NO ENCONTRADO")),"NO ENCONTRADO")),"NO ENCONTRADO"))</f>
        <v/>
      </c>
      <c r="E775" s="74">
        <f t="array" ref="E775">IF(OR($D775="",$D775="NO ENCONTRADO"),"",_xlfn.XLOOKUP($D775,Productos!$E:$E,Productos!$H:$H,""))</f>
        <v/>
      </c>
      <c r="F775" s="74">
        <f t="array" ref="F775">IF(OR($D775="",$D775="NO ENCONTRADO"),"",_xlfn.XLOOKUP($D775,Productos!$E:$E,Productos!$I:$I,""))</f>
        <v/>
      </c>
      <c r="G775" s="74">
        <f t="array" ref="G775">IF(OR($D775="",$D775="NO ENCONTRADO"),"",_xlfn.XLOOKUP($D775,Productos!$E:$E,Productos!$J:$J,""))</f>
        <v/>
      </c>
      <c r="H775" s="74">
        <f t="array" ref="H775">IF(OR($D775="",$D775="NO ENCONTRADO"),"",_xlfn.XLOOKUP($D775,Productos!$E:$E,Productos!$K:$K,""))</f>
        <v/>
      </c>
      <c r="I775" s="74">
        <f t="array" ref="I775">IF(OR($D775="",$D775="NO ENCONTRADO"),"",_xlfn.XLOOKUP($D775,Productos!$E:$E,Productos!$F:$F,""))</f>
        <v/>
      </c>
      <c r="J775" s="74">
        <f>IF($C775="","",IF($D775="NO ENCONTRADO",IF(COUNTIF($C$7:$C$1000,$C775)&gt;1,"⚠️ No encontrado | Duplicado","⚠️ No encontrado"),IF(COUNTIF($C$7:$C$1000,$C775)&gt;1,"⚠️ Duplicado","Verificado")))</f>
        <v/>
      </c>
    </row>
    <row r="776" ht="15.75" customHeight="1" s="176">
      <c r="B776" s="80" t="n"/>
      <c r="C776" s="74" t="n"/>
      <c r="D776" s="74">
        <f t="array" ref="D776">IF($C776="","",IFNA(_xlfn.XLOOKUP($C776,Productos!$A:$A,Productos!$E:$E,IFNA(_xlfn.XLOOKUP(TEXT($C776,"0"),Productos!$A:$A,Productos!$E:$E,IFNA(_xlfn.XLOOKUP(IFERROR(VALUE($C776),""),Productos!$A:$A,Productos!$E:$E,_xlfn.XLOOKUP($C776,Productos!$E:$E,Productos!$E:$E,"NO ENCONTRADO")),"NO ENCONTRADO")),"NO ENCONTRADO")),"NO ENCONTRADO"))</f>
        <v/>
      </c>
      <c r="E776" s="74">
        <f t="array" ref="E776">IF(OR($D776="",$D776="NO ENCONTRADO"),"",_xlfn.XLOOKUP($D776,Productos!$E:$E,Productos!$H:$H,""))</f>
        <v/>
      </c>
      <c r="F776" s="74">
        <f t="array" ref="F776">IF(OR($D776="",$D776="NO ENCONTRADO"),"",_xlfn.XLOOKUP($D776,Productos!$E:$E,Productos!$I:$I,""))</f>
        <v/>
      </c>
      <c r="G776" s="74">
        <f t="array" ref="G776">IF(OR($D776="",$D776="NO ENCONTRADO"),"",_xlfn.XLOOKUP($D776,Productos!$E:$E,Productos!$J:$J,""))</f>
        <v/>
      </c>
      <c r="H776" s="74">
        <f t="array" ref="H776">IF(OR($D776="",$D776="NO ENCONTRADO"),"",_xlfn.XLOOKUP($D776,Productos!$E:$E,Productos!$K:$K,""))</f>
        <v/>
      </c>
      <c r="I776" s="74">
        <f t="array" ref="I776">IF(OR($D776="",$D776="NO ENCONTRADO"),"",_xlfn.XLOOKUP($D776,Productos!$E:$E,Productos!$F:$F,""))</f>
        <v/>
      </c>
      <c r="J776" s="74">
        <f>IF($C776="","",IF($D776="NO ENCONTRADO",IF(COUNTIF($C$7:$C$1000,$C776)&gt;1,"⚠️ No encontrado | Duplicado","⚠️ No encontrado"),IF(COUNTIF($C$7:$C$1000,$C776)&gt;1,"⚠️ Duplicado","Verificado")))</f>
        <v/>
      </c>
    </row>
    <row r="777" ht="15.75" customHeight="1" s="176">
      <c r="B777" s="80" t="n"/>
      <c r="C777" s="74" t="n"/>
      <c r="D777" s="74">
        <f t="array" ref="D777">IF($C777="","",IFNA(_xlfn.XLOOKUP($C777,Productos!$A:$A,Productos!$E:$E,IFNA(_xlfn.XLOOKUP(TEXT($C777,"0"),Productos!$A:$A,Productos!$E:$E,IFNA(_xlfn.XLOOKUP(IFERROR(VALUE($C777),""),Productos!$A:$A,Productos!$E:$E,_xlfn.XLOOKUP($C777,Productos!$E:$E,Productos!$E:$E,"NO ENCONTRADO")),"NO ENCONTRADO")),"NO ENCONTRADO")),"NO ENCONTRADO"))</f>
        <v/>
      </c>
      <c r="E777" s="74">
        <f t="array" ref="E777">IF(OR($D777="",$D777="NO ENCONTRADO"),"",_xlfn.XLOOKUP($D777,Productos!$E:$E,Productos!$H:$H,""))</f>
        <v/>
      </c>
      <c r="F777" s="74">
        <f t="array" ref="F777">IF(OR($D777="",$D777="NO ENCONTRADO"),"",_xlfn.XLOOKUP($D777,Productos!$E:$E,Productos!$I:$I,""))</f>
        <v/>
      </c>
      <c r="G777" s="74">
        <f t="array" ref="G777">IF(OR($D777="",$D777="NO ENCONTRADO"),"",_xlfn.XLOOKUP($D777,Productos!$E:$E,Productos!$J:$J,""))</f>
        <v/>
      </c>
      <c r="H777" s="74">
        <f t="array" ref="H777">IF(OR($D777="",$D777="NO ENCONTRADO"),"",_xlfn.XLOOKUP($D777,Productos!$E:$E,Productos!$K:$K,""))</f>
        <v/>
      </c>
      <c r="I777" s="74">
        <f t="array" ref="I777">IF(OR($D777="",$D777="NO ENCONTRADO"),"",_xlfn.XLOOKUP($D777,Productos!$E:$E,Productos!$F:$F,""))</f>
        <v/>
      </c>
      <c r="J777" s="74">
        <f>IF($C777="","",IF($D777="NO ENCONTRADO",IF(COUNTIF($C$7:$C$1000,$C777)&gt;1,"⚠️ No encontrado | Duplicado","⚠️ No encontrado"),IF(COUNTIF($C$7:$C$1000,$C777)&gt;1,"⚠️ Duplicado","Verificado")))</f>
        <v/>
      </c>
    </row>
    <row r="778" ht="15.75" customHeight="1" s="176">
      <c r="B778" s="80" t="n"/>
      <c r="C778" s="74" t="n"/>
      <c r="D778" s="74">
        <f t="array" ref="D778">IF($C778="","",IFNA(_xlfn.XLOOKUP($C778,Productos!$A:$A,Productos!$E:$E,IFNA(_xlfn.XLOOKUP(TEXT($C778,"0"),Productos!$A:$A,Productos!$E:$E,IFNA(_xlfn.XLOOKUP(IFERROR(VALUE($C778),""),Productos!$A:$A,Productos!$E:$E,_xlfn.XLOOKUP($C778,Productos!$E:$E,Productos!$E:$E,"NO ENCONTRADO")),"NO ENCONTRADO")),"NO ENCONTRADO")),"NO ENCONTRADO"))</f>
        <v/>
      </c>
      <c r="E778" s="74">
        <f t="array" ref="E778">IF(OR($D778="",$D778="NO ENCONTRADO"),"",_xlfn.XLOOKUP($D778,Productos!$E:$E,Productos!$H:$H,""))</f>
        <v/>
      </c>
      <c r="F778" s="74">
        <f t="array" ref="F778">IF(OR($D778="",$D778="NO ENCONTRADO"),"",_xlfn.XLOOKUP($D778,Productos!$E:$E,Productos!$I:$I,""))</f>
        <v/>
      </c>
      <c r="G778" s="74">
        <f t="array" ref="G778">IF(OR($D778="",$D778="NO ENCONTRADO"),"",_xlfn.XLOOKUP($D778,Productos!$E:$E,Productos!$J:$J,""))</f>
        <v/>
      </c>
      <c r="H778" s="74">
        <f t="array" ref="H778">IF(OR($D778="",$D778="NO ENCONTRADO"),"",_xlfn.XLOOKUP($D778,Productos!$E:$E,Productos!$K:$K,""))</f>
        <v/>
      </c>
      <c r="I778" s="74">
        <f t="array" ref="I778">IF(OR($D778="",$D778="NO ENCONTRADO"),"",_xlfn.XLOOKUP($D778,Productos!$E:$E,Productos!$F:$F,""))</f>
        <v/>
      </c>
      <c r="J778" s="74">
        <f>IF($C778="","",IF($D778="NO ENCONTRADO",IF(COUNTIF($C$7:$C$1000,$C778)&gt;1,"⚠️ No encontrado | Duplicado","⚠️ No encontrado"),IF(COUNTIF($C$7:$C$1000,$C778)&gt;1,"⚠️ Duplicado","Verificado")))</f>
        <v/>
      </c>
    </row>
    <row r="779" ht="15.75" customHeight="1" s="176">
      <c r="B779" s="80" t="n"/>
      <c r="C779" s="74" t="n"/>
      <c r="D779" s="74">
        <f t="array" ref="D779">IF($C779="","",IFNA(_xlfn.XLOOKUP($C779,Productos!$A:$A,Productos!$E:$E,IFNA(_xlfn.XLOOKUP(TEXT($C779,"0"),Productos!$A:$A,Productos!$E:$E,IFNA(_xlfn.XLOOKUP(IFERROR(VALUE($C779),""),Productos!$A:$A,Productos!$E:$E,_xlfn.XLOOKUP($C779,Productos!$E:$E,Productos!$E:$E,"NO ENCONTRADO")),"NO ENCONTRADO")),"NO ENCONTRADO")),"NO ENCONTRADO"))</f>
        <v/>
      </c>
      <c r="E779" s="74">
        <f t="array" ref="E779">IF(OR($D779="",$D779="NO ENCONTRADO"),"",_xlfn.XLOOKUP($D779,Productos!$E:$E,Productos!$H:$H,""))</f>
        <v/>
      </c>
      <c r="F779" s="74">
        <f t="array" ref="F779">IF(OR($D779="",$D779="NO ENCONTRADO"),"",_xlfn.XLOOKUP($D779,Productos!$E:$E,Productos!$I:$I,""))</f>
        <v/>
      </c>
      <c r="G779" s="74">
        <f t="array" ref="G779">IF(OR($D779="",$D779="NO ENCONTRADO"),"",_xlfn.XLOOKUP($D779,Productos!$E:$E,Productos!$J:$J,""))</f>
        <v/>
      </c>
      <c r="H779" s="74">
        <f t="array" ref="H779">IF(OR($D779="",$D779="NO ENCONTRADO"),"",_xlfn.XLOOKUP($D779,Productos!$E:$E,Productos!$K:$K,""))</f>
        <v/>
      </c>
      <c r="I779" s="74">
        <f t="array" ref="I779">IF(OR($D779="",$D779="NO ENCONTRADO"),"",_xlfn.XLOOKUP($D779,Productos!$E:$E,Productos!$F:$F,""))</f>
        <v/>
      </c>
      <c r="J779" s="74">
        <f>IF($C779="","",IF($D779="NO ENCONTRADO",IF(COUNTIF($C$7:$C$1000,$C779)&gt;1,"⚠️ No encontrado | Duplicado","⚠️ No encontrado"),IF(COUNTIF($C$7:$C$1000,$C779)&gt;1,"⚠️ Duplicado","Verificado")))</f>
        <v/>
      </c>
    </row>
    <row r="780" ht="15.75" customHeight="1" s="176">
      <c r="B780" s="80" t="n"/>
      <c r="C780" s="74" t="n"/>
      <c r="D780" s="74">
        <f t="array" ref="D780">IF($C780="","",IFNA(_xlfn.XLOOKUP($C780,Productos!$A:$A,Productos!$E:$E,IFNA(_xlfn.XLOOKUP(TEXT($C780,"0"),Productos!$A:$A,Productos!$E:$E,IFNA(_xlfn.XLOOKUP(IFERROR(VALUE($C780),""),Productos!$A:$A,Productos!$E:$E,_xlfn.XLOOKUP($C780,Productos!$E:$E,Productos!$E:$E,"NO ENCONTRADO")),"NO ENCONTRADO")),"NO ENCONTRADO")),"NO ENCONTRADO"))</f>
        <v/>
      </c>
      <c r="E780" s="74">
        <f t="array" ref="E780">IF(OR($D780="",$D780="NO ENCONTRADO"),"",_xlfn.XLOOKUP($D780,Productos!$E:$E,Productos!$H:$H,""))</f>
        <v/>
      </c>
      <c r="F780" s="74">
        <f t="array" ref="F780">IF(OR($D780="",$D780="NO ENCONTRADO"),"",_xlfn.XLOOKUP($D780,Productos!$E:$E,Productos!$I:$I,""))</f>
        <v/>
      </c>
      <c r="G780" s="74">
        <f t="array" ref="G780">IF(OR($D780="",$D780="NO ENCONTRADO"),"",_xlfn.XLOOKUP($D780,Productos!$E:$E,Productos!$J:$J,""))</f>
        <v/>
      </c>
      <c r="H780" s="74">
        <f t="array" ref="H780">IF(OR($D780="",$D780="NO ENCONTRADO"),"",_xlfn.XLOOKUP($D780,Productos!$E:$E,Productos!$K:$K,""))</f>
        <v/>
      </c>
      <c r="I780" s="74">
        <f t="array" ref="I780">IF(OR($D780="",$D780="NO ENCONTRADO"),"",_xlfn.XLOOKUP($D780,Productos!$E:$E,Productos!$F:$F,""))</f>
        <v/>
      </c>
      <c r="J780" s="74">
        <f>IF($C780="","",IF($D780="NO ENCONTRADO",IF(COUNTIF($C$7:$C$1000,$C780)&gt;1,"⚠️ No encontrado | Duplicado","⚠️ No encontrado"),IF(COUNTIF($C$7:$C$1000,$C780)&gt;1,"⚠️ Duplicado","Verificado")))</f>
        <v/>
      </c>
    </row>
    <row r="781" ht="15.75" customHeight="1" s="176">
      <c r="B781" s="80" t="n"/>
      <c r="C781" s="74" t="n"/>
      <c r="D781" s="74">
        <f t="array" ref="D781">IF($C781="","",IFNA(_xlfn.XLOOKUP($C781,Productos!$A:$A,Productos!$E:$E,IFNA(_xlfn.XLOOKUP(TEXT($C781,"0"),Productos!$A:$A,Productos!$E:$E,IFNA(_xlfn.XLOOKUP(IFERROR(VALUE($C781),""),Productos!$A:$A,Productos!$E:$E,_xlfn.XLOOKUP($C781,Productos!$E:$E,Productos!$E:$E,"NO ENCONTRADO")),"NO ENCONTRADO")),"NO ENCONTRADO")),"NO ENCONTRADO"))</f>
        <v/>
      </c>
      <c r="E781" s="74">
        <f t="array" ref="E781">IF(OR($D781="",$D781="NO ENCONTRADO"),"",_xlfn.XLOOKUP($D781,Productos!$E:$E,Productos!$H:$H,""))</f>
        <v/>
      </c>
      <c r="F781" s="74">
        <f t="array" ref="F781">IF(OR($D781="",$D781="NO ENCONTRADO"),"",_xlfn.XLOOKUP($D781,Productos!$E:$E,Productos!$I:$I,""))</f>
        <v/>
      </c>
      <c r="G781" s="74">
        <f t="array" ref="G781">IF(OR($D781="",$D781="NO ENCONTRADO"),"",_xlfn.XLOOKUP($D781,Productos!$E:$E,Productos!$J:$J,""))</f>
        <v/>
      </c>
      <c r="H781" s="74">
        <f t="array" ref="H781">IF(OR($D781="",$D781="NO ENCONTRADO"),"",_xlfn.XLOOKUP($D781,Productos!$E:$E,Productos!$K:$K,""))</f>
        <v/>
      </c>
      <c r="I781" s="74">
        <f t="array" ref="I781">IF(OR($D781="",$D781="NO ENCONTRADO"),"",_xlfn.XLOOKUP($D781,Productos!$E:$E,Productos!$F:$F,""))</f>
        <v/>
      </c>
      <c r="J781" s="74">
        <f>IF($C781="","",IF($D781="NO ENCONTRADO",IF(COUNTIF($C$7:$C$1000,$C781)&gt;1,"⚠️ No encontrado | Duplicado","⚠️ No encontrado"),IF(COUNTIF($C$7:$C$1000,$C781)&gt;1,"⚠️ Duplicado","Verificado")))</f>
        <v/>
      </c>
    </row>
    <row r="782" ht="15.75" customHeight="1" s="176">
      <c r="B782" s="80" t="n"/>
      <c r="C782" s="74" t="n"/>
      <c r="D782" s="74">
        <f t="array" ref="D782">IF($C782="","",IFNA(_xlfn.XLOOKUP($C782,Productos!$A:$A,Productos!$E:$E,IFNA(_xlfn.XLOOKUP(TEXT($C782,"0"),Productos!$A:$A,Productos!$E:$E,IFNA(_xlfn.XLOOKUP(IFERROR(VALUE($C782),""),Productos!$A:$A,Productos!$E:$E,_xlfn.XLOOKUP($C782,Productos!$E:$E,Productos!$E:$E,"NO ENCONTRADO")),"NO ENCONTRADO")),"NO ENCONTRADO")),"NO ENCONTRADO"))</f>
        <v/>
      </c>
      <c r="E782" s="74">
        <f t="array" ref="E782">IF(OR($D782="",$D782="NO ENCONTRADO"),"",_xlfn.XLOOKUP($D782,Productos!$E:$E,Productos!$H:$H,""))</f>
        <v/>
      </c>
      <c r="F782" s="74">
        <f t="array" ref="F782">IF(OR($D782="",$D782="NO ENCONTRADO"),"",_xlfn.XLOOKUP($D782,Productos!$E:$E,Productos!$I:$I,""))</f>
        <v/>
      </c>
      <c r="G782" s="74">
        <f t="array" ref="G782">IF(OR($D782="",$D782="NO ENCONTRADO"),"",_xlfn.XLOOKUP($D782,Productos!$E:$E,Productos!$J:$J,""))</f>
        <v/>
      </c>
      <c r="H782" s="74">
        <f t="array" ref="H782">IF(OR($D782="",$D782="NO ENCONTRADO"),"",_xlfn.XLOOKUP($D782,Productos!$E:$E,Productos!$K:$K,""))</f>
        <v/>
      </c>
      <c r="I782" s="74">
        <f t="array" ref="I782">IF(OR($D782="",$D782="NO ENCONTRADO"),"",_xlfn.XLOOKUP($D782,Productos!$E:$E,Productos!$F:$F,""))</f>
        <v/>
      </c>
      <c r="J782" s="74">
        <f>IF($C782="","",IF($D782="NO ENCONTRADO",IF(COUNTIF($C$7:$C$1000,$C782)&gt;1,"⚠️ No encontrado | Duplicado","⚠️ No encontrado"),IF(COUNTIF($C$7:$C$1000,$C782)&gt;1,"⚠️ Duplicado","Verificado")))</f>
        <v/>
      </c>
    </row>
    <row r="783" ht="15.75" customHeight="1" s="176">
      <c r="B783" s="80" t="n"/>
      <c r="C783" s="74" t="n"/>
      <c r="D783" s="74">
        <f t="array" ref="D783">IF($C783="","",IFNA(_xlfn.XLOOKUP($C783,Productos!$A:$A,Productos!$E:$E,IFNA(_xlfn.XLOOKUP(TEXT($C783,"0"),Productos!$A:$A,Productos!$E:$E,IFNA(_xlfn.XLOOKUP(IFERROR(VALUE($C783),""),Productos!$A:$A,Productos!$E:$E,_xlfn.XLOOKUP($C783,Productos!$E:$E,Productos!$E:$E,"NO ENCONTRADO")),"NO ENCONTRADO")),"NO ENCONTRADO")),"NO ENCONTRADO"))</f>
        <v/>
      </c>
      <c r="E783" s="74">
        <f t="array" ref="E783">IF(OR($D783="",$D783="NO ENCONTRADO"),"",_xlfn.XLOOKUP($D783,Productos!$E:$E,Productos!$H:$H,""))</f>
        <v/>
      </c>
      <c r="F783" s="74">
        <f t="array" ref="F783">IF(OR($D783="",$D783="NO ENCONTRADO"),"",_xlfn.XLOOKUP($D783,Productos!$E:$E,Productos!$I:$I,""))</f>
        <v/>
      </c>
      <c r="G783" s="74">
        <f t="array" ref="G783">IF(OR($D783="",$D783="NO ENCONTRADO"),"",_xlfn.XLOOKUP($D783,Productos!$E:$E,Productos!$J:$J,""))</f>
        <v/>
      </c>
      <c r="H783" s="74">
        <f t="array" ref="H783">IF(OR($D783="",$D783="NO ENCONTRADO"),"",_xlfn.XLOOKUP($D783,Productos!$E:$E,Productos!$K:$K,""))</f>
        <v/>
      </c>
      <c r="I783" s="74">
        <f t="array" ref="I783">IF(OR($D783="",$D783="NO ENCONTRADO"),"",_xlfn.XLOOKUP($D783,Productos!$E:$E,Productos!$F:$F,""))</f>
        <v/>
      </c>
      <c r="J783" s="74">
        <f>IF($C783="","",IF($D783="NO ENCONTRADO",IF(COUNTIF($C$7:$C$1000,$C783)&gt;1,"⚠️ No encontrado | Duplicado","⚠️ No encontrado"),IF(COUNTIF($C$7:$C$1000,$C783)&gt;1,"⚠️ Duplicado","Verificado")))</f>
        <v/>
      </c>
    </row>
    <row r="784" ht="15.75" customHeight="1" s="176">
      <c r="B784" s="80" t="n"/>
      <c r="C784" s="74" t="n"/>
      <c r="D784" s="74">
        <f t="array" ref="D784">IF($C784="","",IFNA(_xlfn.XLOOKUP($C784,Productos!$A:$A,Productos!$E:$E,IFNA(_xlfn.XLOOKUP(TEXT($C784,"0"),Productos!$A:$A,Productos!$E:$E,IFNA(_xlfn.XLOOKUP(IFERROR(VALUE($C784),""),Productos!$A:$A,Productos!$E:$E,_xlfn.XLOOKUP($C784,Productos!$E:$E,Productos!$E:$E,"NO ENCONTRADO")),"NO ENCONTRADO")),"NO ENCONTRADO")),"NO ENCONTRADO"))</f>
        <v/>
      </c>
      <c r="E784" s="74">
        <f t="array" ref="E784">IF(OR($D784="",$D784="NO ENCONTRADO"),"",_xlfn.XLOOKUP($D784,Productos!$E:$E,Productos!$H:$H,""))</f>
        <v/>
      </c>
      <c r="F784" s="74">
        <f t="array" ref="F784">IF(OR($D784="",$D784="NO ENCONTRADO"),"",_xlfn.XLOOKUP($D784,Productos!$E:$E,Productos!$I:$I,""))</f>
        <v/>
      </c>
      <c r="G784" s="74">
        <f t="array" ref="G784">IF(OR($D784="",$D784="NO ENCONTRADO"),"",_xlfn.XLOOKUP($D784,Productos!$E:$E,Productos!$J:$J,""))</f>
        <v/>
      </c>
      <c r="H784" s="74">
        <f t="array" ref="H784">IF(OR($D784="",$D784="NO ENCONTRADO"),"",_xlfn.XLOOKUP($D784,Productos!$E:$E,Productos!$K:$K,""))</f>
        <v/>
      </c>
      <c r="I784" s="74">
        <f t="array" ref="I784">IF(OR($D784="",$D784="NO ENCONTRADO"),"",_xlfn.XLOOKUP($D784,Productos!$E:$E,Productos!$F:$F,""))</f>
        <v/>
      </c>
      <c r="J784" s="74">
        <f>IF($C784="","",IF($D784="NO ENCONTRADO",IF(COUNTIF($C$7:$C$1000,$C784)&gt;1,"⚠️ No encontrado | Duplicado","⚠️ No encontrado"),IF(COUNTIF($C$7:$C$1000,$C784)&gt;1,"⚠️ Duplicado","Verificado")))</f>
        <v/>
      </c>
    </row>
    <row r="785" ht="15.75" customHeight="1" s="176">
      <c r="B785" s="80" t="n"/>
      <c r="C785" s="74" t="n"/>
      <c r="D785" s="74">
        <f t="array" ref="D785">IF($C785="","",IFNA(_xlfn.XLOOKUP($C785,Productos!$A:$A,Productos!$E:$E,IFNA(_xlfn.XLOOKUP(TEXT($C785,"0"),Productos!$A:$A,Productos!$E:$E,IFNA(_xlfn.XLOOKUP(IFERROR(VALUE($C785),""),Productos!$A:$A,Productos!$E:$E,_xlfn.XLOOKUP($C785,Productos!$E:$E,Productos!$E:$E,"NO ENCONTRADO")),"NO ENCONTRADO")),"NO ENCONTRADO")),"NO ENCONTRADO"))</f>
        <v/>
      </c>
      <c r="E785" s="74">
        <f t="array" ref="E785">IF(OR($D785="",$D785="NO ENCONTRADO"),"",_xlfn.XLOOKUP($D785,Productos!$E:$E,Productos!$H:$H,""))</f>
        <v/>
      </c>
      <c r="F785" s="74">
        <f t="array" ref="F785">IF(OR($D785="",$D785="NO ENCONTRADO"),"",_xlfn.XLOOKUP($D785,Productos!$E:$E,Productos!$I:$I,""))</f>
        <v/>
      </c>
      <c r="G785" s="74">
        <f t="array" ref="G785">IF(OR($D785="",$D785="NO ENCONTRADO"),"",_xlfn.XLOOKUP($D785,Productos!$E:$E,Productos!$J:$J,""))</f>
        <v/>
      </c>
      <c r="H785" s="74">
        <f t="array" ref="H785">IF(OR($D785="",$D785="NO ENCONTRADO"),"",_xlfn.XLOOKUP($D785,Productos!$E:$E,Productos!$K:$K,""))</f>
        <v/>
      </c>
      <c r="I785" s="74">
        <f t="array" ref="I785">IF(OR($D785="",$D785="NO ENCONTRADO"),"",_xlfn.XLOOKUP($D785,Productos!$E:$E,Productos!$F:$F,""))</f>
        <v/>
      </c>
      <c r="J785" s="74">
        <f>IF($C785="","",IF($D785="NO ENCONTRADO",IF(COUNTIF($C$7:$C$1000,$C785)&gt;1,"⚠️ No encontrado | Duplicado","⚠️ No encontrado"),IF(COUNTIF($C$7:$C$1000,$C785)&gt;1,"⚠️ Duplicado","Verificado")))</f>
        <v/>
      </c>
    </row>
    <row r="786" ht="15.75" customHeight="1" s="176">
      <c r="B786" s="80" t="n"/>
      <c r="C786" s="74" t="n"/>
      <c r="D786" s="74">
        <f t="array" ref="D786">IF($C786="","",IFNA(_xlfn.XLOOKUP($C786,Productos!$A:$A,Productos!$E:$E,IFNA(_xlfn.XLOOKUP(TEXT($C786,"0"),Productos!$A:$A,Productos!$E:$E,IFNA(_xlfn.XLOOKUP(IFERROR(VALUE($C786),""),Productos!$A:$A,Productos!$E:$E,_xlfn.XLOOKUP($C786,Productos!$E:$E,Productos!$E:$E,"NO ENCONTRADO")),"NO ENCONTRADO")),"NO ENCONTRADO")),"NO ENCONTRADO"))</f>
        <v/>
      </c>
      <c r="E786" s="74">
        <f t="array" ref="E786">IF(OR($D786="",$D786="NO ENCONTRADO"),"",_xlfn.XLOOKUP($D786,Productos!$E:$E,Productos!$H:$H,""))</f>
        <v/>
      </c>
      <c r="F786" s="74">
        <f t="array" ref="F786">IF(OR($D786="",$D786="NO ENCONTRADO"),"",_xlfn.XLOOKUP($D786,Productos!$E:$E,Productos!$I:$I,""))</f>
        <v/>
      </c>
      <c r="G786" s="74">
        <f t="array" ref="G786">IF(OR($D786="",$D786="NO ENCONTRADO"),"",_xlfn.XLOOKUP($D786,Productos!$E:$E,Productos!$J:$J,""))</f>
        <v/>
      </c>
      <c r="H786" s="74">
        <f t="array" ref="H786">IF(OR($D786="",$D786="NO ENCONTRADO"),"",_xlfn.XLOOKUP($D786,Productos!$E:$E,Productos!$K:$K,""))</f>
        <v/>
      </c>
      <c r="I786" s="74">
        <f t="array" ref="I786">IF(OR($D786="",$D786="NO ENCONTRADO"),"",_xlfn.XLOOKUP($D786,Productos!$E:$E,Productos!$F:$F,""))</f>
        <v/>
      </c>
      <c r="J786" s="74">
        <f>IF($C786="","",IF($D786="NO ENCONTRADO",IF(COUNTIF($C$7:$C$1000,$C786)&gt;1,"⚠️ No encontrado | Duplicado","⚠️ No encontrado"),IF(COUNTIF($C$7:$C$1000,$C786)&gt;1,"⚠️ Duplicado","Verificado")))</f>
        <v/>
      </c>
    </row>
    <row r="787" ht="15.75" customHeight="1" s="176">
      <c r="B787" s="80" t="n"/>
      <c r="C787" s="74" t="n"/>
      <c r="D787" s="74">
        <f t="array" ref="D787">IF($C787="","",IFNA(_xlfn.XLOOKUP($C787,Productos!$A:$A,Productos!$E:$E,IFNA(_xlfn.XLOOKUP(TEXT($C787,"0"),Productos!$A:$A,Productos!$E:$E,IFNA(_xlfn.XLOOKUP(IFERROR(VALUE($C787),""),Productos!$A:$A,Productos!$E:$E,_xlfn.XLOOKUP($C787,Productos!$E:$E,Productos!$E:$E,"NO ENCONTRADO")),"NO ENCONTRADO")),"NO ENCONTRADO")),"NO ENCONTRADO"))</f>
        <v/>
      </c>
      <c r="E787" s="74">
        <f t="array" ref="E787">IF(OR($D787="",$D787="NO ENCONTRADO"),"",_xlfn.XLOOKUP($D787,Productos!$E:$E,Productos!$H:$H,""))</f>
        <v/>
      </c>
      <c r="F787" s="74">
        <f t="array" ref="F787">IF(OR($D787="",$D787="NO ENCONTRADO"),"",_xlfn.XLOOKUP($D787,Productos!$E:$E,Productos!$I:$I,""))</f>
        <v/>
      </c>
      <c r="G787" s="74">
        <f t="array" ref="G787">IF(OR($D787="",$D787="NO ENCONTRADO"),"",_xlfn.XLOOKUP($D787,Productos!$E:$E,Productos!$J:$J,""))</f>
        <v/>
      </c>
      <c r="H787" s="74">
        <f t="array" ref="H787">IF(OR($D787="",$D787="NO ENCONTRADO"),"",_xlfn.XLOOKUP($D787,Productos!$E:$E,Productos!$K:$K,""))</f>
        <v/>
      </c>
      <c r="I787" s="74">
        <f t="array" ref="I787">IF(OR($D787="",$D787="NO ENCONTRADO"),"",_xlfn.XLOOKUP($D787,Productos!$E:$E,Productos!$F:$F,""))</f>
        <v/>
      </c>
      <c r="J787" s="74">
        <f>IF($C787="","",IF($D787="NO ENCONTRADO",IF(COUNTIF($C$7:$C$1000,$C787)&gt;1,"⚠️ No encontrado | Duplicado","⚠️ No encontrado"),IF(COUNTIF($C$7:$C$1000,$C787)&gt;1,"⚠️ Duplicado","Verificado")))</f>
        <v/>
      </c>
    </row>
    <row r="788" ht="15.75" customHeight="1" s="176">
      <c r="B788" s="80" t="n"/>
      <c r="C788" s="74" t="n"/>
      <c r="D788" s="74">
        <f t="array" ref="D788">IF($C788="","",IFNA(_xlfn.XLOOKUP($C788,Productos!$A:$A,Productos!$E:$E,IFNA(_xlfn.XLOOKUP(TEXT($C788,"0"),Productos!$A:$A,Productos!$E:$E,IFNA(_xlfn.XLOOKUP(IFERROR(VALUE($C788),""),Productos!$A:$A,Productos!$E:$E,_xlfn.XLOOKUP($C788,Productos!$E:$E,Productos!$E:$E,"NO ENCONTRADO")),"NO ENCONTRADO")),"NO ENCONTRADO")),"NO ENCONTRADO"))</f>
        <v/>
      </c>
      <c r="E788" s="74">
        <f t="array" ref="E788">IF(OR($D788="",$D788="NO ENCONTRADO"),"",_xlfn.XLOOKUP($D788,Productos!$E:$E,Productos!$H:$H,""))</f>
        <v/>
      </c>
      <c r="F788" s="74">
        <f t="array" ref="F788">IF(OR($D788="",$D788="NO ENCONTRADO"),"",_xlfn.XLOOKUP($D788,Productos!$E:$E,Productos!$I:$I,""))</f>
        <v/>
      </c>
      <c r="G788" s="74">
        <f t="array" ref="G788">IF(OR($D788="",$D788="NO ENCONTRADO"),"",_xlfn.XLOOKUP($D788,Productos!$E:$E,Productos!$J:$J,""))</f>
        <v/>
      </c>
      <c r="H788" s="74">
        <f t="array" ref="H788">IF(OR($D788="",$D788="NO ENCONTRADO"),"",_xlfn.XLOOKUP($D788,Productos!$E:$E,Productos!$K:$K,""))</f>
        <v/>
      </c>
      <c r="I788" s="74">
        <f t="array" ref="I788">IF(OR($D788="",$D788="NO ENCONTRADO"),"",_xlfn.XLOOKUP($D788,Productos!$E:$E,Productos!$F:$F,""))</f>
        <v/>
      </c>
      <c r="J788" s="74">
        <f>IF($C788="","",IF($D788="NO ENCONTRADO",IF(COUNTIF($C$7:$C$1000,$C788)&gt;1,"⚠️ No encontrado | Duplicado","⚠️ No encontrado"),IF(COUNTIF($C$7:$C$1000,$C788)&gt;1,"⚠️ Duplicado","Verificado")))</f>
        <v/>
      </c>
    </row>
    <row r="789" ht="15.75" customHeight="1" s="176">
      <c r="B789" s="80" t="n"/>
      <c r="C789" s="74" t="n"/>
      <c r="D789" s="74">
        <f t="array" ref="D789">IF($C789="","",IFNA(_xlfn.XLOOKUP($C789,Productos!$A:$A,Productos!$E:$E,IFNA(_xlfn.XLOOKUP(TEXT($C789,"0"),Productos!$A:$A,Productos!$E:$E,IFNA(_xlfn.XLOOKUP(IFERROR(VALUE($C789),""),Productos!$A:$A,Productos!$E:$E,_xlfn.XLOOKUP($C789,Productos!$E:$E,Productos!$E:$E,"NO ENCONTRADO")),"NO ENCONTRADO")),"NO ENCONTRADO")),"NO ENCONTRADO"))</f>
        <v/>
      </c>
      <c r="E789" s="74">
        <f t="array" ref="E789">IF(OR($D789="",$D789="NO ENCONTRADO"),"",_xlfn.XLOOKUP($D789,Productos!$E:$E,Productos!$H:$H,""))</f>
        <v/>
      </c>
      <c r="F789" s="74">
        <f t="array" ref="F789">IF(OR($D789="",$D789="NO ENCONTRADO"),"",_xlfn.XLOOKUP($D789,Productos!$E:$E,Productos!$I:$I,""))</f>
        <v/>
      </c>
      <c r="G789" s="74">
        <f t="array" ref="G789">IF(OR($D789="",$D789="NO ENCONTRADO"),"",_xlfn.XLOOKUP($D789,Productos!$E:$E,Productos!$J:$J,""))</f>
        <v/>
      </c>
      <c r="H789" s="74">
        <f t="array" ref="H789">IF(OR($D789="",$D789="NO ENCONTRADO"),"",_xlfn.XLOOKUP($D789,Productos!$E:$E,Productos!$K:$K,""))</f>
        <v/>
      </c>
      <c r="I789" s="74">
        <f t="array" ref="I789">IF(OR($D789="",$D789="NO ENCONTRADO"),"",_xlfn.XLOOKUP($D789,Productos!$E:$E,Productos!$F:$F,""))</f>
        <v/>
      </c>
      <c r="J789" s="74">
        <f>IF($C789="","",IF($D789="NO ENCONTRADO",IF(COUNTIF($C$7:$C$1000,$C789)&gt;1,"⚠️ No encontrado | Duplicado","⚠️ No encontrado"),IF(COUNTIF($C$7:$C$1000,$C789)&gt;1,"⚠️ Duplicado","Verificado")))</f>
        <v/>
      </c>
    </row>
    <row r="790" ht="15.75" customHeight="1" s="176">
      <c r="B790" s="80" t="n"/>
      <c r="C790" s="74" t="n"/>
      <c r="D790" s="74">
        <f t="array" ref="D790">IF($C790="","",IFNA(_xlfn.XLOOKUP($C790,Productos!$A:$A,Productos!$E:$E,IFNA(_xlfn.XLOOKUP(TEXT($C790,"0"),Productos!$A:$A,Productos!$E:$E,IFNA(_xlfn.XLOOKUP(IFERROR(VALUE($C790),""),Productos!$A:$A,Productos!$E:$E,_xlfn.XLOOKUP($C790,Productos!$E:$E,Productos!$E:$E,"NO ENCONTRADO")),"NO ENCONTRADO")),"NO ENCONTRADO")),"NO ENCONTRADO"))</f>
        <v/>
      </c>
      <c r="E790" s="74">
        <f t="array" ref="E790">IF(OR($D790="",$D790="NO ENCONTRADO"),"",_xlfn.XLOOKUP($D790,Productos!$E:$E,Productos!$H:$H,""))</f>
        <v/>
      </c>
      <c r="F790" s="74">
        <f t="array" ref="F790">IF(OR($D790="",$D790="NO ENCONTRADO"),"",_xlfn.XLOOKUP($D790,Productos!$E:$E,Productos!$I:$I,""))</f>
        <v/>
      </c>
      <c r="G790" s="74">
        <f t="array" ref="G790">IF(OR($D790="",$D790="NO ENCONTRADO"),"",_xlfn.XLOOKUP($D790,Productos!$E:$E,Productos!$J:$J,""))</f>
        <v/>
      </c>
      <c r="H790" s="74">
        <f t="array" ref="H790">IF(OR($D790="",$D790="NO ENCONTRADO"),"",_xlfn.XLOOKUP($D790,Productos!$E:$E,Productos!$K:$K,""))</f>
        <v/>
      </c>
      <c r="I790" s="74">
        <f t="array" ref="I790">IF(OR($D790="",$D790="NO ENCONTRADO"),"",_xlfn.XLOOKUP($D790,Productos!$E:$E,Productos!$F:$F,""))</f>
        <v/>
      </c>
      <c r="J790" s="74">
        <f>IF($C790="","",IF($D790="NO ENCONTRADO",IF(COUNTIF($C$7:$C$1000,$C790)&gt;1,"⚠️ No encontrado | Duplicado","⚠️ No encontrado"),IF(COUNTIF($C$7:$C$1000,$C790)&gt;1,"⚠️ Duplicado","Verificado")))</f>
        <v/>
      </c>
    </row>
    <row r="791" ht="15.75" customHeight="1" s="176">
      <c r="B791" s="80" t="n"/>
      <c r="C791" s="74" t="n"/>
      <c r="D791" s="74">
        <f t="array" ref="D791">IF($C791="","",IFNA(_xlfn.XLOOKUP($C791,Productos!$A:$A,Productos!$E:$E,IFNA(_xlfn.XLOOKUP(TEXT($C791,"0"),Productos!$A:$A,Productos!$E:$E,IFNA(_xlfn.XLOOKUP(IFERROR(VALUE($C791),""),Productos!$A:$A,Productos!$E:$E,_xlfn.XLOOKUP($C791,Productos!$E:$E,Productos!$E:$E,"NO ENCONTRADO")),"NO ENCONTRADO")),"NO ENCONTRADO")),"NO ENCONTRADO"))</f>
        <v/>
      </c>
      <c r="E791" s="74">
        <f t="array" ref="E791">IF(OR($D791="",$D791="NO ENCONTRADO"),"",_xlfn.XLOOKUP($D791,Productos!$E:$E,Productos!$H:$H,""))</f>
        <v/>
      </c>
      <c r="F791" s="74">
        <f t="array" ref="F791">IF(OR($D791="",$D791="NO ENCONTRADO"),"",_xlfn.XLOOKUP($D791,Productos!$E:$E,Productos!$I:$I,""))</f>
        <v/>
      </c>
      <c r="G791" s="74">
        <f t="array" ref="G791">IF(OR($D791="",$D791="NO ENCONTRADO"),"",_xlfn.XLOOKUP($D791,Productos!$E:$E,Productos!$J:$J,""))</f>
        <v/>
      </c>
      <c r="H791" s="74">
        <f t="array" ref="H791">IF(OR($D791="",$D791="NO ENCONTRADO"),"",_xlfn.XLOOKUP($D791,Productos!$E:$E,Productos!$K:$K,""))</f>
        <v/>
      </c>
      <c r="I791" s="74">
        <f t="array" ref="I791">IF(OR($D791="",$D791="NO ENCONTRADO"),"",_xlfn.XLOOKUP($D791,Productos!$E:$E,Productos!$F:$F,""))</f>
        <v/>
      </c>
      <c r="J791" s="74">
        <f>IF($C791="","",IF($D791="NO ENCONTRADO",IF(COUNTIF($C$7:$C$1000,$C791)&gt;1,"⚠️ No encontrado | Duplicado","⚠️ No encontrado"),IF(COUNTIF($C$7:$C$1000,$C791)&gt;1,"⚠️ Duplicado","Verificado")))</f>
        <v/>
      </c>
    </row>
    <row r="792" ht="15.75" customHeight="1" s="176">
      <c r="B792" s="80" t="n"/>
      <c r="C792" s="74" t="n"/>
      <c r="D792" s="74">
        <f t="array" ref="D792">IF($C792="","",IFNA(_xlfn.XLOOKUP($C792,Productos!$A:$A,Productos!$E:$E,IFNA(_xlfn.XLOOKUP(TEXT($C792,"0"),Productos!$A:$A,Productos!$E:$E,IFNA(_xlfn.XLOOKUP(IFERROR(VALUE($C792),""),Productos!$A:$A,Productos!$E:$E,_xlfn.XLOOKUP($C792,Productos!$E:$E,Productos!$E:$E,"NO ENCONTRADO")),"NO ENCONTRADO")),"NO ENCONTRADO")),"NO ENCONTRADO"))</f>
        <v/>
      </c>
      <c r="E792" s="74">
        <f t="array" ref="E792">IF(OR($D792="",$D792="NO ENCONTRADO"),"",_xlfn.XLOOKUP($D792,Productos!$E:$E,Productos!$H:$H,""))</f>
        <v/>
      </c>
      <c r="F792" s="74">
        <f t="array" ref="F792">IF(OR($D792="",$D792="NO ENCONTRADO"),"",_xlfn.XLOOKUP($D792,Productos!$E:$E,Productos!$I:$I,""))</f>
        <v/>
      </c>
      <c r="G792" s="74">
        <f t="array" ref="G792">IF(OR($D792="",$D792="NO ENCONTRADO"),"",_xlfn.XLOOKUP($D792,Productos!$E:$E,Productos!$J:$J,""))</f>
        <v/>
      </c>
      <c r="H792" s="74">
        <f t="array" ref="H792">IF(OR($D792="",$D792="NO ENCONTRADO"),"",_xlfn.XLOOKUP($D792,Productos!$E:$E,Productos!$K:$K,""))</f>
        <v/>
      </c>
      <c r="I792" s="74">
        <f t="array" ref="I792">IF(OR($D792="",$D792="NO ENCONTRADO"),"",_xlfn.XLOOKUP($D792,Productos!$E:$E,Productos!$F:$F,""))</f>
        <v/>
      </c>
      <c r="J792" s="74">
        <f>IF($C792="","",IF($D792="NO ENCONTRADO",IF(COUNTIF($C$7:$C$1000,$C792)&gt;1,"⚠️ No encontrado | Duplicado","⚠️ No encontrado"),IF(COUNTIF($C$7:$C$1000,$C792)&gt;1,"⚠️ Duplicado","Verificado")))</f>
        <v/>
      </c>
    </row>
    <row r="793" ht="15.75" customHeight="1" s="176">
      <c r="B793" s="80" t="n"/>
      <c r="C793" s="74" t="n"/>
      <c r="D793" s="74">
        <f t="array" ref="D793">IF($C793="","",IFNA(_xlfn.XLOOKUP($C793,Productos!$A:$A,Productos!$E:$E,IFNA(_xlfn.XLOOKUP(TEXT($C793,"0"),Productos!$A:$A,Productos!$E:$E,IFNA(_xlfn.XLOOKUP(IFERROR(VALUE($C793),""),Productos!$A:$A,Productos!$E:$E,_xlfn.XLOOKUP($C793,Productos!$E:$E,Productos!$E:$E,"NO ENCONTRADO")),"NO ENCONTRADO")),"NO ENCONTRADO")),"NO ENCONTRADO"))</f>
        <v/>
      </c>
      <c r="E793" s="74">
        <f t="array" ref="E793">IF(OR($D793="",$D793="NO ENCONTRADO"),"",_xlfn.XLOOKUP($D793,Productos!$E:$E,Productos!$H:$H,""))</f>
        <v/>
      </c>
      <c r="F793" s="74">
        <f t="array" ref="F793">IF(OR($D793="",$D793="NO ENCONTRADO"),"",_xlfn.XLOOKUP($D793,Productos!$E:$E,Productos!$I:$I,""))</f>
        <v/>
      </c>
      <c r="G793" s="74">
        <f t="array" ref="G793">IF(OR($D793="",$D793="NO ENCONTRADO"),"",_xlfn.XLOOKUP($D793,Productos!$E:$E,Productos!$J:$J,""))</f>
        <v/>
      </c>
      <c r="H793" s="74">
        <f t="array" ref="H793">IF(OR($D793="",$D793="NO ENCONTRADO"),"",_xlfn.XLOOKUP($D793,Productos!$E:$E,Productos!$K:$K,""))</f>
        <v/>
      </c>
      <c r="I793" s="74">
        <f t="array" ref="I793">IF(OR($D793="",$D793="NO ENCONTRADO"),"",_xlfn.XLOOKUP($D793,Productos!$E:$E,Productos!$F:$F,""))</f>
        <v/>
      </c>
      <c r="J793" s="74">
        <f>IF($C793="","",IF($D793="NO ENCONTRADO",IF(COUNTIF($C$7:$C$1000,$C793)&gt;1,"⚠️ No encontrado | Duplicado","⚠️ No encontrado"),IF(COUNTIF($C$7:$C$1000,$C793)&gt;1,"⚠️ Duplicado","Verificado")))</f>
        <v/>
      </c>
    </row>
    <row r="794" ht="15.75" customHeight="1" s="176">
      <c r="B794" s="80" t="n"/>
      <c r="C794" s="74" t="n"/>
      <c r="D794" s="74">
        <f t="array" ref="D794">IF($C794="","",IFNA(_xlfn.XLOOKUP($C794,Productos!$A:$A,Productos!$E:$E,IFNA(_xlfn.XLOOKUP(TEXT($C794,"0"),Productos!$A:$A,Productos!$E:$E,IFNA(_xlfn.XLOOKUP(IFERROR(VALUE($C794),""),Productos!$A:$A,Productos!$E:$E,_xlfn.XLOOKUP($C794,Productos!$E:$E,Productos!$E:$E,"NO ENCONTRADO")),"NO ENCONTRADO")),"NO ENCONTRADO")),"NO ENCONTRADO"))</f>
        <v/>
      </c>
      <c r="E794" s="74">
        <f t="array" ref="E794">IF(OR($D794="",$D794="NO ENCONTRADO"),"",_xlfn.XLOOKUP($D794,Productos!$E:$E,Productos!$H:$H,""))</f>
        <v/>
      </c>
      <c r="F794" s="74">
        <f t="array" ref="F794">IF(OR($D794="",$D794="NO ENCONTRADO"),"",_xlfn.XLOOKUP($D794,Productos!$E:$E,Productos!$I:$I,""))</f>
        <v/>
      </c>
      <c r="G794" s="74">
        <f t="array" ref="G794">IF(OR($D794="",$D794="NO ENCONTRADO"),"",_xlfn.XLOOKUP($D794,Productos!$E:$E,Productos!$J:$J,""))</f>
        <v/>
      </c>
      <c r="H794" s="74">
        <f t="array" ref="H794">IF(OR($D794="",$D794="NO ENCONTRADO"),"",_xlfn.XLOOKUP($D794,Productos!$E:$E,Productos!$K:$K,""))</f>
        <v/>
      </c>
      <c r="I794" s="74">
        <f t="array" ref="I794">IF(OR($D794="",$D794="NO ENCONTRADO"),"",_xlfn.XLOOKUP($D794,Productos!$E:$E,Productos!$F:$F,""))</f>
        <v/>
      </c>
      <c r="J794" s="74">
        <f>IF($C794="","",IF($D794="NO ENCONTRADO",IF(COUNTIF($C$7:$C$1000,$C794)&gt;1,"⚠️ No encontrado | Duplicado","⚠️ No encontrado"),IF(COUNTIF($C$7:$C$1000,$C794)&gt;1,"⚠️ Duplicado","Verificado")))</f>
        <v/>
      </c>
    </row>
    <row r="795" ht="15.75" customHeight="1" s="176">
      <c r="B795" s="80" t="n"/>
      <c r="C795" s="74" t="n"/>
      <c r="D795" s="74">
        <f t="array" ref="D795">IF($C795="","",IFNA(_xlfn.XLOOKUP($C795,Productos!$A:$A,Productos!$E:$E,IFNA(_xlfn.XLOOKUP(TEXT($C795,"0"),Productos!$A:$A,Productos!$E:$E,IFNA(_xlfn.XLOOKUP(IFERROR(VALUE($C795),""),Productos!$A:$A,Productos!$E:$E,_xlfn.XLOOKUP($C795,Productos!$E:$E,Productos!$E:$E,"NO ENCONTRADO")),"NO ENCONTRADO")),"NO ENCONTRADO")),"NO ENCONTRADO"))</f>
        <v/>
      </c>
      <c r="E795" s="74">
        <f t="array" ref="E795">IF(OR($D795="",$D795="NO ENCONTRADO"),"",_xlfn.XLOOKUP($D795,Productos!$E:$E,Productos!$H:$H,""))</f>
        <v/>
      </c>
      <c r="F795" s="74">
        <f t="array" ref="F795">IF(OR($D795="",$D795="NO ENCONTRADO"),"",_xlfn.XLOOKUP($D795,Productos!$E:$E,Productos!$I:$I,""))</f>
        <v/>
      </c>
      <c r="G795" s="74">
        <f t="array" ref="G795">IF(OR($D795="",$D795="NO ENCONTRADO"),"",_xlfn.XLOOKUP($D795,Productos!$E:$E,Productos!$J:$J,""))</f>
        <v/>
      </c>
      <c r="H795" s="74">
        <f t="array" ref="H795">IF(OR($D795="",$D795="NO ENCONTRADO"),"",_xlfn.XLOOKUP($D795,Productos!$E:$E,Productos!$K:$K,""))</f>
        <v/>
      </c>
      <c r="I795" s="74">
        <f t="array" ref="I795">IF(OR($D795="",$D795="NO ENCONTRADO"),"",_xlfn.XLOOKUP($D795,Productos!$E:$E,Productos!$F:$F,""))</f>
        <v/>
      </c>
      <c r="J795" s="74">
        <f>IF($C795="","",IF($D795="NO ENCONTRADO",IF(COUNTIF($C$7:$C$1000,$C795)&gt;1,"⚠️ No encontrado | Duplicado","⚠️ No encontrado"),IF(COUNTIF($C$7:$C$1000,$C795)&gt;1,"⚠️ Duplicado","Verificado")))</f>
        <v/>
      </c>
    </row>
    <row r="796" ht="15.75" customHeight="1" s="176">
      <c r="B796" s="80" t="n"/>
      <c r="C796" s="74" t="n"/>
      <c r="D796" s="74">
        <f t="array" ref="D796">IF($C796="","",IFNA(_xlfn.XLOOKUP($C796,Productos!$A:$A,Productos!$E:$E,IFNA(_xlfn.XLOOKUP(TEXT($C796,"0"),Productos!$A:$A,Productos!$E:$E,IFNA(_xlfn.XLOOKUP(IFERROR(VALUE($C796),""),Productos!$A:$A,Productos!$E:$E,_xlfn.XLOOKUP($C796,Productos!$E:$E,Productos!$E:$E,"NO ENCONTRADO")),"NO ENCONTRADO")),"NO ENCONTRADO")),"NO ENCONTRADO"))</f>
        <v/>
      </c>
      <c r="E796" s="74">
        <f t="array" ref="E796">IF(OR($D796="",$D796="NO ENCONTRADO"),"",_xlfn.XLOOKUP($D796,Productos!$E:$E,Productos!$H:$H,""))</f>
        <v/>
      </c>
      <c r="F796" s="74">
        <f t="array" ref="F796">IF(OR($D796="",$D796="NO ENCONTRADO"),"",_xlfn.XLOOKUP($D796,Productos!$E:$E,Productos!$I:$I,""))</f>
        <v/>
      </c>
      <c r="G796" s="74">
        <f t="array" ref="G796">IF(OR($D796="",$D796="NO ENCONTRADO"),"",_xlfn.XLOOKUP($D796,Productos!$E:$E,Productos!$J:$J,""))</f>
        <v/>
      </c>
      <c r="H796" s="74">
        <f t="array" ref="H796">IF(OR($D796="",$D796="NO ENCONTRADO"),"",_xlfn.XLOOKUP($D796,Productos!$E:$E,Productos!$K:$K,""))</f>
        <v/>
      </c>
      <c r="I796" s="74">
        <f t="array" ref="I796">IF(OR($D796="",$D796="NO ENCONTRADO"),"",_xlfn.XLOOKUP($D796,Productos!$E:$E,Productos!$F:$F,""))</f>
        <v/>
      </c>
      <c r="J796" s="74">
        <f>IF($C796="","",IF($D796="NO ENCONTRADO",IF(COUNTIF($C$7:$C$1000,$C796)&gt;1,"⚠️ No encontrado | Duplicado","⚠️ No encontrado"),IF(COUNTIF($C$7:$C$1000,$C796)&gt;1,"⚠️ Duplicado","Verificado")))</f>
        <v/>
      </c>
    </row>
    <row r="797" ht="15.75" customHeight="1" s="176">
      <c r="B797" s="80" t="n"/>
      <c r="C797" s="74" t="n"/>
      <c r="D797" s="74">
        <f t="array" ref="D797">IF($C797="","",IFNA(_xlfn.XLOOKUP($C797,Productos!$A:$A,Productos!$E:$E,IFNA(_xlfn.XLOOKUP(TEXT($C797,"0"),Productos!$A:$A,Productos!$E:$E,IFNA(_xlfn.XLOOKUP(IFERROR(VALUE($C797),""),Productos!$A:$A,Productos!$E:$E,_xlfn.XLOOKUP($C797,Productos!$E:$E,Productos!$E:$E,"NO ENCONTRADO")),"NO ENCONTRADO")),"NO ENCONTRADO")),"NO ENCONTRADO"))</f>
        <v/>
      </c>
      <c r="E797" s="74">
        <f t="array" ref="E797">IF(OR($D797="",$D797="NO ENCONTRADO"),"",_xlfn.XLOOKUP($D797,Productos!$E:$E,Productos!$H:$H,""))</f>
        <v/>
      </c>
      <c r="F797" s="74">
        <f t="array" ref="F797">IF(OR($D797="",$D797="NO ENCONTRADO"),"",_xlfn.XLOOKUP($D797,Productos!$E:$E,Productos!$I:$I,""))</f>
        <v/>
      </c>
      <c r="G797" s="74">
        <f t="array" ref="G797">IF(OR($D797="",$D797="NO ENCONTRADO"),"",_xlfn.XLOOKUP($D797,Productos!$E:$E,Productos!$J:$J,""))</f>
        <v/>
      </c>
      <c r="H797" s="74">
        <f t="array" ref="H797">IF(OR($D797="",$D797="NO ENCONTRADO"),"",_xlfn.XLOOKUP($D797,Productos!$E:$E,Productos!$K:$K,""))</f>
        <v/>
      </c>
      <c r="I797" s="74">
        <f t="array" ref="I797">IF(OR($D797="",$D797="NO ENCONTRADO"),"",_xlfn.XLOOKUP($D797,Productos!$E:$E,Productos!$F:$F,""))</f>
        <v/>
      </c>
      <c r="J797" s="74">
        <f>IF($C797="","",IF($D797="NO ENCONTRADO",IF(COUNTIF($C$7:$C$1000,$C797)&gt;1,"⚠️ No encontrado | Duplicado","⚠️ No encontrado"),IF(COUNTIF($C$7:$C$1000,$C797)&gt;1,"⚠️ Duplicado","Verificado")))</f>
        <v/>
      </c>
    </row>
    <row r="798" ht="15.75" customHeight="1" s="176">
      <c r="B798" s="80" t="n"/>
      <c r="C798" s="74" t="n"/>
      <c r="D798" s="74">
        <f t="array" ref="D798">IF($C798="","",IFNA(_xlfn.XLOOKUP($C798,Productos!$A:$A,Productos!$E:$E,IFNA(_xlfn.XLOOKUP(TEXT($C798,"0"),Productos!$A:$A,Productos!$E:$E,IFNA(_xlfn.XLOOKUP(IFERROR(VALUE($C798),""),Productos!$A:$A,Productos!$E:$E,_xlfn.XLOOKUP($C798,Productos!$E:$E,Productos!$E:$E,"NO ENCONTRADO")),"NO ENCONTRADO")),"NO ENCONTRADO")),"NO ENCONTRADO"))</f>
        <v/>
      </c>
      <c r="E798" s="74">
        <f t="array" ref="E798">IF(OR($D798="",$D798="NO ENCONTRADO"),"",_xlfn.XLOOKUP($D798,Productos!$E:$E,Productos!$H:$H,""))</f>
        <v/>
      </c>
      <c r="F798" s="74">
        <f t="array" ref="F798">IF(OR($D798="",$D798="NO ENCONTRADO"),"",_xlfn.XLOOKUP($D798,Productos!$E:$E,Productos!$I:$I,""))</f>
        <v/>
      </c>
      <c r="G798" s="74">
        <f t="array" ref="G798">IF(OR($D798="",$D798="NO ENCONTRADO"),"",_xlfn.XLOOKUP($D798,Productos!$E:$E,Productos!$J:$J,""))</f>
        <v/>
      </c>
      <c r="H798" s="74">
        <f t="array" ref="H798">IF(OR($D798="",$D798="NO ENCONTRADO"),"",_xlfn.XLOOKUP($D798,Productos!$E:$E,Productos!$K:$K,""))</f>
        <v/>
      </c>
      <c r="I798" s="74">
        <f t="array" ref="I798">IF(OR($D798="",$D798="NO ENCONTRADO"),"",_xlfn.XLOOKUP($D798,Productos!$E:$E,Productos!$F:$F,""))</f>
        <v/>
      </c>
      <c r="J798" s="74">
        <f>IF($C798="","",IF($D798="NO ENCONTRADO",IF(COUNTIF($C$7:$C$1000,$C798)&gt;1,"⚠️ No encontrado | Duplicado","⚠️ No encontrado"),IF(COUNTIF($C$7:$C$1000,$C798)&gt;1,"⚠️ Duplicado","Verificado")))</f>
        <v/>
      </c>
    </row>
    <row r="799" ht="15.75" customHeight="1" s="176">
      <c r="B799" s="80" t="n"/>
      <c r="C799" s="74" t="n"/>
      <c r="D799" s="74">
        <f t="array" ref="D799">IF($C799="","",IFNA(_xlfn.XLOOKUP($C799,Productos!$A:$A,Productos!$E:$E,IFNA(_xlfn.XLOOKUP(TEXT($C799,"0"),Productos!$A:$A,Productos!$E:$E,IFNA(_xlfn.XLOOKUP(IFERROR(VALUE($C799),""),Productos!$A:$A,Productos!$E:$E,_xlfn.XLOOKUP($C799,Productos!$E:$E,Productos!$E:$E,"NO ENCONTRADO")),"NO ENCONTRADO")),"NO ENCONTRADO")),"NO ENCONTRADO"))</f>
        <v/>
      </c>
      <c r="E799" s="74">
        <f t="array" ref="E799">IF(OR($D799="",$D799="NO ENCONTRADO"),"",_xlfn.XLOOKUP($D799,Productos!$E:$E,Productos!$H:$H,""))</f>
        <v/>
      </c>
      <c r="F799" s="74">
        <f t="array" ref="F799">IF(OR($D799="",$D799="NO ENCONTRADO"),"",_xlfn.XLOOKUP($D799,Productos!$E:$E,Productos!$I:$I,""))</f>
        <v/>
      </c>
      <c r="G799" s="74">
        <f t="array" ref="G799">IF(OR($D799="",$D799="NO ENCONTRADO"),"",_xlfn.XLOOKUP($D799,Productos!$E:$E,Productos!$J:$J,""))</f>
        <v/>
      </c>
      <c r="H799" s="74">
        <f t="array" ref="H799">IF(OR($D799="",$D799="NO ENCONTRADO"),"",_xlfn.XLOOKUP($D799,Productos!$E:$E,Productos!$K:$K,""))</f>
        <v/>
      </c>
      <c r="I799" s="74">
        <f t="array" ref="I799">IF(OR($D799="",$D799="NO ENCONTRADO"),"",_xlfn.XLOOKUP($D799,Productos!$E:$E,Productos!$F:$F,""))</f>
        <v/>
      </c>
      <c r="J799" s="74">
        <f>IF($C799="","",IF($D799="NO ENCONTRADO",IF(COUNTIF($C$7:$C$1000,$C799)&gt;1,"⚠️ No encontrado | Duplicado","⚠️ No encontrado"),IF(COUNTIF($C$7:$C$1000,$C799)&gt;1,"⚠️ Duplicado","Verificado")))</f>
        <v/>
      </c>
    </row>
    <row r="800" ht="15.75" customHeight="1" s="176">
      <c r="B800" s="80" t="n"/>
      <c r="C800" s="74" t="n"/>
      <c r="D800" s="74">
        <f t="array" ref="D800">IF($C800="","",IFNA(_xlfn.XLOOKUP($C800,Productos!$A:$A,Productos!$E:$E,IFNA(_xlfn.XLOOKUP(TEXT($C800,"0"),Productos!$A:$A,Productos!$E:$E,IFNA(_xlfn.XLOOKUP(IFERROR(VALUE($C800),""),Productos!$A:$A,Productos!$E:$E,_xlfn.XLOOKUP($C800,Productos!$E:$E,Productos!$E:$E,"NO ENCONTRADO")),"NO ENCONTRADO")),"NO ENCONTRADO")),"NO ENCONTRADO"))</f>
        <v/>
      </c>
      <c r="E800" s="74">
        <f t="array" ref="E800">IF(OR($D800="",$D800="NO ENCONTRADO"),"",_xlfn.XLOOKUP($D800,Productos!$E:$E,Productos!$H:$H,""))</f>
        <v/>
      </c>
      <c r="F800" s="74">
        <f t="array" ref="F800">IF(OR($D800="",$D800="NO ENCONTRADO"),"",_xlfn.XLOOKUP($D800,Productos!$E:$E,Productos!$I:$I,""))</f>
        <v/>
      </c>
      <c r="G800" s="74">
        <f t="array" ref="G800">IF(OR($D800="",$D800="NO ENCONTRADO"),"",_xlfn.XLOOKUP($D800,Productos!$E:$E,Productos!$J:$J,""))</f>
        <v/>
      </c>
      <c r="H800" s="74">
        <f t="array" ref="H800">IF(OR($D800="",$D800="NO ENCONTRADO"),"",_xlfn.XLOOKUP($D800,Productos!$E:$E,Productos!$K:$K,""))</f>
        <v/>
      </c>
      <c r="I800" s="74">
        <f t="array" ref="I800">IF(OR($D800="",$D800="NO ENCONTRADO"),"",_xlfn.XLOOKUP($D800,Productos!$E:$E,Productos!$F:$F,""))</f>
        <v/>
      </c>
      <c r="J800" s="74">
        <f>IF($C800="","",IF($D800="NO ENCONTRADO",IF(COUNTIF($C$7:$C$1000,$C800)&gt;1,"⚠️ No encontrado | Duplicado","⚠️ No encontrado"),IF(COUNTIF($C$7:$C$1000,$C800)&gt;1,"⚠️ Duplicado","Verificado")))</f>
        <v/>
      </c>
    </row>
    <row r="801" ht="15.75" customHeight="1" s="176">
      <c r="B801" s="80" t="n"/>
      <c r="C801" s="74" t="n"/>
      <c r="D801" s="74">
        <f t="array" ref="D801">IF($C801="","",IFNA(_xlfn.XLOOKUP($C801,Productos!$A:$A,Productos!$E:$E,IFNA(_xlfn.XLOOKUP(TEXT($C801,"0"),Productos!$A:$A,Productos!$E:$E,IFNA(_xlfn.XLOOKUP(IFERROR(VALUE($C801),""),Productos!$A:$A,Productos!$E:$E,_xlfn.XLOOKUP($C801,Productos!$E:$E,Productos!$E:$E,"NO ENCONTRADO")),"NO ENCONTRADO")),"NO ENCONTRADO")),"NO ENCONTRADO"))</f>
        <v/>
      </c>
      <c r="E801" s="74">
        <f t="array" ref="E801">IF(OR($D801="",$D801="NO ENCONTRADO"),"",_xlfn.XLOOKUP($D801,Productos!$E:$E,Productos!$H:$H,""))</f>
        <v/>
      </c>
      <c r="F801" s="74">
        <f t="array" ref="F801">IF(OR($D801="",$D801="NO ENCONTRADO"),"",_xlfn.XLOOKUP($D801,Productos!$E:$E,Productos!$I:$I,""))</f>
        <v/>
      </c>
      <c r="G801" s="74">
        <f t="array" ref="G801">IF(OR($D801="",$D801="NO ENCONTRADO"),"",_xlfn.XLOOKUP($D801,Productos!$E:$E,Productos!$J:$J,""))</f>
        <v/>
      </c>
      <c r="H801" s="74">
        <f t="array" ref="H801">IF(OR($D801="",$D801="NO ENCONTRADO"),"",_xlfn.XLOOKUP($D801,Productos!$E:$E,Productos!$K:$K,""))</f>
        <v/>
      </c>
      <c r="I801" s="74">
        <f t="array" ref="I801">IF(OR($D801="",$D801="NO ENCONTRADO"),"",_xlfn.XLOOKUP($D801,Productos!$E:$E,Productos!$F:$F,""))</f>
        <v/>
      </c>
      <c r="J801" s="74">
        <f>IF($C801="","",IF($D801="NO ENCONTRADO",IF(COUNTIF($C$7:$C$1000,$C801)&gt;1,"⚠️ No encontrado | Duplicado","⚠️ No encontrado"),IF(COUNTIF($C$7:$C$1000,$C801)&gt;1,"⚠️ Duplicado","Verificado")))</f>
        <v/>
      </c>
    </row>
    <row r="802" ht="15.75" customHeight="1" s="176">
      <c r="B802" s="80" t="n"/>
      <c r="C802" s="74" t="n"/>
      <c r="D802" s="74">
        <f t="array" ref="D802">IF($C802="","",IFNA(_xlfn.XLOOKUP($C802,Productos!$A:$A,Productos!$E:$E,IFNA(_xlfn.XLOOKUP(TEXT($C802,"0"),Productos!$A:$A,Productos!$E:$E,IFNA(_xlfn.XLOOKUP(IFERROR(VALUE($C802),""),Productos!$A:$A,Productos!$E:$E,_xlfn.XLOOKUP($C802,Productos!$E:$E,Productos!$E:$E,"NO ENCONTRADO")),"NO ENCONTRADO")),"NO ENCONTRADO")),"NO ENCONTRADO"))</f>
        <v/>
      </c>
      <c r="E802" s="74">
        <f t="array" ref="E802">IF(OR($D802="",$D802="NO ENCONTRADO"),"",_xlfn.XLOOKUP($D802,Productos!$E:$E,Productos!$H:$H,""))</f>
        <v/>
      </c>
      <c r="F802" s="74">
        <f t="array" ref="F802">IF(OR($D802="",$D802="NO ENCONTRADO"),"",_xlfn.XLOOKUP($D802,Productos!$E:$E,Productos!$I:$I,""))</f>
        <v/>
      </c>
      <c r="G802" s="74">
        <f t="array" ref="G802">IF(OR($D802="",$D802="NO ENCONTRADO"),"",_xlfn.XLOOKUP($D802,Productos!$E:$E,Productos!$J:$J,""))</f>
        <v/>
      </c>
      <c r="H802" s="74">
        <f t="array" ref="H802">IF(OR($D802="",$D802="NO ENCONTRADO"),"",_xlfn.XLOOKUP($D802,Productos!$E:$E,Productos!$K:$K,""))</f>
        <v/>
      </c>
      <c r="I802" s="74">
        <f t="array" ref="I802">IF(OR($D802="",$D802="NO ENCONTRADO"),"",_xlfn.XLOOKUP($D802,Productos!$E:$E,Productos!$F:$F,""))</f>
        <v/>
      </c>
      <c r="J802" s="74">
        <f>IF($C802="","",IF($D802="NO ENCONTRADO",IF(COUNTIF($C$7:$C$1000,$C802)&gt;1,"⚠️ No encontrado | Duplicado","⚠️ No encontrado"),IF(COUNTIF($C$7:$C$1000,$C802)&gt;1,"⚠️ Duplicado","Verificado")))</f>
        <v/>
      </c>
    </row>
    <row r="803" ht="15.75" customHeight="1" s="176">
      <c r="B803" s="80" t="n"/>
      <c r="C803" s="74" t="n"/>
      <c r="D803" s="74">
        <f t="array" ref="D803">IF($C803="","",IFNA(_xlfn.XLOOKUP($C803,Productos!$A:$A,Productos!$E:$E,IFNA(_xlfn.XLOOKUP(TEXT($C803,"0"),Productos!$A:$A,Productos!$E:$E,IFNA(_xlfn.XLOOKUP(IFERROR(VALUE($C803),""),Productos!$A:$A,Productos!$E:$E,_xlfn.XLOOKUP($C803,Productos!$E:$E,Productos!$E:$E,"NO ENCONTRADO")),"NO ENCONTRADO")),"NO ENCONTRADO")),"NO ENCONTRADO"))</f>
        <v/>
      </c>
      <c r="E803" s="74">
        <f t="array" ref="E803">IF(OR($D803="",$D803="NO ENCONTRADO"),"",_xlfn.XLOOKUP($D803,Productos!$E:$E,Productos!$H:$H,""))</f>
        <v/>
      </c>
      <c r="F803" s="74">
        <f t="array" ref="F803">IF(OR($D803="",$D803="NO ENCONTRADO"),"",_xlfn.XLOOKUP($D803,Productos!$E:$E,Productos!$I:$I,""))</f>
        <v/>
      </c>
      <c r="G803" s="74">
        <f t="array" ref="G803">IF(OR($D803="",$D803="NO ENCONTRADO"),"",_xlfn.XLOOKUP($D803,Productos!$E:$E,Productos!$J:$J,""))</f>
        <v/>
      </c>
      <c r="H803" s="74">
        <f t="array" ref="H803">IF(OR($D803="",$D803="NO ENCONTRADO"),"",_xlfn.XLOOKUP($D803,Productos!$E:$E,Productos!$K:$K,""))</f>
        <v/>
      </c>
      <c r="I803" s="74">
        <f t="array" ref="I803">IF(OR($D803="",$D803="NO ENCONTRADO"),"",_xlfn.XLOOKUP($D803,Productos!$E:$E,Productos!$F:$F,""))</f>
        <v/>
      </c>
      <c r="J803" s="74">
        <f>IF($C803="","",IF($D803="NO ENCONTRADO",IF(COUNTIF($C$7:$C$1000,$C803)&gt;1,"⚠️ No encontrado | Duplicado","⚠️ No encontrado"),IF(COUNTIF($C$7:$C$1000,$C803)&gt;1,"⚠️ Duplicado","Verificado")))</f>
        <v/>
      </c>
    </row>
    <row r="804" ht="15.75" customHeight="1" s="176">
      <c r="B804" s="80" t="n"/>
      <c r="C804" s="74" t="n"/>
      <c r="D804" s="74">
        <f t="array" ref="D804">IF($C804="","",IFNA(_xlfn.XLOOKUP($C804,Productos!$A:$A,Productos!$E:$E,IFNA(_xlfn.XLOOKUP(TEXT($C804,"0"),Productos!$A:$A,Productos!$E:$E,IFNA(_xlfn.XLOOKUP(IFERROR(VALUE($C804),""),Productos!$A:$A,Productos!$E:$E,_xlfn.XLOOKUP($C804,Productos!$E:$E,Productos!$E:$E,"NO ENCONTRADO")),"NO ENCONTRADO")),"NO ENCONTRADO")),"NO ENCONTRADO"))</f>
        <v/>
      </c>
      <c r="E804" s="74">
        <f t="array" ref="E804">IF(OR($D804="",$D804="NO ENCONTRADO"),"",_xlfn.XLOOKUP($D804,Productos!$E:$E,Productos!$H:$H,""))</f>
        <v/>
      </c>
      <c r="F804" s="74">
        <f t="array" ref="F804">IF(OR($D804="",$D804="NO ENCONTRADO"),"",_xlfn.XLOOKUP($D804,Productos!$E:$E,Productos!$I:$I,""))</f>
        <v/>
      </c>
      <c r="G804" s="74">
        <f t="array" ref="G804">IF(OR($D804="",$D804="NO ENCONTRADO"),"",_xlfn.XLOOKUP($D804,Productos!$E:$E,Productos!$J:$J,""))</f>
        <v/>
      </c>
      <c r="H804" s="74">
        <f t="array" ref="H804">IF(OR($D804="",$D804="NO ENCONTRADO"),"",_xlfn.XLOOKUP($D804,Productos!$E:$E,Productos!$K:$K,""))</f>
        <v/>
      </c>
      <c r="I804" s="74">
        <f t="array" ref="I804">IF(OR($D804="",$D804="NO ENCONTRADO"),"",_xlfn.XLOOKUP($D804,Productos!$E:$E,Productos!$F:$F,""))</f>
        <v/>
      </c>
      <c r="J804" s="74">
        <f>IF($C804="","",IF($D804="NO ENCONTRADO",IF(COUNTIF($C$7:$C$1000,$C804)&gt;1,"⚠️ No encontrado | Duplicado","⚠️ No encontrado"),IF(COUNTIF($C$7:$C$1000,$C804)&gt;1,"⚠️ Duplicado","Verificado")))</f>
        <v/>
      </c>
    </row>
    <row r="805" ht="15.75" customHeight="1" s="176">
      <c r="B805" s="80" t="n"/>
      <c r="C805" s="74" t="n"/>
      <c r="D805" s="74">
        <f t="array" ref="D805">IF($C805="","",IFNA(_xlfn.XLOOKUP($C805,Productos!$A:$A,Productos!$E:$E,IFNA(_xlfn.XLOOKUP(TEXT($C805,"0"),Productos!$A:$A,Productos!$E:$E,IFNA(_xlfn.XLOOKUP(IFERROR(VALUE($C805),""),Productos!$A:$A,Productos!$E:$E,_xlfn.XLOOKUP($C805,Productos!$E:$E,Productos!$E:$E,"NO ENCONTRADO")),"NO ENCONTRADO")),"NO ENCONTRADO")),"NO ENCONTRADO"))</f>
        <v/>
      </c>
      <c r="E805" s="74">
        <f t="array" ref="E805">IF(OR($D805="",$D805="NO ENCONTRADO"),"",_xlfn.XLOOKUP($D805,Productos!$E:$E,Productos!$H:$H,""))</f>
        <v/>
      </c>
      <c r="F805" s="74">
        <f t="array" ref="F805">IF(OR($D805="",$D805="NO ENCONTRADO"),"",_xlfn.XLOOKUP($D805,Productos!$E:$E,Productos!$I:$I,""))</f>
        <v/>
      </c>
      <c r="G805" s="74">
        <f t="array" ref="G805">IF(OR($D805="",$D805="NO ENCONTRADO"),"",_xlfn.XLOOKUP($D805,Productos!$E:$E,Productos!$J:$J,""))</f>
        <v/>
      </c>
      <c r="H805" s="74">
        <f t="array" ref="H805">IF(OR($D805="",$D805="NO ENCONTRADO"),"",_xlfn.XLOOKUP($D805,Productos!$E:$E,Productos!$K:$K,""))</f>
        <v/>
      </c>
      <c r="I805" s="74">
        <f t="array" ref="I805">IF(OR($D805="",$D805="NO ENCONTRADO"),"",_xlfn.XLOOKUP($D805,Productos!$E:$E,Productos!$F:$F,""))</f>
        <v/>
      </c>
      <c r="J805" s="74">
        <f>IF($C805="","",IF($D805="NO ENCONTRADO",IF(COUNTIF($C$7:$C$1000,$C805)&gt;1,"⚠️ No encontrado | Duplicado","⚠️ No encontrado"),IF(COUNTIF($C$7:$C$1000,$C805)&gt;1,"⚠️ Duplicado","Verificado")))</f>
        <v/>
      </c>
    </row>
    <row r="806" ht="15.75" customHeight="1" s="176">
      <c r="B806" s="80" t="n"/>
      <c r="C806" s="74" t="n"/>
      <c r="D806" s="74">
        <f t="array" ref="D806">IF($C806="","",IFNA(_xlfn.XLOOKUP($C806,Productos!$A:$A,Productos!$E:$E,IFNA(_xlfn.XLOOKUP(TEXT($C806,"0"),Productos!$A:$A,Productos!$E:$E,IFNA(_xlfn.XLOOKUP(IFERROR(VALUE($C806),""),Productos!$A:$A,Productos!$E:$E,_xlfn.XLOOKUP($C806,Productos!$E:$E,Productos!$E:$E,"NO ENCONTRADO")),"NO ENCONTRADO")),"NO ENCONTRADO")),"NO ENCONTRADO"))</f>
        <v/>
      </c>
      <c r="E806" s="74">
        <f t="array" ref="E806">IF(OR($D806="",$D806="NO ENCONTRADO"),"",_xlfn.XLOOKUP($D806,Productos!$E:$E,Productos!$H:$H,""))</f>
        <v/>
      </c>
      <c r="F806" s="74">
        <f t="array" ref="F806">IF(OR($D806="",$D806="NO ENCONTRADO"),"",_xlfn.XLOOKUP($D806,Productos!$E:$E,Productos!$I:$I,""))</f>
        <v/>
      </c>
      <c r="G806" s="74">
        <f t="array" ref="G806">IF(OR($D806="",$D806="NO ENCONTRADO"),"",_xlfn.XLOOKUP($D806,Productos!$E:$E,Productos!$J:$J,""))</f>
        <v/>
      </c>
      <c r="H806" s="74">
        <f t="array" ref="H806">IF(OR($D806="",$D806="NO ENCONTRADO"),"",_xlfn.XLOOKUP($D806,Productos!$E:$E,Productos!$K:$K,""))</f>
        <v/>
      </c>
      <c r="I806" s="74">
        <f t="array" ref="I806">IF(OR($D806="",$D806="NO ENCONTRADO"),"",_xlfn.XLOOKUP($D806,Productos!$E:$E,Productos!$F:$F,""))</f>
        <v/>
      </c>
      <c r="J806" s="74">
        <f>IF($C806="","",IF($D806="NO ENCONTRADO",IF(COUNTIF($C$7:$C$1000,$C806)&gt;1,"⚠️ No encontrado | Duplicado","⚠️ No encontrado"),IF(COUNTIF($C$7:$C$1000,$C806)&gt;1,"⚠️ Duplicado","Verificado")))</f>
        <v/>
      </c>
    </row>
    <row r="807" ht="15.75" customHeight="1" s="176">
      <c r="B807" s="80" t="n"/>
      <c r="C807" s="74" t="n"/>
      <c r="D807" s="74">
        <f t="array" ref="D807">IF($C807="","",IFNA(_xlfn.XLOOKUP($C807,Productos!$A:$A,Productos!$E:$E,IFNA(_xlfn.XLOOKUP(TEXT($C807,"0"),Productos!$A:$A,Productos!$E:$E,IFNA(_xlfn.XLOOKUP(IFERROR(VALUE($C807),""),Productos!$A:$A,Productos!$E:$E,_xlfn.XLOOKUP($C807,Productos!$E:$E,Productos!$E:$E,"NO ENCONTRADO")),"NO ENCONTRADO")),"NO ENCONTRADO")),"NO ENCONTRADO"))</f>
        <v/>
      </c>
      <c r="E807" s="74">
        <f t="array" ref="E807">IF(OR($D807="",$D807="NO ENCONTRADO"),"",_xlfn.XLOOKUP($D807,Productos!$E:$E,Productos!$H:$H,""))</f>
        <v/>
      </c>
      <c r="F807" s="74">
        <f t="array" ref="F807">IF(OR($D807="",$D807="NO ENCONTRADO"),"",_xlfn.XLOOKUP($D807,Productos!$E:$E,Productos!$I:$I,""))</f>
        <v/>
      </c>
      <c r="G807" s="74">
        <f t="array" ref="G807">IF(OR($D807="",$D807="NO ENCONTRADO"),"",_xlfn.XLOOKUP($D807,Productos!$E:$E,Productos!$J:$J,""))</f>
        <v/>
      </c>
      <c r="H807" s="74">
        <f t="array" ref="H807">IF(OR($D807="",$D807="NO ENCONTRADO"),"",_xlfn.XLOOKUP($D807,Productos!$E:$E,Productos!$K:$K,""))</f>
        <v/>
      </c>
      <c r="I807" s="74">
        <f t="array" ref="I807">IF(OR($D807="",$D807="NO ENCONTRADO"),"",_xlfn.XLOOKUP($D807,Productos!$E:$E,Productos!$F:$F,""))</f>
        <v/>
      </c>
      <c r="J807" s="74">
        <f>IF($C807="","",IF($D807="NO ENCONTRADO",IF(COUNTIF($C$7:$C$1000,$C807)&gt;1,"⚠️ No encontrado | Duplicado","⚠️ No encontrado"),IF(COUNTIF($C$7:$C$1000,$C807)&gt;1,"⚠️ Duplicado","Verificado")))</f>
        <v/>
      </c>
    </row>
    <row r="808" ht="15.75" customHeight="1" s="176">
      <c r="B808" s="80" t="n"/>
      <c r="C808" s="74" t="n"/>
      <c r="D808" s="74">
        <f t="array" ref="D808">IF($C808="","",IFNA(_xlfn.XLOOKUP($C808,Productos!$A:$A,Productos!$E:$E,IFNA(_xlfn.XLOOKUP(TEXT($C808,"0"),Productos!$A:$A,Productos!$E:$E,IFNA(_xlfn.XLOOKUP(IFERROR(VALUE($C808),""),Productos!$A:$A,Productos!$E:$E,_xlfn.XLOOKUP($C808,Productos!$E:$E,Productos!$E:$E,"NO ENCONTRADO")),"NO ENCONTRADO")),"NO ENCONTRADO")),"NO ENCONTRADO"))</f>
        <v/>
      </c>
      <c r="E808" s="74">
        <f t="array" ref="E808">IF(OR($D808="",$D808="NO ENCONTRADO"),"",_xlfn.XLOOKUP($D808,Productos!$E:$E,Productos!$H:$H,""))</f>
        <v/>
      </c>
      <c r="F808" s="74">
        <f t="array" ref="F808">IF(OR($D808="",$D808="NO ENCONTRADO"),"",_xlfn.XLOOKUP($D808,Productos!$E:$E,Productos!$I:$I,""))</f>
        <v/>
      </c>
      <c r="G808" s="74">
        <f t="array" ref="G808">IF(OR($D808="",$D808="NO ENCONTRADO"),"",_xlfn.XLOOKUP($D808,Productos!$E:$E,Productos!$J:$J,""))</f>
        <v/>
      </c>
      <c r="H808" s="74">
        <f t="array" ref="H808">IF(OR($D808="",$D808="NO ENCONTRADO"),"",_xlfn.XLOOKUP($D808,Productos!$E:$E,Productos!$K:$K,""))</f>
        <v/>
      </c>
      <c r="I808" s="74">
        <f t="array" ref="I808">IF(OR($D808="",$D808="NO ENCONTRADO"),"",_xlfn.XLOOKUP($D808,Productos!$E:$E,Productos!$F:$F,""))</f>
        <v/>
      </c>
      <c r="J808" s="74">
        <f>IF($C808="","",IF($D808="NO ENCONTRADO",IF(COUNTIF($C$7:$C$1000,$C808)&gt;1,"⚠️ No encontrado | Duplicado","⚠️ No encontrado"),IF(COUNTIF($C$7:$C$1000,$C808)&gt;1,"⚠️ Duplicado","Verificado")))</f>
        <v/>
      </c>
    </row>
    <row r="809" ht="15.75" customHeight="1" s="176">
      <c r="B809" s="80" t="n"/>
      <c r="C809" s="74" t="n"/>
      <c r="D809" s="74">
        <f t="array" ref="D809">IF($C809="","",IFNA(_xlfn.XLOOKUP($C809,Productos!$A:$A,Productos!$E:$E,IFNA(_xlfn.XLOOKUP(TEXT($C809,"0"),Productos!$A:$A,Productos!$E:$E,IFNA(_xlfn.XLOOKUP(IFERROR(VALUE($C809),""),Productos!$A:$A,Productos!$E:$E,_xlfn.XLOOKUP($C809,Productos!$E:$E,Productos!$E:$E,"NO ENCONTRADO")),"NO ENCONTRADO")),"NO ENCONTRADO")),"NO ENCONTRADO"))</f>
        <v/>
      </c>
      <c r="E809" s="74">
        <f t="array" ref="E809">IF(OR($D809="",$D809="NO ENCONTRADO"),"",_xlfn.XLOOKUP($D809,Productos!$E:$E,Productos!$H:$H,""))</f>
        <v/>
      </c>
      <c r="F809" s="74">
        <f t="array" ref="F809">IF(OR($D809="",$D809="NO ENCONTRADO"),"",_xlfn.XLOOKUP($D809,Productos!$E:$E,Productos!$I:$I,""))</f>
        <v/>
      </c>
      <c r="G809" s="74">
        <f t="array" ref="G809">IF(OR($D809="",$D809="NO ENCONTRADO"),"",_xlfn.XLOOKUP($D809,Productos!$E:$E,Productos!$J:$J,""))</f>
        <v/>
      </c>
      <c r="H809" s="74">
        <f t="array" ref="H809">IF(OR($D809="",$D809="NO ENCONTRADO"),"",_xlfn.XLOOKUP($D809,Productos!$E:$E,Productos!$K:$K,""))</f>
        <v/>
      </c>
      <c r="I809" s="74">
        <f t="array" ref="I809">IF(OR($D809="",$D809="NO ENCONTRADO"),"",_xlfn.XLOOKUP($D809,Productos!$E:$E,Productos!$F:$F,""))</f>
        <v/>
      </c>
      <c r="J809" s="74">
        <f>IF($C809="","",IF($D809="NO ENCONTRADO",IF(COUNTIF($C$7:$C$1000,$C809)&gt;1,"⚠️ No encontrado | Duplicado","⚠️ No encontrado"),IF(COUNTIF($C$7:$C$1000,$C809)&gt;1,"⚠️ Duplicado","Verificado")))</f>
        <v/>
      </c>
    </row>
    <row r="810" ht="15.75" customHeight="1" s="176">
      <c r="B810" s="80" t="n"/>
      <c r="C810" s="74" t="n"/>
      <c r="D810" s="74">
        <f t="array" ref="D810">IF($C810="","",IFNA(_xlfn.XLOOKUP($C810,Productos!$A:$A,Productos!$E:$E,IFNA(_xlfn.XLOOKUP(TEXT($C810,"0"),Productos!$A:$A,Productos!$E:$E,IFNA(_xlfn.XLOOKUP(IFERROR(VALUE($C810),""),Productos!$A:$A,Productos!$E:$E,_xlfn.XLOOKUP($C810,Productos!$E:$E,Productos!$E:$E,"NO ENCONTRADO")),"NO ENCONTRADO")),"NO ENCONTRADO")),"NO ENCONTRADO"))</f>
        <v/>
      </c>
      <c r="E810" s="74">
        <f t="array" ref="E810">IF(OR($D810="",$D810="NO ENCONTRADO"),"",_xlfn.XLOOKUP($D810,Productos!$E:$E,Productos!$H:$H,""))</f>
        <v/>
      </c>
      <c r="F810" s="74">
        <f t="array" ref="F810">IF(OR($D810="",$D810="NO ENCONTRADO"),"",_xlfn.XLOOKUP($D810,Productos!$E:$E,Productos!$I:$I,""))</f>
        <v/>
      </c>
      <c r="G810" s="74">
        <f t="array" ref="G810">IF(OR($D810="",$D810="NO ENCONTRADO"),"",_xlfn.XLOOKUP($D810,Productos!$E:$E,Productos!$J:$J,""))</f>
        <v/>
      </c>
      <c r="H810" s="74">
        <f t="array" ref="H810">IF(OR($D810="",$D810="NO ENCONTRADO"),"",_xlfn.XLOOKUP($D810,Productos!$E:$E,Productos!$K:$K,""))</f>
        <v/>
      </c>
      <c r="I810" s="74">
        <f t="array" ref="I810">IF(OR($D810="",$D810="NO ENCONTRADO"),"",_xlfn.XLOOKUP($D810,Productos!$E:$E,Productos!$F:$F,""))</f>
        <v/>
      </c>
      <c r="J810" s="74">
        <f>IF($C810="","",IF($D810="NO ENCONTRADO",IF(COUNTIF($C$7:$C$1000,$C810)&gt;1,"⚠️ No encontrado | Duplicado","⚠️ No encontrado"),IF(COUNTIF($C$7:$C$1000,$C810)&gt;1,"⚠️ Duplicado","Verificado")))</f>
        <v/>
      </c>
    </row>
    <row r="811" ht="15.75" customHeight="1" s="176">
      <c r="B811" s="80" t="n"/>
      <c r="C811" s="74" t="n"/>
      <c r="D811" s="74">
        <f t="array" ref="D811">IF($C811="","",IFNA(_xlfn.XLOOKUP($C811,Productos!$A:$A,Productos!$E:$E,IFNA(_xlfn.XLOOKUP(TEXT($C811,"0"),Productos!$A:$A,Productos!$E:$E,IFNA(_xlfn.XLOOKUP(IFERROR(VALUE($C811),""),Productos!$A:$A,Productos!$E:$E,_xlfn.XLOOKUP($C811,Productos!$E:$E,Productos!$E:$E,"NO ENCONTRADO")),"NO ENCONTRADO")),"NO ENCONTRADO")),"NO ENCONTRADO"))</f>
        <v/>
      </c>
      <c r="E811" s="74">
        <f t="array" ref="E811">IF(OR($D811="",$D811="NO ENCONTRADO"),"",_xlfn.XLOOKUP($D811,Productos!$E:$E,Productos!$H:$H,""))</f>
        <v/>
      </c>
      <c r="F811" s="74">
        <f t="array" ref="F811">IF(OR($D811="",$D811="NO ENCONTRADO"),"",_xlfn.XLOOKUP($D811,Productos!$E:$E,Productos!$I:$I,""))</f>
        <v/>
      </c>
      <c r="G811" s="74">
        <f t="array" ref="G811">IF(OR($D811="",$D811="NO ENCONTRADO"),"",_xlfn.XLOOKUP($D811,Productos!$E:$E,Productos!$J:$J,""))</f>
        <v/>
      </c>
      <c r="H811" s="74">
        <f t="array" ref="H811">IF(OR($D811="",$D811="NO ENCONTRADO"),"",_xlfn.XLOOKUP($D811,Productos!$E:$E,Productos!$K:$K,""))</f>
        <v/>
      </c>
      <c r="I811" s="74">
        <f t="array" ref="I811">IF(OR($D811="",$D811="NO ENCONTRADO"),"",_xlfn.XLOOKUP($D811,Productos!$E:$E,Productos!$F:$F,""))</f>
        <v/>
      </c>
      <c r="J811" s="74">
        <f>IF($C811="","",IF($D811="NO ENCONTRADO",IF(COUNTIF($C$7:$C$1000,$C811)&gt;1,"⚠️ No encontrado | Duplicado","⚠️ No encontrado"),IF(COUNTIF($C$7:$C$1000,$C811)&gt;1,"⚠️ Duplicado","Verificado")))</f>
        <v/>
      </c>
    </row>
    <row r="812" ht="15.75" customHeight="1" s="176">
      <c r="B812" s="80" t="n"/>
      <c r="C812" s="74" t="n"/>
      <c r="D812" s="74">
        <f t="array" ref="D812">IF($C812="","",IFNA(_xlfn.XLOOKUP($C812,Productos!$A:$A,Productos!$E:$E,IFNA(_xlfn.XLOOKUP(TEXT($C812,"0"),Productos!$A:$A,Productos!$E:$E,IFNA(_xlfn.XLOOKUP(IFERROR(VALUE($C812),""),Productos!$A:$A,Productos!$E:$E,_xlfn.XLOOKUP($C812,Productos!$E:$E,Productos!$E:$E,"NO ENCONTRADO")),"NO ENCONTRADO")),"NO ENCONTRADO")),"NO ENCONTRADO"))</f>
        <v/>
      </c>
      <c r="E812" s="74">
        <f t="array" ref="E812">IF(OR($D812="",$D812="NO ENCONTRADO"),"",_xlfn.XLOOKUP($D812,Productos!$E:$E,Productos!$H:$H,""))</f>
        <v/>
      </c>
      <c r="F812" s="74">
        <f t="array" ref="F812">IF(OR($D812="",$D812="NO ENCONTRADO"),"",_xlfn.XLOOKUP($D812,Productos!$E:$E,Productos!$I:$I,""))</f>
        <v/>
      </c>
      <c r="G812" s="74">
        <f t="array" ref="G812">IF(OR($D812="",$D812="NO ENCONTRADO"),"",_xlfn.XLOOKUP($D812,Productos!$E:$E,Productos!$J:$J,""))</f>
        <v/>
      </c>
      <c r="H812" s="74">
        <f t="array" ref="H812">IF(OR($D812="",$D812="NO ENCONTRADO"),"",_xlfn.XLOOKUP($D812,Productos!$E:$E,Productos!$K:$K,""))</f>
        <v/>
      </c>
      <c r="I812" s="74">
        <f t="array" ref="I812">IF(OR($D812="",$D812="NO ENCONTRADO"),"",_xlfn.XLOOKUP($D812,Productos!$E:$E,Productos!$F:$F,""))</f>
        <v/>
      </c>
      <c r="J812" s="74">
        <f>IF($C812="","",IF($D812="NO ENCONTRADO",IF(COUNTIF($C$7:$C$1000,$C812)&gt;1,"⚠️ No encontrado | Duplicado","⚠️ No encontrado"),IF(COUNTIF($C$7:$C$1000,$C812)&gt;1,"⚠️ Duplicado","Verificado")))</f>
        <v/>
      </c>
    </row>
    <row r="813" ht="15.75" customHeight="1" s="176">
      <c r="B813" s="80" t="n"/>
      <c r="C813" s="74" t="n"/>
      <c r="D813" s="74">
        <f t="array" ref="D813">IF($C813="","",IFNA(_xlfn.XLOOKUP($C813,Productos!$A:$A,Productos!$E:$E,IFNA(_xlfn.XLOOKUP(TEXT($C813,"0"),Productos!$A:$A,Productos!$E:$E,IFNA(_xlfn.XLOOKUP(IFERROR(VALUE($C813),""),Productos!$A:$A,Productos!$E:$E,_xlfn.XLOOKUP($C813,Productos!$E:$E,Productos!$E:$E,"NO ENCONTRADO")),"NO ENCONTRADO")),"NO ENCONTRADO")),"NO ENCONTRADO"))</f>
        <v/>
      </c>
      <c r="E813" s="74">
        <f t="array" ref="E813">IF(OR($D813="",$D813="NO ENCONTRADO"),"",_xlfn.XLOOKUP($D813,Productos!$E:$E,Productos!$H:$H,""))</f>
        <v/>
      </c>
      <c r="F813" s="74">
        <f t="array" ref="F813">IF(OR($D813="",$D813="NO ENCONTRADO"),"",_xlfn.XLOOKUP($D813,Productos!$E:$E,Productos!$I:$I,""))</f>
        <v/>
      </c>
      <c r="G813" s="74">
        <f t="array" ref="G813">IF(OR($D813="",$D813="NO ENCONTRADO"),"",_xlfn.XLOOKUP($D813,Productos!$E:$E,Productos!$J:$J,""))</f>
        <v/>
      </c>
      <c r="H813" s="74">
        <f t="array" ref="H813">IF(OR($D813="",$D813="NO ENCONTRADO"),"",_xlfn.XLOOKUP($D813,Productos!$E:$E,Productos!$K:$K,""))</f>
        <v/>
      </c>
      <c r="I813" s="74">
        <f t="array" ref="I813">IF(OR($D813="",$D813="NO ENCONTRADO"),"",_xlfn.XLOOKUP($D813,Productos!$E:$E,Productos!$F:$F,""))</f>
        <v/>
      </c>
      <c r="J813" s="74">
        <f>IF($C813="","",IF($D813="NO ENCONTRADO",IF(COUNTIF($C$7:$C$1000,$C813)&gt;1,"⚠️ No encontrado | Duplicado","⚠️ No encontrado"),IF(COUNTIF($C$7:$C$1000,$C813)&gt;1,"⚠️ Duplicado","Verificado")))</f>
        <v/>
      </c>
    </row>
    <row r="814" ht="15.75" customHeight="1" s="176">
      <c r="B814" s="80" t="n"/>
      <c r="C814" s="74" t="n"/>
      <c r="D814" s="74">
        <f t="array" ref="D814">IF($C814="","",IFNA(_xlfn.XLOOKUP($C814,Productos!$A:$A,Productos!$E:$E,IFNA(_xlfn.XLOOKUP(TEXT($C814,"0"),Productos!$A:$A,Productos!$E:$E,IFNA(_xlfn.XLOOKUP(IFERROR(VALUE($C814),""),Productos!$A:$A,Productos!$E:$E,_xlfn.XLOOKUP($C814,Productos!$E:$E,Productos!$E:$E,"NO ENCONTRADO")),"NO ENCONTRADO")),"NO ENCONTRADO")),"NO ENCONTRADO"))</f>
        <v/>
      </c>
      <c r="E814" s="74">
        <f t="array" ref="E814">IF(OR($D814="",$D814="NO ENCONTRADO"),"",_xlfn.XLOOKUP($D814,Productos!$E:$E,Productos!$H:$H,""))</f>
        <v/>
      </c>
      <c r="F814" s="74">
        <f t="array" ref="F814">IF(OR($D814="",$D814="NO ENCONTRADO"),"",_xlfn.XLOOKUP($D814,Productos!$E:$E,Productos!$I:$I,""))</f>
        <v/>
      </c>
      <c r="G814" s="74">
        <f t="array" ref="G814">IF(OR($D814="",$D814="NO ENCONTRADO"),"",_xlfn.XLOOKUP($D814,Productos!$E:$E,Productos!$J:$J,""))</f>
        <v/>
      </c>
      <c r="H814" s="74">
        <f t="array" ref="H814">IF(OR($D814="",$D814="NO ENCONTRADO"),"",_xlfn.XLOOKUP($D814,Productos!$E:$E,Productos!$K:$K,""))</f>
        <v/>
      </c>
      <c r="I814" s="74">
        <f t="array" ref="I814">IF(OR($D814="",$D814="NO ENCONTRADO"),"",_xlfn.XLOOKUP($D814,Productos!$E:$E,Productos!$F:$F,""))</f>
        <v/>
      </c>
      <c r="J814" s="74">
        <f>IF($C814="","",IF($D814="NO ENCONTRADO",IF(COUNTIF($C$7:$C$1000,$C814)&gt;1,"⚠️ No encontrado | Duplicado","⚠️ No encontrado"),IF(COUNTIF($C$7:$C$1000,$C814)&gt;1,"⚠️ Duplicado","Verificado")))</f>
        <v/>
      </c>
    </row>
    <row r="815" ht="15.75" customHeight="1" s="176">
      <c r="B815" s="80" t="n"/>
      <c r="C815" s="74" t="n"/>
      <c r="D815" s="74">
        <f t="array" ref="D815">IF($C815="","",IFNA(_xlfn.XLOOKUP($C815,Productos!$A:$A,Productos!$E:$E,IFNA(_xlfn.XLOOKUP(TEXT($C815,"0"),Productos!$A:$A,Productos!$E:$E,IFNA(_xlfn.XLOOKUP(IFERROR(VALUE($C815),""),Productos!$A:$A,Productos!$E:$E,_xlfn.XLOOKUP($C815,Productos!$E:$E,Productos!$E:$E,"NO ENCONTRADO")),"NO ENCONTRADO")),"NO ENCONTRADO")),"NO ENCONTRADO"))</f>
        <v/>
      </c>
      <c r="E815" s="74">
        <f t="array" ref="E815">IF(OR($D815="",$D815="NO ENCONTRADO"),"",_xlfn.XLOOKUP($D815,Productos!$E:$E,Productos!$H:$H,""))</f>
        <v/>
      </c>
      <c r="F815" s="74">
        <f t="array" ref="F815">IF(OR($D815="",$D815="NO ENCONTRADO"),"",_xlfn.XLOOKUP($D815,Productos!$E:$E,Productos!$I:$I,""))</f>
        <v/>
      </c>
      <c r="G815" s="74">
        <f t="array" ref="G815">IF(OR($D815="",$D815="NO ENCONTRADO"),"",_xlfn.XLOOKUP($D815,Productos!$E:$E,Productos!$J:$J,""))</f>
        <v/>
      </c>
      <c r="H815" s="74">
        <f t="array" ref="H815">IF(OR($D815="",$D815="NO ENCONTRADO"),"",_xlfn.XLOOKUP($D815,Productos!$E:$E,Productos!$K:$K,""))</f>
        <v/>
      </c>
      <c r="I815" s="74">
        <f t="array" ref="I815">IF(OR($D815="",$D815="NO ENCONTRADO"),"",_xlfn.XLOOKUP($D815,Productos!$E:$E,Productos!$F:$F,""))</f>
        <v/>
      </c>
      <c r="J815" s="74">
        <f>IF($C815="","",IF($D815="NO ENCONTRADO",IF(COUNTIF($C$7:$C$1000,$C815)&gt;1,"⚠️ No encontrado | Duplicado","⚠️ No encontrado"),IF(COUNTIF($C$7:$C$1000,$C815)&gt;1,"⚠️ Duplicado","Verificado")))</f>
        <v/>
      </c>
    </row>
    <row r="816" ht="15.75" customHeight="1" s="176">
      <c r="B816" s="80" t="n"/>
      <c r="C816" s="74" t="n"/>
      <c r="D816" s="74">
        <f t="array" ref="D816">IF($C816="","",IFNA(_xlfn.XLOOKUP($C816,Productos!$A:$A,Productos!$E:$E,IFNA(_xlfn.XLOOKUP(TEXT($C816,"0"),Productos!$A:$A,Productos!$E:$E,IFNA(_xlfn.XLOOKUP(IFERROR(VALUE($C816),""),Productos!$A:$A,Productos!$E:$E,_xlfn.XLOOKUP($C816,Productos!$E:$E,Productos!$E:$E,"NO ENCONTRADO")),"NO ENCONTRADO")),"NO ENCONTRADO")),"NO ENCONTRADO"))</f>
        <v/>
      </c>
      <c r="E816" s="74">
        <f t="array" ref="E816">IF(OR($D816="",$D816="NO ENCONTRADO"),"",_xlfn.XLOOKUP($D816,Productos!$E:$E,Productos!$H:$H,""))</f>
        <v/>
      </c>
      <c r="F816" s="74">
        <f t="array" ref="F816">IF(OR($D816="",$D816="NO ENCONTRADO"),"",_xlfn.XLOOKUP($D816,Productos!$E:$E,Productos!$I:$I,""))</f>
        <v/>
      </c>
      <c r="G816" s="74">
        <f t="array" ref="G816">IF(OR($D816="",$D816="NO ENCONTRADO"),"",_xlfn.XLOOKUP($D816,Productos!$E:$E,Productos!$J:$J,""))</f>
        <v/>
      </c>
      <c r="H816" s="74">
        <f t="array" ref="H816">IF(OR($D816="",$D816="NO ENCONTRADO"),"",_xlfn.XLOOKUP($D816,Productos!$E:$E,Productos!$K:$K,""))</f>
        <v/>
      </c>
      <c r="I816" s="74">
        <f t="array" ref="I816">IF(OR($D816="",$D816="NO ENCONTRADO"),"",_xlfn.XLOOKUP($D816,Productos!$E:$E,Productos!$F:$F,""))</f>
        <v/>
      </c>
      <c r="J816" s="74">
        <f>IF($C816="","",IF($D816="NO ENCONTRADO",IF(COUNTIF($C$7:$C$1000,$C816)&gt;1,"⚠️ No encontrado | Duplicado","⚠️ No encontrado"),IF(COUNTIF($C$7:$C$1000,$C816)&gt;1,"⚠️ Duplicado","Verificado")))</f>
        <v/>
      </c>
    </row>
    <row r="817" ht="15.75" customHeight="1" s="176">
      <c r="B817" s="80" t="n"/>
      <c r="C817" s="74" t="n"/>
      <c r="D817" s="74">
        <f t="array" ref="D817">IF($C817="","",IFNA(_xlfn.XLOOKUP($C817,Productos!$A:$A,Productos!$E:$E,IFNA(_xlfn.XLOOKUP(TEXT($C817,"0"),Productos!$A:$A,Productos!$E:$E,IFNA(_xlfn.XLOOKUP(IFERROR(VALUE($C817),""),Productos!$A:$A,Productos!$E:$E,_xlfn.XLOOKUP($C817,Productos!$E:$E,Productos!$E:$E,"NO ENCONTRADO")),"NO ENCONTRADO")),"NO ENCONTRADO")),"NO ENCONTRADO"))</f>
        <v/>
      </c>
      <c r="E817" s="74">
        <f t="array" ref="E817">IF(OR($D817="",$D817="NO ENCONTRADO"),"",_xlfn.XLOOKUP($D817,Productos!$E:$E,Productos!$H:$H,""))</f>
        <v/>
      </c>
      <c r="F817" s="74">
        <f t="array" ref="F817">IF(OR($D817="",$D817="NO ENCONTRADO"),"",_xlfn.XLOOKUP($D817,Productos!$E:$E,Productos!$I:$I,""))</f>
        <v/>
      </c>
      <c r="G817" s="74">
        <f t="array" ref="G817">IF(OR($D817="",$D817="NO ENCONTRADO"),"",_xlfn.XLOOKUP($D817,Productos!$E:$E,Productos!$J:$J,""))</f>
        <v/>
      </c>
      <c r="H817" s="74">
        <f t="array" ref="H817">IF(OR($D817="",$D817="NO ENCONTRADO"),"",_xlfn.XLOOKUP($D817,Productos!$E:$E,Productos!$K:$K,""))</f>
        <v/>
      </c>
      <c r="I817" s="74">
        <f t="array" ref="I817">IF(OR($D817="",$D817="NO ENCONTRADO"),"",_xlfn.XLOOKUP($D817,Productos!$E:$E,Productos!$F:$F,""))</f>
        <v/>
      </c>
      <c r="J817" s="74">
        <f>IF($C817="","",IF($D817="NO ENCONTRADO",IF(COUNTIF($C$7:$C$1000,$C817)&gt;1,"⚠️ No encontrado | Duplicado","⚠️ No encontrado"),IF(COUNTIF($C$7:$C$1000,$C817)&gt;1,"⚠️ Duplicado","Verificado")))</f>
        <v/>
      </c>
    </row>
    <row r="818" ht="15.75" customHeight="1" s="176">
      <c r="B818" s="80" t="n"/>
      <c r="C818" s="74" t="n"/>
      <c r="D818" s="74">
        <f t="array" ref="D818">IF($C818="","",IFNA(_xlfn.XLOOKUP($C818,Productos!$A:$A,Productos!$E:$E,IFNA(_xlfn.XLOOKUP(TEXT($C818,"0"),Productos!$A:$A,Productos!$E:$E,IFNA(_xlfn.XLOOKUP(IFERROR(VALUE($C818),""),Productos!$A:$A,Productos!$E:$E,_xlfn.XLOOKUP($C818,Productos!$E:$E,Productos!$E:$E,"NO ENCONTRADO")),"NO ENCONTRADO")),"NO ENCONTRADO")),"NO ENCONTRADO"))</f>
        <v/>
      </c>
      <c r="E818" s="74">
        <f t="array" ref="E818">IF(OR($D818="",$D818="NO ENCONTRADO"),"",_xlfn.XLOOKUP($D818,Productos!$E:$E,Productos!$H:$H,""))</f>
        <v/>
      </c>
      <c r="F818" s="74">
        <f t="array" ref="F818">IF(OR($D818="",$D818="NO ENCONTRADO"),"",_xlfn.XLOOKUP($D818,Productos!$E:$E,Productos!$I:$I,""))</f>
        <v/>
      </c>
      <c r="G818" s="74">
        <f t="array" ref="G818">IF(OR($D818="",$D818="NO ENCONTRADO"),"",_xlfn.XLOOKUP($D818,Productos!$E:$E,Productos!$J:$J,""))</f>
        <v/>
      </c>
      <c r="H818" s="74">
        <f t="array" ref="H818">IF(OR($D818="",$D818="NO ENCONTRADO"),"",_xlfn.XLOOKUP($D818,Productos!$E:$E,Productos!$K:$K,""))</f>
        <v/>
      </c>
      <c r="I818" s="74">
        <f t="array" ref="I818">IF(OR($D818="",$D818="NO ENCONTRADO"),"",_xlfn.XLOOKUP($D818,Productos!$E:$E,Productos!$F:$F,""))</f>
        <v/>
      </c>
      <c r="J818" s="74">
        <f>IF($C818="","",IF($D818="NO ENCONTRADO",IF(COUNTIF($C$7:$C$1000,$C818)&gt;1,"⚠️ No encontrado | Duplicado","⚠️ No encontrado"),IF(COUNTIF($C$7:$C$1000,$C818)&gt;1,"⚠️ Duplicado","Verificado")))</f>
        <v/>
      </c>
    </row>
    <row r="819" ht="15.75" customHeight="1" s="176">
      <c r="B819" s="80" t="n"/>
      <c r="C819" s="74" t="n"/>
      <c r="D819" s="74">
        <f t="array" ref="D819">IF($C819="","",IFNA(_xlfn.XLOOKUP($C819,Productos!$A:$A,Productos!$E:$E,IFNA(_xlfn.XLOOKUP(TEXT($C819,"0"),Productos!$A:$A,Productos!$E:$E,IFNA(_xlfn.XLOOKUP(IFERROR(VALUE($C819),""),Productos!$A:$A,Productos!$E:$E,_xlfn.XLOOKUP($C819,Productos!$E:$E,Productos!$E:$E,"NO ENCONTRADO")),"NO ENCONTRADO")),"NO ENCONTRADO")),"NO ENCONTRADO"))</f>
        <v/>
      </c>
      <c r="E819" s="74">
        <f t="array" ref="E819">IF(OR($D819="",$D819="NO ENCONTRADO"),"",_xlfn.XLOOKUP($D819,Productos!$E:$E,Productos!$H:$H,""))</f>
        <v/>
      </c>
      <c r="F819" s="74">
        <f t="array" ref="F819">IF(OR($D819="",$D819="NO ENCONTRADO"),"",_xlfn.XLOOKUP($D819,Productos!$E:$E,Productos!$I:$I,""))</f>
        <v/>
      </c>
      <c r="G819" s="74">
        <f t="array" ref="G819">IF(OR($D819="",$D819="NO ENCONTRADO"),"",_xlfn.XLOOKUP($D819,Productos!$E:$E,Productos!$J:$J,""))</f>
        <v/>
      </c>
      <c r="H819" s="74">
        <f t="array" ref="H819">IF(OR($D819="",$D819="NO ENCONTRADO"),"",_xlfn.XLOOKUP($D819,Productos!$E:$E,Productos!$K:$K,""))</f>
        <v/>
      </c>
      <c r="I819" s="74">
        <f t="array" ref="I819">IF(OR($D819="",$D819="NO ENCONTRADO"),"",_xlfn.XLOOKUP($D819,Productos!$E:$E,Productos!$F:$F,""))</f>
        <v/>
      </c>
      <c r="J819" s="74">
        <f>IF($C819="","",IF($D819="NO ENCONTRADO",IF(COUNTIF($C$7:$C$1000,$C819)&gt;1,"⚠️ No encontrado | Duplicado","⚠️ No encontrado"),IF(COUNTIF($C$7:$C$1000,$C819)&gt;1,"⚠️ Duplicado","Verificado")))</f>
        <v/>
      </c>
    </row>
    <row r="820" ht="15.75" customHeight="1" s="176">
      <c r="B820" s="80" t="n"/>
      <c r="C820" s="74" t="n"/>
      <c r="D820" s="74">
        <f t="array" ref="D820">IF($C820="","",IFNA(_xlfn.XLOOKUP($C820,Productos!$A:$A,Productos!$E:$E,IFNA(_xlfn.XLOOKUP(TEXT($C820,"0"),Productos!$A:$A,Productos!$E:$E,IFNA(_xlfn.XLOOKUP(IFERROR(VALUE($C820),""),Productos!$A:$A,Productos!$E:$E,_xlfn.XLOOKUP($C820,Productos!$E:$E,Productos!$E:$E,"NO ENCONTRADO")),"NO ENCONTRADO")),"NO ENCONTRADO")),"NO ENCONTRADO"))</f>
        <v/>
      </c>
      <c r="E820" s="74">
        <f t="array" ref="E820">IF(OR($D820="",$D820="NO ENCONTRADO"),"",_xlfn.XLOOKUP($D820,Productos!$E:$E,Productos!$H:$H,""))</f>
        <v/>
      </c>
      <c r="F820" s="74">
        <f t="array" ref="F820">IF(OR($D820="",$D820="NO ENCONTRADO"),"",_xlfn.XLOOKUP($D820,Productos!$E:$E,Productos!$I:$I,""))</f>
        <v/>
      </c>
      <c r="G820" s="74">
        <f t="array" ref="G820">IF(OR($D820="",$D820="NO ENCONTRADO"),"",_xlfn.XLOOKUP($D820,Productos!$E:$E,Productos!$J:$J,""))</f>
        <v/>
      </c>
      <c r="H820" s="74">
        <f t="array" ref="H820">IF(OR($D820="",$D820="NO ENCONTRADO"),"",_xlfn.XLOOKUP($D820,Productos!$E:$E,Productos!$K:$K,""))</f>
        <v/>
      </c>
      <c r="I820" s="74">
        <f t="array" ref="I820">IF(OR($D820="",$D820="NO ENCONTRADO"),"",_xlfn.XLOOKUP($D820,Productos!$E:$E,Productos!$F:$F,""))</f>
        <v/>
      </c>
      <c r="J820" s="74">
        <f>IF($C820="","",IF($D820="NO ENCONTRADO",IF(COUNTIF($C$7:$C$1000,$C820)&gt;1,"⚠️ No encontrado | Duplicado","⚠️ No encontrado"),IF(COUNTIF($C$7:$C$1000,$C820)&gt;1,"⚠️ Duplicado","Verificado")))</f>
        <v/>
      </c>
    </row>
    <row r="821" ht="15.75" customHeight="1" s="176">
      <c r="B821" s="80" t="n"/>
      <c r="C821" s="74" t="n"/>
      <c r="D821" s="74">
        <f t="array" ref="D821">IF($C821="","",IFNA(_xlfn.XLOOKUP($C821,Productos!$A:$A,Productos!$E:$E,IFNA(_xlfn.XLOOKUP(TEXT($C821,"0"),Productos!$A:$A,Productos!$E:$E,IFNA(_xlfn.XLOOKUP(IFERROR(VALUE($C821),""),Productos!$A:$A,Productos!$E:$E,_xlfn.XLOOKUP($C821,Productos!$E:$E,Productos!$E:$E,"NO ENCONTRADO")),"NO ENCONTRADO")),"NO ENCONTRADO")),"NO ENCONTRADO"))</f>
        <v/>
      </c>
      <c r="E821" s="74">
        <f t="array" ref="E821">IF(OR($D821="",$D821="NO ENCONTRADO"),"",_xlfn.XLOOKUP($D821,Productos!$E:$E,Productos!$H:$H,""))</f>
        <v/>
      </c>
      <c r="F821" s="74">
        <f t="array" ref="F821">IF(OR($D821="",$D821="NO ENCONTRADO"),"",_xlfn.XLOOKUP($D821,Productos!$E:$E,Productos!$I:$I,""))</f>
        <v/>
      </c>
      <c r="G821" s="74">
        <f t="array" ref="G821">IF(OR($D821="",$D821="NO ENCONTRADO"),"",_xlfn.XLOOKUP($D821,Productos!$E:$E,Productos!$J:$J,""))</f>
        <v/>
      </c>
      <c r="H821" s="74">
        <f t="array" ref="H821">IF(OR($D821="",$D821="NO ENCONTRADO"),"",_xlfn.XLOOKUP($D821,Productos!$E:$E,Productos!$K:$K,""))</f>
        <v/>
      </c>
      <c r="I821" s="74">
        <f t="array" ref="I821">IF(OR($D821="",$D821="NO ENCONTRADO"),"",_xlfn.XLOOKUP($D821,Productos!$E:$E,Productos!$F:$F,""))</f>
        <v/>
      </c>
      <c r="J821" s="74">
        <f>IF($C821="","",IF($D821="NO ENCONTRADO",IF(COUNTIF($C$7:$C$1000,$C821)&gt;1,"⚠️ No encontrado | Duplicado","⚠️ No encontrado"),IF(COUNTIF($C$7:$C$1000,$C821)&gt;1,"⚠️ Duplicado","Verificado")))</f>
        <v/>
      </c>
    </row>
    <row r="822" ht="15.75" customHeight="1" s="176">
      <c r="B822" s="80" t="n"/>
      <c r="C822" s="74" t="n"/>
      <c r="D822" s="74">
        <f t="array" ref="D822">IF($C822="","",IFNA(_xlfn.XLOOKUP($C822,Productos!$A:$A,Productos!$E:$E,IFNA(_xlfn.XLOOKUP(TEXT($C822,"0"),Productos!$A:$A,Productos!$E:$E,IFNA(_xlfn.XLOOKUP(IFERROR(VALUE($C822),""),Productos!$A:$A,Productos!$E:$E,_xlfn.XLOOKUP($C822,Productos!$E:$E,Productos!$E:$E,"NO ENCONTRADO")),"NO ENCONTRADO")),"NO ENCONTRADO")),"NO ENCONTRADO"))</f>
        <v/>
      </c>
      <c r="E822" s="74">
        <f t="array" ref="E822">IF(OR($D822="",$D822="NO ENCONTRADO"),"",_xlfn.XLOOKUP($D822,Productos!$E:$E,Productos!$H:$H,""))</f>
        <v/>
      </c>
      <c r="F822" s="74">
        <f t="array" ref="F822">IF(OR($D822="",$D822="NO ENCONTRADO"),"",_xlfn.XLOOKUP($D822,Productos!$E:$E,Productos!$I:$I,""))</f>
        <v/>
      </c>
      <c r="G822" s="74">
        <f t="array" ref="G822">IF(OR($D822="",$D822="NO ENCONTRADO"),"",_xlfn.XLOOKUP($D822,Productos!$E:$E,Productos!$J:$J,""))</f>
        <v/>
      </c>
      <c r="H822" s="74">
        <f t="array" ref="H822">IF(OR($D822="",$D822="NO ENCONTRADO"),"",_xlfn.XLOOKUP($D822,Productos!$E:$E,Productos!$K:$K,""))</f>
        <v/>
      </c>
      <c r="I822" s="74">
        <f t="array" ref="I822">IF(OR($D822="",$D822="NO ENCONTRADO"),"",_xlfn.XLOOKUP($D822,Productos!$E:$E,Productos!$F:$F,""))</f>
        <v/>
      </c>
      <c r="J822" s="74">
        <f>IF($C822="","",IF($D822="NO ENCONTRADO",IF(COUNTIF($C$7:$C$1000,$C822)&gt;1,"⚠️ No encontrado | Duplicado","⚠️ No encontrado"),IF(COUNTIF($C$7:$C$1000,$C822)&gt;1,"⚠️ Duplicado","Verificado")))</f>
        <v/>
      </c>
    </row>
    <row r="823" ht="15.75" customHeight="1" s="176">
      <c r="B823" s="80" t="n"/>
      <c r="C823" s="74" t="n"/>
      <c r="D823" s="74">
        <f t="array" ref="D823">IF($C823="","",IFNA(_xlfn.XLOOKUP($C823,Productos!$A:$A,Productos!$E:$E,IFNA(_xlfn.XLOOKUP(TEXT($C823,"0"),Productos!$A:$A,Productos!$E:$E,IFNA(_xlfn.XLOOKUP(IFERROR(VALUE($C823),""),Productos!$A:$A,Productos!$E:$E,_xlfn.XLOOKUP($C823,Productos!$E:$E,Productos!$E:$E,"NO ENCONTRADO")),"NO ENCONTRADO")),"NO ENCONTRADO")),"NO ENCONTRADO"))</f>
        <v/>
      </c>
      <c r="E823" s="74">
        <f t="array" ref="E823">IF(OR($D823="",$D823="NO ENCONTRADO"),"",_xlfn.XLOOKUP($D823,Productos!$E:$E,Productos!$H:$H,""))</f>
        <v/>
      </c>
      <c r="F823" s="74">
        <f t="array" ref="F823">IF(OR($D823="",$D823="NO ENCONTRADO"),"",_xlfn.XLOOKUP($D823,Productos!$E:$E,Productos!$I:$I,""))</f>
        <v/>
      </c>
      <c r="G823" s="74">
        <f t="array" ref="G823">IF(OR($D823="",$D823="NO ENCONTRADO"),"",_xlfn.XLOOKUP($D823,Productos!$E:$E,Productos!$J:$J,""))</f>
        <v/>
      </c>
      <c r="H823" s="74">
        <f t="array" ref="H823">IF(OR($D823="",$D823="NO ENCONTRADO"),"",_xlfn.XLOOKUP($D823,Productos!$E:$E,Productos!$K:$K,""))</f>
        <v/>
      </c>
      <c r="I823" s="74">
        <f t="array" ref="I823">IF(OR($D823="",$D823="NO ENCONTRADO"),"",_xlfn.XLOOKUP($D823,Productos!$E:$E,Productos!$F:$F,""))</f>
        <v/>
      </c>
      <c r="J823" s="74">
        <f>IF($C823="","",IF($D823="NO ENCONTRADO",IF(COUNTIF($C$7:$C$1000,$C823)&gt;1,"⚠️ No encontrado | Duplicado","⚠️ No encontrado"),IF(COUNTIF($C$7:$C$1000,$C823)&gt;1,"⚠️ Duplicado","Verificado")))</f>
        <v/>
      </c>
    </row>
    <row r="824" ht="15.75" customHeight="1" s="176">
      <c r="B824" s="80" t="n"/>
      <c r="C824" s="74" t="n"/>
      <c r="D824" s="74">
        <f t="array" ref="D824">IF($C824="","",IFNA(_xlfn.XLOOKUP($C824,Productos!$A:$A,Productos!$E:$E,IFNA(_xlfn.XLOOKUP(TEXT($C824,"0"),Productos!$A:$A,Productos!$E:$E,IFNA(_xlfn.XLOOKUP(IFERROR(VALUE($C824),""),Productos!$A:$A,Productos!$E:$E,_xlfn.XLOOKUP($C824,Productos!$E:$E,Productos!$E:$E,"NO ENCONTRADO")),"NO ENCONTRADO")),"NO ENCONTRADO")),"NO ENCONTRADO"))</f>
        <v/>
      </c>
      <c r="E824" s="74">
        <f t="array" ref="E824">IF(OR($D824="",$D824="NO ENCONTRADO"),"",_xlfn.XLOOKUP($D824,Productos!$E:$E,Productos!$H:$H,""))</f>
        <v/>
      </c>
      <c r="F824" s="74">
        <f t="array" ref="F824">IF(OR($D824="",$D824="NO ENCONTRADO"),"",_xlfn.XLOOKUP($D824,Productos!$E:$E,Productos!$I:$I,""))</f>
        <v/>
      </c>
      <c r="G824" s="74">
        <f t="array" ref="G824">IF(OR($D824="",$D824="NO ENCONTRADO"),"",_xlfn.XLOOKUP($D824,Productos!$E:$E,Productos!$J:$J,""))</f>
        <v/>
      </c>
      <c r="H824" s="74">
        <f t="array" ref="H824">IF(OR($D824="",$D824="NO ENCONTRADO"),"",_xlfn.XLOOKUP($D824,Productos!$E:$E,Productos!$K:$K,""))</f>
        <v/>
      </c>
      <c r="I824" s="74">
        <f t="array" ref="I824">IF(OR($D824="",$D824="NO ENCONTRADO"),"",_xlfn.XLOOKUP($D824,Productos!$E:$E,Productos!$F:$F,""))</f>
        <v/>
      </c>
      <c r="J824" s="74">
        <f>IF($C824="","",IF($D824="NO ENCONTRADO",IF(COUNTIF($C$7:$C$1000,$C824)&gt;1,"⚠️ No encontrado | Duplicado","⚠️ No encontrado"),IF(COUNTIF($C$7:$C$1000,$C824)&gt;1,"⚠️ Duplicado","Verificado")))</f>
        <v/>
      </c>
    </row>
    <row r="825" ht="15.75" customHeight="1" s="176">
      <c r="B825" s="80" t="n"/>
      <c r="C825" s="74" t="n"/>
      <c r="D825" s="74">
        <f t="array" ref="D825">IF($C825="","",IFNA(_xlfn.XLOOKUP($C825,Productos!$A:$A,Productos!$E:$E,IFNA(_xlfn.XLOOKUP(TEXT($C825,"0"),Productos!$A:$A,Productos!$E:$E,IFNA(_xlfn.XLOOKUP(IFERROR(VALUE($C825),""),Productos!$A:$A,Productos!$E:$E,_xlfn.XLOOKUP($C825,Productos!$E:$E,Productos!$E:$E,"NO ENCONTRADO")),"NO ENCONTRADO")),"NO ENCONTRADO")),"NO ENCONTRADO"))</f>
        <v/>
      </c>
      <c r="E825" s="74">
        <f t="array" ref="E825">IF(OR($D825="",$D825="NO ENCONTRADO"),"",_xlfn.XLOOKUP($D825,Productos!$E:$E,Productos!$H:$H,""))</f>
        <v/>
      </c>
      <c r="F825" s="74">
        <f t="array" ref="F825">IF(OR($D825="",$D825="NO ENCONTRADO"),"",_xlfn.XLOOKUP($D825,Productos!$E:$E,Productos!$I:$I,""))</f>
        <v/>
      </c>
      <c r="G825" s="74">
        <f t="array" ref="G825">IF(OR($D825="",$D825="NO ENCONTRADO"),"",_xlfn.XLOOKUP($D825,Productos!$E:$E,Productos!$J:$J,""))</f>
        <v/>
      </c>
      <c r="H825" s="74">
        <f t="array" ref="H825">IF(OR($D825="",$D825="NO ENCONTRADO"),"",_xlfn.XLOOKUP($D825,Productos!$E:$E,Productos!$K:$K,""))</f>
        <v/>
      </c>
      <c r="I825" s="74">
        <f t="array" ref="I825">IF(OR($D825="",$D825="NO ENCONTRADO"),"",_xlfn.XLOOKUP($D825,Productos!$E:$E,Productos!$F:$F,""))</f>
        <v/>
      </c>
      <c r="J825" s="74">
        <f>IF($C825="","",IF($D825="NO ENCONTRADO",IF(COUNTIF($C$7:$C$1000,$C825)&gt;1,"⚠️ No encontrado | Duplicado","⚠️ No encontrado"),IF(COUNTIF($C$7:$C$1000,$C825)&gt;1,"⚠️ Duplicado","Verificado")))</f>
        <v/>
      </c>
    </row>
    <row r="826" ht="15.75" customHeight="1" s="176">
      <c r="B826" s="80" t="n"/>
      <c r="C826" s="74" t="n"/>
      <c r="D826" s="74">
        <f t="array" ref="D826">IF($C826="","",IFNA(_xlfn.XLOOKUP($C826,Productos!$A:$A,Productos!$E:$E,IFNA(_xlfn.XLOOKUP(TEXT($C826,"0"),Productos!$A:$A,Productos!$E:$E,IFNA(_xlfn.XLOOKUP(IFERROR(VALUE($C826),""),Productos!$A:$A,Productos!$E:$E,_xlfn.XLOOKUP($C826,Productos!$E:$E,Productos!$E:$E,"NO ENCONTRADO")),"NO ENCONTRADO")),"NO ENCONTRADO")),"NO ENCONTRADO"))</f>
        <v/>
      </c>
      <c r="E826" s="74">
        <f t="array" ref="E826">IF(OR($D826="",$D826="NO ENCONTRADO"),"",_xlfn.XLOOKUP($D826,Productos!$E:$E,Productos!$H:$H,""))</f>
        <v/>
      </c>
      <c r="F826" s="74">
        <f t="array" ref="F826">IF(OR($D826="",$D826="NO ENCONTRADO"),"",_xlfn.XLOOKUP($D826,Productos!$E:$E,Productos!$I:$I,""))</f>
        <v/>
      </c>
      <c r="G826" s="74">
        <f t="array" ref="G826">IF(OR($D826="",$D826="NO ENCONTRADO"),"",_xlfn.XLOOKUP($D826,Productos!$E:$E,Productos!$J:$J,""))</f>
        <v/>
      </c>
      <c r="H826" s="74">
        <f t="array" ref="H826">IF(OR($D826="",$D826="NO ENCONTRADO"),"",_xlfn.XLOOKUP($D826,Productos!$E:$E,Productos!$K:$K,""))</f>
        <v/>
      </c>
      <c r="I826" s="74">
        <f t="array" ref="I826">IF(OR($D826="",$D826="NO ENCONTRADO"),"",_xlfn.XLOOKUP($D826,Productos!$E:$E,Productos!$F:$F,""))</f>
        <v/>
      </c>
      <c r="J826" s="74">
        <f>IF($C826="","",IF($D826="NO ENCONTRADO",IF(COUNTIF($C$7:$C$1000,$C826)&gt;1,"⚠️ No encontrado | Duplicado","⚠️ No encontrado"),IF(COUNTIF($C$7:$C$1000,$C826)&gt;1,"⚠️ Duplicado","Verificado")))</f>
        <v/>
      </c>
    </row>
    <row r="827" ht="15.75" customHeight="1" s="176">
      <c r="B827" s="80" t="n"/>
      <c r="C827" s="74" t="n"/>
      <c r="D827" s="74">
        <f t="array" ref="D827">IF($C827="","",IFNA(_xlfn.XLOOKUP($C827,Productos!$A:$A,Productos!$E:$E,IFNA(_xlfn.XLOOKUP(TEXT($C827,"0"),Productos!$A:$A,Productos!$E:$E,IFNA(_xlfn.XLOOKUP(IFERROR(VALUE($C827),""),Productos!$A:$A,Productos!$E:$E,_xlfn.XLOOKUP($C827,Productos!$E:$E,Productos!$E:$E,"NO ENCONTRADO")),"NO ENCONTRADO")),"NO ENCONTRADO")),"NO ENCONTRADO"))</f>
        <v/>
      </c>
      <c r="E827" s="74">
        <f t="array" ref="E827">IF(OR($D827="",$D827="NO ENCONTRADO"),"",_xlfn.XLOOKUP($D827,Productos!$E:$E,Productos!$H:$H,""))</f>
        <v/>
      </c>
      <c r="F827" s="74">
        <f t="array" ref="F827">IF(OR($D827="",$D827="NO ENCONTRADO"),"",_xlfn.XLOOKUP($D827,Productos!$E:$E,Productos!$I:$I,""))</f>
        <v/>
      </c>
      <c r="G827" s="74">
        <f t="array" ref="G827">IF(OR($D827="",$D827="NO ENCONTRADO"),"",_xlfn.XLOOKUP($D827,Productos!$E:$E,Productos!$J:$J,""))</f>
        <v/>
      </c>
      <c r="H827" s="74">
        <f t="array" ref="H827">IF(OR($D827="",$D827="NO ENCONTRADO"),"",_xlfn.XLOOKUP($D827,Productos!$E:$E,Productos!$K:$K,""))</f>
        <v/>
      </c>
      <c r="I827" s="74">
        <f t="array" ref="I827">IF(OR($D827="",$D827="NO ENCONTRADO"),"",_xlfn.XLOOKUP($D827,Productos!$E:$E,Productos!$F:$F,""))</f>
        <v/>
      </c>
      <c r="J827" s="74">
        <f>IF($C827="","",IF($D827="NO ENCONTRADO",IF(COUNTIF($C$7:$C$1000,$C827)&gt;1,"⚠️ No encontrado | Duplicado","⚠️ No encontrado"),IF(COUNTIF($C$7:$C$1000,$C827)&gt;1,"⚠️ Duplicado","Verificado")))</f>
        <v/>
      </c>
    </row>
    <row r="828" ht="15.75" customHeight="1" s="176">
      <c r="B828" s="80" t="n"/>
      <c r="C828" s="74" t="n"/>
      <c r="D828" s="74">
        <f t="array" ref="D828">IF($C828="","",IFNA(_xlfn.XLOOKUP($C828,Productos!$A:$A,Productos!$E:$E,IFNA(_xlfn.XLOOKUP(TEXT($C828,"0"),Productos!$A:$A,Productos!$E:$E,IFNA(_xlfn.XLOOKUP(IFERROR(VALUE($C828),""),Productos!$A:$A,Productos!$E:$E,_xlfn.XLOOKUP($C828,Productos!$E:$E,Productos!$E:$E,"NO ENCONTRADO")),"NO ENCONTRADO")),"NO ENCONTRADO")),"NO ENCONTRADO"))</f>
        <v/>
      </c>
      <c r="E828" s="74">
        <f t="array" ref="E828">IF(OR($D828="",$D828="NO ENCONTRADO"),"",_xlfn.XLOOKUP($D828,Productos!$E:$E,Productos!$H:$H,""))</f>
        <v/>
      </c>
      <c r="F828" s="74">
        <f t="array" ref="F828">IF(OR($D828="",$D828="NO ENCONTRADO"),"",_xlfn.XLOOKUP($D828,Productos!$E:$E,Productos!$I:$I,""))</f>
        <v/>
      </c>
      <c r="G828" s="74">
        <f t="array" ref="G828">IF(OR($D828="",$D828="NO ENCONTRADO"),"",_xlfn.XLOOKUP($D828,Productos!$E:$E,Productos!$J:$J,""))</f>
        <v/>
      </c>
      <c r="H828" s="74">
        <f t="array" ref="H828">IF(OR($D828="",$D828="NO ENCONTRADO"),"",_xlfn.XLOOKUP($D828,Productos!$E:$E,Productos!$K:$K,""))</f>
        <v/>
      </c>
      <c r="I828" s="74">
        <f t="array" ref="I828">IF(OR($D828="",$D828="NO ENCONTRADO"),"",_xlfn.XLOOKUP($D828,Productos!$E:$E,Productos!$F:$F,""))</f>
        <v/>
      </c>
      <c r="J828" s="74">
        <f>IF($C828="","",IF($D828="NO ENCONTRADO",IF(COUNTIF($C$7:$C$1000,$C828)&gt;1,"⚠️ No encontrado | Duplicado","⚠️ No encontrado"),IF(COUNTIF($C$7:$C$1000,$C828)&gt;1,"⚠️ Duplicado","Verificado")))</f>
        <v/>
      </c>
    </row>
    <row r="829" ht="15.75" customHeight="1" s="176">
      <c r="B829" s="80" t="n"/>
      <c r="C829" s="74" t="n"/>
      <c r="D829" s="74">
        <f t="array" ref="D829">IF($C829="","",IFNA(_xlfn.XLOOKUP($C829,Productos!$A:$A,Productos!$E:$E,IFNA(_xlfn.XLOOKUP(TEXT($C829,"0"),Productos!$A:$A,Productos!$E:$E,IFNA(_xlfn.XLOOKUP(IFERROR(VALUE($C829),""),Productos!$A:$A,Productos!$E:$E,_xlfn.XLOOKUP($C829,Productos!$E:$E,Productos!$E:$E,"NO ENCONTRADO")),"NO ENCONTRADO")),"NO ENCONTRADO")),"NO ENCONTRADO"))</f>
        <v/>
      </c>
      <c r="E829" s="74">
        <f t="array" ref="E829">IF(OR($D829="",$D829="NO ENCONTRADO"),"",_xlfn.XLOOKUP($D829,Productos!$E:$E,Productos!$H:$H,""))</f>
        <v/>
      </c>
      <c r="F829" s="74">
        <f t="array" ref="F829">IF(OR($D829="",$D829="NO ENCONTRADO"),"",_xlfn.XLOOKUP($D829,Productos!$E:$E,Productos!$I:$I,""))</f>
        <v/>
      </c>
      <c r="G829" s="74">
        <f t="array" ref="G829">IF(OR($D829="",$D829="NO ENCONTRADO"),"",_xlfn.XLOOKUP($D829,Productos!$E:$E,Productos!$J:$J,""))</f>
        <v/>
      </c>
      <c r="H829" s="74">
        <f t="array" ref="H829">IF(OR($D829="",$D829="NO ENCONTRADO"),"",_xlfn.XLOOKUP($D829,Productos!$E:$E,Productos!$K:$K,""))</f>
        <v/>
      </c>
      <c r="I829" s="74">
        <f t="array" ref="I829">IF(OR($D829="",$D829="NO ENCONTRADO"),"",_xlfn.XLOOKUP($D829,Productos!$E:$E,Productos!$F:$F,""))</f>
        <v/>
      </c>
      <c r="J829" s="74">
        <f>IF($C829="","",IF($D829="NO ENCONTRADO",IF(COUNTIF($C$7:$C$1000,$C829)&gt;1,"⚠️ No encontrado | Duplicado","⚠️ No encontrado"),IF(COUNTIF($C$7:$C$1000,$C829)&gt;1,"⚠️ Duplicado","Verificado")))</f>
        <v/>
      </c>
    </row>
    <row r="830" ht="15.75" customHeight="1" s="176">
      <c r="B830" s="80" t="n"/>
      <c r="C830" s="74" t="n"/>
      <c r="D830" s="74">
        <f t="array" ref="D830">IF($C830="","",IFNA(_xlfn.XLOOKUP($C830,Productos!$A:$A,Productos!$E:$E,IFNA(_xlfn.XLOOKUP(TEXT($C830,"0"),Productos!$A:$A,Productos!$E:$E,IFNA(_xlfn.XLOOKUP(IFERROR(VALUE($C830),""),Productos!$A:$A,Productos!$E:$E,_xlfn.XLOOKUP($C830,Productos!$E:$E,Productos!$E:$E,"NO ENCONTRADO")),"NO ENCONTRADO")),"NO ENCONTRADO")),"NO ENCONTRADO"))</f>
        <v/>
      </c>
      <c r="E830" s="74">
        <f t="array" ref="E830">IF(OR($D830="",$D830="NO ENCONTRADO"),"",_xlfn.XLOOKUP($D830,Productos!$E:$E,Productos!$H:$H,""))</f>
        <v/>
      </c>
      <c r="F830" s="74">
        <f t="array" ref="F830">IF(OR($D830="",$D830="NO ENCONTRADO"),"",_xlfn.XLOOKUP($D830,Productos!$E:$E,Productos!$I:$I,""))</f>
        <v/>
      </c>
      <c r="G830" s="74">
        <f t="array" ref="G830">IF(OR($D830="",$D830="NO ENCONTRADO"),"",_xlfn.XLOOKUP($D830,Productos!$E:$E,Productos!$J:$J,""))</f>
        <v/>
      </c>
      <c r="H830" s="74">
        <f t="array" ref="H830">IF(OR($D830="",$D830="NO ENCONTRADO"),"",_xlfn.XLOOKUP($D830,Productos!$E:$E,Productos!$K:$K,""))</f>
        <v/>
      </c>
      <c r="I830" s="74">
        <f t="array" ref="I830">IF(OR($D830="",$D830="NO ENCONTRADO"),"",_xlfn.XLOOKUP($D830,Productos!$E:$E,Productos!$F:$F,""))</f>
        <v/>
      </c>
      <c r="J830" s="74">
        <f>IF($C830="","",IF($D830="NO ENCONTRADO",IF(COUNTIF($C$7:$C$1000,$C830)&gt;1,"⚠️ No encontrado | Duplicado","⚠️ No encontrado"),IF(COUNTIF($C$7:$C$1000,$C830)&gt;1,"⚠️ Duplicado","Verificado")))</f>
        <v/>
      </c>
    </row>
    <row r="831" ht="15.75" customHeight="1" s="176">
      <c r="B831" s="80" t="n"/>
      <c r="C831" s="74" t="n"/>
      <c r="D831" s="74">
        <f t="array" ref="D831">IF($C831="","",IFNA(_xlfn.XLOOKUP($C831,Productos!$A:$A,Productos!$E:$E,IFNA(_xlfn.XLOOKUP(TEXT($C831,"0"),Productos!$A:$A,Productos!$E:$E,IFNA(_xlfn.XLOOKUP(IFERROR(VALUE($C831),""),Productos!$A:$A,Productos!$E:$E,_xlfn.XLOOKUP($C831,Productos!$E:$E,Productos!$E:$E,"NO ENCONTRADO")),"NO ENCONTRADO")),"NO ENCONTRADO")),"NO ENCONTRADO"))</f>
        <v/>
      </c>
      <c r="E831" s="74">
        <f t="array" ref="E831">IF(OR($D831="",$D831="NO ENCONTRADO"),"",_xlfn.XLOOKUP($D831,Productos!$E:$E,Productos!$H:$H,""))</f>
        <v/>
      </c>
      <c r="F831" s="74">
        <f t="array" ref="F831">IF(OR($D831="",$D831="NO ENCONTRADO"),"",_xlfn.XLOOKUP($D831,Productos!$E:$E,Productos!$I:$I,""))</f>
        <v/>
      </c>
      <c r="G831" s="74">
        <f t="array" ref="G831">IF(OR($D831="",$D831="NO ENCONTRADO"),"",_xlfn.XLOOKUP($D831,Productos!$E:$E,Productos!$J:$J,""))</f>
        <v/>
      </c>
      <c r="H831" s="74">
        <f t="array" ref="H831">IF(OR($D831="",$D831="NO ENCONTRADO"),"",_xlfn.XLOOKUP($D831,Productos!$E:$E,Productos!$K:$K,""))</f>
        <v/>
      </c>
      <c r="I831" s="74">
        <f t="array" ref="I831">IF(OR($D831="",$D831="NO ENCONTRADO"),"",_xlfn.XLOOKUP($D831,Productos!$E:$E,Productos!$F:$F,""))</f>
        <v/>
      </c>
      <c r="J831" s="74">
        <f>IF($C831="","",IF($D831="NO ENCONTRADO",IF(COUNTIF($C$7:$C$1000,$C831)&gt;1,"⚠️ No encontrado | Duplicado","⚠️ No encontrado"),IF(COUNTIF($C$7:$C$1000,$C831)&gt;1,"⚠️ Duplicado","Verificado")))</f>
        <v/>
      </c>
    </row>
    <row r="832" ht="15.75" customHeight="1" s="176">
      <c r="B832" s="80" t="n"/>
      <c r="C832" s="74" t="n"/>
      <c r="D832" s="74">
        <f t="array" ref="D832">IF($C832="","",IFNA(_xlfn.XLOOKUP($C832,Productos!$A:$A,Productos!$E:$E,IFNA(_xlfn.XLOOKUP(TEXT($C832,"0"),Productos!$A:$A,Productos!$E:$E,IFNA(_xlfn.XLOOKUP(IFERROR(VALUE($C832),""),Productos!$A:$A,Productos!$E:$E,_xlfn.XLOOKUP($C832,Productos!$E:$E,Productos!$E:$E,"NO ENCONTRADO")),"NO ENCONTRADO")),"NO ENCONTRADO")),"NO ENCONTRADO"))</f>
        <v/>
      </c>
      <c r="E832" s="74">
        <f t="array" ref="E832">IF(OR($D832="",$D832="NO ENCONTRADO"),"",_xlfn.XLOOKUP($D832,Productos!$E:$E,Productos!$H:$H,""))</f>
        <v/>
      </c>
      <c r="F832" s="74">
        <f t="array" ref="F832">IF(OR($D832="",$D832="NO ENCONTRADO"),"",_xlfn.XLOOKUP($D832,Productos!$E:$E,Productos!$I:$I,""))</f>
        <v/>
      </c>
      <c r="G832" s="74">
        <f t="array" ref="G832">IF(OR($D832="",$D832="NO ENCONTRADO"),"",_xlfn.XLOOKUP($D832,Productos!$E:$E,Productos!$J:$J,""))</f>
        <v/>
      </c>
      <c r="H832" s="74">
        <f t="array" ref="H832">IF(OR($D832="",$D832="NO ENCONTRADO"),"",_xlfn.XLOOKUP($D832,Productos!$E:$E,Productos!$K:$K,""))</f>
        <v/>
      </c>
      <c r="I832" s="74">
        <f t="array" ref="I832">IF(OR($D832="",$D832="NO ENCONTRADO"),"",_xlfn.XLOOKUP($D832,Productos!$E:$E,Productos!$F:$F,""))</f>
        <v/>
      </c>
      <c r="J832" s="74">
        <f>IF($C832="","",IF($D832="NO ENCONTRADO",IF(COUNTIF($C$7:$C$1000,$C832)&gt;1,"⚠️ No encontrado | Duplicado","⚠️ No encontrado"),IF(COUNTIF($C$7:$C$1000,$C832)&gt;1,"⚠️ Duplicado","Verificado")))</f>
        <v/>
      </c>
    </row>
    <row r="833" ht="15.75" customHeight="1" s="176">
      <c r="B833" s="80" t="n"/>
      <c r="C833" s="74" t="n"/>
      <c r="D833" s="74">
        <f t="array" ref="D833">IF($C833="","",IFNA(_xlfn.XLOOKUP($C833,Productos!$A:$A,Productos!$E:$E,IFNA(_xlfn.XLOOKUP(TEXT($C833,"0"),Productos!$A:$A,Productos!$E:$E,IFNA(_xlfn.XLOOKUP(IFERROR(VALUE($C833),""),Productos!$A:$A,Productos!$E:$E,_xlfn.XLOOKUP($C833,Productos!$E:$E,Productos!$E:$E,"NO ENCONTRADO")),"NO ENCONTRADO")),"NO ENCONTRADO")),"NO ENCONTRADO"))</f>
        <v/>
      </c>
      <c r="E833" s="74">
        <f t="array" ref="E833">IF(OR($D833="",$D833="NO ENCONTRADO"),"",_xlfn.XLOOKUP($D833,Productos!$E:$E,Productos!$H:$H,""))</f>
        <v/>
      </c>
      <c r="F833" s="74">
        <f t="array" ref="F833">IF(OR($D833="",$D833="NO ENCONTRADO"),"",_xlfn.XLOOKUP($D833,Productos!$E:$E,Productos!$I:$I,""))</f>
        <v/>
      </c>
      <c r="G833" s="74">
        <f t="array" ref="G833">IF(OR($D833="",$D833="NO ENCONTRADO"),"",_xlfn.XLOOKUP($D833,Productos!$E:$E,Productos!$J:$J,""))</f>
        <v/>
      </c>
      <c r="H833" s="74">
        <f t="array" ref="H833">IF(OR($D833="",$D833="NO ENCONTRADO"),"",_xlfn.XLOOKUP($D833,Productos!$E:$E,Productos!$K:$K,""))</f>
        <v/>
      </c>
      <c r="I833" s="74">
        <f t="array" ref="I833">IF(OR($D833="",$D833="NO ENCONTRADO"),"",_xlfn.XLOOKUP($D833,Productos!$E:$E,Productos!$F:$F,""))</f>
        <v/>
      </c>
      <c r="J833" s="74">
        <f>IF($C833="","",IF($D833="NO ENCONTRADO",IF(COUNTIF($C$7:$C$1000,$C833)&gt;1,"⚠️ No encontrado | Duplicado","⚠️ No encontrado"),IF(COUNTIF($C$7:$C$1000,$C833)&gt;1,"⚠️ Duplicado","Verificado")))</f>
        <v/>
      </c>
    </row>
    <row r="834" ht="15.75" customHeight="1" s="176">
      <c r="B834" s="80" t="n"/>
      <c r="C834" s="74" t="n"/>
      <c r="D834" s="74">
        <f t="array" ref="D834">IF($C834="","",IFNA(_xlfn.XLOOKUP($C834,Productos!$A:$A,Productos!$E:$E,IFNA(_xlfn.XLOOKUP(TEXT($C834,"0"),Productos!$A:$A,Productos!$E:$E,IFNA(_xlfn.XLOOKUP(IFERROR(VALUE($C834),""),Productos!$A:$A,Productos!$E:$E,_xlfn.XLOOKUP($C834,Productos!$E:$E,Productos!$E:$E,"NO ENCONTRADO")),"NO ENCONTRADO")),"NO ENCONTRADO")),"NO ENCONTRADO"))</f>
        <v/>
      </c>
      <c r="E834" s="74">
        <f t="array" ref="E834">IF(OR($D834="",$D834="NO ENCONTRADO"),"",_xlfn.XLOOKUP($D834,Productos!$E:$E,Productos!$H:$H,""))</f>
        <v/>
      </c>
      <c r="F834" s="74">
        <f t="array" ref="F834">IF(OR($D834="",$D834="NO ENCONTRADO"),"",_xlfn.XLOOKUP($D834,Productos!$E:$E,Productos!$I:$I,""))</f>
        <v/>
      </c>
      <c r="G834" s="74">
        <f t="array" ref="G834">IF(OR($D834="",$D834="NO ENCONTRADO"),"",_xlfn.XLOOKUP($D834,Productos!$E:$E,Productos!$J:$J,""))</f>
        <v/>
      </c>
      <c r="H834" s="74">
        <f t="array" ref="H834">IF(OR($D834="",$D834="NO ENCONTRADO"),"",_xlfn.XLOOKUP($D834,Productos!$E:$E,Productos!$K:$K,""))</f>
        <v/>
      </c>
      <c r="I834" s="74">
        <f t="array" ref="I834">IF(OR($D834="",$D834="NO ENCONTRADO"),"",_xlfn.XLOOKUP($D834,Productos!$E:$E,Productos!$F:$F,""))</f>
        <v/>
      </c>
      <c r="J834" s="74">
        <f>IF($C834="","",IF($D834="NO ENCONTRADO",IF(COUNTIF($C$7:$C$1000,$C834)&gt;1,"⚠️ No encontrado | Duplicado","⚠️ No encontrado"),IF(COUNTIF($C$7:$C$1000,$C834)&gt;1,"⚠️ Duplicado","Verificado")))</f>
        <v/>
      </c>
    </row>
    <row r="835" ht="15.75" customHeight="1" s="176">
      <c r="B835" s="80" t="n"/>
      <c r="C835" s="74" t="n"/>
      <c r="D835" s="74">
        <f t="array" ref="D835">IF($C835="","",IFNA(_xlfn.XLOOKUP($C835,Productos!$A:$A,Productos!$E:$E,IFNA(_xlfn.XLOOKUP(TEXT($C835,"0"),Productos!$A:$A,Productos!$E:$E,IFNA(_xlfn.XLOOKUP(IFERROR(VALUE($C835),""),Productos!$A:$A,Productos!$E:$E,_xlfn.XLOOKUP($C835,Productos!$E:$E,Productos!$E:$E,"NO ENCONTRADO")),"NO ENCONTRADO")),"NO ENCONTRADO")),"NO ENCONTRADO"))</f>
        <v/>
      </c>
      <c r="E835" s="74">
        <f t="array" ref="E835">IF(OR($D835="",$D835="NO ENCONTRADO"),"",_xlfn.XLOOKUP($D835,Productos!$E:$E,Productos!$H:$H,""))</f>
        <v/>
      </c>
      <c r="F835" s="74">
        <f t="array" ref="F835">IF(OR($D835="",$D835="NO ENCONTRADO"),"",_xlfn.XLOOKUP($D835,Productos!$E:$E,Productos!$I:$I,""))</f>
        <v/>
      </c>
      <c r="G835" s="74">
        <f t="array" ref="G835">IF(OR($D835="",$D835="NO ENCONTRADO"),"",_xlfn.XLOOKUP($D835,Productos!$E:$E,Productos!$J:$J,""))</f>
        <v/>
      </c>
      <c r="H835" s="74">
        <f t="array" ref="H835">IF(OR($D835="",$D835="NO ENCONTRADO"),"",_xlfn.XLOOKUP($D835,Productos!$E:$E,Productos!$K:$K,""))</f>
        <v/>
      </c>
      <c r="I835" s="74">
        <f t="array" ref="I835">IF(OR($D835="",$D835="NO ENCONTRADO"),"",_xlfn.XLOOKUP($D835,Productos!$E:$E,Productos!$F:$F,""))</f>
        <v/>
      </c>
      <c r="J835" s="74">
        <f>IF($C835="","",IF($D835="NO ENCONTRADO",IF(COUNTIF($C$7:$C$1000,$C835)&gt;1,"⚠️ No encontrado | Duplicado","⚠️ No encontrado"),IF(COUNTIF($C$7:$C$1000,$C835)&gt;1,"⚠️ Duplicado","Verificado")))</f>
        <v/>
      </c>
    </row>
    <row r="836" ht="15.75" customHeight="1" s="176">
      <c r="B836" s="80" t="n"/>
      <c r="C836" s="74" t="n"/>
      <c r="D836" s="74">
        <f t="array" ref="D836">IF($C836="","",IFNA(_xlfn.XLOOKUP($C836,Productos!$A:$A,Productos!$E:$E,IFNA(_xlfn.XLOOKUP(TEXT($C836,"0"),Productos!$A:$A,Productos!$E:$E,IFNA(_xlfn.XLOOKUP(IFERROR(VALUE($C836),""),Productos!$A:$A,Productos!$E:$E,_xlfn.XLOOKUP($C836,Productos!$E:$E,Productos!$E:$E,"NO ENCONTRADO")),"NO ENCONTRADO")),"NO ENCONTRADO")),"NO ENCONTRADO"))</f>
        <v/>
      </c>
      <c r="E836" s="74">
        <f t="array" ref="E836">IF(OR($D836="",$D836="NO ENCONTRADO"),"",_xlfn.XLOOKUP($D836,Productos!$E:$E,Productos!$H:$H,""))</f>
        <v/>
      </c>
      <c r="F836" s="74">
        <f t="array" ref="F836">IF(OR($D836="",$D836="NO ENCONTRADO"),"",_xlfn.XLOOKUP($D836,Productos!$E:$E,Productos!$I:$I,""))</f>
        <v/>
      </c>
      <c r="G836" s="74">
        <f t="array" ref="G836">IF(OR($D836="",$D836="NO ENCONTRADO"),"",_xlfn.XLOOKUP($D836,Productos!$E:$E,Productos!$J:$J,""))</f>
        <v/>
      </c>
      <c r="H836" s="74">
        <f t="array" ref="H836">IF(OR($D836="",$D836="NO ENCONTRADO"),"",_xlfn.XLOOKUP($D836,Productos!$E:$E,Productos!$K:$K,""))</f>
        <v/>
      </c>
      <c r="I836" s="74">
        <f t="array" ref="I836">IF(OR($D836="",$D836="NO ENCONTRADO"),"",_xlfn.XLOOKUP($D836,Productos!$E:$E,Productos!$F:$F,""))</f>
        <v/>
      </c>
      <c r="J836" s="74">
        <f>IF($C836="","",IF($D836="NO ENCONTRADO",IF(COUNTIF($C$7:$C$1000,$C836)&gt;1,"⚠️ No encontrado | Duplicado","⚠️ No encontrado"),IF(COUNTIF($C$7:$C$1000,$C836)&gt;1,"⚠️ Duplicado","Verificado")))</f>
        <v/>
      </c>
    </row>
    <row r="837" ht="15.75" customHeight="1" s="176">
      <c r="B837" s="80" t="n"/>
      <c r="C837" s="74" t="n"/>
      <c r="D837" s="74">
        <f t="array" ref="D837">IF($C837="","",IFNA(_xlfn.XLOOKUP($C837,Productos!$A:$A,Productos!$E:$E,IFNA(_xlfn.XLOOKUP(TEXT($C837,"0"),Productos!$A:$A,Productos!$E:$E,IFNA(_xlfn.XLOOKUP(IFERROR(VALUE($C837),""),Productos!$A:$A,Productos!$E:$E,_xlfn.XLOOKUP($C837,Productos!$E:$E,Productos!$E:$E,"NO ENCONTRADO")),"NO ENCONTRADO")),"NO ENCONTRADO")),"NO ENCONTRADO"))</f>
        <v/>
      </c>
      <c r="E837" s="74">
        <f t="array" ref="E837">IF(OR($D837="",$D837="NO ENCONTRADO"),"",_xlfn.XLOOKUP($D837,Productos!$E:$E,Productos!$H:$H,""))</f>
        <v/>
      </c>
      <c r="F837" s="74">
        <f t="array" ref="F837">IF(OR($D837="",$D837="NO ENCONTRADO"),"",_xlfn.XLOOKUP($D837,Productos!$E:$E,Productos!$I:$I,""))</f>
        <v/>
      </c>
      <c r="G837" s="74">
        <f t="array" ref="G837">IF(OR($D837="",$D837="NO ENCONTRADO"),"",_xlfn.XLOOKUP($D837,Productos!$E:$E,Productos!$J:$J,""))</f>
        <v/>
      </c>
      <c r="H837" s="74">
        <f t="array" ref="H837">IF(OR($D837="",$D837="NO ENCONTRADO"),"",_xlfn.XLOOKUP($D837,Productos!$E:$E,Productos!$K:$K,""))</f>
        <v/>
      </c>
      <c r="I837" s="74">
        <f t="array" ref="I837">IF(OR($D837="",$D837="NO ENCONTRADO"),"",_xlfn.XLOOKUP($D837,Productos!$E:$E,Productos!$F:$F,""))</f>
        <v/>
      </c>
      <c r="J837" s="74">
        <f>IF($C837="","",IF($D837="NO ENCONTRADO",IF(COUNTIF($C$7:$C$1000,$C837)&gt;1,"⚠️ No encontrado | Duplicado","⚠️ No encontrado"),IF(COUNTIF($C$7:$C$1000,$C837)&gt;1,"⚠️ Duplicado","Verificado")))</f>
        <v/>
      </c>
    </row>
    <row r="838" ht="15.75" customHeight="1" s="176">
      <c r="B838" s="80" t="n"/>
      <c r="C838" s="74" t="n"/>
      <c r="D838" s="74">
        <f t="array" ref="D838">IF($C838="","",IFNA(_xlfn.XLOOKUP($C838,Productos!$A:$A,Productos!$E:$E,IFNA(_xlfn.XLOOKUP(TEXT($C838,"0"),Productos!$A:$A,Productos!$E:$E,IFNA(_xlfn.XLOOKUP(IFERROR(VALUE($C838),""),Productos!$A:$A,Productos!$E:$E,_xlfn.XLOOKUP($C838,Productos!$E:$E,Productos!$E:$E,"NO ENCONTRADO")),"NO ENCONTRADO")),"NO ENCONTRADO")),"NO ENCONTRADO"))</f>
        <v/>
      </c>
      <c r="E838" s="74">
        <f t="array" ref="E838">IF(OR($D838="",$D838="NO ENCONTRADO"),"",_xlfn.XLOOKUP($D838,Productos!$E:$E,Productos!$H:$H,""))</f>
        <v/>
      </c>
      <c r="F838" s="74">
        <f t="array" ref="F838">IF(OR($D838="",$D838="NO ENCONTRADO"),"",_xlfn.XLOOKUP($D838,Productos!$E:$E,Productos!$I:$I,""))</f>
        <v/>
      </c>
      <c r="G838" s="74">
        <f t="array" ref="G838">IF(OR($D838="",$D838="NO ENCONTRADO"),"",_xlfn.XLOOKUP($D838,Productos!$E:$E,Productos!$J:$J,""))</f>
        <v/>
      </c>
      <c r="H838" s="74">
        <f t="array" ref="H838">IF(OR($D838="",$D838="NO ENCONTRADO"),"",_xlfn.XLOOKUP($D838,Productos!$E:$E,Productos!$K:$K,""))</f>
        <v/>
      </c>
      <c r="I838" s="74">
        <f t="array" ref="I838">IF(OR($D838="",$D838="NO ENCONTRADO"),"",_xlfn.XLOOKUP($D838,Productos!$E:$E,Productos!$F:$F,""))</f>
        <v/>
      </c>
      <c r="J838" s="74">
        <f>IF($C838="","",IF($D838="NO ENCONTRADO",IF(COUNTIF($C$7:$C$1000,$C838)&gt;1,"⚠️ No encontrado | Duplicado","⚠️ No encontrado"),IF(COUNTIF($C$7:$C$1000,$C838)&gt;1,"⚠️ Duplicado","Verificado")))</f>
        <v/>
      </c>
    </row>
    <row r="839" ht="15.75" customHeight="1" s="176">
      <c r="B839" s="80" t="n"/>
      <c r="C839" s="74" t="n"/>
      <c r="D839" s="74">
        <f t="array" ref="D839">IF($C839="","",IFNA(_xlfn.XLOOKUP($C839,Productos!$A:$A,Productos!$E:$E,IFNA(_xlfn.XLOOKUP(TEXT($C839,"0"),Productos!$A:$A,Productos!$E:$E,IFNA(_xlfn.XLOOKUP(IFERROR(VALUE($C839),""),Productos!$A:$A,Productos!$E:$E,_xlfn.XLOOKUP($C839,Productos!$E:$E,Productos!$E:$E,"NO ENCONTRADO")),"NO ENCONTRADO")),"NO ENCONTRADO")),"NO ENCONTRADO"))</f>
        <v/>
      </c>
      <c r="E839" s="74">
        <f t="array" ref="E839">IF(OR($D839="",$D839="NO ENCONTRADO"),"",_xlfn.XLOOKUP($D839,Productos!$E:$E,Productos!$H:$H,""))</f>
        <v/>
      </c>
      <c r="F839" s="74">
        <f t="array" ref="F839">IF(OR($D839="",$D839="NO ENCONTRADO"),"",_xlfn.XLOOKUP($D839,Productos!$E:$E,Productos!$I:$I,""))</f>
        <v/>
      </c>
      <c r="G839" s="74">
        <f t="array" ref="G839">IF(OR($D839="",$D839="NO ENCONTRADO"),"",_xlfn.XLOOKUP($D839,Productos!$E:$E,Productos!$J:$J,""))</f>
        <v/>
      </c>
      <c r="H839" s="74">
        <f t="array" ref="H839">IF(OR($D839="",$D839="NO ENCONTRADO"),"",_xlfn.XLOOKUP($D839,Productos!$E:$E,Productos!$K:$K,""))</f>
        <v/>
      </c>
      <c r="I839" s="74">
        <f t="array" ref="I839">IF(OR($D839="",$D839="NO ENCONTRADO"),"",_xlfn.XLOOKUP($D839,Productos!$E:$E,Productos!$F:$F,""))</f>
        <v/>
      </c>
      <c r="J839" s="74">
        <f>IF($C839="","",IF($D839="NO ENCONTRADO",IF(COUNTIF($C$7:$C$1000,$C839)&gt;1,"⚠️ No encontrado | Duplicado","⚠️ No encontrado"),IF(COUNTIF($C$7:$C$1000,$C839)&gt;1,"⚠️ Duplicado","Verificado")))</f>
        <v/>
      </c>
    </row>
    <row r="840" ht="15.75" customHeight="1" s="176">
      <c r="B840" s="80" t="n"/>
      <c r="C840" s="74" t="n"/>
      <c r="D840" s="74">
        <f t="array" ref="D840">IF($C840="","",IFNA(_xlfn.XLOOKUP($C840,Productos!$A:$A,Productos!$E:$E,IFNA(_xlfn.XLOOKUP(TEXT($C840,"0"),Productos!$A:$A,Productos!$E:$E,IFNA(_xlfn.XLOOKUP(IFERROR(VALUE($C840),""),Productos!$A:$A,Productos!$E:$E,_xlfn.XLOOKUP($C840,Productos!$E:$E,Productos!$E:$E,"NO ENCONTRADO")),"NO ENCONTRADO")),"NO ENCONTRADO")),"NO ENCONTRADO"))</f>
        <v/>
      </c>
      <c r="E840" s="74">
        <f t="array" ref="E840">IF(OR($D840="",$D840="NO ENCONTRADO"),"",_xlfn.XLOOKUP($D840,Productos!$E:$E,Productos!$H:$H,""))</f>
        <v/>
      </c>
      <c r="F840" s="74">
        <f t="array" ref="F840">IF(OR($D840="",$D840="NO ENCONTRADO"),"",_xlfn.XLOOKUP($D840,Productos!$E:$E,Productos!$I:$I,""))</f>
        <v/>
      </c>
      <c r="G840" s="74">
        <f t="array" ref="G840">IF(OR($D840="",$D840="NO ENCONTRADO"),"",_xlfn.XLOOKUP($D840,Productos!$E:$E,Productos!$J:$J,""))</f>
        <v/>
      </c>
      <c r="H840" s="74">
        <f t="array" ref="H840">IF(OR($D840="",$D840="NO ENCONTRADO"),"",_xlfn.XLOOKUP($D840,Productos!$E:$E,Productos!$K:$K,""))</f>
        <v/>
      </c>
      <c r="I840" s="74">
        <f t="array" ref="I840">IF(OR($D840="",$D840="NO ENCONTRADO"),"",_xlfn.XLOOKUP($D840,Productos!$E:$E,Productos!$F:$F,""))</f>
        <v/>
      </c>
      <c r="J840" s="74">
        <f>IF($C840="","",IF($D840="NO ENCONTRADO",IF(COUNTIF($C$7:$C$1000,$C840)&gt;1,"⚠️ No encontrado | Duplicado","⚠️ No encontrado"),IF(COUNTIF($C$7:$C$1000,$C840)&gt;1,"⚠️ Duplicado","Verificado")))</f>
        <v/>
      </c>
    </row>
    <row r="841" ht="15.75" customHeight="1" s="176">
      <c r="B841" s="80" t="n"/>
      <c r="C841" s="74" t="n"/>
      <c r="D841" s="74">
        <f t="array" ref="D841">IF($C841="","",IFNA(_xlfn.XLOOKUP($C841,Productos!$A:$A,Productos!$E:$E,IFNA(_xlfn.XLOOKUP(TEXT($C841,"0"),Productos!$A:$A,Productos!$E:$E,IFNA(_xlfn.XLOOKUP(IFERROR(VALUE($C841),""),Productos!$A:$A,Productos!$E:$E,_xlfn.XLOOKUP($C841,Productos!$E:$E,Productos!$E:$E,"NO ENCONTRADO")),"NO ENCONTRADO")),"NO ENCONTRADO")),"NO ENCONTRADO"))</f>
        <v/>
      </c>
      <c r="E841" s="74">
        <f t="array" ref="E841">IF(OR($D841="",$D841="NO ENCONTRADO"),"",_xlfn.XLOOKUP($D841,Productos!$E:$E,Productos!$H:$H,""))</f>
        <v/>
      </c>
      <c r="F841" s="74">
        <f t="array" ref="F841">IF(OR($D841="",$D841="NO ENCONTRADO"),"",_xlfn.XLOOKUP($D841,Productos!$E:$E,Productos!$I:$I,""))</f>
        <v/>
      </c>
      <c r="G841" s="74">
        <f t="array" ref="G841">IF(OR($D841="",$D841="NO ENCONTRADO"),"",_xlfn.XLOOKUP($D841,Productos!$E:$E,Productos!$J:$J,""))</f>
        <v/>
      </c>
      <c r="H841" s="74">
        <f t="array" ref="H841">IF(OR($D841="",$D841="NO ENCONTRADO"),"",_xlfn.XLOOKUP($D841,Productos!$E:$E,Productos!$K:$K,""))</f>
        <v/>
      </c>
      <c r="I841" s="74">
        <f t="array" ref="I841">IF(OR($D841="",$D841="NO ENCONTRADO"),"",_xlfn.XLOOKUP($D841,Productos!$E:$E,Productos!$F:$F,""))</f>
        <v/>
      </c>
      <c r="J841" s="74">
        <f>IF($C841="","",IF($D841="NO ENCONTRADO",IF(COUNTIF($C$7:$C$1000,$C841)&gt;1,"⚠️ No encontrado | Duplicado","⚠️ No encontrado"),IF(COUNTIF($C$7:$C$1000,$C841)&gt;1,"⚠️ Duplicado","Verificado")))</f>
        <v/>
      </c>
    </row>
    <row r="842" ht="15.75" customHeight="1" s="176">
      <c r="B842" s="80" t="n"/>
      <c r="C842" s="74" t="n"/>
      <c r="D842" s="74">
        <f t="array" ref="D842">IF($C842="","",IFNA(_xlfn.XLOOKUP($C842,Productos!$A:$A,Productos!$E:$E,IFNA(_xlfn.XLOOKUP(TEXT($C842,"0"),Productos!$A:$A,Productos!$E:$E,IFNA(_xlfn.XLOOKUP(IFERROR(VALUE($C842),""),Productos!$A:$A,Productos!$E:$E,_xlfn.XLOOKUP($C842,Productos!$E:$E,Productos!$E:$E,"NO ENCONTRADO")),"NO ENCONTRADO")),"NO ENCONTRADO")),"NO ENCONTRADO"))</f>
        <v/>
      </c>
      <c r="E842" s="74">
        <f t="array" ref="E842">IF(OR($D842="",$D842="NO ENCONTRADO"),"",_xlfn.XLOOKUP($D842,Productos!$E:$E,Productos!$H:$H,""))</f>
        <v/>
      </c>
      <c r="F842" s="74">
        <f t="array" ref="F842">IF(OR($D842="",$D842="NO ENCONTRADO"),"",_xlfn.XLOOKUP($D842,Productos!$E:$E,Productos!$I:$I,""))</f>
        <v/>
      </c>
      <c r="G842" s="74">
        <f t="array" ref="G842">IF(OR($D842="",$D842="NO ENCONTRADO"),"",_xlfn.XLOOKUP($D842,Productos!$E:$E,Productos!$J:$J,""))</f>
        <v/>
      </c>
      <c r="H842" s="74">
        <f t="array" ref="H842">IF(OR($D842="",$D842="NO ENCONTRADO"),"",_xlfn.XLOOKUP($D842,Productos!$E:$E,Productos!$K:$K,""))</f>
        <v/>
      </c>
      <c r="I842" s="74">
        <f t="array" ref="I842">IF(OR($D842="",$D842="NO ENCONTRADO"),"",_xlfn.XLOOKUP($D842,Productos!$E:$E,Productos!$F:$F,""))</f>
        <v/>
      </c>
      <c r="J842" s="74">
        <f>IF($C842="","",IF($D842="NO ENCONTRADO",IF(COUNTIF($C$7:$C$1000,$C842)&gt;1,"⚠️ No encontrado | Duplicado","⚠️ No encontrado"),IF(COUNTIF($C$7:$C$1000,$C842)&gt;1,"⚠️ Duplicado","Verificado")))</f>
        <v/>
      </c>
    </row>
    <row r="843" ht="15.75" customHeight="1" s="176">
      <c r="B843" s="80" t="n"/>
      <c r="C843" s="74" t="n"/>
      <c r="D843" s="74">
        <f t="array" ref="D843">IF($C843="","",IFNA(_xlfn.XLOOKUP($C843,Productos!$A:$A,Productos!$E:$E,IFNA(_xlfn.XLOOKUP(TEXT($C843,"0"),Productos!$A:$A,Productos!$E:$E,IFNA(_xlfn.XLOOKUP(IFERROR(VALUE($C843),""),Productos!$A:$A,Productos!$E:$E,_xlfn.XLOOKUP($C843,Productos!$E:$E,Productos!$E:$E,"NO ENCONTRADO")),"NO ENCONTRADO")),"NO ENCONTRADO")),"NO ENCONTRADO"))</f>
        <v/>
      </c>
      <c r="E843" s="74">
        <f t="array" ref="E843">IF(OR($D843="",$D843="NO ENCONTRADO"),"",_xlfn.XLOOKUP($D843,Productos!$E:$E,Productos!$H:$H,""))</f>
        <v/>
      </c>
      <c r="F843" s="74">
        <f t="array" ref="F843">IF(OR($D843="",$D843="NO ENCONTRADO"),"",_xlfn.XLOOKUP($D843,Productos!$E:$E,Productos!$I:$I,""))</f>
        <v/>
      </c>
      <c r="G843" s="74">
        <f t="array" ref="G843">IF(OR($D843="",$D843="NO ENCONTRADO"),"",_xlfn.XLOOKUP($D843,Productos!$E:$E,Productos!$J:$J,""))</f>
        <v/>
      </c>
      <c r="H843" s="74">
        <f t="array" ref="H843">IF(OR($D843="",$D843="NO ENCONTRADO"),"",_xlfn.XLOOKUP($D843,Productos!$E:$E,Productos!$K:$K,""))</f>
        <v/>
      </c>
      <c r="I843" s="74">
        <f t="array" ref="I843">IF(OR($D843="",$D843="NO ENCONTRADO"),"",_xlfn.XLOOKUP($D843,Productos!$E:$E,Productos!$F:$F,""))</f>
        <v/>
      </c>
      <c r="J843" s="74">
        <f>IF($C843="","",IF($D843="NO ENCONTRADO",IF(COUNTIF($C$7:$C$1000,$C843)&gt;1,"⚠️ No encontrado | Duplicado","⚠️ No encontrado"),IF(COUNTIF($C$7:$C$1000,$C843)&gt;1,"⚠️ Duplicado","Verificado")))</f>
        <v/>
      </c>
    </row>
    <row r="844" ht="15.75" customHeight="1" s="176">
      <c r="B844" s="80" t="n"/>
      <c r="C844" s="74" t="n"/>
      <c r="D844" s="74">
        <f t="array" ref="D844">IF($C844="","",IFNA(_xlfn.XLOOKUP($C844,Productos!$A:$A,Productos!$E:$E,IFNA(_xlfn.XLOOKUP(TEXT($C844,"0"),Productos!$A:$A,Productos!$E:$E,IFNA(_xlfn.XLOOKUP(IFERROR(VALUE($C844),""),Productos!$A:$A,Productos!$E:$E,_xlfn.XLOOKUP($C844,Productos!$E:$E,Productos!$E:$E,"NO ENCONTRADO")),"NO ENCONTRADO")),"NO ENCONTRADO")),"NO ENCONTRADO"))</f>
        <v/>
      </c>
      <c r="E844" s="74">
        <f t="array" ref="E844">IF(OR($D844="",$D844="NO ENCONTRADO"),"",_xlfn.XLOOKUP($D844,Productos!$E:$E,Productos!$H:$H,""))</f>
        <v/>
      </c>
      <c r="F844" s="74">
        <f t="array" ref="F844">IF(OR($D844="",$D844="NO ENCONTRADO"),"",_xlfn.XLOOKUP($D844,Productos!$E:$E,Productos!$I:$I,""))</f>
        <v/>
      </c>
      <c r="G844" s="74">
        <f t="array" ref="G844">IF(OR($D844="",$D844="NO ENCONTRADO"),"",_xlfn.XLOOKUP($D844,Productos!$E:$E,Productos!$J:$J,""))</f>
        <v/>
      </c>
      <c r="H844" s="74">
        <f t="array" ref="H844">IF(OR($D844="",$D844="NO ENCONTRADO"),"",_xlfn.XLOOKUP($D844,Productos!$E:$E,Productos!$K:$K,""))</f>
        <v/>
      </c>
      <c r="I844" s="74">
        <f t="array" ref="I844">IF(OR($D844="",$D844="NO ENCONTRADO"),"",_xlfn.XLOOKUP($D844,Productos!$E:$E,Productos!$F:$F,""))</f>
        <v/>
      </c>
      <c r="J844" s="74">
        <f>IF($C844="","",IF($D844="NO ENCONTRADO",IF(COUNTIF($C$7:$C$1000,$C844)&gt;1,"⚠️ No encontrado | Duplicado","⚠️ No encontrado"),IF(COUNTIF($C$7:$C$1000,$C844)&gt;1,"⚠️ Duplicado","Verificado")))</f>
        <v/>
      </c>
    </row>
    <row r="845" ht="15.75" customHeight="1" s="176">
      <c r="B845" s="80" t="n"/>
      <c r="C845" s="74" t="n"/>
      <c r="D845" s="74">
        <f t="array" ref="D845">IF($C845="","",IFNA(_xlfn.XLOOKUP($C845,Productos!$A:$A,Productos!$E:$E,IFNA(_xlfn.XLOOKUP(TEXT($C845,"0"),Productos!$A:$A,Productos!$E:$E,IFNA(_xlfn.XLOOKUP(IFERROR(VALUE($C845),""),Productos!$A:$A,Productos!$E:$E,_xlfn.XLOOKUP($C845,Productos!$E:$E,Productos!$E:$E,"NO ENCONTRADO")),"NO ENCONTRADO")),"NO ENCONTRADO")),"NO ENCONTRADO"))</f>
        <v/>
      </c>
      <c r="E845" s="74">
        <f t="array" ref="E845">IF(OR($D845="",$D845="NO ENCONTRADO"),"",_xlfn.XLOOKUP($D845,Productos!$E:$E,Productos!$H:$H,""))</f>
        <v/>
      </c>
      <c r="F845" s="74">
        <f t="array" ref="F845">IF(OR($D845="",$D845="NO ENCONTRADO"),"",_xlfn.XLOOKUP($D845,Productos!$E:$E,Productos!$I:$I,""))</f>
        <v/>
      </c>
      <c r="G845" s="74">
        <f t="array" ref="G845">IF(OR($D845="",$D845="NO ENCONTRADO"),"",_xlfn.XLOOKUP($D845,Productos!$E:$E,Productos!$J:$J,""))</f>
        <v/>
      </c>
      <c r="H845" s="74">
        <f t="array" ref="H845">IF(OR($D845="",$D845="NO ENCONTRADO"),"",_xlfn.XLOOKUP($D845,Productos!$E:$E,Productos!$K:$K,""))</f>
        <v/>
      </c>
      <c r="I845" s="74">
        <f t="array" ref="I845">IF(OR($D845="",$D845="NO ENCONTRADO"),"",_xlfn.XLOOKUP($D845,Productos!$E:$E,Productos!$F:$F,""))</f>
        <v/>
      </c>
      <c r="J845" s="74">
        <f>IF($C845="","",IF($D845="NO ENCONTRADO",IF(COUNTIF($C$7:$C$1000,$C845)&gt;1,"⚠️ No encontrado | Duplicado","⚠️ No encontrado"),IF(COUNTIF($C$7:$C$1000,$C845)&gt;1,"⚠️ Duplicado","Verificado")))</f>
        <v/>
      </c>
    </row>
    <row r="846" ht="15.75" customHeight="1" s="176">
      <c r="B846" s="80" t="n"/>
      <c r="C846" s="74" t="n"/>
      <c r="D846" s="74">
        <f t="array" ref="D846">IF($C846="","",IFNA(_xlfn.XLOOKUP($C846,Productos!$A:$A,Productos!$E:$E,IFNA(_xlfn.XLOOKUP(TEXT($C846,"0"),Productos!$A:$A,Productos!$E:$E,IFNA(_xlfn.XLOOKUP(IFERROR(VALUE($C846),""),Productos!$A:$A,Productos!$E:$E,_xlfn.XLOOKUP($C846,Productos!$E:$E,Productos!$E:$E,"NO ENCONTRADO")),"NO ENCONTRADO")),"NO ENCONTRADO")),"NO ENCONTRADO"))</f>
        <v/>
      </c>
      <c r="E846" s="74">
        <f t="array" ref="E846">IF(OR($D846="",$D846="NO ENCONTRADO"),"",_xlfn.XLOOKUP($D846,Productos!$E:$E,Productos!$H:$H,""))</f>
        <v/>
      </c>
      <c r="F846" s="74">
        <f t="array" ref="F846">IF(OR($D846="",$D846="NO ENCONTRADO"),"",_xlfn.XLOOKUP($D846,Productos!$E:$E,Productos!$I:$I,""))</f>
        <v/>
      </c>
      <c r="G846" s="74">
        <f t="array" ref="G846">IF(OR($D846="",$D846="NO ENCONTRADO"),"",_xlfn.XLOOKUP($D846,Productos!$E:$E,Productos!$J:$J,""))</f>
        <v/>
      </c>
      <c r="H846" s="74">
        <f t="array" ref="H846">IF(OR($D846="",$D846="NO ENCONTRADO"),"",_xlfn.XLOOKUP($D846,Productos!$E:$E,Productos!$K:$K,""))</f>
        <v/>
      </c>
      <c r="I846" s="74">
        <f t="array" ref="I846">IF(OR($D846="",$D846="NO ENCONTRADO"),"",_xlfn.XLOOKUP($D846,Productos!$E:$E,Productos!$F:$F,""))</f>
        <v/>
      </c>
      <c r="J846" s="74">
        <f>IF($C846="","",IF($D846="NO ENCONTRADO",IF(COUNTIF($C$7:$C$1000,$C846)&gt;1,"⚠️ No encontrado | Duplicado","⚠️ No encontrado"),IF(COUNTIF($C$7:$C$1000,$C846)&gt;1,"⚠️ Duplicado","Verificado")))</f>
        <v/>
      </c>
    </row>
    <row r="847" ht="15.75" customHeight="1" s="176">
      <c r="B847" s="80" t="n"/>
      <c r="C847" s="74" t="n"/>
      <c r="D847" s="74">
        <f t="array" ref="D847">IF($C847="","",IFNA(_xlfn.XLOOKUP($C847,Productos!$A:$A,Productos!$E:$E,IFNA(_xlfn.XLOOKUP(TEXT($C847,"0"),Productos!$A:$A,Productos!$E:$E,IFNA(_xlfn.XLOOKUP(IFERROR(VALUE($C847),""),Productos!$A:$A,Productos!$E:$E,_xlfn.XLOOKUP($C847,Productos!$E:$E,Productos!$E:$E,"NO ENCONTRADO")),"NO ENCONTRADO")),"NO ENCONTRADO")),"NO ENCONTRADO"))</f>
        <v/>
      </c>
      <c r="E847" s="74">
        <f t="array" ref="E847">IF(OR($D847="",$D847="NO ENCONTRADO"),"",_xlfn.XLOOKUP($D847,Productos!$E:$E,Productos!$H:$H,""))</f>
        <v/>
      </c>
      <c r="F847" s="74">
        <f t="array" ref="F847">IF(OR($D847="",$D847="NO ENCONTRADO"),"",_xlfn.XLOOKUP($D847,Productos!$E:$E,Productos!$I:$I,""))</f>
        <v/>
      </c>
      <c r="G847" s="74">
        <f t="array" ref="G847">IF(OR($D847="",$D847="NO ENCONTRADO"),"",_xlfn.XLOOKUP($D847,Productos!$E:$E,Productos!$J:$J,""))</f>
        <v/>
      </c>
      <c r="H847" s="74">
        <f t="array" ref="H847">IF(OR($D847="",$D847="NO ENCONTRADO"),"",_xlfn.XLOOKUP($D847,Productos!$E:$E,Productos!$K:$K,""))</f>
        <v/>
      </c>
      <c r="I847" s="74">
        <f t="array" ref="I847">IF(OR($D847="",$D847="NO ENCONTRADO"),"",_xlfn.XLOOKUP($D847,Productos!$E:$E,Productos!$F:$F,""))</f>
        <v/>
      </c>
      <c r="J847" s="74">
        <f>IF($C847="","",IF($D847="NO ENCONTRADO",IF(COUNTIF($C$7:$C$1000,$C847)&gt;1,"⚠️ No encontrado | Duplicado","⚠️ No encontrado"),IF(COUNTIF($C$7:$C$1000,$C847)&gt;1,"⚠️ Duplicado","Verificado")))</f>
        <v/>
      </c>
    </row>
    <row r="848" ht="15.75" customHeight="1" s="176">
      <c r="B848" s="80" t="n"/>
      <c r="C848" s="74" t="n"/>
      <c r="D848" s="74">
        <f t="array" ref="D848">IF($C848="","",IFNA(_xlfn.XLOOKUP($C848,Productos!$A:$A,Productos!$E:$E,IFNA(_xlfn.XLOOKUP(TEXT($C848,"0"),Productos!$A:$A,Productos!$E:$E,IFNA(_xlfn.XLOOKUP(IFERROR(VALUE($C848),""),Productos!$A:$A,Productos!$E:$E,_xlfn.XLOOKUP($C848,Productos!$E:$E,Productos!$E:$E,"NO ENCONTRADO")),"NO ENCONTRADO")),"NO ENCONTRADO")),"NO ENCONTRADO"))</f>
        <v/>
      </c>
      <c r="E848" s="74">
        <f t="array" ref="E848">IF(OR($D848="",$D848="NO ENCONTRADO"),"",_xlfn.XLOOKUP($D848,Productos!$E:$E,Productos!$H:$H,""))</f>
        <v/>
      </c>
      <c r="F848" s="74">
        <f t="array" ref="F848">IF(OR($D848="",$D848="NO ENCONTRADO"),"",_xlfn.XLOOKUP($D848,Productos!$E:$E,Productos!$I:$I,""))</f>
        <v/>
      </c>
      <c r="G848" s="74">
        <f t="array" ref="G848">IF(OR($D848="",$D848="NO ENCONTRADO"),"",_xlfn.XLOOKUP($D848,Productos!$E:$E,Productos!$J:$J,""))</f>
        <v/>
      </c>
      <c r="H848" s="74">
        <f t="array" ref="H848">IF(OR($D848="",$D848="NO ENCONTRADO"),"",_xlfn.XLOOKUP($D848,Productos!$E:$E,Productos!$K:$K,""))</f>
        <v/>
      </c>
      <c r="I848" s="74">
        <f t="array" ref="I848">IF(OR($D848="",$D848="NO ENCONTRADO"),"",_xlfn.XLOOKUP($D848,Productos!$E:$E,Productos!$F:$F,""))</f>
        <v/>
      </c>
      <c r="J848" s="74">
        <f>IF($C848="","",IF($D848="NO ENCONTRADO",IF(COUNTIF($C$7:$C$1000,$C848)&gt;1,"⚠️ No encontrado | Duplicado","⚠️ No encontrado"),IF(COUNTIF($C$7:$C$1000,$C848)&gt;1,"⚠️ Duplicado","Verificado")))</f>
        <v/>
      </c>
    </row>
    <row r="849" ht="15.75" customHeight="1" s="176">
      <c r="B849" s="80" t="n"/>
      <c r="C849" s="74" t="n"/>
      <c r="D849" s="74">
        <f t="array" ref="D849">IF($C849="","",IFNA(_xlfn.XLOOKUP($C849,Productos!$A:$A,Productos!$E:$E,IFNA(_xlfn.XLOOKUP(TEXT($C849,"0"),Productos!$A:$A,Productos!$E:$E,IFNA(_xlfn.XLOOKUP(IFERROR(VALUE($C849),""),Productos!$A:$A,Productos!$E:$E,_xlfn.XLOOKUP($C849,Productos!$E:$E,Productos!$E:$E,"NO ENCONTRADO")),"NO ENCONTRADO")),"NO ENCONTRADO")),"NO ENCONTRADO"))</f>
        <v/>
      </c>
      <c r="E849" s="74">
        <f t="array" ref="E849">IF(OR($D849="",$D849="NO ENCONTRADO"),"",_xlfn.XLOOKUP($D849,Productos!$E:$E,Productos!$H:$H,""))</f>
        <v/>
      </c>
      <c r="F849" s="74">
        <f t="array" ref="F849">IF(OR($D849="",$D849="NO ENCONTRADO"),"",_xlfn.XLOOKUP($D849,Productos!$E:$E,Productos!$I:$I,""))</f>
        <v/>
      </c>
      <c r="G849" s="74">
        <f t="array" ref="G849">IF(OR($D849="",$D849="NO ENCONTRADO"),"",_xlfn.XLOOKUP($D849,Productos!$E:$E,Productos!$J:$J,""))</f>
        <v/>
      </c>
      <c r="H849" s="74">
        <f t="array" ref="H849">IF(OR($D849="",$D849="NO ENCONTRADO"),"",_xlfn.XLOOKUP($D849,Productos!$E:$E,Productos!$K:$K,""))</f>
        <v/>
      </c>
      <c r="I849" s="74">
        <f t="array" ref="I849">IF(OR($D849="",$D849="NO ENCONTRADO"),"",_xlfn.XLOOKUP($D849,Productos!$E:$E,Productos!$F:$F,""))</f>
        <v/>
      </c>
      <c r="J849" s="74">
        <f>IF($C849="","",IF($D849="NO ENCONTRADO",IF(COUNTIF($C$7:$C$1000,$C849)&gt;1,"⚠️ No encontrado | Duplicado","⚠️ No encontrado"),IF(COUNTIF($C$7:$C$1000,$C849)&gt;1,"⚠️ Duplicado","Verificado")))</f>
        <v/>
      </c>
    </row>
    <row r="850" ht="15.75" customHeight="1" s="176">
      <c r="B850" s="80" t="n"/>
      <c r="C850" s="74" t="n"/>
      <c r="D850" s="74">
        <f t="array" ref="D850">IF($C850="","",IFNA(_xlfn.XLOOKUP($C850,Productos!$A:$A,Productos!$E:$E,IFNA(_xlfn.XLOOKUP(TEXT($C850,"0"),Productos!$A:$A,Productos!$E:$E,IFNA(_xlfn.XLOOKUP(IFERROR(VALUE($C850),""),Productos!$A:$A,Productos!$E:$E,_xlfn.XLOOKUP($C850,Productos!$E:$E,Productos!$E:$E,"NO ENCONTRADO")),"NO ENCONTRADO")),"NO ENCONTRADO")),"NO ENCONTRADO"))</f>
        <v/>
      </c>
      <c r="E850" s="74">
        <f t="array" ref="E850">IF(OR($D850="",$D850="NO ENCONTRADO"),"",_xlfn.XLOOKUP($D850,Productos!$E:$E,Productos!$H:$H,""))</f>
        <v/>
      </c>
      <c r="F850" s="74">
        <f t="array" ref="F850">IF(OR($D850="",$D850="NO ENCONTRADO"),"",_xlfn.XLOOKUP($D850,Productos!$E:$E,Productos!$I:$I,""))</f>
        <v/>
      </c>
      <c r="G850" s="74">
        <f t="array" ref="G850">IF(OR($D850="",$D850="NO ENCONTRADO"),"",_xlfn.XLOOKUP($D850,Productos!$E:$E,Productos!$J:$J,""))</f>
        <v/>
      </c>
      <c r="H850" s="74">
        <f t="array" ref="H850">IF(OR($D850="",$D850="NO ENCONTRADO"),"",_xlfn.XLOOKUP($D850,Productos!$E:$E,Productos!$K:$K,""))</f>
        <v/>
      </c>
      <c r="I850" s="74">
        <f t="array" ref="I850">IF(OR($D850="",$D850="NO ENCONTRADO"),"",_xlfn.XLOOKUP($D850,Productos!$E:$E,Productos!$F:$F,""))</f>
        <v/>
      </c>
      <c r="J850" s="74">
        <f>IF($C850="","",IF($D850="NO ENCONTRADO",IF(COUNTIF($C$7:$C$1000,$C850)&gt;1,"⚠️ No encontrado | Duplicado","⚠️ No encontrado"),IF(COUNTIF($C$7:$C$1000,$C850)&gt;1,"⚠️ Duplicado","Verificado")))</f>
        <v/>
      </c>
    </row>
    <row r="851" ht="15.75" customHeight="1" s="176">
      <c r="B851" s="80" t="n"/>
      <c r="C851" s="74" t="n"/>
      <c r="D851" s="74">
        <f t="array" ref="D851">IF($C851="","",IFNA(_xlfn.XLOOKUP($C851,Productos!$A:$A,Productos!$E:$E,IFNA(_xlfn.XLOOKUP(TEXT($C851,"0"),Productos!$A:$A,Productos!$E:$E,IFNA(_xlfn.XLOOKUP(IFERROR(VALUE($C851),""),Productos!$A:$A,Productos!$E:$E,_xlfn.XLOOKUP($C851,Productos!$E:$E,Productos!$E:$E,"NO ENCONTRADO")),"NO ENCONTRADO")),"NO ENCONTRADO")),"NO ENCONTRADO"))</f>
        <v/>
      </c>
      <c r="E851" s="74">
        <f t="array" ref="E851">IF(OR($D851="",$D851="NO ENCONTRADO"),"",_xlfn.XLOOKUP($D851,Productos!$E:$E,Productos!$H:$H,""))</f>
        <v/>
      </c>
      <c r="F851" s="74">
        <f t="array" ref="F851">IF(OR($D851="",$D851="NO ENCONTRADO"),"",_xlfn.XLOOKUP($D851,Productos!$E:$E,Productos!$I:$I,""))</f>
        <v/>
      </c>
      <c r="G851" s="74">
        <f t="array" ref="G851">IF(OR($D851="",$D851="NO ENCONTRADO"),"",_xlfn.XLOOKUP($D851,Productos!$E:$E,Productos!$J:$J,""))</f>
        <v/>
      </c>
      <c r="H851" s="74">
        <f t="array" ref="H851">IF(OR($D851="",$D851="NO ENCONTRADO"),"",_xlfn.XLOOKUP($D851,Productos!$E:$E,Productos!$K:$K,""))</f>
        <v/>
      </c>
      <c r="I851" s="74">
        <f t="array" ref="I851">IF(OR($D851="",$D851="NO ENCONTRADO"),"",_xlfn.XLOOKUP($D851,Productos!$E:$E,Productos!$F:$F,""))</f>
        <v/>
      </c>
      <c r="J851" s="74">
        <f>IF($C851="","",IF($D851="NO ENCONTRADO",IF(COUNTIF($C$7:$C$1000,$C851)&gt;1,"⚠️ No encontrado | Duplicado","⚠️ No encontrado"),IF(COUNTIF($C$7:$C$1000,$C851)&gt;1,"⚠️ Duplicado","Verificado")))</f>
        <v/>
      </c>
    </row>
    <row r="852" ht="15.75" customHeight="1" s="176">
      <c r="B852" s="80" t="n"/>
      <c r="C852" s="74" t="n"/>
      <c r="D852" s="74">
        <f t="array" ref="D852">IF($C852="","",IFNA(_xlfn.XLOOKUP($C852,Productos!$A:$A,Productos!$E:$E,IFNA(_xlfn.XLOOKUP(TEXT($C852,"0"),Productos!$A:$A,Productos!$E:$E,IFNA(_xlfn.XLOOKUP(IFERROR(VALUE($C852),""),Productos!$A:$A,Productos!$E:$E,_xlfn.XLOOKUP($C852,Productos!$E:$E,Productos!$E:$E,"NO ENCONTRADO")),"NO ENCONTRADO")),"NO ENCONTRADO")),"NO ENCONTRADO"))</f>
        <v/>
      </c>
      <c r="E852" s="74">
        <f t="array" ref="E852">IF(OR($D852="",$D852="NO ENCONTRADO"),"",_xlfn.XLOOKUP($D852,Productos!$E:$E,Productos!$H:$H,""))</f>
        <v/>
      </c>
      <c r="F852" s="74">
        <f t="array" ref="F852">IF(OR($D852="",$D852="NO ENCONTRADO"),"",_xlfn.XLOOKUP($D852,Productos!$E:$E,Productos!$I:$I,""))</f>
        <v/>
      </c>
      <c r="G852" s="74">
        <f t="array" ref="G852">IF(OR($D852="",$D852="NO ENCONTRADO"),"",_xlfn.XLOOKUP($D852,Productos!$E:$E,Productos!$J:$J,""))</f>
        <v/>
      </c>
      <c r="H852" s="74">
        <f t="array" ref="H852">IF(OR($D852="",$D852="NO ENCONTRADO"),"",_xlfn.XLOOKUP($D852,Productos!$E:$E,Productos!$K:$K,""))</f>
        <v/>
      </c>
      <c r="I852" s="74">
        <f t="array" ref="I852">IF(OR($D852="",$D852="NO ENCONTRADO"),"",_xlfn.XLOOKUP($D852,Productos!$E:$E,Productos!$F:$F,""))</f>
        <v/>
      </c>
      <c r="J852" s="74">
        <f>IF($C852="","",IF($D852="NO ENCONTRADO",IF(COUNTIF($C$7:$C$1000,$C852)&gt;1,"⚠️ No encontrado | Duplicado","⚠️ No encontrado"),IF(COUNTIF($C$7:$C$1000,$C852)&gt;1,"⚠️ Duplicado","Verificado")))</f>
        <v/>
      </c>
    </row>
    <row r="853" ht="15.75" customHeight="1" s="176">
      <c r="B853" s="80" t="n"/>
      <c r="C853" s="74" t="n"/>
      <c r="D853" s="74">
        <f t="array" ref="D853">IF($C853="","",IFNA(_xlfn.XLOOKUP($C853,Productos!$A:$A,Productos!$E:$E,IFNA(_xlfn.XLOOKUP(TEXT($C853,"0"),Productos!$A:$A,Productos!$E:$E,IFNA(_xlfn.XLOOKUP(IFERROR(VALUE($C853),""),Productos!$A:$A,Productos!$E:$E,_xlfn.XLOOKUP($C853,Productos!$E:$E,Productos!$E:$E,"NO ENCONTRADO")),"NO ENCONTRADO")),"NO ENCONTRADO")),"NO ENCONTRADO"))</f>
        <v/>
      </c>
      <c r="E853" s="74">
        <f t="array" ref="E853">IF(OR($D853="",$D853="NO ENCONTRADO"),"",_xlfn.XLOOKUP($D853,Productos!$E:$E,Productos!$H:$H,""))</f>
        <v/>
      </c>
      <c r="F853" s="74">
        <f t="array" ref="F853">IF(OR($D853="",$D853="NO ENCONTRADO"),"",_xlfn.XLOOKUP($D853,Productos!$E:$E,Productos!$I:$I,""))</f>
        <v/>
      </c>
      <c r="G853" s="74">
        <f t="array" ref="G853">IF(OR($D853="",$D853="NO ENCONTRADO"),"",_xlfn.XLOOKUP($D853,Productos!$E:$E,Productos!$J:$J,""))</f>
        <v/>
      </c>
      <c r="H853" s="74">
        <f t="array" ref="H853">IF(OR($D853="",$D853="NO ENCONTRADO"),"",_xlfn.XLOOKUP($D853,Productos!$E:$E,Productos!$K:$K,""))</f>
        <v/>
      </c>
      <c r="I853" s="74">
        <f t="array" ref="I853">IF(OR($D853="",$D853="NO ENCONTRADO"),"",_xlfn.XLOOKUP($D853,Productos!$E:$E,Productos!$F:$F,""))</f>
        <v/>
      </c>
      <c r="J853" s="74">
        <f>IF($C853="","",IF($D853="NO ENCONTRADO",IF(COUNTIF($C$7:$C$1000,$C853)&gt;1,"⚠️ No encontrado | Duplicado","⚠️ No encontrado"),IF(COUNTIF($C$7:$C$1000,$C853)&gt;1,"⚠️ Duplicado","Verificado")))</f>
        <v/>
      </c>
    </row>
    <row r="854" ht="15.75" customHeight="1" s="176">
      <c r="B854" s="80" t="n"/>
      <c r="C854" s="74" t="n"/>
      <c r="D854" s="74">
        <f t="array" ref="D854">IF($C854="","",IFNA(_xlfn.XLOOKUP($C854,Productos!$A:$A,Productos!$E:$E,IFNA(_xlfn.XLOOKUP(TEXT($C854,"0"),Productos!$A:$A,Productos!$E:$E,IFNA(_xlfn.XLOOKUP(IFERROR(VALUE($C854),""),Productos!$A:$A,Productos!$E:$E,_xlfn.XLOOKUP($C854,Productos!$E:$E,Productos!$E:$E,"NO ENCONTRADO")),"NO ENCONTRADO")),"NO ENCONTRADO")),"NO ENCONTRADO"))</f>
        <v/>
      </c>
      <c r="E854" s="74">
        <f t="array" ref="E854">IF(OR($D854="",$D854="NO ENCONTRADO"),"",_xlfn.XLOOKUP($D854,Productos!$E:$E,Productos!$H:$H,""))</f>
        <v/>
      </c>
      <c r="F854" s="74">
        <f t="array" ref="F854">IF(OR($D854="",$D854="NO ENCONTRADO"),"",_xlfn.XLOOKUP($D854,Productos!$E:$E,Productos!$I:$I,""))</f>
        <v/>
      </c>
      <c r="G854" s="74">
        <f t="array" ref="G854">IF(OR($D854="",$D854="NO ENCONTRADO"),"",_xlfn.XLOOKUP($D854,Productos!$E:$E,Productos!$J:$J,""))</f>
        <v/>
      </c>
      <c r="H854" s="74">
        <f t="array" ref="H854">IF(OR($D854="",$D854="NO ENCONTRADO"),"",_xlfn.XLOOKUP($D854,Productos!$E:$E,Productos!$K:$K,""))</f>
        <v/>
      </c>
      <c r="I854" s="74">
        <f t="array" ref="I854">IF(OR($D854="",$D854="NO ENCONTRADO"),"",_xlfn.XLOOKUP($D854,Productos!$E:$E,Productos!$F:$F,""))</f>
        <v/>
      </c>
      <c r="J854" s="74">
        <f>IF($C854="","",IF($D854="NO ENCONTRADO",IF(COUNTIF($C$7:$C$1000,$C854)&gt;1,"⚠️ No encontrado | Duplicado","⚠️ No encontrado"),IF(COUNTIF($C$7:$C$1000,$C854)&gt;1,"⚠️ Duplicado","Verificado")))</f>
        <v/>
      </c>
    </row>
    <row r="855" ht="15.75" customHeight="1" s="176">
      <c r="B855" s="80" t="n"/>
      <c r="C855" s="74" t="n"/>
      <c r="D855" s="74">
        <f t="array" ref="D855">IF($C855="","",IFNA(_xlfn.XLOOKUP($C855,Productos!$A:$A,Productos!$E:$E,IFNA(_xlfn.XLOOKUP(TEXT($C855,"0"),Productos!$A:$A,Productos!$E:$E,IFNA(_xlfn.XLOOKUP(IFERROR(VALUE($C855),""),Productos!$A:$A,Productos!$E:$E,_xlfn.XLOOKUP($C855,Productos!$E:$E,Productos!$E:$E,"NO ENCONTRADO")),"NO ENCONTRADO")),"NO ENCONTRADO")),"NO ENCONTRADO"))</f>
        <v/>
      </c>
      <c r="E855" s="74">
        <f t="array" ref="E855">IF(OR($D855="",$D855="NO ENCONTRADO"),"",_xlfn.XLOOKUP($D855,Productos!$E:$E,Productos!$H:$H,""))</f>
        <v/>
      </c>
      <c r="F855" s="74">
        <f t="array" ref="F855">IF(OR($D855="",$D855="NO ENCONTRADO"),"",_xlfn.XLOOKUP($D855,Productos!$E:$E,Productos!$I:$I,""))</f>
        <v/>
      </c>
      <c r="G855" s="74">
        <f t="array" ref="G855">IF(OR($D855="",$D855="NO ENCONTRADO"),"",_xlfn.XLOOKUP($D855,Productos!$E:$E,Productos!$J:$J,""))</f>
        <v/>
      </c>
      <c r="H855" s="74">
        <f t="array" ref="H855">IF(OR($D855="",$D855="NO ENCONTRADO"),"",_xlfn.XLOOKUP($D855,Productos!$E:$E,Productos!$K:$K,""))</f>
        <v/>
      </c>
      <c r="I855" s="74">
        <f t="array" ref="I855">IF(OR($D855="",$D855="NO ENCONTRADO"),"",_xlfn.XLOOKUP($D855,Productos!$E:$E,Productos!$F:$F,""))</f>
        <v/>
      </c>
      <c r="J855" s="74">
        <f>IF($C855="","",IF($D855="NO ENCONTRADO",IF(COUNTIF($C$7:$C$1000,$C855)&gt;1,"⚠️ No encontrado | Duplicado","⚠️ No encontrado"),IF(COUNTIF($C$7:$C$1000,$C855)&gt;1,"⚠️ Duplicado","Verificado")))</f>
        <v/>
      </c>
    </row>
    <row r="856" ht="15.75" customHeight="1" s="176">
      <c r="B856" s="80" t="n"/>
      <c r="C856" s="74" t="n"/>
      <c r="D856" s="74">
        <f t="array" ref="D856">IF($C856="","",IFNA(_xlfn.XLOOKUP($C856,Productos!$A:$A,Productos!$E:$E,IFNA(_xlfn.XLOOKUP(TEXT($C856,"0"),Productos!$A:$A,Productos!$E:$E,IFNA(_xlfn.XLOOKUP(IFERROR(VALUE($C856),""),Productos!$A:$A,Productos!$E:$E,_xlfn.XLOOKUP($C856,Productos!$E:$E,Productos!$E:$E,"NO ENCONTRADO")),"NO ENCONTRADO")),"NO ENCONTRADO")),"NO ENCONTRADO"))</f>
        <v/>
      </c>
      <c r="E856" s="74">
        <f t="array" ref="E856">IF(OR($D856="",$D856="NO ENCONTRADO"),"",_xlfn.XLOOKUP($D856,Productos!$E:$E,Productos!$H:$H,""))</f>
        <v/>
      </c>
      <c r="F856" s="74">
        <f t="array" ref="F856">IF(OR($D856="",$D856="NO ENCONTRADO"),"",_xlfn.XLOOKUP($D856,Productos!$E:$E,Productos!$I:$I,""))</f>
        <v/>
      </c>
      <c r="G856" s="74">
        <f t="array" ref="G856">IF(OR($D856="",$D856="NO ENCONTRADO"),"",_xlfn.XLOOKUP($D856,Productos!$E:$E,Productos!$J:$J,""))</f>
        <v/>
      </c>
      <c r="H856" s="74">
        <f t="array" ref="H856">IF(OR($D856="",$D856="NO ENCONTRADO"),"",_xlfn.XLOOKUP($D856,Productos!$E:$E,Productos!$K:$K,""))</f>
        <v/>
      </c>
      <c r="I856" s="74">
        <f t="array" ref="I856">IF(OR($D856="",$D856="NO ENCONTRADO"),"",_xlfn.XLOOKUP($D856,Productos!$E:$E,Productos!$F:$F,""))</f>
        <v/>
      </c>
      <c r="J856" s="74">
        <f>IF($C856="","",IF($D856="NO ENCONTRADO",IF(COUNTIF($C$7:$C$1000,$C856)&gt;1,"⚠️ No encontrado | Duplicado","⚠️ No encontrado"),IF(COUNTIF($C$7:$C$1000,$C856)&gt;1,"⚠️ Duplicado","Verificado")))</f>
        <v/>
      </c>
    </row>
    <row r="857" ht="15.75" customHeight="1" s="176">
      <c r="B857" s="80" t="n"/>
      <c r="C857" s="74" t="n"/>
      <c r="D857" s="74">
        <f t="array" ref="D857">IF($C857="","",IFNA(_xlfn.XLOOKUP($C857,Productos!$A:$A,Productos!$E:$E,IFNA(_xlfn.XLOOKUP(TEXT($C857,"0"),Productos!$A:$A,Productos!$E:$E,IFNA(_xlfn.XLOOKUP(IFERROR(VALUE($C857),""),Productos!$A:$A,Productos!$E:$E,_xlfn.XLOOKUP($C857,Productos!$E:$E,Productos!$E:$E,"NO ENCONTRADO")),"NO ENCONTRADO")),"NO ENCONTRADO")),"NO ENCONTRADO"))</f>
        <v/>
      </c>
      <c r="E857" s="74">
        <f t="array" ref="E857">IF(OR($D857="",$D857="NO ENCONTRADO"),"",_xlfn.XLOOKUP($D857,Productos!$E:$E,Productos!$H:$H,""))</f>
        <v/>
      </c>
      <c r="F857" s="74">
        <f t="array" ref="F857">IF(OR($D857="",$D857="NO ENCONTRADO"),"",_xlfn.XLOOKUP($D857,Productos!$E:$E,Productos!$I:$I,""))</f>
        <v/>
      </c>
      <c r="G857" s="74">
        <f t="array" ref="G857">IF(OR($D857="",$D857="NO ENCONTRADO"),"",_xlfn.XLOOKUP($D857,Productos!$E:$E,Productos!$J:$J,""))</f>
        <v/>
      </c>
      <c r="H857" s="74">
        <f t="array" ref="H857">IF(OR($D857="",$D857="NO ENCONTRADO"),"",_xlfn.XLOOKUP($D857,Productos!$E:$E,Productos!$K:$K,""))</f>
        <v/>
      </c>
      <c r="I857" s="74">
        <f t="array" ref="I857">IF(OR($D857="",$D857="NO ENCONTRADO"),"",_xlfn.XLOOKUP($D857,Productos!$E:$E,Productos!$F:$F,""))</f>
        <v/>
      </c>
      <c r="J857" s="74">
        <f>IF($C857="","",IF($D857="NO ENCONTRADO",IF(COUNTIF($C$7:$C$1000,$C857)&gt;1,"⚠️ No encontrado | Duplicado","⚠️ No encontrado"),IF(COUNTIF($C$7:$C$1000,$C857)&gt;1,"⚠️ Duplicado","Verificado")))</f>
        <v/>
      </c>
    </row>
    <row r="858" ht="15.75" customHeight="1" s="176">
      <c r="B858" s="80" t="n"/>
      <c r="C858" s="74" t="n"/>
      <c r="D858" s="74">
        <f t="array" ref="D858">IF($C858="","",IFNA(_xlfn.XLOOKUP($C858,Productos!$A:$A,Productos!$E:$E,IFNA(_xlfn.XLOOKUP(TEXT($C858,"0"),Productos!$A:$A,Productos!$E:$E,IFNA(_xlfn.XLOOKUP(IFERROR(VALUE($C858),""),Productos!$A:$A,Productos!$E:$E,_xlfn.XLOOKUP($C858,Productos!$E:$E,Productos!$E:$E,"NO ENCONTRADO")),"NO ENCONTRADO")),"NO ENCONTRADO")),"NO ENCONTRADO"))</f>
        <v/>
      </c>
      <c r="E858" s="74">
        <f t="array" ref="E858">IF(OR($D858="",$D858="NO ENCONTRADO"),"",_xlfn.XLOOKUP($D858,Productos!$E:$E,Productos!$H:$H,""))</f>
        <v/>
      </c>
      <c r="F858" s="74">
        <f t="array" ref="F858">IF(OR($D858="",$D858="NO ENCONTRADO"),"",_xlfn.XLOOKUP($D858,Productos!$E:$E,Productos!$I:$I,""))</f>
        <v/>
      </c>
      <c r="G858" s="74">
        <f t="array" ref="G858">IF(OR($D858="",$D858="NO ENCONTRADO"),"",_xlfn.XLOOKUP($D858,Productos!$E:$E,Productos!$J:$J,""))</f>
        <v/>
      </c>
      <c r="H858" s="74">
        <f t="array" ref="H858">IF(OR($D858="",$D858="NO ENCONTRADO"),"",_xlfn.XLOOKUP($D858,Productos!$E:$E,Productos!$K:$K,""))</f>
        <v/>
      </c>
      <c r="I858" s="74">
        <f t="array" ref="I858">IF(OR($D858="",$D858="NO ENCONTRADO"),"",_xlfn.XLOOKUP($D858,Productos!$E:$E,Productos!$F:$F,""))</f>
        <v/>
      </c>
      <c r="J858" s="74">
        <f>IF($C858="","",IF($D858="NO ENCONTRADO",IF(COUNTIF($C$7:$C$1000,$C858)&gt;1,"⚠️ No encontrado | Duplicado","⚠️ No encontrado"),IF(COUNTIF($C$7:$C$1000,$C858)&gt;1,"⚠️ Duplicado","Verificado")))</f>
        <v/>
      </c>
    </row>
    <row r="859" ht="15.75" customHeight="1" s="176">
      <c r="B859" s="80" t="n"/>
      <c r="C859" s="74" t="n"/>
      <c r="D859" s="74">
        <f t="array" ref="D859">IF($C859="","",IFNA(_xlfn.XLOOKUP($C859,Productos!$A:$A,Productos!$E:$E,IFNA(_xlfn.XLOOKUP(TEXT($C859,"0"),Productos!$A:$A,Productos!$E:$E,IFNA(_xlfn.XLOOKUP(IFERROR(VALUE($C859),""),Productos!$A:$A,Productos!$E:$E,_xlfn.XLOOKUP($C859,Productos!$E:$E,Productos!$E:$E,"NO ENCONTRADO")),"NO ENCONTRADO")),"NO ENCONTRADO")),"NO ENCONTRADO"))</f>
        <v/>
      </c>
      <c r="E859" s="74">
        <f t="array" ref="E859">IF(OR($D859="",$D859="NO ENCONTRADO"),"",_xlfn.XLOOKUP($D859,Productos!$E:$E,Productos!$H:$H,""))</f>
        <v/>
      </c>
      <c r="F859" s="74">
        <f t="array" ref="F859">IF(OR($D859="",$D859="NO ENCONTRADO"),"",_xlfn.XLOOKUP($D859,Productos!$E:$E,Productos!$I:$I,""))</f>
        <v/>
      </c>
      <c r="G859" s="74">
        <f t="array" ref="G859">IF(OR($D859="",$D859="NO ENCONTRADO"),"",_xlfn.XLOOKUP($D859,Productos!$E:$E,Productos!$J:$J,""))</f>
        <v/>
      </c>
      <c r="H859" s="74">
        <f t="array" ref="H859">IF(OR($D859="",$D859="NO ENCONTRADO"),"",_xlfn.XLOOKUP($D859,Productos!$E:$E,Productos!$K:$K,""))</f>
        <v/>
      </c>
      <c r="I859" s="74">
        <f t="array" ref="I859">IF(OR($D859="",$D859="NO ENCONTRADO"),"",_xlfn.XLOOKUP($D859,Productos!$E:$E,Productos!$F:$F,""))</f>
        <v/>
      </c>
      <c r="J859" s="74">
        <f>IF($C859="","",IF($D859="NO ENCONTRADO",IF(COUNTIF($C$7:$C$1000,$C859)&gt;1,"⚠️ No encontrado | Duplicado","⚠️ No encontrado"),IF(COUNTIF($C$7:$C$1000,$C859)&gt;1,"⚠️ Duplicado","Verificado")))</f>
        <v/>
      </c>
    </row>
    <row r="860" ht="15.75" customHeight="1" s="176">
      <c r="B860" s="80" t="n"/>
      <c r="C860" s="74" t="n"/>
      <c r="D860" s="74">
        <f t="array" ref="D860">IF($C860="","",IFNA(_xlfn.XLOOKUP($C860,Productos!$A:$A,Productos!$E:$E,IFNA(_xlfn.XLOOKUP(TEXT($C860,"0"),Productos!$A:$A,Productos!$E:$E,IFNA(_xlfn.XLOOKUP(IFERROR(VALUE($C860),""),Productos!$A:$A,Productos!$E:$E,_xlfn.XLOOKUP($C860,Productos!$E:$E,Productos!$E:$E,"NO ENCONTRADO")),"NO ENCONTRADO")),"NO ENCONTRADO")),"NO ENCONTRADO"))</f>
        <v/>
      </c>
      <c r="E860" s="74">
        <f t="array" ref="E860">IF(OR($D860="",$D860="NO ENCONTRADO"),"",_xlfn.XLOOKUP($D860,Productos!$E:$E,Productos!$H:$H,""))</f>
        <v/>
      </c>
      <c r="F860" s="74">
        <f t="array" ref="F860">IF(OR($D860="",$D860="NO ENCONTRADO"),"",_xlfn.XLOOKUP($D860,Productos!$E:$E,Productos!$I:$I,""))</f>
        <v/>
      </c>
      <c r="G860" s="74">
        <f t="array" ref="G860">IF(OR($D860="",$D860="NO ENCONTRADO"),"",_xlfn.XLOOKUP($D860,Productos!$E:$E,Productos!$J:$J,""))</f>
        <v/>
      </c>
      <c r="H860" s="74">
        <f t="array" ref="H860">IF(OR($D860="",$D860="NO ENCONTRADO"),"",_xlfn.XLOOKUP($D860,Productos!$E:$E,Productos!$K:$K,""))</f>
        <v/>
      </c>
      <c r="I860" s="74">
        <f t="array" ref="I860">IF(OR($D860="",$D860="NO ENCONTRADO"),"",_xlfn.XLOOKUP($D860,Productos!$E:$E,Productos!$F:$F,""))</f>
        <v/>
      </c>
      <c r="J860" s="74">
        <f>IF($C860="","",IF($D860="NO ENCONTRADO",IF(COUNTIF($C$7:$C$1000,$C860)&gt;1,"⚠️ No encontrado | Duplicado","⚠️ No encontrado"),IF(COUNTIF($C$7:$C$1000,$C860)&gt;1,"⚠️ Duplicado","Verificado")))</f>
        <v/>
      </c>
    </row>
    <row r="861" ht="15.75" customHeight="1" s="176">
      <c r="B861" s="80" t="n"/>
      <c r="C861" s="74" t="n"/>
      <c r="D861" s="74">
        <f t="array" ref="D861">IF($C861="","",IFNA(_xlfn.XLOOKUP($C861,Productos!$A:$A,Productos!$E:$E,IFNA(_xlfn.XLOOKUP(TEXT($C861,"0"),Productos!$A:$A,Productos!$E:$E,IFNA(_xlfn.XLOOKUP(IFERROR(VALUE($C861),""),Productos!$A:$A,Productos!$E:$E,_xlfn.XLOOKUP($C861,Productos!$E:$E,Productos!$E:$E,"NO ENCONTRADO")),"NO ENCONTRADO")),"NO ENCONTRADO")),"NO ENCONTRADO"))</f>
        <v/>
      </c>
      <c r="E861" s="74">
        <f t="array" ref="E861">IF(OR($D861="",$D861="NO ENCONTRADO"),"",_xlfn.XLOOKUP($D861,Productos!$E:$E,Productos!$H:$H,""))</f>
        <v/>
      </c>
      <c r="F861" s="74">
        <f t="array" ref="F861">IF(OR($D861="",$D861="NO ENCONTRADO"),"",_xlfn.XLOOKUP($D861,Productos!$E:$E,Productos!$I:$I,""))</f>
        <v/>
      </c>
      <c r="G861" s="74">
        <f t="array" ref="G861">IF(OR($D861="",$D861="NO ENCONTRADO"),"",_xlfn.XLOOKUP($D861,Productos!$E:$E,Productos!$J:$J,""))</f>
        <v/>
      </c>
      <c r="H861" s="74">
        <f t="array" ref="H861">IF(OR($D861="",$D861="NO ENCONTRADO"),"",_xlfn.XLOOKUP($D861,Productos!$E:$E,Productos!$K:$K,""))</f>
        <v/>
      </c>
      <c r="I861" s="74">
        <f t="array" ref="I861">IF(OR($D861="",$D861="NO ENCONTRADO"),"",_xlfn.XLOOKUP($D861,Productos!$E:$E,Productos!$F:$F,""))</f>
        <v/>
      </c>
      <c r="J861" s="74">
        <f>IF($C861="","",IF($D861="NO ENCONTRADO",IF(COUNTIF($C$7:$C$1000,$C861)&gt;1,"⚠️ No encontrado | Duplicado","⚠️ No encontrado"),IF(COUNTIF($C$7:$C$1000,$C861)&gt;1,"⚠️ Duplicado","Verificado")))</f>
        <v/>
      </c>
    </row>
    <row r="862" ht="15.75" customHeight="1" s="176">
      <c r="B862" s="80" t="n"/>
      <c r="C862" s="74" t="n"/>
      <c r="D862" s="74">
        <f t="array" ref="D862">IF($C862="","",IFNA(_xlfn.XLOOKUP($C862,Productos!$A:$A,Productos!$E:$E,IFNA(_xlfn.XLOOKUP(TEXT($C862,"0"),Productos!$A:$A,Productos!$E:$E,IFNA(_xlfn.XLOOKUP(IFERROR(VALUE($C862),""),Productos!$A:$A,Productos!$E:$E,_xlfn.XLOOKUP($C862,Productos!$E:$E,Productos!$E:$E,"NO ENCONTRADO")),"NO ENCONTRADO")),"NO ENCONTRADO")),"NO ENCONTRADO"))</f>
        <v/>
      </c>
      <c r="E862" s="74">
        <f t="array" ref="E862">IF(OR($D862="",$D862="NO ENCONTRADO"),"",_xlfn.XLOOKUP($D862,Productos!$E:$E,Productos!$H:$H,""))</f>
        <v/>
      </c>
      <c r="F862" s="74">
        <f t="array" ref="F862">IF(OR($D862="",$D862="NO ENCONTRADO"),"",_xlfn.XLOOKUP($D862,Productos!$E:$E,Productos!$I:$I,""))</f>
        <v/>
      </c>
      <c r="G862" s="74">
        <f t="array" ref="G862">IF(OR($D862="",$D862="NO ENCONTRADO"),"",_xlfn.XLOOKUP($D862,Productos!$E:$E,Productos!$J:$J,""))</f>
        <v/>
      </c>
      <c r="H862" s="74">
        <f t="array" ref="H862">IF(OR($D862="",$D862="NO ENCONTRADO"),"",_xlfn.XLOOKUP($D862,Productos!$E:$E,Productos!$K:$K,""))</f>
        <v/>
      </c>
      <c r="I862" s="74">
        <f t="array" ref="I862">IF(OR($D862="",$D862="NO ENCONTRADO"),"",_xlfn.XLOOKUP($D862,Productos!$E:$E,Productos!$F:$F,""))</f>
        <v/>
      </c>
      <c r="J862" s="74">
        <f>IF($C862="","",IF($D862="NO ENCONTRADO",IF(COUNTIF($C$7:$C$1000,$C862)&gt;1,"⚠️ No encontrado | Duplicado","⚠️ No encontrado"),IF(COUNTIF($C$7:$C$1000,$C862)&gt;1,"⚠️ Duplicado","Verificado")))</f>
        <v/>
      </c>
    </row>
    <row r="863" ht="15.75" customHeight="1" s="176">
      <c r="B863" s="80" t="n"/>
      <c r="C863" s="74" t="n"/>
      <c r="D863" s="74">
        <f t="array" ref="D863">IF($C863="","",IFNA(_xlfn.XLOOKUP($C863,Productos!$A:$A,Productos!$E:$E,IFNA(_xlfn.XLOOKUP(TEXT($C863,"0"),Productos!$A:$A,Productos!$E:$E,IFNA(_xlfn.XLOOKUP(IFERROR(VALUE($C863),""),Productos!$A:$A,Productos!$E:$E,_xlfn.XLOOKUP($C863,Productos!$E:$E,Productos!$E:$E,"NO ENCONTRADO")),"NO ENCONTRADO")),"NO ENCONTRADO")),"NO ENCONTRADO"))</f>
        <v/>
      </c>
      <c r="E863" s="74">
        <f t="array" ref="E863">IF(OR($D863="",$D863="NO ENCONTRADO"),"",_xlfn.XLOOKUP($D863,Productos!$E:$E,Productos!$H:$H,""))</f>
        <v/>
      </c>
      <c r="F863" s="74">
        <f t="array" ref="F863">IF(OR($D863="",$D863="NO ENCONTRADO"),"",_xlfn.XLOOKUP($D863,Productos!$E:$E,Productos!$I:$I,""))</f>
        <v/>
      </c>
      <c r="G863" s="74">
        <f t="array" ref="G863">IF(OR($D863="",$D863="NO ENCONTRADO"),"",_xlfn.XLOOKUP($D863,Productos!$E:$E,Productos!$J:$J,""))</f>
        <v/>
      </c>
      <c r="H863" s="74">
        <f t="array" ref="H863">IF(OR($D863="",$D863="NO ENCONTRADO"),"",_xlfn.XLOOKUP($D863,Productos!$E:$E,Productos!$K:$K,""))</f>
        <v/>
      </c>
      <c r="I863" s="74">
        <f t="array" ref="I863">IF(OR($D863="",$D863="NO ENCONTRADO"),"",_xlfn.XLOOKUP($D863,Productos!$E:$E,Productos!$F:$F,""))</f>
        <v/>
      </c>
      <c r="J863" s="74">
        <f>IF($C863="","",IF($D863="NO ENCONTRADO",IF(COUNTIF($C$7:$C$1000,$C863)&gt;1,"⚠️ No encontrado | Duplicado","⚠️ No encontrado"),IF(COUNTIF($C$7:$C$1000,$C863)&gt;1,"⚠️ Duplicado","Verificado")))</f>
        <v/>
      </c>
    </row>
    <row r="864" ht="15.75" customHeight="1" s="176">
      <c r="B864" s="80" t="n"/>
      <c r="C864" s="74" t="n"/>
      <c r="D864" s="74">
        <f t="array" ref="D864">IF($C864="","",IFNA(_xlfn.XLOOKUP($C864,Productos!$A:$A,Productos!$E:$E,IFNA(_xlfn.XLOOKUP(TEXT($C864,"0"),Productos!$A:$A,Productos!$E:$E,IFNA(_xlfn.XLOOKUP(IFERROR(VALUE($C864),""),Productos!$A:$A,Productos!$E:$E,_xlfn.XLOOKUP($C864,Productos!$E:$E,Productos!$E:$E,"NO ENCONTRADO")),"NO ENCONTRADO")),"NO ENCONTRADO")),"NO ENCONTRADO"))</f>
        <v/>
      </c>
      <c r="E864" s="74">
        <f t="array" ref="E864">IF(OR($D864="",$D864="NO ENCONTRADO"),"",_xlfn.XLOOKUP($D864,Productos!$E:$E,Productos!$H:$H,""))</f>
        <v/>
      </c>
      <c r="F864" s="74">
        <f t="array" ref="F864">IF(OR($D864="",$D864="NO ENCONTRADO"),"",_xlfn.XLOOKUP($D864,Productos!$E:$E,Productos!$I:$I,""))</f>
        <v/>
      </c>
      <c r="G864" s="74">
        <f t="array" ref="G864">IF(OR($D864="",$D864="NO ENCONTRADO"),"",_xlfn.XLOOKUP($D864,Productos!$E:$E,Productos!$J:$J,""))</f>
        <v/>
      </c>
      <c r="H864" s="74">
        <f t="array" ref="H864">IF(OR($D864="",$D864="NO ENCONTRADO"),"",_xlfn.XLOOKUP($D864,Productos!$E:$E,Productos!$K:$K,""))</f>
        <v/>
      </c>
      <c r="I864" s="74">
        <f t="array" ref="I864">IF(OR($D864="",$D864="NO ENCONTRADO"),"",_xlfn.XLOOKUP($D864,Productos!$E:$E,Productos!$F:$F,""))</f>
        <v/>
      </c>
      <c r="J864" s="74">
        <f>IF($C864="","",IF($D864="NO ENCONTRADO",IF(COUNTIF($C$7:$C$1000,$C864)&gt;1,"⚠️ No encontrado | Duplicado","⚠️ No encontrado"),IF(COUNTIF($C$7:$C$1000,$C864)&gt;1,"⚠️ Duplicado","Verificado")))</f>
        <v/>
      </c>
    </row>
    <row r="865" ht="15.75" customHeight="1" s="176">
      <c r="B865" s="80" t="n"/>
      <c r="C865" s="74" t="n"/>
      <c r="D865" s="74">
        <f t="array" ref="D865">IF($C865="","",IFNA(_xlfn.XLOOKUP($C865,Productos!$A:$A,Productos!$E:$E,IFNA(_xlfn.XLOOKUP(TEXT($C865,"0"),Productos!$A:$A,Productos!$E:$E,IFNA(_xlfn.XLOOKUP(IFERROR(VALUE($C865),""),Productos!$A:$A,Productos!$E:$E,_xlfn.XLOOKUP($C865,Productos!$E:$E,Productos!$E:$E,"NO ENCONTRADO")),"NO ENCONTRADO")),"NO ENCONTRADO")),"NO ENCONTRADO"))</f>
        <v/>
      </c>
      <c r="E865" s="74">
        <f t="array" ref="E865">IF(OR($D865="",$D865="NO ENCONTRADO"),"",_xlfn.XLOOKUP($D865,Productos!$E:$E,Productos!$H:$H,""))</f>
        <v/>
      </c>
      <c r="F865" s="74">
        <f t="array" ref="F865">IF(OR($D865="",$D865="NO ENCONTRADO"),"",_xlfn.XLOOKUP($D865,Productos!$E:$E,Productos!$I:$I,""))</f>
        <v/>
      </c>
      <c r="G865" s="74">
        <f t="array" ref="G865">IF(OR($D865="",$D865="NO ENCONTRADO"),"",_xlfn.XLOOKUP($D865,Productos!$E:$E,Productos!$J:$J,""))</f>
        <v/>
      </c>
      <c r="H865" s="74">
        <f t="array" ref="H865">IF(OR($D865="",$D865="NO ENCONTRADO"),"",_xlfn.XLOOKUP($D865,Productos!$E:$E,Productos!$K:$K,""))</f>
        <v/>
      </c>
      <c r="I865" s="74">
        <f t="array" ref="I865">IF(OR($D865="",$D865="NO ENCONTRADO"),"",_xlfn.XLOOKUP($D865,Productos!$E:$E,Productos!$F:$F,""))</f>
        <v/>
      </c>
      <c r="J865" s="74">
        <f>IF($C865="","",IF($D865="NO ENCONTRADO",IF(COUNTIF($C$7:$C$1000,$C865)&gt;1,"⚠️ No encontrado | Duplicado","⚠️ No encontrado"),IF(COUNTIF($C$7:$C$1000,$C865)&gt;1,"⚠️ Duplicado","Verificado")))</f>
        <v/>
      </c>
    </row>
    <row r="866" ht="15.75" customHeight="1" s="176">
      <c r="B866" s="80" t="n"/>
      <c r="C866" s="74" t="n"/>
      <c r="D866" s="74">
        <f t="array" ref="D866">IF($C866="","",IFNA(_xlfn.XLOOKUP($C866,Productos!$A:$A,Productos!$E:$E,IFNA(_xlfn.XLOOKUP(TEXT($C866,"0"),Productos!$A:$A,Productos!$E:$E,IFNA(_xlfn.XLOOKUP(IFERROR(VALUE($C866),""),Productos!$A:$A,Productos!$E:$E,_xlfn.XLOOKUP($C866,Productos!$E:$E,Productos!$E:$E,"NO ENCONTRADO")),"NO ENCONTRADO")),"NO ENCONTRADO")),"NO ENCONTRADO"))</f>
        <v/>
      </c>
      <c r="E866" s="74">
        <f t="array" ref="E866">IF(OR($D866="",$D866="NO ENCONTRADO"),"",_xlfn.XLOOKUP($D866,Productos!$E:$E,Productos!$H:$H,""))</f>
        <v/>
      </c>
      <c r="F866" s="74">
        <f t="array" ref="F866">IF(OR($D866="",$D866="NO ENCONTRADO"),"",_xlfn.XLOOKUP($D866,Productos!$E:$E,Productos!$I:$I,""))</f>
        <v/>
      </c>
      <c r="G866" s="74">
        <f t="array" ref="G866">IF(OR($D866="",$D866="NO ENCONTRADO"),"",_xlfn.XLOOKUP($D866,Productos!$E:$E,Productos!$J:$J,""))</f>
        <v/>
      </c>
      <c r="H866" s="74">
        <f t="array" ref="H866">IF(OR($D866="",$D866="NO ENCONTRADO"),"",_xlfn.XLOOKUP($D866,Productos!$E:$E,Productos!$K:$K,""))</f>
        <v/>
      </c>
      <c r="I866" s="74">
        <f t="array" ref="I866">IF(OR($D866="",$D866="NO ENCONTRADO"),"",_xlfn.XLOOKUP($D866,Productos!$E:$E,Productos!$F:$F,""))</f>
        <v/>
      </c>
      <c r="J866" s="74">
        <f>IF($C866="","",IF($D866="NO ENCONTRADO",IF(COUNTIF($C$7:$C$1000,$C866)&gt;1,"⚠️ No encontrado | Duplicado","⚠️ No encontrado"),IF(COUNTIF($C$7:$C$1000,$C866)&gt;1,"⚠️ Duplicado","Verificado")))</f>
        <v/>
      </c>
    </row>
    <row r="867" ht="15.75" customHeight="1" s="176">
      <c r="B867" s="80" t="n"/>
      <c r="C867" s="74" t="n"/>
      <c r="D867" s="74">
        <f t="array" ref="D867">IF($C867="","",IFNA(_xlfn.XLOOKUP($C867,Productos!$A:$A,Productos!$E:$E,IFNA(_xlfn.XLOOKUP(TEXT($C867,"0"),Productos!$A:$A,Productos!$E:$E,IFNA(_xlfn.XLOOKUP(IFERROR(VALUE($C867),""),Productos!$A:$A,Productos!$E:$E,_xlfn.XLOOKUP($C867,Productos!$E:$E,Productos!$E:$E,"NO ENCONTRADO")),"NO ENCONTRADO")),"NO ENCONTRADO")),"NO ENCONTRADO"))</f>
        <v/>
      </c>
      <c r="E867" s="74">
        <f t="array" ref="E867">IF(OR($D867="",$D867="NO ENCONTRADO"),"",_xlfn.XLOOKUP($D867,Productos!$E:$E,Productos!$H:$H,""))</f>
        <v/>
      </c>
      <c r="F867" s="74">
        <f t="array" ref="F867">IF(OR($D867="",$D867="NO ENCONTRADO"),"",_xlfn.XLOOKUP($D867,Productos!$E:$E,Productos!$I:$I,""))</f>
        <v/>
      </c>
      <c r="G867" s="74">
        <f t="array" ref="G867">IF(OR($D867="",$D867="NO ENCONTRADO"),"",_xlfn.XLOOKUP($D867,Productos!$E:$E,Productos!$J:$J,""))</f>
        <v/>
      </c>
      <c r="H867" s="74">
        <f t="array" ref="H867">IF(OR($D867="",$D867="NO ENCONTRADO"),"",_xlfn.XLOOKUP($D867,Productos!$E:$E,Productos!$K:$K,""))</f>
        <v/>
      </c>
      <c r="I867" s="74">
        <f t="array" ref="I867">IF(OR($D867="",$D867="NO ENCONTRADO"),"",_xlfn.XLOOKUP($D867,Productos!$E:$E,Productos!$F:$F,""))</f>
        <v/>
      </c>
      <c r="J867" s="74">
        <f>IF($C867="","",IF($D867="NO ENCONTRADO",IF(COUNTIF($C$7:$C$1000,$C867)&gt;1,"⚠️ No encontrado | Duplicado","⚠️ No encontrado"),IF(COUNTIF($C$7:$C$1000,$C867)&gt;1,"⚠️ Duplicado","Verificado")))</f>
        <v/>
      </c>
    </row>
    <row r="868" ht="15.75" customHeight="1" s="176">
      <c r="B868" s="80" t="n"/>
      <c r="C868" s="74" t="n"/>
      <c r="D868" s="74">
        <f t="array" ref="D868">IF($C868="","",IFNA(_xlfn.XLOOKUP($C868,Productos!$A:$A,Productos!$E:$E,IFNA(_xlfn.XLOOKUP(TEXT($C868,"0"),Productos!$A:$A,Productos!$E:$E,IFNA(_xlfn.XLOOKUP(IFERROR(VALUE($C868),""),Productos!$A:$A,Productos!$E:$E,_xlfn.XLOOKUP($C868,Productos!$E:$E,Productos!$E:$E,"NO ENCONTRADO")),"NO ENCONTRADO")),"NO ENCONTRADO")),"NO ENCONTRADO"))</f>
        <v/>
      </c>
      <c r="E868" s="74">
        <f t="array" ref="E868">IF(OR($D868="",$D868="NO ENCONTRADO"),"",_xlfn.XLOOKUP($D868,Productos!$E:$E,Productos!$H:$H,""))</f>
        <v/>
      </c>
      <c r="F868" s="74">
        <f t="array" ref="F868">IF(OR($D868="",$D868="NO ENCONTRADO"),"",_xlfn.XLOOKUP($D868,Productos!$E:$E,Productos!$I:$I,""))</f>
        <v/>
      </c>
      <c r="G868" s="74">
        <f t="array" ref="G868">IF(OR($D868="",$D868="NO ENCONTRADO"),"",_xlfn.XLOOKUP($D868,Productos!$E:$E,Productos!$J:$J,""))</f>
        <v/>
      </c>
      <c r="H868" s="74">
        <f t="array" ref="H868">IF(OR($D868="",$D868="NO ENCONTRADO"),"",_xlfn.XLOOKUP($D868,Productos!$E:$E,Productos!$K:$K,""))</f>
        <v/>
      </c>
      <c r="I868" s="74">
        <f t="array" ref="I868">IF(OR($D868="",$D868="NO ENCONTRADO"),"",_xlfn.XLOOKUP($D868,Productos!$E:$E,Productos!$F:$F,""))</f>
        <v/>
      </c>
      <c r="J868" s="74">
        <f>IF($C868="","",IF($D868="NO ENCONTRADO",IF(COUNTIF($C$7:$C$1000,$C868)&gt;1,"⚠️ No encontrado | Duplicado","⚠️ No encontrado"),IF(COUNTIF($C$7:$C$1000,$C868)&gt;1,"⚠️ Duplicado","Verificado")))</f>
        <v/>
      </c>
    </row>
    <row r="869" ht="15.75" customHeight="1" s="176">
      <c r="B869" s="80" t="n"/>
      <c r="C869" s="74" t="n"/>
      <c r="D869" s="74">
        <f t="array" ref="D869">IF($C869="","",IFNA(_xlfn.XLOOKUP($C869,Productos!$A:$A,Productos!$E:$E,IFNA(_xlfn.XLOOKUP(TEXT($C869,"0"),Productos!$A:$A,Productos!$E:$E,IFNA(_xlfn.XLOOKUP(IFERROR(VALUE($C869),""),Productos!$A:$A,Productos!$E:$E,_xlfn.XLOOKUP($C869,Productos!$E:$E,Productos!$E:$E,"NO ENCONTRADO")),"NO ENCONTRADO")),"NO ENCONTRADO")),"NO ENCONTRADO"))</f>
        <v/>
      </c>
      <c r="E869" s="74">
        <f t="array" ref="E869">IF(OR($D869="",$D869="NO ENCONTRADO"),"",_xlfn.XLOOKUP($D869,Productos!$E:$E,Productos!$H:$H,""))</f>
        <v/>
      </c>
      <c r="F869" s="74">
        <f t="array" ref="F869">IF(OR($D869="",$D869="NO ENCONTRADO"),"",_xlfn.XLOOKUP($D869,Productos!$E:$E,Productos!$I:$I,""))</f>
        <v/>
      </c>
      <c r="G869" s="74">
        <f t="array" ref="G869">IF(OR($D869="",$D869="NO ENCONTRADO"),"",_xlfn.XLOOKUP($D869,Productos!$E:$E,Productos!$J:$J,""))</f>
        <v/>
      </c>
      <c r="H869" s="74">
        <f t="array" ref="H869">IF(OR($D869="",$D869="NO ENCONTRADO"),"",_xlfn.XLOOKUP($D869,Productos!$E:$E,Productos!$K:$K,""))</f>
        <v/>
      </c>
      <c r="I869" s="74">
        <f t="array" ref="I869">IF(OR($D869="",$D869="NO ENCONTRADO"),"",_xlfn.XLOOKUP($D869,Productos!$E:$E,Productos!$F:$F,""))</f>
        <v/>
      </c>
      <c r="J869" s="74">
        <f>IF($C869="","",IF($D869="NO ENCONTRADO",IF(COUNTIF($C$7:$C$1000,$C869)&gt;1,"⚠️ No encontrado | Duplicado","⚠️ No encontrado"),IF(COUNTIF($C$7:$C$1000,$C869)&gt;1,"⚠️ Duplicado","Verificado")))</f>
        <v/>
      </c>
    </row>
    <row r="870" ht="15.75" customHeight="1" s="176">
      <c r="B870" s="80" t="n"/>
      <c r="C870" s="74" t="n"/>
      <c r="D870" s="74">
        <f t="array" ref="D870">IF($C870="","",IFNA(_xlfn.XLOOKUP($C870,Productos!$A:$A,Productos!$E:$E,IFNA(_xlfn.XLOOKUP(TEXT($C870,"0"),Productos!$A:$A,Productos!$E:$E,IFNA(_xlfn.XLOOKUP(IFERROR(VALUE($C870),""),Productos!$A:$A,Productos!$E:$E,_xlfn.XLOOKUP($C870,Productos!$E:$E,Productos!$E:$E,"NO ENCONTRADO")),"NO ENCONTRADO")),"NO ENCONTRADO")),"NO ENCONTRADO"))</f>
        <v/>
      </c>
      <c r="E870" s="74">
        <f t="array" ref="E870">IF(OR($D870="",$D870="NO ENCONTRADO"),"",_xlfn.XLOOKUP($D870,Productos!$E:$E,Productos!$H:$H,""))</f>
        <v/>
      </c>
      <c r="F870" s="74">
        <f t="array" ref="F870">IF(OR($D870="",$D870="NO ENCONTRADO"),"",_xlfn.XLOOKUP($D870,Productos!$E:$E,Productos!$I:$I,""))</f>
        <v/>
      </c>
      <c r="G870" s="74">
        <f t="array" ref="G870">IF(OR($D870="",$D870="NO ENCONTRADO"),"",_xlfn.XLOOKUP($D870,Productos!$E:$E,Productos!$J:$J,""))</f>
        <v/>
      </c>
      <c r="H870" s="74">
        <f t="array" ref="H870">IF(OR($D870="",$D870="NO ENCONTRADO"),"",_xlfn.XLOOKUP($D870,Productos!$E:$E,Productos!$K:$K,""))</f>
        <v/>
      </c>
      <c r="I870" s="74">
        <f t="array" ref="I870">IF(OR($D870="",$D870="NO ENCONTRADO"),"",_xlfn.XLOOKUP($D870,Productos!$E:$E,Productos!$F:$F,""))</f>
        <v/>
      </c>
      <c r="J870" s="74">
        <f>IF($C870="","",IF($D870="NO ENCONTRADO",IF(COUNTIF($C$7:$C$1000,$C870)&gt;1,"⚠️ No encontrado | Duplicado","⚠️ No encontrado"),IF(COUNTIF($C$7:$C$1000,$C870)&gt;1,"⚠️ Duplicado","Verificado")))</f>
        <v/>
      </c>
    </row>
    <row r="871" ht="15.75" customHeight="1" s="176">
      <c r="B871" s="80" t="n"/>
      <c r="C871" s="74" t="n"/>
      <c r="D871" s="74">
        <f t="array" ref="D871">IF($C871="","",IFNA(_xlfn.XLOOKUP($C871,Productos!$A:$A,Productos!$E:$E,IFNA(_xlfn.XLOOKUP(TEXT($C871,"0"),Productos!$A:$A,Productos!$E:$E,IFNA(_xlfn.XLOOKUP(IFERROR(VALUE($C871),""),Productos!$A:$A,Productos!$E:$E,_xlfn.XLOOKUP($C871,Productos!$E:$E,Productos!$E:$E,"NO ENCONTRADO")),"NO ENCONTRADO")),"NO ENCONTRADO")),"NO ENCONTRADO"))</f>
        <v/>
      </c>
      <c r="E871" s="74">
        <f t="array" ref="E871">IF(OR($D871="",$D871="NO ENCONTRADO"),"",_xlfn.XLOOKUP($D871,Productos!$E:$E,Productos!$H:$H,""))</f>
        <v/>
      </c>
      <c r="F871" s="74">
        <f t="array" ref="F871">IF(OR($D871="",$D871="NO ENCONTRADO"),"",_xlfn.XLOOKUP($D871,Productos!$E:$E,Productos!$I:$I,""))</f>
        <v/>
      </c>
      <c r="G871" s="74">
        <f t="array" ref="G871">IF(OR($D871="",$D871="NO ENCONTRADO"),"",_xlfn.XLOOKUP($D871,Productos!$E:$E,Productos!$J:$J,""))</f>
        <v/>
      </c>
      <c r="H871" s="74">
        <f t="array" ref="H871">IF(OR($D871="",$D871="NO ENCONTRADO"),"",_xlfn.XLOOKUP($D871,Productos!$E:$E,Productos!$K:$K,""))</f>
        <v/>
      </c>
      <c r="I871" s="74">
        <f t="array" ref="I871">IF(OR($D871="",$D871="NO ENCONTRADO"),"",_xlfn.XLOOKUP($D871,Productos!$E:$E,Productos!$F:$F,""))</f>
        <v/>
      </c>
      <c r="J871" s="74">
        <f>IF($C871="","",IF($D871="NO ENCONTRADO",IF(COUNTIF($C$7:$C$1000,$C871)&gt;1,"⚠️ No encontrado | Duplicado","⚠️ No encontrado"),IF(COUNTIF($C$7:$C$1000,$C871)&gt;1,"⚠️ Duplicado","Verificado")))</f>
        <v/>
      </c>
    </row>
    <row r="872" ht="15.75" customHeight="1" s="176">
      <c r="B872" s="80" t="n"/>
      <c r="C872" s="74" t="n"/>
      <c r="D872" s="74">
        <f t="array" ref="D872">IF($C872="","",IFNA(_xlfn.XLOOKUP($C872,Productos!$A:$A,Productos!$E:$E,IFNA(_xlfn.XLOOKUP(TEXT($C872,"0"),Productos!$A:$A,Productos!$E:$E,IFNA(_xlfn.XLOOKUP(IFERROR(VALUE($C872),""),Productos!$A:$A,Productos!$E:$E,_xlfn.XLOOKUP($C872,Productos!$E:$E,Productos!$E:$E,"NO ENCONTRADO")),"NO ENCONTRADO")),"NO ENCONTRADO")),"NO ENCONTRADO"))</f>
        <v/>
      </c>
      <c r="E872" s="74">
        <f t="array" ref="E872">IF(OR($D872="",$D872="NO ENCONTRADO"),"",_xlfn.XLOOKUP($D872,Productos!$E:$E,Productos!$H:$H,""))</f>
        <v/>
      </c>
      <c r="F872" s="74">
        <f t="array" ref="F872">IF(OR($D872="",$D872="NO ENCONTRADO"),"",_xlfn.XLOOKUP($D872,Productos!$E:$E,Productos!$I:$I,""))</f>
        <v/>
      </c>
      <c r="G872" s="74">
        <f t="array" ref="G872">IF(OR($D872="",$D872="NO ENCONTRADO"),"",_xlfn.XLOOKUP($D872,Productos!$E:$E,Productos!$J:$J,""))</f>
        <v/>
      </c>
      <c r="H872" s="74">
        <f t="array" ref="H872">IF(OR($D872="",$D872="NO ENCONTRADO"),"",_xlfn.XLOOKUP($D872,Productos!$E:$E,Productos!$K:$K,""))</f>
        <v/>
      </c>
      <c r="I872" s="74">
        <f t="array" ref="I872">IF(OR($D872="",$D872="NO ENCONTRADO"),"",_xlfn.XLOOKUP($D872,Productos!$E:$E,Productos!$F:$F,""))</f>
        <v/>
      </c>
      <c r="J872" s="74">
        <f>IF($C872="","",IF($D872="NO ENCONTRADO",IF(COUNTIF($C$7:$C$1000,$C872)&gt;1,"⚠️ No encontrado | Duplicado","⚠️ No encontrado"),IF(COUNTIF($C$7:$C$1000,$C872)&gt;1,"⚠️ Duplicado","Verificado")))</f>
        <v/>
      </c>
    </row>
    <row r="873" ht="15.75" customHeight="1" s="176">
      <c r="B873" s="80" t="n"/>
      <c r="C873" s="74" t="n"/>
      <c r="D873" s="74">
        <f t="array" ref="D873">IF($C873="","",IFNA(_xlfn.XLOOKUP($C873,Productos!$A:$A,Productos!$E:$E,IFNA(_xlfn.XLOOKUP(TEXT($C873,"0"),Productos!$A:$A,Productos!$E:$E,IFNA(_xlfn.XLOOKUP(IFERROR(VALUE($C873),""),Productos!$A:$A,Productos!$E:$E,_xlfn.XLOOKUP($C873,Productos!$E:$E,Productos!$E:$E,"NO ENCONTRADO")),"NO ENCONTRADO")),"NO ENCONTRADO")),"NO ENCONTRADO"))</f>
        <v/>
      </c>
      <c r="E873" s="74">
        <f t="array" ref="E873">IF(OR($D873="",$D873="NO ENCONTRADO"),"",_xlfn.XLOOKUP($D873,Productos!$E:$E,Productos!$H:$H,""))</f>
        <v/>
      </c>
      <c r="F873" s="74">
        <f t="array" ref="F873">IF(OR($D873="",$D873="NO ENCONTRADO"),"",_xlfn.XLOOKUP($D873,Productos!$E:$E,Productos!$I:$I,""))</f>
        <v/>
      </c>
      <c r="G873" s="74">
        <f t="array" ref="G873">IF(OR($D873="",$D873="NO ENCONTRADO"),"",_xlfn.XLOOKUP($D873,Productos!$E:$E,Productos!$J:$J,""))</f>
        <v/>
      </c>
      <c r="H873" s="74">
        <f t="array" ref="H873">IF(OR($D873="",$D873="NO ENCONTRADO"),"",_xlfn.XLOOKUP($D873,Productos!$E:$E,Productos!$K:$K,""))</f>
        <v/>
      </c>
      <c r="I873" s="74">
        <f t="array" ref="I873">IF(OR($D873="",$D873="NO ENCONTRADO"),"",_xlfn.XLOOKUP($D873,Productos!$E:$E,Productos!$F:$F,""))</f>
        <v/>
      </c>
      <c r="J873" s="74">
        <f>IF($C873="","",IF($D873="NO ENCONTRADO",IF(COUNTIF($C$7:$C$1000,$C873)&gt;1,"⚠️ No encontrado | Duplicado","⚠️ No encontrado"),IF(COUNTIF($C$7:$C$1000,$C873)&gt;1,"⚠️ Duplicado","Verificado")))</f>
        <v/>
      </c>
    </row>
    <row r="874" ht="15.75" customHeight="1" s="176">
      <c r="B874" s="80" t="n"/>
      <c r="C874" s="74" t="n"/>
      <c r="D874" s="74">
        <f t="array" ref="D874">IF($C874="","",IFNA(_xlfn.XLOOKUP($C874,Productos!$A:$A,Productos!$E:$E,IFNA(_xlfn.XLOOKUP(TEXT($C874,"0"),Productos!$A:$A,Productos!$E:$E,IFNA(_xlfn.XLOOKUP(IFERROR(VALUE($C874),""),Productos!$A:$A,Productos!$E:$E,_xlfn.XLOOKUP($C874,Productos!$E:$E,Productos!$E:$E,"NO ENCONTRADO")),"NO ENCONTRADO")),"NO ENCONTRADO")),"NO ENCONTRADO"))</f>
        <v/>
      </c>
      <c r="E874" s="74">
        <f t="array" ref="E874">IF(OR($D874="",$D874="NO ENCONTRADO"),"",_xlfn.XLOOKUP($D874,Productos!$E:$E,Productos!$H:$H,""))</f>
        <v/>
      </c>
      <c r="F874" s="74">
        <f t="array" ref="F874">IF(OR($D874="",$D874="NO ENCONTRADO"),"",_xlfn.XLOOKUP($D874,Productos!$E:$E,Productos!$I:$I,""))</f>
        <v/>
      </c>
      <c r="G874" s="74">
        <f t="array" ref="G874">IF(OR($D874="",$D874="NO ENCONTRADO"),"",_xlfn.XLOOKUP($D874,Productos!$E:$E,Productos!$J:$J,""))</f>
        <v/>
      </c>
      <c r="H874" s="74">
        <f t="array" ref="H874">IF(OR($D874="",$D874="NO ENCONTRADO"),"",_xlfn.XLOOKUP($D874,Productos!$E:$E,Productos!$K:$K,""))</f>
        <v/>
      </c>
      <c r="I874" s="74">
        <f t="array" ref="I874">IF(OR($D874="",$D874="NO ENCONTRADO"),"",_xlfn.XLOOKUP($D874,Productos!$E:$E,Productos!$F:$F,""))</f>
        <v/>
      </c>
      <c r="J874" s="74">
        <f>IF($C874="","",IF($D874="NO ENCONTRADO",IF(COUNTIF($C$7:$C$1000,$C874)&gt;1,"⚠️ No encontrado | Duplicado","⚠️ No encontrado"),IF(COUNTIF($C$7:$C$1000,$C874)&gt;1,"⚠️ Duplicado","Verificado")))</f>
        <v/>
      </c>
    </row>
    <row r="875" ht="15.75" customHeight="1" s="176">
      <c r="B875" s="80" t="n"/>
      <c r="C875" s="74" t="n"/>
      <c r="D875" s="74">
        <f t="array" ref="D875">IF($C875="","",IFNA(_xlfn.XLOOKUP($C875,Productos!$A:$A,Productos!$E:$E,IFNA(_xlfn.XLOOKUP(TEXT($C875,"0"),Productos!$A:$A,Productos!$E:$E,IFNA(_xlfn.XLOOKUP(IFERROR(VALUE($C875),""),Productos!$A:$A,Productos!$E:$E,_xlfn.XLOOKUP($C875,Productos!$E:$E,Productos!$E:$E,"NO ENCONTRADO")),"NO ENCONTRADO")),"NO ENCONTRADO")),"NO ENCONTRADO"))</f>
        <v/>
      </c>
      <c r="E875" s="74">
        <f t="array" ref="E875">IF(OR($D875="",$D875="NO ENCONTRADO"),"",_xlfn.XLOOKUP($D875,Productos!$E:$E,Productos!$H:$H,""))</f>
        <v/>
      </c>
      <c r="F875" s="74">
        <f t="array" ref="F875">IF(OR($D875="",$D875="NO ENCONTRADO"),"",_xlfn.XLOOKUP($D875,Productos!$E:$E,Productos!$I:$I,""))</f>
        <v/>
      </c>
      <c r="G875" s="74">
        <f t="array" ref="G875">IF(OR($D875="",$D875="NO ENCONTRADO"),"",_xlfn.XLOOKUP($D875,Productos!$E:$E,Productos!$J:$J,""))</f>
        <v/>
      </c>
      <c r="H875" s="74">
        <f t="array" ref="H875">IF(OR($D875="",$D875="NO ENCONTRADO"),"",_xlfn.XLOOKUP($D875,Productos!$E:$E,Productos!$K:$K,""))</f>
        <v/>
      </c>
      <c r="I875" s="74">
        <f t="array" ref="I875">IF(OR($D875="",$D875="NO ENCONTRADO"),"",_xlfn.XLOOKUP($D875,Productos!$E:$E,Productos!$F:$F,""))</f>
        <v/>
      </c>
      <c r="J875" s="74">
        <f>IF($C875="","",IF($D875="NO ENCONTRADO",IF(COUNTIF($C$7:$C$1000,$C875)&gt;1,"⚠️ No encontrado | Duplicado","⚠️ No encontrado"),IF(COUNTIF($C$7:$C$1000,$C875)&gt;1,"⚠️ Duplicado","Verificado")))</f>
        <v/>
      </c>
    </row>
    <row r="876" ht="15.75" customHeight="1" s="176">
      <c r="B876" s="80" t="n"/>
      <c r="C876" s="74" t="n"/>
      <c r="D876" s="74">
        <f t="array" ref="D876">IF($C876="","",IFNA(_xlfn.XLOOKUP($C876,Productos!$A:$A,Productos!$E:$E,IFNA(_xlfn.XLOOKUP(TEXT($C876,"0"),Productos!$A:$A,Productos!$E:$E,IFNA(_xlfn.XLOOKUP(IFERROR(VALUE($C876),""),Productos!$A:$A,Productos!$E:$E,_xlfn.XLOOKUP($C876,Productos!$E:$E,Productos!$E:$E,"NO ENCONTRADO")),"NO ENCONTRADO")),"NO ENCONTRADO")),"NO ENCONTRADO"))</f>
        <v/>
      </c>
      <c r="E876" s="74">
        <f t="array" ref="E876">IF(OR($D876="",$D876="NO ENCONTRADO"),"",_xlfn.XLOOKUP($D876,Productos!$E:$E,Productos!$H:$H,""))</f>
        <v/>
      </c>
      <c r="F876" s="74">
        <f t="array" ref="F876">IF(OR($D876="",$D876="NO ENCONTRADO"),"",_xlfn.XLOOKUP($D876,Productos!$E:$E,Productos!$I:$I,""))</f>
        <v/>
      </c>
      <c r="G876" s="74">
        <f t="array" ref="G876">IF(OR($D876="",$D876="NO ENCONTRADO"),"",_xlfn.XLOOKUP($D876,Productos!$E:$E,Productos!$J:$J,""))</f>
        <v/>
      </c>
      <c r="H876" s="74">
        <f t="array" ref="H876">IF(OR($D876="",$D876="NO ENCONTRADO"),"",_xlfn.XLOOKUP($D876,Productos!$E:$E,Productos!$K:$K,""))</f>
        <v/>
      </c>
      <c r="I876" s="74">
        <f t="array" ref="I876">IF(OR($D876="",$D876="NO ENCONTRADO"),"",_xlfn.XLOOKUP($D876,Productos!$E:$E,Productos!$F:$F,""))</f>
        <v/>
      </c>
      <c r="J876" s="74">
        <f>IF($C876="","",IF($D876="NO ENCONTRADO",IF(COUNTIF($C$7:$C$1000,$C876)&gt;1,"⚠️ No encontrado | Duplicado","⚠️ No encontrado"),IF(COUNTIF($C$7:$C$1000,$C876)&gt;1,"⚠️ Duplicado","Verificado")))</f>
        <v/>
      </c>
    </row>
    <row r="877" ht="15.75" customHeight="1" s="176">
      <c r="B877" s="80" t="n"/>
      <c r="C877" s="74" t="n"/>
      <c r="D877" s="74">
        <f t="array" ref="D877">IF($C877="","",IFNA(_xlfn.XLOOKUP($C877,Productos!$A:$A,Productos!$E:$E,IFNA(_xlfn.XLOOKUP(TEXT($C877,"0"),Productos!$A:$A,Productos!$E:$E,IFNA(_xlfn.XLOOKUP(IFERROR(VALUE($C877),""),Productos!$A:$A,Productos!$E:$E,_xlfn.XLOOKUP($C877,Productos!$E:$E,Productos!$E:$E,"NO ENCONTRADO")),"NO ENCONTRADO")),"NO ENCONTRADO")),"NO ENCONTRADO"))</f>
        <v/>
      </c>
      <c r="E877" s="74">
        <f t="array" ref="E877">IF(OR($D877="",$D877="NO ENCONTRADO"),"",_xlfn.XLOOKUP($D877,Productos!$E:$E,Productos!$H:$H,""))</f>
        <v/>
      </c>
      <c r="F877" s="74">
        <f t="array" ref="F877">IF(OR($D877="",$D877="NO ENCONTRADO"),"",_xlfn.XLOOKUP($D877,Productos!$E:$E,Productos!$I:$I,""))</f>
        <v/>
      </c>
      <c r="G877" s="74">
        <f t="array" ref="G877">IF(OR($D877="",$D877="NO ENCONTRADO"),"",_xlfn.XLOOKUP($D877,Productos!$E:$E,Productos!$J:$J,""))</f>
        <v/>
      </c>
      <c r="H877" s="74">
        <f t="array" ref="H877">IF(OR($D877="",$D877="NO ENCONTRADO"),"",_xlfn.XLOOKUP($D877,Productos!$E:$E,Productos!$K:$K,""))</f>
        <v/>
      </c>
      <c r="I877" s="74">
        <f t="array" ref="I877">IF(OR($D877="",$D877="NO ENCONTRADO"),"",_xlfn.XLOOKUP($D877,Productos!$E:$E,Productos!$F:$F,""))</f>
        <v/>
      </c>
      <c r="J877" s="74">
        <f>IF($C877="","",IF($D877="NO ENCONTRADO",IF(COUNTIF($C$7:$C$1000,$C877)&gt;1,"⚠️ No encontrado | Duplicado","⚠️ No encontrado"),IF(COUNTIF($C$7:$C$1000,$C877)&gt;1,"⚠️ Duplicado","Verificado")))</f>
        <v/>
      </c>
    </row>
    <row r="878" ht="15.75" customHeight="1" s="176">
      <c r="B878" s="80" t="n"/>
      <c r="C878" s="74" t="n"/>
      <c r="D878" s="74">
        <f t="array" ref="D878">IF($C878="","",IFNA(_xlfn.XLOOKUP($C878,Productos!$A:$A,Productos!$E:$E,IFNA(_xlfn.XLOOKUP(TEXT($C878,"0"),Productos!$A:$A,Productos!$E:$E,IFNA(_xlfn.XLOOKUP(IFERROR(VALUE($C878),""),Productos!$A:$A,Productos!$E:$E,_xlfn.XLOOKUP($C878,Productos!$E:$E,Productos!$E:$E,"NO ENCONTRADO")),"NO ENCONTRADO")),"NO ENCONTRADO")),"NO ENCONTRADO"))</f>
        <v/>
      </c>
      <c r="E878" s="74">
        <f t="array" ref="E878">IF(OR($D878="",$D878="NO ENCONTRADO"),"",_xlfn.XLOOKUP($D878,Productos!$E:$E,Productos!$H:$H,""))</f>
        <v/>
      </c>
      <c r="F878" s="74">
        <f t="array" ref="F878">IF(OR($D878="",$D878="NO ENCONTRADO"),"",_xlfn.XLOOKUP($D878,Productos!$E:$E,Productos!$I:$I,""))</f>
        <v/>
      </c>
      <c r="G878" s="74">
        <f t="array" ref="G878">IF(OR($D878="",$D878="NO ENCONTRADO"),"",_xlfn.XLOOKUP($D878,Productos!$E:$E,Productos!$J:$J,""))</f>
        <v/>
      </c>
      <c r="H878" s="74">
        <f t="array" ref="H878">IF(OR($D878="",$D878="NO ENCONTRADO"),"",_xlfn.XLOOKUP($D878,Productos!$E:$E,Productos!$K:$K,""))</f>
        <v/>
      </c>
      <c r="I878" s="74">
        <f t="array" ref="I878">IF(OR($D878="",$D878="NO ENCONTRADO"),"",_xlfn.XLOOKUP($D878,Productos!$E:$E,Productos!$F:$F,""))</f>
        <v/>
      </c>
      <c r="J878" s="74">
        <f>IF($C878="","",IF($D878="NO ENCONTRADO",IF(COUNTIF($C$7:$C$1000,$C878)&gt;1,"⚠️ No encontrado | Duplicado","⚠️ No encontrado"),IF(COUNTIF($C$7:$C$1000,$C878)&gt;1,"⚠️ Duplicado","Verificado")))</f>
        <v/>
      </c>
    </row>
    <row r="879" ht="15.75" customHeight="1" s="176">
      <c r="B879" s="80" t="n"/>
      <c r="C879" s="74" t="n"/>
      <c r="D879" s="74">
        <f t="array" ref="D879">IF($C879="","",IFNA(_xlfn.XLOOKUP($C879,Productos!$A:$A,Productos!$E:$E,IFNA(_xlfn.XLOOKUP(TEXT($C879,"0"),Productos!$A:$A,Productos!$E:$E,IFNA(_xlfn.XLOOKUP(IFERROR(VALUE($C879),""),Productos!$A:$A,Productos!$E:$E,_xlfn.XLOOKUP($C879,Productos!$E:$E,Productos!$E:$E,"NO ENCONTRADO")),"NO ENCONTRADO")),"NO ENCONTRADO")),"NO ENCONTRADO"))</f>
        <v/>
      </c>
      <c r="E879" s="74">
        <f t="array" ref="E879">IF(OR($D879="",$D879="NO ENCONTRADO"),"",_xlfn.XLOOKUP($D879,Productos!$E:$E,Productos!$H:$H,""))</f>
        <v/>
      </c>
      <c r="F879" s="74">
        <f t="array" ref="F879">IF(OR($D879="",$D879="NO ENCONTRADO"),"",_xlfn.XLOOKUP($D879,Productos!$E:$E,Productos!$I:$I,""))</f>
        <v/>
      </c>
      <c r="G879" s="74">
        <f t="array" ref="G879">IF(OR($D879="",$D879="NO ENCONTRADO"),"",_xlfn.XLOOKUP($D879,Productos!$E:$E,Productos!$J:$J,""))</f>
        <v/>
      </c>
      <c r="H879" s="74">
        <f t="array" ref="H879">IF(OR($D879="",$D879="NO ENCONTRADO"),"",_xlfn.XLOOKUP($D879,Productos!$E:$E,Productos!$K:$K,""))</f>
        <v/>
      </c>
      <c r="I879" s="74">
        <f t="array" ref="I879">IF(OR($D879="",$D879="NO ENCONTRADO"),"",_xlfn.XLOOKUP($D879,Productos!$E:$E,Productos!$F:$F,""))</f>
        <v/>
      </c>
      <c r="J879" s="74">
        <f>IF($C879="","",IF($D879="NO ENCONTRADO",IF(COUNTIF($C$7:$C$1000,$C879)&gt;1,"⚠️ No encontrado | Duplicado","⚠️ No encontrado"),IF(COUNTIF($C$7:$C$1000,$C879)&gt;1,"⚠️ Duplicado","Verificado")))</f>
        <v/>
      </c>
    </row>
    <row r="880" ht="15.75" customHeight="1" s="176">
      <c r="B880" s="80" t="n"/>
      <c r="C880" s="74" t="n"/>
      <c r="D880" s="74">
        <f t="array" ref="D880">IF($C880="","",IFNA(_xlfn.XLOOKUP($C880,Productos!$A:$A,Productos!$E:$E,IFNA(_xlfn.XLOOKUP(TEXT($C880,"0"),Productos!$A:$A,Productos!$E:$E,IFNA(_xlfn.XLOOKUP(IFERROR(VALUE($C880),""),Productos!$A:$A,Productos!$E:$E,_xlfn.XLOOKUP($C880,Productos!$E:$E,Productos!$E:$E,"NO ENCONTRADO")),"NO ENCONTRADO")),"NO ENCONTRADO")),"NO ENCONTRADO"))</f>
        <v/>
      </c>
      <c r="E880" s="74">
        <f t="array" ref="E880">IF(OR($D880="",$D880="NO ENCONTRADO"),"",_xlfn.XLOOKUP($D880,Productos!$E:$E,Productos!$H:$H,""))</f>
        <v/>
      </c>
      <c r="F880" s="74">
        <f t="array" ref="F880">IF(OR($D880="",$D880="NO ENCONTRADO"),"",_xlfn.XLOOKUP($D880,Productos!$E:$E,Productos!$I:$I,""))</f>
        <v/>
      </c>
      <c r="G880" s="74">
        <f t="array" ref="G880">IF(OR($D880="",$D880="NO ENCONTRADO"),"",_xlfn.XLOOKUP($D880,Productos!$E:$E,Productos!$J:$J,""))</f>
        <v/>
      </c>
      <c r="H880" s="74">
        <f t="array" ref="H880">IF(OR($D880="",$D880="NO ENCONTRADO"),"",_xlfn.XLOOKUP($D880,Productos!$E:$E,Productos!$K:$K,""))</f>
        <v/>
      </c>
      <c r="I880" s="74">
        <f t="array" ref="I880">IF(OR($D880="",$D880="NO ENCONTRADO"),"",_xlfn.XLOOKUP($D880,Productos!$E:$E,Productos!$F:$F,""))</f>
        <v/>
      </c>
      <c r="J880" s="74">
        <f>IF($C880="","",IF($D880="NO ENCONTRADO",IF(COUNTIF($C$7:$C$1000,$C880)&gt;1,"⚠️ No encontrado | Duplicado","⚠️ No encontrado"),IF(COUNTIF($C$7:$C$1000,$C880)&gt;1,"⚠️ Duplicado","Verificado")))</f>
        <v/>
      </c>
    </row>
    <row r="881" ht="15.75" customHeight="1" s="176">
      <c r="B881" s="80" t="n"/>
      <c r="C881" s="74" t="n"/>
      <c r="D881" s="74">
        <f t="array" ref="D881">IF($C881="","",IFNA(_xlfn.XLOOKUP($C881,Productos!$A:$A,Productos!$E:$E,IFNA(_xlfn.XLOOKUP(TEXT($C881,"0"),Productos!$A:$A,Productos!$E:$E,IFNA(_xlfn.XLOOKUP(IFERROR(VALUE($C881),""),Productos!$A:$A,Productos!$E:$E,_xlfn.XLOOKUP($C881,Productos!$E:$E,Productos!$E:$E,"NO ENCONTRADO")),"NO ENCONTRADO")),"NO ENCONTRADO")),"NO ENCONTRADO"))</f>
        <v/>
      </c>
      <c r="E881" s="74">
        <f t="array" ref="E881">IF(OR($D881="",$D881="NO ENCONTRADO"),"",_xlfn.XLOOKUP($D881,Productos!$E:$E,Productos!$H:$H,""))</f>
        <v/>
      </c>
      <c r="F881" s="74">
        <f t="array" ref="F881">IF(OR($D881="",$D881="NO ENCONTRADO"),"",_xlfn.XLOOKUP($D881,Productos!$E:$E,Productos!$I:$I,""))</f>
        <v/>
      </c>
      <c r="G881" s="74">
        <f t="array" ref="G881">IF(OR($D881="",$D881="NO ENCONTRADO"),"",_xlfn.XLOOKUP($D881,Productos!$E:$E,Productos!$J:$J,""))</f>
        <v/>
      </c>
      <c r="H881" s="74">
        <f t="array" ref="H881">IF(OR($D881="",$D881="NO ENCONTRADO"),"",_xlfn.XLOOKUP($D881,Productos!$E:$E,Productos!$K:$K,""))</f>
        <v/>
      </c>
      <c r="I881" s="74">
        <f t="array" ref="I881">IF(OR($D881="",$D881="NO ENCONTRADO"),"",_xlfn.XLOOKUP($D881,Productos!$E:$E,Productos!$F:$F,""))</f>
        <v/>
      </c>
      <c r="J881" s="74">
        <f>IF($C881="","",IF($D881="NO ENCONTRADO",IF(COUNTIF($C$7:$C$1000,$C881)&gt;1,"⚠️ No encontrado | Duplicado","⚠️ No encontrado"),IF(COUNTIF($C$7:$C$1000,$C881)&gt;1,"⚠️ Duplicado","Verificado")))</f>
        <v/>
      </c>
    </row>
    <row r="882" ht="15.75" customHeight="1" s="176">
      <c r="B882" s="80" t="n"/>
      <c r="C882" s="74" t="n"/>
      <c r="D882" s="74">
        <f t="array" ref="D882">IF($C882="","",IFNA(_xlfn.XLOOKUP($C882,Productos!$A:$A,Productos!$E:$E,IFNA(_xlfn.XLOOKUP(TEXT($C882,"0"),Productos!$A:$A,Productos!$E:$E,IFNA(_xlfn.XLOOKUP(IFERROR(VALUE($C882),""),Productos!$A:$A,Productos!$E:$E,_xlfn.XLOOKUP($C882,Productos!$E:$E,Productos!$E:$E,"NO ENCONTRADO")),"NO ENCONTRADO")),"NO ENCONTRADO")),"NO ENCONTRADO"))</f>
        <v/>
      </c>
      <c r="E882" s="74">
        <f t="array" ref="E882">IF(OR($D882="",$D882="NO ENCONTRADO"),"",_xlfn.XLOOKUP($D882,Productos!$E:$E,Productos!$H:$H,""))</f>
        <v/>
      </c>
      <c r="F882" s="74">
        <f t="array" ref="F882">IF(OR($D882="",$D882="NO ENCONTRADO"),"",_xlfn.XLOOKUP($D882,Productos!$E:$E,Productos!$I:$I,""))</f>
        <v/>
      </c>
      <c r="G882" s="74">
        <f t="array" ref="G882">IF(OR($D882="",$D882="NO ENCONTRADO"),"",_xlfn.XLOOKUP($D882,Productos!$E:$E,Productos!$J:$J,""))</f>
        <v/>
      </c>
      <c r="H882" s="74">
        <f t="array" ref="H882">IF(OR($D882="",$D882="NO ENCONTRADO"),"",_xlfn.XLOOKUP($D882,Productos!$E:$E,Productos!$K:$K,""))</f>
        <v/>
      </c>
      <c r="I882" s="74">
        <f t="array" ref="I882">IF(OR($D882="",$D882="NO ENCONTRADO"),"",_xlfn.XLOOKUP($D882,Productos!$E:$E,Productos!$F:$F,""))</f>
        <v/>
      </c>
      <c r="J882" s="74">
        <f>IF($C882="","",IF($D882="NO ENCONTRADO",IF(COUNTIF($C$7:$C$1000,$C882)&gt;1,"⚠️ No encontrado | Duplicado","⚠️ No encontrado"),IF(COUNTIF($C$7:$C$1000,$C882)&gt;1,"⚠️ Duplicado","Verificado")))</f>
        <v/>
      </c>
    </row>
    <row r="883" ht="15.75" customHeight="1" s="176">
      <c r="B883" s="80" t="n"/>
      <c r="C883" s="74" t="n"/>
      <c r="D883" s="74">
        <f t="array" ref="D883">IF($C883="","",IFNA(_xlfn.XLOOKUP($C883,Productos!$A:$A,Productos!$E:$E,IFNA(_xlfn.XLOOKUP(TEXT($C883,"0"),Productos!$A:$A,Productos!$E:$E,IFNA(_xlfn.XLOOKUP(IFERROR(VALUE($C883),""),Productos!$A:$A,Productos!$E:$E,_xlfn.XLOOKUP($C883,Productos!$E:$E,Productos!$E:$E,"NO ENCONTRADO")),"NO ENCONTRADO")),"NO ENCONTRADO")),"NO ENCONTRADO"))</f>
        <v/>
      </c>
      <c r="E883" s="74">
        <f t="array" ref="E883">IF(OR($D883="",$D883="NO ENCONTRADO"),"",_xlfn.XLOOKUP($D883,Productos!$E:$E,Productos!$H:$H,""))</f>
        <v/>
      </c>
      <c r="F883" s="74">
        <f t="array" ref="F883">IF(OR($D883="",$D883="NO ENCONTRADO"),"",_xlfn.XLOOKUP($D883,Productos!$E:$E,Productos!$I:$I,""))</f>
        <v/>
      </c>
      <c r="G883" s="74">
        <f t="array" ref="G883">IF(OR($D883="",$D883="NO ENCONTRADO"),"",_xlfn.XLOOKUP($D883,Productos!$E:$E,Productos!$J:$J,""))</f>
        <v/>
      </c>
      <c r="H883" s="74">
        <f t="array" ref="H883">IF(OR($D883="",$D883="NO ENCONTRADO"),"",_xlfn.XLOOKUP($D883,Productos!$E:$E,Productos!$K:$K,""))</f>
        <v/>
      </c>
      <c r="I883" s="74">
        <f t="array" ref="I883">IF(OR($D883="",$D883="NO ENCONTRADO"),"",_xlfn.XLOOKUP($D883,Productos!$E:$E,Productos!$F:$F,""))</f>
        <v/>
      </c>
      <c r="J883" s="74">
        <f>IF($C883="","",IF($D883="NO ENCONTRADO",IF(COUNTIF($C$7:$C$1000,$C883)&gt;1,"⚠️ No encontrado | Duplicado","⚠️ No encontrado"),IF(COUNTIF($C$7:$C$1000,$C883)&gt;1,"⚠️ Duplicado","Verificado")))</f>
        <v/>
      </c>
    </row>
    <row r="884" ht="15.75" customHeight="1" s="176">
      <c r="B884" s="80" t="n"/>
      <c r="C884" s="74" t="n"/>
      <c r="D884" s="74">
        <f t="array" ref="D884">IF($C884="","",IFNA(_xlfn.XLOOKUP($C884,Productos!$A:$A,Productos!$E:$E,IFNA(_xlfn.XLOOKUP(TEXT($C884,"0"),Productos!$A:$A,Productos!$E:$E,IFNA(_xlfn.XLOOKUP(IFERROR(VALUE($C884),""),Productos!$A:$A,Productos!$E:$E,_xlfn.XLOOKUP($C884,Productos!$E:$E,Productos!$E:$E,"NO ENCONTRADO")),"NO ENCONTRADO")),"NO ENCONTRADO")),"NO ENCONTRADO"))</f>
        <v/>
      </c>
      <c r="E884" s="74">
        <f t="array" ref="E884">IF(OR($D884="",$D884="NO ENCONTRADO"),"",_xlfn.XLOOKUP($D884,Productos!$E:$E,Productos!$H:$H,""))</f>
        <v/>
      </c>
      <c r="F884" s="74">
        <f t="array" ref="F884">IF(OR($D884="",$D884="NO ENCONTRADO"),"",_xlfn.XLOOKUP($D884,Productos!$E:$E,Productos!$I:$I,""))</f>
        <v/>
      </c>
      <c r="G884" s="74">
        <f t="array" ref="G884">IF(OR($D884="",$D884="NO ENCONTRADO"),"",_xlfn.XLOOKUP($D884,Productos!$E:$E,Productos!$J:$J,""))</f>
        <v/>
      </c>
      <c r="H884" s="74">
        <f t="array" ref="H884">IF(OR($D884="",$D884="NO ENCONTRADO"),"",_xlfn.XLOOKUP($D884,Productos!$E:$E,Productos!$K:$K,""))</f>
        <v/>
      </c>
      <c r="I884" s="74">
        <f t="array" ref="I884">IF(OR($D884="",$D884="NO ENCONTRADO"),"",_xlfn.XLOOKUP($D884,Productos!$E:$E,Productos!$F:$F,""))</f>
        <v/>
      </c>
      <c r="J884" s="74">
        <f>IF($C884="","",IF($D884="NO ENCONTRADO",IF(COUNTIF($C$7:$C$1000,$C884)&gt;1,"⚠️ No encontrado | Duplicado","⚠️ No encontrado"),IF(COUNTIF($C$7:$C$1000,$C884)&gt;1,"⚠️ Duplicado","Verificado")))</f>
        <v/>
      </c>
    </row>
    <row r="885" ht="15.75" customHeight="1" s="176">
      <c r="B885" s="80" t="n"/>
      <c r="C885" s="74" t="n"/>
      <c r="D885" s="74">
        <f t="array" ref="D885">IF($C885="","",IFNA(_xlfn.XLOOKUP($C885,Productos!$A:$A,Productos!$E:$E,IFNA(_xlfn.XLOOKUP(TEXT($C885,"0"),Productos!$A:$A,Productos!$E:$E,IFNA(_xlfn.XLOOKUP(IFERROR(VALUE($C885),""),Productos!$A:$A,Productos!$E:$E,_xlfn.XLOOKUP($C885,Productos!$E:$E,Productos!$E:$E,"NO ENCONTRADO")),"NO ENCONTRADO")),"NO ENCONTRADO")),"NO ENCONTRADO"))</f>
        <v/>
      </c>
      <c r="E885" s="74">
        <f t="array" ref="E885">IF(OR($D885="",$D885="NO ENCONTRADO"),"",_xlfn.XLOOKUP($D885,Productos!$E:$E,Productos!$H:$H,""))</f>
        <v/>
      </c>
      <c r="F885" s="74">
        <f t="array" ref="F885">IF(OR($D885="",$D885="NO ENCONTRADO"),"",_xlfn.XLOOKUP($D885,Productos!$E:$E,Productos!$I:$I,""))</f>
        <v/>
      </c>
      <c r="G885" s="74">
        <f t="array" ref="G885">IF(OR($D885="",$D885="NO ENCONTRADO"),"",_xlfn.XLOOKUP($D885,Productos!$E:$E,Productos!$J:$J,""))</f>
        <v/>
      </c>
      <c r="H885" s="74">
        <f t="array" ref="H885">IF(OR($D885="",$D885="NO ENCONTRADO"),"",_xlfn.XLOOKUP($D885,Productos!$E:$E,Productos!$K:$K,""))</f>
        <v/>
      </c>
      <c r="I885" s="74">
        <f t="array" ref="I885">IF(OR($D885="",$D885="NO ENCONTRADO"),"",_xlfn.XLOOKUP($D885,Productos!$E:$E,Productos!$F:$F,""))</f>
        <v/>
      </c>
      <c r="J885" s="74">
        <f>IF($C885="","",IF($D885="NO ENCONTRADO",IF(COUNTIF($C$7:$C$1000,$C885)&gt;1,"⚠️ No encontrado | Duplicado","⚠️ No encontrado"),IF(COUNTIF($C$7:$C$1000,$C885)&gt;1,"⚠️ Duplicado","Verificado")))</f>
        <v/>
      </c>
    </row>
    <row r="886" ht="15.75" customHeight="1" s="176">
      <c r="B886" s="80" t="n"/>
      <c r="C886" s="74" t="n"/>
      <c r="D886" s="74">
        <f t="array" ref="D886">IF($C886="","",IFNA(_xlfn.XLOOKUP($C886,Productos!$A:$A,Productos!$E:$E,IFNA(_xlfn.XLOOKUP(TEXT($C886,"0"),Productos!$A:$A,Productos!$E:$E,IFNA(_xlfn.XLOOKUP(IFERROR(VALUE($C886),""),Productos!$A:$A,Productos!$E:$E,_xlfn.XLOOKUP($C886,Productos!$E:$E,Productos!$E:$E,"NO ENCONTRADO")),"NO ENCONTRADO")),"NO ENCONTRADO")),"NO ENCONTRADO"))</f>
        <v/>
      </c>
      <c r="E886" s="74">
        <f t="array" ref="E886">IF(OR($D886="",$D886="NO ENCONTRADO"),"",_xlfn.XLOOKUP($D886,Productos!$E:$E,Productos!$H:$H,""))</f>
        <v/>
      </c>
      <c r="F886" s="74">
        <f t="array" ref="F886">IF(OR($D886="",$D886="NO ENCONTRADO"),"",_xlfn.XLOOKUP($D886,Productos!$E:$E,Productos!$I:$I,""))</f>
        <v/>
      </c>
      <c r="G886" s="74">
        <f t="array" ref="G886">IF(OR($D886="",$D886="NO ENCONTRADO"),"",_xlfn.XLOOKUP($D886,Productos!$E:$E,Productos!$J:$J,""))</f>
        <v/>
      </c>
      <c r="H886" s="74">
        <f t="array" ref="H886">IF(OR($D886="",$D886="NO ENCONTRADO"),"",_xlfn.XLOOKUP($D886,Productos!$E:$E,Productos!$K:$K,""))</f>
        <v/>
      </c>
      <c r="I886" s="74">
        <f t="array" ref="I886">IF(OR($D886="",$D886="NO ENCONTRADO"),"",_xlfn.XLOOKUP($D886,Productos!$E:$E,Productos!$F:$F,""))</f>
        <v/>
      </c>
      <c r="J886" s="74">
        <f>IF($C886="","",IF($D886="NO ENCONTRADO",IF(COUNTIF($C$7:$C$1000,$C886)&gt;1,"⚠️ No encontrado | Duplicado","⚠️ No encontrado"),IF(COUNTIF($C$7:$C$1000,$C886)&gt;1,"⚠️ Duplicado","Verificado")))</f>
        <v/>
      </c>
    </row>
    <row r="887" ht="15.75" customHeight="1" s="176">
      <c r="B887" s="80" t="n"/>
      <c r="C887" s="74" t="n"/>
      <c r="D887" s="74">
        <f t="array" ref="D887">IF($C887="","",IFNA(_xlfn.XLOOKUP($C887,Productos!$A:$A,Productos!$E:$E,IFNA(_xlfn.XLOOKUP(TEXT($C887,"0"),Productos!$A:$A,Productos!$E:$E,IFNA(_xlfn.XLOOKUP(IFERROR(VALUE($C887),""),Productos!$A:$A,Productos!$E:$E,_xlfn.XLOOKUP($C887,Productos!$E:$E,Productos!$E:$E,"NO ENCONTRADO")),"NO ENCONTRADO")),"NO ENCONTRADO")),"NO ENCONTRADO"))</f>
        <v/>
      </c>
      <c r="E887" s="74">
        <f t="array" ref="E887">IF(OR($D887="",$D887="NO ENCONTRADO"),"",_xlfn.XLOOKUP($D887,Productos!$E:$E,Productos!$H:$H,""))</f>
        <v/>
      </c>
      <c r="F887" s="74">
        <f t="array" ref="F887">IF(OR($D887="",$D887="NO ENCONTRADO"),"",_xlfn.XLOOKUP($D887,Productos!$E:$E,Productos!$I:$I,""))</f>
        <v/>
      </c>
      <c r="G887" s="74">
        <f t="array" ref="G887">IF(OR($D887="",$D887="NO ENCONTRADO"),"",_xlfn.XLOOKUP($D887,Productos!$E:$E,Productos!$J:$J,""))</f>
        <v/>
      </c>
      <c r="H887" s="74">
        <f t="array" ref="H887">IF(OR($D887="",$D887="NO ENCONTRADO"),"",_xlfn.XLOOKUP($D887,Productos!$E:$E,Productos!$K:$K,""))</f>
        <v/>
      </c>
      <c r="I887" s="74">
        <f t="array" ref="I887">IF(OR($D887="",$D887="NO ENCONTRADO"),"",_xlfn.XLOOKUP($D887,Productos!$E:$E,Productos!$F:$F,""))</f>
        <v/>
      </c>
      <c r="J887" s="74">
        <f>IF($C887="","",IF($D887="NO ENCONTRADO",IF(COUNTIF($C$7:$C$1000,$C887)&gt;1,"⚠️ No encontrado | Duplicado","⚠️ No encontrado"),IF(COUNTIF($C$7:$C$1000,$C887)&gt;1,"⚠️ Duplicado","Verificado")))</f>
        <v/>
      </c>
    </row>
    <row r="888" ht="15.75" customHeight="1" s="176">
      <c r="B888" s="80" t="n"/>
      <c r="C888" s="74" t="n"/>
      <c r="D888" s="74">
        <f t="array" ref="D888">IF($C888="","",IFNA(_xlfn.XLOOKUP($C888,Productos!$A:$A,Productos!$E:$E,IFNA(_xlfn.XLOOKUP(TEXT($C888,"0"),Productos!$A:$A,Productos!$E:$E,IFNA(_xlfn.XLOOKUP(IFERROR(VALUE($C888),""),Productos!$A:$A,Productos!$E:$E,_xlfn.XLOOKUP($C888,Productos!$E:$E,Productos!$E:$E,"NO ENCONTRADO")),"NO ENCONTRADO")),"NO ENCONTRADO")),"NO ENCONTRADO"))</f>
        <v/>
      </c>
      <c r="E888" s="74">
        <f t="array" ref="E888">IF(OR($D888="",$D888="NO ENCONTRADO"),"",_xlfn.XLOOKUP($D888,Productos!$E:$E,Productos!$H:$H,""))</f>
        <v/>
      </c>
      <c r="F888" s="74">
        <f t="array" ref="F888">IF(OR($D888="",$D888="NO ENCONTRADO"),"",_xlfn.XLOOKUP($D888,Productos!$E:$E,Productos!$I:$I,""))</f>
        <v/>
      </c>
      <c r="G888" s="74">
        <f t="array" ref="G888">IF(OR($D888="",$D888="NO ENCONTRADO"),"",_xlfn.XLOOKUP($D888,Productos!$E:$E,Productos!$J:$J,""))</f>
        <v/>
      </c>
      <c r="H888" s="74">
        <f t="array" ref="H888">IF(OR($D888="",$D888="NO ENCONTRADO"),"",_xlfn.XLOOKUP($D888,Productos!$E:$E,Productos!$K:$K,""))</f>
        <v/>
      </c>
      <c r="I888" s="74">
        <f t="array" ref="I888">IF(OR($D888="",$D888="NO ENCONTRADO"),"",_xlfn.XLOOKUP($D888,Productos!$E:$E,Productos!$F:$F,""))</f>
        <v/>
      </c>
      <c r="J888" s="74">
        <f>IF($C888="","",IF($D888="NO ENCONTRADO",IF(COUNTIF($C$7:$C$1000,$C888)&gt;1,"⚠️ No encontrado | Duplicado","⚠️ No encontrado"),IF(COUNTIF($C$7:$C$1000,$C888)&gt;1,"⚠️ Duplicado","Verificado")))</f>
        <v/>
      </c>
    </row>
    <row r="889" ht="15.75" customHeight="1" s="176">
      <c r="B889" s="80" t="n"/>
      <c r="C889" s="74" t="n"/>
      <c r="D889" s="74">
        <f t="array" ref="D889">IF($C889="","",IFNA(_xlfn.XLOOKUP($C889,Productos!$A:$A,Productos!$E:$E,IFNA(_xlfn.XLOOKUP(TEXT($C889,"0"),Productos!$A:$A,Productos!$E:$E,IFNA(_xlfn.XLOOKUP(IFERROR(VALUE($C889),""),Productos!$A:$A,Productos!$E:$E,_xlfn.XLOOKUP($C889,Productos!$E:$E,Productos!$E:$E,"NO ENCONTRADO")),"NO ENCONTRADO")),"NO ENCONTRADO")),"NO ENCONTRADO"))</f>
        <v/>
      </c>
      <c r="E889" s="74">
        <f t="array" ref="E889">IF(OR($D889="",$D889="NO ENCONTRADO"),"",_xlfn.XLOOKUP($D889,Productos!$E:$E,Productos!$H:$H,""))</f>
        <v/>
      </c>
      <c r="F889" s="74">
        <f t="array" ref="F889">IF(OR($D889="",$D889="NO ENCONTRADO"),"",_xlfn.XLOOKUP($D889,Productos!$E:$E,Productos!$I:$I,""))</f>
        <v/>
      </c>
      <c r="G889" s="74">
        <f t="array" ref="G889">IF(OR($D889="",$D889="NO ENCONTRADO"),"",_xlfn.XLOOKUP($D889,Productos!$E:$E,Productos!$J:$J,""))</f>
        <v/>
      </c>
      <c r="H889" s="74">
        <f t="array" ref="H889">IF(OR($D889="",$D889="NO ENCONTRADO"),"",_xlfn.XLOOKUP($D889,Productos!$E:$E,Productos!$K:$K,""))</f>
        <v/>
      </c>
      <c r="I889" s="74">
        <f t="array" ref="I889">IF(OR($D889="",$D889="NO ENCONTRADO"),"",_xlfn.XLOOKUP($D889,Productos!$E:$E,Productos!$F:$F,""))</f>
        <v/>
      </c>
      <c r="J889" s="74">
        <f>IF($C889="","",IF($D889="NO ENCONTRADO",IF(COUNTIF($C$7:$C$1000,$C889)&gt;1,"⚠️ No encontrado | Duplicado","⚠️ No encontrado"),IF(COUNTIF($C$7:$C$1000,$C889)&gt;1,"⚠️ Duplicado","Verificado")))</f>
        <v/>
      </c>
    </row>
    <row r="890" ht="15.75" customHeight="1" s="176">
      <c r="B890" s="80" t="n"/>
      <c r="C890" s="74" t="n"/>
      <c r="D890" s="74">
        <f t="array" ref="D890">IF($C890="","",IFNA(_xlfn.XLOOKUP($C890,Productos!$A:$A,Productos!$E:$E,IFNA(_xlfn.XLOOKUP(TEXT($C890,"0"),Productos!$A:$A,Productos!$E:$E,IFNA(_xlfn.XLOOKUP(IFERROR(VALUE($C890),""),Productos!$A:$A,Productos!$E:$E,_xlfn.XLOOKUP($C890,Productos!$E:$E,Productos!$E:$E,"NO ENCONTRADO")),"NO ENCONTRADO")),"NO ENCONTRADO")),"NO ENCONTRADO"))</f>
        <v/>
      </c>
      <c r="E890" s="74">
        <f t="array" ref="E890">IF(OR($D890="",$D890="NO ENCONTRADO"),"",_xlfn.XLOOKUP($D890,Productos!$E:$E,Productos!$H:$H,""))</f>
        <v/>
      </c>
      <c r="F890" s="74">
        <f t="array" ref="F890">IF(OR($D890="",$D890="NO ENCONTRADO"),"",_xlfn.XLOOKUP($D890,Productos!$E:$E,Productos!$I:$I,""))</f>
        <v/>
      </c>
      <c r="G890" s="74">
        <f t="array" ref="G890">IF(OR($D890="",$D890="NO ENCONTRADO"),"",_xlfn.XLOOKUP($D890,Productos!$E:$E,Productos!$J:$J,""))</f>
        <v/>
      </c>
      <c r="H890" s="74">
        <f t="array" ref="H890">IF(OR($D890="",$D890="NO ENCONTRADO"),"",_xlfn.XLOOKUP($D890,Productos!$E:$E,Productos!$K:$K,""))</f>
        <v/>
      </c>
      <c r="I890" s="74">
        <f t="array" ref="I890">IF(OR($D890="",$D890="NO ENCONTRADO"),"",_xlfn.XLOOKUP($D890,Productos!$E:$E,Productos!$F:$F,""))</f>
        <v/>
      </c>
      <c r="J890" s="74">
        <f>IF($C890="","",IF($D890="NO ENCONTRADO",IF(COUNTIF($C$7:$C$1000,$C890)&gt;1,"⚠️ No encontrado | Duplicado","⚠️ No encontrado"),IF(COUNTIF($C$7:$C$1000,$C890)&gt;1,"⚠️ Duplicado","Verificado")))</f>
        <v/>
      </c>
    </row>
    <row r="891" ht="15.75" customHeight="1" s="176">
      <c r="B891" s="80" t="n"/>
      <c r="C891" s="74" t="n"/>
      <c r="D891" s="74">
        <f t="array" ref="D891">IF($C891="","",IFNA(_xlfn.XLOOKUP($C891,Productos!$A:$A,Productos!$E:$E,IFNA(_xlfn.XLOOKUP(TEXT($C891,"0"),Productos!$A:$A,Productos!$E:$E,IFNA(_xlfn.XLOOKUP(IFERROR(VALUE($C891),""),Productos!$A:$A,Productos!$E:$E,_xlfn.XLOOKUP($C891,Productos!$E:$E,Productos!$E:$E,"NO ENCONTRADO")),"NO ENCONTRADO")),"NO ENCONTRADO")),"NO ENCONTRADO"))</f>
        <v/>
      </c>
      <c r="E891" s="74">
        <f t="array" ref="E891">IF(OR($D891="",$D891="NO ENCONTRADO"),"",_xlfn.XLOOKUP($D891,Productos!$E:$E,Productos!$H:$H,""))</f>
        <v/>
      </c>
      <c r="F891" s="74">
        <f t="array" ref="F891">IF(OR($D891="",$D891="NO ENCONTRADO"),"",_xlfn.XLOOKUP($D891,Productos!$E:$E,Productos!$I:$I,""))</f>
        <v/>
      </c>
      <c r="G891" s="74">
        <f t="array" ref="G891">IF(OR($D891="",$D891="NO ENCONTRADO"),"",_xlfn.XLOOKUP($D891,Productos!$E:$E,Productos!$J:$J,""))</f>
        <v/>
      </c>
      <c r="H891" s="74">
        <f t="array" ref="H891">IF(OR($D891="",$D891="NO ENCONTRADO"),"",_xlfn.XLOOKUP($D891,Productos!$E:$E,Productos!$K:$K,""))</f>
        <v/>
      </c>
      <c r="I891" s="74">
        <f t="array" ref="I891">IF(OR($D891="",$D891="NO ENCONTRADO"),"",_xlfn.XLOOKUP($D891,Productos!$E:$E,Productos!$F:$F,""))</f>
        <v/>
      </c>
      <c r="J891" s="74">
        <f>IF($C891="","",IF($D891="NO ENCONTRADO",IF(COUNTIF($C$7:$C$1000,$C891)&gt;1,"⚠️ No encontrado | Duplicado","⚠️ No encontrado"),IF(COUNTIF($C$7:$C$1000,$C891)&gt;1,"⚠️ Duplicado","Verificado")))</f>
        <v/>
      </c>
    </row>
    <row r="892" ht="15.75" customHeight="1" s="176">
      <c r="B892" s="80" t="n"/>
      <c r="C892" s="74" t="n"/>
      <c r="D892" s="74">
        <f t="array" ref="D892">IF($C892="","",IFNA(_xlfn.XLOOKUP($C892,Productos!$A:$A,Productos!$E:$E,IFNA(_xlfn.XLOOKUP(TEXT($C892,"0"),Productos!$A:$A,Productos!$E:$E,IFNA(_xlfn.XLOOKUP(IFERROR(VALUE($C892),""),Productos!$A:$A,Productos!$E:$E,_xlfn.XLOOKUP($C892,Productos!$E:$E,Productos!$E:$E,"NO ENCONTRADO")),"NO ENCONTRADO")),"NO ENCONTRADO")),"NO ENCONTRADO"))</f>
        <v/>
      </c>
      <c r="E892" s="74">
        <f t="array" ref="E892">IF(OR($D892="",$D892="NO ENCONTRADO"),"",_xlfn.XLOOKUP($D892,Productos!$E:$E,Productos!$H:$H,""))</f>
        <v/>
      </c>
      <c r="F892" s="74">
        <f t="array" ref="F892">IF(OR($D892="",$D892="NO ENCONTRADO"),"",_xlfn.XLOOKUP($D892,Productos!$E:$E,Productos!$I:$I,""))</f>
        <v/>
      </c>
      <c r="G892" s="74">
        <f t="array" ref="G892">IF(OR($D892="",$D892="NO ENCONTRADO"),"",_xlfn.XLOOKUP($D892,Productos!$E:$E,Productos!$J:$J,""))</f>
        <v/>
      </c>
      <c r="H892" s="74">
        <f t="array" ref="H892">IF(OR($D892="",$D892="NO ENCONTRADO"),"",_xlfn.XLOOKUP($D892,Productos!$E:$E,Productos!$K:$K,""))</f>
        <v/>
      </c>
      <c r="I892" s="74">
        <f t="array" ref="I892">IF(OR($D892="",$D892="NO ENCONTRADO"),"",_xlfn.XLOOKUP($D892,Productos!$E:$E,Productos!$F:$F,""))</f>
        <v/>
      </c>
      <c r="J892" s="74">
        <f>IF($C892="","",IF($D892="NO ENCONTRADO",IF(COUNTIF($C$7:$C$1000,$C892)&gt;1,"⚠️ No encontrado | Duplicado","⚠️ No encontrado"),IF(COUNTIF($C$7:$C$1000,$C892)&gt;1,"⚠️ Duplicado","Verificado")))</f>
        <v/>
      </c>
    </row>
    <row r="893" ht="15.75" customHeight="1" s="176">
      <c r="B893" s="80" t="n"/>
      <c r="C893" s="74" t="n"/>
      <c r="D893" s="74">
        <f t="array" ref="D893">IF($C893="","",IFNA(_xlfn.XLOOKUP($C893,Productos!$A:$A,Productos!$E:$E,IFNA(_xlfn.XLOOKUP(TEXT($C893,"0"),Productos!$A:$A,Productos!$E:$E,IFNA(_xlfn.XLOOKUP(IFERROR(VALUE($C893),""),Productos!$A:$A,Productos!$E:$E,_xlfn.XLOOKUP($C893,Productos!$E:$E,Productos!$E:$E,"NO ENCONTRADO")),"NO ENCONTRADO")),"NO ENCONTRADO")),"NO ENCONTRADO"))</f>
        <v/>
      </c>
      <c r="E893" s="74">
        <f t="array" ref="E893">IF(OR($D893="",$D893="NO ENCONTRADO"),"",_xlfn.XLOOKUP($D893,Productos!$E:$E,Productos!$H:$H,""))</f>
        <v/>
      </c>
      <c r="F893" s="74">
        <f t="array" ref="F893">IF(OR($D893="",$D893="NO ENCONTRADO"),"",_xlfn.XLOOKUP($D893,Productos!$E:$E,Productos!$I:$I,""))</f>
        <v/>
      </c>
      <c r="G893" s="74">
        <f t="array" ref="G893">IF(OR($D893="",$D893="NO ENCONTRADO"),"",_xlfn.XLOOKUP($D893,Productos!$E:$E,Productos!$J:$J,""))</f>
        <v/>
      </c>
      <c r="H893" s="74">
        <f t="array" ref="H893">IF(OR($D893="",$D893="NO ENCONTRADO"),"",_xlfn.XLOOKUP($D893,Productos!$E:$E,Productos!$K:$K,""))</f>
        <v/>
      </c>
      <c r="I893" s="74">
        <f t="array" ref="I893">IF(OR($D893="",$D893="NO ENCONTRADO"),"",_xlfn.XLOOKUP($D893,Productos!$E:$E,Productos!$F:$F,""))</f>
        <v/>
      </c>
      <c r="J893" s="74">
        <f>IF($C893="","",IF($D893="NO ENCONTRADO",IF(COUNTIF($C$7:$C$1000,$C893)&gt;1,"⚠️ No encontrado | Duplicado","⚠️ No encontrado"),IF(COUNTIF($C$7:$C$1000,$C893)&gt;1,"⚠️ Duplicado","Verificado")))</f>
        <v/>
      </c>
    </row>
    <row r="894" ht="15.75" customHeight="1" s="176">
      <c r="B894" s="80" t="n"/>
      <c r="C894" s="74" t="n"/>
      <c r="D894" s="74">
        <f t="array" ref="D894">IF($C894="","",IFNA(_xlfn.XLOOKUP($C894,Productos!$A:$A,Productos!$E:$E,IFNA(_xlfn.XLOOKUP(TEXT($C894,"0"),Productos!$A:$A,Productos!$E:$E,IFNA(_xlfn.XLOOKUP(IFERROR(VALUE($C894),""),Productos!$A:$A,Productos!$E:$E,_xlfn.XLOOKUP($C894,Productos!$E:$E,Productos!$E:$E,"NO ENCONTRADO")),"NO ENCONTRADO")),"NO ENCONTRADO")),"NO ENCONTRADO"))</f>
        <v/>
      </c>
      <c r="E894" s="74">
        <f t="array" ref="E894">IF(OR($D894="",$D894="NO ENCONTRADO"),"",_xlfn.XLOOKUP($D894,Productos!$E:$E,Productos!$H:$H,""))</f>
        <v/>
      </c>
      <c r="F894" s="74">
        <f t="array" ref="F894">IF(OR($D894="",$D894="NO ENCONTRADO"),"",_xlfn.XLOOKUP($D894,Productos!$E:$E,Productos!$I:$I,""))</f>
        <v/>
      </c>
      <c r="G894" s="74">
        <f t="array" ref="G894">IF(OR($D894="",$D894="NO ENCONTRADO"),"",_xlfn.XLOOKUP($D894,Productos!$E:$E,Productos!$J:$J,""))</f>
        <v/>
      </c>
      <c r="H894" s="74">
        <f t="array" ref="H894">IF(OR($D894="",$D894="NO ENCONTRADO"),"",_xlfn.XLOOKUP($D894,Productos!$E:$E,Productos!$K:$K,""))</f>
        <v/>
      </c>
      <c r="I894" s="74">
        <f t="array" ref="I894">IF(OR($D894="",$D894="NO ENCONTRADO"),"",_xlfn.XLOOKUP($D894,Productos!$E:$E,Productos!$F:$F,""))</f>
        <v/>
      </c>
      <c r="J894" s="74">
        <f>IF($C894="","",IF($D894="NO ENCONTRADO",IF(COUNTIF($C$7:$C$1000,$C894)&gt;1,"⚠️ No encontrado | Duplicado","⚠️ No encontrado"),IF(COUNTIF($C$7:$C$1000,$C894)&gt;1,"⚠️ Duplicado","Verificado")))</f>
        <v/>
      </c>
    </row>
    <row r="895" ht="15.75" customHeight="1" s="176">
      <c r="B895" s="80" t="n"/>
      <c r="C895" s="74" t="n"/>
      <c r="D895" s="74">
        <f t="array" ref="D895">IF($C895="","",IFNA(_xlfn.XLOOKUP($C895,Productos!$A:$A,Productos!$E:$E,IFNA(_xlfn.XLOOKUP(TEXT($C895,"0"),Productos!$A:$A,Productos!$E:$E,IFNA(_xlfn.XLOOKUP(IFERROR(VALUE($C895),""),Productos!$A:$A,Productos!$E:$E,_xlfn.XLOOKUP($C895,Productos!$E:$E,Productos!$E:$E,"NO ENCONTRADO")),"NO ENCONTRADO")),"NO ENCONTRADO")),"NO ENCONTRADO"))</f>
        <v/>
      </c>
      <c r="E895" s="74">
        <f t="array" ref="E895">IF(OR($D895="",$D895="NO ENCONTRADO"),"",_xlfn.XLOOKUP($D895,Productos!$E:$E,Productos!$H:$H,""))</f>
        <v/>
      </c>
      <c r="F895" s="74">
        <f t="array" ref="F895">IF(OR($D895="",$D895="NO ENCONTRADO"),"",_xlfn.XLOOKUP($D895,Productos!$E:$E,Productos!$I:$I,""))</f>
        <v/>
      </c>
      <c r="G895" s="74">
        <f t="array" ref="G895">IF(OR($D895="",$D895="NO ENCONTRADO"),"",_xlfn.XLOOKUP($D895,Productos!$E:$E,Productos!$J:$J,""))</f>
        <v/>
      </c>
      <c r="H895" s="74">
        <f t="array" ref="H895">IF(OR($D895="",$D895="NO ENCONTRADO"),"",_xlfn.XLOOKUP($D895,Productos!$E:$E,Productos!$K:$K,""))</f>
        <v/>
      </c>
      <c r="I895" s="74">
        <f t="array" ref="I895">IF(OR($D895="",$D895="NO ENCONTRADO"),"",_xlfn.XLOOKUP($D895,Productos!$E:$E,Productos!$F:$F,""))</f>
        <v/>
      </c>
      <c r="J895" s="74">
        <f>IF($C895="","",IF($D895="NO ENCONTRADO",IF(COUNTIF($C$7:$C$1000,$C895)&gt;1,"⚠️ No encontrado | Duplicado","⚠️ No encontrado"),IF(COUNTIF($C$7:$C$1000,$C895)&gt;1,"⚠️ Duplicado","Verificado")))</f>
        <v/>
      </c>
    </row>
    <row r="896" ht="15.75" customHeight="1" s="176">
      <c r="B896" s="80" t="n"/>
      <c r="C896" s="74" t="n"/>
      <c r="D896" s="74">
        <f t="array" ref="D896">IF($C896="","",IFNA(_xlfn.XLOOKUP($C896,Productos!$A:$A,Productos!$E:$E,IFNA(_xlfn.XLOOKUP(TEXT($C896,"0"),Productos!$A:$A,Productos!$E:$E,IFNA(_xlfn.XLOOKUP(IFERROR(VALUE($C896),""),Productos!$A:$A,Productos!$E:$E,_xlfn.XLOOKUP($C896,Productos!$E:$E,Productos!$E:$E,"NO ENCONTRADO")),"NO ENCONTRADO")),"NO ENCONTRADO")),"NO ENCONTRADO"))</f>
        <v/>
      </c>
      <c r="E896" s="74">
        <f t="array" ref="E896">IF(OR($D896="",$D896="NO ENCONTRADO"),"",_xlfn.XLOOKUP($D896,Productos!$E:$E,Productos!$H:$H,""))</f>
        <v/>
      </c>
      <c r="F896" s="74">
        <f t="array" ref="F896">IF(OR($D896="",$D896="NO ENCONTRADO"),"",_xlfn.XLOOKUP($D896,Productos!$E:$E,Productos!$I:$I,""))</f>
        <v/>
      </c>
      <c r="G896" s="74">
        <f t="array" ref="G896">IF(OR($D896="",$D896="NO ENCONTRADO"),"",_xlfn.XLOOKUP($D896,Productos!$E:$E,Productos!$J:$J,""))</f>
        <v/>
      </c>
      <c r="H896" s="74">
        <f t="array" ref="H896">IF(OR($D896="",$D896="NO ENCONTRADO"),"",_xlfn.XLOOKUP($D896,Productos!$E:$E,Productos!$K:$K,""))</f>
        <v/>
      </c>
      <c r="I896" s="74">
        <f t="array" ref="I896">IF(OR($D896="",$D896="NO ENCONTRADO"),"",_xlfn.XLOOKUP($D896,Productos!$E:$E,Productos!$F:$F,""))</f>
        <v/>
      </c>
      <c r="J896" s="74">
        <f>IF($C896="","",IF($D896="NO ENCONTRADO",IF(COUNTIF($C$7:$C$1000,$C896)&gt;1,"⚠️ No encontrado | Duplicado","⚠️ No encontrado"),IF(COUNTIF($C$7:$C$1000,$C896)&gt;1,"⚠️ Duplicado","Verificado")))</f>
        <v/>
      </c>
    </row>
    <row r="897" ht="15.75" customHeight="1" s="176">
      <c r="B897" s="80" t="n"/>
      <c r="C897" s="74" t="n"/>
      <c r="D897" s="74">
        <f t="array" ref="D897">IF($C897="","",IFNA(_xlfn.XLOOKUP($C897,Productos!$A:$A,Productos!$E:$E,IFNA(_xlfn.XLOOKUP(TEXT($C897,"0"),Productos!$A:$A,Productos!$E:$E,IFNA(_xlfn.XLOOKUP(IFERROR(VALUE($C897),""),Productos!$A:$A,Productos!$E:$E,_xlfn.XLOOKUP($C897,Productos!$E:$E,Productos!$E:$E,"NO ENCONTRADO")),"NO ENCONTRADO")),"NO ENCONTRADO")),"NO ENCONTRADO"))</f>
        <v/>
      </c>
      <c r="E897" s="74">
        <f t="array" ref="E897">IF(OR($D897="",$D897="NO ENCONTRADO"),"",_xlfn.XLOOKUP($D897,Productos!$E:$E,Productos!$H:$H,""))</f>
        <v/>
      </c>
      <c r="F897" s="74">
        <f t="array" ref="F897">IF(OR($D897="",$D897="NO ENCONTRADO"),"",_xlfn.XLOOKUP($D897,Productos!$E:$E,Productos!$I:$I,""))</f>
        <v/>
      </c>
      <c r="G897" s="74">
        <f t="array" ref="G897">IF(OR($D897="",$D897="NO ENCONTRADO"),"",_xlfn.XLOOKUP($D897,Productos!$E:$E,Productos!$J:$J,""))</f>
        <v/>
      </c>
      <c r="H897" s="74">
        <f t="array" ref="H897">IF(OR($D897="",$D897="NO ENCONTRADO"),"",_xlfn.XLOOKUP($D897,Productos!$E:$E,Productos!$K:$K,""))</f>
        <v/>
      </c>
      <c r="I897" s="74">
        <f t="array" ref="I897">IF(OR($D897="",$D897="NO ENCONTRADO"),"",_xlfn.XLOOKUP($D897,Productos!$E:$E,Productos!$F:$F,""))</f>
        <v/>
      </c>
      <c r="J897" s="74">
        <f>IF($C897="","",IF($D897="NO ENCONTRADO",IF(COUNTIF($C$7:$C$1000,$C897)&gt;1,"⚠️ No encontrado | Duplicado","⚠️ No encontrado"),IF(COUNTIF($C$7:$C$1000,$C897)&gt;1,"⚠️ Duplicado","Verificado")))</f>
        <v/>
      </c>
    </row>
    <row r="898" ht="15.75" customHeight="1" s="176">
      <c r="B898" s="80" t="n"/>
      <c r="C898" s="74" t="n"/>
      <c r="D898" s="74">
        <f t="array" ref="D898">IF($C898="","",IFNA(_xlfn.XLOOKUP($C898,Productos!$A:$A,Productos!$E:$E,IFNA(_xlfn.XLOOKUP(TEXT($C898,"0"),Productos!$A:$A,Productos!$E:$E,IFNA(_xlfn.XLOOKUP(IFERROR(VALUE($C898),""),Productos!$A:$A,Productos!$E:$E,_xlfn.XLOOKUP($C898,Productos!$E:$E,Productos!$E:$E,"NO ENCONTRADO")),"NO ENCONTRADO")),"NO ENCONTRADO")),"NO ENCONTRADO"))</f>
        <v/>
      </c>
      <c r="E898" s="74">
        <f t="array" ref="E898">IF(OR($D898="",$D898="NO ENCONTRADO"),"",_xlfn.XLOOKUP($D898,Productos!$E:$E,Productos!$H:$H,""))</f>
        <v/>
      </c>
      <c r="F898" s="74">
        <f t="array" ref="F898">IF(OR($D898="",$D898="NO ENCONTRADO"),"",_xlfn.XLOOKUP($D898,Productos!$E:$E,Productos!$I:$I,""))</f>
        <v/>
      </c>
      <c r="G898" s="74">
        <f t="array" ref="G898">IF(OR($D898="",$D898="NO ENCONTRADO"),"",_xlfn.XLOOKUP($D898,Productos!$E:$E,Productos!$J:$J,""))</f>
        <v/>
      </c>
      <c r="H898" s="74">
        <f t="array" ref="H898">IF(OR($D898="",$D898="NO ENCONTRADO"),"",_xlfn.XLOOKUP($D898,Productos!$E:$E,Productos!$K:$K,""))</f>
        <v/>
      </c>
      <c r="I898" s="74">
        <f t="array" ref="I898">IF(OR($D898="",$D898="NO ENCONTRADO"),"",_xlfn.XLOOKUP($D898,Productos!$E:$E,Productos!$F:$F,""))</f>
        <v/>
      </c>
      <c r="J898" s="74">
        <f>IF($C898="","",IF($D898="NO ENCONTRADO",IF(COUNTIF($C$7:$C$1000,$C898)&gt;1,"⚠️ No encontrado | Duplicado","⚠️ No encontrado"),IF(COUNTIF($C$7:$C$1000,$C898)&gt;1,"⚠️ Duplicado","Verificado")))</f>
        <v/>
      </c>
    </row>
    <row r="899" ht="15.75" customHeight="1" s="176">
      <c r="B899" s="80" t="n"/>
      <c r="C899" s="74" t="n"/>
      <c r="D899" s="74">
        <f t="array" ref="D899">IF($C899="","",IFNA(_xlfn.XLOOKUP($C899,Productos!$A:$A,Productos!$E:$E,IFNA(_xlfn.XLOOKUP(TEXT($C899,"0"),Productos!$A:$A,Productos!$E:$E,IFNA(_xlfn.XLOOKUP(IFERROR(VALUE($C899),""),Productos!$A:$A,Productos!$E:$E,_xlfn.XLOOKUP($C899,Productos!$E:$E,Productos!$E:$E,"NO ENCONTRADO")),"NO ENCONTRADO")),"NO ENCONTRADO")),"NO ENCONTRADO"))</f>
        <v/>
      </c>
      <c r="E899" s="74">
        <f t="array" ref="E899">IF(OR($D899="",$D899="NO ENCONTRADO"),"",_xlfn.XLOOKUP($D899,Productos!$E:$E,Productos!$H:$H,""))</f>
        <v/>
      </c>
      <c r="F899" s="74">
        <f t="array" ref="F899">IF(OR($D899="",$D899="NO ENCONTRADO"),"",_xlfn.XLOOKUP($D899,Productos!$E:$E,Productos!$I:$I,""))</f>
        <v/>
      </c>
      <c r="G899" s="74">
        <f t="array" ref="G899">IF(OR($D899="",$D899="NO ENCONTRADO"),"",_xlfn.XLOOKUP($D899,Productos!$E:$E,Productos!$J:$J,""))</f>
        <v/>
      </c>
      <c r="H899" s="74">
        <f t="array" ref="H899">IF(OR($D899="",$D899="NO ENCONTRADO"),"",_xlfn.XLOOKUP($D899,Productos!$E:$E,Productos!$K:$K,""))</f>
        <v/>
      </c>
      <c r="I899" s="74">
        <f t="array" ref="I899">IF(OR($D899="",$D899="NO ENCONTRADO"),"",_xlfn.XLOOKUP($D899,Productos!$E:$E,Productos!$F:$F,""))</f>
        <v/>
      </c>
      <c r="J899" s="74">
        <f>IF($C899="","",IF($D899="NO ENCONTRADO",IF(COUNTIF($C$7:$C$1000,$C899)&gt;1,"⚠️ No encontrado | Duplicado","⚠️ No encontrado"),IF(COUNTIF($C$7:$C$1000,$C899)&gt;1,"⚠️ Duplicado","Verificado")))</f>
        <v/>
      </c>
    </row>
    <row r="900" ht="15.75" customHeight="1" s="176">
      <c r="B900" s="80" t="n"/>
      <c r="C900" s="74" t="n"/>
      <c r="D900" s="74">
        <f t="array" ref="D900">IF($C900="","",IFNA(_xlfn.XLOOKUP($C900,Productos!$A:$A,Productos!$E:$E,IFNA(_xlfn.XLOOKUP(TEXT($C900,"0"),Productos!$A:$A,Productos!$E:$E,IFNA(_xlfn.XLOOKUP(IFERROR(VALUE($C900),""),Productos!$A:$A,Productos!$E:$E,_xlfn.XLOOKUP($C900,Productos!$E:$E,Productos!$E:$E,"NO ENCONTRADO")),"NO ENCONTRADO")),"NO ENCONTRADO")),"NO ENCONTRADO"))</f>
        <v/>
      </c>
      <c r="E900" s="74">
        <f t="array" ref="E900">IF(OR($D900="",$D900="NO ENCONTRADO"),"",_xlfn.XLOOKUP($D900,Productos!$E:$E,Productos!$H:$H,""))</f>
        <v/>
      </c>
      <c r="F900" s="74">
        <f t="array" ref="F900">IF(OR($D900="",$D900="NO ENCONTRADO"),"",_xlfn.XLOOKUP($D900,Productos!$E:$E,Productos!$I:$I,""))</f>
        <v/>
      </c>
      <c r="G900" s="74">
        <f t="array" ref="G900">IF(OR($D900="",$D900="NO ENCONTRADO"),"",_xlfn.XLOOKUP($D900,Productos!$E:$E,Productos!$J:$J,""))</f>
        <v/>
      </c>
      <c r="H900" s="74">
        <f t="array" ref="H900">IF(OR($D900="",$D900="NO ENCONTRADO"),"",_xlfn.XLOOKUP($D900,Productos!$E:$E,Productos!$K:$K,""))</f>
        <v/>
      </c>
      <c r="I900" s="74">
        <f t="array" ref="I900">IF(OR($D900="",$D900="NO ENCONTRADO"),"",_xlfn.XLOOKUP($D900,Productos!$E:$E,Productos!$F:$F,""))</f>
        <v/>
      </c>
      <c r="J900" s="74">
        <f>IF($C900="","",IF($D900="NO ENCONTRADO",IF(COUNTIF($C$7:$C$1000,$C900)&gt;1,"⚠️ No encontrado | Duplicado","⚠️ No encontrado"),IF(COUNTIF($C$7:$C$1000,$C900)&gt;1,"⚠️ Duplicado","Verificado")))</f>
        <v/>
      </c>
    </row>
    <row r="901" ht="15.75" customHeight="1" s="176">
      <c r="B901" s="80" t="n"/>
      <c r="C901" s="74" t="n"/>
      <c r="D901" s="74">
        <f t="array" ref="D901">IF($C901="","",IFNA(_xlfn.XLOOKUP($C901,Productos!$A:$A,Productos!$E:$E,IFNA(_xlfn.XLOOKUP(TEXT($C901,"0"),Productos!$A:$A,Productos!$E:$E,IFNA(_xlfn.XLOOKUP(IFERROR(VALUE($C901),""),Productos!$A:$A,Productos!$E:$E,_xlfn.XLOOKUP($C901,Productos!$E:$E,Productos!$E:$E,"NO ENCONTRADO")),"NO ENCONTRADO")),"NO ENCONTRADO")),"NO ENCONTRADO"))</f>
        <v/>
      </c>
      <c r="E901" s="74">
        <f t="array" ref="E901">IF(OR($D901="",$D901="NO ENCONTRADO"),"",_xlfn.XLOOKUP($D901,Productos!$E:$E,Productos!$H:$H,""))</f>
        <v/>
      </c>
      <c r="F901" s="74">
        <f t="array" ref="F901">IF(OR($D901="",$D901="NO ENCONTRADO"),"",_xlfn.XLOOKUP($D901,Productos!$E:$E,Productos!$I:$I,""))</f>
        <v/>
      </c>
      <c r="G901" s="74">
        <f t="array" ref="G901">IF(OR($D901="",$D901="NO ENCONTRADO"),"",_xlfn.XLOOKUP($D901,Productos!$E:$E,Productos!$J:$J,""))</f>
        <v/>
      </c>
      <c r="H901" s="74">
        <f t="array" ref="H901">IF(OR($D901="",$D901="NO ENCONTRADO"),"",_xlfn.XLOOKUP($D901,Productos!$E:$E,Productos!$K:$K,""))</f>
        <v/>
      </c>
      <c r="I901" s="74">
        <f t="array" ref="I901">IF(OR($D901="",$D901="NO ENCONTRADO"),"",_xlfn.XLOOKUP($D901,Productos!$E:$E,Productos!$F:$F,""))</f>
        <v/>
      </c>
      <c r="J901" s="74">
        <f>IF($C901="","",IF($D901="NO ENCONTRADO",IF(COUNTIF($C$7:$C$1000,$C901)&gt;1,"⚠️ No encontrado | Duplicado","⚠️ No encontrado"),IF(COUNTIF($C$7:$C$1000,$C901)&gt;1,"⚠️ Duplicado","Verificado")))</f>
        <v/>
      </c>
    </row>
    <row r="902" ht="15.75" customHeight="1" s="176">
      <c r="B902" s="80" t="n"/>
      <c r="C902" s="74" t="n"/>
      <c r="D902" s="74">
        <f t="array" ref="D902">IF($C902="","",IFNA(_xlfn.XLOOKUP($C902,Productos!$A:$A,Productos!$E:$E,IFNA(_xlfn.XLOOKUP(TEXT($C902,"0"),Productos!$A:$A,Productos!$E:$E,IFNA(_xlfn.XLOOKUP(IFERROR(VALUE($C902),""),Productos!$A:$A,Productos!$E:$E,_xlfn.XLOOKUP($C902,Productos!$E:$E,Productos!$E:$E,"NO ENCONTRADO")),"NO ENCONTRADO")),"NO ENCONTRADO")),"NO ENCONTRADO"))</f>
        <v/>
      </c>
      <c r="E902" s="74">
        <f t="array" ref="E902">IF(OR($D902="",$D902="NO ENCONTRADO"),"",_xlfn.XLOOKUP($D902,Productos!$E:$E,Productos!$H:$H,""))</f>
        <v/>
      </c>
      <c r="F902" s="74">
        <f t="array" ref="F902">IF(OR($D902="",$D902="NO ENCONTRADO"),"",_xlfn.XLOOKUP($D902,Productos!$E:$E,Productos!$I:$I,""))</f>
        <v/>
      </c>
      <c r="G902" s="74">
        <f t="array" ref="G902">IF(OR($D902="",$D902="NO ENCONTRADO"),"",_xlfn.XLOOKUP($D902,Productos!$E:$E,Productos!$J:$J,""))</f>
        <v/>
      </c>
      <c r="H902" s="74">
        <f t="array" ref="H902">IF(OR($D902="",$D902="NO ENCONTRADO"),"",_xlfn.XLOOKUP($D902,Productos!$E:$E,Productos!$K:$K,""))</f>
        <v/>
      </c>
      <c r="I902" s="74">
        <f t="array" ref="I902">IF(OR($D902="",$D902="NO ENCONTRADO"),"",_xlfn.XLOOKUP($D902,Productos!$E:$E,Productos!$F:$F,""))</f>
        <v/>
      </c>
      <c r="J902" s="74">
        <f>IF($C902="","",IF($D902="NO ENCONTRADO",IF(COUNTIF($C$7:$C$1000,$C902)&gt;1,"⚠️ No encontrado | Duplicado","⚠️ No encontrado"),IF(COUNTIF($C$7:$C$1000,$C902)&gt;1,"⚠️ Duplicado","Verificado")))</f>
        <v/>
      </c>
    </row>
    <row r="903" ht="15.75" customHeight="1" s="176">
      <c r="B903" s="80" t="n"/>
      <c r="C903" s="74" t="n"/>
      <c r="D903" s="74">
        <f t="array" ref="D903">IF($C903="","",IFNA(_xlfn.XLOOKUP($C903,Productos!$A:$A,Productos!$E:$E,IFNA(_xlfn.XLOOKUP(TEXT($C903,"0"),Productos!$A:$A,Productos!$E:$E,IFNA(_xlfn.XLOOKUP(IFERROR(VALUE($C903),""),Productos!$A:$A,Productos!$E:$E,_xlfn.XLOOKUP($C903,Productos!$E:$E,Productos!$E:$E,"NO ENCONTRADO")),"NO ENCONTRADO")),"NO ENCONTRADO")),"NO ENCONTRADO"))</f>
        <v/>
      </c>
      <c r="E903" s="74">
        <f t="array" ref="E903">IF(OR($D903="",$D903="NO ENCONTRADO"),"",_xlfn.XLOOKUP($D903,Productos!$E:$E,Productos!$H:$H,""))</f>
        <v/>
      </c>
      <c r="F903" s="74">
        <f t="array" ref="F903">IF(OR($D903="",$D903="NO ENCONTRADO"),"",_xlfn.XLOOKUP($D903,Productos!$E:$E,Productos!$I:$I,""))</f>
        <v/>
      </c>
      <c r="G903" s="74">
        <f t="array" ref="G903">IF(OR($D903="",$D903="NO ENCONTRADO"),"",_xlfn.XLOOKUP($D903,Productos!$E:$E,Productos!$J:$J,""))</f>
        <v/>
      </c>
      <c r="H903" s="74">
        <f t="array" ref="H903">IF(OR($D903="",$D903="NO ENCONTRADO"),"",_xlfn.XLOOKUP($D903,Productos!$E:$E,Productos!$K:$K,""))</f>
        <v/>
      </c>
      <c r="I903" s="74">
        <f t="array" ref="I903">IF(OR($D903="",$D903="NO ENCONTRADO"),"",_xlfn.XLOOKUP($D903,Productos!$E:$E,Productos!$F:$F,""))</f>
        <v/>
      </c>
      <c r="J903" s="74">
        <f>IF($C903="","",IF($D903="NO ENCONTRADO",IF(COUNTIF($C$7:$C$1000,$C903)&gt;1,"⚠️ No encontrado | Duplicado","⚠️ No encontrado"),IF(COUNTIF($C$7:$C$1000,$C903)&gt;1,"⚠️ Duplicado","Verificado")))</f>
        <v/>
      </c>
    </row>
    <row r="904" ht="15.75" customHeight="1" s="176">
      <c r="B904" s="80" t="n"/>
      <c r="C904" s="74" t="n"/>
      <c r="D904" s="74">
        <f t="array" ref="D904">IF($C904="","",IFNA(_xlfn.XLOOKUP($C904,Productos!$A:$A,Productos!$E:$E,IFNA(_xlfn.XLOOKUP(TEXT($C904,"0"),Productos!$A:$A,Productos!$E:$E,IFNA(_xlfn.XLOOKUP(IFERROR(VALUE($C904),""),Productos!$A:$A,Productos!$E:$E,_xlfn.XLOOKUP($C904,Productos!$E:$E,Productos!$E:$E,"NO ENCONTRADO")),"NO ENCONTRADO")),"NO ENCONTRADO")),"NO ENCONTRADO"))</f>
        <v/>
      </c>
      <c r="E904" s="74">
        <f t="array" ref="E904">IF(OR($D904="",$D904="NO ENCONTRADO"),"",_xlfn.XLOOKUP($D904,Productos!$E:$E,Productos!$H:$H,""))</f>
        <v/>
      </c>
      <c r="F904" s="74">
        <f t="array" ref="F904">IF(OR($D904="",$D904="NO ENCONTRADO"),"",_xlfn.XLOOKUP($D904,Productos!$E:$E,Productos!$I:$I,""))</f>
        <v/>
      </c>
      <c r="G904" s="74">
        <f t="array" ref="G904">IF(OR($D904="",$D904="NO ENCONTRADO"),"",_xlfn.XLOOKUP($D904,Productos!$E:$E,Productos!$J:$J,""))</f>
        <v/>
      </c>
      <c r="H904" s="74">
        <f t="array" ref="H904">IF(OR($D904="",$D904="NO ENCONTRADO"),"",_xlfn.XLOOKUP($D904,Productos!$E:$E,Productos!$K:$K,""))</f>
        <v/>
      </c>
      <c r="I904" s="74">
        <f t="array" ref="I904">IF(OR($D904="",$D904="NO ENCONTRADO"),"",_xlfn.XLOOKUP($D904,Productos!$E:$E,Productos!$F:$F,""))</f>
        <v/>
      </c>
      <c r="J904" s="74">
        <f>IF($C904="","",IF($D904="NO ENCONTRADO",IF(COUNTIF($C$7:$C$1000,$C904)&gt;1,"⚠️ No encontrado | Duplicado","⚠️ No encontrado"),IF(COUNTIF($C$7:$C$1000,$C904)&gt;1,"⚠️ Duplicado","Verificado")))</f>
        <v/>
      </c>
    </row>
    <row r="905" ht="15.75" customHeight="1" s="176">
      <c r="B905" s="80" t="n"/>
      <c r="C905" s="74" t="n"/>
      <c r="D905" s="74">
        <f t="array" ref="D905">IF($C905="","",IFNA(_xlfn.XLOOKUP($C905,Productos!$A:$A,Productos!$E:$E,IFNA(_xlfn.XLOOKUP(TEXT($C905,"0"),Productos!$A:$A,Productos!$E:$E,IFNA(_xlfn.XLOOKUP(IFERROR(VALUE($C905),""),Productos!$A:$A,Productos!$E:$E,_xlfn.XLOOKUP($C905,Productos!$E:$E,Productos!$E:$E,"NO ENCONTRADO")),"NO ENCONTRADO")),"NO ENCONTRADO")),"NO ENCONTRADO"))</f>
        <v/>
      </c>
      <c r="E905" s="74">
        <f t="array" ref="E905">IF(OR($D905="",$D905="NO ENCONTRADO"),"",_xlfn.XLOOKUP($D905,Productos!$E:$E,Productos!$H:$H,""))</f>
        <v/>
      </c>
      <c r="F905" s="74">
        <f t="array" ref="F905">IF(OR($D905="",$D905="NO ENCONTRADO"),"",_xlfn.XLOOKUP($D905,Productos!$E:$E,Productos!$I:$I,""))</f>
        <v/>
      </c>
      <c r="G905" s="74">
        <f t="array" ref="G905">IF(OR($D905="",$D905="NO ENCONTRADO"),"",_xlfn.XLOOKUP($D905,Productos!$E:$E,Productos!$J:$J,""))</f>
        <v/>
      </c>
      <c r="H905" s="74">
        <f t="array" ref="H905">IF(OR($D905="",$D905="NO ENCONTRADO"),"",_xlfn.XLOOKUP($D905,Productos!$E:$E,Productos!$K:$K,""))</f>
        <v/>
      </c>
      <c r="I905" s="74">
        <f t="array" ref="I905">IF(OR($D905="",$D905="NO ENCONTRADO"),"",_xlfn.XLOOKUP($D905,Productos!$E:$E,Productos!$F:$F,""))</f>
        <v/>
      </c>
      <c r="J905" s="74">
        <f>IF($C905="","",IF($D905="NO ENCONTRADO",IF(COUNTIF($C$7:$C$1000,$C905)&gt;1,"⚠️ No encontrado | Duplicado","⚠️ No encontrado"),IF(COUNTIF($C$7:$C$1000,$C905)&gt;1,"⚠️ Duplicado","Verificado")))</f>
        <v/>
      </c>
    </row>
    <row r="906" ht="15.75" customHeight="1" s="176">
      <c r="B906" s="80" t="n"/>
      <c r="C906" s="74" t="n"/>
      <c r="D906" s="74">
        <f t="array" ref="D906">IF($C906="","",IFNA(_xlfn.XLOOKUP($C906,Productos!$A:$A,Productos!$E:$E,IFNA(_xlfn.XLOOKUP(TEXT($C906,"0"),Productos!$A:$A,Productos!$E:$E,IFNA(_xlfn.XLOOKUP(IFERROR(VALUE($C906),""),Productos!$A:$A,Productos!$E:$E,_xlfn.XLOOKUP($C906,Productos!$E:$E,Productos!$E:$E,"NO ENCONTRADO")),"NO ENCONTRADO")),"NO ENCONTRADO")),"NO ENCONTRADO"))</f>
        <v/>
      </c>
      <c r="E906" s="74">
        <f t="array" ref="E906">IF(OR($D906="",$D906="NO ENCONTRADO"),"",_xlfn.XLOOKUP($D906,Productos!$E:$E,Productos!$H:$H,""))</f>
        <v/>
      </c>
      <c r="F906" s="74">
        <f t="array" ref="F906">IF(OR($D906="",$D906="NO ENCONTRADO"),"",_xlfn.XLOOKUP($D906,Productos!$E:$E,Productos!$I:$I,""))</f>
        <v/>
      </c>
      <c r="G906" s="74">
        <f t="array" ref="G906">IF(OR($D906="",$D906="NO ENCONTRADO"),"",_xlfn.XLOOKUP($D906,Productos!$E:$E,Productos!$J:$J,""))</f>
        <v/>
      </c>
      <c r="H906" s="74">
        <f t="array" ref="H906">IF(OR($D906="",$D906="NO ENCONTRADO"),"",_xlfn.XLOOKUP($D906,Productos!$E:$E,Productos!$K:$K,""))</f>
        <v/>
      </c>
      <c r="I906" s="74">
        <f t="array" ref="I906">IF(OR($D906="",$D906="NO ENCONTRADO"),"",_xlfn.XLOOKUP($D906,Productos!$E:$E,Productos!$F:$F,""))</f>
        <v/>
      </c>
      <c r="J906" s="74">
        <f>IF($C906="","",IF($D906="NO ENCONTRADO",IF(COUNTIF($C$7:$C$1000,$C906)&gt;1,"⚠️ No encontrado | Duplicado","⚠️ No encontrado"),IF(COUNTIF($C$7:$C$1000,$C906)&gt;1,"⚠️ Duplicado","Verificado")))</f>
        <v/>
      </c>
    </row>
    <row r="907" ht="15.75" customHeight="1" s="176">
      <c r="B907" s="80" t="n"/>
      <c r="C907" s="74" t="n"/>
      <c r="D907" s="74">
        <f t="array" ref="D907">IF($C907="","",IFNA(_xlfn.XLOOKUP($C907,Productos!$A:$A,Productos!$E:$E,IFNA(_xlfn.XLOOKUP(TEXT($C907,"0"),Productos!$A:$A,Productos!$E:$E,IFNA(_xlfn.XLOOKUP(IFERROR(VALUE($C907),""),Productos!$A:$A,Productos!$E:$E,_xlfn.XLOOKUP($C907,Productos!$E:$E,Productos!$E:$E,"NO ENCONTRADO")),"NO ENCONTRADO")),"NO ENCONTRADO")),"NO ENCONTRADO"))</f>
        <v/>
      </c>
      <c r="E907" s="74">
        <f t="array" ref="E907">IF(OR($D907="",$D907="NO ENCONTRADO"),"",_xlfn.XLOOKUP($D907,Productos!$E:$E,Productos!$H:$H,""))</f>
        <v/>
      </c>
      <c r="F907" s="74">
        <f t="array" ref="F907">IF(OR($D907="",$D907="NO ENCONTRADO"),"",_xlfn.XLOOKUP($D907,Productos!$E:$E,Productos!$I:$I,""))</f>
        <v/>
      </c>
      <c r="G907" s="74">
        <f t="array" ref="G907">IF(OR($D907="",$D907="NO ENCONTRADO"),"",_xlfn.XLOOKUP($D907,Productos!$E:$E,Productos!$J:$J,""))</f>
        <v/>
      </c>
      <c r="H907" s="74">
        <f t="array" ref="H907">IF(OR($D907="",$D907="NO ENCONTRADO"),"",_xlfn.XLOOKUP($D907,Productos!$E:$E,Productos!$K:$K,""))</f>
        <v/>
      </c>
      <c r="I907" s="74">
        <f t="array" ref="I907">IF(OR($D907="",$D907="NO ENCONTRADO"),"",_xlfn.XLOOKUP($D907,Productos!$E:$E,Productos!$F:$F,""))</f>
        <v/>
      </c>
      <c r="J907" s="74">
        <f>IF($C907="","",IF($D907="NO ENCONTRADO",IF(COUNTIF($C$7:$C$1000,$C907)&gt;1,"⚠️ No encontrado | Duplicado","⚠️ No encontrado"),IF(COUNTIF($C$7:$C$1000,$C907)&gt;1,"⚠️ Duplicado","Verificado")))</f>
        <v/>
      </c>
    </row>
    <row r="908" ht="15.75" customHeight="1" s="176">
      <c r="B908" s="80" t="n"/>
      <c r="C908" s="74" t="n"/>
      <c r="D908" s="74">
        <f t="array" ref="D908">IF($C908="","",IFNA(_xlfn.XLOOKUP($C908,Productos!$A:$A,Productos!$E:$E,IFNA(_xlfn.XLOOKUP(TEXT($C908,"0"),Productos!$A:$A,Productos!$E:$E,IFNA(_xlfn.XLOOKUP(IFERROR(VALUE($C908),""),Productos!$A:$A,Productos!$E:$E,_xlfn.XLOOKUP($C908,Productos!$E:$E,Productos!$E:$E,"NO ENCONTRADO")),"NO ENCONTRADO")),"NO ENCONTRADO")),"NO ENCONTRADO"))</f>
        <v/>
      </c>
      <c r="E908" s="74">
        <f t="array" ref="E908">IF(OR($D908="",$D908="NO ENCONTRADO"),"",_xlfn.XLOOKUP($D908,Productos!$E:$E,Productos!$H:$H,""))</f>
        <v/>
      </c>
      <c r="F908" s="74">
        <f t="array" ref="F908">IF(OR($D908="",$D908="NO ENCONTRADO"),"",_xlfn.XLOOKUP($D908,Productos!$E:$E,Productos!$I:$I,""))</f>
        <v/>
      </c>
      <c r="G908" s="74">
        <f t="array" ref="G908">IF(OR($D908="",$D908="NO ENCONTRADO"),"",_xlfn.XLOOKUP($D908,Productos!$E:$E,Productos!$J:$J,""))</f>
        <v/>
      </c>
      <c r="H908" s="74">
        <f t="array" ref="H908">IF(OR($D908="",$D908="NO ENCONTRADO"),"",_xlfn.XLOOKUP($D908,Productos!$E:$E,Productos!$K:$K,""))</f>
        <v/>
      </c>
      <c r="I908" s="74">
        <f t="array" ref="I908">IF(OR($D908="",$D908="NO ENCONTRADO"),"",_xlfn.XLOOKUP($D908,Productos!$E:$E,Productos!$F:$F,""))</f>
        <v/>
      </c>
      <c r="J908" s="74">
        <f>IF($C908="","",IF($D908="NO ENCONTRADO",IF(COUNTIF($C$7:$C$1000,$C908)&gt;1,"⚠️ No encontrado | Duplicado","⚠️ No encontrado"),IF(COUNTIF($C$7:$C$1000,$C908)&gt;1,"⚠️ Duplicado","Verificado")))</f>
        <v/>
      </c>
    </row>
    <row r="909" ht="15.75" customHeight="1" s="176">
      <c r="B909" s="80" t="n"/>
      <c r="C909" s="74" t="n"/>
      <c r="D909" s="74">
        <f t="array" ref="D909">IF($C909="","",IFNA(_xlfn.XLOOKUP($C909,Productos!$A:$A,Productos!$E:$E,IFNA(_xlfn.XLOOKUP(TEXT($C909,"0"),Productos!$A:$A,Productos!$E:$E,IFNA(_xlfn.XLOOKUP(IFERROR(VALUE($C909),""),Productos!$A:$A,Productos!$E:$E,_xlfn.XLOOKUP($C909,Productos!$E:$E,Productos!$E:$E,"NO ENCONTRADO")),"NO ENCONTRADO")),"NO ENCONTRADO")),"NO ENCONTRADO"))</f>
        <v/>
      </c>
      <c r="E909" s="74">
        <f t="array" ref="E909">IF(OR($D909="",$D909="NO ENCONTRADO"),"",_xlfn.XLOOKUP($D909,Productos!$E:$E,Productos!$H:$H,""))</f>
        <v/>
      </c>
      <c r="F909" s="74">
        <f t="array" ref="F909">IF(OR($D909="",$D909="NO ENCONTRADO"),"",_xlfn.XLOOKUP($D909,Productos!$E:$E,Productos!$I:$I,""))</f>
        <v/>
      </c>
      <c r="G909" s="74">
        <f t="array" ref="G909">IF(OR($D909="",$D909="NO ENCONTRADO"),"",_xlfn.XLOOKUP($D909,Productos!$E:$E,Productos!$J:$J,""))</f>
        <v/>
      </c>
      <c r="H909" s="74">
        <f t="array" ref="H909">IF(OR($D909="",$D909="NO ENCONTRADO"),"",_xlfn.XLOOKUP($D909,Productos!$E:$E,Productos!$K:$K,""))</f>
        <v/>
      </c>
      <c r="I909" s="74">
        <f t="array" ref="I909">IF(OR($D909="",$D909="NO ENCONTRADO"),"",_xlfn.XLOOKUP($D909,Productos!$E:$E,Productos!$F:$F,""))</f>
        <v/>
      </c>
      <c r="J909" s="74">
        <f>IF($C909="","",IF($D909="NO ENCONTRADO",IF(COUNTIF($C$7:$C$1000,$C909)&gt;1,"⚠️ No encontrado | Duplicado","⚠️ No encontrado"),IF(COUNTIF($C$7:$C$1000,$C909)&gt;1,"⚠️ Duplicado","Verificado")))</f>
        <v/>
      </c>
    </row>
    <row r="910" ht="15.75" customHeight="1" s="176">
      <c r="B910" s="80" t="n"/>
      <c r="C910" s="74" t="n"/>
      <c r="D910" s="74">
        <f t="array" ref="D910">IF($C910="","",IFNA(_xlfn.XLOOKUP($C910,Productos!$A:$A,Productos!$E:$E,IFNA(_xlfn.XLOOKUP(TEXT($C910,"0"),Productos!$A:$A,Productos!$E:$E,IFNA(_xlfn.XLOOKUP(IFERROR(VALUE($C910),""),Productos!$A:$A,Productos!$E:$E,_xlfn.XLOOKUP($C910,Productos!$E:$E,Productos!$E:$E,"NO ENCONTRADO")),"NO ENCONTRADO")),"NO ENCONTRADO")),"NO ENCONTRADO"))</f>
        <v/>
      </c>
      <c r="E910" s="74">
        <f t="array" ref="E910">IF(OR($D910="",$D910="NO ENCONTRADO"),"",_xlfn.XLOOKUP($D910,Productos!$E:$E,Productos!$H:$H,""))</f>
        <v/>
      </c>
      <c r="F910" s="74">
        <f t="array" ref="F910">IF(OR($D910="",$D910="NO ENCONTRADO"),"",_xlfn.XLOOKUP($D910,Productos!$E:$E,Productos!$I:$I,""))</f>
        <v/>
      </c>
      <c r="G910" s="74">
        <f t="array" ref="G910">IF(OR($D910="",$D910="NO ENCONTRADO"),"",_xlfn.XLOOKUP($D910,Productos!$E:$E,Productos!$J:$J,""))</f>
        <v/>
      </c>
      <c r="H910" s="74">
        <f t="array" ref="H910">IF(OR($D910="",$D910="NO ENCONTRADO"),"",_xlfn.XLOOKUP($D910,Productos!$E:$E,Productos!$K:$K,""))</f>
        <v/>
      </c>
      <c r="I910" s="74">
        <f t="array" ref="I910">IF(OR($D910="",$D910="NO ENCONTRADO"),"",_xlfn.XLOOKUP($D910,Productos!$E:$E,Productos!$F:$F,""))</f>
        <v/>
      </c>
      <c r="J910" s="74">
        <f>IF($C910="","",IF($D910="NO ENCONTRADO",IF(COUNTIF($C$7:$C$1000,$C910)&gt;1,"⚠️ No encontrado | Duplicado","⚠️ No encontrado"),IF(COUNTIF($C$7:$C$1000,$C910)&gt;1,"⚠️ Duplicado","Verificado")))</f>
        <v/>
      </c>
    </row>
    <row r="911" ht="15.75" customHeight="1" s="176">
      <c r="B911" s="80" t="n"/>
      <c r="C911" s="74" t="n"/>
      <c r="D911" s="74">
        <f t="array" ref="D911">IF($C911="","",IFNA(_xlfn.XLOOKUP($C911,Productos!$A:$A,Productos!$E:$E,IFNA(_xlfn.XLOOKUP(TEXT($C911,"0"),Productos!$A:$A,Productos!$E:$E,IFNA(_xlfn.XLOOKUP(IFERROR(VALUE($C911),""),Productos!$A:$A,Productos!$E:$E,_xlfn.XLOOKUP($C911,Productos!$E:$E,Productos!$E:$E,"NO ENCONTRADO")),"NO ENCONTRADO")),"NO ENCONTRADO")),"NO ENCONTRADO"))</f>
        <v/>
      </c>
      <c r="E911" s="74">
        <f t="array" ref="E911">IF(OR($D911="",$D911="NO ENCONTRADO"),"",_xlfn.XLOOKUP($D911,Productos!$E:$E,Productos!$H:$H,""))</f>
        <v/>
      </c>
      <c r="F911" s="74">
        <f t="array" ref="F911">IF(OR($D911="",$D911="NO ENCONTRADO"),"",_xlfn.XLOOKUP($D911,Productos!$E:$E,Productos!$I:$I,""))</f>
        <v/>
      </c>
      <c r="G911" s="74">
        <f t="array" ref="G911">IF(OR($D911="",$D911="NO ENCONTRADO"),"",_xlfn.XLOOKUP($D911,Productos!$E:$E,Productos!$J:$J,""))</f>
        <v/>
      </c>
      <c r="H911" s="74">
        <f t="array" ref="H911">IF(OR($D911="",$D911="NO ENCONTRADO"),"",_xlfn.XLOOKUP($D911,Productos!$E:$E,Productos!$K:$K,""))</f>
        <v/>
      </c>
      <c r="I911" s="74">
        <f t="array" ref="I911">IF(OR($D911="",$D911="NO ENCONTRADO"),"",_xlfn.XLOOKUP($D911,Productos!$E:$E,Productos!$F:$F,""))</f>
        <v/>
      </c>
      <c r="J911" s="74">
        <f>IF($C911="","",IF($D911="NO ENCONTRADO",IF(COUNTIF($C$7:$C$1000,$C911)&gt;1,"⚠️ No encontrado | Duplicado","⚠️ No encontrado"),IF(COUNTIF($C$7:$C$1000,$C911)&gt;1,"⚠️ Duplicado","Verificado")))</f>
        <v/>
      </c>
    </row>
    <row r="912" ht="15.75" customHeight="1" s="176">
      <c r="B912" s="80" t="n"/>
      <c r="C912" s="74" t="n"/>
      <c r="D912" s="74">
        <f t="array" ref="D912">IF($C912="","",IFNA(_xlfn.XLOOKUP($C912,Productos!$A:$A,Productos!$E:$E,IFNA(_xlfn.XLOOKUP(TEXT($C912,"0"),Productos!$A:$A,Productos!$E:$E,IFNA(_xlfn.XLOOKUP(IFERROR(VALUE($C912),""),Productos!$A:$A,Productos!$E:$E,_xlfn.XLOOKUP($C912,Productos!$E:$E,Productos!$E:$E,"NO ENCONTRADO")),"NO ENCONTRADO")),"NO ENCONTRADO")),"NO ENCONTRADO"))</f>
        <v/>
      </c>
      <c r="E912" s="74">
        <f t="array" ref="E912">IF(OR($D912="",$D912="NO ENCONTRADO"),"",_xlfn.XLOOKUP($D912,Productos!$E:$E,Productos!$H:$H,""))</f>
        <v/>
      </c>
      <c r="F912" s="74">
        <f t="array" ref="F912">IF(OR($D912="",$D912="NO ENCONTRADO"),"",_xlfn.XLOOKUP($D912,Productos!$E:$E,Productos!$I:$I,""))</f>
        <v/>
      </c>
      <c r="G912" s="74">
        <f t="array" ref="G912">IF(OR($D912="",$D912="NO ENCONTRADO"),"",_xlfn.XLOOKUP($D912,Productos!$E:$E,Productos!$J:$J,""))</f>
        <v/>
      </c>
      <c r="H912" s="74">
        <f t="array" ref="H912">IF(OR($D912="",$D912="NO ENCONTRADO"),"",_xlfn.XLOOKUP($D912,Productos!$E:$E,Productos!$K:$K,""))</f>
        <v/>
      </c>
      <c r="I912" s="74">
        <f t="array" ref="I912">IF(OR($D912="",$D912="NO ENCONTRADO"),"",_xlfn.XLOOKUP($D912,Productos!$E:$E,Productos!$F:$F,""))</f>
        <v/>
      </c>
      <c r="J912" s="74">
        <f>IF($C912="","",IF($D912="NO ENCONTRADO",IF(COUNTIF($C$7:$C$1000,$C912)&gt;1,"⚠️ No encontrado | Duplicado","⚠️ No encontrado"),IF(COUNTIF($C$7:$C$1000,$C912)&gt;1,"⚠️ Duplicado","Verificado")))</f>
        <v/>
      </c>
    </row>
    <row r="913" ht="15.75" customHeight="1" s="176">
      <c r="B913" s="80" t="n"/>
      <c r="C913" s="74" t="n"/>
      <c r="D913" s="74">
        <f t="array" ref="D913">IF($C913="","",IFNA(_xlfn.XLOOKUP($C913,Productos!$A:$A,Productos!$E:$E,IFNA(_xlfn.XLOOKUP(TEXT($C913,"0"),Productos!$A:$A,Productos!$E:$E,IFNA(_xlfn.XLOOKUP(IFERROR(VALUE($C913),""),Productos!$A:$A,Productos!$E:$E,_xlfn.XLOOKUP($C913,Productos!$E:$E,Productos!$E:$E,"NO ENCONTRADO")),"NO ENCONTRADO")),"NO ENCONTRADO")),"NO ENCONTRADO"))</f>
        <v/>
      </c>
      <c r="E913" s="74">
        <f t="array" ref="E913">IF(OR($D913="",$D913="NO ENCONTRADO"),"",_xlfn.XLOOKUP($D913,Productos!$E:$E,Productos!$H:$H,""))</f>
        <v/>
      </c>
      <c r="F913" s="74">
        <f t="array" ref="F913">IF(OR($D913="",$D913="NO ENCONTRADO"),"",_xlfn.XLOOKUP($D913,Productos!$E:$E,Productos!$I:$I,""))</f>
        <v/>
      </c>
      <c r="G913" s="74">
        <f t="array" ref="G913">IF(OR($D913="",$D913="NO ENCONTRADO"),"",_xlfn.XLOOKUP($D913,Productos!$E:$E,Productos!$J:$J,""))</f>
        <v/>
      </c>
      <c r="H913" s="74">
        <f t="array" ref="H913">IF(OR($D913="",$D913="NO ENCONTRADO"),"",_xlfn.XLOOKUP($D913,Productos!$E:$E,Productos!$K:$K,""))</f>
        <v/>
      </c>
      <c r="I913" s="74">
        <f t="array" ref="I913">IF(OR($D913="",$D913="NO ENCONTRADO"),"",_xlfn.XLOOKUP($D913,Productos!$E:$E,Productos!$F:$F,""))</f>
        <v/>
      </c>
      <c r="J913" s="74">
        <f>IF($C913="","",IF($D913="NO ENCONTRADO",IF(COUNTIF($C$7:$C$1000,$C913)&gt;1,"⚠️ No encontrado | Duplicado","⚠️ No encontrado"),IF(COUNTIF($C$7:$C$1000,$C913)&gt;1,"⚠️ Duplicado","Verificado")))</f>
        <v/>
      </c>
    </row>
    <row r="914" ht="15.75" customHeight="1" s="176">
      <c r="B914" s="80" t="n"/>
      <c r="C914" s="74" t="n"/>
      <c r="D914" s="74">
        <f t="array" ref="D914">IF($C914="","",IFNA(_xlfn.XLOOKUP($C914,Productos!$A:$A,Productos!$E:$E,IFNA(_xlfn.XLOOKUP(TEXT($C914,"0"),Productos!$A:$A,Productos!$E:$E,IFNA(_xlfn.XLOOKUP(IFERROR(VALUE($C914),""),Productos!$A:$A,Productos!$E:$E,_xlfn.XLOOKUP($C914,Productos!$E:$E,Productos!$E:$E,"NO ENCONTRADO")),"NO ENCONTRADO")),"NO ENCONTRADO")),"NO ENCONTRADO"))</f>
        <v/>
      </c>
      <c r="E914" s="74">
        <f t="array" ref="E914">IF(OR($D914="",$D914="NO ENCONTRADO"),"",_xlfn.XLOOKUP($D914,Productos!$E:$E,Productos!$H:$H,""))</f>
        <v/>
      </c>
      <c r="F914" s="74">
        <f t="array" ref="F914">IF(OR($D914="",$D914="NO ENCONTRADO"),"",_xlfn.XLOOKUP($D914,Productos!$E:$E,Productos!$I:$I,""))</f>
        <v/>
      </c>
      <c r="G914" s="74">
        <f t="array" ref="G914">IF(OR($D914="",$D914="NO ENCONTRADO"),"",_xlfn.XLOOKUP($D914,Productos!$E:$E,Productos!$J:$J,""))</f>
        <v/>
      </c>
      <c r="H914" s="74">
        <f t="array" ref="H914">IF(OR($D914="",$D914="NO ENCONTRADO"),"",_xlfn.XLOOKUP($D914,Productos!$E:$E,Productos!$K:$K,""))</f>
        <v/>
      </c>
      <c r="I914" s="74">
        <f t="array" ref="I914">IF(OR($D914="",$D914="NO ENCONTRADO"),"",_xlfn.XLOOKUP($D914,Productos!$E:$E,Productos!$F:$F,""))</f>
        <v/>
      </c>
      <c r="J914" s="74">
        <f>IF($C914="","",IF($D914="NO ENCONTRADO",IF(COUNTIF($C$7:$C$1000,$C914)&gt;1,"⚠️ No encontrado | Duplicado","⚠️ No encontrado"),IF(COUNTIF($C$7:$C$1000,$C914)&gt;1,"⚠️ Duplicado","Verificado")))</f>
        <v/>
      </c>
    </row>
    <row r="915" ht="15.75" customHeight="1" s="176">
      <c r="B915" s="80" t="n"/>
      <c r="C915" s="74" t="n"/>
      <c r="D915" s="74">
        <f t="array" ref="D915">IF($C915="","",IFNA(_xlfn.XLOOKUP($C915,Productos!$A:$A,Productos!$E:$E,IFNA(_xlfn.XLOOKUP(TEXT($C915,"0"),Productos!$A:$A,Productos!$E:$E,IFNA(_xlfn.XLOOKUP(IFERROR(VALUE($C915),""),Productos!$A:$A,Productos!$E:$E,_xlfn.XLOOKUP($C915,Productos!$E:$E,Productos!$E:$E,"NO ENCONTRADO")),"NO ENCONTRADO")),"NO ENCONTRADO")),"NO ENCONTRADO"))</f>
        <v/>
      </c>
      <c r="E915" s="74">
        <f t="array" ref="E915">IF(OR($D915="",$D915="NO ENCONTRADO"),"",_xlfn.XLOOKUP($D915,Productos!$E:$E,Productos!$H:$H,""))</f>
        <v/>
      </c>
      <c r="F915" s="74">
        <f t="array" ref="F915">IF(OR($D915="",$D915="NO ENCONTRADO"),"",_xlfn.XLOOKUP($D915,Productos!$E:$E,Productos!$I:$I,""))</f>
        <v/>
      </c>
      <c r="G915" s="74">
        <f t="array" ref="G915">IF(OR($D915="",$D915="NO ENCONTRADO"),"",_xlfn.XLOOKUP($D915,Productos!$E:$E,Productos!$J:$J,""))</f>
        <v/>
      </c>
      <c r="H915" s="74">
        <f t="array" ref="H915">IF(OR($D915="",$D915="NO ENCONTRADO"),"",_xlfn.XLOOKUP($D915,Productos!$E:$E,Productos!$K:$K,""))</f>
        <v/>
      </c>
      <c r="I915" s="74">
        <f t="array" ref="I915">IF(OR($D915="",$D915="NO ENCONTRADO"),"",_xlfn.XLOOKUP($D915,Productos!$E:$E,Productos!$F:$F,""))</f>
        <v/>
      </c>
      <c r="J915" s="74">
        <f>IF($C915="","",IF($D915="NO ENCONTRADO",IF(COUNTIF($C$7:$C$1000,$C915)&gt;1,"⚠️ No encontrado | Duplicado","⚠️ No encontrado"),IF(COUNTIF($C$7:$C$1000,$C915)&gt;1,"⚠️ Duplicado","Verificado")))</f>
        <v/>
      </c>
    </row>
    <row r="916" ht="15.75" customHeight="1" s="176">
      <c r="B916" s="80" t="n"/>
      <c r="C916" s="74" t="n"/>
      <c r="D916" s="74">
        <f t="array" ref="D916">IF($C916="","",IFNA(_xlfn.XLOOKUP($C916,Productos!$A:$A,Productos!$E:$E,IFNA(_xlfn.XLOOKUP(TEXT($C916,"0"),Productos!$A:$A,Productos!$E:$E,IFNA(_xlfn.XLOOKUP(IFERROR(VALUE($C916),""),Productos!$A:$A,Productos!$E:$E,_xlfn.XLOOKUP($C916,Productos!$E:$E,Productos!$E:$E,"NO ENCONTRADO")),"NO ENCONTRADO")),"NO ENCONTRADO")),"NO ENCONTRADO"))</f>
        <v/>
      </c>
      <c r="E916" s="74">
        <f t="array" ref="E916">IF(OR($D916="",$D916="NO ENCONTRADO"),"",_xlfn.XLOOKUP($D916,Productos!$E:$E,Productos!$H:$H,""))</f>
        <v/>
      </c>
      <c r="F916" s="74">
        <f t="array" ref="F916">IF(OR($D916="",$D916="NO ENCONTRADO"),"",_xlfn.XLOOKUP($D916,Productos!$E:$E,Productos!$I:$I,""))</f>
        <v/>
      </c>
      <c r="G916" s="74">
        <f t="array" ref="G916">IF(OR($D916="",$D916="NO ENCONTRADO"),"",_xlfn.XLOOKUP($D916,Productos!$E:$E,Productos!$J:$J,""))</f>
        <v/>
      </c>
      <c r="H916" s="74">
        <f t="array" ref="H916">IF(OR($D916="",$D916="NO ENCONTRADO"),"",_xlfn.XLOOKUP($D916,Productos!$E:$E,Productos!$K:$K,""))</f>
        <v/>
      </c>
      <c r="I916" s="74">
        <f t="array" ref="I916">IF(OR($D916="",$D916="NO ENCONTRADO"),"",_xlfn.XLOOKUP($D916,Productos!$E:$E,Productos!$F:$F,""))</f>
        <v/>
      </c>
      <c r="J916" s="74">
        <f>IF($C916="","",IF($D916="NO ENCONTRADO",IF(COUNTIF($C$7:$C$1000,$C916)&gt;1,"⚠️ No encontrado | Duplicado","⚠️ No encontrado"),IF(COUNTIF($C$7:$C$1000,$C916)&gt;1,"⚠️ Duplicado","Verificado")))</f>
        <v/>
      </c>
    </row>
    <row r="917" ht="15.75" customHeight="1" s="176">
      <c r="B917" s="80" t="n"/>
      <c r="C917" s="74" t="n"/>
      <c r="D917" s="74">
        <f t="array" ref="D917">IF($C917="","",IFNA(_xlfn.XLOOKUP($C917,Productos!$A:$A,Productos!$E:$E,IFNA(_xlfn.XLOOKUP(TEXT($C917,"0"),Productos!$A:$A,Productos!$E:$E,IFNA(_xlfn.XLOOKUP(IFERROR(VALUE($C917),""),Productos!$A:$A,Productos!$E:$E,_xlfn.XLOOKUP($C917,Productos!$E:$E,Productos!$E:$E,"NO ENCONTRADO")),"NO ENCONTRADO")),"NO ENCONTRADO")),"NO ENCONTRADO"))</f>
        <v/>
      </c>
      <c r="E917" s="74">
        <f t="array" ref="E917">IF(OR($D917="",$D917="NO ENCONTRADO"),"",_xlfn.XLOOKUP($D917,Productos!$E:$E,Productos!$H:$H,""))</f>
        <v/>
      </c>
      <c r="F917" s="74">
        <f t="array" ref="F917">IF(OR($D917="",$D917="NO ENCONTRADO"),"",_xlfn.XLOOKUP($D917,Productos!$E:$E,Productos!$I:$I,""))</f>
        <v/>
      </c>
      <c r="G917" s="74">
        <f t="array" ref="G917">IF(OR($D917="",$D917="NO ENCONTRADO"),"",_xlfn.XLOOKUP($D917,Productos!$E:$E,Productos!$J:$J,""))</f>
        <v/>
      </c>
      <c r="H917" s="74">
        <f t="array" ref="H917">IF(OR($D917="",$D917="NO ENCONTRADO"),"",_xlfn.XLOOKUP($D917,Productos!$E:$E,Productos!$K:$K,""))</f>
        <v/>
      </c>
      <c r="I917" s="74">
        <f t="array" ref="I917">IF(OR($D917="",$D917="NO ENCONTRADO"),"",_xlfn.XLOOKUP($D917,Productos!$E:$E,Productos!$F:$F,""))</f>
        <v/>
      </c>
      <c r="J917" s="74">
        <f>IF($C917="","",IF($D917="NO ENCONTRADO",IF(COUNTIF($C$7:$C$1000,$C917)&gt;1,"⚠️ No encontrado | Duplicado","⚠️ No encontrado"),IF(COUNTIF($C$7:$C$1000,$C917)&gt;1,"⚠️ Duplicado","Verificado")))</f>
        <v/>
      </c>
    </row>
    <row r="918" ht="15.75" customHeight="1" s="176">
      <c r="B918" s="80" t="n"/>
      <c r="C918" s="74" t="n"/>
      <c r="D918" s="74">
        <f t="array" ref="D918">IF($C918="","",IFNA(_xlfn.XLOOKUP($C918,Productos!$A:$A,Productos!$E:$E,IFNA(_xlfn.XLOOKUP(TEXT($C918,"0"),Productos!$A:$A,Productos!$E:$E,IFNA(_xlfn.XLOOKUP(IFERROR(VALUE($C918),""),Productos!$A:$A,Productos!$E:$E,_xlfn.XLOOKUP($C918,Productos!$E:$E,Productos!$E:$E,"NO ENCONTRADO")),"NO ENCONTRADO")),"NO ENCONTRADO")),"NO ENCONTRADO"))</f>
        <v/>
      </c>
      <c r="E918" s="74">
        <f t="array" ref="E918">IF(OR($D918="",$D918="NO ENCONTRADO"),"",_xlfn.XLOOKUP($D918,Productos!$E:$E,Productos!$H:$H,""))</f>
        <v/>
      </c>
      <c r="F918" s="74">
        <f t="array" ref="F918">IF(OR($D918="",$D918="NO ENCONTRADO"),"",_xlfn.XLOOKUP($D918,Productos!$E:$E,Productos!$I:$I,""))</f>
        <v/>
      </c>
      <c r="G918" s="74">
        <f t="array" ref="G918">IF(OR($D918="",$D918="NO ENCONTRADO"),"",_xlfn.XLOOKUP($D918,Productos!$E:$E,Productos!$J:$J,""))</f>
        <v/>
      </c>
      <c r="H918" s="74">
        <f t="array" ref="H918">IF(OR($D918="",$D918="NO ENCONTRADO"),"",_xlfn.XLOOKUP($D918,Productos!$E:$E,Productos!$K:$K,""))</f>
        <v/>
      </c>
      <c r="I918" s="74">
        <f t="array" ref="I918">IF(OR($D918="",$D918="NO ENCONTRADO"),"",_xlfn.XLOOKUP($D918,Productos!$E:$E,Productos!$F:$F,""))</f>
        <v/>
      </c>
      <c r="J918" s="74">
        <f>IF($C918="","",IF($D918="NO ENCONTRADO",IF(COUNTIF($C$7:$C$1000,$C918)&gt;1,"⚠️ No encontrado | Duplicado","⚠️ No encontrado"),IF(COUNTIF($C$7:$C$1000,$C918)&gt;1,"⚠️ Duplicado","Verificado")))</f>
        <v/>
      </c>
    </row>
    <row r="919" ht="15.75" customHeight="1" s="176">
      <c r="B919" s="80" t="n"/>
      <c r="C919" s="74" t="n"/>
      <c r="D919" s="74">
        <f t="array" ref="D919">IF($C919="","",IFNA(_xlfn.XLOOKUP($C919,Productos!$A:$A,Productos!$E:$E,IFNA(_xlfn.XLOOKUP(TEXT($C919,"0"),Productos!$A:$A,Productos!$E:$E,IFNA(_xlfn.XLOOKUP(IFERROR(VALUE($C919),""),Productos!$A:$A,Productos!$E:$E,_xlfn.XLOOKUP($C919,Productos!$E:$E,Productos!$E:$E,"NO ENCONTRADO")),"NO ENCONTRADO")),"NO ENCONTRADO")),"NO ENCONTRADO"))</f>
        <v/>
      </c>
      <c r="E919" s="74">
        <f t="array" ref="E919">IF(OR($D919="",$D919="NO ENCONTRADO"),"",_xlfn.XLOOKUP($D919,Productos!$E:$E,Productos!$H:$H,""))</f>
        <v/>
      </c>
      <c r="F919" s="74">
        <f t="array" ref="F919">IF(OR($D919="",$D919="NO ENCONTRADO"),"",_xlfn.XLOOKUP($D919,Productos!$E:$E,Productos!$I:$I,""))</f>
        <v/>
      </c>
      <c r="G919" s="74">
        <f t="array" ref="G919">IF(OR($D919="",$D919="NO ENCONTRADO"),"",_xlfn.XLOOKUP($D919,Productos!$E:$E,Productos!$J:$J,""))</f>
        <v/>
      </c>
      <c r="H919" s="74">
        <f t="array" ref="H919">IF(OR($D919="",$D919="NO ENCONTRADO"),"",_xlfn.XLOOKUP($D919,Productos!$E:$E,Productos!$K:$K,""))</f>
        <v/>
      </c>
      <c r="I919" s="74">
        <f t="array" ref="I919">IF(OR($D919="",$D919="NO ENCONTRADO"),"",_xlfn.XLOOKUP($D919,Productos!$E:$E,Productos!$F:$F,""))</f>
        <v/>
      </c>
      <c r="J919" s="74">
        <f>IF($C919="","",IF($D919="NO ENCONTRADO",IF(COUNTIF($C$7:$C$1000,$C919)&gt;1,"⚠️ No encontrado | Duplicado","⚠️ No encontrado"),IF(COUNTIF($C$7:$C$1000,$C919)&gt;1,"⚠️ Duplicado","Verificado")))</f>
        <v/>
      </c>
    </row>
    <row r="920" ht="15.75" customHeight="1" s="176">
      <c r="B920" s="80" t="n"/>
      <c r="C920" s="74" t="n"/>
      <c r="D920" s="74">
        <f t="array" ref="D920">IF($C920="","",IFNA(_xlfn.XLOOKUP($C920,Productos!$A:$A,Productos!$E:$E,IFNA(_xlfn.XLOOKUP(TEXT($C920,"0"),Productos!$A:$A,Productos!$E:$E,IFNA(_xlfn.XLOOKUP(IFERROR(VALUE($C920),""),Productos!$A:$A,Productos!$E:$E,_xlfn.XLOOKUP($C920,Productos!$E:$E,Productos!$E:$E,"NO ENCONTRADO")),"NO ENCONTRADO")),"NO ENCONTRADO")),"NO ENCONTRADO"))</f>
        <v/>
      </c>
      <c r="E920" s="74">
        <f t="array" ref="E920">IF(OR($D920="",$D920="NO ENCONTRADO"),"",_xlfn.XLOOKUP($D920,Productos!$E:$E,Productos!$H:$H,""))</f>
        <v/>
      </c>
      <c r="F920" s="74">
        <f t="array" ref="F920">IF(OR($D920="",$D920="NO ENCONTRADO"),"",_xlfn.XLOOKUP($D920,Productos!$E:$E,Productos!$I:$I,""))</f>
        <v/>
      </c>
      <c r="G920" s="74">
        <f t="array" ref="G920">IF(OR($D920="",$D920="NO ENCONTRADO"),"",_xlfn.XLOOKUP($D920,Productos!$E:$E,Productos!$J:$J,""))</f>
        <v/>
      </c>
      <c r="H920" s="74">
        <f t="array" ref="H920">IF(OR($D920="",$D920="NO ENCONTRADO"),"",_xlfn.XLOOKUP($D920,Productos!$E:$E,Productos!$K:$K,""))</f>
        <v/>
      </c>
      <c r="I920" s="74">
        <f t="array" ref="I920">IF(OR($D920="",$D920="NO ENCONTRADO"),"",_xlfn.XLOOKUP($D920,Productos!$E:$E,Productos!$F:$F,""))</f>
        <v/>
      </c>
      <c r="J920" s="74">
        <f>IF($C920="","",IF($D920="NO ENCONTRADO",IF(COUNTIF($C$7:$C$1000,$C920)&gt;1,"⚠️ No encontrado | Duplicado","⚠️ No encontrado"),IF(COUNTIF($C$7:$C$1000,$C920)&gt;1,"⚠️ Duplicado","Verificado")))</f>
        <v/>
      </c>
    </row>
    <row r="921" ht="15.75" customHeight="1" s="176">
      <c r="B921" s="80" t="n"/>
      <c r="C921" s="74" t="n"/>
      <c r="D921" s="74">
        <f t="array" ref="D921">IF($C921="","",IFNA(_xlfn.XLOOKUP($C921,Productos!$A:$A,Productos!$E:$E,IFNA(_xlfn.XLOOKUP(TEXT($C921,"0"),Productos!$A:$A,Productos!$E:$E,IFNA(_xlfn.XLOOKUP(IFERROR(VALUE($C921),""),Productos!$A:$A,Productos!$E:$E,_xlfn.XLOOKUP($C921,Productos!$E:$E,Productos!$E:$E,"NO ENCONTRADO")),"NO ENCONTRADO")),"NO ENCONTRADO")),"NO ENCONTRADO"))</f>
        <v/>
      </c>
      <c r="E921" s="74">
        <f t="array" ref="E921">IF(OR($D921="",$D921="NO ENCONTRADO"),"",_xlfn.XLOOKUP($D921,Productos!$E:$E,Productos!$H:$H,""))</f>
        <v/>
      </c>
      <c r="F921" s="74">
        <f t="array" ref="F921">IF(OR($D921="",$D921="NO ENCONTRADO"),"",_xlfn.XLOOKUP($D921,Productos!$E:$E,Productos!$I:$I,""))</f>
        <v/>
      </c>
      <c r="G921" s="74">
        <f t="array" ref="G921">IF(OR($D921="",$D921="NO ENCONTRADO"),"",_xlfn.XLOOKUP($D921,Productos!$E:$E,Productos!$J:$J,""))</f>
        <v/>
      </c>
      <c r="H921" s="74">
        <f t="array" ref="H921">IF(OR($D921="",$D921="NO ENCONTRADO"),"",_xlfn.XLOOKUP($D921,Productos!$E:$E,Productos!$K:$K,""))</f>
        <v/>
      </c>
      <c r="I921" s="74">
        <f t="array" ref="I921">IF(OR($D921="",$D921="NO ENCONTRADO"),"",_xlfn.XLOOKUP($D921,Productos!$E:$E,Productos!$F:$F,""))</f>
        <v/>
      </c>
      <c r="J921" s="74">
        <f>IF($C921="","",IF($D921="NO ENCONTRADO",IF(COUNTIF($C$7:$C$1000,$C921)&gt;1,"⚠️ No encontrado | Duplicado","⚠️ No encontrado"),IF(COUNTIF($C$7:$C$1000,$C921)&gt;1,"⚠️ Duplicado","Verificado")))</f>
        <v/>
      </c>
    </row>
    <row r="922" ht="15.75" customHeight="1" s="176">
      <c r="B922" s="80" t="n"/>
      <c r="C922" s="74" t="n"/>
      <c r="D922" s="74">
        <f t="array" ref="D922">IF($C922="","",IFNA(_xlfn.XLOOKUP($C922,Productos!$A:$A,Productos!$E:$E,IFNA(_xlfn.XLOOKUP(TEXT($C922,"0"),Productos!$A:$A,Productos!$E:$E,IFNA(_xlfn.XLOOKUP(IFERROR(VALUE($C922),""),Productos!$A:$A,Productos!$E:$E,_xlfn.XLOOKUP($C922,Productos!$E:$E,Productos!$E:$E,"NO ENCONTRADO")),"NO ENCONTRADO")),"NO ENCONTRADO")),"NO ENCONTRADO"))</f>
        <v/>
      </c>
      <c r="E922" s="74">
        <f t="array" ref="E922">IF(OR($D922="",$D922="NO ENCONTRADO"),"",_xlfn.XLOOKUP($D922,Productos!$E:$E,Productos!$H:$H,""))</f>
        <v/>
      </c>
      <c r="F922" s="74">
        <f t="array" ref="F922">IF(OR($D922="",$D922="NO ENCONTRADO"),"",_xlfn.XLOOKUP($D922,Productos!$E:$E,Productos!$I:$I,""))</f>
        <v/>
      </c>
      <c r="G922" s="74">
        <f t="array" ref="G922">IF(OR($D922="",$D922="NO ENCONTRADO"),"",_xlfn.XLOOKUP($D922,Productos!$E:$E,Productos!$J:$J,""))</f>
        <v/>
      </c>
      <c r="H922" s="74">
        <f t="array" ref="H922">IF(OR($D922="",$D922="NO ENCONTRADO"),"",_xlfn.XLOOKUP($D922,Productos!$E:$E,Productos!$K:$K,""))</f>
        <v/>
      </c>
      <c r="I922" s="74">
        <f t="array" ref="I922">IF(OR($D922="",$D922="NO ENCONTRADO"),"",_xlfn.XLOOKUP($D922,Productos!$E:$E,Productos!$F:$F,""))</f>
        <v/>
      </c>
      <c r="J922" s="74">
        <f>IF($C922="","",IF($D922="NO ENCONTRADO",IF(COUNTIF($C$7:$C$1000,$C922)&gt;1,"⚠️ No encontrado | Duplicado","⚠️ No encontrado"),IF(COUNTIF($C$7:$C$1000,$C922)&gt;1,"⚠️ Duplicado","Verificado")))</f>
        <v/>
      </c>
    </row>
    <row r="923" ht="15.75" customHeight="1" s="176">
      <c r="B923" s="80" t="n"/>
      <c r="C923" s="74" t="n"/>
      <c r="D923" s="74">
        <f t="array" ref="D923">IF($C923="","",IFNA(_xlfn.XLOOKUP($C923,Productos!$A:$A,Productos!$E:$E,IFNA(_xlfn.XLOOKUP(TEXT($C923,"0"),Productos!$A:$A,Productos!$E:$E,IFNA(_xlfn.XLOOKUP(IFERROR(VALUE($C923),""),Productos!$A:$A,Productos!$E:$E,_xlfn.XLOOKUP($C923,Productos!$E:$E,Productos!$E:$E,"NO ENCONTRADO")),"NO ENCONTRADO")),"NO ENCONTRADO")),"NO ENCONTRADO"))</f>
        <v/>
      </c>
      <c r="E923" s="74">
        <f t="array" ref="E923">IF(OR($D923="",$D923="NO ENCONTRADO"),"",_xlfn.XLOOKUP($D923,Productos!$E:$E,Productos!$H:$H,""))</f>
        <v/>
      </c>
      <c r="F923" s="74">
        <f t="array" ref="F923">IF(OR($D923="",$D923="NO ENCONTRADO"),"",_xlfn.XLOOKUP($D923,Productos!$E:$E,Productos!$I:$I,""))</f>
        <v/>
      </c>
      <c r="G923" s="74">
        <f t="array" ref="G923">IF(OR($D923="",$D923="NO ENCONTRADO"),"",_xlfn.XLOOKUP($D923,Productos!$E:$E,Productos!$J:$J,""))</f>
        <v/>
      </c>
      <c r="H923" s="74">
        <f t="array" ref="H923">IF(OR($D923="",$D923="NO ENCONTRADO"),"",_xlfn.XLOOKUP($D923,Productos!$E:$E,Productos!$K:$K,""))</f>
        <v/>
      </c>
      <c r="I923" s="74">
        <f t="array" ref="I923">IF(OR($D923="",$D923="NO ENCONTRADO"),"",_xlfn.XLOOKUP($D923,Productos!$E:$E,Productos!$F:$F,""))</f>
        <v/>
      </c>
      <c r="J923" s="74">
        <f>IF($C923="","",IF($D923="NO ENCONTRADO",IF(COUNTIF($C$7:$C$1000,$C923)&gt;1,"⚠️ No encontrado | Duplicado","⚠️ No encontrado"),IF(COUNTIF($C$7:$C$1000,$C923)&gt;1,"⚠️ Duplicado","Verificado")))</f>
        <v/>
      </c>
    </row>
    <row r="924" ht="15.75" customHeight="1" s="176">
      <c r="B924" s="80" t="n"/>
      <c r="C924" s="74" t="n"/>
      <c r="D924" s="74">
        <f t="array" ref="D924">IF($C924="","",IFNA(_xlfn.XLOOKUP($C924,Productos!$A:$A,Productos!$E:$E,IFNA(_xlfn.XLOOKUP(TEXT($C924,"0"),Productos!$A:$A,Productos!$E:$E,IFNA(_xlfn.XLOOKUP(IFERROR(VALUE($C924),""),Productos!$A:$A,Productos!$E:$E,_xlfn.XLOOKUP($C924,Productos!$E:$E,Productos!$E:$E,"NO ENCONTRADO")),"NO ENCONTRADO")),"NO ENCONTRADO")),"NO ENCONTRADO"))</f>
        <v/>
      </c>
      <c r="E924" s="74">
        <f t="array" ref="E924">IF(OR($D924="",$D924="NO ENCONTRADO"),"",_xlfn.XLOOKUP($D924,Productos!$E:$E,Productos!$H:$H,""))</f>
        <v/>
      </c>
      <c r="F924" s="74">
        <f t="array" ref="F924">IF(OR($D924="",$D924="NO ENCONTRADO"),"",_xlfn.XLOOKUP($D924,Productos!$E:$E,Productos!$I:$I,""))</f>
        <v/>
      </c>
      <c r="G924" s="74">
        <f t="array" ref="G924">IF(OR($D924="",$D924="NO ENCONTRADO"),"",_xlfn.XLOOKUP($D924,Productos!$E:$E,Productos!$J:$J,""))</f>
        <v/>
      </c>
      <c r="H924" s="74">
        <f t="array" ref="H924">IF(OR($D924="",$D924="NO ENCONTRADO"),"",_xlfn.XLOOKUP($D924,Productos!$E:$E,Productos!$K:$K,""))</f>
        <v/>
      </c>
      <c r="I924" s="74">
        <f t="array" ref="I924">IF(OR($D924="",$D924="NO ENCONTRADO"),"",_xlfn.XLOOKUP($D924,Productos!$E:$E,Productos!$F:$F,""))</f>
        <v/>
      </c>
      <c r="J924" s="74">
        <f>IF($C924="","",IF($D924="NO ENCONTRADO",IF(COUNTIF($C$7:$C$1000,$C924)&gt;1,"⚠️ No encontrado | Duplicado","⚠️ No encontrado"),IF(COUNTIF($C$7:$C$1000,$C924)&gt;1,"⚠️ Duplicado","Verificado")))</f>
        <v/>
      </c>
    </row>
    <row r="925" ht="15.75" customHeight="1" s="176">
      <c r="B925" s="80" t="n"/>
      <c r="C925" s="74" t="n"/>
      <c r="D925" s="74">
        <f t="array" ref="D925">IF($C925="","",IFNA(_xlfn.XLOOKUP($C925,Productos!$A:$A,Productos!$E:$E,IFNA(_xlfn.XLOOKUP(TEXT($C925,"0"),Productos!$A:$A,Productos!$E:$E,IFNA(_xlfn.XLOOKUP(IFERROR(VALUE($C925),""),Productos!$A:$A,Productos!$E:$E,_xlfn.XLOOKUP($C925,Productos!$E:$E,Productos!$E:$E,"NO ENCONTRADO")),"NO ENCONTRADO")),"NO ENCONTRADO")),"NO ENCONTRADO"))</f>
        <v/>
      </c>
      <c r="E925" s="74">
        <f t="array" ref="E925">IF(OR($D925="",$D925="NO ENCONTRADO"),"",_xlfn.XLOOKUP($D925,Productos!$E:$E,Productos!$H:$H,""))</f>
        <v/>
      </c>
      <c r="F925" s="74">
        <f t="array" ref="F925">IF(OR($D925="",$D925="NO ENCONTRADO"),"",_xlfn.XLOOKUP($D925,Productos!$E:$E,Productos!$I:$I,""))</f>
        <v/>
      </c>
      <c r="G925" s="74">
        <f t="array" ref="G925">IF(OR($D925="",$D925="NO ENCONTRADO"),"",_xlfn.XLOOKUP($D925,Productos!$E:$E,Productos!$J:$J,""))</f>
        <v/>
      </c>
      <c r="H925" s="74">
        <f t="array" ref="H925">IF(OR($D925="",$D925="NO ENCONTRADO"),"",_xlfn.XLOOKUP($D925,Productos!$E:$E,Productos!$K:$K,""))</f>
        <v/>
      </c>
      <c r="I925" s="74">
        <f t="array" ref="I925">IF(OR($D925="",$D925="NO ENCONTRADO"),"",_xlfn.XLOOKUP($D925,Productos!$E:$E,Productos!$F:$F,""))</f>
        <v/>
      </c>
      <c r="J925" s="74">
        <f>IF($C925="","",IF($D925="NO ENCONTRADO",IF(COUNTIF($C$7:$C$1000,$C925)&gt;1,"⚠️ No encontrado | Duplicado","⚠️ No encontrado"),IF(COUNTIF($C$7:$C$1000,$C925)&gt;1,"⚠️ Duplicado","Verificado")))</f>
        <v/>
      </c>
    </row>
    <row r="926" ht="15.75" customHeight="1" s="176">
      <c r="B926" s="80" t="n"/>
      <c r="C926" s="74" t="n"/>
      <c r="D926" s="74">
        <f t="array" ref="D926">IF($C926="","",IFNA(_xlfn.XLOOKUP($C926,Productos!$A:$A,Productos!$E:$E,IFNA(_xlfn.XLOOKUP(TEXT($C926,"0"),Productos!$A:$A,Productos!$E:$E,IFNA(_xlfn.XLOOKUP(IFERROR(VALUE($C926),""),Productos!$A:$A,Productos!$E:$E,_xlfn.XLOOKUP($C926,Productos!$E:$E,Productos!$E:$E,"NO ENCONTRADO")),"NO ENCONTRADO")),"NO ENCONTRADO")),"NO ENCONTRADO"))</f>
        <v/>
      </c>
      <c r="E926" s="74">
        <f t="array" ref="E926">IF(OR($D926="",$D926="NO ENCONTRADO"),"",_xlfn.XLOOKUP($D926,Productos!$E:$E,Productos!$H:$H,""))</f>
        <v/>
      </c>
      <c r="F926" s="74">
        <f t="array" ref="F926">IF(OR($D926="",$D926="NO ENCONTRADO"),"",_xlfn.XLOOKUP($D926,Productos!$E:$E,Productos!$I:$I,""))</f>
        <v/>
      </c>
      <c r="G926" s="74">
        <f t="array" ref="G926">IF(OR($D926="",$D926="NO ENCONTRADO"),"",_xlfn.XLOOKUP($D926,Productos!$E:$E,Productos!$J:$J,""))</f>
        <v/>
      </c>
      <c r="H926" s="74">
        <f t="array" ref="H926">IF(OR($D926="",$D926="NO ENCONTRADO"),"",_xlfn.XLOOKUP($D926,Productos!$E:$E,Productos!$K:$K,""))</f>
        <v/>
      </c>
      <c r="I926" s="74">
        <f t="array" ref="I926">IF(OR($D926="",$D926="NO ENCONTRADO"),"",_xlfn.XLOOKUP($D926,Productos!$E:$E,Productos!$F:$F,""))</f>
        <v/>
      </c>
      <c r="J926" s="74">
        <f>IF($C926="","",IF($D926="NO ENCONTRADO",IF(COUNTIF($C$7:$C$1000,$C926)&gt;1,"⚠️ No encontrado | Duplicado","⚠️ No encontrado"),IF(COUNTIF($C$7:$C$1000,$C926)&gt;1,"⚠️ Duplicado","Verificado")))</f>
        <v/>
      </c>
    </row>
    <row r="927" ht="15.75" customHeight="1" s="176">
      <c r="B927" s="80" t="n"/>
      <c r="C927" s="74" t="n"/>
      <c r="D927" s="74">
        <f t="array" ref="D927">IF($C927="","",IFNA(_xlfn.XLOOKUP($C927,Productos!$A:$A,Productos!$E:$E,IFNA(_xlfn.XLOOKUP(TEXT($C927,"0"),Productos!$A:$A,Productos!$E:$E,IFNA(_xlfn.XLOOKUP(IFERROR(VALUE($C927),""),Productos!$A:$A,Productos!$E:$E,_xlfn.XLOOKUP($C927,Productos!$E:$E,Productos!$E:$E,"NO ENCONTRADO")),"NO ENCONTRADO")),"NO ENCONTRADO")),"NO ENCONTRADO"))</f>
        <v/>
      </c>
      <c r="E927" s="74">
        <f t="array" ref="E927">IF(OR($D927="",$D927="NO ENCONTRADO"),"",_xlfn.XLOOKUP($D927,Productos!$E:$E,Productos!$H:$H,""))</f>
        <v/>
      </c>
      <c r="F927" s="74">
        <f t="array" ref="F927">IF(OR($D927="",$D927="NO ENCONTRADO"),"",_xlfn.XLOOKUP($D927,Productos!$E:$E,Productos!$I:$I,""))</f>
        <v/>
      </c>
      <c r="G927" s="74">
        <f t="array" ref="G927">IF(OR($D927="",$D927="NO ENCONTRADO"),"",_xlfn.XLOOKUP($D927,Productos!$E:$E,Productos!$J:$J,""))</f>
        <v/>
      </c>
      <c r="H927" s="74">
        <f t="array" ref="H927">IF(OR($D927="",$D927="NO ENCONTRADO"),"",_xlfn.XLOOKUP($D927,Productos!$E:$E,Productos!$K:$K,""))</f>
        <v/>
      </c>
      <c r="I927" s="74">
        <f t="array" ref="I927">IF(OR($D927="",$D927="NO ENCONTRADO"),"",_xlfn.XLOOKUP($D927,Productos!$E:$E,Productos!$F:$F,""))</f>
        <v/>
      </c>
      <c r="J927" s="74">
        <f>IF($C927="","",IF($D927="NO ENCONTRADO",IF(COUNTIF($C$7:$C$1000,$C927)&gt;1,"⚠️ No encontrado | Duplicado","⚠️ No encontrado"),IF(COUNTIF($C$7:$C$1000,$C927)&gt;1,"⚠️ Duplicado","Verificado")))</f>
        <v/>
      </c>
    </row>
    <row r="928" ht="15.75" customHeight="1" s="176">
      <c r="B928" s="80" t="n"/>
      <c r="C928" s="74" t="n"/>
      <c r="D928" s="74">
        <f t="array" ref="D928">IF($C928="","",IFNA(_xlfn.XLOOKUP($C928,Productos!$A:$A,Productos!$E:$E,IFNA(_xlfn.XLOOKUP(TEXT($C928,"0"),Productos!$A:$A,Productos!$E:$E,IFNA(_xlfn.XLOOKUP(IFERROR(VALUE($C928),""),Productos!$A:$A,Productos!$E:$E,_xlfn.XLOOKUP($C928,Productos!$E:$E,Productos!$E:$E,"NO ENCONTRADO")),"NO ENCONTRADO")),"NO ENCONTRADO")),"NO ENCONTRADO"))</f>
        <v/>
      </c>
      <c r="E928" s="74">
        <f t="array" ref="E928">IF(OR($D928="",$D928="NO ENCONTRADO"),"",_xlfn.XLOOKUP($D928,Productos!$E:$E,Productos!$H:$H,""))</f>
        <v/>
      </c>
      <c r="F928" s="74">
        <f t="array" ref="F928">IF(OR($D928="",$D928="NO ENCONTRADO"),"",_xlfn.XLOOKUP($D928,Productos!$E:$E,Productos!$I:$I,""))</f>
        <v/>
      </c>
      <c r="G928" s="74">
        <f t="array" ref="G928">IF(OR($D928="",$D928="NO ENCONTRADO"),"",_xlfn.XLOOKUP($D928,Productos!$E:$E,Productos!$J:$J,""))</f>
        <v/>
      </c>
      <c r="H928" s="74">
        <f t="array" ref="H928">IF(OR($D928="",$D928="NO ENCONTRADO"),"",_xlfn.XLOOKUP($D928,Productos!$E:$E,Productos!$K:$K,""))</f>
        <v/>
      </c>
      <c r="I928" s="74">
        <f t="array" ref="I928">IF(OR($D928="",$D928="NO ENCONTRADO"),"",_xlfn.XLOOKUP($D928,Productos!$E:$E,Productos!$F:$F,""))</f>
        <v/>
      </c>
      <c r="J928" s="74">
        <f>IF($C928="","",IF($D928="NO ENCONTRADO",IF(COUNTIF($C$7:$C$1000,$C928)&gt;1,"⚠️ No encontrado | Duplicado","⚠️ No encontrado"),IF(COUNTIF($C$7:$C$1000,$C928)&gt;1,"⚠️ Duplicado","Verificado")))</f>
        <v/>
      </c>
    </row>
    <row r="929" ht="15.75" customHeight="1" s="176">
      <c r="B929" s="80" t="n"/>
      <c r="C929" s="74" t="n"/>
      <c r="D929" s="74">
        <f t="array" ref="D929">IF($C929="","",IFNA(_xlfn.XLOOKUP($C929,Productos!$A:$A,Productos!$E:$E,IFNA(_xlfn.XLOOKUP(TEXT($C929,"0"),Productos!$A:$A,Productos!$E:$E,IFNA(_xlfn.XLOOKUP(IFERROR(VALUE($C929),""),Productos!$A:$A,Productos!$E:$E,_xlfn.XLOOKUP($C929,Productos!$E:$E,Productos!$E:$E,"NO ENCONTRADO")),"NO ENCONTRADO")),"NO ENCONTRADO")),"NO ENCONTRADO"))</f>
        <v/>
      </c>
      <c r="E929" s="74">
        <f t="array" ref="E929">IF(OR($D929="",$D929="NO ENCONTRADO"),"",_xlfn.XLOOKUP($D929,Productos!$E:$E,Productos!$H:$H,""))</f>
        <v/>
      </c>
      <c r="F929" s="74">
        <f t="array" ref="F929">IF(OR($D929="",$D929="NO ENCONTRADO"),"",_xlfn.XLOOKUP($D929,Productos!$E:$E,Productos!$I:$I,""))</f>
        <v/>
      </c>
      <c r="G929" s="74">
        <f t="array" ref="G929">IF(OR($D929="",$D929="NO ENCONTRADO"),"",_xlfn.XLOOKUP($D929,Productos!$E:$E,Productos!$J:$J,""))</f>
        <v/>
      </c>
      <c r="H929" s="74">
        <f t="array" ref="H929">IF(OR($D929="",$D929="NO ENCONTRADO"),"",_xlfn.XLOOKUP($D929,Productos!$E:$E,Productos!$K:$K,""))</f>
        <v/>
      </c>
      <c r="I929" s="74">
        <f t="array" ref="I929">IF(OR($D929="",$D929="NO ENCONTRADO"),"",_xlfn.XLOOKUP($D929,Productos!$E:$E,Productos!$F:$F,""))</f>
        <v/>
      </c>
      <c r="J929" s="74">
        <f>IF($C929="","",IF($D929="NO ENCONTRADO",IF(COUNTIF($C$7:$C$1000,$C929)&gt;1,"⚠️ No encontrado | Duplicado","⚠️ No encontrado"),IF(COUNTIF($C$7:$C$1000,$C929)&gt;1,"⚠️ Duplicado","Verificado")))</f>
        <v/>
      </c>
    </row>
    <row r="930" ht="15.75" customHeight="1" s="176">
      <c r="B930" s="80" t="n"/>
      <c r="C930" s="74" t="n"/>
      <c r="D930" s="74">
        <f t="array" ref="D930">IF($C930="","",IFNA(_xlfn.XLOOKUP($C930,Productos!$A:$A,Productos!$E:$E,IFNA(_xlfn.XLOOKUP(TEXT($C930,"0"),Productos!$A:$A,Productos!$E:$E,IFNA(_xlfn.XLOOKUP(IFERROR(VALUE($C930),""),Productos!$A:$A,Productos!$E:$E,_xlfn.XLOOKUP($C930,Productos!$E:$E,Productos!$E:$E,"NO ENCONTRADO")),"NO ENCONTRADO")),"NO ENCONTRADO")),"NO ENCONTRADO"))</f>
        <v/>
      </c>
      <c r="E930" s="74">
        <f t="array" ref="E930">IF(OR($D930="",$D930="NO ENCONTRADO"),"",_xlfn.XLOOKUP($D930,Productos!$E:$E,Productos!$H:$H,""))</f>
        <v/>
      </c>
      <c r="F930" s="74">
        <f t="array" ref="F930">IF(OR($D930="",$D930="NO ENCONTRADO"),"",_xlfn.XLOOKUP($D930,Productos!$E:$E,Productos!$I:$I,""))</f>
        <v/>
      </c>
      <c r="G930" s="74">
        <f t="array" ref="G930">IF(OR($D930="",$D930="NO ENCONTRADO"),"",_xlfn.XLOOKUP($D930,Productos!$E:$E,Productos!$J:$J,""))</f>
        <v/>
      </c>
      <c r="H930" s="74">
        <f t="array" ref="H930">IF(OR($D930="",$D930="NO ENCONTRADO"),"",_xlfn.XLOOKUP($D930,Productos!$E:$E,Productos!$K:$K,""))</f>
        <v/>
      </c>
      <c r="I930" s="74">
        <f t="array" ref="I930">IF(OR($D930="",$D930="NO ENCONTRADO"),"",_xlfn.XLOOKUP($D930,Productos!$E:$E,Productos!$F:$F,""))</f>
        <v/>
      </c>
      <c r="J930" s="74">
        <f>IF($C930="","",IF($D930="NO ENCONTRADO",IF(COUNTIF($C$7:$C$1000,$C930)&gt;1,"⚠️ No encontrado | Duplicado","⚠️ No encontrado"),IF(COUNTIF($C$7:$C$1000,$C930)&gt;1,"⚠️ Duplicado","Verificado")))</f>
        <v/>
      </c>
    </row>
    <row r="931" ht="15.75" customHeight="1" s="176">
      <c r="B931" s="80" t="n"/>
      <c r="C931" s="74" t="n"/>
      <c r="D931" s="74">
        <f t="array" ref="D931">IF($C931="","",IFNA(_xlfn.XLOOKUP($C931,Productos!$A:$A,Productos!$E:$E,IFNA(_xlfn.XLOOKUP(TEXT($C931,"0"),Productos!$A:$A,Productos!$E:$E,IFNA(_xlfn.XLOOKUP(IFERROR(VALUE($C931),""),Productos!$A:$A,Productos!$E:$E,_xlfn.XLOOKUP($C931,Productos!$E:$E,Productos!$E:$E,"NO ENCONTRADO")),"NO ENCONTRADO")),"NO ENCONTRADO")),"NO ENCONTRADO"))</f>
        <v/>
      </c>
      <c r="E931" s="74">
        <f t="array" ref="E931">IF(OR($D931="",$D931="NO ENCONTRADO"),"",_xlfn.XLOOKUP($D931,Productos!$E:$E,Productos!$H:$H,""))</f>
        <v/>
      </c>
      <c r="F931" s="74">
        <f t="array" ref="F931">IF(OR($D931="",$D931="NO ENCONTRADO"),"",_xlfn.XLOOKUP($D931,Productos!$E:$E,Productos!$I:$I,""))</f>
        <v/>
      </c>
      <c r="G931" s="74">
        <f t="array" ref="G931">IF(OR($D931="",$D931="NO ENCONTRADO"),"",_xlfn.XLOOKUP($D931,Productos!$E:$E,Productos!$J:$J,""))</f>
        <v/>
      </c>
      <c r="H931" s="74">
        <f t="array" ref="H931">IF(OR($D931="",$D931="NO ENCONTRADO"),"",_xlfn.XLOOKUP($D931,Productos!$E:$E,Productos!$K:$K,""))</f>
        <v/>
      </c>
      <c r="I931" s="74">
        <f t="array" ref="I931">IF(OR($D931="",$D931="NO ENCONTRADO"),"",_xlfn.XLOOKUP($D931,Productos!$E:$E,Productos!$F:$F,""))</f>
        <v/>
      </c>
      <c r="J931" s="74">
        <f>IF($C931="","",IF($D931="NO ENCONTRADO",IF(COUNTIF($C$7:$C$1000,$C931)&gt;1,"⚠️ No encontrado | Duplicado","⚠️ No encontrado"),IF(COUNTIF($C$7:$C$1000,$C931)&gt;1,"⚠️ Duplicado","Verificado")))</f>
        <v/>
      </c>
    </row>
    <row r="932" ht="15.75" customHeight="1" s="176">
      <c r="B932" s="80" t="n"/>
      <c r="C932" s="74" t="n"/>
      <c r="D932" s="74">
        <f t="array" ref="D932">IF($C932="","",IFNA(_xlfn.XLOOKUP($C932,Productos!$A:$A,Productos!$E:$E,IFNA(_xlfn.XLOOKUP(TEXT($C932,"0"),Productos!$A:$A,Productos!$E:$E,IFNA(_xlfn.XLOOKUP(IFERROR(VALUE($C932),""),Productos!$A:$A,Productos!$E:$E,_xlfn.XLOOKUP($C932,Productos!$E:$E,Productos!$E:$E,"NO ENCONTRADO")),"NO ENCONTRADO")),"NO ENCONTRADO")),"NO ENCONTRADO"))</f>
        <v/>
      </c>
      <c r="E932" s="74">
        <f t="array" ref="E932">IF(OR($D932="",$D932="NO ENCONTRADO"),"",_xlfn.XLOOKUP($D932,Productos!$E:$E,Productos!$H:$H,""))</f>
        <v/>
      </c>
      <c r="F932" s="74">
        <f t="array" ref="F932">IF(OR($D932="",$D932="NO ENCONTRADO"),"",_xlfn.XLOOKUP($D932,Productos!$E:$E,Productos!$I:$I,""))</f>
        <v/>
      </c>
      <c r="G932" s="74">
        <f t="array" ref="G932">IF(OR($D932="",$D932="NO ENCONTRADO"),"",_xlfn.XLOOKUP($D932,Productos!$E:$E,Productos!$J:$J,""))</f>
        <v/>
      </c>
      <c r="H932" s="74">
        <f t="array" ref="H932">IF(OR($D932="",$D932="NO ENCONTRADO"),"",_xlfn.XLOOKUP($D932,Productos!$E:$E,Productos!$K:$K,""))</f>
        <v/>
      </c>
      <c r="I932" s="74">
        <f t="array" ref="I932">IF(OR($D932="",$D932="NO ENCONTRADO"),"",_xlfn.XLOOKUP($D932,Productos!$E:$E,Productos!$F:$F,""))</f>
        <v/>
      </c>
      <c r="J932" s="74">
        <f>IF($C932="","",IF($D932="NO ENCONTRADO",IF(COUNTIF($C$7:$C$1000,$C932)&gt;1,"⚠️ No encontrado | Duplicado","⚠️ No encontrado"),IF(COUNTIF($C$7:$C$1000,$C932)&gt;1,"⚠️ Duplicado","Verificado")))</f>
        <v/>
      </c>
    </row>
    <row r="933" ht="15.75" customHeight="1" s="176">
      <c r="B933" s="80" t="n"/>
      <c r="C933" s="74" t="n"/>
      <c r="D933" s="74">
        <f t="array" ref="D933">IF($C933="","",IFNA(_xlfn.XLOOKUP($C933,Productos!$A:$A,Productos!$E:$E,IFNA(_xlfn.XLOOKUP(TEXT($C933,"0"),Productos!$A:$A,Productos!$E:$E,IFNA(_xlfn.XLOOKUP(IFERROR(VALUE($C933),""),Productos!$A:$A,Productos!$E:$E,_xlfn.XLOOKUP($C933,Productos!$E:$E,Productos!$E:$E,"NO ENCONTRADO")),"NO ENCONTRADO")),"NO ENCONTRADO")),"NO ENCONTRADO"))</f>
        <v/>
      </c>
      <c r="E933" s="74">
        <f t="array" ref="E933">IF(OR($D933="",$D933="NO ENCONTRADO"),"",_xlfn.XLOOKUP($D933,Productos!$E:$E,Productos!$H:$H,""))</f>
        <v/>
      </c>
      <c r="F933" s="74">
        <f t="array" ref="F933">IF(OR($D933="",$D933="NO ENCONTRADO"),"",_xlfn.XLOOKUP($D933,Productos!$E:$E,Productos!$I:$I,""))</f>
        <v/>
      </c>
      <c r="G933" s="74">
        <f t="array" ref="G933">IF(OR($D933="",$D933="NO ENCONTRADO"),"",_xlfn.XLOOKUP($D933,Productos!$E:$E,Productos!$J:$J,""))</f>
        <v/>
      </c>
      <c r="H933" s="74">
        <f t="array" ref="H933">IF(OR($D933="",$D933="NO ENCONTRADO"),"",_xlfn.XLOOKUP($D933,Productos!$E:$E,Productos!$K:$K,""))</f>
        <v/>
      </c>
      <c r="I933" s="74">
        <f t="array" ref="I933">IF(OR($D933="",$D933="NO ENCONTRADO"),"",_xlfn.XLOOKUP($D933,Productos!$E:$E,Productos!$F:$F,""))</f>
        <v/>
      </c>
      <c r="J933" s="74">
        <f>IF($C933="","",IF($D933="NO ENCONTRADO",IF(COUNTIF($C$7:$C$1000,$C933)&gt;1,"⚠️ No encontrado | Duplicado","⚠️ No encontrado"),IF(COUNTIF($C$7:$C$1000,$C933)&gt;1,"⚠️ Duplicado","Verificado")))</f>
        <v/>
      </c>
    </row>
    <row r="934" ht="15.75" customHeight="1" s="176">
      <c r="B934" s="80" t="n"/>
      <c r="C934" s="74" t="n"/>
      <c r="D934" s="74">
        <f t="array" ref="D934">IF($C934="","",IFNA(_xlfn.XLOOKUP($C934,Productos!$A:$A,Productos!$E:$E,IFNA(_xlfn.XLOOKUP(TEXT($C934,"0"),Productos!$A:$A,Productos!$E:$E,IFNA(_xlfn.XLOOKUP(IFERROR(VALUE($C934),""),Productos!$A:$A,Productos!$E:$E,_xlfn.XLOOKUP($C934,Productos!$E:$E,Productos!$E:$E,"NO ENCONTRADO")),"NO ENCONTRADO")),"NO ENCONTRADO")),"NO ENCONTRADO"))</f>
        <v/>
      </c>
      <c r="E934" s="74">
        <f t="array" ref="E934">IF(OR($D934="",$D934="NO ENCONTRADO"),"",_xlfn.XLOOKUP($D934,Productos!$E:$E,Productos!$H:$H,""))</f>
        <v/>
      </c>
      <c r="F934" s="74">
        <f t="array" ref="F934">IF(OR($D934="",$D934="NO ENCONTRADO"),"",_xlfn.XLOOKUP($D934,Productos!$E:$E,Productos!$I:$I,""))</f>
        <v/>
      </c>
      <c r="G934" s="74">
        <f t="array" ref="G934">IF(OR($D934="",$D934="NO ENCONTRADO"),"",_xlfn.XLOOKUP($D934,Productos!$E:$E,Productos!$J:$J,""))</f>
        <v/>
      </c>
      <c r="H934" s="74">
        <f t="array" ref="H934">IF(OR($D934="",$D934="NO ENCONTRADO"),"",_xlfn.XLOOKUP($D934,Productos!$E:$E,Productos!$K:$K,""))</f>
        <v/>
      </c>
      <c r="I934" s="74">
        <f t="array" ref="I934">IF(OR($D934="",$D934="NO ENCONTRADO"),"",_xlfn.XLOOKUP($D934,Productos!$E:$E,Productos!$F:$F,""))</f>
        <v/>
      </c>
      <c r="J934" s="74">
        <f>IF($C934="","",IF($D934="NO ENCONTRADO",IF(COUNTIF($C$7:$C$1000,$C934)&gt;1,"⚠️ No encontrado | Duplicado","⚠️ No encontrado"),IF(COUNTIF($C$7:$C$1000,$C934)&gt;1,"⚠️ Duplicado","Verificado")))</f>
        <v/>
      </c>
    </row>
    <row r="935" ht="15.75" customHeight="1" s="176">
      <c r="B935" s="80" t="n"/>
      <c r="C935" s="74" t="n"/>
      <c r="D935" s="74">
        <f t="array" ref="D935">IF($C935="","",IFNA(_xlfn.XLOOKUP($C935,Productos!$A:$A,Productos!$E:$E,IFNA(_xlfn.XLOOKUP(TEXT($C935,"0"),Productos!$A:$A,Productos!$E:$E,IFNA(_xlfn.XLOOKUP(IFERROR(VALUE($C935),""),Productos!$A:$A,Productos!$E:$E,_xlfn.XLOOKUP($C935,Productos!$E:$E,Productos!$E:$E,"NO ENCONTRADO")),"NO ENCONTRADO")),"NO ENCONTRADO")),"NO ENCONTRADO"))</f>
        <v/>
      </c>
      <c r="E935" s="74">
        <f t="array" ref="E935">IF(OR($D935="",$D935="NO ENCONTRADO"),"",_xlfn.XLOOKUP($D935,Productos!$E:$E,Productos!$H:$H,""))</f>
        <v/>
      </c>
      <c r="F935" s="74">
        <f t="array" ref="F935">IF(OR($D935="",$D935="NO ENCONTRADO"),"",_xlfn.XLOOKUP($D935,Productos!$E:$E,Productos!$I:$I,""))</f>
        <v/>
      </c>
      <c r="G935" s="74">
        <f t="array" ref="G935">IF(OR($D935="",$D935="NO ENCONTRADO"),"",_xlfn.XLOOKUP($D935,Productos!$E:$E,Productos!$J:$J,""))</f>
        <v/>
      </c>
      <c r="H935" s="74">
        <f t="array" ref="H935">IF(OR($D935="",$D935="NO ENCONTRADO"),"",_xlfn.XLOOKUP($D935,Productos!$E:$E,Productos!$K:$K,""))</f>
        <v/>
      </c>
      <c r="I935" s="74">
        <f t="array" ref="I935">IF(OR($D935="",$D935="NO ENCONTRADO"),"",_xlfn.XLOOKUP($D935,Productos!$E:$E,Productos!$F:$F,""))</f>
        <v/>
      </c>
      <c r="J935" s="74">
        <f>IF($C935="","",IF($D935="NO ENCONTRADO",IF(COUNTIF($C$7:$C$1000,$C935)&gt;1,"⚠️ No encontrado | Duplicado","⚠️ No encontrado"),IF(COUNTIF($C$7:$C$1000,$C935)&gt;1,"⚠️ Duplicado","Verificado")))</f>
        <v/>
      </c>
    </row>
    <row r="936" ht="15.75" customHeight="1" s="176">
      <c r="B936" s="80" t="n"/>
      <c r="C936" s="74" t="n"/>
      <c r="D936" s="74">
        <f t="array" ref="D936">IF($C936="","",IFNA(_xlfn.XLOOKUP($C936,Productos!$A:$A,Productos!$E:$E,IFNA(_xlfn.XLOOKUP(TEXT($C936,"0"),Productos!$A:$A,Productos!$E:$E,IFNA(_xlfn.XLOOKUP(IFERROR(VALUE($C936),""),Productos!$A:$A,Productos!$E:$E,_xlfn.XLOOKUP($C936,Productos!$E:$E,Productos!$E:$E,"NO ENCONTRADO")),"NO ENCONTRADO")),"NO ENCONTRADO")),"NO ENCONTRADO"))</f>
        <v/>
      </c>
      <c r="E936" s="74">
        <f t="array" ref="E936">IF(OR($D936="",$D936="NO ENCONTRADO"),"",_xlfn.XLOOKUP($D936,Productos!$E:$E,Productos!$H:$H,""))</f>
        <v/>
      </c>
      <c r="F936" s="74">
        <f t="array" ref="F936">IF(OR($D936="",$D936="NO ENCONTRADO"),"",_xlfn.XLOOKUP($D936,Productos!$E:$E,Productos!$I:$I,""))</f>
        <v/>
      </c>
      <c r="G936" s="74">
        <f t="array" ref="G936">IF(OR($D936="",$D936="NO ENCONTRADO"),"",_xlfn.XLOOKUP($D936,Productos!$E:$E,Productos!$J:$J,""))</f>
        <v/>
      </c>
      <c r="H936" s="74">
        <f t="array" ref="H936">IF(OR($D936="",$D936="NO ENCONTRADO"),"",_xlfn.XLOOKUP($D936,Productos!$E:$E,Productos!$K:$K,""))</f>
        <v/>
      </c>
      <c r="I936" s="74">
        <f t="array" ref="I936">IF(OR($D936="",$D936="NO ENCONTRADO"),"",_xlfn.XLOOKUP($D936,Productos!$E:$E,Productos!$F:$F,""))</f>
        <v/>
      </c>
      <c r="J936" s="74">
        <f>IF($C936="","",IF($D936="NO ENCONTRADO",IF(COUNTIF($C$7:$C$1000,$C936)&gt;1,"⚠️ No encontrado | Duplicado","⚠️ No encontrado"),IF(COUNTIF($C$7:$C$1000,$C936)&gt;1,"⚠️ Duplicado","Verificado")))</f>
        <v/>
      </c>
    </row>
    <row r="937" ht="15.75" customHeight="1" s="176">
      <c r="B937" s="80" t="n"/>
      <c r="C937" s="74" t="n"/>
      <c r="D937" s="74">
        <f t="array" ref="D937">IF($C937="","",IFNA(_xlfn.XLOOKUP($C937,Productos!$A:$A,Productos!$E:$E,IFNA(_xlfn.XLOOKUP(TEXT($C937,"0"),Productos!$A:$A,Productos!$E:$E,IFNA(_xlfn.XLOOKUP(IFERROR(VALUE($C937),""),Productos!$A:$A,Productos!$E:$E,_xlfn.XLOOKUP($C937,Productos!$E:$E,Productos!$E:$E,"NO ENCONTRADO")),"NO ENCONTRADO")),"NO ENCONTRADO")),"NO ENCONTRADO"))</f>
        <v/>
      </c>
      <c r="E937" s="74">
        <f t="array" ref="E937">IF(OR($D937="",$D937="NO ENCONTRADO"),"",_xlfn.XLOOKUP($D937,Productos!$E:$E,Productos!$H:$H,""))</f>
        <v/>
      </c>
      <c r="F937" s="74">
        <f t="array" ref="F937">IF(OR($D937="",$D937="NO ENCONTRADO"),"",_xlfn.XLOOKUP($D937,Productos!$E:$E,Productos!$I:$I,""))</f>
        <v/>
      </c>
      <c r="G937" s="74">
        <f t="array" ref="G937">IF(OR($D937="",$D937="NO ENCONTRADO"),"",_xlfn.XLOOKUP($D937,Productos!$E:$E,Productos!$J:$J,""))</f>
        <v/>
      </c>
      <c r="H937" s="74">
        <f t="array" ref="H937">IF(OR($D937="",$D937="NO ENCONTRADO"),"",_xlfn.XLOOKUP($D937,Productos!$E:$E,Productos!$K:$K,""))</f>
        <v/>
      </c>
      <c r="I937" s="74">
        <f t="array" ref="I937">IF(OR($D937="",$D937="NO ENCONTRADO"),"",_xlfn.XLOOKUP($D937,Productos!$E:$E,Productos!$F:$F,""))</f>
        <v/>
      </c>
      <c r="J937" s="74">
        <f>IF($C937="","",IF($D937="NO ENCONTRADO",IF(COUNTIF($C$7:$C$1000,$C937)&gt;1,"⚠️ No encontrado | Duplicado","⚠️ No encontrado"),IF(COUNTIF($C$7:$C$1000,$C937)&gt;1,"⚠️ Duplicado","Verificado")))</f>
        <v/>
      </c>
    </row>
    <row r="938" ht="15.75" customHeight="1" s="176">
      <c r="B938" s="80" t="n"/>
      <c r="C938" s="74" t="n"/>
      <c r="D938" s="74">
        <f t="array" ref="D938">IF($C938="","",IFNA(_xlfn.XLOOKUP($C938,Productos!$A:$A,Productos!$E:$E,IFNA(_xlfn.XLOOKUP(TEXT($C938,"0"),Productos!$A:$A,Productos!$E:$E,IFNA(_xlfn.XLOOKUP(IFERROR(VALUE($C938),""),Productos!$A:$A,Productos!$E:$E,_xlfn.XLOOKUP($C938,Productos!$E:$E,Productos!$E:$E,"NO ENCONTRADO")),"NO ENCONTRADO")),"NO ENCONTRADO")),"NO ENCONTRADO"))</f>
        <v/>
      </c>
      <c r="E938" s="74">
        <f t="array" ref="E938">IF(OR($D938="",$D938="NO ENCONTRADO"),"",_xlfn.XLOOKUP($D938,Productos!$E:$E,Productos!$H:$H,""))</f>
        <v/>
      </c>
      <c r="F938" s="74">
        <f t="array" ref="F938">IF(OR($D938="",$D938="NO ENCONTRADO"),"",_xlfn.XLOOKUP($D938,Productos!$E:$E,Productos!$I:$I,""))</f>
        <v/>
      </c>
      <c r="G938" s="74">
        <f t="array" ref="G938">IF(OR($D938="",$D938="NO ENCONTRADO"),"",_xlfn.XLOOKUP($D938,Productos!$E:$E,Productos!$J:$J,""))</f>
        <v/>
      </c>
      <c r="H938" s="74">
        <f t="array" ref="H938">IF(OR($D938="",$D938="NO ENCONTRADO"),"",_xlfn.XLOOKUP($D938,Productos!$E:$E,Productos!$K:$K,""))</f>
        <v/>
      </c>
      <c r="I938" s="74">
        <f t="array" ref="I938">IF(OR($D938="",$D938="NO ENCONTRADO"),"",_xlfn.XLOOKUP($D938,Productos!$E:$E,Productos!$F:$F,""))</f>
        <v/>
      </c>
      <c r="J938" s="74">
        <f>IF($C938="","",IF($D938="NO ENCONTRADO",IF(COUNTIF($C$7:$C$1000,$C938)&gt;1,"⚠️ No encontrado | Duplicado","⚠️ No encontrado"),IF(COUNTIF($C$7:$C$1000,$C938)&gt;1,"⚠️ Duplicado","Verificado")))</f>
        <v/>
      </c>
    </row>
    <row r="939" ht="15.75" customHeight="1" s="176">
      <c r="B939" s="80" t="n"/>
      <c r="C939" s="74" t="n"/>
      <c r="D939" s="74">
        <f t="array" ref="D939">IF($C939="","",IFNA(_xlfn.XLOOKUP($C939,Productos!$A:$A,Productos!$E:$E,IFNA(_xlfn.XLOOKUP(TEXT($C939,"0"),Productos!$A:$A,Productos!$E:$E,IFNA(_xlfn.XLOOKUP(IFERROR(VALUE($C939),""),Productos!$A:$A,Productos!$E:$E,_xlfn.XLOOKUP($C939,Productos!$E:$E,Productos!$E:$E,"NO ENCONTRADO")),"NO ENCONTRADO")),"NO ENCONTRADO")),"NO ENCONTRADO"))</f>
        <v/>
      </c>
      <c r="E939" s="74">
        <f t="array" ref="E939">IF(OR($D939="",$D939="NO ENCONTRADO"),"",_xlfn.XLOOKUP($D939,Productos!$E:$E,Productos!$H:$H,""))</f>
        <v/>
      </c>
      <c r="F939" s="74">
        <f t="array" ref="F939">IF(OR($D939="",$D939="NO ENCONTRADO"),"",_xlfn.XLOOKUP($D939,Productos!$E:$E,Productos!$I:$I,""))</f>
        <v/>
      </c>
      <c r="G939" s="74">
        <f t="array" ref="G939">IF(OR($D939="",$D939="NO ENCONTRADO"),"",_xlfn.XLOOKUP($D939,Productos!$E:$E,Productos!$J:$J,""))</f>
        <v/>
      </c>
      <c r="H939" s="74">
        <f t="array" ref="H939">IF(OR($D939="",$D939="NO ENCONTRADO"),"",_xlfn.XLOOKUP($D939,Productos!$E:$E,Productos!$K:$K,""))</f>
        <v/>
      </c>
      <c r="I939" s="74">
        <f t="array" ref="I939">IF(OR($D939="",$D939="NO ENCONTRADO"),"",_xlfn.XLOOKUP($D939,Productos!$E:$E,Productos!$F:$F,""))</f>
        <v/>
      </c>
      <c r="J939" s="74">
        <f>IF($C939="","",IF($D939="NO ENCONTRADO",IF(COUNTIF($C$7:$C$1000,$C939)&gt;1,"⚠️ No encontrado | Duplicado","⚠️ No encontrado"),IF(COUNTIF($C$7:$C$1000,$C939)&gt;1,"⚠️ Duplicado","Verificado")))</f>
        <v/>
      </c>
    </row>
    <row r="940" ht="15.75" customHeight="1" s="176">
      <c r="B940" s="80" t="n"/>
      <c r="C940" s="74" t="n"/>
      <c r="D940" s="74">
        <f t="array" ref="D940">IF($C940="","",IFNA(_xlfn.XLOOKUP($C940,Productos!$A:$A,Productos!$E:$E,IFNA(_xlfn.XLOOKUP(TEXT($C940,"0"),Productos!$A:$A,Productos!$E:$E,IFNA(_xlfn.XLOOKUP(IFERROR(VALUE($C940),""),Productos!$A:$A,Productos!$E:$E,_xlfn.XLOOKUP($C940,Productos!$E:$E,Productos!$E:$E,"NO ENCONTRADO")),"NO ENCONTRADO")),"NO ENCONTRADO")),"NO ENCONTRADO"))</f>
        <v/>
      </c>
      <c r="E940" s="74">
        <f t="array" ref="E940">IF(OR($D940="",$D940="NO ENCONTRADO"),"",_xlfn.XLOOKUP($D940,Productos!$E:$E,Productos!$H:$H,""))</f>
        <v/>
      </c>
      <c r="F940" s="74">
        <f t="array" ref="F940">IF(OR($D940="",$D940="NO ENCONTRADO"),"",_xlfn.XLOOKUP($D940,Productos!$E:$E,Productos!$I:$I,""))</f>
        <v/>
      </c>
      <c r="G940" s="74">
        <f t="array" ref="G940">IF(OR($D940="",$D940="NO ENCONTRADO"),"",_xlfn.XLOOKUP($D940,Productos!$E:$E,Productos!$J:$J,""))</f>
        <v/>
      </c>
      <c r="H940" s="74">
        <f t="array" ref="H940">IF(OR($D940="",$D940="NO ENCONTRADO"),"",_xlfn.XLOOKUP($D940,Productos!$E:$E,Productos!$K:$K,""))</f>
        <v/>
      </c>
      <c r="I940" s="74">
        <f t="array" ref="I940">IF(OR($D940="",$D940="NO ENCONTRADO"),"",_xlfn.XLOOKUP($D940,Productos!$E:$E,Productos!$F:$F,""))</f>
        <v/>
      </c>
      <c r="J940" s="74">
        <f>IF($C940="","",IF($D940="NO ENCONTRADO",IF(COUNTIF($C$7:$C$1000,$C940)&gt;1,"⚠️ No encontrado | Duplicado","⚠️ No encontrado"),IF(COUNTIF($C$7:$C$1000,$C940)&gt;1,"⚠️ Duplicado","Verificado")))</f>
        <v/>
      </c>
    </row>
    <row r="941" ht="15.75" customHeight="1" s="176">
      <c r="B941" s="80" t="n"/>
      <c r="C941" s="74" t="n"/>
      <c r="D941" s="74">
        <f t="array" ref="D941">IF($C941="","",IFNA(_xlfn.XLOOKUP($C941,Productos!$A:$A,Productos!$E:$E,IFNA(_xlfn.XLOOKUP(TEXT($C941,"0"),Productos!$A:$A,Productos!$E:$E,IFNA(_xlfn.XLOOKUP(IFERROR(VALUE($C941),""),Productos!$A:$A,Productos!$E:$E,_xlfn.XLOOKUP($C941,Productos!$E:$E,Productos!$E:$E,"NO ENCONTRADO")),"NO ENCONTRADO")),"NO ENCONTRADO")),"NO ENCONTRADO"))</f>
        <v/>
      </c>
      <c r="E941" s="74">
        <f t="array" ref="E941">IF(OR($D941="",$D941="NO ENCONTRADO"),"",_xlfn.XLOOKUP($D941,Productos!$E:$E,Productos!$H:$H,""))</f>
        <v/>
      </c>
      <c r="F941" s="74">
        <f t="array" ref="F941">IF(OR($D941="",$D941="NO ENCONTRADO"),"",_xlfn.XLOOKUP($D941,Productos!$E:$E,Productos!$I:$I,""))</f>
        <v/>
      </c>
      <c r="G941" s="74">
        <f t="array" ref="G941">IF(OR($D941="",$D941="NO ENCONTRADO"),"",_xlfn.XLOOKUP($D941,Productos!$E:$E,Productos!$J:$J,""))</f>
        <v/>
      </c>
      <c r="H941" s="74">
        <f t="array" ref="H941">IF(OR($D941="",$D941="NO ENCONTRADO"),"",_xlfn.XLOOKUP($D941,Productos!$E:$E,Productos!$K:$K,""))</f>
        <v/>
      </c>
      <c r="I941" s="74">
        <f t="array" ref="I941">IF(OR($D941="",$D941="NO ENCONTRADO"),"",_xlfn.XLOOKUP($D941,Productos!$E:$E,Productos!$F:$F,""))</f>
        <v/>
      </c>
      <c r="J941" s="74">
        <f>IF($C941="","",IF($D941="NO ENCONTRADO",IF(COUNTIF($C$7:$C$1000,$C941)&gt;1,"⚠️ No encontrado | Duplicado","⚠️ No encontrado"),IF(COUNTIF($C$7:$C$1000,$C941)&gt;1,"⚠️ Duplicado","Verificado")))</f>
        <v/>
      </c>
    </row>
    <row r="942" ht="15.75" customHeight="1" s="176">
      <c r="B942" s="80" t="n"/>
      <c r="C942" s="74" t="n"/>
      <c r="D942" s="74">
        <f t="array" ref="D942">IF($C942="","",IFNA(_xlfn.XLOOKUP($C942,Productos!$A:$A,Productos!$E:$E,IFNA(_xlfn.XLOOKUP(TEXT($C942,"0"),Productos!$A:$A,Productos!$E:$E,IFNA(_xlfn.XLOOKUP(IFERROR(VALUE($C942),""),Productos!$A:$A,Productos!$E:$E,_xlfn.XLOOKUP($C942,Productos!$E:$E,Productos!$E:$E,"NO ENCONTRADO")),"NO ENCONTRADO")),"NO ENCONTRADO")),"NO ENCONTRADO"))</f>
        <v/>
      </c>
      <c r="E942" s="74">
        <f t="array" ref="E942">IF(OR($D942="",$D942="NO ENCONTRADO"),"",_xlfn.XLOOKUP($D942,Productos!$E:$E,Productos!$H:$H,""))</f>
        <v/>
      </c>
      <c r="F942" s="74">
        <f t="array" ref="F942">IF(OR($D942="",$D942="NO ENCONTRADO"),"",_xlfn.XLOOKUP($D942,Productos!$E:$E,Productos!$I:$I,""))</f>
        <v/>
      </c>
      <c r="G942" s="74">
        <f t="array" ref="G942">IF(OR($D942="",$D942="NO ENCONTRADO"),"",_xlfn.XLOOKUP($D942,Productos!$E:$E,Productos!$J:$J,""))</f>
        <v/>
      </c>
      <c r="H942" s="74">
        <f t="array" ref="H942">IF(OR($D942="",$D942="NO ENCONTRADO"),"",_xlfn.XLOOKUP($D942,Productos!$E:$E,Productos!$K:$K,""))</f>
        <v/>
      </c>
      <c r="I942" s="74">
        <f t="array" ref="I942">IF(OR($D942="",$D942="NO ENCONTRADO"),"",_xlfn.XLOOKUP($D942,Productos!$E:$E,Productos!$F:$F,""))</f>
        <v/>
      </c>
      <c r="J942" s="74">
        <f>IF($C942="","",IF($D942="NO ENCONTRADO",IF(COUNTIF($C$7:$C$1000,$C942)&gt;1,"⚠️ No encontrado | Duplicado","⚠️ No encontrado"),IF(COUNTIF($C$7:$C$1000,$C942)&gt;1,"⚠️ Duplicado","Verificado")))</f>
        <v/>
      </c>
    </row>
    <row r="943" ht="15.75" customHeight="1" s="176">
      <c r="B943" s="80" t="n"/>
      <c r="C943" s="74" t="n"/>
      <c r="D943" s="74">
        <f t="array" ref="D943">IF($C943="","",IFNA(_xlfn.XLOOKUP($C943,Productos!$A:$A,Productos!$E:$E,IFNA(_xlfn.XLOOKUP(TEXT($C943,"0"),Productos!$A:$A,Productos!$E:$E,IFNA(_xlfn.XLOOKUP(IFERROR(VALUE($C943),""),Productos!$A:$A,Productos!$E:$E,_xlfn.XLOOKUP($C943,Productos!$E:$E,Productos!$E:$E,"NO ENCONTRADO")),"NO ENCONTRADO")),"NO ENCONTRADO")),"NO ENCONTRADO"))</f>
        <v/>
      </c>
      <c r="E943" s="74">
        <f t="array" ref="E943">IF(OR($D943="",$D943="NO ENCONTRADO"),"",_xlfn.XLOOKUP($D943,Productos!$E:$E,Productos!$H:$H,""))</f>
        <v/>
      </c>
      <c r="F943" s="74">
        <f t="array" ref="F943">IF(OR($D943="",$D943="NO ENCONTRADO"),"",_xlfn.XLOOKUP($D943,Productos!$E:$E,Productos!$I:$I,""))</f>
        <v/>
      </c>
      <c r="G943" s="74">
        <f t="array" ref="G943">IF(OR($D943="",$D943="NO ENCONTRADO"),"",_xlfn.XLOOKUP($D943,Productos!$E:$E,Productos!$J:$J,""))</f>
        <v/>
      </c>
      <c r="H943" s="74">
        <f t="array" ref="H943">IF(OR($D943="",$D943="NO ENCONTRADO"),"",_xlfn.XLOOKUP($D943,Productos!$E:$E,Productos!$K:$K,""))</f>
        <v/>
      </c>
      <c r="I943" s="74">
        <f t="array" ref="I943">IF(OR($D943="",$D943="NO ENCONTRADO"),"",_xlfn.XLOOKUP($D943,Productos!$E:$E,Productos!$F:$F,""))</f>
        <v/>
      </c>
      <c r="J943" s="74">
        <f>IF($C943="","",IF($D943="NO ENCONTRADO",IF(COUNTIF($C$7:$C$1000,$C943)&gt;1,"⚠️ No encontrado | Duplicado","⚠️ No encontrado"),IF(COUNTIF($C$7:$C$1000,$C943)&gt;1,"⚠️ Duplicado","Verificado")))</f>
        <v/>
      </c>
    </row>
    <row r="944" ht="15.75" customHeight="1" s="176">
      <c r="B944" s="80" t="n"/>
      <c r="C944" s="74" t="n"/>
      <c r="D944" s="74">
        <f t="array" ref="D944">IF($C944="","",IFNA(_xlfn.XLOOKUP($C944,Productos!$A:$A,Productos!$E:$E,IFNA(_xlfn.XLOOKUP(TEXT($C944,"0"),Productos!$A:$A,Productos!$E:$E,IFNA(_xlfn.XLOOKUP(IFERROR(VALUE($C944),""),Productos!$A:$A,Productos!$E:$E,_xlfn.XLOOKUP($C944,Productos!$E:$E,Productos!$E:$E,"NO ENCONTRADO")),"NO ENCONTRADO")),"NO ENCONTRADO")),"NO ENCONTRADO"))</f>
        <v/>
      </c>
      <c r="E944" s="74">
        <f t="array" ref="E944">IF(OR($D944="",$D944="NO ENCONTRADO"),"",_xlfn.XLOOKUP($D944,Productos!$E:$E,Productos!$H:$H,""))</f>
        <v/>
      </c>
      <c r="F944" s="74">
        <f t="array" ref="F944">IF(OR($D944="",$D944="NO ENCONTRADO"),"",_xlfn.XLOOKUP($D944,Productos!$E:$E,Productos!$I:$I,""))</f>
        <v/>
      </c>
      <c r="G944" s="74">
        <f t="array" ref="G944">IF(OR($D944="",$D944="NO ENCONTRADO"),"",_xlfn.XLOOKUP($D944,Productos!$E:$E,Productos!$J:$J,""))</f>
        <v/>
      </c>
      <c r="H944" s="74">
        <f t="array" ref="H944">IF(OR($D944="",$D944="NO ENCONTRADO"),"",_xlfn.XLOOKUP($D944,Productos!$E:$E,Productos!$K:$K,""))</f>
        <v/>
      </c>
      <c r="I944" s="74">
        <f t="array" ref="I944">IF(OR($D944="",$D944="NO ENCONTRADO"),"",_xlfn.XLOOKUP($D944,Productos!$E:$E,Productos!$F:$F,""))</f>
        <v/>
      </c>
      <c r="J944" s="74">
        <f>IF($C944="","",IF($D944="NO ENCONTRADO",IF(COUNTIF($C$7:$C$1000,$C944)&gt;1,"⚠️ No encontrado | Duplicado","⚠️ No encontrado"),IF(COUNTIF($C$7:$C$1000,$C944)&gt;1,"⚠️ Duplicado","Verificado")))</f>
        <v/>
      </c>
    </row>
    <row r="945" ht="15.75" customHeight="1" s="176">
      <c r="B945" s="80" t="n"/>
      <c r="C945" s="74" t="n"/>
      <c r="D945" s="74">
        <f t="array" ref="D945">IF($C945="","",IFNA(_xlfn.XLOOKUP($C945,Productos!$A:$A,Productos!$E:$E,IFNA(_xlfn.XLOOKUP(TEXT($C945,"0"),Productos!$A:$A,Productos!$E:$E,IFNA(_xlfn.XLOOKUP(IFERROR(VALUE($C945),""),Productos!$A:$A,Productos!$E:$E,_xlfn.XLOOKUP($C945,Productos!$E:$E,Productos!$E:$E,"NO ENCONTRADO")),"NO ENCONTRADO")),"NO ENCONTRADO")),"NO ENCONTRADO"))</f>
        <v/>
      </c>
      <c r="E945" s="74">
        <f t="array" ref="E945">IF(OR($D945="",$D945="NO ENCONTRADO"),"",_xlfn.XLOOKUP($D945,Productos!$E:$E,Productos!$H:$H,""))</f>
        <v/>
      </c>
      <c r="F945" s="74">
        <f t="array" ref="F945">IF(OR($D945="",$D945="NO ENCONTRADO"),"",_xlfn.XLOOKUP($D945,Productos!$E:$E,Productos!$I:$I,""))</f>
        <v/>
      </c>
      <c r="G945" s="74">
        <f t="array" ref="G945">IF(OR($D945="",$D945="NO ENCONTRADO"),"",_xlfn.XLOOKUP($D945,Productos!$E:$E,Productos!$J:$J,""))</f>
        <v/>
      </c>
      <c r="H945" s="74">
        <f t="array" ref="H945">IF(OR($D945="",$D945="NO ENCONTRADO"),"",_xlfn.XLOOKUP($D945,Productos!$E:$E,Productos!$K:$K,""))</f>
        <v/>
      </c>
      <c r="I945" s="74">
        <f t="array" ref="I945">IF(OR($D945="",$D945="NO ENCONTRADO"),"",_xlfn.XLOOKUP($D945,Productos!$E:$E,Productos!$F:$F,""))</f>
        <v/>
      </c>
      <c r="J945" s="74">
        <f>IF($C945="","",IF($D945="NO ENCONTRADO",IF(COUNTIF($C$7:$C$1000,$C945)&gt;1,"⚠️ No encontrado | Duplicado","⚠️ No encontrado"),IF(COUNTIF($C$7:$C$1000,$C945)&gt;1,"⚠️ Duplicado","Verificado")))</f>
        <v/>
      </c>
    </row>
    <row r="946" ht="15.75" customHeight="1" s="176">
      <c r="B946" s="80" t="n"/>
      <c r="C946" s="74" t="n"/>
      <c r="D946" s="74">
        <f t="array" ref="D946">IF($C946="","",IFNA(_xlfn.XLOOKUP($C946,Productos!$A:$A,Productos!$E:$E,IFNA(_xlfn.XLOOKUP(TEXT($C946,"0"),Productos!$A:$A,Productos!$E:$E,IFNA(_xlfn.XLOOKUP(IFERROR(VALUE($C946),""),Productos!$A:$A,Productos!$E:$E,_xlfn.XLOOKUP($C946,Productos!$E:$E,Productos!$E:$E,"NO ENCONTRADO")),"NO ENCONTRADO")),"NO ENCONTRADO")),"NO ENCONTRADO"))</f>
        <v/>
      </c>
      <c r="E946" s="74">
        <f t="array" ref="E946">IF(OR($D946="",$D946="NO ENCONTRADO"),"",_xlfn.XLOOKUP($D946,Productos!$E:$E,Productos!$H:$H,""))</f>
        <v/>
      </c>
      <c r="F946" s="74">
        <f t="array" ref="F946">IF(OR($D946="",$D946="NO ENCONTRADO"),"",_xlfn.XLOOKUP($D946,Productos!$E:$E,Productos!$I:$I,""))</f>
        <v/>
      </c>
      <c r="G946" s="74">
        <f t="array" ref="G946">IF(OR($D946="",$D946="NO ENCONTRADO"),"",_xlfn.XLOOKUP($D946,Productos!$E:$E,Productos!$J:$J,""))</f>
        <v/>
      </c>
      <c r="H946" s="74">
        <f t="array" ref="H946">IF(OR($D946="",$D946="NO ENCONTRADO"),"",_xlfn.XLOOKUP($D946,Productos!$E:$E,Productos!$K:$K,""))</f>
        <v/>
      </c>
      <c r="I946" s="74">
        <f t="array" ref="I946">IF(OR($D946="",$D946="NO ENCONTRADO"),"",_xlfn.XLOOKUP($D946,Productos!$E:$E,Productos!$F:$F,""))</f>
        <v/>
      </c>
      <c r="J946" s="74">
        <f>IF($C946="","",IF($D946="NO ENCONTRADO",IF(COUNTIF($C$7:$C$1000,$C946)&gt;1,"⚠️ No encontrado | Duplicado","⚠️ No encontrado"),IF(COUNTIF($C$7:$C$1000,$C946)&gt;1,"⚠️ Duplicado","Verificado")))</f>
        <v/>
      </c>
    </row>
    <row r="947" ht="15.75" customHeight="1" s="176">
      <c r="B947" s="80" t="n"/>
      <c r="C947" s="74" t="n"/>
      <c r="D947" s="74">
        <f t="array" ref="D947">IF($C947="","",IFNA(_xlfn.XLOOKUP($C947,Productos!$A:$A,Productos!$E:$E,IFNA(_xlfn.XLOOKUP(TEXT($C947,"0"),Productos!$A:$A,Productos!$E:$E,IFNA(_xlfn.XLOOKUP(IFERROR(VALUE($C947),""),Productos!$A:$A,Productos!$E:$E,_xlfn.XLOOKUP($C947,Productos!$E:$E,Productos!$E:$E,"NO ENCONTRADO")),"NO ENCONTRADO")),"NO ENCONTRADO")),"NO ENCONTRADO"))</f>
        <v/>
      </c>
      <c r="E947" s="74">
        <f t="array" ref="E947">IF(OR($D947="",$D947="NO ENCONTRADO"),"",_xlfn.XLOOKUP($D947,Productos!$E:$E,Productos!$H:$H,""))</f>
        <v/>
      </c>
      <c r="F947" s="74">
        <f t="array" ref="F947">IF(OR($D947="",$D947="NO ENCONTRADO"),"",_xlfn.XLOOKUP($D947,Productos!$E:$E,Productos!$I:$I,""))</f>
        <v/>
      </c>
      <c r="G947" s="74">
        <f t="array" ref="G947">IF(OR($D947="",$D947="NO ENCONTRADO"),"",_xlfn.XLOOKUP($D947,Productos!$E:$E,Productos!$J:$J,""))</f>
        <v/>
      </c>
      <c r="H947" s="74">
        <f t="array" ref="H947">IF(OR($D947="",$D947="NO ENCONTRADO"),"",_xlfn.XLOOKUP($D947,Productos!$E:$E,Productos!$K:$K,""))</f>
        <v/>
      </c>
      <c r="I947" s="74">
        <f t="array" ref="I947">IF(OR($D947="",$D947="NO ENCONTRADO"),"",_xlfn.XLOOKUP($D947,Productos!$E:$E,Productos!$F:$F,""))</f>
        <v/>
      </c>
      <c r="J947" s="74">
        <f>IF($C947="","",IF($D947="NO ENCONTRADO",IF(COUNTIF($C$7:$C$1000,$C947)&gt;1,"⚠️ No encontrado | Duplicado","⚠️ No encontrado"),IF(COUNTIF($C$7:$C$1000,$C947)&gt;1,"⚠️ Duplicado","Verificado")))</f>
        <v/>
      </c>
    </row>
    <row r="948" ht="15.75" customHeight="1" s="176">
      <c r="B948" s="80" t="n"/>
      <c r="C948" s="74" t="n"/>
      <c r="D948" s="74">
        <f t="array" ref="D948">IF($C948="","",IFNA(_xlfn.XLOOKUP($C948,Productos!$A:$A,Productos!$E:$E,IFNA(_xlfn.XLOOKUP(TEXT($C948,"0"),Productos!$A:$A,Productos!$E:$E,IFNA(_xlfn.XLOOKUP(IFERROR(VALUE($C948),""),Productos!$A:$A,Productos!$E:$E,_xlfn.XLOOKUP($C948,Productos!$E:$E,Productos!$E:$E,"NO ENCONTRADO")),"NO ENCONTRADO")),"NO ENCONTRADO")),"NO ENCONTRADO"))</f>
        <v/>
      </c>
      <c r="E948" s="74">
        <f t="array" ref="E948">IF(OR($D948="",$D948="NO ENCONTRADO"),"",_xlfn.XLOOKUP($D948,Productos!$E:$E,Productos!$H:$H,""))</f>
        <v/>
      </c>
      <c r="F948" s="74">
        <f t="array" ref="F948">IF(OR($D948="",$D948="NO ENCONTRADO"),"",_xlfn.XLOOKUP($D948,Productos!$E:$E,Productos!$I:$I,""))</f>
        <v/>
      </c>
      <c r="G948" s="74">
        <f t="array" ref="G948">IF(OR($D948="",$D948="NO ENCONTRADO"),"",_xlfn.XLOOKUP($D948,Productos!$E:$E,Productos!$J:$J,""))</f>
        <v/>
      </c>
      <c r="H948" s="74">
        <f t="array" ref="H948">IF(OR($D948="",$D948="NO ENCONTRADO"),"",_xlfn.XLOOKUP($D948,Productos!$E:$E,Productos!$K:$K,""))</f>
        <v/>
      </c>
      <c r="I948" s="74">
        <f t="array" ref="I948">IF(OR($D948="",$D948="NO ENCONTRADO"),"",_xlfn.XLOOKUP($D948,Productos!$E:$E,Productos!$F:$F,""))</f>
        <v/>
      </c>
      <c r="J948" s="74">
        <f>IF($C948="","",IF($D948="NO ENCONTRADO",IF(COUNTIF($C$7:$C$1000,$C948)&gt;1,"⚠️ No encontrado | Duplicado","⚠️ No encontrado"),IF(COUNTIF($C$7:$C$1000,$C948)&gt;1,"⚠️ Duplicado","Verificado")))</f>
        <v/>
      </c>
    </row>
    <row r="949" ht="15.75" customHeight="1" s="176">
      <c r="B949" s="80" t="n"/>
      <c r="C949" s="74" t="n"/>
      <c r="D949" s="74">
        <f t="array" ref="D949">IF($C949="","",IFNA(_xlfn.XLOOKUP($C949,Productos!$A:$A,Productos!$E:$E,IFNA(_xlfn.XLOOKUP(TEXT($C949,"0"),Productos!$A:$A,Productos!$E:$E,IFNA(_xlfn.XLOOKUP(IFERROR(VALUE($C949),""),Productos!$A:$A,Productos!$E:$E,_xlfn.XLOOKUP($C949,Productos!$E:$E,Productos!$E:$E,"NO ENCONTRADO")),"NO ENCONTRADO")),"NO ENCONTRADO")),"NO ENCONTRADO"))</f>
        <v/>
      </c>
      <c r="E949" s="74">
        <f t="array" ref="E949">IF(OR($D949="",$D949="NO ENCONTRADO"),"",_xlfn.XLOOKUP($D949,Productos!$E:$E,Productos!$H:$H,""))</f>
        <v/>
      </c>
      <c r="F949" s="74">
        <f t="array" ref="F949">IF(OR($D949="",$D949="NO ENCONTRADO"),"",_xlfn.XLOOKUP($D949,Productos!$E:$E,Productos!$I:$I,""))</f>
        <v/>
      </c>
      <c r="G949" s="74">
        <f t="array" ref="G949">IF(OR($D949="",$D949="NO ENCONTRADO"),"",_xlfn.XLOOKUP($D949,Productos!$E:$E,Productos!$J:$J,""))</f>
        <v/>
      </c>
      <c r="H949" s="74">
        <f t="array" ref="H949">IF(OR($D949="",$D949="NO ENCONTRADO"),"",_xlfn.XLOOKUP($D949,Productos!$E:$E,Productos!$K:$K,""))</f>
        <v/>
      </c>
      <c r="I949" s="74">
        <f t="array" ref="I949">IF(OR($D949="",$D949="NO ENCONTRADO"),"",_xlfn.XLOOKUP($D949,Productos!$E:$E,Productos!$F:$F,""))</f>
        <v/>
      </c>
      <c r="J949" s="74">
        <f>IF($C949="","",IF($D949="NO ENCONTRADO",IF(COUNTIF($C$7:$C$1000,$C949)&gt;1,"⚠️ No encontrado | Duplicado","⚠️ No encontrado"),IF(COUNTIF($C$7:$C$1000,$C949)&gt;1,"⚠️ Duplicado","Verificado")))</f>
        <v/>
      </c>
    </row>
    <row r="950" ht="15.75" customHeight="1" s="176">
      <c r="B950" s="80" t="n"/>
      <c r="C950" s="74" t="n"/>
      <c r="D950" s="74">
        <f t="array" ref="D950">IF($C950="","",IFNA(_xlfn.XLOOKUP($C950,Productos!$A:$A,Productos!$E:$E,IFNA(_xlfn.XLOOKUP(TEXT($C950,"0"),Productos!$A:$A,Productos!$E:$E,IFNA(_xlfn.XLOOKUP(IFERROR(VALUE($C950),""),Productos!$A:$A,Productos!$E:$E,_xlfn.XLOOKUP($C950,Productos!$E:$E,Productos!$E:$E,"NO ENCONTRADO")),"NO ENCONTRADO")),"NO ENCONTRADO")),"NO ENCONTRADO"))</f>
        <v/>
      </c>
      <c r="E950" s="74">
        <f t="array" ref="E950">IF(OR($D950="",$D950="NO ENCONTRADO"),"",_xlfn.XLOOKUP($D950,Productos!$E:$E,Productos!$H:$H,""))</f>
        <v/>
      </c>
      <c r="F950" s="74">
        <f t="array" ref="F950">IF(OR($D950="",$D950="NO ENCONTRADO"),"",_xlfn.XLOOKUP($D950,Productos!$E:$E,Productos!$I:$I,""))</f>
        <v/>
      </c>
      <c r="G950" s="74">
        <f t="array" ref="G950">IF(OR($D950="",$D950="NO ENCONTRADO"),"",_xlfn.XLOOKUP($D950,Productos!$E:$E,Productos!$J:$J,""))</f>
        <v/>
      </c>
      <c r="H950" s="74">
        <f t="array" ref="H950">IF(OR($D950="",$D950="NO ENCONTRADO"),"",_xlfn.XLOOKUP($D950,Productos!$E:$E,Productos!$K:$K,""))</f>
        <v/>
      </c>
      <c r="I950" s="74">
        <f t="array" ref="I950">IF(OR($D950="",$D950="NO ENCONTRADO"),"",_xlfn.XLOOKUP($D950,Productos!$E:$E,Productos!$F:$F,""))</f>
        <v/>
      </c>
      <c r="J950" s="74">
        <f>IF($C950="","",IF($D950="NO ENCONTRADO",IF(COUNTIF($C$7:$C$1000,$C950)&gt;1,"⚠️ No encontrado | Duplicado","⚠️ No encontrado"),IF(COUNTIF($C$7:$C$1000,$C950)&gt;1,"⚠️ Duplicado","Verificado")))</f>
        <v/>
      </c>
    </row>
    <row r="951" ht="15.75" customHeight="1" s="176">
      <c r="B951" s="80" t="n"/>
      <c r="C951" s="74" t="n"/>
      <c r="D951" s="74">
        <f t="array" ref="D951">IF($C951="","",IFNA(_xlfn.XLOOKUP($C951,Productos!$A:$A,Productos!$E:$E,IFNA(_xlfn.XLOOKUP(TEXT($C951,"0"),Productos!$A:$A,Productos!$E:$E,IFNA(_xlfn.XLOOKUP(IFERROR(VALUE($C951),""),Productos!$A:$A,Productos!$E:$E,_xlfn.XLOOKUP($C951,Productos!$E:$E,Productos!$E:$E,"NO ENCONTRADO")),"NO ENCONTRADO")),"NO ENCONTRADO")),"NO ENCONTRADO"))</f>
        <v/>
      </c>
      <c r="E951" s="74">
        <f t="array" ref="E951">IF(OR($D951="",$D951="NO ENCONTRADO"),"",_xlfn.XLOOKUP($D951,Productos!$E:$E,Productos!$H:$H,""))</f>
        <v/>
      </c>
      <c r="F951" s="74">
        <f t="array" ref="F951">IF(OR($D951="",$D951="NO ENCONTRADO"),"",_xlfn.XLOOKUP($D951,Productos!$E:$E,Productos!$I:$I,""))</f>
        <v/>
      </c>
      <c r="G951" s="74">
        <f t="array" ref="G951">IF(OR($D951="",$D951="NO ENCONTRADO"),"",_xlfn.XLOOKUP($D951,Productos!$E:$E,Productos!$J:$J,""))</f>
        <v/>
      </c>
      <c r="H951" s="74">
        <f t="array" ref="H951">IF(OR($D951="",$D951="NO ENCONTRADO"),"",_xlfn.XLOOKUP($D951,Productos!$E:$E,Productos!$K:$K,""))</f>
        <v/>
      </c>
      <c r="I951" s="74">
        <f t="array" ref="I951">IF(OR($D951="",$D951="NO ENCONTRADO"),"",_xlfn.XLOOKUP($D951,Productos!$E:$E,Productos!$F:$F,""))</f>
        <v/>
      </c>
      <c r="J951" s="74">
        <f>IF($C951="","",IF($D951="NO ENCONTRADO",IF(COUNTIF($C$7:$C$1000,$C951)&gt;1,"⚠️ No encontrado | Duplicado","⚠️ No encontrado"),IF(COUNTIF($C$7:$C$1000,$C951)&gt;1,"⚠️ Duplicado","Verificado")))</f>
        <v/>
      </c>
    </row>
    <row r="952" ht="15.75" customHeight="1" s="176">
      <c r="B952" s="80" t="n"/>
      <c r="C952" s="74" t="n"/>
      <c r="D952" s="74">
        <f t="array" ref="D952">IF($C952="","",IFNA(_xlfn.XLOOKUP($C952,Productos!$A:$A,Productos!$E:$E,IFNA(_xlfn.XLOOKUP(TEXT($C952,"0"),Productos!$A:$A,Productos!$E:$E,IFNA(_xlfn.XLOOKUP(IFERROR(VALUE($C952),""),Productos!$A:$A,Productos!$E:$E,_xlfn.XLOOKUP($C952,Productos!$E:$E,Productos!$E:$E,"NO ENCONTRADO")),"NO ENCONTRADO")),"NO ENCONTRADO")),"NO ENCONTRADO"))</f>
        <v/>
      </c>
      <c r="E952" s="74">
        <f t="array" ref="E952">IF(OR($D952="",$D952="NO ENCONTRADO"),"",_xlfn.XLOOKUP($D952,Productos!$E:$E,Productos!$H:$H,""))</f>
        <v/>
      </c>
      <c r="F952" s="74">
        <f t="array" ref="F952">IF(OR($D952="",$D952="NO ENCONTRADO"),"",_xlfn.XLOOKUP($D952,Productos!$E:$E,Productos!$I:$I,""))</f>
        <v/>
      </c>
      <c r="G952" s="74">
        <f t="array" ref="G952">IF(OR($D952="",$D952="NO ENCONTRADO"),"",_xlfn.XLOOKUP($D952,Productos!$E:$E,Productos!$J:$J,""))</f>
        <v/>
      </c>
      <c r="H952" s="74">
        <f t="array" ref="H952">IF(OR($D952="",$D952="NO ENCONTRADO"),"",_xlfn.XLOOKUP($D952,Productos!$E:$E,Productos!$K:$K,""))</f>
        <v/>
      </c>
      <c r="I952" s="74">
        <f t="array" ref="I952">IF(OR($D952="",$D952="NO ENCONTRADO"),"",_xlfn.XLOOKUP($D952,Productos!$E:$E,Productos!$F:$F,""))</f>
        <v/>
      </c>
      <c r="J952" s="74">
        <f>IF($C952="","",IF($D952="NO ENCONTRADO",IF(COUNTIF($C$7:$C$1000,$C952)&gt;1,"⚠️ No encontrado | Duplicado","⚠️ No encontrado"),IF(COUNTIF($C$7:$C$1000,$C952)&gt;1,"⚠️ Duplicado","Verificado")))</f>
        <v/>
      </c>
    </row>
    <row r="953" ht="15.75" customHeight="1" s="176">
      <c r="B953" s="80" t="n"/>
      <c r="C953" s="74" t="n"/>
      <c r="D953" s="74">
        <f t="array" ref="D953">IF($C953="","",IFNA(_xlfn.XLOOKUP($C953,Productos!$A:$A,Productos!$E:$E,IFNA(_xlfn.XLOOKUP(TEXT($C953,"0"),Productos!$A:$A,Productos!$E:$E,IFNA(_xlfn.XLOOKUP(IFERROR(VALUE($C953),""),Productos!$A:$A,Productos!$E:$E,_xlfn.XLOOKUP($C953,Productos!$E:$E,Productos!$E:$E,"NO ENCONTRADO")),"NO ENCONTRADO")),"NO ENCONTRADO")),"NO ENCONTRADO"))</f>
        <v/>
      </c>
      <c r="E953" s="74">
        <f t="array" ref="E953">IF(OR($D953="",$D953="NO ENCONTRADO"),"",_xlfn.XLOOKUP($D953,Productos!$E:$E,Productos!$H:$H,""))</f>
        <v/>
      </c>
      <c r="F953" s="74">
        <f t="array" ref="F953">IF(OR($D953="",$D953="NO ENCONTRADO"),"",_xlfn.XLOOKUP($D953,Productos!$E:$E,Productos!$I:$I,""))</f>
        <v/>
      </c>
      <c r="G953" s="74">
        <f t="array" ref="G953">IF(OR($D953="",$D953="NO ENCONTRADO"),"",_xlfn.XLOOKUP($D953,Productos!$E:$E,Productos!$J:$J,""))</f>
        <v/>
      </c>
      <c r="H953" s="74">
        <f t="array" ref="H953">IF(OR($D953="",$D953="NO ENCONTRADO"),"",_xlfn.XLOOKUP($D953,Productos!$E:$E,Productos!$K:$K,""))</f>
        <v/>
      </c>
      <c r="I953" s="74">
        <f t="array" ref="I953">IF(OR($D953="",$D953="NO ENCONTRADO"),"",_xlfn.XLOOKUP($D953,Productos!$E:$E,Productos!$F:$F,""))</f>
        <v/>
      </c>
      <c r="J953" s="74">
        <f>IF($C953="","",IF($D953="NO ENCONTRADO",IF(COUNTIF($C$7:$C$1000,$C953)&gt;1,"⚠️ No encontrado | Duplicado","⚠️ No encontrado"),IF(COUNTIF($C$7:$C$1000,$C953)&gt;1,"⚠️ Duplicado","Verificado")))</f>
        <v/>
      </c>
    </row>
    <row r="954" ht="15.75" customHeight="1" s="176">
      <c r="B954" s="80" t="n"/>
      <c r="C954" s="74" t="n"/>
      <c r="D954" s="74">
        <f t="array" ref="D954">IF($C954="","",IFNA(_xlfn.XLOOKUP($C954,Productos!$A:$A,Productos!$E:$E,IFNA(_xlfn.XLOOKUP(TEXT($C954,"0"),Productos!$A:$A,Productos!$E:$E,IFNA(_xlfn.XLOOKUP(IFERROR(VALUE($C954),""),Productos!$A:$A,Productos!$E:$E,_xlfn.XLOOKUP($C954,Productos!$E:$E,Productos!$E:$E,"NO ENCONTRADO")),"NO ENCONTRADO")),"NO ENCONTRADO")),"NO ENCONTRADO"))</f>
        <v/>
      </c>
      <c r="E954" s="74">
        <f t="array" ref="E954">IF(OR($D954="",$D954="NO ENCONTRADO"),"",_xlfn.XLOOKUP($D954,Productos!$E:$E,Productos!$H:$H,""))</f>
        <v/>
      </c>
      <c r="F954" s="74">
        <f t="array" ref="F954">IF(OR($D954="",$D954="NO ENCONTRADO"),"",_xlfn.XLOOKUP($D954,Productos!$E:$E,Productos!$I:$I,""))</f>
        <v/>
      </c>
      <c r="G954" s="74">
        <f t="array" ref="G954">IF(OR($D954="",$D954="NO ENCONTRADO"),"",_xlfn.XLOOKUP($D954,Productos!$E:$E,Productos!$J:$J,""))</f>
        <v/>
      </c>
      <c r="H954" s="74">
        <f t="array" ref="H954">IF(OR($D954="",$D954="NO ENCONTRADO"),"",_xlfn.XLOOKUP($D954,Productos!$E:$E,Productos!$K:$K,""))</f>
        <v/>
      </c>
      <c r="I954" s="74">
        <f t="array" ref="I954">IF(OR($D954="",$D954="NO ENCONTRADO"),"",_xlfn.XLOOKUP($D954,Productos!$E:$E,Productos!$F:$F,""))</f>
        <v/>
      </c>
      <c r="J954" s="74">
        <f>IF($C954="","",IF($D954="NO ENCONTRADO",IF(COUNTIF($C$7:$C$1000,$C954)&gt;1,"⚠️ No encontrado | Duplicado","⚠️ No encontrado"),IF(COUNTIF($C$7:$C$1000,$C954)&gt;1,"⚠️ Duplicado","Verificado")))</f>
        <v/>
      </c>
    </row>
    <row r="955" ht="15.75" customHeight="1" s="176">
      <c r="B955" s="80" t="n"/>
      <c r="C955" s="74" t="n"/>
      <c r="D955" s="74">
        <f t="array" ref="D955">IF($C955="","",IFNA(_xlfn.XLOOKUP($C955,Productos!$A:$A,Productos!$E:$E,IFNA(_xlfn.XLOOKUP(TEXT($C955,"0"),Productos!$A:$A,Productos!$E:$E,IFNA(_xlfn.XLOOKUP(IFERROR(VALUE($C955),""),Productos!$A:$A,Productos!$E:$E,_xlfn.XLOOKUP($C955,Productos!$E:$E,Productos!$E:$E,"NO ENCONTRADO")),"NO ENCONTRADO")),"NO ENCONTRADO")),"NO ENCONTRADO"))</f>
        <v/>
      </c>
      <c r="E955" s="74">
        <f t="array" ref="E955">IF(OR($D955="",$D955="NO ENCONTRADO"),"",_xlfn.XLOOKUP($D955,Productos!$E:$E,Productos!$H:$H,""))</f>
        <v/>
      </c>
      <c r="F955" s="74">
        <f t="array" ref="F955">IF(OR($D955="",$D955="NO ENCONTRADO"),"",_xlfn.XLOOKUP($D955,Productos!$E:$E,Productos!$I:$I,""))</f>
        <v/>
      </c>
      <c r="G955" s="74">
        <f t="array" ref="G955">IF(OR($D955="",$D955="NO ENCONTRADO"),"",_xlfn.XLOOKUP($D955,Productos!$E:$E,Productos!$J:$J,""))</f>
        <v/>
      </c>
      <c r="H955" s="74">
        <f t="array" ref="H955">IF(OR($D955="",$D955="NO ENCONTRADO"),"",_xlfn.XLOOKUP($D955,Productos!$E:$E,Productos!$K:$K,""))</f>
        <v/>
      </c>
      <c r="I955" s="74">
        <f t="array" ref="I955">IF(OR($D955="",$D955="NO ENCONTRADO"),"",_xlfn.XLOOKUP($D955,Productos!$E:$E,Productos!$F:$F,""))</f>
        <v/>
      </c>
      <c r="J955" s="74">
        <f>IF($C955="","",IF($D955="NO ENCONTRADO",IF(COUNTIF($C$7:$C$1000,$C955)&gt;1,"⚠️ No encontrado | Duplicado","⚠️ No encontrado"),IF(COUNTIF($C$7:$C$1000,$C955)&gt;1,"⚠️ Duplicado","Verificado")))</f>
        <v/>
      </c>
    </row>
    <row r="956" ht="15.75" customHeight="1" s="176">
      <c r="B956" s="80" t="n"/>
      <c r="C956" s="74" t="n"/>
      <c r="D956" s="74">
        <f t="array" ref="D956">IF($C956="","",IFNA(_xlfn.XLOOKUP($C956,Productos!$A:$A,Productos!$E:$E,IFNA(_xlfn.XLOOKUP(TEXT($C956,"0"),Productos!$A:$A,Productos!$E:$E,IFNA(_xlfn.XLOOKUP(IFERROR(VALUE($C956),""),Productos!$A:$A,Productos!$E:$E,_xlfn.XLOOKUP($C956,Productos!$E:$E,Productos!$E:$E,"NO ENCONTRADO")),"NO ENCONTRADO")),"NO ENCONTRADO")),"NO ENCONTRADO"))</f>
        <v/>
      </c>
      <c r="E956" s="74">
        <f t="array" ref="E956">IF(OR($D956="",$D956="NO ENCONTRADO"),"",_xlfn.XLOOKUP($D956,Productos!$E:$E,Productos!$H:$H,""))</f>
        <v/>
      </c>
      <c r="F956" s="74">
        <f t="array" ref="F956">IF(OR($D956="",$D956="NO ENCONTRADO"),"",_xlfn.XLOOKUP($D956,Productos!$E:$E,Productos!$I:$I,""))</f>
        <v/>
      </c>
      <c r="G956" s="74">
        <f t="array" ref="G956">IF(OR($D956="",$D956="NO ENCONTRADO"),"",_xlfn.XLOOKUP($D956,Productos!$E:$E,Productos!$J:$J,""))</f>
        <v/>
      </c>
      <c r="H956" s="74">
        <f t="array" ref="H956">IF(OR($D956="",$D956="NO ENCONTRADO"),"",_xlfn.XLOOKUP($D956,Productos!$E:$E,Productos!$K:$K,""))</f>
        <v/>
      </c>
      <c r="I956" s="74">
        <f t="array" ref="I956">IF(OR($D956="",$D956="NO ENCONTRADO"),"",_xlfn.XLOOKUP($D956,Productos!$E:$E,Productos!$F:$F,""))</f>
        <v/>
      </c>
      <c r="J956" s="74">
        <f>IF($C956="","",IF($D956="NO ENCONTRADO",IF(COUNTIF($C$7:$C$1000,$C956)&gt;1,"⚠️ No encontrado | Duplicado","⚠️ No encontrado"),IF(COUNTIF($C$7:$C$1000,$C956)&gt;1,"⚠️ Duplicado","Verificado")))</f>
        <v/>
      </c>
    </row>
    <row r="957" ht="15.75" customHeight="1" s="176">
      <c r="B957" s="80" t="n"/>
      <c r="C957" s="74" t="n"/>
      <c r="D957" s="74">
        <f t="array" ref="D957">IF($C957="","",IFNA(_xlfn.XLOOKUP($C957,Productos!$A:$A,Productos!$E:$E,IFNA(_xlfn.XLOOKUP(TEXT($C957,"0"),Productos!$A:$A,Productos!$E:$E,IFNA(_xlfn.XLOOKUP(IFERROR(VALUE($C957),""),Productos!$A:$A,Productos!$E:$E,_xlfn.XLOOKUP($C957,Productos!$E:$E,Productos!$E:$E,"NO ENCONTRADO")),"NO ENCONTRADO")),"NO ENCONTRADO")),"NO ENCONTRADO"))</f>
        <v/>
      </c>
      <c r="E957" s="74">
        <f t="array" ref="E957">IF(OR($D957="",$D957="NO ENCONTRADO"),"",_xlfn.XLOOKUP($D957,Productos!$E:$E,Productos!$H:$H,""))</f>
        <v/>
      </c>
      <c r="F957" s="74">
        <f t="array" ref="F957">IF(OR($D957="",$D957="NO ENCONTRADO"),"",_xlfn.XLOOKUP($D957,Productos!$E:$E,Productos!$I:$I,""))</f>
        <v/>
      </c>
      <c r="G957" s="74">
        <f t="array" ref="G957">IF(OR($D957="",$D957="NO ENCONTRADO"),"",_xlfn.XLOOKUP($D957,Productos!$E:$E,Productos!$J:$J,""))</f>
        <v/>
      </c>
      <c r="H957" s="74">
        <f t="array" ref="H957">IF(OR($D957="",$D957="NO ENCONTRADO"),"",_xlfn.XLOOKUP($D957,Productos!$E:$E,Productos!$K:$K,""))</f>
        <v/>
      </c>
      <c r="I957" s="74">
        <f t="array" ref="I957">IF(OR($D957="",$D957="NO ENCONTRADO"),"",_xlfn.XLOOKUP($D957,Productos!$E:$E,Productos!$F:$F,""))</f>
        <v/>
      </c>
      <c r="J957" s="74">
        <f>IF($C957="","",IF($D957="NO ENCONTRADO",IF(COUNTIF($C$7:$C$1000,$C957)&gt;1,"⚠️ No encontrado | Duplicado","⚠️ No encontrado"),IF(COUNTIF($C$7:$C$1000,$C957)&gt;1,"⚠️ Duplicado","Verificado")))</f>
        <v/>
      </c>
    </row>
    <row r="958" ht="15.75" customHeight="1" s="176">
      <c r="B958" s="80" t="n"/>
      <c r="C958" s="74" t="n"/>
      <c r="D958" s="74">
        <f t="array" ref="D958">IF($C958="","",IFNA(_xlfn.XLOOKUP($C958,Productos!$A:$A,Productos!$E:$E,IFNA(_xlfn.XLOOKUP(TEXT($C958,"0"),Productos!$A:$A,Productos!$E:$E,IFNA(_xlfn.XLOOKUP(IFERROR(VALUE($C958),""),Productos!$A:$A,Productos!$E:$E,_xlfn.XLOOKUP($C958,Productos!$E:$E,Productos!$E:$E,"NO ENCONTRADO")),"NO ENCONTRADO")),"NO ENCONTRADO")),"NO ENCONTRADO"))</f>
        <v/>
      </c>
      <c r="E958" s="74">
        <f t="array" ref="E958">IF(OR($D958="",$D958="NO ENCONTRADO"),"",_xlfn.XLOOKUP($D958,Productos!$E:$E,Productos!$H:$H,""))</f>
        <v/>
      </c>
      <c r="F958" s="74">
        <f t="array" ref="F958">IF(OR($D958="",$D958="NO ENCONTRADO"),"",_xlfn.XLOOKUP($D958,Productos!$E:$E,Productos!$I:$I,""))</f>
        <v/>
      </c>
      <c r="G958" s="74">
        <f t="array" ref="G958">IF(OR($D958="",$D958="NO ENCONTRADO"),"",_xlfn.XLOOKUP($D958,Productos!$E:$E,Productos!$J:$J,""))</f>
        <v/>
      </c>
      <c r="H958" s="74">
        <f t="array" ref="H958">IF(OR($D958="",$D958="NO ENCONTRADO"),"",_xlfn.XLOOKUP($D958,Productos!$E:$E,Productos!$K:$K,""))</f>
        <v/>
      </c>
      <c r="I958" s="74">
        <f t="array" ref="I958">IF(OR($D958="",$D958="NO ENCONTRADO"),"",_xlfn.XLOOKUP($D958,Productos!$E:$E,Productos!$F:$F,""))</f>
        <v/>
      </c>
      <c r="J958" s="74">
        <f>IF($C958="","",IF($D958="NO ENCONTRADO",IF(COUNTIF($C$7:$C$1000,$C958)&gt;1,"⚠️ No encontrado | Duplicado","⚠️ No encontrado"),IF(COUNTIF($C$7:$C$1000,$C958)&gt;1,"⚠️ Duplicado","Verificado")))</f>
        <v/>
      </c>
    </row>
    <row r="959" ht="15.75" customHeight="1" s="176">
      <c r="B959" s="80" t="n"/>
      <c r="C959" s="74" t="n"/>
      <c r="D959" s="74">
        <f t="array" ref="D959">IF($C959="","",IFNA(_xlfn.XLOOKUP($C959,Productos!$A:$A,Productos!$E:$E,IFNA(_xlfn.XLOOKUP(TEXT($C959,"0"),Productos!$A:$A,Productos!$E:$E,IFNA(_xlfn.XLOOKUP(IFERROR(VALUE($C959),""),Productos!$A:$A,Productos!$E:$E,_xlfn.XLOOKUP($C959,Productos!$E:$E,Productos!$E:$E,"NO ENCONTRADO")),"NO ENCONTRADO")),"NO ENCONTRADO")),"NO ENCONTRADO"))</f>
        <v/>
      </c>
      <c r="E959" s="74">
        <f t="array" ref="E959">IF(OR($D959="",$D959="NO ENCONTRADO"),"",_xlfn.XLOOKUP($D959,Productos!$E:$E,Productos!$H:$H,""))</f>
        <v/>
      </c>
      <c r="F959" s="74">
        <f t="array" ref="F959">IF(OR($D959="",$D959="NO ENCONTRADO"),"",_xlfn.XLOOKUP($D959,Productos!$E:$E,Productos!$I:$I,""))</f>
        <v/>
      </c>
      <c r="G959" s="74">
        <f t="array" ref="G959">IF(OR($D959="",$D959="NO ENCONTRADO"),"",_xlfn.XLOOKUP($D959,Productos!$E:$E,Productos!$J:$J,""))</f>
        <v/>
      </c>
      <c r="H959" s="74">
        <f t="array" ref="H959">IF(OR($D959="",$D959="NO ENCONTRADO"),"",_xlfn.XLOOKUP($D959,Productos!$E:$E,Productos!$K:$K,""))</f>
        <v/>
      </c>
      <c r="I959" s="74">
        <f t="array" ref="I959">IF(OR($D959="",$D959="NO ENCONTRADO"),"",_xlfn.XLOOKUP($D959,Productos!$E:$E,Productos!$F:$F,""))</f>
        <v/>
      </c>
      <c r="J959" s="74">
        <f>IF($C959="","",IF($D959="NO ENCONTRADO",IF(COUNTIF($C$7:$C$1000,$C959)&gt;1,"⚠️ No encontrado | Duplicado","⚠️ No encontrado"),IF(COUNTIF($C$7:$C$1000,$C959)&gt;1,"⚠️ Duplicado","Verificado")))</f>
        <v/>
      </c>
    </row>
    <row r="960" ht="15.75" customHeight="1" s="176">
      <c r="B960" s="80" t="n"/>
      <c r="C960" s="74" t="n"/>
      <c r="D960" s="74">
        <f t="array" ref="D960">IF($C960="","",IFNA(_xlfn.XLOOKUP($C960,Productos!$A:$A,Productos!$E:$E,IFNA(_xlfn.XLOOKUP(TEXT($C960,"0"),Productos!$A:$A,Productos!$E:$E,IFNA(_xlfn.XLOOKUP(IFERROR(VALUE($C960),""),Productos!$A:$A,Productos!$E:$E,_xlfn.XLOOKUP($C960,Productos!$E:$E,Productos!$E:$E,"NO ENCONTRADO")),"NO ENCONTRADO")),"NO ENCONTRADO")),"NO ENCONTRADO"))</f>
        <v/>
      </c>
      <c r="E960" s="74">
        <f t="array" ref="E960">IF(OR($D960="",$D960="NO ENCONTRADO"),"",_xlfn.XLOOKUP($D960,Productos!$E:$E,Productos!$H:$H,""))</f>
        <v/>
      </c>
      <c r="F960" s="74">
        <f t="array" ref="F960">IF(OR($D960="",$D960="NO ENCONTRADO"),"",_xlfn.XLOOKUP($D960,Productos!$E:$E,Productos!$I:$I,""))</f>
        <v/>
      </c>
      <c r="G960" s="74">
        <f t="array" ref="G960">IF(OR($D960="",$D960="NO ENCONTRADO"),"",_xlfn.XLOOKUP($D960,Productos!$E:$E,Productos!$J:$J,""))</f>
        <v/>
      </c>
      <c r="H960" s="74">
        <f t="array" ref="H960">IF(OR($D960="",$D960="NO ENCONTRADO"),"",_xlfn.XLOOKUP($D960,Productos!$E:$E,Productos!$K:$K,""))</f>
        <v/>
      </c>
      <c r="I960" s="74">
        <f t="array" ref="I960">IF(OR($D960="",$D960="NO ENCONTRADO"),"",_xlfn.XLOOKUP($D960,Productos!$E:$E,Productos!$F:$F,""))</f>
        <v/>
      </c>
      <c r="J960" s="74">
        <f>IF($C960="","",IF($D960="NO ENCONTRADO",IF(COUNTIF($C$7:$C$1000,$C960)&gt;1,"⚠️ No encontrado | Duplicado","⚠️ No encontrado"),IF(COUNTIF($C$7:$C$1000,$C960)&gt;1,"⚠️ Duplicado","Verificado")))</f>
        <v/>
      </c>
    </row>
    <row r="961" ht="15.75" customHeight="1" s="176">
      <c r="B961" s="80" t="n"/>
      <c r="C961" s="74" t="n"/>
      <c r="D961" s="74">
        <f t="array" ref="D961">IF($C961="","",IFNA(_xlfn.XLOOKUP($C961,Productos!$A:$A,Productos!$E:$E,IFNA(_xlfn.XLOOKUP(TEXT($C961,"0"),Productos!$A:$A,Productos!$E:$E,IFNA(_xlfn.XLOOKUP(IFERROR(VALUE($C961),""),Productos!$A:$A,Productos!$E:$E,_xlfn.XLOOKUP($C961,Productos!$E:$E,Productos!$E:$E,"NO ENCONTRADO")),"NO ENCONTRADO")),"NO ENCONTRADO")),"NO ENCONTRADO"))</f>
        <v/>
      </c>
      <c r="E961" s="74">
        <f t="array" ref="E961">IF(OR($D961="",$D961="NO ENCONTRADO"),"",_xlfn.XLOOKUP($D961,Productos!$E:$E,Productos!$H:$H,""))</f>
        <v/>
      </c>
      <c r="F961" s="74">
        <f t="array" ref="F961">IF(OR($D961="",$D961="NO ENCONTRADO"),"",_xlfn.XLOOKUP($D961,Productos!$E:$E,Productos!$I:$I,""))</f>
        <v/>
      </c>
      <c r="G961" s="74">
        <f t="array" ref="G961">IF(OR($D961="",$D961="NO ENCONTRADO"),"",_xlfn.XLOOKUP($D961,Productos!$E:$E,Productos!$J:$J,""))</f>
        <v/>
      </c>
      <c r="H961" s="74">
        <f t="array" ref="H961">IF(OR($D961="",$D961="NO ENCONTRADO"),"",_xlfn.XLOOKUP($D961,Productos!$E:$E,Productos!$K:$K,""))</f>
        <v/>
      </c>
      <c r="I961" s="74">
        <f t="array" ref="I961">IF(OR($D961="",$D961="NO ENCONTRADO"),"",_xlfn.XLOOKUP($D961,Productos!$E:$E,Productos!$F:$F,""))</f>
        <v/>
      </c>
      <c r="J961" s="74">
        <f>IF($C961="","",IF($D961="NO ENCONTRADO",IF(COUNTIF($C$7:$C$1000,$C961)&gt;1,"⚠️ No encontrado | Duplicado","⚠️ No encontrado"),IF(COUNTIF($C$7:$C$1000,$C961)&gt;1,"⚠️ Duplicado","Verificado")))</f>
        <v/>
      </c>
    </row>
    <row r="962" ht="15.75" customHeight="1" s="176">
      <c r="B962" s="80" t="n"/>
      <c r="C962" s="74" t="n"/>
      <c r="D962" s="74">
        <f t="array" ref="D962">IF($C962="","",IFNA(_xlfn.XLOOKUP($C962,Productos!$A:$A,Productos!$E:$E,IFNA(_xlfn.XLOOKUP(TEXT($C962,"0"),Productos!$A:$A,Productos!$E:$E,IFNA(_xlfn.XLOOKUP(IFERROR(VALUE($C962),""),Productos!$A:$A,Productos!$E:$E,_xlfn.XLOOKUP($C962,Productos!$E:$E,Productos!$E:$E,"NO ENCONTRADO")),"NO ENCONTRADO")),"NO ENCONTRADO")),"NO ENCONTRADO"))</f>
        <v/>
      </c>
      <c r="E962" s="74">
        <f t="array" ref="E962">IF(OR($D962="",$D962="NO ENCONTRADO"),"",_xlfn.XLOOKUP($D962,Productos!$E:$E,Productos!$H:$H,""))</f>
        <v/>
      </c>
      <c r="F962" s="74">
        <f t="array" ref="F962">IF(OR($D962="",$D962="NO ENCONTRADO"),"",_xlfn.XLOOKUP($D962,Productos!$E:$E,Productos!$I:$I,""))</f>
        <v/>
      </c>
      <c r="G962" s="74">
        <f t="array" ref="G962">IF(OR($D962="",$D962="NO ENCONTRADO"),"",_xlfn.XLOOKUP($D962,Productos!$E:$E,Productos!$J:$J,""))</f>
        <v/>
      </c>
      <c r="H962" s="74">
        <f t="array" ref="H962">IF(OR($D962="",$D962="NO ENCONTRADO"),"",_xlfn.XLOOKUP($D962,Productos!$E:$E,Productos!$K:$K,""))</f>
        <v/>
      </c>
      <c r="I962" s="74">
        <f t="array" ref="I962">IF(OR($D962="",$D962="NO ENCONTRADO"),"",_xlfn.XLOOKUP($D962,Productos!$E:$E,Productos!$F:$F,""))</f>
        <v/>
      </c>
      <c r="J962" s="74">
        <f>IF($C962="","",IF($D962="NO ENCONTRADO",IF(COUNTIF($C$7:$C$1000,$C962)&gt;1,"⚠️ No encontrado | Duplicado","⚠️ No encontrado"),IF(COUNTIF($C$7:$C$1000,$C962)&gt;1,"⚠️ Duplicado","Verificado")))</f>
        <v/>
      </c>
    </row>
    <row r="963" ht="15.75" customHeight="1" s="176">
      <c r="B963" s="80" t="n"/>
      <c r="C963" s="74" t="n"/>
      <c r="D963" s="74">
        <f t="array" ref="D963">IF($C963="","",IFNA(_xlfn.XLOOKUP($C963,Productos!$A:$A,Productos!$E:$E,IFNA(_xlfn.XLOOKUP(TEXT($C963,"0"),Productos!$A:$A,Productos!$E:$E,IFNA(_xlfn.XLOOKUP(IFERROR(VALUE($C963),""),Productos!$A:$A,Productos!$E:$E,_xlfn.XLOOKUP($C963,Productos!$E:$E,Productos!$E:$E,"NO ENCONTRADO")),"NO ENCONTRADO")),"NO ENCONTRADO")),"NO ENCONTRADO"))</f>
        <v/>
      </c>
      <c r="E963" s="74">
        <f t="array" ref="E963">IF(OR($D963="",$D963="NO ENCONTRADO"),"",_xlfn.XLOOKUP($D963,Productos!$E:$E,Productos!$H:$H,""))</f>
        <v/>
      </c>
      <c r="F963" s="74">
        <f t="array" ref="F963">IF(OR($D963="",$D963="NO ENCONTRADO"),"",_xlfn.XLOOKUP($D963,Productos!$E:$E,Productos!$I:$I,""))</f>
        <v/>
      </c>
      <c r="G963" s="74">
        <f t="array" ref="G963">IF(OR($D963="",$D963="NO ENCONTRADO"),"",_xlfn.XLOOKUP($D963,Productos!$E:$E,Productos!$J:$J,""))</f>
        <v/>
      </c>
      <c r="H963" s="74">
        <f t="array" ref="H963">IF(OR($D963="",$D963="NO ENCONTRADO"),"",_xlfn.XLOOKUP($D963,Productos!$E:$E,Productos!$K:$K,""))</f>
        <v/>
      </c>
      <c r="I963" s="74">
        <f t="array" ref="I963">IF(OR($D963="",$D963="NO ENCONTRADO"),"",_xlfn.XLOOKUP($D963,Productos!$E:$E,Productos!$F:$F,""))</f>
        <v/>
      </c>
      <c r="J963" s="74">
        <f>IF($C963="","",IF($D963="NO ENCONTRADO",IF(COUNTIF($C$7:$C$1000,$C963)&gt;1,"⚠️ No encontrado | Duplicado","⚠️ No encontrado"),IF(COUNTIF($C$7:$C$1000,$C963)&gt;1,"⚠️ Duplicado","Verificado")))</f>
        <v/>
      </c>
    </row>
    <row r="964" ht="15.75" customHeight="1" s="176">
      <c r="B964" s="80" t="n"/>
      <c r="C964" s="74" t="n"/>
      <c r="D964" s="74">
        <f t="array" ref="D964">IF($C964="","",IFNA(_xlfn.XLOOKUP($C964,Productos!$A:$A,Productos!$E:$E,IFNA(_xlfn.XLOOKUP(TEXT($C964,"0"),Productos!$A:$A,Productos!$E:$E,IFNA(_xlfn.XLOOKUP(IFERROR(VALUE($C964),""),Productos!$A:$A,Productos!$E:$E,_xlfn.XLOOKUP($C964,Productos!$E:$E,Productos!$E:$E,"NO ENCONTRADO")),"NO ENCONTRADO")),"NO ENCONTRADO")),"NO ENCONTRADO"))</f>
        <v/>
      </c>
      <c r="E964" s="74">
        <f t="array" ref="E964">IF(OR($D964="",$D964="NO ENCONTRADO"),"",_xlfn.XLOOKUP($D964,Productos!$E:$E,Productos!$H:$H,""))</f>
        <v/>
      </c>
      <c r="F964" s="74">
        <f t="array" ref="F964">IF(OR($D964="",$D964="NO ENCONTRADO"),"",_xlfn.XLOOKUP($D964,Productos!$E:$E,Productos!$I:$I,""))</f>
        <v/>
      </c>
      <c r="G964" s="74">
        <f t="array" ref="G964">IF(OR($D964="",$D964="NO ENCONTRADO"),"",_xlfn.XLOOKUP($D964,Productos!$E:$E,Productos!$J:$J,""))</f>
        <v/>
      </c>
      <c r="H964" s="74">
        <f t="array" ref="H964">IF(OR($D964="",$D964="NO ENCONTRADO"),"",_xlfn.XLOOKUP($D964,Productos!$E:$E,Productos!$K:$K,""))</f>
        <v/>
      </c>
      <c r="I964" s="74">
        <f t="array" ref="I964">IF(OR($D964="",$D964="NO ENCONTRADO"),"",_xlfn.XLOOKUP($D964,Productos!$E:$E,Productos!$F:$F,""))</f>
        <v/>
      </c>
      <c r="J964" s="74">
        <f>IF($C964="","",IF($D964="NO ENCONTRADO",IF(COUNTIF($C$7:$C$1000,$C964)&gt;1,"⚠️ No encontrado | Duplicado","⚠️ No encontrado"),IF(COUNTIF($C$7:$C$1000,$C964)&gt;1,"⚠️ Duplicado","Verificado")))</f>
        <v/>
      </c>
    </row>
    <row r="965" ht="15.75" customHeight="1" s="176">
      <c r="B965" s="80" t="n"/>
      <c r="C965" s="74" t="n"/>
      <c r="D965" s="74">
        <f t="array" ref="D965">IF($C965="","",IFNA(_xlfn.XLOOKUP($C965,Productos!$A:$A,Productos!$E:$E,IFNA(_xlfn.XLOOKUP(TEXT($C965,"0"),Productos!$A:$A,Productos!$E:$E,IFNA(_xlfn.XLOOKUP(IFERROR(VALUE($C965),""),Productos!$A:$A,Productos!$E:$E,_xlfn.XLOOKUP($C965,Productos!$E:$E,Productos!$E:$E,"NO ENCONTRADO")),"NO ENCONTRADO")),"NO ENCONTRADO")),"NO ENCONTRADO"))</f>
        <v/>
      </c>
      <c r="E965" s="74">
        <f t="array" ref="E965">IF(OR($D965="",$D965="NO ENCONTRADO"),"",_xlfn.XLOOKUP($D965,Productos!$E:$E,Productos!$H:$H,""))</f>
        <v/>
      </c>
      <c r="F965" s="74">
        <f t="array" ref="F965">IF(OR($D965="",$D965="NO ENCONTRADO"),"",_xlfn.XLOOKUP($D965,Productos!$E:$E,Productos!$I:$I,""))</f>
        <v/>
      </c>
      <c r="G965" s="74">
        <f t="array" ref="G965">IF(OR($D965="",$D965="NO ENCONTRADO"),"",_xlfn.XLOOKUP($D965,Productos!$E:$E,Productos!$J:$J,""))</f>
        <v/>
      </c>
      <c r="H965" s="74">
        <f t="array" ref="H965">IF(OR($D965="",$D965="NO ENCONTRADO"),"",_xlfn.XLOOKUP($D965,Productos!$E:$E,Productos!$K:$K,""))</f>
        <v/>
      </c>
      <c r="I965" s="74">
        <f t="array" ref="I965">IF(OR($D965="",$D965="NO ENCONTRADO"),"",_xlfn.XLOOKUP($D965,Productos!$E:$E,Productos!$F:$F,""))</f>
        <v/>
      </c>
      <c r="J965" s="74">
        <f>IF($C965="","",IF($D965="NO ENCONTRADO",IF(COUNTIF($C$7:$C$1000,$C965)&gt;1,"⚠️ No encontrado | Duplicado","⚠️ No encontrado"),IF(COUNTIF($C$7:$C$1000,$C965)&gt;1,"⚠️ Duplicado","Verificado")))</f>
        <v/>
      </c>
    </row>
    <row r="966" ht="15.75" customHeight="1" s="176">
      <c r="B966" s="80" t="n"/>
      <c r="C966" s="74" t="n"/>
      <c r="D966" s="74">
        <f t="array" ref="D966">IF($C966="","",IFNA(_xlfn.XLOOKUP($C966,Productos!$A:$A,Productos!$E:$E,IFNA(_xlfn.XLOOKUP(TEXT($C966,"0"),Productos!$A:$A,Productos!$E:$E,IFNA(_xlfn.XLOOKUP(IFERROR(VALUE($C966),""),Productos!$A:$A,Productos!$E:$E,_xlfn.XLOOKUP($C966,Productos!$E:$E,Productos!$E:$E,"NO ENCONTRADO")),"NO ENCONTRADO")),"NO ENCONTRADO")),"NO ENCONTRADO"))</f>
        <v/>
      </c>
      <c r="E966" s="74">
        <f t="array" ref="E966">IF(OR($D966="",$D966="NO ENCONTRADO"),"",_xlfn.XLOOKUP($D966,Productos!$E:$E,Productos!$H:$H,""))</f>
        <v/>
      </c>
      <c r="F966" s="74">
        <f t="array" ref="F966">IF(OR($D966="",$D966="NO ENCONTRADO"),"",_xlfn.XLOOKUP($D966,Productos!$E:$E,Productos!$I:$I,""))</f>
        <v/>
      </c>
      <c r="G966" s="74">
        <f t="array" ref="G966">IF(OR($D966="",$D966="NO ENCONTRADO"),"",_xlfn.XLOOKUP($D966,Productos!$E:$E,Productos!$J:$J,""))</f>
        <v/>
      </c>
      <c r="H966" s="74">
        <f t="array" ref="H966">IF(OR($D966="",$D966="NO ENCONTRADO"),"",_xlfn.XLOOKUP($D966,Productos!$E:$E,Productos!$K:$K,""))</f>
        <v/>
      </c>
      <c r="I966" s="74">
        <f t="array" ref="I966">IF(OR($D966="",$D966="NO ENCONTRADO"),"",_xlfn.XLOOKUP($D966,Productos!$E:$E,Productos!$F:$F,""))</f>
        <v/>
      </c>
      <c r="J966" s="74">
        <f>IF($C966="","",IF($D966="NO ENCONTRADO",IF(COUNTIF($C$7:$C$1000,$C966)&gt;1,"⚠️ No encontrado | Duplicado","⚠️ No encontrado"),IF(COUNTIF($C$7:$C$1000,$C966)&gt;1,"⚠️ Duplicado","Verificado")))</f>
        <v/>
      </c>
    </row>
    <row r="967" ht="15.75" customHeight="1" s="176">
      <c r="B967" s="80" t="n"/>
      <c r="C967" s="74" t="n"/>
      <c r="D967" s="74">
        <f t="array" ref="D967">IF($C967="","",IFNA(_xlfn.XLOOKUP($C967,Productos!$A:$A,Productos!$E:$E,IFNA(_xlfn.XLOOKUP(TEXT($C967,"0"),Productos!$A:$A,Productos!$E:$E,IFNA(_xlfn.XLOOKUP(IFERROR(VALUE($C967),""),Productos!$A:$A,Productos!$E:$E,_xlfn.XLOOKUP($C967,Productos!$E:$E,Productos!$E:$E,"NO ENCONTRADO")),"NO ENCONTRADO")),"NO ENCONTRADO")),"NO ENCONTRADO"))</f>
        <v/>
      </c>
      <c r="E967" s="74">
        <f t="array" ref="E967">IF(OR($D967="",$D967="NO ENCONTRADO"),"",_xlfn.XLOOKUP($D967,Productos!$E:$E,Productos!$H:$H,""))</f>
        <v/>
      </c>
      <c r="F967" s="74">
        <f t="array" ref="F967">IF(OR($D967="",$D967="NO ENCONTRADO"),"",_xlfn.XLOOKUP($D967,Productos!$E:$E,Productos!$I:$I,""))</f>
        <v/>
      </c>
      <c r="G967" s="74">
        <f t="array" ref="G967">IF(OR($D967="",$D967="NO ENCONTRADO"),"",_xlfn.XLOOKUP($D967,Productos!$E:$E,Productos!$J:$J,""))</f>
        <v/>
      </c>
      <c r="H967" s="74">
        <f t="array" ref="H967">IF(OR($D967="",$D967="NO ENCONTRADO"),"",_xlfn.XLOOKUP($D967,Productos!$E:$E,Productos!$K:$K,""))</f>
        <v/>
      </c>
      <c r="I967" s="74">
        <f t="array" ref="I967">IF(OR($D967="",$D967="NO ENCONTRADO"),"",_xlfn.XLOOKUP($D967,Productos!$E:$E,Productos!$F:$F,""))</f>
        <v/>
      </c>
      <c r="J967" s="74">
        <f>IF($C967="","",IF($D967="NO ENCONTRADO",IF(COUNTIF($C$7:$C$1000,$C967)&gt;1,"⚠️ No encontrado | Duplicado","⚠️ No encontrado"),IF(COUNTIF($C$7:$C$1000,$C967)&gt;1,"⚠️ Duplicado","Verificado")))</f>
        <v/>
      </c>
    </row>
    <row r="968" ht="15.75" customHeight="1" s="176">
      <c r="B968" s="80" t="n"/>
      <c r="C968" s="74" t="n"/>
      <c r="D968" s="74">
        <f t="array" ref="D968">IF($C968="","",IFNA(_xlfn.XLOOKUP($C968,Productos!$A:$A,Productos!$E:$E,IFNA(_xlfn.XLOOKUP(TEXT($C968,"0"),Productos!$A:$A,Productos!$E:$E,IFNA(_xlfn.XLOOKUP(IFERROR(VALUE($C968),""),Productos!$A:$A,Productos!$E:$E,_xlfn.XLOOKUP($C968,Productos!$E:$E,Productos!$E:$E,"NO ENCONTRADO")),"NO ENCONTRADO")),"NO ENCONTRADO")),"NO ENCONTRADO"))</f>
        <v/>
      </c>
      <c r="E968" s="74">
        <f t="array" ref="E968">IF(OR($D968="",$D968="NO ENCONTRADO"),"",_xlfn.XLOOKUP($D968,Productos!$E:$E,Productos!$H:$H,""))</f>
        <v/>
      </c>
      <c r="F968" s="74">
        <f t="array" ref="F968">IF(OR($D968="",$D968="NO ENCONTRADO"),"",_xlfn.XLOOKUP($D968,Productos!$E:$E,Productos!$I:$I,""))</f>
        <v/>
      </c>
      <c r="G968" s="74">
        <f t="array" ref="G968">IF(OR($D968="",$D968="NO ENCONTRADO"),"",_xlfn.XLOOKUP($D968,Productos!$E:$E,Productos!$J:$J,""))</f>
        <v/>
      </c>
      <c r="H968" s="74">
        <f t="array" ref="H968">IF(OR($D968="",$D968="NO ENCONTRADO"),"",_xlfn.XLOOKUP($D968,Productos!$E:$E,Productos!$K:$K,""))</f>
        <v/>
      </c>
      <c r="I968" s="74">
        <f t="array" ref="I968">IF(OR($D968="",$D968="NO ENCONTRADO"),"",_xlfn.XLOOKUP($D968,Productos!$E:$E,Productos!$F:$F,""))</f>
        <v/>
      </c>
      <c r="J968" s="74">
        <f>IF($C968="","",IF($D968="NO ENCONTRADO",IF(COUNTIF($C$7:$C$1000,$C968)&gt;1,"⚠️ No encontrado | Duplicado","⚠️ No encontrado"),IF(COUNTIF($C$7:$C$1000,$C968)&gt;1,"⚠️ Duplicado","Verificado")))</f>
        <v/>
      </c>
    </row>
    <row r="969" ht="15.75" customHeight="1" s="176">
      <c r="B969" s="80" t="n"/>
      <c r="C969" s="74" t="n"/>
      <c r="D969" s="74">
        <f t="array" ref="D969">IF($C969="","",IFNA(_xlfn.XLOOKUP($C969,Productos!$A:$A,Productos!$E:$E,IFNA(_xlfn.XLOOKUP(TEXT($C969,"0"),Productos!$A:$A,Productos!$E:$E,IFNA(_xlfn.XLOOKUP(IFERROR(VALUE($C969),""),Productos!$A:$A,Productos!$E:$E,_xlfn.XLOOKUP($C969,Productos!$E:$E,Productos!$E:$E,"NO ENCONTRADO")),"NO ENCONTRADO")),"NO ENCONTRADO")),"NO ENCONTRADO"))</f>
        <v/>
      </c>
      <c r="E969" s="74">
        <f t="array" ref="E969">IF(OR($D969="",$D969="NO ENCONTRADO"),"",_xlfn.XLOOKUP($D969,Productos!$E:$E,Productos!$H:$H,""))</f>
        <v/>
      </c>
      <c r="F969" s="74">
        <f t="array" ref="F969">IF(OR($D969="",$D969="NO ENCONTRADO"),"",_xlfn.XLOOKUP($D969,Productos!$E:$E,Productos!$I:$I,""))</f>
        <v/>
      </c>
      <c r="G969" s="74">
        <f t="array" ref="G969">IF(OR($D969="",$D969="NO ENCONTRADO"),"",_xlfn.XLOOKUP($D969,Productos!$E:$E,Productos!$J:$J,""))</f>
        <v/>
      </c>
      <c r="H969" s="74">
        <f t="array" ref="H969">IF(OR($D969="",$D969="NO ENCONTRADO"),"",_xlfn.XLOOKUP($D969,Productos!$E:$E,Productos!$K:$K,""))</f>
        <v/>
      </c>
      <c r="I969" s="74">
        <f t="array" ref="I969">IF(OR($D969="",$D969="NO ENCONTRADO"),"",_xlfn.XLOOKUP($D969,Productos!$E:$E,Productos!$F:$F,""))</f>
        <v/>
      </c>
      <c r="J969" s="74">
        <f>IF($C969="","",IF($D969="NO ENCONTRADO",IF(COUNTIF($C$7:$C$1000,$C969)&gt;1,"⚠️ No encontrado | Duplicado","⚠️ No encontrado"),IF(COUNTIF($C$7:$C$1000,$C969)&gt;1,"⚠️ Duplicado","Verificado")))</f>
        <v/>
      </c>
    </row>
    <row r="970" ht="15.75" customHeight="1" s="176">
      <c r="B970" s="80" t="n"/>
      <c r="C970" s="74" t="n"/>
      <c r="D970" s="74">
        <f t="array" ref="D970">IF($C970="","",IFNA(_xlfn.XLOOKUP($C970,Productos!$A:$A,Productos!$E:$E,IFNA(_xlfn.XLOOKUP(TEXT($C970,"0"),Productos!$A:$A,Productos!$E:$E,IFNA(_xlfn.XLOOKUP(IFERROR(VALUE($C970),""),Productos!$A:$A,Productos!$E:$E,_xlfn.XLOOKUP($C970,Productos!$E:$E,Productos!$E:$E,"NO ENCONTRADO")),"NO ENCONTRADO")),"NO ENCONTRADO")),"NO ENCONTRADO"))</f>
        <v/>
      </c>
      <c r="E970" s="74">
        <f t="array" ref="E970">IF(OR($D970="",$D970="NO ENCONTRADO"),"",_xlfn.XLOOKUP($D970,Productos!$E:$E,Productos!$H:$H,""))</f>
        <v/>
      </c>
      <c r="F970" s="74">
        <f t="array" ref="F970">IF(OR($D970="",$D970="NO ENCONTRADO"),"",_xlfn.XLOOKUP($D970,Productos!$E:$E,Productos!$I:$I,""))</f>
        <v/>
      </c>
      <c r="G970" s="74">
        <f t="array" ref="G970">IF(OR($D970="",$D970="NO ENCONTRADO"),"",_xlfn.XLOOKUP($D970,Productos!$E:$E,Productos!$J:$J,""))</f>
        <v/>
      </c>
      <c r="H970" s="74">
        <f t="array" ref="H970">IF(OR($D970="",$D970="NO ENCONTRADO"),"",_xlfn.XLOOKUP($D970,Productos!$E:$E,Productos!$K:$K,""))</f>
        <v/>
      </c>
      <c r="I970" s="74">
        <f t="array" ref="I970">IF(OR($D970="",$D970="NO ENCONTRADO"),"",_xlfn.XLOOKUP($D970,Productos!$E:$E,Productos!$F:$F,""))</f>
        <v/>
      </c>
      <c r="J970" s="74">
        <f>IF($C970="","",IF($D970="NO ENCONTRADO",IF(COUNTIF($C$7:$C$1000,$C970)&gt;1,"⚠️ No encontrado | Duplicado","⚠️ No encontrado"),IF(COUNTIF($C$7:$C$1000,$C970)&gt;1,"⚠️ Duplicado","Verificado")))</f>
        <v/>
      </c>
    </row>
    <row r="971" ht="15.75" customHeight="1" s="176">
      <c r="B971" s="80" t="n"/>
      <c r="C971" s="74" t="n"/>
      <c r="D971" s="74">
        <f t="array" ref="D971">IF($C971="","",IFNA(_xlfn.XLOOKUP($C971,Productos!$A:$A,Productos!$E:$E,IFNA(_xlfn.XLOOKUP(TEXT($C971,"0"),Productos!$A:$A,Productos!$E:$E,IFNA(_xlfn.XLOOKUP(IFERROR(VALUE($C971),""),Productos!$A:$A,Productos!$E:$E,_xlfn.XLOOKUP($C971,Productos!$E:$E,Productos!$E:$E,"NO ENCONTRADO")),"NO ENCONTRADO")),"NO ENCONTRADO")),"NO ENCONTRADO"))</f>
        <v/>
      </c>
      <c r="E971" s="74">
        <f t="array" ref="E971">IF(OR($D971="",$D971="NO ENCONTRADO"),"",_xlfn.XLOOKUP($D971,Productos!$E:$E,Productos!$H:$H,""))</f>
        <v/>
      </c>
      <c r="F971" s="74">
        <f t="array" ref="F971">IF(OR($D971="",$D971="NO ENCONTRADO"),"",_xlfn.XLOOKUP($D971,Productos!$E:$E,Productos!$I:$I,""))</f>
        <v/>
      </c>
      <c r="G971" s="74">
        <f t="array" ref="G971">IF(OR($D971="",$D971="NO ENCONTRADO"),"",_xlfn.XLOOKUP($D971,Productos!$E:$E,Productos!$J:$J,""))</f>
        <v/>
      </c>
      <c r="H971" s="74">
        <f t="array" ref="H971">IF(OR($D971="",$D971="NO ENCONTRADO"),"",_xlfn.XLOOKUP($D971,Productos!$E:$E,Productos!$K:$K,""))</f>
        <v/>
      </c>
      <c r="I971" s="74">
        <f t="array" ref="I971">IF(OR($D971="",$D971="NO ENCONTRADO"),"",_xlfn.XLOOKUP($D971,Productos!$E:$E,Productos!$F:$F,""))</f>
        <v/>
      </c>
      <c r="J971" s="74">
        <f>IF($C971="","",IF($D971="NO ENCONTRADO",IF(COUNTIF($C$7:$C$1000,$C971)&gt;1,"⚠️ No encontrado | Duplicado","⚠️ No encontrado"),IF(COUNTIF($C$7:$C$1000,$C971)&gt;1,"⚠️ Duplicado","Verificado")))</f>
        <v/>
      </c>
    </row>
    <row r="972" ht="15.75" customHeight="1" s="176">
      <c r="B972" s="80" t="n"/>
      <c r="C972" s="74" t="n"/>
      <c r="D972" s="74">
        <f t="array" ref="D972">IF($C972="","",IFNA(_xlfn.XLOOKUP($C972,Productos!$A:$A,Productos!$E:$E,IFNA(_xlfn.XLOOKUP(TEXT($C972,"0"),Productos!$A:$A,Productos!$E:$E,IFNA(_xlfn.XLOOKUP(IFERROR(VALUE($C972),""),Productos!$A:$A,Productos!$E:$E,_xlfn.XLOOKUP($C972,Productos!$E:$E,Productos!$E:$E,"NO ENCONTRADO")),"NO ENCONTRADO")),"NO ENCONTRADO")),"NO ENCONTRADO"))</f>
        <v/>
      </c>
      <c r="E972" s="74">
        <f t="array" ref="E972">IF(OR($D972="",$D972="NO ENCONTRADO"),"",_xlfn.XLOOKUP($D972,Productos!$E:$E,Productos!$H:$H,""))</f>
        <v/>
      </c>
      <c r="F972" s="74">
        <f t="array" ref="F972">IF(OR($D972="",$D972="NO ENCONTRADO"),"",_xlfn.XLOOKUP($D972,Productos!$E:$E,Productos!$I:$I,""))</f>
        <v/>
      </c>
      <c r="G972" s="74">
        <f t="array" ref="G972">IF(OR($D972="",$D972="NO ENCONTRADO"),"",_xlfn.XLOOKUP($D972,Productos!$E:$E,Productos!$J:$J,""))</f>
        <v/>
      </c>
      <c r="H972" s="74">
        <f t="array" ref="H972">IF(OR($D972="",$D972="NO ENCONTRADO"),"",_xlfn.XLOOKUP($D972,Productos!$E:$E,Productos!$K:$K,""))</f>
        <v/>
      </c>
      <c r="I972" s="74">
        <f t="array" ref="I972">IF(OR($D972="",$D972="NO ENCONTRADO"),"",_xlfn.XLOOKUP($D972,Productos!$E:$E,Productos!$F:$F,""))</f>
        <v/>
      </c>
      <c r="J972" s="74">
        <f>IF($C972="","",IF($D972="NO ENCONTRADO",IF(COUNTIF($C$7:$C$1000,$C972)&gt;1,"⚠️ No encontrado | Duplicado","⚠️ No encontrado"),IF(COUNTIF($C$7:$C$1000,$C972)&gt;1,"⚠️ Duplicado","Verificado")))</f>
        <v/>
      </c>
    </row>
    <row r="973" ht="15.75" customHeight="1" s="176">
      <c r="B973" s="80" t="n"/>
      <c r="C973" s="74" t="n"/>
      <c r="D973" s="74">
        <f t="array" ref="D973">IF($C973="","",IFNA(_xlfn.XLOOKUP($C973,Productos!$A:$A,Productos!$E:$E,IFNA(_xlfn.XLOOKUP(TEXT($C973,"0"),Productos!$A:$A,Productos!$E:$E,IFNA(_xlfn.XLOOKUP(IFERROR(VALUE($C973),""),Productos!$A:$A,Productos!$E:$E,_xlfn.XLOOKUP($C973,Productos!$E:$E,Productos!$E:$E,"NO ENCONTRADO")),"NO ENCONTRADO")),"NO ENCONTRADO")),"NO ENCONTRADO"))</f>
        <v/>
      </c>
      <c r="E973" s="74">
        <f t="array" ref="E973">IF(OR($D973="",$D973="NO ENCONTRADO"),"",_xlfn.XLOOKUP($D973,Productos!$E:$E,Productos!$H:$H,""))</f>
        <v/>
      </c>
      <c r="F973" s="74">
        <f t="array" ref="F973">IF(OR($D973="",$D973="NO ENCONTRADO"),"",_xlfn.XLOOKUP($D973,Productos!$E:$E,Productos!$I:$I,""))</f>
        <v/>
      </c>
      <c r="G973" s="74">
        <f t="array" ref="G973">IF(OR($D973="",$D973="NO ENCONTRADO"),"",_xlfn.XLOOKUP($D973,Productos!$E:$E,Productos!$J:$J,""))</f>
        <v/>
      </c>
      <c r="H973" s="74">
        <f t="array" ref="H973">IF(OR($D973="",$D973="NO ENCONTRADO"),"",_xlfn.XLOOKUP($D973,Productos!$E:$E,Productos!$K:$K,""))</f>
        <v/>
      </c>
      <c r="I973" s="74">
        <f t="array" ref="I973">IF(OR($D973="",$D973="NO ENCONTRADO"),"",_xlfn.XLOOKUP($D973,Productos!$E:$E,Productos!$F:$F,""))</f>
        <v/>
      </c>
      <c r="J973" s="74">
        <f>IF($C973="","",IF($D973="NO ENCONTRADO",IF(COUNTIF($C$7:$C$1000,$C973)&gt;1,"⚠️ No encontrado | Duplicado","⚠️ No encontrado"),IF(COUNTIF($C$7:$C$1000,$C973)&gt;1,"⚠️ Duplicado","Verificado")))</f>
        <v/>
      </c>
    </row>
    <row r="974" ht="15.75" customHeight="1" s="176">
      <c r="B974" s="80" t="n"/>
      <c r="C974" s="74" t="n"/>
      <c r="D974" s="74">
        <f t="array" ref="D974">IF($C974="","",IFNA(_xlfn.XLOOKUP($C974,Productos!$A:$A,Productos!$E:$E,IFNA(_xlfn.XLOOKUP(TEXT($C974,"0"),Productos!$A:$A,Productos!$E:$E,IFNA(_xlfn.XLOOKUP(IFERROR(VALUE($C974),""),Productos!$A:$A,Productos!$E:$E,_xlfn.XLOOKUP($C974,Productos!$E:$E,Productos!$E:$E,"NO ENCONTRADO")),"NO ENCONTRADO")),"NO ENCONTRADO")),"NO ENCONTRADO"))</f>
        <v/>
      </c>
      <c r="E974" s="74">
        <f t="array" ref="E974">IF(OR($D974="",$D974="NO ENCONTRADO"),"",_xlfn.XLOOKUP($D974,Productos!$E:$E,Productos!$H:$H,""))</f>
        <v/>
      </c>
      <c r="F974" s="74">
        <f t="array" ref="F974">IF(OR($D974="",$D974="NO ENCONTRADO"),"",_xlfn.XLOOKUP($D974,Productos!$E:$E,Productos!$I:$I,""))</f>
        <v/>
      </c>
      <c r="G974" s="74">
        <f t="array" ref="G974">IF(OR($D974="",$D974="NO ENCONTRADO"),"",_xlfn.XLOOKUP($D974,Productos!$E:$E,Productos!$J:$J,""))</f>
        <v/>
      </c>
      <c r="H974" s="74">
        <f t="array" ref="H974">IF(OR($D974="",$D974="NO ENCONTRADO"),"",_xlfn.XLOOKUP($D974,Productos!$E:$E,Productos!$K:$K,""))</f>
        <v/>
      </c>
      <c r="I974" s="74">
        <f t="array" ref="I974">IF(OR($D974="",$D974="NO ENCONTRADO"),"",_xlfn.XLOOKUP($D974,Productos!$E:$E,Productos!$F:$F,""))</f>
        <v/>
      </c>
      <c r="J974" s="74">
        <f>IF($C974="","",IF($D974="NO ENCONTRADO",IF(COUNTIF($C$7:$C$1000,$C974)&gt;1,"⚠️ No encontrado | Duplicado","⚠️ No encontrado"),IF(COUNTIF($C$7:$C$1000,$C974)&gt;1,"⚠️ Duplicado","Verificado")))</f>
        <v/>
      </c>
    </row>
    <row r="975" ht="15.75" customHeight="1" s="176">
      <c r="B975" s="80" t="n"/>
      <c r="C975" s="74" t="n"/>
      <c r="D975" s="74">
        <f t="array" ref="D975">IF($C975="","",IFNA(_xlfn.XLOOKUP($C975,Productos!$A:$A,Productos!$E:$E,IFNA(_xlfn.XLOOKUP(TEXT($C975,"0"),Productos!$A:$A,Productos!$E:$E,IFNA(_xlfn.XLOOKUP(IFERROR(VALUE($C975),""),Productos!$A:$A,Productos!$E:$E,_xlfn.XLOOKUP($C975,Productos!$E:$E,Productos!$E:$E,"NO ENCONTRADO")),"NO ENCONTRADO")),"NO ENCONTRADO")),"NO ENCONTRADO"))</f>
        <v/>
      </c>
      <c r="E975" s="74">
        <f t="array" ref="E975">IF(OR($D975="",$D975="NO ENCONTRADO"),"",_xlfn.XLOOKUP($D975,Productos!$E:$E,Productos!$H:$H,""))</f>
        <v/>
      </c>
      <c r="F975" s="74">
        <f t="array" ref="F975">IF(OR($D975="",$D975="NO ENCONTRADO"),"",_xlfn.XLOOKUP($D975,Productos!$E:$E,Productos!$I:$I,""))</f>
        <v/>
      </c>
      <c r="G975" s="74">
        <f t="array" ref="G975">IF(OR($D975="",$D975="NO ENCONTRADO"),"",_xlfn.XLOOKUP($D975,Productos!$E:$E,Productos!$J:$J,""))</f>
        <v/>
      </c>
      <c r="H975" s="74">
        <f t="array" ref="H975">IF(OR($D975="",$D975="NO ENCONTRADO"),"",_xlfn.XLOOKUP($D975,Productos!$E:$E,Productos!$K:$K,""))</f>
        <v/>
      </c>
      <c r="I975" s="74">
        <f t="array" ref="I975">IF(OR($D975="",$D975="NO ENCONTRADO"),"",_xlfn.XLOOKUP($D975,Productos!$E:$E,Productos!$F:$F,""))</f>
        <v/>
      </c>
      <c r="J975" s="74">
        <f>IF($C975="","",IF($D975="NO ENCONTRADO",IF(COUNTIF($C$7:$C$1000,$C975)&gt;1,"⚠️ No encontrado | Duplicado","⚠️ No encontrado"),IF(COUNTIF($C$7:$C$1000,$C975)&gt;1,"⚠️ Duplicado","Verificado")))</f>
        <v/>
      </c>
    </row>
    <row r="976" ht="15.75" customHeight="1" s="176">
      <c r="B976" s="80" t="n"/>
      <c r="C976" s="74" t="n"/>
      <c r="D976" s="74">
        <f t="array" ref="D976">IF($C976="","",IFNA(_xlfn.XLOOKUP($C976,Productos!$A:$A,Productos!$E:$E,IFNA(_xlfn.XLOOKUP(TEXT($C976,"0"),Productos!$A:$A,Productos!$E:$E,IFNA(_xlfn.XLOOKUP(IFERROR(VALUE($C976),""),Productos!$A:$A,Productos!$E:$E,_xlfn.XLOOKUP($C976,Productos!$E:$E,Productos!$E:$E,"NO ENCONTRADO")),"NO ENCONTRADO")),"NO ENCONTRADO")),"NO ENCONTRADO"))</f>
        <v/>
      </c>
      <c r="E976" s="74">
        <f t="array" ref="E976">IF(OR($D976="",$D976="NO ENCONTRADO"),"",_xlfn.XLOOKUP($D976,Productos!$E:$E,Productos!$H:$H,""))</f>
        <v/>
      </c>
      <c r="F976" s="74">
        <f t="array" ref="F976">IF(OR($D976="",$D976="NO ENCONTRADO"),"",_xlfn.XLOOKUP($D976,Productos!$E:$E,Productos!$I:$I,""))</f>
        <v/>
      </c>
      <c r="G976" s="74">
        <f t="array" ref="G976">IF(OR($D976="",$D976="NO ENCONTRADO"),"",_xlfn.XLOOKUP($D976,Productos!$E:$E,Productos!$J:$J,""))</f>
        <v/>
      </c>
      <c r="H976" s="74">
        <f t="array" ref="H976">IF(OR($D976="",$D976="NO ENCONTRADO"),"",_xlfn.XLOOKUP($D976,Productos!$E:$E,Productos!$K:$K,""))</f>
        <v/>
      </c>
      <c r="I976" s="74">
        <f t="array" ref="I976">IF(OR($D976="",$D976="NO ENCONTRADO"),"",_xlfn.XLOOKUP($D976,Productos!$E:$E,Productos!$F:$F,""))</f>
        <v/>
      </c>
      <c r="J976" s="74">
        <f>IF($C976="","",IF($D976="NO ENCONTRADO",IF(COUNTIF($C$7:$C$1000,$C976)&gt;1,"⚠️ No encontrado | Duplicado","⚠️ No encontrado"),IF(COUNTIF($C$7:$C$1000,$C976)&gt;1,"⚠️ Duplicado","Verificado")))</f>
        <v/>
      </c>
    </row>
    <row r="977" ht="15.75" customHeight="1" s="176">
      <c r="B977" s="80" t="n"/>
      <c r="C977" s="74" t="n"/>
      <c r="D977" s="74">
        <f t="array" ref="D977">IF($C977="","",IFNA(_xlfn.XLOOKUP($C977,Productos!$A:$A,Productos!$E:$E,IFNA(_xlfn.XLOOKUP(TEXT($C977,"0"),Productos!$A:$A,Productos!$E:$E,IFNA(_xlfn.XLOOKUP(IFERROR(VALUE($C977),""),Productos!$A:$A,Productos!$E:$E,_xlfn.XLOOKUP($C977,Productos!$E:$E,Productos!$E:$E,"NO ENCONTRADO")),"NO ENCONTRADO")),"NO ENCONTRADO")),"NO ENCONTRADO"))</f>
        <v/>
      </c>
      <c r="E977" s="74">
        <f t="array" ref="E977">IF(OR($D977="",$D977="NO ENCONTRADO"),"",_xlfn.XLOOKUP($D977,Productos!$E:$E,Productos!$H:$H,""))</f>
        <v/>
      </c>
      <c r="F977" s="74">
        <f t="array" ref="F977">IF(OR($D977="",$D977="NO ENCONTRADO"),"",_xlfn.XLOOKUP($D977,Productos!$E:$E,Productos!$I:$I,""))</f>
        <v/>
      </c>
      <c r="G977" s="74">
        <f t="array" ref="G977">IF(OR($D977="",$D977="NO ENCONTRADO"),"",_xlfn.XLOOKUP($D977,Productos!$E:$E,Productos!$J:$J,""))</f>
        <v/>
      </c>
      <c r="H977" s="74">
        <f t="array" ref="H977">IF(OR($D977="",$D977="NO ENCONTRADO"),"",_xlfn.XLOOKUP($D977,Productos!$E:$E,Productos!$K:$K,""))</f>
        <v/>
      </c>
      <c r="I977" s="74">
        <f t="array" ref="I977">IF(OR($D977="",$D977="NO ENCONTRADO"),"",_xlfn.XLOOKUP($D977,Productos!$E:$E,Productos!$F:$F,""))</f>
        <v/>
      </c>
      <c r="J977" s="74">
        <f>IF($C977="","",IF($D977="NO ENCONTRADO",IF(COUNTIF($C$7:$C$1000,$C977)&gt;1,"⚠️ No encontrado | Duplicado","⚠️ No encontrado"),IF(COUNTIF($C$7:$C$1000,$C977)&gt;1,"⚠️ Duplicado","Verificado")))</f>
        <v/>
      </c>
    </row>
    <row r="978" ht="15.75" customHeight="1" s="176">
      <c r="B978" s="80" t="n"/>
      <c r="C978" s="74" t="n"/>
      <c r="D978" s="74">
        <f t="array" ref="D978">IF($C978="","",IFNA(_xlfn.XLOOKUP($C978,Productos!$A:$A,Productos!$E:$E,IFNA(_xlfn.XLOOKUP(TEXT($C978,"0"),Productos!$A:$A,Productos!$E:$E,IFNA(_xlfn.XLOOKUP(IFERROR(VALUE($C978),""),Productos!$A:$A,Productos!$E:$E,_xlfn.XLOOKUP($C978,Productos!$E:$E,Productos!$E:$E,"NO ENCONTRADO")),"NO ENCONTRADO")),"NO ENCONTRADO")),"NO ENCONTRADO"))</f>
        <v/>
      </c>
      <c r="E978" s="74">
        <f t="array" ref="E978">IF(OR($D978="",$D978="NO ENCONTRADO"),"",_xlfn.XLOOKUP($D978,Productos!$E:$E,Productos!$H:$H,""))</f>
        <v/>
      </c>
      <c r="F978" s="74">
        <f t="array" ref="F978">IF(OR($D978="",$D978="NO ENCONTRADO"),"",_xlfn.XLOOKUP($D978,Productos!$E:$E,Productos!$I:$I,""))</f>
        <v/>
      </c>
      <c r="G978" s="74">
        <f t="array" ref="G978">IF(OR($D978="",$D978="NO ENCONTRADO"),"",_xlfn.XLOOKUP($D978,Productos!$E:$E,Productos!$J:$J,""))</f>
        <v/>
      </c>
      <c r="H978" s="74">
        <f t="array" ref="H978">IF(OR($D978="",$D978="NO ENCONTRADO"),"",_xlfn.XLOOKUP($D978,Productos!$E:$E,Productos!$K:$K,""))</f>
        <v/>
      </c>
      <c r="I978" s="74">
        <f t="array" ref="I978">IF(OR($D978="",$D978="NO ENCONTRADO"),"",_xlfn.XLOOKUP($D978,Productos!$E:$E,Productos!$F:$F,""))</f>
        <v/>
      </c>
      <c r="J978" s="74">
        <f>IF($C978="","",IF($D978="NO ENCONTRADO",IF(COUNTIF($C$7:$C$1000,$C978)&gt;1,"⚠️ No encontrado | Duplicado","⚠️ No encontrado"),IF(COUNTIF($C$7:$C$1000,$C978)&gt;1,"⚠️ Duplicado","Verificado")))</f>
        <v/>
      </c>
    </row>
    <row r="979" ht="15.75" customHeight="1" s="176">
      <c r="B979" s="80" t="n"/>
      <c r="C979" s="74" t="n"/>
      <c r="D979" s="74">
        <f t="array" ref="D979">IF($C979="","",IFNA(_xlfn.XLOOKUP($C979,Productos!$A:$A,Productos!$E:$E,IFNA(_xlfn.XLOOKUP(TEXT($C979,"0"),Productos!$A:$A,Productos!$E:$E,IFNA(_xlfn.XLOOKUP(IFERROR(VALUE($C979),""),Productos!$A:$A,Productos!$E:$E,_xlfn.XLOOKUP($C979,Productos!$E:$E,Productos!$E:$E,"NO ENCONTRADO")),"NO ENCONTRADO")),"NO ENCONTRADO")),"NO ENCONTRADO"))</f>
        <v/>
      </c>
      <c r="E979" s="74">
        <f t="array" ref="E979">IF(OR($D979="",$D979="NO ENCONTRADO"),"",_xlfn.XLOOKUP($D979,Productos!$E:$E,Productos!$H:$H,""))</f>
        <v/>
      </c>
      <c r="F979" s="74">
        <f t="array" ref="F979">IF(OR($D979="",$D979="NO ENCONTRADO"),"",_xlfn.XLOOKUP($D979,Productos!$E:$E,Productos!$I:$I,""))</f>
        <v/>
      </c>
      <c r="G979" s="74">
        <f t="array" ref="G979">IF(OR($D979="",$D979="NO ENCONTRADO"),"",_xlfn.XLOOKUP($D979,Productos!$E:$E,Productos!$J:$J,""))</f>
        <v/>
      </c>
      <c r="H979" s="74">
        <f t="array" ref="H979">IF(OR($D979="",$D979="NO ENCONTRADO"),"",_xlfn.XLOOKUP($D979,Productos!$E:$E,Productos!$K:$K,""))</f>
        <v/>
      </c>
      <c r="I979" s="74">
        <f t="array" ref="I979">IF(OR($D979="",$D979="NO ENCONTRADO"),"",_xlfn.XLOOKUP($D979,Productos!$E:$E,Productos!$F:$F,""))</f>
        <v/>
      </c>
      <c r="J979" s="74">
        <f>IF($C979="","",IF($D979="NO ENCONTRADO",IF(COUNTIF($C$7:$C$1000,$C979)&gt;1,"⚠️ No encontrado | Duplicado","⚠️ No encontrado"),IF(COUNTIF($C$7:$C$1000,$C979)&gt;1,"⚠️ Duplicado","Verificado")))</f>
        <v/>
      </c>
    </row>
    <row r="980" ht="15.75" customHeight="1" s="176">
      <c r="B980" s="80" t="n"/>
      <c r="C980" s="74" t="n"/>
      <c r="D980" s="74">
        <f t="array" ref="D980">IF($C980="","",IFNA(_xlfn.XLOOKUP($C980,Productos!$A:$A,Productos!$E:$E,IFNA(_xlfn.XLOOKUP(TEXT($C980,"0"),Productos!$A:$A,Productos!$E:$E,IFNA(_xlfn.XLOOKUP(IFERROR(VALUE($C980),""),Productos!$A:$A,Productos!$E:$E,_xlfn.XLOOKUP($C980,Productos!$E:$E,Productos!$E:$E,"NO ENCONTRADO")),"NO ENCONTRADO")),"NO ENCONTRADO")),"NO ENCONTRADO"))</f>
        <v/>
      </c>
      <c r="E980" s="74">
        <f t="array" ref="E980">IF(OR($D980="",$D980="NO ENCONTRADO"),"",_xlfn.XLOOKUP($D980,Productos!$E:$E,Productos!$H:$H,""))</f>
        <v/>
      </c>
      <c r="F980" s="74">
        <f t="array" ref="F980">IF(OR($D980="",$D980="NO ENCONTRADO"),"",_xlfn.XLOOKUP($D980,Productos!$E:$E,Productos!$I:$I,""))</f>
        <v/>
      </c>
      <c r="G980" s="74">
        <f t="array" ref="G980">IF(OR($D980="",$D980="NO ENCONTRADO"),"",_xlfn.XLOOKUP($D980,Productos!$E:$E,Productos!$J:$J,""))</f>
        <v/>
      </c>
      <c r="H980" s="74">
        <f t="array" ref="H980">IF(OR($D980="",$D980="NO ENCONTRADO"),"",_xlfn.XLOOKUP($D980,Productos!$E:$E,Productos!$K:$K,""))</f>
        <v/>
      </c>
      <c r="I980" s="74">
        <f t="array" ref="I980">IF(OR($D980="",$D980="NO ENCONTRADO"),"",_xlfn.XLOOKUP($D980,Productos!$E:$E,Productos!$F:$F,""))</f>
        <v/>
      </c>
      <c r="J980" s="74">
        <f>IF($C980="","",IF($D980="NO ENCONTRADO",IF(COUNTIF($C$7:$C$1000,$C980)&gt;1,"⚠️ No encontrado | Duplicado","⚠️ No encontrado"),IF(COUNTIF($C$7:$C$1000,$C980)&gt;1,"⚠️ Duplicado","Verificado")))</f>
        <v/>
      </c>
    </row>
    <row r="981" ht="15.75" customHeight="1" s="176">
      <c r="B981" s="80" t="n"/>
      <c r="C981" s="74" t="n"/>
      <c r="D981" s="74">
        <f t="array" ref="D981">IF($C981="","",IFNA(_xlfn.XLOOKUP($C981,Productos!$A:$A,Productos!$E:$E,IFNA(_xlfn.XLOOKUP(TEXT($C981,"0"),Productos!$A:$A,Productos!$E:$E,IFNA(_xlfn.XLOOKUP(IFERROR(VALUE($C981),""),Productos!$A:$A,Productos!$E:$E,_xlfn.XLOOKUP($C981,Productos!$E:$E,Productos!$E:$E,"NO ENCONTRADO")),"NO ENCONTRADO")),"NO ENCONTRADO")),"NO ENCONTRADO"))</f>
        <v/>
      </c>
      <c r="E981" s="74">
        <f t="array" ref="E981">IF(OR($D981="",$D981="NO ENCONTRADO"),"",_xlfn.XLOOKUP($D981,Productos!$E:$E,Productos!$H:$H,""))</f>
        <v/>
      </c>
      <c r="F981" s="74">
        <f t="array" ref="F981">IF(OR($D981="",$D981="NO ENCONTRADO"),"",_xlfn.XLOOKUP($D981,Productos!$E:$E,Productos!$I:$I,""))</f>
        <v/>
      </c>
      <c r="G981" s="74">
        <f t="array" ref="G981">IF(OR($D981="",$D981="NO ENCONTRADO"),"",_xlfn.XLOOKUP($D981,Productos!$E:$E,Productos!$J:$J,""))</f>
        <v/>
      </c>
      <c r="H981" s="74">
        <f t="array" ref="H981">IF(OR($D981="",$D981="NO ENCONTRADO"),"",_xlfn.XLOOKUP($D981,Productos!$E:$E,Productos!$K:$K,""))</f>
        <v/>
      </c>
      <c r="I981" s="74">
        <f t="array" ref="I981">IF(OR($D981="",$D981="NO ENCONTRADO"),"",_xlfn.XLOOKUP($D981,Productos!$E:$E,Productos!$F:$F,""))</f>
        <v/>
      </c>
      <c r="J981" s="74">
        <f>IF($C981="","",IF($D981="NO ENCONTRADO",IF(COUNTIF($C$7:$C$1000,$C981)&gt;1,"⚠️ No encontrado | Duplicado","⚠️ No encontrado"),IF(COUNTIF($C$7:$C$1000,$C981)&gt;1,"⚠️ Duplicado","Verificado")))</f>
        <v/>
      </c>
    </row>
    <row r="982" ht="15.75" customHeight="1" s="176">
      <c r="B982" s="80" t="n"/>
      <c r="C982" s="74" t="n"/>
      <c r="D982" s="74">
        <f t="array" ref="D982">IF($C982="","",IFNA(_xlfn.XLOOKUP($C982,Productos!$A:$A,Productos!$E:$E,IFNA(_xlfn.XLOOKUP(TEXT($C982,"0"),Productos!$A:$A,Productos!$E:$E,IFNA(_xlfn.XLOOKUP(IFERROR(VALUE($C982),""),Productos!$A:$A,Productos!$E:$E,_xlfn.XLOOKUP($C982,Productos!$E:$E,Productos!$E:$E,"NO ENCONTRADO")),"NO ENCONTRADO")),"NO ENCONTRADO")),"NO ENCONTRADO"))</f>
        <v/>
      </c>
      <c r="E982" s="74">
        <f t="array" ref="E982">IF(OR($D982="",$D982="NO ENCONTRADO"),"",_xlfn.XLOOKUP($D982,Productos!$E:$E,Productos!$H:$H,""))</f>
        <v/>
      </c>
      <c r="F982" s="74">
        <f t="array" ref="F982">IF(OR($D982="",$D982="NO ENCONTRADO"),"",_xlfn.XLOOKUP($D982,Productos!$E:$E,Productos!$I:$I,""))</f>
        <v/>
      </c>
      <c r="G982" s="74">
        <f t="array" ref="G982">IF(OR($D982="",$D982="NO ENCONTRADO"),"",_xlfn.XLOOKUP($D982,Productos!$E:$E,Productos!$J:$J,""))</f>
        <v/>
      </c>
      <c r="H982" s="74">
        <f t="array" ref="H982">IF(OR($D982="",$D982="NO ENCONTRADO"),"",_xlfn.XLOOKUP($D982,Productos!$E:$E,Productos!$K:$K,""))</f>
        <v/>
      </c>
      <c r="I982" s="74">
        <f t="array" ref="I982">IF(OR($D982="",$D982="NO ENCONTRADO"),"",_xlfn.XLOOKUP($D982,Productos!$E:$E,Productos!$F:$F,""))</f>
        <v/>
      </c>
      <c r="J982" s="74">
        <f>IF($C982="","",IF($D982="NO ENCONTRADO",IF(COUNTIF($C$7:$C$1000,$C982)&gt;1,"⚠️ No encontrado | Duplicado","⚠️ No encontrado"),IF(COUNTIF($C$7:$C$1000,$C982)&gt;1,"⚠️ Duplicado","Verificado")))</f>
        <v/>
      </c>
    </row>
    <row r="983" ht="15.75" customHeight="1" s="176">
      <c r="B983" s="80" t="n"/>
      <c r="C983" s="74" t="n"/>
      <c r="D983" s="74">
        <f t="array" ref="D983">IF($C983="","",IFNA(_xlfn.XLOOKUP($C983,Productos!$A:$A,Productos!$E:$E,IFNA(_xlfn.XLOOKUP(TEXT($C983,"0"),Productos!$A:$A,Productos!$E:$E,IFNA(_xlfn.XLOOKUP(IFERROR(VALUE($C983),""),Productos!$A:$A,Productos!$E:$E,_xlfn.XLOOKUP($C983,Productos!$E:$E,Productos!$E:$E,"NO ENCONTRADO")),"NO ENCONTRADO")),"NO ENCONTRADO")),"NO ENCONTRADO"))</f>
        <v/>
      </c>
      <c r="E983" s="74">
        <f t="array" ref="E983">IF(OR($D983="",$D983="NO ENCONTRADO"),"",_xlfn.XLOOKUP($D983,Productos!$E:$E,Productos!$H:$H,""))</f>
        <v/>
      </c>
      <c r="F983" s="74">
        <f t="array" ref="F983">IF(OR($D983="",$D983="NO ENCONTRADO"),"",_xlfn.XLOOKUP($D983,Productos!$E:$E,Productos!$I:$I,""))</f>
        <v/>
      </c>
      <c r="G983" s="74">
        <f t="array" ref="G983">IF(OR($D983="",$D983="NO ENCONTRADO"),"",_xlfn.XLOOKUP($D983,Productos!$E:$E,Productos!$J:$J,""))</f>
        <v/>
      </c>
      <c r="H983" s="74">
        <f t="array" ref="H983">IF(OR($D983="",$D983="NO ENCONTRADO"),"",_xlfn.XLOOKUP($D983,Productos!$E:$E,Productos!$K:$K,""))</f>
        <v/>
      </c>
      <c r="I983" s="74">
        <f t="array" ref="I983">IF(OR($D983="",$D983="NO ENCONTRADO"),"",_xlfn.XLOOKUP($D983,Productos!$E:$E,Productos!$F:$F,""))</f>
        <v/>
      </c>
      <c r="J983" s="74">
        <f>IF($C983="","",IF($D983="NO ENCONTRADO",IF(COUNTIF($C$7:$C$1000,$C983)&gt;1,"⚠️ No encontrado | Duplicado","⚠️ No encontrado"),IF(COUNTIF($C$7:$C$1000,$C983)&gt;1,"⚠️ Duplicado","Verificado")))</f>
        <v/>
      </c>
    </row>
    <row r="984" ht="15.75" customHeight="1" s="176">
      <c r="B984" s="80" t="n"/>
      <c r="C984" s="74" t="n"/>
      <c r="D984" s="74">
        <f t="array" ref="D984">IF($C984="","",IFNA(_xlfn.XLOOKUP($C984,Productos!$A:$A,Productos!$E:$E,IFNA(_xlfn.XLOOKUP(TEXT($C984,"0"),Productos!$A:$A,Productos!$E:$E,IFNA(_xlfn.XLOOKUP(IFERROR(VALUE($C984),""),Productos!$A:$A,Productos!$E:$E,_xlfn.XLOOKUP($C984,Productos!$E:$E,Productos!$E:$E,"NO ENCONTRADO")),"NO ENCONTRADO")),"NO ENCONTRADO")),"NO ENCONTRADO"))</f>
        <v/>
      </c>
      <c r="E984" s="74">
        <f t="array" ref="E984">IF(OR($D984="",$D984="NO ENCONTRADO"),"",_xlfn.XLOOKUP($D984,Productos!$E:$E,Productos!$H:$H,""))</f>
        <v/>
      </c>
      <c r="F984" s="74">
        <f t="array" ref="F984">IF(OR($D984="",$D984="NO ENCONTRADO"),"",_xlfn.XLOOKUP($D984,Productos!$E:$E,Productos!$I:$I,""))</f>
        <v/>
      </c>
      <c r="G984" s="74">
        <f t="array" ref="G984">IF(OR($D984="",$D984="NO ENCONTRADO"),"",_xlfn.XLOOKUP($D984,Productos!$E:$E,Productos!$J:$J,""))</f>
        <v/>
      </c>
      <c r="H984" s="74">
        <f t="array" ref="H984">IF(OR($D984="",$D984="NO ENCONTRADO"),"",_xlfn.XLOOKUP($D984,Productos!$E:$E,Productos!$K:$K,""))</f>
        <v/>
      </c>
      <c r="I984" s="74">
        <f t="array" ref="I984">IF(OR($D984="",$D984="NO ENCONTRADO"),"",_xlfn.XLOOKUP($D984,Productos!$E:$E,Productos!$F:$F,""))</f>
        <v/>
      </c>
      <c r="J984" s="74">
        <f>IF($C984="","",IF($D984="NO ENCONTRADO",IF(COUNTIF($C$7:$C$1000,$C984)&gt;1,"⚠️ No encontrado | Duplicado","⚠️ No encontrado"),IF(COUNTIF($C$7:$C$1000,$C984)&gt;1,"⚠️ Duplicado","Verificado")))</f>
        <v/>
      </c>
    </row>
    <row r="985" ht="15.75" customHeight="1" s="176">
      <c r="B985" s="80" t="n"/>
      <c r="C985" s="74" t="n"/>
      <c r="D985" s="74">
        <f t="array" ref="D985">IF($C985="","",IFNA(_xlfn.XLOOKUP($C985,Productos!$A:$A,Productos!$E:$E,IFNA(_xlfn.XLOOKUP(TEXT($C985,"0"),Productos!$A:$A,Productos!$E:$E,IFNA(_xlfn.XLOOKUP(IFERROR(VALUE($C985),""),Productos!$A:$A,Productos!$E:$E,_xlfn.XLOOKUP($C985,Productos!$E:$E,Productos!$E:$E,"NO ENCONTRADO")),"NO ENCONTRADO")),"NO ENCONTRADO")),"NO ENCONTRADO"))</f>
        <v/>
      </c>
      <c r="E985" s="74">
        <f t="array" ref="E985">IF(OR($D985="",$D985="NO ENCONTRADO"),"",_xlfn.XLOOKUP($D985,Productos!$E:$E,Productos!$H:$H,""))</f>
        <v/>
      </c>
      <c r="F985" s="74">
        <f t="array" ref="F985">IF(OR($D985="",$D985="NO ENCONTRADO"),"",_xlfn.XLOOKUP($D985,Productos!$E:$E,Productos!$I:$I,""))</f>
        <v/>
      </c>
      <c r="G985" s="74">
        <f t="array" ref="G985">IF(OR($D985="",$D985="NO ENCONTRADO"),"",_xlfn.XLOOKUP($D985,Productos!$E:$E,Productos!$J:$J,""))</f>
        <v/>
      </c>
      <c r="H985" s="74">
        <f t="array" ref="H985">IF(OR($D985="",$D985="NO ENCONTRADO"),"",_xlfn.XLOOKUP($D985,Productos!$E:$E,Productos!$K:$K,""))</f>
        <v/>
      </c>
      <c r="I985" s="74">
        <f t="array" ref="I985">IF(OR($D985="",$D985="NO ENCONTRADO"),"",_xlfn.XLOOKUP($D985,Productos!$E:$E,Productos!$F:$F,""))</f>
        <v/>
      </c>
      <c r="J985" s="74">
        <f>IF($C985="","",IF($D985="NO ENCONTRADO",IF(COUNTIF($C$7:$C$1000,$C985)&gt;1,"⚠️ No encontrado | Duplicado","⚠️ No encontrado"),IF(COUNTIF($C$7:$C$1000,$C985)&gt;1,"⚠️ Duplicado","Verificado")))</f>
        <v/>
      </c>
    </row>
    <row r="986" ht="15.75" customHeight="1" s="176">
      <c r="B986" s="80" t="n"/>
      <c r="C986" s="74" t="n"/>
      <c r="D986" s="74">
        <f t="array" ref="D986">IF($C986="","",IFNA(_xlfn.XLOOKUP($C986,Productos!$A:$A,Productos!$E:$E,IFNA(_xlfn.XLOOKUP(TEXT($C986,"0"),Productos!$A:$A,Productos!$E:$E,IFNA(_xlfn.XLOOKUP(IFERROR(VALUE($C986),""),Productos!$A:$A,Productos!$E:$E,_xlfn.XLOOKUP($C986,Productos!$E:$E,Productos!$E:$E,"NO ENCONTRADO")),"NO ENCONTRADO")),"NO ENCONTRADO")),"NO ENCONTRADO"))</f>
        <v/>
      </c>
      <c r="E986" s="74">
        <f t="array" ref="E986">IF(OR($D986="",$D986="NO ENCONTRADO"),"",_xlfn.XLOOKUP($D986,Productos!$E:$E,Productos!$H:$H,""))</f>
        <v/>
      </c>
      <c r="F986" s="74">
        <f t="array" ref="F986">IF(OR($D986="",$D986="NO ENCONTRADO"),"",_xlfn.XLOOKUP($D986,Productos!$E:$E,Productos!$I:$I,""))</f>
        <v/>
      </c>
      <c r="G986" s="74">
        <f t="array" ref="G986">IF(OR($D986="",$D986="NO ENCONTRADO"),"",_xlfn.XLOOKUP($D986,Productos!$E:$E,Productos!$J:$J,""))</f>
        <v/>
      </c>
      <c r="H986" s="74">
        <f t="array" ref="H986">IF(OR($D986="",$D986="NO ENCONTRADO"),"",_xlfn.XLOOKUP($D986,Productos!$E:$E,Productos!$K:$K,""))</f>
        <v/>
      </c>
      <c r="I986" s="74">
        <f t="array" ref="I986">IF(OR($D986="",$D986="NO ENCONTRADO"),"",_xlfn.XLOOKUP($D986,Productos!$E:$E,Productos!$F:$F,""))</f>
        <v/>
      </c>
      <c r="J986" s="74">
        <f>IF($C986="","",IF($D986="NO ENCONTRADO",IF(COUNTIF($C$7:$C$1000,$C986)&gt;1,"⚠️ No encontrado | Duplicado","⚠️ No encontrado"),IF(COUNTIF($C$7:$C$1000,$C986)&gt;1,"⚠️ Duplicado","Verificado")))</f>
        <v/>
      </c>
    </row>
    <row r="987" ht="15.75" customHeight="1" s="176">
      <c r="B987" s="80" t="n"/>
      <c r="C987" s="74" t="n"/>
      <c r="D987" s="74">
        <f t="array" ref="D987">IF($C987="","",IFNA(_xlfn.XLOOKUP($C987,Productos!$A:$A,Productos!$E:$E,IFNA(_xlfn.XLOOKUP(TEXT($C987,"0"),Productos!$A:$A,Productos!$E:$E,IFNA(_xlfn.XLOOKUP(IFERROR(VALUE($C987),""),Productos!$A:$A,Productos!$E:$E,_xlfn.XLOOKUP($C987,Productos!$E:$E,Productos!$E:$E,"NO ENCONTRADO")),"NO ENCONTRADO")),"NO ENCONTRADO")),"NO ENCONTRADO"))</f>
        <v/>
      </c>
      <c r="E987" s="74">
        <f t="array" ref="E987">IF(OR($D987="",$D987="NO ENCONTRADO"),"",_xlfn.XLOOKUP($D987,Productos!$E:$E,Productos!$H:$H,""))</f>
        <v/>
      </c>
      <c r="F987" s="74">
        <f t="array" ref="F987">IF(OR($D987="",$D987="NO ENCONTRADO"),"",_xlfn.XLOOKUP($D987,Productos!$E:$E,Productos!$I:$I,""))</f>
        <v/>
      </c>
      <c r="G987" s="74">
        <f t="array" ref="G987">IF(OR($D987="",$D987="NO ENCONTRADO"),"",_xlfn.XLOOKUP($D987,Productos!$E:$E,Productos!$J:$J,""))</f>
        <v/>
      </c>
      <c r="H987" s="74">
        <f t="array" ref="H987">IF(OR($D987="",$D987="NO ENCONTRADO"),"",_xlfn.XLOOKUP($D987,Productos!$E:$E,Productos!$K:$K,""))</f>
        <v/>
      </c>
      <c r="I987" s="74">
        <f t="array" ref="I987">IF(OR($D987="",$D987="NO ENCONTRADO"),"",_xlfn.XLOOKUP($D987,Productos!$E:$E,Productos!$F:$F,""))</f>
        <v/>
      </c>
      <c r="J987" s="74">
        <f>IF($C987="","",IF($D987="NO ENCONTRADO",IF(COUNTIF($C$7:$C$1000,$C987)&gt;1,"⚠️ No encontrado | Duplicado","⚠️ No encontrado"),IF(COUNTIF($C$7:$C$1000,$C987)&gt;1,"⚠️ Duplicado","Verificado")))</f>
        <v/>
      </c>
    </row>
    <row r="988" ht="15.75" customHeight="1" s="176">
      <c r="B988" s="80" t="n"/>
      <c r="C988" s="74" t="n"/>
      <c r="D988" s="74">
        <f t="array" ref="D988">IF($C988="","",IFNA(_xlfn.XLOOKUP($C988,Productos!$A:$A,Productos!$E:$E,IFNA(_xlfn.XLOOKUP(TEXT($C988,"0"),Productos!$A:$A,Productos!$E:$E,IFNA(_xlfn.XLOOKUP(IFERROR(VALUE($C988),""),Productos!$A:$A,Productos!$E:$E,_xlfn.XLOOKUP($C988,Productos!$E:$E,Productos!$E:$E,"NO ENCONTRADO")),"NO ENCONTRADO")),"NO ENCONTRADO")),"NO ENCONTRADO"))</f>
        <v/>
      </c>
      <c r="E988" s="74">
        <f t="array" ref="E988">IF(OR($D988="",$D988="NO ENCONTRADO"),"",_xlfn.XLOOKUP($D988,Productos!$E:$E,Productos!$H:$H,""))</f>
        <v/>
      </c>
      <c r="F988" s="74">
        <f t="array" ref="F988">IF(OR($D988="",$D988="NO ENCONTRADO"),"",_xlfn.XLOOKUP($D988,Productos!$E:$E,Productos!$I:$I,""))</f>
        <v/>
      </c>
      <c r="G988" s="74">
        <f t="array" ref="G988">IF(OR($D988="",$D988="NO ENCONTRADO"),"",_xlfn.XLOOKUP($D988,Productos!$E:$E,Productos!$J:$J,""))</f>
        <v/>
      </c>
      <c r="H988" s="74">
        <f t="array" ref="H988">IF(OR($D988="",$D988="NO ENCONTRADO"),"",_xlfn.XLOOKUP($D988,Productos!$E:$E,Productos!$K:$K,""))</f>
        <v/>
      </c>
      <c r="I988" s="74">
        <f t="array" ref="I988">IF(OR($D988="",$D988="NO ENCONTRADO"),"",_xlfn.XLOOKUP($D988,Productos!$E:$E,Productos!$F:$F,""))</f>
        <v/>
      </c>
      <c r="J988" s="74">
        <f>IF($C988="","",IF($D988="NO ENCONTRADO",IF(COUNTIF($C$7:$C$1000,$C988)&gt;1,"⚠️ No encontrado | Duplicado","⚠️ No encontrado"),IF(COUNTIF($C$7:$C$1000,$C988)&gt;1,"⚠️ Duplicado","Verificado")))</f>
        <v/>
      </c>
    </row>
    <row r="989" ht="15.75" customHeight="1" s="176">
      <c r="B989" s="80" t="n"/>
      <c r="C989" s="74" t="n"/>
      <c r="D989" s="74">
        <f t="array" ref="D989">IF($C989="","",IFNA(_xlfn.XLOOKUP($C989,Productos!$A:$A,Productos!$E:$E,IFNA(_xlfn.XLOOKUP(TEXT($C989,"0"),Productos!$A:$A,Productos!$E:$E,IFNA(_xlfn.XLOOKUP(IFERROR(VALUE($C989),""),Productos!$A:$A,Productos!$E:$E,_xlfn.XLOOKUP($C989,Productos!$E:$E,Productos!$E:$E,"NO ENCONTRADO")),"NO ENCONTRADO")),"NO ENCONTRADO")),"NO ENCONTRADO"))</f>
        <v/>
      </c>
      <c r="E989" s="74">
        <f t="array" ref="E989">IF(OR($D989="",$D989="NO ENCONTRADO"),"",_xlfn.XLOOKUP($D989,Productos!$E:$E,Productos!$H:$H,""))</f>
        <v/>
      </c>
      <c r="F989" s="74">
        <f t="array" ref="F989">IF(OR($D989="",$D989="NO ENCONTRADO"),"",_xlfn.XLOOKUP($D989,Productos!$E:$E,Productos!$I:$I,""))</f>
        <v/>
      </c>
      <c r="G989" s="74">
        <f t="array" ref="G989">IF(OR($D989="",$D989="NO ENCONTRADO"),"",_xlfn.XLOOKUP($D989,Productos!$E:$E,Productos!$J:$J,""))</f>
        <v/>
      </c>
      <c r="H989" s="74">
        <f t="array" ref="H989">IF(OR($D989="",$D989="NO ENCONTRADO"),"",_xlfn.XLOOKUP($D989,Productos!$E:$E,Productos!$K:$K,""))</f>
        <v/>
      </c>
      <c r="I989" s="74">
        <f t="array" ref="I989">IF(OR($D989="",$D989="NO ENCONTRADO"),"",_xlfn.XLOOKUP($D989,Productos!$E:$E,Productos!$F:$F,""))</f>
        <v/>
      </c>
      <c r="J989" s="74">
        <f>IF($C989="","",IF($D989="NO ENCONTRADO",IF(COUNTIF($C$7:$C$1000,$C989)&gt;1,"⚠️ No encontrado | Duplicado","⚠️ No encontrado"),IF(COUNTIF($C$7:$C$1000,$C989)&gt;1,"⚠️ Duplicado","Verificado")))</f>
        <v/>
      </c>
    </row>
    <row r="990" ht="15.75" customHeight="1" s="176">
      <c r="B990" s="80" t="n"/>
      <c r="C990" s="74" t="n"/>
      <c r="D990" s="74">
        <f t="array" ref="D990">IF($C990="","",IFNA(_xlfn.XLOOKUP($C990,Productos!$A:$A,Productos!$E:$E,IFNA(_xlfn.XLOOKUP(TEXT($C990,"0"),Productos!$A:$A,Productos!$E:$E,IFNA(_xlfn.XLOOKUP(IFERROR(VALUE($C990),""),Productos!$A:$A,Productos!$E:$E,_xlfn.XLOOKUP($C990,Productos!$E:$E,Productos!$E:$E,"NO ENCONTRADO")),"NO ENCONTRADO")),"NO ENCONTRADO")),"NO ENCONTRADO"))</f>
        <v/>
      </c>
      <c r="E990" s="74">
        <f t="array" ref="E990">IF(OR($D990="",$D990="NO ENCONTRADO"),"",_xlfn.XLOOKUP($D990,Productos!$E:$E,Productos!$H:$H,""))</f>
        <v/>
      </c>
      <c r="F990" s="74">
        <f t="array" ref="F990">IF(OR($D990="",$D990="NO ENCONTRADO"),"",_xlfn.XLOOKUP($D990,Productos!$E:$E,Productos!$I:$I,""))</f>
        <v/>
      </c>
      <c r="G990" s="74">
        <f t="array" ref="G990">IF(OR($D990="",$D990="NO ENCONTRADO"),"",_xlfn.XLOOKUP($D990,Productos!$E:$E,Productos!$J:$J,""))</f>
        <v/>
      </c>
      <c r="H990" s="74">
        <f t="array" ref="H990">IF(OR($D990="",$D990="NO ENCONTRADO"),"",_xlfn.XLOOKUP($D990,Productos!$E:$E,Productos!$K:$K,""))</f>
        <v/>
      </c>
      <c r="I990" s="74">
        <f t="array" ref="I990">IF(OR($D990="",$D990="NO ENCONTRADO"),"",_xlfn.XLOOKUP($D990,Productos!$E:$E,Productos!$F:$F,""))</f>
        <v/>
      </c>
      <c r="J990" s="74">
        <f>IF($C990="","",IF($D990="NO ENCONTRADO",IF(COUNTIF($C$7:$C$1000,$C990)&gt;1,"⚠️ No encontrado | Duplicado","⚠️ No encontrado"),IF(COUNTIF($C$7:$C$1000,$C990)&gt;1,"⚠️ Duplicado","Verificado")))</f>
        <v/>
      </c>
    </row>
    <row r="991" ht="15.75" customHeight="1" s="176">
      <c r="B991" s="80" t="n"/>
      <c r="C991" s="74" t="n"/>
      <c r="D991" s="74">
        <f t="array" ref="D991">IF($C991="","",IFNA(_xlfn.XLOOKUP($C991,Productos!$A:$A,Productos!$E:$E,IFNA(_xlfn.XLOOKUP(TEXT($C991,"0"),Productos!$A:$A,Productos!$E:$E,IFNA(_xlfn.XLOOKUP(IFERROR(VALUE($C991),""),Productos!$A:$A,Productos!$E:$E,_xlfn.XLOOKUP($C991,Productos!$E:$E,Productos!$E:$E,"NO ENCONTRADO")),"NO ENCONTRADO")),"NO ENCONTRADO")),"NO ENCONTRADO"))</f>
        <v/>
      </c>
      <c r="E991" s="74">
        <f t="array" ref="E991">IF(OR($D991="",$D991="NO ENCONTRADO"),"",_xlfn.XLOOKUP($D991,Productos!$E:$E,Productos!$H:$H,""))</f>
        <v/>
      </c>
      <c r="F991" s="74">
        <f t="array" ref="F991">IF(OR($D991="",$D991="NO ENCONTRADO"),"",_xlfn.XLOOKUP($D991,Productos!$E:$E,Productos!$I:$I,""))</f>
        <v/>
      </c>
      <c r="G991" s="74">
        <f t="array" ref="G991">IF(OR($D991="",$D991="NO ENCONTRADO"),"",_xlfn.XLOOKUP($D991,Productos!$E:$E,Productos!$J:$J,""))</f>
        <v/>
      </c>
      <c r="H991" s="74">
        <f t="array" ref="H991">IF(OR($D991="",$D991="NO ENCONTRADO"),"",_xlfn.XLOOKUP($D991,Productos!$E:$E,Productos!$K:$K,""))</f>
        <v/>
      </c>
      <c r="I991" s="74">
        <f t="array" ref="I991">IF(OR($D991="",$D991="NO ENCONTRADO"),"",_xlfn.XLOOKUP($D991,Productos!$E:$E,Productos!$F:$F,""))</f>
        <v/>
      </c>
      <c r="J991" s="74">
        <f>IF($C991="","",IF($D991="NO ENCONTRADO",IF(COUNTIF($C$7:$C$1000,$C991)&gt;1,"⚠️ No encontrado | Duplicado","⚠️ No encontrado"),IF(COUNTIF($C$7:$C$1000,$C991)&gt;1,"⚠️ Duplicado","Verificado")))</f>
        <v/>
      </c>
    </row>
    <row r="992" ht="15.75" customHeight="1" s="176">
      <c r="B992" s="80" t="n"/>
      <c r="C992" s="74" t="n"/>
      <c r="D992" s="74">
        <f t="array" ref="D992">IF($C992="","",IFNA(_xlfn.XLOOKUP($C992,Productos!$A:$A,Productos!$E:$E,IFNA(_xlfn.XLOOKUP(TEXT($C992,"0"),Productos!$A:$A,Productos!$E:$E,IFNA(_xlfn.XLOOKUP(IFERROR(VALUE($C992),""),Productos!$A:$A,Productos!$E:$E,_xlfn.XLOOKUP($C992,Productos!$E:$E,Productos!$E:$E,"NO ENCONTRADO")),"NO ENCONTRADO")),"NO ENCONTRADO")),"NO ENCONTRADO"))</f>
        <v/>
      </c>
      <c r="E992" s="74">
        <f t="array" ref="E992">IF(OR($D992="",$D992="NO ENCONTRADO"),"",_xlfn.XLOOKUP($D992,Productos!$E:$E,Productos!$H:$H,""))</f>
        <v/>
      </c>
      <c r="F992" s="74">
        <f t="array" ref="F992">IF(OR($D992="",$D992="NO ENCONTRADO"),"",_xlfn.XLOOKUP($D992,Productos!$E:$E,Productos!$I:$I,""))</f>
        <v/>
      </c>
      <c r="G992" s="74">
        <f t="array" ref="G992">IF(OR($D992="",$D992="NO ENCONTRADO"),"",_xlfn.XLOOKUP($D992,Productos!$E:$E,Productos!$J:$J,""))</f>
        <v/>
      </c>
      <c r="H992" s="74">
        <f t="array" ref="H992">IF(OR($D992="",$D992="NO ENCONTRADO"),"",_xlfn.XLOOKUP($D992,Productos!$E:$E,Productos!$K:$K,""))</f>
        <v/>
      </c>
      <c r="I992" s="74">
        <f t="array" ref="I992">IF(OR($D992="",$D992="NO ENCONTRADO"),"",_xlfn.XLOOKUP($D992,Productos!$E:$E,Productos!$F:$F,""))</f>
        <v/>
      </c>
      <c r="J992" s="74">
        <f>IF($C992="","",IF($D992="NO ENCONTRADO",IF(COUNTIF($C$7:$C$1000,$C992)&gt;1,"⚠️ No encontrado | Duplicado","⚠️ No encontrado"),IF(COUNTIF($C$7:$C$1000,$C992)&gt;1,"⚠️ Duplicado","Verificado")))</f>
        <v/>
      </c>
    </row>
    <row r="993" ht="15.75" customHeight="1" s="176">
      <c r="B993" s="80" t="n"/>
      <c r="C993" s="74" t="n"/>
      <c r="D993" s="74">
        <f t="array" ref="D993">IF($C993="","",IFNA(_xlfn.XLOOKUP($C993,Productos!$A:$A,Productos!$E:$E,IFNA(_xlfn.XLOOKUP(TEXT($C993,"0"),Productos!$A:$A,Productos!$E:$E,IFNA(_xlfn.XLOOKUP(IFERROR(VALUE($C993),""),Productos!$A:$A,Productos!$E:$E,_xlfn.XLOOKUP($C993,Productos!$E:$E,Productos!$E:$E,"NO ENCONTRADO")),"NO ENCONTRADO")),"NO ENCONTRADO")),"NO ENCONTRADO"))</f>
        <v/>
      </c>
      <c r="E993" s="74">
        <f t="array" ref="E993">IF(OR($D993="",$D993="NO ENCONTRADO"),"",_xlfn.XLOOKUP($D993,Productos!$E:$E,Productos!$H:$H,""))</f>
        <v/>
      </c>
      <c r="F993" s="74">
        <f t="array" ref="F993">IF(OR($D993="",$D993="NO ENCONTRADO"),"",_xlfn.XLOOKUP($D993,Productos!$E:$E,Productos!$I:$I,""))</f>
        <v/>
      </c>
      <c r="G993" s="74">
        <f t="array" ref="G993">IF(OR($D993="",$D993="NO ENCONTRADO"),"",_xlfn.XLOOKUP($D993,Productos!$E:$E,Productos!$J:$J,""))</f>
        <v/>
      </c>
      <c r="H993" s="74">
        <f t="array" ref="H993">IF(OR($D993="",$D993="NO ENCONTRADO"),"",_xlfn.XLOOKUP($D993,Productos!$E:$E,Productos!$K:$K,""))</f>
        <v/>
      </c>
      <c r="I993" s="74">
        <f t="array" ref="I993">IF(OR($D993="",$D993="NO ENCONTRADO"),"",_xlfn.XLOOKUP($D993,Productos!$E:$E,Productos!$F:$F,""))</f>
        <v/>
      </c>
      <c r="J993" s="74">
        <f>IF($C993="","",IF($D993="NO ENCONTRADO",IF(COUNTIF($C$7:$C$1000,$C993)&gt;1,"⚠️ No encontrado | Duplicado","⚠️ No encontrado"),IF(COUNTIF($C$7:$C$1000,$C993)&gt;1,"⚠️ Duplicado","Verificado")))</f>
        <v/>
      </c>
    </row>
    <row r="994" ht="15.75" customHeight="1" s="176">
      <c r="B994" s="80" t="n"/>
      <c r="C994" s="74" t="n"/>
      <c r="D994" s="74">
        <f t="array" ref="D994">IF($C994="","",IFNA(_xlfn.XLOOKUP($C994,Productos!$A:$A,Productos!$E:$E,IFNA(_xlfn.XLOOKUP(TEXT($C994,"0"),Productos!$A:$A,Productos!$E:$E,IFNA(_xlfn.XLOOKUP(IFERROR(VALUE($C994),""),Productos!$A:$A,Productos!$E:$E,_xlfn.XLOOKUP($C994,Productos!$E:$E,Productos!$E:$E,"NO ENCONTRADO")),"NO ENCONTRADO")),"NO ENCONTRADO")),"NO ENCONTRADO"))</f>
        <v/>
      </c>
      <c r="E994" s="74">
        <f t="array" ref="E994">IF(OR($D994="",$D994="NO ENCONTRADO"),"",_xlfn.XLOOKUP($D994,Productos!$E:$E,Productos!$H:$H,""))</f>
        <v/>
      </c>
      <c r="F994" s="74">
        <f t="array" ref="F994">IF(OR($D994="",$D994="NO ENCONTRADO"),"",_xlfn.XLOOKUP($D994,Productos!$E:$E,Productos!$I:$I,""))</f>
        <v/>
      </c>
      <c r="G994" s="74">
        <f t="array" ref="G994">IF(OR($D994="",$D994="NO ENCONTRADO"),"",_xlfn.XLOOKUP($D994,Productos!$E:$E,Productos!$J:$J,""))</f>
        <v/>
      </c>
      <c r="H994" s="74">
        <f t="array" ref="H994">IF(OR($D994="",$D994="NO ENCONTRADO"),"",_xlfn.XLOOKUP($D994,Productos!$E:$E,Productos!$K:$K,""))</f>
        <v/>
      </c>
      <c r="I994" s="74">
        <f t="array" ref="I994">IF(OR($D994="",$D994="NO ENCONTRADO"),"",_xlfn.XLOOKUP($D994,Productos!$E:$E,Productos!$F:$F,""))</f>
        <v/>
      </c>
      <c r="J994" s="74">
        <f>IF($C994="","",IF($D994="NO ENCONTRADO",IF(COUNTIF($C$7:$C$1000,$C994)&gt;1,"⚠️ No encontrado | Duplicado","⚠️ No encontrado"),IF(COUNTIF($C$7:$C$1000,$C994)&gt;1,"⚠️ Duplicado","Verificado")))</f>
        <v/>
      </c>
    </row>
    <row r="995" ht="15.75" customHeight="1" s="176">
      <c r="B995" s="80" t="n"/>
      <c r="C995" s="74" t="n"/>
      <c r="D995" s="74">
        <f t="array" ref="D995">IF($C995="","",IFNA(_xlfn.XLOOKUP($C995,Productos!$A:$A,Productos!$E:$E,IFNA(_xlfn.XLOOKUP(TEXT($C995,"0"),Productos!$A:$A,Productos!$E:$E,IFNA(_xlfn.XLOOKUP(IFERROR(VALUE($C995),""),Productos!$A:$A,Productos!$E:$E,_xlfn.XLOOKUP($C995,Productos!$E:$E,Productos!$E:$E,"NO ENCONTRADO")),"NO ENCONTRADO")),"NO ENCONTRADO")),"NO ENCONTRADO"))</f>
        <v/>
      </c>
      <c r="E995" s="74">
        <f t="array" ref="E995">IF(OR($D995="",$D995="NO ENCONTRADO"),"",_xlfn.XLOOKUP($D995,Productos!$E:$E,Productos!$H:$H,""))</f>
        <v/>
      </c>
      <c r="F995" s="74">
        <f t="array" ref="F995">IF(OR($D995="",$D995="NO ENCONTRADO"),"",_xlfn.XLOOKUP($D995,Productos!$E:$E,Productos!$I:$I,""))</f>
        <v/>
      </c>
      <c r="G995" s="74">
        <f t="array" ref="G995">IF(OR($D995="",$D995="NO ENCONTRADO"),"",_xlfn.XLOOKUP($D995,Productos!$E:$E,Productos!$J:$J,""))</f>
        <v/>
      </c>
      <c r="H995" s="74">
        <f t="array" ref="H995">IF(OR($D995="",$D995="NO ENCONTRADO"),"",_xlfn.XLOOKUP($D995,Productos!$E:$E,Productos!$K:$K,""))</f>
        <v/>
      </c>
      <c r="I995" s="74">
        <f t="array" ref="I995">IF(OR($D995="",$D995="NO ENCONTRADO"),"",_xlfn.XLOOKUP($D995,Productos!$E:$E,Productos!$F:$F,""))</f>
        <v/>
      </c>
      <c r="J995" s="74">
        <f>IF($C995="","",IF($D995="NO ENCONTRADO",IF(COUNTIF($C$7:$C$1000,$C995)&gt;1,"⚠️ No encontrado | Duplicado","⚠️ No encontrado"),IF(COUNTIF($C$7:$C$1000,$C995)&gt;1,"⚠️ Duplicado","Verificado")))</f>
        <v/>
      </c>
    </row>
    <row r="996" ht="15.75" customHeight="1" s="176">
      <c r="B996" s="80" t="n"/>
      <c r="C996" s="74" t="n"/>
      <c r="D996" s="74">
        <f t="array" ref="D996">IF($C996="","",IFNA(_xlfn.XLOOKUP($C996,Productos!$A:$A,Productos!$E:$E,IFNA(_xlfn.XLOOKUP(TEXT($C996,"0"),Productos!$A:$A,Productos!$E:$E,IFNA(_xlfn.XLOOKUP(IFERROR(VALUE($C996),""),Productos!$A:$A,Productos!$E:$E,_xlfn.XLOOKUP($C996,Productos!$E:$E,Productos!$E:$E,"NO ENCONTRADO")),"NO ENCONTRADO")),"NO ENCONTRADO")),"NO ENCONTRADO"))</f>
        <v/>
      </c>
      <c r="E996" s="74">
        <f t="array" ref="E996">IF(OR($D996="",$D996="NO ENCONTRADO"),"",_xlfn.XLOOKUP($D996,Productos!$E:$E,Productos!$H:$H,""))</f>
        <v/>
      </c>
      <c r="F996" s="74">
        <f t="array" ref="F996">IF(OR($D996="",$D996="NO ENCONTRADO"),"",_xlfn.XLOOKUP($D996,Productos!$E:$E,Productos!$I:$I,""))</f>
        <v/>
      </c>
      <c r="G996" s="74">
        <f t="array" ref="G996">IF(OR($D996="",$D996="NO ENCONTRADO"),"",_xlfn.XLOOKUP($D996,Productos!$E:$E,Productos!$J:$J,""))</f>
        <v/>
      </c>
      <c r="H996" s="74">
        <f t="array" ref="H996">IF(OR($D996="",$D996="NO ENCONTRADO"),"",_xlfn.XLOOKUP($D996,Productos!$E:$E,Productos!$K:$K,""))</f>
        <v/>
      </c>
      <c r="I996" s="74">
        <f t="array" ref="I996">IF(OR($D996="",$D996="NO ENCONTRADO"),"",_xlfn.XLOOKUP($D996,Productos!$E:$E,Productos!$F:$F,""))</f>
        <v/>
      </c>
      <c r="J996" s="74">
        <f>IF($C996="","",IF($D996="NO ENCONTRADO",IF(COUNTIF($C$7:$C$1000,$C996)&gt;1,"⚠️ No encontrado | Duplicado","⚠️ No encontrado"),IF(COUNTIF($C$7:$C$1000,$C996)&gt;1,"⚠️ Duplicado","Verificado")))</f>
        <v/>
      </c>
    </row>
    <row r="997" ht="15.75" customHeight="1" s="176">
      <c r="B997" s="80" t="n"/>
      <c r="C997" s="74" t="n"/>
      <c r="D997" s="74">
        <f t="array" ref="D997">IF($C997="","",IFNA(_xlfn.XLOOKUP($C997,Productos!$A:$A,Productos!$E:$E,IFNA(_xlfn.XLOOKUP(TEXT($C997,"0"),Productos!$A:$A,Productos!$E:$E,IFNA(_xlfn.XLOOKUP(IFERROR(VALUE($C997),""),Productos!$A:$A,Productos!$E:$E,_xlfn.XLOOKUP($C997,Productos!$E:$E,Productos!$E:$E,"NO ENCONTRADO")),"NO ENCONTRADO")),"NO ENCONTRADO")),"NO ENCONTRADO"))</f>
        <v/>
      </c>
      <c r="E997" s="74">
        <f t="array" ref="E997">IF(OR($D997="",$D997="NO ENCONTRADO"),"",_xlfn.XLOOKUP($D997,Productos!$E:$E,Productos!$H:$H,""))</f>
        <v/>
      </c>
      <c r="F997" s="74">
        <f t="array" ref="F997">IF(OR($D997="",$D997="NO ENCONTRADO"),"",_xlfn.XLOOKUP($D997,Productos!$E:$E,Productos!$I:$I,""))</f>
        <v/>
      </c>
      <c r="G997" s="74">
        <f t="array" ref="G997">IF(OR($D997="",$D997="NO ENCONTRADO"),"",_xlfn.XLOOKUP($D997,Productos!$E:$E,Productos!$J:$J,""))</f>
        <v/>
      </c>
      <c r="H997" s="74">
        <f t="array" ref="H997">IF(OR($D997="",$D997="NO ENCONTRADO"),"",_xlfn.XLOOKUP($D997,Productos!$E:$E,Productos!$K:$K,""))</f>
        <v/>
      </c>
      <c r="I997" s="74">
        <f t="array" ref="I997">IF(OR($D997="",$D997="NO ENCONTRADO"),"",_xlfn.XLOOKUP($D997,Productos!$E:$E,Productos!$F:$F,""))</f>
        <v/>
      </c>
      <c r="J997" s="74">
        <f>IF($C997="","",IF($D997="NO ENCONTRADO",IF(COUNTIF($C$7:$C$1000,$C997)&gt;1,"⚠️ No encontrado | Duplicado","⚠️ No encontrado"),IF(COUNTIF($C$7:$C$1000,$C997)&gt;1,"⚠️ Duplicado","Verificado")))</f>
        <v/>
      </c>
    </row>
    <row r="998" ht="15.75" customHeight="1" s="176">
      <c r="B998" s="80" t="n"/>
      <c r="C998" s="74" t="n"/>
      <c r="D998" s="74">
        <f t="array" ref="D998">IF($C998="","",IFNA(_xlfn.XLOOKUP($C998,Productos!$A:$A,Productos!$E:$E,IFNA(_xlfn.XLOOKUP(TEXT($C998,"0"),Productos!$A:$A,Productos!$E:$E,IFNA(_xlfn.XLOOKUP(IFERROR(VALUE($C998),""),Productos!$A:$A,Productos!$E:$E,_xlfn.XLOOKUP($C998,Productos!$E:$E,Productos!$E:$E,"NO ENCONTRADO")),"NO ENCONTRADO")),"NO ENCONTRADO")),"NO ENCONTRADO"))</f>
        <v/>
      </c>
      <c r="E998" s="74">
        <f t="array" ref="E998">IF(OR($D998="",$D998="NO ENCONTRADO"),"",_xlfn.XLOOKUP($D998,Productos!$E:$E,Productos!$H:$H,""))</f>
        <v/>
      </c>
      <c r="F998" s="74">
        <f t="array" ref="F998">IF(OR($D998="",$D998="NO ENCONTRADO"),"",_xlfn.XLOOKUP($D998,Productos!$E:$E,Productos!$I:$I,""))</f>
        <v/>
      </c>
      <c r="G998" s="74">
        <f t="array" ref="G998">IF(OR($D998="",$D998="NO ENCONTRADO"),"",_xlfn.XLOOKUP($D998,Productos!$E:$E,Productos!$J:$J,""))</f>
        <v/>
      </c>
      <c r="H998" s="74">
        <f t="array" ref="H998">IF(OR($D998="",$D998="NO ENCONTRADO"),"",_xlfn.XLOOKUP($D998,Productos!$E:$E,Productos!$K:$K,""))</f>
        <v/>
      </c>
      <c r="I998" s="74">
        <f t="array" ref="I998">IF(OR($D998="",$D998="NO ENCONTRADO"),"",_xlfn.XLOOKUP($D998,Productos!$E:$E,Productos!$F:$F,""))</f>
        <v/>
      </c>
      <c r="J998" s="74">
        <f>IF($C998="","",IF($D998="NO ENCONTRADO",IF(COUNTIF($C$7:$C$1000,$C998)&gt;1,"⚠️ No encontrado | Duplicado","⚠️ No encontrado"),IF(COUNTIF($C$7:$C$1000,$C998)&gt;1,"⚠️ Duplicado","Verificado")))</f>
        <v/>
      </c>
    </row>
    <row r="999" ht="15.75" customHeight="1" s="176">
      <c r="B999" s="80" t="n"/>
      <c r="C999" s="74" t="n"/>
      <c r="D999" s="74">
        <f t="array" ref="D999">IF($C999="","",IFNA(_xlfn.XLOOKUP($C999,Productos!$A:$A,Productos!$E:$E,IFNA(_xlfn.XLOOKUP(TEXT($C999,"0"),Productos!$A:$A,Productos!$E:$E,IFNA(_xlfn.XLOOKUP(IFERROR(VALUE($C999),""),Productos!$A:$A,Productos!$E:$E,_xlfn.XLOOKUP($C999,Productos!$E:$E,Productos!$E:$E,"NO ENCONTRADO")),"NO ENCONTRADO")),"NO ENCONTRADO")),"NO ENCONTRADO"))</f>
        <v/>
      </c>
      <c r="E999" s="74">
        <f t="array" ref="E999">IF(OR($D999="",$D999="NO ENCONTRADO"),"",_xlfn.XLOOKUP($D999,Productos!$E:$E,Productos!$H:$H,""))</f>
        <v/>
      </c>
      <c r="F999" s="74">
        <f t="array" ref="F999">IF(OR($D999="",$D999="NO ENCONTRADO"),"",_xlfn.XLOOKUP($D999,Productos!$E:$E,Productos!$I:$I,""))</f>
        <v/>
      </c>
      <c r="G999" s="74">
        <f t="array" ref="G999">IF(OR($D999="",$D999="NO ENCONTRADO"),"",_xlfn.XLOOKUP($D999,Productos!$E:$E,Productos!$J:$J,""))</f>
        <v/>
      </c>
      <c r="H999" s="74">
        <f t="array" ref="H999">IF(OR($D999="",$D999="NO ENCONTRADO"),"",_xlfn.XLOOKUP($D999,Productos!$E:$E,Productos!$K:$K,""))</f>
        <v/>
      </c>
      <c r="I999" s="74">
        <f t="array" ref="I999">IF(OR($D999="",$D999="NO ENCONTRADO"),"",_xlfn.XLOOKUP($D999,Productos!$E:$E,Productos!$F:$F,""))</f>
        <v/>
      </c>
      <c r="J999" s="74">
        <f>IF($C999="","",IF($D999="NO ENCONTRADO",IF(COUNTIF($C$7:$C$1000,$C999)&gt;1,"⚠️ No encontrado | Duplicado","⚠️ No encontrado"),IF(COUNTIF($C$7:$C$1000,$C999)&gt;1,"⚠️ Duplicado","Verificado")))</f>
        <v/>
      </c>
    </row>
    <row r="1000" ht="15.75" customHeight="1" s="176">
      <c r="B1000" s="80" t="n"/>
      <c r="C1000" s="74" t="n"/>
      <c r="D1000" s="74">
        <f t="array" ref="D1000">IF($C1000="","",IFNA(_xlfn.XLOOKUP($C1000,Productos!$A:$A,Productos!$E:$E,IFNA(_xlfn.XLOOKUP(TEXT($C1000,"0"),Productos!$A:$A,Productos!$E:$E,IFNA(_xlfn.XLOOKUP(IFERROR(VALUE($C1000),""),Productos!$A:$A,Productos!$E:$E,_xlfn.XLOOKUP($C1000,Productos!$E:$E,Productos!$E:$E,"NO ENCONTRADO")),"NO ENCONTRADO")),"NO ENCONTRADO")),"NO ENCONTRADO"))</f>
        <v/>
      </c>
      <c r="E1000" s="74">
        <f t="array" ref="E1000">IF(OR($D1000="",$D1000="NO ENCONTRADO"),"",_xlfn.XLOOKUP($D1000,Productos!$E:$E,Productos!$H:$H,""))</f>
        <v/>
      </c>
      <c r="F1000" s="74">
        <f t="array" ref="F1000">IF(OR($D1000="",$D1000="NO ENCONTRADO"),"",_xlfn.XLOOKUP($D1000,Productos!$E:$E,Productos!$I:$I,""))</f>
        <v/>
      </c>
      <c r="G1000" s="74">
        <f t="array" ref="G1000">IF(OR($D1000="",$D1000="NO ENCONTRADO"),"",_xlfn.XLOOKUP($D1000,Productos!$E:$E,Productos!$J:$J,""))</f>
        <v/>
      </c>
      <c r="H1000" s="74">
        <f t="array" ref="H1000">IF(OR($D1000="",$D1000="NO ENCONTRADO"),"",_xlfn.XLOOKUP($D1000,Productos!$E:$E,Productos!$K:$K,""))</f>
        <v/>
      </c>
      <c r="I1000" s="74">
        <f t="array" ref="I1000">IF(OR($D1000="",$D1000="NO ENCONTRADO"),"",_xlfn.XLOOKUP($D1000,Productos!$E:$E,Productos!$F:$F,""))</f>
        <v/>
      </c>
      <c r="J1000" s="74">
        <f>IF($C1000="","",IF($D1000="NO ENCONTRADO",IF(COUNTIF($C$7:$C$1000,$C1000)&gt;1,"⚠️ No encontrado | Duplicado","⚠️ No encontrado"),IF(COUNTIF($C$7:$C$1000,$C1000)&gt;1,"⚠️ Duplicado","Verificado")))</f>
        <v/>
      </c>
    </row>
  </sheetData>
  <mergeCells count="13">
    <mergeCell ref="A4:B4"/>
    <mergeCell ref="A1:J1"/>
    <mergeCell ref="E4:F4"/>
    <mergeCell ref="A2:B2"/>
    <mergeCell ref="H2:I2"/>
    <mergeCell ref="C2:D2"/>
    <mergeCell ref="E2:F2"/>
    <mergeCell ref="C4:D4"/>
    <mergeCell ref="H4:I4"/>
    <mergeCell ref="C3:D3"/>
    <mergeCell ref="A3:B3"/>
    <mergeCell ref="E3:F3"/>
    <mergeCell ref="H3:I3"/>
  </mergeCells>
  <conditionalFormatting sqref="C7:J1000">
    <cfRule type="expression" priority="1" dxfId="5" stopIfTrue="1">
      <formula>AND($C7&lt;&gt;"", ISNUMBER(SEARCH("⚠️", $J7)))</formula>
    </cfRule>
  </conditionalFormatting>
  <conditionalFormatting sqref="J7:J1000">
    <cfRule type="cellIs" priority="2" operator="equal" dxfId="8" stopIfTrue="1">
      <formula>"Verificado"</formula>
    </cfRule>
  </conditionalFormatting>
  <conditionalFormatting sqref="I7:I25">
    <cfRule type="cellIs" priority="3" operator="equal" dxfId="8" stopIfTrue="1">
      <formula>"Verificado"</formula>
    </cfRule>
    <cfRule type="cellIs" priority="4" operator="equal" dxfId="5" stopIfTrue="1">
      <formula>"Con Discrepancia"</formula>
    </cfRule>
    <cfRule type="cellIs" priority="5" operator="equal" dxfId="15" stopIfTrue="1">
      <formula>"Pendiente"</formula>
    </cfRule>
  </conditionalFormatting>
  <dataValidations count="4">
    <dataValidation sqref="B7:B1000" showDropDown="0" showInputMessage="0" showErrorMessage="1" allowBlank="1" type="list">
      <formula1>Criterios!$G$6:$G$200</formula1>
    </dataValidation>
    <dataValidation sqref="I7:I100" showDropDown="0" showInputMessage="0" showErrorMessage="0" allowBlank="1" type="list">
      <formula1>'Configuración'!$D$4:$D$30</formula1>
    </dataValidation>
    <dataValidation sqref="G7:H100" showDropDown="0" showInputMessage="0" showErrorMessage="0" allowBlank="1" type="list">
      <formula1>'Configuración'!$C$4:$C$30</formula1>
    </dataValidation>
    <dataValidation sqref="E7:E100" showDropDown="0" showInputMessage="0" showErrorMessage="0" allowBlank="1" type="list">
      <formula1>'Configuración'!$B$4:$B$30</formula1>
    </dataValidation>
  </dataValidations>
  <pageMargins left="0.7" right="0.7" top="0.75" bottom="0.75" header="0" footer="0"/>
  <pageSetup orientation="landscape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FF3B81F5"/>
    <outlinePr summaryBelow="0" summaryRight="0"/>
    <pageSetUpPr/>
  </sheetPr>
  <dimension ref="A1:I3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2.63" defaultRowHeight="15" customHeight="1"/>
  <cols>
    <col width="15.75" customWidth="1" style="176" min="1" max="1"/>
    <col width="13.25" customWidth="1" style="176" min="2" max="2"/>
    <col width="16.38" customWidth="1" style="176" min="3" max="3"/>
    <col width="27.63" customWidth="1" style="176" min="4" max="4"/>
    <col width="30.13" customWidth="1" style="176" min="5" max="5"/>
    <col width="12" customWidth="1" style="176" min="6" max="6"/>
    <col width="26.38" customWidth="1" style="176" min="7" max="7"/>
    <col width="22" customWidth="1" style="176" min="8" max="8"/>
    <col width="35.13" customWidth="1" style="176" min="9" max="9"/>
  </cols>
  <sheetData>
    <row r="1" ht="31.5" customHeight="1" s="176">
      <c r="A1" s="177" t="inlineStr">
        <is>
          <t>HISTORIAL Y BITÁCORA CONSOLIDADA DE CONTEOS CÍCLICOS - GRUPO QUINCE 22</t>
        </is>
      </c>
    </row>
    <row r="2" ht="19.5" customHeight="1" s="176">
      <c r="A2" s="180" t="inlineStr">
        <is>
          <t>Registro histórico de auditorías, folios automáticos por ubicación y trazabilidad consolidada de marcas e inventario físico</t>
        </is>
      </c>
    </row>
    <row r="3" ht="26.25" customHeight="1" s="176">
      <c r="A3" s="6" t="inlineStr">
        <is>
          <t>Fecha de Conteo</t>
        </is>
      </c>
      <c r="B3" s="6" t="inlineStr">
        <is>
          <t>Hora Registro</t>
        </is>
      </c>
      <c r="C3" s="6" t="inlineStr">
        <is>
          <t>Folio de Escaneo</t>
        </is>
      </c>
      <c r="D3" s="6" t="inlineStr">
        <is>
          <t>Ubicación / Rack</t>
        </is>
      </c>
      <c r="E3" s="6" t="inlineStr">
        <is>
          <t>Marcas Escaneadas (Todas)</t>
        </is>
      </c>
      <c r="F3" s="6" t="inlineStr">
        <is>
          <t>Total Piezas</t>
        </is>
      </c>
      <c r="G3" s="6" t="inlineStr">
        <is>
          <t>Auditor / Responsable</t>
        </is>
      </c>
      <c r="H3" s="6" t="inlineStr">
        <is>
          <t>Dictamen de Auditoría</t>
        </is>
      </c>
      <c r="I3" s="7" t="inlineStr">
        <is>
          <t>Alertas de Modificación / Incidencias</t>
        </is>
      </c>
    </row>
  </sheetData>
  <mergeCells count="2">
    <mergeCell ref="A1:I1"/>
    <mergeCell ref="A2:I2"/>
  </mergeCells>
  <conditionalFormatting sqref="H4:I1000">
    <cfRule type="containsText" priority="1" operator="containsText" dxfId="5" stopIfTrue="1" text="⚠️">
      <formula>NOT(ISERROR(SEARCH(("⚠️"),(H4))))</formula>
    </cfRule>
    <cfRule type="containsText" priority="2" operator="containsText" dxfId="6" stopIfTrue="1" text="Ajuste Menor">
      <formula>NOT(ISERROR(SEARCH(("Ajuste Menor"),(H4))))</formula>
    </cfRule>
    <cfRule type="containsText" priority="3" operator="containsText" dxfId="7" stopIfTrue="1" text="EN PROCESO">
      <formula>NOT(ISERROR(SEARCH(("EN PROCESO"),(H4))))</formula>
    </cfRule>
    <cfRule type="containsText" priority="4" operator="containsText" dxfId="8" stopIfTrue="1" text="Conforme">
      <formula>NOT(ISERROR(SEARCH(("Conforme"),(H4))))</formula>
    </cfRule>
    <cfRule type="cellIs" priority="5" operator="equal" dxfId="9" stopIfTrue="1">
      <formula>"Sin incidencias"</formula>
    </cfRule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M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17.63" customWidth="1" style="176" min="1" max="1"/>
    <col width="18.88" customWidth="1" style="176" min="2" max="2"/>
    <col width="27.63" customWidth="1" style="176" min="3" max="3"/>
    <col width="17.63" customWidth="1" style="176" min="4" max="4"/>
    <col width="19.63" customWidth="1" style="176" min="5" max="5"/>
    <col width="18.88" customWidth="1" style="176" min="6" max="6"/>
    <col width="30.13" customWidth="1" style="176" min="7" max="7"/>
    <col width="17.63" customWidth="1" style="176" min="8" max="8"/>
    <col width="15.13" customWidth="1" style="176" min="9" max="9"/>
    <col width="16.38" customWidth="1" style="176" min="10" max="10"/>
    <col width="26.63" customWidth="1" style="176" min="11" max="11"/>
    <col width="20.13" customWidth="1" style="176" min="12" max="12"/>
    <col width="35.13" customWidth="1" style="176" min="13" max="13"/>
  </cols>
  <sheetData>
    <row r="1" ht="28.5" customHeight="1" s="176">
      <c r="A1" s="33" t="inlineStr">
        <is>
          <t>Folio de Escaneo</t>
        </is>
      </c>
      <c r="B1" s="33" t="inlineStr">
        <is>
          <t>Fecha / Hora</t>
        </is>
      </c>
      <c r="C1" s="33" t="inlineStr">
        <is>
          <t>Ubicación / Rack</t>
        </is>
      </c>
      <c r="D1" s="33" t="inlineStr">
        <is>
          <t>UPC CODE</t>
        </is>
      </c>
      <c r="E1" s="33" t="inlineStr">
        <is>
          <t>SKU</t>
        </is>
      </c>
      <c r="F1" s="33" t="inlineStr">
        <is>
          <t>Marca</t>
        </is>
      </c>
      <c r="G1" s="33" t="inlineStr">
        <is>
          <t>Descripción</t>
        </is>
      </c>
      <c r="H1" s="33" t="inlineStr">
        <is>
          <t>Categoría</t>
        </is>
      </c>
      <c r="I1" s="33" t="inlineStr">
        <is>
          <t>Talla / Size</t>
        </is>
      </c>
      <c r="J1" s="33" t="inlineStr">
        <is>
          <t>Piezas Contadas</t>
        </is>
      </c>
      <c r="K1" s="33" t="inlineStr">
        <is>
          <t>Auditor / Responsable</t>
        </is>
      </c>
      <c r="L1" s="33" t="inlineStr">
        <is>
          <t>Estado de Conteo</t>
        </is>
      </c>
      <c r="M1" s="33" t="inlineStr">
        <is>
          <t>Detalle de Modificaciones / Alertas</t>
        </is>
      </c>
    </row>
  </sheetData>
  <conditionalFormatting sqref="L2:M1000">
    <cfRule type="containsText" priority="1" operator="containsText" dxfId="5" stopIfTrue="1" text="⚠️">
      <formula>NOT(ISERROR(SEARCH(("⚠️"),(L2))))</formula>
    </cfRule>
    <cfRule type="cellIs" priority="2" operator="equal" dxfId="5" stopIfTrue="1">
      <formula>"Con Discrepancia"</formula>
    </cfRule>
    <cfRule type="cellIs" priority="3" operator="equal" dxfId="8" stopIfTrue="1">
      <formula>"Verificado"</formula>
    </cfRule>
    <cfRule type="cellIs" priority="4" operator="equal" dxfId="10" stopIfTrue="1">
      <formula>"Sin cambios"</formula>
    </cfRule>
  </conditionalFormatting>
  <dataValidations count="1">
    <dataValidation sqref="L5:L1000" showDropDown="0" showInputMessage="0" showErrorMessage="0" allowBlank="1" type="list">
      <formula1>"Verificado,Con Discrepancia,Pendiente,Revisión Requerida"</formula1>
    </dataValidation>
  </dataValidation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63748A"/>
    <outlinePr summaryBelow="0" summaryRight="0"/>
    <pageSetUpPr/>
  </sheetPr>
  <dimension ref="A1:J64"/>
  <sheetViews>
    <sheetView workbookViewId="0">
      <selection activeCell="A1" sqref="A1"/>
    </sheetView>
  </sheetViews>
  <sheetFormatPr baseColWidth="8" defaultColWidth="12.63" defaultRowHeight="15" customHeight="1"/>
  <cols>
    <col width="71.38" customWidth="1" style="176" min="1" max="1"/>
    <col width="13.13" customWidth="1" style="176" min="2" max="2"/>
    <col width="10.88" customWidth="1" style="176" min="3" max="3"/>
    <col width="10.63" customWidth="1" style="176" min="4" max="4"/>
    <col width="17.88" customWidth="1" style="176" min="5" max="5"/>
    <col width="13.75" customWidth="1" style="176" min="6" max="6"/>
    <col width="4" customWidth="1" style="176" min="7" max="7"/>
    <col width="34" customWidth="1" style="176" min="8" max="8"/>
    <col width="16" customWidth="1" style="176" min="9" max="10"/>
  </cols>
  <sheetData>
    <row r="1" ht="30" customHeight="1" s="176">
      <c r="A1" s="177" t="inlineStr">
        <is>
          <t>CONFIGURACIÓN DEL SISTEMA Y CATÁLOGOS MAESTROS - GRUPO QUINCE 22</t>
        </is>
      </c>
      <c r="G1" s="5" t="n"/>
      <c r="H1" s="5" t="n"/>
      <c r="I1" s="5" t="n"/>
      <c r="J1" s="5" t="n"/>
    </row>
    <row r="2" ht="15.75" customHeight="1" s="176">
      <c r="A2" s="180" t="inlineStr">
        <is>
          <t>Catálogos oficiales para validación de datos y listas desplegables del conteo cíclico diario</t>
        </is>
      </c>
      <c r="G2" s="5" t="n"/>
      <c r="H2" s="5" t="n"/>
      <c r="I2" s="5" t="n"/>
      <c r="J2" s="5" t="n"/>
    </row>
    <row r="3" ht="24" customHeight="1" s="176">
      <c r="A3" s="6" t="inlineStr">
        <is>
          <t>Ubicaciones / Racks</t>
        </is>
      </c>
      <c r="B3" s="6" t="inlineStr">
        <is>
          <t>Marcas</t>
        </is>
      </c>
      <c r="C3" s="6" t="inlineStr">
        <is>
          <t>Categorías</t>
        </is>
      </c>
      <c r="D3" s="6" t="inlineStr">
        <is>
          <t>Tallas / Sizes</t>
        </is>
      </c>
      <c r="E3" s="6" t="inlineStr">
        <is>
          <t>Auditores / Operadores</t>
        </is>
      </c>
      <c r="F3" s="6" t="inlineStr">
        <is>
          <t>Estado de Conteo</t>
        </is>
      </c>
      <c r="G3" s="5" t="n"/>
      <c r="H3" s="6" t="inlineStr">
        <is>
          <t>Ubicaciones NetSuite (Hoja a Revisar)</t>
        </is>
      </c>
      <c r="I3" s="6" t="inlineStr">
        <is>
          <t>SKUs con stock</t>
        </is>
      </c>
      <c r="J3" s="6" t="inlineStr">
        <is>
          <t>Piezas en sistema</t>
        </is>
      </c>
    </row>
    <row r="4" ht="15.75" customHeight="1" s="176">
      <c r="A4" s="12" t="inlineStr">
        <is>
          <t>Pasillo A - Racks Principales</t>
        </is>
      </c>
      <c r="B4" s="12" t="inlineStr">
        <is>
          <t>1522 Original</t>
        </is>
      </c>
      <c r="C4" s="12" t="inlineStr">
        <is>
          <t>Playeras</t>
        </is>
      </c>
      <c r="D4" s="12" t="inlineStr">
        <is>
          <t>XS</t>
        </is>
      </c>
      <c r="E4" s="14" t="inlineStr">
        <is>
          <t>Jesús Fregoso</t>
        </is>
      </c>
      <c r="F4" s="14" t="inlineStr">
        <is>
          <t>Verificado</t>
        </is>
      </c>
      <c r="G4" s="5" t="n"/>
      <c r="H4" s="12" t="inlineStr">
        <is>
          <t>Almacenes G1522</t>
        </is>
      </c>
      <c r="I4" s="12">
        <f t="array" ref="I4">_xlfn.XLOOKUP($H4,Criterios!$G$6:$G$200,Criterios!I$6:I$200,"")</f>
        <v/>
      </c>
      <c r="J4" s="12">
        <f t="array" ref="J4">_xlfn.XLOOKUP($H4,Criterios!$G$6:$G$200,Criterios!J$6:J$200,"")</f>
        <v/>
      </c>
    </row>
    <row r="5" ht="15.75" customHeight="1" s="176">
      <c r="A5" s="12" t="inlineStr">
        <is>
          <t>Pasillo B - Estantería Media</t>
        </is>
      </c>
      <c r="B5" s="12" t="inlineStr">
        <is>
          <t>Urban Trend</t>
        </is>
      </c>
      <c r="C5" s="12" t="inlineStr">
        <is>
          <t>Pantalones</t>
        </is>
      </c>
      <c r="D5" s="12" t="inlineStr">
        <is>
          <t>S</t>
        </is>
      </c>
      <c r="E5" s="14" t="inlineStr">
        <is>
          <t>Carlos Morales</t>
        </is>
      </c>
      <c r="F5" s="14" t="inlineStr">
        <is>
          <t>Con Discrepancia</t>
        </is>
      </c>
      <c r="G5" s="5" t="n"/>
      <c r="H5" s="12" t="inlineStr">
        <is>
          <t>AMAZON</t>
        </is>
      </c>
      <c r="I5" s="12">
        <f t="array" ref="I5">_xlfn.XLOOKUP($H5,Criterios!$G$6:$G$200,Criterios!I$6:I$200,"")</f>
        <v/>
      </c>
      <c r="J5" s="12">
        <f t="array" ref="J5">_xlfn.XLOOKUP($H5,Criterios!$G$6:$G$200,Criterios!J$6:J$200,"")</f>
        <v/>
      </c>
    </row>
    <row r="6" ht="15.75" customHeight="1" s="176">
      <c r="A6" s="12" t="inlineStr">
        <is>
          <t>Pasillo C - Calzado y Confección</t>
        </is>
      </c>
      <c r="B6" s="12" t="inlineStr">
        <is>
          <t>Denim Co.</t>
        </is>
      </c>
      <c r="C6" s="12" t="inlineStr">
        <is>
          <t>Sudaderas</t>
        </is>
      </c>
      <c r="D6" s="12" t="inlineStr">
        <is>
          <t>M</t>
        </is>
      </c>
      <c r="E6" s="14" t="inlineStr">
        <is>
          <t>Andrea Valenzuela</t>
        </is>
      </c>
      <c r="F6" s="14" t="inlineStr">
        <is>
          <t>Pendiente</t>
        </is>
      </c>
      <c r="G6" s="5" t="n"/>
      <c r="H6" s="12" t="inlineStr">
        <is>
          <t>ARIAT CHIHUAHUA</t>
        </is>
      </c>
      <c r="I6" s="12">
        <f t="array" ref="I6">_xlfn.XLOOKUP($H6,Criterios!$G$6:$G$200,Criterios!I$6:I$200,"")</f>
        <v/>
      </c>
      <c r="J6" s="12">
        <f t="array" ref="J6">_xlfn.XLOOKUP($H6,Criterios!$G$6:$G$200,Criterios!J$6:J$200,"")</f>
        <v/>
      </c>
    </row>
    <row r="7" ht="15.75" customHeight="1" s="176">
      <c r="A7" s="12" t="inlineStr">
        <is>
          <t>Pasillo D - Accesorios</t>
        </is>
      </c>
      <c r="B7" s="12" t="inlineStr">
        <is>
          <t>Active Wear</t>
        </is>
      </c>
      <c r="C7" s="12" t="inlineStr">
        <is>
          <t>Chamarras</t>
        </is>
      </c>
      <c r="D7" s="12" t="inlineStr">
        <is>
          <t>L</t>
        </is>
      </c>
      <c r="E7" s="14" t="inlineStr">
        <is>
          <t>Luis Fernández</t>
        </is>
      </c>
      <c r="F7" s="14" t="inlineStr">
        <is>
          <t>Revisión Requerida</t>
        </is>
      </c>
      <c r="G7" s="5" t="n"/>
      <c r="H7" s="12" t="inlineStr">
        <is>
          <t>ARIAT OUTLET GDL</t>
        </is>
      </c>
      <c r="I7" s="12">
        <f t="array" ref="I7">_xlfn.XLOOKUP($H7,Criterios!$G$6:$G$200,Criterios!I$6:I$200,"")</f>
        <v/>
      </c>
      <c r="J7" s="12">
        <f t="array" ref="J7">_xlfn.XLOOKUP($H7,Criterios!$G$6:$G$200,Criterios!J$6:J$200,"")</f>
        <v/>
      </c>
    </row>
    <row r="8" ht="15.75" customHeight="1" s="176">
      <c r="A8" s="12" t="inlineStr">
        <is>
          <t>Pasillo E - Devoluciones</t>
        </is>
      </c>
      <c r="B8" s="12" t="inlineStr">
        <is>
          <t>Casual Basics</t>
        </is>
      </c>
      <c r="C8" s="12" t="inlineStr">
        <is>
          <t>Gorras</t>
        </is>
      </c>
      <c r="D8" s="12" t="inlineStr">
        <is>
          <t>XL</t>
        </is>
      </c>
      <c r="E8" s="14" t="inlineStr">
        <is>
          <t>Mariana Garza</t>
        </is>
      </c>
      <c r="F8" s="14" t="n"/>
      <c r="G8" s="5" t="n"/>
      <c r="H8" s="12" t="inlineStr">
        <is>
          <t>ARIAT PLAZA SAN LUIS</t>
        </is>
      </c>
      <c r="I8" s="12">
        <f t="array" ref="I8">_xlfn.XLOOKUP($H8,Criterios!$G$6:$G$200,Criterios!I$6:I$200,"")</f>
        <v/>
      </c>
      <c r="J8" s="12">
        <f t="array" ref="J8">_xlfn.XLOOKUP($H8,Criterios!$G$6:$G$200,Criterios!J$6:J$200,"")</f>
        <v/>
      </c>
    </row>
    <row r="9" ht="15.75" customHeight="1" s="176">
      <c r="A9" s="12" t="inlineStr">
        <is>
          <t>Bodega Central - Tarimas</t>
        </is>
      </c>
      <c r="B9" s="12" t="inlineStr">
        <is>
          <t>Signature 1522</t>
        </is>
      </c>
      <c r="C9" s="12" t="inlineStr">
        <is>
          <t>Camisas</t>
        </is>
      </c>
      <c r="D9" s="12" t="inlineStr">
        <is>
          <t>XXL</t>
        </is>
      </c>
      <c r="E9" s="14" t="inlineStr">
        <is>
          <t>Roberto Méndez</t>
        </is>
      </c>
      <c r="F9" s="14" t="n"/>
      <c r="G9" s="5" t="n"/>
      <c r="H9" s="12" t="inlineStr">
        <is>
          <t>ARIAT SAN NICOLAS NL</t>
        </is>
      </c>
      <c r="I9" s="12">
        <f t="array" ref="I9">_xlfn.XLOOKUP($H9,Criterios!$G$6:$G$200,Criterios!I$6:I$200,"")</f>
        <v/>
      </c>
      <c r="J9" s="12">
        <f t="array" ref="J9">_xlfn.XLOOKUP($H9,Criterios!$G$6:$G$200,Criterios!J$6:J$200,"")</f>
        <v/>
      </c>
    </row>
    <row r="10" ht="15.75" customHeight="1" s="176">
      <c r="A10" s="12" t="inlineStr">
        <is>
          <t>Zona de Picking 1</t>
        </is>
      </c>
      <c r="B10" s="12" t="inlineStr">
        <is>
          <t>Premium Line</t>
        </is>
      </c>
      <c r="C10" s="12" t="inlineStr">
        <is>
          <t>Calzado</t>
        </is>
      </c>
      <c r="D10" s="12" t="inlineStr">
        <is>
          <t>28x32</t>
        </is>
      </c>
      <c r="E10" s="14" t="inlineStr">
        <is>
          <t>Sofía Castro</t>
        </is>
      </c>
      <c r="F10" s="14" t="n"/>
      <c r="G10" s="5" t="n"/>
      <c r="H10" s="12" t="inlineStr">
        <is>
          <t>B25 CEDIS</t>
        </is>
      </c>
      <c r="I10" s="12">
        <f t="array" ref="I10">_xlfn.XLOOKUP($H10,Criterios!$G$6:$G$200,Criterios!I$6:I$200,"")</f>
        <v/>
      </c>
      <c r="J10" s="12">
        <f t="array" ref="J10">_xlfn.XLOOKUP($H10,Criterios!$G$6:$G$200,Criterios!J$6:J$200,"")</f>
        <v/>
      </c>
    </row>
    <row r="11" ht="15.75" customHeight="1" s="176">
      <c r="A11" s="12" t="inlineStr">
        <is>
          <t>Zona de Recepción</t>
        </is>
      </c>
      <c r="B11" s="12" t="inlineStr">
        <is>
          <t>Vintage Republic</t>
        </is>
      </c>
      <c r="C11" s="12" t="inlineStr">
        <is>
          <t>Accesorios</t>
        </is>
      </c>
      <c r="D11" s="12" t="inlineStr">
        <is>
          <t>30x32</t>
        </is>
      </c>
      <c r="E11" s="14" t="inlineStr">
        <is>
          <t>Miguel Ángel Ruiz</t>
        </is>
      </c>
      <c r="F11" s="14" t="n"/>
      <c r="G11" s="5" t="n"/>
      <c r="H11" s="12" t="inlineStr">
        <is>
          <t>B25 STETSON.MX</t>
        </is>
      </c>
      <c r="I11" s="12">
        <f t="array" ref="I11">_xlfn.XLOOKUP($H11,Criterios!$G$6:$G$200,Criterios!I$6:I$200,"")</f>
        <v/>
      </c>
      <c r="J11" s="12">
        <f t="array" ref="J11">_xlfn.XLOOKUP($H11,Criterios!$G$6:$G$200,Criterios!J$6:J$200,"")</f>
        <v/>
      </c>
    </row>
    <row r="12" ht="15.75" customHeight="1" s="176">
      <c r="A12" s="12" t="inlineStr">
        <is>
          <t>Almacén General - Cuarentena</t>
        </is>
      </c>
      <c r="B12" s="12" t="inlineStr">
        <is>
          <t>Essentials</t>
        </is>
      </c>
      <c r="C12" s="12" t="inlineStr">
        <is>
          <t>Ropa Deportiva</t>
        </is>
      </c>
      <c r="D12" s="12" t="inlineStr">
        <is>
          <t>32x32</t>
        </is>
      </c>
      <c r="E12" s="14" t="inlineStr">
        <is>
          <t>Diana Navarro</t>
        </is>
      </c>
      <c r="F12" s="14" t="n"/>
      <c r="G12" s="5" t="n"/>
      <c r="H12" s="12" t="inlineStr">
        <is>
          <t>B25 WB MERCADO LIBRE</t>
        </is>
      </c>
      <c r="I12" s="12">
        <f t="array" ref="I12">_xlfn.XLOOKUP($H12,Criterios!$G$6:$G$200,Criterios!I$6:I$200,"")</f>
        <v/>
      </c>
      <c r="J12" s="12">
        <f t="array" ref="J12">_xlfn.XLOOKUP($H12,Criterios!$G$6:$G$200,Criterios!J$6:J$200,"")</f>
        <v/>
      </c>
    </row>
    <row r="13" ht="15.75" customHeight="1" s="176">
      <c r="A13" s="12" t="inlineStr">
        <is>
          <t>Mesa de Empaque</t>
        </is>
      </c>
      <c r="B13" s="12" t="inlineStr">
        <is>
          <t>Colección Especial</t>
        </is>
      </c>
      <c r="C13" s="12" t="inlineStr">
        <is>
          <t>Ropa Interior</t>
        </is>
      </c>
      <c r="D13" s="12" t="inlineStr">
        <is>
          <t>34x32</t>
        </is>
      </c>
      <c r="E13" s="14" t="inlineStr">
        <is>
          <t>Pedro Gómez</t>
        </is>
      </c>
      <c r="F13" s="14" t="n"/>
      <c r="G13" s="5" t="n"/>
      <c r="H13" s="12" t="inlineStr">
        <is>
          <t>B25 WESTERN BROTHERS.MX</t>
        </is>
      </c>
      <c r="I13" s="12">
        <f t="array" ref="I13">_xlfn.XLOOKUP($H13,Criterios!$G$6:$G$200,Criterios!I$6:I$200,"")</f>
        <v/>
      </c>
      <c r="J13" s="12">
        <f t="array" ref="J13">_xlfn.XLOOKUP($H13,Criterios!$G$6:$G$200,Criterios!J$6:J$200,"")</f>
        <v/>
      </c>
    </row>
    <row r="14" ht="15.75" customHeight="1" s="176">
      <c r="A14" s="14" t="inlineStr">
        <is>
          <t>Área de Devoluciones</t>
        </is>
      </c>
      <c r="B14" s="14" t="inlineStr">
        <is>
          <t>Edición Limitada</t>
        </is>
      </c>
      <c r="C14" s="14" t="inlineStr">
        <is>
          <t>Calcetería</t>
        </is>
      </c>
      <c r="D14" s="14" t="inlineStr">
        <is>
          <t>UNITALLA</t>
        </is>
      </c>
      <c r="E14" s="14" t="inlineStr">
        <is>
          <t>Laura Sánchez</t>
        </is>
      </c>
      <c r="F14" s="14" t="n"/>
      <c r="G14" s="5" t="n"/>
      <c r="H14" s="12" t="inlineStr">
        <is>
          <t>CAPSLAB Warehouse</t>
        </is>
      </c>
      <c r="I14" s="12">
        <f t="array" ref="I14">_xlfn.XLOOKUP($H14,Criterios!$G$6:$G$200,Criterios!I$6:I$200,"")</f>
        <v/>
      </c>
      <c r="J14" s="12">
        <f t="array" ref="J14">_xlfn.XLOOKUP($H14,Criterios!$G$6:$G$200,Criterios!J$6:J$200,"")</f>
        <v/>
      </c>
    </row>
    <row r="15" ht="15.75" customHeight="1" s="176">
      <c r="A15" s="47" t="inlineStr">
        <is>
          <t>J1-L1-01</t>
        </is>
      </c>
      <c r="B15" s="47" t="inlineStr">
        <is>
          <t>Stetson</t>
        </is>
      </c>
      <c r="C15" s="47" t="inlineStr">
        <is>
          <t>Jeans</t>
        </is>
      </c>
      <c r="D15" s="47" t="inlineStr">
        <is>
          <t>29 x 32</t>
        </is>
      </c>
      <c r="E15" s="5" t="n"/>
      <c r="F15" s="5" t="n"/>
      <c r="G15" s="5" t="n"/>
      <c r="H15" s="12" t="inlineStr">
        <is>
          <t>CL Muestras</t>
        </is>
      </c>
      <c r="I15" s="12">
        <f t="array" ref="I15">_xlfn.XLOOKUP($H15,Criterios!$G$6:$G$200,Criterios!I$6:I$200,"")</f>
        <v/>
      </c>
      <c r="J15" s="12">
        <f t="array" ref="J15">_xlfn.XLOOKUP($H15,Criterios!$G$6:$G$200,Criterios!J$6:J$200,"")</f>
        <v/>
      </c>
    </row>
    <row r="16" ht="15.75" customHeight="1" s="176">
      <c r="A16" s="47" t="inlineStr">
        <is>
          <t>Almacenes G1522</t>
        </is>
      </c>
      <c r="B16" s="47" t="inlineStr">
        <is>
          <t>Ariat</t>
        </is>
      </c>
      <c r="C16" s="47" t="inlineStr">
        <is>
          <t>Denim</t>
        </is>
      </c>
      <c r="D16" s="47" t="inlineStr">
        <is>
          <t>30 x 32</t>
        </is>
      </c>
      <c r="E16" s="5" t="n"/>
      <c r="F16" s="5" t="n"/>
      <c r="G16" s="5" t="n"/>
      <c r="H16" s="12" t="inlineStr">
        <is>
          <t>CL POS</t>
        </is>
      </c>
      <c r="I16" s="12">
        <f t="array" ref="I16">_xlfn.XLOOKUP($H16,Criterios!$G$6:$G$200,Criterios!I$6:I$200,"")</f>
        <v/>
      </c>
      <c r="J16" s="12">
        <f t="array" ref="J16">_xlfn.XLOOKUP($H16,Criterios!$G$6:$G$200,Criterios!J$6:J$200,"")</f>
        <v/>
      </c>
    </row>
    <row r="17" ht="15.75" customHeight="1" s="176">
      <c r="A17" s="47" t="inlineStr">
        <is>
          <t>AMAZON</t>
        </is>
      </c>
      <c r="B17" s="47" t="inlineStr">
        <is>
          <t>CAPSLAB</t>
        </is>
      </c>
      <c r="C17" s="47" t="inlineStr">
        <is>
          <t>Ropa</t>
        </is>
      </c>
      <c r="D17" s="47" t="inlineStr">
        <is>
          <t>31 x 32</t>
        </is>
      </c>
      <c r="E17" s="5" t="n"/>
      <c r="F17" s="5" t="n"/>
      <c r="G17" s="5" t="n"/>
      <c r="H17" s="12" t="inlineStr">
        <is>
          <t>CONSIGNA REFLO</t>
        </is>
      </c>
      <c r="I17" s="12">
        <f t="array" ref="I17">_xlfn.XLOOKUP($H17,Criterios!$G$6:$G$200,Criterios!I$6:I$200,"")</f>
        <v/>
      </c>
      <c r="J17" s="12">
        <f t="array" ref="J17">_xlfn.XLOOKUP($H17,Criterios!$G$6:$G$200,Criterios!J$6:J$200,"")</f>
        <v/>
      </c>
    </row>
    <row r="18" ht="15.75" customHeight="1" s="176">
      <c r="A18" s="47" t="inlineStr">
        <is>
          <t>ARIAT CHIHUAHUA</t>
        </is>
      </c>
      <c r="B18" s="47" t="inlineStr">
        <is>
          <t>Denver</t>
        </is>
      </c>
      <c r="C18" s="5" t="n"/>
      <c r="D18" s="47" t="inlineStr">
        <is>
          <t>32 x 34</t>
        </is>
      </c>
      <c r="E18" s="5" t="n"/>
      <c r="F18" s="5" t="n"/>
      <c r="G18" s="5" t="n"/>
      <c r="H18" s="12" t="inlineStr">
        <is>
          <t>CONSIGNAS</t>
        </is>
      </c>
      <c r="I18" s="12">
        <f t="array" ref="I18">_xlfn.XLOOKUP($H18,Criterios!$G$6:$G$200,Criterios!I$6:I$200,"")</f>
        <v/>
      </c>
      <c r="J18" s="12">
        <f t="array" ref="J18">_xlfn.XLOOKUP($H18,Criterios!$G$6:$G$200,Criterios!J$6:J$200,"")</f>
        <v/>
      </c>
    </row>
    <row r="19" ht="15.75" customHeight="1" s="176">
      <c r="A19" s="47" t="inlineStr">
        <is>
          <t>ARIAT OUTLET GDL</t>
        </is>
      </c>
      <c r="B19" s="47" t="inlineStr">
        <is>
          <t>Generico</t>
        </is>
      </c>
      <c r="C19" s="5" t="n"/>
      <c r="D19" s="47" t="inlineStr">
        <is>
          <t>33 x 32</t>
        </is>
      </c>
      <c r="E19" s="5" t="n"/>
      <c r="F19" s="5" t="n"/>
      <c r="G19" s="5" t="n"/>
      <c r="H19" s="12" t="inlineStr">
        <is>
          <t>DEPARTAMENTAL</t>
        </is>
      </c>
      <c r="I19" s="12">
        <f t="array" ref="I19">_xlfn.XLOOKUP($H19,Criterios!$G$6:$G$200,Criterios!I$6:I$200,"")</f>
        <v/>
      </c>
      <c r="J19" s="12">
        <f t="array" ref="J19">_xlfn.XLOOKUP($H19,Criterios!$G$6:$G$200,Criterios!J$6:J$200,"")</f>
        <v/>
      </c>
    </row>
    <row r="20" ht="15.75" customHeight="1" s="176">
      <c r="A20" s="47" t="inlineStr">
        <is>
          <t>ARIAT PLAZA SAN LUIS</t>
        </is>
      </c>
      <c r="B20" s="47" t="inlineStr">
        <is>
          <t>Happy Socks</t>
        </is>
      </c>
      <c r="C20" s="5" t="n"/>
      <c r="D20" s="47" t="inlineStr">
        <is>
          <t>34 x 34</t>
        </is>
      </c>
      <c r="E20" s="5" t="n"/>
      <c r="F20" s="5" t="n"/>
      <c r="G20" s="5" t="n"/>
      <c r="H20" s="12" t="inlineStr">
        <is>
          <t>ECOMMERCE</t>
        </is>
      </c>
      <c r="I20" s="12">
        <f t="array" ref="I20">_xlfn.XLOOKUP($H20,Criterios!$G$6:$G$200,Criterios!I$6:I$200,"")</f>
        <v/>
      </c>
      <c r="J20" s="12">
        <f t="array" ref="J20">_xlfn.XLOOKUP($H20,Criterios!$G$6:$G$200,Criterios!J$6:J$200,"")</f>
        <v/>
      </c>
    </row>
    <row r="21" ht="15.75" customHeight="1" s="176">
      <c r="A21" s="47" t="inlineStr">
        <is>
          <t>ARIAT SAN NICOLAS NL</t>
        </is>
      </c>
      <c r="B21" s="47" t="inlineStr">
        <is>
          <t>Montana West</t>
        </is>
      </c>
      <c r="C21" s="5" t="n"/>
      <c r="D21" s="47" t="inlineStr">
        <is>
          <t>34 x 36</t>
        </is>
      </c>
      <c r="E21" s="5" t="n"/>
      <c r="F21" s="5" t="n"/>
      <c r="G21" s="5" t="n"/>
      <c r="H21" s="12" t="inlineStr">
        <is>
          <t>ENGLISH REP</t>
        </is>
      </c>
      <c r="I21" s="12">
        <f t="array" ref="I21">_xlfn.XLOOKUP($H21,Criterios!$G$6:$G$200,Criterios!I$6:I$200,"")</f>
        <v/>
      </c>
      <c r="J21" s="12">
        <f t="array" ref="J21">_xlfn.XLOOKUP($H21,Criterios!$G$6:$G$200,Criterios!J$6:J$200,"")</f>
        <v/>
      </c>
    </row>
    <row r="22" ht="15.75" customHeight="1" s="176">
      <c r="A22" s="47" t="inlineStr">
        <is>
          <t>B25 CEDIS</t>
        </is>
      </c>
      <c r="B22" s="47" t="inlineStr">
        <is>
          <t>REFLO</t>
        </is>
      </c>
      <c r="C22" s="5" t="n"/>
      <c r="D22" s="47" t="inlineStr">
        <is>
          <t>36 x 32</t>
        </is>
      </c>
      <c r="E22" s="5" t="n"/>
      <c r="F22" s="5" t="n"/>
      <c r="G22" s="5" t="n"/>
      <c r="H22" s="12" t="inlineStr">
        <is>
          <t>EVENTOS (CONSIGNA)</t>
        </is>
      </c>
      <c r="I22" s="12">
        <f t="array" ref="I22">_xlfn.XLOOKUP($H22,Criterios!$G$6:$G$200,Criterios!I$6:I$200,"")</f>
        <v/>
      </c>
      <c r="J22" s="12">
        <f t="array" ref="J22">_xlfn.XLOOKUP($H22,Criterios!$G$6:$G$200,Criterios!J$6:J$200,"")</f>
        <v/>
      </c>
    </row>
    <row r="23" ht="15.75" customHeight="1" s="176">
      <c r="A23" s="47" t="inlineStr">
        <is>
          <t>B25 STETSON.MX</t>
        </is>
      </c>
      <c r="B23" s="47" t="inlineStr">
        <is>
          <t>Ranch &amp; Corral</t>
        </is>
      </c>
      <c r="C23" s="5" t="n"/>
      <c r="D23" s="47" t="inlineStr">
        <is>
          <t>36 x 34</t>
        </is>
      </c>
      <c r="E23" s="5" t="n"/>
      <c r="F23" s="5" t="n"/>
      <c r="G23" s="5" t="n"/>
      <c r="H23" s="12" t="inlineStr">
        <is>
          <t>Fixtures &amp; MKT</t>
        </is>
      </c>
      <c r="I23" s="12">
        <f t="array" ref="I23">_xlfn.XLOOKUP($H23,Criterios!$G$6:$G$200,Criterios!I$6:I$200,"")</f>
        <v/>
      </c>
      <c r="J23" s="12">
        <f t="array" ref="J23">_xlfn.XLOOKUP($H23,Criterios!$G$6:$G$200,Criterios!J$6:J$200,"")</f>
        <v/>
      </c>
    </row>
    <row r="24" ht="15.75" customHeight="1" s="176">
      <c r="A24" s="47" t="inlineStr">
        <is>
          <t>B25 WB MERCADO LIBRE</t>
        </is>
      </c>
      <c r="B24" s="47" t="inlineStr">
        <is>
          <t>Tru Western</t>
        </is>
      </c>
      <c r="C24" s="5" t="n"/>
      <c r="D24" s="47" t="inlineStr">
        <is>
          <t>38 x 32</t>
        </is>
      </c>
      <c r="E24" s="5" t="n"/>
      <c r="F24" s="5" t="n"/>
      <c r="G24" s="5" t="n"/>
      <c r="H24" s="12" t="inlineStr">
        <is>
          <t>FULL MELI</t>
        </is>
      </c>
      <c r="I24" s="12">
        <f t="array" ref="I24">_xlfn.XLOOKUP($H24,Criterios!$G$6:$G$200,Criterios!I$6:I$200,"")</f>
        <v/>
      </c>
      <c r="J24" s="12">
        <f t="array" ref="J24">_xlfn.XLOOKUP($H24,Criterios!$G$6:$G$200,Criterios!J$6:J$200,"")</f>
        <v/>
      </c>
    </row>
    <row r="25" ht="15.75" customHeight="1" s="176">
      <c r="A25" s="47" t="inlineStr">
        <is>
          <t>B25 WESTERN BROTHERS.MX</t>
        </is>
      </c>
      <c r="B25" s="47" t="inlineStr">
        <is>
          <t>Willow Lane</t>
        </is>
      </c>
      <c r="C25" s="5" t="n"/>
      <c r="D25" s="47" t="inlineStr">
        <is>
          <t>32 x 32</t>
        </is>
      </c>
      <c r="E25" s="5" t="n"/>
      <c r="F25" s="5" t="n"/>
      <c r="G25" s="5" t="n"/>
      <c r="H25" s="12" t="inlineStr">
        <is>
          <t>G1522 Defectos</t>
        </is>
      </c>
      <c r="I25" s="12">
        <f t="array" ref="I25">_xlfn.XLOOKUP($H25,Criterios!$G$6:$G$200,Criterios!I$6:I$200,"")</f>
        <v/>
      </c>
      <c r="J25" s="12">
        <f t="array" ref="J25">_xlfn.XLOOKUP($H25,Criterios!$G$6:$G$200,Criterios!J$6:J$200,"")</f>
        <v/>
      </c>
    </row>
    <row r="26" ht="15.75" customHeight="1" s="176">
      <c r="A26" s="47" t="inlineStr">
        <is>
          <t>CAPSLAB Warehouse</t>
        </is>
      </c>
      <c r="B26" s="47" t="inlineStr">
        <is>
          <t>Wrangler</t>
        </is>
      </c>
      <c r="C26" s="5" t="n"/>
      <c r="D26" s="47" t="inlineStr">
        <is>
          <t>34 x 32</t>
        </is>
      </c>
      <c r="E26" s="5" t="n"/>
      <c r="F26" s="5" t="n"/>
      <c r="G26" s="5" t="n"/>
      <c r="H26" s="12" t="inlineStr">
        <is>
          <t>G1522 Lost</t>
        </is>
      </c>
      <c r="I26" s="12">
        <f t="array" ref="I26">_xlfn.XLOOKUP($H26,Criterios!$G$6:$G$200,Criterios!I$6:I$200,"")</f>
        <v/>
      </c>
      <c r="J26" s="12">
        <f t="array" ref="J26">_xlfn.XLOOKUP($H26,Criterios!$G$6:$G$200,Criterios!J$6:J$200,"")</f>
        <v/>
      </c>
    </row>
    <row r="27" ht="15.75" customHeight="1" s="176">
      <c r="A27" s="47" t="inlineStr">
        <is>
          <t>CL Muestras</t>
        </is>
      </c>
      <c r="B27" s="5" t="n"/>
      <c r="C27" s="5" t="n"/>
      <c r="D27" s="5" t="n"/>
      <c r="E27" s="5" t="n"/>
      <c r="F27" s="5" t="n"/>
      <c r="G27" s="5" t="n"/>
      <c r="H27" s="12" t="inlineStr">
        <is>
          <t>G1522 QA Hold</t>
        </is>
      </c>
      <c r="I27" s="12">
        <f t="array" ref="I27">_xlfn.XLOOKUP($H27,Criterios!$G$6:$G$200,Criterios!I$6:I$200,"")</f>
        <v/>
      </c>
      <c r="J27" s="12">
        <f t="array" ref="J27">_xlfn.XLOOKUP($H27,Criterios!$G$6:$G$200,Criterios!J$6:J$200,"")</f>
        <v/>
      </c>
    </row>
    <row r="28" ht="15.75" customHeight="1" s="176">
      <c r="A28" s="47" t="inlineStr">
        <is>
          <t>CL POS</t>
        </is>
      </c>
      <c r="B28" s="5" t="n"/>
      <c r="C28" s="5" t="n"/>
      <c r="D28" s="5" t="n"/>
      <c r="E28" s="5" t="n"/>
      <c r="F28" s="5" t="n"/>
      <c r="G28" s="5" t="n"/>
      <c r="H28" s="12" t="inlineStr">
        <is>
          <t>GENERAL</t>
        </is>
      </c>
      <c r="I28" s="12">
        <f t="array" ref="I28">_xlfn.XLOOKUP($H28,Criterios!$G$6:$G$200,Criterios!I$6:I$200,"")</f>
        <v/>
      </c>
      <c r="J28" s="12">
        <f t="array" ref="J28">_xlfn.XLOOKUP($H28,Criterios!$G$6:$G$200,Criterios!J$6:J$200,"")</f>
        <v/>
      </c>
    </row>
    <row r="29" ht="15.75" customHeight="1" s="176">
      <c r="A29" s="47" t="inlineStr">
        <is>
          <t>CONSIGNA REFLO</t>
        </is>
      </c>
      <c r="B29" s="5" t="n"/>
      <c r="C29" s="5" t="n"/>
      <c r="D29" s="5" t="n"/>
      <c r="E29" s="5" t="n"/>
      <c r="F29" s="5" t="n"/>
      <c r="G29" s="5" t="n"/>
      <c r="H29" s="12" t="inlineStr">
        <is>
          <t>HAPPY SOCKS</t>
        </is>
      </c>
      <c r="I29" s="12">
        <f t="array" ref="I29">_xlfn.XLOOKUP($H29,Criterios!$G$6:$G$200,Criterios!I$6:I$200,"")</f>
        <v/>
      </c>
      <c r="J29" s="12">
        <f t="array" ref="J29">_xlfn.XLOOKUP($H29,Criterios!$G$6:$G$200,Criterios!J$6:J$200,"")</f>
        <v/>
      </c>
    </row>
    <row r="30" ht="15.75" customHeight="1" s="176">
      <c r="A30" s="47" t="inlineStr">
        <is>
          <t>CONSIGNAS</t>
        </is>
      </c>
      <c r="B30" s="5" t="n"/>
      <c r="C30" s="5" t="n"/>
      <c r="D30" s="5" t="n"/>
      <c r="E30" s="5" t="n"/>
      <c r="F30" s="5" t="n"/>
      <c r="G30" s="5" t="n"/>
      <c r="H30" s="12" t="inlineStr">
        <is>
          <t>HS MERCADO LIBRE</t>
        </is>
      </c>
      <c r="I30" s="12">
        <f t="array" ref="I30">_xlfn.XLOOKUP($H30,Criterios!$G$6:$G$200,Criterios!I$6:I$200,"")</f>
        <v/>
      </c>
      <c r="J30" s="12">
        <f t="array" ref="J30">_xlfn.XLOOKUP($H30,Criterios!$G$6:$G$200,Criterios!J$6:J$200,"")</f>
        <v/>
      </c>
    </row>
    <row r="31" ht="15.75" customHeight="1" s="176">
      <c r="A31" s="47" t="inlineStr">
        <is>
          <t>DEPARTAMENTAL</t>
        </is>
      </c>
      <c r="B31" s="5" t="n"/>
      <c r="C31" s="5" t="n"/>
      <c r="D31" s="5" t="n"/>
      <c r="E31" s="5" t="n"/>
      <c r="F31" s="5" t="n"/>
      <c r="G31" s="5" t="n"/>
      <c r="H31" s="12" t="inlineStr">
        <is>
          <t>KEY ACCOUNTS</t>
        </is>
      </c>
      <c r="I31" s="12">
        <f t="array" ref="I31">_xlfn.XLOOKUP($H31,Criterios!$G$6:$G$200,Criterios!I$6:I$200,"")</f>
        <v/>
      </c>
      <c r="J31" s="12">
        <f t="array" ref="J31">_xlfn.XLOOKUP($H31,Criterios!$G$6:$G$200,Criterios!J$6:J$200,"")</f>
        <v/>
      </c>
    </row>
    <row r="32" ht="15.75" customHeight="1" s="176">
      <c r="A32" s="47" t="inlineStr">
        <is>
          <t>ECOMMERCE</t>
        </is>
      </c>
      <c r="B32" s="5" t="n"/>
      <c r="C32" s="5" t="n"/>
      <c r="D32" s="5" t="n"/>
      <c r="E32" s="5" t="n"/>
      <c r="F32" s="5" t="n"/>
      <c r="G32" s="5" t="n"/>
      <c r="H32" s="12" t="inlineStr">
        <is>
          <t>LIVERPOOL MKP</t>
        </is>
      </c>
      <c r="I32" s="12">
        <f t="array" ref="I32">_xlfn.XLOOKUP($H32,Criterios!$G$6:$G$200,Criterios!I$6:I$200,"")</f>
        <v/>
      </c>
      <c r="J32" s="12">
        <f t="array" ref="J32">_xlfn.XLOOKUP($H32,Criterios!$G$6:$G$200,Criterios!J$6:J$200,"")</f>
        <v/>
      </c>
    </row>
    <row r="33" ht="15.75" customHeight="1" s="176">
      <c r="A33" s="47" t="inlineStr">
        <is>
          <t>ENGLISH REP</t>
        </is>
      </c>
      <c r="B33" s="5" t="n"/>
      <c r="C33" s="5" t="n"/>
      <c r="D33" s="5" t="n"/>
      <c r="E33" s="5" t="n"/>
      <c r="F33" s="5" t="n"/>
      <c r="G33" s="5" t="n"/>
      <c r="H33" s="12" t="inlineStr">
        <is>
          <t>Mercado libre</t>
        </is>
      </c>
      <c r="I33" s="12">
        <f t="array" ref="I33">_xlfn.XLOOKUP($H33,Criterios!$G$6:$G$200,Criterios!I$6:I$200,"")</f>
        <v/>
      </c>
      <c r="J33" s="12">
        <f t="array" ref="J33">_xlfn.XLOOKUP($H33,Criterios!$G$6:$G$200,Criterios!J$6:J$200,"")</f>
        <v/>
      </c>
    </row>
    <row r="34" ht="15.75" customHeight="1" s="176">
      <c r="A34" s="47" t="inlineStr">
        <is>
          <t>EVENTOS (CONSIGNA)</t>
        </is>
      </c>
      <c r="B34" s="5" t="n"/>
      <c r="C34" s="5" t="n"/>
      <c r="D34" s="5" t="n"/>
      <c r="E34" s="5" t="n"/>
      <c r="F34" s="5" t="n"/>
      <c r="G34" s="5" t="n"/>
      <c r="H34" s="12" t="inlineStr">
        <is>
          <t>MUESTRAS &amp; EXPO</t>
        </is>
      </c>
      <c r="I34" s="12">
        <f t="array" ref="I34">_xlfn.XLOOKUP($H34,Criterios!$G$6:$G$200,Criterios!I$6:I$200,"")</f>
        <v/>
      </c>
      <c r="J34" s="12">
        <f t="array" ref="J34">_xlfn.XLOOKUP($H34,Criterios!$G$6:$G$200,Criterios!J$6:J$200,"")</f>
        <v/>
      </c>
    </row>
    <row r="35" ht="15.75" customHeight="1" s="176">
      <c r="A35" s="47" t="inlineStr">
        <is>
          <t>Fixtures &amp; MKT</t>
        </is>
      </c>
      <c r="B35" s="5" t="n"/>
      <c r="C35" s="5" t="n"/>
      <c r="D35" s="5" t="n"/>
      <c r="E35" s="5" t="n"/>
      <c r="F35" s="5" t="n"/>
      <c r="G35" s="5" t="n"/>
      <c r="H35" s="12" t="inlineStr">
        <is>
          <t>MUESTRAS REFLO</t>
        </is>
      </c>
      <c r="I35" s="12">
        <f t="array" ref="I35">_xlfn.XLOOKUP($H35,Criterios!$G$6:$G$200,Criterios!I$6:I$200,"")</f>
        <v/>
      </c>
      <c r="J35" s="12">
        <f t="array" ref="J35">_xlfn.XLOOKUP($H35,Criterios!$G$6:$G$200,Criterios!J$6:J$200,"")</f>
        <v/>
      </c>
    </row>
    <row r="36" ht="15.75" customHeight="1" s="176">
      <c r="A36" s="47" t="inlineStr">
        <is>
          <t>FULL MELI</t>
        </is>
      </c>
      <c r="B36" s="5" t="n"/>
      <c r="C36" s="5" t="n"/>
      <c r="D36" s="5" t="n"/>
      <c r="E36" s="5" t="n"/>
      <c r="F36" s="5" t="n"/>
      <c r="G36" s="5" t="n"/>
      <c r="H36" s="12" t="inlineStr">
        <is>
          <t>Nogales Store</t>
        </is>
      </c>
      <c r="I36" s="12">
        <f t="array" ref="I36">_xlfn.XLOOKUP($H36,Criterios!$G$6:$G$200,Criterios!I$6:I$200,"")</f>
        <v/>
      </c>
      <c r="J36" s="12">
        <f t="array" ref="J36">_xlfn.XLOOKUP($H36,Criterios!$G$6:$G$200,Criterios!J$6:J$200,"")</f>
        <v/>
      </c>
    </row>
    <row r="37" ht="15.75" customHeight="1" s="176">
      <c r="A37" s="47" t="inlineStr">
        <is>
          <t>G1522 Defectos</t>
        </is>
      </c>
      <c r="B37" s="5" t="n"/>
      <c r="C37" s="5" t="n"/>
      <c r="D37" s="5" t="n"/>
      <c r="E37" s="5" t="n"/>
      <c r="F37" s="5" t="n"/>
      <c r="G37" s="5" t="n"/>
      <c r="H37" s="12" t="inlineStr">
        <is>
          <t>Plaza del Sol Store</t>
        </is>
      </c>
      <c r="I37" s="12">
        <f t="array" ref="I37">_xlfn.XLOOKUP($H37,Criterios!$G$6:$G$200,Criterios!I$6:I$200,"")</f>
        <v/>
      </c>
      <c r="J37" s="12">
        <f t="array" ref="J37">_xlfn.XLOOKUP($H37,Criterios!$G$6:$G$200,Criterios!J$6:J$200,"")</f>
        <v/>
      </c>
    </row>
    <row r="38" ht="15.75" customHeight="1" s="176">
      <c r="A38" s="47" t="inlineStr">
        <is>
          <t>G1522 Lost</t>
        </is>
      </c>
      <c r="B38" s="5" t="n"/>
      <c r="C38" s="5" t="n"/>
      <c r="D38" s="5" t="n"/>
      <c r="E38" s="5" t="n"/>
      <c r="F38" s="5" t="n"/>
      <c r="G38" s="5" t="n"/>
      <c r="H38" s="12" t="inlineStr">
        <is>
          <t>POTRILLOS</t>
        </is>
      </c>
      <c r="I38" s="12">
        <f t="array" ref="I38">_xlfn.XLOOKUP($H38,Criterios!$G$6:$G$200,Criterios!I$6:I$200,"")</f>
        <v/>
      </c>
      <c r="J38" s="12">
        <f t="array" ref="J38">_xlfn.XLOOKUP($H38,Criterios!$G$6:$G$200,Criterios!J$6:J$200,"")</f>
        <v/>
      </c>
    </row>
    <row r="39" ht="15.75" customHeight="1" s="176">
      <c r="A39" s="47" t="inlineStr">
        <is>
          <t>G1522 QA Hold</t>
        </is>
      </c>
      <c r="B39" s="5" t="n"/>
      <c r="C39" s="5" t="n"/>
      <c r="D39" s="5" t="n"/>
      <c r="E39" s="5" t="n"/>
      <c r="F39" s="5" t="n"/>
      <c r="G39" s="5" t="n"/>
      <c r="H39" s="12" t="inlineStr">
        <is>
          <t>PRIVALIA</t>
        </is>
      </c>
      <c r="I39" s="12">
        <f t="array" ref="I39">_xlfn.XLOOKUP($H39,Criterios!$G$6:$G$200,Criterios!I$6:I$200,"")</f>
        <v/>
      </c>
      <c r="J39" s="12">
        <f t="array" ref="J39">_xlfn.XLOOKUP($H39,Criterios!$G$6:$G$200,Criterios!J$6:J$200,"")</f>
        <v/>
      </c>
    </row>
    <row r="40" ht="15.75" customHeight="1" s="176">
      <c r="A40" s="47" t="inlineStr">
        <is>
          <t>GENERAL</t>
        </is>
      </c>
      <c r="B40" s="5" t="n"/>
      <c r="C40" s="5" t="n"/>
      <c r="D40" s="5" t="n"/>
      <c r="E40" s="5" t="n"/>
      <c r="F40" s="5" t="n"/>
      <c r="G40" s="5" t="n"/>
      <c r="H40" s="12" t="inlineStr">
        <is>
          <t>PUNTO DE VENTA</t>
        </is>
      </c>
      <c r="I40" s="12">
        <f t="array" ref="I40">_xlfn.XLOOKUP($H40,Criterios!$G$6:$G$200,Criterios!I$6:I$200,"")</f>
        <v/>
      </c>
      <c r="J40" s="12">
        <f t="array" ref="J40">_xlfn.XLOOKUP($H40,Criterios!$G$6:$G$200,Criterios!J$6:J$200,"")</f>
        <v/>
      </c>
    </row>
    <row r="41" ht="15.75" customHeight="1" s="176">
      <c r="A41" s="47" t="inlineStr">
        <is>
          <t>HAPPY SOCKS</t>
        </is>
      </c>
      <c r="B41" s="5" t="n"/>
      <c r="C41" s="5" t="n"/>
      <c r="D41" s="5" t="n"/>
      <c r="E41" s="5" t="n"/>
      <c r="F41" s="5" t="n"/>
      <c r="G41" s="5" t="n"/>
      <c r="H41" s="12" t="inlineStr">
        <is>
          <t>Punto de venta HS</t>
        </is>
      </c>
      <c r="I41" s="12">
        <f t="array" ref="I41">_xlfn.XLOOKUP($H41,Criterios!$G$6:$G$200,Criterios!I$6:I$200,"")</f>
        <v/>
      </c>
      <c r="J41" s="12">
        <f t="array" ref="J41">_xlfn.XLOOKUP($H41,Criterios!$G$6:$G$200,Criterios!J$6:J$200,"")</f>
        <v/>
      </c>
    </row>
    <row r="42" ht="15.75" customHeight="1" s="176">
      <c r="A42" s="47" t="inlineStr">
        <is>
          <t>HS MERCADO LIBRE</t>
        </is>
      </c>
      <c r="B42" s="5" t="n"/>
      <c r="C42" s="5" t="n"/>
      <c r="D42" s="5" t="n"/>
      <c r="E42" s="5" t="n"/>
      <c r="F42" s="5" t="n"/>
      <c r="G42" s="5" t="n"/>
      <c r="H42" s="12" t="inlineStr">
        <is>
          <t>REFLO ALMACEN</t>
        </is>
      </c>
      <c r="I42" s="12">
        <f t="array" ref="I42">_xlfn.XLOOKUP($H42,Criterios!$G$6:$G$200,Criterios!I$6:I$200,"")</f>
        <v/>
      </c>
      <c r="J42" s="12">
        <f t="array" ref="J42">_xlfn.XLOOKUP($H42,Criterios!$G$6:$G$200,Criterios!J$6:J$200,"")</f>
        <v/>
      </c>
    </row>
    <row r="43" ht="15.75" customHeight="1" s="176">
      <c r="A43" s="47" t="inlineStr">
        <is>
          <t>KEY ACCOUNTS</t>
        </is>
      </c>
      <c r="B43" s="5" t="n"/>
      <c r="C43" s="5" t="n"/>
      <c r="D43" s="5" t="n"/>
      <c r="E43" s="5" t="n"/>
      <c r="F43" s="5" t="n"/>
      <c r="G43" s="5" t="n"/>
      <c r="H43" s="12" t="inlineStr">
        <is>
          <t>STETSON AMERICAS</t>
        </is>
      </c>
      <c r="I43" s="12">
        <f t="array" ref="I43">_xlfn.XLOOKUP($H43,Criterios!$G$6:$G$200,Criterios!I$6:I$200,"")</f>
        <v/>
      </c>
      <c r="J43" s="12">
        <f t="array" ref="J43">_xlfn.XLOOKUP($H43,Criterios!$G$6:$G$200,Criterios!J$6:J$200,"")</f>
        <v/>
      </c>
    </row>
    <row r="44" ht="15.75" customHeight="1" s="176">
      <c r="A44" s="47" t="inlineStr">
        <is>
          <t>LIVERPOOL MKP</t>
        </is>
      </c>
      <c r="B44" s="5" t="n"/>
      <c r="C44" s="5" t="n"/>
      <c r="D44" s="5" t="n"/>
      <c r="E44" s="5" t="n"/>
      <c r="F44" s="5" t="n"/>
      <c r="G44" s="5" t="n"/>
      <c r="H44" s="12" t="inlineStr">
        <is>
          <t>The Hat Club</t>
        </is>
      </c>
      <c r="I44" s="12">
        <f t="array" ref="I44">_xlfn.XLOOKUP($H44,Criterios!$G$6:$G$200,Criterios!I$6:I$200,"")</f>
        <v/>
      </c>
      <c r="J44" s="12">
        <f t="array" ref="J44">_xlfn.XLOOKUP($H44,Criterios!$G$6:$G$200,Criterios!J$6:J$200,"")</f>
        <v/>
      </c>
    </row>
    <row r="45" ht="15.75" customHeight="1" s="176">
      <c r="A45" s="47" t="inlineStr">
        <is>
          <t>Mercado libre</t>
        </is>
      </c>
      <c r="B45" s="5" t="n"/>
      <c r="C45" s="5" t="n"/>
      <c r="D45" s="5" t="n"/>
      <c r="E45" s="5" t="n"/>
      <c r="F45" s="5" t="n"/>
      <c r="G45" s="5" t="n"/>
      <c r="H45" s="12" t="inlineStr">
        <is>
          <t>VENTAS CAMPAÑA</t>
        </is>
      </c>
      <c r="I45" s="12">
        <f t="array" ref="I45">_xlfn.XLOOKUP($H45,Criterios!$G$6:$G$200,Criterios!I$6:I$200,"")</f>
        <v/>
      </c>
      <c r="J45" s="12">
        <f t="array" ref="J45">_xlfn.XLOOKUP($H45,Criterios!$G$6:$G$200,Criterios!J$6:J$200,"")</f>
        <v/>
      </c>
    </row>
    <row r="46" ht="15.75" customHeight="1" s="176">
      <c r="A46" s="47" t="inlineStr">
        <is>
          <t>MUESTRAS &amp; EXPO</t>
        </is>
      </c>
      <c r="B46" s="5" t="n"/>
      <c r="C46" s="5" t="n"/>
      <c r="D46" s="5" t="n"/>
      <c r="E46" s="5" t="n"/>
      <c r="F46" s="5" t="n"/>
      <c r="G46" s="5" t="n"/>
      <c r="H46" s="12" t="inlineStr">
        <is>
          <t>WB FORUM TLAQUEPAQUE</t>
        </is>
      </c>
      <c r="I46" s="12">
        <f t="array" ref="I46">_xlfn.XLOOKUP($H46,Criterios!$G$6:$G$200,Criterios!I$6:I$200,"")</f>
        <v/>
      </c>
      <c r="J46" s="12">
        <f t="array" ref="J46">_xlfn.XLOOKUP($H46,Criterios!$G$6:$G$200,Criterios!J$6:J$200,"")</f>
        <v/>
      </c>
    </row>
    <row r="47" ht="15.75" customHeight="1" s="176">
      <c r="A47" s="47" t="inlineStr">
        <is>
          <t>MUESTRAS REFLO</t>
        </is>
      </c>
      <c r="B47" s="5" t="n"/>
      <c r="C47" s="5" t="n"/>
      <c r="D47" s="5" t="n"/>
      <c r="E47" s="5" t="n"/>
      <c r="F47" s="5" t="n"/>
      <c r="G47" s="5" t="n"/>
      <c r="H47" s="12" t="inlineStr">
        <is>
          <t>WB OUTLET LERMA</t>
        </is>
      </c>
      <c r="I47" s="12">
        <f t="array" ref="I47">_xlfn.XLOOKUP($H47,Criterios!$G$6:$G$200,Criterios!I$6:I$200,"")</f>
        <v/>
      </c>
      <c r="J47" s="12">
        <f t="array" ref="J47">_xlfn.XLOOKUP($H47,Criterios!$G$6:$G$200,Criterios!J$6:J$200,"")</f>
        <v/>
      </c>
    </row>
    <row r="48" ht="15.75" customHeight="1" s="176">
      <c r="A48" s="47" t="inlineStr">
        <is>
          <t>Nogales Store</t>
        </is>
      </c>
      <c r="B48" s="5" t="n"/>
      <c r="C48" s="5" t="n"/>
      <c r="D48" s="5" t="n"/>
      <c r="E48" s="5" t="n"/>
      <c r="F48" s="5" t="n"/>
      <c r="G48" s="5" t="n"/>
      <c r="H48" s="12" t="inlineStr">
        <is>
          <t>Web</t>
        </is>
      </c>
      <c r="I48" s="12">
        <f t="array" ref="I48">_xlfn.XLOOKUP($H48,Criterios!$G$6:$G$200,Criterios!I$6:I$200,"")</f>
        <v/>
      </c>
      <c r="J48" s="12">
        <f t="array" ref="J48">_xlfn.XLOOKUP($H48,Criterios!$G$6:$G$200,Criterios!J$6:J$200,"")</f>
        <v/>
      </c>
    </row>
    <row r="49" ht="15.75" customHeight="1" s="176">
      <c r="A49" s="47" t="inlineStr">
        <is>
          <t>Plaza del Sol Store</t>
        </is>
      </c>
      <c r="B49" s="5" t="n"/>
      <c r="C49" s="5" t="n"/>
      <c r="D49" s="5" t="n"/>
      <c r="E49" s="5" t="n"/>
      <c r="F49" s="5" t="n"/>
      <c r="G49" s="5" t="n"/>
      <c r="H49" s="12" t="inlineStr">
        <is>
          <t>WEB</t>
        </is>
      </c>
      <c r="I49" s="12">
        <f t="array" ref="I49">_xlfn.XLOOKUP($H49,Criterios!$G$6:$G$200,Criterios!I$6:I$200,"")</f>
        <v/>
      </c>
      <c r="J49" s="12">
        <f t="array" ref="J49">_xlfn.XLOOKUP($H49,Criterios!$G$6:$G$200,Criterios!J$6:J$200,"")</f>
        <v/>
      </c>
    </row>
    <row r="50" ht="15.75" customHeight="1" s="176">
      <c r="A50" s="47" t="inlineStr">
        <is>
          <t>POTRILLOS</t>
        </is>
      </c>
      <c r="B50" s="5" t="n"/>
      <c r="C50" s="5" t="n"/>
      <c r="D50" s="5" t="n"/>
      <c r="E50" s="5" t="n"/>
      <c r="F50" s="5" t="n"/>
      <c r="G50" s="5" t="n"/>
      <c r="H50" s="12" t="inlineStr">
        <is>
          <t>ZONA NORTE</t>
        </is>
      </c>
      <c r="I50" s="12">
        <f t="array" ref="I50">_xlfn.XLOOKUP($H50,Criterios!$G$6:$G$200,Criterios!I$6:I$200,"")</f>
        <v/>
      </c>
      <c r="J50" s="12">
        <f t="array" ref="J50">_xlfn.XLOOKUP($H50,Criterios!$G$6:$G$200,Criterios!J$6:J$200,"")</f>
        <v/>
      </c>
    </row>
    <row r="51" ht="15.75" customHeight="1" s="176">
      <c r="A51" s="47" t="inlineStr">
        <is>
          <t>PRIVALIA</t>
        </is>
      </c>
      <c r="B51" s="5" t="n"/>
      <c r="C51" s="5" t="n"/>
      <c r="D51" s="5" t="n"/>
      <c r="E51" s="5" t="n"/>
      <c r="F51" s="5" t="n"/>
      <c r="G51" s="5" t="n"/>
      <c r="H51" s="12" t="inlineStr">
        <is>
          <t>ZONA POS</t>
        </is>
      </c>
      <c r="I51" s="12">
        <f t="array" ref="I51">_xlfn.XLOOKUP($H51,Criterios!$G$6:$G$200,Criterios!I$6:I$200,"")</f>
        <v/>
      </c>
      <c r="J51" s="12">
        <f t="array" ref="J51">_xlfn.XLOOKUP($H51,Criterios!$G$6:$G$200,Criterios!J$6:J$200,"")</f>
        <v/>
      </c>
    </row>
    <row r="52" ht="15.75" customHeight="1" s="176">
      <c r="A52" s="47" t="inlineStr">
        <is>
          <t>PUNTO DE VENTA</t>
        </is>
      </c>
      <c r="B52" s="5" t="n"/>
      <c r="C52" s="5" t="n"/>
      <c r="D52" s="5" t="n"/>
      <c r="E52" s="5" t="n"/>
      <c r="F52" s="5" t="n"/>
      <c r="G52" s="5" t="n"/>
      <c r="H52" s="12" t="inlineStr">
        <is>
          <t>ZONA SUR</t>
        </is>
      </c>
      <c r="I52" s="12">
        <f t="array" ref="I52">_xlfn.XLOOKUP($H52,Criterios!$G$6:$G$200,Criterios!I$6:I$200,"")</f>
        <v/>
      </c>
      <c r="J52" s="12">
        <f t="array" ref="J52">_xlfn.XLOOKUP($H52,Criterios!$G$6:$G$200,Criterios!J$6:J$200,"")</f>
        <v/>
      </c>
    </row>
    <row r="53" ht="15.75" customHeight="1" s="176">
      <c r="A53" s="47" t="inlineStr">
        <is>
          <t>Punto de venta HS</t>
        </is>
      </c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</row>
    <row r="54" ht="15.75" customHeight="1" s="176">
      <c r="A54" s="47" t="inlineStr">
        <is>
          <t>REFLO ALMACEN</t>
        </is>
      </c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</row>
    <row r="55" ht="15.75" customHeight="1" s="176">
      <c r="A55" s="47" t="inlineStr">
        <is>
          <t>STETSON AMERICAS</t>
        </is>
      </c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</row>
    <row r="56" ht="15.75" customHeight="1" s="176">
      <c r="A56" s="47" t="inlineStr">
        <is>
          <t>The Hat Club</t>
        </is>
      </c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</row>
    <row r="57" ht="15.75" customHeight="1" s="176">
      <c r="A57" s="47" t="inlineStr">
        <is>
          <t>VENTAS CAMPAÑA</t>
        </is>
      </c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</row>
    <row r="58" ht="15.75" customHeight="1" s="176">
      <c r="A58" s="47" t="inlineStr">
        <is>
          <t>WB FORUM TLAQUEPAQUE</t>
        </is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</row>
    <row r="59" ht="15.75" customHeight="1" s="176">
      <c r="A59" s="47" t="inlineStr">
        <is>
          <t>WB OUTLET LERMA</t>
        </is>
      </c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</row>
    <row r="60" ht="15.75" customHeight="1" s="176">
      <c r="A60" s="47" t="inlineStr">
        <is>
          <t>Web</t>
        </is>
      </c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</row>
    <row r="61" ht="15.75" customHeight="1" s="176">
      <c r="A61" s="47" t="inlineStr">
        <is>
          <t>WEB</t>
        </is>
      </c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</row>
    <row r="62" ht="15.75" customHeight="1" s="176">
      <c r="A62" s="47" t="inlineStr">
        <is>
          <t>ZONA NORTE</t>
        </is>
      </c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</row>
    <row r="63" ht="15.75" customHeight="1" s="176">
      <c r="A63" s="47" t="inlineStr">
        <is>
          <t>ZONA POS</t>
        </is>
      </c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</row>
    <row r="64" ht="15.75" customHeight="1" s="176">
      <c r="A64" s="47" t="inlineStr">
        <is>
          <t>ZONA SUR</t>
        </is>
      </c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</row>
    <row r="65" ht="15.75" customHeight="1" s="176"/>
    <row r="66" ht="15.75" customHeight="1" s="176"/>
    <row r="67" ht="15.75" customHeight="1" s="176"/>
    <row r="68" ht="15.75" customHeight="1" s="176"/>
    <row r="69" ht="15.75" customHeight="1" s="176"/>
    <row r="70" ht="15.75" customHeight="1" s="176"/>
    <row r="71" ht="15.75" customHeight="1" s="176"/>
    <row r="72" ht="15.75" customHeight="1" s="176"/>
    <row r="73" ht="15.75" customHeight="1" s="176"/>
    <row r="74" ht="15.75" customHeight="1" s="176"/>
    <row r="75" ht="15.75" customHeight="1" s="176"/>
    <row r="76" ht="15.75" customHeight="1" s="176"/>
    <row r="77" ht="15.75" customHeight="1" s="176"/>
    <row r="78" ht="15.75" customHeight="1" s="176"/>
    <row r="79" ht="15.75" customHeight="1" s="176"/>
    <row r="80" ht="15.75" customHeight="1" s="176"/>
    <row r="81" ht="15.75" customHeight="1" s="176"/>
    <row r="82" ht="15.75" customHeight="1" s="176"/>
    <row r="83" ht="15.75" customHeight="1" s="176"/>
    <row r="84" ht="15.75" customHeight="1" s="176"/>
    <row r="85" ht="15.75" customHeight="1" s="176"/>
    <row r="86" ht="15.75" customHeight="1" s="176"/>
    <row r="87" ht="15.75" customHeight="1" s="176"/>
    <row r="88" ht="15.75" customHeight="1" s="176"/>
    <row r="89" ht="15.75" customHeight="1" s="176"/>
    <row r="90" ht="15.75" customHeight="1" s="176"/>
    <row r="91" ht="15.75" customHeight="1" s="176"/>
    <row r="92" ht="15.75" customHeight="1" s="176"/>
    <row r="93" ht="15.75" customHeight="1" s="176"/>
    <row r="94" ht="15.75" customHeight="1" s="176"/>
    <row r="95" ht="15.75" customHeight="1" s="176"/>
    <row r="96" ht="15.75" customHeight="1" s="176"/>
    <row r="97" ht="15.75" customHeight="1" s="176"/>
    <row r="98" ht="15.75" customHeight="1" s="176"/>
    <row r="99" ht="15.75" customHeight="1" s="176"/>
    <row r="100" ht="15.75" customHeight="1" s="176"/>
    <row r="101" ht="15.75" customHeight="1" s="176"/>
    <row r="102" ht="15.75" customHeight="1" s="176"/>
    <row r="103" ht="15.75" customHeight="1" s="176"/>
    <row r="104" ht="15.75" customHeight="1" s="176"/>
    <row r="105" ht="15.75" customHeight="1" s="176"/>
    <row r="106" ht="15.75" customHeight="1" s="176"/>
    <row r="107" ht="15.75" customHeight="1" s="176"/>
    <row r="108" ht="15.75" customHeight="1" s="176"/>
    <row r="109" ht="15.75" customHeight="1" s="176"/>
    <row r="110" ht="15.75" customHeight="1" s="176"/>
    <row r="111" ht="15.75" customHeight="1" s="176"/>
    <row r="112" ht="15.75" customHeight="1" s="176"/>
    <row r="113" ht="15.75" customHeight="1" s="176"/>
    <row r="114" ht="15.75" customHeight="1" s="176"/>
    <row r="115" ht="15.75" customHeight="1" s="176"/>
    <row r="116" ht="15.75" customHeight="1" s="176"/>
    <row r="117" ht="15.75" customHeight="1" s="176"/>
    <row r="118" ht="15.75" customHeight="1" s="176"/>
    <row r="119" ht="15.75" customHeight="1" s="176"/>
    <row r="120" ht="15.75" customHeight="1" s="176"/>
    <row r="121" ht="15.75" customHeight="1" s="176"/>
    <row r="122" ht="15.75" customHeight="1" s="176"/>
    <row r="123" ht="15.75" customHeight="1" s="176"/>
    <row r="124" ht="15.75" customHeight="1" s="176"/>
    <row r="125" ht="15.75" customHeight="1" s="176"/>
    <row r="126" ht="15.75" customHeight="1" s="176"/>
    <row r="127" ht="15.75" customHeight="1" s="176"/>
    <row r="128" ht="15.75" customHeight="1" s="176"/>
    <row r="129" ht="15.75" customHeight="1" s="176"/>
    <row r="130" ht="15.75" customHeight="1" s="176"/>
    <row r="131" ht="15.75" customHeight="1" s="176"/>
    <row r="132" ht="15.75" customHeight="1" s="176"/>
    <row r="133" ht="15.75" customHeight="1" s="176"/>
    <row r="134" ht="15.75" customHeight="1" s="176"/>
    <row r="135" ht="15.75" customHeight="1" s="176"/>
    <row r="136" ht="15.75" customHeight="1" s="176"/>
    <row r="137" ht="15.75" customHeight="1" s="176"/>
    <row r="138" ht="15.75" customHeight="1" s="176"/>
    <row r="139" ht="15.75" customHeight="1" s="176"/>
    <row r="140" ht="15.75" customHeight="1" s="176"/>
    <row r="141" ht="15.75" customHeight="1" s="176"/>
    <row r="142" ht="15.75" customHeight="1" s="176"/>
    <row r="143" ht="15.75" customHeight="1" s="176"/>
    <row r="144" ht="15.75" customHeight="1" s="176"/>
    <row r="145" ht="15.75" customHeight="1" s="176"/>
    <row r="146" ht="15.75" customHeight="1" s="176"/>
    <row r="147" ht="15.75" customHeight="1" s="176"/>
    <row r="148" ht="15.75" customHeight="1" s="176"/>
    <row r="149" ht="15.75" customHeight="1" s="176"/>
    <row r="150" ht="15.75" customHeight="1" s="176"/>
    <row r="151" ht="15.75" customHeight="1" s="176"/>
    <row r="152" ht="15.75" customHeight="1" s="176"/>
    <row r="153" ht="15.75" customHeight="1" s="176"/>
    <row r="154" ht="15.75" customHeight="1" s="176"/>
    <row r="155" ht="15.75" customHeight="1" s="176"/>
    <row r="156" ht="15.75" customHeight="1" s="176"/>
    <row r="157" ht="15.75" customHeight="1" s="176"/>
    <row r="158" ht="15.75" customHeight="1" s="176"/>
    <row r="159" ht="15.75" customHeight="1" s="176"/>
    <row r="160" ht="15.75" customHeight="1" s="176"/>
    <row r="161" ht="15.75" customHeight="1" s="176"/>
    <row r="162" ht="15.75" customHeight="1" s="176"/>
    <row r="163" ht="15.75" customHeight="1" s="176"/>
    <row r="164" ht="15.75" customHeight="1" s="176"/>
    <row r="165" ht="15.75" customHeight="1" s="176"/>
    <row r="166" ht="15.75" customHeight="1" s="176"/>
    <row r="167" ht="15.75" customHeight="1" s="176"/>
    <row r="168" ht="15.75" customHeight="1" s="176"/>
    <row r="169" ht="15.75" customHeight="1" s="176"/>
    <row r="170" ht="15.75" customHeight="1" s="176"/>
    <row r="171" ht="15.75" customHeight="1" s="176"/>
    <row r="172" ht="15.75" customHeight="1" s="176"/>
    <row r="173" ht="15.75" customHeight="1" s="176"/>
    <row r="174" ht="15.75" customHeight="1" s="176"/>
    <row r="175" ht="15.75" customHeight="1" s="176"/>
    <row r="176" ht="15.75" customHeight="1" s="176"/>
    <row r="177" ht="15.75" customHeight="1" s="176"/>
    <row r="178" ht="15.75" customHeight="1" s="176"/>
    <row r="179" ht="15.75" customHeight="1" s="176"/>
    <row r="180" ht="15.75" customHeight="1" s="176"/>
    <row r="181" ht="15.75" customHeight="1" s="176"/>
    <row r="182" ht="15.75" customHeight="1" s="176"/>
    <row r="183" ht="15.75" customHeight="1" s="176"/>
    <row r="184" ht="15.75" customHeight="1" s="176"/>
    <row r="185" ht="15.75" customHeight="1" s="176"/>
    <row r="186" ht="15.75" customHeight="1" s="176"/>
    <row r="187" ht="15.75" customHeight="1" s="176"/>
    <row r="188" ht="15.75" customHeight="1" s="176"/>
    <row r="189" ht="15.75" customHeight="1" s="176"/>
    <row r="190" ht="15.75" customHeight="1" s="176"/>
    <row r="191" ht="15.75" customHeight="1" s="176"/>
    <row r="192" ht="15.75" customHeight="1" s="176"/>
    <row r="193" ht="15.75" customHeight="1" s="176"/>
    <row r="194" ht="15.75" customHeight="1" s="176"/>
    <row r="195" ht="15.75" customHeight="1" s="176"/>
    <row r="196" ht="15.75" customHeight="1" s="176"/>
    <row r="197" ht="15.75" customHeight="1" s="176"/>
    <row r="198" ht="15.75" customHeight="1" s="176"/>
    <row r="199" ht="15.75" customHeight="1" s="176"/>
    <row r="200" ht="15.75" customHeight="1" s="176"/>
    <row r="201" ht="15.75" customHeight="1" s="176"/>
    <row r="202" ht="15.75" customHeight="1" s="176"/>
    <row r="203" ht="15.75" customHeight="1" s="176"/>
    <row r="204" ht="15.75" customHeight="1" s="176"/>
    <row r="205" ht="15.75" customHeight="1" s="176"/>
    <row r="206" ht="15.75" customHeight="1" s="176"/>
    <row r="207" ht="15.75" customHeight="1" s="176"/>
    <row r="208" ht="15.75" customHeight="1" s="176"/>
    <row r="209" ht="15.75" customHeight="1" s="176"/>
    <row r="210" ht="15.75" customHeight="1" s="176"/>
    <row r="211" ht="15.75" customHeight="1" s="176"/>
    <row r="212" ht="15.75" customHeight="1" s="176"/>
    <row r="213" ht="15.75" customHeight="1" s="176"/>
    <row r="214" ht="15.75" customHeight="1" s="176"/>
    <row r="215" ht="15.75" customHeight="1" s="176"/>
    <row r="216" ht="15.75" customHeight="1" s="176"/>
    <row r="217" ht="15.75" customHeight="1" s="176"/>
    <row r="218" ht="15.75" customHeight="1" s="176"/>
    <row r="219" ht="15.75" customHeight="1" s="176"/>
    <row r="220" ht="15.75" customHeight="1" s="176"/>
    <row r="221" ht="15.75" customHeight="1" s="176"/>
    <row r="222" ht="15.75" customHeight="1" s="176"/>
    <row r="223" ht="15.75" customHeight="1" s="176"/>
    <row r="224" ht="15.75" customHeight="1" s="176"/>
    <row r="225" ht="15.75" customHeight="1" s="176"/>
    <row r="226" ht="15.75" customHeight="1" s="176"/>
    <row r="227" ht="15.75" customHeight="1" s="176"/>
    <row r="228" ht="15.75" customHeight="1" s="176"/>
    <row r="229" ht="15.75" customHeight="1" s="176"/>
    <row r="230" ht="15.75" customHeight="1" s="176"/>
    <row r="231" ht="15.75" customHeight="1" s="176"/>
    <row r="232" ht="15.75" customHeight="1" s="176"/>
    <row r="233" ht="15.75" customHeight="1" s="176"/>
    <row r="234" ht="15.75" customHeight="1" s="176"/>
    <row r="235" ht="15.75" customHeight="1" s="176"/>
    <row r="236" ht="15.75" customHeight="1" s="176"/>
    <row r="237" ht="15.75" customHeight="1" s="176"/>
    <row r="238" ht="15.75" customHeight="1" s="176"/>
    <row r="239" ht="15.75" customHeight="1" s="176"/>
    <row r="240" ht="15.75" customHeight="1" s="176"/>
    <row r="241" ht="15.75" customHeight="1" s="176"/>
    <row r="242" ht="15.75" customHeight="1" s="176"/>
    <row r="243" ht="15.75" customHeight="1" s="176"/>
    <row r="244" ht="15.75" customHeight="1" s="176"/>
    <row r="245" ht="15.75" customHeight="1" s="176"/>
    <row r="246" ht="15.75" customHeight="1" s="176"/>
    <row r="247" ht="15.75" customHeight="1" s="176"/>
    <row r="248" ht="15.75" customHeight="1" s="176"/>
    <row r="249" ht="15.75" customHeight="1" s="176"/>
    <row r="250" ht="15.75" customHeight="1" s="176"/>
    <row r="251" ht="15.75" customHeight="1" s="176"/>
    <row r="252" ht="15.75" customHeight="1" s="176"/>
    <row r="253" ht="15.75" customHeight="1" s="176"/>
    <row r="254" ht="15.75" customHeight="1" s="176"/>
    <row r="255" ht="15.75" customHeight="1" s="176"/>
    <row r="256" ht="15.75" customHeight="1" s="176"/>
    <row r="257" ht="15.75" customHeight="1" s="176"/>
    <row r="258" ht="15.75" customHeight="1" s="176"/>
    <row r="259" ht="15.75" customHeight="1" s="176"/>
    <row r="260" ht="15.75" customHeight="1" s="176"/>
    <row r="261" ht="15.75" customHeight="1" s="176"/>
    <row r="262" ht="15.75" customHeight="1" s="176"/>
    <row r="263" ht="15.75" customHeight="1" s="176"/>
    <row r="264" ht="15.75" customHeight="1" s="176"/>
    <row r="265" ht="15.75" customHeight="1" s="176"/>
    <row r="266" ht="15.75" customHeight="1" s="176"/>
    <row r="267" ht="15.75" customHeight="1" s="176"/>
    <row r="268" ht="15.75" customHeight="1" s="176"/>
    <row r="269" ht="15.75" customHeight="1" s="176"/>
    <row r="270" ht="15.75" customHeight="1" s="176"/>
    <row r="271" ht="15.75" customHeight="1" s="176"/>
    <row r="272" ht="15.75" customHeight="1" s="176"/>
    <row r="273" ht="15.75" customHeight="1" s="176"/>
    <row r="274" ht="15.75" customHeight="1" s="176"/>
    <row r="275" ht="15.75" customHeight="1" s="176"/>
    <row r="276" ht="15.75" customHeight="1" s="176"/>
    <row r="277" ht="15.75" customHeight="1" s="176"/>
    <row r="278" ht="15.75" customHeight="1" s="176"/>
    <row r="279" ht="15.75" customHeight="1" s="176"/>
    <row r="280" ht="15.75" customHeight="1" s="176"/>
    <row r="281" ht="15.75" customHeight="1" s="176"/>
    <row r="282" ht="15.75" customHeight="1" s="176"/>
    <row r="283" ht="15.75" customHeight="1" s="176"/>
    <row r="284" ht="15.75" customHeight="1" s="176"/>
    <row r="285" ht="15.75" customHeight="1" s="176"/>
    <row r="286" ht="15.75" customHeight="1" s="176"/>
    <row r="287" ht="15.75" customHeight="1" s="176"/>
    <row r="288" ht="15.75" customHeight="1" s="176"/>
    <row r="289" ht="15.75" customHeight="1" s="176"/>
    <row r="290" ht="15.75" customHeight="1" s="176"/>
    <row r="291" ht="15.75" customHeight="1" s="176"/>
    <row r="292" ht="15.75" customHeight="1" s="176"/>
    <row r="293" ht="15.75" customHeight="1" s="176"/>
    <row r="294" ht="15.75" customHeight="1" s="176"/>
    <row r="295" ht="15.75" customHeight="1" s="176"/>
    <row r="296" ht="15.75" customHeight="1" s="176"/>
    <row r="297" ht="15.75" customHeight="1" s="176"/>
    <row r="298" ht="15.75" customHeight="1" s="176"/>
    <row r="299" ht="15.75" customHeight="1" s="176"/>
    <row r="300" ht="15.75" customHeight="1" s="176"/>
    <row r="301" ht="15.75" customHeight="1" s="176"/>
    <row r="302" ht="15.75" customHeight="1" s="176"/>
    <row r="303" ht="15.75" customHeight="1" s="176"/>
    <row r="304" ht="15.75" customHeight="1" s="176"/>
    <row r="305" ht="15.75" customHeight="1" s="176"/>
    <row r="306" ht="15.75" customHeight="1" s="176"/>
    <row r="307" ht="15.75" customHeight="1" s="176"/>
    <row r="308" ht="15.75" customHeight="1" s="176"/>
    <row r="309" ht="15.75" customHeight="1" s="176"/>
    <row r="310" ht="15.75" customHeight="1" s="176"/>
    <row r="311" ht="15.75" customHeight="1" s="176"/>
    <row r="312" ht="15.75" customHeight="1" s="176"/>
    <row r="313" ht="15.75" customHeight="1" s="176"/>
    <row r="314" ht="15.75" customHeight="1" s="176"/>
    <row r="315" ht="15.75" customHeight="1" s="176"/>
    <row r="316" ht="15.75" customHeight="1" s="176"/>
    <row r="317" ht="15.75" customHeight="1" s="176"/>
    <row r="318" ht="15.75" customHeight="1" s="176"/>
    <row r="319" ht="15.75" customHeight="1" s="176"/>
    <row r="320" ht="15.75" customHeight="1" s="176"/>
    <row r="321" ht="15.75" customHeight="1" s="176"/>
    <row r="322" ht="15.75" customHeight="1" s="176"/>
    <row r="323" ht="15.75" customHeight="1" s="176"/>
    <row r="324" ht="15.75" customHeight="1" s="176"/>
    <row r="325" ht="15.75" customHeight="1" s="176"/>
    <row r="326" ht="15.75" customHeight="1" s="176"/>
    <row r="327" ht="15.75" customHeight="1" s="176"/>
    <row r="328" ht="15.75" customHeight="1" s="176"/>
    <row r="329" ht="15.75" customHeight="1" s="176"/>
    <row r="330" ht="15.75" customHeight="1" s="176"/>
    <row r="331" ht="15.75" customHeight="1" s="176"/>
    <row r="332" ht="15.75" customHeight="1" s="176"/>
    <row r="333" ht="15.75" customHeight="1" s="176"/>
    <row r="334" ht="15.75" customHeight="1" s="176"/>
    <row r="335" ht="15.75" customHeight="1" s="176"/>
    <row r="336" ht="15.75" customHeight="1" s="176"/>
    <row r="337" ht="15.75" customHeight="1" s="176"/>
    <row r="338" ht="15.75" customHeight="1" s="176"/>
    <row r="339" ht="15.75" customHeight="1" s="176"/>
    <row r="340" ht="15.75" customHeight="1" s="176"/>
    <row r="341" ht="15.75" customHeight="1" s="176"/>
    <row r="342" ht="15.75" customHeight="1" s="176"/>
    <row r="343" ht="15.75" customHeight="1" s="176"/>
    <row r="344" ht="15.75" customHeight="1" s="176"/>
    <row r="345" ht="15.75" customHeight="1" s="176"/>
    <row r="346" ht="15.75" customHeight="1" s="176"/>
    <row r="347" ht="15.75" customHeight="1" s="176"/>
    <row r="348" ht="15.75" customHeight="1" s="176"/>
    <row r="349" ht="15.75" customHeight="1" s="176"/>
    <row r="350" ht="15.75" customHeight="1" s="176"/>
    <row r="351" ht="15.75" customHeight="1" s="176"/>
    <row r="352" ht="15.75" customHeight="1" s="176"/>
    <row r="353" ht="15.75" customHeight="1" s="176"/>
    <row r="354" ht="15.75" customHeight="1" s="176"/>
    <row r="355" ht="15.75" customHeight="1" s="176"/>
    <row r="356" ht="15.75" customHeight="1" s="176"/>
    <row r="357" ht="15.75" customHeight="1" s="176"/>
    <row r="358" ht="15.75" customHeight="1" s="176"/>
    <row r="359" ht="15.75" customHeight="1" s="176"/>
    <row r="360" ht="15.75" customHeight="1" s="176"/>
    <row r="361" ht="15.75" customHeight="1" s="176"/>
    <row r="362" ht="15.75" customHeight="1" s="176"/>
    <row r="363" ht="15.75" customHeight="1" s="176"/>
    <row r="364" ht="15.75" customHeight="1" s="176"/>
    <row r="365" ht="15.75" customHeight="1" s="176"/>
    <row r="366" ht="15.75" customHeight="1" s="176"/>
    <row r="367" ht="15.75" customHeight="1" s="176"/>
    <row r="368" ht="15.75" customHeight="1" s="176"/>
    <row r="369" ht="15.75" customHeight="1" s="176"/>
    <row r="370" ht="15.75" customHeight="1" s="176"/>
    <row r="371" ht="15.75" customHeight="1" s="176"/>
    <row r="372" ht="15.75" customHeight="1" s="176"/>
    <row r="373" ht="15.75" customHeight="1" s="176"/>
    <row r="374" ht="15.75" customHeight="1" s="176"/>
    <row r="375" ht="15.75" customHeight="1" s="176"/>
    <row r="376" ht="15.75" customHeight="1" s="176"/>
    <row r="377" ht="15.75" customHeight="1" s="176"/>
    <row r="378" ht="15.75" customHeight="1" s="176"/>
    <row r="379" ht="15.75" customHeight="1" s="176"/>
    <row r="380" ht="15.75" customHeight="1" s="176"/>
    <row r="381" ht="15.75" customHeight="1" s="176"/>
    <row r="382" ht="15.75" customHeight="1" s="176"/>
    <row r="383" ht="15.75" customHeight="1" s="176"/>
    <row r="384" ht="15.75" customHeight="1" s="176"/>
    <row r="385" ht="15.75" customHeight="1" s="176"/>
    <row r="386" ht="15.75" customHeight="1" s="176"/>
    <row r="387" ht="15.75" customHeight="1" s="176"/>
    <row r="388" ht="15.75" customHeight="1" s="176"/>
    <row r="389" ht="15.75" customHeight="1" s="176"/>
    <row r="390" ht="15.75" customHeight="1" s="176"/>
    <row r="391" ht="15.75" customHeight="1" s="176"/>
    <row r="392" ht="15.75" customHeight="1" s="176"/>
    <row r="393" ht="15.75" customHeight="1" s="176"/>
    <row r="394" ht="15.75" customHeight="1" s="176"/>
    <row r="395" ht="15.75" customHeight="1" s="176"/>
    <row r="396" ht="15.75" customHeight="1" s="176"/>
    <row r="397" ht="15.75" customHeight="1" s="176"/>
    <row r="398" ht="15.75" customHeight="1" s="176"/>
    <row r="399" ht="15.75" customHeight="1" s="176"/>
    <row r="400" ht="15.75" customHeight="1" s="176"/>
    <row r="401" ht="15.75" customHeight="1" s="176"/>
    <row r="402" ht="15.75" customHeight="1" s="176"/>
    <row r="403" ht="15.75" customHeight="1" s="176"/>
    <row r="404" ht="15.75" customHeight="1" s="176"/>
    <row r="405" ht="15.75" customHeight="1" s="176"/>
    <row r="406" ht="15.75" customHeight="1" s="176"/>
    <row r="407" ht="15.75" customHeight="1" s="176"/>
    <row r="408" ht="15.75" customHeight="1" s="176"/>
    <row r="409" ht="15.75" customHeight="1" s="176"/>
    <row r="410" ht="15.75" customHeight="1" s="176"/>
    <row r="411" ht="15.75" customHeight="1" s="176"/>
    <row r="412" ht="15.75" customHeight="1" s="176"/>
    <row r="413" ht="15.75" customHeight="1" s="176"/>
    <row r="414" ht="15.75" customHeight="1" s="176"/>
    <row r="415" ht="15.75" customHeight="1" s="176"/>
    <row r="416" ht="15.75" customHeight="1" s="176"/>
    <row r="417" ht="15.75" customHeight="1" s="176"/>
    <row r="418" ht="15.75" customHeight="1" s="176"/>
    <row r="419" ht="15.75" customHeight="1" s="176"/>
    <row r="420" ht="15.75" customHeight="1" s="176"/>
    <row r="421" ht="15.75" customHeight="1" s="176"/>
    <row r="422" ht="15.75" customHeight="1" s="176"/>
    <row r="423" ht="15.75" customHeight="1" s="176"/>
    <row r="424" ht="15.75" customHeight="1" s="176"/>
    <row r="425" ht="15.75" customHeight="1" s="176"/>
    <row r="426" ht="15.75" customHeight="1" s="176"/>
    <row r="427" ht="15.75" customHeight="1" s="176"/>
    <row r="428" ht="15.75" customHeight="1" s="176"/>
    <row r="429" ht="15.75" customHeight="1" s="176"/>
    <row r="430" ht="15.75" customHeight="1" s="176"/>
    <row r="431" ht="15.75" customHeight="1" s="176"/>
    <row r="432" ht="15.75" customHeight="1" s="176"/>
    <row r="433" ht="15.75" customHeight="1" s="176"/>
    <row r="434" ht="15.75" customHeight="1" s="176"/>
    <row r="435" ht="15.75" customHeight="1" s="176"/>
    <row r="436" ht="15.75" customHeight="1" s="176"/>
    <row r="437" ht="15.75" customHeight="1" s="176"/>
    <row r="438" ht="15.75" customHeight="1" s="176"/>
    <row r="439" ht="15.75" customHeight="1" s="176"/>
    <row r="440" ht="15.75" customHeight="1" s="176"/>
    <row r="441" ht="15.75" customHeight="1" s="176"/>
    <row r="442" ht="15.75" customHeight="1" s="176"/>
    <row r="443" ht="15.75" customHeight="1" s="176"/>
    <row r="444" ht="15.75" customHeight="1" s="176"/>
    <row r="445" ht="15.75" customHeight="1" s="176"/>
    <row r="446" ht="15.75" customHeight="1" s="176"/>
    <row r="447" ht="15.75" customHeight="1" s="176"/>
    <row r="448" ht="15.75" customHeight="1" s="176"/>
    <row r="449" ht="15.75" customHeight="1" s="176"/>
    <row r="450" ht="15.75" customHeight="1" s="176"/>
    <row r="451" ht="15.75" customHeight="1" s="176"/>
    <row r="452" ht="15.75" customHeight="1" s="176"/>
    <row r="453" ht="15.75" customHeight="1" s="176"/>
    <row r="454" ht="15.75" customHeight="1" s="176"/>
    <row r="455" ht="15.75" customHeight="1" s="176"/>
    <row r="456" ht="15.75" customHeight="1" s="176"/>
    <row r="457" ht="15.75" customHeight="1" s="176"/>
    <row r="458" ht="15.75" customHeight="1" s="176"/>
    <row r="459" ht="15.75" customHeight="1" s="176"/>
    <row r="460" ht="15.75" customHeight="1" s="176"/>
    <row r="461" ht="15.75" customHeight="1" s="176"/>
    <row r="462" ht="15.75" customHeight="1" s="176"/>
    <row r="463" ht="15.75" customHeight="1" s="176"/>
    <row r="464" ht="15.75" customHeight="1" s="176"/>
    <row r="465" ht="15.75" customHeight="1" s="176"/>
    <row r="466" ht="15.75" customHeight="1" s="176"/>
    <row r="467" ht="15.75" customHeight="1" s="176"/>
    <row r="468" ht="15.75" customHeight="1" s="176"/>
    <row r="469" ht="15.75" customHeight="1" s="176"/>
    <row r="470" ht="15.75" customHeight="1" s="176"/>
    <row r="471" ht="15.75" customHeight="1" s="176"/>
    <row r="472" ht="15.75" customHeight="1" s="176"/>
    <row r="473" ht="15.75" customHeight="1" s="176"/>
    <row r="474" ht="15.75" customHeight="1" s="176"/>
    <row r="475" ht="15.75" customHeight="1" s="176"/>
    <row r="476" ht="15.75" customHeight="1" s="176"/>
    <row r="477" ht="15.75" customHeight="1" s="176"/>
    <row r="478" ht="15.75" customHeight="1" s="176"/>
    <row r="479" ht="15.75" customHeight="1" s="176"/>
    <row r="480" ht="15.75" customHeight="1" s="176"/>
    <row r="481" ht="15.75" customHeight="1" s="176"/>
    <row r="482" ht="15.75" customHeight="1" s="176"/>
    <row r="483" ht="15.75" customHeight="1" s="176"/>
    <row r="484" ht="15.75" customHeight="1" s="176"/>
    <row r="485" ht="15.75" customHeight="1" s="176"/>
    <row r="486" ht="15.75" customHeight="1" s="176"/>
    <row r="487" ht="15.75" customHeight="1" s="176"/>
    <row r="488" ht="15.75" customHeight="1" s="176"/>
    <row r="489" ht="15.75" customHeight="1" s="176"/>
    <row r="490" ht="15.75" customHeight="1" s="176"/>
    <row r="491" ht="15.75" customHeight="1" s="176"/>
    <row r="492" ht="15.75" customHeight="1" s="176"/>
    <row r="493" ht="15.75" customHeight="1" s="176"/>
    <row r="494" ht="15.75" customHeight="1" s="176"/>
    <row r="495" ht="15.75" customHeight="1" s="176"/>
    <row r="496" ht="15.75" customHeight="1" s="176"/>
    <row r="497" ht="15.75" customHeight="1" s="176"/>
    <row r="498" ht="15.75" customHeight="1" s="176"/>
    <row r="499" ht="15.75" customHeight="1" s="176"/>
    <row r="500" ht="15.75" customHeight="1" s="176"/>
    <row r="501" ht="15.75" customHeight="1" s="176"/>
    <row r="502" ht="15.75" customHeight="1" s="176"/>
    <row r="503" ht="15.75" customHeight="1" s="176"/>
    <row r="504" ht="15.75" customHeight="1" s="176"/>
    <row r="505" ht="15.75" customHeight="1" s="176"/>
    <row r="506" ht="15.75" customHeight="1" s="176"/>
    <row r="507" ht="15.75" customHeight="1" s="176"/>
    <row r="508" ht="15.75" customHeight="1" s="176"/>
    <row r="509" ht="15.75" customHeight="1" s="176"/>
    <row r="510" ht="15.75" customHeight="1" s="176"/>
    <row r="511" ht="15.75" customHeight="1" s="176"/>
    <row r="512" ht="15.75" customHeight="1" s="176"/>
    <row r="513" ht="15.75" customHeight="1" s="176"/>
    <row r="514" ht="15.75" customHeight="1" s="176"/>
    <row r="515" ht="15.75" customHeight="1" s="176"/>
    <row r="516" ht="15.75" customHeight="1" s="176"/>
    <row r="517" ht="15.75" customHeight="1" s="176"/>
    <row r="518" ht="15.75" customHeight="1" s="176"/>
    <row r="519" ht="15.75" customHeight="1" s="176"/>
    <row r="520" ht="15.75" customHeight="1" s="176"/>
    <row r="521" ht="15.75" customHeight="1" s="176"/>
    <row r="522" ht="15.75" customHeight="1" s="176"/>
    <row r="523" ht="15.75" customHeight="1" s="176"/>
    <row r="524" ht="15.75" customHeight="1" s="176"/>
    <row r="525" ht="15.75" customHeight="1" s="176"/>
    <row r="526" ht="15.75" customHeight="1" s="176"/>
    <row r="527" ht="15.75" customHeight="1" s="176"/>
    <row r="528" ht="15.75" customHeight="1" s="176"/>
    <row r="529" ht="15.75" customHeight="1" s="176"/>
    <row r="530" ht="15.75" customHeight="1" s="176"/>
    <row r="531" ht="15.75" customHeight="1" s="176"/>
    <row r="532" ht="15.75" customHeight="1" s="176"/>
    <row r="533" ht="15.75" customHeight="1" s="176"/>
    <row r="534" ht="15.75" customHeight="1" s="176"/>
    <row r="535" ht="15.75" customHeight="1" s="176"/>
    <row r="536" ht="15.75" customHeight="1" s="176"/>
    <row r="537" ht="15.75" customHeight="1" s="176"/>
    <row r="538" ht="15.75" customHeight="1" s="176"/>
    <row r="539" ht="15.75" customHeight="1" s="176"/>
    <row r="540" ht="15.75" customHeight="1" s="176"/>
    <row r="541" ht="15.75" customHeight="1" s="176"/>
    <row r="542" ht="15.75" customHeight="1" s="176"/>
    <row r="543" ht="15.75" customHeight="1" s="176"/>
    <row r="544" ht="15.75" customHeight="1" s="176"/>
    <row r="545" ht="15.75" customHeight="1" s="176"/>
    <row r="546" ht="15.75" customHeight="1" s="176"/>
    <row r="547" ht="15.75" customHeight="1" s="176"/>
    <row r="548" ht="15.75" customHeight="1" s="176"/>
    <row r="549" ht="15.75" customHeight="1" s="176"/>
    <row r="550" ht="15.75" customHeight="1" s="176"/>
    <row r="551" ht="15.75" customHeight="1" s="176"/>
    <row r="552" ht="15.75" customHeight="1" s="176"/>
    <row r="553" ht="15.75" customHeight="1" s="176"/>
    <row r="554" ht="15.75" customHeight="1" s="176"/>
    <row r="555" ht="15.75" customHeight="1" s="176"/>
    <row r="556" ht="15.75" customHeight="1" s="176"/>
    <row r="557" ht="15.75" customHeight="1" s="176"/>
    <row r="558" ht="15.75" customHeight="1" s="176"/>
    <row r="559" ht="15.75" customHeight="1" s="176"/>
    <row r="560" ht="15.75" customHeight="1" s="176"/>
    <row r="561" ht="15.75" customHeight="1" s="176"/>
    <row r="562" ht="15.75" customHeight="1" s="176"/>
    <row r="563" ht="15.75" customHeight="1" s="176"/>
    <row r="564" ht="15.75" customHeight="1" s="176"/>
    <row r="565" ht="15.75" customHeight="1" s="176"/>
    <row r="566" ht="15.75" customHeight="1" s="176"/>
    <row r="567" ht="15.75" customHeight="1" s="176"/>
    <row r="568" ht="15.75" customHeight="1" s="176"/>
    <row r="569" ht="15.75" customHeight="1" s="176"/>
    <row r="570" ht="15.75" customHeight="1" s="176"/>
    <row r="571" ht="15.75" customHeight="1" s="176"/>
    <row r="572" ht="15.75" customHeight="1" s="176"/>
    <row r="573" ht="15.75" customHeight="1" s="176"/>
    <row r="574" ht="15.75" customHeight="1" s="176"/>
    <row r="575" ht="15.75" customHeight="1" s="176"/>
    <row r="576" ht="15.75" customHeight="1" s="176"/>
    <row r="577" ht="15.75" customHeight="1" s="176"/>
    <row r="578" ht="15.75" customHeight="1" s="176"/>
    <row r="579" ht="15.75" customHeight="1" s="176"/>
    <row r="580" ht="15.75" customHeight="1" s="176"/>
    <row r="581" ht="15.75" customHeight="1" s="176"/>
    <row r="582" ht="15.75" customHeight="1" s="176"/>
    <row r="583" ht="15.75" customHeight="1" s="176"/>
    <row r="584" ht="15.75" customHeight="1" s="176"/>
    <row r="585" ht="15.75" customHeight="1" s="176"/>
    <row r="586" ht="15.75" customHeight="1" s="176"/>
    <row r="587" ht="15.75" customHeight="1" s="176"/>
    <row r="588" ht="15.75" customHeight="1" s="176"/>
    <row r="589" ht="15.75" customHeight="1" s="176"/>
    <row r="590" ht="15.75" customHeight="1" s="176"/>
    <row r="591" ht="15.75" customHeight="1" s="176"/>
    <row r="592" ht="15.75" customHeight="1" s="176"/>
    <row r="593" ht="15.75" customHeight="1" s="176"/>
    <row r="594" ht="15.75" customHeight="1" s="176"/>
    <row r="595" ht="15.75" customHeight="1" s="176"/>
    <row r="596" ht="15.75" customHeight="1" s="176"/>
    <row r="597" ht="15.75" customHeight="1" s="176"/>
    <row r="598" ht="15.75" customHeight="1" s="176"/>
    <row r="599" ht="15.75" customHeight="1" s="176"/>
    <row r="600" ht="15.75" customHeight="1" s="176"/>
    <row r="601" ht="15.75" customHeight="1" s="176"/>
    <row r="602" ht="15.75" customHeight="1" s="176"/>
    <row r="603" ht="15.75" customHeight="1" s="176"/>
    <row r="604" ht="15.75" customHeight="1" s="176"/>
    <row r="605" ht="15.75" customHeight="1" s="176"/>
    <row r="606" ht="15.75" customHeight="1" s="176"/>
    <row r="607" ht="15.75" customHeight="1" s="176"/>
    <row r="608" ht="15.75" customHeight="1" s="176"/>
    <row r="609" ht="15.75" customHeight="1" s="176"/>
    <row r="610" ht="15.75" customHeight="1" s="176"/>
    <row r="611" ht="15.75" customHeight="1" s="176"/>
    <row r="612" ht="15.75" customHeight="1" s="176"/>
    <row r="613" ht="15.75" customHeight="1" s="176"/>
    <row r="614" ht="15.75" customHeight="1" s="176"/>
    <row r="615" ht="15.75" customHeight="1" s="176"/>
    <row r="616" ht="15.75" customHeight="1" s="176"/>
    <row r="617" ht="15.75" customHeight="1" s="176"/>
    <row r="618" ht="15.75" customHeight="1" s="176"/>
    <row r="619" ht="15.75" customHeight="1" s="176"/>
    <row r="620" ht="15.75" customHeight="1" s="176"/>
    <row r="621" ht="15.75" customHeight="1" s="176"/>
    <row r="622" ht="15.75" customHeight="1" s="176"/>
    <row r="623" ht="15.75" customHeight="1" s="176"/>
    <row r="624" ht="15.75" customHeight="1" s="176"/>
    <row r="625" ht="15.75" customHeight="1" s="176"/>
    <row r="626" ht="15.75" customHeight="1" s="176"/>
    <row r="627" ht="15.75" customHeight="1" s="176"/>
    <row r="628" ht="15.75" customHeight="1" s="176"/>
    <row r="629" ht="15.75" customHeight="1" s="176"/>
    <row r="630" ht="15.75" customHeight="1" s="176"/>
    <row r="631" ht="15.75" customHeight="1" s="176"/>
    <row r="632" ht="15.75" customHeight="1" s="176"/>
    <row r="633" ht="15.75" customHeight="1" s="176"/>
    <row r="634" ht="15.75" customHeight="1" s="176"/>
    <row r="635" ht="15.75" customHeight="1" s="176"/>
    <row r="636" ht="15.75" customHeight="1" s="176"/>
    <row r="637" ht="15.75" customHeight="1" s="176"/>
    <row r="638" ht="15.75" customHeight="1" s="176"/>
    <row r="639" ht="15.75" customHeight="1" s="176"/>
    <row r="640" ht="15.75" customHeight="1" s="176"/>
    <row r="641" ht="15.75" customHeight="1" s="176"/>
    <row r="642" ht="15.75" customHeight="1" s="176"/>
    <row r="643" ht="15.75" customHeight="1" s="176"/>
    <row r="644" ht="15.75" customHeight="1" s="176"/>
    <row r="645" ht="15.75" customHeight="1" s="176"/>
    <row r="646" ht="15.75" customHeight="1" s="176"/>
    <row r="647" ht="15.75" customHeight="1" s="176"/>
    <row r="648" ht="15.75" customHeight="1" s="176"/>
    <row r="649" ht="15.75" customHeight="1" s="176"/>
    <row r="650" ht="15.75" customHeight="1" s="176"/>
    <row r="651" ht="15.75" customHeight="1" s="176"/>
    <row r="652" ht="15.75" customHeight="1" s="176"/>
    <row r="653" ht="15.75" customHeight="1" s="176"/>
    <row r="654" ht="15.75" customHeight="1" s="176"/>
    <row r="655" ht="15.75" customHeight="1" s="176"/>
    <row r="656" ht="15.75" customHeight="1" s="176"/>
    <row r="657" ht="15.75" customHeight="1" s="176"/>
    <row r="658" ht="15.75" customHeight="1" s="176"/>
    <row r="659" ht="15.75" customHeight="1" s="176"/>
    <row r="660" ht="15.75" customHeight="1" s="176"/>
    <row r="661" ht="15.75" customHeight="1" s="176"/>
    <row r="662" ht="15.75" customHeight="1" s="176"/>
    <row r="663" ht="15.75" customHeight="1" s="176"/>
    <row r="664" ht="15.75" customHeight="1" s="176"/>
    <row r="665" ht="15.75" customHeight="1" s="176"/>
    <row r="666" ht="15.75" customHeight="1" s="176"/>
    <row r="667" ht="15.75" customHeight="1" s="176"/>
    <row r="668" ht="15.75" customHeight="1" s="176"/>
    <row r="669" ht="15.75" customHeight="1" s="176"/>
    <row r="670" ht="15.75" customHeight="1" s="176"/>
    <row r="671" ht="15.75" customHeight="1" s="176"/>
    <row r="672" ht="15.75" customHeight="1" s="176"/>
    <row r="673" ht="15.75" customHeight="1" s="176"/>
    <row r="674" ht="15.75" customHeight="1" s="176"/>
    <row r="675" ht="15.75" customHeight="1" s="176"/>
    <row r="676" ht="15.75" customHeight="1" s="176"/>
    <row r="677" ht="15.75" customHeight="1" s="176"/>
    <row r="678" ht="15.75" customHeight="1" s="176"/>
    <row r="679" ht="15.75" customHeight="1" s="176"/>
    <row r="680" ht="15.75" customHeight="1" s="176"/>
    <row r="681" ht="15.75" customHeight="1" s="176"/>
    <row r="682" ht="15.75" customHeight="1" s="176"/>
    <row r="683" ht="15.75" customHeight="1" s="176"/>
    <row r="684" ht="15.75" customHeight="1" s="176"/>
    <row r="685" ht="15.75" customHeight="1" s="176"/>
    <row r="686" ht="15.75" customHeight="1" s="176"/>
    <row r="687" ht="15.75" customHeight="1" s="176"/>
    <row r="688" ht="15.75" customHeight="1" s="176"/>
    <row r="689" ht="15.75" customHeight="1" s="176"/>
    <row r="690" ht="15.75" customHeight="1" s="176"/>
    <row r="691" ht="15.75" customHeight="1" s="176"/>
    <row r="692" ht="15.75" customHeight="1" s="176"/>
    <row r="693" ht="15.75" customHeight="1" s="176"/>
    <row r="694" ht="15.75" customHeight="1" s="176"/>
    <row r="695" ht="15.75" customHeight="1" s="176"/>
    <row r="696" ht="15.75" customHeight="1" s="176"/>
    <row r="697" ht="15.75" customHeight="1" s="176"/>
    <row r="698" ht="15.75" customHeight="1" s="176"/>
    <row r="699" ht="15.75" customHeight="1" s="176"/>
    <row r="700" ht="15.75" customHeight="1" s="176"/>
    <row r="701" ht="15.75" customHeight="1" s="176"/>
    <row r="702" ht="15.75" customHeight="1" s="176"/>
    <row r="703" ht="15.75" customHeight="1" s="176"/>
    <row r="704" ht="15.75" customHeight="1" s="176"/>
    <row r="705" ht="15.75" customHeight="1" s="176"/>
    <row r="706" ht="15.75" customHeight="1" s="176"/>
    <row r="707" ht="15.75" customHeight="1" s="176"/>
    <row r="708" ht="15.75" customHeight="1" s="176"/>
    <row r="709" ht="15.75" customHeight="1" s="176"/>
    <row r="710" ht="15.75" customHeight="1" s="176"/>
    <row r="711" ht="15.75" customHeight="1" s="176"/>
    <row r="712" ht="15.75" customHeight="1" s="176"/>
    <row r="713" ht="15.75" customHeight="1" s="176"/>
    <row r="714" ht="15.75" customHeight="1" s="176"/>
    <row r="715" ht="15.75" customHeight="1" s="176"/>
    <row r="716" ht="15.75" customHeight="1" s="176"/>
    <row r="717" ht="15.75" customHeight="1" s="176"/>
    <row r="718" ht="15.75" customHeight="1" s="176"/>
    <row r="719" ht="15.75" customHeight="1" s="176"/>
    <row r="720" ht="15.75" customHeight="1" s="176"/>
    <row r="721" ht="15.75" customHeight="1" s="176"/>
    <row r="722" ht="15.75" customHeight="1" s="176"/>
    <row r="723" ht="15.75" customHeight="1" s="176"/>
    <row r="724" ht="15.75" customHeight="1" s="176"/>
    <row r="725" ht="15.75" customHeight="1" s="176"/>
    <row r="726" ht="15.75" customHeight="1" s="176"/>
    <row r="727" ht="15.75" customHeight="1" s="176"/>
    <row r="728" ht="15.75" customHeight="1" s="176"/>
    <row r="729" ht="15.75" customHeight="1" s="176"/>
    <row r="730" ht="15.75" customHeight="1" s="176"/>
    <row r="731" ht="15.75" customHeight="1" s="176"/>
    <row r="732" ht="15.75" customHeight="1" s="176"/>
    <row r="733" ht="15.75" customHeight="1" s="176"/>
    <row r="734" ht="15.75" customHeight="1" s="176"/>
    <row r="735" ht="15.75" customHeight="1" s="176"/>
    <row r="736" ht="15.75" customHeight="1" s="176"/>
    <row r="737" ht="15.75" customHeight="1" s="176"/>
    <row r="738" ht="15.75" customHeight="1" s="176"/>
    <row r="739" ht="15.75" customHeight="1" s="176"/>
    <row r="740" ht="15.75" customHeight="1" s="176"/>
    <row r="741" ht="15.75" customHeight="1" s="176"/>
    <row r="742" ht="15.75" customHeight="1" s="176"/>
    <row r="743" ht="15.75" customHeight="1" s="176"/>
    <row r="744" ht="15.75" customHeight="1" s="176"/>
    <row r="745" ht="15.75" customHeight="1" s="176"/>
    <row r="746" ht="15.75" customHeight="1" s="176"/>
    <row r="747" ht="15.75" customHeight="1" s="176"/>
    <row r="748" ht="15.75" customHeight="1" s="176"/>
    <row r="749" ht="15.75" customHeight="1" s="176"/>
    <row r="750" ht="15.75" customHeight="1" s="176"/>
    <row r="751" ht="15.75" customHeight="1" s="176"/>
    <row r="752" ht="15.75" customHeight="1" s="176"/>
    <row r="753" ht="15.75" customHeight="1" s="176"/>
    <row r="754" ht="15.75" customHeight="1" s="176"/>
    <row r="755" ht="15.75" customHeight="1" s="176"/>
    <row r="756" ht="15.75" customHeight="1" s="176"/>
    <row r="757" ht="15.75" customHeight="1" s="176"/>
    <row r="758" ht="15.75" customHeight="1" s="176"/>
    <row r="759" ht="15.75" customHeight="1" s="176"/>
    <row r="760" ht="15.75" customHeight="1" s="176"/>
    <row r="761" ht="15.75" customHeight="1" s="176"/>
    <row r="762" ht="15.75" customHeight="1" s="176"/>
    <row r="763" ht="15.75" customHeight="1" s="176"/>
    <row r="764" ht="15.75" customHeight="1" s="176"/>
    <row r="765" ht="15.75" customHeight="1" s="176"/>
    <row r="766" ht="15.75" customHeight="1" s="176"/>
    <row r="767" ht="15.75" customHeight="1" s="176"/>
    <row r="768" ht="15.75" customHeight="1" s="176"/>
    <row r="769" ht="15.75" customHeight="1" s="176"/>
    <row r="770" ht="15.75" customHeight="1" s="176"/>
    <row r="771" ht="15.75" customHeight="1" s="176"/>
    <row r="772" ht="15.75" customHeight="1" s="176"/>
    <row r="773" ht="15.75" customHeight="1" s="176"/>
    <row r="774" ht="15.75" customHeight="1" s="176"/>
    <row r="775" ht="15.75" customHeight="1" s="176"/>
    <row r="776" ht="15.75" customHeight="1" s="176"/>
    <row r="777" ht="15.75" customHeight="1" s="176"/>
    <row r="778" ht="15.75" customHeight="1" s="176"/>
    <row r="779" ht="15.75" customHeight="1" s="176"/>
    <row r="780" ht="15.75" customHeight="1" s="176"/>
    <row r="781" ht="15.75" customHeight="1" s="176"/>
    <row r="782" ht="15.75" customHeight="1" s="176"/>
    <row r="783" ht="15.75" customHeight="1" s="176"/>
    <row r="784" ht="15.75" customHeight="1" s="176"/>
    <row r="785" ht="15.75" customHeight="1" s="176"/>
    <row r="786" ht="15.75" customHeight="1" s="176"/>
    <row r="787" ht="15.75" customHeight="1" s="176"/>
    <row r="788" ht="15.75" customHeight="1" s="176"/>
    <row r="789" ht="15.75" customHeight="1" s="176"/>
    <row r="790" ht="15.75" customHeight="1" s="176"/>
    <row r="791" ht="15.75" customHeight="1" s="176"/>
    <row r="792" ht="15.75" customHeight="1" s="176"/>
    <row r="793" ht="15.75" customHeight="1" s="176"/>
    <row r="794" ht="15.75" customHeight="1" s="176"/>
    <row r="795" ht="15.75" customHeight="1" s="176"/>
    <row r="796" ht="15.75" customHeight="1" s="176"/>
    <row r="797" ht="15.75" customHeight="1" s="176"/>
    <row r="798" ht="15.75" customHeight="1" s="176"/>
    <row r="799" ht="15.75" customHeight="1" s="176"/>
    <row r="800" ht="15.75" customHeight="1" s="176"/>
    <row r="801" ht="15.75" customHeight="1" s="176"/>
    <row r="802" ht="15.75" customHeight="1" s="176"/>
    <row r="803" ht="15.75" customHeight="1" s="176"/>
    <row r="804" ht="15.75" customHeight="1" s="176"/>
    <row r="805" ht="15.75" customHeight="1" s="176"/>
    <row r="806" ht="15.75" customHeight="1" s="176"/>
    <row r="807" ht="15.75" customHeight="1" s="176"/>
    <row r="808" ht="15.75" customHeight="1" s="176"/>
    <row r="809" ht="15.75" customHeight="1" s="176"/>
    <row r="810" ht="15.75" customHeight="1" s="176"/>
    <row r="811" ht="15.75" customHeight="1" s="176"/>
    <row r="812" ht="15.75" customHeight="1" s="176"/>
    <row r="813" ht="15.75" customHeight="1" s="176"/>
    <row r="814" ht="15.75" customHeight="1" s="176"/>
    <row r="815" ht="15.75" customHeight="1" s="176"/>
    <row r="816" ht="15.75" customHeight="1" s="176"/>
    <row r="817" ht="15.75" customHeight="1" s="176"/>
    <row r="818" ht="15.75" customHeight="1" s="176"/>
    <row r="819" ht="15.75" customHeight="1" s="176"/>
    <row r="820" ht="15.75" customHeight="1" s="176"/>
    <row r="821" ht="15.75" customHeight="1" s="176"/>
    <row r="822" ht="15.75" customHeight="1" s="176"/>
    <row r="823" ht="15.75" customHeight="1" s="176"/>
    <row r="824" ht="15.75" customHeight="1" s="176"/>
    <row r="825" ht="15.75" customHeight="1" s="176"/>
    <row r="826" ht="15.75" customHeight="1" s="176"/>
    <row r="827" ht="15.75" customHeight="1" s="176"/>
    <row r="828" ht="15.75" customHeight="1" s="176"/>
    <row r="829" ht="15.75" customHeight="1" s="176"/>
    <row r="830" ht="15.75" customHeight="1" s="176"/>
    <row r="831" ht="15.75" customHeight="1" s="176"/>
    <row r="832" ht="15.75" customHeight="1" s="176"/>
    <row r="833" ht="15.75" customHeight="1" s="176"/>
    <row r="834" ht="15.75" customHeight="1" s="176"/>
    <row r="835" ht="15.75" customHeight="1" s="176"/>
    <row r="836" ht="15.75" customHeight="1" s="176"/>
    <row r="837" ht="15.75" customHeight="1" s="176"/>
    <row r="838" ht="15.75" customHeight="1" s="176"/>
    <row r="839" ht="15.75" customHeight="1" s="176"/>
    <row r="840" ht="15.75" customHeight="1" s="176"/>
    <row r="841" ht="15.75" customHeight="1" s="176"/>
    <row r="842" ht="15.75" customHeight="1" s="176"/>
    <row r="843" ht="15.75" customHeight="1" s="176"/>
    <row r="844" ht="15.75" customHeight="1" s="176"/>
    <row r="845" ht="15.75" customHeight="1" s="176"/>
    <row r="846" ht="15.75" customHeight="1" s="176"/>
    <row r="847" ht="15.75" customHeight="1" s="176"/>
    <row r="848" ht="15.75" customHeight="1" s="176"/>
    <row r="849" ht="15.75" customHeight="1" s="176"/>
    <row r="850" ht="15.75" customHeight="1" s="176"/>
    <row r="851" ht="15.75" customHeight="1" s="176"/>
    <row r="852" ht="15.75" customHeight="1" s="176"/>
    <row r="853" ht="15.75" customHeight="1" s="176"/>
    <row r="854" ht="15.75" customHeight="1" s="176"/>
    <row r="855" ht="15.75" customHeight="1" s="176"/>
    <row r="856" ht="15.75" customHeight="1" s="176"/>
    <row r="857" ht="15.75" customHeight="1" s="176"/>
    <row r="858" ht="15.75" customHeight="1" s="176"/>
    <row r="859" ht="15.75" customHeight="1" s="176"/>
    <row r="860" ht="15.75" customHeight="1" s="176"/>
    <row r="861" ht="15.75" customHeight="1" s="176"/>
    <row r="862" ht="15.75" customHeight="1" s="176"/>
    <row r="863" ht="15.75" customHeight="1" s="176"/>
    <row r="864" ht="15.75" customHeight="1" s="176"/>
    <row r="865" ht="15.75" customHeight="1" s="176"/>
    <row r="866" ht="15.75" customHeight="1" s="176"/>
    <row r="867" ht="15.75" customHeight="1" s="176"/>
    <row r="868" ht="15.75" customHeight="1" s="176"/>
    <row r="869" ht="15.75" customHeight="1" s="176"/>
    <row r="870" ht="15.75" customHeight="1" s="176"/>
    <row r="871" ht="15.75" customHeight="1" s="176"/>
    <row r="872" ht="15.75" customHeight="1" s="176"/>
    <row r="873" ht="15.75" customHeight="1" s="176"/>
    <row r="874" ht="15.75" customHeight="1" s="176"/>
    <row r="875" ht="15.75" customHeight="1" s="176"/>
    <row r="876" ht="15.75" customHeight="1" s="176"/>
    <row r="877" ht="15.75" customHeight="1" s="176"/>
    <row r="878" ht="15.75" customHeight="1" s="176"/>
    <row r="879" ht="15.75" customHeight="1" s="176"/>
    <row r="880" ht="15.75" customHeight="1" s="176"/>
    <row r="881" ht="15.75" customHeight="1" s="176"/>
    <row r="882" ht="15.75" customHeight="1" s="176"/>
    <row r="883" ht="15.75" customHeight="1" s="176"/>
    <row r="884" ht="15.75" customHeight="1" s="176"/>
    <row r="885" ht="15.75" customHeight="1" s="176"/>
    <row r="886" ht="15.75" customHeight="1" s="176"/>
    <row r="887" ht="15.75" customHeight="1" s="176"/>
    <row r="888" ht="15.75" customHeight="1" s="176"/>
    <row r="889" ht="15.75" customHeight="1" s="176"/>
    <row r="890" ht="15.75" customHeight="1" s="176"/>
    <row r="891" ht="15.75" customHeight="1" s="176"/>
    <row r="892" ht="15.75" customHeight="1" s="176"/>
    <row r="893" ht="15.75" customHeight="1" s="176"/>
    <row r="894" ht="15.75" customHeight="1" s="176"/>
    <row r="895" ht="15.75" customHeight="1" s="176"/>
    <row r="896" ht="15.75" customHeight="1" s="176"/>
    <row r="897" ht="15.75" customHeight="1" s="176"/>
    <row r="898" ht="15.75" customHeight="1" s="176"/>
    <row r="899" ht="15.75" customHeight="1" s="176"/>
    <row r="900" ht="15.75" customHeight="1" s="176"/>
    <row r="901" ht="15.75" customHeight="1" s="176"/>
    <row r="902" ht="15.75" customHeight="1" s="176"/>
    <row r="903" ht="15.75" customHeight="1" s="176"/>
    <row r="904" ht="15.75" customHeight="1" s="176"/>
    <row r="905" ht="15.75" customHeight="1" s="176"/>
    <row r="906" ht="15.75" customHeight="1" s="176"/>
    <row r="907" ht="15.75" customHeight="1" s="176"/>
    <row r="908" ht="15.75" customHeight="1" s="176"/>
    <row r="909" ht="15.75" customHeight="1" s="176"/>
    <row r="910" ht="15.75" customHeight="1" s="176"/>
    <row r="911" ht="15.75" customHeight="1" s="176"/>
    <row r="912" ht="15.75" customHeight="1" s="176"/>
    <row r="913" ht="15.75" customHeight="1" s="176"/>
    <row r="914" ht="15.75" customHeight="1" s="176"/>
    <row r="915" ht="15.75" customHeight="1" s="176"/>
    <row r="916" ht="15.75" customHeight="1" s="176"/>
    <row r="917" ht="15.75" customHeight="1" s="176"/>
    <row r="918" ht="15.75" customHeight="1" s="176"/>
    <row r="919" ht="15.75" customHeight="1" s="176"/>
    <row r="920" ht="15.75" customHeight="1" s="176"/>
    <row r="921" ht="15.75" customHeight="1" s="176"/>
    <row r="922" ht="15.75" customHeight="1" s="176"/>
    <row r="923" ht="15.75" customHeight="1" s="176"/>
    <row r="924" ht="15.75" customHeight="1" s="176"/>
    <row r="925" ht="15.75" customHeight="1" s="176"/>
    <row r="926" ht="15.75" customHeight="1" s="176"/>
    <row r="927" ht="15.75" customHeight="1" s="176"/>
    <row r="928" ht="15.75" customHeight="1" s="176"/>
    <row r="929" ht="15.75" customHeight="1" s="176"/>
    <row r="930" ht="15.75" customHeight="1" s="176"/>
    <row r="931" ht="15.75" customHeight="1" s="176"/>
    <row r="932" ht="15.75" customHeight="1" s="176"/>
    <row r="933" ht="15.75" customHeight="1" s="176"/>
    <row r="934" ht="15.75" customHeight="1" s="176"/>
    <row r="935" ht="15.75" customHeight="1" s="176"/>
    <row r="936" ht="15.75" customHeight="1" s="176"/>
    <row r="937" ht="15.75" customHeight="1" s="176"/>
    <row r="938" ht="15.75" customHeight="1" s="176"/>
    <row r="939" ht="15.75" customHeight="1" s="176"/>
    <row r="940" ht="15.75" customHeight="1" s="176"/>
    <row r="941" ht="15.75" customHeight="1" s="176"/>
    <row r="942" ht="15.75" customHeight="1" s="176"/>
    <row r="943" ht="15.75" customHeight="1" s="176"/>
    <row r="944" ht="15.75" customHeight="1" s="176"/>
    <row r="945" ht="15.75" customHeight="1" s="176"/>
    <row r="946" ht="15.75" customHeight="1" s="176"/>
    <row r="947" ht="15.75" customHeight="1" s="176"/>
    <row r="948" ht="15.75" customHeight="1" s="176"/>
    <row r="949" ht="15.75" customHeight="1" s="176"/>
    <row r="950" ht="15.75" customHeight="1" s="176"/>
    <row r="951" ht="15.75" customHeight="1" s="176"/>
    <row r="952" ht="15.75" customHeight="1" s="176"/>
    <row r="953" ht="15.75" customHeight="1" s="176"/>
    <row r="954" ht="15.75" customHeight="1" s="176"/>
    <row r="955" ht="15.75" customHeight="1" s="176"/>
    <row r="956" ht="15.75" customHeight="1" s="176"/>
    <row r="957" ht="15.75" customHeight="1" s="176"/>
    <row r="958" ht="15.75" customHeight="1" s="176"/>
    <row r="959" ht="15.75" customHeight="1" s="176"/>
    <row r="960" ht="15.75" customHeight="1" s="176"/>
    <row r="961" ht="15.75" customHeight="1" s="176"/>
    <row r="962" ht="15.75" customHeight="1" s="176"/>
    <row r="963" ht="15.75" customHeight="1" s="176"/>
    <row r="964" ht="15.75" customHeight="1" s="176"/>
    <row r="965" ht="15.75" customHeight="1" s="176"/>
    <row r="966" ht="15.75" customHeight="1" s="176"/>
    <row r="967" ht="15.75" customHeight="1" s="176"/>
    <row r="968" ht="15.75" customHeight="1" s="176"/>
    <row r="969" ht="15.75" customHeight="1" s="176"/>
    <row r="970" ht="15.75" customHeight="1" s="176"/>
    <row r="971" ht="15.75" customHeight="1" s="176"/>
    <row r="972" ht="15.75" customHeight="1" s="176"/>
    <row r="973" ht="15.75" customHeight="1" s="176"/>
    <row r="974" ht="15.75" customHeight="1" s="176"/>
    <row r="975" ht="15.75" customHeight="1" s="176"/>
    <row r="976" ht="15.75" customHeight="1" s="176"/>
    <row r="977" ht="15.75" customHeight="1" s="176"/>
    <row r="978" ht="15.75" customHeight="1" s="176"/>
    <row r="979" ht="15.75" customHeight="1" s="176"/>
    <row r="980" ht="15.75" customHeight="1" s="176"/>
    <row r="981" ht="15.75" customHeight="1" s="176"/>
    <row r="982" ht="15.75" customHeight="1" s="176"/>
    <row r="983" ht="15.75" customHeight="1" s="176"/>
    <row r="984" ht="15.75" customHeight="1" s="176"/>
    <row r="985" ht="15.75" customHeight="1" s="176"/>
    <row r="986" ht="15.75" customHeight="1" s="176"/>
    <row r="987" ht="15.75" customHeight="1" s="176"/>
    <row r="988" ht="15.75" customHeight="1" s="176"/>
    <row r="989" ht="15.75" customHeight="1" s="176"/>
    <row r="990" ht="15.75" customHeight="1" s="176"/>
    <row r="991" ht="15.75" customHeight="1" s="176"/>
    <row r="992" ht="15.75" customHeight="1" s="176"/>
    <row r="993" ht="15.75" customHeight="1" s="176"/>
    <row r="994" ht="15.75" customHeight="1" s="176"/>
    <row r="995" ht="15.75" customHeight="1" s="176"/>
    <row r="996" ht="15.75" customHeight="1" s="176"/>
    <row r="997" ht="15.75" customHeight="1" s="176"/>
    <row r="998" ht="15.75" customHeight="1" s="176"/>
    <row r="999" ht="15.75" customHeight="1" s="176"/>
    <row r="1000" ht="15.75" customHeight="1" s="176"/>
  </sheetData>
  <mergeCells count="2">
    <mergeCell ref="A2:F2"/>
    <mergeCell ref="A1:F1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R4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18.13" customWidth="1" style="176" min="1" max="1"/>
    <col width="17.63" customWidth="1" style="176" min="2" max="2"/>
    <col width="12.25" customWidth="1" style="176" min="3" max="3"/>
    <col width="20.75" customWidth="1" style="176" min="4" max="4"/>
    <col width="24.38" customWidth="1" style="176" min="5" max="5"/>
    <col width="8.75" customWidth="1" style="176" min="6" max="6"/>
    <col width="12.5" customWidth="1" style="176" min="7" max="7"/>
    <col width="8.380000000000001" customWidth="1" style="176" min="8" max="8"/>
    <col width="52.75" customWidth="1" style="176" min="9" max="9"/>
    <col width="9.880000000000001" customWidth="1" style="176" min="10" max="10"/>
    <col width="19.13" customWidth="1" style="176" min="11" max="11"/>
    <col width="9" customWidth="1" style="176" min="12" max="12"/>
    <col width="9.880000000000001" customWidth="1" style="176" min="13" max="13"/>
    <col width="12" customWidth="1" style="176" min="14" max="14"/>
    <col width="10.13" customWidth="1" style="176" min="15" max="15"/>
    <col width="13" customWidth="1" style="176" min="16" max="17"/>
    <col width="19.13" customWidth="1" style="176" min="18" max="18"/>
    <col width="33.75" customWidth="1" style="176" min="19" max="19"/>
    <col width="257.5" customWidth="1" style="176" min="20" max="20"/>
    <col width="14.25" customWidth="1" style="176" min="21" max="21"/>
    <col width="8.75" customWidth="1" style="176" min="22" max="22"/>
    <col width="17.5" customWidth="1" style="176" min="23" max="23"/>
    <col width="120.88" customWidth="1" style="176" min="24" max="24"/>
    <col width="9.75" customWidth="1" style="176" min="25" max="25"/>
    <col width="12.25" customWidth="1" style="176" min="26" max="26"/>
    <col width="20.13" customWidth="1" style="176" min="27" max="27"/>
    <col width="67.38" customWidth="1" style="176" min="28" max="28"/>
    <col width="35.13" customWidth="1" style="176" min="29" max="29"/>
    <col width="14" customWidth="1" style="176" min="30" max="30"/>
    <col width="60" customWidth="1" style="176" min="31" max="31"/>
    <col width="14" customWidth="1" style="176" min="32" max="32"/>
    <col width="30" customWidth="1" style="176" min="33" max="33"/>
    <col width="90" customWidth="1" style="176" min="34" max="34"/>
    <col width="16" customWidth="1" style="176" min="35" max="35"/>
    <col width="45" customWidth="1" style="176" min="36" max="36"/>
    <col width="85" customWidth="1" style="176" min="37" max="37"/>
    <col width="49.38" customWidth="1" style="176" min="40" max="40"/>
  </cols>
  <sheetData>
    <row r="1" ht="54.75" customHeight="1" s="176">
      <c r="A1" s="48" t="inlineStr">
        <is>
          <t>Código de barras</t>
        </is>
      </c>
      <c r="B1" s="48" t="inlineStr">
        <is>
          <t>Identificador interno</t>
        </is>
      </c>
      <c r="C1" s="48" t="inlineStr">
        <is>
          <t>Marca principal</t>
        </is>
      </c>
      <c r="D1" s="48" t="inlineStr">
        <is>
          <t>WB N.º de estilo</t>
        </is>
      </c>
      <c r="E1" s="48" t="inlineStr">
        <is>
          <t>WB SKU</t>
        </is>
      </c>
      <c r="F1" s="48" t="inlineStr">
        <is>
          <t>WB Talla</t>
        </is>
      </c>
      <c r="G1" s="48" t="inlineStr">
        <is>
          <t>WB Talla de EE. UU.</t>
        </is>
      </c>
      <c r="H1" s="48" t="inlineStr">
        <is>
          <t>WB Marca</t>
        </is>
      </c>
      <c r="I1" s="48" t="inlineStr">
        <is>
          <t>WB Descripcion</t>
        </is>
      </c>
      <c r="J1" s="48" t="inlineStr">
        <is>
          <t>WB División</t>
        </is>
      </c>
      <c r="K1" s="48" t="inlineStr">
        <is>
          <t>WB Categoría</t>
        </is>
      </c>
      <c r="L1" s="48" t="inlineStr">
        <is>
          <t>WB Género</t>
        </is>
      </c>
      <c r="M1" s="48" t="inlineStr">
        <is>
          <t>WB Licencia</t>
        </is>
      </c>
      <c r="N1" s="48" t="inlineStr">
        <is>
          <t>WB Temporada</t>
        </is>
      </c>
      <c r="O1" s="48" t="inlineStr">
        <is>
          <t>WB Ciclo de vida</t>
        </is>
      </c>
      <c r="P1" s="48" t="inlineStr">
        <is>
          <t>WB Color</t>
        </is>
      </c>
      <c r="Q1" s="48" t="inlineStr">
        <is>
          <t>WB Fit</t>
        </is>
      </c>
      <c r="R1" s="48" t="inlineStr">
        <is>
          <t>WB Silueta</t>
        </is>
      </c>
      <c r="S1" s="48" t="inlineStr">
        <is>
          <t>WB Composición</t>
        </is>
      </c>
      <c r="T1" s="48" t="inlineStr">
        <is>
          <t>WB Descripción larga</t>
        </is>
      </c>
      <c r="U1" s="48" t="inlineStr">
        <is>
          <t>WB País de origen</t>
        </is>
      </c>
      <c r="V1" s="48" t="inlineStr">
        <is>
          <t>Unidad</t>
        </is>
      </c>
      <c r="W1" s="48" t="inlineStr">
        <is>
          <t>SAT Clave de producto</t>
        </is>
      </c>
      <c r="X1" s="48" t="inlineStr">
        <is>
          <t>Enlace de imagen</t>
        </is>
      </c>
      <c r="Y1" s="48" t="inlineStr">
        <is>
          <t>Precio de compra</t>
        </is>
      </c>
      <c r="Z1" s="48" t="inlineStr">
        <is>
          <t>Precio de venta</t>
        </is>
      </c>
      <c r="AA1" s="33" t="inlineStr">
        <is>
          <t>Estatus de Validación</t>
        </is>
      </c>
      <c r="AB1" s="33" t="inlineStr">
        <is>
          <t>Detalle de Discrepancias</t>
        </is>
      </c>
      <c r="AC1" s="49" t="inlineStr">
        <is>
          <t>🔍 Panel de Duplicados</t>
        </is>
      </c>
      <c r="AD1" s="33" t="inlineStr">
        <is>
          <t>Stock Sistema NetSuite</t>
        </is>
      </c>
      <c r="AE1" s="33" t="inlineStr">
        <is>
          <t>Ubicaciones con stock (NetSuite)</t>
        </is>
      </c>
      <c r="AF1" s="33" t="inlineStr">
        <is>
          <t>Disponible NetSuite</t>
        </is>
      </c>
      <c r="AG1" s="33" t="inlineStr">
        <is>
          <t>Origen del registro</t>
        </is>
      </c>
      <c r="AH1" s="33" t="inlineStr">
        <is>
          <t>Notas de enriquecimiento / revisión</t>
        </is>
      </c>
      <c r="AI1" s="33" t="inlineStr">
        <is>
          <t>¿Alguna ubicación en negativo?</t>
        </is>
      </c>
      <c r="AJ1" s="33" t="inlineStr">
        <is>
          <t>Ubicaciones con existencia negativa</t>
        </is>
      </c>
      <c r="AK1" s="33" t="inlineStr">
        <is>
          <t>Fuentes de consulta</t>
        </is>
      </c>
      <c r="AL1" s="33" t="inlineStr">
        <is>
          <t>Precio compra vigente</t>
        </is>
      </c>
      <c r="AM1" s="33" t="inlineStr">
        <is>
          <t>Precio venta vigente</t>
        </is>
      </c>
      <c r="AN1" s="33" t="inlineStr">
        <is>
          <t>📍 Ubicación en plataformas (Plataforma + Marca)</t>
        </is>
      </c>
      <c r="AO1" s="33" t="inlineStr">
        <is>
          <t>Stock Shopify Stetson México</t>
        </is>
      </c>
      <c r="AP1" s="33" t="inlineStr">
        <is>
          <t>Stock Shopify Western Brothers</t>
        </is>
      </c>
      <c r="AQ1" s="33" t="inlineStr">
        <is>
          <t>Stock Odoo Universal Unique Brands</t>
        </is>
      </c>
      <c r="AR1" s="33" t="inlineStr">
        <is>
          <t>Ubicaciones con stock (plataformas)</t>
        </is>
      </c>
    </row>
    <row r="2">
      <c r="A2" s="50" t="inlineStr">
        <is>
          <t>634855014662</t>
        </is>
      </c>
      <c r="B2" s="51" t="inlineStr">
        <is>
          <t>117749</t>
        </is>
      </c>
      <c r="C2" s="156" t="inlineStr">
        <is>
          <t>Multimarca</t>
        </is>
      </c>
      <c r="D2" s="156" t="inlineStr">
        <is>
          <t>WL-BHB16</t>
        </is>
      </c>
      <c r="E2" s="156" t="inlineStr">
        <is>
          <t>WL-BHB16-UNI</t>
        </is>
      </c>
      <c r="F2" s="156" t="inlineStr">
        <is>
          <t>Talla única</t>
        </is>
      </c>
      <c r="G2" s="156" t="inlineStr">
        <is>
          <t>One Size</t>
        </is>
      </c>
      <c r="H2" s="156" t="inlineStr">
        <is>
          <t>Willow Lane</t>
        </is>
      </c>
      <c r="I2" s="156" t="inlineStr">
        <is>
          <t>Toquilla con Piedra Jaspe Café</t>
        </is>
      </c>
      <c r="J2" s="156" t="inlineStr">
        <is>
          <t>Accesorios</t>
        </is>
      </c>
      <c r="K2" s="156" t="inlineStr">
        <is>
          <t>Plumas para sombrero</t>
        </is>
      </c>
      <c r="L2" s="156" t="inlineStr">
        <is>
          <t>Unisex</t>
        </is>
      </c>
      <c r="M2" s="156" t="inlineStr">
        <is>
          <t>Willow Lane</t>
        </is>
      </c>
      <c r="N2" s="156" t="inlineStr">
        <is>
          <t>FW26</t>
        </is>
      </c>
      <c r="O2" s="156" t="inlineStr">
        <is>
          <t>Seasonal</t>
        </is>
      </c>
      <c r="P2" s="156" t="inlineStr">
        <is>
          <t>Cafe</t>
        </is>
      </c>
      <c r="Q2" s="156" t="n"/>
      <c r="R2" s="156" t="n"/>
      <c r="S2" s="156" t="inlineStr">
        <is>
          <t>Cuentas de piedra jaspe café y cordón de algodón</t>
        </is>
      </c>
      <c r="T2" s="156" t="inlineStr">
        <is>
          <t>Toquilla con Piedra Jaspe Café. Artículo de la marca Willow Lane. Estilo WL-BHB16.</t>
        </is>
      </c>
      <c r="U2" s="156" t="inlineStr">
        <is>
          <t>India</t>
        </is>
      </c>
      <c r="V2" s="156" t="inlineStr">
        <is>
          <t>PZS</t>
        </is>
      </c>
      <c r="W2" s="51" t="inlineStr">
        <is>
          <t>54101600</t>
        </is>
      </c>
      <c r="X2" s="156" t="n"/>
      <c r="Y2" s="54" t="n">
        <v>332.5</v>
      </c>
      <c r="Z2" s="54" t="n">
        <v>950</v>
      </c>
      <c r="AA2" s="55">
        <f>IF(AND(A2="", B2="", E2=""), "", IF(AB2="", "Válido", IF((LEN(AB2)-LEN(SUBSTITUTE(AB2,"; ","")))/2+1&gt;(LEN(AB2)-LEN(SUBSTITUTE(AB2,"[Aviso]","")))/7, "Con Incidencias", "Válido")))</f>
        <v/>
      </c>
      <c r="AB2" s="56">
        <f>IF(AND(A2="", B2="", E2=""), "", TEXTJOIN("; ", TRUE, IF(OR(TRIM(A2&amp;"")="", ISNUMBER(SEARCH("FALTA", A2))), "UPC faltante/inválido", ""), IF(AND(A2&lt;&gt;"", IFERROR(_xlfn.XMATCH(A2,$A$2:$A$41,0,1)&lt;&gt;_xlfn.XMATCH(A2,$A$2:$A$41,0,-1),FALSE)), "Código de barras duplicado", ""), IF(AND(E2&lt;&gt;"", COUNTIF($E$2:$E$41, E2)&gt;1), "SKU duplicado", ""), IF(OR(J2="", J2=""), "[Aviso] División no capturada ()", IF(ISNA(MATCH(J2, Criterios!$A$123:$A$126, 0)), "División no válida", "")), IF(OR(K2="", K2=""), "[Aviso] Categoría no capturada ()", IF(ISNA(MATCH(K2, Criterios!$A$81:$A$120, 0)), "Categoría no válida", IF(AND(J2&lt;&gt;"", J2&lt;&gt;"", J2&lt;&gt;VLOOKUP(K2, Criterios!$A$81:$B$120, 2, FALSE)), "División no coincide con Categoría", ""))), IF(OR(L2="", L2=""), "[Aviso] Género no capturado ()", IF(ISNA(MATCH(L2, Criterios!$B$123:$B$127, 0)), "Género no válido", "")), IF(OR(N2="", N2=""), "[Aviso] Temporada no capturada ()", IF(ISNA(MATCH(N2, Criterios!$C$123:$C$128, 0)), "Temporada no válida", "")), IF(OR(O2="", O2=""), "[Aviso] Ciclo de vida no capturado ()", IF(ISNA(MATCH(O2, Criterios!$D$123:$D$124, 0)), "Ciclo de vida no válido", ""))))</f>
        <v/>
      </c>
      <c r="AC2" s="56" t="n"/>
      <c r="AD2" s="51" t="n">
        <v>3</v>
      </c>
      <c r="AE2" s="156" t="inlineStr">
        <is>
          <t>STETSON AMERICAS: 3</t>
        </is>
      </c>
      <c r="AF2" s="51" t="n">
        <v>3</v>
      </c>
      <c r="AG2" s="156" t="inlineStr">
        <is>
          <t>Nuevo – NetSuite con existencia</t>
        </is>
      </c>
      <c r="AH2" s="156" t="inlineStr">
        <is>
          <t>Categoría NetSuite «Toquillas» no existe en Criterios (proponer alta) | Revisión 29/09/2026: Marca Willow Lane fuera de lista Criterios; Campos sin respaldo: J, K, Q, R, X; Auditoría NetSuite 30/09/2026: llenado desde NetSuite [J,K,P,Z,S] | 01/10/2026: complementado desde Shopify Stetson México (match por código de barras): WB Fit, WB Silueta | 01/10/2026: Shopify Stetson México trae SKU WL-BHB16 — se conservó el valor de Productos | Homologación G1522 06/10/2026: Validador Shopify: WB: precio con IVA no termina en 9</t>
        </is>
      </c>
      <c r="AI2" s="156" t="inlineStr">
        <is>
          <t>No</t>
        </is>
      </c>
      <c r="AJ2" s="156" t="n"/>
      <c r="AK2" s="155" t="inlineStr">
        <is>
          <t>ProductosCatalogoEstandar907.xlsx: fila 6133 [N,O,S,U,V,W,Y]; G1522_Extraccion_Articulos_NetSuite_2026-09-30.xlsx: fila 63997 [J,K,P,Z,S] | Shopify Stetson: producto 15247084519787 / variante 53870276870507</t>
        </is>
      </c>
      <c r="AL2" s="58" t="n">
        <v>332.5</v>
      </c>
      <c r="AM2" s="58" t="n">
        <v>949.99999995</v>
      </c>
      <c r="AN2" s="155" t="inlineStr">
        <is>
          <t>Shopify Stetson México</t>
        </is>
      </c>
      <c r="AO2" s="59" t="n">
        <v>3</v>
      </c>
      <c r="AP2" s="59" t="n"/>
      <c r="AQ2" s="59" t="n"/>
      <c r="AR2" s="155" t="inlineStr">
        <is>
          <t>Shopify Stetson México › Stetson Americas: 3</t>
        </is>
      </c>
    </row>
    <row r="3">
      <c r="A3" s="50" t="inlineStr">
        <is>
          <t>634855166309</t>
        </is>
      </c>
      <c r="B3" s="51" t="inlineStr">
        <is>
          <t>117731</t>
        </is>
      </c>
      <c r="C3" s="156" t="inlineStr">
        <is>
          <t>Multimarca</t>
        </is>
      </c>
      <c r="D3" s="156" t="inlineStr">
        <is>
          <t>WL-BHB18</t>
        </is>
      </c>
      <c r="E3" s="156" t="inlineStr">
        <is>
          <t>WL-BHB18-UNI</t>
        </is>
      </c>
      <c r="F3" s="156" t="inlineStr">
        <is>
          <t>Talla única</t>
        </is>
      </c>
      <c r="G3" s="156" t="inlineStr">
        <is>
          <t>One Size</t>
        </is>
      </c>
      <c r="H3" s="156" t="inlineStr">
        <is>
          <t>Willow Lane</t>
        </is>
      </c>
      <c r="I3" s="156" t="inlineStr">
        <is>
          <t>Toquilla de Cuentas con Piedra Amazonita</t>
        </is>
      </c>
      <c r="J3" s="156" t="inlineStr">
        <is>
          <t>Accesorios</t>
        </is>
      </c>
      <c r="K3" s="156" t="inlineStr">
        <is>
          <t>Plumas para sombrero</t>
        </is>
      </c>
      <c r="L3" s="156" t="inlineStr">
        <is>
          <t>Unisex</t>
        </is>
      </c>
      <c r="M3" s="156" t="inlineStr">
        <is>
          <t>Willow Lane</t>
        </is>
      </c>
      <c r="N3" s="156" t="inlineStr">
        <is>
          <t>FW26</t>
        </is>
      </c>
      <c r="O3" s="156" t="inlineStr">
        <is>
          <t>Seasonal</t>
        </is>
      </c>
      <c r="P3" s="156" t="inlineStr">
        <is>
          <t>Azul</t>
        </is>
      </c>
      <c r="Q3" s="156" t="n"/>
      <c r="R3" s="156" t="n"/>
      <c r="S3" s="156" t="inlineStr">
        <is>
          <t>Cuentas de piedra amazonita y cordón de algodón</t>
        </is>
      </c>
      <c r="T3" s="156" t="inlineStr">
        <is>
          <t>Toquilla de Cuentas con Piedra Amazonita</t>
        </is>
      </c>
      <c r="U3" s="156" t="inlineStr">
        <is>
          <t>India</t>
        </is>
      </c>
      <c r="V3" s="156" t="inlineStr">
        <is>
          <t>PZS</t>
        </is>
      </c>
      <c r="W3" s="51" t="inlineStr">
        <is>
          <t>54101600</t>
        </is>
      </c>
      <c r="X3" s="156" t="n"/>
      <c r="Y3" s="54" t="n">
        <v>332.5</v>
      </c>
      <c r="Z3" s="54" t="n">
        <v>950</v>
      </c>
      <c r="AA3" s="55">
        <f>IF(AND(A3="", B3="", E3=""), "", IF(AB3="", "Válido", IF((LEN(AB3)-LEN(SUBSTITUTE(AB3,"; ","")))/2+1&gt;(LEN(AB3)-LEN(SUBSTITUTE(AB3,"[Aviso]","")))/7, "Con Incidencias", "Válido")))</f>
        <v/>
      </c>
      <c r="AB3" s="56">
        <f>IF(AND(A3="", B3="", E3=""), "", TEXTJOIN("; ", TRUE, IF(OR(TRIM(A3&amp;"")="", ISNUMBER(SEARCH("FALTA", A3))), "UPC faltante/inválido", ""), IF(AND(A3&lt;&gt;"", IFERROR(_xlfn.XMATCH(A3,$A$2:$A$41,0,1)&lt;&gt;_xlfn.XMATCH(A3,$A$2:$A$41,0,-1),FALSE)), "Código de barras duplicado", ""), IF(AND(E3&lt;&gt;"", COUNTIF($E$2:$E$41, E3)&gt;1), "SKU duplicado", ""), IF(OR(J3="", J3=""), "[Aviso] División no capturada ()", IF(ISNA(MATCH(J3, Criterios!$A$123:$A$126, 0)), "División no válida", "")), IF(OR(K3="", K3=""), "[Aviso] Categoría no capturada ()", IF(ISNA(MATCH(K3, Criterios!$A$81:$A$120, 0)), "Categoría no válida", IF(AND(J3&lt;&gt;"", J3&lt;&gt;"", J3&lt;&gt;VLOOKUP(K3, Criterios!$A$81:$B$120, 2, FALSE)), "División no coincide con Categoría", ""))), IF(OR(L3="", L3=""), "[Aviso] Género no capturado ()", IF(ISNA(MATCH(L3, Criterios!$B$123:$B$127, 0)), "Género no válido", "")), IF(OR(N3="", N3=""), "[Aviso] Temporada no capturada ()", IF(ISNA(MATCH(N3, Criterios!$C$123:$C$128, 0)), "Temporada no válida", "")), IF(OR(O3="", O3=""), "[Aviso] Ciclo de vida no capturado ()", IF(ISNA(MATCH(O3, Criterios!$D$123:$D$124, 0)), "Ciclo de vida no válido", ""))))</f>
        <v/>
      </c>
      <c r="AC3" s="56" t="n"/>
      <c r="AD3" s="51" t="n">
        <v>2</v>
      </c>
      <c r="AE3" s="156" t="inlineStr">
        <is>
          <t>STETSON AMERICAS: 2</t>
        </is>
      </c>
      <c r="AF3" s="51" t="n">
        <v>2</v>
      </c>
      <c r="AG3" s="156" t="inlineStr">
        <is>
          <t>Nuevo – NetSuite con existencia</t>
        </is>
      </c>
      <c r="AH3" s="156" t="inlineStr">
        <is>
          <t>Categoría NetSuite «Toquillas» no existe en Criterios (proponer alta) | Revisión 29/09/2026: Marca Willow Lane fuera de lista Criterios; Campos sin respaldo: J, K, Q, R, X; Auditoría NetSuite 30/09/2026: llenado desde NetSuite [J,K,Q,R,Z,T] | 01/10/2026: complementado desde Shopify Stetson México (match por código de barras): WB Fit, WB Silueta | 01/10/2026: Shopify Stetson México trae SKU WL-BHB18 — se conservó el valor de Productos | Homologación G1522 06/10/2026: WB Fit: «» → «(blank)» (Completado desde NetSuite) · WB Silueta: «» → «(blank)» (Completado desde NetSuite) · WB Fit: «(blank)» → «» (Corrección aplicada) · WB Silueta: «(blank)» → «» (Corrección aplicada) · Validador Shopify: WB: precio con IVA no termina en 9</t>
        </is>
      </c>
      <c r="AI3" s="156" t="inlineStr">
        <is>
          <t>No</t>
        </is>
      </c>
      <c r="AJ3" s="156" t="n"/>
      <c r="AK3" s="155" t="inlineStr">
        <is>
          <t>ProductosCatalogoEstandar907.xlsx: fila 6134 [N,O,P,S,U,V,W,Y]; G1522_Extraccion_Articulos_NetSuite_2026-09-30.xlsx: fila 63979 [J,K,Q,R,Z,T] | Shopify Stetson: producto 15247084454251 / variante 53870276804971</t>
        </is>
      </c>
      <c r="AL3" s="58" t="n">
        <v>332.5</v>
      </c>
      <c r="AM3" s="58" t="n">
        <v>949.99999995</v>
      </c>
      <c r="AN3" s="155" t="inlineStr">
        <is>
          <t>Shopify Stetson México</t>
        </is>
      </c>
      <c r="AO3" s="59" t="n">
        <v>2</v>
      </c>
      <c r="AP3" s="59" t="n"/>
      <c r="AQ3" s="59" t="n"/>
      <c r="AR3" s="155" t="inlineStr">
        <is>
          <t>Shopify Stetson México › Stetson Americas: 2</t>
        </is>
      </c>
    </row>
    <row r="4">
      <c r="A4" s="50" t="inlineStr">
        <is>
          <t>634855378993</t>
        </is>
      </c>
      <c r="B4" s="51" t="inlineStr">
        <is>
          <t>117732</t>
        </is>
      </c>
      <c r="C4" s="156" t="inlineStr">
        <is>
          <t>Multimarca</t>
        </is>
      </c>
      <c r="D4" s="156" t="inlineStr">
        <is>
          <t>WL-BHB19</t>
        </is>
      </c>
      <c r="E4" s="156" t="inlineStr">
        <is>
          <t>WL-BHB19-UNI</t>
        </is>
      </c>
      <c r="F4" s="156" t="inlineStr">
        <is>
          <t>Talla única</t>
        </is>
      </c>
      <c r="G4" s="156" t="inlineStr">
        <is>
          <t>One Size</t>
        </is>
      </c>
      <c r="H4" s="156" t="inlineStr">
        <is>
          <t>Willow Lane</t>
        </is>
      </c>
      <c r="I4" s="156" t="inlineStr">
        <is>
          <t>Toquilla con Piedra Turquesa Africana</t>
        </is>
      </c>
      <c r="J4" s="156" t="inlineStr">
        <is>
          <t>Accesorios</t>
        </is>
      </c>
      <c r="K4" s="156" t="inlineStr">
        <is>
          <t>Plumas para sombrero</t>
        </is>
      </c>
      <c r="L4" s="156" t="inlineStr">
        <is>
          <t>Unisex</t>
        </is>
      </c>
      <c r="M4" s="156" t="inlineStr">
        <is>
          <t>Willow Lane</t>
        </is>
      </c>
      <c r="N4" s="156" t="inlineStr">
        <is>
          <t>FW26</t>
        </is>
      </c>
      <c r="O4" s="156" t="inlineStr">
        <is>
          <t>Seasonal</t>
        </is>
      </c>
      <c r="P4" s="156" t="inlineStr">
        <is>
          <t>Verde</t>
        </is>
      </c>
      <c r="Q4" s="156" t="n"/>
      <c r="R4" s="156" t="n"/>
      <c r="S4" s="156" t="inlineStr">
        <is>
          <t>Cuentas de piedra turquesa africana y cordón de algodón</t>
        </is>
      </c>
      <c r="T4" s="156" t="inlineStr">
        <is>
          <t>Toquilla con Piedra Turquesa Africana. Artículo de la marca Willow Lane. Estilo WL-BHB19.</t>
        </is>
      </c>
      <c r="U4" s="156" t="inlineStr">
        <is>
          <t>India</t>
        </is>
      </c>
      <c r="V4" s="156" t="inlineStr">
        <is>
          <t>PZS</t>
        </is>
      </c>
      <c r="W4" s="51" t="inlineStr">
        <is>
          <t>54101600</t>
        </is>
      </c>
      <c r="X4" s="156" t="n"/>
      <c r="Y4" s="54" t="n">
        <v>332.5</v>
      </c>
      <c r="Z4" s="54" t="n">
        <v>950</v>
      </c>
      <c r="AA4" s="55">
        <f>IF(AND(A4="", B4="", E4=""), "", IF(AB4="", "Válido", IF((LEN(AB4)-LEN(SUBSTITUTE(AB4,"; ","")))/2+1&gt;(LEN(AB4)-LEN(SUBSTITUTE(AB4,"[Aviso]","")))/7, "Con Incidencias", "Válido")))</f>
        <v/>
      </c>
      <c r="AB4" s="56">
        <f>IF(AND(A4="", B4="", E4=""), "", TEXTJOIN("; ", TRUE, IF(OR(TRIM(A4&amp;"")="", ISNUMBER(SEARCH("FALTA", A4))), "UPC faltante/inválido", ""), IF(AND(A4&lt;&gt;"", IFERROR(_xlfn.XMATCH(A4,$A$2:$A$41,0,1)&lt;&gt;_xlfn.XMATCH(A4,$A$2:$A$41,0,-1),FALSE)), "Código de barras duplicado", ""), IF(AND(E4&lt;&gt;"", COUNTIF($E$2:$E$41, E4)&gt;1), "SKU duplicado", ""), IF(OR(J4="", J4=""), "[Aviso] División no capturada ()", IF(ISNA(MATCH(J4, Criterios!$A$123:$A$126, 0)), "División no válida", "")), IF(OR(K4="", K4=""), "[Aviso] Categoría no capturada ()", IF(ISNA(MATCH(K4, Criterios!$A$81:$A$120, 0)), "Categoría no válida", IF(AND(J4&lt;&gt;"", J4&lt;&gt;"", J4&lt;&gt;VLOOKUP(K4, Criterios!$A$81:$B$120, 2, FALSE)), "División no coincide con Categoría", ""))), IF(OR(L4="", L4=""), "[Aviso] Género no capturado ()", IF(ISNA(MATCH(L4, Criterios!$B$123:$B$127, 0)), "Género no válido", "")), IF(OR(N4="", N4=""), "[Aviso] Temporada no capturada ()", IF(ISNA(MATCH(N4, Criterios!$C$123:$C$128, 0)), "Temporada no válida", "")), IF(OR(O4="", O4=""), "[Aviso] Ciclo de vida no capturado ()", IF(ISNA(MATCH(O4, Criterios!$D$123:$D$124, 0)), "Ciclo de vida no válido", ""))))</f>
        <v/>
      </c>
      <c r="AC4" s="56" t="n"/>
      <c r="AD4" s="51" t="n">
        <v>3</v>
      </c>
      <c r="AE4" s="156" t="inlineStr">
        <is>
          <t>STETSON AMERICAS: 3</t>
        </is>
      </c>
      <c r="AF4" s="51" t="n">
        <v>3</v>
      </c>
      <c r="AG4" s="156" t="inlineStr">
        <is>
          <t>Nuevo – NetSuite con existencia</t>
        </is>
      </c>
      <c r="AH4" s="156" t="inlineStr">
        <is>
          <t>Categoría NetSuite «Toquillas» no existe en Criterios (proponer alta) | Revisión 29/09/2026: Marca Willow Lane fuera de lista Criterios; Campos sin respaldo: J, K, Q, R, X; Auditoría NetSuite 30/09/2026: llenado desde NetSuite [J,K,P,Q,R,Z,S] | 01/10/2026: complementado desde Shopify Stetson México (match por código de barras): WB Fit, WB Silueta | 01/10/2026: Shopify Stetson México trae SKU WL-BHB19, Color «Azul» — se conservó el valor de Productos | Homologación G1522 06/10/2026: WB Fit: «» → «(blank)» (Completado desde NetSuite) · WB Silueta: «» → «(blank)» (Completado desde NetSuite) · WB Fit: «(blank)» → «» (Corrección aplicada) · WB Silueta: «(blank)» → «» (Corrección aplicada) · Validador Shopify: WB: precio con IVA no termina en 9</t>
        </is>
      </c>
      <c r="AI4" s="156" t="inlineStr">
        <is>
          <t>No</t>
        </is>
      </c>
      <c r="AJ4" s="156" t="n"/>
      <c r="AK4" s="155" t="inlineStr">
        <is>
          <t>ProductosCatalogoEstandar907.xlsx: fila 6135 [N,O,S,U,V,W,Y]; G1522_Extraccion_Articulos_NetSuite_2026-09-30.xlsx: fila 63980 [J,K,P,Q,R,Z,S] | Shopify Stetson: producto 15247084487019 / variante 53870276837739</t>
        </is>
      </c>
      <c r="AL4" s="58" t="n">
        <v>332.5</v>
      </c>
      <c r="AM4" s="58" t="n">
        <v>949.99999995</v>
      </c>
      <c r="AN4" s="155" t="inlineStr">
        <is>
          <t>Shopify Stetson México</t>
        </is>
      </c>
      <c r="AO4" s="59" t="n">
        <v>3</v>
      </c>
      <c r="AP4" s="59" t="n"/>
      <c r="AQ4" s="59" t="n"/>
      <c r="AR4" s="155" t="inlineStr">
        <is>
          <t>Shopify Stetson México › Stetson Americas: 3</t>
        </is>
      </c>
    </row>
    <row r="5">
      <c r="A5" s="50" t="inlineStr">
        <is>
          <t>634855222760</t>
        </is>
      </c>
      <c r="B5" s="51" t="inlineStr">
        <is>
          <t>117730</t>
        </is>
      </c>
      <c r="C5" s="156" t="inlineStr">
        <is>
          <t>Multimarca</t>
        </is>
      </c>
      <c r="D5" s="156" t="inlineStr">
        <is>
          <t>WL-BHB20</t>
        </is>
      </c>
      <c r="E5" s="156" t="inlineStr">
        <is>
          <t>WL-BHB20-UNI</t>
        </is>
      </c>
      <c r="F5" s="156" t="inlineStr">
        <is>
          <t>Talla única</t>
        </is>
      </c>
      <c r="G5" s="156" t="inlineStr">
        <is>
          <t>One Size</t>
        </is>
      </c>
      <c r="H5" s="156" t="inlineStr">
        <is>
          <t>Willow Lane</t>
        </is>
      </c>
      <c r="I5" s="156" t="inlineStr">
        <is>
          <t>Toquilla con Piedra Turquesa</t>
        </is>
      </c>
      <c r="J5" s="156" t="inlineStr">
        <is>
          <t>Accesorios</t>
        </is>
      </c>
      <c r="K5" s="156" t="inlineStr">
        <is>
          <t>Plumas para sombrero</t>
        </is>
      </c>
      <c r="L5" s="156" t="inlineStr">
        <is>
          <t>Unisex</t>
        </is>
      </c>
      <c r="M5" s="156" t="inlineStr">
        <is>
          <t>Willow Lane</t>
        </is>
      </c>
      <c r="N5" s="156" t="inlineStr">
        <is>
          <t>FW26</t>
        </is>
      </c>
      <c r="O5" s="156" t="inlineStr">
        <is>
          <t>Seasonal</t>
        </is>
      </c>
      <c r="P5" s="156" t="inlineStr">
        <is>
          <t>Azul</t>
        </is>
      </c>
      <c r="Q5" s="156" t="n"/>
      <c r="R5" s="156" t="n"/>
      <c r="S5" s="156" t="inlineStr">
        <is>
          <t>Cuentas de piedra turquesa y cordón de algodón</t>
        </is>
      </c>
      <c r="T5" s="156" t="inlineStr">
        <is>
          <t>Toquilla con Piedra Turquesa. Artículo de la marca Willow Lane. Estilo WL-BHB20.</t>
        </is>
      </c>
      <c r="U5" s="156" t="inlineStr">
        <is>
          <t>India</t>
        </is>
      </c>
      <c r="V5" s="156" t="inlineStr">
        <is>
          <t>PZS</t>
        </is>
      </c>
      <c r="W5" s="51" t="inlineStr">
        <is>
          <t>54101600</t>
        </is>
      </c>
      <c r="X5" s="156" t="n"/>
      <c r="Y5" s="54" t="n">
        <v>367.5</v>
      </c>
      <c r="Z5" s="54" t="n">
        <v>1050</v>
      </c>
      <c r="AA5" s="55">
        <f>IF(AND(A5="", B5="", E5=""), "", IF(AB5="", "Válido", IF((LEN(AB5)-LEN(SUBSTITUTE(AB5,"; ","")))/2+1&gt;(LEN(AB5)-LEN(SUBSTITUTE(AB5,"[Aviso]","")))/7, "Con Incidencias", "Válido")))</f>
        <v/>
      </c>
      <c r="AB5" s="56">
        <f>IF(AND(A5="", B5="", E5=""), "", TEXTJOIN("; ", TRUE, IF(OR(TRIM(A5&amp;"")="", ISNUMBER(SEARCH("FALTA", A5))), "UPC faltante/inválido", ""), IF(AND(A5&lt;&gt;"", IFERROR(_xlfn.XMATCH(A5,$A$2:$A$41,0,1)&lt;&gt;_xlfn.XMATCH(A5,$A$2:$A$41,0,-1),FALSE)), "Código de barras duplicado", ""), IF(AND(E5&lt;&gt;"", COUNTIF($E$2:$E$41, E5)&gt;1), "SKU duplicado", ""), IF(OR(J5="", J5=""), "[Aviso] División no capturada ()", IF(ISNA(MATCH(J5, Criterios!$A$123:$A$126, 0)), "División no válida", "")), IF(OR(K5="", K5=""), "[Aviso] Categoría no capturada ()", IF(ISNA(MATCH(K5, Criterios!$A$81:$A$120, 0)), "Categoría no válida", IF(AND(J5&lt;&gt;"", J5&lt;&gt;"", J5&lt;&gt;VLOOKUP(K5, Criterios!$A$81:$B$120, 2, FALSE)), "División no coincide con Categoría", ""))), IF(OR(L5="", L5=""), "[Aviso] Género no capturado ()", IF(ISNA(MATCH(L5, Criterios!$B$123:$B$127, 0)), "Género no válido", "")), IF(OR(N5="", N5=""), "[Aviso] Temporada no capturada ()", IF(ISNA(MATCH(N5, Criterios!$C$123:$C$128, 0)), "Temporada no válida", "")), IF(OR(O5="", O5=""), "[Aviso] Ciclo de vida no capturado ()", IF(ISNA(MATCH(O5, Criterios!$D$123:$D$124, 0)), "Ciclo de vida no válido", ""))))</f>
        <v/>
      </c>
      <c r="AC5" s="56" t="n"/>
      <c r="AD5" s="51" t="n">
        <v>3</v>
      </c>
      <c r="AE5" s="156" t="inlineStr">
        <is>
          <t>STETSON AMERICAS: 3</t>
        </is>
      </c>
      <c r="AF5" s="51" t="n">
        <v>3</v>
      </c>
      <c r="AG5" s="156" t="inlineStr">
        <is>
          <t>Nuevo – NetSuite con existencia</t>
        </is>
      </c>
      <c r="AH5" s="156" t="inlineStr">
        <is>
          <t>Categoría NetSuite «Toquillas» no existe en Criterios (proponer alta) | Revisión 29/09/2026: Marca Willow Lane fuera de lista Criterios; Campos sin respaldo: J, K, Q, R, X; Auditoría NetSuite 30/09/2026: llenado desde NetSuite [J,K,P,Q,R,Z,S] | 01/10/2026: complementado desde Shopify Stetson México (match por código de barras): WB Fit, WB Silueta | 01/10/2026: Shopify Stetson México trae SKU WL-BHB20 — se conservó el valor de Productos | Homologación G1522 06/10/2026: WB Fit: «» → «(blank)» (Completado desde NetSuite) · WB Silueta: «» → «(blank)» (Completado desde NetSuite) · WB Fit: «(blank)» → «» (Corrección aplicada) · WB Silueta: «(blank)» → «» (Corrección aplicada) · Validador Shopify: WB: precio con IVA no termina en 9</t>
        </is>
      </c>
      <c r="AI5" s="156" t="inlineStr">
        <is>
          <t>No</t>
        </is>
      </c>
      <c r="AJ5" s="156" t="n"/>
      <c r="AK5" s="155" t="inlineStr">
        <is>
          <t>ProductosCatalogoEstandar907.xlsx: fila 6136 [N,O,S,U,V,W,Y]; G1522_Extraccion_Articulos_NetSuite_2026-09-30.xlsx: fila 63978 [J,K,P,Q,R,Z,S] | Shopify Stetson: producto 15247084421483 / variante 53870276772203</t>
        </is>
      </c>
      <c r="AL5" s="58" t="n">
        <v>367.5</v>
      </c>
      <c r="AM5" s="58" t="n">
        <v>1050.00000001</v>
      </c>
      <c r="AN5" s="155" t="inlineStr">
        <is>
          <t>Shopify Stetson México</t>
        </is>
      </c>
      <c r="AO5" s="59" t="n">
        <v>3</v>
      </c>
      <c r="AP5" s="59" t="n"/>
      <c r="AQ5" s="59" t="n"/>
      <c r="AR5" s="155" t="inlineStr">
        <is>
          <t>Shopify Stetson México › Stetson Americas: 3</t>
        </is>
      </c>
    </row>
    <row r="6">
      <c r="A6" s="50" t="inlineStr">
        <is>
          <t>742968415976</t>
        </is>
      </c>
      <c r="B6" s="51" t="inlineStr">
        <is>
          <t>117733</t>
        </is>
      </c>
      <c r="C6" s="156" t="inlineStr">
        <is>
          <t>Multimarca</t>
        </is>
      </c>
      <c r="D6" s="156" t="inlineStr">
        <is>
          <t>WL-BHB65</t>
        </is>
      </c>
      <c r="E6" s="156" t="inlineStr">
        <is>
          <t>WL-BHB65-UNI</t>
        </is>
      </c>
      <c r="F6" s="156" t="inlineStr">
        <is>
          <t>Talla única</t>
        </is>
      </c>
      <c r="G6" s="156" t="inlineStr">
        <is>
          <t>One Size</t>
        </is>
      </c>
      <c r="H6" s="156" t="inlineStr">
        <is>
          <t>Willow Lane</t>
        </is>
      </c>
      <c r="I6" s="156" t="inlineStr">
        <is>
          <t>Toquilla con Piedra Jade Blanco - Halo</t>
        </is>
      </c>
      <c r="J6" s="156" t="inlineStr">
        <is>
          <t>Accesorios</t>
        </is>
      </c>
      <c r="K6" s="156" t="inlineStr">
        <is>
          <t>Plumas para sombrero</t>
        </is>
      </c>
      <c r="L6" s="156" t="inlineStr">
        <is>
          <t>Unisex</t>
        </is>
      </c>
      <c r="M6" s="156" t="inlineStr">
        <is>
          <t>Willow Lane</t>
        </is>
      </c>
      <c r="N6" s="156" t="inlineStr">
        <is>
          <t>FW26</t>
        </is>
      </c>
      <c r="O6" s="156" t="inlineStr">
        <is>
          <t>Seasonal</t>
        </is>
      </c>
      <c r="P6" s="156" t="inlineStr">
        <is>
          <t>Blanco</t>
        </is>
      </c>
      <c r="Q6" s="156" t="n"/>
      <c r="R6" s="156" t="n"/>
      <c r="S6" s="156" t="inlineStr">
        <is>
          <t>Cuentas de piedra jade blanco y cordón de algodón</t>
        </is>
      </c>
      <c r="T6" s="156" t="inlineStr">
        <is>
          <t>Toquilla con Piedra Jade Blanco - Halo. Artículo de la marca Willow Lane. Estilo WL-BHB65.</t>
        </is>
      </c>
      <c r="U6" s="156" t="inlineStr">
        <is>
          <t>India</t>
        </is>
      </c>
      <c r="V6" s="156" t="inlineStr">
        <is>
          <t>PZS</t>
        </is>
      </c>
      <c r="W6" s="51" t="inlineStr">
        <is>
          <t>54101600</t>
        </is>
      </c>
      <c r="X6" s="156" t="n"/>
      <c r="Y6" s="54" t="n">
        <v>367.5</v>
      </c>
      <c r="Z6" s="54" t="n">
        <v>1050</v>
      </c>
      <c r="AA6" s="55">
        <f>IF(AND(A6="", B6="", E6=""), "", IF(AB6="", "Válido", IF((LEN(AB6)-LEN(SUBSTITUTE(AB6,"; ","")))/2+1&gt;(LEN(AB6)-LEN(SUBSTITUTE(AB6,"[Aviso]","")))/7, "Con Incidencias", "Válido")))</f>
        <v/>
      </c>
      <c r="AB6" s="56">
        <f>IF(AND(A6="", B6="", E6=""), "", TEXTJOIN("; ", TRUE, IF(OR(TRIM(A6&amp;"")="", ISNUMBER(SEARCH("FALTA", A6))), "UPC faltante/inválido", ""), IF(AND(A6&lt;&gt;"", IFERROR(_xlfn.XMATCH(A6,$A$2:$A$41,0,1)&lt;&gt;_xlfn.XMATCH(A6,$A$2:$A$41,0,-1),FALSE)), "Código de barras duplicado", ""), IF(AND(E6&lt;&gt;"", COUNTIF($E$2:$E$41, E6)&gt;1), "SKU duplicado", ""), IF(OR(J6="", J6=""), "[Aviso] División no capturada ()", IF(ISNA(MATCH(J6, Criterios!$A$123:$A$126, 0)), "División no válida", "")), IF(OR(K6="", K6=""), "[Aviso] Categoría no capturada ()", IF(ISNA(MATCH(K6, Criterios!$A$81:$A$120, 0)), "Categoría no válida", IF(AND(J6&lt;&gt;"", J6&lt;&gt;"", J6&lt;&gt;VLOOKUP(K6, Criterios!$A$81:$B$120, 2, FALSE)), "División no coincide con Categoría", ""))), IF(OR(L6="", L6=""), "[Aviso] Género no capturado ()", IF(ISNA(MATCH(L6, Criterios!$B$123:$B$127, 0)), "Género no válido", "")), IF(OR(N6="", N6=""), "[Aviso] Temporada no capturada ()", IF(ISNA(MATCH(N6, Criterios!$C$123:$C$128, 0)), "Temporada no válida", "")), IF(OR(O6="", O6=""), "[Aviso] Ciclo de vida no capturado ()", IF(ISNA(MATCH(O6, Criterios!$D$123:$D$124, 0)), "Ciclo de vida no válido", ""))))</f>
        <v/>
      </c>
      <c r="AC6" s="56" t="n"/>
      <c r="AD6" s="51" t="n">
        <v>1</v>
      </c>
      <c r="AE6" s="156" t="inlineStr">
        <is>
          <t>STETSON AMERICAS: 1</t>
        </is>
      </c>
      <c r="AF6" s="51" t="n">
        <v>1</v>
      </c>
      <c r="AG6" s="156" t="inlineStr">
        <is>
          <t>Nuevo – NetSuite con existencia</t>
        </is>
      </c>
      <c r="AH6" s="156" t="inlineStr">
        <is>
          <t>Categoría NetSuite «Toquillas» no existe en Criterios (proponer alta) | Revisión 29/09/2026: Marca Willow Lane fuera de lista Criterios; Campos sin respaldo: J, K, Q, R, X; Auditoría NetSuite 30/09/2026: llenado desde NetSuite [J,K,P,Q,R,Z,S] | 01/10/2026: complementado desde Shopify Stetson México (match por código de barras): WB Fit, WB Silueta | 01/10/2026: Shopify Stetson México trae SKU WL-BHB65 — se conservó el valor de Productos | Homologación G1522 06/10/2026: WB Fit: «» → «(blank)» (Completado desde NetSuite) · WB Silueta: «» → «(blank)» (Completado desde NetSuite) · WB Fit: «(blank)» → «» (Corrección aplicada) · WB Silueta: «(blank)» → «» (Corrección aplicada) · Validador Shopify: WB: precio con IVA no termina en 9</t>
        </is>
      </c>
      <c r="AI6" s="156" t="inlineStr">
        <is>
          <t>No</t>
        </is>
      </c>
      <c r="AJ6" s="156" t="n"/>
      <c r="AK6" s="155" t="inlineStr">
        <is>
          <t>ProductosCatalogoEstandar907.xlsx: fila 6137 [N,O,S,U,V,W,Y]; G1522_Extraccion_Articulos_NetSuite_2026-09-30.xlsx: fila 63981 [J,K,P,Q,R,Z,S] | Shopify Stetson: producto 15247084552555 / variante 53870276903275</t>
        </is>
      </c>
      <c r="AL6" s="58" t="n">
        <v>367.5</v>
      </c>
      <c r="AM6" s="58" t="n">
        <v>1050.00000001</v>
      </c>
      <c r="AN6" s="155" t="inlineStr">
        <is>
          <t>Shopify Stetson México</t>
        </is>
      </c>
      <c r="AO6" s="59" t="n">
        <v>1</v>
      </c>
      <c r="AP6" s="59" t="n"/>
      <c r="AQ6" s="59" t="n"/>
      <c r="AR6" s="155" t="inlineStr">
        <is>
          <t>Shopify Stetson México › Stetson Americas: 1</t>
        </is>
      </c>
    </row>
    <row r="7">
      <c r="A7" s="50" t="inlineStr">
        <is>
          <t>613365646006</t>
        </is>
      </c>
      <c r="B7" s="51" t="inlineStr">
        <is>
          <t>117728</t>
        </is>
      </c>
      <c r="C7" s="156" t="inlineStr">
        <is>
          <t>Multimarca</t>
        </is>
      </c>
      <c r="D7" s="156" t="inlineStr">
        <is>
          <t>WL-BHB82</t>
        </is>
      </c>
      <c r="E7" s="156" t="inlineStr">
        <is>
          <t>WL-BHB82-UNI</t>
        </is>
      </c>
      <c r="F7" s="156" t="inlineStr">
        <is>
          <t>Talla única</t>
        </is>
      </c>
      <c r="G7" s="156" t="inlineStr">
        <is>
          <t>One Size</t>
        </is>
      </c>
      <c r="H7" s="156" t="inlineStr">
        <is>
          <t>Willow Lane</t>
        </is>
      </c>
      <c r="I7" s="156" t="inlineStr">
        <is>
          <t>Toquilla de Cadena con Piedras Turquesa y Gris - Ada</t>
        </is>
      </c>
      <c r="J7" s="156" t="inlineStr">
        <is>
          <t>Accesorios</t>
        </is>
      </c>
      <c r="K7" s="156" t="inlineStr">
        <is>
          <t>Plumas para sombrero</t>
        </is>
      </c>
      <c r="L7" s="156" t="inlineStr">
        <is>
          <t>Unisex</t>
        </is>
      </c>
      <c r="M7" s="156" t="inlineStr">
        <is>
          <t>Willow Lane</t>
        </is>
      </c>
      <c r="N7" s="156" t="inlineStr">
        <is>
          <t>FW26</t>
        </is>
      </c>
      <c r="O7" s="156" t="inlineStr">
        <is>
          <t>Seasonal</t>
        </is>
      </c>
      <c r="P7" s="156" t="inlineStr">
        <is>
          <t>Azul</t>
        </is>
      </c>
      <c r="Q7" s="156" t="n"/>
      <c r="R7" s="156" t="n"/>
      <c r="S7" s="156" t="inlineStr">
        <is>
          <t>Cuentas de piedra y cordón de algodón</t>
        </is>
      </c>
      <c r="T7" s="156" t="inlineStr">
        <is>
          <t>Toquilla de Cadena con Piedras Turquesa y Gris - Ada. Artículo de la marca Willow Lane. Estilo WL-BHB82.</t>
        </is>
      </c>
      <c r="U7" s="156" t="inlineStr">
        <is>
          <t>India</t>
        </is>
      </c>
      <c r="V7" s="156" t="inlineStr">
        <is>
          <t>PZS</t>
        </is>
      </c>
      <c r="W7" s="51" t="inlineStr">
        <is>
          <t>54101600</t>
        </is>
      </c>
      <c r="X7" s="156" t="n"/>
      <c r="Y7" s="54" t="n">
        <v>385</v>
      </c>
      <c r="Z7" s="54" t="n">
        <v>1100</v>
      </c>
      <c r="AA7" s="55">
        <f>IF(AND(A7="", B7="", E7=""), "", IF(AB7="", "Válido", IF((LEN(AB7)-LEN(SUBSTITUTE(AB7,"; ","")))/2+1&gt;(LEN(AB7)-LEN(SUBSTITUTE(AB7,"[Aviso]","")))/7, "Con Incidencias", "Válido")))</f>
        <v/>
      </c>
      <c r="AB7" s="56">
        <f>IF(AND(A7="", B7="", E7=""), "", TEXTJOIN("; ", TRUE, IF(OR(TRIM(A7&amp;"")="", ISNUMBER(SEARCH("FALTA", A7))), "UPC faltante/inválido", ""), IF(AND(A7&lt;&gt;"", IFERROR(_xlfn.XMATCH(A7,$A$2:$A$41,0,1)&lt;&gt;_xlfn.XMATCH(A7,$A$2:$A$41,0,-1),FALSE)), "Código de barras duplicado", ""), IF(AND(E7&lt;&gt;"", COUNTIF($E$2:$E$41, E7)&gt;1), "SKU duplicado", ""), IF(OR(J7="", J7=""), "[Aviso] División no capturada ()", IF(ISNA(MATCH(J7, Criterios!$A$123:$A$126, 0)), "División no válida", "")), IF(OR(K7="", K7=""), "[Aviso] Categoría no capturada ()", IF(ISNA(MATCH(K7, Criterios!$A$81:$A$120, 0)), "Categoría no válida", IF(AND(J7&lt;&gt;"", J7&lt;&gt;"", J7&lt;&gt;VLOOKUP(K7, Criterios!$A$81:$B$120, 2, FALSE)), "División no coincide con Categoría", ""))), IF(OR(L7="", L7=""), "[Aviso] Género no capturado ()", IF(ISNA(MATCH(L7, Criterios!$B$123:$B$127, 0)), "Género no válido", "")), IF(OR(N7="", N7=""), "[Aviso] Temporada no capturada ()", IF(ISNA(MATCH(N7, Criterios!$C$123:$C$128, 0)), "Temporada no válida", "")), IF(OR(O7="", O7=""), "[Aviso] Ciclo de vida no capturado ()", IF(ISNA(MATCH(O7, Criterios!$D$123:$D$124, 0)), "Ciclo de vida no válido", ""))))</f>
        <v/>
      </c>
      <c r="AC7" s="56" t="n"/>
      <c r="AD7" s="51" t="n">
        <v>3</v>
      </c>
      <c r="AE7" s="156" t="inlineStr">
        <is>
          <t>STETSON AMERICAS: 3</t>
        </is>
      </c>
      <c r="AF7" s="51" t="n">
        <v>3</v>
      </c>
      <c r="AG7" s="156" t="inlineStr">
        <is>
          <t>Nuevo – NetSuite con existencia</t>
        </is>
      </c>
      <c r="AH7" s="156" t="inlineStr">
        <is>
          <t>Categoría NetSuite «Toquillas» no existe en Criterios (proponer alta) | Revisión 29/09/2026: Marca Willow Lane fuera de lista Criterios; Campos sin respaldo: J, K, Q, R, X; Auditoría NetSuite 30/09/2026: llenado desde NetSuite [J,K,P,Q,R,Z,S] | 01/10/2026: complementado desde Shopify Stetson México (match por código de barras): WB Fit, WB Silueta | 01/10/2026: Shopify Stetson México trae SKU WL-BHB82 — se conservó el valor de Productos | Homologación G1522 06/10/2026: WB Fit: «» → «(blank)» (Completado desde NetSuite) · WB Silueta: «» → «(blank)» (Completado desde NetSuite) · WB Fit: «(blank)» → «» (Corrección aplicada) · WB Silueta: «(blank)» → «» (Corrección aplicada) · Validador Shopify: WB: precio con IVA no termina en 9</t>
        </is>
      </c>
      <c r="AI7" s="156" t="inlineStr">
        <is>
          <t>No</t>
        </is>
      </c>
      <c r="AJ7" s="156" t="n"/>
      <c r="AK7" s="155" t="inlineStr">
        <is>
          <t>ProductosCatalogoEstandar907.xlsx: fila 6138 [N,O,S,U,V,W,Y]; G1522_Extraccion_Articulos_NetSuite_2026-09-30.xlsx: fila 63976 [J,K,P,Q,R,Z,S] | Shopify Stetson: producto 15247084323179 / variante 53870276641131</t>
        </is>
      </c>
      <c r="AL7" s="58" t="n">
        <v>385</v>
      </c>
      <c r="AM7" s="58" t="n">
        <v>1100.00000004</v>
      </c>
      <c r="AN7" s="155" t="inlineStr">
        <is>
          <t>Shopify Stetson México</t>
        </is>
      </c>
      <c r="AO7" s="59" t="n">
        <v>3</v>
      </c>
      <c r="AP7" s="59" t="n"/>
      <c r="AQ7" s="59" t="n"/>
      <c r="AR7" s="155" t="inlineStr">
        <is>
          <t>Shopify Stetson México › Stetson Americas: 3</t>
        </is>
      </c>
    </row>
    <row r="8">
      <c r="A8" s="50" t="inlineStr">
        <is>
          <t>613365505587</t>
        </is>
      </c>
      <c r="B8" s="51" t="inlineStr">
        <is>
          <t>117729</t>
        </is>
      </c>
      <c r="C8" s="156" t="inlineStr">
        <is>
          <t>Multimarca</t>
        </is>
      </c>
      <c r="D8" s="156" t="inlineStr">
        <is>
          <t>WL-BHB83</t>
        </is>
      </c>
      <c r="E8" s="156" t="inlineStr">
        <is>
          <t>WL-BHB83-UNI</t>
        </is>
      </c>
      <c r="F8" s="156" t="inlineStr">
        <is>
          <t>Talla única</t>
        </is>
      </c>
      <c r="G8" s="156" t="inlineStr">
        <is>
          <t>One Size</t>
        </is>
      </c>
      <c r="H8" s="156" t="inlineStr">
        <is>
          <t>Willow Lane</t>
        </is>
      </c>
      <c r="I8" s="156" t="inlineStr">
        <is>
          <t>Toquilla de Cadena con Piedras Blancas y Neutras - June</t>
        </is>
      </c>
      <c r="J8" s="156" t="inlineStr">
        <is>
          <t>Accesorios</t>
        </is>
      </c>
      <c r="K8" s="156" t="inlineStr">
        <is>
          <t>Plumas para sombrero</t>
        </is>
      </c>
      <c r="L8" s="156" t="inlineStr">
        <is>
          <t>Unisex</t>
        </is>
      </c>
      <c r="M8" s="156" t="inlineStr">
        <is>
          <t>Willow Lane</t>
        </is>
      </c>
      <c r="N8" s="156" t="inlineStr">
        <is>
          <t>FW26</t>
        </is>
      </c>
      <c r="O8" s="156" t="inlineStr">
        <is>
          <t>Seasonal</t>
        </is>
      </c>
      <c r="P8" s="156" t="inlineStr">
        <is>
          <t>Blanco</t>
        </is>
      </c>
      <c r="Q8" s="156" t="n"/>
      <c r="R8" s="156" t="n"/>
      <c r="S8" s="156" t="inlineStr">
        <is>
          <t>Cuentas de piedra y cordón de algodón</t>
        </is>
      </c>
      <c r="T8" s="156" t="inlineStr">
        <is>
          <t>Toquilla de Cadena con Piedras Blancas y Neutras - June</t>
        </is>
      </c>
      <c r="U8" s="156" t="inlineStr">
        <is>
          <t>India</t>
        </is>
      </c>
      <c r="V8" s="156" t="inlineStr">
        <is>
          <t>PZS</t>
        </is>
      </c>
      <c r="W8" s="51" t="inlineStr">
        <is>
          <t>54101600</t>
        </is>
      </c>
      <c r="X8" s="156" t="n"/>
      <c r="Y8" s="54" t="n">
        <v>385</v>
      </c>
      <c r="Z8" s="54" t="n">
        <v>1100</v>
      </c>
      <c r="AA8" s="55">
        <f>IF(AND(A8="", B8="", E8=""), "", IF(AB8="", "Válido", IF((LEN(AB8)-LEN(SUBSTITUTE(AB8,"; ","")))/2+1&gt;(LEN(AB8)-LEN(SUBSTITUTE(AB8,"[Aviso]","")))/7, "Con Incidencias", "Válido")))</f>
        <v/>
      </c>
      <c r="AB8" s="56">
        <f>IF(AND(A8="", B8="", E8=""), "", TEXTJOIN("; ", TRUE, IF(OR(TRIM(A8&amp;"")="", ISNUMBER(SEARCH("FALTA", A8))), "UPC faltante/inválido", ""), IF(AND(A8&lt;&gt;"", IFERROR(_xlfn.XMATCH(A8,$A$2:$A$41,0,1)&lt;&gt;_xlfn.XMATCH(A8,$A$2:$A$41,0,-1),FALSE)), "Código de barras duplicado", ""), IF(AND(E8&lt;&gt;"", COUNTIF($E$2:$E$41, E8)&gt;1), "SKU duplicado", ""), IF(OR(J8="", J8=""), "[Aviso] División no capturada ()", IF(ISNA(MATCH(J8, Criterios!$A$123:$A$126, 0)), "División no válida", "")), IF(OR(K8="", K8=""), "[Aviso] Categoría no capturada ()", IF(ISNA(MATCH(K8, Criterios!$A$81:$A$120, 0)), "Categoría no válida", IF(AND(J8&lt;&gt;"", J8&lt;&gt;"", J8&lt;&gt;VLOOKUP(K8, Criterios!$A$81:$B$120, 2, FALSE)), "División no coincide con Categoría", ""))), IF(OR(L8="", L8=""), "[Aviso] Género no capturado ()", IF(ISNA(MATCH(L8, Criterios!$B$123:$B$127, 0)), "Género no válido", "")), IF(OR(N8="", N8=""), "[Aviso] Temporada no capturada ()", IF(ISNA(MATCH(N8, Criterios!$C$123:$C$128, 0)), "Temporada no válida", "")), IF(OR(O8="", O8=""), "[Aviso] Ciclo de vida no capturado ()", IF(ISNA(MATCH(O8, Criterios!$D$123:$D$124, 0)), "Ciclo de vida no válido", ""))))</f>
        <v/>
      </c>
      <c r="AC8" s="56" t="n"/>
      <c r="AD8" s="51" t="n">
        <v>2</v>
      </c>
      <c r="AE8" s="156" t="inlineStr">
        <is>
          <t>STETSON AMERICAS: 2</t>
        </is>
      </c>
      <c r="AF8" s="51" t="n">
        <v>2</v>
      </c>
      <c r="AG8" s="156" t="inlineStr">
        <is>
          <t>Nuevo – NetSuite con existencia</t>
        </is>
      </c>
      <c r="AH8" s="156" t="inlineStr">
        <is>
          <t>Categoría NetSuite «Toquillas» no existe en Criterios (proponer alta) | Revisión 29/09/2026: Marca Willow Lane fuera de lista Criterios; Campos sin respaldo: J, K, Q, R, X; Auditoría NetSuite 30/09/2026: llenado desde NetSuite [J,K,Q,R,Z,T] | 01/10/2026: complementado desde Shopify Stetson México (match por código de barras): WB Fit, WB Silueta | 01/10/2026: Shopify Stetson México trae SKU WL-BHB83 — se conservó el valor de Productos | Homologación G1522 06/10/2026: WB Fit: «» → «(blank)» (Completado desde NetSuite) · WB Silueta: «» → «(blank)» (Completado desde NetSuite) · WB Fit: «(blank)» → «» (Corrección aplicada) · WB Silueta: «(blank)» → «» (Corrección aplicada) · Validador Shopify: WB: precio con IVA no termina en 9</t>
        </is>
      </c>
      <c r="AI8" s="156" t="inlineStr">
        <is>
          <t>No</t>
        </is>
      </c>
      <c r="AJ8" s="156" t="n"/>
      <c r="AK8" s="155" t="inlineStr">
        <is>
          <t>ProductosCatalogoEstandar907.xlsx: fila 6139 [N,O,P,S,U,V,W,Y]; G1522_Extraccion_Articulos_NetSuite_2026-09-30.xlsx: fila 63977 [J,K,Q,R,Z,T] | Shopify Stetson: producto 15247084388715 / variante 53870276706667</t>
        </is>
      </c>
      <c r="AL8" s="58" t="n">
        <v>385</v>
      </c>
      <c r="AM8" s="58" t="n">
        <v>1100.00000004</v>
      </c>
      <c r="AN8" s="155" t="inlineStr">
        <is>
          <t>Shopify Stetson México</t>
        </is>
      </c>
      <c r="AO8" s="59" t="n">
        <v>2</v>
      </c>
      <c r="AP8" s="59" t="n"/>
      <c r="AQ8" s="59" t="n"/>
      <c r="AR8" s="155" t="inlineStr">
        <is>
          <t>Shopify Stetson México › Stetson Americas: 2</t>
        </is>
      </c>
    </row>
    <row r="9">
      <c r="A9" s="50" t="inlineStr">
        <is>
          <t>742968416362</t>
        </is>
      </c>
      <c r="B9" s="51" t="inlineStr">
        <is>
          <t>117713</t>
        </is>
      </c>
      <c r="C9" s="156" t="inlineStr">
        <is>
          <t>Multimarca</t>
        </is>
      </c>
      <c r="D9" s="156" t="inlineStr">
        <is>
          <t>WL-CHA02</t>
        </is>
      </c>
      <c r="E9" s="156" t="inlineStr">
        <is>
          <t>WL-CHA02-UNI</t>
        </is>
      </c>
      <c r="F9" s="156" t="inlineStr">
        <is>
          <t>Talla única</t>
        </is>
      </c>
      <c r="G9" s="156" t="inlineStr">
        <is>
          <t>One Size</t>
        </is>
      </c>
      <c r="H9" s="156" t="inlineStr">
        <is>
          <t>Willow Lane</t>
        </is>
      </c>
      <c r="I9" s="156" t="inlineStr">
        <is>
          <t>Toquilla de Cadena Herradura Bañada en Oro 14K</t>
        </is>
      </c>
      <c r="J9" s="156" t="inlineStr">
        <is>
          <t>Accesorios</t>
        </is>
      </c>
      <c r="K9" s="156" t="inlineStr">
        <is>
          <t>Plumas para sombrero</t>
        </is>
      </c>
      <c r="L9" s="156" t="inlineStr">
        <is>
          <t>Unisex</t>
        </is>
      </c>
      <c r="M9" s="156" t="inlineStr">
        <is>
          <t>Willow Lane</t>
        </is>
      </c>
      <c r="N9" s="156" t="inlineStr">
        <is>
          <t>FW26</t>
        </is>
      </c>
      <c r="O9" s="156" t="inlineStr">
        <is>
          <t>Seasonal</t>
        </is>
      </c>
      <c r="P9" s="156" t="inlineStr">
        <is>
          <t>Amarillo</t>
        </is>
      </c>
      <c r="Q9" s="156" t="n"/>
      <c r="R9" s="156" t="n"/>
      <c r="S9" s="156" t="inlineStr">
        <is>
          <t>Cadena de metal bañado en oro 14K con componentes decorativos de herradura</t>
        </is>
      </c>
      <c r="T9" s="156" t="inlineStr">
        <is>
          <t>Toquilla de Cadena Herradura Bañada en Oro 14K Material: Cadena de metal bañado en oro 14K con componentes decorativos de herradura Origen: China</t>
        </is>
      </c>
      <c r="U9" s="156" t="inlineStr">
        <is>
          <t>China</t>
        </is>
      </c>
      <c r="V9" s="156" t="inlineStr">
        <is>
          <t>PZS</t>
        </is>
      </c>
      <c r="W9" s="51" t="inlineStr">
        <is>
          <t>54101600</t>
        </is>
      </c>
      <c r="X9" s="156" t="n"/>
      <c r="Y9" s="54" t="n">
        <v>332.5</v>
      </c>
      <c r="Z9" s="54" t="n">
        <v>950</v>
      </c>
      <c r="AA9" s="55">
        <f>IF(AND(A9="", B9="", E9=""), "", IF(AB9="", "Válido", IF((LEN(AB9)-LEN(SUBSTITUTE(AB9,"; ","")))/2+1&gt;(LEN(AB9)-LEN(SUBSTITUTE(AB9,"[Aviso]","")))/7, "Con Incidencias", "Válido")))</f>
        <v/>
      </c>
      <c r="AB9" s="56">
        <f>IF(AND(A9="", B9="", E9=""), "", TEXTJOIN("; ", TRUE, IF(OR(TRIM(A9&amp;"")="", ISNUMBER(SEARCH("FALTA", A9))), "UPC faltante/inválido", ""), IF(AND(A9&lt;&gt;"", IFERROR(_xlfn.XMATCH(A9,$A$2:$A$41,0,1)&lt;&gt;_xlfn.XMATCH(A9,$A$2:$A$41,0,-1),FALSE)), "Código de barras duplicado", ""), IF(AND(E9&lt;&gt;"", COUNTIF($E$2:$E$41, E9)&gt;1), "SKU duplicado", ""), IF(OR(J9="", J9=""), "[Aviso] División no capturada ()", IF(ISNA(MATCH(J9, Criterios!$A$123:$A$126, 0)), "División no válida", "")), IF(OR(K9="", K9=""), "[Aviso] Categoría no capturada ()", IF(ISNA(MATCH(K9, Criterios!$A$81:$A$120, 0)), "Categoría no válida", IF(AND(J9&lt;&gt;"", J9&lt;&gt;"", J9&lt;&gt;VLOOKUP(K9, Criterios!$A$81:$B$120, 2, FALSE)), "División no coincide con Categoría", ""))), IF(OR(L9="", L9=""), "[Aviso] Género no capturado ()", IF(ISNA(MATCH(L9, Criterios!$B$123:$B$127, 0)), "Género no válido", "")), IF(OR(N9="", N9=""), "[Aviso] Temporada no capturada ()", IF(ISNA(MATCH(N9, Criterios!$C$123:$C$128, 0)), "Temporada no válida", "")), IF(OR(O9="", O9=""), "[Aviso] Ciclo de vida no capturado ()", IF(ISNA(MATCH(O9, Criterios!$D$123:$D$124, 0)), "Ciclo de vida no válido", ""))))</f>
        <v/>
      </c>
      <c r="AC9" s="56" t="n"/>
      <c r="AD9" s="51" t="n">
        <v>1</v>
      </c>
      <c r="AE9" s="156" t="inlineStr">
        <is>
          <t>STETSON AMERICAS: 1</t>
        </is>
      </c>
      <c r="AF9" s="51" t="n">
        <v>1</v>
      </c>
      <c r="AG9" s="156" t="inlineStr">
        <is>
          <t>Nuevo – NetSuite con existencia</t>
        </is>
      </c>
      <c r="AH9" s="156" t="inlineStr">
        <is>
          <t>Categoría NetSuite «Toquillas» no existe en Criterios (proponer alta) | Revisión 29/09/2026: Marca Willow Lane fuera de lista Criterios; Campos sin respaldo: J, K, Q, R, X; Auditoría NetSuite 30/09/2026: llenado desde NetSuite [J,K,Q,R,Z,T] | 01/10/2026: complementado desde Shopify Stetson México (match por código de barras): WB Fit, WB Silueta, WB Descripción larga (más completa) | 01/10/2026: Shopify Stetson México trae SKU WL-CHA02 — se conservó el valor de Productos | Homologación G1522 06/10/2026: WB Fit: «» → «(blank)» (Completado desde NetSuite) · WB Silueta: «» → «(blank)» (Completado desde NetSuite) · WB Fit: «(blank)» → «» (Corrección aplicada) · WB Silueta: «(blank)» → «» (Corrección aplicada) · Validador Shopify: WB: precio con IVA no termina en 9</t>
        </is>
      </c>
      <c r="AI9" s="156" t="inlineStr">
        <is>
          <t>No</t>
        </is>
      </c>
      <c r="AJ9" s="156" t="n"/>
      <c r="AK9" s="155" t="inlineStr">
        <is>
          <t>ProductosCatalogoEstandar907.xlsx: fila 6140 [N,O,P,S,U,V,W,Y]; G1522_Extraccion_Articulos_NetSuite_2026-09-30.xlsx: fila 63961 [J,K,Q,R,Z,T] | Shopify Stetson: producto 15247083766123 / variante 53870276116843</t>
        </is>
      </c>
      <c r="AL9" s="58" t="n">
        <v>332.5</v>
      </c>
      <c r="AM9" s="58" t="n">
        <v>949.99999995</v>
      </c>
      <c r="AN9" s="155" t="inlineStr">
        <is>
          <t>Shopify Stetson México</t>
        </is>
      </c>
      <c r="AO9" s="59" t="n">
        <v>1</v>
      </c>
      <c r="AP9" s="59" t="n"/>
      <c r="AQ9" s="59" t="n"/>
      <c r="AR9" s="155" t="inlineStr">
        <is>
          <t>Shopify Stetson México › Stetson Americas: 1</t>
        </is>
      </c>
    </row>
    <row r="10">
      <c r="A10" s="50" t="inlineStr">
        <is>
          <t>604634490734</t>
        </is>
      </c>
      <c r="B10" s="51" t="inlineStr">
        <is>
          <t>117715</t>
        </is>
      </c>
      <c r="C10" s="156" t="inlineStr">
        <is>
          <t>Multimarca</t>
        </is>
      </c>
      <c r="D10" s="156" t="inlineStr">
        <is>
          <t>WL-CHA03</t>
        </is>
      </c>
      <c r="E10" s="156" t="inlineStr">
        <is>
          <t>WL-CHA03-UNI</t>
        </is>
      </c>
      <c r="F10" s="156" t="inlineStr">
        <is>
          <t>Talla única</t>
        </is>
      </c>
      <c r="G10" s="156" t="inlineStr">
        <is>
          <t>One Size</t>
        </is>
      </c>
      <c r="H10" s="156" t="inlineStr">
        <is>
          <t>Willow Lane</t>
        </is>
      </c>
      <c r="I10" s="156" t="inlineStr">
        <is>
          <t>Toquilla de Cadena Estrella Bañada en Oro 14K</t>
        </is>
      </c>
      <c r="J10" s="156" t="inlineStr">
        <is>
          <t>Accesorios</t>
        </is>
      </c>
      <c r="K10" s="156" t="inlineStr">
        <is>
          <t>Plumas para sombrero</t>
        </is>
      </c>
      <c r="L10" s="156" t="inlineStr">
        <is>
          <t>Unisex</t>
        </is>
      </c>
      <c r="M10" s="156" t="inlineStr">
        <is>
          <t>Willow Lane</t>
        </is>
      </c>
      <c r="N10" s="156" t="inlineStr">
        <is>
          <t>FW26</t>
        </is>
      </c>
      <c r="O10" s="156" t="inlineStr">
        <is>
          <t>Seasonal</t>
        </is>
      </c>
      <c r="P10" s="156" t="inlineStr">
        <is>
          <t>Amarillo</t>
        </is>
      </c>
      <c r="Q10" s="156" t="n"/>
      <c r="R10" s="156" t="n"/>
      <c r="S10" s="156" t="inlineStr">
        <is>
          <t>Cadena de metal bañado en oro 14K con componentes decorativos de estrella</t>
        </is>
      </c>
      <c r="T10" s="156" t="inlineStr">
        <is>
          <t>Toquilla de Cadena Estrella Bañada en Oro 14K Material: Cadena de metal bañado en oro 14K con componentes decorativos de estrella Origen: China</t>
        </is>
      </c>
      <c r="U10" s="156" t="inlineStr">
        <is>
          <t>China</t>
        </is>
      </c>
      <c r="V10" s="156" t="inlineStr">
        <is>
          <t>PZS</t>
        </is>
      </c>
      <c r="W10" s="51" t="inlineStr">
        <is>
          <t>54101600</t>
        </is>
      </c>
      <c r="X10" s="156" t="n"/>
      <c r="Y10" s="54" t="n">
        <v>332.5</v>
      </c>
      <c r="Z10" s="54" t="n">
        <v>950</v>
      </c>
      <c r="AA10" s="55">
        <f>IF(AND(A10="", B10="", E10=""), "", IF(AB10="", "Válido", IF((LEN(AB10)-LEN(SUBSTITUTE(AB10,"; ","")))/2+1&gt;(LEN(AB10)-LEN(SUBSTITUTE(AB10,"[Aviso]","")))/7, "Con Incidencias", "Válido")))</f>
        <v/>
      </c>
      <c r="AB10" s="56">
        <f>IF(AND(A10="", B10="", E10=""), "", TEXTJOIN("; ", TRUE, IF(OR(TRIM(A10&amp;"")="", ISNUMBER(SEARCH("FALTA", A10))), "UPC faltante/inválido", ""), IF(AND(A10&lt;&gt;"", IFERROR(_xlfn.XMATCH(A10,$A$2:$A$41,0,1)&lt;&gt;_xlfn.XMATCH(A10,$A$2:$A$41,0,-1),FALSE)), "Código de barras duplicado", ""), IF(AND(E10&lt;&gt;"", COUNTIF($E$2:$E$41, E10)&gt;1), "SKU duplicado", ""), IF(OR(J10="", J10=""), "[Aviso] División no capturada ()", IF(ISNA(MATCH(J10, Criterios!$A$123:$A$126, 0)), "División no válida", "")), IF(OR(K10="", K10=""), "[Aviso] Categoría no capturada ()", IF(ISNA(MATCH(K10, Criterios!$A$81:$A$120, 0)), "Categoría no válida", IF(AND(J10&lt;&gt;"", J10&lt;&gt;"", J10&lt;&gt;VLOOKUP(K10, Criterios!$A$81:$B$120, 2, FALSE)), "División no coincide con Categoría", ""))), IF(OR(L10="", L10=""), "[Aviso] Género no capturado ()", IF(ISNA(MATCH(L10, Criterios!$B$123:$B$127, 0)), "Género no válido", "")), IF(OR(N10="", N10=""), "[Aviso] Temporada no capturada ()", IF(ISNA(MATCH(N10, Criterios!$C$123:$C$128, 0)), "Temporada no válida", "")), IF(OR(O10="", O10=""), "[Aviso] Ciclo de vida no capturado ()", IF(ISNA(MATCH(O10, Criterios!$D$123:$D$124, 0)), "Ciclo de vida no válido", ""))))</f>
        <v/>
      </c>
      <c r="AC10" s="56" t="n"/>
      <c r="AD10" s="51" t="n">
        <v>3</v>
      </c>
      <c r="AE10" s="156" t="inlineStr">
        <is>
          <t>STETSON AMERICAS: 3</t>
        </is>
      </c>
      <c r="AF10" s="51" t="n">
        <v>3</v>
      </c>
      <c r="AG10" s="156" t="inlineStr">
        <is>
          <t>Nuevo – NetSuite con existencia</t>
        </is>
      </c>
      <c r="AH10" s="156" t="inlineStr">
        <is>
          <t>Categoría NetSuite «Toquillas» no existe en Criterios (proponer alta) | Revisión 29/09/2026: Marca Willow Lane fuera de lista Criterios; Campos sin respaldo: J, K, Q, R, X; Auditoría NetSuite 30/09/2026: llenado desde NetSuite [J,K,Q,R,Z,T] | 01/10/2026: complementado desde Shopify Stetson México (match por código de barras): WB Fit, WB Silueta, WB Descripción larga (más completa) | 01/10/2026: Shopify Stetson México trae SKU WL-CHA03 — se conservó el valor de Productos | Homologación G1522 06/10/2026: WB Fit: «» → «(blank)» (Completado desde NetSuite) · WB Silueta: «» → «(blank)» (Completado desde NetSuite) · WB Fit: «(blank)» → «» (Corrección aplicada) · WB Silueta: «(blank)» → «» (Corrección aplicada) · Validador Shopify: WB: precio con IVA no termina en 9</t>
        </is>
      </c>
      <c r="AI10" s="156" t="inlineStr">
        <is>
          <t>No</t>
        </is>
      </c>
      <c r="AJ10" s="156" t="n"/>
      <c r="AK10" s="155" t="inlineStr">
        <is>
          <t>ProductosCatalogoEstandar907.xlsx: fila 6141 [N,O,P,S,U,V,W,Y]; G1522_Extraccion_Articulos_NetSuite_2026-09-30.xlsx: fila 63963 [J,K,Q,R,Z,T] | Shopify Stetson: producto 15247083831659 / variante 53870276182379</t>
        </is>
      </c>
      <c r="AL10" s="58" t="n">
        <v>332.5</v>
      </c>
      <c r="AM10" s="58" t="n">
        <v>949.99999995</v>
      </c>
      <c r="AN10" s="155" t="inlineStr">
        <is>
          <t>Shopify Stetson México</t>
        </is>
      </c>
      <c r="AO10" s="59" t="n">
        <v>3</v>
      </c>
      <c r="AP10" s="59" t="n"/>
      <c r="AQ10" s="59" t="n"/>
      <c r="AR10" s="155" t="inlineStr">
        <is>
          <t>Shopify Stetson México › Stetson Americas: 3</t>
        </is>
      </c>
    </row>
    <row r="11">
      <c r="A11" s="50" t="inlineStr">
        <is>
          <t>742968416379</t>
        </is>
      </c>
      <c r="B11" s="51" t="inlineStr">
        <is>
          <t>117724</t>
        </is>
      </c>
      <c r="C11" s="156" t="inlineStr">
        <is>
          <t>Multimarca</t>
        </is>
      </c>
      <c r="D11" s="156" t="inlineStr">
        <is>
          <t>WL-CHA04</t>
        </is>
      </c>
      <c r="E11" s="156" t="inlineStr">
        <is>
          <t>WL-CHA04-UNI</t>
        </is>
      </c>
      <c r="F11" s="156" t="inlineStr">
        <is>
          <t>Talla única</t>
        </is>
      </c>
      <c r="G11" s="156" t="inlineStr">
        <is>
          <t>One Size</t>
        </is>
      </c>
      <c r="H11" s="156" t="inlineStr">
        <is>
          <t>Willow Lane</t>
        </is>
      </c>
      <c r="I11" s="156" t="inlineStr">
        <is>
          <t>Toquilla de Cadena Herradura Plateada</t>
        </is>
      </c>
      <c r="J11" s="156" t="inlineStr">
        <is>
          <t>Accesorios</t>
        </is>
      </c>
      <c r="K11" s="156" t="inlineStr">
        <is>
          <t>Plumas para sombrero</t>
        </is>
      </c>
      <c r="L11" s="156" t="inlineStr">
        <is>
          <t>Unisex</t>
        </is>
      </c>
      <c r="M11" s="156" t="inlineStr">
        <is>
          <t>Willow Lane</t>
        </is>
      </c>
      <c r="N11" s="156" t="inlineStr">
        <is>
          <t>FW26</t>
        </is>
      </c>
      <c r="O11" s="156" t="inlineStr">
        <is>
          <t>Seasonal</t>
        </is>
      </c>
      <c r="P11" s="156" t="inlineStr">
        <is>
          <t>Gris</t>
        </is>
      </c>
      <c r="Q11" s="156" t="n"/>
      <c r="R11" s="156" t="n"/>
      <c r="S11" s="156" t="inlineStr">
        <is>
          <t>Cadena de metal tono plata con componentes decorativos de herradura</t>
        </is>
      </c>
      <c r="T11" s="156" t="inlineStr">
        <is>
          <t>Toquilla de Cadena Herradura Plateada Material: Cadena de metal tono plata con componentes decorativos de herradura Origen: China</t>
        </is>
      </c>
      <c r="U11" s="156" t="inlineStr">
        <is>
          <t>China</t>
        </is>
      </c>
      <c r="V11" s="156" t="inlineStr">
        <is>
          <t>PZS</t>
        </is>
      </c>
      <c r="W11" s="51" t="inlineStr">
        <is>
          <t>54101600</t>
        </is>
      </c>
      <c r="X11" s="156" t="n"/>
      <c r="Y11" s="54" t="n">
        <v>332.5</v>
      </c>
      <c r="Z11" s="54" t="n">
        <v>950</v>
      </c>
      <c r="AA11" s="55">
        <f>IF(AND(A11="", B11="", E11=""), "", IF(AB11="", "Válido", IF((LEN(AB11)-LEN(SUBSTITUTE(AB11,"; ","")))/2+1&gt;(LEN(AB11)-LEN(SUBSTITUTE(AB11,"[Aviso]","")))/7, "Con Incidencias", "Válido")))</f>
        <v/>
      </c>
      <c r="AB11" s="56">
        <f>IF(AND(A11="", B11="", E11=""), "", TEXTJOIN("; ", TRUE, IF(OR(TRIM(A11&amp;"")="", ISNUMBER(SEARCH("FALTA", A11))), "UPC faltante/inválido", ""), IF(AND(A11&lt;&gt;"", IFERROR(_xlfn.XMATCH(A11,$A$2:$A$41,0,1)&lt;&gt;_xlfn.XMATCH(A11,$A$2:$A$41,0,-1),FALSE)), "Código de barras duplicado", ""), IF(AND(E11&lt;&gt;"", COUNTIF($E$2:$E$41, E11)&gt;1), "SKU duplicado", ""), IF(OR(J11="", J11=""), "[Aviso] División no capturada ()", IF(ISNA(MATCH(J11, Criterios!$A$123:$A$126, 0)), "División no válida", "")), IF(OR(K11="", K11=""), "[Aviso] Categoría no capturada ()", IF(ISNA(MATCH(K11, Criterios!$A$81:$A$120, 0)), "Categoría no válida", IF(AND(J11&lt;&gt;"", J11&lt;&gt;"", J11&lt;&gt;VLOOKUP(K11, Criterios!$A$81:$B$120, 2, FALSE)), "División no coincide con Categoría", ""))), IF(OR(L11="", L11=""), "[Aviso] Género no capturado ()", IF(ISNA(MATCH(L11, Criterios!$B$123:$B$127, 0)), "Género no válido", "")), IF(OR(N11="", N11=""), "[Aviso] Temporada no capturada ()", IF(ISNA(MATCH(N11, Criterios!$C$123:$C$128, 0)), "Temporada no válida", "")), IF(OR(O11="", O11=""), "[Aviso] Ciclo de vida no capturado ()", IF(ISNA(MATCH(O11, Criterios!$D$123:$D$124, 0)), "Ciclo de vida no válido", ""))))</f>
        <v/>
      </c>
      <c r="AC11" s="56" t="n"/>
      <c r="AD11" s="51" t="n">
        <v>0</v>
      </c>
      <c r="AE11" s="156" t="n"/>
      <c r="AF11" s="51" t="n">
        <v>0</v>
      </c>
      <c r="AG11" s="156" t="inlineStr">
        <is>
          <t>Nuevo – NetSuite con existencia</t>
        </is>
      </c>
      <c r="AH11" s="156" t="inlineStr">
        <is>
          <t>Categoría NetSuite «Toquillas» no existe en Criterios (proponer alta) | Revisión 29/09/2026: Marca Willow Lane fuera de lista Criterios; Campos sin respaldo: J, K, Q, R, X; Auditoría NetSuite 30/09/2026: llenado desde NetSuite [J,K,Q,R,Z,T] | 01/10/2026: complementado desde Shopify Stetson México (match por código de barras): WB Fit, WB Silueta, WB Descripción larga (más completa) | 01/10/2026: Shopify Stetson México trae SKU WL-CHA04 — se conservó el valor de Productos | Homologación G1522 06/10/2026: WB Fit: «» → «(blank)» (Completado desde NetSuite) · WB Silueta: «» → «(blank)» (Completado desde NetSuite) · WB Fit: «(blank)» → «» (Corrección aplicada) · WB Silueta: «(blank)» → «» (Corrección aplicada) · Validador Shopify: WB: precio con IVA no termina en 9</t>
        </is>
      </c>
      <c r="AI11" s="156" t="inlineStr">
        <is>
          <t>No</t>
        </is>
      </c>
      <c r="AJ11" s="156" t="n"/>
      <c r="AK11" s="155" t="inlineStr">
        <is>
          <t>ProductosCatalogoEstandar907.xlsx: fila 6142 [N,O,P,S,U,V,W,Y]; G1522_Extraccion_Articulos_NetSuite_2026-09-30.xlsx: fila 63972 [J,K,Q,R,Z,T] | Shopify Stetson: producto 15247084159339 / variante 53870276510059</t>
        </is>
      </c>
      <c r="AL11" s="58" t="n">
        <v>332.5</v>
      </c>
      <c r="AM11" s="58" t="n">
        <v>949.99999995</v>
      </c>
      <c r="AN11" s="155" t="inlineStr">
        <is>
          <t>Shopify Stetson México</t>
        </is>
      </c>
      <c r="AO11" s="59" t="n">
        <v>1</v>
      </c>
      <c r="AP11" s="59" t="n"/>
      <c r="AQ11" s="59" t="n"/>
      <c r="AR11" s="155" t="inlineStr">
        <is>
          <t>Shopify Stetson México › Stetson Americas: 1</t>
        </is>
      </c>
    </row>
    <row r="12">
      <c r="A12" s="50" t="inlineStr">
        <is>
          <t>604634309715</t>
        </is>
      </c>
      <c r="B12" s="51" t="inlineStr">
        <is>
          <t>117714</t>
        </is>
      </c>
      <c r="C12" s="156" t="inlineStr">
        <is>
          <t>Multimarca</t>
        </is>
      </c>
      <c r="D12" s="156" t="inlineStr">
        <is>
          <t>WL-CHA07</t>
        </is>
      </c>
      <c r="E12" s="156" t="inlineStr">
        <is>
          <t>WL-CHA07-UNI</t>
        </is>
      </c>
      <c r="F12" s="156" t="inlineStr">
        <is>
          <t>Talla única</t>
        </is>
      </c>
      <c r="G12" s="156" t="inlineStr">
        <is>
          <t>One Size</t>
        </is>
      </c>
      <c r="H12" s="156" t="inlineStr">
        <is>
          <t>Willow Lane</t>
        </is>
      </c>
      <c r="I12" s="156" t="inlineStr">
        <is>
          <t>Toquilla de Cadena Longhorn Bañada en Oro 14K</t>
        </is>
      </c>
      <c r="J12" s="156" t="inlineStr">
        <is>
          <t>Accesorios</t>
        </is>
      </c>
      <c r="K12" s="156" t="inlineStr">
        <is>
          <t>Plumas para sombrero</t>
        </is>
      </c>
      <c r="L12" s="156" t="inlineStr">
        <is>
          <t>Unisex</t>
        </is>
      </c>
      <c r="M12" s="156" t="inlineStr">
        <is>
          <t>Willow Lane</t>
        </is>
      </c>
      <c r="N12" s="156" t="inlineStr">
        <is>
          <t>FW26</t>
        </is>
      </c>
      <c r="O12" s="156" t="inlineStr">
        <is>
          <t>Seasonal</t>
        </is>
      </c>
      <c r="P12" s="156" t="inlineStr">
        <is>
          <t>Amarillo</t>
        </is>
      </c>
      <c r="Q12" s="156" t="n"/>
      <c r="R12" s="156" t="n"/>
      <c r="S12" s="156" t="inlineStr">
        <is>
          <t>Cadena de metal bañado en oro 14K con componentes decorativos de longhorn</t>
        </is>
      </c>
      <c r="T12" s="156" t="inlineStr">
        <is>
          <t>Toquilla de Cadena Longhorn Bañada en Oro 14K Material: Cadena de metal bañado en oro 14K con componentes decorativos de longhorn Origen: China</t>
        </is>
      </c>
      <c r="U12" s="156" t="inlineStr">
        <is>
          <t>China</t>
        </is>
      </c>
      <c r="V12" s="156" t="inlineStr">
        <is>
          <t>PZS</t>
        </is>
      </c>
      <c r="W12" s="51" t="inlineStr">
        <is>
          <t>54101600</t>
        </is>
      </c>
      <c r="X12" s="156" t="n"/>
      <c r="Y12" s="54" t="n">
        <v>332.5</v>
      </c>
      <c r="Z12" s="54" t="n">
        <v>950</v>
      </c>
      <c r="AA12" s="55">
        <f>IF(AND(A12="", B12="", E12=""), "", IF(AB12="", "Válido", IF((LEN(AB12)-LEN(SUBSTITUTE(AB12,"; ","")))/2+1&gt;(LEN(AB12)-LEN(SUBSTITUTE(AB12,"[Aviso]","")))/7, "Con Incidencias", "Válido")))</f>
        <v/>
      </c>
      <c r="AB12" s="56">
        <f>IF(AND(A12="", B12="", E12=""), "", TEXTJOIN("; ", TRUE, IF(OR(TRIM(A12&amp;"")="", ISNUMBER(SEARCH("FALTA", A12))), "UPC faltante/inválido", ""), IF(AND(A12&lt;&gt;"", IFERROR(_xlfn.XMATCH(A12,$A$2:$A$41,0,1)&lt;&gt;_xlfn.XMATCH(A12,$A$2:$A$41,0,-1),FALSE)), "Código de barras duplicado", ""), IF(AND(E12&lt;&gt;"", COUNTIF($E$2:$E$41, E12)&gt;1), "SKU duplicado", ""), IF(OR(J12="", J12=""), "[Aviso] División no capturada ()", IF(ISNA(MATCH(J12, Criterios!$A$123:$A$126, 0)), "División no válida", "")), IF(OR(K12="", K12=""), "[Aviso] Categoría no capturada ()", IF(ISNA(MATCH(K12, Criterios!$A$81:$A$120, 0)), "Categoría no válida", IF(AND(J12&lt;&gt;"", J12&lt;&gt;"", J12&lt;&gt;VLOOKUP(K12, Criterios!$A$81:$B$120, 2, FALSE)), "División no coincide con Categoría", ""))), IF(OR(L12="", L12=""), "[Aviso] Género no capturado ()", IF(ISNA(MATCH(L12, Criterios!$B$123:$B$127, 0)), "Género no válido", "")), IF(OR(N12="", N12=""), "[Aviso] Temporada no capturada ()", IF(ISNA(MATCH(N12, Criterios!$C$123:$C$128, 0)), "Temporada no válida", "")), IF(OR(O12="", O12=""), "[Aviso] Ciclo de vida no capturado ()", IF(ISNA(MATCH(O12, Criterios!$D$123:$D$124, 0)), "Ciclo de vida no válido", ""))))</f>
        <v/>
      </c>
      <c r="AC12" s="56" t="n"/>
      <c r="AD12" s="51" t="n">
        <v>4</v>
      </c>
      <c r="AE12" s="156" t="inlineStr">
        <is>
          <t>STETSON AMERICAS: 4</t>
        </is>
      </c>
      <c r="AF12" s="51" t="n">
        <v>4</v>
      </c>
      <c r="AG12" s="156" t="inlineStr">
        <is>
          <t>Nuevo – NetSuite con existencia</t>
        </is>
      </c>
      <c r="AH12" s="156" t="inlineStr">
        <is>
          <t>Categoría NetSuite «Toquillas» no existe en Criterios (proponer alta) | Revisión 29/09/2026: Marca Willow Lane fuera de lista Criterios; Campos sin respaldo: J, K, Q, R, X; Auditoría NetSuite 30/09/2026: llenado desde NetSuite [J,K,Q,R,Z,T] | 01/10/2026: complementado desde Shopify Stetson México (match por código de barras): WB Fit, WB Silueta, WB Descripción larga (más completa) | 01/10/2026: Shopify Stetson México trae SKU WL-CHA07 — se conservó el valor de Productos | Homologación G1522 06/10/2026: WB Fit: «» → «(blank)» (Completado desde NetSuite) · WB Silueta: «» → «(blank)» (Completado desde NetSuite) · WB Fit: «(blank)» → «» (Corrección aplicada) · WB Silueta: «(blank)» → «» (Corrección aplicada) · Validador Shopify: WB: precio con IVA no termina en 9</t>
        </is>
      </c>
      <c r="AI12" s="156" t="inlineStr">
        <is>
          <t>No</t>
        </is>
      </c>
      <c r="AJ12" s="156" t="n"/>
      <c r="AK12" s="155" t="inlineStr">
        <is>
          <t>ProductosCatalogoEstandar907.xlsx: fila 6143 [N,O,P,S,U,V,W,Y]; G1522_Extraccion_Articulos_NetSuite_2026-09-30.xlsx: fila 63962 [J,K,Q,R,Z,T] | Shopify Stetson: producto 15247083798891 / variante 53870276149611</t>
        </is>
      </c>
      <c r="AL12" s="58" t="n">
        <v>332.5</v>
      </c>
      <c r="AM12" s="58" t="n">
        <v>949.99999995</v>
      </c>
      <c r="AN12" s="155" t="inlineStr">
        <is>
          <t>Shopify Stetson México</t>
        </is>
      </c>
      <c r="AO12" s="59" t="n">
        <v>4</v>
      </c>
      <c r="AP12" s="59" t="n"/>
      <c r="AQ12" s="59" t="n"/>
      <c r="AR12" s="155" t="inlineStr">
        <is>
          <t>Shopify Stetson México › Stetson Americas: 4</t>
        </is>
      </c>
    </row>
    <row r="13">
      <c r="A13" s="50" t="inlineStr">
        <is>
          <t>604634440449</t>
        </is>
      </c>
      <c r="B13" s="51" t="inlineStr">
        <is>
          <t>117711</t>
        </is>
      </c>
      <c r="C13" s="156" t="inlineStr">
        <is>
          <t>Multimarca</t>
        </is>
      </c>
      <c r="D13" s="156" t="inlineStr">
        <is>
          <t>WL-CHA08</t>
        </is>
      </c>
      <c r="E13" s="156" t="inlineStr">
        <is>
          <t>WL-CHA08-UNI</t>
        </is>
      </c>
      <c r="F13" s="156" t="inlineStr">
        <is>
          <t>Talla única</t>
        </is>
      </c>
      <c r="G13" s="156" t="inlineStr">
        <is>
          <t>One Size</t>
        </is>
      </c>
      <c r="H13" s="156" t="inlineStr">
        <is>
          <t>Willow Lane</t>
        </is>
      </c>
      <c r="I13" s="156" t="inlineStr">
        <is>
          <t>Toquilla de Cadena Margarita Bañada en Oro 14K</t>
        </is>
      </c>
      <c r="J13" s="156" t="inlineStr">
        <is>
          <t>Accesorios</t>
        </is>
      </c>
      <c r="K13" s="156" t="inlineStr">
        <is>
          <t>Plumas para sombrero</t>
        </is>
      </c>
      <c r="L13" s="156" t="inlineStr">
        <is>
          <t>Unisex</t>
        </is>
      </c>
      <c r="M13" s="156" t="inlineStr">
        <is>
          <t>Willow Lane</t>
        </is>
      </c>
      <c r="N13" s="156" t="inlineStr">
        <is>
          <t>FW26</t>
        </is>
      </c>
      <c r="O13" s="156" t="inlineStr">
        <is>
          <t>Seasonal</t>
        </is>
      </c>
      <c r="P13" s="156" t="inlineStr">
        <is>
          <t>Amarillo</t>
        </is>
      </c>
      <c r="Q13" s="156" t="n"/>
      <c r="R13" s="156" t="n"/>
      <c r="S13" s="156" t="inlineStr">
        <is>
          <t>Cadena de metal bañado en oro 14K con componentes decorativos de margarita</t>
        </is>
      </c>
      <c r="T13" s="156" t="inlineStr">
        <is>
          <t>Toquilla de Cadena Margarita Bañada en Oro 14K Material: Cadena de metal bañado en oro 14K con componentes decorativos de margarita Origen: China</t>
        </is>
      </c>
      <c r="U13" s="156" t="inlineStr">
        <is>
          <t>China</t>
        </is>
      </c>
      <c r="V13" s="156" t="inlineStr">
        <is>
          <t>PZS</t>
        </is>
      </c>
      <c r="W13" s="51" t="inlineStr">
        <is>
          <t>54101600</t>
        </is>
      </c>
      <c r="X13" s="156" t="n"/>
      <c r="Y13" s="54" t="n">
        <v>332.5</v>
      </c>
      <c r="Z13" s="54" t="n">
        <v>950</v>
      </c>
      <c r="AA13" s="55">
        <f>IF(AND(A13="", B13="", E13=""), "", IF(AB13="", "Válido", IF((LEN(AB13)-LEN(SUBSTITUTE(AB13,"; ","")))/2+1&gt;(LEN(AB13)-LEN(SUBSTITUTE(AB13,"[Aviso]","")))/7, "Con Incidencias", "Válido")))</f>
        <v/>
      </c>
      <c r="AB13" s="56">
        <f>IF(AND(A13="", B13="", E13=""), "", TEXTJOIN("; ", TRUE, IF(OR(TRIM(A13&amp;"")="", ISNUMBER(SEARCH("FALTA", A13))), "UPC faltante/inválido", ""), IF(AND(A13&lt;&gt;"", IFERROR(_xlfn.XMATCH(A13,$A$2:$A$41,0,1)&lt;&gt;_xlfn.XMATCH(A13,$A$2:$A$41,0,-1),FALSE)), "Código de barras duplicado", ""), IF(AND(E13&lt;&gt;"", COUNTIF($E$2:$E$41, E13)&gt;1), "SKU duplicado", ""), IF(OR(J13="", J13=""), "[Aviso] División no capturada ()", IF(ISNA(MATCH(J13, Criterios!$A$123:$A$126, 0)), "División no válida", "")), IF(OR(K13="", K13=""), "[Aviso] Categoría no capturada ()", IF(ISNA(MATCH(K13, Criterios!$A$81:$A$120, 0)), "Categoría no válida", IF(AND(J13&lt;&gt;"", J13&lt;&gt;"", J13&lt;&gt;VLOOKUP(K13, Criterios!$A$81:$B$120, 2, FALSE)), "División no coincide con Categoría", ""))), IF(OR(L13="", L13=""), "[Aviso] Género no capturado ()", IF(ISNA(MATCH(L13, Criterios!$B$123:$B$127, 0)), "Género no válido", "")), IF(OR(N13="", N13=""), "[Aviso] Temporada no capturada ()", IF(ISNA(MATCH(N13, Criterios!$C$123:$C$128, 0)), "Temporada no válida", "")), IF(OR(O13="", O13=""), "[Aviso] Ciclo de vida no capturado ()", IF(ISNA(MATCH(O13, Criterios!$D$123:$D$124, 0)), "Ciclo de vida no válido", ""))))</f>
        <v/>
      </c>
      <c r="AC13" s="56" t="n"/>
      <c r="AD13" s="51" t="n">
        <v>3</v>
      </c>
      <c r="AE13" s="156" t="inlineStr">
        <is>
          <t>STETSON AMERICAS: 3</t>
        </is>
      </c>
      <c r="AF13" s="51" t="n">
        <v>3</v>
      </c>
      <c r="AG13" s="156" t="inlineStr">
        <is>
          <t>Nuevo – NetSuite con existencia</t>
        </is>
      </c>
      <c r="AH13" s="156" t="inlineStr">
        <is>
          <t>Categoría NetSuite «Toquillas» no existe en Criterios (proponer alta) | Revisión 29/09/2026: Marca Willow Lane fuera de lista Criterios; Campos sin respaldo: J, K, Q, R, X; Auditoría NetSuite 30/09/2026: llenado desde NetSuite [J,K,Q,R,Z,T] | 01/10/2026: complementado desde Shopify Stetson México (match por código de barras): WB Fit, WB Silueta, WB Descripción larga (más completa) | 01/10/2026: Shopify Stetson México trae SKU WL-CHA08 — se conservó el valor de Productos | Homologación G1522 06/10/2026: WB Fit: «» → «(blank)» (Completado desde NetSuite) · WB Silueta: «» → «(blank)» (Completado desde NetSuite) · WB Fit: «(blank)» → «» (Corrección aplicada) · WB Silueta: «(blank)» → «» (Corrección aplicada) · Validador Shopify: WB: precio con IVA no termina en 9</t>
        </is>
      </c>
      <c r="AI13" s="156" t="inlineStr">
        <is>
          <t>No</t>
        </is>
      </c>
      <c r="AJ13" s="156" t="n"/>
      <c r="AK13" s="155" t="inlineStr">
        <is>
          <t>ProductosCatalogoEstandar907.xlsx: fila 6144 [N,O,P,S,U,V,W,Y]; G1522_Extraccion_Articulos_NetSuite_2026-09-30.xlsx: fila 63959 [J,K,Q,R,Z,T] | Shopify Stetson: producto 15247083700587 / variante 53870276051307</t>
        </is>
      </c>
      <c r="AL13" s="58" t="n">
        <v>332.5</v>
      </c>
      <c r="AM13" s="58" t="n">
        <v>949.99999995</v>
      </c>
      <c r="AN13" s="155" t="inlineStr">
        <is>
          <t>Shopify Stetson México</t>
        </is>
      </c>
      <c r="AO13" s="59" t="n">
        <v>3</v>
      </c>
      <c r="AP13" s="59" t="n"/>
      <c r="AQ13" s="59" t="n"/>
      <c r="AR13" s="155" t="inlineStr">
        <is>
          <t>Shopify Stetson México › Stetson Americas: 3</t>
        </is>
      </c>
    </row>
    <row r="14">
      <c r="A14" s="50" t="inlineStr">
        <is>
          <t>604634398818</t>
        </is>
      </c>
      <c r="B14" s="51" t="inlineStr">
        <is>
          <t>117712</t>
        </is>
      </c>
      <c r="C14" s="156" t="inlineStr">
        <is>
          <t>Multimarca</t>
        </is>
      </c>
      <c r="D14" s="156" t="inlineStr">
        <is>
          <t>WL-CHA09</t>
        </is>
      </c>
      <c r="E14" s="156" t="inlineStr">
        <is>
          <t>WL-CHA09-UNI</t>
        </is>
      </c>
      <c r="F14" s="156" t="inlineStr">
        <is>
          <t>Talla única</t>
        </is>
      </c>
      <c r="G14" s="156" t="inlineStr">
        <is>
          <t>One Size</t>
        </is>
      </c>
      <c r="H14" s="156" t="inlineStr">
        <is>
          <t>Willow Lane</t>
        </is>
      </c>
      <c r="I14" s="156" t="inlineStr">
        <is>
          <t>Toquilla de Cadena Diamante Bañada en Oro 14K</t>
        </is>
      </c>
      <c r="J14" s="156" t="inlineStr">
        <is>
          <t>Accesorios</t>
        </is>
      </c>
      <c r="K14" s="156" t="inlineStr">
        <is>
          <t>Plumas para sombrero</t>
        </is>
      </c>
      <c r="L14" s="156" t="inlineStr">
        <is>
          <t>Unisex</t>
        </is>
      </c>
      <c r="M14" s="156" t="inlineStr">
        <is>
          <t>Willow Lane</t>
        </is>
      </c>
      <c r="N14" s="156" t="inlineStr">
        <is>
          <t>FW26</t>
        </is>
      </c>
      <c r="O14" s="156" t="inlineStr">
        <is>
          <t>Seasonal</t>
        </is>
      </c>
      <c r="P14" s="156" t="inlineStr">
        <is>
          <t>Amarillo</t>
        </is>
      </c>
      <c r="Q14" s="156" t="n"/>
      <c r="R14" s="156" t="n"/>
      <c r="S14" s="156" t="inlineStr">
        <is>
          <t>Cadena de metal bañado en oro 14K con componentes decorativos en forma de diamante</t>
        </is>
      </c>
      <c r="T14" s="156" t="inlineStr">
        <is>
          <t>Toquilla de Cadena Diamante Bañada en Oro 14K Material: Cadena de metal bañado en oro 14K con componentes decorativos en forma de diamante Origen: China</t>
        </is>
      </c>
      <c r="U14" s="156" t="inlineStr">
        <is>
          <t>China</t>
        </is>
      </c>
      <c r="V14" s="156" t="inlineStr">
        <is>
          <t>PZS</t>
        </is>
      </c>
      <c r="W14" s="51" t="inlineStr">
        <is>
          <t>54101600</t>
        </is>
      </c>
      <c r="X14" s="156" t="n"/>
      <c r="Y14" s="54" t="n">
        <v>332.5</v>
      </c>
      <c r="Z14" s="54" t="n">
        <v>950</v>
      </c>
      <c r="AA14" s="55">
        <f>IF(AND(A14="", B14="", E14=""), "", IF(AB14="", "Válido", IF((LEN(AB14)-LEN(SUBSTITUTE(AB14,"; ","")))/2+1&gt;(LEN(AB14)-LEN(SUBSTITUTE(AB14,"[Aviso]","")))/7, "Con Incidencias", "Válido")))</f>
        <v/>
      </c>
      <c r="AB14" s="56">
        <f>IF(AND(A14="", B14="", E14=""), "", TEXTJOIN("; ", TRUE, IF(OR(TRIM(A14&amp;"")="", ISNUMBER(SEARCH("FALTA", A14))), "UPC faltante/inválido", ""), IF(AND(A14&lt;&gt;"", IFERROR(_xlfn.XMATCH(A14,$A$2:$A$41,0,1)&lt;&gt;_xlfn.XMATCH(A14,$A$2:$A$41,0,-1),FALSE)), "Código de barras duplicado", ""), IF(AND(E14&lt;&gt;"", COUNTIF($E$2:$E$41, E14)&gt;1), "SKU duplicado", ""), IF(OR(J14="", J14=""), "[Aviso] División no capturada ()", IF(ISNA(MATCH(J14, Criterios!$A$123:$A$126, 0)), "División no válida", "")), IF(OR(K14="", K14=""), "[Aviso] Categoría no capturada ()", IF(ISNA(MATCH(K14, Criterios!$A$81:$A$120, 0)), "Categoría no válida", IF(AND(J14&lt;&gt;"", J14&lt;&gt;"", J14&lt;&gt;VLOOKUP(K14, Criterios!$A$81:$B$120, 2, FALSE)), "División no coincide con Categoría", ""))), IF(OR(L14="", L14=""), "[Aviso] Género no capturado ()", IF(ISNA(MATCH(L14, Criterios!$B$123:$B$127, 0)), "Género no válido", "")), IF(OR(N14="", N14=""), "[Aviso] Temporada no capturada ()", IF(ISNA(MATCH(N14, Criterios!$C$123:$C$128, 0)), "Temporada no válida", "")), IF(OR(O14="", O14=""), "[Aviso] Ciclo de vida no capturado ()", IF(ISNA(MATCH(O14, Criterios!$D$123:$D$124, 0)), "Ciclo de vida no válido", ""))))</f>
        <v/>
      </c>
      <c r="AC14" s="56" t="n"/>
      <c r="AD14" s="51" t="n">
        <v>1</v>
      </c>
      <c r="AE14" s="156" t="inlineStr">
        <is>
          <t>STETSON AMERICAS: 1</t>
        </is>
      </c>
      <c r="AF14" s="51" t="n">
        <v>1</v>
      </c>
      <c r="AG14" s="156" t="inlineStr">
        <is>
          <t>Nuevo – NetSuite con existencia</t>
        </is>
      </c>
      <c r="AH14" s="156" t="inlineStr">
        <is>
          <t>Categoría NetSuite «Toquillas» no existe en Criterios (proponer alta) | Revisión 29/09/2026: Marca Willow Lane fuera de lista Criterios; Campos sin respaldo: J, K, Q, R, X; Auditoría NetSuite 30/09/2026: llenado desde NetSuite [J,K,Q,R,Z,T] | 01/10/2026: complementado desde Shopify Stetson México (match por código de barras): WB Fit, WB Silueta, WB Descripción larga (más completa) | 01/10/2026: Shopify Stetson México trae SKU WL-CHA09 — se conservó el valor de Productos | Homologación G1522 06/10/2026: WB Fit: «» → «(blank)» (Completado desde NetSuite) · WB Silueta: «» → «(blank)» (Completado desde NetSuite) · WB Fit: «(blank)» → «» (Corrección aplicada) · WB Silueta: «(blank)» → «» (Corrección aplicada) · Validador Shopify: WB: precio con IVA no termina en 9</t>
        </is>
      </c>
      <c r="AI14" s="156" t="inlineStr">
        <is>
          <t>No</t>
        </is>
      </c>
      <c r="AJ14" s="156" t="n"/>
      <c r="AK14" s="155" t="inlineStr">
        <is>
          <t>ProductosCatalogoEstandar907.xlsx: fila 6145 [N,O,P,S,U,V,W,Y]; G1522_Extraccion_Articulos_NetSuite_2026-09-30.xlsx: fila 63960 [J,K,Q,R,Z,T] | Shopify Stetson: producto 15247083733355 / variante 53870276084075</t>
        </is>
      </c>
      <c r="AL14" s="58" t="n">
        <v>332.5</v>
      </c>
      <c r="AM14" s="58" t="n">
        <v>949.99999995</v>
      </c>
      <c r="AN14" s="155" t="inlineStr">
        <is>
          <t>Shopify Stetson México</t>
        </is>
      </c>
      <c r="AO14" s="59" t="n">
        <v>2</v>
      </c>
      <c r="AP14" s="59" t="n"/>
      <c r="AQ14" s="59" t="n"/>
      <c r="AR14" s="155" t="inlineStr">
        <is>
          <t>Shopify Stetson México › Stetson Americas: 2</t>
        </is>
      </c>
    </row>
    <row r="15">
      <c r="A15" s="50" t="inlineStr">
        <is>
          <t>634855324112</t>
        </is>
      </c>
      <c r="B15" s="51" t="inlineStr">
        <is>
          <t>117725</t>
        </is>
      </c>
      <c r="C15" s="156" t="inlineStr">
        <is>
          <t>Multimarca</t>
        </is>
      </c>
      <c r="D15" s="156" t="inlineStr">
        <is>
          <t>WL-CNCH03</t>
        </is>
      </c>
      <c r="E15" s="156" t="inlineStr">
        <is>
          <t>WL-CNCH03-UNI</t>
        </is>
      </c>
      <c r="F15" s="156" t="inlineStr">
        <is>
          <t>Talla única</t>
        </is>
      </c>
      <c r="G15" s="156" t="inlineStr">
        <is>
          <t>One Size</t>
        </is>
      </c>
      <c r="H15" s="156" t="inlineStr">
        <is>
          <t>Willow Lane</t>
        </is>
      </c>
      <c r="I15" s="156" t="inlineStr">
        <is>
          <t>Toquilla con Conchas Envejecidas - Briscoe</t>
        </is>
      </c>
      <c r="J15" s="156" t="inlineStr">
        <is>
          <t>Accesorios</t>
        </is>
      </c>
      <c r="K15" s="156" t="inlineStr">
        <is>
          <t>Plumas para sombrero</t>
        </is>
      </c>
      <c r="L15" s="156" t="inlineStr">
        <is>
          <t>Unisex</t>
        </is>
      </c>
      <c r="M15" s="156" t="inlineStr">
        <is>
          <t>Willow Lane</t>
        </is>
      </c>
      <c r="N15" s="156" t="inlineStr">
        <is>
          <t>FW26</t>
        </is>
      </c>
      <c r="O15" s="156" t="inlineStr">
        <is>
          <t>Seasonal</t>
        </is>
      </c>
      <c r="P15" s="156" t="inlineStr">
        <is>
          <t>Gris</t>
        </is>
      </c>
      <c r="Q15" s="156" t="n"/>
      <c r="R15" s="156" t="n"/>
      <c r="S15" s="156" t="inlineStr">
        <is>
          <t>Conchas de metal envejecido con componentes de textil/cordón</t>
        </is>
      </c>
      <c r="T15" s="156" t="inlineStr">
        <is>
          <t>Toquilla con Conchas Envejecidas - Briscoe Material: Conchas de metal envejecido con componentes de textil/cordón Origen: China</t>
        </is>
      </c>
      <c r="U15" s="156" t="inlineStr">
        <is>
          <t>China</t>
        </is>
      </c>
      <c r="V15" s="156" t="inlineStr">
        <is>
          <t>PZS</t>
        </is>
      </c>
      <c r="W15" s="51" t="inlineStr">
        <is>
          <t>54101600</t>
        </is>
      </c>
      <c r="X15" s="156" t="n"/>
      <c r="Y15" s="54" t="n">
        <v>210</v>
      </c>
      <c r="Z15" s="54" t="n">
        <v>600</v>
      </c>
      <c r="AA15" s="55">
        <f>IF(AND(A15="", B15="", E15=""), "", IF(AB15="", "Válido", IF((LEN(AB15)-LEN(SUBSTITUTE(AB15,"; ","")))/2+1&gt;(LEN(AB15)-LEN(SUBSTITUTE(AB15,"[Aviso]","")))/7, "Con Incidencias", "Válido")))</f>
        <v/>
      </c>
      <c r="AB15" s="56">
        <f>IF(AND(A15="", B15="", E15=""), "", TEXTJOIN("; ", TRUE, IF(OR(TRIM(A15&amp;"")="", ISNUMBER(SEARCH("FALTA", A15))), "UPC faltante/inválido", ""), IF(AND(A15&lt;&gt;"", IFERROR(_xlfn.XMATCH(A15,$A$2:$A$41,0,1)&lt;&gt;_xlfn.XMATCH(A15,$A$2:$A$41,0,-1),FALSE)), "Código de barras duplicado", ""), IF(AND(E15&lt;&gt;"", COUNTIF($E$2:$E$41, E15)&gt;1), "SKU duplicado", ""), IF(OR(J15="", J15=""), "[Aviso] División no capturada ()", IF(ISNA(MATCH(J15, Criterios!$A$123:$A$126, 0)), "División no válida", "")), IF(OR(K15="", K15=""), "[Aviso] Categoría no capturada ()", IF(ISNA(MATCH(K15, Criterios!$A$81:$A$120, 0)), "Categoría no válida", IF(AND(J15&lt;&gt;"", J15&lt;&gt;"", J15&lt;&gt;VLOOKUP(K15, Criterios!$A$81:$B$120, 2, FALSE)), "División no coincide con Categoría", ""))), IF(OR(L15="", L15=""), "[Aviso] Género no capturado ()", IF(ISNA(MATCH(L15, Criterios!$B$123:$B$127, 0)), "Género no válido", "")), IF(OR(N15="", N15=""), "[Aviso] Temporada no capturada ()", IF(ISNA(MATCH(N15, Criterios!$C$123:$C$128, 0)), "Temporada no válida", "")), IF(OR(O15="", O15=""), "[Aviso] Ciclo de vida no capturado ()", IF(ISNA(MATCH(O15, Criterios!$D$123:$D$124, 0)), "Ciclo de vida no válido", ""))))</f>
        <v/>
      </c>
      <c r="AC15" s="56" t="n"/>
      <c r="AD15" s="51" t="n">
        <v>2</v>
      </c>
      <c r="AE15" s="156" t="inlineStr">
        <is>
          <t>STETSON AMERICAS: 2</t>
        </is>
      </c>
      <c r="AF15" s="51" t="n">
        <v>2</v>
      </c>
      <c r="AG15" s="156" t="inlineStr">
        <is>
          <t>Nuevo – NetSuite con existencia</t>
        </is>
      </c>
      <c r="AH15" s="156" t="inlineStr">
        <is>
          <t>Categoría NetSuite «Toquillas» no existe en Criterios (proponer alta) | Revisión 29/09/2026: Marca Willow Lane fuera de lista Criterios; Campos sin respaldo: J, K, Q, R, X; Auditoría NetSuite 30/09/2026: llenado desde NetSuite [J,K,Q,R,Z,T] | 01/10/2026: complementado desde Shopify Stetson México (match por código de barras): WB Fit, WB Silueta, WB Descripción larga (más completa) | 01/10/2026: Shopify Stetson México trae SKU WL-CNCH03 — se conservó el valor de Productos | Homologación G1522 06/10/2026: WB Fit: «» → «(blank)» (Completado desde NetSuite) · WB Silueta: «» → «(blank)» (Completado desde NetSuite) · WB Fit: «(blank)» → «» (Corrección aplicada) · WB Silueta: «(blank)» → «» (Corrección aplicada) · Validador Shopify: WB: precio con IVA no termina en 9</t>
        </is>
      </c>
      <c r="AI15" s="156" t="inlineStr">
        <is>
          <t>No</t>
        </is>
      </c>
      <c r="AJ15" s="156" t="n"/>
      <c r="AK15" s="155" t="inlineStr">
        <is>
          <t>ProductosCatalogoEstandar907.xlsx: fila 6146 [N,O,P,S,U,V,W,Y]; G1522_Extraccion_Articulos_NetSuite_2026-09-30.xlsx: fila 63973 [J,K,Q,R,Z,T] | Shopify Stetson: producto 15247084192107 / variante 53870276542827</t>
        </is>
      </c>
      <c r="AL15" s="58" t="n">
        <v>210</v>
      </c>
      <c r="AM15" s="58" t="n">
        <v>599.99999999</v>
      </c>
      <c r="AN15" s="155" t="inlineStr">
        <is>
          <t>Shopify Stetson México</t>
        </is>
      </c>
      <c r="AO15" s="59" t="n">
        <v>2</v>
      </c>
      <c r="AP15" s="59" t="n"/>
      <c r="AQ15" s="59" t="n"/>
      <c r="AR15" s="155" t="inlineStr">
        <is>
          <t>Shopify Stetson México › Stetson Americas: 2</t>
        </is>
      </c>
    </row>
    <row r="16">
      <c r="A16" s="50" t="inlineStr">
        <is>
          <t>634855013962</t>
        </is>
      </c>
      <c r="B16" s="51" t="inlineStr">
        <is>
          <t>117738</t>
        </is>
      </c>
      <c r="C16" s="156" t="inlineStr">
        <is>
          <t>Multimarca</t>
        </is>
      </c>
      <c r="D16" s="156" t="inlineStr">
        <is>
          <t>WL-CNCH04</t>
        </is>
      </c>
      <c r="E16" s="156" t="inlineStr">
        <is>
          <t>WL-CNCH04-UNI</t>
        </is>
      </c>
      <c r="F16" s="156" t="inlineStr">
        <is>
          <t>Talla única</t>
        </is>
      </c>
      <c r="G16" s="156" t="inlineStr">
        <is>
          <t>One Size</t>
        </is>
      </c>
      <c r="H16" s="156" t="inlineStr">
        <is>
          <t>Willow Lane</t>
        </is>
      </c>
      <c r="I16" s="156" t="inlineStr">
        <is>
          <t>Toquilla con Concha Plateada y Piedra Turquesa - Strider</t>
        </is>
      </c>
      <c r="J16" s="156" t="inlineStr">
        <is>
          <t>Accesorios</t>
        </is>
      </c>
      <c r="K16" s="156" t="inlineStr">
        <is>
          <t>Plumas para sombrero</t>
        </is>
      </c>
      <c r="L16" s="156" t="inlineStr">
        <is>
          <t>Unisex</t>
        </is>
      </c>
      <c r="M16" s="156" t="inlineStr">
        <is>
          <t>Willow Lane</t>
        </is>
      </c>
      <c r="N16" s="156" t="inlineStr">
        <is>
          <t>FW26</t>
        </is>
      </c>
      <c r="O16" s="156" t="inlineStr">
        <is>
          <t>Seasonal</t>
        </is>
      </c>
      <c r="P16" s="156" t="inlineStr">
        <is>
          <t>Gris</t>
        </is>
      </c>
      <c r="Q16" s="156" t="n"/>
      <c r="R16" s="156" t="n"/>
      <c r="S16" s="156" t="inlineStr">
        <is>
          <t>Conchas de metal tono plata, piedra color turquesa y componentes de textil/cordón</t>
        </is>
      </c>
      <c r="T16" s="156" t="inlineStr">
        <is>
          <t>Toquilla con Concha Plateada y Piedra Turquesa - Strider. Artículo de la marca Willow Lane. Estilo WL-CNCH04.</t>
        </is>
      </c>
      <c r="U16" s="156" t="inlineStr">
        <is>
          <t>China</t>
        </is>
      </c>
      <c r="V16" s="156" t="inlineStr">
        <is>
          <t>PZS</t>
        </is>
      </c>
      <c r="W16" s="51" t="inlineStr">
        <is>
          <t>54101600</t>
        </is>
      </c>
      <c r="X16" s="156" t="n"/>
      <c r="Y16" s="54" t="n">
        <v>210</v>
      </c>
      <c r="Z16" s="54" t="n">
        <v>600</v>
      </c>
      <c r="AA16" s="55">
        <f>IF(AND(A16="", B16="", E16=""), "", IF(AB16="", "Válido", IF((LEN(AB16)-LEN(SUBSTITUTE(AB16,"; ","")))/2+1&gt;(LEN(AB16)-LEN(SUBSTITUTE(AB16,"[Aviso]","")))/7, "Con Incidencias", "Válido")))</f>
        <v/>
      </c>
      <c r="AB16" s="56">
        <f>IF(AND(A16="", B16="", E16=""), "", TEXTJOIN("; ", TRUE, IF(OR(TRIM(A16&amp;"")="", ISNUMBER(SEARCH("FALTA", A16))), "UPC faltante/inválido", ""), IF(AND(A16&lt;&gt;"", IFERROR(_xlfn.XMATCH(A16,$A$2:$A$41,0,1)&lt;&gt;_xlfn.XMATCH(A16,$A$2:$A$41,0,-1),FALSE)), "Código de barras duplicado", ""), IF(AND(E16&lt;&gt;"", COUNTIF($E$2:$E$41, E16)&gt;1), "SKU duplicado", ""), IF(OR(J16="", J16=""), "[Aviso] División no capturada ()", IF(ISNA(MATCH(J16, Criterios!$A$123:$A$126, 0)), "División no válida", "")), IF(OR(K16="", K16=""), "[Aviso] Categoría no capturada ()", IF(ISNA(MATCH(K16, Criterios!$A$81:$A$120, 0)), "Categoría no válida", IF(AND(J16&lt;&gt;"", J16&lt;&gt;"", J16&lt;&gt;VLOOKUP(K16, Criterios!$A$81:$B$120, 2, FALSE)), "División no coincide con Categoría", ""))), IF(OR(L16="", L16=""), "[Aviso] Género no capturado ()", IF(ISNA(MATCH(L16, Criterios!$B$123:$B$127, 0)), "Género no válido", "")), IF(OR(N16="", N16=""), "[Aviso] Temporada no capturada ()", IF(ISNA(MATCH(N16, Criterios!$C$123:$C$128, 0)), "Temporada no válida", "")), IF(OR(O16="", O16=""), "[Aviso] Ciclo de vida no capturado ()", IF(ISNA(MATCH(O16, Criterios!$D$123:$D$124, 0)), "Ciclo de vida no válido", ""))))</f>
        <v/>
      </c>
      <c r="AC16" s="56" t="n"/>
      <c r="AD16" s="51" t="n">
        <v>1</v>
      </c>
      <c r="AE16" s="156" t="inlineStr">
        <is>
          <t>STETSON AMERICAS: 1</t>
        </is>
      </c>
      <c r="AF16" s="51" t="n">
        <v>1</v>
      </c>
      <c r="AG16" s="156" t="inlineStr">
        <is>
          <t>Nuevo – NetSuite con existencia</t>
        </is>
      </c>
      <c r="AH16" s="156" t="inlineStr">
        <is>
          <t>Categoría NetSuite «Toquillas» no existe en Criterios (proponer alta) | Revisión 29/09/2026: Marca Willow Lane fuera de lista Criterios; Campos sin respaldo: J, K, Q, R, X; Auditoría NetSuite 30/09/2026: llenado desde NetSuite [J,K,P,Q,R,Z,S] | 01/10/2026: complementado desde Shopify Stetson México (match por código de barras): WB Fit, WB Silueta | 01/10/2026: Shopify Stetson México trae SKU WL-CNCH04, Color «Azul» — se conservó el valor de Productos | Homologación G1522 06/10/2026: WB Fit: «» → «(blank)» (Completado desde NetSuite) · WB Silueta: «» → «(blank)» (Completado desde NetSuite) · WB Fit: «(blank)» → «» (Corrección aplicada) · WB Silueta: «(blank)» → «» (Corrección aplicada) · Validador Shopify: WB: precio con IVA no termina en 9</t>
        </is>
      </c>
      <c r="AI16" s="156" t="inlineStr">
        <is>
          <t>No</t>
        </is>
      </c>
      <c r="AJ16" s="156" t="n"/>
      <c r="AK16" s="155" t="inlineStr">
        <is>
          <t>ProductosCatalogoEstandar907.xlsx: fila 6147 [N,O,S,U,V,W,Y]; G1522_Extraccion_Articulos_NetSuite_2026-09-30.xlsx: fila 63986 [J,K,P,Q,R,Z,S] | Shopify Stetson: producto 15247084847467 / variante 53870278345067</t>
        </is>
      </c>
      <c r="AL16" s="58" t="n">
        <v>210</v>
      </c>
      <c r="AM16" s="58" t="n">
        <v>599.99999999</v>
      </c>
      <c r="AN16" s="155" t="inlineStr">
        <is>
          <t>Shopify Stetson México</t>
        </is>
      </c>
      <c r="AO16" s="59" t="n">
        <v>1</v>
      </c>
      <c r="AP16" s="59" t="n"/>
      <c r="AQ16" s="59" t="n"/>
      <c r="AR16" s="155" t="inlineStr">
        <is>
          <t>Shopify Stetson México › Stetson Americas: 1</t>
        </is>
      </c>
    </row>
    <row r="17">
      <c r="A17" s="50" t="inlineStr">
        <is>
          <t>612461656070</t>
        </is>
      </c>
      <c r="B17" s="51" t="inlineStr">
        <is>
          <t>117737</t>
        </is>
      </c>
      <c r="C17" s="156" t="inlineStr">
        <is>
          <t>Multimarca</t>
        </is>
      </c>
      <c r="D17" s="156" t="inlineStr">
        <is>
          <t>WL-CNCH10</t>
        </is>
      </c>
      <c r="E17" s="156" t="inlineStr">
        <is>
          <t>WL-CNCH10-UNI</t>
        </is>
      </c>
      <c r="F17" s="156" t="inlineStr">
        <is>
          <t>Talla única</t>
        </is>
      </c>
      <c r="G17" s="156" t="inlineStr">
        <is>
          <t>One Size</t>
        </is>
      </c>
      <c r="H17" s="156" t="inlineStr">
        <is>
          <t>Willow Lane</t>
        </is>
      </c>
      <c r="I17" s="156" t="inlineStr">
        <is>
          <t>Toquilla con Concha Plateada - Palomino</t>
        </is>
      </c>
      <c r="J17" s="156" t="inlineStr">
        <is>
          <t>Accesorios</t>
        </is>
      </c>
      <c r="K17" s="156" t="inlineStr">
        <is>
          <t>Plumas para sombrero</t>
        </is>
      </c>
      <c r="L17" s="156" t="inlineStr">
        <is>
          <t>Unisex</t>
        </is>
      </c>
      <c r="M17" s="156" t="inlineStr">
        <is>
          <t>Willow Lane</t>
        </is>
      </c>
      <c r="N17" s="156" t="inlineStr">
        <is>
          <t>FW26</t>
        </is>
      </c>
      <c r="O17" s="156" t="inlineStr">
        <is>
          <t>Seasonal</t>
        </is>
      </c>
      <c r="P17" s="156" t="inlineStr">
        <is>
          <t>Gris</t>
        </is>
      </c>
      <c r="Q17" s="156" t="n"/>
      <c r="R17" s="156" t="n"/>
      <c r="S17" s="156" t="inlineStr">
        <is>
          <t>Conchas de metal tono plata con componentes de textil/cordón</t>
        </is>
      </c>
      <c r="T17" s="156" t="inlineStr">
        <is>
          <t>Toquilla con Concha Plateada - Palomino Material: Conchas de metal tono plata con componentes de textil/cordón Origen: China</t>
        </is>
      </c>
      <c r="U17" s="156" t="inlineStr">
        <is>
          <t>China</t>
        </is>
      </c>
      <c r="V17" s="156" t="inlineStr">
        <is>
          <t>PZS</t>
        </is>
      </c>
      <c r="W17" s="51" t="inlineStr">
        <is>
          <t>54101600</t>
        </is>
      </c>
      <c r="X17" s="156" t="n"/>
      <c r="Y17" s="54" t="n">
        <v>210</v>
      </c>
      <c r="Z17" s="54" t="n">
        <v>600</v>
      </c>
      <c r="AA17" s="55">
        <f>IF(AND(A17="", B17="", E17=""), "", IF(AB17="", "Válido", IF((LEN(AB17)-LEN(SUBSTITUTE(AB17,"; ","")))/2+1&gt;(LEN(AB17)-LEN(SUBSTITUTE(AB17,"[Aviso]","")))/7, "Con Incidencias", "Válido")))</f>
        <v/>
      </c>
      <c r="AB17" s="56">
        <f>IF(AND(A17="", B17="", E17=""), "", TEXTJOIN("; ", TRUE, IF(OR(TRIM(A17&amp;"")="", ISNUMBER(SEARCH("FALTA", A17))), "UPC faltante/inválido", ""), IF(AND(A17&lt;&gt;"", IFERROR(_xlfn.XMATCH(A17,$A$2:$A$41,0,1)&lt;&gt;_xlfn.XMATCH(A17,$A$2:$A$41,0,-1),FALSE)), "Código de barras duplicado", ""), IF(AND(E17&lt;&gt;"", COUNTIF($E$2:$E$41, E17)&gt;1), "SKU duplicado", ""), IF(OR(J17="", J17=""), "[Aviso] División no capturada ()", IF(ISNA(MATCH(J17, Criterios!$A$123:$A$126, 0)), "División no válida", "")), IF(OR(K17="", K17=""), "[Aviso] Categoría no capturada ()", IF(ISNA(MATCH(K17, Criterios!$A$81:$A$120, 0)), "Categoría no válida", IF(AND(J17&lt;&gt;"", J17&lt;&gt;"", J17&lt;&gt;VLOOKUP(K17, Criterios!$A$81:$B$120, 2, FALSE)), "División no coincide con Categoría", ""))), IF(OR(L17="", L17=""), "[Aviso] Género no capturado ()", IF(ISNA(MATCH(L17, Criterios!$B$123:$B$127, 0)), "Género no válido", "")), IF(OR(N17="", N17=""), "[Aviso] Temporada no capturada ()", IF(ISNA(MATCH(N17, Criterios!$C$123:$C$128, 0)), "Temporada no válida", "")), IF(OR(O17="", O17=""), "[Aviso] Ciclo de vida no capturado ()", IF(ISNA(MATCH(O17, Criterios!$D$123:$D$124, 0)), "Ciclo de vida no válido", ""))))</f>
        <v/>
      </c>
      <c r="AC17" s="56" t="n"/>
      <c r="AD17" s="51" t="n">
        <v>0</v>
      </c>
      <c r="AE17" s="156" t="n"/>
      <c r="AF17" s="51" t="n">
        <v>0</v>
      </c>
      <c r="AG17" s="156" t="inlineStr">
        <is>
          <t>Nuevo – NetSuite con existencia</t>
        </is>
      </c>
      <c r="AH17" s="156" t="inlineStr">
        <is>
          <t>Categoría NetSuite «Toquillas» no existe en Criterios (proponer alta) | Revisión 29/09/2026: Marca Willow Lane fuera de lista Criterios; Campos sin respaldo: J, K, Q, R, X; Auditoría NetSuite 30/09/2026: llenado desde NetSuite [J,K,Q,R,Z,T] | 01/10/2026: complementado desde Shopify Stetson México (match por código de barras): WB Fit, WB Silueta, WB Descripción larga (más completa) | 01/10/2026: Shopify Stetson México trae SKU WL-CNCH10 — se conservó el valor de Productos | Homologación G1522 06/10/2026: WB Fit: «» → «(blank)» (Completado desde NetSuite) · WB Silueta: «» → «(blank)» (Completado desde NetSuite) · WB Fit: «(blank)» → «» (Corrección aplicada) · WB Silueta: «(blank)» → «» (Corrección aplicada) · Validador Shopify: WB: precio con IVA no termina en 9</t>
        </is>
      </c>
      <c r="AI17" s="156" t="inlineStr">
        <is>
          <t>No</t>
        </is>
      </c>
      <c r="AJ17" s="156" t="n"/>
      <c r="AK17" s="155" t="inlineStr">
        <is>
          <t>ProductosCatalogoEstandar907.xlsx: fila 6148 [N,O,P,S,U,V,W,Y]; G1522_Extraccion_Articulos_NetSuite_2026-09-30.xlsx: fila 63985 [J,K,Q,R,Z,T] | Shopify Stetson: producto 15247084814699 / variante 53870278312299</t>
        </is>
      </c>
      <c r="AL17" s="58" t="n">
        <v>210</v>
      </c>
      <c r="AM17" s="58" t="n">
        <v>599.99999999</v>
      </c>
      <c r="AN17" s="155" t="inlineStr">
        <is>
          <t>Shopify Stetson México</t>
        </is>
      </c>
      <c r="AO17" s="59" t="n">
        <v>0</v>
      </c>
      <c r="AP17" s="59" t="n"/>
      <c r="AQ17" s="59" t="n"/>
      <c r="AR17" s="155" t="n"/>
    </row>
    <row r="18">
      <c r="A18" s="50" t="inlineStr">
        <is>
          <t>612461741936</t>
        </is>
      </c>
      <c r="B18" s="51" t="inlineStr">
        <is>
          <t>117735</t>
        </is>
      </c>
      <c r="C18" s="156" t="inlineStr">
        <is>
          <t>Multimarca</t>
        </is>
      </c>
      <c r="D18" s="156" t="inlineStr">
        <is>
          <t>WL-LTHR13</t>
        </is>
      </c>
      <c r="E18" s="156" t="inlineStr">
        <is>
          <t>WL-LTHR13-UNI</t>
        </is>
      </c>
      <c r="F18" s="156" t="inlineStr">
        <is>
          <t>Talla única</t>
        </is>
      </c>
      <c r="G18" s="156" t="inlineStr">
        <is>
          <t>One Size</t>
        </is>
      </c>
      <c r="H18" s="156" t="inlineStr">
        <is>
          <t>Willow Lane</t>
        </is>
      </c>
      <c r="I18" s="156" t="inlineStr">
        <is>
          <t>Toquilla de Piel Labrada Negra con Hebilla</t>
        </is>
      </c>
      <c r="J18" s="156" t="inlineStr">
        <is>
          <t>Accesorios</t>
        </is>
      </c>
      <c r="K18" s="156" t="inlineStr">
        <is>
          <t>Hebillas</t>
        </is>
      </c>
      <c r="L18" s="156" t="inlineStr">
        <is>
          <t>Unisex</t>
        </is>
      </c>
      <c r="M18" s="156" t="inlineStr">
        <is>
          <t>Willow Lane</t>
        </is>
      </c>
      <c r="N18" s="156" t="inlineStr">
        <is>
          <t>FW26</t>
        </is>
      </c>
      <c r="O18" s="156" t="inlineStr">
        <is>
          <t>Seasonal</t>
        </is>
      </c>
      <c r="P18" s="156" t="inlineStr">
        <is>
          <t>Negro</t>
        </is>
      </c>
      <c r="Q18" s="156" t="n"/>
      <c r="R18" s="156" t="n"/>
      <c r="S18" s="156" t="inlineStr">
        <is>
          <t>Piel y herraje de hebilla metálica</t>
        </is>
      </c>
      <c r="T18" s="156" t="inlineStr">
        <is>
          <t>Toquilla de Piel Labrada Negra con Hebilla</t>
        </is>
      </c>
      <c r="U18" s="156" t="inlineStr">
        <is>
          <t>India</t>
        </is>
      </c>
      <c r="V18" s="156" t="inlineStr">
        <is>
          <t>PZS</t>
        </is>
      </c>
      <c r="W18" s="51" t="inlineStr">
        <is>
          <t>54101600</t>
        </is>
      </c>
      <c r="X18" s="156" t="n"/>
      <c r="Y18" s="54" t="n">
        <v>262.5</v>
      </c>
      <c r="Z18" s="54" t="n">
        <v>750</v>
      </c>
      <c r="AA18" s="55">
        <f>IF(AND(A18="", B18="", E18=""), "", IF(AB18="", "Válido", IF((LEN(AB18)-LEN(SUBSTITUTE(AB18,"; ","")))/2+1&gt;(LEN(AB18)-LEN(SUBSTITUTE(AB18,"[Aviso]","")))/7, "Con Incidencias", "Válido")))</f>
        <v/>
      </c>
      <c r="AB18" s="56">
        <f>IF(AND(A18="", B18="", E18=""), "", TEXTJOIN("; ", TRUE, IF(OR(TRIM(A18&amp;"")="", ISNUMBER(SEARCH("FALTA", A18))), "UPC faltante/inválido", ""), IF(AND(A18&lt;&gt;"", IFERROR(_xlfn.XMATCH(A18,$A$2:$A$41,0,1)&lt;&gt;_xlfn.XMATCH(A18,$A$2:$A$41,0,-1),FALSE)), "Código de barras duplicado", ""), IF(AND(E18&lt;&gt;"", COUNTIF($E$2:$E$41, E18)&gt;1), "SKU duplicado", ""), IF(OR(J18="", J18=""), "[Aviso] División no capturada ()", IF(ISNA(MATCH(J18, Criterios!$A$123:$A$126, 0)), "División no válida", "")), IF(OR(K18="", K18=""), "[Aviso] Categoría no capturada ()", IF(ISNA(MATCH(K18, Criterios!$A$81:$A$120, 0)), "Categoría no válida", IF(AND(J18&lt;&gt;"", J18&lt;&gt;"", J18&lt;&gt;VLOOKUP(K18, Criterios!$A$81:$B$120, 2, FALSE)), "División no coincide con Categoría", ""))), IF(OR(L18="", L18=""), "[Aviso] Género no capturado ()", IF(ISNA(MATCH(L18, Criterios!$B$123:$B$127, 0)), "Género no válido", "")), IF(OR(N18="", N18=""), "[Aviso] Temporada no capturada ()", IF(ISNA(MATCH(N18, Criterios!$C$123:$C$128, 0)), "Temporada no válida", "")), IF(OR(O18="", O18=""), "[Aviso] Ciclo de vida no capturado ()", IF(ISNA(MATCH(O18, Criterios!$D$123:$D$124, 0)), "Ciclo de vida no válido", ""))))</f>
        <v/>
      </c>
      <c r="AC18" s="56" t="n"/>
      <c r="AD18" s="51" t="n">
        <v>2</v>
      </c>
      <c r="AE18" s="156" t="inlineStr">
        <is>
          <t>STETSON AMERICAS: 2</t>
        </is>
      </c>
      <c r="AF18" s="51" t="n">
        <v>2</v>
      </c>
      <c r="AG18" s="156" t="inlineStr">
        <is>
          <t>Nuevo – NetSuite con existencia</t>
        </is>
      </c>
      <c r="AH18" s="156" t="inlineStr">
        <is>
          <t>Categoría NetSuite «Toquillas» no existe en Criterios (proponer alta) | Revisión 29/09/2026: Marca Willow Lane fuera de lista Criterios; Campos sin respaldo: X; Auditoría NetSuite 30/09/2026: llenado desde NetSuite [L,P,Z,T] | 01/10/2026: complementado desde Shopify Stetson México (match por código de barras): WB Fit, WB Silueta | 01/10/2026: Shopify Stetson México trae SKU WL-LTHR13 — se conservó el valor de Productos | Homologación G1522 06/10/2026: WB Fit: «» → «(blank)» (Completado desde NetSuite) · WB Silueta: «» → «(blank)» (Completado desde NetSuite) · WB Fit: «(blank)» → «» (Corrección aplicada) · WB Silueta: «(blank)» → «» (Corrección aplicada) · Validador Shopify: WB: precio con IVA no termina en 9</t>
        </is>
      </c>
      <c r="AI18" s="156" t="inlineStr">
        <is>
          <t>No</t>
        </is>
      </c>
      <c r="AJ18" s="156" t="n"/>
      <c r="AK18" s="155" t="inlineStr">
        <is>
          <t>ProductosCatalogoEstandar907.xlsx: fila 6161 [N,O,S,U,V,W,Y] | Criterios: D [K,J] | Criterios: I [Q] | Criterios: J [R]; G1522_Extraccion_Articulos_NetSuite_2026-09-30.xlsx: fila 63983 [L,P,Z,T] | Shopify Stetson: producto 15247084618091 / variante 53870276968811</t>
        </is>
      </c>
      <c r="AL18" s="58" t="n">
        <v>262.5</v>
      </c>
      <c r="AM18" s="58" t="n">
        <v>749.99999996</v>
      </c>
      <c r="AN18" s="155" t="inlineStr">
        <is>
          <t>Shopify Stetson México</t>
        </is>
      </c>
      <c r="AO18" s="59" t="n">
        <v>3</v>
      </c>
      <c r="AP18" s="59" t="n"/>
      <c r="AQ18" s="59" t="n"/>
      <c r="AR18" s="155" t="inlineStr">
        <is>
          <t>Shopify Stetson México › Stetson Americas: 3</t>
        </is>
      </c>
    </row>
    <row r="19">
      <c r="A19" s="50" t="inlineStr">
        <is>
          <t>742968415860</t>
        </is>
      </c>
      <c r="B19" s="51" t="inlineStr">
        <is>
          <t>117753</t>
        </is>
      </c>
      <c r="C19" s="156" t="inlineStr">
        <is>
          <t>Multimarca</t>
        </is>
      </c>
      <c r="D19" s="156" t="inlineStr">
        <is>
          <t>WL-LTHR24</t>
        </is>
      </c>
      <c r="E19" s="156" t="inlineStr">
        <is>
          <t>WL-LTHR24-UNI</t>
        </is>
      </c>
      <c r="F19" s="156" t="inlineStr">
        <is>
          <t>Talla única</t>
        </is>
      </c>
      <c r="G19" s="156" t="inlineStr">
        <is>
          <t>One Size</t>
        </is>
      </c>
      <c r="H19" s="156" t="inlineStr">
        <is>
          <t>Willow Lane</t>
        </is>
      </c>
      <c r="I19" s="156" t="inlineStr">
        <is>
          <t>Toquilla de Piel de Vaca con Hebilla Plateada - Branson</t>
        </is>
      </c>
      <c r="J19" s="156" t="inlineStr">
        <is>
          <t>Accesorios</t>
        </is>
      </c>
      <c r="K19" s="156" t="inlineStr">
        <is>
          <t>Hebillas</t>
        </is>
      </c>
      <c r="L19" s="156" t="inlineStr">
        <is>
          <t>Unisex</t>
        </is>
      </c>
      <c r="M19" s="156" t="inlineStr">
        <is>
          <t>Willow Lane</t>
        </is>
      </c>
      <c r="N19" s="156" t="inlineStr">
        <is>
          <t>FW26</t>
        </is>
      </c>
      <c r="O19" s="156" t="inlineStr">
        <is>
          <t>Seasonal</t>
        </is>
      </c>
      <c r="P19" s="156" t="inlineStr">
        <is>
          <t>Cafe</t>
        </is>
      </c>
      <c r="Q19" s="156" t="n"/>
      <c r="R19" s="156" t="n"/>
      <c r="S19" s="156" t="inlineStr">
        <is>
          <t>Piel de vaca y herraje de hebilla tono plata</t>
        </is>
      </c>
      <c r="T19" s="156" t="inlineStr">
        <is>
          <t>Toquilla de Piel de Vaca con Hebilla Plateada - Branson</t>
        </is>
      </c>
      <c r="U19" s="156" t="inlineStr">
        <is>
          <t>India</t>
        </is>
      </c>
      <c r="V19" s="156" t="inlineStr">
        <is>
          <t>PZS</t>
        </is>
      </c>
      <c r="W19" s="51" t="inlineStr">
        <is>
          <t>54101600</t>
        </is>
      </c>
      <c r="X19" s="156" t="n"/>
      <c r="Y19" s="54" t="n">
        <v>280</v>
      </c>
      <c r="Z19" s="54" t="n">
        <v>800</v>
      </c>
      <c r="AA19" s="55">
        <f>IF(AND(A19="", B19="", E19=""), "", IF(AB19="", "Válido", IF((LEN(AB19)-LEN(SUBSTITUTE(AB19,"; ","")))/2+1&gt;(LEN(AB19)-LEN(SUBSTITUTE(AB19,"[Aviso]","")))/7, "Con Incidencias", "Válido")))</f>
        <v/>
      </c>
      <c r="AB19" s="56">
        <f>IF(AND(A19="", B19="", E19=""), "", TEXTJOIN("; ", TRUE, IF(OR(TRIM(A19&amp;"")="", ISNUMBER(SEARCH("FALTA", A19))), "UPC faltante/inválido", ""), IF(AND(A19&lt;&gt;"", IFERROR(_xlfn.XMATCH(A19,$A$2:$A$41,0,1)&lt;&gt;_xlfn.XMATCH(A19,$A$2:$A$41,0,-1),FALSE)), "Código de barras duplicado", ""), IF(AND(E19&lt;&gt;"", COUNTIF($E$2:$E$41, E19)&gt;1), "SKU duplicado", ""), IF(OR(J19="", J19=""), "[Aviso] División no capturada ()", IF(ISNA(MATCH(J19, Criterios!$A$123:$A$126, 0)), "División no válida", "")), IF(OR(K19="", K19=""), "[Aviso] Categoría no capturada ()", IF(ISNA(MATCH(K19, Criterios!$A$81:$A$120, 0)), "Categoría no válida", IF(AND(J19&lt;&gt;"", J19&lt;&gt;"", J19&lt;&gt;VLOOKUP(K19, Criterios!$A$81:$B$120, 2, FALSE)), "División no coincide con Categoría", ""))), IF(OR(L19="", L19=""), "[Aviso] Género no capturado ()", IF(ISNA(MATCH(L19, Criterios!$B$123:$B$127, 0)), "Género no válido", "")), IF(OR(N19="", N19=""), "[Aviso] Temporada no capturada ()", IF(ISNA(MATCH(N19, Criterios!$C$123:$C$128, 0)), "Temporada no válida", "")), IF(OR(O19="", O19=""), "[Aviso] Ciclo de vida no capturado ()", IF(ISNA(MATCH(O19, Criterios!$D$123:$D$124, 0)), "Ciclo de vida no válido", ""))))</f>
        <v/>
      </c>
      <c r="AC19" s="56" t="n"/>
      <c r="AD19" s="51" t="n">
        <v>3</v>
      </c>
      <c r="AE19" s="156" t="inlineStr">
        <is>
          <t>STETSON AMERICAS: 3</t>
        </is>
      </c>
      <c r="AF19" s="51" t="n">
        <v>3</v>
      </c>
      <c r="AG19" s="156" t="inlineStr">
        <is>
          <t>Nuevo – NetSuite con existencia</t>
        </is>
      </c>
      <c r="AH19" s="156" t="inlineStr">
        <is>
          <t>Categoría NetSuite «Toquillas» no existe en Criterios (proponer alta) | Revisión 29/09/2026: Marca Willow Lane fuera de lista Criterios; Campos sin respaldo: X; Auditoría NetSuite 30/09/2026: llenado desde NetSuite [L,Z,T] | 01/10/2026: complementado desde Shopify Stetson México (match por código de barras): WB Fit, WB Silueta | 01/10/2026: Shopify Stetson México trae SKU WL-LTHR24 — se conservó el valor de Productos | Homologación G1522 06/10/2026: Validador Shopify: WB: precio con IVA no termina en 9</t>
        </is>
      </c>
      <c r="AI19" s="156" t="inlineStr">
        <is>
          <t>No</t>
        </is>
      </c>
      <c r="AJ19" s="156" t="n"/>
      <c r="AK19" s="155" t="inlineStr">
        <is>
          <t>ProductosCatalogoEstandar907.xlsx: fila 6162 [N,O,P,S,U,V,W,Y] | Criterios: D [K,J] | Criterios: I [Q] | Criterios: J [R]; G1522_Extraccion_Articulos_NetSuite_2026-09-30.xlsx: fila 64001 [L,Z,T] | Shopify Stetson: producto 15247084913003 / variante 53870278410603</t>
        </is>
      </c>
      <c r="AL19" s="58" t="n">
        <v>280</v>
      </c>
      <c r="AM19" s="58" t="n">
        <v>799.99999998</v>
      </c>
      <c r="AN19" s="155" t="inlineStr">
        <is>
          <t>Shopify Stetson México</t>
        </is>
      </c>
      <c r="AO19" s="59" t="n">
        <v>3</v>
      </c>
      <c r="AP19" s="59" t="n"/>
      <c r="AQ19" s="59" t="n"/>
      <c r="AR19" s="155" t="inlineStr">
        <is>
          <t>Shopify Stetson México › Stetson Americas: 3</t>
        </is>
      </c>
    </row>
    <row r="20">
      <c r="A20" s="50" t="inlineStr">
        <is>
          <t>742968415891</t>
        </is>
      </c>
      <c r="B20" s="51" t="inlineStr">
        <is>
          <t>117754</t>
        </is>
      </c>
      <c r="C20" s="156" t="inlineStr">
        <is>
          <t>Multimarca</t>
        </is>
      </c>
      <c r="D20" s="156" t="inlineStr">
        <is>
          <t>WL-LTHR27</t>
        </is>
      </c>
      <c r="E20" s="156" t="inlineStr">
        <is>
          <t>WL-LTHR27-UNI</t>
        </is>
      </c>
      <c r="F20" s="156" t="inlineStr">
        <is>
          <t>Talla única</t>
        </is>
      </c>
      <c r="G20" s="156" t="inlineStr">
        <is>
          <t>One Size</t>
        </is>
      </c>
      <c r="H20" s="156" t="inlineStr">
        <is>
          <t>Willow Lane</t>
        </is>
      </c>
      <c r="I20" s="156" t="inlineStr">
        <is>
          <t>Toquilla de Piel Labrada con Patrón de Canasta</t>
        </is>
      </c>
      <c r="J20" s="156" t="inlineStr">
        <is>
          <t>Accesorios</t>
        </is>
      </c>
      <c r="K20" s="156" t="inlineStr">
        <is>
          <t>Plumas para sombrero</t>
        </is>
      </c>
      <c r="L20" s="156" t="inlineStr">
        <is>
          <t>Unisex</t>
        </is>
      </c>
      <c r="M20" s="156" t="inlineStr">
        <is>
          <t>Willow Lane</t>
        </is>
      </c>
      <c r="N20" s="156" t="inlineStr">
        <is>
          <t>FW26</t>
        </is>
      </c>
      <c r="O20" s="156" t="inlineStr">
        <is>
          <t>Seasonal</t>
        </is>
      </c>
      <c r="P20" s="156" t="inlineStr">
        <is>
          <t>Cafe</t>
        </is>
      </c>
      <c r="Q20" s="156" t="n"/>
      <c r="R20" s="156" t="n"/>
      <c r="S20" s="156" t="inlineStr">
        <is>
          <t>Piel y herraje metálico</t>
        </is>
      </c>
      <c r="T20" s="156" t="inlineStr">
        <is>
          <t>Toquilla de Piel Labrada con Patrón de Canasta</t>
        </is>
      </c>
      <c r="U20" s="156" t="inlineStr">
        <is>
          <t>India</t>
        </is>
      </c>
      <c r="V20" s="156" t="inlineStr">
        <is>
          <t>PZS</t>
        </is>
      </c>
      <c r="W20" s="51" t="inlineStr">
        <is>
          <t>54101600</t>
        </is>
      </c>
      <c r="X20" s="156" t="n"/>
      <c r="Y20" s="54" t="n">
        <v>262.5</v>
      </c>
      <c r="Z20" s="54" t="n">
        <v>750</v>
      </c>
      <c r="AA20" s="55">
        <f>IF(AND(A20="", B20="", E20=""), "", IF(AB20="", "Válido", IF((LEN(AB20)-LEN(SUBSTITUTE(AB20,"; ","")))/2+1&gt;(LEN(AB20)-LEN(SUBSTITUTE(AB20,"[Aviso]","")))/7, "Con Incidencias", "Válido")))</f>
        <v/>
      </c>
      <c r="AB20" s="56">
        <f>IF(AND(A20="", B20="", E20=""), "", TEXTJOIN("; ", TRUE, IF(OR(TRIM(A20&amp;"")="", ISNUMBER(SEARCH("FALTA", A20))), "UPC faltante/inválido", ""), IF(AND(A20&lt;&gt;"", IFERROR(_xlfn.XMATCH(A20,$A$2:$A$41,0,1)&lt;&gt;_xlfn.XMATCH(A20,$A$2:$A$41,0,-1),FALSE)), "Código de barras duplicado", ""), IF(AND(E20&lt;&gt;"", COUNTIF($E$2:$E$41, E20)&gt;1), "SKU duplicado", ""), IF(OR(J20="", J20=""), "[Aviso] División no capturada ()", IF(ISNA(MATCH(J20, Criterios!$A$123:$A$126, 0)), "División no válida", "")), IF(OR(K20="", K20=""), "[Aviso] Categoría no capturada ()", IF(ISNA(MATCH(K20, Criterios!$A$81:$A$120, 0)), "Categoría no válida", IF(AND(J20&lt;&gt;"", J20&lt;&gt;"", J20&lt;&gt;VLOOKUP(K20, Criterios!$A$81:$B$120, 2, FALSE)), "División no coincide con Categoría", ""))), IF(OR(L20="", L20=""), "[Aviso] Género no capturado ()", IF(ISNA(MATCH(L20, Criterios!$B$123:$B$127, 0)), "Género no válido", "")), IF(OR(N20="", N20=""), "[Aviso] Temporada no capturada ()", IF(ISNA(MATCH(N20, Criterios!$C$123:$C$128, 0)), "Temporada no válida", "")), IF(OR(O20="", O20=""), "[Aviso] Ciclo de vida no capturado ()", IF(ISNA(MATCH(O20, Criterios!$D$123:$D$124, 0)), "Ciclo de vida no válido", ""))))</f>
        <v/>
      </c>
      <c r="AC20" s="56" t="n"/>
      <c r="AD20" s="51" t="n">
        <v>3</v>
      </c>
      <c r="AE20" s="156" t="inlineStr">
        <is>
          <t>STETSON AMERICAS: 3</t>
        </is>
      </c>
      <c r="AF20" s="51" t="n">
        <v>3</v>
      </c>
      <c r="AG20" s="156" t="inlineStr">
        <is>
          <t>Nuevo – NetSuite con existencia</t>
        </is>
      </c>
      <c r="AH20" s="156" t="inlineStr">
        <is>
          <t>Categoría NetSuite «Toquillas» no existe en Criterios (proponer alta) | Revisión 29/09/2026: Marca Willow Lane fuera de lista Criterios; Campos sin respaldo: J, K, Q, R, X; Auditoría NetSuite 30/09/2026: llenado desde NetSuite [J,K,Z,T] | 01/10/2026: complementado desde Shopify Stetson México (match por código de barras): WB Fit, WB Silueta | 01/10/2026: Shopify Stetson México trae SKU WL-LTHR27 — se conservó el valor de Productos | Homologación G1522 06/10/2026: Validador Shopify: WB: precio con IVA no termina en 9</t>
        </is>
      </c>
      <c r="AI20" s="156" t="inlineStr">
        <is>
          <t>No</t>
        </is>
      </c>
      <c r="AJ20" s="156" t="n"/>
      <c r="AK20" s="155" t="inlineStr">
        <is>
          <t>ProductosCatalogoEstandar907.xlsx: fila 6163 [N,O,P,S,U,V,W,Y]; G1522_Extraccion_Articulos_NetSuite_2026-09-30.xlsx: fila 64002 [J,K,Z,T] | Shopify Stetson: producto 15247084945771 / variante 53870278443371</t>
        </is>
      </c>
      <c r="AL20" s="58" t="n">
        <v>262.5</v>
      </c>
      <c r="AM20" s="58" t="n">
        <v>749.99999996</v>
      </c>
      <c r="AN20" s="155" t="inlineStr">
        <is>
          <t>Shopify Stetson México</t>
        </is>
      </c>
      <c r="AO20" s="59" t="n">
        <v>3</v>
      </c>
      <c r="AP20" s="59" t="n"/>
      <c r="AQ20" s="59" t="n"/>
      <c r="AR20" s="155" t="inlineStr">
        <is>
          <t>Shopify Stetson México › Stetson Americas: 3</t>
        </is>
      </c>
    </row>
    <row r="21">
      <c r="A21" s="50" t="inlineStr">
        <is>
          <t>613365736363</t>
        </is>
      </c>
      <c r="B21" s="51" t="inlineStr">
        <is>
          <t>117734</t>
        </is>
      </c>
      <c r="C21" s="156" t="inlineStr">
        <is>
          <t>Multimarca</t>
        </is>
      </c>
      <c r="D21" s="156" t="inlineStr">
        <is>
          <t>WL-LTHR38</t>
        </is>
      </c>
      <c r="E21" s="156" t="inlineStr">
        <is>
          <t>WL-LTHR38-UNI</t>
        </is>
      </c>
      <c r="F21" s="156" t="inlineStr">
        <is>
          <t>Talla única</t>
        </is>
      </c>
      <c r="G21" s="156" t="inlineStr">
        <is>
          <t>One Size</t>
        </is>
      </c>
      <c r="H21" s="156" t="inlineStr">
        <is>
          <t>Willow Lane</t>
        </is>
      </c>
      <c r="I21" s="156" t="inlineStr">
        <is>
          <t>Paquete Variado de Toquillas de Piel Neutras - Paquete de 3</t>
        </is>
      </c>
      <c r="J21" s="156" t="inlineStr">
        <is>
          <t>Accesorios</t>
        </is>
      </c>
      <c r="K21" s="156" t="inlineStr">
        <is>
          <t>Plumas para sombrero</t>
        </is>
      </c>
      <c r="L21" s="156" t="inlineStr">
        <is>
          <t>Unisex</t>
        </is>
      </c>
      <c r="M21" s="156" t="inlineStr">
        <is>
          <t>Willow Lane</t>
        </is>
      </c>
      <c r="N21" s="156" t="inlineStr">
        <is>
          <t>FW26</t>
        </is>
      </c>
      <c r="O21" s="156" t="inlineStr">
        <is>
          <t>Seasonal</t>
        </is>
      </c>
      <c r="P21" s="156" t="inlineStr">
        <is>
          <t>Negro</t>
        </is>
      </c>
      <c r="Q21" s="156" t="n"/>
      <c r="R21" s="156" t="n"/>
      <c r="S21" s="156" t="inlineStr">
        <is>
          <t>Piel con componentes de textil/cordón y metal según aplique</t>
        </is>
      </c>
      <c r="T21" s="156" t="inlineStr">
        <is>
          <t>Paquete Variado de Toquillas de Piel Neutras - Paquete de 3</t>
        </is>
      </c>
      <c r="U21" s="156" t="inlineStr">
        <is>
          <t>México</t>
        </is>
      </c>
      <c r="V21" s="156" t="inlineStr">
        <is>
          <t>PZS</t>
        </is>
      </c>
      <c r="W21" s="51" t="inlineStr">
        <is>
          <t>54101600</t>
        </is>
      </c>
      <c r="X21" s="156" t="n"/>
      <c r="Y21" s="54" t="n">
        <v>525</v>
      </c>
      <c r="Z21" s="54" t="n">
        <v>1500</v>
      </c>
      <c r="AA21" s="55">
        <f>IF(AND(A21="", B21="", E21=""), "", IF(AB21="", "Válido", IF((LEN(AB21)-LEN(SUBSTITUTE(AB21,"; ","")))/2+1&gt;(LEN(AB21)-LEN(SUBSTITUTE(AB21,"[Aviso]","")))/7, "Con Incidencias", "Válido")))</f>
        <v/>
      </c>
      <c r="AB21" s="56">
        <f>IF(AND(A21="", B21="", E21=""), "", TEXTJOIN("; ", TRUE, IF(OR(TRIM(A21&amp;"")="", ISNUMBER(SEARCH("FALTA", A21))), "UPC faltante/inválido", ""), IF(AND(A21&lt;&gt;"", IFERROR(_xlfn.XMATCH(A21,$A$2:$A$41,0,1)&lt;&gt;_xlfn.XMATCH(A21,$A$2:$A$41,0,-1),FALSE)), "Código de barras duplicado", ""), IF(AND(E21&lt;&gt;"", COUNTIF($E$2:$E$41, E21)&gt;1), "SKU duplicado", ""), IF(OR(J21="", J21=""), "[Aviso] División no capturada ()", IF(ISNA(MATCH(J21, Criterios!$A$123:$A$126, 0)), "División no válida", "")), IF(OR(K21="", K21=""), "[Aviso] Categoría no capturada ()", IF(ISNA(MATCH(K21, Criterios!$A$81:$A$120, 0)), "Categoría no válida", IF(AND(J21&lt;&gt;"", J21&lt;&gt;"", J21&lt;&gt;VLOOKUP(K21, Criterios!$A$81:$B$120, 2, FALSE)), "División no coincide con Categoría", ""))), IF(OR(L21="", L21=""), "[Aviso] Género no capturado ()", IF(ISNA(MATCH(L21, Criterios!$B$123:$B$127, 0)), "Género no válido", "")), IF(OR(N21="", N21=""), "[Aviso] Temporada no capturada ()", IF(ISNA(MATCH(N21, Criterios!$C$123:$C$128, 0)), "Temporada no válida", "")), IF(OR(O21="", O21=""), "[Aviso] Ciclo de vida no capturado ()", IF(ISNA(MATCH(O21, Criterios!$D$123:$D$124, 0)), "Ciclo de vida no válido", ""))))</f>
        <v/>
      </c>
      <c r="AC21" s="56" t="n"/>
      <c r="AD21" s="51" t="n">
        <v>6</v>
      </c>
      <c r="AE21" s="156" t="inlineStr">
        <is>
          <t>STETSON AMERICAS: 6</t>
        </is>
      </c>
      <c r="AF21" s="51" t="n">
        <v>6</v>
      </c>
      <c r="AG21" s="156" t="inlineStr">
        <is>
          <t>Nuevo – NetSuite con existencia</t>
        </is>
      </c>
      <c r="AH21" s="156" t="inlineStr">
        <is>
          <t>Categoría NetSuite «Toquillas» no existe en Criterios (proponer alta) | Revisión 29/09/2026: Marca Willow Lane fuera de lista Criterios; Campos sin respaldo: J, K, Q, R, X; Auditoría NetSuite 30/09/2026: llenado desde NetSuite [J,K,Q,R,Z,T] | 01/10/2026: complementado desde Shopify Stetson México (match por código de barras): WB Fit, WB Silueta | 01/10/2026: Shopify Stetson México trae SKU WL-LTHR38 — se conservó el valor de Productos | Homologación G1522 06/10/2026: WB Fit: «» → «(blank)» (Completado desde NetSuite) · WB Silueta: «» → «(blank)» (Completado desde NetSuite) · WB Fit: «(blank)» → «» (Corrección aplicada) · WB Silueta: «(blank)» → «» (Corrección aplicada) · Validador Shopify: WB: precio con IVA no termina en 9</t>
        </is>
      </c>
      <c r="AI21" s="156" t="inlineStr">
        <is>
          <t>No</t>
        </is>
      </c>
      <c r="AJ21" s="156" t="n"/>
      <c r="AK21" s="155" t="inlineStr">
        <is>
          <t>ProductosCatalogoEstandar907.xlsx: fila 6164 [N,O,P,S,U,V,W,Y]; G1522_Extraccion_Articulos_NetSuite_2026-09-30.xlsx: fila 63982 [J,K,Q,R,Z,T] | Shopify Stetson: producto 15247084585323 / variante 53870276936043</t>
        </is>
      </c>
      <c r="AL21" s="58" t="n">
        <v>525</v>
      </c>
      <c r="AM21" s="58" t="n">
        <v>1499.99999968</v>
      </c>
      <c r="AN21" s="155" t="inlineStr">
        <is>
          <t>Shopify Stetson México</t>
        </is>
      </c>
      <c r="AO21" s="59" t="n">
        <v>6</v>
      </c>
      <c r="AP21" s="59" t="n"/>
      <c r="AQ21" s="59" t="n"/>
      <c r="AR21" s="155" t="inlineStr">
        <is>
          <t>Shopify Stetson México › Stetson Americas: 6</t>
        </is>
      </c>
    </row>
    <row r="22">
      <c r="A22" s="50" t="inlineStr">
        <is>
          <t>613365963394</t>
        </is>
      </c>
      <c r="B22" s="51" t="inlineStr">
        <is>
          <t>117751</t>
        </is>
      </c>
      <c r="C22" s="156" t="inlineStr">
        <is>
          <t>Multimarca</t>
        </is>
      </c>
      <c r="D22" s="156" t="inlineStr">
        <is>
          <t>WL-LTHR52</t>
        </is>
      </c>
      <c r="E22" s="156" t="inlineStr">
        <is>
          <t>WL-LTHR52-UNI</t>
        </is>
      </c>
      <c r="F22" s="156" t="inlineStr">
        <is>
          <t>Talla única</t>
        </is>
      </c>
      <c r="G22" s="156" t="inlineStr">
        <is>
          <t>One Size</t>
        </is>
      </c>
      <c r="H22" s="156" t="inlineStr">
        <is>
          <t>Willow Lane</t>
        </is>
      </c>
      <c r="I22" s="156" t="inlineStr">
        <is>
          <t>Toquilla de Piel - Diamante Café</t>
        </is>
      </c>
      <c r="J22" s="156" t="inlineStr">
        <is>
          <t>Accesorios</t>
        </is>
      </c>
      <c r="K22" s="156" t="inlineStr">
        <is>
          <t>Plumas para sombrero</t>
        </is>
      </c>
      <c r="L22" s="156" t="inlineStr">
        <is>
          <t>Unisex</t>
        </is>
      </c>
      <c r="M22" s="156" t="inlineStr">
        <is>
          <t>Willow Lane</t>
        </is>
      </c>
      <c r="N22" s="156" t="inlineStr">
        <is>
          <t>FW26</t>
        </is>
      </c>
      <c r="O22" s="156" t="inlineStr">
        <is>
          <t>Seasonal</t>
        </is>
      </c>
      <c r="P22" s="156" t="inlineStr">
        <is>
          <t>Cafe</t>
        </is>
      </c>
      <c r="Q22" s="156" t="n"/>
      <c r="R22" s="156" t="n"/>
      <c r="S22" s="156" t="inlineStr">
        <is>
          <t>Piel de cabra, cordón de algodón y herraje decorativo metálico</t>
        </is>
      </c>
      <c r="T22" s="156" t="inlineStr">
        <is>
          <t>Toquilla de Piel - Diamante Café. Artículo de la marca Willow Lane. Estilo WL-LTHR52.</t>
        </is>
      </c>
      <c r="U22" s="156" t="inlineStr">
        <is>
          <t>India</t>
        </is>
      </c>
      <c r="V22" s="156" t="inlineStr">
        <is>
          <t>PZS</t>
        </is>
      </c>
      <c r="W22" s="51" t="inlineStr">
        <is>
          <t>54101600</t>
        </is>
      </c>
      <c r="X22" s="156" t="n"/>
      <c r="Y22" s="54" t="n">
        <v>192.5</v>
      </c>
      <c r="Z22" s="54" t="n">
        <v>550</v>
      </c>
      <c r="AA22" s="55">
        <f>IF(AND(A22="", B22="", E22=""), "", IF(AB22="", "Válido", IF((LEN(AB22)-LEN(SUBSTITUTE(AB22,"; ","")))/2+1&gt;(LEN(AB22)-LEN(SUBSTITUTE(AB22,"[Aviso]","")))/7, "Con Incidencias", "Válido")))</f>
        <v/>
      </c>
      <c r="AB22" s="56">
        <f>IF(AND(A22="", B22="", E22=""), "", TEXTJOIN("; ", TRUE, IF(OR(TRIM(A22&amp;"")="", ISNUMBER(SEARCH("FALTA", A22))), "UPC faltante/inválido", ""), IF(AND(A22&lt;&gt;"", IFERROR(_xlfn.XMATCH(A22,$A$2:$A$41,0,1)&lt;&gt;_xlfn.XMATCH(A22,$A$2:$A$41,0,-1),FALSE)), "Código de barras duplicado", ""), IF(AND(E22&lt;&gt;"", COUNTIF($E$2:$E$41, E22)&gt;1), "SKU duplicado", ""), IF(OR(J22="", J22=""), "[Aviso] División no capturada ()", IF(ISNA(MATCH(J22, Criterios!$A$123:$A$126, 0)), "División no válida", "")), IF(OR(K22="", K22=""), "[Aviso] Categoría no capturada ()", IF(ISNA(MATCH(K22, Criterios!$A$81:$A$120, 0)), "Categoría no válida", IF(AND(J22&lt;&gt;"", J22&lt;&gt;"", J22&lt;&gt;VLOOKUP(K22, Criterios!$A$81:$B$120, 2, FALSE)), "División no coincide con Categoría", ""))), IF(OR(L22="", L22=""), "[Aviso] Género no capturado ()", IF(ISNA(MATCH(L22, Criterios!$B$123:$B$127, 0)), "Género no válido", "")), IF(OR(N22="", N22=""), "[Aviso] Temporada no capturada ()", IF(ISNA(MATCH(N22, Criterios!$C$123:$C$128, 0)), "Temporada no válida", "")), IF(OR(O22="", O22=""), "[Aviso] Ciclo de vida no capturado ()", IF(ISNA(MATCH(O22, Criterios!$D$123:$D$124, 0)), "Ciclo de vida no válido", ""))))</f>
        <v/>
      </c>
      <c r="AC22" s="56" t="n"/>
      <c r="AD22" s="51" t="n">
        <v>4</v>
      </c>
      <c r="AE22" s="156" t="inlineStr">
        <is>
          <t>STETSON AMERICAS: 4</t>
        </is>
      </c>
      <c r="AF22" s="51" t="n">
        <v>4</v>
      </c>
      <c r="AG22" s="156" t="inlineStr">
        <is>
          <t>Nuevo – NetSuite con existencia</t>
        </is>
      </c>
      <c r="AH22" s="156" t="inlineStr">
        <is>
          <t>Categoría NetSuite «Toquillas» no existe en Criterios (proponer alta) | Revisión 29/09/2026: Marca Willow Lane fuera de lista Criterios; Campos sin respaldo: J, K, Q, R, X; Auditoría NetSuite 30/09/2026: llenado desde NetSuite [J,K,P,Z,S] | 01/10/2026: complementado desde Shopify Stetson México (match por código de barras): WB Fit, WB Silueta | 01/10/2026: Shopify Stetson México trae SKU WL-LTHR52 — se conservó el valor de Productos | Homologación G1522 06/10/2026: Validador Shopify: WB: precio con IVA no termina en 9</t>
        </is>
      </c>
      <c r="AI22" s="156" t="inlineStr">
        <is>
          <t>No</t>
        </is>
      </c>
      <c r="AJ22" s="156" t="n"/>
      <c r="AK22" s="155" t="inlineStr">
        <is>
          <t>ProductosCatalogoEstandar907.xlsx: fila 6165 [N,O,S,U,V,W,Y]; G1522_Extraccion_Articulos_NetSuite_2026-09-30.xlsx: fila 63999 [J,K,P,Z,S] | Shopify Stetson: producto 15247084716395 / variante 53870277067115</t>
        </is>
      </c>
      <c r="AL22" s="58" t="n">
        <v>192.5</v>
      </c>
      <c r="AM22" s="58" t="n">
        <v>549.99999996</v>
      </c>
      <c r="AN22" s="155" t="inlineStr">
        <is>
          <t>Shopify Stetson México</t>
        </is>
      </c>
      <c r="AO22" s="59" t="n">
        <v>4</v>
      </c>
      <c r="AP22" s="59" t="n"/>
      <c r="AQ22" s="59" t="n"/>
      <c r="AR22" s="155" t="inlineStr">
        <is>
          <t>Shopify Stetson México › Stetson Americas: 4</t>
        </is>
      </c>
    </row>
    <row r="23">
      <c r="A23" s="50" t="inlineStr">
        <is>
          <t>613365546825</t>
        </is>
      </c>
      <c r="B23" s="51" t="inlineStr">
        <is>
          <t>117750</t>
        </is>
      </c>
      <c r="C23" s="156" t="inlineStr">
        <is>
          <t>Multimarca</t>
        </is>
      </c>
      <c r="D23" s="156" t="inlineStr">
        <is>
          <t>WL-LTHR54</t>
        </is>
      </c>
      <c r="E23" s="156" t="inlineStr">
        <is>
          <t>WL-LTHR54-UNI</t>
        </is>
      </c>
      <c r="F23" s="156" t="inlineStr">
        <is>
          <t>Talla única</t>
        </is>
      </c>
      <c r="G23" s="156" t="inlineStr">
        <is>
          <t>One Size</t>
        </is>
      </c>
      <c r="H23" s="156" t="inlineStr">
        <is>
          <t>Willow Lane</t>
        </is>
      </c>
      <c r="I23" s="156" t="inlineStr">
        <is>
          <t>Toquilla de Piel - Cocodrilo Café Oscuro</t>
        </is>
      </c>
      <c r="J23" s="156" t="inlineStr">
        <is>
          <t>Accesorios</t>
        </is>
      </c>
      <c r="K23" s="156" t="inlineStr">
        <is>
          <t>Plumas para sombrero</t>
        </is>
      </c>
      <c r="L23" s="156" t="inlineStr">
        <is>
          <t>Unisex</t>
        </is>
      </c>
      <c r="M23" s="156" t="inlineStr">
        <is>
          <t>Willow Lane</t>
        </is>
      </c>
      <c r="N23" s="156" t="inlineStr">
        <is>
          <t>FW26</t>
        </is>
      </c>
      <c r="O23" s="156" t="inlineStr">
        <is>
          <t>Seasonal</t>
        </is>
      </c>
      <c r="P23" s="156" t="inlineStr">
        <is>
          <t>Cafe</t>
        </is>
      </c>
      <c r="Q23" s="156" t="n"/>
      <c r="R23" s="156" t="n"/>
      <c r="S23" s="156" t="inlineStr">
        <is>
          <t>Piel de cabra, cordón de algodón y herraje decorativo metálico</t>
        </is>
      </c>
      <c r="T23" s="156" t="inlineStr">
        <is>
          <t>Toquilla de Piel - Cocodrilo Café Oscuro. Artículo de la marca Willow Lane. Estilo WL-LTHR54.</t>
        </is>
      </c>
      <c r="U23" s="156" t="inlineStr">
        <is>
          <t>India</t>
        </is>
      </c>
      <c r="V23" s="156" t="inlineStr">
        <is>
          <t>PZS</t>
        </is>
      </c>
      <c r="W23" s="51" t="inlineStr">
        <is>
          <t>54101600</t>
        </is>
      </c>
      <c r="X23" s="156" t="n"/>
      <c r="Y23" s="54" t="n">
        <v>192.5</v>
      </c>
      <c r="Z23" s="54" t="n">
        <v>550</v>
      </c>
      <c r="AA23" s="55">
        <f>IF(AND(A23="", B23="", E23=""), "", IF(AB23="", "Válido", IF((LEN(AB23)-LEN(SUBSTITUTE(AB23,"; ","")))/2+1&gt;(LEN(AB23)-LEN(SUBSTITUTE(AB23,"[Aviso]","")))/7, "Con Incidencias", "Válido")))</f>
        <v/>
      </c>
      <c r="AB23" s="56">
        <f>IF(AND(A23="", B23="", E23=""), "", TEXTJOIN("; ", TRUE, IF(OR(TRIM(A23&amp;"")="", ISNUMBER(SEARCH("FALTA", A23))), "UPC faltante/inválido", ""), IF(AND(A23&lt;&gt;"", IFERROR(_xlfn.XMATCH(A23,$A$2:$A$41,0,1)&lt;&gt;_xlfn.XMATCH(A23,$A$2:$A$41,0,-1),FALSE)), "Código de barras duplicado", ""), IF(AND(E23&lt;&gt;"", COUNTIF($E$2:$E$41, E23)&gt;1), "SKU duplicado", ""), IF(OR(J23="", J23=""), "[Aviso] División no capturada ()", IF(ISNA(MATCH(J23, Criterios!$A$123:$A$126, 0)), "División no válida", "")), IF(OR(K23="", K23=""), "[Aviso] Categoría no capturada ()", IF(ISNA(MATCH(K23, Criterios!$A$81:$A$120, 0)), "Categoría no válida", IF(AND(J23&lt;&gt;"", J23&lt;&gt;"", J23&lt;&gt;VLOOKUP(K23, Criterios!$A$81:$B$120, 2, FALSE)), "División no coincide con Categoría", ""))), IF(OR(L23="", L23=""), "[Aviso] Género no capturado ()", IF(ISNA(MATCH(L23, Criterios!$B$123:$B$127, 0)), "Género no válido", "")), IF(OR(N23="", N23=""), "[Aviso] Temporada no capturada ()", IF(ISNA(MATCH(N23, Criterios!$C$123:$C$128, 0)), "Temporada no válida", "")), IF(OR(O23="", O23=""), "[Aviso] Ciclo de vida no capturado ()", IF(ISNA(MATCH(O23, Criterios!$D$123:$D$124, 0)), "Ciclo de vida no válido", ""))))</f>
        <v/>
      </c>
      <c r="AC23" s="56" t="n"/>
      <c r="AD23" s="51" t="n">
        <v>2</v>
      </c>
      <c r="AE23" s="156" t="inlineStr">
        <is>
          <t>STETSON AMERICAS: 2</t>
        </is>
      </c>
      <c r="AF23" s="51" t="n">
        <v>2</v>
      </c>
      <c r="AG23" s="156" t="inlineStr">
        <is>
          <t>Nuevo – NetSuite con existencia</t>
        </is>
      </c>
      <c r="AH23" s="156" t="inlineStr">
        <is>
          <t>Categoría NetSuite «Toquillas» no existe en Criterios (proponer alta) | Revisión 29/09/2026: Marca Willow Lane fuera de lista Criterios; Campos sin respaldo: J, K, Q, R, X; Auditoría NetSuite 30/09/2026: llenado desde NetSuite [J,K,P,Z,S] | 01/10/2026: complementado desde Shopify Stetson México (match por código de barras): WB Fit, WB Silueta | 01/10/2026: Shopify Stetson México trae SKU WL-LTHR54 — se conservó el valor de Productos | Homologación G1522 06/10/2026: Validador Shopify: WB: precio con IVA no termina en 9</t>
        </is>
      </c>
      <c r="AI23" s="156" t="inlineStr">
        <is>
          <t>No</t>
        </is>
      </c>
      <c r="AJ23" s="156" t="n"/>
      <c r="AK23" s="155" t="inlineStr">
        <is>
          <t>ProductosCatalogoEstandar907.xlsx: fila 6166 [N,O,S,U,V,W,Y]; G1522_Extraccion_Articulos_NetSuite_2026-09-30.xlsx: fila 63998 [J,K,P,Z,S] | Shopify Stetson: producto 15247084683627 / variante 53870277034347</t>
        </is>
      </c>
      <c r="AL23" s="58" t="n">
        <v>192.5</v>
      </c>
      <c r="AM23" s="58" t="n">
        <v>549.99999996</v>
      </c>
      <c r="AN23" s="155" t="inlineStr">
        <is>
          <t>Shopify Stetson México</t>
        </is>
      </c>
      <c r="AO23" s="59" t="n">
        <v>2</v>
      </c>
      <c r="AP23" s="59" t="n"/>
      <c r="AQ23" s="59" t="n"/>
      <c r="AR23" s="155" t="inlineStr">
        <is>
          <t>Shopify Stetson México › Stetson Americas: 2</t>
        </is>
      </c>
    </row>
    <row r="24">
      <c r="A24" s="50" t="inlineStr">
        <is>
          <t>604634146280</t>
        </is>
      </c>
      <c r="B24" s="51" t="inlineStr">
        <is>
          <t>117736</t>
        </is>
      </c>
      <c r="C24" s="156" t="inlineStr">
        <is>
          <t>Multimarca</t>
        </is>
      </c>
      <c r="D24" s="156" t="inlineStr">
        <is>
          <t>WL-LTHR61</t>
        </is>
      </c>
      <c r="E24" s="156" t="inlineStr">
        <is>
          <t>WL-LTHR61-UNI</t>
        </is>
      </c>
      <c r="F24" s="156" t="inlineStr">
        <is>
          <t>Talla única</t>
        </is>
      </c>
      <c r="G24" s="156" t="inlineStr">
        <is>
          <t>One Size</t>
        </is>
      </c>
      <c r="H24" s="156" t="inlineStr">
        <is>
          <t>Willow Lane</t>
        </is>
      </c>
      <c r="I24" s="156" t="inlineStr">
        <is>
          <t>Toquilla de Piel - Rojo</t>
        </is>
      </c>
      <c r="J24" s="156" t="inlineStr">
        <is>
          <t>Accesorios</t>
        </is>
      </c>
      <c r="K24" s="156" t="inlineStr">
        <is>
          <t>Plumas para sombrero</t>
        </is>
      </c>
      <c r="L24" s="156" t="inlineStr">
        <is>
          <t>Unisex</t>
        </is>
      </c>
      <c r="M24" s="156" t="inlineStr">
        <is>
          <t>Willow Lane</t>
        </is>
      </c>
      <c r="N24" s="156" t="inlineStr">
        <is>
          <t>FW26</t>
        </is>
      </c>
      <c r="O24" s="156" t="inlineStr">
        <is>
          <t>Seasonal</t>
        </is>
      </c>
      <c r="P24" s="156" t="inlineStr">
        <is>
          <t>Rojo</t>
        </is>
      </c>
      <c r="Q24" s="156" t="n"/>
      <c r="R24" s="156" t="n"/>
      <c r="S24" s="156" t="inlineStr">
        <is>
          <t>Piel de cabra, cordón de algodón y herraje decorativo metálico</t>
        </is>
      </c>
      <c r="T24" s="156" t="inlineStr">
        <is>
          <t>Toquilla de Piel - Rojo. Artículo de la marca Willow Lane. Estilo WL-LTHR61.</t>
        </is>
      </c>
      <c r="U24" s="156" t="inlineStr">
        <is>
          <t>India</t>
        </is>
      </c>
      <c r="V24" s="156" t="inlineStr">
        <is>
          <t>PZS</t>
        </is>
      </c>
      <c r="W24" s="51" t="inlineStr">
        <is>
          <t>54101600</t>
        </is>
      </c>
      <c r="X24" s="156" t="n"/>
      <c r="Y24" s="54" t="n">
        <v>192.5</v>
      </c>
      <c r="Z24" s="54" t="n">
        <v>550</v>
      </c>
      <c r="AA24" s="55">
        <f>IF(AND(A24="", B24="", E24=""), "", IF(AB24="", "Válido", IF((LEN(AB24)-LEN(SUBSTITUTE(AB24,"; ","")))/2+1&gt;(LEN(AB24)-LEN(SUBSTITUTE(AB24,"[Aviso]","")))/7, "Con Incidencias", "Válido")))</f>
        <v/>
      </c>
      <c r="AB24" s="56">
        <f>IF(AND(A24="", B24="", E24=""), "", TEXTJOIN("; ", TRUE, IF(OR(TRIM(A24&amp;"")="", ISNUMBER(SEARCH("FALTA", A24))), "UPC faltante/inválido", ""), IF(AND(A24&lt;&gt;"", IFERROR(_xlfn.XMATCH(A24,$A$2:$A$41,0,1)&lt;&gt;_xlfn.XMATCH(A24,$A$2:$A$41,0,-1),FALSE)), "Código de barras duplicado", ""), IF(AND(E24&lt;&gt;"", COUNTIF($E$2:$E$41, E24)&gt;1), "SKU duplicado", ""), IF(OR(J24="", J24=""), "[Aviso] División no capturada ()", IF(ISNA(MATCH(J24, Criterios!$A$123:$A$126, 0)), "División no válida", "")), IF(OR(K24="", K24=""), "[Aviso] Categoría no capturada ()", IF(ISNA(MATCH(K24, Criterios!$A$81:$A$120, 0)), "Categoría no válida", IF(AND(J24&lt;&gt;"", J24&lt;&gt;"", J24&lt;&gt;VLOOKUP(K24, Criterios!$A$81:$B$120, 2, FALSE)), "División no coincide con Categoría", ""))), IF(OR(L24="", L24=""), "[Aviso] Género no capturado ()", IF(ISNA(MATCH(L24, Criterios!$B$123:$B$127, 0)), "Género no válido", "")), IF(OR(N24="", N24=""), "[Aviso] Temporada no capturada ()", IF(ISNA(MATCH(N24, Criterios!$C$123:$C$128, 0)), "Temporada no válida", "")), IF(OR(O24="", O24=""), "[Aviso] Ciclo de vida no capturado ()", IF(ISNA(MATCH(O24, Criterios!$D$123:$D$124, 0)), "Ciclo de vida no válido", ""))))</f>
        <v/>
      </c>
      <c r="AC24" s="56" t="n"/>
      <c r="AD24" s="51" t="n">
        <v>4</v>
      </c>
      <c r="AE24" s="156" t="inlineStr">
        <is>
          <t>STETSON AMERICAS: 4</t>
        </is>
      </c>
      <c r="AF24" s="51" t="n">
        <v>4</v>
      </c>
      <c r="AG24" s="156" t="inlineStr">
        <is>
          <t>Nuevo – NetSuite con existencia</t>
        </is>
      </c>
      <c r="AH24" s="156" t="inlineStr">
        <is>
          <t>Categoría NetSuite «Toquillas» no existe en Criterios (proponer alta) | Revisión 29/09/2026: Marca Willow Lane fuera de lista Criterios; Campos sin respaldo: J, K, Q, R, X; Auditoría NetSuite 30/09/2026: llenado desde NetSuite [J,K,P,Q,R,Z,S] | 01/10/2026: complementado desde Shopify Stetson México (match por código de barras): WB Fit, WB Silueta | 01/10/2026: Shopify Stetson México trae SKU WL-LTHR61 — se conservó el valor de Productos | Homologación G1522 06/10/2026: WB Fit: «» → «(blank)» (Completado desde NetSuite) · WB Silueta: «» → «(blank)» (Completado desde NetSuite) · WB Fit: «(blank)» → «» (Corrección aplicada) · WB Silueta: «(blank)» → «» (Corrección aplicada) · Validador Shopify: WB: precio con IVA no termina en 9</t>
        </is>
      </c>
      <c r="AI24" s="156" t="inlineStr">
        <is>
          <t>No</t>
        </is>
      </c>
      <c r="AJ24" s="156" t="n"/>
      <c r="AK24" s="155" t="inlineStr">
        <is>
          <t>ProductosCatalogoEstandar907.xlsx: fila 6167 [N,O,S,U,V,W,Y]; G1522_Extraccion_Articulos_NetSuite_2026-09-30.xlsx: fila 63984 [J,K,P,Q,R,Z,S] | Shopify Stetson: producto 15247084781931 / variante 53870278279531</t>
        </is>
      </c>
      <c r="AL24" s="58" t="n">
        <v>192.5</v>
      </c>
      <c r="AM24" s="58" t="n">
        <v>549.99999996</v>
      </c>
      <c r="AN24" s="155" t="inlineStr">
        <is>
          <t>Shopify Stetson México</t>
        </is>
      </c>
      <c r="AO24" s="59" t="n">
        <v>4</v>
      </c>
      <c r="AP24" s="59" t="n"/>
      <c r="AQ24" s="59" t="n"/>
      <c r="AR24" s="155" t="inlineStr">
        <is>
          <t>Shopify Stetson México › Stetson Americas: 4</t>
        </is>
      </c>
    </row>
    <row r="25">
      <c r="A25" s="50" t="inlineStr">
        <is>
          <t>604634008496</t>
        </is>
      </c>
      <c r="B25" s="51" t="inlineStr">
        <is>
          <t>117752</t>
        </is>
      </c>
      <c r="C25" s="156" t="inlineStr">
        <is>
          <t>Multimarca</t>
        </is>
      </c>
      <c r="D25" s="156" t="inlineStr">
        <is>
          <t>WL-LTHR64</t>
        </is>
      </c>
      <c r="E25" s="156" t="inlineStr">
        <is>
          <t>WL-LTHR64-UNI</t>
        </is>
      </c>
      <c r="F25" s="156" t="inlineStr">
        <is>
          <t>Talla única</t>
        </is>
      </c>
      <c r="G25" s="156" t="inlineStr">
        <is>
          <t>One Size</t>
        </is>
      </c>
      <c r="H25" s="156" t="inlineStr">
        <is>
          <t>Willow Lane</t>
        </is>
      </c>
      <c r="I25" s="156" t="inlineStr">
        <is>
          <t>Toquilla de Piel - Serpiente Piedra</t>
        </is>
      </c>
      <c r="J25" s="156" t="inlineStr">
        <is>
          <t>Accesorios</t>
        </is>
      </c>
      <c r="K25" s="156" t="inlineStr">
        <is>
          <t>Plumas para sombrero</t>
        </is>
      </c>
      <c r="L25" s="156" t="inlineStr">
        <is>
          <t>Unisex</t>
        </is>
      </c>
      <c r="M25" s="156" t="inlineStr">
        <is>
          <t>Willow Lane</t>
        </is>
      </c>
      <c r="N25" s="156" t="inlineStr">
        <is>
          <t>FW26</t>
        </is>
      </c>
      <c r="O25" s="156" t="inlineStr">
        <is>
          <t>Seasonal</t>
        </is>
      </c>
      <c r="P25" s="156" t="inlineStr">
        <is>
          <t>Cafe</t>
        </is>
      </c>
      <c r="Q25" s="156" t="n"/>
      <c r="R25" s="156" t="n"/>
      <c r="S25" s="156" t="inlineStr">
        <is>
          <t>Piel de cabra, cordón de algodón y herraje decorativo metálico</t>
        </is>
      </c>
      <c r="T25" s="156" t="inlineStr">
        <is>
          <t>Toquilla de Piel - Serpiente Piedra Material: Piel de cabra, cordón de algodón y herraje decorativo metálico Origen: India</t>
        </is>
      </c>
      <c r="U25" s="156" t="inlineStr">
        <is>
          <t>India</t>
        </is>
      </c>
      <c r="V25" s="156" t="inlineStr">
        <is>
          <t>PZS</t>
        </is>
      </c>
      <c r="W25" s="51" t="inlineStr">
        <is>
          <t>54101600</t>
        </is>
      </c>
      <c r="X25" s="156" t="n"/>
      <c r="Y25" s="54" t="n">
        <v>192.5</v>
      </c>
      <c r="Z25" s="54" t="n">
        <v>550</v>
      </c>
      <c r="AA25" s="55">
        <f>IF(AND(A25="", B25="", E25=""), "", IF(AB25="", "Válido", IF((LEN(AB25)-LEN(SUBSTITUTE(AB25,"; ","")))/2+1&gt;(LEN(AB25)-LEN(SUBSTITUTE(AB25,"[Aviso]","")))/7, "Con Incidencias", "Válido")))</f>
        <v/>
      </c>
      <c r="AB25" s="56">
        <f>IF(AND(A25="", B25="", E25=""), "", TEXTJOIN("; ", TRUE, IF(OR(TRIM(A25&amp;"")="", ISNUMBER(SEARCH("FALTA", A25))), "UPC faltante/inválido", ""), IF(AND(A25&lt;&gt;"", IFERROR(_xlfn.XMATCH(A25,$A$2:$A$41,0,1)&lt;&gt;_xlfn.XMATCH(A25,$A$2:$A$41,0,-1),FALSE)), "Código de barras duplicado", ""), IF(AND(E25&lt;&gt;"", COUNTIF($E$2:$E$41, E25)&gt;1), "SKU duplicado", ""), IF(OR(J25="", J25=""), "[Aviso] División no capturada ()", IF(ISNA(MATCH(J25, Criterios!$A$123:$A$126, 0)), "División no válida", "")), IF(OR(K25="", K25=""), "[Aviso] Categoría no capturada ()", IF(ISNA(MATCH(K25, Criterios!$A$81:$A$120, 0)), "Categoría no válida", IF(AND(J25&lt;&gt;"", J25&lt;&gt;"", J25&lt;&gt;VLOOKUP(K25, Criterios!$A$81:$B$120, 2, FALSE)), "División no coincide con Categoría", ""))), IF(OR(L25="", L25=""), "[Aviso] Género no capturado ()", IF(ISNA(MATCH(L25, Criterios!$B$123:$B$127, 0)), "Género no válido", "")), IF(OR(N25="", N25=""), "[Aviso] Temporada no capturada ()", IF(ISNA(MATCH(N25, Criterios!$C$123:$C$128, 0)), "Temporada no válida", "")), IF(OR(O25="", O25=""), "[Aviso] Ciclo de vida no capturado ()", IF(ISNA(MATCH(O25, Criterios!$D$123:$D$124, 0)), "Ciclo de vida no válido", ""))))</f>
        <v/>
      </c>
      <c r="AC25" s="56" t="n"/>
      <c r="AD25" s="51" t="n">
        <v>4</v>
      </c>
      <c r="AE25" s="156" t="inlineStr">
        <is>
          <t>STETSON AMERICAS: 4</t>
        </is>
      </c>
      <c r="AF25" s="51" t="n">
        <v>4</v>
      </c>
      <c r="AG25" s="156" t="inlineStr">
        <is>
          <t>Nuevo – NetSuite con existencia</t>
        </is>
      </c>
      <c r="AH25" s="156" t="inlineStr">
        <is>
          <t>Categoría NetSuite «Toquillas» no existe en Criterios (proponer alta) | Revisión 29/09/2026: Marca Willow Lane fuera de lista Criterios; Campos sin respaldo: J, K, Q, R, X; Auditoría NetSuite 30/09/2026: llenado desde NetSuite [J,K,Z,T] | 01/10/2026: complementado desde Shopify Stetson México (match por código de barras): WB Fit, WB Silueta, WB Descripción larga (más completa) | 01/10/2026: Shopify Stetson México trae SKU WL-LTHR64 — se conservó el valor de Productos | Homologación G1522 06/10/2026: Validador Shopify: WB: precio con IVA no termina en 9</t>
        </is>
      </c>
      <c r="AI25" s="156" t="inlineStr">
        <is>
          <t>No</t>
        </is>
      </c>
      <c r="AJ25" s="156" t="n"/>
      <c r="AK25" s="155" t="inlineStr">
        <is>
          <t>ProductosCatalogoEstandar907.xlsx: fila 6168 [N,O,P,S,U,V,W,Y]; G1522_Extraccion_Articulos_NetSuite_2026-09-30.xlsx: fila 64000 [J,K,Z,T] | Shopify Stetson: producto 15247084749163 / variante 53870278246763</t>
        </is>
      </c>
      <c r="AL25" s="58" t="n">
        <v>192.5</v>
      </c>
      <c r="AM25" s="58" t="n">
        <v>549.99999996</v>
      </c>
      <c r="AN25" s="155" t="inlineStr">
        <is>
          <t>Shopify Stetson México</t>
        </is>
      </c>
      <c r="AO25" s="59" t="n">
        <v>4</v>
      </c>
      <c r="AP25" s="59" t="n"/>
      <c r="AQ25" s="59" t="n"/>
      <c r="AR25" s="155" t="inlineStr">
        <is>
          <t>Shopify Stetson México › Stetson Americas: 4</t>
        </is>
      </c>
    </row>
    <row r="26">
      <c r="A26" s="50" t="inlineStr">
        <is>
          <t>634855038170</t>
        </is>
      </c>
      <c r="B26" s="51" t="inlineStr">
        <is>
          <t>117723</t>
        </is>
      </c>
      <c r="C26" s="156" t="inlineStr">
        <is>
          <t>Multimarca</t>
        </is>
      </c>
      <c r="D26" s="156" t="inlineStr">
        <is>
          <t>WL-PIN03</t>
        </is>
      </c>
      <c r="E26" s="156" t="inlineStr">
        <is>
          <t>WL-PIN03-UNI</t>
        </is>
      </c>
      <c r="F26" s="156" t="inlineStr">
        <is>
          <t>Talla única</t>
        </is>
      </c>
      <c r="G26" s="156" t="inlineStr">
        <is>
          <t>One Size</t>
        </is>
      </c>
      <c r="H26" s="156" t="inlineStr">
        <is>
          <t>Willow Lane</t>
        </is>
      </c>
      <c r="I26" s="156" t="inlineStr">
        <is>
          <t>Alfiler de Sombrero Ovalado - Flor del Desierto</t>
        </is>
      </c>
      <c r="J26" s="156" t="inlineStr">
        <is>
          <t>Accesorios</t>
        </is>
      </c>
      <c r="K26" s="156" t="inlineStr">
        <is>
          <t>Sombreros</t>
        </is>
      </c>
      <c r="L26" s="156" t="inlineStr">
        <is>
          <t>Unisex</t>
        </is>
      </c>
      <c r="M26" s="156" t="inlineStr">
        <is>
          <t>Willow Lane</t>
        </is>
      </c>
      <c r="N26" s="156" t="inlineStr">
        <is>
          <t>FW26</t>
        </is>
      </c>
      <c r="O26" s="156" t="inlineStr">
        <is>
          <t>Seasonal</t>
        </is>
      </c>
      <c r="P26" s="156" t="inlineStr">
        <is>
          <t>Negro</t>
        </is>
      </c>
      <c r="Q26" s="156" t="n"/>
      <c r="R26" s="156" t="n"/>
      <c r="S26" s="156" t="inlineStr">
        <is>
          <t>Elemento decorativo de piedra y herraje de alfiler metálico</t>
        </is>
      </c>
      <c r="T26" s="156" t="inlineStr">
        <is>
          <t>Alfiler de Sombrero Ovalado - Flor del Desierto</t>
        </is>
      </c>
      <c r="U26" s="156" t="inlineStr">
        <is>
          <t>India</t>
        </is>
      </c>
      <c r="V26" s="156" t="inlineStr">
        <is>
          <t>PZS</t>
        </is>
      </c>
      <c r="W26" s="51" t="inlineStr">
        <is>
          <t>54101600</t>
        </is>
      </c>
      <c r="X26" s="156" t="n"/>
      <c r="Y26" s="54" t="n">
        <v>262.5</v>
      </c>
      <c r="Z26" s="54" t="n">
        <v>750</v>
      </c>
      <c r="AA26" s="55">
        <f>IF(AND(A26="", B26="", E26=""), "", IF(AB26="", "Válido", IF((LEN(AB26)-LEN(SUBSTITUTE(AB26,"; ","")))/2+1&gt;(LEN(AB26)-LEN(SUBSTITUTE(AB26,"[Aviso]","")))/7, "Con Incidencias", "Válido")))</f>
        <v/>
      </c>
      <c r="AB26" s="56">
        <f>IF(AND(A26="", B26="", E26=""), "", TEXTJOIN("; ", TRUE, IF(OR(TRIM(A26&amp;"")="", ISNUMBER(SEARCH("FALTA", A26))), "UPC faltante/inválido", ""), IF(AND(A26&lt;&gt;"", IFERROR(_xlfn.XMATCH(A26,$A$2:$A$41,0,1)&lt;&gt;_xlfn.XMATCH(A26,$A$2:$A$41,0,-1),FALSE)), "Código de barras duplicado", ""), IF(AND(E26&lt;&gt;"", COUNTIF($E$2:$E$41, E26)&gt;1), "SKU duplicado", ""), IF(OR(J26="", J26=""), "[Aviso] División no capturada ()", IF(ISNA(MATCH(J26, Criterios!$A$123:$A$126, 0)), "División no válida", "")), IF(OR(K26="", K26=""), "[Aviso] Categoría no capturada ()", IF(ISNA(MATCH(K26, Criterios!$A$81:$A$120, 0)), "Categoría no válida", IF(AND(J26&lt;&gt;"", J26&lt;&gt;"", J26&lt;&gt;VLOOKUP(K26, Criterios!$A$81:$B$120, 2, FALSE)), "División no coincide con Categoría", ""))), IF(OR(L26="", L26=""), "[Aviso] Género no capturado ()", IF(ISNA(MATCH(L26, Criterios!$B$123:$B$127, 0)), "Género no válido", "")), IF(OR(N26="", N26=""), "[Aviso] Temporada no capturada ()", IF(ISNA(MATCH(N26, Criterios!$C$123:$C$128, 0)), "Temporada no válida", "")), IF(OR(O26="", O26=""), "[Aviso] Ciclo de vida no capturado ()", IF(ISNA(MATCH(O26, Criterios!$D$123:$D$124, 0)), "Ciclo de vida no válido", ""))))</f>
        <v/>
      </c>
      <c r="AC26" s="56" t="n"/>
      <c r="AD26" s="51" t="n">
        <v>2</v>
      </c>
      <c r="AE26" s="156" t="inlineStr">
        <is>
          <t>STETSON AMERICAS: 2</t>
        </is>
      </c>
      <c r="AF26" s="51" t="n">
        <v>2</v>
      </c>
      <c r="AG26" s="156" t="inlineStr">
        <is>
          <t>Nuevo – NetSuite con existencia</t>
        </is>
      </c>
      <c r="AH26" s="156" t="inlineStr">
        <is>
          <t>Categoría NetSuite «Pines de Sombrero» no existe en Criterios (proponer alta) | Revisión 29/09/2026: Talla fuente Talla única sin equivalencia exacta en Criterios para Talla Sombrero; Marca Willow Lane fuera de lista Criterios; Campos sin respaldo: R, X; Auditoría NetSuite 30/09/2026: llenado desde NetSuite [L,Z,T]; Silueta NetSuite vacía | 01/10/2026: complementado desde Shopify Stetson México (match por código de barras): WB Fit | 01/10/2026: Shopify Stetson México trae SKU WL-PIN03 — se conservó el valor de Productos | Homologación G1522 06/10/2026: WB Fit: «» → «(blank)» (Completado desde NetSuite) · WB Silueta: «» → «(blank)» (Completado desde NetSuite) · WB Fit: «(blank)» → «» (Corrección aplicada) · WB Silueta: «(blank)» → «» (Corrección aplicada) · Validador Shopify: WB: precio con IVA no termina en 9</t>
        </is>
      </c>
      <c r="AI26" s="156" t="inlineStr">
        <is>
          <t>No</t>
        </is>
      </c>
      <c r="AJ26" s="156" t="n"/>
      <c r="AK26" s="155" t="inlineStr">
        <is>
          <t>ProductosCatalogoEstandar907.xlsx: fila 6169 [N,O,P,S,U,V,W,Y] | Criterios: D [K,J] | Criterios: I [Q]; G1522_Extraccion_Articulos_NetSuite_2026-09-30.xlsx: fila 63971 [L,Z,T] | Shopify Stetson: producto 15247084126571 / variante 53870276477291</t>
        </is>
      </c>
      <c r="AL26" s="58" t="n">
        <v>262.5</v>
      </c>
      <c r="AM26" s="58" t="n">
        <v>749.99999996</v>
      </c>
      <c r="AN26" s="155" t="inlineStr">
        <is>
          <t>Shopify Stetson México</t>
        </is>
      </c>
      <c r="AO26" s="59" t="n">
        <v>2</v>
      </c>
      <c r="AP26" s="59" t="n"/>
      <c r="AQ26" s="59" t="n"/>
      <c r="AR26" s="155" t="inlineStr">
        <is>
          <t>Shopify Stetson México › Stetson Americas: 2</t>
        </is>
      </c>
    </row>
    <row r="27">
      <c r="A27" s="50" t="inlineStr">
        <is>
          <t>634855175844</t>
        </is>
      </c>
      <c r="B27" s="51" t="inlineStr">
        <is>
          <t>117726</t>
        </is>
      </c>
      <c r="C27" s="156" t="inlineStr">
        <is>
          <t>Multimarca</t>
        </is>
      </c>
      <c r="D27" s="156" t="inlineStr">
        <is>
          <t>WL-PIN04</t>
        </is>
      </c>
      <c r="E27" s="156" t="inlineStr">
        <is>
          <t>WL-PIN04-UNI</t>
        </is>
      </c>
      <c r="F27" s="156" t="inlineStr">
        <is>
          <t>Talla única</t>
        </is>
      </c>
      <c r="G27" s="156" t="inlineStr">
        <is>
          <t>One Size</t>
        </is>
      </c>
      <c r="H27" s="156" t="inlineStr">
        <is>
          <t>Willow Lane</t>
        </is>
      </c>
      <c r="I27" s="156" t="inlineStr">
        <is>
          <t>Alfiler de Sombrero con Borde de Cuentas Turquesa - Sierra</t>
        </is>
      </c>
      <c r="J27" s="156" t="inlineStr">
        <is>
          <t>Accesorios</t>
        </is>
      </c>
      <c r="K27" s="156" t="inlineStr">
        <is>
          <t>Sombreros</t>
        </is>
      </c>
      <c r="L27" s="156" t="inlineStr">
        <is>
          <t>Unisex</t>
        </is>
      </c>
      <c r="M27" s="156" t="inlineStr">
        <is>
          <t>Willow Lane</t>
        </is>
      </c>
      <c r="N27" s="156" t="inlineStr">
        <is>
          <t>FW26</t>
        </is>
      </c>
      <c r="O27" s="156" t="inlineStr">
        <is>
          <t>Seasonal</t>
        </is>
      </c>
      <c r="P27" s="156" t="inlineStr">
        <is>
          <t>Azul</t>
        </is>
      </c>
      <c r="Q27" s="156" t="n"/>
      <c r="R27" s="156" t="n"/>
      <c r="S27" s="156" t="inlineStr">
        <is>
          <t>Piedra turquesa, borde de cuentas metálico decorativo y herraje de alfiler metálico</t>
        </is>
      </c>
      <c r="T27" s="156" t="inlineStr">
        <is>
          <t>Alfiler de Sombrero con Borde de Cuentas Turquesa - Sierra Material: Piedra turquesa, borde de cuentas metálico decorativo y herraje de alfiler metálico Origen: China</t>
        </is>
      </c>
      <c r="U27" s="156" t="inlineStr">
        <is>
          <t>China</t>
        </is>
      </c>
      <c r="V27" s="156" t="inlineStr">
        <is>
          <t>PZS</t>
        </is>
      </c>
      <c r="W27" s="51" t="inlineStr">
        <is>
          <t>54101600</t>
        </is>
      </c>
      <c r="X27" s="156" t="n"/>
      <c r="Y27" s="54" t="n">
        <v>315</v>
      </c>
      <c r="Z27" s="54" t="n">
        <v>900</v>
      </c>
      <c r="AA27" s="55">
        <f>IF(AND(A27="", B27="", E27=""), "", IF(AB27="", "Válido", IF((LEN(AB27)-LEN(SUBSTITUTE(AB27,"; ","")))/2+1&gt;(LEN(AB27)-LEN(SUBSTITUTE(AB27,"[Aviso]","")))/7, "Con Incidencias", "Válido")))</f>
        <v/>
      </c>
      <c r="AB27" s="56">
        <f>IF(AND(A27="", B27="", E27=""), "", TEXTJOIN("; ", TRUE, IF(OR(TRIM(A27&amp;"")="", ISNUMBER(SEARCH("FALTA", A27))), "UPC faltante/inválido", ""), IF(AND(A27&lt;&gt;"", IFERROR(_xlfn.XMATCH(A27,$A$2:$A$41,0,1)&lt;&gt;_xlfn.XMATCH(A27,$A$2:$A$41,0,-1),FALSE)), "Código de barras duplicado", ""), IF(AND(E27&lt;&gt;"", COUNTIF($E$2:$E$41, E27)&gt;1), "SKU duplicado", ""), IF(OR(J27="", J27=""), "[Aviso] División no capturada ()", IF(ISNA(MATCH(J27, Criterios!$A$123:$A$126, 0)), "División no válida", "")), IF(OR(K27="", K27=""), "[Aviso] Categoría no capturada ()", IF(ISNA(MATCH(K27, Criterios!$A$81:$A$120, 0)), "Categoría no válida", IF(AND(J27&lt;&gt;"", J27&lt;&gt;"", J27&lt;&gt;VLOOKUP(K27, Criterios!$A$81:$B$120, 2, FALSE)), "División no coincide con Categoría", ""))), IF(OR(L27="", L27=""), "[Aviso] Género no capturado ()", IF(ISNA(MATCH(L27, Criterios!$B$123:$B$127, 0)), "Género no válido", "")), IF(OR(N27="", N27=""), "[Aviso] Temporada no capturada ()", IF(ISNA(MATCH(N27, Criterios!$C$123:$C$128, 0)), "Temporada no válida", "")), IF(OR(O27="", O27=""), "[Aviso] Ciclo de vida no capturado ()", IF(ISNA(MATCH(O27, Criterios!$D$123:$D$124, 0)), "Ciclo de vida no válido", ""))))</f>
        <v/>
      </c>
      <c r="AC27" s="56" t="n"/>
      <c r="AD27" s="51" t="n">
        <v>2</v>
      </c>
      <c r="AE27" s="156" t="inlineStr">
        <is>
          <t>STETSON AMERICAS: 2</t>
        </is>
      </c>
      <c r="AF27" s="51" t="n">
        <v>2</v>
      </c>
      <c r="AG27" s="156" t="inlineStr">
        <is>
          <t>Nuevo – NetSuite con existencia</t>
        </is>
      </c>
      <c r="AH27" s="156" t="inlineStr">
        <is>
          <t>Categoría NetSuite «Pines de Sombrero» no existe en Criterios (proponer alta) | Revisión 29/09/2026: Talla fuente Talla única sin equivalencia exacta en Criterios para Talla Sombrero; Marca Willow Lane fuera de lista Criterios; Campos sin respaldo: R, X; Auditoría NetSuite 30/09/2026: llenado desde NetSuite [L,P,Z,T]; Silueta NetSuite vacía | 01/10/2026: complementado desde Shopify Stetson México (match por código de barras): WB Fit, WB Descripción larga (más completa) | 01/10/2026: Shopify Stetson México trae SKU WL-PIN04 — se conservó el valor de Productos | Homologación G1522 06/10/2026: WB Fit: «» → «(blank)» (Completado desde NetSuite) · WB Silueta: «» → «(blank)» (Completado desde NetSuite) · WB Fit: «(blank)» → «» (Corrección aplicada) · WB Silueta: «(blank)» → «» (Corrección aplicada) · Validador Shopify: WB: precio con IVA no termina en 9</t>
        </is>
      </c>
      <c r="AI27" s="156" t="inlineStr">
        <is>
          <t>No</t>
        </is>
      </c>
      <c r="AJ27" s="156" t="n"/>
      <c r="AK27" s="155" t="inlineStr">
        <is>
          <t>ProductosCatalogoEstandar907.xlsx: fila 6170 [N,O,S,U,V,W,Y] | Criterios: D [K,J] | Criterios: I [Q]; G1522_Extraccion_Articulos_NetSuite_2026-09-30.xlsx: fila 63974 [L,P,Z,T] | Shopify Stetson: producto 15247084224875 / variante 53870276575595</t>
        </is>
      </c>
      <c r="AL27" s="58" t="n">
        <v>315</v>
      </c>
      <c r="AM27" s="58" t="n">
        <v>900.00000004</v>
      </c>
      <c r="AN27" s="155" t="inlineStr">
        <is>
          <t>Shopify Stetson México</t>
        </is>
      </c>
      <c r="AO27" s="59" t="n">
        <v>2</v>
      </c>
      <c r="AP27" s="59" t="n"/>
      <c r="AQ27" s="59" t="n"/>
      <c r="AR27" s="155" t="inlineStr">
        <is>
          <t>Shopify Stetson México › Stetson Americas: 2</t>
        </is>
      </c>
    </row>
    <row r="28">
      <c r="A28" s="50" t="inlineStr">
        <is>
          <t>742968415570</t>
        </is>
      </c>
      <c r="B28" s="51" t="inlineStr">
        <is>
          <t>117727</t>
        </is>
      </c>
      <c r="C28" s="156" t="inlineStr">
        <is>
          <t>Multimarca</t>
        </is>
      </c>
      <c r="D28" s="156" t="inlineStr">
        <is>
          <t>WL-PIN19</t>
        </is>
      </c>
      <c r="E28" s="156" t="inlineStr">
        <is>
          <t>WL-PIN19-UNI</t>
        </is>
      </c>
      <c r="F28" s="156" t="inlineStr">
        <is>
          <t>Talla única</t>
        </is>
      </c>
      <c r="G28" s="156" t="inlineStr">
        <is>
          <t>One Size</t>
        </is>
      </c>
      <c r="H28" s="156" t="inlineStr">
        <is>
          <t>Willow Lane</t>
        </is>
      </c>
      <c r="I28" s="156" t="inlineStr">
        <is>
          <t>Alfiler de Sombrero Mosaico del Suroeste</t>
        </is>
      </c>
      <c r="J28" s="156" t="inlineStr">
        <is>
          <t>Accesorios</t>
        </is>
      </c>
      <c r="K28" s="156" t="inlineStr">
        <is>
          <t>Sombreros</t>
        </is>
      </c>
      <c r="L28" s="156" t="inlineStr">
        <is>
          <t>Unisex</t>
        </is>
      </c>
      <c r="M28" s="156" t="inlineStr">
        <is>
          <t>Willow Lane</t>
        </is>
      </c>
      <c r="N28" s="156" t="inlineStr">
        <is>
          <t>FW26</t>
        </is>
      </c>
      <c r="O28" s="156" t="inlineStr">
        <is>
          <t>Seasonal</t>
        </is>
      </c>
      <c r="P28" s="156" t="inlineStr">
        <is>
          <t>Negro</t>
        </is>
      </c>
      <c r="Q28" s="156" t="n"/>
      <c r="R28" s="156" t="n"/>
      <c r="S28" s="156" t="inlineStr">
        <is>
          <t>Elemento decorativo de piedra mosaico y herraje de alfiler metálico</t>
        </is>
      </c>
      <c r="T28" s="156" t="inlineStr">
        <is>
          <t>Alfiler de Sombrero Mosaico del Suroeste Material: Elemento decorativo de piedra mosaico y herraje de alfiler metálico Origen: China</t>
        </is>
      </c>
      <c r="U28" s="156" t="inlineStr">
        <is>
          <t>China</t>
        </is>
      </c>
      <c r="V28" s="156" t="inlineStr">
        <is>
          <t>PZS</t>
        </is>
      </c>
      <c r="W28" s="51" t="inlineStr">
        <is>
          <t>54101600</t>
        </is>
      </c>
      <c r="X28" s="156" t="n"/>
      <c r="Y28" s="54" t="n">
        <v>315</v>
      </c>
      <c r="Z28" s="54" t="n">
        <v>900</v>
      </c>
      <c r="AA28" s="55">
        <f>IF(AND(A28="", B28="", E28=""), "", IF(AB28="", "Válido", IF((LEN(AB28)-LEN(SUBSTITUTE(AB28,"; ","")))/2+1&gt;(LEN(AB28)-LEN(SUBSTITUTE(AB28,"[Aviso]","")))/7, "Con Incidencias", "Válido")))</f>
        <v/>
      </c>
      <c r="AB28" s="56">
        <f>IF(AND(A28="", B28="", E28=""), "", TEXTJOIN("; ", TRUE, IF(OR(TRIM(A28&amp;"")="", ISNUMBER(SEARCH("FALTA", A28))), "UPC faltante/inválido", ""), IF(AND(A28&lt;&gt;"", IFERROR(_xlfn.XMATCH(A28,$A$2:$A$41,0,1)&lt;&gt;_xlfn.XMATCH(A28,$A$2:$A$41,0,-1),FALSE)), "Código de barras duplicado", ""), IF(AND(E28&lt;&gt;"", COUNTIF($E$2:$E$41, E28)&gt;1), "SKU duplicado", ""), IF(OR(J28="", J28=""), "[Aviso] División no capturada ()", IF(ISNA(MATCH(J28, Criterios!$A$123:$A$126, 0)), "División no válida", "")), IF(OR(K28="", K28=""), "[Aviso] Categoría no capturada ()", IF(ISNA(MATCH(K28, Criterios!$A$81:$A$120, 0)), "Categoría no válida", IF(AND(J28&lt;&gt;"", J28&lt;&gt;"", J28&lt;&gt;VLOOKUP(K28, Criterios!$A$81:$B$120, 2, FALSE)), "División no coincide con Categoría", ""))), IF(OR(L28="", L28=""), "[Aviso] Género no capturado ()", IF(ISNA(MATCH(L28, Criterios!$B$123:$B$127, 0)), "Género no válido", "")), IF(OR(N28="", N28=""), "[Aviso] Temporada no capturada ()", IF(ISNA(MATCH(N28, Criterios!$C$123:$C$128, 0)), "Temporada no válida", "")), IF(OR(O28="", O28=""), "[Aviso] Ciclo de vida no capturado ()", IF(ISNA(MATCH(O28, Criterios!$D$123:$D$124, 0)), "Ciclo de vida no válido", ""))))</f>
        <v/>
      </c>
      <c r="AC28" s="56" t="n"/>
      <c r="AD28" s="51" t="n">
        <v>2</v>
      </c>
      <c r="AE28" s="156" t="inlineStr">
        <is>
          <t>STETSON AMERICAS: 2</t>
        </is>
      </c>
      <c r="AF28" s="51" t="n">
        <v>2</v>
      </c>
      <c r="AG28" s="156" t="inlineStr">
        <is>
          <t>Nuevo – NetSuite con existencia</t>
        </is>
      </c>
      <c r="AH28" s="156" t="inlineStr">
        <is>
          <t>Categoría NetSuite «Pines de Sombrero» no existe en Criterios (proponer alta) | Revisión 29/09/2026: Talla fuente Talla única sin equivalencia exacta en Criterios para Talla Sombrero; Marca Willow Lane fuera de lista Criterios; Campos sin respaldo: R, X; Auditoría NetSuite 30/09/2026: llenado desde NetSuite [L,Z,T]; Silueta NetSuite vacía | 01/10/2026: complementado desde Shopify Stetson México (match por código de barras): WB Fit, WB Descripción larga (más completa) | 01/10/2026: Shopify Stetson México trae SKU WL-PIN19 — se conservó el valor de Productos | Homologación G1522 06/10/2026: WB Fit: «» → «(blank)» (Completado desde NetSuite) · WB Silueta: «» → «(blank)» (Completado desde NetSuite) · WB Fit: «(blank)» → «» (Corrección aplicada) · WB Silueta: «(blank)» → «» (Corrección aplicada) · Validador Shopify: WB: precio con IVA no termina en 9</t>
        </is>
      </c>
      <c r="AI28" s="156" t="inlineStr">
        <is>
          <t>No</t>
        </is>
      </c>
      <c r="AJ28" s="156" t="n"/>
      <c r="AK28" s="155" t="inlineStr">
        <is>
          <t>ProductosCatalogoEstandar907.xlsx: fila 6171 [N,O,P,S,U,V,W,Y] | Criterios: D [K,J] | Criterios: I [Q]; G1522_Extraccion_Articulos_NetSuite_2026-09-30.xlsx: fila 63975 [L,Z,T] | Shopify Stetson: producto 15247084257643 / variante 53870276608363</t>
        </is>
      </c>
      <c r="AL28" s="58" t="n">
        <v>315</v>
      </c>
      <c r="AM28" s="58" t="n">
        <v>900.00000004</v>
      </c>
      <c r="AN28" s="155" t="inlineStr">
        <is>
          <t>Shopify Stetson México</t>
        </is>
      </c>
      <c r="AO28" s="59" t="n">
        <v>2</v>
      </c>
      <c r="AP28" s="59" t="n"/>
      <c r="AQ28" s="59" t="n"/>
      <c r="AR28" s="155" t="inlineStr">
        <is>
          <t>Shopify Stetson México › Stetson Americas: 2</t>
        </is>
      </c>
    </row>
    <row r="29">
      <c r="A29" s="50" t="inlineStr">
        <is>
          <t>742968416348</t>
        </is>
      </c>
      <c r="B29" s="51" t="inlineStr">
        <is>
          <t>117748</t>
        </is>
      </c>
      <c r="C29" s="156" t="inlineStr">
        <is>
          <t>Multimarca</t>
        </is>
      </c>
      <c r="D29" s="156" t="inlineStr">
        <is>
          <t>WL-PIN23</t>
        </is>
      </c>
      <c r="E29" s="156" t="inlineStr">
        <is>
          <t>WL-PIN23-UNI</t>
        </is>
      </c>
      <c r="F29" s="156" t="inlineStr">
        <is>
          <t>Talla única</t>
        </is>
      </c>
      <c r="G29" s="156" t="inlineStr">
        <is>
          <t>One Size</t>
        </is>
      </c>
      <c r="H29" s="156" t="inlineStr">
        <is>
          <t>Willow Lane</t>
        </is>
      </c>
      <c r="I29" s="156" t="inlineStr">
        <is>
          <t>Alfiler de Sombrero Jaspe Café</t>
        </is>
      </c>
      <c r="J29" s="156" t="inlineStr">
        <is>
          <t>Accesorios</t>
        </is>
      </c>
      <c r="K29" s="156" t="inlineStr">
        <is>
          <t>Sombreros</t>
        </is>
      </c>
      <c r="L29" s="156" t="inlineStr">
        <is>
          <t>Unisex</t>
        </is>
      </c>
      <c r="M29" s="156" t="inlineStr">
        <is>
          <t>Willow Lane</t>
        </is>
      </c>
      <c r="N29" s="156" t="inlineStr">
        <is>
          <t>FW26</t>
        </is>
      </c>
      <c r="O29" s="156" t="inlineStr">
        <is>
          <t>Seasonal</t>
        </is>
      </c>
      <c r="P29" s="156" t="inlineStr">
        <is>
          <t>Cafe</t>
        </is>
      </c>
      <c r="Q29" s="156" t="n"/>
      <c r="R29" s="156" t="n"/>
      <c r="S29" s="156" t="inlineStr">
        <is>
          <t>Piedra jaspe café y herraje de alfiler metálico</t>
        </is>
      </c>
      <c r="T29" s="156" t="inlineStr">
        <is>
          <t>Alfiler de Sombrero Jaspe Café Material: Piedra jaspe café y herraje de alfiler metálico Origen: India</t>
        </is>
      </c>
      <c r="U29" s="156" t="inlineStr">
        <is>
          <t>India</t>
        </is>
      </c>
      <c r="V29" s="156" t="inlineStr">
        <is>
          <t>PZS</t>
        </is>
      </c>
      <c r="W29" s="51" t="inlineStr">
        <is>
          <t>54101600</t>
        </is>
      </c>
      <c r="X29" s="156" t="n"/>
      <c r="Y29" s="54" t="n">
        <v>315</v>
      </c>
      <c r="Z29" s="54" t="n">
        <v>900</v>
      </c>
      <c r="AA29" s="55">
        <f>IF(AND(A29="", B29="", E29=""), "", IF(AB29="", "Válido", IF((LEN(AB29)-LEN(SUBSTITUTE(AB29,"; ","")))/2+1&gt;(LEN(AB29)-LEN(SUBSTITUTE(AB29,"[Aviso]","")))/7, "Con Incidencias", "Válido")))</f>
        <v/>
      </c>
      <c r="AB29" s="56">
        <f>IF(AND(A29="", B29="", E29=""), "", TEXTJOIN("; ", TRUE, IF(OR(TRIM(A29&amp;"")="", ISNUMBER(SEARCH("FALTA", A29))), "UPC faltante/inválido", ""), IF(AND(A29&lt;&gt;"", IFERROR(_xlfn.XMATCH(A29,$A$2:$A$41,0,1)&lt;&gt;_xlfn.XMATCH(A29,$A$2:$A$41,0,-1),FALSE)), "Código de barras duplicado", ""), IF(AND(E29&lt;&gt;"", COUNTIF($E$2:$E$41, E29)&gt;1), "SKU duplicado", ""), IF(OR(J29="", J29=""), "[Aviso] División no capturada ()", IF(ISNA(MATCH(J29, Criterios!$A$123:$A$126, 0)), "División no válida", "")), IF(OR(K29="", K29=""), "[Aviso] Categoría no capturada ()", IF(ISNA(MATCH(K29, Criterios!$A$81:$A$120, 0)), "Categoría no válida", IF(AND(J29&lt;&gt;"", J29&lt;&gt;"", J29&lt;&gt;VLOOKUP(K29, Criterios!$A$81:$B$120, 2, FALSE)), "División no coincide con Categoría", ""))), IF(OR(L29="", L29=""), "[Aviso] Género no capturado ()", IF(ISNA(MATCH(L29, Criterios!$B$123:$B$127, 0)), "Género no válido", "")), IF(OR(N29="", N29=""), "[Aviso] Temporada no capturada ()", IF(ISNA(MATCH(N29, Criterios!$C$123:$C$128, 0)), "Temporada no válida", "")), IF(OR(O29="", O29=""), "[Aviso] Ciclo de vida no capturado ()", IF(ISNA(MATCH(O29, Criterios!$D$123:$D$124, 0)), "Ciclo de vida no válido", ""))))</f>
        <v/>
      </c>
      <c r="AC29" s="56" t="n"/>
      <c r="AD29" s="51" t="n">
        <v>1</v>
      </c>
      <c r="AE29" s="156" t="inlineStr">
        <is>
          <t>STETSON AMERICAS: 1</t>
        </is>
      </c>
      <c r="AF29" s="51" t="n">
        <v>1</v>
      </c>
      <c r="AG29" s="156" t="inlineStr">
        <is>
          <t>Nuevo – NetSuite con existencia</t>
        </is>
      </c>
      <c r="AH29" s="156" t="inlineStr">
        <is>
          <t>Categoría NetSuite «Pines de Sombrero» no existe en Criterios (proponer alta) | Revisión 29/09/2026: Talla fuente Talla única sin equivalencia exacta en Criterios para Talla Sombrero; Marca Willow Lane fuera de lista Criterios; Campos sin respaldo: R, X; Auditoría NetSuite 30/09/2026: llenado desde NetSuite [L,P,Z,T] | 01/10/2026: complementado desde Shopify Stetson México (match por código de barras): WB Fit, WB Descripción larga (más completa) | 01/10/2026: Shopify Stetson México trae SKU WL-PIN23 — se conservó el valor de Productos | Homologación G1522 06/10/2026: Validador Shopify: WB: precio con IVA no termina en 9</t>
        </is>
      </c>
      <c r="AI29" s="156" t="inlineStr">
        <is>
          <t>No</t>
        </is>
      </c>
      <c r="AJ29" s="156" t="n"/>
      <c r="AK29" s="155" t="inlineStr">
        <is>
          <t>ProductosCatalogoEstandar907.xlsx: fila 6172 [N,O,S,U,V,W,Y] | Criterios: D [K,J] | Criterios: I [Q]; G1522_Extraccion_Articulos_NetSuite_2026-09-30.xlsx: fila 63996 [L,P,Z,T] | Shopify Stetson: producto 15247084093803 / variante 53870276444523</t>
        </is>
      </c>
      <c r="AL29" s="58" t="n">
        <v>315</v>
      </c>
      <c r="AM29" s="58" t="n">
        <v>900.00000004</v>
      </c>
      <c r="AN29" s="155" t="inlineStr">
        <is>
          <t>Shopify Stetson México</t>
        </is>
      </c>
      <c r="AO29" s="59" t="n">
        <v>1</v>
      </c>
      <c r="AP29" s="59" t="n"/>
      <c r="AQ29" s="59" t="n"/>
      <c r="AR29" s="155" t="inlineStr">
        <is>
          <t>Shopify Stetson México › Stetson Americas: 1</t>
        </is>
      </c>
    </row>
    <row r="30">
      <c r="A30" s="50" t="inlineStr">
        <is>
          <t>654690204172</t>
        </is>
      </c>
      <c r="B30" s="51" t="inlineStr">
        <is>
          <t>117718</t>
        </is>
      </c>
      <c r="C30" s="156" t="inlineStr">
        <is>
          <t>Multimarca</t>
        </is>
      </c>
      <c r="D30" s="156" t="inlineStr">
        <is>
          <t>WLHB-ARIK</t>
        </is>
      </c>
      <c r="E30" s="156" t="inlineStr">
        <is>
          <t>WLHB-ARIK-UNI</t>
        </is>
      </c>
      <c r="F30" s="156" t="inlineStr">
        <is>
          <t>Talla única</t>
        </is>
      </c>
      <c r="G30" s="156" t="inlineStr">
        <is>
          <t>One Size</t>
        </is>
      </c>
      <c r="H30" s="156" t="inlineStr">
        <is>
          <t>Willow Lane</t>
        </is>
      </c>
      <c r="I30" s="156" t="inlineStr">
        <is>
          <t>Toquilla de Plumas - Arikara</t>
        </is>
      </c>
      <c r="J30" s="156" t="inlineStr">
        <is>
          <t>Accesorios</t>
        </is>
      </c>
      <c r="K30" s="156" t="inlineStr">
        <is>
          <t>Plumas para sombrero</t>
        </is>
      </c>
      <c r="L30" s="156" t="inlineStr">
        <is>
          <t>Unisex</t>
        </is>
      </c>
      <c r="M30" s="156" t="inlineStr">
        <is>
          <t>Willow Lane</t>
        </is>
      </c>
      <c r="N30" s="156" t="inlineStr">
        <is>
          <t>FW26</t>
        </is>
      </c>
      <c r="O30" s="156" t="inlineStr">
        <is>
          <t>Seasonal</t>
        </is>
      </c>
      <c r="P30" s="156" t="inlineStr">
        <is>
          <t>Negro</t>
        </is>
      </c>
      <c r="Q30" s="156" t="n"/>
      <c r="R30" s="156" t="n"/>
      <c r="S30" s="156" t="inlineStr">
        <is>
          <t>Plumas naturales y listón de poliéster</t>
        </is>
      </c>
      <c r="T30" s="156" t="inlineStr">
        <is>
          <t>Toquilla de Plumas - Arikara</t>
        </is>
      </c>
      <c r="U30" s="156" t="inlineStr">
        <is>
          <t>China</t>
        </is>
      </c>
      <c r="V30" s="156" t="inlineStr">
        <is>
          <t>PZS</t>
        </is>
      </c>
      <c r="W30" s="51" t="inlineStr">
        <is>
          <t>11131501</t>
        </is>
      </c>
      <c r="X30" s="156" t="n"/>
      <c r="Y30" s="54" t="n">
        <v>350</v>
      </c>
      <c r="Z30" s="54" t="n">
        <v>1000</v>
      </c>
      <c r="AA30" s="55">
        <f>IF(AND(A30="", B30="", E30=""), "", IF(AB30="", "Válido", IF((LEN(AB30)-LEN(SUBSTITUTE(AB30,"; ","")))/2+1&gt;(LEN(AB30)-LEN(SUBSTITUTE(AB30,"[Aviso]","")))/7, "Con Incidencias", "Válido")))</f>
        <v/>
      </c>
      <c r="AB30" s="56">
        <f>IF(AND(A30="", B30="", E30=""), "", TEXTJOIN("; ", TRUE, IF(OR(TRIM(A30&amp;"")="", ISNUMBER(SEARCH("FALTA", A30))), "UPC faltante/inválido", ""), IF(AND(A30&lt;&gt;"", IFERROR(_xlfn.XMATCH(A30,$A$2:$A$41,0,1)&lt;&gt;_xlfn.XMATCH(A30,$A$2:$A$41,0,-1),FALSE)), "Código de barras duplicado", ""), IF(AND(E30&lt;&gt;"", COUNTIF($E$2:$E$41, E30)&gt;1), "SKU duplicado", ""), IF(OR(J30="", J30=""), "[Aviso] División no capturada ()", IF(ISNA(MATCH(J30, Criterios!$A$123:$A$126, 0)), "División no válida", "")), IF(OR(K30="", K30=""), "[Aviso] Categoría no capturada ()", IF(ISNA(MATCH(K30, Criterios!$A$81:$A$120, 0)), "Categoría no válida", IF(AND(J30&lt;&gt;"", J30&lt;&gt;"", J30&lt;&gt;VLOOKUP(K30, Criterios!$A$81:$B$120, 2, FALSE)), "División no coincide con Categoría", ""))), IF(OR(L30="", L30=""), "[Aviso] Género no capturado ()", IF(ISNA(MATCH(L30, Criterios!$B$123:$B$127, 0)), "Género no válido", "")), IF(OR(N30="", N30=""), "[Aviso] Temporada no capturada ()", IF(ISNA(MATCH(N30, Criterios!$C$123:$C$128, 0)), "Temporada no válida", "")), IF(OR(O30="", O30=""), "[Aviso] Ciclo de vida no capturado ()", IF(ISNA(MATCH(O30, Criterios!$D$123:$D$124, 0)), "Ciclo de vida no válido", ""))))</f>
        <v/>
      </c>
      <c r="AC30" s="56" t="n"/>
      <c r="AD30" s="51" t="n">
        <v>3</v>
      </c>
      <c r="AE30" s="156" t="inlineStr">
        <is>
          <t>STETSON AMERICAS: 3</t>
        </is>
      </c>
      <c r="AF30" s="51" t="n">
        <v>3</v>
      </c>
      <c r="AG30" s="156" t="inlineStr">
        <is>
          <t>Nuevo – NetSuite con existencia</t>
        </is>
      </c>
      <c r="AH30" s="156" t="inlineStr">
        <is>
          <t>Categoría NetSuite «Toquillas» no existe en Criterios (proponer alta) | Revisión 29/09/2026: Marca Willow Lane fuera de lista Criterios; Campos sin respaldo: J, K, Q, R, X; Auditoría NetSuite 30/09/2026: llenado desde NetSuite [J,K,Q,R,Z,T] | 01/10/2026: complementado desde Shopify Stetson México (match por código de barras): WB Fit, WB Silueta | 01/10/2026: Shopify Stetson México trae SKU WLHB-ARIK — se conservó el valor de Productos | Homologación G1522 06/10/2026: WB Fit: «» → «(blank)» (Completado desde NetSuite) · WB Silueta: «» → «(blank)» (Completado desde NetSuite) · WB Fit: «(blank)» → «» (Corrección aplicada) · WB Silueta: «(blank)» → «» (Corrección aplicada) · Validador Shopify: WB: precio con IVA no termina en 9</t>
        </is>
      </c>
      <c r="AI30" s="156" t="inlineStr">
        <is>
          <t>No</t>
        </is>
      </c>
      <c r="AJ30" s="156" t="n"/>
      <c r="AK30" s="155" t="inlineStr">
        <is>
          <t>ProductosCatalogoEstandar907.xlsx: fila 6149 [N,O,P,S,U,V,W,Y]; G1522_Extraccion_Articulos_NetSuite_2026-09-30.xlsx: fila 63966 [J,K,Q,R,Z,T] | Shopify Stetson: producto 15247083929963 / variante 53870276280683</t>
        </is>
      </c>
      <c r="AL30" s="58" t="n">
        <v>350</v>
      </c>
      <c r="AM30" s="58" t="n">
        <v>999.99999998</v>
      </c>
      <c r="AN30" s="155" t="inlineStr">
        <is>
          <t>Shopify Stetson México</t>
        </is>
      </c>
      <c r="AO30" s="59" t="n">
        <v>3</v>
      </c>
      <c r="AP30" s="59" t="n"/>
      <c r="AQ30" s="59" t="n"/>
      <c r="AR30" s="155" t="inlineStr">
        <is>
          <t>Shopify Stetson México › Stetson Americas: 3</t>
        </is>
      </c>
    </row>
    <row r="31">
      <c r="A31" s="50" t="inlineStr">
        <is>
          <t>742968416317</t>
        </is>
      </c>
      <c r="B31" s="51" t="inlineStr">
        <is>
          <t>117719</t>
        </is>
      </c>
      <c r="C31" s="156" t="inlineStr">
        <is>
          <t>Multimarca</t>
        </is>
      </c>
      <c r="D31" s="156" t="inlineStr">
        <is>
          <t>WLHB-BEAU</t>
        </is>
      </c>
      <c r="E31" s="156" t="inlineStr">
        <is>
          <t>WLHB-BEAU-UNI</t>
        </is>
      </c>
      <c r="F31" s="156" t="inlineStr">
        <is>
          <t>Talla única</t>
        </is>
      </c>
      <c r="G31" s="156" t="inlineStr">
        <is>
          <t>One Size</t>
        </is>
      </c>
      <c r="H31" s="156" t="inlineStr">
        <is>
          <t>Willow Lane</t>
        </is>
      </c>
      <c r="I31" s="156" t="inlineStr">
        <is>
          <t>Toquilla de Plumas Western - Beau</t>
        </is>
      </c>
      <c r="J31" s="156" t="inlineStr">
        <is>
          <t>Accesorios</t>
        </is>
      </c>
      <c r="K31" s="156" t="inlineStr">
        <is>
          <t>Plumas para sombrero</t>
        </is>
      </c>
      <c r="L31" s="156" t="inlineStr">
        <is>
          <t>Unisex</t>
        </is>
      </c>
      <c r="M31" s="156" t="inlineStr">
        <is>
          <t>Willow Lane</t>
        </is>
      </c>
      <c r="N31" s="156" t="inlineStr">
        <is>
          <t>FW26</t>
        </is>
      </c>
      <c r="O31" s="156" t="inlineStr">
        <is>
          <t>Seasonal</t>
        </is>
      </c>
      <c r="P31" s="156" t="inlineStr">
        <is>
          <t>Negro</t>
        </is>
      </c>
      <c r="Q31" s="156" t="n"/>
      <c r="R31" s="156" t="n"/>
      <c r="S31" s="156" t="inlineStr">
        <is>
          <t>Plumas naturales y listón de poliéster</t>
        </is>
      </c>
      <c r="T31" s="156" t="inlineStr">
        <is>
          <t>Toquilla de Plumas Western - Beau</t>
        </is>
      </c>
      <c r="U31" s="156" t="inlineStr">
        <is>
          <t>China</t>
        </is>
      </c>
      <c r="V31" s="156" t="inlineStr">
        <is>
          <t>PZS</t>
        </is>
      </c>
      <c r="W31" s="51" t="inlineStr">
        <is>
          <t>11131501</t>
        </is>
      </c>
      <c r="X31" s="156" t="n"/>
      <c r="Y31" s="54" t="n">
        <v>350</v>
      </c>
      <c r="Z31" s="54" t="n">
        <v>1000</v>
      </c>
      <c r="AA31" s="55">
        <f>IF(AND(A31="", B31="", E31=""), "", IF(AB31="", "Válido", IF((LEN(AB31)-LEN(SUBSTITUTE(AB31,"; ","")))/2+1&gt;(LEN(AB31)-LEN(SUBSTITUTE(AB31,"[Aviso]","")))/7, "Con Incidencias", "Válido")))</f>
        <v/>
      </c>
      <c r="AB31" s="56">
        <f>IF(AND(A31="", B31="", E31=""), "", TEXTJOIN("; ", TRUE, IF(OR(TRIM(A31&amp;"")="", ISNUMBER(SEARCH("FALTA", A31))), "UPC faltante/inválido", ""), IF(AND(A31&lt;&gt;"", IFERROR(_xlfn.XMATCH(A31,$A$2:$A$41,0,1)&lt;&gt;_xlfn.XMATCH(A31,$A$2:$A$41,0,-1),FALSE)), "Código de barras duplicado", ""), IF(AND(E31&lt;&gt;"", COUNTIF($E$2:$E$41, E31)&gt;1), "SKU duplicado", ""), IF(OR(J31="", J31=""), "[Aviso] División no capturada ()", IF(ISNA(MATCH(J31, Criterios!$A$123:$A$126, 0)), "División no válida", "")), IF(OR(K31="", K31=""), "[Aviso] Categoría no capturada ()", IF(ISNA(MATCH(K31, Criterios!$A$81:$A$120, 0)), "Categoría no válida", IF(AND(J31&lt;&gt;"", J31&lt;&gt;"", J31&lt;&gt;VLOOKUP(K31, Criterios!$A$81:$B$120, 2, FALSE)), "División no coincide con Categoría", ""))), IF(OR(L31="", L31=""), "[Aviso] Género no capturado ()", IF(ISNA(MATCH(L31, Criterios!$B$123:$B$127, 0)), "Género no válido", "")), IF(OR(N31="", N31=""), "[Aviso] Temporada no capturada ()", IF(ISNA(MATCH(N31, Criterios!$C$123:$C$128, 0)), "Temporada no válida", "")), IF(OR(O31="", O31=""), "[Aviso] Ciclo de vida no capturado ()", IF(ISNA(MATCH(O31, Criterios!$D$123:$D$124, 0)), "Ciclo de vida no válido", ""))))</f>
        <v/>
      </c>
      <c r="AC31" s="56" t="n"/>
      <c r="AD31" s="51" t="n">
        <v>3</v>
      </c>
      <c r="AE31" s="156" t="inlineStr">
        <is>
          <t>STETSON AMERICAS: 3</t>
        </is>
      </c>
      <c r="AF31" s="51" t="n">
        <v>3</v>
      </c>
      <c r="AG31" s="156" t="inlineStr">
        <is>
          <t>Nuevo – NetSuite con existencia</t>
        </is>
      </c>
      <c r="AH31" s="156" t="inlineStr">
        <is>
          <t>Categoría NetSuite «Toquillas» no existe en Criterios (proponer alta) | Revisión 29/09/2026: Marca Willow Lane fuera de lista Criterios; Campos sin respaldo: J, K, Q, R, X; Auditoría NetSuite 30/09/2026: llenado desde NetSuite [J,K,Q,R,Z,T] | 01/10/2026: complementado desde Shopify Stetson México (match por código de barras): WB Fit, WB Silueta | 01/10/2026: Shopify Stetson México trae SKU WLHB-BEAU — se conservó el valor de Productos | Homologación G1522 06/10/2026: WB Fit: «» → «(blank)» (Completado desde NetSuite) · WB Silueta: «» → «(blank)» (Completado desde NetSuite) · WB Fit: «(blank)» → «» (Corrección aplicada) · WB Silueta: «(blank)» → «» (Corrección aplicada) · Validador Shopify: WB: precio con IVA no termina en 9</t>
        </is>
      </c>
      <c r="AI31" s="156" t="inlineStr">
        <is>
          <t>No</t>
        </is>
      </c>
      <c r="AJ31" s="156" t="n"/>
      <c r="AK31" s="155" t="inlineStr">
        <is>
          <t>ProductosCatalogoEstandar907.xlsx: fila 6150 [N,O,P,S,U,V,W,Y]; G1522_Extraccion_Articulos_NetSuite_2026-09-30.xlsx: fila 63967 [J,K,Q,R,Z,T] | Shopify Stetson: producto 15247083962731 / variante 53870276313451</t>
        </is>
      </c>
      <c r="AL31" s="58" t="n">
        <v>350</v>
      </c>
      <c r="AM31" s="58" t="n">
        <v>999.99999998</v>
      </c>
      <c r="AN31" s="155" t="inlineStr">
        <is>
          <t>Shopify Stetson México</t>
        </is>
      </c>
      <c r="AO31" s="59" t="n">
        <v>3</v>
      </c>
      <c r="AP31" s="59" t="n"/>
      <c r="AQ31" s="59" t="n"/>
      <c r="AR31" s="155" t="inlineStr">
        <is>
          <t>Shopify Stetson México › Stetson Americas: 3</t>
        </is>
      </c>
    </row>
    <row r="32">
      <c r="A32" s="50" t="inlineStr">
        <is>
          <t>654690264145</t>
        </is>
      </c>
      <c r="B32" s="51" t="inlineStr">
        <is>
          <t>117717</t>
        </is>
      </c>
      <c r="C32" s="156" t="inlineStr">
        <is>
          <t>Multimarca</t>
        </is>
      </c>
      <c r="D32" s="156" t="inlineStr">
        <is>
          <t>WLHB-DOVE</t>
        </is>
      </c>
      <c r="E32" s="156" t="inlineStr">
        <is>
          <t>WLHB-DOVE-UNI</t>
        </is>
      </c>
      <c r="F32" s="156" t="inlineStr">
        <is>
          <t>Talla única</t>
        </is>
      </c>
      <c r="G32" s="156" t="inlineStr">
        <is>
          <t>One Size</t>
        </is>
      </c>
      <c r="H32" s="156" t="inlineStr">
        <is>
          <t>Willow Lane</t>
        </is>
      </c>
      <c r="I32" s="156" t="inlineStr">
        <is>
          <t>Toquilla de Plumas - Dove I</t>
        </is>
      </c>
      <c r="J32" s="156" t="inlineStr">
        <is>
          <t>Accesorios</t>
        </is>
      </c>
      <c r="K32" s="156" t="inlineStr">
        <is>
          <t>Plumas para sombrero</t>
        </is>
      </c>
      <c r="L32" s="156" t="inlineStr">
        <is>
          <t>Unisex</t>
        </is>
      </c>
      <c r="M32" s="156" t="inlineStr">
        <is>
          <t>Willow Lane</t>
        </is>
      </c>
      <c r="N32" s="156" t="inlineStr">
        <is>
          <t>FW26</t>
        </is>
      </c>
      <c r="O32" s="156" t="inlineStr">
        <is>
          <t>Seasonal</t>
        </is>
      </c>
      <c r="P32" s="156" t="inlineStr">
        <is>
          <t>Negro</t>
        </is>
      </c>
      <c r="Q32" s="156" t="n"/>
      <c r="R32" s="156" t="n"/>
      <c r="S32" s="156" t="inlineStr">
        <is>
          <t>Plumas naturales y listón de poliéster</t>
        </is>
      </c>
      <c r="T32" s="156" t="inlineStr">
        <is>
          <t>Toquilla de Plumas - Dove I</t>
        </is>
      </c>
      <c r="U32" s="156" t="inlineStr">
        <is>
          <t>China</t>
        </is>
      </c>
      <c r="V32" s="156" t="inlineStr">
        <is>
          <t>PZS</t>
        </is>
      </c>
      <c r="W32" s="51" t="inlineStr">
        <is>
          <t>11131501</t>
        </is>
      </c>
      <c r="X32" s="156" t="n"/>
      <c r="Y32" s="54" t="n">
        <v>306.25</v>
      </c>
      <c r="Z32" s="54" t="n">
        <v>900</v>
      </c>
      <c r="AA32" s="55">
        <f>IF(AND(A32="", B32="", E32=""), "", IF(AB32="", "Válido", IF((LEN(AB32)-LEN(SUBSTITUTE(AB32,"; ","")))/2+1&gt;(LEN(AB32)-LEN(SUBSTITUTE(AB32,"[Aviso]","")))/7, "Con Incidencias", "Válido")))</f>
        <v/>
      </c>
      <c r="AB32" s="56">
        <f>IF(AND(A32="", B32="", E32=""), "", TEXTJOIN("; ", TRUE, IF(OR(TRIM(A32&amp;"")="", ISNUMBER(SEARCH("FALTA", A32))), "UPC faltante/inválido", ""), IF(AND(A32&lt;&gt;"", IFERROR(_xlfn.XMATCH(A32,$A$2:$A$41,0,1)&lt;&gt;_xlfn.XMATCH(A32,$A$2:$A$41,0,-1),FALSE)), "Código de barras duplicado", ""), IF(AND(E32&lt;&gt;"", COUNTIF($E$2:$E$41, E32)&gt;1), "SKU duplicado", ""), IF(OR(J32="", J32=""), "[Aviso] División no capturada ()", IF(ISNA(MATCH(J32, Criterios!$A$123:$A$126, 0)), "División no válida", "")), IF(OR(K32="", K32=""), "[Aviso] Categoría no capturada ()", IF(ISNA(MATCH(K32, Criterios!$A$81:$A$120, 0)), "Categoría no válida", IF(AND(J32&lt;&gt;"", J32&lt;&gt;"", J32&lt;&gt;VLOOKUP(K32, Criterios!$A$81:$B$120, 2, FALSE)), "División no coincide con Categoría", ""))), IF(OR(L32="", L32=""), "[Aviso] Género no capturado ()", IF(ISNA(MATCH(L32, Criterios!$B$123:$B$127, 0)), "Género no válido", "")), IF(OR(N32="", N32=""), "[Aviso] Temporada no capturada ()", IF(ISNA(MATCH(N32, Criterios!$C$123:$C$128, 0)), "Temporada no válida", "")), IF(OR(O32="", O32=""), "[Aviso] Ciclo de vida no capturado ()", IF(ISNA(MATCH(O32, Criterios!$D$123:$D$124, 0)), "Ciclo de vida no válido", ""))))</f>
        <v/>
      </c>
      <c r="AC32" s="56" t="n"/>
      <c r="AD32" s="51" t="n">
        <v>3</v>
      </c>
      <c r="AE32" s="156" t="inlineStr">
        <is>
          <t>STETSON AMERICAS: 3</t>
        </is>
      </c>
      <c r="AF32" s="51" t="n">
        <v>3</v>
      </c>
      <c r="AG32" s="156" t="inlineStr">
        <is>
          <t>Nuevo – NetSuite con existencia</t>
        </is>
      </c>
      <c r="AH32" s="156" t="inlineStr">
        <is>
          <t>Categoría NetSuite «Toquillas» no existe en Criterios (proponer alta) | Revisión 29/09/2026: Marca Willow Lane fuera de lista Criterios; Campos sin respaldo: J, K, Q, R, X; Auditoría NetSuite 30/09/2026: llenado desde NetSuite [J,K,Q,R,Z,T] | 01/10/2026: complementado desde Shopify Stetson México (match por código de barras): WB Fit, WB Silueta | 01/10/2026: Shopify Stetson México trae SKU WLHB-DOVE — se conservó el valor de Productos | Homologación G1522 06/10/2026: WB Fit: «» → «(blank)» (Completado desde NetSuite) · WB Silueta: «» → «(blank)» (Completado desde NetSuite) · WB Fit: «(blank)» → «» (Corrección aplicada) · WB Silueta: «(blank)» → «» (Corrección aplicada) · Validador Shopify: WB: precio con IVA no termina en 9</t>
        </is>
      </c>
      <c r="AI32" s="156" t="inlineStr">
        <is>
          <t>No</t>
        </is>
      </c>
      <c r="AJ32" s="156" t="n"/>
      <c r="AK32" s="155" t="inlineStr">
        <is>
          <t>ProductosCatalogoEstandar907.xlsx: fila 6151 [N,O,P,S,U,V,W,Y]; G1522_Extraccion_Articulos_NetSuite_2026-09-30.xlsx: fila 63965 [J,K,Q,R,Z,T] | Shopify Stetson: producto 15247083897195 / variante 53870276247915</t>
        </is>
      </c>
      <c r="AL32" s="58" t="n">
        <v>306.25</v>
      </c>
      <c r="AM32" s="58" t="n">
        <v>900.00000004</v>
      </c>
      <c r="AN32" s="155" t="inlineStr">
        <is>
          <t>Shopify Stetson México</t>
        </is>
      </c>
      <c r="AO32" s="59" t="n">
        <v>3</v>
      </c>
      <c r="AP32" s="59" t="n"/>
      <c r="AQ32" s="59" t="n"/>
      <c r="AR32" s="155" t="inlineStr">
        <is>
          <t>Shopify Stetson México › Stetson Americas: 3</t>
        </is>
      </c>
    </row>
    <row r="33">
      <c r="A33" s="50" t="inlineStr">
        <is>
          <t>644625215847</t>
        </is>
      </c>
      <c r="B33" s="51" t="inlineStr">
        <is>
          <t>117721</t>
        </is>
      </c>
      <c r="C33" s="156" t="inlineStr">
        <is>
          <t>Multimarca</t>
        </is>
      </c>
      <c r="D33" s="156" t="inlineStr">
        <is>
          <t>WLHB-MOAB</t>
        </is>
      </c>
      <c r="E33" s="156" t="inlineStr">
        <is>
          <t>WLHB-MOAB-UNI</t>
        </is>
      </c>
      <c r="F33" s="156" t="inlineStr">
        <is>
          <t>Talla única</t>
        </is>
      </c>
      <c r="G33" s="156" t="inlineStr">
        <is>
          <t>One Size</t>
        </is>
      </c>
      <c r="H33" s="156" t="inlineStr">
        <is>
          <t>Willow Lane</t>
        </is>
      </c>
      <c r="I33" s="156" t="inlineStr">
        <is>
          <t>Toquilla de Plumas - Moab</t>
        </is>
      </c>
      <c r="J33" s="156" t="inlineStr">
        <is>
          <t>Accesorios</t>
        </is>
      </c>
      <c r="K33" s="156" t="inlineStr">
        <is>
          <t>Plumas para sombrero</t>
        </is>
      </c>
      <c r="L33" s="156" t="inlineStr">
        <is>
          <t>Unisex</t>
        </is>
      </c>
      <c r="M33" s="156" t="inlineStr">
        <is>
          <t>Willow Lane</t>
        </is>
      </c>
      <c r="N33" s="156" t="inlineStr">
        <is>
          <t>FW26</t>
        </is>
      </c>
      <c r="O33" s="156" t="inlineStr">
        <is>
          <t>Seasonal</t>
        </is>
      </c>
      <c r="P33" s="156" t="inlineStr">
        <is>
          <t>Negro</t>
        </is>
      </c>
      <c r="Q33" s="156" t="n"/>
      <c r="R33" s="156" t="n"/>
      <c r="S33" s="156" t="inlineStr">
        <is>
          <t>Plumas naturales y listón de poliéster</t>
        </is>
      </c>
      <c r="T33" s="156" t="inlineStr">
        <is>
          <t>Toquilla de Plumas - Moab</t>
        </is>
      </c>
      <c r="U33" s="156" t="inlineStr">
        <is>
          <t>China</t>
        </is>
      </c>
      <c r="V33" s="156" t="inlineStr">
        <is>
          <t>PZS</t>
        </is>
      </c>
      <c r="W33" s="51" t="inlineStr">
        <is>
          <t>11131501</t>
        </is>
      </c>
      <c r="X33" s="156" t="n"/>
      <c r="Y33" s="54" t="n">
        <v>350</v>
      </c>
      <c r="Z33" s="54" t="n">
        <v>1000</v>
      </c>
      <c r="AA33" s="55">
        <f>IF(AND(A33="", B33="", E33=""), "", IF(AB33="", "Válido", IF((LEN(AB33)-LEN(SUBSTITUTE(AB33,"; ","")))/2+1&gt;(LEN(AB33)-LEN(SUBSTITUTE(AB33,"[Aviso]","")))/7, "Con Incidencias", "Válido")))</f>
        <v/>
      </c>
      <c r="AB33" s="56">
        <f>IF(AND(A33="", B33="", E33=""), "", TEXTJOIN("; ", TRUE, IF(OR(TRIM(A33&amp;"")="", ISNUMBER(SEARCH("FALTA", A33))), "UPC faltante/inválido", ""), IF(AND(A33&lt;&gt;"", IFERROR(_xlfn.XMATCH(A33,$A$2:$A$41,0,1)&lt;&gt;_xlfn.XMATCH(A33,$A$2:$A$41,0,-1),FALSE)), "Código de barras duplicado", ""), IF(AND(E33&lt;&gt;"", COUNTIF($E$2:$E$41, E33)&gt;1), "SKU duplicado", ""), IF(OR(J33="", J33=""), "[Aviso] División no capturada ()", IF(ISNA(MATCH(J33, Criterios!$A$123:$A$126, 0)), "División no válida", "")), IF(OR(K33="", K33=""), "[Aviso] Categoría no capturada ()", IF(ISNA(MATCH(K33, Criterios!$A$81:$A$120, 0)), "Categoría no válida", IF(AND(J33&lt;&gt;"", J33&lt;&gt;"", J33&lt;&gt;VLOOKUP(K33, Criterios!$A$81:$B$120, 2, FALSE)), "División no coincide con Categoría", ""))), IF(OR(L33="", L33=""), "[Aviso] Género no capturado ()", IF(ISNA(MATCH(L33, Criterios!$B$123:$B$127, 0)), "Género no válido", "")), IF(OR(N33="", N33=""), "[Aviso] Temporada no capturada ()", IF(ISNA(MATCH(N33, Criterios!$C$123:$C$128, 0)), "Temporada no válida", "")), IF(OR(O33="", O33=""), "[Aviso] Ciclo de vida no capturado ()", IF(ISNA(MATCH(O33, Criterios!$D$123:$D$124, 0)), "Ciclo de vida no válido", ""))))</f>
        <v/>
      </c>
      <c r="AC33" s="56" t="n"/>
      <c r="AD33" s="51" t="n">
        <v>3</v>
      </c>
      <c r="AE33" s="156" t="inlineStr">
        <is>
          <t>STETSON AMERICAS: 3</t>
        </is>
      </c>
      <c r="AF33" s="51" t="n">
        <v>3</v>
      </c>
      <c r="AG33" s="156" t="inlineStr">
        <is>
          <t>Nuevo – NetSuite con existencia</t>
        </is>
      </c>
      <c r="AH33" s="156" t="inlineStr">
        <is>
          <t>Categoría NetSuite «Toquillas» no existe en Criterios (proponer alta) | Revisión 29/09/2026: Marca Willow Lane fuera de lista Criterios; Campos sin respaldo: J, K, Q, R, X; Auditoría NetSuite 30/09/2026: llenado desde NetSuite [J,K,Q,R,Z,T] | 01/10/2026: complementado desde Shopify Stetson México (match por código de barras): WB Fit, WB Silueta | 01/10/2026: Shopify Stetson México trae SKU WLHB-MOAB — se conservó el valor de Productos | Homologación G1522 06/10/2026: WB Fit: «» → «(blank)» (Completado desde NetSuite) · WB Silueta: «» → «(blank)» (Completado desde NetSuite) · WB Fit: «(blank)» → «» (Corrección aplicada) · WB Silueta: «(blank)» → «» (Corrección aplicada) · Validador Shopify: WB: precio con IVA no termina en 9</t>
        </is>
      </c>
      <c r="AI33" s="156" t="inlineStr">
        <is>
          <t>No</t>
        </is>
      </c>
      <c r="AJ33" s="156" t="n"/>
      <c r="AK33" s="155" t="inlineStr">
        <is>
          <t>ProductosCatalogoEstandar907.xlsx: fila 6152 [N,O,P,S,U,V,W,Y]; G1522_Extraccion_Articulos_NetSuite_2026-09-30.xlsx: fila 63969 [J,K,Q,R,Z,T] | Shopify Stetson: producto 15247084028267 / variante 53870276378987</t>
        </is>
      </c>
      <c r="AL33" s="58" t="n">
        <v>350</v>
      </c>
      <c r="AM33" s="58" t="n">
        <v>999.99999998</v>
      </c>
      <c r="AN33" s="155" t="inlineStr">
        <is>
          <t>Shopify Stetson México</t>
        </is>
      </c>
      <c r="AO33" s="59" t="n">
        <v>3</v>
      </c>
      <c r="AP33" s="59" t="n"/>
      <c r="AQ33" s="59" t="n"/>
      <c r="AR33" s="155" t="inlineStr">
        <is>
          <t>Shopify Stetson México › Stetson Americas: 3</t>
        </is>
      </c>
    </row>
    <row r="34">
      <c r="A34" s="50" t="inlineStr">
        <is>
          <t>612461905727</t>
        </is>
      </c>
      <c r="B34" s="51" t="inlineStr">
        <is>
          <t>117720</t>
        </is>
      </c>
      <c r="C34" s="156" t="inlineStr">
        <is>
          <t>Multimarca</t>
        </is>
      </c>
      <c r="D34" s="156" t="inlineStr">
        <is>
          <t>WLHB-SNRA</t>
        </is>
      </c>
      <c r="E34" s="156" t="inlineStr">
        <is>
          <t>WLHB-SNRA-UNI</t>
        </is>
      </c>
      <c r="F34" s="156" t="inlineStr">
        <is>
          <t>Talla única</t>
        </is>
      </c>
      <c r="G34" s="156" t="inlineStr">
        <is>
          <t>One Size</t>
        </is>
      </c>
      <c r="H34" s="156" t="inlineStr">
        <is>
          <t>Willow Lane</t>
        </is>
      </c>
      <c r="I34" s="156" t="inlineStr">
        <is>
          <t>Toquilla de Plumas Western - Sonora</t>
        </is>
      </c>
      <c r="J34" s="156" t="inlineStr">
        <is>
          <t>Accesorios</t>
        </is>
      </c>
      <c r="K34" s="156" t="inlineStr">
        <is>
          <t>Plumas para sombrero</t>
        </is>
      </c>
      <c r="L34" s="156" t="inlineStr">
        <is>
          <t>Unisex</t>
        </is>
      </c>
      <c r="M34" s="156" t="inlineStr">
        <is>
          <t>Willow Lane</t>
        </is>
      </c>
      <c r="N34" s="156" t="inlineStr">
        <is>
          <t>FW26</t>
        </is>
      </c>
      <c r="O34" s="156" t="inlineStr">
        <is>
          <t>Seasonal</t>
        </is>
      </c>
      <c r="P34" s="156" t="inlineStr">
        <is>
          <t>Negro</t>
        </is>
      </c>
      <c r="Q34" s="156" t="n"/>
      <c r="R34" s="156" t="n"/>
      <c r="S34" s="156" t="inlineStr">
        <is>
          <t>Plumas naturales y listón de poliéster</t>
        </is>
      </c>
      <c r="T34" s="156" t="inlineStr">
        <is>
          <t>Toquilla de Plumas Western - Sonora</t>
        </is>
      </c>
      <c r="U34" s="156" t="inlineStr">
        <is>
          <t>China</t>
        </is>
      </c>
      <c r="V34" s="156" t="inlineStr">
        <is>
          <t>PZS</t>
        </is>
      </c>
      <c r="W34" s="51" t="inlineStr">
        <is>
          <t>11131501</t>
        </is>
      </c>
      <c r="X34" s="156" t="n"/>
      <c r="Y34" s="54" t="n">
        <v>350</v>
      </c>
      <c r="Z34" s="54" t="n">
        <v>1000</v>
      </c>
      <c r="AA34" s="55">
        <f>IF(AND(A34="", B34="", E34=""), "", IF(AB34="", "Válido", IF((LEN(AB34)-LEN(SUBSTITUTE(AB34,"; ","")))/2+1&gt;(LEN(AB34)-LEN(SUBSTITUTE(AB34,"[Aviso]","")))/7, "Con Incidencias", "Válido")))</f>
        <v/>
      </c>
      <c r="AB34" s="56">
        <f>IF(AND(A34="", B34="", E34=""), "", TEXTJOIN("; ", TRUE, IF(OR(TRIM(A34&amp;"")="", ISNUMBER(SEARCH("FALTA", A34))), "UPC faltante/inválido", ""), IF(AND(A34&lt;&gt;"", IFERROR(_xlfn.XMATCH(A34,$A$2:$A$41,0,1)&lt;&gt;_xlfn.XMATCH(A34,$A$2:$A$41,0,-1),FALSE)), "Código de barras duplicado", ""), IF(AND(E34&lt;&gt;"", COUNTIF($E$2:$E$41, E34)&gt;1), "SKU duplicado", ""), IF(OR(J34="", J34=""), "[Aviso] División no capturada ()", IF(ISNA(MATCH(J34, Criterios!$A$123:$A$126, 0)), "División no válida", "")), IF(OR(K34="", K34=""), "[Aviso] Categoría no capturada ()", IF(ISNA(MATCH(K34, Criterios!$A$81:$A$120, 0)), "Categoría no válida", IF(AND(J34&lt;&gt;"", J34&lt;&gt;"", J34&lt;&gt;VLOOKUP(K34, Criterios!$A$81:$B$120, 2, FALSE)), "División no coincide con Categoría", ""))), IF(OR(L34="", L34=""), "[Aviso] Género no capturado ()", IF(ISNA(MATCH(L34, Criterios!$B$123:$B$127, 0)), "Género no válido", "")), IF(OR(N34="", N34=""), "[Aviso] Temporada no capturada ()", IF(ISNA(MATCH(N34, Criterios!$C$123:$C$128, 0)), "Temporada no válida", "")), IF(OR(O34="", O34=""), "[Aviso] Ciclo de vida no capturado ()", IF(ISNA(MATCH(O34, Criterios!$D$123:$D$124, 0)), "Ciclo de vida no válido", ""))))</f>
        <v/>
      </c>
      <c r="AC34" s="56" t="n"/>
      <c r="AD34" s="51" t="n">
        <v>3</v>
      </c>
      <c r="AE34" s="156" t="inlineStr">
        <is>
          <t>STETSON AMERICAS: 3</t>
        </is>
      </c>
      <c r="AF34" s="51" t="n">
        <v>3</v>
      </c>
      <c r="AG34" s="156" t="inlineStr">
        <is>
          <t>Nuevo – NetSuite con existencia</t>
        </is>
      </c>
      <c r="AH34" s="156" t="inlineStr">
        <is>
          <t>Categoría NetSuite «Toquillas» no existe en Criterios (proponer alta) | Revisión 29/09/2026: Marca Willow Lane fuera de lista Criterios; Campos sin respaldo: J, K, Q, R, X; Auditoría NetSuite 30/09/2026: llenado desde NetSuite [J,K,Q,R,Z,T] | 01/10/2026: complementado desde Shopify Stetson México (match por código de barras): WB Fit, WB Silueta | 01/10/2026: Shopify Stetson México trae SKU WLHB-SNRA — se conservó el valor de Productos | Homologación G1522 06/10/2026: WB Fit: «» → «(blank)» (Completado desde NetSuite) · WB Silueta: «» → «(blank)» (Completado desde NetSuite) · WB Fit: «(blank)» → «» (Corrección aplicada) · WB Silueta: «(blank)» → «» (Corrección aplicada) · Validador Shopify: WB: precio con IVA no termina en 9</t>
        </is>
      </c>
      <c r="AI34" s="156" t="inlineStr">
        <is>
          <t>No</t>
        </is>
      </c>
      <c r="AJ34" s="156" t="n"/>
      <c r="AK34" s="155" t="inlineStr">
        <is>
          <t>ProductosCatalogoEstandar907.xlsx: fila 6153 [N,O,P,S,U,V,W,Y]; G1522_Extraccion_Articulos_NetSuite_2026-09-30.xlsx: fila 63968 [J,K,Q,R,Z,T] | Shopify Stetson: producto 15247083995499 / variante 53870276346219</t>
        </is>
      </c>
      <c r="AL34" s="58" t="n">
        <v>350</v>
      </c>
      <c r="AM34" s="58" t="n">
        <v>999.99999998</v>
      </c>
      <c r="AN34" s="155" t="inlineStr">
        <is>
          <t>Shopify Stetson México</t>
        </is>
      </c>
      <c r="AO34" s="59" t="n">
        <v>3</v>
      </c>
      <c r="AP34" s="59" t="n"/>
      <c r="AQ34" s="59" t="n"/>
      <c r="AR34" s="155" t="inlineStr">
        <is>
          <t>Shopify Stetson México › Stetson Americas: 3</t>
        </is>
      </c>
    </row>
    <row r="35">
      <c r="A35" s="50" t="inlineStr">
        <is>
          <t>659675565729</t>
        </is>
      </c>
      <c r="B35" s="51" t="inlineStr">
        <is>
          <t>117722</t>
        </is>
      </c>
      <c r="C35" s="156" t="inlineStr">
        <is>
          <t>Multimarca</t>
        </is>
      </c>
      <c r="D35" s="156" t="inlineStr">
        <is>
          <t>WLHB-WCRST</t>
        </is>
      </c>
      <c r="E35" s="156" t="inlineStr">
        <is>
          <t>WLHB-WCRST-UNI</t>
        </is>
      </c>
      <c r="F35" s="156" t="inlineStr">
        <is>
          <t>Talla única</t>
        </is>
      </c>
      <c r="G35" s="156" t="inlineStr">
        <is>
          <t>One Size</t>
        </is>
      </c>
      <c r="H35" s="156" t="inlineStr">
        <is>
          <t>Willow Lane</t>
        </is>
      </c>
      <c r="I35" s="156" t="inlineStr">
        <is>
          <t>Toquilla de Plumas - Avalon</t>
        </is>
      </c>
      <c r="J35" s="156" t="inlineStr">
        <is>
          <t>Accesorios</t>
        </is>
      </c>
      <c r="K35" s="156" t="inlineStr">
        <is>
          <t>Plumas para sombrero</t>
        </is>
      </c>
      <c r="L35" s="156" t="inlineStr">
        <is>
          <t>Unisex</t>
        </is>
      </c>
      <c r="M35" s="156" t="inlineStr">
        <is>
          <t>Willow Lane</t>
        </is>
      </c>
      <c r="N35" s="156" t="inlineStr">
        <is>
          <t>FW26</t>
        </is>
      </c>
      <c r="O35" s="156" t="inlineStr">
        <is>
          <t>Seasonal</t>
        </is>
      </c>
      <c r="P35" s="156" t="inlineStr">
        <is>
          <t>Negro</t>
        </is>
      </c>
      <c r="Q35" s="156" t="n"/>
      <c r="R35" s="156" t="n"/>
      <c r="S35" s="156" t="inlineStr">
        <is>
          <t>Plumas naturales y listón de poliéster</t>
        </is>
      </c>
      <c r="T35" s="156" t="inlineStr">
        <is>
          <t>Toquilla de Plumas - Avalon</t>
        </is>
      </c>
      <c r="U35" s="156" t="inlineStr">
        <is>
          <t>China</t>
        </is>
      </c>
      <c r="V35" s="156" t="inlineStr">
        <is>
          <t>PZS</t>
        </is>
      </c>
      <c r="W35" s="51" t="inlineStr">
        <is>
          <t>11131501</t>
        </is>
      </c>
      <c r="X35" s="156" t="n"/>
      <c r="Y35" s="54" t="n">
        <v>350</v>
      </c>
      <c r="Z35" s="54" t="n">
        <v>1000</v>
      </c>
      <c r="AA35" s="55">
        <f>IF(AND(A35="", B35="", E35=""), "", IF(AB35="", "Válido", IF((LEN(AB35)-LEN(SUBSTITUTE(AB35,"; ","")))/2+1&gt;(LEN(AB35)-LEN(SUBSTITUTE(AB35,"[Aviso]","")))/7, "Con Incidencias", "Válido")))</f>
        <v/>
      </c>
      <c r="AB35" s="56">
        <f>IF(AND(A35="", B35="", E35=""), "", TEXTJOIN("; ", TRUE, IF(OR(TRIM(A35&amp;"")="", ISNUMBER(SEARCH("FALTA", A35))), "UPC faltante/inválido", ""), IF(AND(A35&lt;&gt;"", IFERROR(_xlfn.XMATCH(A35,$A$2:$A$41,0,1)&lt;&gt;_xlfn.XMATCH(A35,$A$2:$A$41,0,-1),FALSE)), "Código de barras duplicado", ""), IF(AND(E35&lt;&gt;"", COUNTIF($E$2:$E$41, E35)&gt;1), "SKU duplicado", ""), IF(OR(J35="", J35=""), "[Aviso] División no capturada ()", IF(ISNA(MATCH(J35, Criterios!$A$123:$A$126, 0)), "División no válida", "")), IF(OR(K35="", K35=""), "[Aviso] Categoría no capturada ()", IF(ISNA(MATCH(K35, Criterios!$A$81:$A$120, 0)), "Categoría no válida", IF(AND(J35&lt;&gt;"", J35&lt;&gt;"", J35&lt;&gt;VLOOKUP(K35, Criterios!$A$81:$B$120, 2, FALSE)), "División no coincide con Categoría", ""))), IF(OR(L35="", L35=""), "[Aviso] Género no capturado ()", IF(ISNA(MATCH(L35, Criterios!$B$123:$B$127, 0)), "Género no válido", "")), IF(OR(N35="", N35=""), "[Aviso] Temporada no capturada ()", IF(ISNA(MATCH(N35, Criterios!$C$123:$C$128, 0)), "Temporada no válida", "")), IF(OR(O35="", O35=""), "[Aviso] Ciclo de vida no capturado ()", IF(ISNA(MATCH(O35, Criterios!$D$123:$D$124, 0)), "Ciclo de vida no válido", ""))))</f>
        <v/>
      </c>
      <c r="AC35" s="56" t="n"/>
      <c r="AD35" s="51" t="n">
        <v>3</v>
      </c>
      <c r="AE35" s="156" t="inlineStr">
        <is>
          <t>STETSON AMERICAS: 3</t>
        </is>
      </c>
      <c r="AF35" s="51" t="n">
        <v>3</v>
      </c>
      <c r="AG35" s="156" t="inlineStr">
        <is>
          <t>Nuevo – NetSuite con existencia</t>
        </is>
      </c>
      <c r="AH35" s="156" t="inlineStr">
        <is>
          <t>Categoría NetSuite «Toquillas» no existe en Criterios (proponer alta) | Revisión 29/09/2026: Marca Willow Lane fuera de lista Criterios; Campos sin respaldo: J, K, Q, R, X; Auditoría NetSuite 30/09/2026: llenado desde NetSuite [J,K,Q,R,Z,T] | 01/10/2026: complementado desde Shopify Stetson México (match por código de barras): WB Fit, WB Silueta | 01/10/2026: Shopify Stetson México trae SKU WLHB-WCRST — se conservó el valor de Productos | Homologación G1522 06/10/2026: WB Fit: «» → «(blank)» (Completado desde NetSuite) · WB Silueta: «» → «(blank)» (Completado desde NetSuite) · WB Fit: «(blank)» → «» (Corrección aplicada) · WB Silueta: «(blank)» → «» (Corrección aplicada) · Validador Shopify: WB: precio con IVA no termina en 9</t>
        </is>
      </c>
      <c r="AI35" s="156" t="inlineStr">
        <is>
          <t>No</t>
        </is>
      </c>
      <c r="AJ35" s="156" t="n"/>
      <c r="AK35" s="155" t="inlineStr">
        <is>
          <t>ProductosCatalogoEstandar907.xlsx: fila 6154 [N,O,P,S,U,V,W,Y]; G1522_Extraccion_Articulos_NetSuite_2026-09-30.xlsx: fila 63970 [J,K,Q,R,Z,T] | Shopify Stetson: producto 15247084061035 / variante 53870276411755</t>
        </is>
      </c>
      <c r="AL35" s="58" t="n">
        <v>350</v>
      </c>
      <c r="AM35" s="58" t="n">
        <v>999.99999998</v>
      </c>
      <c r="AN35" s="155" t="inlineStr">
        <is>
          <t>Shopify Stetson México</t>
        </is>
      </c>
      <c r="AO35" s="59" t="n">
        <v>3</v>
      </c>
      <c r="AP35" s="59" t="n"/>
      <c r="AQ35" s="59" t="n"/>
      <c r="AR35" s="155" t="inlineStr">
        <is>
          <t>Shopify Stetson México › Stetson Americas: 3</t>
        </is>
      </c>
    </row>
    <row r="36">
      <c r="A36" s="50" t="inlineStr">
        <is>
          <t>644625475487</t>
        </is>
      </c>
      <c r="B36" s="51" t="inlineStr">
        <is>
          <t>117716</t>
        </is>
      </c>
      <c r="C36" s="156" t="inlineStr">
        <is>
          <t>Multimarca</t>
        </is>
      </c>
      <c r="D36" s="156" t="inlineStr">
        <is>
          <t>WLHB-WLLW</t>
        </is>
      </c>
      <c r="E36" s="156" t="inlineStr">
        <is>
          <t>WLHB-WLLW-UNI</t>
        </is>
      </c>
      <c r="F36" s="156" t="inlineStr">
        <is>
          <t>Talla única</t>
        </is>
      </c>
      <c r="G36" s="156" t="inlineStr">
        <is>
          <t>One Size</t>
        </is>
      </c>
      <c r="H36" s="156" t="inlineStr">
        <is>
          <t>Willow Lane</t>
        </is>
      </c>
      <c r="I36" s="156" t="inlineStr">
        <is>
          <t>Toquilla de Plumas - Willow</t>
        </is>
      </c>
      <c r="J36" s="156" t="inlineStr">
        <is>
          <t>Accesorios</t>
        </is>
      </c>
      <c r="K36" s="156" t="inlineStr">
        <is>
          <t>Plumas para sombrero</t>
        </is>
      </c>
      <c r="L36" s="156" t="inlineStr">
        <is>
          <t>Unisex</t>
        </is>
      </c>
      <c r="M36" s="156" t="inlineStr">
        <is>
          <t>Willow Lane</t>
        </is>
      </c>
      <c r="N36" s="156" t="inlineStr">
        <is>
          <t>FW26</t>
        </is>
      </c>
      <c r="O36" s="156" t="inlineStr">
        <is>
          <t>Seasonal</t>
        </is>
      </c>
      <c r="P36" s="156" t="inlineStr">
        <is>
          <t>Negro</t>
        </is>
      </c>
      <c r="Q36" s="156" t="n"/>
      <c r="R36" s="156" t="n"/>
      <c r="S36" s="156" t="inlineStr">
        <is>
          <t>Plumas naturales y listón de poliéster</t>
        </is>
      </c>
      <c r="T36" s="156" t="inlineStr">
        <is>
          <t>Toquilla de Plumas - Willow</t>
        </is>
      </c>
      <c r="U36" s="156" t="inlineStr">
        <is>
          <t>China</t>
        </is>
      </c>
      <c r="V36" s="156" t="inlineStr">
        <is>
          <t>PZS</t>
        </is>
      </c>
      <c r="W36" s="51" t="inlineStr">
        <is>
          <t>11131501</t>
        </is>
      </c>
      <c r="X36" s="156" t="n"/>
      <c r="Y36" s="54" t="n">
        <v>306.25</v>
      </c>
      <c r="Z36" s="54" t="n">
        <v>900</v>
      </c>
      <c r="AA36" s="55">
        <f>IF(AND(A36="", B36="", E36=""), "", IF(AB36="", "Válido", IF((LEN(AB36)-LEN(SUBSTITUTE(AB36,"; ","")))/2+1&gt;(LEN(AB36)-LEN(SUBSTITUTE(AB36,"[Aviso]","")))/7, "Con Incidencias", "Válido")))</f>
        <v/>
      </c>
      <c r="AB36" s="56">
        <f>IF(AND(A36="", B36="", E36=""), "", TEXTJOIN("; ", TRUE, IF(OR(TRIM(A36&amp;"")="", ISNUMBER(SEARCH("FALTA", A36))), "UPC faltante/inválido", ""), IF(AND(A36&lt;&gt;"", IFERROR(_xlfn.XMATCH(A36,$A$2:$A$41,0,1)&lt;&gt;_xlfn.XMATCH(A36,$A$2:$A$41,0,-1),FALSE)), "Código de barras duplicado", ""), IF(AND(E36&lt;&gt;"", COUNTIF($E$2:$E$41, E36)&gt;1), "SKU duplicado", ""), IF(OR(J36="", J36=""), "[Aviso] División no capturada ()", IF(ISNA(MATCH(J36, Criterios!$A$123:$A$126, 0)), "División no válida", "")), IF(OR(K36="", K36=""), "[Aviso] Categoría no capturada ()", IF(ISNA(MATCH(K36, Criterios!$A$81:$A$120, 0)), "Categoría no válida", IF(AND(J36&lt;&gt;"", J36&lt;&gt;"", J36&lt;&gt;VLOOKUP(K36, Criterios!$A$81:$B$120, 2, FALSE)), "División no coincide con Categoría", ""))), IF(OR(L36="", L36=""), "[Aviso] Género no capturado ()", IF(ISNA(MATCH(L36, Criterios!$B$123:$B$127, 0)), "Género no válido", "")), IF(OR(N36="", N36=""), "[Aviso] Temporada no capturada ()", IF(ISNA(MATCH(N36, Criterios!$C$123:$C$128, 0)), "Temporada no válida", "")), IF(OR(O36="", O36=""), "[Aviso] Ciclo de vida no capturado ()", IF(ISNA(MATCH(O36, Criterios!$D$123:$D$124, 0)), "Ciclo de vida no válido", ""))))</f>
        <v/>
      </c>
      <c r="AC36" s="56" t="n"/>
      <c r="AD36" s="51" t="n">
        <v>3</v>
      </c>
      <c r="AE36" s="156" t="inlineStr">
        <is>
          <t>STETSON AMERICAS: 3</t>
        </is>
      </c>
      <c r="AF36" s="51" t="n">
        <v>3</v>
      </c>
      <c r="AG36" s="156" t="inlineStr">
        <is>
          <t>Nuevo – NetSuite con existencia</t>
        </is>
      </c>
      <c r="AH36" s="156" t="inlineStr">
        <is>
          <t>Categoría NetSuite «Toquillas» no existe en Criterios (proponer alta) | Revisión 29/09/2026: Marca Willow Lane fuera de lista Criterios; Campos sin respaldo: J, K, Q, R, X; Auditoría NetSuite 30/09/2026: llenado desde NetSuite [J,K,Q,R,Z,T] | 01/10/2026: complementado desde Shopify Stetson México (match por código de barras): WB Fit, WB Silueta | 01/10/2026: Shopify Stetson México trae SKU WLHB-WLLW — se conservó el valor de Productos | Homologación G1522 06/10/2026: WB Fit: «» → «(blank)» (Completado desde NetSuite) · WB Silueta: «» → «(blank)» (Completado desde NetSuite) · WB Fit: «(blank)» → «» (Corrección aplicada) · WB Silueta: «(blank)» → «» (Corrección aplicada) · Validador Shopify: WB: precio con IVA no termina en 9</t>
        </is>
      </c>
      <c r="AI36" s="156" t="inlineStr">
        <is>
          <t>No</t>
        </is>
      </c>
      <c r="AJ36" s="156" t="n"/>
      <c r="AK36" s="155" t="inlineStr">
        <is>
          <t>ProductosCatalogoEstandar907.xlsx: fila 6155 [N,O,P,S,U,V,W,Y]; G1522_Extraccion_Articulos_NetSuite_2026-09-30.xlsx: fila 63964 [J,K,Q,R,Z,T] | Shopify Stetson: producto 15247083864427 / variante 53870276215147</t>
        </is>
      </c>
      <c r="AL36" s="58" t="n">
        <v>306.25</v>
      </c>
      <c r="AM36" s="58" t="n">
        <v>900.00000004</v>
      </c>
      <c r="AN36" s="155" t="inlineStr">
        <is>
          <t>Shopify Stetson México</t>
        </is>
      </c>
      <c r="AO36" s="59" t="n">
        <v>3</v>
      </c>
      <c r="AP36" s="59" t="n"/>
      <c r="AQ36" s="59" t="n"/>
      <c r="AR36" s="155" t="inlineStr">
        <is>
          <t>Shopify Stetson México › Stetson Americas: 3</t>
        </is>
      </c>
    </row>
    <row r="37">
      <c r="A37" s="50" t="inlineStr">
        <is>
          <t>644625159127</t>
        </is>
      </c>
      <c r="B37" s="51" t="inlineStr">
        <is>
          <t>117741</t>
        </is>
      </c>
      <c r="C37" s="156" t="inlineStr">
        <is>
          <t>Multimarca</t>
        </is>
      </c>
      <c r="D37" s="156" t="inlineStr">
        <is>
          <t>WLHF-CHY</t>
        </is>
      </c>
      <c r="E37" s="156" t="inlineStr">
        <is>
          <t>WLHF-CHY-UNI</t>
        </is>
      </c>
      <c r="F37" s="156" t="inlineStr">
        <is>
          <t>Talla única</t>
        </is>
      </c>
      <c r="G37" s="156" t="inlineStr">
        <is>
          <t>One Size</t>
        </is>
      </c>
      <c r="H37" s="156" t="inlineStr">
        <is>
          <t>Willow Lane</t>
        </is>
      </c>
      <c r="I37" s="156" t="inlineStr">
        <is>
          <t>Accesorio de Plumas para Sombrero - Cheyenne</t>
        </is>
      </c>
      <c r="J37" s="156" t="inlineStr">
        <is>
          <t>Accesorios</t>
        </is>
      </c>
      <c r="K37" s="156" t="inlineStr">
        <is>
          <t>Plumas para sombrero</t>
        </is>
      </c>
      <c r="L37" s="156" t="inlineStr">
        <is>
          <t>Unisex</t>
        </is>
      </c>
      <c r="M37" s="156" t="inlineStr">
        <is>
          <t>Willow Lane</t>
        </is>
      </c>
      <c r="N37" s="156" t="inlineStr">
        <is>
          <t>FW26</t>
        </is>
      </c>
      <c r="O37" s="156" t="inlineStr">
        <is>
          <t>Seasonal</t>
        </is>
      </c>
      <c r="P37" s="156" t="inlineStr">
        <is>
          <t>Negro</t>
        </is>
      </c>
      <c r="Q37" s="156" t="n"/>
      <c r="R37" s="156" t="n"/>
      <c r="S37" s="156" t="inlineStr">
        <is>
          <t>Plumas naturales y unión textil</t>
        </is>
      </c>
      <c r="T37" s="156" t="inlineStr">
        <is>
          <t>Accesorio de Plumas para Sombrero - Cheyenne</t>
        </is>
      </c>
      <c r="U37" s="156" t="inlineStr">
        <is>
          <t>China</t>
        </is>
      </c>
      <c r="V37" s="156" t="inlineStr">
        <is>
          <t>PZS</t>
        </is>
      </c>
      <c r="W37" s="51" t="inlineStr">
        <is>
          <t>11131501</t>
        </is>
      </c>
      <c r="X37" s="156" t="n"/>
      <c r="Y37" s="54" t="n">
        <v>210</v>
      </c>
      <c r="Z37" s="54" t="n">
        <v>600</v>
      </c>
      <c r="AA37" s="55">
        <f>IF(AND(A37="", B37="", E37=""), "", IF(AB37="", "Válido", IF((LEN(AB37)-LEN(SUBSTITUTE(AB37,"; ","")))/2+1&gt;(LEN(AB37)-LEN(SUBSTITUTE(AB37,"[Aviso]","")))/7, "Con Incidencias", "Válido")))</f>
        <v/>
      </c>
      <c r="AB37" s="56">
        <f>IF(AND(A37="", B37="", E37=""), "", TEXTJOIN("; ", TRUE, IF(OR(TRIM(A37&amp;"")="", ISNUMBER(SEARCH("FALTA", A37))), "UPC faltante/inválido", ""), IF(AND(A37&lt;&gt;"", IFERROR(_xlfn.XMATCH(A37,$A$2:$A$41,0,1)&lt;&gt;_xlfn.XMATCH(A37,$A$2:$A$41,0,-1),FALSE)), "Código de barras duplicado", ""), IF(AND(E37&lt;&gt;"", COUNTIF($E$2:$E$41, E37)&gt;1), "SKU duplicado", ""), IF(OR(J37="", J37=""), "[Aviso] División no capturada ()", IF(ISNA(MATCH(J37, Criterios!$A$123:$A$126, 0)), "División no válida", "")), IF(OR(K37="", K37=""), "[Aviso] Categoría no capturada ()", IF(ISNA(MATCH(K37, Criterios!$A$81:$A$120, 0)), "Categoría no válida", IF(AND(J37&lt;&gt;"", J37&lt;&gt;"", J37&lt;&gt;VLOOKUP(K37, Criterios!$A$81:$B$120, 2, FALSE)), "División no coincide con Categoría", ""))), IF(OR(L37="", L37=""), "[Aviso] Género no capturado ()", IF(ISNA(MATCH(L37, Criterios!$B$123:$B$127, 0)), "Género no válido", "")), IF(OR(N37="", N37=""), "[Aviso] Temporada no capturada ()", IF(ISNA(MATCH(N37, Criterios!$C$123:$C$128, 0)), "Temporada no válida", "")), IF(OR(O37="", O37=""), "[Aviso] Ciclo de vida no capturado ()", IF(ISNA(MATCH(O37, Criterios!$D$123:$D$124, 0)), "Ciclo de vida no válido", ""))))</f>
        <v/>
      </c>
      <c r="AC37" s="56" t="n"/>
      <c r="AD37" s="51" t="n">
        <v>3</v>
      </c>
      <c r="AE37" s="156" t="inlineStr">
        <is>
          <t>STETSON AMERICAS: 3</t>
        </is>
      </c>
      <c r="AF37" s="51" t="n">
        <v>3</v>
      </c>
      <c r="AG37" s="156" t="inlineStr">
        <is>
          <t>Nuevo – NetSuite con existencia</t>
        </is>
      </c>
      <c r="AH37" s="156" t="inlineStr">
        <is>
          <t>Categoría NetSuite «Accesorios de Sombrero» no existe en Criterios (proponer alta) | Revisión 29/09/2026: Marca Willow Lane fuera de lista Criterios; Campos sin respaldo: X; Auditoría NetSuite 30/09/2026: llenado desde NetSuite [L,Z,T] | 01/10/2026: complementado desde Shopify Stetson México (match por código de barras): WB Fit, WB Silueta | 01/10/2026: Shopify Stetson México trae SKU WLHF-CHY — se conservó el valor de Productos | Homologación G1522 06/10/2026: WB Fit: «» → «(blank)» (Completado desde NetSuite) · WB Silueta: «» → «(blank)» (Completado desde NetSuite) · WB Fit: «(blank)» → «» (Corrección aplicada) · WB Silueta: «(blank)» → «» (Corrección aplicada) · Validador Shopify: WB: precio con IVA no termina en 9</t>
        </is>
      </c>
      <c r="AI37" s="156" t="inlineStr">
        <is>
          <t>No</t>
        </is>
      </c>
      <c r="AJ37" s="156" t="n"/>
      <c r="AK37" s="155" t="inlineStr">
        <is>
          <t>ProductosCatalogoEstandar907.xlsx: fila 6156 [N,O,P,S,U,V,W,Y] | Criterios: D [K,J] | Criterios: I [Q] | Criterios: J [R]; G1522_Extraccion_Articulos_NetSuite_2026-09-30.xlsx: fila 63989 [L,Z,T] | Shopify Stetson: producto 15247085044075 / variante 53870278574443</t>
        </is>
      </c>
      <c r="AL37" s="58" t="n">
        <v>210</v>
      </c>
      <c r="AM37" s="58" t="n">
        <v>599.99999999</v>
      </c>
      <c r="AN37" s="155" t="inlineStr">
        <is>
          <t>Shopify Stetson México</t>
        </is>
      </c>
      <c r="AO37" s="59" t="n">
        <v>3</v>
      </c>
      <c r="AP37" s="59" t="n"/>
      <c r="AQ37" s="59" t="n"/>
      <c r="AR37" s="155" t="inlineStr">
        <is>
          <t>Shopify Stetson México › Stetson Americas: 3</t>
        </is>
      </c>
    </row>
    <row r="38">
      <c r="A38" s="50" t="inlineStr">
        <is>
          <t>613365783664</t>
        </is>
      </c>
      <c r="B38" s="51" t="inlineStr">
        <is>
          <t>117740</t>
        </is>
      </c>
      <c r="C38" s="156" t="inlineStr">
        <is>
          <t>Multimarca</t>
        </is>
      </c>
      <c r="D38" s="156" t="inlineStr">
        <is>
          <t>WLHF-LAUR</t>
        </is>
      </c>
      <c r="E38" s="156" t="inlineStr">
        <is>
          <t>WLHF-LAUR-UNI</t>
        </is>
      </c>
      <c r="F38" s="156" t="inlineStr">
        <is>
          <t>Talla única</t>
        </is>
      </c>
      <c r="G38" s="156" t="inlineStr">
        <is>
          <t>One Size</t>
        </is>
      </c>
      <c r="H38" s="156" t="inlineStr">
        <is>
          <t>Willow Lane</t>
        </is>
      </c>
      <c r="I38" s="156" t="inlineStr">
        <is>
          <t>Accesorio de Plumas para Sombrero - Lauren</t>
        </is>
      </c>
      <c r="J38" s="156" t="inlineStr">
        <is>
          <t>Accesorios</t>
        </is>
      </c>
      <c r="K38" s="156" t="inlineStr">
        <is>
          <t>Plumas para sombrero</t>
        </is>
      </c>
      <c r="L38" s="156" t="inlineStr">
        <is>
          <t>Unisex</t>
        </is>
      </c>
      <c r="M38" s="156" t="inlineStr">
        <is>
          <t>Willow Lane</t>
        </is>
      </c>
      <c r="N38" s="156" t="inlineStr">
        <is>
          <t>FW26</t>
        </is>
      </c>
      <c r="O38" s="156" t="inlineStr">
        <is>
          <t>Seasonal</t>
        </is>
      </c>
      <c r="P38" s="156" t="inlineStr">
        <is>
          <t>Negro</t>
        </is>
      </c>
      <c r="Q38" s="156" t="n"/>
      <c r="R38" s="156" t="n"/>
      <c r="S38" s="156" t="inlineStr">
        <is>
          <t>Plumas naturales y unión textil</t>
        </is>
      </c>
      <c r="T38" s="156" t="inlineStr">
        <is>
          <t>Accesorio de Plumas para Sombrero - Lauren</t>
        </is>
      </c>
      <c r="U38" s="156" t="inlineStr">
        <is>
          <t>China</t>
        </is>
      </c>
      <c r="V38" s="156" t="inlineStr">
        <is>
          <t>PZS</t>
        </is>
      </c>
      <c r="W38" s="51" t="inlineStr">
        <is>
          <t>11131501</t>
        </is>
      </c>
      <c r="X38" s="156" t="n"/>
      <c r="Y38" s="54" t="n">
        <v>210</v>
      </c>
      <c r="Z38" s="54" t="n">
        <v>600</v>
      </c>
      <c r="AA38" s="55">
        <f>IF(AND(A38="", B38="", E38=""), "", IF(AB38="", "Válido", IF((LEN(AB38)-LEN(SUBSTITUTE(AB38,"; ","")))/2+1&gt;(LEN(AB38)-LEN(SUBSTITUTE(AB38,"[Aviso]","")))/7, "Con Incidencias", "Válido")))</f>
        <v/>
      </c>
      <c r="AB38" s="56">
        <f>IF(AND(A38="", B38="", E38=""), "", TEXTJOIN("; ", TRUE, IF(OR(TRIM(A38&amp;"")="", ISNUMBER(SEARCH("FALTA", A38))), "UPC faltante/inválido", ""), IF(AND(A38&lt;&gt;"", IFERROR(_xlfn.XMATCH(A38,$A$2:$A$41,0,1)&lt;&gt;_xlfn.XMATCH(A38,$A$2:$A$41,0,-1),FALSE)), "Código de barras duplicado", ""), IF(AND(E38&lt;&gt;"", COUNTIF($E$2:$E$41, E38)&gt;1), "SKU duplicado", ""), IF(OR(J38="", J38=""), "[Aviso] División no capturada ()", IF(ISNA(MATCH(J38, Criterios!$A$123:$A$126, 0)), "División no válida", "")), IF(OR(K38="", K38=""), "[Aviso] Categoría no capturada ()", IF(ISNA(MATCH(K38, Criterios!$A$81:$A$120, 0)), "Categoría no válida", IF(AND(J38&lt;&gt;"", J38&lt;&gt;"", J38&lt;&gt;VLOOKUP(K38, Criterios!$A$81:$B$120, 2, FALSE)), "División no coincide con Categoría", ""))), IF(OR(L38="", L38=""), "[Aviso] Género no capturado ()", IF(ISNA(MATCH(L38, Criterios!$B$123:$B$127, 0)), "Género no válido", "")), IF(OR(N38="", N38=""), "[Aviso] Temporada no capturada ()", IF(ISNA(MATCH(N38, Criterios!$C$123:$C$128, 0)), "Temporada no válida", "")), IF(OR(O38="", O38=""), "[Aviso] Ciclo de vida no capturado ()", IF(ISNA(MATCH(O38, Criterios!$D$123:$D$124, 0)), "Ciclo de vida no válido", ""))))</f>
        <v/>
      </c>
      <c r="AC38" s="56" t="n"/>
      <c r="AD38" s="51" t="n">
        <v>3</v>
      </c>
      <c r="AE38" s="156" t="inlineStr">
        <is>
          <t>STETSON AMERICAS: 3</t>
        </is>
      </c>
      <c r="AF38" s="51" t="n">
        <v>3</v>
      </c>
      <c r="AG38" s="156" t="inlineStr">
        <is>
          <t>Nuevo – NetSuite con existencia</t>
        </is>
      </c>
      <c r="AH38" s="156" t="inlineStr">
        <is>
          <t>Categoría NetSuite «Accesorios de Sombrero» no existe en Criterios (proponer alta) | Revisión 29/09/2026: Marca Willow Lane fuera de lista Criterios; Campos sin respaldo: X; Auditoría NetSuite 30/09/2026: llenado desde NetSuite [L,Z,T] | 01/10/2026: complementado desde Shopify Stetson México (match por código de barras): WB Fit, WB Silueta | 01/10/2026: Shopify Stetson México trae SKU WLHF-LAUR — se conservó el valor de Productos | Homologación G1522 06/10/2026: WB Fit: «» → «(blank)» (Completado desde NetSuite) · WB Silueta: «» → «(blank)» (Completado desde NetSuite) · WB Fit: «(blank)» → «» (Corrección aplicada) · WB Silueta: «(blank)» → «» (Corrección aplicada) · Validador Shopify: WB: precio con IVA no termina en 9</t>
        </is>
      </c>
      <c r="AI38" s="156" t="inlineStr">
        <is>
          <t>No</t>
        </is>
      </c>
      <c r="AJ38" s="156" t="n"/>
      <c r="AK38" s="155" t="inlineStr">
        <is>
          <t>ProductosCatalogoEstandar907.xlsx: fila 6157 [N,O,P,S,U,V,W,Y] | Criterios: D [K,J] | Criterios: I [Q] | Criterios: J [R]; G1522_Extraccion_Articulos_NetSuite_2026-09-30.xlsx: fila 63988 [L,Z,T] | Shopify Stetson: producto 15247085011307 / variante 53870278541675</t>
        </is>
      </c>
      <c r="AL38" s="58" t="n">
        <v>210</v>
      </c>
      <c r="AM38" s="58" t="n">
        <v>599.99999999</v>
      </c>
      <c r="AN38" s="155" t="inlineStr">
        <is>
          <t>Shopify Stetson México</t>
        </is>
      </c>
      <c r="AO38" s="59" t="n">
        <v>3</v>
      </c>
      <c r="AP38" s="59" t="n"/>
      <c r="AQ38" s="59" t="n"/>
      <c r="AR38" s="155" t="inlineStr">
        <is>
          <t>Shopify Stetson México › Stetson Americas: 3</t>
        </is>
      </c>
    </row>
    <row r="39">
      <c r="A39" s="50" t="inlineStr">
        <is>
          <t>612461900869</t>
        </is>
      </c>
      <c r="B39" s="51" t="inlineStr">
        <is>
          <t>117743</t>
        </is>
      </c>
      <c r="C39" s="156" t="inlineStr">
        <is>
          <t>Multimarca</t>
        </is>
      </c>
      <c r="D39" s="156" t="inlineStr">
        <is>
          <t>WLHF-RSC</t>
        </is>
      </c>
      <c r="E39" s="156" t="inlineStr">
        <is>
          <t>WLHF-RSC-UNI</t>
        </is>
      </c>
      <c r="F39" s="156" t="inlineStr">
        <is>
          <t>Talla única</t>
        </is>
      </c>
      <c r="G39" s="156" t="inlineStr">
        <is>
          <t>One Size</t>
        </is>
      </c>
      <c r="H39" s="156" t="inlineStr">
        <is>
          <t>Willow Lane</t>
        </is>
      </c>
      <c r="I39" s="156" t="inlineStr">
        <is>
          <t>Accesorio de Plumas para Sombrero - Risco</t>
        </is>
      </c>
      <c r="J39" s="156" t="inlineStr">
        <is>
          <t>Accesorios</t>
        </is>
      </c>
      <c r="K39" s="156" t="inlineStr">
        <is>
          <t>Plumas para sombrero</t>
        </is>
      </c>
      <c r="L39" s="156" t="inlineStr">
        <is>
          <t>Unisex</t>
        </is>
      </c>
      <c r="M39" s="156" t="inlineStr">
        <is>
          <t>Willow Lane</t>
        </is>
      </c>
      <c r="N39" s="156" t="inlineStr">
        <is>
          <t>FW26</t>
        </is>
      </c>
      <c r="O39" s="156" t="inlineStr">
        <is>
          <t>Seasonal</t>
        </is>
      </c>
      <c r="P39" s="156" t="inlineStr">
        <is>
          <t>Negro</t>
        </is>
      </c>
      <c r="Q39" s="156" t="n"/>
      <c r="R39" s="156" t="n"/>
      <c r="S39" s="156" t="inlineStr">
        <is>
          <t>Plumas naturales y unión textil</t>
        </is>
      </c>
      <c r="T39" s="156" t="inlineStr">
        <is>
          <t>Accesorio de Plumas para Sombrero - Risco</t>
        </is>
      </c>
      <c r="U39" s="156" t="inlineStr">
        <is>
          <t>China</t>
        </is>
      </c>
      <c r="V39" s="156" t="inlineStr">
        <is>
          <t>PZS</t>
        </is>
      </c>
      <c r="W39" s="51" t="inlineStr">
        <is>
          <t>11131501</t>
        </is>
      </c>
      <c r="X39" s="156" t="n"/>
      <c r="Y39" s="54" t="n">
        <v>210</v>
      </c>
      <c r="Z39" s="54" t="n">
        <v>600</v>
      </c>
      <c r="AA39" s="55">
        <f>IF(AND(A39="", B39="", E39=""), "", IF(AB39="", "Válido", IF((LEN(AB39)-LEN(SUBSTITUTE(AB39,"; ","")))/2+1&gt;(LEN(AB39)-LEN(SUBSTITUTE(AB39,"[Aviso]","")))/7, "Con Incidencias", "Válido")))</f>
        <v/>
      </c>
      <c r="AB39" s="56">
        <f>IF(AND(A39="", B39="", E39=""), "", TEXTJOIN("; ", TRUE, IF(OR(TRIM(A39&amp;"")="", ISNUMBER(SEARCH("FALTA", A39))), "UPC faltante/inválido", ""), IF(AND(A39&lt;&gt;"", IFERROR(_xlfn.XMATCH(A39,$A$2:$A$41,0,1)&lt;&gt;_xlfn.XMATCH(A39,$A$2:$A$41,0,-1),FALSE)), "Código de barras duplicado", ""), IF(AND(E39&lt;&gt;"", COUNTIF($E$2:$E$41, E39)&gt;1), "SKU duplicado", ""), IF(OR(J39="", J39=""), "[Aviso] División no capturada ()", IF(ISNA(MATCH(J39, Criterios!$A$123:$A$126, 0)), "División no válida", "")), IF(OR(K39="", K39=""), "[Aviso] Categoría no capturada ()", IF(ISNA(MATCH(K39, Criterios!$A$81:$A$120, 0)), "Categoría no válida", IF(AND(J39&lt;&gt;"", J39&lt;&gt;"", J39&lt;&gt;VLOOKUP(K39, Criterios!$A$81:$B$120, 2, FALSE)), "División no coincide con Categoría", ""))), IF(OR(L39="", L39=""), "[Aviso] Género no capturado ()", IF(ISNA(MATCH(L39, Criterios!$B$123:$B$127, 0)), "Género no válido", "")), IF(OR(N39="", N39=""), "[Aviso] Temporada no capturada ()", IF(ISNA(MATCH(N39, Criterios!$C$123:$C$128, 0)), "Temporada no válida", "")), IF(OR(O39="", O39=""), "[Aviso] Ciclo de vida no capturado ()", IF(ISNA(MATCH(O39, Criterios!$D$123:$D$124, 0)), "Ciclo de vida no válido", ""))))</f>
        <v/>
      </c>
      <c r="AC39" s="56" t="n"/>
      <c r="AD39" s="51" t="n">
        <v>2</v>
      </c>
      <c r="AE39" s="156" t="inlineStr">
        <is>
          <t>STETSON AMERICAS: 2</t>
        </is>
      </c>
      <c r="AF39" s="51" t="n">
        <v>2</v>
      </c>
      <c r="AG39" s="156" t="inlineStr">
        <is>
          <t>Nuevo – NetSuite con existencia</t>
        </is>
      </c>
      <c r="AH39" s="156" t="inlineStr">
        <is>
          <t>Categoría NetSuite «Accesorios de Sombrero» no existe en Criterios (proponer alta) | Revisión 29/09/2026: Marca Willow Lane fuera de lista Criterios; Campos sin respaldo: X; Auditoría NetSuite 30/09/2026: llenado desde NetSuite [L,Z,T] | 01/10/2026: complementado desde Shopify Stetson México (match por código de barras): WB Fit, WB Silueta | 01/10/2026: Shopify Stetson México trae SKU WLHF-RSC — se conservó el valor de Productos | Homologación G1522 06/10/2026: WB Fit: «» → «(blank)» (Completado desde NetSuite) · WB Silueta: «» → «(blank)» (Completado desde NetSuite) · WB Fit: «(blank)» → «» (Corrección aplicada) · WB Silueta: «(blank)» → «» (Corrección aplicada) · Validador Shopify: WB: precio con IVA no termina en 9</t>
        </is>
      </c>
      <c r="AI39" s="156" t="inlineStr">
        <is>
          <t>No</t>
        </is>
      </c>
      <c r="AJ39" s="156" t="n"/>
      <c r="AK39" s="155" t="inlineStr">
        <is>
          <t>ProductosCatalogoEstandar907.xlsx: fila 6158 [N,O,P,S,U,V,W,Y] | Criterios: D [K,J] | Criterios: I [Q] | Criterios: J [R]; G1522_Extraccion_Articulos_NetSuite_2026-09-30.xlsx: fila 63991 [L,Z,T] | Shopify Stetson: producto 15247085109611 / variante 53870278639979</t>
        </is>
      </c>
      <c r="AL39" s="58" t="n">
        <v>210</v>
      </c>
      <c r="AM39" s="58" t="n">
        <v>599.99999999</v>
      </c>
      <c r="AN39" s="155" t="inlineStr">
        <is>
          <t>Shopify Stetson México</t>
        </is>
      </c>
      <c r="AO39" s="59" t="n">
        <v>2</v>
      </c>
      <c r="AP39" s="59" t="n"/>
      <c r="AQ39" s="59" t="n"/>
      <c r="AR39" s="155" t="inlineStr">
        <is>
          <t>Shopify Stetson México › Stetson Americas: 2</t>
        </is>
      </c>
    </row>
    <row r="40">
      <c r="A40" s="50" t="inlineStr">
        <is>
          <t>644625125085</t>
        </is>
      </c>
      <c r="B40" s="51" t="inlineStr">
        <is>
          <t>117739</t>
        </is>
      </c>
      <c r="C40" s="156" t="inlineStr">
        <is>
          <t>Multimarca</t>
        </is>
      </c>
      <c r="D40" s="156" t="inlineStr">
        <is>
          <t>WLHF-SHGRL</t>
        </is>
      </c>
      <c r="E40" s="156" t="inlineStr">
        <is>
          <t>WLHF-SHGRL-UNI</t>
        </is>
      </c>
      <c r="F40" s="156" t="inlineStr">
        <is>
          <t>Talla única</t>
        </is>
      </c>
      <c r="G40" s="156" t="inlineStr">
        <is>
          <t>One Size</t>
        </is>
      </c>
      <c r="H40" s="156" t="inlineStr">
        <is>
          <t>Willow Lane</t>
        </is>
      </c>
      <c r="I40" s="156" t="inlineStr">
        <is>
          <t>Accesorio de Plumas para Sombrero - Showgirl</t>
        </is>
      </c>
      <c r="J40" s="156" t="inlineStr">
        <is>
          <t>Accesorios</t>
        </is>
      </c>
      <c r="K40" s="156" t="inlineStr">
        <is>
          <t>Plumas para sombrero</t>
        </is>
      </c>
      <c r="L40" s="156" t="inlineStr">
        <is>
          <t>Unisex</t>
        </is>
      </c>
      <c r="M40" s="156" t="inlineStr">
        <is>
          <t>Willow Lane</t>
        </is>
      </c>
      <c r="N40" s="156" t="inlineStr">
        <is>
          <t>FW26</t>
        </is>
      </c>
      <c r="O40" s="156" t="inlineStr">
        <is>
          <t>Seasonal</t>
        </is>
      </c>
      <c r="P40" s="156" t="inlineStr">
        <is>
          <t>Negro</t>
        </is>
      </c>
      <c r="Q40" s="156" t="n"/>
      <c r="R40" s="156" t="n"/>
      <c r="S40" s="156" t="inlineStr">
        <is>
          <t>Plumas naturales y unión textil</t>
        </is>
      </c>
      <c r="T40" s="156" t="inlineStr">
        <is>
          <t>Accesorio de Plumas para Sombrero - Showgirl</t>
        </is>
      </c>
      <c r="U40" s="156" t="inlineStr">
        <is>
          <t>China</t>
        </is>
      </c>
      <c r="V40" s="156" t="inlineStr">
        <is>
          <t>PZS</t>
        </is>
      </c>
      <c r="W40" s="51" t="inlineStr">
        <is>
          <t>11131501</t>
        </is>
      </c>
      <c r="X40" s="156" t="n"/>
      <c r="Y40" s="54" t="n">
        <v>210</v>
      </c>
      <c r="Z40" s="54" t="n">
        <v>600</v>
      </c>
      <c r="AA40" s="55">
        <f>IF(AND(A40="", B40="", E40=""), "", IF(AB40="", "Válido", IF((LEN(AB40)-LEN(SUBSTITUTE(AB40,"; ","")))/2+1&gt;(LEN(AB40)-LEN(SUBSTITUTE(AB40,"[Aviso]","")))/7, "Con Incidencias", "Válido")))</f>
        <v/>
      </c>
      <c r="AB40" s="56">
        <f>IF(AND(A40="", B40="", E40=""), "", TEXTJOIN("; ", TRUE, IF(OR(TRIM(A40&amp;"")="", ISNUMBER(SEARCH("FALTA", A40))), "UPC faltante/inválido", ""), IF(AND(A40&lt;&gt;"", IFERROR(_xlfn.XMATCH(A40,$A$2:$A$41,0,1)&lt;&gt;_xlfn.XMATCH(A40,$A$2:$A$41,0,-1),FALSE)), "Código de barras duplicado", ""), IF(AND(E40&lt;&gt;"", COUNTIF($E$2:$E$41, E40)&gt;1), "SKU duplicado", ""), IF(OR(J40="", J40=""), "[Aviso] División no capturada ()", IF(ISNA(MATCH(J40, Criterios!$A$123:$A$126, 0)), "División no válida", "")), IF(OR(K40="", K40=""), "[Aviso] Categoría no capturada ()", IF(ISNA(MATCH(K40, Criterios!$A$81:$A$120, 0)), "Categoría no válida", IF(AND(J40&lt;&gt;"", J40&lt;&gt;"", J40&lt;&gt;VLOOKUP(K40, Criterios!$A$81:$B$120, 2, FALSE)), "División no coincide con Categoría", ""))), IF(OR(L40="", L40=""), "[Aviso] Género no capturado ()", IF(ISNA(MATCH(L40, Criterios!$B$123:$B$127, 0)), "Género no válido", "")), IF(OR(N40="", N40=""), "[Aviso] Temporada no capturada ()", IF(ISNA(MATCH(N40, Criterios!$C$123:$C$128, 0)), "Temporada no válida", "")), IF(OR(O40="", O40=""), "[Aviso] Ciclo de vida no capturado ()", IF(ISNA(MATCH(O40, Criterios!$D$123:$D$124, 0)), "Ciclo de vida no válido", ""))))</f>
        <v/>
      </c>
      <c r="AC40" s="56" t="n"/>
      <c r="AD40" s="51" t="n">
        <v>3</v>
      </c>
      <c r="AE40" s="156" t="inlineStr">
        <is>
          <t>STETSON AMERICAS: 3</t>
        </is>
      </c>
      <c r="AF40" s="51" t="n">
        <v>3</v>
      </c>
      <c r="AG40" s="156" t="inlineStr">
        <is>
          <t>Nuevo – NetSuite con existencia</t>
        </is>
      </c>
      <c r="AH40" s="156" t="inlineStr">
        <is>
          <t>Categoría NetSuite «Accesorios de Sombrero» no existe en Criterios (proponer alta) | Revisión 29/09/2026: Talla fuente Talla única sin equivalencia exacta en Criterios para Talla Niño (numérica); Marca Willow Lane fuera de lista Criterios; Campos sin respaldo: X; Auditoría NetSuite 30/09/2026: llenado desde NetSuite [L,Z,T] | 01/10/2026: complementado desde Shopify Stetson México (match por código de barras): WB Fit, WB Silueta | 01/10/2026: Shopify Stetson México trae SKU WLHF-SHGRL — se conservó el valor de Productos | Homologación G1522 06/10/2026: WB Fit: «» → «(blank)» (Completado desde NetSuite) · WB Silueta: «» → «(blank)» (Completado desde NetSuite) · WB Fit: «(blank)» → «» (Corrección aplicada) · WB Silueta: «(blank)» → «» (Corrección aplicada) · Validador Shopify: WB: precio con IVA no termina en 9</t>
        </is>
      </c>
      <c r="AI40" s="156" t="inlineStr">
        <is>
          <t>No</t>
        </is>
      </c>
      <c r="AJ40" s="156" t="n"/>
      <c r="AK40" s="155" t="inlineStr">
        <is>
          <t>ProductosCatalogoEstandar907.xlsx: fila 6159 [N,O,P,S,U,V,W,Y] | Criterios: D [K,J] | Criterios: I [Q] | Criterios: J [R]; G1522_Extraccion_Articulos_NetSuite_2026-09-30.xlsx: fila 63987 [L,Z,T] | Shopify Stetson: producto 15247084978539 / variante 53870278508907</t>
        </is>
      </c>
      <c r="AL40" s="58" t="n">
        <v>210</v>
      </c>
      <c r="AM40" s="58" t="n">
        <v>599.99999999</v>
      </c>
      <c r="AN40" s="155" t="inlineStr">
        <is>
          <t>Shopify Stetson México</t>
        </is>
      </c>
      <c r="AO40" s="59" t="n">
        <v>3</v>
      </c>
      <c r="AP40" s="59" t="n"/>
      <c r="AQ40" s="59" t="n"/>
      <c r="AR40" s="155" t="inlineStr">
        <is>
          <t>Shopify Stetson México › Stetson Americas: 3</t>
        </is>
      </c>
    </row>
    <row r="41">
      <c r="A41" s="50" t="inlineStr">
        <is>
          <t>644625110210</t>
        </is>
      </c>
      <c r="B41" s="51" t="inlineStr">
        <is>
          <t>117742</t>
        </is>
      </c>
      <c r="C41" s="156" t="inlineStr">
        <is>
          <t>Multimarca</t>
        </is>
      </c>
      <c r="D41" s="156" t="inlineStr">
        <is>
          <t>WLHF-STRN</t>
        </is>
      </c>
      <c r="E41" s="156" t="inlineStr">
        <is>
          <t>WLHF-STRN-UNI</t>
        </is>
      </c>
      <c r="F41" s="156" t="inlineStr">
        <is>
          <t>Talla única</t>
        </is>
      </c>
      <c r="G41" s="156" t="inlineStr">
        <is>
          <t>One Size</t>
        </is>
      </c>
      <c r="H41" s="156" t="inlineStr">
        <is>
          <t>Willow Lane</t>
        </is>
      </c>
      <c r="I41" s="156" t="inlineStr">
        <is>
          <t>Accesorio de Plumas para Sombrero - Strut'n</t>
        </is>
      </c>
      <c r="J41" s="156" t="inlineStr">
        <is>
          <t>Accesorios</t>
        </is>
      </c>
      <c r="K41" s="156" t="inlineStr">
        <is>
          <t>Plumas para sombrero</t>
        </is>
      </c>
      <c r="L41" s="156" t="inlineStr">
        <is>
          <t>Unisex</t>
        </is>
      </c>
      <c r="M41" s="156" t="inlineStr">
        <is>
          <t>Willow Lane</t>
        </is>
      </c>
      <c r="N41" s="156" t="inlineStr">
        <is>
          <t>FW26</t>
        </is>
      </c>
      <c r="O41" s="156" t="inlineStr">
        <is>
          <t>Seasonal</t>
        </is>
      </c>
      <c r="P41" s="156" t="inlineStr">
        <is>
          <t>Negro</t>
        </is>
      </c>
      <c r="Q41" s="156" t="n"/>
      <c r="R41" s="156" t="n"/>
      <c r="S41" s="156" t="inlineStr">
        <is>
          <t>Plumas naturales y unión textil</t>
        </is>
      </c>
      <c r="T41" s="156" t="inlineStr">
        <is>
          <t>Accesorio de Plumas para Sombrero - Strut'n</t>
        </is>
      </c>
      <c r="U41" s="156" t="inlineStr">
        <is>
          <t>China</t>
        </is>
      </c>
      <c r="V41" s="156" t="inlineStr">
        <is>
          <t>PZS</t>
        </is>
      </c>
      <c r="W41" s="51" t="inlineStr">
        <is>
          <t>11131501</t>
        </is>
      </c>
      <c r="X41" s="156" t="n"/>
      <c r="Y41" s="54" t="n">
        <v>210</v>
      </c>
      <c r="Z41" s="54" t="n">
        <v>600</v>
      </c>
      <c r="AA41" s="55">
        <f>IF(AND(A41="", B41="", E41=""), "", IF(AB41="", "Válido", IF((LEN(AB41)-LEN(SUBSTITUTE(AB41,"; ","")))/2+1&gt;(LEN(AB41)-LEN(SUBSTITUTE(AB41,"[Aviso]","")))/7, "Con Incidencias", "Válido")))</f>
        <v/>
      </c>
      <c r="AB41" s="56">
        <f>IF(AND(A41="", B41="", E41=""), "", TEXTJOIN("; ", TRUE, IF(OR(TRIM(A41&amp;"")="", ISNUMBER(SEARCH("FALTA", A41))), "UPC faltante/inválido", ""), IF(AND(A41&lt;&gt;"", IFERROR(_xlfn.XMATCH(A41,$A$2:$A$41,0,1)&lt;&gt;_xlfn.XMATCH(A41,$A$2:$A$41,0,-1),FALSE)), "Código de barras duplicado", ""), IF(AND(E41&lt;&gt;"", COUNTIF($E$2:$E$41, E41)&gt;1), "SKU duplicado", ""), IF(OR(J41="", J41=""), "[Aviso] División no capturada ()", IF(ISNA(MATCH(J41, Criterios!$A$123:$A$126, 0)), "División no válida", "")), IF(OR(K41="", K41=""), "[Aviso] Categoría no capturada ()", IF(ISNA(MATCH(K41, Criterios!$A$81:$A$120, 0)), "Categoría no válida", IF(AND(J41&lt;&gt;"", J41&lt;&gt;"", J41&lt;&gt;VLOOKUP(K41, Criterios!$A$81:$B$120, 2, FALSE)), "División no coincide con Categoría", ""))), IF(OR(L41="", L41=""), "[Aviso] Género no capturado ()", IF(ISNA(MATCH(L41, Criterios!$B$123:$B$127, 0)), "Género no válido", "")), IF(OR(N41="", N41=""), "[Aviso] Temporada no capturada ()", IF(ISNA(MATCH(N41, Criterios!$C$123:$C$128, 0)), "Temporada no válida", "")), IF(OR(O41="", O41=""), "[Aviso] Ciclo de vida no capturado ()", IF(ISNA(MATCH(O41, Criterios!$D$123:$D$124, 0)), "Ciclo de vida no válido", ""))))</f>
        <v/>
      </c>
      <c r="AC41" s="56" t="n"/>
      <c r="AD41" s="51" t="n">
        <v>1</v>
      </c>
      <c r="AE41" s="156" t="inlineStr">
        <is>
          <t>STETSON AMERICAS: 1</t>
        </is>
      </c>
      <c r="AF41" s="51" t="n">
        <v>1</v>
      </c>
      <c r="AG41" s="156" t="inlineStr">
        <is>
          <t>Nuevo – NetSuite con existencia</t>
        </is>
      </c>
      <c r="AH41" s="156" t="inlineStr">
        <is>
          <t>Categoría NetSuite «Accesorios de Sombrero» no existe en Criterios (proponer alta) | Revisión 29/09/2026: Marca Willow Lane fuera de lista Criterios; Campos sin respaldo: X; Auditoría NetSuite 30/09/2026: llenado desde NetSuite [L,Z,T] | 01/10/2026: complementado desde Shopify Stetson México (match por código de barras): WB Fit, WB Silueta | 01/10/2026: Shopify Stetson México trae SKU WLHF-STRN — se conservó el valor de Productos | Homologación G1522 06/10/2026: WB Fit: «» → «(blank)» (Completado desde NetSuite) · WB Silueta: «» → «(blank)» (Completado desde NetSuite) · WB Fit: «(blank)» → «» (Corrección aplicada) · WB Silueta: «(blank)» → «» (Corrección aplicada) · Validador Shopify: WB: precio con IVA no termina en 9</t>
        </is>
      </c>
      <c r="AI41" s="156" t="inlineStr">
        <is>
          <t>No</t>
        </is>
      </c>
      <c r="AJ41" s="156" t="n"/>
      <c r="AK41" s="155" t="inlineStr">
        <is>
          <t>ProductosCatalogoEstandar907.xlsx: fila 6160 [N,O,P,S,U,V,W,Y] | Criterios: D [K,J] | Criterios: I [Q] | Criterios: J [R]; G1522_Extraccion_Articulos_NetSuite_2026-09-30.xlsx: fila 63990 [L,Z,T] | Shopify Stetson: producto 15247085076843 / variante 53870278607211</t>
        </is>
      </c>
      <c r="AL41" s="58" t="n">
        <v>210</v>
      </c>
      <c r="AM41" s="58" t="n">
        <v>599.99999999</v>
      </c>
      <c r="AN41" s="155" t="inlineStr">
        <is>
          <t>Shopify Stetson México</t>
        </is>
      </c>
      <c r="AO41" s="59" t="n">
        <v>1</v>
      </c>
      <c r="AP41" s="59" t="n"/>
      <c r="AQ41" s="59" t="n"/>
      <c r="AR41" s="155" t="inlineStr">
        <is>
          <t>Shopify Stetson México › Stetson Americas: 1</t>
        </is>
      </c>
    </row>
  </sheetData>
  <autoFilter ref="A1:AR41"/>
  <conditionalFormatting sqref="AA2:AA41">
    <cfRule type="cellIs" priority="1" operator="equal" dxfId="16" stopIfTrue="1">
      <formula>"Válido"</formula>
    </cfRule>
    <cfRule type="cellIs" priority="2" operator="equal" dxfId="17" stopIfTrue="1">
      <formula>"Con Incidencias"</formula>
    </cfRule>
  </conditionalFormatting>
  <conditionalFormatting sqref="AB2:AB41">
    <cfRule type="expression" priority="3" dxfId="18" stopIfTrue="1">
      <formula>AND(AB2&lt;&gt;"", AA2="Con Incidencias")</formula>
    </cfRule>
  </conditionalFormatting>
  <dataValidations count="11">
    <dataValidation sqref="O2:O41" showDropDown="0" showInputMessage="0" showErrorMessage="0" allowBlank="1" type="list">
      <formula1>"Seasonal,Core,No Aplica"</formula1>
    </dataValidation>
    <dataValidation sqref="C2:C41" showDropDown="0" showInputMessage="0" showErrorMessage="0" allowBlank="1" type="list">
      <formula1>"Multimarca,Roper,Denver,Ariat,Wrangler,Stetson,Montana West,Tru Western,Ranch &amp; Corral,Jony Lama,Justin boots,Yellowstone,Generico,No Aplica"</formula1>
    </dataValidation>
    <dataValidation sqref="H2:H41" showDropDown="0" showInputMessage="0" showErrorMessage="0" allowBlank="1" type="list">
      <formula1>"Roper,Denver,Ariat,Wrangler,Stetson,Montana West,Tru Western,Ranch &amp; Corral,Jony Lama,Justin boots,Yellowstone,Generico,No Aplica"</formula1>
    </dataValidation>
    <dataValidation sqref="P2:P41" showDropDown="0" showInputMessage="0" showErrorMessage="0" allowBlank="1" type="list">
      <formula1>"Rojo,Azul,Amarillo,Verde,Naranja,Morado,Rosa,Negro,Blanco,Gris,Beige,Cafe,Varios,No Aplica"</formula1>
    </dataValidation>
    <dataValidation sqref="R2:R41" showDropDown="0" showInputMessage="0" showErrorMessage="0" allowBlank="1" type="list">
      <formula1>"Recto,Bootcut,Skinny,Tapered,Trouser,Punta Redonda Ancha,Punta Cuadrada Ancha,Punta Redonda,Punta Cuadrada,Punta Ovalada,Punta Snip,Horma Alexia,Horma Agatha,Copa Cattleman,Copa Rancher,Copa Pinch Front,Copa Gus,Copa Teardrop,Copa Open Road,Copa Brick,Cie"&amp;"rre perimetral"</formula1>
    </dataValidation>
    <dataValidation sqref="K2:K41" showDropDown="0" showInputMessage="0" showErrorMessage="1" allowBlank="1" type="list">
      <formula1>Criterios!$A$81:$A$120</formula1>
    </dataValidation>
    <dataValidation sqref="N2:N41" showDropDown="0" showInputMessage="0" showErrorMessage="0" allowBlank="1" type="list">
      <formula1>"SS26,FW26,SS27,FW27,SS28,FW28,No Aplica"</formula1>
    </dataValidation>
    <dataValidation sqref="Q2:Q41" showDropDown="0" showInputMessage="0" showErrorMessage="0" allowBlank="1" type="list">
      <formula1>"Regular,Relajado,Slim,Clásico,Moderno,Recto,Bootcut"</formula1>
    </dataValidation>
    <dataValidation sqref="J2:J41" showDropDown="0" showInputMessage="0" showErrorMessage="0" allowBlank="1" type="list">
      <formula1>"Accesorios,Ropa,Denim,Calzado,No Aplica"</formula1>
    </dataValidation>
    <dataValidation sqref="L2:L41" showDropDown="0" showInputMessage="0" showErrorMessage="0" allowBlank="1" type="list">
      <formula1>"Hombre,Mujer,Niño,Niña,Unisex,No Aplica"</formula1>
    </dataValidation>
    <dataValidation sqref="V2:V41" showDropDown="0" showInputMessage="0" showErrorMessage="0" allowBlank="1" type="list">
      <formula1>"PZS,PRS,No Aplica"</formula1>
    </dataValidation>
  </dataValidations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R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16.5" customWidth="1" style="176" min="1" max="1"/>
    <col width="22.25" customWidth="1" style="176" min="2" max="2"/>
    <col width="19.13" customWidth="1" style="176" min="3" max="3"/>
    <col width="95.25" customWidth="1" style="176" min="4" max="4"/>
    <col width="9" customWidth="1" style="176" min="5" max="5"/>
    <col width="13.25" customWidth="1" style="176" min="6" max="6"/>
    <col width="11.63" customWidth="1" style="176" min="7" max="7"/>
    <col width="14.5" customWidth="1" style="176" min="8" max="8"/>
    <col width="31.38" customWidth="1" style="176" min="9" max="9"/>
    <col width="223.38" customWidth="1" style="176" min="10" max="10"/>
    <col width="21.5" customWidth="1" style="176" min="11" max="11"/>
    <col width="17.88" customWidth="1" style="176" min="12" max="12"/>
    <col width="11.75" customWidth="1" style="176" min="13" max="13"/>
    <col width="23" customWidth="1" style="176" min="14" max="14"/>
    <col width="201.63" customWidth="1" style="176" min="15" max="15"/>
    <col width="18.38" customWidth="1" style="176" min="16" max="16"/>
    <col width="18.25" customWidth="1" style="176" min="17" max="17"/>
    <col width="12.63" customWidth="1" style="176" min="18" max="18"/>
  </cols>
  <sheetData>
    <row r="1" ht="27" customHeight="1" s="176">
      <c r="A1" s="65" t="inlineStr">
        <is>
          <t>UPC</t>
        </is>
      </c>
      <c r="B1" s="65" t="inlineStr">
        <is>
          <t>SKU</t>
        </is>
      </c>
      <c r="C1" s="65" t="inlineStr">
        <is>
          <t>Id_Interno</t>
        </is>
      </c>
      <c r="D1" s="65" t="inlineStr">
        <is>
          <t>Descripcion</t>
        </is>
      </c>
      <c r="E1" s="65" t="inlineStr">
        <is>
          <t>Talla_MX</t>
        </is>
      </c>
      <c r="F1" s="65" t="inlineStr">
        <is>
          <t>Talla_USA</t>
        </is>
      </c>
      <c r="G1" s="65" t="inlineStr">
        <is>
          <t>Precio_Compra</t>
        </is>
      </c>
      <c r="H1" s="65" t="inlineStr">
        <is>
          <t>Precio_Venta</t>
        </is>
      </c>
      <c r="I1" s="65" t="inlineStr">
        <is>
          <t>Stock_NetSuite</t>
        </is>
      </c>
      <c r="J1" s="65" t="inlineStr">
        <is>
          <t>Disponible_NetSuite</t>
        </is>
      </c>
      <c r="K1" s="65" t="inlineStr">
        <is>
          <t>Ubicaciones_NetSuite</t>
        </is>
      </c>
      <c r="L1" s="65" t="inlineStr">
        <is>
          <t>Stock_Shopify_Stetson</t>
        </is>
      </c>
      <c r="M1" s="65" t="inlineStr">
        <is>
          <t>Stock_Shopify_WB</t>
        </is>
      </c>
      <c r="N1" s="65" t="inlineStr">
        <is>
          <t>Stock_Odoo</t>
        </is>
      </c>
      <c r="O1" s="65" t="inlineStr">
        <is>
          <t>Stock_Plataformas_Total</t>
        </is>
      </c>
      <c r="P1" s="65" t="inlineStr">
        <is>
          <t>Ubicaciones_Plataformas</t>
        </is>
      </c>
      <c r="Q1" s="65" t="inlineStr">
        <is>
          <t>Piezas_Escaneadas</t>
        </is>
      </c>
      <c r="R1" s="65" t="inlineStr">
        <is>
          <t>Ubicacion_Escaneo</t>
        </is>
      </c>
    </row>
    <row r="2">
      <c r="A2">
        <f>IFERROR(__xludf.DUMMYFUNCTION("ARRAY_CONSTRAIN(ARRAYFORMULA(LET(_xlpm.d,Productos!$A$2:$AR41,_xlpm.f,((INDEX(_xlpm.d,0,1)&lt;&gt;"""")+(INDEX(_xlpm.d,0,2)&lt;&gt;"""")+(INDEX(_xlpm.d,0,5)&lt;&gt;"""")+(INDEX(_xlpm.d,0,9)&lt;&gt;""""))&gt;0,_xlpm.z,LAMBDA(_xlpm.c,IF(INDEX(_xlpm.d,0,_xlpm.c)="""",0,INDEX(_xlpm."&amp;"d,0,_xlpm.c))),_xlpm.num,LAMBDA(_xlpm.v,IF(_xlpm.v="""","""",IF(ISTEXT(_xlpm.v),IFERROR(NUMBERVALUE(SUBSTITUTE(_xlpm.v,"","","".""),""."","",""),_xlpm.v),_xlpm.v))),_xlpm.pr,LAMBDA(_xlpm.a,_xlpm.b,_xlpm.num(IF(INDEX(_xlpm.d,0,_xlpm.a)&lt;&gt;"""",INDEX(_xlpm.d,"&amp;"0,_xlpm.a),IF(INDEX(_xlpm.d,0,_xlpm.b)&lt;&gt;"""",INDEX(_xlpm.d,0,_xlpm.b),"""")))),_xlpm.pc,_xlpm.pr(38,25),_xlpm.pv,_xlpm.pr(39,26),_xlpm.tot,_xlpm.z(41)+_xlpm.z(42)+_xlpm.z(43),_xlpm.x,FILTER(HSTACK(CHOOSECOLS(_xlpm.d,1,5,2,9,6,7),_xlpm.pc,_xlpm.pv,CHOOSECO"&amp;"LS(_xlpm.d,30,32,31,41,42,43),_xlpm.tot,INDEX(_xlpm.d,0,44)),_xlpm.f),IF(_xlpm.x="""","""",_xlpm.x))), 40, 16)"),"052356088867")</f>
        <v/>
      </c>
      <c r="Q2">
        <f>IFERROR(__xludf.DUMMYFUNCTION("MAP(FILTER(A2:A41, (B2:B41&lt;&gt;"""")+(D2:D41&lt;&gt;"""")), FILTER(B2:B41, (B2:B41&lt;&gt;"""")+(D2:D41&lt;&gt;"""")), LAMBDA(upc, sku, LET(s_alt, IF(ISNUMBER(SEARCH(""-XXL"", sku)), SUBSTITUTE(sku, ""-XXL"", ""-2XL""), IF(ISNUMBER(SEARCH(""-2XL"", sku)), SU"&amp;"BSTITUTE(sku, ""-2XL"", ""-XXL""), IF(ISNUMBER(SEARCH(""-XXXL"", sku)), SUBSTITUTE(sku, ""-XXXL"", ""-3XL""), IF(ISNUMBER(SEARCH(""-3XL"", sku)), SUBSTITUTE(sku, ""-3XL"", ""-XXXL""), sku)))), pz_exact, IF(sku&lt;&gt;"""", SUMIFS(Table_2[Piezas Contadas], Table"&amp;"_2[SKU], sku), 0), pz_alt, IF(s_alt&lt;&gt;sku, SUMIFS(Table_2[Piezas Contadas], Table_2[SKU], s_alt), 0), pz_upc_blank, IF(upc&lt;&gt;"""", SUMIFS(Table_2[Piezas Contadas], Table_2[UPC CODE], upc, Table_2[SKU], """"), 0), pz_exact + pz_alt + pz_upc_blank)))"),0.0)</f>
        <v/>
      </c>
      <c r="R2">
        <f>IFERROR(__xludf.DUMMYFUNCTION("MAP(FILTER(A2:A41, (B2:B41&lt;&gt;"""")+(D2:D41&lt;&gt;"""")), FILTER(B2:B41, (B2:B41&lt;&gt;"""")+(D2:D41&lt;&gt;"""")), FILTER(Q2:Q41, (B2:B41&lt;&gt;"""")+(D2:D41&lt;&gt;"""")), LAMBDA(upc, sku, pz, IF(OR(pz=0, pz=""""), """", LET(s_alt, IF(ISNUMBER(SEARCH(""-X"&amp;"XL"", sku)), SUBSTITUTE(sku, ""-XXL"", ""-2XL""), IF(ISNUMBER(SEARCH(""-2XL"", sku)), SUBSTITUTE(sku, ""-2XL"", ""-XXL""), IF(ISNUMBER(SEARCH(""-XXXL"", sku)), SUBSTITUTE(sku, ""-XXXL"", ""-3XL""), IF(ISNUMBER(SEARCH(""-3XL"", sku)), SUBSTITUTE(sku, ""-3X"&amp;"L"", ""-XXXL""), sku)))), rk_sku, IFERROR(FILTER(Table_2[Ubicación / Rack], Table_2[SKU]=sku, Table_2[Ubicación / Rack]&lt;&gt;""""), """"), rk_alt, IF(s_alt&lt;&gt;sku, IFERROR(FILTER(Table_2[Ubicación / Rack], Table_2[SKU]=s_alt, Table_2[Ubicación / Rack]&lt;&gt;""""), "&amp;"""""), """"), rk_upc, IF(upc&lt;&gt;"""", IFERROR(FILTER(Table_2[Ubicación / Rack], Table_2[UPC CODE]=upc, Table_2[SKU]="""", Table_2[Ubicación / Rack]&lt;&gt;""""), """"), """"), all_r, VSTACK(rk_sku, rk_alt, rk_upc), r_uniq, UNIQUE(IFERROR(FILTER(all_r, all_r&lt;&gt;"""""&amp;"), """")), IF(INDEX(r_uniq, 1, 1)="""", """", TEXTJOIN("", "", TRUE, MAP(r_uniq, LAMBDA(rk, LET(cnt_sku, IF(sku&lt;&gt;"""", SUMIFS(Table_2[Piezas Contadas], Table_2[SKU], sku, Table_2[Ubicación / Rack], rk), 0), cnt_alt, IF(s_alt&lt;&gt;sku, SUMIFS(Table_2[Piezas Co"&amp;"ntadas], Table_2[SKU], s_alt, Table_2[Ubicación / Rack], rk), 0), cnt_upc, IF(upc&lt;&gt;"""", SUMIFS(Table_2[Piezas Contadas], Table_2[UPC CODE], upc, Table_2[SKU], """", Table_2[Ubicación / Rack], rk), 0), rk &amp; "" ("" &amp; (cnt_sku + cnt_alt + cnt_upc) &amp; "")""))"&amp;")))))))"),"")</f>
        <v/>
      </c>
    </row>
  </sheetData>
  <dataValidations count="1">
    <dataValidation sqref="I2407" showDropDown="0" showInputMessage="0" showErrorMessage="0" allowBlank="1" type="list">
      <formula1>'Configuración'!$A$4:$A$20</formula1>
    </dataValidation>
  </dataValidation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D721"/>
  <sheetViews>
    <sheetView workbookViewId="0">
      <selection activeCell="A1" sqref="A1"/>
    </sheetView>
  </sheetViews>
  <sheetFormatPr baseColWidth="8" defaultColWidth="12.63" defaultRowHeight="15" customHeight="1"/>
  <cols>
    <col width="10.63" customWidth="1" style="176" min="1" max="6"/>
    <col width="27.63" customWidth="1" style="176" min="7" max="7"/>
    <col width="10.63" customWidth="1" style="176" min="8" max="10"/>
    <col width="20.38" customWidth="1" style="176" min="11" max="11"/>
    <col width="10.63" customWidth="1" style="176" min="12" max="30"/>
  </cols>
  <sheetData>
    <row r="1" ht="33.75" customHeight="1" s="176">
      <c r="A1" s="82" t="inlineStr">
        <is>
          <t>Criterios del Catálogo Estándar</t>
        </is>
      </c>
      <c r="B1" s="82" t="n"/>
      <c r="C1" s="82" t="n"/>
      <c r="D1" s="82" t="n"/>
      <c r="E1" s="82" t="n"/>
      <c r="F1" s="82" t="n"/>
      <c r="G1" s="82" t="n"/>
      <c r="H1" s="82" t="n"/>
      <c r="I1" s="82" t="n"/>
      <c r="J1" s="82" t="n"/>
      <c r="K1" s="82" t="n"/>
      <c r="L1" s="82" t="n"/>
      <c r="M1" s="82" t="n"/>
      <c r="N1" s="82" t="n"/>
      <c r="O1" s="82" t="n"/>
      <c r="P1" s="82" t="n"/>
      <c r="Q1" s="82" t="n"/>
      <c r="R1" s="82" t="n"/>
      <c r="S1" s="82" t="n"/>
      <c r="T1" s="82" t="n"/>
      <c r="U1" s="82" t="n"/>
      <c r="V1" s="82" t="n"/>
      <c r="W1" s="82" t="n"/>
      <c r="X1" s="82" t="n"/>
      <c r="Y1" s="82" t="n"/>
      <c r="Z1" s="82" t="n"/>
      <c r="AA1" s="82" t="n"/>
      <c r="AB1" s="82" t="n"/>
      <c r="AC1" s="82" t="n"/>
      <c r="AD1" s="82" t="n"/>
    </row>
    <row r="2" ht="21.75" customHeight="1" s="176">
      <c r="A2" s="83" t="inlineStr">
        <is>
          <t>Guía de llenado y listas de valores válidos. Usa el índice para saltar a cada sección; sigue la Ruta de llenado en orden.</t>
        </is>
      </c>
      <c r="B2" s="83" t="n"/>
      <c r="C2" s="83" t="n"/>
      <c r="D2" s="83" t="n"/>
      <c r="E2" s="83" t="n"/>
      <c r="F2" s="83" t="n"/>
      <c r="G2" s="83" t="n"/>
      <c r="H2" s="83" t="n"/>
      <c r="I2" s="83" t="n"/>
      <c r="J2" s="83" t="n"/>
      <c r="K2" s="83" t="n"/>
      <c r="L2" s="83" t="n"/>
      <c r="M2" s="83" t="n"/>
      <c r="N2" s="83" t="n"/>
      <c r="O2" s="83" t="n"/>
      <c r="P2" s="83" t="n"/>
      <c r="Q2" s="83" t="n"/>
      <c r="R2" s="83" t="n"/>
      <c r="S2" s="83" t="n"/>
      <c r="T2" s="83" t="n"/>
      <c r="U2" s="83" t="n"/>
      <c r="V2" s="83" t="n"/>
      <c r="W2" s="83" t="n"/>
      <c r="X2" s="83" t="n"/>
      <c r="Y2" s="83" t="n"/>
      <c r="Z2" s="83" t="n"/>
      <c r="AA2" s="83" t="n"/>
      <c r="AB2" s="83" t="n"/>
      <c r="AC2" s="83" t="n"/>
      <c r="AD2" s="83" t="n"/>
    </row>
    <row r="3" ht="39.75" customHeight="1" s="176">
      <c r="A3" s="84" t="n"/>
      <c r="B3" s="84" t="n"/>
      <c r="C3" s="84" t="n"/>
      <c r="D3" s="84" t="n"/>
      <c r="E3" s="84" t="n"/>
      <c r="F3" s="84" t="n"/>
      <c r="G3" s="85" t="inlineStr">
        <is>
          <t>Agrega ubicaciones nuevas al final de la lista; el desplegable de Escaneo las toma solas. Los escaneos solo suman al total y a la bodega asignada en la columna K; no se validan contra el stock de NetSuite.</t>
        </is>
      </c>
      <c r="K3" s="84" t="n"/>
      <c r="L3" s="85" t="inlineStr">
        <is>
          <t>Captura el correo de cada auditor; los scripts lo usan para poner su nombre automáticamente.</t>
        </is>
      </c>
      <c r="O3" s="84" t="n"/>
      <c r="P3" s="85" t="inlineStr">
        <is>
          <t>Valores que usa el Dictamen del Historial de Escaneos.</t>
        </is>
      </c>
      <c r="R3" s="84" t="n"/>
      <c r="S3" s="85" t="inlineStr">
        <is>
          <t>Listas que alimentan los desplegables de Productos. Las columnas en negro se actualizan solas desde las tablas de Criterios; Fit y Silueta (azul) se editan aquí.</t>
        </is>
      </c>
    </row>
    <row r="4" ht="21.75" customHeight="1" s="176">
      <c r="A4" s="86" t="inlineStr">
        <is>
          <t>ÍNDICE  (clic en una sección para ir a ella)</t>
        </is>
      </c>
      <c r="B4" s="86" t="n"/>
      <c r="C4" s="86" t="n"/>
      <c r="D4" s="86" t="n"/>
      <c r="E4" s="86" t="n"/>
      <c r="F4" s="84" t="n"/>
      <c r="G4" s="87" t="inlineStr">
        <is>
          <t>9. UBICACIONES / RACKS</t>
        </is>
      </c>
      <c r="H4" s="87" t="n"/>
      <c r="I4" s="87" t="n"/>
      <c r="J4" s="87" t="n"/>
      <c r="K4" s="84" t="n"/>
      <c r="L4" s="87" t="inlineStr">
        <is>
          <t>10. AUDITORES (correo → nombre)</t>
        </is>
      </c>
      <c r="M4" s="87" t="n"/>
      <c r="N4" s="87" t="n"/>
      <c r="O4" s="84" t="n"/>
      <c r="P4" s="87" t="inlineStr">
        <is>
          <t>11. ESTADOS DE CONTEO / DICTAMEN</t>
        </is>
      </c>
      <c r="Q4" s="87" t="n"/>
      <c r="R4" s="84" t="n"/>
      <c r="S4" s="87" t="inlineStr">
        <is>
          <t>12. LISTAS AUTOMÁTICAS PARA DESPLEGABLES (no editar; solo Fit y Silueta son editables)</t>
        </is>
      </c>
      <c r="T4" s="87" t="n"/>
      <c r="U4" s="87" t="n"/>
      <c r="V4" s="87" t="n"/>
      <c r="W4" s="87" t="n"/>
      <c r="X4" s="87" t="n"/>
      <c r="Y4" s="87" t="n"/>
      <c r="Z4" s="87" t="n"/>
      <c r="AA4" s="87" t="n"/>
      <c r="AB4" s="87" t="n"/>
      <c r="AC4" s="87" t="n"/>
      <c r="AD4" s="87" t="n"/>
    </row>
    <row r="5" ht="42" customHeight="1" s="176">
      <c r="A5" s="88" t="n">
        <v>1</v>
      </c>
      <c r="B5" s="181" t="inlineStr">
        <is>
          <t>Ruta de llenado — los 10 pasos para capturar un producto</t>
        </is>
      </c>
      <c r="C5" s="182" t="n"/>
      <c r="D5" s="182" t="n"/>
      <c r="E5" s="183" t="n"/>
      <c r="F5" s="84" t="n"/>
      <c r="G5" s="92" t="inlineStr">
        <is>
          <t>Ubicación</t>
        </is>
      </c>
      <c r="H5" s="92" t="inlineStr">
        <is>
          <t>Tipo</t>
        </is>
      </c>
      <c r="I5" s="92" t="inlineStr">
        <is>
          <t>SKUs con stock (NetSuite, corte 28/09/2026)</t>
        </is>
      </c>
      <c r="J5" s="92" t="inlineStr">
        <is>
          <t>Piezas en sistema (NetSuite, corte 28/09/2026)</t>
        </is>
      </c>
      <c r="K5" s="92" t="inlineStr">
        <is>
          <t>Bodega (25 / 43)</t>
        </is>
      </c>
      <c r="L5" s="92" t="inlineStr">
        <is>
          <t>Correo del usuario (Google / Microsoft)</t>
        </is>
      </c>
      <c r="M5" s="92" t="inlineStr">
        <is>
          <t>Nombre del auditor</t>
        </is>
      </c>
      <c r="N5" s="92" t="inlineStr">
        <is>
          <t>Usuario de Excel (Archivo › Cuenta)</t>
        </is>
      </c>
      <c r="O5" s="84" t="n"/>
      <c r="P5" s="92" t="inlineStr">
        <is>
          <t>Estado</t>
        </is>
      </c>
      <c r="Q5" s="92" t="inlineStr">
        <is>
          <t>Cuándo se asigna</t>
        </is>
      </c>
      <c r="R5" s="84" t="n"/>
      <c r="S5" s="94" t="inlineStr">
        <is>
          <t>Marca principal</t>
        </is>
      </c>
      <c r="T5" s="94" t="inlineStr">
        <is>
          <t>WB Marca</t>
        </is>
      </c>
      <c r="U5" s="94" t="inlineStr">
        <is>
          <t>División</t>
        </is>
      </c>
      <c r="V5" s="94" t="inlineStr">
        <is>
          <t>Género</t>
        </is>
      </c>
      <c r="W5" s="94" t="inlineStr">
        <is>
          <t>Temporada</t>
        </is>
      </c>
      <c r="X5" s="94" t="inlineStr">
        <is>
          <t>Ciclo de vida</t>
        </is>
      </c>
      <c r="Y5" s="94" t="inlineStr">
        <is>
          <t>Unidad</t>
        </is>
      </c>
      <c r="Z5" s="94" t="inlineStr">
        <is>
          <t>Color</t>
        </is>
      </c>
      <c r="AA5" s="95" t="inlineStr">
        <is>
          <t>Fit</t>
        </is>
      </c>
      <c r="AB5" s="95" t="inlineStr">
        <is>
          <t>Silueta</t>
        </is>
      </c>
      <c r="AC5" s="94" t="inlineStr">
        <is>
          <t>WB Talla</t>
        </is>
      </c>
      <c r="AD5" s="94" t="inlineStr">
        <is>
          <t>WB Talla de EE. UU.</t>
        </is>
      </c>
    </row>
    <row r="6" ht="27.75" customHeight="1" s="176">
      <c r="A6" s="88" t="n">
        <v>2</v>
      </c>
      <c r="B6" s="181" t="inlineStr">
        <is>
          <t>Palabra clave → Categoría — qué categoría asignar según el nombre</t>
        </is>
      </c>
      <c r="C6" s="182" t="n"/>
      <c r="D6" s="182" t="n"/>
      <c r="E6" s="183" t="n"/>
      <c r="F6" s="84" t="n"/>
      <c r="G6" s="96" t="inlineStr">
        <is>
          <t>J1-L1-01</t>
        </is>
      </c>
      <c r="H6" s="97" t="inlineStr">
        <is>
          <t>Rack físico</t>
        </is>
      </c>
      <c r="I6" s="96">
        <f>IF(OR($G6="",$H6="Rack físico"),"",COUNTIFS('Stock por Ubicación'!$A:$A,IF($H6="NetSuite",$G6,$G6&amp;" ›*"),'Stock por Ubicación'!$G:$G,"&lt;&gt;0"))</f>
        <v/>
      </c>
      <c r="J6" s="96">
        <f>IF(OR($G6="",$H6="Rack físico"),"",SUMIFS('Stock por Ubicación'!$G:$G,'Stock por Ubicación'!$A:$A,IF($H6="NetSuite",$G6,$G6&amp;" ›*")))</f>
        <v/>
      </c>
      <c r="K6" s="98" t="inlineStr">
        <is>
          <t>Bodega 25</t>
        </is>
      </c>
      <c r="L6" s="99" t="n"/>
      <c r="M6" s="96" t="inlineStr">
        <is>
          <t>Jesús Fregoso</t>
        </is>
      </c>
      <c r="N6" s="96" t="n"/>
      <c r="O6" s="84" t="n"/>
      <c r="P6" s="100" t="inlineStr">
        <is>
          <t>Verificado</t>
        </is>
      </c>
      <c r="Q6" s="101" t="inlineStr">
        <is>
          <t>Todas las piezas de la ubicación cuadran con Productos (documento maestro); sin alertas.</t>
        </is>
      </c>
      <c r="R6" s="84" t="n"/>
      <c r="S6" s="102">
        <f>IFERROR(__xludf.DUMMYFUNCTION("VSTACK(""Multimarca"", FILTER($A$133:$A$149, $A$133:$A$149&lt;&gt;""""), ""No Aplica"")"),"Multimarca")</f>
        <v/>
      </c>
      <c r="T6" s="102">
        <f>IFERROR(__xludf.DUMMYFUNCTION("VSTACK(FILTER($A$133:$A$149, $A$133:$A$149&lt;&gt;""""), ""No Aplica"")"),"Roper")</f>
        <v/>
      </c>
      <c r="U6" s="84">
        <f>IFERROR(__xludf.DUMMYFUNCTION("VSTACK(FILTER($A$123:$A$128, $A$123:$A$128&lt;&gt;""""), ""No Aplica"")"),"Accesorios")</f>
        <v/>
      </c>
      <c r="V6" s="84">
        <f>IFERROR(__xludf.DUMMYFUNCTION("VSTACK(FILTER($B$123:$B$128, $B$123:$B$128&lt;&gt;""""), ""No Aplica"")"),"Hombre")</f>
        <v/>
      </c>
      <c r="W6" s="84">
        <f>IFERROR(__xludf.DUMMYFUNCTION("VSTACK(FILTER($C$123:$C$128, $C$123:$C$128&lt;&gt;""""), ""No Aplica"")"),"SS26")</f>
        <v/>
      </c>
      <c r="X6" s="84">
        <f>IFERROR(__xludf.DUMMYFUNCTION("VSTACK(FILTER($D$123:$D$128, $D$123:$D$128&lt;&gt;""""), ""No Aplica"")"),"Seasonal")</f>
        <v/>
      </c>
      <c r="Y6" s="84">
        <f>IFERROR(__xludf.DUMMYFUNCTION("VSTACK(FILTER($E$123:$E$128, $E$123:$E$128&lt;&gt;""""), ""No Aplica"")"),"PZS")</f>
        <v/>
      </c>
      <c r="Z6" s="84">
        <f>IFERROR(__xludf.DUMMYFUNCTION("VSTACK(FILTER($A$153:$A$169, $A$153:$A$169&lt;&gt;""""), ""No Aplica"")"),"Rojo")</f>
        <v/>
      </c>
      <c r="AA6" s="98" t="inlineStr">
        <is>
          <t>Regular</t>
        </is>
      </c>
      <c r="AB6" s="98" t="inlineStr">
        <is>
          <t>Recto</t>
        </is>
      </c>
      <c r="AC6" s="84">
        <f>IFERROR(__xludf.DUMMYFUNCTION("VSTACK(UNIQUE(FILTER($B$184:$B$721, $B$184:$B$721&lt;&gt;"""", $B$184:$B$721&lt;&gt;""S / M / L / XL"")), ""No Aplica"")"),"Talla única")</f>
        <v/>
      </c>
      <c r="AD6" s="84">
        <f>IFERROR(__xludf.DUMMYFUNCTION("VSTACK(UNIQUE(FILTER($C$184:$C$721, $C$184:$C$721&lt;&gt;"""", $C$184:$C$721&lt;&gt;""Igual"")), ""No Aplica"")"),"One Size")</f>
        <v/>
      </c>
    </row>
    <row r="7" ht="27.75" customHeight="1" s="176">
      <c r="A7" s="88" t="n">
        <v>3</v>
      </c>
      <c r="B7" s="181" t="inlineStr">
        <is>
          <t>Categorías — división y familia de talla de cada categoría</t>
        </is>
      </c>
      <c r="C7" s="182" t="n"/>
      <c r="D7" s="182" t="n"/>
      <c r="E7" s="183" t="n"/>
      <c r="F7" s="84" t="n"/>
      <c r="G7" s="96" t="inlineStr">
        <is>
          <t>Almacenes G1522</t>
        </is>
      </c>
      <c r="H7" s="97" t="inlineStr">
        <is>
          <t>NetSuite</t>
        </is>
      </c>
      <c r="I7" s="96">
        <f>IF(OR($G7="",$H7="Rack físico"),"",COUNTIFS('Stock por Ubicación'!$A:$A,IF($H7="NetSuite",$G7,$G7&amp;" ›*"),'Stock por Ubicación'!$G:$G,"&lt;&gt;0"))</f>
        <v/>
      </c>
      <c r="J7" s="96">
        <f>IF(OR($G7="",$H7="Rack físico"),"",SUMIFS('Stock por Ubicación'!$G:$G,'Stock por Ubicación'!$A:$A,IF($H7="NetSuite",$G7,$G7&amp;" ›*")))</f>
        <v/>
      </c>
      <c r="K7" s="98" t="inlineStr">
        <is>
          <t>Bodega 43</t>
        </is>
      </c>
      <c r="L7" s="99" t="n"/>
      <c r="M7" s="96" t="n"/>
      <c r="N7" s="96" t="n"/>
      <c r="O7" s="84" t="n"/>
      <c r="P7" s="103" t="inlineStr">
        <is>
          <t>Con Discrepancia</t>
        </is>
      </c>
      <c r="Q7" s="101" t="inlineStr">
        <is>
          <t>Algún código escaneado tiene estatus no válido en Productos (documento maestro).</t>
        </is>
      </c>
      <c r="R7" s="84" t="n"/>
      <c r="S7" s="102">
        <f>IFERROR(__xludf.DUMMYFUNCTION("""COMPUTED_VALUE"""),"Roper")</f>
        <v/>
      </c>
      <c r="T7" s="102">
        <f>IFERROR(__xludf.DUMMYFUNCTION("""COMPUTED_VALUE"""),"Denver")</f>
        <v/>
      </c>
      <c r="U7" s="102">
        <f>IFERROR(__xludf.DUMMYFUNCTION("""COMPUTED_VALUE"""),"Ropa")</f>
        <v/>
      </c>
      <c r="V7" s="102">
        <f>IFERROR(__xludf.DUMMYFUNCTION("""COMPUTED_VALUE"""),"Mujer")</f>
        <v/>
      </c>
      <c r="W7" s="102">
        <f>IFERROR(__xludf.DUMMYFUNCTION("""COMPUTED_VALUE"""),"FW26")</f>
        <v/>
      </c>
      <c r="X7" s="102">
        <f>IFERROR(__xludf.DUMMYFUNCTION("""COMPUTED_VALUE"""),"Core")</f>
        <v/>
      </c>
      <c r="Y7" s="102">
        <f>IFERROR(__xludf.DUMMYFUNCTION("""COMPUTED_VALUE"""),"PRS")</f>
        <v/>
      </c>
      <c r="Z7" s="102">
        <f>IFERROR(__xludf.DUMMYFUNCTION("""COMPUTED_VALUE"""),"Azul")</f>
        <v/>
      </c>
      <c r="AA7" s="104" t="inlineStr">
        <is>
          <t>Relajado</t>
        </is>
      </c>
      <c r="AB7" s="104" t="inlineStr">
        <is>
          <t>Bootcut</t>
        </is>
      </c>
      <c r="AC7" s="102">
        <f>IFERROR(__xludf.DUMMYFUNCTION("""COMPUTED_VALUE"""),"XXS")</f>
        <v/>
      </c>
      <c r="AD7" s="102">
        <f>IFERROR(__xludf.DUMMYFUNCTION("""COMPUTED_VALUE"""),"XXS")</f>
        <v/>
      </c>
    </row>
    <row r="8" ht="27.75" customHeight="1" s="176">
      <c r="A8" s="88" t="n">
        <v>4</v>
      </c>
      <c r="B8" s="181" t="inlineStr">
        <is>
          <t>Listas básicas — División, Género, Temporada, Ciclo de vida, Unidad</t>
        </is>
      </c>
      <c r="C8" s="182" t="n"/>
      <c r="D8" s="182" t="n"/>
      <c r="E8" s="183" t="n"/>
      <c r="F8" s="84" t="n"/>
      <c r="G8" s="96" t="inlineStr">
        <is>
          <t>AMAZON</t>
        </is>
      </c>
      <c r="H8" s="97" t="inlineStr">
        <is>
          <t>NetSuite</t>
        </is>
      </c>
      <c r="I8" s="96">
        <f>IF(OR($G8="",$H8="Rack físico"),"",COUNTIFS('Stock por Ubicación'!$A:$A,IF($H8="NetSuite",$G8,$G8&amp;" ›*"),'Stock por Ubicación'!$G:$G,"&lt;&gt;0"))</f>
        <v/>
      </c>
      <c r="J8" s="96">
        <f>IF(OR($G8="",$H8="Rack físico"),"",SUMIFS('Stock por Ubicación'!$G:$G,'Stock por Ubicación'!$A:$A,IF($H8="NetSuite",$G8,$G8&amp;" ›*")))</f>
        <v/>
      </c>
      <c r="K8" s="98" t="n"/>
      <c r="L8" s="99" t="n"/>
      <c r="M8" s="96" t="n"/>
      <c r="N8" s="96" t="n"/>
      <c r="O8" s="84" t="n"/>
      <c r="P8" s="105" t="inlineStr">
        <is>
          <t>Revisión Requerida</t>
        </is>
      </c>
      <c r="Q8" s="101" t="inlineStr">
        <is>
          <t>Se escaneó al menos un código que no existe en Productos.</t>
        </is>
      </c>
      <c r="R8" s="84" t="n"/>
      <c r="S8" s="102">
        <f>IFERROR(__xludf.DUMMYFUNCTION("""COMPUTED_VALUE"""),"Denver")</f>
        <v/>
      </c>
      <c r="T8" s="102">
        <f>IFERROR(__xludf.DUMMYFUNCTION("""COMPUTED_VALUE"""),"Ariat")</f>
        <v/>
      </c>
      <c r="U8" s="102">
        <f>IFERROR(__xludf.DUMMYFUNCTION("""COMPUTED_VALUE"""),"Denim")</f>
        <v/>
      </c>
      <c r="V8" s="102">
        <f>IFERROR(__xludf.DUMMYFUNCTION("""COMPUTED_VALUE"""),"Niño")</f>
        <v/>
      </c>
      <c r="W8" s="102">
        <f>IFERROR(__xludf.DUMMYFUNCTION("""COMPUTED_VALUE"""),"SS27")</f>
        <v/>
      </c>
      <c r="X8" s="102">
        <f>IFERROR(__xludf.DUMMYFUNCTION("""COMPUTED_VALUE"""),"No Aplica")</f>
        <v/>
      </c>
      <c r="Y8" s="102">
        <f>IFERROR(__xludf.DUMMYFUNCTION("""COMPUTED_VALUE"""),"No Aplica")</f>
        <v/>
      </c>
      <c r="Z8" s="102">
        <f>IFERROR(__xludf.DUMMYFUNCTION("""COMPUTED_VALUE"""),"Amarillo")</f>
        <v/>
      </c>
      <c r="AA8" s="104" t="inlineStr">
        <is>
          <t>Slim</t>
        </is>
      </c>
      <c r="AB8" s="104" t="inlineStr">
        <is>
          <t>Skinny</t>
        </is>
      </c>
      <c r="AC8" s="102">
        <f>IFERROR(__xludf.DUMMYFUNCTION("""COMPUTED_VALUE"""),"XS")</f>
        <v/>
      </c>
      <c r="AD8" s="102">
        <f>IFERROR(__xludf.DUMMYFUNCTION("""COMPUTED_VALUE"""),"XS")</f>
        <v/>
      </c>
    </row>
    <row r="9" ht="27.75" customHeight="1" s="176">
      <c r="A9" s="88" t="n">
        <v>5</v>
      </c>
      <c r="B9" s="181" t="inlineStr">
        <is>
          <t>Marcas</t>
        </is>
      </c>
      <c r="C9" s="182" t="n"/>
      <c r="D9" s="182" t="n"/>
      <c r="E9" s="183" t="n"/>
      <c r="F9" s="84" t="n"/>
      <c r="G9" s="96" t="inlineStr">
        <is>
          <t>ARIAT CHIHUAHUA</t>
        </is>
      </c>
      <c r="H9" s="97" t="inlineStr">
        <is>
          <t>NetSuite</t>
        </is>
      </c>
      <c r="I9" s="96">
        <f>IF(OR($G9="",$H9="Rack físico"),"",COUNTIFS('Stock por Ubicación'!$A:$A,IF($H9="NetSuite",$G9,$G9&amp;" ›*"),'Stock por Ubicación'!$G:$G,"&lt;&gt;0"))</f>
        <v/>
      </c>
      <c r="J9" s="96">
        <f>IF(OR($G9="",$H9="Rack físico"),"",SUMIFS('Stock por Ubicación'!$G:$G,'Stock por Ubicación'!$A:$A,IF($H9="NetSuite",$G9,$G9&amp;" ›*")))</f>
        <v/>
      </c>
      <c r="K9" s="98" t="n"/>
      <c r="L9" s="99" t="n"/>
      <c r="M9" s="96" t="n"/>
      <c r="N9" s="96" t="n"/>
      <c r="O9" s="84" t="n"/>
      <c r="P9" s="106" t="inlineStr">
        <is>
          <t>Pendiente</t>
        </is>
      </c>
      <c r="Q9" s="101" t="inlineStr">
        <is>
          <t>Ubicación aún no contada o conteo sin finalizar.</t>
        </is>
      </c>
      <c r="R9" s="84" t="n"/>
      <c r="S9" s="102">
        <f>IFERROR(__xludf.DUMMYFUNCTION("""COMPUTED_VALUE"""),"Ariat")</f>
        <v/>
      </c>
      <c r="T9" s="102">
        <f>IFERROR(__xludf.DUMMYFUNCTION("""COMPUTED_VALUE"""),"Wrangler")</f>
        <v/>
      </c>
      <c r="U9" s="102">
        <f>IFERROR(__xludf.DUMMYFUNCTION("""COMPUTED_VALUE"""),"Calzado")</f>
        <v/>
      </c>
      <c r="V9" s="102">
        <f>IFERROR(__xludf.DUMMYFUNCTION("""COMPUTED_VALUE"""),"Niña")</f>
        <v/>
      </c>
      <c r="W9" s="102">
        <f>IFERROR(__xludf.DUMMYFUNCTION("""COMPUTED_VALUE"""),"FW27")</f>
        <v/>
      </c>
      <c r="X9" s="102" t="n"/>
      <c r="Y9" s="102" t="n"/>
      <c r="Z9" s="102">
        <f>IFERROR(__xludf.DUMMYFUNCTION("""COMPUTED_VALUE"""),"Verde")</f>
        <v/>
      </c>
      <c r="AA9" s="104" t="inlineStr">
        <is>
          <t>Clásico</t>
        </is>
      </c>
      <c r="AB9" s="104" t="inlineStr">
        <is>
          <t>Tapered</t>
        </is>
      </c>
      <c r="AC9" s="102">
        <f>IFERROR(__xludf.DUMMYFUNCTION("""COMPUTED_VALUE"""),"S")</f>
        <v/>
      </c>
      <c r="AD9" s="102">
        <f>IFERROR(__xludf.DUMMYFUNCTION("""COMPUTED_VALUE"""),"S")</f>
        <v/>
      </c>
    </row>
    <row r="10" ht="16.5" customHeight="1" s="176">
      <c r="A10" s="88" t="n">
        <v>6</v>
      </c>
      <c r="B10" s="181" t="inlineStr">
        <is>
          <t>Colores y sinónimos — color base y cómo traducir nombres comerciales</t>
        </is>
      </c>
      <c r="C10" s="182" t="n"/>
      <c r="D10" s="182" t="n"/>
      <c r="E10" s="183" t="n"/>
      <c r="F10" s="84" t="n"/>
      <c r="G10" s="96" t="inlineStr">
        <is>
          <t>ARIAT OUTLET GDL</t>
        </is>
      </c>
      <c r="H10" s="97" t="inlineStr">
        <is>
          <t>NetSuite</t>
        </is>
      </c>
      <c r="I10" s="96">
        <f>IF(OR($G10="",$H10="Rack físico"),"",COUNTIFS('Stock por Ubicación'!$A:$A,IF($H10="NetSuite",$G10,$G10&amp;" ›*"),'Stock por Ubicación'!$G:$G,"&lt;&gt;0"))</f>
        <v/>
      </c>
      <c r="J10" s="96">
        <f>IF(OR($G10="",$H10="Rack físico"),"",SUMIFS('Stock por Ubicación'!$G:$G,'Stock por Ubicación'!$A:$A,IF($H10="NetSuite",$G10,$G10&amp;" ›*")))</f>
        <v/>
      </c>
      <c r="K10" s="98" t="n"/>
      <c r="L10" s="99" t="n"/>
      <c r="M10" s="96" t="n"/>
      <c r="N10" s="96" t="n"/>
      <c r="O10" s="84" t="n"/>
      <c r="P10" s="84" t="n"/>
      <c r="Q10" s="84" t="n"/>
      <c r="R10" s="84" t="n"/>
      <c r="S10" s="102">
        <f>IFERROR(__xludf.DUMMYFUNCTION("""COMPUTED_VALUE"""),"Wrangler")</f>
        <v/>
      </c>
      <c r="T10" s="102">
        <f>IFERROR(__xludf.DUMMYFUNCTION("""COMPUTED_VALUE"""),"Stetson")</f>
        <v/>
      </c>
      <c r="U10" s="102">
        <f>IFERROR(__xludf.DUMMYFUNCTION("""COMPUTED_VALUE"""),"No Aplica")</f>
        <v/>
      </c>
      <c r="V10" s="102">
        <f>IFERROR(__xludf.DUMMYFUNCTION("""COMPUTED_VALUE"""),"Unisex")</f>
        <v/>
      </c>
      <c r="W10" s="102">
        <f>IFERROR(__xludf.DUMMYFUNCTION("""COMPUTED_VALUE"""),"SS28")</f>
        <v/>
      </c>
      <c r="X10" s="102" t="n"/>
      <c r="Y10" s="102" t="n"/>
      <c r="Z10" s="102">
        <f>IFERROR(__xludf.DUMMYFUNCTION("""COMPUTED_VALUE"""),"Naranja")</f>
        <v/>
      </c>
      <c r="AA10" s="104" t="inlineStr">
        <is>
          <t>Moderno</t>
        </is>
      </c>
      <c r="AB10" s="104" t="inlineStr">
        <is>
          <t>Trouser</t>
        </is>
      </c>
      <c r="AC10" s="102">
        <f>IFERROR(__xludf.DUMMYFUNCTION("""COMPUTED_VALUE"""),"M")</f>
        <v/>
      </c>
      <c r="AD10" s="102">
        <f>IFERROR(__xludf.DUMMYFUNCTION("""COMPUTED_VALUE"""),"M")</f>
        <v/>
      </c>
    </row>
    <row r="11" ht="16.5" customHeight="1" s="176">
      <c r="A11" s="88" t="n">
        <v>7</v>
      </c>
      <c r="B11" s="181" t="inlineStr">
        <is>
          <t>Fit y Silueta — valores por tipo de prenda</t>
        </is>
      </c>
      <c r="C11" s="182" t="n"/>
      <c r="D11" s="182" t="n"/>
      <c r="E11" s="183" t="n"/>
      <c r="F11" s="84" t="n"/>
      <c r="G11" s="96" t="inlineStr">
        <is>
          <t>ARIAT PLAZA SAN LUIS</t>
        </is>
      </c>
      <c r="H11" s="97" t="inlineStr">
        <is>
          <t>NetSuite</t>
        </is>
      </c>
      <c r="I11" s="96">
        <f>IF(OR($G11="",$H11="Rack físico"),"",COUNTIFS('Stock por Ubicación'!$A:$A,IF($H11="NetSuite",$G11,$G11&amp;" ›*"),'Stock por Ubicación'!$G:$G,"&lt;&gt;0"))</f>
        <v/>
      </c>
      <c r="J11" s="96">
        <f>IF(OR($G11="",$H11="Rack físico"),"",SUMIFS('Stock por Ubicación'!$G:$G,'Stock por Ubicación'!$A:$A,IF($H11="NetSuite",$G11,$G11&amp;" ›*")))</f>
        <v/>
      </c>
      <c r="K11" s="98" t="n"/>
      <c r="L11" s="99" t="n"/>
      <c r="M11" s="96" t="n"/>
      <c r="N11" s="96" t="n"/>
      <c r="O11" s="84" t="n"/>
      <c r="P11" s="84" t="n"/>
      <c r="Q11" s="84" t="n"/>
      <c r="R11" s="84" t="n"/>
      <c r="S11" s="102">
        <f>IFERROR(__xludf.DUMMYFUNCTION("""COMPUTED_VALUE"""),"Stetson")</f>
        <v/>
      </c>
      <c r="T11" s="102">
        <f>IFERROR(__xludf.DUMMYFUNCTION("""COMPUTED_VALUE"""),"Montana West")</f>
        <v/>
      </c>
      <c r="U11" s="102" t="n"/>
      <c r="V11" s="102">
        <f>IFERROR(__xludf.DUMMYFUNCTION("""COMPUTED_VALUE"""),"No Aplica")</f>
        <v/>
      </c>
      <c r="W11" s="102">
        <f>IFERROR(__xludf.DUMMYFUNCTION("""COMPUTED_VALUE"""),"FW28")</f>
        <v/>
      </c>
      <c r="X11" s="102" t="n"/>
      <c r="Y11" s="102" t="n"/>
      <c r="Z11" s="102">
        <f>IFERROR(__xludf.DUMMYFUNCTION("""COMPUTED_VALUE"""),"Morado")</f>
        <v/>
      </c>
      <c r="AA11" s="104" t="inlineStr">
        <is>
          <t>Recto</t>
        </is>
      </c>
      <c r="AB11" s="104" t="inlineStr">
        <is>
          <t>Punta Redonda Ancha</t>
        </is>
      </c>
      <c r="AC11" s="102">
        <f>IFERROR(__xludf.DUMMYFUNCTION("""COMPUTED_VALUE"""),"L")</f>
        <v/>
      </c>
      <c r="AD11" s="102">
        <f>IFERROR(__xludf.DUMMYFUNCTION("""COMPUTED_VALUE"""),"L")</f>
        <v/>
      </c>
    </row>
    <row r="12" ht="16.5" customHeight="1" s="176">
      <c r="A12" s="88" t="n">
        <v>8</v>
      </c>
      <c r="B12" s="181" t="inlineStr">
        <is>
          <t>Catálogo de tallas — WB Talla → Talla de EE. UU. (con filtro por familia)</t>
        </is>
      </c>
      <c r="C12" s="182" t="n"/>
      <c r="D12" s="182" t="n"/>
      <c r="E12" s="183" t="n"/>
      <c r="F12" s="84" t="n"/>
      <c r="G12" s="96" t="inlineStr">
        <is>
          <t>ARIAT SAN NICOLAS NL</t>
        </is>
      </c>
      <c r="H12" s="97" t="inlineStr">
        <is>
          <t>NetSuite</t>
        </is>
      </c>
      <c r="I12" s="96">
        <f>IF(OR($G12="",$H12="Rack físico"),"",COUNTIFS('Stock por Ubicación'!$A:$A,IF($H12="NetSuite",$G12,$G12&amp;" ›*"),'Stock por Ubicación'!$G:$G,"&lt;&gt;0"))</f>
        <v/>
      </c>
      <c r="J12" s="96">
        <f>IF(OR($G12="",$H12="Rack físico"),"",SUMIFS('Stock por Ubicación'!$G:$G,'Stock por Ubicación'!$A:$A,IF($H12="NetSuite",$G12,$G12&amp;" ›*")))</f>
        <v/>
      </c>
      <c r="K12" s="98" t="n"/>
      <c r="L12" s="99" t="n"/>
      <c r="M12" s="96" t="n"/>
      <c r="N12" s="96" t="n"/>
      <c r="O12" s="84" t="n"/>
      <c r="P12" s="84" t="n"/>
      <c r="Q12" s="84" t="n"/>
      <c r="R12" s="84" t="n"/>
      <c r="S12" s="102">
        <f>IFERROR(__xludf.DUMMYFUNCTION("""COMPUTED_VALUE"""),"Montana West")</f>
        <v/>
      </c>
      <c r="T12" s="102">
        <f>IFERROR(__xludf.DUMMYFUNCTION("""COMPUTED_VALUE"""),"Tru Western")</f>
        <v/>
      </c>
      <c r="U12" s="102" t="n"/>
      <c r="V12" s="102" t="n"/>
      <c r="W12" s="102">
        <f>IFERROR(__xludf.DUMMYFUNCTION("""COMPUTED_VALUE"""),"No Aplica")</f>
        <v/>
      </c>
      <c r="X12" s="102" t="n"/>
      <c r="Y12" s="102" t="n"/>
      <c r="Z12" s="102">
        <f>IFERROR(__xludf.DUMMYFUNCTION("""COMPUTED_VALUE"""),"Rosa")</f>
        <v/>
      </c>
      <c r="AA12" s="104" t="inlineStr">
        <is>
          <t>Bootcut</t>
        </is>
      </c>
      <c r="AB12" s="104" t="inlineStr">
        <is>
          <t>Punta Cuadrada Ancha</t>
        </is>
      </c>
      <c r="AC12" s="102">
        <f>IFERROR(__xludf.DUMMYFUNCTION("""COMPUTED_VALUE"""),"XL")</f>
        <v/>
      </c>
      <c r="AD12" s="102">
        <f>IFERROR(__xludf.DUMMYFUNCTION("""COMPUTED_VALUE"""),"XL")</f>
        <v/>
      </c>
    </row>
    <row r="13" ht="16.5" customHeight="1" s="176">
      <c r="A13" s="88" t="n">
        <v>9</v>
      </c>
      <c r="B13" s="181" t="inlineStr">
        <is>
          <t>Ubicaciones / Racks  (columna G)</t>
        </is>
      </c>
      <c r="C13" s="182" t="n"/>
      <c r="D13" s="182" t="n"/>
      <c r="E13" s="183" t="n"/>
      <c r="F13" s="84" t="n"/>
      <c r="G13" s="96" t="inlineStr">
        <is>
          <t>B25 CEDIS</t>
        </is>
      </c>
      <c r="H13" s="97" t="inlineStr">
        <is>
          <t>NetSuite</t>
        </is>
      </c>
      <c r="I13" s="96">
        <f>IF(OR($G13="",$H13="Rack físico"),"",COUNTIFS('Stock por Ubicación'!$A:$A,IF($H13="NetSuite",$G13,$G13&amp;" ›*"),'Stock por Ubicación'!$G:$G,"&lt;&gt;0"))</f>
        <v/>
      </c>
      <c r="J13" s="96">
        <f>IF(OR($G13="",$H13="Rack físico"),"",SUMIFS('Stock por Ubicación'!$G:$G,'Stock por Ubicación'!$A:$A,IF($H13="NetSuite",$G13,$G13&amp;" ›*")))</f>
        <v/>
      </c>
      <c r="K13" s="98" t="inlineStr">
        <is>
          <t>Bodega 25</t>
        </is>
      </c>
      <c r="L13" s="99" t="n"/>
      <c r="M13" s="96" t="n"/>
      <c r="N13" s="96" t="n"/>
      <c r="O13" s="84" t="n"/>
      <c r="P13" s="84" t="n"/>
      <c r="Q13" s="84" t="n"/>
      <c r="R13" s="84" t="n"/>
      <c r="S13" s="102">
        <f>IFERROR(__xludf.DUMMYFUNCTION("""COMPUTED_VALUE"""),"Tru Western")</f>
        <v/>
      </c>
      <c r="T13" s="102">
        <f>IFERROR(__xludf.DUMMYFUNCTION("""COMPUTED_VALUE"""),"Ranch &amp; Corral")</f>
        <v/>
      </c>
      <c r="U13" s="102" t="n"/>
      <c r="V13" s="102" t="n"/>
      <c r="W13" s="102" t="n"/>
      <c r="X13" s="102" t="n"/>
      <c r="Y13" s="102" t="n"/>
      <c r="Z13" s="102">
        <f>IFERROR(__xludf.DUMMYFUNCTION("""COMPUTED_VALUE"""),"Negro")</f>
        <v/>
      </c>
      <c r="AA13" s="104" t="inlineStr">
        <is>
          <t>No Aplica</t>
        </is>
      </c>
      <c r="AB13" s="104" t="inlineStr">
        <is>
          <t>Punta Redonda</t>
        </is>
      </c>
      <c r="AC13" s="102">
        <f>IFERROR(__xludf.DUMMYFUNCTION("""COMPUTED_VALUE"""),"XXL")</f>
        <v/>
      </c>
      <c r="AD13" s="102">
        <f>IFERROR(__xludf.DUMMYFUNCTION("""COMPUTED_VALUE"""),"XXL")</f>
        <v/>
      </c>
    </row>
    <row r="14" ht="16.5" customHeight="1" s="176">
      <c r="A14" s="88" t="n">
        <v>10</v>
      </c>
      <c r="B14" s="181" t="inlineStr">
        <is>
          <t>Auditores  (columna L)</t>
        </is>
      </c>
      <c r="C14" s="182" t="n"/>
      <c r="D14" s="182" t="n"/>
      <c r="E14" s="183" t="n"/>
      <c r="F14" s="84" t="n"/>
      <c r="G14" s="96" t="inlineStr">
        <is>
          <t>B25 STETSON.MX</t>
        </is>
      </c>
      <c r="H14" s="97" t="inlineStr">
        <is>
          <t>NetSuite</t>
        </is>
      </c>
      <c r="I14" s="96">
        <f>IF(OR($G14="",$H14="Rack físico"),"",COUNTIFS('Stock por Ubicación'!$A:$A,IF($H14="NetSuite",$G14,$G14&amp;" ›*"),'Stock por Ubicación'!$G:$G,"&lt;&gt;0"))</f>
        <v/>
      </c>
      <c r="J14" s="96">
        <f>IF(OR($G14="",$H14="Rack físico"),"",SUMIFS('Stock por Ubicación'!$G:$G,'Stock por Ubicación'!$A:$A,IF($H14="NetSuite",$G14,$G14&amp;" ›*")))</f>
        <v/>
      </c>
      <c r="K14" s="98" t="inlineStr">
        <is>
          <t>Bodega 25</t>
        </is>
      </c>
      <c r="L14" s="99" t="n"/>
      <c r="M14" s="96" t="n"/>
      <c r="N14" s="96" t="n"/>
      <c r="O14" s="84" t="n"/>
      <c r="P14" s="84" t="n"/>
      <c r="Q14" s="84" t="n"/>
      <c r="R14" s="84" t="n"/>
      <c r="S14" s="102">
        <f>IFERROR(__xludf.DUMMYFUNCTION("""COMPUTED_VALUE"""),"Ranch &amp; Corral")</f>
        <v/>
      </c>
      <c r="T14" s="102">
        <f>IFERROR(__xludf.DUMMYFUNCTION("""COMPUTED_VALUE"""),"Jony Lama")</f>
        <v/>
      </c>
      <c r="U14" s="102" t="n"/>
      <c r="V14" s="102" t="n"/>
      <c r="W14" s="102" t="n"/>
      <c r="X14" s="102" t="n"/>
      <c r="Y14" s="102" t="n"/>
      <c r="Z14" s="102">
        <f>IFERROR(__xludf.DUMMYFUNCTION("""COMPUTED_VALUE"""),"Blanco")</f>
        <v/>
      </c>
      <c r="AA14" s="104" t="n"/>
      <c r="AB14" s="104" t="inlineStr">
        <is>
          <t>Punta Cuadrada</t>
        </is>
      </c>
      <c r="AC14" s="102">
        <f>IFERROR(__xludf.DUMMYFUNCTION("""COMPUTED_VALUE"""),"XXXL")</f>
        <v/>
      </c>
      <c r="AD14" s="102">
        <f>IFERROR(__xludf.DUMMYFUNCTION("""COMPUTED_VALUE"""),"XXXL")</f>
        <v/>
      </c>
    </row>
    <row r="15" ht="16.5" customHeight="1" s="176">
      <c r="A15" s="88" t="n">
        <v>11</v>
      </c>
      <c r="B15" s="181" t="inlineStr">
        <is>
          <t>Estados de conteo / Dictamen  (columna P)</t>
        </is>
      </c>
      <c r="C15" s="182" t="n"/>
      <c r="D15" s="182" t="n"/>
      <c r="E15" s="183" t="n"/>
      <c r="F15" s="84" t="n"/>
      <c r="G15" s="96" t="inlineStr">
        <is>
          <t>B25 WB MERCADO LIBRE</t>
        </is>
      </c>
      <c r="H15" s="97" t="inlineStr">
        <is>
          <t>NetSuite</t>
        </is>
      </c>
      <c r="I15" s="96">
        <f>IF(OR($G15="",$H15="Rack físico"),"",COUNTIFS('Stock por Ubicación'!$A:$A,IF($H15="NetSuite",$G15,$G15&amp;" ›*"),'Stock por Ubicación'!$G:$G,"&lt;&gt;0"))</f>
        <v/>
      </c>
      <c r="J15" s="96">
        <f>IF(OR($G15="",$H15="Rack físico"),"",SUMIFS('Stock por Ubicación'!$G:$G,'Stock por Ubicación'!$A:$A,IF($H15="NetSuite",$G15,$G15&amp;" ›*")))</f>
        <v/>
      </c>
      <c r="K15" s="98" t="inlineStr">
        <is>
          <t>Bodega 25</t>
        </is>
      </c>
      <c r="L15" s="99" t="n"/>
      <c r="M15" s="96" t="n"/>
      <c r="N15" s="96" t="n"/>
      <c r="O15" s="84" t="n"/>
      <c r="P15" s="84" t="n"/>
      <c r="Q15" s="84" t="n"/>
      <c r="R15" s="84" t="n"/>
      <c r="S15" s="102">
        <f>IFERROR(__xludf.DUMMYFUNCTION("""COMPUTED_VALUE"""),"Jony Lama")</f>
        <v/>
      </c>
      <c r="T15" s="102">
        <f>IFERROR(__xludf.DUMMYFUNCTION("""COMPUTED_VALUE"""),"Justin boots")</f>
        <v/>
      </c>
      <c r="U15" s="102" t="n"/>
      <c r="V15" s="102" t="n"/>
      <c r="W15" s="102" t="n"/>
      <c r="X15" s="102" t="n"/>
      <c r="Y15" s="102" t="n"/>
      <c r="Z15" s="102">
        <f>IFERROR(__xludf.DUMMYFUNCTION("""COMPUTED_VALUE"""),"Gris")</f>
        <v/>
      </c>
      <c r="AA15" s="104" t="n"/>
      <c r="AB15" s="104" t="inlineStr">
        <is>
          <t>Punta Ovalada</t>
        </is>
      </c>
      <c r="AC15" s="102">
        <f>IFERROR(__xludf.DUMMYFUNCTION("""COMPUTED_VALUE"""),"4XL")</f>
        <v/>
      </c>
      <c r="AD15" s="102">
        <f>IFERROR(__xludf.DUMMYFUNCTION("""COMPUTED_VALUE"""),"4XL")</f>
        <v/>
      </c>
    </row>
    <row r="16" ht="16.5" customHeight="1" s="176">
      <c r="A16" s="88" t="n">
        <v>12</v>
      </c>
      <c r="B16" s="181" t="inlineStr">
        <is>
          <t>Listas automáticas para desplegables  (columna S, no editar)</t>
        </is>
      </c>
      <c r="C16" s="182" t="n"/>
      <c r="D16" s="182" t="n"/>
      <c r="E16" s="183" t="n"/>
      <c r="F16" s="84" t="n"/>
      <c r="G16" s="96" t="inlineStr">
        <is>
          <t>B25 WESTERN BROTHERS.MX</t>
        </is>
      </c>
      <c r="H16" s="97" t="inlineStr">
        <is>
          <t>NetSuite</t>
        </is>
      </c>
      <c r="I16" s="96">
        <f>IF(OR($G16="",$H16="Rack físico"),"",COUNTIFS('Stock por Ubicación'!$A:$A,IF($H16="NetSuite",$G16,$G16&amp;" ›*"),'Stock por Ubicación'!$G:$G,"&lt;&gt;0"))</f>
        <v/>
      </c>
      <c r="J16" s="96">
        <f>IF(OR($G16="",$H16="Rack físico"),"",SUMIFS('Stock por Ubicación'!$G:$G,'Stock por Ubicación'!$A:$A,IF($H16="NetSuite",$G16,$G16&amp;" ›*")))</f>
        <v/>
      </c>
      <c r="K16" s="98" t="inlineStr">
        <is>
          <t>Bodega 25</t>
        </is>
      </c>
      <c r="L16" s="99" t="n"/>
      <c r="M16" s="96" t="n"/>
      <c r="N16" s="96" t="n"/>
      <c r="O16" s="84" t="n"/>
      <c r="P16" s="84" t="n"/>
      <c r="Q16" s="84" t="n"/>
      <c r="R16" s="84" t="n"/>
      <c r="S16" s="102">
        <f>IFERROR(__xludf.DUMMYFUNCTION("""COMPUTED_VALUE"""),"Justin boots")</f>
        <v/>
      </c>
      <c r="T16" s="102">
        <f>IFERROR(__xludf.DUMMYFUNCTION("""COMPUTED_VALUE"""),"Yellowstone")</f>
        <v/>
      </c>
      <c r="U16" s="102" t="n"/>
      <c r="V16" s="102" t="n"/>
      <c r="W16" s="102" t="n"/>
      <c r="X16" s="102" t="n"/>
      <c r="Y16" s="102" t="n"/>
      <c r="Z16" s="102">
        <f>IFERROR(__xludf.DUMMYFUNCTION("""COMPUTED_VALUE"""),"Beige")</f>
        <v/>
      </c>
      <c r="AA16" s="104" t="n"/>
      <c r="AB16" s="104" t="inlineStr">
        <is>
          <t>Punta Snip</t>
        </is>
      </c>
      <c r="AC16" s="102">
        <f>IFERROR(__xludf.DUMMYFUNCTION("""COMPUTED_VALUE"""),0.0)</f>
        <v/>
      </c>
      <c r="AD16" s="102">
        <f>IFERROR(__xludf.DUMMYFUNCTION("""COMPUTED_VALUE"""),0.0)</f>
        <v/>
      </c>
    </row>
    <row r="17" ht="9.75" customHeight="1" s="176">
      <c r="A17" s="107" t="n"/>
      <c r="B17" s="107" t="n"/>
      <c r="C17" s="107" t="n"/>
      <c r="D17" s="107" t="n"/>
      <c r="E17" s="107" t="n"/>
      <c r="F17" s="84" t="n"/>
      <c r="G17" s="96" t="inlineStr">
        <is>
          <t>CAPSLAB Warehouse</t>
        </is>
      </c>
      <c r="H17" s="97" t="inlineStr">
        <is>
          <t>NetSuite</t>
        </is>
      </c>
      <c r="I17" s="96">
        <f>IF(OR($G17="",$H17="Rack físico"),"",COUNTIFS('Stock por Ubicación'!$A:$A,IF($H17="NetSuite",$G17,$G17&amp;" ›*"),'Stock por Ubicación'!$G:$G,"&lt;&gt;0"))</f>
        <v/>
      </c>
      <c r="J17" s="96">
        <f>IF(OR($G17="",$H17="Rack físico"),"",SUMIFS('Stock por Ubicación'!$G:$G,'Stock por Ubicación'!$A:$A,IF($H17="NetSuite",$G17,$G17&amp;" ›*")))</f>
        <v/>
      </c>
      <c r="K17" s="98" t="n"/>
      <c r="L17" s="84" t="n"/>
      <c r="M17" s="84" t="n"/>
      <c r="N17" s="84" t="n"/>
      <c r="O17" s="84" t="n"/>
      <c r="P17" s="84" t="n"/>
      <c r="Q17" s="84" t="n"/>
      <c r="R17" s="84" t="n"/>
      <c r="S17" s="102">
        <f>IFERROR(__xludf.DUMMYFUNCTION("""COMPUTED_VALUE"""),"Yellowstone")</f>
        <v/>
      </c>
      <c r="T17" s="102">
        <f>IFERROR(__xludf.DUMMYFUNCTION("""COMPUTED_VALUE"""),"Generico")</f>
        <v/>
      </c>
      <c r="U17" s="102" t="n"/>
      <c r="V17" s="102" t="n"/>
      <c r="W17" s="102" t="n"/>
      <c r="X17" s="102" t="n"/>
      <c r="Y17" s="102" t="n"/>
      <c r="Z17" s="102">
        <f>IFERROR(__xludf.DUMMYFUNCTION("""COMPUTED_VALUE"""),"Cafe")</f>
        <v/>
      </c>
      <c r="AA17" s="104" t="n"/>
      <c r="AB17" s="104" t="inlineStr">
        <is>
          <t>Horma Alexia</t>
        </is>
      </c>
      <c r="AC17" s="102">
        <f>IFERROR(__xludf.DUMMYFUNCTION("""COMPUTED_VALUE"""),2.0)</f>
        <v/>
      </c>
      <c r="AD17" s="102">
        <f>IFERROR(__xludf.DUMMYFUNCTION("""COMPUTED_VALUE"""),2.0)</f>
        <v/>
      </c>
    </row>
    <row r="18" ht="21.75" customHeight="1" s="176">
      <c r="A18" s="86" t="inlineStr">
        <is>
          <t>1. RUTA DE LLENADO  (sigue estos pasos en orden)</t>
        </is>
      </c>
      <c r="B18" s="86" t="n"/>
      <c r="C18" s="86" t="n"/>
      <c r="D18" s="86" t="n"/>
      <c r="E18" s="108" t="inlineStr">
        <is>
          <t>↑ Volver al índice</t>
        </is>
      </c>
      <c r="F18" s="84" t="n"/>
      <c r="G18" s="96" t="inlineStr">
        <is>
          <t>CL Muestras</t>
        </is>
      </c>
      <c r="H18" s="97" t="inlineStr">
        <is>
          <t>NetSuite</t>
        </is>
      </c>
      <c r="I18" s="96">
        <f>IF(OR($G18="",$H18="Rack físico"),"",COUNTIFS('Stock por Ubicación'!$A:$A,IF($H18="NetSuite",$G18,$G18&amp;" ›*"),'Stock por Ubicación'!$G:$G,"&lt;&gt;0"))</f>
        <v/>
      </c>
      <c r="J18" s="96">
        <f>IF(OR($G18="",$H18="Rack físico"),"",SUMIFS('Stock por Ubicación'!$G:$G,'Stock por Ubicación'!$A:$A,IF($H18="NetSuite",$G18,$G18&amp;" ›*")))</f>
        <v/>
      </c>
      <c r="K18" s="98" t="n"/>
      <c r="L18" s="84" t="n"/>
      <c r="M18" s="84" t="n"/>
      <c r="N18" s="84" t="n"/>
      <c r="O18" s="84" t="n"/>
      <c r="P18" s="84" t="n"/>
      <c r="Q18" s="84" t="n"/>
      <c r="R18" s="84" t="n"/>
      <c r="S18" s="102">
        <f>IFERROR(__xludf.DUMMYFUNCTION("""COMPUTED_VALUE"""),"Generico")</f>
        <v/>
      </c>
      <c r="T18" s="102">
        <f>IFERROR(__xludf.DUMMYFUNCTION("""COMPUTED_VALUE"""),"CAPSLAB")</f>
        <v/>
      </c>
      <c r="U18" s="102" t="n"/>
      <c r="V18" s="102" t="n"/>
      <c r="W18" s="102" t="n"/>
      <c r="X18" s="102" t="n"/>
      <c r="Y18" s="102" t="n"/>
      <c r="Z18" s="102">
        <f>IFERROR(__xludf.DUMMYFUNCTION("""COMPUTED_VALUE"""),"Varios")</f>
        <v/>
      </c>
      <c r="AA18" s="104" t="n"/>
      <c r="AB18" s="104" t="inlineStr">
        <is>
          <t>Horma Agatha</t>
        </is>
      </c>
      <c r="AC18" s="102">
        <f>IFERROR(__xludf.DUMMYFUNCTION("""COMPUTED_VALUE"""),4.0)</f>
        <v/>
      </c>
      <c r="AD18" s="102">
        <f>IFERROR(__xludf.DUMMYFUNCTION("""COMPUTED_VALUE"""),4.0)</f>
        <v/>
      </c>
    </row>
    <row r="19" ht="16.5" customHeight="1" s="176">
      <c r="A19" s="109" t="inlineStr">
        <is>
          <t>Paso</t>
        </is>
      </c>
      <c r="B19" s="110" t="inlineStr">
        <is>
          <t>Campo</t>
        </is>
      </c>
      <c r="C19" s="110" t="inlineStr">
        <is>
          <t>Qué hacer</t>
        </is>
      </c>
      <c r="D19" s="182" t="n"/>
      <c r="E19" s="183" t="n"/>
      <c r="F19" s="84" t="n"/>
      <c r="G19" s="96" t="inlineStr">
        <is>
          <t>CL POS</t>
        </is>
      </c>
      <c r="H19" s="97" t="inlineStr">
        <is>
          <t>NetSuite</t>
        </is>
      </c>
      <c r="I19" s="96">
        <f>IF(OR($G19="",$H19="Rack físico"),"",COUNTIFS('Stock por Ubicación'!$A:$A,IF($H19="NetSuite",$G19,$G19&amp;" ›*"),'Stock por Ubicación'!$G:$G,"&lt;&gt;0"))</f>
        <v/>
      </c>
      <c r="J19" s="96">
        <f>IF(OR($G19="",$H19="Rack físico"),"",SUMIFS('Stock por Ubicación'!$G:$G,'Stock por Ubicación'!$A:$A,IF($H19="NetSuite",$G19,$G19&amp;" ›*")))</f>
        <v/>
      </c>
      <c r="K19" s="98" t="n"/>
      <c r="L19" s="84" t="n"/>
      <c r="M19" s="84" t="n"/>
      <c r="N19" s="84" t="n"/>
      <c r="O19" s="84" t="n"/>
      <c r="P19" s="84" t="n"/>
      <c r="Q19" s="84" t="n"/>
      <c r="R19" s="84" t="n"/>
      <c r="S19" s="102">
        <f>IFERROR(__xludf.DUMMYFUNCTION("""COMPUTED_VALUE"""),"CAPSLAB")</f>
        <v/>
      </c>
      <c r="T19" s="102">
        <f>IFERROR(__xludf.DUMMYFUNCTION("""COMPUTED_VALUE"""),"Happy Socks")</f>
        <v/>
      </c>
      <c r="U19" s="102" t="n"/>
      <c r="V19" s="102" t="n"/>
      <c r="W19" s="102" t="n"/>
      <c r="X19" s="102" t="n"/>
      <c r="Y19" s="102" t="n"/>
      <c r="Z19" s="102">
        <f>IFERROR(__xludf.DUMMYFUNCTION("""COMPUTED_VALUE"""),"No Aplica")</f>
        <v/>
      </c>
      <c r="AA19" s="104" t="n"/>
      <c r="AB19" s="104" t="inlineStr">
        <is>
          <t>Copa Cattleman</t>
        </is>
      </c>
      <c r="AC19" s="102">
        <f>IFERROR(__xludf.DUMMYFUNCTION("""COMPUTED_VALUE"""),6.0)</f>
        <v/>
      </c>
      <c r="AD19" s="102">
        <f>IFERROR(__xludf.DUMMYFUNCTION("""COMPUTED_VALUE"""),6.0)</f>
        <v/>
      </c>
    </row>
    <row r="20" ht="42.75" customHeight="1" s="176">
      <c r="A20" s="88" t="n">
        <v>1</v>
      </c>
      <c r="B20" s="112" t="inlineStr">
        <is>
          <t>Categoría y División</t>
        </is>
      </c>
      <c r="C20" s="122" t="inlineStr">
        <is>
          <t>Busca en el nombre del producto una palabra de la tabla «2. Palabra clave → Categoría». Esa fila te da la Categoría y la División. Si no hay palabra clave, usa la lista «3. Categorías»; si no existe, no la inventes: anótala en Revisión.</t>
        </is>
      </c>
      <c r="D20" s="182" t="n"/>
      <c r="E20" s="183" t="n"/>
      <c r="F20" s="84" t="n"/>
      <c r="G20" s="96" t="inlineStr">
        <is>
          <t>CONSIGNA REFLO</t>
        </is>
      </c>
      <c r="H20" s="97" t="inlineStr">
        <is>
          <t>NetSuite</t>
        </is>
      </c>
      <c r="I20" s="96">
        <f>IF(OR($G20="",$H20="Rack físico"),"",COUNTIFS('Stock por Ubicación'!$A:$A,IF($H20="NetSuite",$G20,$G20&amp;" ›*"),'Stock por Ubicación'!$G:$G,"&lt;&gt;0"))</f>
        <v/>
      </c>
      <c r="J20" s="96">
        <f>IF(OR($G20="",$H20="Rack físico"),"",SUMIFS('Stock por Ubicación'!$G:$G,'Stock por Ubicación'!$A:$A,IF($H20="NetSuite",$G20,$G20&amp;" ›*")))</f>
        <v/>
      </c>
      <c r="K20" s="98" t="n"/>
      <c r="L20" s="84" t="n"/>
      <c r="M20" s="84" t="n"/>
      <c r="N20" s="84" t="n"/>
      <c r="O20" s="84" t="n"/>
      <c r="P20" s="84" t="n"/>
      <c r="Q20" s="84" t="n"/>
      <c r="R20" s="84" t="n"/>
      <c r="S20" s="102">
        <f>IFERROR(__xludf.DUMMYFUNCTION("""COMPUTED_VALUE"""),"Happy Socks")</f>
        <v/>
      </c>
      <c r="T20" s="102">
        <f>IFERROR(__xludf.DUMMYFUNCTION("""COMPUTED_VALUE"""),"REFLO")</f>
        <v/>
      </c>
      <c r="U20" s="102" t="n"/>
      <c r="V20" s="102" t="n"/>
      <c r="W20" s="102" t="n"/>
      <c r="X20" s="102" t="n"/>
      <c r="Y20" s="102" t="n"/>
      <c r="Z20" s="102" t="n"/>
      <c r="AA20" s="104" t="n"/>
      <c r="AB20" s="104" t="inlineStr">
        <is>
          <t>Copa Rancher</t>
        </is>
      </c>
      <c r="AC20" s="102">
        <f>IFERROR(__xludf.DUMMYFUNCTION("""COMPUTED_VALUE"""),8.0)</f>
        <v/>
      </c>
      <c r="AD20" s="102">
        <f>IFERROR(__xludf.DUMMYFUNCTION("""COMPUTED_VALUE"""),8.0)</f>
        <v/>
      </c>
    </row>
    <row r="21" ht="30" customHeight="1" s="176">
      <c r="A21" s="88" t="n">
        <v>2</v>
      </c>
      <c r="B21" s="112" t="inlineStr">
        <is>
          <t>Género</t>
        </is>
      </c>
      <c r="C21" s="122" t="inlineStr">
        <is>
          <t>Dama / Mujer → Mujer · Caballero / Hombre → Hombre · Niño / Niña según corresponda · Sombreros y accesorios sin género → Unisex. Usa solo los valores de «4. Listas básicas».</t>
        </is>
      </c>
      <c r="D21" s="182" t="n"/>
      <c r="E21" s="183" t="n"/>
      <c r="F21" s="84" t="n"/>
      <c r="G21" s="96" t="inlineStr">
        <is>
          <t>CONSIGNAS</t>
        </is>
      </c>
      <c r="H21" s="97" t="inlineStr">
        <is>
          <t>NetSuite</t>
        </is>
      </c>
      <c r="I21" s="96">
        <f>IF(OR($G21="",$H21="Rack físico"),"",COUNTIFS('Stock por Ubicación'!$A:$A,IF($H21="NetSuite",$G21,$G21&amp;" ›*"),'Stock por Ubicación'!$G:$G,"&lt;&gt;0"))</f>
        <v/>
      </c>
      <c r="J21" s="96">
        <f>IF(OR($G21="",$H21="Rack físico"),"",SUMIFS('Stock por Ubicación'!$G:$G,'Stock por Ubicación'!$A:$A,IF($H21="NetSuite",$G21,$G21&amp;" ›*")))</f>
        <v/>
      </c>
      <c r="K21" s="98" t="n"/>
      <c r="L21" s="84" t="n"/>
      <c r="M21" s="84" t="n"/>
      <c r="N21" s="84" t="n"/>
      <c r="O21" s="84" t="n"/>
      <c r="P21" s="84" t="n"/>
      <c r="Q21" s="84" t="n"/>
      <c r="R21" s="84" t="n"/>
      <c r="S21" s="102">
        <f>IFERROR(__xludf.DUMMYFUNCTION("""COMPUTED_VALUE"""),"REFLO")</f>
        <v/>
      </c>
      <c r="T21" s="102">
        <f>IFERROR(__xludf.DUMMYFUNCTION("""COMPUTED_VALUE"""),"Willow Lane")</f>
        <v/>
      </c>
      <c r="U21" s="102" t="n"/>
      <c r="V21" s="102" t="n"/>
      <c r="W21" s="102" t="n"/>
      <c r="X21" s="102" t="n"/>
      <c r="Y21" s="102" t="n"/>
      <c r="Z21" s="102" t="n"/>
      <c r="AA21" s="104" t="n"/>
      <c r="AB21" s="104" t="inlineStr">
        <is>
          <t>Copa Pinch Front</t>
        </is>
      </c>
      <c r="AC21" s="102">
        <f>IFERROR(__xludf.DUMMYFUNCTION("""COMPUTED_VALUE"""),10.0)</f>
        <v/>
      </c>
      <c r="AD21" s="102">
        <f>IFERROR(__xludf.DUMMYFUNCTION("""COMPUTED_VALUE"""),10.0)</f>
        <v/>
      </c>
    </row>
    <row r="22" ht="30" customHeight="1" s="176">
      <c r="A22" s="88" t="n">
        <v>3</v>
      </c>
      <c r="B22" s="112" t="inlineStr">
        <is>
          <t>Familia de talla</t>
        </is>
      </c>
      <c r="C22" s="122" t="inlineStr">
        <is>
          <t>Con Categoría + Género ubica la familia en «3. Categorías» (columna Familia de talla). La familia define qué valores de talla son válidos.</t>
        </is>
      </c>
      <c r="D22" s="182" t="n"/>
      <c r="E22" s="183" t="n"/>
      <c r="F22" s="84" t="n"/>
      <c r="G22" s="96" t="inlineStr">
        <is>
          <t>DEPARTAMENTAL</t>
        </is>
      </c>
      <c r="H22" s="97" t="inlineStr">
        <is>
          <t>NetSuite</t>
        </is>
      </c>
      <c r="I22" s="96">
        <f>IF(OR($G22="",$H22="Rack físico"),"",COUNTIFS('Stock por Ubicación'!$A:$A,IF($H22="NetSuite",$G22,$G22&amp;" ›*"),'Stock por Ubicación'!$G:$G,"&lt;&gt;0"))</f>
        <v/>
      </c>
      <c r="J22" s="96">
        <f>IF(OR($G22="",$H22="Rack físico"),"",SUMIFS('Stock por Ubicación'!$G:$G,'Stock por Ubicación'!$A:$A,IF($H22="NetSuite",$G22,$G22&amp;" ›*")))</f>
        <v/>
      </c>
      <c r="K22" s="98" t="n"/>
      <c r="L22" s="84" t="n"/>
      <c r="M22" s="84" t="n"/>
      <c r="N22" s="84" t="n"/>
      <c r="O22" s="84" t="n"/>
      <c r="P22" s="84" t="n"/>
      <c r="Q22" s="84" t="n"/>
      <c r="R22" s="84" t="n"/>
      <c r="S22" s="102">
        <f>IFERROR(__xludf.DUMMYFUNCTION("""COMPUTED_VALUE"""),"Willow Lane")</f>
        <v/>
      </c>
      <c r="T22" s="102">
        <f>IFERROR(__xludf.DUMMYFUNCTION("""COMPUTED_VALUE"""),"No Aplica")</f>
        <v/>
      </c>
      <c r="U22" s="102" t="n"/>
      <c r="V22" s="102" t="n"/>
      <c r="W22" s="102" t="n"/>
      <c r="X22" s="102" t="n"/>
      <c r="Y22" s="102" t="n"/>
      <c r="Z22" s="102" t="n"/>
      <c r="AA22" s="104" t="n"/>
      <c r="AB22" s="104" t="inlineStr">
        <is>
          <t>Copa Gus</t>
        </is>
      </c>
      <c r="AC22" s="102">
        <f>IFERROR(__xludf.DUMMYFUNCTION("""COMPUTED_VALUE"""),12.0)</f>
        <v/>
      </c>
      <c r="AD22" s="102">
        <f>IFERROR(__xludf.DUMMYFUNCTION("""COMPUTED_VALUE"""),12.0)</f>
        <v/>
      </c>
    </row>
    <row r="23" ht="55.5" customHeight="1" s="176">
      <c r="A23" s="88" t="n">
        <v>4</v>
      </c>
      <c r="B23" s="112" t="inlineStr">
        <is>
          <t>WB Talla</t>
        </is>
      </c>
      <c r="C23" s="122" t="inlineStr">
        <is>
          <t>Captura el valor EXACTO de la columna «WB Talla» del «8. Catálogo de tallas» para esa familia (mismo texto, espacios y mayúsculas). Equivalencias de captura: CH→S, MED→M, GDE→L, 2XL→XXL, UNI→Talla única. Regla general: WB Talla = cómo se vende en México; Talla de EE. UU. = etiqueta americana. Nunca escribas equivalencias entre paréntesis dentro de la celda.</t>
        </is>
      </c>
      <c r="D23" s="182" t="n"/>
      <c r="E23" s="183" t="n"/>
      <c r="F23" s="84" t="n"/>
      <c r="G23" s="96" t="inlineStr">
        <is>
          <t>ECOMMERCE</t>
        </is>
      </c>
      <c r="H23" s="97" t="inlineStr">
        <is>
          <t>NetSuite</t>
        </is>
      </c>
      <c r="I23" s="96">
        <f>IF(OR($G23="",$H23="Rack físico"),"",COUNTIFS('Stock por Ubicación'!$A:$A,IF($H23="NetSuite",$G23,$G23&amp;" ›*"),'Stock por Ubicación'!$G:$G,"&lt;&gt;0"))</f>
        <v/>
      </c>
      <c r="J23" s="96">
        <f>IF(OR($G23="",$H23="Rack físico"),"",SUMIFS('Stock por Ubicación'!$G:$G,'Stock por Ubicación'!$A:$A,IF($H23="NetSuite",$G23,$G23&amp;" ›*")))</f>
        <v/>
      </c>
      <c r="K23" s="98" t="n"/>
      <c r="L23" s="84" t="n"/>
      <c r="M23" s="84" t="n"/>
      <c r="N23" s="84" t="n"/>
      <c r="O23" s="84" t="n"/>
      <c r="P23" s="84" t="n"/>
      <c r="Q23" s="84" t="n"/>
      <c r="R23" s="84" t="n"/>
      <c r="S23" s="102">
        <f>IFERROR(__xludf.DUMMYFUNCTION("""COMPUTED_VALUE"""),"No Aplica")</f>
        <v/>
      </c>
      <c r="T23" s="102" t="n"/>
      <c r="U23" s="102" t="n"/>
      <c r="V23" s="102" t="n"/>
      <c r="W23" s="102" t="n"/>
      <c r="X23" s="102" t="n"/>
      <c r="Y23" s="102" t="n"/>
      <c r="Z23" s="102" t="n"/>
      <c r="AA23" s="104" t="n"/>
      <c r="AB23" s="104" t="inlineStr">
        <is>
          <t>Copa Teardrop</t>
        </is>
      </c>
      <c r="AC23" s="102">
        <f>IFERROR(__xludf.DUMMYFUNCTION("""COMPUTED_VALUE"""),14.0)</f>
        <v/>
      </c>
      <c r="AD23" s="102">
        <f>IFERROR(__xludf.DUMMYFUNCTION("""COMPUTED_VALUE"""),14.0)</f>
        <v/>
      </c>
    </row>
    <row r="24" ht="30" customHeight="1" s="176">
      <c r="A24" s="88" t="n">
        <v>5</v>
      </c>
      <c r="B24" s="112" t="inlineStr">
        <is>
          <t>WB Talla de EE. UU.</t>
        </is>
      </c>
      <c r="C24" s="122" t="inlineStr">
        <is>
          <t>Toma el valor de la misma fila del catálogo (columna «Talla de EE. UU.»). Si la regla dice «Igual», copia la WB Talla.</t>
        </is>
      </c>
      <c r="D24" s="182" t="n"/>
      <c r="E24" s="183" t="n"/>
      <c r="F24" s="84" t="n"/>
      <c r="G24" s="96" t="inlineStr">
        <is>
          <t>ENGLISH REP</t>
        </is>
      </c>
      <c r="H24" s="97" t="inlineStr">
        <is>
          <t>NetSuite</t>
        </is>
      </c>
      <c r="I24" s="96">
        <f>IF(OR($G24="",$H24="Rack físico"),"",COUNTIFS('Stock por Ubicación'!$A:$A,IF($H24="NetSuite",$G24,$G24&amp;" ›*"),'Stock por Ubicación'!$G:$G,"&lt;&gt;0"))</f>
        <v/>
      </c>
      <c r="J24" s="96">
        <f>IF(OR($G24="",$H24="Rack físico"),"",SUMIFS('Stock por Ubicación'!$G:$G,'Stock por Ubicación'!$A:$A,IF($H24="NetSuite",$G24,$G24&amp;" ›*")))</f>
        <v/>
      </c>
      <c r="K24" s="98" t="n"/>
      <c r="L24" s="84" t="n"/>
      <c r="M24" s="84" t="n"/>
      <c r="N24" s="84" t="n"/>
      <c r="O24" s="84" t="n"/>
      <c r="P24" s="84" t="n"/>
      <c r="Q24" s="84" t="n"/>
      <c r="R24" s="84" t="n"/>
      <c r="S24" s="102" t="n"/>
      <c r="T24" s="102" t="n"/>
      <c r="U24" s="102" t="n"/>
      <c r="V24" s="102" t="n"/>
      <c r="W24" s="102" t="n"/>
      <c r="X24" s="102" t="n"/>
      <c r="Y24" s="102" t="n"/>
      <c r="Z24" s="102" t="n"/>
      <c r="AA24" s="104" t="n"/>
      <c r="AB24" s="104" t="inlineStr">
        <is>
          <t>Copa Open Road</t>
        </is>
      </c>
      <c r="AC24" s="102">
        <f>IFERROR(__xludf.DUMMYFUNCTION("""COMPUTED_VALUE"""),16.0)</f>
        <v/>
      </c>
      <c r="AD24" s="102">
        <f>IFERROR(__xludf.DUMMYFUNCTION("""COMPUTED_VALUE"""),16.0)</f>
        <v/>
      </c>
    </row>
    <row r="25" ht="30" customHeight="1" s="176">
      <c r="A25" s="88" t="n">
        <v>6</v>
      </c>
      <c r="B25" s="112" t="inlineStr">
        <is>
          <t>Color</t>
        </is>
      </c>
      <c r="C25" s="122" t="inlineStr">
        <is>
          <t>Elige el color base de «6. Colores». Nombres comerciales se traducen con la columna Sinónimos de la misma sección (ej. Cognac → Cafe). Si el nombre trae dos colores, usa el dominante.</t>
        </is>
      </c>
      <c r="D25" s="182" t="n"/>
      <c r="E25" s="183" t="n"/>
      <c r="F25" s="84" t="n"/>
      <c r="G25" s="96" t="inlineStr">
        <is>
          <t>EVENTOS (CONSIGNA)</t>
        </is>
      </c>
      <c r="H25" s="97" t="inlineStr">
        <is>
          <t>NetSuite</t>
        </is>
      </c>
      <c r="I25" s="96">
        <f>IF(OR($G25="",$H25="Rack físico"),"",COUNTIFS('Stock por Ubicación'!$A:$A,IF($H25="NetSuite",$G25,$G25&amp;" ›*"),'Stock por Ubicación'!$G:$G,"&lt;&gt;0"))</f>
        <v/>
      </c>
      <c r="J25" s="96">
        <f>IF(OR($G25="",$H25="Rack físico"),"",SUMIFS('Stock por Ubicación'!$G:$G,'Stock por Ubicación'!$A:$A,IF($H25="NetSuite",$G25,$G25&amp;" ›*")))</f>
        <v/>
      </c>
      <c r="K25" s="98" t="n"/>
      <c r="L25" s="84" t="n"/>
      <c r="M25" s="84" t="n"/>
      <c r="N25" s="84" t="n"/>
      <c r="O25" s="84" t="n"/>
      <c r="P25" s="84" t="n"/>
      <c r="Q25" s="84" t="n"/>
      <c r="R25" s="84" t="n"/>
      <c r="S25" s="102" t="n"/>
      <c r="T25" s="102" t="n"/>
      <c r="U25" s="102" t="n"/>
      <c r="V25" s="102" t="n"/>
      <c r="W25" s="102" t="n"/>
      <c r="X25" s="102" t="n"/>
      <c r="Y25" s="102" t="n"/>
      <c r="Z25" s="102" t="n"/>
      <c r="AA25" s="104" t="n"/>
      <c r="AB25" s="104" t="inlineStr">
        <is>
          <t>Copa Brick</t>
        </is>
      </c>
      <c r="AC25" s="102">
        <f>IFERROR(__xludf.DUMMYFUNCTION("""COMPUTED_VALUE"""),"33 x 28")</f>
        <v/>
      </c>
      <c r="AD25" s="102">
        <f>IFERROR(__xludf.DUMMYFUNCTION("""COMPUTED_VALUE"""),"33W / 28L")</f>
        <v/>
      </c>
    </row>
    <row r="26" ht="30" customHeight="1" s="176">
      <c r="A26" s="88" t="n">
        <v>7</v>
      </c>
      <c r="B26" s="112" t="inlineStr">
        <is>
          <t>Temporada, Ciclo de vida, Unidad</t>
        </is>
      </c>
      <c r="C26" s="122" t="inlineStr">
        <is>
          <t>Temporada y Ciclo de vida de «4. Listas básicas». Unidad: PRS para calzado (Botas, Zapatos, Tenis, Pantuflas); PZS para todo lo demás.</t>
        </is>
      </c>
      <c r="D26" s="182" t="n"/>
      <c r="E26" s="183" t="n"/>
      <c r="F26" s="84" t="n"/>
      <c r="G26" s="96" t="inlineStr">
        <is>
          <t>Fixtures &amp; MKT</t>
        </is>
      </c>
      <c r="H26" s="97" t="inlineStr">
        <is>
          <t>NetSuite</t>
        </is>
      </c>
      <c r="I26" s="96">
        <f>IF(OR($G26="",$H26="Rack físico"),"",COUNTIFS('Stock por Ubicación'!$A:$A,IF($H26="NetSuite",$G26,$G26&amp;" ›*"),'Stock por Ubicación'!$G:$G,"&lt;&gt;0"))</f>
        <v/>
      </c>
      <c r="J26" s="96">
        <f>IF(OR($G26="",$H26="Rack físico"),"",SUMIFS('Stock por Ubicación'!$G:$G,'Stock por Ubicación'!$A:$A,IF($H26="NetSuite",$G26,$G26&amp;" ›*")))</f>
        <v/>
      </c>
      <c r="K26" s="98" t="n"/>
      <c r="L26" s="84" t="n"/>
      <c r="M26" s="84" t="n"/>
      <c r="N26" s="84" t="n"/>
      <c r="O26" s="84" t="n"/>
      <c r="P26" s="84" t="n"/>
      <c r="Q26" s="84" t="n"/>
      <c r="R26" s="84" t="n"/>
      <c r="S26" s="102" t="n"/>
      <c r="T26" s="102" t="n"/>
      <c r="U26" s="102" t="n"/>
      <c r="V26" s="102" t="n"/>
      <c r="W26" s="102" t="n"/>
      <c r="X26" s="102" t="n"/>
      <c r="Y26" s="102" t="n"/>
      <c r="Z26" s="102" t="n"/>
      <c r="AA26" s="104" t="n"/>
      <c r="AB26" s="104" t="inlineStr">
        <is>
          <t>Cierre perimetral</t>
        </is>
      </c>
      <c r="AC26" s="102">
        <f>IFERROR(__xludf.DUMMYFUNCTION("""COMPUTED_VALUE"""),"34 x 28")</f>
        <v/>
      </c>
      <c r="AD26" s="102">
        <f>IFERROR(__xludf.DUMMYFUNCTION("""COMPUTED_VALUE"""),"34W / 28L")</f>
        <v/>
      </c>
    </row>
    <row r="27" ht="30" customHeight="1" s="176">
      <c r="A27" s="88" t="n">
        <v>8</v>
      </c>
      <c r="B27" s="112" t="inlineStr">
        <is>
          <t>Fit</t>
        </is>
      </c>
      <c r="C27" s="122" t="inlineStr">
        <is>
          <t>Determina el fit usando la descripción larga y la tabla «7. Fit y Silueta». Aplica solo para Ropa y Denim. Usa "No Aplica" en calzado, sombreros y accesorios.</t>
        </is>
      </c>
      <c r="D27" s="182" t="n"/>
      <c r="E27" s="183" t="n"/>
      <c r="F27" s="84" t="n"/>
      <c r="G27" s="96" t="inlineStr">
        <is>
          <t>FULL MELI</t>
        </is>
      </c>
      <c r="H27" s="97" t="inlineStr">
        <is>
          <t>NetSuite</t>
        </is>
      </c>
      <c r="I27" s="96">
        <f>IF(OR($G27="",$H27="Rack físico"),"",COUNTIFS('Stock por Ubicación'!$A:$A,IF($H27="NetSuite",$G27,$G27&amp;" ›*"),'Stock por Ubicación'!$G:$G,"&lt;&gt;0"))</f>
        <v/>
      </c>
      <c r="J27" s="96">
        <f>IF(OR($G27="",$H27="Rack físico"),"",SUMIFS('Stock por Ubicación'!$G:$G,'Stock por Ubicación'!$A:$A,IF($H27="NetSuite",$G27,$G27&amp;" ›*")))</f>
        <v/>
      </c>
      <c r="K27" s="98" t="n"/>
      <c r="L27" s="84" t="n"/>
      <c r="M27" s="84" t="n"/>
      <c r="N27" s="84" t="n"/>
      <c r="O27" s="84" t="n"/>
      <c r="P27" s="84" t="n"/>
      <c r="Q27" s="84" t="n"/>
      <c r="R27" s="84" t="n"/>
      <c r="S27" s="102" t="n"/>
      <c r="T27" s="102" t="n"/>
      <c r="U27" s="102" t="n"/>
      <c r="V27" s="102" t="n"/>
      <c r="W27" s="102" t="n"/>
      <c r="X27" s="102" t="n"/>
      <c r="Y27" s="102" t="n"/>
      <c r="Z27" s="102" t="n"/>
      <c r="AA27" s="104" t="n"/>
      <c r="AB27" s="104" t="inlineStr">
        <is>
          <t>No Aplica</t>
        </is>
      </c>
      <c r="AC27" s="102">
        <f>IFERROR(__xludf.DUMMYFUNCTION("""COMPUTED_VALUE"""),"36 x 28")</f>
        <v/>
      </c>
      <c r="AD27" s="102">
        <f>IFERROR(__xludf.DUMMYFUNCTION("""COMPUTED_VALUE"""),"36W / 28L")</f>
        <v/>
      </c>
    </row>
    <row r="28" ht="30" customHeight="1" s="176">
      <c r="A28" s="88" t="n">
        <v>9</v>
      </c>
      <c r="B28" s="112" t="inlineStr">
        <is>
          <t>Silueta</t>
        </is>
      </c>
      <c r="C28" s="122" t="inlineStr">
        <is>
          <t>Determina la silueta usando la descripción y la tabla «7. Fit y Silueta». Aplica solo para Sombreros, Calzado y Jeans. Usa "No Aplica" en el resto.</t>
        </is>
      </c>
      <c r="D28" s="182" t="n"/>
      <c r="E28" s="183" t="n"/>
      <c r="F28" s="84" t="n"/>
      <c r="G28" s="96" t="inlineStr">
        <is>
          <t>G1522 Defectos</t>
        </is>
      </c>
      <c r="H28" s="97" t="inlineStr">
        <is>
          <t>NetSuite</t>
        </is>
      </c>
      <c r="I28" s="96">
        <f>IF(OR($G28="",$H28="Rack físico"),"",COUNTIFS('Stock por Ubicación'!$A:$A,IF($H28="NetSuite",$G28,$G28&amp;" ›*"),'Stock por Ubicación'!$G:$G,"&lt;&gt;0"))</f>
        <v/>
      </c>
      <c r="J28" s="96">
        <f>IF(OR($G28="",$H28="Rack físico"),"",SUMIFS('Stock por Ubicación'!$G:$G,'Stock por Ubicación'!$A:$A,IF($H28="NetSuite",$G28,$G28&amp;" ›*")))</f>
        <v/>
      </c>
      <c r="K28" s="98" t="inlineStr">
        <is>
          <t>Bodega 43</t>
        </is>
      </c>
      <c r="L28" s="84" t="n"/>
      <c r="M28" s="84" t="n"/>
      <c r="N28" s="84" t="n"/>
      <c r="O28" s="84" t="n"/>
      <c r="P28" s="84" t="n"/>
      <c r="Q28" s="84" t="n"/>
      <c r="R28" s="84" t="n"/>
      <c r="S28" s="102" t="n"/>
      <c r="T28" s="102" t="n"/>
      <c r="U28" s="102" t="n"/>
      <c r="V28" s="102" t="n"/>
      <c r="W28" s="102" t="n"/>
      <c r="X28" s="102" t="n"/>
      <c r="Y28" s="102" t="n"/>
      <c r="Z28" s="102" t="n"/>
      <c r="AA28" s="104" t="n"/>
      <c r="AB28" s="104" t="n"/>
      <c r="AC28" s="102">
        <f>IFERROR(__xludf.DUMMYFUNCTION("""COMPUTED_VALUE"""),"28 x 30")</f>
        <v/>
      </c>
      <c r="AD28" s="102">
        <f>IFERROR(__xludf.DUMMYFUNCTION("""COMPUTED_VALUE"""),"28W / 30L")</f>
        <v/>
      </c>
    </row>
    <row r="29" ht="16.5" customHeight="1" s="176">
      <c r="A29" s="88" t="n">
        <v>10</v>
      </c>
      <c r="B29" s="112" t="inlineStr">
        <is>
          <t>Si algo no cuadra</t>
        </is>
      </c>
      <c r="C29" s="122" t="inlineStr">
        <is>
          <t>No inventes valores: deja el campo vacío y registra el caso en la hoja Revisión para validarlo.</t>
        </is>
      </c>
      <c r="D29" s="182" t="n"/>
      <c r="E29" s="183" t="n"/>
      <c r="F29" s="84" t="n"/>
      <c r="G29" s="96" t="inlineStr">
        <is>
          <t>G1522 Lost</t>
        </is>
      </c>
      <c r="H29" s="97" t="inlineStr">
        <is>
          <t>NetSuite</t>
        </is>
      </c>
      <c r="I29" s="96">
        <f>IF(OR($G29="",$H29="Rack físico"),"",COUNTIFS('Stock por Ubicación'!$A:$A,IF($H29="NetSuite",$G29,$G29&amp;" ›*"),'Stock por Ubicación'!$G:$G,"&lt;&gt;0"))</f>
        <v/>
      </c>
      <c r="J29" s="96">
        <f>IF(OR($G29="",$H29="Rack físico"),"",SUMIFS('Stock por Ubicación'!$G:$G,'Stock por Ubicación'!$A:$A,IF($H29="NetSuite",$G29,$G29&amp;" ›*")))</f>
        <v/>
      </c>
      <c r="K29" s="98" t="inlineStr">
        <is>
          <t>Bodega 43</t>
        </is>
      </c>
      <c r="L29" s="84" t="n"/>
      <c r="M29" s="84" t="n"/>
      <c r="N29" s="84" t="n"/>
      <c r="O29" s="84" t="n"/>
      <c r="P29" s="84" t="n"/>
      <c r="Q29" s="84" t="n"/>
      <c r="R29" s="84" t="n"/>
      <c r="S29" s="102" t="n"/>
      <c r="T29" s="102" t="n"/>
      <c r="U29" s="102" t="n"/>
      <c r="V29" s="102" t="n"/>
      <c r="W29" s="102" t="n"/>
      <c r="X29" s="102" t="n"/>
      <c r="Y29" s="102" t="n"/>
      <c r="Z29" s="102" t="n"/>
      <c r="AA29" s="104" t="n"/>
      <c r="AB29" s="104" t="n"/>
      <c r="AC29" s="102">
        <f>IFERROR(__xludf.DUMMYFUNCTION("""COMPUTED_VALUE"""),"29 x 30")</f>
        <v/>
      </c>
      <c r="AD29" s="102">
        <f>IFERROR(__xludf.DUMMYFUNCTION("""COMPUTED_VALUE"""),"29W / 30L")</f>
        <v/>
      </c>
    </row>
    <row r="30" ht="9.75" customHeight="1" s="176">
      <c r="A30" s="107" t="n"/>
      <c r="B30" s="107" t="n"/>
      <c r="C30" s="107" t="n"/>
      <c r="D30" s="107" t="n"/>
      <c r="E30" s="107" t="n"/>
      <c r="F30" s="84" t="n"/>
      <c r="G30" s="96" t="inlineStr">
        <is>
          <t>G1522 QA Hold</t>
        </is>
      </c>
      <c r="H30" s="97" t="inlineStr">
        <is>
          <t>NetSuite</t>
        </is>
      </c>
      <c r="I30" s="96">
        <f>IF(OR($G30="",$H30="Rack físico"),"",COUNTIFS('Stock por Ubicación'!$A:$A,IF($H30="NetSuite",$G30,$G30&amp;" ›*"),'Stock por Ubicación'!$G:$G,"&lt;&gt;0"))</f>
        <v/>
      </c>
      <c r="J30" s="96">
        <f>IF(OR($G30="",$H30="Rack físico"),"",SUMIFS('Stock por Ubicación'!$G:$G,'Stock por Ubicación'!$A:$A,IF($H30="NetSuite",$G30,$G30&amp;" ›*")))</f>
        <v/>
      </c>
      <c r="K30" s="98" t="inlineStr">
        <is>
          <t>Bodega 43</t>
        </is>
      </c>
      <c r="L30" s="84" t="n"/>
      <c r="M30" s="84" t="n"/>
      <c r="N30" s="84" t="n"/>
      <c r="O30" s="84" t="n"/>
      <c r="P30" s="84" t="n"/>
      <c r="Q30" s="84" t="n"/>
      <c r="R30" s="84" t="n"/>
      <c r="S30" s="102" t="n"/>
      <c r="T30" s="102" t="n"/>
      <c r="U30" s="102" t="n"/>
      <c r="V30" s="102" t="n"/>
      <c r="W30" s="102" t="n"/>
      <c r="X30" s="102" t="n"/>
      <c r="Y30" s="102" t="n"/>
      <c r="Z30" s="102" t="n"/>
      <c r="AA30" s="104" t="n"/>
      <c r="AB30" s="104" t="n"/>
      <c r="AC30" s="102">
        <f>IFERROR(__xludf.DUMMYFUNCTION("""COMPUTED_VALUE"""),"30 x 30")</f>
        <v/>
      </c>
      <c r="AD30" s="102">
        <f>IFERROR(__xludf.DUMMYFUNCTION("""COMPUTED_VALUE"""),"30W / 30L")</f>
        <v/>
      </c>
    </row>
    <row r="31" ht="21.75" customHeight="1" s="176">
      <c r="A31" s="86" t="inlineStr">
        <is>
          <t>2. PALABRA CLAVE → CATEGORÍA</t>
        </is>
      </c>
      <c r="B31" s="86" t="n"/>
      <c r="C31" s="86" t="n"/>
      <c r="D31" s="86" t="n"/>
      <c r="E31" s="108" t="inlineStr">
        <is>
          <t>↑ Volver al índice</t>
        </is>
      </c>
      <c r="F31" s="84" t="n"/>
      <c r="G31" s="96" t="inlineStr">
        <is>
          <t>GENERAL</t>
        </is>
      </c>
      <c r="H31" s="97" t="inlineStr">
        <is>
          <t>NetSuite</t>
        </is>
      </c>
      <c r="I31" s="96">
        <f>IF(OR($G31="",$H31="Rack físico"),"",COUNTIFS('Stock por Ubicación'!$A:$A,IF($H31="NetSuite",$G31,$G31&amp;" ›*"),'Stock por Ubicación'!$G:$G,"&lt;&gt;0"))</f>
        <v/>
      </c>
      <c r="J31" s="96">
        <f>IF(OR($G31="",$H31="Rack físico"),"",SUMIFS('Stock por Ubicación'!$G:$G,'Stock por Ubicación'!$A:$A,IF($H31="NetSuite",$G31,$G31&amp;" ›*")))</f>
        <v/>
      </c>
      <c r="K31" s="98" t="n"/>
      <c r="L31" s="84" t="n"/>
      <c r="M31" s="84" t="n"/>
      <c r="N31" s="84" t="n"/>
      <c r="O31" s="84" t="n"/>
      <c r="P31" s="84" t="n"/>
      <c r="Q31" s="84" t="n"/>
      <c r="R31" s="84" t="n"/>
      <c r="S31" s="102" t="n"/>
      <c r="T31" s="102" t="n"/>
      <c r="U31" s="102" t="n"/>
      <c r="V31" s="102" t="n"/>
      <c r="W31" s="102" t="n"/>
      <c r="X31" s="102" t="n"/>
      <c r="Y31" s="102" t="n"/>
      <c r="Z31" s="102" t="n"/>
      <c r="AA31" s="104" t="n"/>
      <c r="AB31" s="104" t="n"/>
      <c r="AC31" s="102">
        <f>IFERROR(__xludf.DUMMYFUNCTION("""COMPUTED_VALUE"""),"31 x 30")</f>
        <v/>
      </c>
      <c r="AD31" s="102">
        <f>IFERROR(__xludf.DUMMYFUNCTION("""COMPUTED_VALUE"""),"31W / 30L")</f>
        <v/>
      </c>
    </row>
    <row r="32" ht="15.75" customHeight="1" s="176">
      <c r="A32" s="115" t="inlineStr">
        <is>
          <t>Busca la palabra en el nombre del producto; manda la PRIMERA que coincida (por eso las frases largas van arriba).</t>
        </is>
      </c>
      <c r="B32" s="107" t="n"/>
      <c r="C32" s="107" t="n"/>
      <c r="D32" s="107" t="n"/>
      <c r="E32" s="107" t="n"/>
      <c r="F32" s="84" t="n"/>
      <c r="G32" s="96" t="inlineStr">
        <is>
          <t>HAPPY SOCKS</t>
        </is>
      </c>
      <c r="H32" s="97" t="inlineStr">
        <is>
          <t>NetSuite</t>
        </is>
      </c>
      <c r="I32" s="96">
        <f>IF(OR($G32="",$H32="Rack físico"),"",COUNTIFS('Stock por Ubicación'!$A:$A,IF($H32="NetSuite",$G32,$G32&amp;" ›*"),'Stock por Ubicación'!$G:$G,"&lt;&gt;0"))</f>
        <v/>
      </c>
      <c r="J32" s="96">
        <f>IF(OR($G32="",$H32="Rack físico"),"",SUMIFS('Stock por Ubicación'!$G:$G,'Stock por Ubicación'!$A:$A,IF($H32="NetSuite",$G32,$G32&amp;" ›*")))</f>
        <v/>
      </c>
      <c r="K32" s="98" t="n"/>
      <c r="L32" s="84" t="n"/>
      <c r="M32" s="84" t="n"/>
      <c r="N32" s="84" t="n"/>
      <c r="O32" s="84" t="n"/>
      <c r="P32" s="84" t="n"/>
      <c r="Q32" s="84" t="n"/>
      <c r="R32" s="84" t="n"/>
      <c r="S32" s="102" t="n"/>
      <c r="T32" s="102" t="n"/>
      <c r="U32" s="102" t="n"/>
      <c r="V32" s="102" t="n"/>
      <c r="W32" s="102" t="n"/>
      <c r="X32" s="102" t="n"/>
      <c r="Y32" s="102" t="n"/>
      <c r="Z32" s="102" t="n"/>
      <c r="AA32" s="104" t="n"/>
      <c r="AB32" s="104" t="n"/>
      <c r="AC32" s="102">
        <f>IFERROR(__xludf.DUMMYFUNCTION("""COMPUTED_VALUE"""),"32 x 30")</f>
        <v/>
      </c>
      <c r="AD32" s="102">
        <f>IFERROR(__xludf.DUMMYFUNCTION("""COMPUTED_VALUE"""),"32W / 30L")</f>
        <v/>
      </c>
    </row>
    <row r="33" ht="16.5" customHeight="1" s="176">
      <c r="A33" s="110" t="inlineStr">
        <is>
          <t>Palabra clave</t>
        </is>
      </c>
      <c r="B33" s="110" t="inlineStr">
        <is>
          <t>Categoría</t>
        </is>
      </c>
      <c r="C33" s="110" t="inlineStr">
        <is>
          <t>División</t>
        </is>
      </c>
      <c r="D33" s="107" t="n"/>
      <c r="E33" s="107" t="n"/>
      <c r="F33" s="84" t="n"/>
      <c r="G33" s="96" t="inlineStr">
        <is>
          <t>HS MERCADO LIBRE</t>
        </is>
      </c>
      <c r="H33" s="97" t="inlineStr">
        <is>
          <t>NetSuite</t>
        </is>
      </c>
      <c r="I33" s="96">
        <f>IF(OR($G33="",$H33="Rack físico"),"",COUNTIFS('Stock por Ubicación'!$A:$A,IF($H33="NetSuite",$G33,$G33&amp;" ›*"),'Stock por Ubicación'!$G:$G,"&lt;&gt;0"))</f>
        <v/>
      </c>
      <c r="J33" s="96">
        <f>IF(OR($G33="",$H33="Rack físico"),"",SUMIFS('Stock por Ubicación'!$G:$G,'Stock por Ubicación'!$A:$A,IF($H33="NetSuite",$G33,$G33&amp;" ›*")))</f>
        <v/>
      </c>
      <c r="K33" s="98" t="n"/>
      <c r="L33" s="84" t="n"/>
      <c r="M33" s="84" t="n"/>
      <c r="N33" s="84" t="n"/>
      <c r="O33" s="84" t="n"/>
      <c r="P33" s="84" t="n"/>
      <c r="Q33" s="84" t="n"/>
      <c r="R33" s="84" t="n"/>
      <c r="S33" s="102" t="n"/>
      <c r="T33" s="102" t="n"/>
      <c r="U33" s="102" t="n"/>
      <c r="V33" s="102" t="n"/>
      <c r="W33" s="102" t="n"/>
      <c r="X33" s="102" t="n"/>
      <c r="Y33" s="102" t="n"/>
      <c r="Z33" s="102" t="n"/>
      <c r="AA33" s="104" t="n"/>
      <c r="AB33" s="104" t="n"/>
      <c r="AC33" s="102">
        <f>IFERROR(__xludf.DUMMYFUNCTION("""COMPUTED_VALUE"""),"33 x 30")</f>
        <v/>
      </c>
      <c r="AD33" s="102">
        <f>IFERROR(__xludf.DUMMYFUNCTION("""COMPUTED_VALUE"""),"33W / 30L")</f>
        <v/>
      </c>
    </row>
    <row r="34" ht="16.5" customHeight="1" s="176">
      <c r="A34" s="116" t="inlineStr">
        <is>
          <t>Cuidado de Botas</t>
        </is>
      </c>
      <c r="B34" s="116" t="inlineStr">
        <is>
          <t>Cuidado de Botas</t>
        </is>
      </c>
      <c r="C34" s="116" t="inlineStr">
        <is>
          <t>Accesorios</t>
        </is>
      </c>
      <c r="D34" s="107" t="n"/>
      <c r="E34" s="107" t="n"/>
      <c r="F34" s="84" t="n"/>
      <c r="G34" s="96" t="inlineStr">
        <is>
          <t>KEY ACCOUNTS</t>
        </is>
      </c>
      <c r="H34" s="97" t="inlineStr">
        <is>
          <t>NetSuite</t>
        </is>
      </c>
      <c r="I34" s="96">
        <f>IF(OR($G34="",$H34="Rack físico"),"",COUNTIFS('Stock por Ubicación'!$A:$A,IF($H34="NetSuite",$G34,$G34&amp;" ›*"),'Stock por Ubicación'!$G:$G,"&lt;&gt;0"))</f>
        <v/>
      </c>
      <c r="J34" s="96">
        <f>IF(OR($G34="",$H34="Rack físico"),"",SUMIFS('Stock por Ubicación'!$G:$G,'Stock por Ubicación'!$A:$A,IF($H34="NetSuite",$G34,$G34&amp;" ›*")))</f>
        <v/>
      </c>
      <c r="K34" s="98" t="n"/>
      <c r="L34" s="84" t="n"/>
      <c r="M34" s="84" t="n"/>
      <c r="N34" s="84" t="n"/>
      <c r="O34" s="84" t="n"/>
      <c r="P34" s="84" t="n"/>
      <c r="Q34" s="84" t="n"/>
      <c r="R34" s="84" t="n"/>
      <c r="S34" s="102" t="n"/>
      <c r="T34" s="102" t="n"/>
      <c r="U34" s="102" t="n"/>
      <c r="V34" s="102" t="n"/>
      <c r="W34" s="102" t="n"/>
      <c r="X34" s="102" t="n"/>
      <c r="Y34" s="102" t="n"/>
      <c r="Z34" s="102" t="n"/>
      <c r="AA34" s="104" t="n"/>
      <c r="AB34" s="104" t="n"/>
      <c r="AC34" s="102">
        <f>IFERROR(__xludf.DUMMYFUNCTION("""COMPUTED_VALUE"""),"34 x 30")</f>
        <v/>
      </c>
      <c r="AD34" s="102">
        <f>IFERROR(__xludf.DUMMYFUNCTION("""COMPUTED_VALUE"""),"34W / 30L")</f>
        <v/>
      </c>
    </row>
    <row r="35" ht="16.5" customHeight="1" s="176">
      <c r="A35" s="116" t="inlineStr">
        <is>
          <t>Cuidado de Sombreros</t>
        </is>
      </c>
      <c r="B35" s="116" t="inlineStr">
        <is>
          <t>Cuidado de Sombreros</t>
        </is>
      </c>
      <c r="C35" s="116" t="inlineStr">
        <is>
          <t>Accesorios</t>
        </is>
      </c>
      <c r="D35" s="107" t="n"/>
      <c r="E35" s="107" t="n"/>
      <c r="F35" s="84" t="n"/>
      <c r="G35" s="96" t="inlineStr">
        <is>
          <t>LIVERPOOL MKP</t>
        </is>
      </c>
      <c r="H35" s="97" t="inlineStr">
        <is>
          <t>NetSuite</t>
        </is>
      </c>
      <c r="I35" s="96">
        <f>IF(OR($G35="",$H35="Rack físico"),"",COUNTIFS('Stock por Ubicación'!$A:$A,IF($H35="NetSuite",$G35,$G35&amp;" ›*"),'Stock por Ubicación'!$G:$G,"&lt;&gt;0"))</f>
        <v/>
      </c>
      <c r="J35" s="96">
        <f>IF(OR($G35="",$H35="Rack físico"),"",SUMIFS('Stock por Ubicación'!$G:$G,'Stock por Ubicación'!$A:$A,IF($H35="NetSuite",$G35,$G35&amp;" ›*")))</f>
        <v/>
      </c>
      <c r="K35" s="98" t="n"/>
      <c r="L35" s="84" t="n"/>
      <c r="M35" s="84" t="n"/>
      <c r="N35" s="84" t="n"/>
      <c r="O35" s="84" t="n"/>
      <c r="P35" s="84" t="n"/>
      <c r="Q35" s="84" t="n"/>
      <c r="R35" s="84" t="n"/>
      <c r="S35" s="102" t="n"/>
      <c r="T35" s="102" t="n"/>
      <c r="U35" s="102" t="n"/>
      <c r="V35" s="102" t="n"/>
      <c r="W35" s="102" t="n"/>
      <c r="X35" s="102" t="n"/>
      <c r="Y35" s="102" t="n"/>
      <c r="Z35" s="102" t="n"/>
      <c r="AA35" s="104" t="n"/>
      <c r="AB35" s="104" t="n"/>
      <c r="AC35" s="102">
        <f>IFERROR(__xludf.DUMMYFUNCTION("""COMPUTED_VALUE"""),"35 x 30")</f>
        <v/>
      </c>
      <c r="AD35" s="102">
        <f>IFERROR(__xludf.DUMMYFUNCTION("""COMPUTED_VALUE"""),"35W / 30L")</f>
        <v/>
      </c>
    </row>
    <row r="36" ht="16.5" customHeight="1" s="176">
      <c r="A36" s="116" t="inlineStr">
        <is>
          <t>Plumas para sombrero</t>
        </is>
      </c>
      <c r="B36" s="116" t="inlineStr">
        <is>
          <t>Plumas para sombrero</t>
        </is>
      </c>
      <c r="C36" s="116" t="inlineStr">
        <is>
          <t>Accesorios</t>
        </is>
      </c>
      <c r="D36" s="107" t="n"/>
      <c r="E36" s="107" t="n"/>
      <c r="F36" s="84" t="n"/>
      <c r="G36" s="96" t="inlineStr">
        <is>
          <t>Mercado libre</t>
        </is>
      </c>
      <c r="H36" s="97" t="inlineStr">
        <is>
          <t>NetSuite</t>
        </is>
      </c>
      <c r="I36" s="96">
        <f>IF(OR($G36="",$H36="Rack físico"),"",COUNTIFS('Stock por Ubicación'!$A:$A,IF($H36="NetSuite",$G36,$G36&amp;" ›*"),'Stock por Ubicación'!$G:$G,"&lt;&gt;0"))</f>
        <v/>
      </c>
      <c r="J36" s="96">
        <f>IF(OR($G36="",$H36="Rack físico"),"",SUMIFS('Stock por Ubicación'!$G:$G,'Stock por Ubicación'!$A:$A,IF($H36="NetSuite",$G36,$G36&amp;" ›*")))</f>
        <v/>
      </c>
      <c r="K36" s="98" t="n"/>
      <c r="L36" s="84" t="n"/>
      <c r="M36" s="84" t="n"/>
      <c r="N36" s="84" t="n"/>
      <c r="O36" s="84" t="n"/>
      <c r="P36" s="84" t="n"/>
      <c r="Q36" s="84" t="n"/>
      <c r="R36" s="84" t="n"/>
      <c r="S36" s="102" t="n"/>
      <c r="T36" s="102" t="n"/>
      <c r="U36" s="102" t="n"/>
      <c r="V36" s="102" t="n"/>
      <c r="W36" s="102" t="n"/>
      <c r="X36" s="102" t="n"/>
      <c r="Y36" s="102" t="n"/>
      <c r="Z36" s="102" t="n"/>
      <c r="AA36" s="104" t="n"/>
      <c r="AB36" s="104" t="n"/>
      <c r="AC36" s="102">
        <f>IFERROR(__xludf.DUMMYFUNCTION("""COMPUTED_VALUE"""),"36 x 30")</f>
        <v/>
      </c>
      <c r="AD36" s="102">
        <f>IFERROR(__xludf.DUMMYFUNCTION("""COMPUTED_VALUE"""),"36W / 30L")</f>
        <v/>
      </c>
    </row>
    <row r="37" ht="16.5" customHeight="1" s="176">
      <c r="A37" s="116" t="inlineStr">
        <is>
          <t>Gorra</t>
        </is>
      </c>
      <c r="B37" s="116" t="inlineStr">
        <is>
          <t>Gorras</t>
        </is>
      </c>
      <c r="C37" s="116" t="inlineStr">
        <is>
          <t>Accesorios</t>
        </is>
      </c>
      <c r="D37" s="107" t="n"/>
      <c r="E37" s="107" t="n"/>
      <c r="F37" s="84" t="n"/>
      <c r="G37" s="96" t="inlineStr">
        <is>
          <t>MUESTRAS &amp; EXPO</t>
        </is>
      </c>
      <c r="H37" s="97" t="inlineStr">
        <is>
          <t>NetSuite</t>
        </is>
      </c>
      <c r="I37" s="96">
        <f>IF(OR($G37="",$H37="Rack físico"),"",COUNTIFS('Stock por Ubicación'!$A:$A,IF($H37="NetSuite",$G37,$G37&amp;" ›*"),'Stock por Ubicación'!$G:$G,"&lt;&gt;0"))</f>
        <v/>
      </c>
      <c r="J37" s="96">
        <f>IF(OR($G37="",$H37="Rack físico"),"",SUMIFS('Stock por Ubicación'!$G:$G,'Stock por Ubicación'!$A:$A,IF($H37="NetSuite",$G37,$G37&amp;" ›*")))</f>
        <v/>
      </c>
      <c r="K37" s="98" t="n"/>
      <c r="L37" s="84" t="n"/>
      <c r="M37" s="84" t="n"/>
      <c r="N37" s="84" t="n"/>
      <c r="O37" s="84" t="n"/>
      <c r="P37" s="84" t="n"/>
      <c r="Q37" s="84" t="n"/>
      <c r="R37" s="84" t="n"/>
      <c r="S37" s="102" t="n"/>
      <c r="T37" s="102" t="n"/>
      <c r="U37" s="102" t="n"/>
      <c r="V37" s="102" t="n"/>
      <c r="W37" s="102" t="n"/>
      <c r="X37" s="102" t="n"/>
      <c r="Y37" s="102" t="n"/>
      <c r="Z37" s="102" t="n"/>
      <c r="AA37" s="104" t="n"/>
      <c r="AB37" s="104" t="n"/>
      <c r="AC37" s="102">
        <f>IFERROR(__xludf.DUMMYFUNCTION("""COMPUTED_VALUE"""),"38 x 30")</f>
        <v/>
      </c>
      <c r="AD37" s="102">
        <f>IFERROR(__xludf.DUMMYFUNCTION("""COMPUTED_VALUE"""),"38W / 30L")</f>
        <v/>
      </c>
    </row>
    <row r="38" ht="16.5" customHeight="1" s="176">
      <c r="A38" s="116" t="inlineStr">
        <is>
          <t>Sombrero</t>
        </is>
      </c>
      <c r="B38" s="116" t="inlineStr">
        <is>
          <t>Sombreros</t>
        </is>
      </c>
      <c r="C38" s="116" t="inlineStr">
        <is>
          <t>Accesorios</t>
        </is>
      </c>
      <c r="D38" s="107" t="n"/>
      <c r="E38" s="107" t="n"/>
      <c r="F38" s="84" t="n"/>
      <c r="G38" s="96" t="inlineStr">
        <is>
          <t>MUESTRAS REFLO</t>
        </is>
      </c>
      <c r="H38" s="97" t="inlineStr">
        <is>
          <t>NetSuite</t>
        </is>
      </c>
      <c r="I38" s="96">
        <f>IF(OR($G38="",$H38="Rack físico"),"",COUNTIFS('Stock por Ubicación'!$A:$A,IF($H38="NetSuite",$G38,$G38&amp;" ›*"),'Stock por Ubicación'!$G:$G,"&lt;&gt;0"))</f>
        <v/>
      </c>
      <c r="J38" s="96">
        <f>IF(OR($G38="",$H38="Rack físico"),"",SUMIFS('Stock por Ubicación'!$G:$G,'Stock por Ubicación'!$A:$A,IF($H38="NetSuite",$G38,$G38&amp;" ›*")))</f>
        <v/>
      </c>
      <c r="K38" s="98" t="n"/>
      <c r="L38" s="84" t="n"/>
      <c r="M38" s="84" t="n"/>
      <c r="N38" s="84" t="n"/>
      <c r="O38" s="84" t="n"/>
      <c r="P38" s="84" t="n"/>
      <c r="Q38" s="84" t="n"/>
      <c r="R38" s="84" t="n"/>
      <c r="S38" s="102" t="n"/>
      <c r="T38" s="102" t="n"/>
      <c r="U38" s="102" t="n"/>
      <c r="V38" s="102" t="n"/>
      <c r="W38" s="102" t="n"/>
      <c r="X38" s="102" t="n"/>
      <c r="Y38" s="102" t="n"/>
      <c r="Z38" s="102" t="n"/>
      <c r="AA38" s="104" t="n"/>
      <c r="AB38" s="104" t="n"/>
      <c r="AC38" s="102">
        <f>IFERROR(__xludf.DUMMYFUNCTION("""COMPUTED_VALUE"""),"40 x 30")</f>
        <v/>
      </c>
      <c r="AD38" s="102">
        <f>IFERROR(__xludf.DUMMYFUNCTION("""COMPUTED_VALUE"""),"40W / 30L")</f>
        <v/>
      </c>
    </row>
    <row r="39" ht="16.5" customHeight="1" s="176">
      <c r="A39" s="116" t="inlineStr">
        <is>
          <t>Texana</t>
        </is>
      </c>
      <c r="B39" s="116" t="inlineStr">
        <is>
          <t>Sombreros</t>
        </is>
      </c>
      <c r="C39" s="116" t="inlineStr">
        <is>
          <t>Accesorios</t>
        </is>
      </c>
      <c r="D39" s="107" t="n"/>
      <c r="E39" s="107" t="n"/>
      <c r="F39" s="84" t="n"/>
      <c r="G39" s="96" t="inlineStr">
        <is>
          <t>Nogales Store</t>
        </is>
      </c>
      <c r="H39" s="97" t="inlineStr">
        <is>
          <t>NetSuite</t>
        </is>
      </c>
      <c r="I39" s="96">
        <f>IF(OR($G39="",$H39="Rack físico"),"",COUNTIFS('Stock por Ubicación'!$A:$A,IF($H39="NetSuite",$G39,$G39&amp;" ›*"),'Stock por Ubicación'!$G:$G,"&lt;&gt;0"))</f>
        <v/>
      </c>
      <c r="J39" s="96">
        <f>IF(OR($G39="",$H39="Rack físico"),"",SUMIFS('Stock por Ubicación'!$G:$G,'Stock por Ubicación'!$A:$A,IF($H39="NetSuite",$G39,$G39&amp;" ›*")))</f>
        <v/>
      </c>
      <c r="K39" s="98" t="n"/>
      <c r="L39" s="84" t="n"/>
      <c r="M39" s="84" t="n"/>
      <c r="N39" s="84" t="n"/>
      <c r="O39" s="84" t="n"/>
      <c r="P39" s="84" t="n"/>
      <c r="Q39" s="84" t="n"/>
      <c r="R39" s="84" t="n"/>
      <c r="S39" s="102" t="n"/>
      <c r="T39" s="102" t="n"/>
      <c r="U39" s="102" t="n"/>
      <c r="V39" s="102" t="n"/>
      <c r="W39" s="102" t="n"/>
      <c r="X39" s="102" t="n"/>
      <c r="Y39" s="102" t="n"/>
      <c r="Z39" s="102" t="n"/>
      <c r="AA39" s="104" t="n"/>
      <c r="AB39" s="104" t="n"/>
      <c r="AC39" s="102">
        <f>IFERROR(__xludf.DUMMYFUNCTION("""COMPUTED_VALUE"""),"42 x 30")</f>
        <v/>
      </c>
      <c r="AD39" s="102">
        <f>IFERROR(__xludf.DUMMYFUNCTION("""COMPUTED_VALUE"""),"42W / 30L")</f>
        <v/>
      </c>
    </row>
    <row r="40" ht="16.5" customHeight="1" s="176">
      <c r="A40" s="116" t="inlineStr">
        <is>
          <t>Bandana</t>
        </is>
      </c>
      <c r="B40" s="116" t="inlineStr">
        <is>
          <t>Bandanas</t>
        </is>
      </c>
      <c r="C40" s="116" t="inlineStr">
        <is>
          <t>Accesorios</t>
        </is>
      </c>
      <c r="D40" s="107" t="n"/>
      <c r="E40" s="107" t="n"/>
      <c r="F40" s="84" t="n"/>
      <c r="G40" s="96" t="inlineStr">
        <is>
          <t>Plaza del Sol Store</t>
        </is>
      </c>
      <c r="H40" s="97" t="inlineStr">
        <is>
          <t>NetSuite</t>
        </is>
      </c>
      <c r="I40" s="96">
        <f>IF(OR($G40="",$H40="Rack físico"),"",COUNTIFS('Stock por Ubicación'!$A:$A,IF($H40="NetSuite",$G40,$G40&amp;" ›*"),'Stock por Ubicación'!$G:$G,"&lt;&gt;0"))</f>
        <v/>
      </c>
      <c r="J40" s="96">
        <f>IF(OR($G40="",$H40="Rack físico"),"",SUMIFS('Stock por Ubicación'!$G:$G,'Stock por Ubicación'!$A:$A,IF($H40="NetSuite",$G40,$G40&amp;" ›*")))</f>
        <v/>
      </c>
      <c r="K40" s="98" t="n"/>
      <c r="L40" s="84" t="n"/>
      <c r="M40" s="84" t="n"/>
      <c r="N40" s="84" t="n"/>
      <c r="O40" s="84" t="n"/>
      <c r="P40" s="84" t="n"/>
      <c r="Q40" s="84" t="n"/>
      <c r="R40" s="84" t="n"/>
      <c r="S40" s="102" t="n"/>
      <c r="T40" s="102" t="n"/>
      <c r="U40" s="102" t="n"/>
      <c r="V40" s="102" t="n"/>
      <c r="W40" s="102" t="n"/>
      <c r="X40" s="102" t="n"/>
      <c r="Y40" s="102" t="n"/>
      <c r="Z40" s="102" t="n"/>
      <c r="AA40" s="104" t="n"/>
      <c r="AB40" s="104" t="n"/>
      <c r="AC40" s="102">
        <f>IFERROR(__xludf.DUMMYFUNCTION("""COMPUTED_VALUE"""),"44 x 30")</f>
        <v/>
      </c>
      <c r="AD40" s="102">
        <f>IFERROR(__xludf.DUMMYFUNCTION("""COMPUTED_VALUE"""),"44W / 30L")</f>
        <v/>
      </c>
    </row>
    <row r="41" ht="16.5" customHeight="1" s="176">
      <c r="A41" s="116" t="inlineStr">
        <is>
          <t>Bolso</t>
        </is>
      </c>
      <c r="B41" s="116" t="inlineStr">
        <is>
          <t>Bolsos</t>
        </is>
      </c>
      <c r="C41" s="116" t="inlineStr">
        <is>
          <t>Accesorios</t>
        </is>
      </c>
      <c r="D41" s="107" t="n"/>
      <c r="E41" s="107" t="n"/>
      <c r="F41" s="84" t="n"/>
      <c r="G41" s="96" t="inlineStr">
        <is>
          <t>POTRILLOS</t>
        </is>
      </c>
      <c r="H41" s="97" t="inlineStr">
        <is>
          <t>NetSuite</t>
        </is>
      </c>
      <c r="I41" s="96">
        <f>IF(OR($G41="",$H41="Rack físico"),"",COUNTIFS('Stock por Ubicación'!$A:$A,IF($H41="NetSuite",$G41,$G41&amp;" ›*"),'Stock por Ubicación'!$G:$G,"&lt;&gt;0"))</f>
        <v/>
      </c>
      <c r="J41" s="96">
        <f>IF(OR($G41="",$H41="Rack físico"),"",SUMIFS('Stock por Ubicación'!$G:$G,'Stock por Ubicación'!$A:$A,IF($H41="NetSuite",$G41,$G41&amp;" ›*")))</f>
        <v/>
      </c>
      <c r="K41" s="98" t="n"/>
      <c r="L41" s="84" t="n"/>
      <c r="M41" s="84" t="n"/>
      <c r="N41" s="84" t="n"/>
      <c r="O41" s="84" t="n"/>
      <c r="P41" s="84" t="n"/>
      <c r="Q41" s="84" t="n"/>
      <c r="R41" s="84" t="n"/>
      <c r="S41" s="102" t="n"/>
      <c r="T41" s="102" t="n"/>
      <c r="U41" s="102" t="n"/>
      <c r="V41" s="102" t="n"/>
      <c r="W41" s="102" t="n"/>
      <c r="X41" s="102" t="n"/>
      <c r="Y41" s="102" t="n"/>
      <c r="Z41" s="102" t="n"/>
      <c r="AA41" s="104" t="n"/>
      <c r="AB41" s="104" t="n"/>
      <c r="AC41" s="102">
        <f>IFERROR(__xludf.DUMMYFUNCTION("""COMPUTED_VALUE"""),"46 x 30")</f>
        <v/>
      </c>
      <c r="AD41" s="102">
        <f>IFERROR(__xludf.DUMMYFUNCTION("""COMPUTED_VALUE"""),"46W / 30L")</f>
        <v/>
      </c>
    </row>
    <row r="42" ht="16.5" customHeight="1" s="176">
      <c r="A42" s="116" t="inlineStr">
        <is>
          <t>Bufanda</t>
        </is>
      </c>
      <c r="B42" s="116" t="inlineStr">
        <is>
          <t>Bufandas</t>
        </is>
      </c>
      <c r="C42" s="116" t="inlineStr">
        <is>
          <t>Accesorios</t>
        </is>
      </c>
      <c r="D42" s="107" t="n"/>
      <c r="E42" s="107" t="n"/>
      <c r="F42" s="84" t="n"/>
      <c r="G42" s="96" t="inlineStr">
        <is>
          <t>PRIVALIA</t>
        </is>
      </c>
      <c r="H42" s="97" t="inlineStr">
        <is>
          <t>NetSuite</t>
        </is>
      </c>
      <c r="I42" s="96">
        <f>IF(OR($G42="",$H42="Rack físico"),"",COUNTIFS('Stock por Ubicación'!$A:$A,IF($H42="NetSuite",$G42,$G42&amp;" ›*"),'Stock por Ubicación'!$G:$G,"&lt;&gt;0"))</f>
        <v/>
      </c>
      <c r="J42" s="96">
        <f>IF(OR($G42="",$H42="Rack físico"),"",SUMIFS('Stock por Ubicación'!$G:$G,'Stock por Ubicación'!$A:$A,IF($H42="NetSuite",$G42,$G42&amp;" ›*")))</f>
        <v/>
      </c>
      <c r="K42" s="98" t="n"/>
      <c r="L42" s="84" t="n"/>
      <c r="M42" s="84" t="n"/>
      <c r="N42" s="84" t="n"/>
      <c r="O42" s="84" t="n"/>
      <c r="P42" s="84" t="n"/>
      <c r="Q42" s="84" t="n"/>
      <c r="R42" s="84" t="n"/>
      <c r="S42" s="102" t="n"/>
      <c r="T42" s="102" t="n"/>
      <c r="U42" s="102" t="n"/>
      <c r="V42" s="102" t="n"/>
      <c r="W42" s="102" t="n"/>
      <c r="X42" s="102" t="n"/>
      <c r="Y42" s="102" t="n"/>
      <c r="Z42" s="102" t="n"/>
      <c r="AA42" s="104" t="n"/>
      <c r="AB42" s="104" t="n"/>
      <c r="AC42" s="102">
        <f>IFERROR(__xludf.DUMMYFUNCTION("""COMPUTED_VALUE"""),"48 x 30")</f>
        <v/>
      </c>
      <c r="AD42" s="102">
        <f>IFERROR(__xludf.DUMMYFUNCTION("""COMPUTED_VALUE"""),"48W / 30L")</f>
        <v/>
      </c>
    </row>
    <row r="43" ht="16.5" customHeight="1" s="176">
      <c r="A43" s="116" t="inlineStr">
        <is>
          <t>Cartera</t>
        </is>
      </c>
      <c r="B43" s="116" t="inlineStr">
        <is>
          <t>Carteras</t>
        </is>
      </c>
      <c r="C43" s="116" t="inlineStr">
        <is>
          <t>Accesorios</t>
        </is>
      </c>
      <c r="D43" s="107" t="n"/>
      <c r="E43" s="107" t="n"/>
      <c r="F43" s="84" t="n"/>
      <c r="G43" s="96" t="inlineStr">
        <is>
          <t>PUNTO DE VENTA</t>
        </is>
      </c>
      <c r="H43" s="97" t="inlineStr">
        <is>
          <t>NetSuite</t>
        </is>
      </c>
      <c r="I43" s="96">
        <f>IF(OR($G43="",$H43="Rack físico"),"",COUNTIFS('Stock por Ubicación'!$A:$A,IF($H43="NetSuite",$G43,$G43&amp;" ›*"),'Stock por Ubicación'!$G:$G,"&lt;&gt;0"))</f>
        <v/>
      </c>
      <c r="J43" s="96">
        <f>IF(OR($G43="",$H43="Rack físico"),"",SUMIFS('Stock por Ubicación'!$G:$G,'Stock por Ubicación'!$A:$A,IF($H43="NetSuite",$G43,$G43&amp;" ›*")))</f>
        <v/>
      </c>
      <c r="K43" s="98" t="n"/>
      <c r="L43" s="84" t="n"/>
      <c r="M43" s="84" t="n"/>
      <c r="N43" s="84" t="n"/>
      <c r="O43" s="84" t="n"/>
      <c r="P43" s="84" t="n"/>
      <c r="Q43" s="84" t="n"/>
      <c r="R43" s="84" t="n"/>
      <c r="S43" s="102" t="n"/>
      <c r="T43" s="102" t="n"/>
      <c r="U43" s="102" t="n"/>
      <c r="V43" s="102" t="n"/>
      <c r="W43" s="102" t="n"/>
      <c r="X43" s="102" t="n"/>
      <c r="Y43" s="102" t="n"/>
      <c r="Z43" s="102" t="n"/>
      <c r="AA43" s="104" t="n"/>
      <c r="AB43" s="104" t="n"/>
      <c r="AC43" s="102">
        <f>IFERROR(__xludf.DUMMYFUNCTION("""COMPUTED_VALUE"""),"50 x 30")</f>
        <v/>
      </c>
      <c r="AD43" s="102">
        <f>IFERROR(__xludf.DUMMYFUNCTION("""COMPUTED_VALUE"""),"50W / 30L")</f>
        <v/>
      </c>
    </row>
    <row r="44" ht="16.5" customHeight="1" s="176">
      <c r="A44" s="116" t="inlineStr">
        <is>
          <t>Clip para billetes</t>
        </is>
      </c>
      <c r="B44" s="116" t="inlineStr">
        <is>
          <t>Carteras</t>
        </is>
      </c>
      <c r="C44" s="116" t="inlineStr">
        <is>
          <t>Accesorios</t>
        </is>
      </c>
      <c r="D44" s="107" t="n"/>
      <c r="E44" s="107" t="n"/>
      <c r="F44" s="84" t="n"/>
      <c r="G44" s="96" t="inlineStr">
        <is>
          <t>Punto de venta HS</t>
        </is>
      </c>
      <c r="H44" s="97" t="inlineStr">
        <is>
          <t>NetSuite</t>
        </is>
      </c>
      <c r="I44" s="96">
        <f>IF(OR($G44="",$H44="Rack físico"),"",COUNTIFS('Stock por Ubicación'!$A:$A,IF($H44="NetSuite",$G44,$G44&amp;" ›*"),'Stock por Ubicación'!$G:$G,"&lt;&gt;0"))</f>
        <v/>
      </c>
      <c r="J44" s="96">
        <f>IF(OR($G44="",$H44="Rack físico"),"",SUMIFS('Stock por Ubicación'!$G:$G,'Stock por Ubicación'!$A:$A,IF($H44="NetSuite",$G44,$G44&amp;" ›*")))</f>
        <v/>
      </c>
      <c r="K44" s="98" t="n"/>
      <c r="L44" s="84" t="n"/>
      <c r="M44" s="84" t="n"/>
      <c r="N44" s="84" t="n"/>
      <c r="O44" s="84" t="n"/>
      <c r="P44" s="84" t="n"/>
      <c r="Q44" s="84" t="n"/>
      <c r="R44" s="84" t="n"/>
      <c r="S44" s="102" t="n"/>
      <c r="T44" s="102" t="n"/>
      <c r="U44" s="102" t="n"/>
      <c r="V44" s="102" t="n"/>
      <c r="W44" s="102" t="n"/>
      <c r="X44" s="102" t="n"/>
      <c r="Y44" s="102" t="n"/>
      <c r="Z44" s="102" t="n"/>
      <c r="AA44" s="104" t="n"/>
      <c r="AB44" s="104" t="n"/>
      <c r="AC44" s="102">
        <f>IFERROR(__xludf.DUMMYFUNCTION("""COMPUTED_VALUE"""),"28 x 32")</f>
        <v/>
      </c>
      <c r="AD44" s="102">
        <f>IFERROR(__xludf.DUMMYFUNCTION("""COMPUTED_VALUE"""),"28W / 32L")</f>
        <v/>
      </c>
    </row>
    <row r="45" ht="16.5" customHeight="1" s="176">
      <c r="A45" s="116" t="inlineStr">
        <is>
          <t>Cinturón</t>
        </is>
      </c>
      <c r="B45" s="116" t="inlineStr">
        <is>
          <t>Cinturones</t>
        </is>
      </c>
      <c r="C45" s="116" t="inlineStr">
        <is>
          <t>Accesorios</t>
        </is>
      </c>
      <c r="D45" s="107" t="n"/>
      <c r="E45" s="107" t="n"/>
      <c r="F45" s="84" t="n"/>
      <c r="G45" s="96" t="inlineStr">
        <is>
          <t>REFLO ALMACEN</t>
        </is>
      </c>
      <c r="H45" s="97" t="inlineStr">
        <is>
          <t>NetSuite</t>
        </is>
      </c>
      <c r="I45" s="96">
        <f>IF(OR($G45="",$H45="Rack físico"),"",COUNTIFS('Stock por Ubicación'!$A:$A,IF($H45="NetSuite",$G45,$G45&amp;" ›*"),'Stock por Ubicación'!$G:$G,"&lt;&gt;0"))</f>
        <v/>
      </c>
      <c r="J45" s="96">
        <f>IF(OR($G45="",$H45="Rack físico"),"",SUMIFS('Stock por Ubicación'!$G:$G,'Stock por Ubicación'!$A:$A,IF($H45="NetSuite",$G45,$G45&amp;" ›*")))</f>
        <v/>
      </c>
      <c r="K45" s="98" t="n"/>
      <c r="L45" s="84" t="n"/>
      <c r="M45" s="84" t="n"/>
      <c r="N45" s="84" t="n"/>
      <c r="O45" s="84" t="n"/>
      <c r="P45" s="84" t="n"/>
      <c r="Q45" s="84" t="n"/>
      <c r="R45" s="84" t="n"/>
      <c r="S45" s="102" t="n"/>
      <c r="T45" s="102" t="n"/>
      <c r="U45" s="102" t="n"/>
      <c r="V45" s="102" t="n"/>
      <c r="W45" s="102" t="n"/>
      <c r="X45" s="102" t="n"/>
      <c r="Y45" s="102" t="n"/>
      <c r="Z45" s="102" t="n"/>
      <c r="AA45" s="104" t="n"/>
      <c r="AB45" s="104" t="n"/>
      <c r="AC45" s="102">
        <f>IFERROR(__xludf.DUMMYFUNCTION("""COMPUTED_VALUE"""),"29 x 32")</f>
        <v/>
      </c>
      <c r="AD45" s="102">
        <f>IFERROR(__xludf.DUMMYFUNCTION("""COMPUTED_VALUE"""),"29W / 32L")</f>
        <v/>
      </c>
    </row>
    <row r="46" ht="16.5" customHeight="1" s="176">
      <c r="A46" s="116" t="inlineStr">
        <is>
          <t>Cobija</t>
        </is>
      </c>
      <c r="B46" s="116" t="inlineStr">
        <is>
          <t>Cobijas</t>
        </is>
      </c>
      <c r="C46" s="116" t="inlineStr">
        <is>
          <t>Accesorios</t>
        </is>
      </c>
      <c r="D46" s="107" t="n"/>
      <c r="E46" s="107" t="n"/>
      <c r="F46" s="84" t="n"/>
      <c r="G46" s="96" t="inlineStr">
        <is>
          <t>STETSON AMERICAS</t>
        </is>
      </c>
      <c r="H46" s="97" t="inlineStr">
        <is>
          <t>NetSuite</t>
        </is>
      </c>
      <c r="I46" s="96">
        <f>IF(OR($G46="",$H46="Rack físico"),"",COUNTIFS('Stock por Ubicación'!$A:$A,IF($H46="NetSuite",$G46,$G46&amp;" ›*"),'Stock por Ubicación'!$G:$G,"&lt;&gt;0"))</f>
        <v/>
      </c>
      <c r="J46" s="96">
        <f>IF(OR($G46="",$H46="Rack físico"),"",SUMIFS('Stock por Ubicación'!$G:$G,'Stock por Ubicación'!$A:$A,IF($H46="NetSuite",$G46,$G46&amp;" ›*")))</f>
        <v/>
      </c>
      <c r="K46" s="98" t="n"/>
      <c r="L46" s="84" t="n"/>
      <c r="M46" s="84" t="n"/>
      <c r="N46" s="84" t="n"/>
      <c r="O46" s="84" t="n"/>
      <c r="P46" s="84" t="n"/>
      <c r="Q46" s="84" t="n"/>
      <c r="R46" s="84" t="n"/>
      <c r="S46" s="102" t="n"/>
      <c r="T46" s="102" t="n"/>
      <c r="U46" s="102" t="n"/>
      <c r="V46" s="102" t="n"/>
      <c r="W46" s="102" t="n"/>
      <c r="X46" s="102" t="n"/>
      <c r="Y46" s="102" t="n"/>
      <c r="Z46" s="102" t="n"/>
      <c r="AA46" s="104" t="n"/>
      <c r="AB46" s="104" t="n"/>
      <c r="AC46" s="102">
        <f>IFERROR(__xludf.DUMMYFUNCTION("""COMPUTED_VALUE"""),"30 x 32")</f>
        <v/>
      </c>
      <c r="AD46" s="102">
        <f>IFERROR(__xludf.DUMMYFUNCTION("""COMPUTED_VALUE"""),"30W / 32L")</f>
        <v/>
      </c>
    </row>
    <row r="47" ht="16.5" customHeight="1" s="176">
      <c r="A47" s="116" t="inlineStr">
        <is>
          <t>Cuchillo</t>
        </is>
      </c>
      <c r="B47" s="116" t="inlineStr">
        <is>
          <t>Cuchillos</t>
        </is>
      </c>
      <c r="C47" s="116" t="inlineStr">
        <is>
          <t>Accesorios</t>
        </is>
      </c>
      <c r="D47" s="107" t="n"/>
      <c r="E47" s="107" t="n"/>
      <c r="F47" s="84" t="n"/>
      <c r="G47" s="96" t="inlineStr">
        <is>
          <t>The Hat Club</t>
        </is>
      </c>
      <c r="H47" s="97" t="inlineStr">
        <is>
          <t>NetSuite</t>
        </is>
      </c>
      <c r="I47" s="96">
        <f>IF(OR($G47="",$H47="Rack físico"),"",COUNTIFS('Stock por Ubicación'!$A:$A,IF($H47="NetSuite",$G47,$G47&amp;" ›*"),'Stock por Ubicación'!$G:$G,"&lt;&gt;0"))</f>
        <v/>
      </c>
      <c r="J47" s="96">
        <f>IF(OR($G47="",$H47="Rack físico"),"",SUMIFS('Stock por Ubicación'!$G:$G,'Stock por Ubicación'!$A:$A,IF($H47="NetSuite",$G47,$G47&amp;" ›*")))</f>
        <v/>
      </c>
      <c r="K47" s="98" t="n"/>
      <c r="L47" s="84" t="n"/>
      <c r="M47" s="84" t="n"/>
      <c r="N47" s="84" t="n"/>
      <c r="O47" s="84" t="n"/>
      <c r="P47" s="84" t="n"/>
      <c r="Q47" s="84" t="n"/>
      <c r="R47" s="84" t="n"/>
      <c r="S47" s="102" t="n"/>
      <c r="T47" s="102" t="n"/>
      <c r="U47" s="102" t="n"/>
      <c r="V47" s="102" t="n"/>
      <c r="W47" s="102" t="n"/>
      <c r="X47" s="102" t="n"/>
      <c r="Y47" s="102" t="n"/>
      <c r="Z47" s="102" t="n"/>
      <c r="AA47" s="104" t="n"/>
      <c r="AB47" s="104" t="n"/>
      <c r="AC47" s="102">
        <f>IFERROR(__xludf.DUMMYFUNCTION("""COMPUTED_VALUE"""),"31 x 32")</f>
        <v/>
      </c>
      <c r="AD47" s="102">
        <f>IFERROR(__xludf.DUMMYFUNCTION("""COMPUTED_VALUE"""),"31W / 32L")</f>
        <v/>
      </c>
    </row>
    <row r="48" ht="16.5" customHeight="1" s="176">
      <c r="A48" s="116" t="inlineStr">
        <is>
          <t>Equipaje</t>
        </is>
      </c>
      <c r="B48" s="116" t="inlineStr">
        <is>
          <t>Equipaje</t>
        </is>
      </c>
      <c r="C48" s="116" t="inlineStr">
        <is>
          <t>Accesorios</t>
        </is>
      </c>
      <c r="D48" s="107" t="n"/>
      <c r="E48" s="107" t="n"/>
      <c r="F48" s="84" t="n"/>
      <c r="G48" s="96" t="inlineStr">
        <is>
          <t>VENTAS CAMPAÑA</t>
        </is>
      </c>
      <c r="H48" s="97" t="inlineStr">
        <is>
          <t>NetSuite</t>
        </is>
      </c>
      <c r="I48" s="96">
        <f>IF(OR($G48="",$H48="Rack físico"),"",COUNTIFS('Stock por Ubicación'!$A:$A,IF($H48="NetSuite",$G48,$G48&amp;" ›*"),'Stock por Ubicación'!$G:$G,"&lt;&gt;0"))</f>
        <v/>
      </c>
      <c r="J48" s="96">
        <f>IF(OR($G48="",$H48="Rack físico"),"",SUMIFS('Stock por Ubicación'!$G:$G,'Stock por Ubicación'!$A:$A,IF($H48="NetSuite",$G48,$G48&amp;" ›*")))</f>
        <v/>
      </c>
      <c r="K48" s="98" t="n"/>
      <c r="L48" s="84" t="n"/>
      <c r="M48" s="84" t="n"/>
      <c r="N48" s="84" t="n"/>
      <c r="O48" s="84" t="n"/>
      <c r="P48" s="84" t="n"/>
      <c r="Q48" s="84" t="n"/>
      <c r="R48" s="84" t="n"/>
      <c r="S48" s="102" t="n"/>
      <c r="T48" s="102" t="n"/>
      <c r="U48" s="102" t="n"/>
      <c r="V48" s="102" t="n"/>
      <c r="W48" s="102" t="n"/>
      <c r="X48" s="102" t="n"/>
      <c r="Y48" s="102" t="n"/>
      <c r="Z48" s="102" t="n"/>
      <c r="AA48" s="104" t="n"/>
      <c r="AB48" s="104" t="n"/>
      <c r="AC48" s="102">
        <f>IFERROR(__xludf.DUMMYFUNCTION("""COMPUTED_VALUE"""),"32 x 32")</f>
        <v/>
      </c>
      <c r="AD48" s="102">
        <f>IFERROR(__xludf.DUMMYFUNCTION("""COMPUTED_VALUE"""),"32W / 32L")</f>
        <v/>
      </c>
    </row>
    <row r="49" ht="16.5" customHeight="1" s="176">
      <c r="A49" s="116" t="inlineStr">
        <is>
          <t>Estuche</t>
        </is>
      </c>
      <c r="B49" s="116" t="inlineStr">
        <is>
          <t>Estuches</t>
        </is>
      </c>
      <c r="C49" s="116" t="inlineStr">
        <is>
          <t>Accesorios</t>
        </is>
      </c>
      <c r="D49" s="107" t="n"/>
      <c r="E49" s="107" t="n"/>
      <c r="F49" s="84" t="n"/>
      <c r="G49" s="96" t="inlineStr">
        <is>
          <t>WB FORUM TLAQUEPAQUE</t>
        </is>
      </c>
      <c r="H49" s="97" t="inlineStr">
        <is>
          <t>NetSuite</t>
        </is>
      </c>
      <c r="I49" s="96">
        <f>IF(OR($G49="",$H49="Rack físico"),"",COUNTIFS('Stock por Ubicación'!$A:$A,IF($H49="NetSuite",$G49,$G49&amp;" ›*"),'Stock por Ubicación'!$G:$G,"&lt;&gt;0"))</f>
        <v/>
      </c>
      <c r="J49" s="96">
        <f>IF(OR($G49="",$H49="Rack físico"),"",SUMIFS('Stock por Ubicación'!$G:$G,'Stock por Ubicación'!$A:$A,IF($H49="NetSuite",$G49,$G49&amp;" ›*")))</f>
        <v/>
      </c>
      <c r="K49" s="98" t="n"/>
      <c r="L49" s="84" t="n"/>
      <c r="M49" s="84" t="n"/>
      <c r="N49" s="84" t="n"/>
      <c r="O49" s="84" t="n"/>
      <c r="P49" s="84" t="n"/>
      <c r="Q49" s="84" t="n"/>
      <c r="R49" s="84" t="n"/>
      <c r="S49" s="102" t="n"/>
      <c r="T49" s="102" t="n"/>
      <c r="U49" s="102" t="n"/>
      <c r="V49" s="102" t="n"/>
      <c r="W49" s="102" t="n"/>
      <c r="X49" s="102" t="n"/>
      <c r="Y49" s="102" t="n"/>
      <c r="Z49" s="102" t="n"/>
      <c r="AA49" s="104" t="n"/>
      <c r="AB49" s="104" t="n"/>
      <c r="AC49" s="102">
        <f>IFERROR(__xludf.DUMMYFUNCTION("""COMPUTED_VALUE"""),"33 x 32")</f>
        <v/>
      </c>
      <c r="AD49" s="102">
        <f>IFERROR(__xludf.DUMMYFUNCTION("""COMPUTED_VALUE"""),"33W / 32L")</f>
        <v/>
      </c>
    </row>
    <row r="50" ht="16.5" customHeight="1" s="176">
      <c r="A50" s="116" t="inlineStr">
        <is>
          <t>Fragancia</t>
        </is>
      </c>
      <c r="B50" s="116" t="inlineStr">
        <is>
          <t>Fragancias</t>
        </is>
      </c>
      <c r="C50" s="116" t="inlineStr">
        <is>
          <t>Accesorios</t>
        </is>
      </c>
      <c r="D50" s="107" t="n"/>
      <c r="E50" s="107" t="n"/>
      <c r="F50" s="84" t="n"/>
      <c r="G50" s="96" t="inlineStr">
        <is>
          <t>WB OUTLET LERMA</t>
        </is>
      </c>
      <c r="H50" s="97" t="inlineStr">
        <is>
          <t>NetSuite</t>
        </is>
      </c>
      <c r="I50" s="96">
        <f>IF(OR($G50="",$H50="Rack físico"),"",COUNTIFS('Stock por Ubicación'!$A:$A,IF($H50="NetSuite",$G50,$G50&amp;" ›*"),'Stock por Ubicación'!$G:$G,"&lt;&gt;0"))</f>
        <v/>
      </c>
      <c r="J50" s="96">
        <f>IF(OR($G50="",$H50="Rack físico"),"",SUMIFS('Stock por Ubicación'!$G:$G,'Stock por Ubicación'!$A:$A,IF($H50="NetSuite",$G50,$G50&amp;" ›*")))</f>
        <v/>
      </c>
      <c r="K50" s="98" t="n"/>
      <c r="L50" s="84" t="n"/>
      <c r="M50" s="84" t="n"/>
      <c r="N50" s="84" t="n"/>
      <c r="O50" s="84" t="n"/>
      <c r="P50" s="84" t="n"/>
      <c r="Q50" s="84" t="n"/>
      <c r="R50" s="84" t="n"/>
      <c r="S50" s="102" t="n"/>
      <c r="T50" s="102" t="n"/>
      <c r="U50" s="102" t="n"/>
      <c r="V50" s="102" t="n"/>
      <c r="W50" s="102" t="n"/>
      <c r="X50" s="102" t="n"/>
      <c r="Y50" s="102" t="n"/>
      <c r="Z50" s="102" t="n"/>
      <c r="AA50" s="104" t="n"/>
      <c r="AB50" s="104" t="n"/>
      <c r="AC50" s="102">
        <f>IFERROR(__xludf.DUMMYFUNCTION("""COMPUTED_VALUE"""),"34 x 32")</f>
        <v/>
      </c>
      <c r="AD50" s="102">
        <f>IFERROR(__xludf.DUMMYFUNCTION("""COMPUTED_VALUE"""),"34W / 32L")</f>
        <v/>
      </c>
    </row>
    <row r="51" ht="16.5" customHeight="1" s="176">
      <c r="A51" s="116" t="inlineStr">
        <is>
          <t>Hebilla</t>
        </is>
      </c>
      <c r="B51" s="116" t="inlineStr">
        <is>
          <t>Hebillas</t>
        </is>
      </c>
      <c r="C51" s="116" t="inlineStr">
        <is>
          <t>Accesorios</t>
        </is>
      </c>
      <c r="D51" s="107" t="n"/>
      <c r="E51" s="107" t="n"/>
      <c r="F51" s="84" t="n"/>
      <c r="G51" s="96" t="inlineStr">
        <is>
          <t>Web</t>
        </is>
      </c>
      <c r="H51" s="97" t="inlineStr">
        <is>
          <t>NetSuite</t>
        </is>
      </c>
      <c r="I51" s="96">
        <f>IF(OR($G51="",$H51="Rack físico"),"",COUNTIFS('Stock por Ubicación'!$A:$A,IF($H51="NetSuite",$G51,$G51&amp;" ›*"),'Stock por Ubicación'!$G:$G,"&lt;&gt;0"))</f>
        <v/>
      </c>
      <c r="J51" s="96">
        <f>IF(OR($G51="",$H51="Rack físico"),"",SUMIFS('Stock por Ubicación'!$G:$G,'Stock por Ubicación'!$A:$A,IF($H51="NetSuite",$G51,$G51&amp;" ›*")))</f>
        <v/>
      </c>
      <c r="K51" s="98" t="n"/>
      <c r="L51" s="84" t="n"/>
      <c r="M51" s="84" t="n"/>
      <c r="N51" s="84" t="n"/>
      <c r="O51" s="84" t="n"/>
      <c r="P51" s="84" t="n"/>
      <c r="Q51" s="84" t="n"/>
      <c r="R51" s="84" t="n"/>
      <c r="S51" s="102" t="n"/>
      <c r="T51" s="102" t="n"/>
      <c r="U51" s="102" t="n"/>
      <c r="V51" s="102" t="n"/>
      <c r="W51" s="102" t="n"/>
      <c r="X51" s="102" t="n"/>
      <c r="Y51" s="102" t="n"/>
      <c r="Z51" s="102" t="n"/>
      <c r="AA51" s="104" t="n"/>
      <c r="AB51" s="104" t="n"/>
      <c r="AC51" s="102">
        <f>IFERROR(__xludf.DUMMYFUNCTION("""COMPUTED_VALUE"""),"35 x 32")</f>
        <v/>
      </c>
      <c r="AD51" s="102">
        <f>IFERROR(__xludf.DUMMYFUNCTION("""COMPUTED_VALUE"""),"35W / 32L")</f>
        <v/>
      </c>
    </row>
    <row r="52" ht="16.5" customHeight="1" s="176">
      <c r="A52" s="116" t="inlineStr">
        <is>
          <t>Joyería</t>
        </is>
      </c>
      <c r="B52" s="116" t="inlineStr">
        <is>
          <t>Joyeria</t>
        </is>
      </c>
      <c r="C52" s="116" t="inlineStr">
        <is>
          <t>Accesorios</t>
        </is>
      </c>
      <c r="D52" s="107" t="n"/>
      <c r="E52" s="107" t="n"/>
      <c r="F52" s="84" t="n"/>
      <c r="G52" s="96" t="inlineStr">
        <is>
          <t>WEB</t>
        </is>
      </c>
      <c r="H52" s="97" t="inlineStr">
        <is>
          <t>NetSuite</t>
        </is>
      </c>
      <c r="I52" s="96">
        <f>IF(OR($G52="",$H52="Rack físico"),"",COUNTIFS('Stock por Ubicación'!$A:$A,IF($H52="NetSuite",$G52,$G52&amp;" ›*"),'Stock por Ubicación'!$G:$G,"&lt;&gt;0"))</f>
        <v/>
      </c>
      <c r="J52" s="96">
        <f>IF(OR($G52="",$H52="Rack físico"),"",SUMIFS('Stock por Ubicación'!$G:$G,'Stock por Ubicación'!$A:$A,IF($H52="NetSuite",$G52,$G52&amp;" ›*")))</f>
        <v/>
      </c>
      <c r="K52" s="98" t="n"/>
      <c r="L52" s="84" t="n"/>
      <c r="M52" s="84" t="n"/>
      <c r="N52" s="84" t="n"/>
      <c r="O52" s="84" t="n"/>
      <c r="P52" s="84" t="n"/>
      <c r="Q52" s="84" t="n"/>
      <c r="R52" s="84" t="n"/>
      <c r="S52" s="102" t="n"/>
      <c r="T52" s="102" t="n"/>
      <c r="U52" s="102" t="n"/>
      <c r="V52" s="102" t="n"/>
      <c r="W52" s="102" t="n"/>
      <c r="X52" s="102" t="n"/>
      <c r="Y52" s="102" t="n"/>
      <c r="Z52" s="102" t="n"/>
      <c r="AA52" s="104" t="n"/>
      <c r="AB52" s="104" t="n"/>
      <c r="AC52" s="102">
        <f>IFERROR(__xludf.DUMMYFUNCTION("""COMPUTED_VALUE"""),"36 x 32")</f>
        <v/>
      </c>
      <c r="AD52" s="102">
        <f>IFERROR(__xludf.DUMMYFUNCTION("""COMPUTED_VALUE"""),"36W / 32L")</f>
        <v/>
      </c>
    </row>
    <row r="53" ht="16.5" customHeight="1" s="176">
      <c r="A53" s="116" t="inlineStr">
        <is>
          <t>Llavero</t>
        </is>
      </c>
      <c r="B53" s="116" t="inlineStr">
        <is>
          <t>Llaveros</t>
        </is>
      </c>
      <c r="C53" s="116" t="inlineStr">
        <is>
          <t>Accesorios</t>
        </is>
      </c>
      <c r="D53" s="107" t="n"/>
      <c r="E53" s="107" t="n"/>
      <c r="F53" s="84" t="n"/>
      <c r="G53" s="96" t="inlineStr">
        <is>
          <t>ZONA NORTE</t>
        </is>
      </c>
      <c r="H53" s="97" t="inlineStr">
        <is>
          <t>NetSuite</t>
        </is>
      </c>
      <c r="I53" s="96">
        <f>IF(OR($G53="",$H53="Rack físico"),"",COUNTIFS('Stock por Ubicación'!$A:$A,IF($H53="NetSuite",$G53,$G53&amp;" ›*"),'Stock por Ubicación'!$G:$G,"&lt;&gt;0"))</f>
        <v/>
      </c>
      <c r="J53" s="96">
        <f>IF(OR($G53="",$H53="Rack físico"),"",SUMIFS('Stock por Ubicación'!$G:$G,'Stock por Ubicación'!$A:$A,IF($H53="NetSuite",$G53,$G53&amp;" ›*")))</f>
        <v/>
      </c>
      <c r="K53" s="98" t="n"/>
      <c r="L53" s="84" t="n"/>
      <c r="M53" s="84" t="n"/>
      <c r="N53" s="84" t="n"/>
      <c r="O53" s="84" t="n"/>
      <c r="P53" s="84" t="n"/>
      <c r="Q53" s="84" t="n"/>
      <c r="R53" s="84" t="n"/>
      <c r="S53" s="102" t="n"/>
      <c r="T53" s="102" t="n"/>
      <c r="U53" s="102" t="n"/>
      <c r="V53" s="102" t="n"/>
      <c r="W53" s="102" t="n"/>
      <c r="X53" s="102" t="n"/>
      <c r="Y53" s="102" t="n"/>
      <c r="Z53" s="102" t="n"/>
      <c r="AA53" s="104" t="n"/>
      <c r="AB53" s="104" t="n"/>
      <c r="AC53" s="102">
        <f>IFERROR(__xludf.DUMMYFUNCTION("""COMPUTED_VALUE"""),"38 x 32")</f>
        <v/>
      </c>
      <c r="AD53" s="102">
        <f>IFERROR(__xludf.DUMMYFUNCTION("""COMPUTED_VALUE"""),"38W / 32L")</f>
        <v/>
      </c>
    </row>
    <row r="54" ht="16.5" customHeight="1" s="176">
      <c r="A54" s="116" t="inlineStr">
        <is>
          <t>Libro</t>
        </is>
      </c>
      <c r="B54" s="116" t="inlineStr">
        <is>
          <t>Libros</t>
        </is>
      </c>
      <c r="C54" s="116" t="inlineStr">
        <is>
          <t>Accesorios</t>
        </is>
      </c>
      <c r="D54" s="107" t="n"/>
      <c r="E54" s="107" t="n"/>
      <c r="F54" s="84" t="n"/>
      <c r="G54" s="96" t="inlineStr">
        <is>
          <t>ZONA POS</t>
        </is>
      </c>
      <c r="H54" s="97" t="inlineStr">
        <is>
          <t>NetSuite</t>
        </is>
      </c>
      <c r="I54" s="96">
        <f>IF(OR($G54="",$H54="Rack físico"),"",COUNTIFS('Stock por Ubicación'!$A:$A,IF($H54="NetSuite",$G54,$G54&amp;" ›*"),'Stock por Ubicación'!$G:$G,"&lt;&gt;0"))</f>
        <v/>
      </c>
      <c r="J54" s="96">
        <f>IF(OR($G54="",$H54="Rack físico"),"",SUMIFS('Stock por Ubicación'!$G:$G,'Stock por Ubicación'!$A:$A,IF($H54="NetSuite",$G54,$G54&amp;" ›*")))</f>
        <v/>
      </c>
      <c r="K54" s="98" t="n"/>
      <c r="L54" s="84" t="n"/>
      <c r="M54" s="84" t="n"/>
      <c r="N54" s="84" t="n"/>
      <c r="O54" s="84" t="n"/>
      <c r="P54" s="84" t="n"/>
      <c r="Q54" s="84" t="n"/>
      <c r="R54" s="84" t="n"/>
      <c r="S54" s="102" t="n"/>
      <c r="T54" s="102" t="n"/>
      <c r="U54" s="102" t="n"/>
      <c r="V54" s="102" t="n"/>
      <c r="W54" s="102" t="n"/>
      <c r="X54" s="102" t="n"/>
      <c r="Y54" s="102" t="n"/>
      <c r="Z54" s="102" t="n"/>
      <c r="AA54" s="104" t="n"/>
      <c r="AB54" s="104" t="n"/>
      <c r="AC54" s="102">
        <f>IFERROR(__xludf.DUMMYFUNCTION("""COMPUTED_VALUE"""),"40 x 32")</f>
        <v/>
      </c>
      <c r="AD54" s="102">
        <f>IFERROR(__xludf.DUMMYFUNCTION("""COMPUTED_VALUE"""),"40W / 32L")</f>
        <v/>
      </c>
    </row>
    <row r="55" ht="16.5" customHeight="1" s="176">
      <c r="A55" s="116" t="inlineStr">
        <is>
          <t>Mochila</t>
        </is>
      </c>
      <c r="B55" s="116" t="inlineStr">
        <is>
          <t>Mochilas</t>
        </is>
      </c>
      <c r="C55" s="116" t="inlineStr">
        <is>
          <t>Accesorios</t>
        </is>
      </c>
      <c r="D55" s="107" t="n"/>
      <c r="E55" s="107" t="n"/>
      <c r="F55" s="84" t="n"/>
      <c r="G55" s="96" t="inlineStr">
        <is>
          <t>ZONA SUR</t>
        </is>
      </c>
      <c r="H55" s="97" t="inlineStr">
        <is>
          <t>NetSuite</t>
        </is>
      </c>
      <c r="I55" s="96">
        <f>IF(OR($G55="",$H55="Rack físico"),"",COUNTIFS('Stock por Ubicación'!$A:$A,IF($H55="NetSuite",$G55,$G55&amp;" ›*"),'Stock por Ubicación'!$G:$G,"&lt;&gt;0"))</f>
        <v/>
      </c>
      <c r="J55" s="96">
        <f>IF(OR($G55="",$H55="Rack físico"),"",SUMIFS('Stock por Ubicación'!$G:$G,'Stock por Ubicación'!$A:$A,IF($H55="NetSuite",$G55,$G55&amp;" ›*")))</f>
        <v/>
      </c>
      <c r="K55" s="98" t="n"/>
      <c r="L55" s="84" t="n"/>
      <c r="M55" s="84" t="n"/>
      <c r="N55" s="84" t="n"/>
      <c r="O55" s="84" t="n"/>
      <c r="P55" s="84" t="n"/>
      <c r="Q55" s="84" t="n"/>
      <c r="R55" s="84" t="n"/>
      <c r="S55" s="102" t="n"/>
      <c r="T55" s="102" t="n"/>
      <c r="U55" s="102" t="n"/>
      <c r="V55" s="102" t="n"/>
      <c r="W55" s="102" t="n"/>
      <c r="X55" s="102" t="n"/>
      <c r="Y55" s="102" t="n"/>
      <c r="Z55" s="102" t="n"/>
      <c r="AA55" s="104" t="n"/>
      <c r="AB55" s="104" t="n"/>
      <c r="AC55" s="102">
        <f>IFERROR(__xludf.DUMMYFUNCTION("""COMPUTED_VALUE"""),"42 x 32")</f>
        <v/>
      </c>
      <c r="AD55" s="102">
        <f>IFERROR(__xludf.DUMMYFUNCTION("""COMPUTED_VALUE"""),"42W / 32L")</f>
        <v/>
      </c>
    </row>
    <row r="56" ht="16.5" customHeight="1" s="176">
      <c r="A56" s="116" t="inlineStr">
        <is>
          <t>Mascota</t>
        </is>
      </c>
      <c r="B56" s="116" t="inlineStr">
        <is>
          <t>Mascotas</t>
        </is>
      </c>
      <c r="C56" s="116" t="inlineStr">
        <is>
          <t>Accesorios</t>
        </is>
      </c>
      <c r="D56" s="107" t="n"/>
      <c r="E56" s="107" t="n"/>
      <c r="F56" s="84" t="n"/>
      <c r="G56" s="96" t="inlineStr">
        <is>
          <t>Shopify Stetson México</t>
        </is>
      </c>
      <c r="H56" s="97" t="inlineStr">
        <is>
          <t>Shopify</t>
        </is>
      </c>
      <c r="I56" s="96">
        <f>IF(OR($G56="",$H56="Rack físico"),"",COUNTIFS('Stock por Ubicación'!$A:$A,IF($H56="NetSuite",$G56,$G56&amp;" ›*"),'Stock por Ubicación'!$G:$G,"&lt;&gt;0"))</f>
        <v/>
      </c>
      <c r="J56" s="96">
        <f>IF(OR($G56="",$H56="Rack físico"),"",SUMIFS('Stock por Ubicación'!$G:$G,'Stock por Ubicación'!$A:$A,IF($H56="NetSuite",$G56,$G56&amp;" ›*")))</f>
        <v/>
      </c>
      <c r="K56" s="98" t="n"/>
      <c r="L56" s="84" t="n"/>
      <c r="M56" s="84" t="n"/>
      <c r="N56" s="84" t="n"/>
      <c r="O56" s="84" t="n"/>
      <c r="P56" s="84" t="n"/>
      <c r="Q56" s="84" t="n"/>
      <c r="R56" s="84" t="n"/>
      <c r="S56" s="102" t="n"/>
      <c r="T56" s="102" t="n"/>
      <c r="U56" s="102" t="n"/>
      <c r="V56" s="102" t="n"/>
      <c r="W56" s="102" t="n"/>
      <c r="X56" s="102" t="n"/>
      <c r="Y56" s="102" t="n"/>
      <c r="Z56" s="102" t="n"/>
      <c r="AA56" s="104" t="n"/>
      <c r="AB56" s="104" t="n"/>
      <c r="AC56" s="102">
        <f>IFERROR(__xludf.DUMMYFUNCTION("""COMPUTED_VALUE"""),"44 x 32")</f>
        <v/>
      </c>
      <c r="AD56" s="102">
        <f>IFERROR(__xludf.DUMMYFUNCTION("""COMPUTED_VALUE"""),"44W / 32L")</f>
        <v/>
      </c>
    </row>
    <row r="57" ht="16.5" customHeight="1" s="176">
      <c r="A57" s="116" t="inlineStr">
        <is>
          <t>Jean</t>
        </is>
      </c>
      <c r="B57" s="116" t="inlineStr">
        <is>
          <t>Jeans</t>
        </is>
      </c>
      <c r="C57" s="116" t="inlineStr">
        <is>
          <t>Denim</t>
        </is>
      </c>
      <c r="D57" s="107" t="n"/>
      <c r="E57" s="107" t="n"/>
      <c r="F57" s="84" t="n"/>
      <c r="G57" s="96" t="inlineStr">
        <is>
          <t>Shopify Western Brothers</t>
        </is>
      </c>
      <c r="H57" s="97" t="inlineStr">
        <is>
          <t>Shopify</t>
        </is>
      </c>
      <c r="I57" s="96">
        <f>IF(OR($G57="",$H57="Rack físico"),"",COUNTIFS('Stock por Ubicación'!$A:$A,IF($H57="NetSuite",$G57,$G57&amp;" ›*"),'Stock por Ubicación'!$G:$G,"&lt;&gt;0"))</f>
        <v/>
      </c>
      <c r="J57" s="96">
        <f>IF(OR($G57="",$H57="Rack físico"),"",SUMIFS('Stock por Ubicación'!$G:$G,'Stock por Ubicación'!$A:$A,IF($H57="NetSuite",$G57,$G57&amp;" ›*")))</f>
        <v/>
      </c>
      <c r="K57" s="98" t="n"/>
      <c r="L57" s="84" t="n"/>
      <c r="M57" s="84" t="n"/>
      <c r="N57" s="84" t="n"/>
      <c r="O57" s="84" t="n"/>
      <c r="P57" s="84" t="n"/>
      <c r="Q57" s="84" t="n"/>
      <c r="R57" s="84" t="n"/>
      <c r="S57" s="102" t="n"/>
      <c r="T57" s="102" t="n"/>
      <c r="U57" s="102" t="n"/>
      <c r="V57" s="102" t="n"/>
      <c r="W57" s="102" t="n"/>
      <c r="X57" s="102" t="n"/>
      <c r="Y57" s="102" t="n"/>
      <c r="Z57" s="102" t="n"/>
      <c r="AA57" s="104" t="n"/>
      <c r="AB57" s="104" t="n"/>
      <c r="AC57" s="102">
        <f>IFERROR(__xludf.DUMMYFUNCTION("""COMPUTED_VALUE"""),"46 x 32")</f>
        <v/>
      </c>
      <c r="AD57" s="102">
        <f>IFERROR(__xludf.DUMMYFUNCTION("""COMPUTED_VALUE"""),"46W / 32L")</f>
        <v/>
      </c>
    </row>
    <row r="58" ht="16.5" customHeight="1" s="176">
      <c r="A58" s="116" t="inlineStr">
        <is>
          <t>Bota</t>
        </is>
      </c>
      <c r="B58" s="116" t="inlineStr">
        <is>
          <t>Botas</t>
        </is>
      </c>
      <c r="C58" s="116" t="inlineStr">
        <is>
          <t>Calzado</t>
        </is>
      </c>
      <c r="D58" s="107" t="n"/>
      <c r="E58" s="107" t="n"/>
      <c r="F58" s="84" t="n"/>
      <c r="G58" s="96" t="inlineStr">
        <is>
          <t>Odoo Universal Unique Brands</t>
        </is>
      </c>
      <c r="H58" s="97" t="inlineStr">
        <is>
          <t>Odoo</t>
        </is>
      </c>
      <c r="I58" s="96">
        <f>IF(OR($G58="",$H58="Rack físico"),"",COUNTIFS('Stock por Ubicación'!$A:$A,IF($H58="NetSuite",$G58,$G58&amp;" ›*"),'Stock por Ubicación'!$G:$G,"&lt;&gt;0"))</f>
        <v/>
      </c>
      <c r="J58" s="96">
        <f>IF(OR($G58="",$H58="Rack físico"),"",SUMIFS('Stock por Ubicación'!$G:$G,'Stock por Ubicación'!$A:$A,IF($H58="NetSuite",$G58,$G58&amp;" ›*")))</f>
        <v/>
      </c>
      <c r="K58" s="98" t="n"/>
      <c r="L58" s="84" t="n"/>
      <c r="M58" s="84" t="n"/>
      <c r="N58" s="84" t="n"/>
      <c r="O58" s="84" t="n"/>
      <c r="P58" s="84" t="n"/>
      <c r="Q58" s="84" t="n"/>
      <c r="R58" s="84" t="n"/>
      <c r="S58" s="102" t="n"/>
      <c r="T58" s="102" t="n"/>
      <c r="U58" s="102" t="n"/>
      <c r="V58" s="102" t="n"/>
      <c r="W58" s="102" t="n"/>
      <c r="X58" s="102" t="n"/>
      <c r="Y58" s="102" t="n"/>
      <c r="Z58" s="102" t="n"/>
      <c r="AA58" s="104" t="n"/>
      <c r="AB58" s="104" t="n"/>
      <c r="AC58" s="102">
        <f>IFERROR(__xludf.DUMMYFUNCTION("""COMPUTED_VALUE"""),"48 x 32")</f>
        <v/>
      </c>
      <c r="AD58" s="102">
        <f>IFERROR(__xludf.DUMMYFUNCTION("""COMPUTED_VALUE"""),"48W / 32L")</f>
        <v/>
      </c>
    </row>
    <row r="59" ht="16.5" customHeight="1" s="176">
      <c r="A59" s="116" t="inlineStr">
        <is>
          <t>Zapato</t>
        </is>
      </c>
      <c r="B59" s="116" t="inlineStr">
        <is>
          <t>Zapatos</t>
        </is>
      </c>
      <c r="C59" s="116" t="inlineStr">
        <is>
          <t>Calzado</t>
        </is>
      </c>
      <c r="D59" s="107" t="n"/>
      <c r="E59" s="107" t="n"/>
      <c r="F59" s="84" t="n"/>
      <c r="G59" s="96" t="inlineStr">
        <is>
          <t>J1-L1-02</t>
        </is>
      </c>
      <c r="H59" s="97" t="inlineStr">
        <is>
          <t>Rack físico</t>
        </is>
      </c>
      <c r="I59" s="96" t="n"/>
      <c r="J59" s="96" t="n"/>
      <c r="K59" s="98" t="inlineStr">
        <is>
          <t>Bodega 25</t>
        </is>
      </c>
      <c r="L59" s="84" t="n"/>
      <c r="M59" s="84" t="n"/>
      <c r="N59" s="84" t="n"/>
      <c r="O59" s="84" t="n"/>
      <c r="P59" s="84" t="n"/>
      <c r="Q59" s="84" t="n"/>
      <c r="R59" s="84" t="n"/>
      <c r="S59" s="102" t="n"/>
      <c r="T59" s="102" t="n"/>
      <c r="U59" s="102" t="n"/>
      <c r="V59" s="102" t="n"/>
      <c r="W59" s="102" t="n"/>
      <c r="X59" s="102" t="n"/>
      <c r="Y59" s="102" t="n"/>
      <c r="Z59" s="102" t="n"/>
      <c r="AA59" s="104" t="n"/>
      <c r="AB59" s="104" t="n"/>
      <c r="AC59" s="102">
        <f>IFERROR(__xludf.DUMMYFUNCTION("""COMPUTED_VALUE"""),"50 x 32")</f>
        <v/>
      </c>
      <c r="AD59" s="102">
        <f>IFERROR(__xludf.DUMMYFUNCTION("""COMPUTED_VALUE"""),"50W / 32L")</f>
        <v/>
      </c>
    </row>
    <row r="60" ht="16.5" customHeight="1" s="176">
      <c r="A60" s="116" t="inlineStr">
        <is>
          <t>Tenis</t>
        </is>
      </c>
      <c r="B60" s="116" t="inlineStr">
        <is>
          <t>Tenis</t>
        </is>
      </c>
      <c r="C60" s="116" t="inlineStr">
        <is>
          <t>Calzado</t>
        </is>
      </c>
      <c r="D60" s="107" t="n"/>
      <c r="E60" s="107" t="n"/>
      <c r="F60" s="84" t="n"/>
      <c r="G60" s="96" t="inlineStr">
        <is>
          <t>I1-L1-01</t>
        </is>
      </c>
      <c r="H60" s="97" t="inlineStr">
        <is>
          <t>Rack físico</t>
        </is>
      </c>
      <c r="I60" s="96" t="n"/>
      <c r="J60" s="96" t="n"/>
      <c r="K60" s="98" t="inlineStr">
        <is>
          <t>Bodega 25</t>
        </is>
      </c>
      <c r="L60" s="84" t="n"/>
      <c r="M60" s="84" t="n"/>
      <c r="N60" s="84" t="n"/>
      <c r="O60" s="84" t="n"/>
      <c r="P60" s="84" t="n"/>
      <c r="Q60" s="84" t="n"/>
      <c r="R60" s="84" t="n"/>
      <c r="S60" s="102" t="n"/>
      <c r="T60" s="102" t="n"/>
      <c r="U60" s="102" t="n"/>
      <c r="V60" s="102" t="n"/>
      <c r="W60" s="102" t="n"/>
      <c r="X60" s="102" t="n"/>
      <c r="Y60" s="102" t="n"/>
      <c r="Z60" s="102" t="n"/>
      <c r="AA60" s="104" t="n"/>
      <c r="AB60" s="104" t="n"/>
      <c r="AC60" s="102">
        <f>IFERROR(__xludf.DUMMYFUNCTION("""COMPUTED_VALUE"""),"28 x 34")</f>
        <v/>
      </c>
      <c r="AD60" s="102">
        <f>IFERROR(__xludf.DUMMYFUNCTION("""COMPUTED_VALUE"""),"28W / 34L")</f>
        <v/>
      </c>
    </row>
    <row r="61" ht="16.5" customHeight="1" s="176">
      <c r="A61" s="116" t="inlineStr">
        <is>
          <t>Pantufla</t>
        </is>
      </c>
      <c r="B61" s="116" t="inlineStr">
        <is>
          <t>Pantuflas</t>
        </is>
      </c>
      <c r="C61" s="116" t="inlineStr">
        <is>
          <t>Calzado</t>
        </is>
      </c>
      <c r="D61" s="107" t="n"/>
      <c r="E61" s="107" t="n"/>
      <c r="F61" s="84" t="n"/>
      <c r="G61" s="96" t="inlineStr">
        <is>
          <t>I1-L1-02</t>
        </is>
      </c>
      <c r="H61" s="97" t="inlineStr">
        <is>
          <t>Rack físico</t>
        </is>
      </c>
      <c r="I61" s="96" t="n"/>
      <c r="J61" s="96" t="n"/>
      <c r="K61" s="98" t="inlineStr">
        <is>
          <t>Bodega 25</t>
        </is>
      </c>
      <c r="L61" s="84" t="n"/>
      <c r="M61" s="84" t="n"/>
      <c r="N61" s="84" t="n"/>
      <c r="O61" s="84" t="n"/>
      <c r="P61" s="84" t="n"/>
      <c r="Q61" s="84" t="n"/>
      <c r="R61" s="84" t="n"/>
      <c r="S61" s="102" t="n"/>
      <c r="T61" s="102" t="n"/>
      <c r="U61" s="102" t="n"/>
      <c r="V61" s="102" t="n"/>
      <c r="W61" s="102" t="n"/>
      <c r="X61" s="102" t="n"/>
      <c r="Y61" s="102" t="n"/>
      <c r="Z61" s="102" t="n"/>
      <c r="AA61" s="102" t="n"/>
      <c r="AB61" s="102" t="n"/>
      <c r="AC61" s="102">
        <f>IFERROR(__xludf.DUMMYFUNCTION("""COMPUTED_VALUE"""),"29 x 34")</f>
        <v/>
      </c>
      <c r="AD61" s="102">
        <f>IFERROR(__xludf.DUMMYFUNCTION("""COMPUTED_VALUE"""),"29W / 34L")</f>
        <v/>
      </c>
    </row>
    <row r="62" ht="16.5" customHeight="1" s="176">
      <c r="A62" s="116" t="inlineStr">
        <is>
          <t>Calcet</t>
        </is>
      </c>
      <c r="B62" s="116" t="inlineStr">
        <is>
          <t>Calcetines</t>
        </is>
      </c>
      <c r="C62" s="116" t="inlineStr">
        <is>
          <t>Ropa</t>
        </is>
      </c>
      <c r="D62" s="107" t="n"/>
      <c r="E62" s="107" t="n"/>
      <c r="F62" s="84" t="n"/>
      <c r="G62" s="96" t="inlineStr">
        <is>
          <t>I1-L2-01</t>
        </is>
      </c>
      <c r="H62" s="97" t="inlineStr">
        <is>
          <t>Rack físico</t>
        </is>
      </c>
      <c r="I62" s="96" t="n"/>
      <c r="J62" s="96" t="n"/>
      <c r="K62" s="98" t="inlineStr">
        <is>
          <t>Bodega 25</t>
        </is>
      </c>
      <c r="L62" s="84" t="n"/>
      <c r="M62" s="84" t="n"/>
      <c r="N62" s="84" t="n"/>
      <c r="O62" s="84" t="n"/>
      <c r="P62" s="84" t="n"/>
      <c r="Q62" s="84" t="n"/>
      <c r="R62" s="84" t="n"/>
      <c r="S62" s="102" t="n"/>
      <c r="T62" s="102" t="n"/>
      <c r="U62" s="102" t="n"/>
      <c r="V62" s="102" t="n"/>
      <c r="W62" s="102" t="n"/>
      <c r="X62" s="102" t="n"/>
      <c r="Y62" s="102" t="n"/>
      <c r="Z62" s="102" t="n"/>
      <c r="AA62" s="102" t="n"/>
      <c r="AB62" s="102" t="n"/>
      <c r="AC62" s="102">
        <f>IFERROR(__xludf.DUMMYFUNCTION("""COMPUTED_VALUE"""),"30 x 34")</f>
        <v/>
      </c>
      <c r="AD62" s="102">
        <f>IFERROR(__xludf.DUMMYFUNCTION("""COMPUTED_VALUE"""),"30W / 34L")</f>
        <v/>
      </c>
    </row>
    <row r="63" ht="16.5" customHeight="1" s="176">
      <c r="A63" s="116" t="inlineStr">
        <is>
          <t>Camisa</t>
        </is>
      </c>
      <c r="B63" s="116" t="inlineStr">
        <is>
          <t>Camisas</t>
        </is>
      </c>
      <c r="C63" s="116" t="inlineStr">
        <is>
          <t>Ropa</t>
        </is>
      </c>
      <c r="D63" s="107" t="n"/>
      <c r="E63" s="107" t="n"/>
      <c r="F63" s="84" t="n"/>
      <c r="G63" s="96" t="inlineStr">
        <is>
          <t>I1-L2-02</t>
        </is>
      </c>
      <c r="H63" s="97" t="inlineStr">
        <is>
          <t>Rack físico</t>
        </is>
      </c>
      <c r="I63" s="96" t="n"/>
      <c r="J63" s="96" t="n"/>
      <c r="K63" s="98" t="inlineStr">
        <is>
          <t>Bodega 25</t>
        </is>
      </c>
      <c r="L63" s="84" t="n"/>
      <c r="M63" s="84" t="n"/>
      <c r="N63" s="84" t="n"/>
      <c r="O63" s="84" t="n"/>
      <c r="P63" s="84" t="n"/>
      <c r="Q63" s="84" t="n"/>
      <c r="R63" s="84" t="n"/>
      <c r="S63" s="102" t="n"/>
      <c r="T63" s="102" t="n"/>
      <c r="U63" s="102" t="n"/>
      <c r="V63" s="102" t="n"/>
      <c r="W63" s="102" t="n"/>
      <c r="X63" s="102" t="n"/>
      <c r="Y63" s="102" t="n"/>
      <c r="Z63" s="102" t="n"/>
      <c r="AA63" s="102" t="n"/>
      <c r="AB63" s="102" t="n"/>
      <c r="AC63" s="102">
        <f>IFERROR(__xludf.DUMMYFUNCTION("""COMPUTED_VALUE"""),"31 x 34")</f>
        <v/>
      </c>
      <c r="AD63" s="102">
        <f>IFERROR(__xludf.DUMMYFUNCTION("""COMPUTED_VALUE"""),"31W / 34L")</f>
        <v/>
      </c>
    </row>
    <row r="64" ht="16.5" customHeight="1" s="176">
      <c r="A64" s="116" t="inlineStr">
        <is>
          <t>Sobrecamisa</t>
        </is>
      </c>
      <c r="B64" s="116" t="inlineStr">
        <is>
          <t>Camisas</t>
        </is>
      </c>
      <c r="C64" s="116" t="inlineStr">
        <is>
          <t>Ropa</t>
        </is>
      </c>
      <c r="D64" s="107" t="n"/>
      <c r="E64" s="107" t="n"/>
      <c r="F64" s="84" t="n"/>
      <c r="G64" s="96" t="inlineStr">
        <is>
          <t>J1-L2-01</t>
        </is>
      </c>
      <c r="H64" s="97" t="inlineStr">
        <is>
          <t>Rack físico</t>
        </is>
      </c>
      <c r="I64" s="96" t="n"/>
      <c r="J64" s="96" t="n"/>
      <c r="K64" s="98" t="inlineStr">
        <is>
          <t>Bodega 25</t>
        </is>
      </c>
      <c r="L64" s="84" t="n"/>
      <c r="M64" s="84" t="n"/>
      <c r="N64" s="84" t="n"/>
      <c r="O64" s="84" t="n"/>
      <c r="P64" s="84" t="n"/>
      <c r="Q64" s="84" t="n"/>
      <c r="R64" s="84" t="n"/>
      <c r="S64" s="102" t="n"/>
      <c r="T64" s="102" t="n"/>
      <c r="U64" s="102" t="n"/>
      <c r="V64" s="102" t="n"/>
      <c r="W64" s="102" t="n"/>
      <c r="X64" s="102" t="n"/>
      <c r="Y64" s="102" t="n"/>
      <c r="Z64" s="102" t="n"/>
      <c r="AA64" s="102" t="n"/>
      <c r="AB64" s="102" t="n"/>
      <c r="AC64" s="102">
        <f>IFERROR(__xludf.DUMMYFUNCTION("""COMPUTED_VALUE"""),"32 x 34")</f>
        <v/>
      </c>
      <c r="AD64" s="102">
        <f>IFERROR(__xludf.DUMMYFUNCTION("""COMPUTED_VALUE"""),"32W / 34L")</f>
        <v/>
      </c>
    </row>
    <row r="65" ht="16.5" customHeight="1" s="176">
      <c r="A65" s="116" t="inlineStr">
        <is>
          <t>Chaleco</t>
        </is>
      </c>
      <c r="B65" s="116" t="inlineStr">
        <is>
          <t>Chalecos</t>
        </is>
      </c>
      <c r="C65" s="116" t="inlineStr">
        <is>
          <t>Ropa</t>
        </is>
      </c>
      <c r="D65" s="107" t="n"/>
      <c r="E65" s="107" t="n"/>
      <c r="F65" s="84" t="n"/>
      <c r="G65" s="96" t="inlineStr">
        <is>
          <t>J1-L2-02</t>
        </is>
      </c>
      <c r="H65" s="97" t="inlineStr">
        <is>
          <t>Rack físico</t>
        </is>
      </c>
      <c r="I65" s="96" t="n"/>
      <c r="J65" s="96" t="n"/>
      <c r="K65" s="98" t="inlineStr">
        <is>
          <t>Bodega 25</t>
        </is>
      </c>
      <c r="L65" s="84" t="n"/>
      <c r="M65" s="84" t="n"/>
      <c r="N65" s="84" t="n"/>
      <c r="O65" s="84" t="n"/>
      <c r="P65" s="84" t="n"/>
      <c r="Q65" s="84" t="n"/>
      <c r="R65" s="84" t="n"/>
      <c r="S65" s="102" t="n"/>
      <c r="T65" s="102" t="n"/>
      <c r="U65" s="102" t="n"/>
      <c r="V65" s="102" t="n"/>
      <c r="W65" s="102" t="n"/>
      <c r="X65" s="102" t="n"/>
      <c r="Y65" s="102" t="n"/>
      <c r="Z65" s="102" t="n"/>
      <c r="AA65" s="102" t="n"/>
      <c r="AB65" s="102" t="n"/>
      <c r="AC65" s="102">
        <f>IFERROR(__xludf.DUMMYFUNCTION("""COMPUTED_VALUE"""),"33 x 34")</f>
        <v/>
      </c>
      <c r="AD65" s="102">
        <f>IFERROR(__xludf.DUMMYFUNCTION("""COMPUTED_VALUE"""),"33W / 34L")</f>
        <v/>
      </c>
    </row>
    <row r="66" ht="16.5" customHeight="1" s="176">
      <c r="A66" s="116" t="inlineStr">
        <is>
          <t>Chamarra</t>
        </is>
      </c>
      <c r="B66" s="116" t="inlineStr">
        <is>
          <t>Chamarras</t>
        </is>
      </c>
      <c r="C66" s="116" t="inlineStr">
        <is>
          <t>Ropa</t>
        </is>
      </c>
      <c r="D66" s="107" t="n"/>
      <c r="E66" s="107" t="n"/>
      <c r="F66" s="84" t="n"/>
      <c r="G66" s="84" t="n"/>
      <c r="H66" s="117" t="n"/>
      <c r="I66" s="118" t="n"/>
      <c r="J66" s="118" t="n"/>
      <c r="K66" s="98" t="n"/>
      <c r="L66" s="84" t="n"/>
      <c r="M66" s="84" t="n"/>
      <c r="N66" s="84" t="n"/>
      <c r="O66" s="84" t="n"/>
      <c r="P66" s="84" t="n"/>
      <c r="Q66" s="84" t="n"/>
      <c r="R66" s="84" t="n"/>
      <c r="S66" s="102" t="n"/>
      <c r="T66" s="102" t="n"/>
      <c r="U66" s="102" t="n"/>
      <c r="V66" s="102" t="n"/>
      <c r="W66" s="102" t="n"/>
      <c r="X66" s="102" t="n"/>
      <c r="Y66" s="102" t="n"/>
      <c r="Z66" s="102" t="n"/>
      <c r="AA66" s="102" t="n"/>
      <c r="AB66" s="102" t="n"/>
      <c r="AC66" s="102">
        <f>IFERROR(__xludf.DUMMYFUNCTION("""COMPUTED_VALUE"""),"34 x 34")</f>
        <v/>
      </c>
      <c r="AD66" s="102">
        <f>IFERROR(__xludf.DUMMYFUNCTION("""COMPUTED_VALUE"""),"34W / 34L")</f>
        <v/>
      </c>
    </row>
    <row r="67" ht="16.5" customHeight="1" s="176">
      <c r="A67" s="116" t="inlineStr">
        <is>
          <t>Falda</t>
        </is>
      </c>
      <c r="B67" s="116" t="inlineStr">
        <is>
          <t>Faldas</t>
        </is>
      </c>
      <c r="C67" s="116" t="inlineStr">
        <is>
          <t>Ropa</t>
        </is>
      </c>
      <c r="D67" s="107" t="n"/>
      <c r="E67" s="107" t="n"/>
      <c r="F67" s="84" t="n"/>
      <c r="G67" s="84" t="n"/>
      <c r="H67" s="117" t="n"/>
      <c r="I67" s="118" t="n"/>
      <c r="J67" s="118" t="n"/>
      <c r="K67" s="98" t="n"/>
      <c r="L67" s="84" t="n"/>
      <c r="M67" s="84" t="n"/>
      <c r="N67" s="84" t="n"/>
      <c r="O67" s="84" t="n"/>
      <c r="P67" s="84" t="n"/>
      <c r="Q67" s="84" t="n"/>
      <c r="R67" s="84" t="n"/>
      <c r="S67" s="102" t="n"/>
      <c r="T67" s="102" t="n"/>
      <c r="U67" s="102" t="n"/>
      <c r="V67" s="102" t="n"/>
      <c r="W67" s="102" t="n"/>
      <c r="X67" s="102" t="n"/>
      <c r="Y67" s="102" t="n"/>
      <c r="Z67" s="102" t="n"/>
      <c r="AA67" s="102" t="n"/>
      <c r="AB67" s="102" t="n"/>
      <c r="AC67" s="102">
        <f>IFERROR(__xludf.DUMMYFUNCTION("""COMPUTED_VALUE"""),"35 x 34")</f>
        <v/>
      </c>
      <c r="AD67" s="102">
        <f>IFERROR(__xludf.DUMMYFUNCTION("""COMPUTED_VALUE"""),"35W / 34L")</f>
        <v/>
      </c>
    </row>
    <row r="68" ht="16.5" customHeight="1" s="176">
      <c r="A68" s="116" t="inlineStr">
        <is>
          <t>Jumpsuit</t>
        </is>
      </c>
      <c r="B68" s="116" t="inlineStr">
        <is>
          <t>Jumpsuits</t>
        </is>
      </c>
      <c r="C68" s="116" t="inlineStr">
        <is>
          <t>Ropa</t>
        </is>
      </c>
      <c r="D68" s="107" t="n"/>
      <c r="E68" s="107" t="n"/>
      <c r="F68" s="84" t="n"/>
      <c r="G68" s="84" t="n"/>
      <c r="H68" s="117" t="n"/>
      <c r="I68" s="118" t="n"/>
      <c r="J68" s="118" t="n"/>
      <c r="K68" s="98" t="n"/>
      <c r="L68" s="84" t="n"/>
      <c r="M68" s="84" t="n"/>
      <c r="N68" s="84" t="n"/>
      <c r="O68" s="84" t="n"/>
      <c r="P68" s="84" t="n"/>
      <c r="Q68" s="84" t="n"/>
      <c r="R68" s="84" t="n"/>
      <c r="S68" s="102" t="n"/>
      <c r="T68" s="102" t="n"/>
      <c r="U68" s="102" t="n"/>
      <c r="V68" s="102" t="n"/>
      <c r="W68" s="102" t="n"/>
      <c r="X68" s="102" t="n"/>
      <c r="Y68" s="102" t="n"/>
      <c r="Z68" s="102" t="n"/>
      <c r="AA68" s="102" t="n"/>
      <c r="AB68" s="102" t="n"/>
      <c r="AC68" s="102">
        <f>IFERROR(__xludf.DUMMYFUNCTION("""COMPUTED_VALUE"""),"36 x 34")</f>
        <v/>
      </c>
      <c r="AD68" s="102">
        <f>IFERROR(__xludf.DUMMYFUNCTION("""COMPUTED_VALUE"""),"36W / 34L")</f>
        <v/>
      </c>
    </row>
    <row r="69" ht="16.5" customHeight="1" s="176">
      <c r="A69" s="116" t="inlineStr">
        <is>
          <t>Pantalón</t>
        </is>
      </c>
      <c r="B69" s="116" t="inlineStr">
        <is>
          <t>Pantalones</t>
        </is>
      </c>
      <c r="C69" s="116" t="inlineStr">
        <is>
          <t>Ropa</t>
        </is>
      </c>
      <c r="D69" s="107" t="n"/>
      <c r="E69" s="107" t="n"/>
      <c r="F69" s="84" t="n"/>
      <c r="G69" s="84" t="n"/>
      <c r="H69" s="117" t="n"/>
      <c r="I69" s="118" t="n"/>
      <c r="J69" s="118" t="n"/>
      <c r="K69" s="98" t="n"/>
      <c r="L69" s="84" t="n"/>
      <c r="M69" s="84" t="n"/>
      <c r="N69" s="84" t="n"/>
      <c r="O69" s="84" t="n"/>
      <c r="P69" s="84" t="n"/>
      <c r="Q69" s="84" t="n"/>
      <c r="R69" s="84" t="n"/>
      <c r="S69" s="102" t="n"/>
      <c r="T69" s="102" t="n"/>
      <c r="U69" s="102" t="n"/>
      <c r="V69" s="102" t="n"/>
      <c r="W69" s="102" t="n"/>
      <c r="X69" s="102" t="n"/>
      <c r="Y69" s="102" t="n"/>
      <c r="Z69" s="102" t="n"/>
      <c r="AA69" s="102" t="n"/>
      <c r="AB69" s="102" t="n"/>
      <c r="AC69" s="102">
        <f>IFERROR(__xludf.DUMMYFUNCTION("""COMPUTED_VALUE"""),"38 x 34")</f>
        <v/>
      </c>
      <c r="AD69" s="102">
        <f>IFERROR(__xludf.DUMMYFUNCTION("""COMPUTED_VALUE"""),"38W / 34L")</f>
        <v/>
      </c>
    </row>
    <row r="70" ht="16.5" customHeight="1" s="176">
      <c r="A70" s="116" t="inlineStr">
        <is>
          <t>Pijama</t>
        </is>
      </c>
      <c r="B70" s="116" t="inlineStr">
        <is>
          <t>Pijamas</t>
        </is>
      </c>
      <c r="C70" s="116" t="inlineStr">
        <is>
          <t>Ropa</t>
        </is>
      </c>
      <c r="D70" s="107" t="n"/>
      <c r="E70" s="107" t="n"/>
      <c r="F70" s="84" t="n"/>
      <c r="G70" s="84" t="n"/>
      <c r="H70" s="117" t="n"/>
      <c r="I70" s="118" t="n"/>
      <c r="J70" s="118" t="n"/>
      <c r="K70" s="98" t="n"/>
      <c r="L70" s="84" t="n"/>
      <c r="M70" s="84" t="n"/>
      <c r="N70" s="84" t="n"/>
      <c r="O70" s="84" t="n"/>
      <c r="P70" s="84" t="n"/>
      <c r="Q70" s="84" t="n"/>
      <c r="R70" s="84" t="n"/>
      <c r="S70" s="102" t="n"/>
      <c r="T70" s="102" t="n"/>
      <c r="U70" s="102" t="n"/>
      <c r="V70" s="102" t="n"/>
      <c r="W70" s="102" t="n"/>
      <c r="X70" s="102" t="n"/>
      <c r="Y70" s="102" t="n"/>
      <c r="Z70" s="102" t="n"/>
      <c r="AA70" s="102" t="n"/>
      <c r="AB70" s="102" t="n"/>
      <c r="AC70" s="102">
        <f>IFERROR(__xludf.DUMMYFUNCTION("""COMPUTED_VALUE"""),"40 x 34")</f>
        <v/>
      </c>
      <c r="AD70" s="102">
        <f>IFERROR(__xludf.DUMMYFUNCTION("""COMPUTED_VALUE"""),"40W / 34L")</f>
        <v/>
      </c>
    </row>
    <row r="71" ht="16.5" customHeight="1" s="176">
      <c r="A71" s="116" t="inlineStr">
        <is>
          <t>Playera</t>
        </is>
      </c>
      <c r="B71" s="116" t="inlineStr">
        <is>
          <t>Playeras</t>
        </is>
      </c>
      <c r="C71" s="116" t="inlineStr">
        <is>
          <t>Ropa</t>
        </is>
      </c>
      <c r="D71" s="107" t="n"/>
      <c r="E71" s="107" t="n"/>
      <c r="F71" s="84" t="n"/>
      <c r="G71" s="84" t="n"/>
      <c r="H71" s="117" t="n"/>
      <c r="I71" s="118" t="n"/>
      <c r="J71" s="118" t="n"/>
      <c r="K71" s="98" t="n"/>
      <c r="L71" s="84" t="n"/>
      <c r="M71" s="84" t="n"/>
      <c r="N71" s="84" t="n"/>
      <c r="O71" s="84" t="n"/>
      <c r="P71" s="84" t="n"/>
      <c r="Q71" s="84" t="n"/>
      <c r="R71" s="84" t="n"/>
      <c r="S71" s="102" t="n"/>
      <c r="T71" s="102" t="n"/>
      <c r="U71" s="102" t="n"/>
      <c r="V71" s="102" t="n"/>
      <c r="W71" s="102" t="n"/>
      <c r="X71" s="102" t="n"/>
      <c r="Y71" s="102" t="n"/>
      <c r="Z71" s="102" t="n"/>
      <c r="AA71" s="102" t="n"/>
      <c r="AB71" s="102" t="n"/>
      <c r="AC71" s="102">
        <f>IFERROR(__xludf.DUMMYFUNCTION("""COMPUTED_VALUE"""),"42 x 34")</f>
        <v/>
      </c>
      <c r="AD71" s="102">
        <f>IFERROR(__xludf.DUMMYFUNCTION("""COMPUTED_VALUE"""),"42W / 34L")</f>
        <v/>
      </c>
    </row>
    <row r="72" ht="16.5" customHeight="1" s="176">
      <c r="A72" s="116" t="inlineStr">
        <is>
          <t>Short</t>
        </is>
      </c>
      <c r="B72" s="116" t="inlineStr">
        <is>
          <t>Shorts</t>
        </is>
      </c>
      <c r="C72" s="116" t="inlineStr">
        <is>
          <t>Ropa</t>
        </is>
      </c>
      <c r="D72" s="107" t="n"/>
      <c r="E72" s="107" t="n"/>
      <c r="F72" s="84" t="n"/>
      <c r="G72" s="84" t="n"/>
      <c r="H72" s="117" t="n"/>
      <c r="I72" s="118" t="n"/>
      <c r="J72" s="118" t="n"/>
      <c r="K72" s="98" t="n"/>
      <c r="L72" s="84" t="n"/>
      <c r="M72" s="84" t="n"/>
      <c r="N72" s="84" t="n"/>
      <c r="O72" s="84" t="n"/>
      <c r="P72" s="84" t="n"/>
      <c r="Q72" s="84" t="n"/>
      <c r="R72" s="84" t="n"/>
      <c r="S72" s="102" t="n"/>
      <c r="T72" s="102" t="n"/>
      <c r="U72" s="102" t="n"/>
      <c r="V72" s="102" t="n"/>
      <c r="W72" s="102" t="n"/>
      <c r="X72" s="102" t="n"/>
      <c r="Y72" s="102" t="n"/>
      <c r="Z72" s="102" t="n"/>
      <c r="AA72" s="102" t="n"/>
      <c r="AB72" s="102" t="n"/>
      <c r="AC72" s="102">
        <f>IFERROR(__xludf.DUMMYFUNCTION("""COMPUTED_VALUE"""),"44 x 34")</f>
        <v/>
      </c>
      <c r="AD72" s="102">
        <f>IFERROR(__xludf.DUMMYFUNCTION("""COMPUTED_VALUE"""),"44W / 34L")</f>
        <v/>
      </c>
    </row>
    <row r="73" ht="16.5" customHeight="1" s="176">
      <c r="A73" s="116" t="inlineStr">
        <is>
          <t>Sudadera</t>
        </is>
      </c>
      <c r="B73" s="116" t="inlineStr">
        <is>
          <t>Sudaderas</t>
        </is>
      </c>
      <c r="C73" s="116" t="inlineStr">
        <is>
          <t>Ropa</t>
        </is>
      </c>
      <c r="D73" s="107" t="n"/>
      <c r="E73" s="107" t="n"/>
      <c r="F73" s="84" t="n"/>
      <c r="G73" s="84" t="n"/>
      <c r="H73" s="117" t="n"/>
      <c r="I73" s="118" t="n"/>
      <c r="J73" s="118" t="n"/>
      <c r="K73" s="98" t="n"/>
      <c r="L73" s="84" t="n"/>
      <c r="M73" s="84" t="n"/>
      <c r="N73" s="84" t="n"/>
      <c r="O73" s="84" t="n"/>
      <c r="P73" s="84" t="n"/>
      <c r="Q73" s="84" t="n"/>
      <c r="R73" s="84" t="n"/>
      <c r="S73" s="102" t="n"/>
      <c r="T73" s="102" t="n"/>
      <c r="U73" s="102" t="n"/>
      <c r="V73" s="102" t="n"/>
      <c r="W73" s="102" t="n"/>
      <c r="X73" s="102" t="n"/>
      <c r="Y73" s="102" t="n"/>
      <c r="Z73" s="102" t="n"/>
      <c r="AA73" s="102" t="n"/>
      <c r="AB73" s="102" t="n"/>
      <c r="AC73" s="102">
        <f>IFERROR(__xludf.DUMMYFUNCTION("""COMPUTED_VALUE"""),"46 x 34")</f>
        <v/>
      </c>
      <c r="AD73" s="102">
        <f>IFERROR(__xludf.DUMMYFUNCTION("""COMPUTED_VALUE"""),"46W / 34L")</f>
        <v/>
      </c>
    </row>
    <row r="74" ht="16.5" customHeight="1" s="176">
      <c r="A74" s="116" t="inlineStr">
        <is>
          <t>Suéter</t>
        </is>
      </c>
      <c r="B74" s="116" t="inlineStr">
        <is>
          <t>Sueteres</t>
        </is>
      </c>
      <c r="C74" s="116" t="inlineStr">
        <is>
          <t>Ropa</t>
        </is>
      </c>
      <c r="D74" s="107" t="n"/>
      <c r="E74" s="107" t="n"/>
      <c r="F74" s="84" t="n"/>
      <c r="G74" s="84" t="n"/>
      <c r="H74" s="117" t="n"/>
      <c r="I74" s="118" t="n"/>
      <c r="J74" s="118" t="n"/>
      <c r="K74" s="98" t="n"/>
      <c r="L74" s="84" t="n"/>
      <c r="M74" s="84" t="n"/>
      <c r="N74" s="84" t="n"/>
      <c r="O74" s="84" t="n"/>
      <c r="P74" s="84" t="n"/>
      <c r="Q74" s="84" t="n"/>
      <c r="R74" s="84" t="n"/>
      <c r="S74" s="102" t="n"/>
      <c r="T74" s="102" t="n"/>
      <c r="U74" s="102" t="n"/>
      <c r="V74" s="102" t="n"/>
      <c r="W74" s="102" t="n"/>
      <c r="X74" s="102" t="n"/>
      <c r="Y74" s="102" t="n"/>
      <c r="Z74" s="102" t="n"/>
      <c r="AA74" s="102" t="n"/>
      <c r="AB74" s="102" t="n"/>
      <c r="AC74" s="102">
        <f>IFERROR(__xludf.DUMMYFUNCTION("""COMPUTED_VALUE"""),"48 x 34")</f>
        <v/>
      </c>
      <c r="AD74" s="102">
        <f>IFERROR(__xludf.DUMMYFUNCTION("""COMPUTED_VALUE"""),"48W / 34L")</f>
        <v/>
      </c>
    </row>
    <row r="75" ht="16.5" customHeight="1" s="176">
      <c r="A75" s="116" t="inlineStr">
        <is>
          <t>Sueter</t>
        </is>
      </c>
      <c r="B75" s="116" t="inlineStr">
        <is>
          <t>Sueteres</t>
        </is>
      </c>
      <c r="C75" s="116" t="inlineStr">
        <is>
          <t>Ropa</t>
        </is>
      </c>
      <c r="D75" s="107" t="n"/>
      <c r="E75" s="107" t="n"/>
      <c r="F75" s="84" t="n"/>
      <c r="G75" s="84" t="n"/>
      <c r="H75" s="117" t="n"/>
      <c r="I75" s="118" t="n"/>
      <c r="J75" s="118" t="n"/>
      <c r="K75" s="98" t="n"/>
      <c r="L75" s="84" t="n"/>
      <c r="M75" s="84" t="n"/>
      <c r="N75" s="84" t="n"/>
      <c r="O75" s="84" t="n"/>
      <c r="P75" s="84" t="n"/>
      <c r="Q75" s="84" t="n"/>
      <c r="R75" s="84" t="n"/>
      <c r="S75" s="102" t="n"/>
      <c r="T75" s="102" t="n"/>
      <c r="U75" s="102" t="n"/>
      <c r="V75" s="102" t="n"/>
      <c r="W75" s="102" t="n"/>
      <c r="X75" s="102" t="n"/>
      <c r="Y75" s="102" t="n"/>
      <c r="Z75" s="102" t="n"/>
      <c r="AA75" s="102" t="n"/>
      <c r="AB75" s="102" t="n"/>
      <c r="AC75" s="102">
        <f>IFERROR(__xludf.DUMMYFUNCTION("""COMPUTED_VALUE"""),"50 x 34")</f>
        <v/>
      </c>
      <c r="AD75" s="102">
        <f>IFERROR(__xludf.DUMMYFUNCTION("""COMPUTED_VALUE"""),"50W / 34L")</f>
        <v/>
      </c>
    </row>
    <row r="76" ht="16.5" customHeight="1" s="176">
      <c r="A76" s="116" t="inlineStr">
        <is>
          <t>Vestido</t>
        </is>
      </c>
      <c r="B76" s="116" t="inlineStr">
        <is>
          <t>Vestidos</t>
        </is>
      </c>
      <c r="C76" s="116" t="inlineStr">
        <is>
          <t>Ropa</t>
        </is>
      </c>
      <c r="D76" s="107" t="n"/>
      <c r="E76" s="107" t="n"/>
      <c r="F76" s="84" t="n"/>
      <c r="G76" s="84" t="n"/>
      <c r="H76" s="117" t="n"/>
      <c r="I76" s="118" t="n"/>
      <c r="J76" s="118" t="n"/>
      <c r="K76" s="98" t="n"/>
      <c r="L76" s="84" t="n"/>
      <c r="M76" s="84" t="n"/>
      <c r="N76" s="84" t="n"/>
      <c r="O76" s="84" t="n"/>
      <c r="P76" s="84" t="n"/>
      <c r="Q76" s="84" t="n"/>
      <c r="R76" s="84" t="n"/>
      <c r="S76" s="102" t="n"/>
      <c r="T76" s="102" t="n"/>
      <c r="U76" s="102" t="n"/>
      <c r="V76" s="102" t="n"/>
      <c r="W76" s="102" t="n"/>
      <c r="X76" s="102" t="n"/>
      <c r="Y76" s="102" t="n"/>
      <c r="Z76" s="102" t="n"/>
      <c r="AA76" s="102" t="n"/>
      <c r="AB76" s="102" t="n"/>
      <c r="AC76" s="102">
        <f>IFERROR(__xludf.DUMMYFUNCTION("""COMPUTED_VALUE"""),"29 x 36")</f>
        <v/>
      </c>
      <c r="AD76" s="102">
        <f>IFERROR(__xludf.DUMMYFUNCTION("""COMPUTED_VALUE"""),"29W / 36L")</f>
        <v/>
      </c>
    </row>
    <row r="77" ht="9.75" customHeight="1" s="176">
      <c r="A77" s="107" t="n"/>
      <c r="B77" s="107" t="n"/>
      <c r="C77" s="107" t="n"/>
      <c r="D77" s="107" t="n"/>
      <c r="E77" s="107" t="n"/>
      <c r="F77" s="84" t="n"/>
      <c r="G77" s="84" t="n"/>
      <c r="H77" s="117" t="n"/>
      <c r="I77" s="118" t="n"/>
      <c r="J77" s="118" t="n"/>
      <c r="K77" s="98" t="n"/>
      <c r="L77" s="84" t="n"/>
      <c r="M77" s="84" t="n"/>
      <c r="N77" s="84" t="n"/>
      <c r="O77" s="84" t="n"/>
      <c r="P77" s="84" t="n"/>
      <c r="Q77" s="84" t="n"/>
      <c r="R77" s="84" t="n"/>
      <c r="S77" s="102" t="n"/>
      <c r="T77" s="102" t="n"/>
      <c r="U77" s="102" t="n"/>
      <c r="V77" s="102" t="n"/>
      <c r="W77" s="102" t="n"/>
      <c r="X77" s="102" t="n"/>
      <c r="Y77" s="102" t="n"/>
      <c r="Z77" s="102" t="n"/>
      <c r="AA77" s="102" t="n"/>
      <c r="AB77" s="102" t="n"/>
      <c r="AC77" s="102">
        <f>IFERROR(__xludf.DUMMYFUNCTION("""COMPUTED_VALUE"""),"30 x 36")</f>
        <v/>
      </c>
      <c r="AD77" s="102">
        <f>IFERROR(__xludf.DUMMYFUNCTION("""COMPUTED_VALUE"""),"30W / 36L")</f>
        <v/>
      </c>
    </row>
    <row r="78" ht="21.75" customHeight="1" s="176">
      <c r="A78" s="86" t="inlineStr">
        <is>
          <t>3. CATEGORÍAS — DIVISIÓN Y FAMILIA DE TALLA</t>
        </is>
      </c>
      <c r="B78" s="86" t="n"/>
      <c r="C78" s="86" t="n"/>
      <c r="D78" s="86" t="n"/>
      <c r="E78" s="108" t="inlineStr">
        <is>
          <t>↑ Volver al índice</t>
        </is>
      </c>
      <c r="F78" s="84" t="n"/>
      <c r="G78" s="84" t="n"/>
      <c r="H78" s="117" t="n"/>
      <c r="I78" s="118" t="n"/>
      <c r="J78" s="118" t="n"/>
      <c r="K78" s="98" t="n"/>
      <c r="L78" s="84" t="n"/>
      <c r="M78" s="84" t="n"/>
      <c r="N78" s="84" t="n"/>
      <c r="O78" s="84" t="n"/>
      <c r="P78" s="84" t="n"/>
      <c r="Q78" s="84" t="n"/>
      <c r="R78" s="84" t="n"/>
      <c r="S78" s="102" t="n"/>
      <c r="T78" s="102" t="n"/>
      <c r="U78" s="102" t="n"/>
      <c r="V78" s="102" t="n"/>
      <c r="W78" s="102" t="n"/>
      <c r="X78" s="102" t="n"/>
      <c r="Y78" s="102" t="n"/>
      <c r="Z78" s="102" t="n"/>
      <c r="AA78" s="102" t="n"/>
      <c r="AB78" s="102" t="n"/>
      <c r="AC78" s="102">
        <f>IFERROR(__xludf.DUMMYFUNCTION("""COMPUTED_VALUE"""),"31 x 36")</f>
        <v/>
      </c>
      <c r="AD78" s="102">
        <f>IFERROR(__xludf.DUMMYFUNCTION("""COMPUTED_VALUE"""),"31W / 36L")</f>
        <v/>
      </c>
    </row>
    <row r="79" ht="15.75" customHeight="1" s="176">
      <c r="A79" s="115" t="inlineStr">
        <is>
          <t>Cualquier artículo de Niño/Niña usa la familia Talla Niño, sin importar la categoría. Esta lista alimenta el desplegable WB Categoría.</t>
        </is>
      </c>
      <c r="B79" s="107" t="n"/>
      <c r="C79" s="107" t="n"/>
      <c r="D79" s="107" t="n"/>
      <c r="E79" s="107" t="n"/>
      <c r="F79" s="84" t="n"/>
      <c r="G79" s="84" t="n"/>
      <c r="H79" s="117" t="n"/>
      <c r="I79" s="118" t="n"/>
      <c r="J79" s="118" t="n"/>
      <c r="K79" s="98" t="n"/>
      <c r="L79" s="84" t="n"/>
      <c r="M79" s="84" t="n"/>
      <c r="N79" s="84" t="n"/>
      <c r="O79" s="84" t="n"/>
      <c r="P79" s="84" t="n"/>
      <c r="Q79" s="84" t="n"/>
      <c r="R79" s="84" t="n"/>
      <c r="S79" s="102" t="n"/>
      <c r="T79" s="102" t="n"/>
      <c r="U79" s="102" t="n"/>
      <c r="V79" s="102" t="n"/>
      <c r="W79" s="102" t="n"/>
      <c r="X79" s="102" t="n"/>
      <c r="Y79" s="102" t="n"/>
      <c r="Z79" s="102" t="n"/>
      <c r="AA79" s="102" t="n"/>
      <c r="AB79" s="102" t="n"/>
      <c r="AC79" s="102">
        <f>IFERROR(__xludf.DUMMYFUNCTION("""COMPUTED_VALUE"""),"32 x 36")</f>
        <v/>
      </c>
      <c r="AD79" s="102">
        <f>IFERROR(__xludf.DUMMYFUNCTION("""COMPUTED_VALUE"""),"32W / 36L")</f>
        <v/>
      </c>
    </row>
    <row r="80" ht="16.5" customHeight="1" s="176">
      <c r="A80" s="110" t="inlineStr">
        <is>
          <t>Categoría</t>
        </is>
      </c>
      <c r="B80" s="110" t="inlineStr">
        <is>
          <t>División</t>
        </is>
      </c>
      <c r="C80" s="110" t="inlineStr">
        <is>
          <t>Familia de talla (ver sección 8)</t>
        </is>
      </c>
      <c r="D80" s="182" t="n"/>
      <c r="E80" s="183" t="n"/>
      <c r="F80" s="84" t="n"/>
      <c r="G80" s="84" t="n"/>
      <c r="H80" s="117" t="n"/>
      <c r="I80" s="118" t="n"/>
      <c r="J80" s="118" t="n"/>
      <c r="K80" s="98" t="n"/>
      <c r="L80" s="84" t="n"/>
      <c r="M80" s="84" t="n"/>
      <c r="N80" s="84" t="n"/>
      <c r="O80" s="84" t="n"/>
      <c r="P80" s="84" t="n"/>
      <c r="Q80" s="84" t="n"/>
      <c r="R80" s="84" t="n"/>
      <c r="S80" s="102" t="n"/>
      <c r="T80" s="102" t="n"/>
      <c r="U80" s="102" t="n"/>
      <c r="V80" s="102" t="n"/>
      <c r="W80" s="102" t="n"/>
      <c r="X80" s="102" t="n"/>
      <c r="Y80" s="102" t="n"/>
      <c r="Z80" s="102" t="n"/>
      <c r="AA80" s="102" t="n"/>
      <c r="AB80" s="102" t="n"/>
      <c r="AC80" s="102">
        <f>IFERROR(__xludf.DUMMYFUNCTION("""COMPUTED_VALUE"""),"33 x 36")</f>
        <v/>
      </c>
      <c r="AD80" s="102">
        <f>IFERROR(__xludf.DUMMYFUNCTION("""COMPUTED_VALUE"""),"33W / 36L")</f>
        <v/>
      </c>
    </row>
    <row r="81" ht="16.5" customHeight="1" s="176">
      <c r="A81" s="116" t="inlineStr">
        <is>
          <t>Bandanas</t>
        </is>
      </c>
      <c r="B81" s="116" t="inlineStr">
        <is>
          <t>Accesorios</t>
        </is>
      </c>
      <c r="C81" s="116" t="inlineStr">
        <is>
          <t>Talla única</t>
        </is>
      </c>
      <c r="D81" s="182" t="n"/>
      <c r="E81" s="183" t="n"/>
      <c r="F81" s="84" t="n"/>
      <c r="G81" s="84" t="n"/>
      <c r="H81" s="117" t="n"/>
      <c r="I81" s="118" t="n"/>
      <c r="J81" s="118" t="n"/>
      <c r="K81" s="98" t="n"/>
      <c r="L81" s="84" t="n"/>
      <c r="M81" s="84" t="n"/>
      <c r="N81" s="84" t="n"/>
      <c r="O81" s="84" t="n"/>
      <c r="P81" s="84" t="n"/>
      <c r="Q81" s="84" t="n"/>
      <c r="R81" s="84" t="n"/>
      <c r="S81" s="102" t="n"/>
      <c r="T81" s="102" t="n"/>
      <c r="U81" s="102" t="n"/>
      <c r="V81" s="102" t="n"/>
      <c r="W81" s="102" t="n"/>
      <c r="X81" s="102" t="n"/>
      <c r="Y81" s="102" t="n"/>
      <c r="Z81" s="102" t="n"/>
      <c r="AA81" s="102" t="n"/>
      <c r="AB81" s="102" t="n"/>
      <c r="AC81" s="102">
        <f>IFERROR(__xludf.DUMMYFUNCTION("""COMPUTED_VALUE"""),"34 x 36")</f>
        <v/>
      </c>
      <c r="AD81" s="102">
        <f>IFERROR(__xludf.DUMMYFUNCTION("""COMPUTED_VALUE"""),"34W / 36L")</f>
        <v/>
      </c>
    </row>
    <row r="82" ht="16.5" customHeight="1" s="176">
      <c r="A82" s="116" t="inlineStr">
        <is>
          <t>Bolsos</t>
        </is>
      </c>
      <c r="B82" s="116" t="inlineStr">
        <is>
          <t>Accesorios</t>
        </is>
      </c>
      <c r="C82" s="116" t="inlineStr">
        <is>
          <t>Talla única</t>
        </is>
      </c>
      <c r="D82" s="182" t="n"/>
      <c r="E82" s="183" t="n"/>
      <c r="F82" s="84" t="n"/>
      <c r="G82" s="84" t="n"/>
      <c r="H82" s="117" t="n"/>
      <c r="I82" s="118" t="n"/>
      <c r="J82" s="118" t="n"/>
      <c r="K82" s="98" t="n"/>
      <c r="L82" s="84" t="n"/>
      <c r="M82" s="84" t="n"/>
      <c r="N82" s="84" t="n"/>
      <c r="O82" s="84" t="n"/>
      <c r="P82" s="84" t="n"/>
      <c r="Q82" s="84" t="n"/>
      <c r="R82" s="84" t="n"/>
      <c r="S82" s="102" t="n"/>
      <c r="T82" s="102" t="n"/>
      <c r="U82" s="102" t="n"/>
      <c r="V82" s="102" t="n"/>
      <c r="W82" s="102" t="n"/>
      <c r="X82" s="102" t="n"/>
      <c r="Y82" s="102" t="n"/>
      <c r="Z82" s="102" t="n"/>
      <c r="AA82" s="102" t="n"/>
      <c r="AB82" s="102" t="n"/>
      <c r="AC82" s="102">
        <f>IFERROR(__xludf.DUMMYFUNCTION("""COMPUTED_VALUE"""),"35 x 36")</f>
        <v/>
      </c>
      <c r="AD82" s="102">
        <f>IFERROR(__xludf.DUMMYFUNCTION("""COMPUTED_VALUE"""),"35W / 36L")</f>
        <v/>
      </c>
    </row>
    <row r="83" ht="16.5" customHeight="1" s="176">
      <c r="A83" s="116" t="inlineStr">
        <is>
          <t>Botas</t>
        </is>
      </c>
      <c r="B83" s="116" t="inlineStr">
        <is>
          <t>Calzado</t>
        </is>
      </c>
      <c r="C83" s="116" t="inlineStr">
        <is>
          <t>Talla Calzado MX</t>
        </is>
      </c>
      <c r="D83" s="182" t="n"/>
      <c r="E83" s="183" t="n"/>
      <c r="F83" s="84" t="n"/>
      <c r="G83" s="84" t="n"/>
      <c r="H83" s="117" t="n"/>
      <c r="I83" s="118" t="n"/>
      <c r="J83" s="118" t="n"/>
      <c r="K83" s="98" t="n"/>
      <c r="L83" s="84" t="n"/>
      <c r="M83" s="84" t="n"/>
      <c r="N83" s="84" t="n"/>
      <c r="O83" s="84" t="n"/>
      <c r="P83" s="84" t="n"/>
      <c r="Q83" s="84" t="n"/>
      <c r="R83" s="84" t="n"/>
      <c r="S83" s="102" t="n"/>
      <c r="T83" s="102" t="n"/>
      <c r="U83" s="102" t="n"/>
      <c r="V83" s="102" t="n"/>
      <c r="W83" s="102" t="n"/>
      <c r="X83" s="102" t="n"/>
      <c r="Y83" s="102" t="n"/>
      <c r="Z83" s="102" t="n"/>
      <c r="AA83" s="102" t="n"/>
      <c r="AB83" s="102" t="n"/>
      <c r="AC83" s="102">
        <f>IFERROR(__xludf.DUMMYFUNCTION("""COMPUTED_VALUE"""),"36 x 36")</f>
        <v/>
      </c>
      <c r="AD83" s="102">
        <f>IFERROR(__xludf.DUMMYFUNCTION("""COMPUTED_VALUE"""),"36W / 36L")</f>
        <v/>
      </c>
    </row>
    <row r="84" ht="16.5" customHeight="1" s="176">
      <c r="A84" s="116" t="inlineStr">
        <is>
          <t>Bufandas</t>
        </is>
      </c>
      <c r="B84" s="116" t="inlineStr">
        <is>
          <t>Accesorios</t>
        </is>
      </c>
      <c r="C84" s="116" t="inlineStr">
        <is>
          <t>Talla única</t>
        </is>
      </c>
      <c r="D84" s="182" t="n"/>
      <c r="E84" s="183" t="n"/>
      <c r="F84" s="84" t="n"/>
      <c r="G84" s="84" t="n"/>
      <c r="H84" s="117" t="n"/>
      <c r="I84" s="118" t="n"/>
      <c r="J84" s="118" t="n"/>
      <c r="K84" s="98" t="n"/>
      <c r="L84" s="84" t="n"/>
      <c r="M84" s="84" t="n"/>
      <c r="N84" s="84" t="n"/>
      <c r="O84" s="84" t="n"/>
      <c r="P84" s="84" t="n"/>
      <c r="Q84" s="84" t="n"/>
      <c r="R84" s="84" t="n"/>
      <c r="S84" s="102" t="n"/>
      <c r="T84" s="102" t="n"/>
      <c r="U84" s="102" t="n"/>
      <c r="V84" s="102" t="n"/>
      <c r="W84" s="102" t="n"/>
      <c r="X84" s="102" t="n"/>
      <c r="Y84" s="102" t="n"/>
      <c r="Z84" s="102" t="n"/>
      <c r="AA84" s="102" t="n"/>
      <c r="AB84" s="102" t="n"/>
      <c r="AC84" s="102">
        <f>IFERROR(__xludf.DUMMYFUNCTION("""COMPUTED_VALUE"""),"38 x 36")</f>
        <v/>
      </c>
      <c r="AD84" s="102">
        <f>IFERROR(__xludf.DUMMYFUNCTION("""COMPUTED_VALUE"""),"38W / 36L")</f>
        <v/>
      </c>
    </row>
    <row r="85" ht="16.5" customHeight="1" s="176">
      <c r="A85" s="116" t="inlineStr">
        <is>
          <t>Calcetines</t>
        </is>
      </c>
      <c r="B85" s="116" t="inlineStr">
        <is>
          <t>Ropa</t>
        </is>
      </c>
      <c r="C85" s="116" t="inlineStr">
        <is>
          <t>Talla Calcetín</t>
        </is>
      </c>
      <c r="D85" s="182" t="n"/>
      <c r="E85" s="183" t="n"/>
      <c r="F85" s="84" t="n"/>
      <c r="G85" s="84" t="n"/>
      <c r="H85" s="117" t="n"/>
      <c r="I85" s="118" t="n"/>
      <c r="J85" s="118" t="n"/>
      <c r="K85" s="98" t="n"/>
      <c r="L85" s="84" t="n"/>
      <c r="M85" s="84" t="n"/>
      <c r="N85" s="84" t="n"/>
      <c r="O85" s="84" t="n"/>
      <c r="P85" s="84" t="n"/>
      <c r="Q85" s="84" t="n"/>
      <c r="R85" s="84" t="n"/>
      <c r="S85" s="102" t="n"/>
      <c r="T85" s="102" t="n"/>
      <c r="U85" s="102" t="n"/>
      <c r="V85" s="102" t="n"/>
      <c r="W85" s="102" t="n"/>
      <c r="X85" s="102" t="n"/>
      <c r="Y85" s="102" t="n"/>
      <c r="Z85" s="102" t="n"/>
      <c r="AA85" s="102" t="n"/>
      <c r="AB85" s="102" t="n"/>
      <c r="AC85" s="102">
        <f>IFERROR(__xludf.DUMMYFUNCTION("""COMPUTED_VALUE"""),"40 x 36")</f>
        <v/>
      </c>
      <c r="AD85" s="102">
        <f>IFERROR(__xludf.DUMMYFUNCTION("""COMPUTED_VALUE"""),"40W / 36L")</f>
        <v/>
      </c>
    </row>
    <row r="86" ht="16.5" customHeight="1" s="176">
      <c r="A86" s="116" t="inlineStr">
        <is>
          <t>Camisas</t>
        </is>
      </c>
      <c r="B86" s="116" t="inlineStr">
        <is>
          <t>Ropa</t>
        </is>
      </c>
      <c r="C86" s="116" t="inlineStr">
        <is>
          <t>Talla Ropa</t>
        </is>
      </c>
      <c r="D86" s="182" t="n"/>
      <c r="E86" s="183" t="n"/>
      <c r="F86" s="84" t="n"/>
      <c r="G86" s="84" t="n"/>
      <c r="H86" s="117" t="n"/>
      <c r="I86" s="118" t="n"/>
      <c r="J86" s="118" t="n"/>
      <c r="K86" s="98" t="n"/>
      <c r="L86" s="84" t="n"/>
      <c r="M86" s="84" t="n"/>
      <c r="N86" s="84" t="n"/>
      <c r="O86" s="84" t="n"/>
      <c r="P86" s="84" t="n"/>
      <c r="Q86" s="84" t="n"/>
      <c r="R86" s="84" t="n"/>
      <c r="S86" s="102" t="n"/>
      <c r="T86" s="102" t="n"/>
      <c r="U86" s="102" t="n"/>
      <c r="V86" s="102" t="n"/>
      <c r="W86" s="102" t="n"/>
      <c r="X86" s="102" t="n"/>
      <c r="Y86" s="102" t="n"/>
      <c r="Z86" s="102" t="n"/>
      <c r="AA86" s="102" t="n"/>
      <c r="AB86" s="102" t="n"/>
      <c r="AC86" s="102">
        <f>IFERROR(__xludf.DUMMYFUNCTION("""COMPUTED_VALUE"""),"42 x 36")</f>
        <v/>
      </c>
      <c r="AD86" s="102">
        <f>IFERROR(__xludf.DUMMYFUNCTION("""COMPUTED_VALUE"""),"42W / 36L")</f>
        <v/>
      </c>
    </row>
    <row r="87" ht="16.5" customHeight="1" s="176">
      <c r="A87" s="116" t="inlineStr">
        <is>
          <t>Carteras</t>
        </is>
      </c>
      <c r="B87" s="116" t="inlineStr">
        <is>
          <t>Accesorios</t>
        </is>
      </c>
      <c r="C87" s="116" t="inlineStr">
        <is>
          <t>Talla única</t>
        </is>
      </c>
      <c r="D87" s="182" t="n"/>
      <c r="E87" s="183" t="n"/>
      <c r="F87" s="84" t="n"/>
      <c r="G87" s="84" t="n"/>
      <c r="H87" s="117" t="n"/>
      <c r="I87" s="118" t="n"/>
      <c r="J87" s="118" t="n"/>
      <c r="K87" s="98" t="n"/>
      <c r="L87" s="84" t="n"/>
      <c r="M87" s="84" t="n"/>
      <c r="N87" s="84" t="n"/>
      <c r="O87" s="84" t="n"/>
      <c r="P87" s="84" t="n"/>
      <c r="Q87" s="84" t="n"/>
      <c r="R87" s="84" t="n"/>
      <c r="S87" s="102" t="n"/>
      <c r="T87" s="102" t="n"/>
      <c r="U87" s="102" t="n"/>
      <c r="V87" s="102" t="n"/>
      <c r="W87" s="102" t="n"/>
      <c r="X87" s="102" t="n"/>
      <c r="Y87" s="102" t="n"/>
      <c r="Z87" s="102" t="n"/>
      <c r="AA87" s="102" t="n"/>
      <c r="AB87" s="102" t="n"/>
      <c r="AC87" s="102">
        <f>IFERROR(__xludf.DUMMYFUNCTION("""COMPUTED_VALUE"""),"44 x 36")</f>
        <v/>
      </c>
      <c r="AD87" s="102">
        <f>IFERROR(__xludf.DUMMYFUNCTION("""COMPUTED_VALUE"""),"44W / 36L")</f>
        <v/>
      </c>
    </row>
    <row r="88" ht="16.5" customHeight="1" s="176">
      <c r="A88" s="116" t="inlineStr">
        <is>
          <t>Chalecos</t>
        </is>
      </c>
      <c r="B88" s="116" t="inlineStr">
        <is>
          <t>Ropa</t>
        </is>
      </c>
      <c r="C88" s="116" t="inlineStr">
        <is>
          <t>Talla Ropa</t>
        </is>
      </c>
      <c r="D88" s="182" t="n"/>
      <c r="E88" s="183" t="n"/>
      <c r="F88" s="84" t="n"/>
      <c r="G88" s="84" t="n"/>
      <c r="H88" s="117" t="n"/>
      <c r="I88" s="118" t="n"/>
      <c r="J88" s="118" t="n"/>
      <c r="K88" s="98" t="n"/>
      <c r="L88" s="84" t="n"/>
      <c r="M88" s="84" t="n"/>
      <c r="N88" s="84" t="n"/>
      <c r="O88" s="84" t="n"/>
      <c r="P88" s="84" t="n"/>
      <c r="Q88" s="84" t="n"/>
      <c r="R88" s="84" t="n"/>
      <c r="S88" s="102" t="n"/>
      <c r="T88" s="102" t="n"/>
      <c r="U88" s="102" t="n"/>
      <c r="V88" s="102" t="n"/>
      <c r="W88" s="102" t="n"/>
      <c r="X88" s="102" t="n"/>
      <c r="Y88" s="102" t="n"/>
      <c r="Z88" s="102" t="n"/>
      <c r="AA88" s="102" t="n"/>
      <c r="AB88" s="102" t="n"/>
      <c r="AC88" s="102">
        <f>IFERROR(__xludf.DUMMYFUNCTION("""COMPUTED_VALUE"""),"30 x 38")</f>
        <v/>
      </c>
      <c r="AD88" s="102">
        <f>IFERROR(__xludf.DUMMYFUNCTION("""COMPUTED_VALUE"""),"30W / 38L")</f>
        <v/>
      </c>
    </row>
    <row r="89" ht="16.5" customHeight="1" s="176">
      <c r="A89" s="116" t="inlineStr">
        <is>
          <t>Chamarras</t>
        </is>
      </c>
      <c r="B89" s="116" t="inlineStr">
        <is>
          <t>Ropa</t>
        </is>
      </c>
      <c r="C89" s="116" t="inlineStr">
        <is>
          <t>Talla Ropa</t>
        </is>
      </c>
      <c r="D89" s="182" t="n"/>
      <c r="E89" s="183" t="n"/>
      <c r="F89" s="84" t="n"/>
      <c r="G89" s="84" t="n"/>
      <c r="H89" s="117" t="n"/>
      <c r="I89" s="118" t="n"/>
      <c r="J89" s="118" t="n"/>
      <c r="K89" s="98" t="n"/>
      <c r="L89" s="84" t="n"/>
      <c r="M89" s="84" t="n"/>
      <c r="N89" s="84" t="n"/>
      <c r="O89" s="84" t="n"/>
      <c r="P89" s="84" t="n"/>
      <c r="Q89" s="84" t="n"/>
      <c r="R89" s="84" t="n"/>
      <c r="S89" s="102" t="n"/>
      <c r="T89" s="102" t="n"/>
      <c r="U89" s="102" t="n"/>
      <c r="V89" s="102" t="n"/>
      <c r="W89" s="102" t="n"/>
      <c r="X89" s="102" t="n"/>
      <c r="Y89" s="102" t="n"/>
      <c r="Z89" s="102" t="n"/>
      <c r="AA89" s="102" t="n"/>
      <c r="AB89" s="102" t="n"/>
      <c r="AC89" s="102">
        <f>IFERROR(__xludf.DUMMYFUNCTION("""COMPUTED_VALUE"""),"31 x 38")</f>
        <v/>
      </c>
      <c r="AD89" s="102">
        <f>IFERROR(__xludf.DUMMYFUNCTION("""COMPUTED_VALUE"""),"31W / 38L")</f>
        <v/>
      </c>
    </row>
    <row r="90" ht="16.5" customHeight="1" s="176">
      <c r="A90" s="116" t="inlineStr">
        <is>
          <t>Cinturones</t>
        </is>
      </c>
      <c r="B90" s="116" t="inlineStr">
        <is>
          <t>Accesorios</t>
        </is>
      </c>
      <c r="C90" s="116" t="inlineStr">
        <is>
          <t>Talla Cinturón</t>
        </is>
      </c>
      <c r="D90" s="182" t="n"/>
      <c r="E90" s="183" t="n"/>
      <c r="F90" s="84" t="n"/>
      <c r="G90" s="84" t="n"/>
      <c r="H90" s="117" t="n"/>
      <c r="I90" s="118" t="n"/>
      <c r="J90" s="118" t="n"/>
      <c r="K90" s="98" t="n"/>
      <c r="L90" s="84" t="n"/>
      <c r="M90" s="84" t="n"/>
      <c r="N90" s="84" t="n"/>
      <c r="O90" s="84" t="n"/>
      <c r="P90" s="84" t="n"/>
      <c r="Q90" s="84" t="n"/>
      <c r="R90" s="84" t="n"/>
      <c r="S90" s="102" t="n"/>
      <c r="T90" s="102" t="n"/>
      <c r="U90" s="102" t="n"/>
      <c r="V90" s="102" t="n"/>
      <c r="W90" s="102" t="n"/>
      <c r="X90" s="102" t="n"/>
      <c r="Y90" s="102" t="n"/>
      <c r="Z90" s="102" t="n"/>
      <c r="AA90" s="102" t="n"/>
      <c r="AB90" s="102" t="n"/>
      <c r="AC90" s="102">
        <f>IFERROR(__xludf.DUMMYFUNCTION("""COMPUTED_VALUE"""),"32 x 38")</f>
        <v/>
      </c>
      <c r="AD90" s="102">
        <f>IFERROR(__xludf.DUMMYFUNCTION("""COMPUTED_VALUE"""),"32W / 38L")</f>
        <v/>
      </c>
    </row>
    <row r="91" ht="16.5" customHeight="1" s="176">
      <c r="A91" s="116" t="inlineStr">
        <is>
          <t>Cobijas</t>
        </is>
      </c>
      <c r="B91" s="116" t="inlineStr">
        <is>
          <t>Accesorios</t>
        </is>
      </c>
      <c r="C91" s="116" t="inlineStr">
        <is>
          <t>Talla única</t>
        </is>
      </c>
      <c r="D91" s="182" t="n"/>
      <c r="E91" s="183" t="n"/>
      <c r="F91" s="84" t="n"/>
      <c r="G91" s="84" t="n"/>
      <c r="H91" s="117" t="n"/>
      <c r="I91" s="118" t="n"/>
      <c r="J91" s="118" t="n"/>
      <c r="K91" s="98" t="n"/>
      <c r="L91" s="84" t="n"/>
      <c r="M91" s="84" t="n"/>
      <c r="N91" s="84" t="n"/>
      <c r="O91" s="84" t="n"/>
      <c r="P91" s="84" t="n"/>
      <c r="Q91" s="84" t="n"/>
      <c r="R91" s="84" t="n"/>
      <c r="S91" s="102" t="n"/>
      <c r="T91" s="102" t="n"/>
      <c r="U91" s="102" t="n"/>
      <c r="V91" s="102" t="n"/>
      <c r="W91" s="102" t="n"/>
      <c r="X91" s="102" t="n"/>
      <c r="Y91" s="102" t="n"/>
      <c r="Z91" s="102" t="n"/>
      <c r="AA91" s="102" t="n"/>
      <c r="AB91" s="102" t="n"/>
      <c r="AC91" s="102">
        <f>IFERROR(__xludf.DUMMYFUNCTION("""COMPUTED_VALUE"""),"33 x 38")</f>
        <v/>
      </c>
      <c r="AD91" s="102">
        <f>IFERROR(__xludf.DUMMYFUNCTION("""COMPUTED_VALUE"""),"33W / 38L")</f>
        <v/>
      </c>
    </row>
    <row r="92" ht="16.5" customHeight="1" s="176">
      <c r="A92" s="116" t="inlineStr">
        <is>
          <t>Cuchillos</t>
        </is>
      </c>
      <c r="B92" s="116" t="inlineStr">
        <is>
          <t>Accesorios</t>
        </is>
      </c>
      <c r="C92" s="116" t="inlineStr">
        <is>
          <t>Talla única</t>
        </is>
      </c>
      <c r="D92" s="182" t="n"/>
      <c r="E92" s="183" t="n"/>
      <c r="F92" s="84" t="n"/>
      <c r="G92" s="84" t="n"/>
      <c r="H92" s="117" t="n"/>
      <c r="I92" s="118" t="n"/>
      <c r="J92" s="118" t="n"/>
      <c r="K92" s="98" t="n"/>
      <c r="L92" s="84" t="n"/>
      <c r="M92" s="84" t="n"/>
      <c r="N92" s="84" t="n"/>
      <c r="O92" s="84" t="n"/>
      <c r="P92" s="84" t="n"/>
      <c r="Q92" s="84" t="n"/>
      <c r="R92" s="84" t="n"/>
      <c r="S92" s="102" t="n"/>
      <c r="T92" s="102" t="n"/>
      <c r="U92" s="102" t="n"/>
      <c r="V92" s="102" t="n"/>
      <c r="W92" s="102" t="n"/>
      <c r="X92" s="102" t="n"/>
      <c r="Y92" s="102" t="n"/>
      <c r="Z92" s="102" t="n"/>
      <c r="AA92" s="102" t="n"/>
      <c r="AB92" s="102" t="n"/>
      <c r="AC92" s="102">
        <f>IFERROR(__xludf.DUMMYFUNCTION("""COMPUTED_VALUE"""),"34 x 38")</f>
        <v/>
      </c>
      <c r="AD92" s="102">
        <f>IFERROR(__xludf.DUMMYFUNCTION("""COMPUTED_VALUE"""),"34W / 38L")</f>
        <v/>
      </c>
    </row>
    <row r="93" ht="16.5" customHeight="1" s="176">
      <c r="A93" s="116" t="inlineStr">
        <is>
          <t>Cuidado de Botas</t>
        </is>
      </c>
      <c r="B93" s="116" t="inlineStr">
        <is>
          <t>Accesorios</t>
        </is>
      </c>
      <c r="C93" s="116" t="inlineStr">
        <is>
          <t>Contenido / Talla única</t>
        </is>
      </c>
      <c r="D93" s="182" t="n"/>
      <c r="E93" s="183" t="n"/>
      <c r="F93" s="84" t="n"/>
      <c r="G93" s="84" t="n"/>
      <c r="H93" s="117" t="n"/>
      <c r="I93" s="118" t="n"/>
      <c r="J93" s="118" t="n"/>
      <c r="K93" s="98" t="n"/>
      <c r="L93" s="84" t="n"/>
      <c r="M93" s="84" t="n"/>
      <c r="N93" s="84" t="n"/>
      <c r="O93" s="84" t="n"/>
      <c r="P93" s="84" t="n"/>
      <c r="Q93" s="84" t="n"/>
      <c r="R93" s="84" t="n"/>
      <c r="S93" s="102" t="n"/>
      <c r="T93" s="102" t="n"/>
      <c r="U93" s="102" t="n"/>
      <c r="V93" s="102" t="n"/>
      <c r="W93" s="102" t="n"/>
      <c r="X93" s="102" t="n"/>
      <c r="Y93" s="102" t="n"/>
      <c r="Z93" s="102" t="n"/>
      <c r="AA93" s="102" t="n"/>
      <c r="AB93" s="102" t="n"/>
      <c r="AC93" s="102">
        <f>IFERROR(__xludf.DUMMYFUNCTION("""COMPUTED_VALUE"""),"35 x 38")</f>
        <v/>
      </c>
      <c r="AD93" s="102">
        <f>IFERROR(__xludf.DUMMYFUNCTION("""COMPUTED_VALUE"""),"35W / 38L")</f>
        <v/>
      </c>
    </row>
    <row r="94" ht="16.5" customHeight="1" s="176">
      <c r="A94" s="116" t="inlineStr">
        <is>
          <t>Cuidado de Sombreros</t>
        </is>
      </c>
      <c r="B94" s="116" t="inlineStr">
        <is>
          <t>Accesorios</t>
        </is>
      </c>
      <c r="C94" s="116" t="inlineStr">
        <is>
          <t>Contenido / Talla Ropa / Talla única</t>
        </is>
      </c>
      <c r="D94" s="182" t="n"/>
      <c r="E94" s="183" t="n"/>
      <c r="F94" s="84" t="n"/>
      <c r="G94" s="84" t="n"/>
      <c r="H94" s="117" t="n"/>
      <c r="I94" s="118" t="n"/>
      <c r="J94" s="118" t="n"/>
      <c r="K94" s="98" t="n"/>
      <c r="L94" s="84" t="n"/>
      <c r="M94" s="84" t="n"/>
      <c r="N94" s="84" t="n"/>
      <c r="O94" s="84" t="n"/>
      <c r="P94" s="84" t="n"/>
      <c r="Q94" s="84" t="n"/>
      <c r="R94" s="84" t="n"/>
      <c r="S94" s="102" t="n"/>
      <c r="T94" s="102" t="n"/>
      <c r="U94" s="102" t="n"/>
      <c r="V94" s="102" t="n"/>
      <c r="W94" s="102" t="n"/>
      <c r="X94" s="102" t="n"/>
      <c r="Y94" s="102" t="n"/>
      <c r="Z94" s="102" t="n"/>
      <c r="AA94" s="102" t="n"/>
      <c r="AB94" s="102" t="n"/>
      <c r="AC94" s="102">
        <f>IFERROR(__xludf.DUMMYFUNCTION("""COMPUTED_VALUE"""),"36 x 38")</f>
        <v/>
      </c>
      <c r="AD94" s="102">
        <f>IFERROR(__xludf.DUMMYFUNCTION("""COMPUTED_VALUE"""),"36W / 38L")</f>
        <v/>
      </c>
    </row>
    <row r="95" ht="16.5" customHeight="1" s="176">
      <c r="A95" s="116" t="inlineStr">
        <is>
          <t>Equipaje</t>
        </is>
      </c>
      <c r="B95" s="116" t="inlineStr">
        <is>
          <t>Accesorios</t>
        </is>
      </c>
      <c r="C95" s="116" t="inlineStr">
        <is>
          <t>Talla única</t>
        </is>
      </c>
      <c r="D95" s="182" t="n"/>
      <c r="E95" s="183" t="n"/>
      <c r="F95" s="84" t="n"/>
      <c r="G95" s="84" t="n"/>
      <c r="H95" s="117" t="n"/>
      <c r="I95" s="118" t="n"/>
      <c r="J95" s="118" t="n"/>
      <c r="K95" s="98" t="n"/>
      <c r="L95" s="84" t="n"/>
      <c r="M95" s="84" t="n"/>
      <c r="N95" s="84" t="n"/>
      <c r="O95" s="84" t="n"/>
      <c r="P95" s="84" t="n"/>
      <c r="Q95" s="84" t="n"/>
      <c r="R95" s="84" t="n"/>
      <c r="S95" s="102" t="n"/>
      <c r="T95" s="102" t="n"/>
      <c r="U95" s="102" t="n"/>
      <c r="V95" s="102" t="n"/>
      <c r="W95" s="102" t="n"/>
      <c r="X95" s="102" t="n"/>
      <c r="Y95" s="102" t="n"/>
      <c r="Z95" s="102" t="n"/>
      <c r="AA95" s="102" t="n"/>
      <c r="AB95" s="102" t="n"/>
      <c r="AC95" s="102">
        <f>IFERROR(__xludf.DUMMYFUNCTION("""COMPUTED_VALUE"""),"38 x 38")</f>
        <v/>
      </c>
      <c r="AD95" s="102">
        <f>IFERROR(__xludf.DUMMYFUNCTION("""COMPUTED_VALUE"""),"38W / 38L")</f>
        <v/>
      </c>
    </row>
    <row r="96" ht="16.5" customHeight="1" s="176">
      <c r="A96" s="116" t="inlineStr">
        <is>
          <t>Estuches</t>
        </is>
      </c>
      <c r="B96" s="116" t="inlineStr">
        <is>
          <t>Accesorios</t>
        </is>
      </c>
      <c r="C96" s="116" t="inlineStr">
        <is>
          <t>Talla única</t>
        </is>
      </c>
      <c r="D96" s="182" t="n"/>
      <c r="E96" s="183" t="n"/>
      <c r="F96" s="84" t="n"/>
      <c r="G96" s="84" t="n"/>
      <c r="H96" s="117" t="n"/>
      <c r="I96" s="118" t="n"/>
      <c r="J96" s="118" t="n"/>
      <c r="K96" s="98" t="n"/>
      <c r="L96" s="84" t="n"/>
      <c r="M96" s="84" t="n"/>
      <c r="N96" s="84" t="n"/>
      <c r="O96" s="84" t="n"/>
      <c r="P96" s="84" t="n"/>
      <c r="Q96" s="84" t="n"/>
      <c r="R96" s="84" t="n"/>
      <c r="S96" s="102" t="n"/>
      <c r="T96" s="102" t="n"/>
      <c r="U96" s="102" t="n"/>
      <c r="V96" s="102" t="n"/>
      <c r="W96" s="102" t="n"/>
      <c r="X96" s="102" t="n"/>
      <c r="Y96" s="102" t="n"/>
      <c r="Z96" s="102" t="n"/>
      <c r="AA96" s="102" t="n"/>
      <c r="AB96" s="102" t="n"/>
      <c r="AC96" s="102">
        <f>IFERROR(__xludf.DUMMYFUNCTION("""COMPUTED_VALUE"""),"40 x 38")</f>
        <v/>
      </c>
      <c r="AD96" s="102">
        <f>IFERROR(__xludf.DUMMYFUNCTION("""COMPUTED_VALUE"""),"40W / 38L")</f>
        <v/>
      </c>
    </row>
    <row r="97" ht="16.5" customHeight="1" s="176">
      <c r="A97" s="116" t="inlineStr">
        <is>
          <t>Faldas</t>
        </is>
      </c>
      <c r="B97" s="116" t="inlineStr">
        <is>
          <t>Ropa</t>
        </is>
      </c>
      <c r="C97" s="116" t="inlineStr">
        <is>
          <t>Talla Ropa</t>
        </is>
      </c>
      <c r="D97" s="182" t="n"/>
      <c r="E97" s="183" t="n"/>
      <c r="F97" s="84" t="n"/>
      <c r="G97" s="84" t="n"/>
      <c r="H97" s="117" t="n"/>
      <c r="I97" s="118" t="n"/>
      <c r="J97" s="118" t="n"/>
      <c r="K97" s="98" t="n"/>
      <c r="L97" s="84" t="n"/>
      <c r="M97" s="84" t="n"/>
      <c r="N97" s="84" t="n"/>
      <c r="O97" s="84" t="n"/>
      <c r="P97" s="84" t="n"/>
      <c r="Q97" s="84" t="n"/>
      <c r="R97" s="84" t="n"/>
      <c r="S97" s="102" t="n"/>
      <c r="T97" s="102" t="n"/>
      <c r="U97" s="102" t="n"/>
      <c r="V97" s="102" t="n"/>
      <c r="W97" s="102" t="n"/>
      <c r="X97" s="102" t="n"/>
      <c r="Y97" s="102" t="n"/>
      <c r="Z97" s="102" t="n"/>
      <c r="AA97" s="102" t="n"/>
      <c r="AB97" s="102" t="n"/>
      <c r="AC97" s="102">
        <f>IFERROR(__xludf.DUMMYFUNCTION("""COMPUTED_VALUE"""),"42 x 38")</f>
        <v/>
      </c>
      <c r="AD97" s="102">
        <f>IFERROR(__xludf.DUMMYFUNCTION("""COMPUTED_VALUE"""),"42W / 38L")</f>
        <v/>
      </c>
    </row>
    <row r="98" ht="16.5" customHeight="1" s="176">
      <c r="A98" s="116" t="inlineStr">
        <is>
          <t>Fragancias</t>
        </is>
      </c>
      <c r="B98" s="116" t="inlineStr">
        <is>
          <t>Accesorios</t>
        </is>
      </c>
      <c r="C98" s="116" t="inlineStr">
        <is>
          <t>Contenido</t>
        </is>
      </c>
      <c r="D98" s="182" t="n"/>
      <c r="E98" s="183" t="n"/>
      <c r="F98" s="84" t="n"/>
      <c r="G98" s="84" t="n"/>
      <c r="H98" s="117" t="n"/>
      <c r="I98" s="118" t="n"/>
      <c r="J98" s="118" t="n"/>
      <c r="K98" s="98" t="n"/>
      <c r="L98" s="84" t="n"/>
      <c r="M98" s="84" t="n"/>
      <c r="N98" s="84" t="n"/>
      <c r="O98" s="84" t="n"/>
      <c r="P98" s="84" t="n"/>
      <c r="Q98" s="84" t="n"/>
      <c r="R98" s="84" t="n"/>
      <c r="S98" s="102" t="n"/>
      <c r="T98" s="102" t="n"/>
      <c r="U98" s="102" t="n"/>
      <c r="V98" s="102" t="n"/>
      <c r="W98" s="102" t="n"/>
      <c r="X98" s="102" t="n"/>
      <c r="Y98" s="102" t="n"/>
      <c r="Z98" s="102" t="n"/>
      <c r="AA98" s="102" t="n"/>
      <c r="AB98" s="102" t="n"/>
      <c r="AC98" s="102">
        <f>IFERROR(__xludf.DUMMYFUNCTION("""COMPUTED_VALUE"""),"44 x 38")</f>
        <v/>
      </c>
      <c r="AD98" s="102">
        <f>IFERROR(__xludf.DUMMYFUNCTION("""COMPUTED_VALUE"""),"44W / 38L")</f>
        <v/>
      </c>
    </row>
    <row r="99" ht="16.5" customHeight="1" s="176">
      <c r="A99" s="116" t="inlineStr">
        <is>
          <t>Gorras</t>
        </is>
      </c>
      <c r="B99" s="116" t="inlineStr">
        <is>
          <t>Accesorios</t>
        </is>
      </c>
      <c r="C99" s="116" t="inlineStr">
        <is>
          <t>Talla única</t>
        </is>
      </c>
      <c r="D99" s="182" t="n"/>
      <c r="E99" s="183" t="n"/>
      <c r="F99" s="84" t="n"/>
      <c r="G99" s="84" t="n"/>
      <c r="H99" s="117" t="n"/>
      <c r="I99" s="118" t="n"/>
      <c r="J99" s="118" t="n"/>
      <c r="K99" s="98" t="n"/>
      <c r="L99" s="84" t="n"/>
      <c r="M99" s="84" t="n"/>
      <c r="N99" s="84" t="n"/>
      <c r="O99" s="84" t="n"/>
      <c r="P99" s="84" t="n"/>
      <c r="Q99" s="84" t="n"/>
      <c r="R99" s="84" t="n"/>
      <c r="S99" s="102" t="n"/>
      <c r="T99" s="102" t="n"/>
      <c r="U99" s="102" t="n"/>
      <c r="V99" s="102" t="n"/>
      <c r="W99" s="102" t="n"/>
      <c r="X99" s="102" t="n"/>
      <c r="Y99" s="102" t="n"/>
      <c r="Z99" s="102" t="n"/>
      <c r="AA99" s="102" t="n"/>
      <c r="AB99" s="102" t="n"/>
      <c r="AC99" s="102">
        <f>IFERROR(__xludf.DUMMYFUNCTION("""COMPUTED_VALUE"""),3.0)</f>
        <v/>
      </c>
      <c r="AD99" s="102">
        <f>IFERROR(__xludf.DUMMYFUNCTION("""COMPUTED_VALUE"""),"0 Long")</f>
        <v/>
      </c>
    </row>
    <row r="100" ht="16.5" customHeight="1" s="176">
      <c r="A100" s="116" t="inlineStr">
        <is>
          <t>Hebillas</t>
        </is>
      </c>
      <c r="B100" s="116" t="inlineStr">
        <is>
          <t>Accesorios</t>
        </is>
      </c>
      <c r="C100" s="116" t="inlineStr">
        <is>
          <t>Talla única</t>
        </is>
      </c>
      <c r="D100" s="182" t="n"/>
      <c r="E100" s="183" t="n"/>
      <c r="F100" s="84" t="n"/>
      <c r="G100" s="84" t="n"/>
      <c r="H100" s="117" t="n"/>
      <c r="I100" s="118" t="n"/>
      <c r="J100" s="118" t="n"/>
      <c r="K100" s="98" t="n"/>
      <c r="L100" s="84" t="n"/>
      <c r="M100" s="84" t="n"/>
      <c r="N100" s="84" t="n"/>
      <c r="O100" s="84" t="n"/>
      <c r="P100" s="84" t="n"/>
      <c r="Q100" s="84" t="n"/>
      <c r="R100" s="84" t="n"/>
      <c r="S100" s="102" t="n"/>
      <c r="T100" s="102" t="n"/>
      <c r="U100" s="102" t="n"/>
      <c r="V100" s="102" t="n"/>
      <c r="W100" s="102" t="n"/>
      <c r="X100" s="102" t="n"/>
      <c r="Y100" s="102" t="n"/>
      <c r="Z100" s="102" t="n"/>
      <c r="AA100" s="102" t="n"/>
      <c r="AB100" s="102" t="n"/>
      <c r="AC100" s="102">
        <f>IFERROR(__xludf.DUMMYFUNCTION("""COMPUTED_VALUE"""),5.0)</f>
        <v/>
      </c>
      <c r="AD100" s="102">
        <f>IFERROR(__xludf.DUMMYFUNCTION("""COMPUTED_VALUE"""),"2 Long")</f>
        <v/>
      </c>
    </row>
    <row r="101" ht="16.5" customHeight="1" s="176">
      <c r="A101" s="116" t="inlineStr">
        <is>
          <t>Jeans</t>
        </is>
      </c>
      <c r="B101" s="116" t="inlineStr">
        <is>
          <t>Denim</t>
        </is>
      </c>
      <c r="C101" s="116" t="inlineStr">
        <is>
          <t>Hombre: Cintura Jean + Largo Jean · Mujer: Talla Jean Dama (Regular / Largo) · Niño/Niña: Talla Niño</t>
        </is>
      </c>
      <c r="D101" s="182" t="n"/>
      <c r="E101" s="183" t="n"/>
      <c r="F101" s="84" t="n"/>
      <c r="G101" s="84" t="n"/>
      <c r="H101" s="117" t="n"/>
      <c r="I101" s="118" t="n"/>
      <c r="J101" s="118" t="n"/>
      <c r="K101" s="98" t="n"/>
      <c r="L101" s="84" t="n"/>
      <c r="M101" s="84" t="n"/>
      <c r="N101" s="84" t="n"/>
      <c r="O101" s="84" t="n"/>
      <c r="P101" s="84" t="n"/>
      <c r="Q101" s="84" t="n"/>
      <c r="R101" s="84" t="n"/>
      <c r="S101" s="102" t="n"/>
      <c r="T101" s="102" t="n"/>
      <c r="U101" s="102" t="n"/>
      <c r="V101" s="102" t="n"/>
      <c r="W101" s="102" t="n"/>
      <c r="X101" s="102" t="n"/>
      <c r="Y101" s="102" t="n"/>
      <c r="Z101" s="102" t="n"/>
      <c r="AA101" s="102" t="n"/>
      <c r="AB101" s="102" t="n"/>
      <c r="AC101" s="102">
        <f>IFERROR(__xludf.DUMMYFUNCTION("""COMPUTED_VALUE"""),7.0)</f>
        <v/>
      </c>
      <c r="AD101" s="102">
        <f>IFERROR(__xludf.DUMMYFUNCTION("""COMPUTED_VALUE"""),"4 Long")</f>
        <v/>
      </c>
    </row>
    <row r="102" ht="16.5" customHeight="1" s="176">
      <c r="A102" s="116" t="inlineStr">
        <is>
          <t>Joyeria</t>
        </is>
      </c>
      <c r="B102" s="116" t="inlineStr">
        <is>
          <t>Accesorios</t>
        </is>
      </c>
      <c r="C102" s="116" t="inlineStr">
        <is>
          <t>Talla única</t>
        </is>
      </c>
      <c r="D102" s="182" t="n"/>
      <c r="E102" s="183" t="n"/>
      <c r="F102" s="84" t="n"/>
      <c r="G102" s="84" t="n"/>
      <c r="H102" s="117" t="n"/>
      <c r="I102" s="118" t="n"/>
      <c r="J102" s="118" t="n"/>
      <c r="K102" s="98" t="n"/>
      <c r="L102" s="84" t="n"/>
      <c r="M102" s="84" t="n"/>
      <c r="N102" s="84" t="n"/>
      <c r="O102" s="84" t="n"/>
      <c r="P102" s="84" t="n"/>
      <c r="Q102" s="84" t="n"/>
      <c r="R102" s="84" t="n"/>
      <c r="S102" s="102" t="n"/>
      <c r="T102" s="102" t="n"/>
      <c r="U102" s="102" t="n"/>
      <c r="V102" s="102" t="n"/>
      <c r="W102" s="102" t="n"/>
      <c r="X102" s="102" t="n"/>
      <c r="Y102" s="102" t="n"/>
      <c r="Z102" s="102" t="n"/>
      <c r="AA102" s="102" t="n"/>
      <c r="AB102" s="102" t="n"/>
      <c r="AC102" s="102">
        <f>IFERROR(__xludf.DUMMYFUNCTION("""COMPUTED_VALUE"""),9.0)</f>
        <v/>
      </c>
      <c r="AD102" s="102">
        <f>IFERROR(__xludf.DUMMYFUNCTION("""COMPUTED_VALUE"""),"6 Long")</f>
        <v/>
      </c>
    </row>
    <row r="103" ht="16.5" customHeight="1" s="176">
      <c r="A103" s="116" t="inlineStr">
        <is>
          <t>Jumpsuits</t>
        </is>
      </c>
      <c r="B103" s="116" t="inlineStr">
        <is>
          <t>Ropa</t>
        </is>
      </c>
      <c r="C103" s="116" t="inlineStr">
        <is>
          <t>Talla Ropa</t>
        </is>
      </c>
      <c r="D103" s="182" t="n"/>
      <c r="E103" s="183" t="n"/>
      <c r="F103" s="84" t="n"/>
      <c r="G103" s="84" t="n"/>
      <c r="H103" s="117" t="n"/>
      <c r="I103" s="118" t="n"/>
      <c r="J103" s="118" t="n"/>
      <c r="K103" s="98" t="n"/>
      <c r="L103" s="84" t="n"/>
      <c r="M103" s="84" t="n"/>
      <c r="N103" s="84" t="n"/>
      <c r="O103" s="84" t="n"/>
      <c r="P103" s="84" t="n"/>
      <c r="Q103" s="84" t="n"/>
      <c r="R103" s="84" t="n"/>
      <c r="S103" s="102" t="n"/>
      <c r="T103" s="102" t="n"/>
      <c r="U103" s="102" t="n"/>
      <c r="V103" s="102" t="n"/>
      <c r="W103" s="102" t="n"/>
      <c r="X103" s="102" t="n"/>
      <c r="Y103" s="102" t="n"/>
      <c r="Z103" s="102" t="n"/>
      <c r="AA103" s="102" t="n"/>
      <c r="AB103" s="102" t="n"/>
      <c r="AC103" s="102">
        <f>IFERROR(__xludf.DUMMYFUNCTION("""COMPUTED_VALUE"""),11.0)</f>
        <v/>
      </c>
      <c r="AD103" s="102">
        <f>IFERROR(__xludf.DUMMYFUNCTION("""COMPUTED_VALUE"""),"8 Long")</f>
        <v/>
      </c>
    </row>
    <row r="104" ht="16.5" customHeight="1" s="176">
      <c r="A104" s="116" t="inlineStr">
        <is>
          <t>Libros</t>
        </is>
      </c>
      <c r="B104" s="116" t="inlineStr">
        <is>
          <t>Accesorios</t>
        </is>
      </c>
      <c r="C104" s="116" t="inlineStr">
        <is>
          <t>Talla única</t>
        </is>
      </c>
      <c r="D104" s="182" t="n"/>
      <c r="E104" s="183" t="n"/>
      <c r="F104" s="84" t="n"/>
      <c r="G104" s="84" t="n"/>
      <c r="H104" s="117" t="n"/>
      <c r="I104" s="118" t="n"/>
      <c r="J104" s="118" t="n"/>
      <c r="K104" s="98" t="n"/>
      <c r="L104" s="84" t="n"/>
      <c r="M104" s="84" t="n"/>
      <c r="N104" s="84" t="n"/>
      <c r="O104" s="84" t="n"/>
      <c r="P104" s="84" t="n"/>
      <c r="Q104" s="84" t="n"/>
      <c r="R104" s="84" t="n"/>
      <c r="S104" s="102" t="n"/>
      <c r="T104" s="102" t="n"/>
      <c r="U104" s="102" t="n"/>
      <c r="V104" s="102" t="n"/>
      <c r="W104" s="102" t="n"/>
      <c r="X104" s="102" t="n"/>
      <c r="Y104" s="102" t="n"/>
      <c r="Z104" s="102" t="n"/>
      <c r="AA104" s="102" t="n"/>
      <c r="AB104" s="102" t="n"/>
      <c r="AC104" s="102">
        <f>IFERROR(__xludf.DUMMYFUNCTION("""COMPUTED_VALUE"""),13.0)</f>
        <v/>
      </c>
      <c r="AD104" s="102">
        <f>IFERROR(__xludf.DUMMYFUNCTION("""COMPUTED_VALUE"""),"10 Long")</f>
        <v/>
      </c>
    </row>
    <row r="105" ht="16.5" customHeight="1" s="176">
      <c r="A105" s="116" t="inlineStr">
        <is>
          <t>Llaveros</t>
        </is>
      </c>
      <c r="B105" s="116" t="inlineStr">
        <is>
          <t>Accesorios</t>
        </is>
      </c>
      <c r="C105" s="116" t="inlineStr">
        <is>
          <t>Talla única</t>
        </is>
      </c>
      <c r="D105" s="182" t="n"/>
      <c r="E105" s="183" t="n"/>
      <c r="F105" s="84" t="n"/>
      <c r="G105" s="84" t="n"/>
      <c r="H105" s="117" t="n"/>
      <c r="I105" s="118" t="n"/>
      <c r="J105" s="118" t="n"/>
      <c r="K105" s="98" t="n"/>
      <c r="L105" s="84" t="n"/>
      <c r="M105" s="84" t="n"/>
      <c r="N105" s="84" t="n"/>
      <c r="O105" s="84" t="n"/>
      <c r="P105" s="84" t="n"/>
      <c r="Q105" s="84" t="n"/>
      <c r="R105" s="84" t="n"/>
      <c r="S105" s="102" t="n"/>
      <c r="T105" s="102" t="n"/>
      <c r="U105" s="102" t="n"/>
      <c r="V105" s="102" t="n"/>
      <c r="W105" s="102" t="n"/>
      <c r="X105" s="102" t="n"/>
      <c r="Y105" s="102" t="n"/>
      <c r="Z105" s="102" t="n"/>
      <c r="AA105" s="102" t="n"/>
      <c r="AB105" s="102" t="n"/>
      <c r="AC105" s="102">
        <f>IFERROR(__xludf.DUMMYFUNCTION("""COMPUTED_VALUE"""),15.0)</f>
        <v/>
      </c>
      <c r="AD105" s="102">
        <f>IFERROR(__xludf.DUMMYFUNCTION("""COMPUTED_VALUE"""),"12 Long")</f>
        <v/>
      </c>
    </row>
    <row r="106" ht="16.5" customHeight="1" s="176">
      <c r="A106" s="116" t="inlineStr">
        <is>
          <t>Mascotas</t>
        </is>
      </c>
      <c r="B106" s="116" t="inlineStr">
        <is>
          <t>Accesorios</t>
        </is>
      </c>
      <c r="C106" s="116" t="inlineStr">
        <is>
          <t>Talla Ropa</t>
        </is>
      </c>
      <c r="D106" s="182" t="n"/>
      <c r="E106" s="183" t="n"/>
      <c r="F106" s="84" t="n"/>
      <c r="G106" s="84" t="n"/>
      <c r="H106" s="117" t="n"/>
      <c r="I106" s="118" t="n"/>
      <c r="J106" s="118" t="n"/>
      <c r="K106" s="98" t="n"/>
      <c r="L106" s="84" t="n"/>
      <c r="M106" s="84" t="n"/>
      <c r="N106" s="84" t="n"/>
      <c r="O106" s="84" t="n"/>
      <c r="P106" s="84" t="n"/>
      <c r="Q106" s="84" t="n"/>
      <c r="R106" s="84" t="n"/>
      <c r="S106" s="102" t="n"/>
      <c r="T106" s="102" t="n"/>
      <c r="U106" s="102" t="n"/>
      <c r="V106" s="102" t="n"/>
      <c r="W106" s="102" t="n"/>
      <c r="X106" s="102" t="n"/>
      <c r="Y106" s="102" t="n"/>
      <c r="Z106" s="102" t="n"/>
      <c r="AA106" s="102" t="n"/>
      <c r="AB106" s="102" t="n"/>
      <c r="AC106" s="102">
        <f>IFERROR(__xludf.DUMMYFUNCTION("""COMPUTED_VALUE"""),17.0)</f>
        <v/>
      </c>
      <c r="AD106" s="102">
        <f>IFERROR(__xludf.DUMMYFUNCTION("""COMPUTED_VALUE"""),"14 Long")</f>
        <v/>
      </c>
    </row>
    <row r="107" ht="16.5" customHeight="1" s="176">
      <c r="A107" s="116" t="inlineStr">
        <is>
          <t>Mochilas</t>
        </is>
      </c>
      <c r="B107" s="116" t="inlineStr">
        <is>
          <t>Accesorios</t>
        </is>
      </c>
      <c r="C107" s="116" t="inlineStr">
        <is>
          <t>Talla única</t>
        </is>
      </c>
      <c r="D107" s="182" t="n"/>
      <c r="E107" s="183" t="n"/>
      <c r="F107" s="84" t="n"/>
      <c r="G107" s="84" t="n"/>
      <c r="H107" s="117" t="n"/>
      <c r="I107" s="118" t="n"/>
      <c r="J107" s="118" t="n"/>
      <c r="K107" s="98" t="n"/>
      <c r="L107" s="84" t="n"/>
      <c r="M107" s="84" t="n"/>
      <c r="N107" s="84" t="n"/>
      <c r="O107" s="84" t="n"/>
      <c r="P107" s="84" t="n"/>
      <c r="Q107" s="84" t="n"/>
      <c r="R107" s="84" t="n"/>
      <c r="S107" s="102" t="n"/>
      <c r="T107" s="102" t="n"/>
      <c r="U107" s="102" t="n"/>
      <c r="V107" s="102" t="n"/>
      <c r="W107" s="102" t="n"/>
      <c r="X107" s="102" t="n"/>
      <c r="Y107" s="102" t="n"/>
      <c r="Z107" s="102" t="n"/>
      <c r="AA107" s="102" t="n"/>
      <c r="AB107" s="102" t="n"/>
      <c r="AC107" s="102">
        <f>IFERROR(__xludf.DUMMYFUNCTION("""COMPUTED_VALUE"""),19.0)</f>
        <v/>
      </c>
      <c r="AD107" s="102">
        <f>IFERROR(__xludf.DUMMYFUNCTION("""COMPUTED_VALUE"""),"16 Long")</f>
        <v/>
      </c>
    </row>
    <row r="108" ht="16.5" customHeight="1" s="176">
      <c r="A108" s="116" t="inlineStr">
        <is>
          <t>Pantalones</t>
        </is>
      </c>
      <c r="B108" s="116" t="inlineStr">
        <is>
          <t>Ropa</t>
        </is>
      </c>
      <c r="C108" s="116" t="inlineStr">
        <is>
          <t>Hombre: Cintura Jean + Largo Jean · Mujer: Talla Jean Dama</t>
        </is>
      </c>
      <c r="D108" s="182" t="n"/>
      <c r="E108" s="183" t="n"/>
      <c r="F108" s="84" t="n"/>
      <c r="G108" s="84" t="n"/>
      <c r="H108" s="117" t="n"/>
      <c r="I108" s="118" t="n"/>
      <c r="J108" s="118" t="n"/>
      <c r="K108" s="98" t="n"/>
      <c r="L108" s="84" t="n"/>
      <c r="M108" s="84" t="n"/>
      <c r="N108" s="84" t="n"/>
      <c r="O108" s="84" t="n"/>
      <c r="P108" s="84" t="n"/>
      <c r="Q108" s="84" t="n"/>
      <c r="R108" s="84" t="n"/>
      <c r="S108" s="102" t="n"/>
      <c r="T108" s="102" t="n"/>
      <c r="U108" s="102" t="n"/>
      <c r="V108" s="102" t="n"/>
      <c r="W108" s="102" t="n"/>
      <c r="X108" s="102" t="n"/>
      <c r="Y108" s="102" t="n"/>
      <c r="Z108" s="102" t="n"/>
      <c r="AA108" s="102" t="n"/>
      <c r="AB108" s="102" t="n"/>
      <c r="AC108" s="102">
        <f>IFERROR(__xludf.DUMMYFUNCTION("""COMPUTED_VALUE"""),"3 Largo")</f>
        <v/>
      </c>
      <c r="AD108" s="102">
        <f>IFERROR(__xludf.DUMMYFUNCTION("""COMPUTED_VALUE"""),"6 3/4")</f>
        <v/>
      </c>
    </row>
    <row r="109" ht="16.5" customHeight="1" s="176">
      <c r="A109" s="116" t="inlineStr">
        <is>
          <t>Pantuflas</t>
        </is>
      </c>
      <c r="B109" s="116" t="inlineStr">
        <is>
          <t>Calzado</t>
        </is>
      </c>
      <c r="C109" s="116" t="inlineStr">
        <is>
          <t>Talla Calzado MX</t>
        </is>
      </c>
      <c r="D109" s="182" t="n"/>
      <c r="E109" s="183" t="n"/>
      <c r="F109" s="84" t="n"/>
      <c r="G109" s="84" t="n"/>
      <c r="H109" s="117" t="n"/>
      <c r="I109" s="118" t="n"/>
      <c r="J109" s="118" t="n"/>
      <c r="K109" s="98" t="n"/>
      <c r="L109" s="84" t="n"/>
      <c r="M109" s="84" t="n"/>
      <c r="N109" s="84" t="n"/>
      <c r="O109" s="84" t="n"/>
      <c r="P109" s="84" t="n"/>
      <c r="Q109" s="84" t="n"/>
      <c r="R109" s="84" t="n"/>
      <c r="S109" s="102" t="n"/>
      <c r="T109" s="102" t="n"/>
      <c r="U109" s="102" t="n"/>
      <c r="V109" s="102" t="n"/>
      <c r="W109" s="102" t="n"/>
      <c r="X109" s="102" t="n"/>
      <c r="Y109" s="102" t="n"/>
      <c r="Z109" s="102" t="n"/>
      <c r="AA109" s="102" t="n"/>
      <c r="AB109" s="102" t="n"/>
      <c r="AC109" s="102">
        <f>IFERROR(__xludf.DUMMYFUNCTION("""COMPUTED_VALUE"""),"5 Largo")</f>
        <v/>
      </c>
      <c r="AD109" s="102">
        <f>IFERROR(__xludf.DUMMYFUNCTION("""COMPUTED_VALUE"""),"6 7/8")</f>
        <v/>
      </c>
    </row>
    <row r="110" ht="16.5" customHeight="1" s="176">
      <c r="A110" s="116" t="inlineStr">
        <is>
          <t>Pijamas</t>
        </is>
      </c>
      <c r="B110" s="116" t="inlineStr">
        <is>
          <t>Ropa</t>
        </is>
      </c>
      <c r="C110" s="116" t="inlineStr">
        <is>
          <t>Talla Ropa</t>
        </is>
      </c>
      <c r="D110" s="182" t="n"/>
      <c r="E110" s="183" t="n"/>
      <c r="F110" s="84" t="n"/>
      <c r="G110" s="84" t="n"/>
      <c r="H110" s="117" t="n"/>
      <c r="I110" s="118" t="n"/>
      <c r="J110" s="118" t="n"/>
      <c r="K110" s="98" t="n"/>
      <c r="L110" s="84" t="n"/>
      <c r="M110" s="84" t="n"/>
      <c r="N110" s="84" t="n"/>
      <c r="O110" s="84" t="n"/>
      <c r="P110" s="84" t="n"/>
      <c r="Q110" s="84" t="n"/>
      <c r="R110" s="84" t="n"/>
      <c r="S110" s="102" t="n"/>
      <c r="T110" s="102" t="n"/>
      <c r="U110" s="102" t="n"/>
      <c r="V110" s="102" t="n"/>
      <c r="W110" s="102" t="n"/>
      <c r="X110" s="102" t="n"/>
      <c r="Y110" s="102" t="n"/>
      <c r="Z110" s="102" t="n"/>
      <c r="AA110" s="102" t="n"/>
      <c r="AB110" s="102" t="n"/>
      <c r="AC110" s="102">
        <f>IFERROR(__xludf.DUMMYFUNCTION("""COMPUTED_VALUE"""),"7 Largo")</f>
        <v/>
      </c>
      <c r="AD110" s="102">
        <f>IFERROR(__xludf.DUMMYFUNCTION("""COMPUTED_VALUE"""),7.0)</f>
        <v/>
      </c>
    </row>
    <row r="111" ht="16.5" customHeight="1" s="176">
      <c r="A111" s="116" t="inlineStr">
        <is>
          <t>Playeras</t>
        </is>
      </c>
      <c r="B111" s="116" t="inlineStr">
        <is>
          <t>Ropa</t>
        </is>
      </c>
      <c r="C111" s="116" t="inlineStr">
        <is>
          <t>Talla Ropa</t>
        </is>
      </c>
      <c r="D111" s="182" t="n"/>
      <c r="E111" s="183" t="n"/>
      <c r="F111" s="84" t="n"/>
      <c r="G111" s="84" t="n"/>
      <c r="H111" s="117" t="n"/>
      <c r="I111" s="118" t="n"/>
      <c r="J111" s="118" t="n"/>
      <c r="K111" s="98" t="n"/>
      <c r="L111" s="84" t="n"/>
      <c r="M111" s="84" t="n"/>
      <c r="N111" s="84" t="n"/>
      <c r="O111" s="84" t="n"/>
      <c r="P111" s="84" t="n"/>
      <c r="Q111" s="84" t="n"/>
      <c r="R111" s="84" t="n"/>
      <c r="S111" s="102" t="n"/>
      <c r="T111" s="102" t="n"/>
      <c r="U111" s="102" t="n"/>
      <c r="V111" s="102" t="n"/>
      <c r="W111" s="102" t="n"/>
      <c r="X111" s="102" t="n"/>
      <c r="Y111" s="102" t="n"/>
      <c r="Z111" s="102" t="n"/>
      <c r="AA111" s="102" t="n"/>
      <c r="AB111" s="102" t="n"/>
      <c r="AC111" s="102">
        <f>IFERROR(__xludf.DUMMYFUNCTION("""COMPUTED_VALUE"""),"9 Largo")</f>
        <v/>
      </c>
      <c r="AD111" s="102">
        <f>IFERROR(__xludf.DUMMYFUNCTION("""COMPUTED_VALUE"""),"7 1/8")</f>
        <v/>
      </c>
    </row>
    <row r="112" ht="16.5" customHeight="1" s="176">
      <c r="A112" s="116" t="inlineStr">
        <is>
          <t>Plumas para sombrero</t>
        </is>
      </c>
      <c r="B112" s="116" t="inlineStr">
        <is>
          <t>Accesorios</t>
        </is>
      </c>
      <c r="C112" s="116" t="inlineStr">
        <is>
          <t>Talla única</t>
        </is>
      </c>
      <c r="D112" s="182" t="n"/>
      <c r="E112" s="183" t="n"/>
      <c r="F112" s="84" t="n"/>
      <c r="G112" s="84" t="n"/>
      <c r="H112" s="117" t="n"/>
      <c r="I112" s="118" t="n"/>
      <c r="J112" s="118" t="n"/>
      <c r="K112" s="98" t="n"/>
      <c r="L112" s="84" t="n"/>
      <c r="M112" s="84" t="n"/>
      <c r="N112" s="84" t="n"/>
      <c r="O112" s="84" t="n"/>
      <c r="P112" s="84" t="n"/>
      <c r="Q112" s="84" t="n"/>
      <c r="R112" s="84" t="n"/>
      <c r="S112" s="102" t="n"/>
      <c r="T112" s="102" t="n"/>
      <c r="U112" s="102" t="n"/>
      <c r="V112" s="102" t="n"/>
      <c r="W112" s="102" t="n"/>
      <c r="X112" s="102" t="n"/>
      <c r="Y112" s="102" t="n"/>
      <c r="Z112" s="102" t="n"/>
      <c r="AA112" s="102" t="n"/>
      <c r="AB112" s="102" t="n"/>
      <c r="AC112" s="102">
        <f>IFERROR(__xludf.DUMMYFUNCTION("""COMPUTED_VALUE"""),"11 Largo")</f>
        <v/>
      </c>
      <c r="AD112" s="102">
        <f>IFERROR(__xludf.DUMMYFUNCTION("""COMPUTED_VALUE"""),"7 1/4")</f>
        <v/>
      </c>
    </row>
    <row r="113" ht="16.5" customHeight="1" s="176">
      <c r="A113" s="116" t="inlineStr">
        <is>
          <t>Shorts</t>
        </is>
      </c>
      <c r="B113" s="116" t="inlineStr">
        <is>
          <t>Ropa</t>
        </is>
      </c>
      <c r="C113" s="116" t="inlineStr">
        <is>
          <t>Hombre: Talla Short Hombre · Mujer: Talla Jean Dama (Regular)</t>
        </is>
      </c>
      <c r="D113" s="182" t="n"/>
      <c r="E113" s="183" t="n"/>
      <c r="F113" s="84" t="n"/>
      <c r="G113" s="84" t="n"/>
      <c r="H113" s="117" t="n"/>
      <c r="I113" s="118" t="n"/>
      <c r="J113" s="118" t="n"/>
      <c r="K113" s="98" t="n"/>
      <c r="L113" s="84" t="n"/>
      <c r="M113" s="84" t="n"/>
      <c r="N113" s="84" t="n"/>
      <c r="O113" s="84" t="n"/>
      <c r="P113" s="84" t="n"/>
      <c r="Q113" s="84" t="n"/>
      <c r="R113" s="84" t="n"/>
      <c r="S113" s="102" t="n"/>
      <c r="T113" s="102" t="n"/>
      <c r="U113" s="102" t="n"/>
      <c r="V113" s="102" t="n"/>
      <c r="W113" s="102" t="n"/>
      <c r="X113" s="102" t="n"/>
      <c r="Y113" s="102" t="n"/>
      <c r="Z113" s="102" t="n"/>
      <c r="AA113" s="102" t="n"/>
      <c r="AB113" s="102" t="n"/>
      <c r="AC113" s="102">
        <f>IFERROR(__xludf.DUMMYFUNCTION("""COMPUTED_VALUE"""),"13 Largo")</f>
        <v/>
      </c>
      <c r="AD113" s="102">
        <f>IFERROR(__xludf.DUMMYFUNCTION("""COMPUTED_VALUE"""),"7 3/8")</f>
        <v/>
      </c>
    </row>
    <row r="114" ht="16.5" customHeight="1" s="176">
      <c r="A114" s="116" t="inlineStr">
        <is>
          <t>Sombreros</t>
        </is>
      </c>
      <c r="B114" s="116" t="inlineStr">
        <is>
          <t>Accesorios</t>
        </is>
      </c>
      <c r="C114" s="116" t="inlineStr">
        <is>
          <t>Talla Sombrero</t>
        </is>
      </c>
      <c r="D114" s="182" t="n"/>
      <c r="E114" s="183" t="n"/>
      <c r="F114" s="84" t="n"/>
      <c r="G114" s="84" t="n"/>
      <c r="H114" s="117" t="n"/>
      <c r="I114" s="118" t="n"/>
      <c r="J114" s="118" t="n"/>
      <c r="K114" s="98" t="n"/>
      <c r="L114" s="84" t="n"/>
      <c r="M114" s="84" t="n"/>
      <c r="N114" s="84" t="n"/>
      <c r="O114" s="84" t="n"/>
      <c r="P114" s="84" t="n"/>
      <c r="Q114" s="84" t="n"/>
      <c r="R114" s="84" t="n"/>
      <c r="S114" s="102" t="n"/>
      <c r="T114" s="102" t="n"/>
      <c r="U114" s="102" t="n"/>
      <c r="V114" s="102" t="n"/>
      <c r="W114" s="102" t="n"/>
      <c r="X114" s="102" t="n"/>
      <c r="Y114" s="102" t="n"/>
      <c r="Z114" s="102" t="n"/>
      <c r="AA114" s="102" t="n"/>
      <c r="AB114" s="102" t="n"/>
      <c r="AC114" s="102">
        <f>IFERROR(__xludf.DUMMYFUNCTION("""COMPUTED_VALUE"""),"15 Largo")</f>
        <v/>
      </c>
      <c r="AD114" s="102">
        <f>IFERROR(__xludf.DUMMYFUNCTION("""COMPUTED_VALUE"""),"7 1/2")</f>
        <v/>
      </c>
    </row>
    <row r="115" ht="16.5" customHeight="1" s="176">
      <c r="A115" s="116" t="inlineStr">
        <is>
          <t>Sudaderas</t>
        </is>
      </c>
      <c r="B115" s="116" t="inlineStr">
        <is>
          <t>Ropa</t>
        </is>
      </c>
      <c r="C115" s="116" t="inlineStr">
        <is>
          <t>Talla Ropa</t>
        </is>
      </c>
      <c r="D115" s="182" t="n"/>
      <c r="E115" s="183" t="n"/>
      <c r="F115" s="84" t="n"/>
      <c r="G115" s="84" t="n"/>
      <c r="H115" s="117" t="n"/>
      <c r="I115" s="118" t="n"/>
      <c r="J115" s="118" t="n"/>
      <c r="K115" s="98" t="n"/>
      <c r="L115" s="84" t="n"/>
      <c r="M115" s="84" t="n"/>
      <c r="N115" s="84" t="n"/>
      <c r="O115" s="84" t="n"/>
      <c r="P115" s="84" t="n"/>
      <c r="Q115" s="84" t="n"/>
      <c r="R115" s="84" t="n"/>
      <c r="S115" s="102" t="n"/>
      <c r="T115" s="102" t="n"/>
      <c r="U115" s="102" t="n"/>
      <c r="V115" s="102" t="n"/>
      <c r="W115" s="102" t="n"/>
      <c r="X115" s="102" t="n"/>
      <c r="Y115" s="102" t="n"/>
      <c r="Z115" s="102" t="n"/>
      <c r="AA115" s="102" t="n"/>
      <c r="AB115" s="102" t="n"/>
      <c r="AC115" s="102">
        <f>IFERROR(__xludf.DUMMYFUNCTION("""COMPUTED_VALUE"""),"17 Largo")</f>
        <v/>
      </c>
      <c r="AD115" s="102">
        <f>IFERROR(__xludf.DUMMYFUNCTION("""COMPUTED_VALUE"""),"7 5/8")</f>
        <v/>
      </c>
    </row>
    <row r="116" ht="16.5" customHeight="1" s="176">
      <c r="A116" s="116" t="inlineStr">
        <is>
          <t>Sueteres</t>
        </is>
      </c>
      <c r="B116" s="116" t="inlineStr">
        <is>
          <t>Ropa</t>
        </is>
      </c>
      <c r="C116" s="116" t="inlineStr">
        <is>
          <t>Talla Ropa</t>
        </is>
      </c>
      <c r="D116" s="182" t="n"/>
      <c r="E116" s="183" t="n"/>
      <c r="F116" s="84" t="n"/>
      <c r="G116" s="84" t="n"/>
      <c r="H116" s="117" t="n"/>
      <c r="I116" s="118" t="n"/>
      <c r="J116" s="118" t="n"/>
      <c r="K116" s="98" t="n"/>
      <c r="L116" s="84" t="n"/>
      <c r="M116" s="84" t="n"/>
      <c r="N116" s="84" t="n"/>
      <c r="O116" s="84" t="n"/>
      <c r="P116" s="84" t="n"/>
      <c r="Q116" s="84" t="n"/>
      <c r="R116" s="84" t="n"/>
      <c r="S116" s="102" t="n"/>
      <c r="T116" s="102" t="n"/>
      <c r="U116" s="102" t="n"/>
      <c r="V116" s="102" t="n"/>
      <c r="W116" s="102" t="n"/>
      <c r="X116" s="102" t="n"/>
      <c r="Y116" s="102" t="n"/>
      <c r="Z116" s="102" t="n"/>
      <c r="AA116" s="102" t="n"/>
      <c r="AB116" s="102" t="n"/>
      <c r="AC116" s="102">
        <f>IFERROR(__xludf.DUMMYFUNCTION("""COMPUTED_VALUE"""),"19 Largo")</f>
        <v/>
      </c>
      <c r="AD116" s="102">
        <f>IFERROR(__xludf.DUMMYFUNCTION("""COMPUTED_VALUE"""),"7 3/4")</f>
        <v/>
      </c>
    </row>
    <row r="117" ht="16.5" customHeight="1" s="176">
      <c r="A117" s="116" t="inlineStr">
        <is>
          <t>Tenis</t>
        </is>
      </c>
      <c r="B117" s="116" t="inlineStr">
        <is>
          <t>Calzado</t>
        </is>
      </c>
      <c r="C117" s="116" t="inlineStr">
        <is>
          <t>Talla Calzado MX</t>
        </is>
      </c>
      <c r="D117" s="182" t="n"/>
      <c r="E117" s="183" t="n"/>
      <c r="F117" s="84" t="n"/>
      <c r="G117" s="84" t="n"/>
      <c r="H117" s="117" t="n"/>
      <c r="I117" s="118" t="n"/>
      <c r="J117" s="118" t="n"/>
      <c r="K117" s="98" t="n"/>
      <c r="L117" s="84" t="n"/>
      <c r="M117" s="84" t="n"/>
      <c r="N117" s="84" t="n"/>
      <c r="O117" s="84" t="n"/>
      <c r="P117" s="84" t="n"/>
      <c r="Q117" s="84" t="n"/>
      <c r="R117" s="84" t="n"/>
      <c r="S117" s="102" t="n"/>
      <c r="T117" s="102" t="n"/>
      <c r="U117" s="102" t="n"/>
      <c r="V117" s="102" t="n"/>
      <c r="W117" s="102" t="n"/>
      <c r="X117" s="102" t="n"/>
      <c r="Y117" s="102" t="n"/>
      <c r="Z117" s="102" t="n"/>
      <c r="AA117" s="102" t="n"/>
      <c r="AB117" s="102" t="n"/>
      <c r="AC117" s="102">
        <f>IFERROR(__xludf.DUMMYFUNCTION("""COMPUTED_VALUE"""),"6 3/4")</f>
        <v/>
      </c>
      <c r="AD117" s="102">
        <f>IFERROR(__xludf.DUMMYFUNCTION("""COMPUTED_VALUE"""),"7 7/8")</f>
        <v/>
      </c>
    </row>
    <row r="118" ht="16.5" customHeight="1" s="176">
      <c r="A118" s="116" t="inlineStr">
        <is>
          <t>Vestidos</t>
        </is>
      </c>
      <c r="B118" s="116" t="inlineStr">
        <is>
          <t>Ropa</t>
        </is>
      </c>
      <c r="C118" s="116" t="inlineStr">
        <is>
          <t>Talla Ropa (alfa) o Talla Ropa Dama numérica</t>
        </is>
      </c>
      <c r="D118" s="182" t="n"/>
      <c r="E118" s="183" t="n"/>
      <c r="F118" s="84" t="n"/>
      <c r="G118" s="84" t="n"/>
      <c r="H118" s="117" t="n"/>
      <c r="I118" s="118" t="n"/>
      <c r="J118" s="118" t="n"/>
      <c r="K118" s="98" t="n"/>
      <c r="L118" s="84" t="n"/>
      <c r="M118" s="84" t="n"/>
      <c r="N118" s="84" t="n"/>
      <c r="O118" s="84" t="n"/>
      <c r="P118" s="84" t="n"/>
      <c r="Q118" s="84" t="n"/>
      <c r="R118" s="84" t="n"/>
      <c r="S118" s="102" t="n"/>
      <c r="T118" s="102" t="n"/>
      <c r="U118" s="102" t="n"/>
      <c r="V118" s="102" t="n"/>
      <c r="W118" s="102" t="n"/>
      <c r="X118" s="102" t="n"/>
      <c r="Y118" s="102" t="n"/>
      <c r="Z118" s="102" t="n"/>
      <c r="AA118" s="102" t="n"/>
      <c r="AB118" s="102" t="n"/>
      <c r="AC118" s="102">
        <f>IFERROR(__xludf.DUMMYFUNCTION("""COMPUTED_VALUE"""),"6 7/8")</f>
        <v/>
      </c>
      <c r="AD118" s="102">
        <f>IFERROR(__xludf.DUMMYFUNCTION("""COMPUTED_VALUE"""),7.5)</f>
        <v/>
      </c>
    </row>
    <row r="119" ht="16.5" customHeight="1" s="176">
      <c r="A119" s="116" t="inlineStr">
        <is>
          <t>Zapatos</t>
        </is>
      </c>
      <c r="B119" s="116" t="inlineStr">
        <is>
          <t>Calzado</t>
        </is>
      </c>
      <c r="C119" s="116" t="inlineStr">
        <is>
          <t>Talla Calzado MX</t>
        </is>
      </c>
      <c r="D119" s="182" t="n"/>
      <c r="E119" s="183" t="n"/>
      <c r="F119" s="84" t="n"/>
      <c r="G119" s="84" t="n"/>
      <c r="H119" s="117" t="n"/>
      <c r="I119" s="118" t="n"/>
      <c r="J119" s="118" t="n"/>
      <c r="K119" s="98" t="n"/>
      <c r="L119" s="84" t="n"/>
      <c r="M119" s="84" t="n"/>
      <c r="N119" s="84" t="n"/>
      <c r="O119" s="84" t="n"/>
      <c r="P119" s="84" t="n"/>
      <c r="Q119" s="84" t="n"/>
      <c r="R119" s="84" t="n"/>
      <c r="S119" s="102" t="n"/>
      <c r="T119" s="102" t="n"/>
      <c r="U119" s="102" t="n"/>
      <c r="V119" s="102" t="n"/>
      <c r="W119" s="102" t="n"/>
      <c r="X119" s="102" t="n"/>
      <c r="Y119" s="102" t="n"/>
      <c r="Z119" s="102" t="n"/>
      <c r="AA119" s="102" t="n"/>
      <c r="AB119" s="102" t="n"/>
      <c r="AC119" s="102">
        <f>IFERROR(__xludf.DUMMYFUNCTION("""COMPUTED_VALUE"""),"7 1/8")</f>
        <v/>
      </c>
      <c r="AD119" s="102">
        <f>IFERROR(__xludf.DUMMYFUNCTION("""COMPUTED_VALUE"""),8.5)</f>
        <v/>
      </c>
    </row>
    <row r="120" ht="16.5" customHeight="1" s="176">
      <c r="A120" s="116" t="inlineStr">
        <is>
          <t>No Aplica</t>
        </is>
      </c>
      <c r="B120" s="116" t="inlineStr">
        <is>
          <t>No Aplica</t>
        </is>
      </c>
      <c r="C120" s="116" t="n"/>
      <c r="D120" s="182" t="n"/>
      <c r="E120" s="183" t="n"/>
      <c r="F120" s="84" t="n"/>
      <c r="G120" s="84" t="n"/>
      <c r="H120" s="117" t="n"/>
      <c r="I120" s="118" t="n"/>
      <c r="J120" s="118" t="n"/>
      <c r="K120" s="98" t="n"/>
      <c r="L120" s="84" t="n"/>
      <c r="M120" s="84" t="n"/>
      <c r="N120" s="84" t="n"/>
      <c r="O120" s="84" t="n"/>
      <c r="P120" s="84" t="n"/>
      <c r="Q120" s="84" t="n"/>
      <c r="R120" s="84" t="n"/>
      <c r="S120" s="102" t="n"/>
      <c r="T120" s="102" t="n"/>
      <c r="U120" s="102" t="n"/>
      <c r="V120" s="102" t="n"/>
      <c r="W120" s="102" t="n"/>
      <c r="X120" s="102" t="n"/>
      <c r="Y120" s="102" t="n"/>
      <c r="Z120" s="102" t="n"/>
      <c r="AA120" s="102" t="n"/>
      <c r="AB120" s="102" t="n"/>
      <c r="AC120" s="102">
        <f>IFERROR(__xludf.DUMMYFUNCTION("""COMPUTED_VALUE"""),"7 1/4")</f>
        <v/>
      </c>
      <c r="AD120" s="102">
        <f>IFERROR(__xludf.DUMMYFUNCTION("""COMPUTED_VALUE"""),9.0)</f>
        <v/>
      </c>
    </row>
    <row r="121" ht="21.75" customHeight="1" s="176">
      <c r="A121" s="86" t="inlineStr">
        <is>
          <t>4. LISTAS BÁSICAS</t>
        </is>
      </c>
      <c r="B121" s="86" t="n"/>
      <c r="C121" s="86" t="n"/>
      <c r="D121" s="86" t="n"/>
      <c r="E121" s="108" t="inlineStr">
        <is>
          <t>↑ Volver al índice</t>
        </is>
      </c>
      <c r="F121" s="84" t="n"/>
      <c r="G121" s="84" t="n"/>
      <c r="H121" s="117" t="n"/>
      <c r="I121" s="118" t="n"/>
      <c r="J121" s="118" t="n"/>
      <c r="K121" s="98" t="n"/>
      <c r="L121" s="84" t="n"/>
      <c r="M121" s="84" t="n"/>
      <c r="N121" s="84" t="n"/>
      <c r="O121" s="84" t="n"/>
      <c r="P121" s="84" t="n"/>
      <c r="Q121" s="84" t="n"/>
      <c r="R121" s="84" t="n"/>
      <c r="S121" s="102" t="n"/>
      <c r="T121" s="102" t="n"/>
      <c r="U121" s="102" t="n"/>
      <c r="V121" s="102" t="n"/>
      <c r="W121" s="102" t="n"/>
      <c r="X121" s="102" t="n"/>
      <c r="Y121" s="102" t="n"/>
      <c r="Z121" s="102" t="n"/>
      <c r="AA121" s="102" t="n"/>
      <c r="AB121" s="102" t="n"/>
      <c r="AC121" s="102">
        <f>IFERROR(__xludf.DUMMYFUNCTION("""COMPUTED_VALUE"""),"7 3/8")</f>
        <v/>
      </c>
      <c r="AD121" s="102">
        <f>IFERROR(__xludf.DUMMYFUNCTION("""COMPUTED_VALUE"""),9.5)</f>
        <v/>
      </c>
    </row>
    <row r="122" ht="16.5" customHeight="1" s="176">
      <c r="A122" s="109" t="inlineStr">
        <is>
          <t>División</t>
        </is>
      </c>
      <c r="B122" s="109" t="inlineStr">
        <is>
          <t>Género</t>
        </is>
      </c>
      <c r="C122" s="109" t="inlineStr">
        <is>
          <t>Temporada</t>
        </is>
      </c>
      <c r="D122" s="109" t="inlineStr">
        <is>
          <t>Ciclo de vida</t>
        </is>
      </c>
      <c r="E122" s="109" t="inlineStr">
        <is>
          <t>Unidad</t>
        </is>
      </c>
      <c r="F122" s="84" t="n"/>
      <c r="G122" s="84" t="n"/>
      <c r="H122" s="117" t="n"/>
      <c r="I122" s="118" t="n"/>
      <c r="J122" s="118" t="n"/>
      <c r="K122" s="98" t="n"/>
      <c r="L122" s="84" t="n"/>
      <c r="M122" s="84" t="n"/>
      <c r="N122" s="84" t="n"/>
      <c r="O122" s="84" t="n"/>
      <c r="P122" s="84" t="n"/>
      <c r="Q122" s="84" t="n"/>
      <c r="R122" s="84" t="n"/>
      <c r="S122" s="102" t="n"/>
      <c r="T122" s="102" t="n"/>
      <c r="U122" s="102" t="n"/>
      <c r="V122" s="102" t="n"/>
      <c r="W122" s="102" t="n"/>
      <c r="X122" s="102" t="n"/>
      <c r="Y122" s="102" t="n"/>
      <c r="Z122" s="102" t="n"/>
      <c r="AA122" s="102" t="n"/>
      <c r="AB122" s="102" t="n"/>
      <c r="AC122" s="102">
        <f>IFERROR(__xludf.DUMMYFUNCTION("""COMPUTED_VALUE"""),"7 1/2")</f>
        <v/>
      </c>
      <c r="AD122" s="102">
        <f>IFERROR(__xludf.DUMMYFUNCTION("""COMPUTED_VALUE"""),10.5)</f>
        <v/>
      </c>
    </row>
    <row r="123" ht="16.5" customHeight="1" s="176">
      <c r="A123" s="120" t="inlineStr">
        <is>
          <t>Accesorios</t>
        </is>
      </c>
      <c r="B123" s="120" t="inlineStr">
        <is>
          <t>Hombre</t>
        </is>
      </c>
      <c r="C123" s="120" t="inlineStr">
        <is>
          <t>SS26</t>
        </is>
      </c>
      <c r="D123" s="120" t="inlineStr">
        <is>
          <t>Seasonal</t>
        </is>
      </c>
      <c r="E123" s="120" t="inlineStr">
        <is>
          <t>PZS</t>
        </is>
      </c>
      <c r="F123" s="84" t="n"/>
      <c r="G123" s="84" t="n"/>
      <c r="H123" s="117" t="n"/>
      <c r="I123" s="118" t="n"/>
      <c r="J123" s="118" t="n"/>
      <c r="K123" s="98" t="n"/>
      <c r="L123" s="84" t="n"/>
      <c r="M123" s="84" t="n"/>
      <c r="N123" s="84" t="n"/>
      <c r="O123" s="84" t="n"/>
      <c r="P123" s="84" t="n"/>
      <c r="Q123" s="84" t="n"/>
      <c r="R123" s="84" t="n"/>
      <c r="S123" s="102" t="n"/>
      <c r="T123" s="102" t="n"/>
      <c r="U123" s="102" t="n"/>
      <c r="V123" s="102" t="n"/>
      <c r="W123" s="102" t="n"/>
      <c r="X123" s="102" t="n"/>
      <c r="Y123" s="102" t="n"/>
      <c r="Z123" s="102" t="n"/>
      <c r="AA123" s="102" t="n"/>
      <c r="AB123" s="102" t="n"/>
      <c r="AC123" s="102">
        <f>IFERROR(__xludf.DUMMYFUNCTION("""COMPUTED_VALUE"""),"7 5/8")</f>
        <v/>
      </c>
      <c r="AD123" s="102">
        <f>IFERROR(__xludf.DUMMYFUNCTION("""COMPUTED_VALUE"""),11.0)</f>
        <v/>
      </c>
    </row>
    <row r="124" ht="16.5" customHeight="1" s="176">
      <c r="A124" s="120" t="inlineStr">
        <is>
          <t>Ropa</t>
        </is>
      </c>
      <c r="B124" s="120" t="inlineStr">
        <is>
          <t>Mujer</t>
        </is>
      </c>
      <c r="C124" s="120" t="inlineStr">
        <is>
          <t>FW26</t>
        </is>
      </c>
      <c r="D124" s="120" t="inlineStr">
        <is>
          <t>Core</t>
        </is>
      </c>
      <c r="E124" s="120" t="inlineStr">
        <is>
          <t>PRS</t>
        </is>
      </c>
      <c r="F124" s="84" t="n"/>
      <c r="G124" s="84" t="n"/>
      <c r="H124" s="117" t="n"/>
      <c r="I124" s="118" t="n"/>
      <c r="J124" s="118" t="n"/>
      <c r="K124" s="98" t="n"/>
      <c r="L124" s="84" t="n"/>
      <c r="M124" s="84" t="n"/>
      <c r="N124" s="84" t="n"/>
      <c r="O124" s="84" t="n"/>
      <c r="P124" s="84" t="n"/>
      <c r="Q124" s="84" t="n"/>
      <c r="R124" s="84" t="n"/>
      <c r="S124" s="102" t="n"/>
      <c r="T124" s="102" t="n"/>
      <c r="U124" s="102" t="n"/>
      <c r="V124" s="102" t="n"/>
      <c r="W124" s="102" t="n"/>
      <c r="X124" s="102" t="n"/>
      <c r="Y124" s="102" t="n"/>
      <c r="Z124" s="102" t="n"/>
      <c r="AA124" s="102" t="n"/>
      <c r="AB124" s="102" t="n"/>
      <c r="AC124" s="102">
        <f>IFERROR(__xludf.DUMMYFUNCTION("""COMPUTED_VALUE"""),"7 3/4")</f>
        <v/>
      </c>
      <c r="AD124" s="102">
        <f>IFERROR(__xludf.DUMMYFUNCTION("""COMPUTED_VALUE"""),11.5)</f>
        <v/>
      </c>
    </row>
    <row r="125" ht="16.5" customHeight="1" s="176">
      <c r="A125" s="120" t="inlineStr">
        <is>
          <t>Denim</t>
        </is>
      </c>
      <c r="B125" s="120" t="inlineStr">
        <is>
          <t>Niño</t>
        </is>
      </c>
      <c r="C125" s="120" t="inlineStr">
        <is>
          <t>SS27</t>
        </is>
      </c>
      <c r="D125" s="120" t="n"/>
      <c r="E125" s="120" t="n"/>
      <c r="F125" s="84" t="n"/>
      <c r="G125" s="84" t="n"/>
      <c r="H125" s="117" t="n"/>
      <c r="I125" s="118" t="n"/>
      <c r="J125" s="118" t="n"/>
      <c r="K125" s="98" t="n"/>
      <c r="L125" s="84" t="n"/>
      <c r="M125" s="84" t="n"/>
      <c r="N125" s="84" t="n"/>
      <c r="O125" s="84" t="n"/>
      <c r="P125" s="84" t="n"/>
      <c r="Q125" s="84" t="n"/>
      <c r="R125" s="84" t="n"/>
      <c r="S125" s="102" t="n"/>
      <c r="T125" s="102" t="n"/>
      <c r="U125" s="102" t="n"/>
      <c r="V125" s="102" t="n"/>
      <c r="W125" s="102" t="n"/>
      <c r="X125" s="102" t="n"/>
      <c r="Y125" s="102" t="n"/>
      <c r="Z125" s="102" t="n"/>
      <c r="AA125" s="102" t="n"/>
      <c r="AB125" s="102" t="n"/>
      <c r="AC125" s="102">
        <f>IFERROR(__xludf.DUMMYFUNCTION("""COMPUTED_VALUE"""),"7 7/8")</f>
        <v/>
      </c>
      <c r="AD125" s="102">
        <f>IFERROR(__xludf.DUMMYFUNCTION("""COMPUTED_VALUE"""),12.5)</f>
        <v/>
      </c>
    </row>
    <row r="126" ht="16.5" customHeight="1" s="176">
      <c r="A126" s="120" t="inlineStr">
        <is>
          <t>Calzado</t>
        </is>
      </c>
      <c r="B126" s="120" t="inlineStr">
        <is>
          <t>Niña</t>
        </is>
      </c>
      <c r="C126" s="120" t="inlineStr">
        <is>
          <t>FW27</t>
        </is>
      </c>
      <c r="D126" s="120" t="n"/>
      <c r="E126" s="120" t="n"/>
      <c r="F126" s="84" t="n"/>
      <c r="G126" s="84" t="n"/>
      <c r="H126" s="117" t="n"/>
      <c r="I126" s="118" t="n"/>
      <c r="J126" s="118" t="n"/>
      <c r="K126" s="98" t="n"/>
      <c r="L126" s="84" t="n"/>
      <c r="M126" s="84" t="n"/>
      <c r="N126" s="84" t="n"/>
      <c r="O126" s="84" t="n"/>
      <c r="P126" s="84" t="n"/>
      <c r="Q126" s="84" t="n"/>
      <c r="R126" s="84" t="n"/>
      <c r="S126" s="102" t="n"/>
      <c r="T126" s="102" t="n"/>
      <c r="U126" s="102" t="n"/>
      <c r="V126" s="102" t="n"/>
      <c r="W126" s="102" t="n"/>
      <c r="X126" s="102" t="n"/>
      <c r="Y126" s="102" t="n"/>
      <c r="Z126" s="102" t="n"/>
      <c r="AA126" s="102" t="n"/>
      <c r="AB126" s="102" t="n"/>
      <c r="AC126" s="102">
        <f>IFERROR(__xludf.DUMMYFUNCTION("""COMPUTED_VALUE"""),25.0)</f>
        <v/>
      </c>
      <c r="AD126" s="102">
        <f>IFERROR(__xludf.DUMMYFUNCTION("""COMPUTED_VALUE"""),13.0)</f>
        <v/>
      </c>
    </row>
    <row r="127" ht="16.5" customHeight="1" s="176">
      <c r="A127" s="120" t="n"/>
      <c r="B127" s="120" t="inlineStr">
        <is>
          <t>Unisex</t>
        </is>
      </c>
      <c r="C127" s="120" t="inlineStr">
        <is>
          <t>SS28</t>
        </is>
      </c>
      <c r="D127" s="120" t="n"/>
      <c r="E127" s="120" t="n"/>
      <c r="F127" s="84" t="n"/>
      <c r="G127" s="84" t="n"/>
      <c r="H127" s="117" t="n"/>
      <c r="I127" s="118" t="n"/>
      <c r="J127" s="118" t="n"/>
      <c r="K127" s="98" t="n"/>
      <c r="L127" s="84" t="n"/>
      <c r="M127" s="84" t="n"/>
      <c r="N127" s="84" t="n"/>
      <c r="O127" s="84" t="n"/>
      <c r="P127" s="84" t="n"/>
      <c r="Q127" s="84" t="n"/>
      <c r="R127" s="84" t="n"/>
      <c r="S127" s="102" t="n"/>
      <c r="T127" s="102" t="n"/>
      <c r="U127" s="102" t="n"/>
      <c r="V127" s="102" t="n"/>
      <c r="W127" s="102" t="n"/>
      <c r="X127" s="102" t="n"/>
      <c r="Y127" s="102" t="n"/>
      <c r="Z127" s="102" t="n"/>
      <c r="AA127" s="102" t="n"/>
      <c r="AB127" s="102" t="n"/>
      <c r="AC127" s="102">
        <f>IFERROR(__xludf.DUMMYFUNCTION("""COMPUTED_VALUE"""),25.5)</f>
        <v/>
      </c>
      <c r="AD127" s="102">
        <f>IFERROR(__xludf.DUMMYFUNCTION("""COMPUTED_VALUE"""),13.5)</f>
        <v/>
      </c>
    </row>
    <row r="128" ht="16.5" customHeight="1" s="176">
      <c r="A128" s="120" t="n"/>
      <c r="B128" s="120" t="n"/>
      <c r="C128" s="120" t="inlineStr">
        <is>
          <t>FW28</t>
        </is>
      </c>
      <c r="D128" s="120" t="n"/>
      <c r="E128" s="120" t="n"/>
      <c r="F128" s="84" t="n"/>
      <c r="G128" s="84" t="n"/>
      <c r="H128" s="117" t="n"/>
      <c r="I128" s="118" t="n"/>
      <c r="J128" s="118" t="n"/>
      <c r="K128" s="98" t="n"/>
      <c r="L128" s="84" t="n"/>
      <c r="M128" s="84" t="n"/>
      <c r="N128" s="84" t="n"/>
      <c r="O128" s="84" t="n"/>
      <c r="P128" s="84" t="n"/>
      <c r="Q128" s="84" t="n"/>
      <c r="R128" s="84" t="n"/>
      <c r="S128" s="102" t="n"/>
      <c r="T128" s="102" t="n"/>
      <c r="U128" s="102" t="n"/>
      <c r="V128" s="102" t="n"/>
      <c r="W128" s="102" t="n"/>
      <c r="X128" s="102" t="n"/>
      <c r="Y128" s="102" t="n"/>
      <c r="Z128" s="102" t="n"/>
      <c r="AA128" s="102" t="n"/>
      <c r="AB128" s="102" t="n"/>
      <c r="AC128" s="102">
        <f>IFERROR(__xludf.DUMMYFUNCTION("""COMPUTED_VALUE"""),26.0)</f>
        <v/>
      </c>
      <c r="AD128" s="102">
        <f>IFERROR(__xludf.DUMMYFUNCTION("""COMPUTED_VALUE"""),14.5)</f>
        <v/>
      </c>
    </row>
    <row r="129" ht="9.75" customHeight="1" s="176">
      <c r="A129" s="107" t="n"/>
      <c r="B129" s="107" t="n"/>
      <c r="C129" s="107" t="n"/>
      <c r="D129" s="107" t="n"/>
      <c r="E129" s="107" t="n"/>
      <c r="F129" s="84" t="n"/>
      <c r="G129" s="84" t="n"/>
      <c r="H129" s="117" t="n"/>
      <c r="I129" s="118" t="n"/>
      <c r="J129" s="118" t="n"/>
      <c r="K129" s="98" t="n"/>
      <c r="L129" s="84" t="n"/>
      <c r="M129" s="84" t="n"/>
      <c r="N129" s="84" t="n"/>
      <c r="O129" s="84" t="n"/>
      <c r="P129" s="84" t="n"/>
      <c r="Q129" s="84" t="n"/>
      <c r="R129" s="84" t="n"/>
      <c r="S129" s="102" t="n"/>
      <c r="T129" s="102" t="n"/>
      <c r="U129" s="102" t="n"/>
      <c r="V129" s="102" t="n"/>
      <c r="W129" s="102" t="n"/>
      <c r="X129" s="102" t="n"/>
      <c r="Y129" s="102" t="n"/>
      <c r="Z129" s="102" t="n"/>
      <c r="AA129" s="102" t="n"/>
      <c r="AB129" s="102" t="n"/>
      <c r="AC129" s="102">
        <f>IFERROR(__xludf.DUMMYFUNCTION("""COMPUTED_VALUE"""),26.5)</f>
        <v/>
      </c>
      <c r="AD129" s="102">
        <f>IFERROR(__xludf.DUMMYFUNCTION("""COMPUTED_VALUE"""),5.0)</f>
        <v/>
      </c>
    </row>
    <row r="130" ht="9.75" customHeight="1" s="176">
      <c r="A130" s="107" t="n"/>
      <c r="B130" s="107" t="n"/>
      <c r="C130" s="107" t="n"/>
      <c r="D130" s="107" t="n"/>
      <c r="E130" s="107" t="n"/>
      <c r="F130" s="84" t="n"/>
      <c r="G130" s="84" t="n"/>
      <c r="H130" s="117" t="n"/>
      <c r="I130" s="118" t="n"/>
      <c r="J130" s="118" t="n"/>
      <c r="K130" s="98" t="n"/>
      <c r="L130" s="84" t="n"/>
      <c r="M130" s="84" t="n"/>
      <c r="N130" s="84" t="n"/>
      <c r="O130" s="84" t="n"/>
      <c r="P130" s="84" t="n"/>
      <c r="Q130" s="84" t="n"/>
      <c r="R130" s="84" t="n"/>
      <c r="S130" s="102" t="n"/>
      <c r="T130" s="102" t="n"/>
      <c r="U130" s="102" t="n"/>
      <c r="V130" s="102" t="n"/>
      <c r="W130" s="102" t="n"/>
      <c r="X130" s="102" t="n"/>
      <c r="Y130" s="102" t="n"/>
      <c r="Z130" s="102" t="n"/>
      <c r="AA130" s="102" t="n"/>
      <c r="AB130" s="102" t="n"/>
      <c r="AC130" s="102">
        <f>IFERROR(__xludf.DUMMYFUNCTION("""COMPUTED_VALUE"""),27.0)</f>
        <v/>
      </c>
      <c r="AD130" s="102">
        <f>IFERROR(__xludf.DUMMYFUNCTION("""COMPUTED_VALUE"""),5.5)</f>
        <v/>
      </c>
    </row>
    <row r="131" ht="21.75" customHeight="1" s="176">
      <c r="A131" s="86" t="inlineStr">
        <is>
          <t>5. MARCAS</t>
        </is>
      </c>
      <c r="B131" s="86" t="n"/>
      <c r="C131" s="86" t="n"/>
      <c r="D131" s="86" t="n"/>
      <c r="E131" s="108" t="inlineStr">
        <is>
          <t>↑ Volver al índice</t>
        </is>
      </c>
      <c r="F131" s="84" t="n"/>
      <c r="G131" s="84" t="n"/>
      <c r="H131" s="117" t="n"/>
      <c r="I131" s="118" t="n"/>
      <c r="J131" s="118" t="n"/>
      <c r="K131" s="98" t="n"/>
      <c r="L131" s="84" t="n"/>
      <c r="M131" s="84" t="n"/>
      <c r="N131" s="84" t="n"/>
      <c r="O131" s="84" t="n"/>
      <c r="P131" s="84" t="n"/>
      <c r="Q131" s="84" t="n"/>
      <c r="R131" s="84" t="n"/>
      <c r="S131" s="102" t="n"/>
      <c r="T131" s="102" t="n"/>
      <c r="U131" s="102" t="n"/>
      <c r="V131" s="102" t="n"/>
      <c r="W131" s="102" t="n"/>
      <c r="X131" s="102" t="n"/>
      <c r="Y131" s="102" t="n"/>
      <c r="Z131" s="102" t="n"/>
      <c r="AA131" s="102" t="n"/>
      <c r="AB131" s="102" t="n"/>
      <c r="AC131" s="102">
        <f>IFERROR(__xludf.DUMMYFUNCTION("""COMPUTED_VALUE"""),27.5)</f>
        <v/>
      </c>
      <c r="AD131" s="102">
        <f>IFERROR(__xludf.DUMMYFUNCTION("""COMPUTED_VALUE"""),6.5)</f>
        <v/>
      </c>
    </row>
    <row r="132" ht="16.5" customHeight="1" s="176">
      <c r="A132" s="110" t="inlineStr">
        <is>
          <t>Marca</t>
        </is>
      </c>
      <c r="B132" s="184" t="inlineStr">
        <is>
          <t>Alimenta los desplegables Marca principal y WB Marca. Agrega marcas nuevas en la primera fila vacía (hasta la fila 149).</t>
        </is>
      </c>
      <c r="C132" s="182" t="n"/>
      <c r="D132" s="182" t="n"/>
      <c r="E132" s="183" t="n"/>
      <c r="F132" s="84" t="n"/>
      <c r="G132" s="84" t="n"/>
      <c r="H132" s="117" t="n"/>
      <c r="I132" s="118" t="n"/>
      <c r="J132" s="118" t="n"/>
      <c r="K132" s="98" t="n"/>
      <c r="L132" s="84" t="n"/>
      <c r="M132" s="84" t="n"/>
      <c r="N132" s="84" t="n"/>
      <c r="O132" s="84" t="n"/>
      <c r="P132" s="84" t="n"/>
      <c r="Q132" s="84" t="n"/>
      <c r="R132" s="84" t="n"/>
      <c r="S132" s="102" t="n"/>
      <c r="T132" s="102" t="n"/>
      <c r="U132" s="102" t="n"/>
      <c r="V132" s="102" t="n"/>
      <c r="W132" s="102" t="n"/>
      <c r="X132" s="102" t="n"/>
      <c r="Y132" s="102" t="n"/>
      <c r="Z132" s="102" t="n"/>
      <c r="AA132" s="102" t="n"/>
      <c r="AB132" s="102" t="n"/>
      <c r="AC132" s="102">
        <f>IFERROR(__xludf.DUMMYFUNCTION("""COMPUTED_VALUE"""),28.0)</f>
        <v/>
      </c>
      <c r="AD132" s="102">
        <f>IFERROR(__xludf.DUMMYFUNCTION("""COMPUTED_VALUE"""),"4 EE")</f>
        <v/>
      </c>
    </row>
    <row r="133" ht="16.5" customHeight="1" s="176">
      <c r="A133" s="116" t="inlineStr">
        <is>
          <t>Roper</t>
        </is>
      </c>
      <c r="B133" s="122" t="n"/>
      <c r="C133" s="122" t="n"/>
      <c r="D133" s="122" t="n"/>
      <c r="E133" s="122" t="n"/>
      <c r="F133" s="84" t="n"/>
      <c r="G133" s="84" t="n"/>
      <c r="H133" s="117" t="n"/>
      <c r="I133" s="118" t="n"/>
      <c r="J133" s="118" t="n"/>
      <c r="K133" s="98" t="n"/>
      <c r="L133" s="84" t="n"/>
      <c r="M133" s="84" t="n"/>
      <c r="N133" s="84" t="n"/>
      <c r="O133" s="84" t="n"/>
      <c r="P133" s="84" t="n"/>
      <c r="Q133" s="84" t="n"/>
      <c r="R133" s="84" t="n"/>
      <c r="S133" s="102" t="n"/>
      <c r="T133" s="102" t="n"/>
      <c r="U133" s="102" t="n"/>
      <c r="V133" s="102" t="n"/>
      <c r="W133" s="102" t="n"/>
      <c r="X133" s="102" t="n"/>
      <c r="Y133" s="102" t="n"/>
      <c r="Z133" s="102" t="n"/>
      <c r="AA133" s="102" t="n"/>
      <c r="AB133" s="102" t="n"/>
      <c r="AC133" s="102">
        <f>IFERROR(__xludf.DUMMYFUNCTION("""COMPUTED_VALUE"""),28.5)</f>
        <v/>
      </c>
      <c r="AD133" s="102">
        <f>IFERROR(__xludf.DUMMYFUNCTION("""COMPUTED_VALUE"""),"5 EE")</f>
        <v/>
      </c>
    </row>
    <row r="134" ht="16.5" customHeight="1" s="176">
      <c r="A134" s="116" t="inlineStr">
        <is>
          <t>Denver</t>
        </is>
      </c>
      <c r="B134" s="122" t="n"/>
      <c r="C134" s="122" t="n"/>
      <c r="D134" s="122" t="n"/>
      <c r="E134" s="122" t="n"/>
      <c r="F134" s="84" t="n"/>
      <c r="G134" s="84" t="n"/>
      <c r="H134" s="117" t="n"/>
      <c r="I134" s="118" t="n"/>
      <c r="J134" s="118" t="n"/>
      <c r="K134" s="98" t="n"/>
      <c r="L134" s="84" t="n"/>
      <c r="M134" s="84" t="n"/>
      <c r="N134" s="84" t="n"/>
      <c r="O134" s="84" t="n"/>
      <c r="P134" s="84" t="n"/>
      <c r="Q134" s="84" t="n"/>
      <c r="R134" s="84" t="n"/>
      <c r="S134" s="102" t="n"/>
      <c r="T134" s="102" t="n"/>
      <c r="U134" s="102" t="n"/>
      <c r="V134" s="102" t="n"/>
      <c r="W134" s="102" t="n"/>
      <c r="X134" s="102" t="n"/>
      <c r="Y134" s="102" t="n"/>
      <c r="Z134" s="102" t="n"/>
      <c r="AA134" s="102" t="n"/>
      <c r="AB134" s="102" t="n"/>
      <c r="AC134" s="102">
        <f>IFERROR(__xludf.DUMMYFUNCTION("""COMPUTED_VALUE"""),29.0)</f>
        <v/>
      </c>
      <c r="AD134" s="102">
        <f>IFERROR(__xludf.DUMMYFUNCTION("""COMPUTED_VALUE"""),"6 D")</f>
        <v/>
      </c>
    </row>
    <row r="135" ht="16.5" customHeight="1" s="176">
      <c r="A135" s="116" t="inlineStr">
        <is>
          <t>Ariat</t>
        </is>
      </c>
      <c r="B135" s="122" t="n"/>
      <c r="C135" s="122" t="n"/>
      <c r="D135" s="122" t="n"/>
      <c r="E135" s="122" t="n"/>
      <c r="F135" s="84" t="n"/>
      <c r="G135" s="84" t="n"/>
      <c r="H135" s="117" t="n"/>
      <c r="I135" s="118" t="n"/>
      <c r="J135" s="118" t="n"/>
      <c r="K135" s="98" t="n"/>
      <c r="L135" s="84" t="n"/>
      <c r="M135" s="84" t="n"/>
      <c r="N135" s="84" t="n"/>
      <c r="O135" s="84" t="n"/>
      <c r="P135" s="84" t="n"/>
      <c r="Q135" s="84" t="n"/>
      <c r="R135" s="84" t="n"/>
      <c r="S135" s="102" t="n"/>
      <c r="T135" s="102" t="n"/>
      <c r="U135" s="102" t="n"/>
      <c r="V135" s="102" t="n"/>
      <c r="W135" s="102" t="n"/>
      <c r="X135" s="102" t="n"/>
      <c r="Y135" s="102" t="n"/>
      <c r="Z135" s="102" t="n"/>
      <c r="AA135" s="102" t="n"/>
      <c r="AB135" s="102" t="n"/>
      <c r="AC135" s="102">
        <f>IFERROR(__xludf.DUMMYFUNCTION("""COMPUTED_VALUE"""),29.5)</f>
        <v/>
      </c>
      <c r="AD135" s="102">
        <f>IFERROR(__xludf.DUMMYFUNCTION("""COMPUTED_VALUE"""),"6 EE")</f>
        <v/>
      </c>
    </row>
    <row r="136" ht="16.5" customHeight="1" s="176">
      <c r="A136" s="116" t="inlineStr">
        <is>
          <t>Wrangler</t>
        </is>
      </c>
      <c r="B136" s="122" t="n"/>
      <c r="C136" s="122" t="n"/>
      <c r="D136" s="122" t="n"/>
      <c r="E136" s="122" t="n"/>
      <c r="F136" s="84" t="n"/>
      <c r="G136" s="84" t="n"/>
      <c r="H136" s="117" t="n"/>
      <c r="I136" s="118" t="n"/>
      <c r="J136" s="118" t="n"/>
      <c r="K136" s="98" t="n"/>
      <c r="L136" s="84" t="n"/>
      <c r="M136" s="84" t="n"/>
      <c r="N136" s="84" t="n"/>
      <c r="O136" s="84" t="n"/>
      <c r="P136" s="84" t="n"/>
      <c r="Q136" s="84" t="n"/>
      <c r="R136" s="84" t="n"/>
      <c r="S136" s="102" t="n"/>
      <c r="T136" s="102" t="n"/>
      <c r="U136" s="102" t="n"/>
      <c r="V136" s="102" t="n"/>
      <c r="W136" s="102" t="n"/>
      <c r="X136" s="102" t="n"/>
      <c r="Y136" s="102" t="n"/>
      <c r="Z136" s="102" t="n"/>
      <c r="AA136" s="102" t="n"/>
      <c r="AB136" s="102" t="n"/>
      <c r="AC136" s="102">
        <f>IFERROR(__xludf.DUMMYFUNCTION("""COMPUTED_VALUE"""),30.0)</f>
        <v/>
      </c>
      <c r="AD136" s="102">
        <f>IFERROR(__xludf.DUMMYFUNCTION("""COMPUTED_VALUE"""),"6.5 D")</f>
        <v/>
      </c>
    </row>
    <row r="137" ht="16.5" customHeight="1" s="176">
      <c r="A137" s="116" t="inlineStr">
        <is>
          <t>Stetson</t>
        </is>
      </c>
      <c r="B137" s="122" t="n"/>
      <c r="C137" s="122" t="n"/>
      <c r="D137" s="122" t="n"/>
      <c r="E137" s="122" t="n"/>
      <c r="F137" s="84" t="n"/>
      <c r="G137" s="84" t="n"/>
      <c r="H137" s="117" t="n"/>
      <c r="I137" s="118" t="n"/>
      <c r="J137" s="118" t="n"/>
      <c r="K137" s="98" t="n"/>
      <c r="L137" s="84" t="n"/>
      <c r="M137" s="84" t="n"/>
      <c r="N137" s="84" t="n"/>
      <c r="O137" s="84" t="n"/>
      <c r="P137" s="84" t="n"/>
      <c r="Q137" s="84" t="n"/>
      <c r="R137" s="84" t="n"/>
      <c r="S137" s="102" t="n"/>
      <c r="T137" s="102" t="n"/>
      <c r="U137" s="102" t="n"/>
      <c r="V137" s="102" t="n"/>
      <c r="W137" s="102" t="n"/>
      <c r="X137" s="102" t="n"/>
      <c r="Y137" s="102" t="n"/>
      <c r="Z137" s="102" t="n"/>
      <c r="AA137" s="102" t="n"/>
      <c r="AB137" s="102" t="n"/>
      <c r="AC137" s="102">
        <f>IFERROR(__xludf.DUMMYFUNCTION("""COMPUTED_VALUE"""),30.5)</f>
        <v/>
      </c>
      <c r="AD137" s="102">
        <f>IFERROR(__xludf.DUMMYFUNCTION("""COMPUTED_VALUE"""),"6.5 EE")</f>
        <v/>
      </c>
    </row>
    <row r="138" ht="16.5" customHeight="1" s="176">
      <c r="A138" s="116" t="inlineStr">
        <is>
          <t>Montana West</t>
        </is>
      </c>
      <c r="B138" s="122" t="n"/>
      <c r="C138" s="122" t="n"/>
      <c r="D138" s="122" t="n"/>
      <c r="E138" s="122" t="n"/>
      <c r="F138" s="84" t="n"/>
      <c r="G138" s="84" t="n"/>
      <c r="H138" s="117" t="n"/>
      <c r="I138" s="118" t="n"/>
      <c r="J138" s="118" t="n"/>
      <c r="K138" s="98" t="n"/>
      <c r="L138" s="84" t="n"/>
      <c r="M138" s="84" t="n"/>
      <c r="N138" s="84" t="n"/>
      <c r="O138" s="84" t="n"/>
      <c r="P138" s="84" t="n"/>
      <c r="Q138" s="84" t="n"/>
      <c r="R138" s="84" t="n"/>
      <c r="S138" s="102" t="n"/>
      <c r="T138" s="102" t="n"/>
      <c r="U138" s="102" t="n"/>
      <c r="V138" s="102" t="n"/>
      <c r="W138" s="102" t="n"/>
      <c r="X138" s="102" t="n"/>
      <c r="Y138" s="102" t="n"/>
      <c r="Z138" s="102" t="n"/>
      <c r="AA138" s="102" t="n"/>
      <c r="AB138" s="102" t="n"/>
      <c r="AC138" s="102">
        <f>IFERROR(__xludf.DUMMYFUNCTION("""COMPUTED_VALUE"""),31.0)</f>
        <v/>
      </c>
      <c r="AD138" s="102">
        <f>IFERROR(__xludf.DUMMYFUNCTION("""COMPUTED_VALUE"""),"7 D")</f>
        <v/>
      </c>
    </row>
    <row r="139" ht="16.5" customHeight="1" s="176">
      <c r="A139" s="116" t="inlineStr">
        <is>
          <t>Tru Western</t>
        </is>
      </c>
      <c r="B139" s="122" t="n"/>
      <c r="C139" s="122" t="n"/>
      <c r="D139" s="122" t="n"/>
      <c r="E139" s="122" t="n"/>
      <c r="F139" s="84" t="n"/>
      <c r="G139" s="84" t="n"/>
      <c r="H139" s="117" t="n"/>
      <c r="I139" s="118" t="n"/>
      <c r="J139" s="118" t="n"/>
      <c r="K139" s="98" t="n"/>
      <c r="L139" s="84" t="n"/>
      <c r="M139" s="84" t="n"/>
      <c r="N139" s="84" t="n"/>
      <c r="O139" s="84" t="n"/>
      <c r="P139" s="84" t="n"/>
      <c r="Q139" s="84" t="n"/>
      <c r="R139" s="84" t="n"/>
      <c r="S139" s="102" t="n"/>
      <c r="T139" s="102" t="n"/>
      <c r="U139" s="102" t="n"/>
      <c r="V139" s="102" t="n"/>
      <c r="W139" s="102" t="n"/>
      <c r="X139" s="102" t="n"/>
      <c r="Y139" s="102" t="n"/>
      <c r="Z139" s="102" t="n"/>
      <c r="AA139" s="102" t="n"/>
      <c r="AB139" s="102" t="n"/>
      <c r="AC139" s="102">
        <f>IFERROR(__xludf.DUMMYFUNCTION("""COMPUTED_VALUE"""),31.5)</f>
        <v/>
      </c>
      <c r="AD139" s="102">
        <f>IFERROR(__xludf.DUMMYFUNCTION("""COMPUTED_VALUE"""),"7 EE")</f>
        <v/>
      </c>
    </row>
    <row r="140" ht="16.5" customHeight="1" s="176">
      <c r="A140" s="116" t="inlineStr">
        <is>
          <t>Ranch &amp; Corral</t>
        </is>
      </c>
      <c r="B140" s="122" t="n"/>
      <c r="C140" s="122" t="n"/>
      <c r="D140" s="122" t="n"/>
      <c r="E140" s="122" t="n"/>
      <c r="F140" s="84" t="n"/>
      <c r="G140" s="84" t="n"/>
      <c r="H140" s="117" t="n"/>
      <c r="I140" s="118" t="n"/>
      <c r="J140" s="118" t="n"/>
      <c r="K140" s="98" t="n"/>
      <c r="L140" s="84" t="n"/>
      <c r="M140" s="84" t="n"/>
      <c r="N140" s="84" t="n"/>
      <c r="O140" s="84" t="n"/>
      <c r="P140" s="84" t="n"/>
      <c r="Q140" s="84" t="n"/>
      <c r="R140" s="84" t="n"/>
      <c r="S140" s="102" t="n"/>
      <c r="T140" s="102" t="n"/>
      <c r="U140" s="102" t="n"/>
      <c r="V140" s="102" t="n"/>
      <c r="W140" s="102" t="n"/>
      <c r="X140" s="102" t="n"/>
      <c r="Y140" s="102" t="n"/>
      <c r="Z140" s="102" t="n"/>
      <c r="AA140" s="102" t="n"/>
      <c r="AB140" s="102" t="n"/>
      <c r="AC140" s="102">
        <f>IFERROR(__xludf.DUMMYFUNCTION("""COMPUTED_VALUE"""),32.0)</f>
        <v/>
      </c>
      <c r="AD140" s="102">
        <f>IFERROR(__xludf.DUMMYFUNCTION("""COMPUTED_VALUE"""),"7 FM")</f>
        <v/>
      </c>
    </row>
    <row r="141" ht="16.5" customHeight="1" s="176">
      <c r="A141" s="116" t="inlineStr">
        <is>
          <t>Jony Lama</t>
        </is>
      </c>
      <c r="B141" s="122" t="n"/>
      <c r="C141" s="122" t="n"/>
      <c r="D141" s="122" t="n"/>
      <c r="E141" s="122" t="n"/>
      <c r="F141" s="84" t="n"/>
      <c r="G141" s="84" t="n"/>
      <c r="H141" s="117" t="n"/>
      <c r="I141" s="118" t="n"/>
      <c r="J141" s="118" t="n"/>
      <c r="K141" s="98" t="n"/>
      <c r="L141" s="84" t="n"/>
      <c r="M141" s="84" t="n"/>
      <c r="N141" s="84" t="n"/>
      <c r="O141" s="84" t="n"/>
      <c r="P141" s="84" t="n"/>
      <c r="Q141" s="84" t="n"/>
      <c r="R141" s="84" t="n"/>
      <c r="S141" s="102" t="n"/>
      <c r="T141" s="102" t="n"/>
      <c r="U141" s="102" t="n"/>
      <c r="V141" s="102" t="n"/>
      <c r="W141" s="102" t="n"/>
      <c r="X141" s="102" t="n"/>
      <c r="Y141" s="102" t="n"/>
      <c r="Z141" s="102" t="n"/>
      <c r="AA141" s="102" t="n"/>
      <c r="AB141" s="102" t="n"/>
      <c r="AC141" s="102">
        <f>IFERROR(__xludf.DUMMYFUNCTION("""COMPUTED_VALUE"""),32.5)</f>
        <v/>
      </c>
      <c r="AD141" s="102">
        <f>IFERROR(__xludf.DUMMYFUNCTION("""COMPUTED_VALUE"""),"7 FS")</f>
        <v/>
      </c>
    </row>
    <row r="142" ht="16.5" customHeight="1" s="176">
      <c r="A142" s="116" t="inlineStr">
        <is>
          <t>Justin boots</t>
        </is>
      </c>
      <c r="B142" s="122" t="n"/>
      <c r="C142" s="122" t="n"/>
      <c r="D142" s="122" t="n"/>
      <c r="E142" s="122" t="n"/>
      <c r="F142" s="84" t="n"/>
      <c r="G142" s="84" t="n"/>
      <c r="H142" s="117" t="n"/>
      <c r="I142" s="118" t="n"/>
      <c r="J142" s="118" t="n"/>
      <c r="K142" s="98" t="n"/>
      <c r="L142" s="84" t="n"/>
      <c r="M142" s="84" t="n"/>
      <c r="N142" s="84" t="n"/>
      <c r="O142" s="84" t="n"/>
      <c r="P142" s="84" t="n"/>
      <c r="Q142" s="84" t="n"/>
      <c r="R142" s="84" t="n"/>
      <c r="S142" s="102" t="n"/>
      <c r="T142" s="102" t="n"/>
      <c r="U142" s="102" t="n"/>
      <c r="V142" s="102" t="n"/>
      <c r="W142" s="102" t="n"/>
      <c r="X142" s="102" t="n"/>
      <c r="Y142" s="102" t="n"/>
      <c r="Z142" s="102" t="n"/>
      <c r="AA142" s="102" t="n"/>
      <c r="AB142" s="102" t="n"/>
      <c r="AC142" s="102">
        <f>IFERROR(__xludf.DUMMYFUNCTION("""COMPUTED_VALUE"""),22.0)</f>
        <v/>
      </c>
      <c r="AD142" s="102">
        <f>IFERROR(__xludf.DUMMYFUNCTION("""COMPUTED_VALUE"""),"7 RM")</f>
        <v/>
      </c>
    </row>
    <row r="143" ht="16.5" customHeight="1" s="176">
      <c r="A143" s="116" t="inlineStr">
        <is>
          <t>Yellowstone</t>
        </is>
      </c>
      <c r="B143" s="122" t="n"/>
      <c r="C143" s="122" t="n"/>
      <c r="D143" s="122" t="n"/>
      <c r="E143" s="122" t="n"/>
      <c r="F143" s="84" t="n"/>
      <c r="G143" s="84" t="n"/>
      <c r="H143" s="117" t="n"/>
      <c r="I143" s="118" t="n"/>
      <c r="J143" s="118" t="n"/>
      <c r="K143" s="98" t="n"/>
      <c r="L143" s="84" t="n"/>
      <c r="M143" s="84" t="n"/>
      <c r="N143" s="84" t="n"/>
      <c r="O143" s="84" t="n"/>
      <c r="P143" s="84" t="n"/>
      <c r="Q143" s="84" t="n"/>
      <c r="R143" s="84" t="n"/>
      <c r="S143" s="102" t="n"/>
      <c r="T143" s="102" t="n"/>
      <c r="U143" s="102" t="n"/>
      <c r="V143" s="102" t="n"/>
      <c r="W143" s="102" t="n"/>
      <c r="X143" s="102" t="n"/>
      <c r="Y143" s="102" t="n"/>
      <c r="Z143" s="102" t="n"/>
      <c r="AA143" s="102" t="n"/>
      <c r="AB143" s="102" t="n"/>
      <c r="AC143" s="102">
        <f>IFERROR(__xludf.DUMMYFUNCTION("""COMPUTED_VALUE"""),22.5)</f>
        <v/>
      </c>
      <c r="AD143" s="102">
        <f>IFERROR(__xludf.DUMMYFUNCTION("""COMPUTED_VALUE"""),"7 RS")</f>
        <v/>
      </c>
    </row>
    <row r="144" ht="16.5" customHeight="1" s="176">
      <c r="A144" s="116" t="inlineStr">
        <is>
          <t>Generico</t>
        </is>
      </c>
      <c r="B144" s="122" t="n"/>
      <c r="C144" s="122" t="n"/>
      <c r="D144" s="122" t="n"/>
      <c r="E144" s="122" t="n"/>
      <c r="F144" s="84" t="n"/>
      <c r="G144" s="84" t="n"/>
      <c r="H144" s="117" t="n"/>
      <c r="I144" s="118" t="n"/>
      <c r="J144" s="118" t="n"/>
      <c r="K144" s="98" t="n"/>
      <c r="L144" s="84" t="n"/>
      <c r="M144" s="84" t="n"/>
      <c r="N144" s="84" t="n"/>
      <c r="O144" s="84" t="n"/>
      <c r="P144" s="84" t="n"/>
      <c r="Q144" s="84" t="n"/>
      <c r="R144" s="84" t="n"/>
      <c r="S144" s="102" t="n"/>
      <c r="T144" s="102" t="n"/>
      <c r="U144" s="102" t="n"/>
      <c r="V144" s="102" t="n"/>
      <c r="W144" s="102" t="n"/>
      <c r="X144" s="102" t="n"/>
      <c r="Y144" s="102" t="n"/>
      <c r="Z144" s="102" t="n"/>
      <c r="AA144" s="102" t="n"/>
      <c r="AB144" s="102" t="n"/>
      <c r="AC144" s="102">
        <f>IFERROR(__xludf.DUMMYFUNCTION("""COMPUTED_VALUE"""),23.0)</f>
        <v/>
      </c>
      <c r="AD144" s="102">
        <f>IFERROR(__xludf.DUMMYFUNCTION("""COMPUTED_VALUE"""),"7 RT")</f>
        <v/>
      </c>
    </row>
    <row r="145" ht="16.5" customHeight="1" s="176">
      <c r="A145" s="116" t="inlineStr">
        <is>
          <t>CAPSLAB</t>
        </is>
      </c>
      <c r="B145" s="122" t="n"/>
      <c r="C145" s="122" t="n"/>
      <c r="D145" s="122" t="n"/>
      <c r="E145" s="122" t="n"/>
      <c r="F145" s="84" t="n"/>
      <c r="G145" s="84" t="n"/>
      <c r="H145" s="117" t="n"/>
      <c r="I145" s="118" t="n"/>
      <c r="J145" s="118" t="n"/>
      <c r="K145" s="98" t="n"/>
      <c r="L145" s="84" t="n"/>
      <c r="M145" s="84" t="n"/>
      <c r="N145" s="84" t="n"/>
      <c r="O145" s="84" t="n"/>
      <c r="P145" s="84" t="n"/>
      <c r="Q145" s="84" t="n"/>
      <c r="R145" s="84" t="n"/>
      <c r="S145" s="102" t="n"/>
      <c r="T145" s="102" t="n"/>
      <c r="U145" s="102" t="n"/>
      <c r="V145" s="102" t="n"/>
      <c r="W145" s="102" t="n"/>
      <c r="X145" s="102" t="n"/>
      <c r="Y145" s="102" t="n"/>
      <c r="Z145" s="102" t="n"/>
      <c r="AA145" s="102" t="n"/>
      <c r="AB145" s="102" t="n"/>
      <c r="AC145" s="102">
        <f>IFERROR(__xludf.DUMMYFUNCTION("""COMPUTED_VALUE"""),23.5)</f>
        <v/>
      </c>
      <c r="AD145" s="102">
        <f>IFERROR(__xludf.DUMMYFUNCTION("""COMPUTED_VALUE"""),"7 SM")</f>
        <v/>
      </c>
    </row>
    <row r="146" ht="16.5" customHeight="1" s="176">
      <c r="A146" s="116" t="inlineStr">
        <is>
          <t>Happy Socks</t>
        </is>
      </c>
      <c r="B146" s="122" t="n"/>
      <c r="C146" s="122" t="n"/>
      <c r="D146" s="122" t="n"/>
      <c r="E146" s="122" t="n"/>
      <c r="F146" s="84" t="n"/>
      <c r="G146" s="84" t="n"/>
      <c r="H146" s="117" t="n"/>
      <c r="I146" s="118" t="n"/>
      <c r="J146" s="118" t="n"/>
      <c r="K146" s="98" t="n"/>
      <c r="L146" s="84" t="n"/>
      <c r="M146" s="84" t="n"/>
      <c r="N146" s="84" t="n"/>
      <c r="O146" s="84" t="n"/>
      <c r="P146" s="84" t="n"/>
      <c r="Q146" s="84" t="n"/>
      <c r="R146" s="84" t="n"/>
      <c r="S146" s="102" t="n"/>
      <c r="T146" s="102" t="n"/>
      <c r="U146" s="102" t="n"/>
      <c r="V146" s="102" t="n"/>
      <c r="W146" s="102" t="n"/>
      <c r="X146" s="102" t="n"/>
      <c r="Y146" s="102" t="n"/>
      <c r="Z146" s="102" t="n"/>
      <c r="AA146" s="102" t="n"/>
      <c r="AB146" s="102" t="n"/>
      <c r="AC146" s="102">
        <f>IFERROR(__xludf.DUMMYFUNCTION("""COMPUTED_VALUE"""),24.0)</f>
        <v/>
      </c>
      <c r="AD146" s="102">
        <f>IFERROR(__xludf.DUMMYFUNCTION("""COMPUTED_VALUE"""),"7 SS")</f>
        <v/>
      </c>
    </row>
    <row r="147" ht="16.5" customHeight="1" s="176">
      <c r="A147" s="116" t="inlineStr">
        <is>
          <t>REFLO</t>
        </is>
      </c>
      <c r="B147" s="122" t="n"/>
      <c r="C147" s="122" t="n"/>
      <c r="D147" s="122" t="n"/>
      <c r="E147" s="122" t="n"/>
      <c r="F147" s="84" t="n"/>
      <c r="G147" s="84" t="n"/>
      <c r="H147" s="117" t="n"/>
      <c r="I147" s="118" t="n"/>
      <c r="J147" s="118" t="n"/>
      <c r="K147" s="98" t="n"/>
      <c r="L147" s="84" t="n"/>
      <c r="M147" s="84" t="n"/>
      <c r="N147" s="84" t="n"/>
      <c r="O147" s="84" t="n"/>
      <c r="P147" s="84" t="n"/>
      <c r="Q147" s="84" t="n"/>
      <c r="R147" s="84" t="n"/>
      <c r="S147" s="102" t="n"/>
      <c r="T147" s="102" t="n"/>
      <c r="U147" s="102" t="n"/>
      <c r="V147" s="102" t="n"/>
      <c r="W147" s="102" t="n"/>
      <c r="X147" s="102" t="n"/>
      <c r="Y147" s="102" t="n"/>
      <c r="Z147" s="102" t="n"/>
      <c r="AA147" s="102" t="n"/>
      <c r="AB147" s="102" t="n"/>
      <c r="AC147" s="102">
        <f>IFERROR(__xludf.DUMMYFUNCTION("""COMPUTED_VALUE"""),24.5)</f>
        <v/>
      </c>
      <c r="AD147" s="102">
        <f>IFERROR(__xludf.DUMMYFUNCTION("""COMPUTED_VALUE"""),"7 ST")</f>
        <v/>
      </c>
    </row>
    <row r="148" ht="16.5" customHeight="1" s="176">
      <c r="A148" s="116" t="inlineStr">
        <is>
          <t>Willow Lane</t>
        </is>
      </c>
      <c r="B148" s="122" t="n"/>
      <c r="C148" s="122" t="n"/>
      <c r="D148" s="122" t="n"/>
      <c r="E148" s="122" t="n"/>
      <c r="F148" s="84" t="n"/>
      <c r="G148" s="84" t="n"/>
      <c r="H148" s="117" t="n"/>
      <c r="I148" s="118" t="n"/>
      <c r="J148" s="118" t="n"/>
      <c r="K148" s="98" t="n"/>
      <c r="L148" s="84" t="n"/>
      <c r="M148" s="84" t="n"/>
      <c r="N148" s="84" t="n"/>
      <c r="O148" s="84" t="n"/>
      <c r="P148" s="84" t="n"/>
      <c r="Q148" s="84" t="n"/>
      <c r="R148" s="84" t="n"/>
      <c r="S148" s="102" t="n"/>
      <c r="T148" s="102" t="n"/>
      <c r="U148" s="102" t="n"/>
      <c r="V148" s="102" t="n"/>
      <c r="W148" s="102" t="n"/>
      <c r="X148" s="102" t="n"/>
      <c r="Y148" s="102" t="n"/>
      <c r="Z148" s="102" t="n"/>
      <c r="AA148" s="102" t="n"/>
      <c r="AB148" s="102" t="n"/>
      <c r="AC148" s="102">
        <f>IFERROR(__xludf.DUMMYFUNCTION("""COMPUTED_VALUE"""),33.0)</f>
        <v/>
      </c>
      <c r="AD148" s="102">
        <f>IFERROR(__xludf.DUMMYFUNCTION("""COMPUTED_VALUE"""),"7.5 D")</f>
        <v/>
      </c>
    </row>
    <row r="149" ht="16.5" customHeight="1" s="176">
      <c r="A149" s="116" t="n"/>
      <c r="B149" s="122" t="n"/>
      <c r="C149" s="122" t="n"/>
      <c r="D149" s="122" t="n"/>
      <c r="E149" s="122" t="n"/>
      <c r="F149" s="84" t="n"/>
      <c r="G149" s="84" t="n"/>
      <c r="H149" s="117" t="n"/>
      <c r="I149" s="118" t="n"/>
      <c r="J149" s="118" t="n"/>
      <c r="K149" s="98" t="n"/>
      <c r="L149" s="84" t="n"/>
      <c r="M149" s="84" t="n"/>
      <c r="N149" s="84" t="n"/>
      <c r="O149" s="84" t="n"/>
      <c r="P149" s="84" t="n"/>
      <c r="Q149" s="84" t="n"/>
      <c r="R149" s="84" t="n"/>
      <c r="S149" s="102" t="n"/>
      <c r="T149" s="102" t="n"/>
      <c r="U149" s="102" t="n"/>
      <c r="V149" s="102" t="n"/>
      <c r="W149" s="102" t="n"/>
      <c r="X149" s="102" t="n"/>
      <c r="Y149" s="102" t="n"/>
      <c r="Z149" s="102" t="n"/>
      <c r="AA149" s="102" t="n"/>
      <c r="AB149" s="102" t="n"/>
      <c r="AC149" s="102">
        <f>IFERROR(__xludf.DUMMYFUNCTION("""COMPUTED_VALUE"""),34.0)</f>
        <v/>
      </c>
      <c r="AD149" s="102">
        <f>IFERROR(__xludf.DUMMYFUNCTION("""COMPUTED_VALUE"""),"7.5 EE")</f>
        <v/>
      </c>
    </row>
    <row r="150" ht="9.75" customHeight="1" s="176">
      <c r="A150" s="107" t="n"/>
      <c r="B150" s="107" t="n"/>
      <c r="C150" s="107" t="n"/>
      <c r="D150" s="107" t="n"/>
      <c r="E150" s="107" t="n"/>
      <c r="F150" s="84" t="n"/>
      <c r="G150" s="84" t="n"/>
      <c r="H150" s="117" t="n"/>
      <c r="I150" s="118" t="n"/>
      <c r="J150" s="118" t="n"/>
      <c r="K150" s="98" t="n"/>
      <c r="L150" s="84" t="n"/>
      <c r="M150" s="84" t="n"/>
      <c r="N150" s="84" t="n"/>
      <c r="O150" s="84" t="n"/>
      <c r="P150" s="84" t="n"/>
      <c r="Q150" s="84" t="n"/>
      <c r="R150" s="84" t="n"/>
      <c r="S150" s="102" t="n"/>
      <c r="T150" s="102" t="n"/>
      <c r="U150" s="102" t="n"/>
      <c r="V150" s="102" t="n"/>
      <c r="W150" s="102" t="n"/>
      <c r="X150" s="102" t="n"/>
      <c r="Y150" s="102" t="n"/>
      <c r="Z150" s="102" t="n"/>
      <c r="AA150" s="102" t="n"/>
      <c r="AB150" s="102" t="n"/>
      <c r="AC150" s="102">
        <f>IFERROR(__xludf.DUMMYFUNCTION("""COMPUTED_VALUE"""),36.0)</f>
        <v/>
      </c>
      <c r="AD150" s="102">
        <f>IFERROR(__xludf.DUMMYFUNCTION("""COMPUTED_VALUE"""),"7.5 FM")</f>
        <v/>
      </c>
    </row>
    <row r="151" ht="21.75" customHeight="1" s="176">
      <c r="A151" s="86" t="inlineStr">
        <is>
          <t>6. COLORES Y SINÓNIMOS</t>
        </is>
      </c>
      <c r="B151" s="86" t="n"/>
      <c r="C151" s="86" t="n"/>
      <c r="D151" s="86" t="n"/>
      <c r="E151" s="108" t="inlineStr">
        <is>
          <t>↑ Volver al índice</t>
        </is>
      </c>
      <c r="F151" s="84" t="n"/>
      <c r="G151" s="84" t="n"/>
      <c r="H151" s="117" t="n"/>
      <c r="I151" s="118" t="n"/>
      <c r="J151" s="118" t="n"/>
      <c r="K151" s="98" t="n"/>
      <c r="L151" s="84" t="n"/>
      <c r="M151" s="84" t="n"/>
      <c r="N151" s="84" t="n"/>
      <c r="O151" s="84" t="n"/>
      <c r="P151" s="84" t="n"/>
      <c r="Q151" s="84" t="n"/>
      <c r="R151" s="84" t="n"/>
      <c r="S151" s="102" t="n"/>
      <c r="T151" s="102" t="n"/>
      <c r="U151" s="102" t="n"/>
      <c r="V151" s="102" t="n"/>
      <c r="W151" s="102" t="n"/>
      <c r="X151" s="102" t="n"/>
      <c r="Y151" s="102" t="n"/>
      <c r="Z151" s="102" t="n"/>
      <c r="AA151" s="102" t="n"/>
      <c r="AB151" s="102" t="n"/>
      <c r="AC151" s="102">
        <f>IFERROR(__xludf.DUMMYFUNCTION("""COMPUTED_VALUE"""),38.0)</f>
        <v/>
      </c>
      <c r="AD151" s="102">
        <f>IFERROR(__xludf.DUMMYFUNCTION("""COMPUTED_VALUE"""),"7.5 FS")</f>
        <v/>
      </c>
    </row>
    <row r="152" ht="16.5" customHeight="1" s="176">
      <c r="A152" s="110" t="inlineStr">
        <is>
          <t>Color base</t>
        </is>
      </c>
      <c r="B152" s="110" t="inlineStr">
        <is>
          <t>Sinónimos — se captura este color cuando el nombre dice…</t>
        </is>
      </c>
      <c r="C152" s="182" t="n"/>
      <c r="D152" s="182" t="n"/>
      <c r="E152" s="183" t="n"/>
      <c r="F152" s="84" t="n"/>
      <c r="G152" s="84" t="n"/>
      <c r="H152" s="117" t="n"/>
      <c r="I152" s="118" t="n"/>
      <c r="J152" s="118" t="n"/>
      <c r="K152" s="98" t="n"/>
      <c r="L152" s="84" t="n"/>
      <c r="M152" s="84" t="n"/>
      <c r="N152" s="84" t="n"/>
      <c r="O152" s="84" t="n"/>
      <c r="P152" s="84" t="n"/>
      <c r="Q152" s="84" t="n"/>
      <c r="R152" s="84" t="n"/>
      <c r="S152" s="102" t="n"/>
      <c r="T152" s="102" t="n"/>
      <c r="U152" s="102" t="n"/>
      <c r="V152" s="102" t="n"/>
      <c r="W152" s="102" t="n"/>
      <c r="X152" s="102" t="n"/>
      <c r="Y152" s="102" t="n"/>
      <c r="Z152" s="102" t="n"/>
      <c r="AA152" s="102" t="n"/>
      <c r="AB152" s="102" t="n"/>
      <c r="AC152" s="102">
        <f>IFERROR(__xludf.DUMMYFUNCTION("""COMPUTED_VALUE"""),40.0)</f>
        <v/>
      </c>
      <c r="AD152" s="102">
        <f>IFERROR(__xludf.DUMMYFUNCTION("""COMPUTED_VALUE"""),"7.5 RM")</f>
        <v/>
      </c>
    </row>
    <row r="153" ht="16.5" customHeight="1" s="176">
      <c r="A153" s="116" t="inlineStr">
        <is>
          <t>Rojo</t>
        </is>
      </c>
      <c r="B153" s="116" t="inlineStr">
        <is>
          <t>Red, Vino, Escarlata, Granate, Burgundy</t>
        </is>
      </c>
      <c r="C153" s="182" t="n"/>
      <c r="D153" s="182" t="n"/>
      <c r="E153" s="183" t="n"/>
      <c r="F153" s="84" t="n"/>
      <c r="G153" s="84" t="n"/>
      <c r="H153" s="117" t="n"/>
      <c r="I153" s="118" t="n"/>
      <c r="J153" s="118" t="n"/>
      <c r="K153" s="98" t="n"/>
      <c r="L153" s="84" t="n"/>
      <c r="M153" s="84" t="n"/>
      <c r="N153" s="84" t="n"/>
      <c r="O153" s="84" t="n"/>
      <c r="P153" s="84" t="n"/>
      <c r="Q153" s="84" t="n"/>
      <c r="R153" s="84" t="n"/>
      <c r="S153" s="102" t="n"/>
      <c r="T153" s="102" t="n"/>
      <c r="U153" s="102" t="n"/>
      <c r="V153" s="102" t="n"/>
      <c r="W153" s="102" t="n"/>
      <c r="X153" s="102" t="n"/>
      <c r="Y153" s="102" t="n"/>
      <c r="Z153" s="102" t="n"/>
      <c r="AA153" s="102" t="n"/>
      <c r="AB153" s="102" t="n"/>
      <c r="AC153" s="102">
        <f>IFERROR(__xludf.DUMMYFUNCTION("""COMPUTED_VALUE"""),42.0)</f>
        <v/>
      </c>
      <c r="AD153" s="102">
        <f>IFERROR(__xludf.DUMMYFUNCTION("""COMPUTED_VALUE"""),"7.5 RS")</f>
        <v/>
      </c>
    </row>
    <row r="154" ht="16.5" customHeight="1" s="176">
      <c r="A154" s="116" t="inlineStr">
        <is>
          <t>Azul</t>
        </is>
      </c>
      <c r="B154" s="116" t="inlineStr">
        <is>
          <t>Navy, Azul marino, Turquesa, Indigo, Mezclilla, Denim, Blue</t>
        </is>
      </c>
      <c r="C154" s="182" t="n"/>
      <c r="D154" s="182" t="n"/>
      <c r="E154" s="183" t="n"/>
      <c r="F154" s="84" t="n"/>
      <c r="G154" s="84" t="n"/>
      <c r="H154" s="117" t="n"/>
      <c r="I154" s="118" t="n"/>
      <c r="J154" s="118" t="n"/>
      <c r="K154" s="98" t="n"/>
      <c r="L154" s="84" t="n"/>
      <c r="M154" s="84" t="n"/>
      <c r="N154" s="84" t="n"/>
      <c r="O154" s="84" t="n"/>
      <c r="P154" s="84" t="n"/>
      <c r="Q154" s="84" t="n"/>
      <c r="R154" s="84" t="n"/>
      <c r="S154" s="102" t="n"/>
      <c r="T154" s="102" t="n"/>
      <c r="U154" s="102" t="n"/>
      <c r="V154" s="102" t="n"/>
      <c r="W154" s="102" t="n"/>
      <c r="X154" s="102" t="n"/>
      <c r="Y154" s="102" t="n"/>
      <c r="Z154" s="102" t="n"/>
      <c r="AA154" s="102" t="n"/>
      <c r="AB154" s="102" t="n"/>
      <c r="AC154" s="102">
        <f>IFERROR(__xludf.DUMMYFUNCTION("""COMPUTED_VALUE"""),44.0)</f>
        <v/>
      </c>
      <c r="AD154" s="102">
        <f>IFERROR(__xludf.DUMMYFUNCTION("""COMPUTED_VALUE"""),"7.5 RT")</f>
        <v/>
      </c>
    </row>
    <row r="155" ht="16.5" customHeight="1" s="176">
      <c r="A155" s="116" t="inlineStr">
        <is>
          <t>Amarillo</t>
        </is>
      </c>
      <c r="B155" s="116" t="inlineStr">
        <is>
          <t>Mostaza, Yellow</t>
        </is>
      </c>
      <c r="C155" s="182" t="n"/>
      <c r="D155" s="182" t="n"/>
      <c r="E155" s="183" t="n"/>
      <c r="F155" s="84" t="n"/>
      <c r="G155" s="84" t="n"/>
      <c r="H155" s="117" t="n"/>
      <c r="I155" s="118" t="n"/>
      <c r="J155" s="118" t="n"/>
      <c r="K155" s="98" t="n"/>
      <c r="L155" s="84" t="n"/>
      <c r="M155" s="84" t="n"/>
      <c r="N155" s="84" t="n"/>
      <c r="O155" s="84" t="n"/>
      <c r="P155" s="84" t="n"/>
      <c r="Q155" s="84" t="n"/>
      <c r="R155" s="84" t="n"/>
      <c r="S155" s="102" t="n"/>
      <c r="T155" s="102" t="n"/>
      <c r="U155" s="102" t="n"/>
      <c r="V155" s="102" t="n"/>
      <c r="W155" s="102" t="n"/>
      <c r="X155" s="102" t="n"/>
      <c r="Y155" s="102" t="n"/>
      <c r="Z155" s="102" t="n"/>
      <c r="AA155" s="102" t="n"/>
      <c r="AB155" s="102" t="n"/>
      <c r="AC155" s="102">
        <f>IFERROR(__xludf.DUMMYFUNCTION("""COMPUTED_VALUE"""),46.0)</f>
        <v/>
      </c>
      <c r="AD155" s="102">
        <f>IFERROR(__xludf.DUMMYFUNCTION("""COMPUTED_VALUE"""),"7.5 SM")</f>
        <v/>
      </c>
    </row>
    <row r="156" ht="16.5" customHeight="1" s="176">
      <c r="A156" s="116" t="inlineStr">
        <is>
          <t>Verde</t>
        </is>
      </c>
      <c r="B156" s="116" t="inlineStr">
        <is>
          <t>Olivo, Olive, Green</t>
        </is>
      </c>
      <c r="C156" s="182" t="n"/>
      <c r="D156" s="182" t="n"/>
      <c r="E156" s="183" t="n"/>
      <c r="F156" s="84" t="n"/>
      <c r="G156" s="84" t="n"/>
      <c r="H156" s="117" t="n"/>
      <c r="I156" s="118" t="n"/>
      <c r="J156" s="118" t="n"/>
      <c r="K156" s="98" t="n"/>
      <c r="L156" s="84" t="n"/>
      <c r="M156" s="84" t="n"/>
      <c r="N156" s="84" t="n"/>
      <c r="O156" s="84" t="n"/>
      <c r="P156" s="84" t="n"/>
      <c r="Q156" s="84" t="n"/>
      <c r="R156" s="84" t="n"/>
      <c r="S156" s="102" t="n"/>
      <c r="T156" s="102" t="n"/>
      <c r="U156" s="102" t="n"/>
      <c r="V156" s="102" t="n"/>
      <c r="W156" s="102" t="n"/>
      <c r="X156" s="102" t="n"/>
      <c r="Y156" s="102" t="n"/>
      <c r="Z156" s="102" t="n"/>
      <c r="AA156" s="102" t="n"/>
      <c r="AB156" s="102" t="n"/>
      <c r="AC156" s="102">
        <f>IFERROR(__xludf.DUMMYFUNCTION("""COMPUTED_VALUE"""),48.0)</f>
        <v/>
      </c>
      <c r="AD156" s="102">
        <f>IFERROR(__xludf.DUMMYFUNCTION("""COMPUTED_VALUE"""),"7.5 SS")</f>
        <v/>
      </c>
    </row>
    <row r="157" ht="16.5" customHeight="1" s="176">
      <c r="A157" s="116" t="inlineStr">
        <is>
          <t>Naranja</t>
        </is>
      </c>
      <c r="B157" s="116" t="inlineStr">
        <is>
          <t>Orange</t>
        </is>
      </c>
      <c r="C157" s="182" t="n"/>
      <c r="D157" s="182" t="n"/>
      <c r="E157" s="183" t="n"/>
      <c r="F157" s="84" t="n"/>
      <c r="G157" s="84" t="n"/>
      <c r="H157" s="117" t="n"/>
      <c r="I157" s="118" t="n"/>
      <c r="J157" s="118" t="n"/>
      <c r="K157" s="98" t="n"/>
      <c r="L157" s="84" t="n"/>
      <c r="M157" s="84" t="n"/>
      <c r="N157" s="84" t="n"/>
      <c r="O157" s="84" t="n"/>
      <c r="P157" s="84" t="n"/>
      <c r="Q157" s="84" t="n"/>
      <c r="R157" s="84" t="n"/>
      <c r="S157" s="102" t="n"/>
      <c r="T157" s="102" t="n"/>
      <c r="U157" s="102" t="n"/>
      <c r="V157" s="102" t="n"/>
      <c r="W157" s="102" t="n"/>
      <c r="X157" s="102" t="n"/>
      <c r="Y157" s="102" t="n"/>
      <c r="Z157" s="102" t="n"/>
      <c r="AA157" s="102" t="n"/>
      <c r="AB157" s="102" t="n"/>
      <c r="AC157" s="102">
        <f>IFERROR(__xludf.DUMMYFUNCTION("""COMPUTED_VALUE"""),50.0)</f>
        <v/>
      </c>
      <c r="AD157" s="102">
        <f>IFERROR(__xludf.DUMMYFUNCTION("""COMPUTED_VALUE"""),"7.5 ST")</f>
        <v/>
      </c>
    </row>
    <row r="158" ht="16.5" customHeight="1" s="176">
      <c r="A158" s="116" t="inlineStr">
        <is>
          <t>Morado</t>
        </is>
      </c>
      <c r="B158" s="116" t="inlineStr">
        <is>
          <t>Púrpura, Purple, Lila</t>
        </is>
      </c>
      <c r="C158" s="182" t="n"/>
      <c r="D158" s="182" t="n"/>
      <c r="E158" s="183" t="n"/>
      <c r="F158" s="84" t="n"/>
      <c r="G158" s="84" t="n"/>
      <c r="H158" s="117" t="n"/>
      <c r="I158" s="118" t="n"/>
      <c r="J158" s="118" t="n"/>
      <c r="K158" s="98" t="n"/>
      <c r="L158" s="84" t="n"/>
      <c r="M158" s="84" t="n"/>
      <c r="N158" s="84" t="n"/>
      <c r="O158" s="84" t="n"/>
      <c r="P158" s="84" t="n"/>
      <c r="Q158" s="84" t="n"/>
      <c r="R158" s="84" t="n"/>
      <c r="S158" s="102" t="n"/>
      <c r="T158" s="102" t="n"/>
      <c r="U158" s="102" t="n"/>
      <c r="V158" s="102" t="n"/>
      <c r="W158" s="102" t="n"/>
      <c r="X158" s="102" t="n"/>
      <c r="Y158" s="102" t="n"/>
      <c r="Z158" s="102" t="n"/>
      <c r="AA158" s="102" t="n"/>
      <c r="AB158" s="102" t="n"/>
      <c r="AC158" s="102">
        <f>IFERROR(__xludf.DUMMYFUNCTION("""COMPUTED_VALUE"""),52.0)</f>
        <v/>
      </c>
      <c r="AD158" s="102">
        <f>IFERROR(__xludf.DUMMYFUNCTION("""COMPUTED_VALUE"""),"8 D")</f>
        <v/>
      </c>
    </row>
    <row r="159" ht="16.5" customHeight="1" s="176">
      <c r="A159" s="116" t="inlineStr">
        <is>
          <t>Rosa</t>
        </is>
      </c>
      <c r="B159" s="116" t="inlineStr">
        <is>
          <t>Pink</t>
        </is>
      </c>
      <c r="C159" s="182" t="n"/>
      <c r="D159" s="182" t="n"/>
      <c r="E159" s="183" t="n"/>
      <c r="F159" s="84" t="n"/>
      <c r="G159" s="84" t="n"/>
      <c r="H159" s="117" t="n"/>
      <c r="I159" s="118" t="n"/>
      <c r="J159" s="118" t="n"/>
      <c r="K159" s="98" t="n"/>
      <c r="L159" s="84" t="n"/>
      <c r="M159" s="84" t="n"/>
      <c r="N159" s="84" t="n"/>
      <c r="O159" s="84" t="n"/>
      <c r="P159" s="84" t="n"/>
      <c r="Q159" s="84" t="n"/>
      <c r="R159" s="84" t="n"/>
      <c r="S159" s="102" t="n"/>
      <c r="T159" s="102" t="n"/>
      <c r="U159" s="102" t="n"/>
      <c r="V159" s="102" t="n"/>
      <c r="W159" s="102" t="n"/>
      <c r="X159" s="102" t="n"/>
      <c r="Y159" s="102" t="n"/>
      <c r="Z159" s="102" t="n"/>
      <c r="AA159" s="102" t="n"/>
      <c r="AB159" s="102" t="n"/>
      <c r="AC159" s="102">
        <f>IFERROR(__xludf.DUMMYFUNCTION("""COMPUTED_VALUE"""),54.0)</f>
        <v/>
      </c>
      <c r="AD159" s="102">
        <f>IFERROR(__xludf.DUMMYFUNCTION("""COMPUTED_VALUE"""),"8 EE")</f>
        <v/>
      </c>
    </row>
    <row r="160" ht="16.5" customHeight="1" s="176">
      <c r="A160" s="116" t="inlineStr">
        <is>
          <t>Negro</t>
        </is>
      </c>
      <c r="B160" s="116" t="inlineStr">
        <is>
          <t>Black, Negra</t>
        </is>
      </c>
      <c r="C160" s="182" t="n"/>
      <c r="D160" s="182" t="n"/>
      <c r="E160" s="183" t="n"/>
      <c r="F160" s="84" t="n"/>
      <c r="G160" s="84" t="n"/>
      <c r="H160" s="117" t="n"/>
      <c r="I160" s="118" t="n"/>
      <c r="J160" s="118" t="n"/>
      <c r="K160" s="98" t="n"/>
      <c r="L160" s="84" t="n"/>
      <c r="M160" s="84" t="n"/>
      <c r="N160" s="84" t="n"/>
      <c r="O160" s="84" t="n"/>
      <c r="P160" s="84" t="n"/>
      <c r="Q160" s="84" t="n"/>
      <c r="R160" s="84" t="n"/>
      <c r="S160" s="102" t="n"/>
      <c r="T160" s="102" t="n"/>
      <c r="U160" s="102" t="n"/>
      <c r="V160" s="102" t="n"/>
      <c r="W160" s="102" t="n"/>
      <c r="X160" s="102" t="n"/>
      <c r="Y160" s="102" t="n"/>
      <c r="Z160" s="102" t="n"/>
      <c r="AA160" s="102" t="n"/>
      <c r="AB160" s="102" t="n"/>
      <c r="AC160" s="102">
        <f>IFERROR(__xludf.DUMMYFUNCTION("""COMPUTED_VALUE"""),56.0)</f>
        <v/>
      </c>
      <c r="AD160" s="102">
        <f>IFERROR(__xludf.DUMMYFUNCTION("""COMPUTED_VALUE"""),"8 FM")</f>
        <v/>
      </c>
    </row>
    <row r="161" ht="16.5" customHeight="1" s="176">
      <c r="A161" s="116" t="inlineStr">
        <is>
          <t>Blanco</t>
        </is>
      </c>
      <c r="B161" s="116" t="inlineStr">
        <is>
          <t>White, Hueso</t>
        </is>
      </c>
      <c r="C161" s="182" t="n"/>
      <c r="D161" s="182" t="n"/>
      <c r="E161" s="183" t="n"/>
      <c r="F161" s="84" t="n"/>
      <c r="G161" s="84" t="n"/>
      <c r="H161" s="117" t="n"/>
      <c r="I161" s="118" t="n"/>
      <c r="J161" s="118" t="n"/>
      <c r="K161" s="98" t="n"/>
      <c r="L161" s="84" t="n"/>
      <c r="M161" s="84" t="n"/>
      <c r="N161" s="84" t="n"/>
      <c r="O161" s="84" t="n"/>
      <c r="P161" s="84" t="n"/>
      <c r="Q161" s="84" t="n"/>
      <c r="R161" s="84" t="n"/>
      <c r="S161" s="102" t="n"/>
      <c r="T161" s="102" t="n"/>
      <c r="U161" s="102" t="n"/>
      <c r="V161" s="102" t="n"/>
      <c r="W161" s="102" t="n"/>
      <c r="X161" s="102" t="n"/>
      <c r="Y161" s="102" t="n"/>
      <c r="Z161" s="102" t="n"/>
      <c r="AA161" s="102" t="n"/>
      <c r="AB161" s="102" t="n"/>
      <c r="AC161" s="102">
        <f>IFERROR(__xludf.DUMMYFUNCTION("""COMPUTED_VALUE"""),58.0)</f>
        <v/>
      </c>
      <c r="AD161" s="102">
        <f>IFERROR(__xludf.DUMMYFUNCTION("""COMPUTED_VALUE"""),"8 FS")</f>
        <v/>
      </c>
    </row>
    <row r="162" ht="16.5" customHeight="1" s="176">
      <c r="A162" s="116" t="inlineStr">
        <is>
          <t>Gris</t>
        </is>
      </c>
      <c r="B162" s="116" t="inlineStr">
        <is>
          <t>Grey, Gray, Carbón, Charcoal</t>
        </is>
      </c>
      <c r="C162" s="182" t="n"/>
      <c r="D162" s="182" t="n"/>
      <c r="E162" s="183" t="n"/>
      <c r="F162" s="84" t="n"/>
      <c r="G162" s="84" t="n"/>
      <c r="H162" s="117" t="n"/>
      <c r="I162" s="118" t="n"/>
      <c r="J162" s="118" t="n"/>
      <c r="K162" s="98" t="n"/>
      <c r="L162" s="84" t="n"/>
      <c r="M162" s="84" t="n"/>
      <c r="N162" s="84" t="n"/>
      <c r="O162" s="84" t="n"/>
      <c r="P162" s="84" t="n"/>
      <c r="Q162" s="84" t="n"/>
      <c r="R162" s="84" t="n"/>
      <c r="S162" s="102" t="n"/>
      <c r="T162" s="102" t="n"/>
      <c r="U162" s="102" t="n"/>
      <c r="V162" s="102" t="n"/>
      <c r="W162" s="102" t="n"/>
      <c r="X162" s="102" t="n"/>
      <c r="Y162" s="102" t="n"/>
      <c r="Z162" s="102" t="n"/>
      <c r="AA162" s="102" t="n"/>
      <c r="AB162" s="102" t="n"/>
      <c r="AC162" s="102">
        <f>IFERROR(__xludf.DUMMYFUNCTION("""COMPUTED_VALUE"""),60.0)</f>
        <v/>
      </c>
      <c r="AD162" s="102">
        <f>IFERROR(__xludf.DUMMYFUNCTION("""COMPUTED_VALUE"""),"8 RM")</f>
        <v/>
      </c>
    </row>
    <row r="163" ht="16.5" customHeight="1" s="176">
      <c r="A163" s="116" t="inlineStr">
        <is>
          <t>Beige</t>
        </is>
      </c>
      <c r="B163" s="116" t="inlineStr">
        <is>
          <t>Crema, Arena, Tan, Khaki, Caqui, Sand</t>
        </is>
      </c>
      <c r="C163" s="182" t="n"/>
      <c r="D163" s="182" t="n"/>
      <c r="E163" s="183" t="n"/>
      <c r="F163" s="84" t="n"/>
      <c r="G163" s="84" t="n"/>
      <c r="H163" s="117" t="n"/>
      <c r="I163" s="118" t="n"/>
      <c r="J163" s="118" t="n"/>
      <c r="K163" s="98" t="n"/>
      <c r="L163" s="84" t="n"/>
      <c r="M163" s="84" t="n"/>
      <c r="N163" s="84" t="n"/>
      <c r="O163" s="84" t="n"/>
      <c r="P163" s="84" t="n"/>
      <c r="Q163" s="84" t="n"/>
      <c r="R163" s="84" t="n"/>
      <c r="S163" s="102" t="n"/>
      <c r="T163" s="102" t="n"/>
      <c r="U163" s="102" t="n"/>
      <c r="V163" s="102" t="n"/>
      <c r="W163" s="102" t="n"/>
      <c r="X163" s="102" t="n"/>
      <c r="Y163" s="102" t="n"/>
      <c r="Z163" s="102" t="n"/>
      <c r="AA163" s="102" t="n"/>
      <c r="AB163" s="102" t="n"/>
      <c r="AC163" s="102">
        <f>IFERROR(__xludf.DUMMYFUNCTION("""COMPUTED_VALUE"""),18.0)</f>
        <v/>
      </c>
      <c r="AD163" s="102">
        <f>IFERROR(__xludf.DUMMYFUNCTION("""COMPUTED_VALUE"""),"8 RS")</f>
        <v/>
      </c>
    </row>
    <row r="164" ht="16.5" customHeight="1" s="176">
      <c r="A164" s="116" t="inlineStr">
        <is>
          <t>Cafe</t>
        </is>
      </c>
      <c r="B164" s="116" t="inlineStr">
        <is>
          <t>Café, Brown, Cognac, Coñac, Chocolate, Tabaco, Taupe, Arcilla, Terracota, Camel, Miel, Marrón</t>
        </is>
      </c>
      <c r="C164" s="182" t="n"/>
      <c r="D164" s="182" t="n"/>
      <c r="E164" s="183" t="n"/>
      <c r="F164" s="84" t="n"/>
      <c r="G164" s="84" t="n"/>
      <c r="H164" s="117" t="n"/>
      <c r="I164" s="118" t="n"/>
      <c r="J164" s="118" t="n"/>
      <c r="K164" s="98" t="n"/>
      <c r="L164" s="84" t="n"/>
      <c r="M164" s="84" t="n"/>
      <c r="N164" s="84" t="n"/>
      <c r="O164" s="84" t="n"/>
      <c r="P164" s="84" t="n"/>
      <c r="Q164" s="84" t="n"/>
      <c r="R164" s="84" t="n"/>
      <c r="S164" s="102" t="n"/>
      <c r="T164" s="102" t="n"/>
      <c r="U164" s="102" t="n"/>
      <c r="V164" s="102" t="n"/>
      <c r="W164" s="102" t="n"/>
      <c r="X164" s="102" t="n"/>
      <c r="Y164" s="102" t="n"/>
      <c r="Z164" s="102" t="n"/>
      <c r="AA164" s="102" t="n"/>
      <c r="AB164" s="102" t="n"/>
      <c r="AC164" s="102">
        <f>IFERROR(__xludf.DUMMYFUNCTION("""COMPUTED_VALUE"""),20.0)</f>
        <v/>
      </c>
      <c r="AD164" s="102">
        <f>IFERROR(__xludf.DUMMYFUNCTION("""COMPUTED_VALUE"""),"8 RT")</f>
        <v/>
      </c>
    </row>
    <row r="165" ht="16.5" customHeight="1" s="176">
      <c r="A165" s="116" t="inlineStr">
        <is>
          <t>Varios</t>
        </is>
      </c>
      <c r="B165" s="116" t="inlineStr">
        <is>
          <t>Estampados multicolor sin color dominante o que no aparezca en la lista</t>
        </is>
      </c>
      <c r="C165" s="182" t="n"/>
      <c r="D165" s="182" t="n"/>
      <c r="E165" s="183" t="n"/>
      <c r="F165" s="84" t="n"/>
      <c r="G165" s="84" t="n"/>
      <c r="H165" s="117" t="n"/>
      <c r="I165" s="118" t="n"/>
      <c r="J165" s="118" t="n"/>
      <c r="K165" s="98" t="n"/>
      <c r="L165" s="84" t="n"/>
      <c r="M165" s="84" t="n"/>
      <c r="N165" s="84" t="n"/>
      <c r="O165" s="84" t="n"/>
      <c r="P165" s="84" t="n"/>
      <c r="Q165" s="84" t="n"/>
      <c r="R165" s="84" t="n"/>
      <c r="S165" s="102" t="n"/>
      <c r="T165" s="102" t="n"/>
      <c r="U165" s="102" t="n"/>
      <c r="V165" s="102" t="n"/>
      <c r="W165" s="102" t="n"/>
      <c r="X165" s="102" t="n"/>
      <c r="Y165" s="102" t="n"/>
      <c r="Z165" s="102" t="n"/>
      <c r="AA165" s="102" t="n"/>
      <c r="AB165" s="102" t="n"/>
      <c r="AC165" s="102">
        <f>IFERROR(__xludf.DUMMYFUNCTION("""COMPUTED_VALUE"""),"10-12")</f>
        <v/>
      </c>
      <c r="AD165" s="102">
        <f>IFERROR(__xludf.DUMMYFUNCTION("""COMPUTED_VALUE"""),"8 SM")</f>
        <v/>
      </c>
    </row>
    <row r="166" ht="16.5" customHeight="1" s="176">
      <c r="A166" s="116" t="n"/>
      <c r="B166" s="116" t="n"/>
      <c r="C166" s="182" t="n"/>
      <c r="D166" s="182" t="n"/>
      <c r="E166" s="183" t="n"/>
      <c r="F166" s="84" t="n"/>
      <c r="G166" s="84" t="n"/>
      <c r="H166" s="117" t="n"/>
      <c r="I166" s="118" t="n"/>
      <c r="J166" s="118" t="n"/>
      <c r="K166" s="98" t="n"/>
      <c r="L166" s="84" t="n"/>
      <c r="M166" s="84" t="n"/>
      <c r="N166" s="84" t="n"/>
      <c r="O166" s="84" t="n"/>
      <c r="P166" s="84" t="n"/>
      <c r="Q166" s="84" t="n"/>
      <c r="R166" s="84" t="n"/>
      <c r="S166" s="102" t="n"/>
      <c r="T166" s="102" t="n"/>
      <c r="U166" s="102" t="n"/>
      <c r="V166" s="102" t="n"/>
      <c r="W166" s="102" t="n"/>
      <c r="X166" s="102" t="n"/>
      <c r="Y166" s="102" t="n"/>
      <c r="Z166" s="102" t="n"/>
      <c r="AA166" s="102" t="n"/>
      <c r="AB166" s="102" t="n"/>
      <c r="AC166" s="102">
        <f>IFERROR(__xludf.DUMMYFUNCTION("""COMPUTED_VALUE"""),"14-16")</f>
        <v/>
      </c>
      <c r="AD166" s="102">
        <f>IFERROR(__xludf.DUMMYFUNCTION("""COMPUTED_VALUE"""),"8 SS")</f>
        <v/>
      </c>
    </row>
    <row r="167" ht="16.5" customHeight="1" s="176">
      <c r="A167" s="116" t="n"/>
      <c r="B167" s="116" t="n"/>
      <c r="C167" s="182" t="n"/>
      <c r="D167" s="182" t="n"/>
      <c r="E167" s="183" t="n"/>
      <c r="F167" s="84" t="n"/>
      <c r="G167" s="84" t="n"/>
      <c r="H167" s="117" t="n"/>
      <c r="I167" s="118" t="n"/>
      <c r="J167" s="118" t="n"/>
      <c r="K167" s="98" t="n"/>
      <c r="L167" s="84" t="n"/>
      <c r="M167" s="84" t="n"/>
      <c r="N167" s="84" t="n"/>
      <c r="O167" s="84" t="n"/>
      <c r="P167" s="84" t="n"/>
      <c r="Q167" s="84" t="n"/>
      <c r="R167" s="84" t="n"/>
      <c r="S167" s="102" t="n"/>
      <c r="T167" s="102" t="n"/>
      <c r="U167" s="102" t="n"/>
      <c r="V167" s="102" t="n"/>
      <c r="W167" s="102" t="n"/>
      <c r="X167" s="102" t="n"/>
      <c r="Y167" s="102" t="n"/>
      <c r="Z167" s="102" t="n"/>
      <c r="AA167" s="102" t="n"/>
      <c r="AB167" s="102" t="n"/>
      <c r="AC167" s="102">
        <f>IFERROR(__xludf.DUMMYFUNCTION("""COMPUTED_VALUE"""),35.0)</f>
        <v/>
      </c>
      <c r="AD167" s="102">
        <f>IFERROR(__xludf.DUMMYFUNCTION("""COMPUTED_VALUE"""),"8 ST")</f>
        <v/>
      </c>
    </row>
    <row r="168" ht="16.5" customHeight="1" s="176">
      <c r="A168" s="116" t="n"/>
      <c r="B168" s="116" t="n"/>
      <c r="C168" s="182" t="n"/>
      <c r="D168" s="182" t="n"/>
      <c r="E168" s="183" t="n"/>
      <c r="F168" s="84" t="n"/>
      <c r="G168" s="84" t="n"/>
      <c r="H168" s="117" t="n"/>
      <c r="I168" s="118" t="n"/>
      <c r="J168" s="118" t="n"/>
      <c r="K168" s="98" t="n"/>
      <c r="L168" s="84" t="n"/>
      <c r="M168" s="84" t="n"/>
      <c r="N168" s="84" t="n"/>
      <c r="O168" s="84" t="n"/>
      <c r="P168" s="84" t="n"/>
      <c r="Q168" s="84" t="n"/>
      <c r="R168" s="84" t="n"/>
      <c r="S168" s="102" t="n"/>
      <c r="T168" s="102" t="n"/>
      <c r="U168" s="102" t="n"/>
      <c r="V168" s="102" t="n"/>
      <c r="W168" s="102" t="n"/>
      <c r="X168" s="102" t="n"/>
      <c r="Y168" s="102" t="n"/>
      <c r="Z168" s="102" t="n"/>
      <c r="AA168" s="102" t="n"/>
      <c r="AB168" s="102" t="n"/>
      <c r="AC168" s="102">
        <f>IFERROR(__xludf.DUMMYFUNCTION("""COMPUTED_VALUE"""),37.0)</f>
        <v/>
      </c>
      <c r="AD168" s="102">
        <f>IFERROR(__xludf.DUMMYFUNCTION("""COMPUTED_VALUE"""),"8 XSS")</f>
        <v/>
      </c>
    </row>
    <row r="169" ht="16.5" customHeight="1" s="176">
      <c r="A169" s="116" t="n"/>
      <c r="B169" s="116" t="n"/>
      <c r="C169" s="182" t="n"/>
      <c r="D169" s="182" t="n"/>
      <c r="E169" s="183" t="n"/>
      <c r="F169" s="84" t="n"/>
      <c r="G169" s="84" t="n"/>
      <c r="H169" s="117" t="n"/>
      <c r="I169" s="118" t="n"/>
      <c r="J169" s="118" t="n"/>
      <c r="K169" s="98" t="n"/>
      <c r="L169" s="84" t="n"/>
      <c r="M169" s="84" t="n"/>
      <c r="N169" s="84" t="n"/>
      <c r="O169" s="84" t="n"/>
      <c r="P169" s="84" t="n"/>
      <c r="Q169" s="84" t="n"/>
      <c r="R169" s="84" t="n"/>
      <c r="S169" s="102" t="n"/>
      <c r="T169" s="102" t="n"/>
      <c r="U169" s="102" t="n"/>
      <c r="V169" s="102" t="n"/>
      <c r="W169" s="102" t="n"/>
      <c r="X169" s="102" t="n"/>
      <c r="Y169" s="102" t="n"/>
      <c r="Z169" s="102" t="n"/>
      <c r="AA169" s="102" t="n"/>
      <c r="AB169" s="102" t="n"/>
      <c r="AC169" s="102">
        <f>IFERROR(__xludf.DUMMYFUNCTION("""COMPUTED_VALUE"""),39.0)</f>
        <v/>
      </c>
      <c r="AD169" s="102">
        <f>IFERROR(__xludf.DUMMYFUNCTION("""COMPUTED_VALUE"""),"8.5 D")</f>
        <v/>
      </c>
    </row>
    <row r="170" ht="9.75" customHeight="1" s="176">
      <c r="A170" s="107" t="n"/>
      <c r="B170" s="107" t="n"/>
      <c r="C170" s="107" t="n"/>
      <c r="D170" s="107" t="n"/>
      <c r="E170" s="107" t="n"/>
      <c r="F170" s="84" t="n"/>
      <c r="G170" s="84" t="n"/>
      <c r="H170" s="117" t="n"/>
      <c r="I170" s="118" t="n"/>
      <c r="J170" s="118" t="n"/>
      <c r="K170" s="98" t="n"/>
      <c r="L170" s="84" t="n"/>
      <c r="M170" s="84" t="n"/>
      <c r="N170" s="84" t="n"/>
      <c r="O170" s="84" t="n"/>
      <c r="P170" s="84" t="n"/>
      <c r="Q170" s="84" t="n"/>
      <c r="R170" s="84" t="n"/>
      <c r="S170" s="102" t="n"/>
      <c r="T170" s="102" t="n"/>
      <c r="U170" s="102" t="n"/>
      <c r="V170" s="102" t="n"/>
      <c r="W170" s="102" t="n"/>
      <c r="X170" s="102" t="n"/>
      <c r="Y170" s="102" t="n"/>
      <c r="Z170" s="102" t="n"/>
      <c r="AA170" s="102" t="n"/>
      <c r="AB170" s="102" t="n"/>
      <c r="AC170" s="102">
        <f>IFERROR(__xludf.DUMMYFUNCTION("""COMPUTED_VALUE"""),41.0)</f>
        <v/>
      </c>
      <c r="AD170" s="102">
        <f>IFERROR(__xludf.DUMMYFUNCTION("""COMPUTED_VALUE"""),"8.5 EE")</f>
        <v/>
      </c>
    </row>
    <row r="171" ht="21.75" customHeight="1" s="176">
      <c r="A171" s="86" t="inlineStr">
        <is>
          <t>7. FIT Y SILUETA</t>
        </is>
      </c>
      <c r="B171" s="86" t="n"/>
      <c r="C171" s="86" t="n"/>
      <c r="D171" s="86" t="n"/>
      <c r="E171" s="108" t="inlineStr">
        <is>
          <t>↑ Volver al índice</t>
        </is>
      </c>
      <c r="F171" s="84" t="n"/>
      <c r="G171" s="84" t="n"/>
      <c r="H171" s="117" t="n"/>
      <c r="I171" s="118" t="n"/>
      <c r="J171" s="118" t="n"/>
      <c r="K171" s="98" t="n"/>
      <c r="L171" s="84" t="n"/>
      <c r="M171" s="84" t="n"/>
      <c r="N171" s="84" t="n"/>
      <c r="O171" s="84" t="n"/>
      <c r="P171" s="84" t="n"/>
      <c r="Q171" s="84" t="n"/>
      <c r="R171" s="84" t="n"/>
      <c r="S171" s="102" t="n"/>
      <c r="T171" s="102" t="n"/>
      <c r="U171" s="102" t="n"/>
      <c r="V171" s="102" t="n"/>
      <c r="W171" s="102" t="n"/>
      <c r="X171" s="102" t="n"/>
      <c r="Y171" s="102" t="n"/>
      <c r="Z171" s="102" t="n"/>
      <c r="AA171" s="102" t="n"/>
      <c r="AB171" s="102" t="n"/>
      <c r="AC171" s="102">
        <f>IFERROR(__xludf.DUMMYFUNCTION("""COMPUTED_VALUE"""),"22 ml")</f>
        <v/>
      </c>
      <c r="AD171" s="102">
        <f>IFERROR(__xludf.DUMMYFUNCTION("""COMPUTED_VALUE"""),"8.5 FM")</f>
        <v/>
      </c>
    </row>
    <row r="172" ht="16.5" customHeight="1" s="176">
      <c r="A172" s="110" t="inlineStr">
        <is>
          <t>Fit (corte) — aplica a</t>
        </is>
      </c>
      <c r="B172" s="110" t="inlineStr">
        <is>
          <t>Valores de Fit homologados</t>
        </is>
      </c>
      <c r="C172" s="182" t="n"/>
      <c r="D172" s="182" t="n"/>
      <c r="E172" s="183" t="n"/>
      <c r="F172" s="84" t="n"/>
      <c r="G172" s="84" t="n"/>
      <c r="H172" s="117" t="n"/>
      <c r="I172" s="118" t="n"/>
      <c r="J172" s="118" t="n"/>
      <c r="K172" s="98" t="n"/>
      <c r="L172" s="84" t="n"/>
      <c r="M172" s="84" t="n"/>
      <c r="N172" s="84" t="n"/>
      <c r="O172" s="84" t="n"/>
      <c r="P172" s="84" t="n"/>
      <c r="Q172" s="84" t="n"/>
      <c r="R172" s="84" t="n"/>
      <c r="S172" s="102" t="n"/>
      <c r="T172" s="102" t="n"/>
      <c r="U172" s="102" t="n"/>
      <c r="V172" s="102" t="n"/>
      <c r="W172" s="102" t="n"/>
      <c r="X172" s="102" t="n"/>
      <c r="Y172" s="102" t="n"/>
      <c r="Z172" s="102" t="n"/>
      <c r="AA172" s="102" t="n"/>
      <c r="AB172" s="102" t="n"/>
      <c r="AC172" s="102">
        <f>IFERROR(__xludf.DUMMYFUNCTION("""COMPUTED_VALUE"""),"30 ml")</f>
        <v/>
      </c>
      <c r="AD172" s="102">
        <f>IFERROR(__xludf.DUMMYFUNCTION("""COMPUTED_VALUE"""),"8.5 FS")</f>
        <v/>
      </c>
    </row>
    <row r="173" ht="55.5" customHeight="1" s="176">
      <c r="A173" s="122" t="inlineStr">
        <is>
          <t>Jeans, Camisas, Playeras, Sudaderas, Vestidos, Faldas, Chamarras, Chalecos, Shorts, Pantalones, Jumpsuits</t>
        </is>
      </c>
      <c r="B173" s="122">
        <f>IFERROR(__xludf.DUMMYFUNCTION("TEXTJOIN("", "", TRUE, FILTER($AA$6:$AA$60, $AA$6:$AA$60&lt;&gt;"""", $AA$6:$AA$60&lt;&gt;""No Aplica""))"),"Regular, Relajado, Slim, Clásico, Moderno, Recto, Bootcut")</f>
        <v/>
      </c>
      <c r="C173" s="182" t="n"/>
      <c r="D173" s="182" t="n"/>
      <c r="E173" s="183" t="n"/>
      <c r="F173" s="84" t="n"/>
      <c r="G173" s="84" t="n"/>
      <c r="H173" s="117" t="n"/>
      <c r="I173" s="118" t="n"/>
      <c r="J173" s="118" t="n"/>
      <c r="K173" s="98" t="n"/>
      <c r="L173" s="84" t="n"/>
      <c r="M173" s="84" t="n"/>
      <c r="N173" s="84" t="n"/>
      <c r="O173" s="84" t="n"/>
      <c r="P173" s="84" t="n"/>
      <c r="Q173" s="84" t="n"/>
      <c r="R173" s="84" t="n"/>
      <c r="S173" s="102" t="n"/>
      <c r="T173" s="102" t="n"/>
      <c r="U173" s="102" t="n"/>
      <c r="V173" s="102" t="n"/>
      <c r="W173" s="102" t="n"/>
      <c r="X173" s="102" t="n"/>
      <c r="Y173" s="102" t="n"/>
      <c r="Z173" s="102" t="n"/>
      <c r="AA173" s="102" t="n"/>
      <c r="AB173" s="102" t="n"/>
      <c r="AC173" s="102">
        <f>IFERROR(__xludf.DUMMYFUNCTION("""COMPUTED_VALUE"""),"44 ml")</f>
        <v/>
      </c>
      <c r="AD173" s="102">
        <f>IFERROR(__xludf.DUMMYFUNCTION("""COMPUTED_VALUE"""),"8.5 RM")</f>
        <v/>
      </c>
    </row>
    <row r="174" ht="30" customHeight="1" s="176">
      <c r="A174" s="122" t="inlineStr">
        <is>
          <t>Sombreros, Botas, Zapatos, Tenis, Pantuflas y todos los Accesorios</t>
        </is>
      </c>
      <c r="B174" s="122" t="inlineStr">
        <is>
          <t>No Aplica</t>
        </is>
      </c>
      <c r="C174" s="182" t="n"/>
      <c r="D174" s="182" t="n"/>
      <c r="E174" s="183" t="n"/>
      <c r="F174" s="84" t="n"/>
      <c r="G174" s="84" t="n"/>
      <c r="H174" s="117" t="n"/>
      <c r="I174" s="118" t="n"/>
      <c r="J174" s="118" t="n"/>
      <c r="K174" s="98" t="n"/>
      <c r="L174" s="84" t="n"/>
      <c r="M174" s="84" t="n"/>
      <c r="N174" s="84" t="n"/>
      <c r="O174" s="84" t="n"/>
      <c r="P174" s="84" t="n"/>
      <c r="Q174" s="84" t="n"/>
      <c r="R174" s="84" t="n"/>
      <c r="S174" s="102" t="n"/>
      <c r="T174" s="102" t="n"/>
      <c r="U174" s="102" t="n"/>
      <c r="V174" s="102" t="n"/>
      <c r="W174" s="102" t="n"/>
      <c r="X174" s="102" t="n"/>
      <c r="Y174" s="102" t="n"/>
      <c r="Z174" s="102" t="n"/>
      <c r="AA174" s="102" t="n"/>
      <c r="AB174" s="102" t="n"/>
      <c r="AC174" s="102">
        <f>IFERROR(__xludf.DUMMYFUNCTION("""COMPUTED_VALUE"""),"50 ml")</f>
        <v/>
      </c>
      <c r="AD174" s="102">
        <f>IFERROR(__xludf.DUMMYFUNCTION("""COMPUTED_VALUE"""),"8.5 RS")</f>
        <v/>
      </c>
    </row>
    <row r="175" ht="16.5" customHeight="1" s="176">
      <c r="A175" s="110" t="inlineStr">
        <is>
          <t>Silueta (forma / horma) — aplica a</t>
        </is>
      </c>
      <c r="B175" s="110" t="inlineStr">
        <is>
          <t>Valores de Silueta homologados</t>
        </is>
      </c>
      <c r="C175" s="182" t="n"/>
      <c r="D175" s="182" t="n"/>
      <c r="E175" s="183" t="n"/>
      <c r="F175" s="84" t="n"/>
      <c r="G175" s="84" t="n"/>
      <c r="H175" s="117" t="n"/>
      <c r="I175" s="118" t="n"/>
      <c r="J175" s="118" t="n"/>
      <c r="K175" s="98" t="n"/>
      <c r="L175" s="84" t="n"/>
      <c r="M175" s="84" t="n"/>
      <c r="N175" s="84" t="n"/>
      <c r="O175" s="84" t="n"/>
      <c r="P175" s="84" t="n"/>
      <c r="Q175" s="84" t="n"/>
      <c r="R175" s="84" t="n"/>
      <c r="S175" s="102" t="n"/>
      <c r="T175" s="102" t="n"/>
      <c r="U175" s="102" t="n"/>
      <c r="V175" s="102" t="n"/>
      <c r="W175" s="102" t="n"/>
      <c r="X175" s="102" t="n"/>
      <c r="Y175" s="102" t="n"/>
      <c r="Z175" s="102" t="n"/>
      <c r="AA175" s="102" t="n"/>
      <c r="AB175" s="102" t="n"/>
      <c r="AC175" s="102">
        <f>IFERROR(__xludf.DUMMYFUNCTION("""COMPUTED_VALUE"""),"67 ml")</f>
        <v/>
      </c>
      <c r="AD175" s="102">
        <f>IFERROR(__xludf.DUMMYFUNCTION("""COMPUTED_VALUE"""),"8.5 RT")</f>
        <v/>
      </c>
    </row>
    <row r="176" ht="16.5" customHeight="1" s="176">
      <c r="A176" s="122" t="inlineStr">
        <is>
          <t>Sombreros</t>
        </is>
      </c>
      <c r="B176" s="122" t="inlineStr">
        <is>
          <t>Copa Cattleman, Copa Rancher, Copa Pinch Front, Copa Gus, Copa Teardrop, Copa Open Road, Copa Brick</t>
        </is>
      </c>
      <c r="C176" s="182" t="n"/>
      <c r="D176" s="182" t="n"/>
      <c r="E176" s="183" t="n"/>
      <c r="F176" s="84" t="n"/>
      <c r="G176" s="84" t="n"/>
      <c r="H176" s="117" t="n"/>
      <c r="I176" s="118" t="n"/>
      <c r="J176" s="118" t="n"/>
      <c r="K176" s="98" t="n"/>
      <c r="L176" s="84" t="n"/>
      <c r="M176" s="84" t="n"/>
      <c r="N176" s="84" t="n"/>
      <c r="O176" s="84" t="n"/>
      <c r="P176" s="84" t="n"/>
      <c r="Q176" s="84" t="n"/>
      <c r="R176" s="84" t="n"/>
      <c r="S176" s="102" t="n"/>
      <c r="T176" s="102" t="n"/>
      <c r="U176" s="102" t="n"/>
      <c r="V176" s="102" t="n"/>
      <c r="W176" s="102" t="n"/>
      <c r="X176" s="102" t="n"/>
      <c r="Y176" s="102" t="n"/>
      <c r="Z176" s="102" t="n"/>
      <c r="AA176" s="102" t="n"/>
      <c r="AB176" s="102" t="n"/>
      <c r="AC176" s="102">
        <f>IFERROR(__xludf.DUMMYFUNCTION("""COMPUTED_VALUE"""),"75 ml")</f>
        <v/>
      </c>
      <c r="AD176" s="102">
        <f>IFERROR(__xludf.DUMMYFUNCTION("""COMPUTED_VALUE"""),"8.5 SM")</f>
        <v/>
      </c>
    </row>
    <row r="177" ht="16.5" customHeight="1" s="176">
      <c r="A177" s="122" t="inlineStr">
        <is>
          <t>Calzado (Botas, Zapatos)</t>
        </is>
      </c>
      <c r="B177" s="122" t="inlineStr">
        <is>
          <t>Punta Redonda Ancha, Punta Cuadrada Ancha, Punta Redonda, Punta Cuadrada, Punta Ovalada, Punta Snip, Horma Alexia, Horma Agatha</t>
        </is>
      </c>
      <c r="C177" s="182" t="n"/>
      <c r="D177" s="182" t="n"/>
      <c r="E177" s="183" t="n"/>
      <c r="F177" s="84" t="n"/>
      <c r="G177" s="84" t="n"/>
      <c r="H177" s="117" t="n"/>
      <c r="I177" s="118" t="n"/>
      <c r="J177" s="118" t="n"/>
      <c r="K177" s="98" t="n"/>
      <c r="L177" s="84" t="n"/>
      <c r="M177" s="84" t="n"/>
      <c r="N177" s="84" t="n"/>
      <c r="O177" s="84" t="n"/>
      <c r="P177" s="84" t="n"/>
      <c r="Q177" s="84" t="n"/>
      <c r="R177" s="84" t="n"/>
      <c r="S177" s="102" t="n"/>
      <c r="T177" s="102" t="n"/>
      <c r="U177" s="102" t="n"/>
      <c r="V177" s="102" t="n"/>
      <c r="W177" s="102" t="n"/>
      <c r="X177" s="102" t="n"/>
      <c r="Y177" s="102" t="n"/>
      <c r="Z177" s="102" t="n"/>
      <c r="AA177" s="102" t="n"/>
      <c r="AB177" s="102" t="n"/>
      <c r="AC177" s="102">
        <f>IFERROR(__xludf.DUMMYFUNCTION("""COMPUTED_VALUE"""),"80 ml")</f>
        <v/>
      </c>
      <c r="AD177" s="102">
        <f>IFERROR(__xludf.DUMMYFUNCTION("""COMPUTED_VALUE"""),"8.5 SS")</f>
        <v/>
      </c>
    </row>
    <row r="178" ht="16.5" customHeight="1" s="176">
      <c r="A178" s="122" t="inlineStr">
        <is>
          <t>Jeans</t>
        </is>
      </c>
      <c r="B178" s="122" t="inlineStr">
        <is>
          <t>Recto, Bootcut, Skinny, Tapered, Trouser</t>
        </is>
      </c>
      <c r="C178" s="182" t="n"/>
      <c r="D178" s="182" t="n"/>
      <c r="E178" s="183" t="n"/>
      <c r="F178" s="84" t="n"/>
      <c r="G178" s="84" t="n"/>
      <c r="H178" s="117" t="n"/>
      <c r="I178" s="118" t="n"/>
      <c r="J178" s="118" t="n"/>
      <c r="K178" s="98" t="n"/>
      <c r="L178" s="84" t="n"/>
      <c r="M178" s="84" t="n"/>
      <c r="N178" s="84" t="n"/>
      <c r="O178" s="84" t="n"/>
      <c r="P178" s="84" t="n"/>
      <c r="Q178" s="84" t="n"/>
      <c r="R178" s="84" t="n"/>
      <c r="S178" s="102" t="n"/>
      <c r="T178" s="102" t="n"/>
      <c r="U178" s="102" t="n"/>
      <c r="V178" s="102" t="n"/>
      <c r="W178" s="102" t="n"/>
      <c r="X178" s="102" t="n"/>
      <c r="Y178" s="102" t="n"/>
      <c r="Z178" s="102" t="n"/>
      <c r="AA178" s="102" t="n"/>
      <c r="AB178" s="102" t="n"/>
      <c r="AC178" s="102">
        <f>IFERROR(__xludf.DUMMYFUNCTION("""COMPUTED_VALUE"""),"100 ml")</f>
        <v/>
      </c>
      <c r="AD178" s="102">
        <f>IFERROR(__xludf.DUMMYFUNCTION("""COMPUTED_VALUE"""),"8.5 ST")</f>
        <v/>
      </c>
    </row>
    <row r="179" ht="30" customHeight="1" s="176">
      <c r="A179" s="122" t="inlineStr">
        <is>
          <t>Camisas, Sudaderas, Chamarras, Vestidos y todos los Accesorios</t>
        </is>
      </c>
      <c r="B179" s="122" t="inlineStr">
        <is>
          <t>No Aplica</t>
        </is>
      </c>
      <c r="C179" s="182" t="n"/>
      <c r="D179" s="182" t="n"/>
      <c r="E179" s="183" t="n"/>
      <c r="F179" s="84" t="n"/>
      <c r="G179" s="84" t="n"/>
      <c r="H179" s="117" t="n"/>
      <c r="I179" s="118" t="n"/>
      <c r="J179" s="118" t="n"/>
      <c r="K179" s="98" t="n"/>
      <c r="L179" s="84" t="n"/>
      <c r="M179" s="84" t="n"/>
      <c r="N179" s="84" t="n"/>
      <c r="O179" s="84" t="n"/>
      <c r="P179" s="84" t="n"/>
      <c r="Q179" s="84" t="n"/>
      <c r="R179" s="84" t="n"/>
      <c r="S179" s="102" t="n"/>
      <c r="T179" s="102" t="n"/>
      <c r="U179" s="102" t="n"/>
      <c r="V179" s="102" t="n"/>
      <c r="W179" s="102" t="n"/>
      <c r="X179" s="102" t="n"/>
      <c r="Y179" s="102" t="n"/>
      <c r="Z179" s="102" t="n"/>
      <c r="AA179" s="102" t="n"/>
      <c r="AB179" s="102" t="n"/>
      <c r="AC179" s="102">
        <f>IFERROR(__xludf.DUMMYFUNCTION("""COMPUTED_VALUE"""),"163 ml")</f>
        <v/>
      </c>
      <c r="AD179" s="102">
        <f>IFERROR(__xludf.DUMMYFUNCTION("""COMPUTED_VALUE"""),"8.5 XSS")</f>
        <v/>
      </c>
    </row>
    <row r="180" ht="15.75" customHeight="1" s="176">
      <c r="A180" s="115" t="inlineStr">
        <is>
          <t>Las listas válidas de Fit y Silueta que usan los desplegables se editan en las columnas AA y AB (sección 12).</t>
        </is>
      </c>
      <c r="B180" s="107" t="n"/>
      <c r="C180" s="107" t="n"/>
      <c r="D180" s="107" t="n"/>
      <c r="E180" s="107" t="n"/>
      <c r="F180" s="84" t="n"/>
      <c r="G180" s="84" t="n"/>
      <c r="H180" s="117" t="n"/>
      <c r="I180" s="118" t="n"/>
      <c r="J180" s="118" t="n"/>
      <c r="K180" s="98" t="n"/>
      <c r="L180" s="84" t="n"/>
      <c r="M180" s="84" t="n"/>
      <c r="N180" s="84" t="n"/>
      <c r="O180" s="84" t="n"/>
      <c r="P180" s="84" t="n"/>
      <c r="Q180" s="84" t="n"/>
      <c r="R180" s="84" t="n"/>
      <c r="S180" s="102" t="n"/>
      <c r="T180" s="102" t="n"/>
      <c r="U180" s="102" t="n"/>
      <c r="V180" s="102" t="n"/>
      <c r="W180" s="102" t="n"/>
      <c r="X180" s="102" t="n"/>
      <c r="Y180" s="102" t="n"/>
      <c r="Z180" s="102" t="n"/>
      <c r="AA180" s="102" t="n"/>
      <c r="AB180" s="102" t="n"/>
      <c r="AC180" s="102">
        <f>IFERROR(__xludf.DUMMYFUNCTION("""COMPUTED_VALUE"""),"237 ml")</f>
        <v/>
      </c>
      <c r="AD180" s="102">
        <f>IFERROR(__xludf.DUMMYFUNCTION("""COMPUTED_VALUE"""),"9 B")</f>
        <v/>
      </c>
    </row>
    <row r="181" ht="21.75" customHeight="1" s="176">
      <c r="A181" s="86" t="inlineStr">
        <is>
          <t>8. CATÁLOGO DE TALLAS  (WB Talla → Talla de EE. UU.)</t>
        </is>
      </c>
      <c r="B181" s="86" t="n"/>
      <c r="C181" s="86" t="n"/>
      <c r="D181" s="86" t="n"/>
      <c r="E181" s="108" t="inlineStr">
        <is>
          <t>↑ Volver al índice</t>
        </is>
      </c>
      <c r="F181" s="84" t="n"/>
      <c r="G181" s="84" t="n"/>
      <c r="H181" s="117" t="n"/>
      <c r="I181" s="118" t="n"/>
      <c r="J181" s="118" t="n"/>
      <c r="K181" s="98" t="n"/>
      <c r="L181" s="84" t="n"/>
      <c r="M181" s="84" t="n"/>
      <c r="N181" s="84" t="n"/>
      <c r="O181" s="84" t="n"/>
      <c r="P181" s="84" t="n"/>
      <c r="Q181" s="84" t="n"/>
      <c r="R181" s="84" t="n"/>
      <c r="S181" s="102" t="n"/>
      <c r="T181" s="102" t="n"/>
      <c r="U181" s="102" t="n"/>
      <c r="V181" s="102" t="n"/>
      <c r="W181" s="102" t="n"/>
      <c r="X181" s="102" t="n"/>
      <c r="Y181" s="102" t="n"/>
      <c r="Z181" s="102" t="n"/>
      <c r="AA181" s="102" t="n"/>
      <c r="AB181" s="102" t="n"/>
      <c r="AC181" s="102">
        <f>IFERROR(__xludf.DUMMYFUNCTION("""COMPUTED_VALUE"""),"No Aplica")</f>
        <v/>
      </c>
      <c r="AD181" s="102">
        <f>IFERROR(__xludf.DUMMYFUNCTION("""COMPUTED_VALUE"""),"9 D")</f>
        <v/>
      </c>
    </row>
    <row r="182" ht="15.75" customHeight="1" s="176">
      <c r="A182" s="115" t="inlineStr">
        <is>
          <t>Captura los valores exactamente como aparecen. Usa el filtro de «Familia de talla» para ver solo la familia que necesitas. Sin talla = «Talla única» / «One Size».</t>
        </is>
      </c>
      <c r="B182" s="107" t="n"/>
      <c r="C182" s="107" t="n"/>
      <c r="D182" s="107" t="n"/>
      <c r="E182" s="107" t="n"/>
      <c r="F182" s="84" t="n"/>
      <c r="G182" s="84" t="n"/>
      <c r="H182" s="117" t="n"/>
      <c r="I182" s="118" t="n"/>
      <c r="J182" s="118" t="n"/>
      <c r="K182" s="98" t="n"/>
      <c r="L182" s="84" t="n"/>
      <c r="M182" s="84" t="n"/>
      <c r="N182" s="84" t="n"/>
      <c r="O182" s="84" t="n"/>
      <c r="P182" s="84" t="n"/>
      <c r="Q182" s="84" t="n"/>
      <c r="R182" s="84" t="n"/>
      <c r="S182" s="102" t="n"/>
      <c r="T182" s="102" t="n"/>
      <c r="U182" s="102" t="n"/>
      <c r="V182" s="102" t="n"/>
      <c r="W182" s="102" t="n"/>
      <c r="X182" s="102" t="n"/>
      <c r="Y182" s="102" t="n"/>
      <c r="Z182" s="102" t="n"/>
      <c r="AA182" s="102" t="n"/>
      <c r="AB182" s="102" t="n"/>
      <c r="AC182" s="102" t="n"/>
      <c r="AD182" s="102">
        <f>IFERROR(__xludf.DUMMYFUNCTION("""COMPUTED_VALUE"""),"9 EE")</f>
        <v/>
      </c>
    </row>
    <row r="183" ht="16.5" customHeight="1" s="176">
      <c r="A183" s="110" t="inlineStr">
        <is>
          <t>Familia de talla</t>
        </is>
      </c>
      <c r="B183" s="110" t="inlineStr">
        <is>
          <t>WB Talla</t>
        </is>
      </c>
      <c r="C183" s="110" t="inlineStr">
        <is>
          <t>Talla de EE. UU.</t>
        </is>
      </c>
      <c r="D183" s="110" t="inlineStr">
        <is>
          <t>Regla / equivalencia</t>
        </is>
      </c>
      <c r="E183" s="183" t="n"/>
      <c r="F183" s="84" t="n"/>
      <c r="G183" s="84" t="n"/>
      <c r="H183" s="117" t="n"/>
      <c r="I183" s="118" t="n"/>
      <c r="J183" s="118" t="n"/>
      <c r="K183" s="98" t="n"/>
      <c r="L183" s="84" t="n"/>
      <c r="M183" s="84" t="n"/>
      <c r="N183" s="84" t="n"/>
      <c r="O183" s="84" t="n"/>
      <c r="P183" s="84" t="n"/>
      <c r="Q183" s="84" t="n"/>
      <c r="R183" s="84" t="n"/>
      <c r="S183" s="102" t="n"/>
      <c r="T183" s="102" t="n"/>
      <c r="U183" s="102" t="n"/>
      <c r="V183" s="102" t="n"/>
      <c r="W183" s="102" t="n"/>
      <c r="X183" s="102" t="n"/>
      <c r="Y183" s="102" t="n"/>
      <c r="Z183" s="102" t="n"/>
      <c r="AA183" s="102" t="n"/>
      <c r="AB183" s="102" t="n"/>
      <c r="AC183" s="102" t="n"/>
      <c r="AD183" s="102">
        <f>IFERROR(__xludf.DUMMYFUNCTION("""COMPUTED_VALUE"""),"9 FM")</f>
        <v/>
      </c>
    </row>
    <row r="184" ht="30" customHeight="1" s="176">
      <c r="A184" s="122" t="inlineStr">
        <is>
          <t>Talla única</t>
        </is>
      </c>
      <c r="B184" s="123" t="inlineStr">
        <is>
          <t>Talla única</t>
        </is>
      </c>
      <c r="C184" s="123" t="inlineStr">
        <is>
          <t>One Size</t>
        </is>
      </c>
      <c r="D184" s="122" t="inlineStr">
        <is>
          <t>Gorras, carteras, hebillas, estuches y accesorios sin talla. UNI y OS se capturan así.</t>
        </is>
      </c>
      <c r="E184" s="183" t="n"/>
      <c r="F184" s="84" t="n"/>
      <c r="G184" s="84" t="n"/>
      <c r="H184" s="117" t="n"/>
      <c r="I184" s="118" t="n"/>
      <c r="J184" s="118" t="n"/>
      <c r="K184" s="98" t="n"/>
      <c r="L184" s="84" t="n"/>
      <c r="M184" s="84" t="n"/>
      <c r="N184" s="84" t="n"/>
      <c r="O184" s="84" t="n"/>
      <c r="P184" s="84" t="n"/>
      <c r="Q184" s="84" t="n"/>
      <c r="R184" s="84" t="n"/>
      <c r="S184" s="102" t="n"/>
      <c r="T184" s="102" t="n"/>
      <c r="U184" s="102" t="n"/>
      <c r="V184" s="102" t="n"/>
      <c r="W184" s="102" t="n"/>
      <c r="X184" s="102" t="n"/>
      <c r="Y184" s="102" t="n"/>
      <c r="Z184" s="102" t="n"/>
      <c r="AA184" s="102" t="n"/>
      <c r="AB184" s="102" t="n"/>
      <c r="AC184" s="102" t="n"/>
      <c r="AD184" s="102">
        <f>IFERROR(__xludf.DUMMYFUNCTION("""COMPUTED_VALUE"""),"9 FS")</f>
        <v/>
      </c>
    </row>
    <row r="185" ht="16.5" customHeight="1" s="176">
      <c r="A185" s="122" t="inlineStr">
        <is>
          <t>Talla Ropa</t>
        </is>
      </c>
      <c r="B185" s="123" t="inlineStr">
        <is>
          <t>XXS</t>
        </is>
      </c>
      <c r="C185" s="123" t="inlineStr">
        <is>
          <t>XXS</t>
        </is>
      </c>
      <c r="D185" s="122" t="inlineStr">
        <is>
          <t>Igual</t>
        </is>
      </c>
      <c r="E185" s="183" t="n"/>
      <c r="F185" s="84" t="n"/>
      <c r="G185" s="84" t="n"/>
      <c r="H185" s="117" t="n"/>
      <c r="I185" s="118" t="n"/>
      <c r="J185" s="118" t="n"/>
      <c r="K185" s="98" t="n"/>
      <c r="L185" s="84" t="n"/>
      <c r="M185" s="84" t="n"/>
      <c r="N185" s="84" t="n"/>
      <c r="O185" s="84" t="n"/>
      <c r="P185" s="84" t="n"/>
      <c r="Q185" s="84" t="n"/>
      <c r="R185" s="84" t="n"/>
      <c r="S185" s="102" t="n"/>
      <c r="T185" s="102" t="n"/>
      <c r="U185" s="102" t="n"/>
      <c r="V185" s="102" t="n"/>
      <c r="W185" s="102" t="n"/>
      <c r="X185" s="102" t="n"/>
      <c r="Y185" s="102" t="n"/>
      <c r="Z185" s="102" t="n"/>
      <c r="AA185" s="102" t="n"/>
      <c r="AB185" s="102" t="n"/>
      <c r="AC185" s="102" t="n"/>
      <c r="AD185" s="102">
        <f>IFERROR(__xludf.DUMMYFUNCTION("""COMPUTED_VALUE"""),"9 RM")</f>
        <v/>
      </c>
    </row>
    <row r="186" ht="16.5" customHeight="1" s="176">
      <c r="A186" s="122" t="inlineStr">
        <is>
          <t>Talla Ropa</t>
        </is>
      </c>
      <c r="B186" s="123" t="inlineStr">
        <is>
          <t>XS</t>
        </is>
      </c>
      <c r="C186" s="123" t="inlineStr">
        <is>
          <t>XS</t>
        </is>
      </c>
      <c r="D186" s="122" t="inlineStr">
        <is>
          <t>Igual</t>
        </is>
      </c>
      <c r="E186" s="183" t="n"/>
      <c r="F186" s="84" t="n"/>
      <c r="G186" s="84" t="n"/>
      <c r="H186" s="117" t="n"/>
      <c r="I186" s="118" t="n"/>
      <c r="J186" s="118" t="n"/>
      <c r="K186" s="98" t="n"/>
      <c r="L186" s="84" t="n"/>
      <c r="M186" s="84" t="n"/>
      <c r="N186" s="84" t="n"/>
      <c r="O186" s="84" t="n"/>
      <c r="P186" s="84" t="n"/>
      <c r="Q186" s="84" t="n"/>
      <c r="R186" s="84" t="n"/>
      <c r="S186" s="102" t="n"/>
      <c r="T186" s="102" t="n"/>
      <c r="U186" s="102" t="n"/>
      <c r="V186" s="102" t="n"/>
      <c r="W186" s="102" t="n"/>
      <c r="X186" s="102" t="n"/>
      <c r="Y186" s="102" t="n"/>
      <c r="Z186" s="102" t="n"/>
      <c r="AA186" s="102" t="n"/>
      <c r="AB186" s="102" t="n"/>
      <c r="AC186" s="102" t="n"/>
      <c r="AD186" s="102">
        <f>IFERROR(__xludf.DUMMYFUNCTION("""COMPUTED_VALUE"""),"9 RS")</f>
        <v/>
      </c>
    </row>
    <row r="187" ht="16.5" customHeight="1" s="176">
      <c r="A187" s="122" t="inlineStr">
        <is>
          <t>Talla Ropa</t>
        </is>
      </c>
      <c r="B187" s="123" t="inlineStr">
        <is>
          <t>S</t>
        </is>
      </c>
      <c r="C187" s="123" t="inlineStr">
        <is>
          <t>S</t>
        </is>
      </c>
      <c r="D187" s="122" t="inlineStr">
        <is>
          <t>Igual. CH→S · MED→M · GDE→L · 2XL→XXL · 3XL→XXXL (se manejan en letras)</t>
        </is>
      </c>
      <c r="E187" s="183" t="n"/>
      <c r="F187" s="84" t="n"/>
      <c r="G187" s="84" t="n"/>
      <c r="H187" s="117" t="n"/>
      <c r="I187" s="118" t="n"/>
      <c r="J187" s="118" t="n"/>
      <c r="K187" s="98" t="n"/>
      <c r="L187" s="84" t="n"/>
      <c r="M187" s="84" t="n"/>
      <c r="N187" s="84" t="n"/>
      <c r="O187" s="84" t="n"/>
      <c r="P187" s="84" t="n"/>
      <c r="Q187" s="84" t="n"/>
      <c r="R187" s="84" t="n"/>
      <c r="S187" s="102" t="n"/>
      <c r="T187" s="102" t="n"/>
      <c r="U187" s="102" t="n"/>
      <c r="V187" s="102" t="n"/>
      <c r="W187" s="102" t="n"/>
      <c r="X187" s="102" t="n"/>
      <c r="Y187" s="102" t="n"/>
      <c r="Z187" s="102" t="n"/>
      <c r="AA187" s="102" t="n"/>
      <c r="AB187" s="102" t="n"/>
      <c r="AC187" s="102" t="n"/>
      <c r="AD187" s="102">
        <f>IFERROR(__xludf.DUMMYFUNCTION("""COMPUTED_VALUE"""),"9 RT")</f>
        <v/>
      </c>
    </row>
    <row r="188" ht="16.5" customHeight="1" s="176">
      <c r="A188" s="122" t="inlineStr">
        <is>
          <t>Talla Ropa</t>
        </is>
      </c>
      <c r="B188" s="123" t="inlineStr">
        <is>
          <t>M</t>
        </is>
      </c>
      <c r="C188" s="123" t="inlineStr">
        <is>
          <t>M</t>
        </is>
      </c>
      <c r="D188" s="122" t="inlineStr">
        <is>
          <t>Igual</t>
        </is>
      </c>
      <c r="E188" s="183" t="n"/>
      <c r="F188" s="84" t="n"/>
      <c r="G188" s="84" t="n"/>
      <c r="H188" s="117" t="n"/>
      <c r="I188" s="118" t="n"/>
      <c r="J188" s="118" t="n"/>
      <c r="K188" s="98" t="n"/>
      <c r="L188" s="84" t="n"/>
      <c r="M188" s="84" t="n"/>
      <c r="N188" s="84" t="n"/>
      <c r="O188" s="84" t="n"/>
      <c r="P188" s="84" t="n"/>
      <c r="Q188" s="84" t="n"/>
      <c r="R188" s="84" t="n"/>
      <c r="S188" s="102" t="n"/>
      <c r="T188" s="102" t="n"/>
      <c r="U188" s="102" t="n"/>
      <c r="V188" s="102" t="n"/>
      <c r="W188" s="102" t="n"/>
      <c r="X188" s="102" t="n"/>
      <c r="Y188" s="102" t="n"/>
      <c r="Z188" s="102" t="n"/>
      <c r="AA188" s="102" t="n"/>
      <c r="AB188" s="102" t="n"/>
      <c r="AC188" s="102" t="n"/>
      <c r="AD188" s="102">
        <f>IFERROR(__xludf.DUMMYFUNCTION("""COMPUTED_VALUE"""),"9 SM")</f>
        <v/>
      </c>
    </row>
    <row r="189" ht="16.5" customHeight="1" s="176">
      <c r="A189" s="122" t="inlineStr">
        <is>
          <t>Talla Ropa</t>
        </is>
      </c>
      <c r="B189" s="123" t="inlineStr">
        <is>
          <t>L</t>
        </is>
      </c>
      <c r="C189" s="123" t="inlineStr">
        <is>
          <t>L</t>
        </is>
      </c>
      <c r="D189" s="122" t="inlineStr">
        <is>
          <t>Igual</t>
        </is>
      </c>
      <c r="E189" s="183" t="n"/>
      <c r="F189" s="84" t="n"/>
      <c r="G189" s="84" t="n"/>
      <c r="H189" s="117" t="n"/>
      <c r="I189" s="118" t="n"/>
      <c r="J189" s="118" t="n"/>
      <c r="K189" s="98" t="n"/>
      <c r="L189" s="84" t="n"/>
      <c r="M189" s="84" t="n"/>
      <c r="N189" s="84" t="n"/>
      <c r="O189" s="84" t="n"/>
      <c r="P189" s="84" t="n"/>
      <c r="Q189" s="84" t="n"/>
      <c r="R189" s="84" t="n"/>
      <c r="S189" s="102" t="n"/>
      <c r="T189" s="102" t="n"/>
      <c r="U189" s="102" t="n"/>
      <c r="V189" s="102" t="n"/>
      <c r="W189" s="102" t="n"/>
      <c r="X189" s="102" t="n"/>
      <c r="Y189" s="102" t="n"/>
      <c r="Z189" s="102" t="n"/>
      <c r="AA189" s="102" t="n"/>
      <c r="AB189" s="102" t="n"/>
      <c r="AC189" s="102" t="n"/>
      <c r="AD189" s="102">
        <f>IFERROR(__xludf.DUMMYFUNCTION("""COMPUTED_VALUE"""),"9 SS")</f>
        <v/>
      </c>
    </row>
    <row r="190" ht="16.5" customHeight="1" s="176">
      <c r="A190" s="122" t="inlineStr">
        <is>
          <t>Talla Ropa</t>
        </is>
      </c>
      <c r="B190" s="123" t="inlineStr">
        <is>
          <t>XL</t>
        </is>
      </c>
      <c r="C190" s="123" t="inlineStr">
        <is>
          <t>XL</t>
        </is>
      </c>
      <c r="D190" s="122" t="inlineStr">
        <is>
          <t>Igual</t>
        </is>
      </c>
      <c r="E190" s="183" t="n"/>
      <c r="F190" s="84" t="n"/>
      <c r="G190" s="84" t="n"/>
      <c r="H190" s="117" t="n"/>
      <c r="I190" s="118" t="n"/>
      <c r="J190" s="118" t="n"/>
      <c r="K190" s="98" t="n"/>
      <c r="L190" s="84" t="n"/>
      <c r="M190" s="84" t="n"/>
      <c r="N190" s="84" t="n"/>
      <c r="O190" s="84" t="n"/>
      <c r="P190" s="84" t="n"/>
      <c r="Q190" s="84" t="n"/>
      <c r="R190" s="84" t="n"/>
      <c r="S190" s="102" t="n"/>
      <c r="T190" s="102" t="n"/>
      <c r="U190" s="102" t="n"/>
      <c r="V190" s="102" t="n"/>
      <c r="W190" s="102" t="n"/>
      <c r="X190" s="102" t="n"/>
      <c r="Y190" s="102" t="n"/>
      <c r="Z190" s="102" t="n"/>
      <c r="AA190" s="102" t="n"/>
      <c r="AB190" s="102" t="n"/>
      <c r="AC190" s="102" t="n"/>
      <c r="AD190" s="102">
        <f>IFERROR(__xludf.DUMMYFUNCTION("""COMPUTED_VALUE"""),"9 ST")</f>
        <v/>
      </c>
    </row>
    <row r="191" ht="16.5" customHeight="1" s="176">
      <c r="A191" s="122" t="inlineStr">
        <is>
          <t>Talla Ropa</t>
        </is>
      </c>
      <c r="B191" s="123" t="inlineStr">
        <is>
          <t>XXL</t>
        </is>
      </c>
      <c r="C191" s="123" t="inlineStr">
        <is>
          <t>XXL</t>
        </is>
      </c>
      <c r="D191" s="122" t="inlineStr">
        <is>
          <t>Igual</t>
        </is>
      </c>
      <c r="E191" s="183" t="n"/>
      <c r="F191" s="84" t="n"/>
      <c r="G191" s="84" t="n"/>
      <c r="H191" s="117" t="n"/>
      <c r="I191" s="118" t="n"/>
      <c r="J191" s="118" t="n"/>
      <c r="K191" s="98" t="n"/>
      <c r="L191" s="84" t="n"/>
      <c r="M191" s="84" t="n"/>
      <c r="N191" s="84" t="n"/>
      <c r="O191" s="84" t="n"/>
      <c r="P191" s="84" t="n"/>
      <c r="Q191" s="84" t="n"/>
      <c r="R191" s="84" t="n"/>
      <c r="S191" s="102" t="n"/>
      <c r="T191" s="102" t="n"/>
      <c r="U191" s="102" t="n"/>
      <c r="V191" s="102" t="n"/>
      <c r="W191" s="102" t="n"/>
      <c r="X191" s="102" t="n"/>
      <c r="Y191" s="102" t="n"/>
      <c r="Z191" s="102" t="n"/>
      <c r="AA191" s="102" t="n"/>
      <c r="AB191" s="102" t="n"/>
      <c r="AC191" s="102" t="n"/>
      <c r="AD191" s="102">
        <f>IFERROR(__xludf.DUMMYFUNCTION("""COMPUTED_VALUE"""),"9 XSS")</f>
        <v/>
      </c>
    </row>
    <row r="192" ht="16.5" customHeight="1" s="176">
      <c r="A192" s="122" t="inlineStr">
        <is>
          <t>Talla Ropa</t>
        </is>
      </c>
      <c r="B192" s="123" t="inlineStr">
        <is>
          <t>XXXL</t>
        </is>
      </c>
      <c r="C192" s="123" t="inlineStr">
        <is>
          <t>XXXL</t>
        </is>
      </c>
      <c r="D192" s="122" t="inlineStr">
        <is>
          <t>Igual</t>
        </is>
      </c>
      <c r="E192" s="183" t="n"/>
      <c r="F192" s="84" t="n"/>
      <c r="G192" s="84" t="n"/>
      <c r="H192" s="117" t="n"/>
      <c r="I192" s="118" t="n"/>
      <c r="J192" s="118" t="n"/>
      <c r="K192" s="98" t="n"/>
      <c r="L192" s="84" t="n"/>
      <c r="M192" s="84" t="n"/>
      <c r="N192" s="84" t="n"/>
      <c r="O192" s="84" t="n"/>
      <c r="P192" s="84" t="n"/>
      <c r="Q192" s="84" t="n"/>
      <c r="R192" s="84" t="n"/>
      <c r="S192" s="102" t="n"/>
      <c r="T192" s="102" t="n"/>
      <c r="U192" s="102" t="n"/>
      <c r="V192" s="102" t="n"/>
      <c r="W192" s="102" t="n"/>
      <c r="X192" s="102" t="n"/>
      <c r="Y192" s="102" t="n"/>
      <c r="Z192" s="102" t="n"/>
      <c r="AA192" s="102" t="n"/>
      <c r="AB192" s="102" t="n"/>
      <c r="AC192" s="102" t="n"/>
      <c r="AD192" s="102">
        <f>IFERROR(__xludf.DUMMYFUNCTION("""COMPUTED_VALUE"""),"9.5 B")</f>
        <v/>
      </c>
    </row>
    <row r="193" ht="16.5" customHeight="1" s="176">
      <c r="A193" s="122" t="inlineStr">
        <is>
          <t>Talla Ropa</t>
        </is>
      </c>
      <c r="B193" s="123" t="inlineStr">
        <is>
          <t>4XL</t>
        </is>
      </c>
      <c r="C193" s="123" t="inlineStr">
        <is>
          <t>4XL</t>
        </is>
      </c>
      <c r="D193" s="122" t="inlineStr">
        <is>
          <t>Igual (así viene del proveedor)</t>
        </is>
      </c>
      <c r="E193" s="183" t="n"/>
      <c r="F193" s="84" t="n"/>
      <c r="G193" s="84" t="n"/>
      <c r="H193" s="117" t="n"/>
      <c r="I193" s="118" t="n"/>
      <c r="J193" s="118" t="n"/>
      <c r="K193" s="98" t="n"/>
      <c r="L193" s="84" t="n"/>
      <c r="M193" s="84" t="n"/>
      <c r="N193" s="84" t="n"/>
      <c r="O193" s="84" t="n"/>
      <c r="P193" s="84" t="n"/>
      <c r="Q193" s="84" t="n"/>
      <c r="R193" s="84" t="n"/>
      <c r="S193" s="102" t="n"/>
      <c r="T193" s="102" t="n"/>
      <c r="U193" s="102" t="n"/>
      <c r="V193" s="102" t="n"/>
      <c r="W193" s="102" t="n"/>
      <c r="X193" s="102" t="n"/>
      <c r="Y193" s="102" t="n"/>
      <c r="Z193" s="102" t="n"/>
      <c r="AA193" s="102" t="n"/>
      <c r="AB193" s="102" t="n"/>
      <c r="AC193" s="102" t="n"/>
      <c r="AD193" s="102">
        <f>IFERROR(__xludf.DUMMYFUNCTION("""COMPUTED_VALUE"""),"9.5 D")</f>
        <v/>
      </c>
    </row>
    <row r="194" ht="16.5" customHeight="1" s="176">
      <c r="A194" s="122" t="inlineStr">
        <is>
          <t>Talla Ropa Dama numérica</t>
        </is>
      </c>
      <c r="B194" s="123" t="n">
        <v>0</v>
      </c>
      <c r="C194" s="123" t="n">
        <v>0</v>
      </c>
      <c r="D194" s="122" t="inlineStr">
        <is>
          <t>Igual (vestidos y prendas dama con talla numérica US)</t>
        </is>
      </c>
      <c r="E194" s="183" t="n"/>
      <c r="F194" s="84" t="n"/>
      <c r="G194" s="84" t="n"/>
      <c r="H194" s="117" t="n"/>
      <c r="I194" s="118" t="n"/>
      <c r="J194" s="118" t="n"/>
      <c r="K194" s="98" t="n"/>
      <c r="L194" s="84" t="n"/>
      <c r="M194" s="84" t="n"/>
      <c r="N194" s="84" t="n"/>
      <c r="O194" s="84" t="n"/>
      <c r="P194" s="84" t="n"/>
      <c r="Q194" s="84" t="n"/>
      <c r="R194" s="84" t="n"/>
      <c r="S194" s="102" t="n"/>
      <c r="T194" s="102" t="n"/>
      <c r="U194" s="102" t="n"/>
      <c r="V194" s="102" t="n"/>
      <c r="W194" s="102" t="n"/>
      <c r="X194" s="102" t="n"/>
      <c r="Y194" s="102" t="n"/>
      <c r="Z194" s="102" t="n"/>
      <c r="AA194" s="102" t="n"/>
      <c r="AB194" s="102" t="n"/>
      <c r="AC194" s="102" t="n"/>
      <c r="AD194" s="102">
        <f>IFERROR(__xludf.DUMMYFUNCTION("""COMPUTED_VALUE"""),"9.5 EE")</f>
        <v/>
      </c>
    </row>
    <row r="195" ht="16.5" customHeight="1" s="176">
      <c r="A195" s="122" t="inlineStr">
        <is>
          <t>Talla Ropa Dama numérica</t>
        </is>
      </c>
      <c r="B195" s="123" t="n">
        <v>2</v>
      </c>
      <c r="C195" s="123" t="n">
        <v>2</v>
      </c>
      <c r="D195" s="122" t="inlineStr">
        <is>
          <t>Igual (vestidos y prendas dama con talla numérica US)</t>
        </is>
      </c>
      <c r="E195" s="183" t="n"/>
      <c r="F195" s="84" t="n"/>
      <c r="G195" s="84" t="n"/>
      <c r="H195" s="117" t="n"/>
      <c r="I195" s="118" t="n"/>
      <c r="J195" s="118" t="n"/>
      <c r="K195" s="98" t="n"/>
      <c r="L195" s="84" t="n"/>
      <c r="M195" s="84" t="n"/>
      <c r="N195" s="84" t="n"/>
      <c r="O195" s="84" t="n"/>
      <c r="P195" s="84" t="n"/>
      <c r="Q195" s="84" t="n"/>
      <c r="R195" s="84" t="n"/>
      <c r="S195" s="102" t="n"/>
      <c r="T195" s="102" t="n"/>
      <c r="U195" s="102" t="n"/>
      <c r="V195" s="102" t="n"/>
      <c r="W195" s="102" t="n"/>
      <c r="X195" s="102" t="n"/>
      <c r="Y195" s="102" t="n"/>
      <c r="Z195" s="102" t="n"/>
      <c r="AA195" s="102" t="n"/>
      <c r="AB195" s="102" t="n"/>
      <c r="AC195" s="102" t="n"/>
      <c r="AD195" s="102">
        <f>IFERROR(__xludf.DUMMYFUNCTION("""COMPUTED_VALUE"""),"9.5 FM")</f>
        <v/>
      </c>
    </row>
    <row r="196" ht="16.5" customHeight="1" s="176">
      <c r="A196" s="122" t="inlineStr">
        <is>
          <t>Talla Ropa Dama numérica</t>
        </is>
      </c>
      <c r="B196" s="123" t="n">
        <v>4</v>
      </c>
      <c r="C196" s="123" t="n">
        <v>4</v>
      </c>
      <c r="D196" s="122" t="inlineStr">
        <is>
          <t>Igual (vestidos y prendas dama con talla numérica US)</t>
        </is>
      </c>
      <c r="E196" s="183" t="n"/>
      <c r="F196" s="84" t="n"/>
      <c r="G196" s="84" t="n"/>
      <c r="H196" s="117" t="n"/>
      <c r="I196" s="118" t="n"/>
      <c r="J196" s="118" t="n"/>
      <c r="K196" s="98" t="n"/>
      <c r="L196" s="84" t="n"/>
      <c r="M196" s="84" t="n"/>
      <c r="N196" s="84" t="n"/>
      <c r="O196" s="84" t="n"/>
      <c r="P196" s="84" t="n"/>
      <c r="Q196" s="84" t="n"/>
      <c r="R196" s="84" t="n"/>
      <c r="S196" s="102" t="n"/>
      <c r="T196" s="102" t="n"/>
      <c r="U196" s="102" t="n"/>
      <c r="V196" s="102" t="n"/>
      <c r="W196" s="102" t="n"/>
      <c r="X196" s="102" t="n"/>
      <c r="Y196" s="102" t="n"/>
      <c r="Z196" s="102" t="n"/>
      <c r="AA196" s="102" t="n"/>
      <c r="AB196" s="102" t="n"/>
      <c r="AC196" s="102" t="n"/>
      <c r="AD196" s="102">
        <f>IFERROR(__xludf.DUMMYFUNCTION("""COMPUTED_VALUE"""),"9.5 FS")</f>
        <v/>
      </c>
    </row>
    <row r="197" ht="16.5" customHeight="1" s="176">
      <c r="A197" s="122" t="inlineStr">
        <is>
          <t>Talla Ropa Dama numérica</t>
        </is>
      </c>
      <c r="B197" s="123" t="n">
        <v>6</v>
      </c>
      <c r="C197" s="123" t="n">
        <v>6</v>
      </c>
      <c r="D197" s="122" t="inlineStr">
        <is>
          <t>Igual (vestidos y prendas dama con talla numérica US)</t>
        </is>
      </c>
      <c r="E197" s="183" t="n"/>
      <c r="F197" s="84" t="n"/>
      <c r="G197" s="84" t="n"/>
      <c r="H197" s="117" t="n"/>
      <c r="I197" s="118" t="n"/>
      <c r="J197" s="118" t="n"/>
      <c r="K197" s="98" t="n"/>
      <c r="L197" s="84" t="n"/>
      <c r="M197" s="84" t="n"/>
      <c r="N197" s="84" t="n"/>
      <c r="O197" s="84" t="n"/>
      <c r="P197" s="84" t="n"/>
      <c r="Q197" s="84" t="n"/>
      <c r="R197" s="84" t="n"/>
      <c r="S197" s="102" t="n"/>
      <c r="T197" s="102" t="n"/>
      <c r="U197" s="102" t="n"/>
      <c r="V197" s="102" t="n"/>
      <c r="W197" s="102" t="n"/>
      <c r="X197" s="102" t="n"/>
      <c r="Y197" s="102" t="n"/>
      <c r="Z197" s="102" t="n"/>
      <c r="AA197" s="102" t="n"/>
      <c r="AB197" s="102" t="n"/>
      <c r="AC197" s="102" t="n"/>
      <c r="AD197" s="102">
        <f>IFERROR(__xludf.DUMMYFUNCTION("""COMPUTED_VALUE"""),"9.5 RM")</f>
        <v/>
      </c>
    </row>
    <row r="198" ht="16.5" customHeight="1" s="176">
      <c r="A198" s="122" t="inlineStr">
        <is>
          <t>Talla Ropa Dama numérica</t>
        </is>
      </c>
      <c r="B198" s="123" t="n">
        <v>8</v>
      </c>
      <c r="C198" s="123" t="n">
        <v>8</v>
      </c>
      <c r="D198" s="122" t="inlineStr">
        <is>
          <t>Igual (vestidos y prendas dama con talla numérica US)</t>
        </is>
      </c>
      <c r="E198" s="183" t="n"/>
      <c r="F198" s="84" t="n"/>
      <c r="G198" s="84" t="n"/>
      <c r="H198" s="117" t="n"/>
      <c r="I198" s="118" t="n"/>
      <c r="J198" s="118" t="n"/>
      <c r="K198" s="98" t="n"/>
      <c r="L198" s="84" t="n"/>
      <c r="M198" s="84" t="n"/>
      <c r="N198" s="84" t="n"/>
      <c r="O198" s="84" t="n"/>
      <c r="P198" s="84" t="n"/>
      <c r="Q198" s="84" t="n"/>
      <c r="R198" s="84" t="n"/>
      <c r="S198" s="102" t="n"/>
      <c r="T198" s="102" t="n"/>
      <c r="U198" s="102" t="n"/>
      <c r="V198" s="102" t="n"/>
      <c r="W198" s="102" t="n"/>
      <c r="X198" s="102" t="n"/>
      <c r="Y198" s="102" t="n"/>
      <c r="Z198" s="102" t="n"/>
      <c r="AA198" s="102" t="n"/>
      <c r="AB198" s="102" t="n"/>
      <c r="AC198" s="102" t="n"/>
      <c r="AD198" s="102">
        <f>IFERROR(__xludf.DUMMYFUNCTION("""COMPUTED_VALUE"""),"9.5 RS")</f>
        <v/>
      </c>
    </row>
    <row r="199" ht="16.5" customHeight="1" s="176">
      <c r="A199" s="122" t="inlineStr">
        <is>
          <t>Talla Ropa Dama numérica</t>
        </is>
      </c>
      <c r="B199" s="123" t="n">
        <v>10</v>
      </c>
      <c r="C199" s="123" t="n">
        <v>10</v>
      </c>
      <c r="D199" s="122" t="inlineStr">
        <is>
          <t>Igual (vestidos y prendas dama con talla numérica US)</t>
        </is>
      </c>
      <c r="E199" s="183" t="n"/>
      <c r="F199" s="84" t="n"/>
      <c r="G199" s="84" t="n"/>
      <c r="H199" s="117" t="n"/>
      <c r="I199" s="118" t="n"/>
      <c r="J199" s="118" t="n"/>
      <c r="K199" s="98" t="n"/>
      <c r="L199" s="84" t="n"/>
      <c r="M199" s="84" t="n"/>
      <c r="N199" s="84" t="n"/>
      <c r="O199" s="84" t="n"/>
      <c r="P199" s="84" t="n"/>
      <c r="Q199" s="84" t="n"/>
      <c r="R199" s="84" t="n"/>
      <c r="S199" s="102" t="n"/>
      <c r="T199" s="102" t="n"/>
      <c r="U199" s="102" t="n"/>
      <c r="V199" s="102" t="n"/>
      <c r="W199" s="102" t="n"/>
      <c r="X199" s="102" t="n"/>
      <c r="Y199" s="102" t="n"/>
      <c r="Z199" s="102" t="n"/>
      <c r="AA199" s="102" t="n"/>
      <c r="AB199" s="102" t="n"/>
      <c r="AC199" s="102" t="n"/>
      <c r="AD199" s="102">
        <f>IFERROR(__xludf.DUMMYFUNCTION("""COMPUTED_VALUE"""),"9.5 RT")</f>
        <v/>
      </c>
    </row>
    <row r="200" ht="16.5" customHeight="1" s="176">
      <c r="A200" s="122" t="inlineStr">
        <is>
          <t>Talla Ropa Dama numérica</t>
        </is>
      </c>
      <c r="B200" s="123" t="n">
        <v>12</v>
      </c>
      <c r="C200" s="123" t="n">
        <v>12</v>
      </c>
      <c r="D200" s="122" t="inlineStr">
        <is>
          <t>Igual (vestidos y prendas dama con talla numérica US)</t>
        </is>
      </c>
      <c r="E200" s="183" t="n"/>
      <c r="F200" s="84" t="n"/>
      <c r="G200" s="84" t="n"/>
      <c r="H200" s="117" t="n"/>
      <c r="I200" s="118" t="n"/>
      <c r="J200" s="118" t="n"/>
      <c r="K200" s="98" t="n"/>
      <c r="L200" s="84" t="n"/>
      <c r="M200" s="84" t="n"/>
      <c r="N200" s="84" t="n"/>
      <c r="O200" s="84" t="n"/>
      <c r="P200" s="84" t="n"/>
      <c r="Q200" s="84" t="n"/>
      <c r="R200" s="84" t="n"/>
      <c r="S200" s="102" t="n"/>
      <c r="T200" s="102" t="n"/>
      <c r="U200" s="102" t="n"/>
      <c r="V200" s="102" t="n"/>
      <c r="W200" s="102" t="n"/>
      <c r="X200" s="102" t="n"/>
      <c r="Y200" s="102" t="n"/>
      <c r="Z200" s="102" t="n"/>
      <c r="AA200" s="102" t="n"/>
      <c r="AB200" s="102" t="n"/>
      <c r="AC200" s="102" t="n"/>
      <c r="AD200" s="102">
        <f>IFERROR(__xludf.DUMMYFUNCTION("""COMPUTED_VALUE"""),"9.5 SM")</f>
        <v/>
      </c>
    </row>
    <row r="201" ht="16.5" customHeight="1" s="176">
      <c r="A201" s="122" t="inlineStr">
        <is>
          <t>Talla Ropa Dama numérica</t>
        </is>
      </c>
      <c r="B201" s="123" t="n">
        <v>14</v>
      </c>
      <c r="C201" s="123" t="n">
        <v>14</v>
      </c>
      <c r="D201" s="122" t="inlineStr">
        <is>
          <t>Igual (vestidos y prendas dama con talla numérica US)</t>
        </is>
      </c>
      <c r="E201" s="183" t="n"/>
      <c r="F201" s="84" t="n"/>
      <c r="G201" s="84" t="n"/>
      <c r="H201" s="117" t="n"/>
      <c r="I201" s="118" t="n"/>
      <c r="J201" s="118" t="n"/>
      <c r="K201" s="84" t="n"/>
      <c r="L201" s="84" t="n"/>
      <c r="M201" s="84" t="n"/>
      <c r="N201" s="84" t="n"/>
      <c r="O201" s="84" t="n"/>
      <c r="P201" s="84" t="n"/>
      <c r="Q201" s="84" t="n"/>
      <c r="R201" s="84" t="n"/>
      <c r="S201" s="102" t="n"/>
      <c r="T201" s="102" t="n"/>
      <c r="U201" s="102" t="n"/>
      <c r="V201" s="102" t="n"/>
      <c r="W201" s="102" t="n"/>
      <c r="X201" s="102" t="n"/>
      <c r="Y201" s="102" t="n"/>
      <c r="Z201" s="102" t="n"/>
      <c r="AA201" s="102" t="n"/>
      <c r="AB201" s="102" t="n"/>
      <c r="AC201" s="102" t="n"/>
      <c r="AD201" s="102">
        <f>IFERROR(__xludf.DUMMYFUNCTION("""COMPUTED_VALUE"""),"9.5 SS")</f>
        <v/>
      </c>
    </row>
    <row r="202" ht="16.5" customHeight="1" s="176">
      <c r="A202" s="122" t="inlineStr">
        <is>
          <t>Talla Ropa Dama numérica</t>
        </is>
      </c>
      <c r="B202" s="123" t="n">
        <v>16</v>
      </c>
      <c r="C202" s="123" t="n">
        <v>16</v>
      </c>
      <c r="D202" s="122" t="inlineStr">
        <is>
          <t>Igual (vestidos y prendas dama con talla numérica US)</t>
        </is>
      </c>
      <c r="E202" s="183" t="n"/>
      <c r="F202" s="84" t="n"/>
      <c r="G202" s="84" t="n"/>
      <c r="H202" s="117" t="n"/>
      <c r="I202" s="118" t="n"/>
      <c r="J202" s="118" t="n"/>
      <c r="K202" s="84" t="n"/>
      <c r="L202" s="84" t="n"/>
      <c r="M202" s="84" t="n"/>
      <c r="N202" s="84" t="n"/>
      <c r="O202" s="84" t="n"/>
      <c r="P202" s="84" t="n"/>
      <c r="Q202" s="84" t="n"/>
      <c r="R202" s="84" t="n"/>
      <c r="S202" s="102" t="n"/>
      <c r="T202" s="102" t="n"/>
      <c r="U202" s="102" t="n"/>
      <c r="V202" s="102" t="n"/>
      <c r="W202" s="102" t="n"/>
      <c r="X202" s="102" t="n"/>
      <c r="Y202" s="102" t="n"/>
      <c r="Z202" s="102" t="n"/>
      <c r="AA202" s="102" t="n"/>
      <c r="AB202" s="102" t="n"/>
      <c r="AC202" s="102" t="n"/>
      <c r="AD202" s="102">
        <f>IFERROR(__xludf.DUMMYFUNCTION("""COMPUTED_VALUE"""),"9.5 ST")</f>
        <v/>
      </c>
    </row>
    <row r="203" ht="16.5" customHeight="1" s="176">
      <c r="A203" s="122" t="inlineStr">
        <is>
          <t>Cintura Jean + Largo Jean</t>
        </is>
      </c>
      <c r="B203" s="123" t="inlineStr">
        <is>
          <t>33 x 28</t>
        </is>
      </c>
      <c r="C203" s="123" t="inlineStr">
        <is>
          <t>33W / 28L</t>
        </is>
      </c>
      <c r="D203" s="122" t="inlineStr">
        <is>
          <t>Formato «Cintura x Largo». En web: filtro principal Cintura, Largo secundario.</t>
        </is>
      </c>
      <c r="E203" s="183" t="n"/>
      <c r="F203" s="84" t="n"/>
      <c r="G203" s="84" t="n"/>
      <c r="H203" s="117" t="n"/>
      <c r="I203" s="118" t="n"/>
      <c r="J203" s="118" t="n"/>
      <c r="K203" s="84" t="n"/>
      <c r="L203" s="84" t="n"/>
      <c r="M203" s="84" t="n"/>
      <c r="N203" s="84" t="n"/>
      <c r="O203" s="84" t="n"/>
      <c r="P203" s="84" t="n"/>
      <c r="Q203" s="84" t="n"/>
      <c r="R203" s="84" t="n"/>
      <c r="S203" s="102" t="n"/>
      <c r="T203" s="102" t="n"/>
      <c r="U203" s="102" t="n"/>
      <c r="V203" s="102" t="n"/>
      <c r="W203" s="102" t="n"/>
      <c r="X203" s="102" t="n"/>
      <c r="Y203" s="102" t="n"/>
      <c r="Z203" s="102" t="n"/>
      <c r="AA203" s="102" t="n"/>
      <c r="AB203" s="102" t="n"/>
      <c r="AC203" s="102" t="n"/>
      <c r="AD203" s="102">
        <f>IFERROR(__xludf.DUMMYFUNCTION("""COMPUTED_VALUE"""),"9.5 XSS")</f>
        <v/>
      </c>
    </row>
    <row r="204" ht="16.5" customHeight="1" s="176">
      <c r="A204" s="122" t="inlineStr">
        <is>
          <t>Cintura Jean + Largo Jean</t>
        </is>
      </c>
      <c r="B204" s="123" t="inlineStr">
        <is>
          <t>34 x 28</t>
        </is>
      </c>
      <c r="C204" s="123" t="inlineStr">
        <is>
          <t>34W / 28L</t>
        </is>
      </c>
      <c r="D204" s="122" t="inlineStr">
        <is>
          <t>Igual formato (largo 28)</t>
        </is>
      </c>
      <c r="E204" s="183" t="n"/>
      <c r="F204" s="84" t="n"/>
      <c r="G204" s="84" t="n"/>
      <c r="H204" s="117" t="n"/>
      <c r="I204" s="118" t="n"/>
      <c r="J204" s="118" t="n"/>
      <c r="K204" s="84" t="n"/>
      <c r="L204" s="84" t="n"/>
      <c r="M204" s="84" t="n"/>
      <c r="N204" s="84" t="n"/>
      <c r="O204" s="84" t="n"/>
      <c r="P204" s="84" t="n"/>
      <c r="Q204" s="84" t="n"/>
      <c r="R204" s="84" t="n"/>
      <c r="S204" s="102" t="n"/>
      <c r="T204" s="102" t="n"/>
      <c r="U204" s="102" t="n"/>
      <c r="V204" s="102" t="n"/>
      <c r="W204" s="102" t="n"/>
      <c r="X204" s="102" t="n"/>
      <c r="Y204" s="102" t="n"/>
      <c r="Z204" s="102" t="n"/>
      <c r="AA204" s="102" t="n"/>
      <c r="AB204" s="102" t="n"/>
      <c r="AC204" s="102" t="n"/>
      <c r="AD204" s="102">
        <f>IFERROR(__xludf.DUMMYFUNCTION("""COMPUTED_VALUE"""),"10 B")</f>
        <v/>
      </c>
    </row>
    <row r="205" ht="16.5" customHeight="1" s="176">
      <c r="A205" s="122" t="inlineStr">
        <is>
          <t>Cintura Jean + Largo Jean</t>
        </is>
      </c>
      <c r="B205" s="123" t="inlineStr">
        <is>
          <t>36 x 28</t>
        </is>
      </c>
      <c r="C205" s="123" t="inlineStr">
        <is>
          <t>36W / 28L</t>
        </is>
      </c>
      <c r="D205" s="122" t="inlineStr">
        <is>
          <t>Igual formato (largo 28)</t>
        </is>
      </c>
      <c r="E205" s="183" t="n"/>
      <c r="F205" s="84" t="n"/>
      <c r="G205" s="84" t="n"/>
      <c r="H205" s="117" t="n"/>
      <c r="I205" s="118" t="n"/>
      <c r="J205" s="118" t="n"/>
      <c r="K205" s="84" t="n"/>
      <c r="L205" s="84" t="n"/>
      <c r="M205" s="84" t="n"/>
      <c r="N205" s="84" t="n"/>
      <c r="O205" s="84" t="n"/>
      <c r="P205" s="84" t="n"/>
      <c r="Q205" s="84" t="n"/>
      <c r="R205" s="84" t="n"/>
      <c r="S205" s="102" t="n"/>
      <c r="T205" s="102" t="n"/>
      <c r="U205" s="102" t="n"/>
      <c r="V205" s="102" t="n"/>
      <c r="W205" s="102" t="n"/>
      <c r="X205" s="102" t="n"/>
      <c r="Y205" s="102" t="n"/>
      <c r="Z205" s="102" t="n"/>
      <c r="AA205" s="102" t="n"/>
      <c r="AB205" s="102" t="n"/>
      <c r="AC205" s="102" t="n"/>
      <c r="AD205" s="102">
        <f>IFERROR(__xludf.DUMMYFUNCTION("""COMPUTED_VALUE"""),"10 D")</f>
        <v/>
      </c>
    </row>
    <row r="206" ht="16.5" customHeight="1" s="176">
      <c r="A206" s="122" t="inlineStr">
        <is>
          <t>Cintura Jean + Largo Jean</t>
        </is>
      </c>
      <c r="B206" s="123" t="inlineStr">
        <is>
          <t>28 x 30</t>
        </is>
      </c>
      <c r="C206" s="123" t="inlineStr">
        <is>
          <t>28W / 30L</t>
        </is>
      </c>
      <c r="D206" s="122" t="inlineStr">
        <is>
          <t>Igual formato (largo 30)</t>
        </is>
      </c>
      <c r="E206" s="183" t="n"/>
      <c r="F206" s="84" t="n"/>
      <c r="G206" s="84" t="n"/>
      <c r="H206" s="117" t="n"/>
      <c r="I206" s="118" t="n"/>
      <c r="J206" s="118" t="n"/>
      <c r="K206" s="84" t="n"/>
      <c r="L206" s="84" t="n"/>
      <c r="M206" s="84" t="n"/>
      <c r="N206" s="84" t="n"/>
      <c r="O206" s="84" t="n"/>
      <c r="P206" s="84" t="n"/>
      <c r="Q206" s="84" t="n"/>
      <c r="R206" s="84" t="n"/>
      <c r="S206" s="102" t="n"/>
      <c r="T206" s="102" t="n"/>
      <c r="U206" s="102" t="n"/>
      <c r="V206" s="102" t="n"/>
      <c r="W206" s="102" t="n"/>
      <c r="X206" s="102" t="n"/>
      <c r="Y206" s="102" t="n"/>
      <c r="Z206" s="102" t="n"/>
      <c r="AA206" s="102" t="n"/>
      <c r="AB206" s="102" t="n"/>
      <c r="AC206" s="102" t="n"/>
      <c r="AD206" s="102">
        <f>IFERROR(__xludf.DUMMYFUNCTION("""COMPUTED_VALUE"""),"10 EE")</f>
        <v/>
      </c>
    </row>
    <row r="207" ht="16.5" customHeight="1" s="176">
      <c r="A207" s="122" t="inlineStr">
        <is>
          <t>Cintura Jean + Largo Jean</t>
        </is>
      </c>
      <c r="B207" s="123" t="inlineStr">
        <is>
          <t>29 x 30</t>
        </is>
      </c>
      <c r="C207" s="123" t="inlineStr">
        <is>
          <t>29W / 30L</t>
        </is>
      </c>
      <c r="D207" s="122" t="inlineStr">
        <is>
          <t>Igual formato (largo 30)</t>
        </is>
      </c>
      <c r="E207" s="183" t="n"/>
      <c r="F207" s="84" t="n"/>
      <c r="G207" s="84" t="n"/>
      <c r="H207" s="117" t="n"/>
      <c r="I207" s="118" t="n"/>
      <c r="J207" s="118" t="n"/>
      <c r="K207" s="84" t="n"/>
      <c r="L207" s="84" t="n"/>
      <c r="M207" s="84" t="n"/>
      <c r="N207" s="84" t="n"/>
      <c r="O207" s="84" t="n"/>
      <c r="P207" s="84" t="n"/>
      <c r="Q207" s="84" t="n"/>
      <c r="R207" s="84" t="n"/>
      <c r="S207" s="102" t="n"/>
      <c r="T207" s="102" t="n"/>
      <c r="U207" s="102" t="n"/>
      <c r="V207" s="102" t="n"/>
      <c r="W207" s="102" t="n"/>
      <c r="X207" s="102" t="n"/>
      <c r="Y207" s="102" t="n"/>
      <c r="Z207" s="102" t="n"/>
      <c r="AA207" s="102" t="n"/>
      <c r="AB207" s="102" t="n"/>
      <c r="AC207" s="102" t="n"/>
      <c r="AD207" s="102">
        <f>IFERROR(__xludf.DUMMYFUNCTION("""COMPUTED_VALUE"""),"10 FM")</f>
        <v/>
      </c>
    </row>
    <row r="208" ht="16.5" customHeight="1" s="176">
      <c r="A208" s="122" t="inlineStr">
        <is>
          <t>Cintura Jean + Largo Jean</t>
        </is>
      </c>
      <c r="B208" s="123" t="inlineStr">
        <is>
          <t>30 x 30</t>
        </is>
      </c>
      <c r="C208" s="123" t="inlineStr">
        <is>
          <t>30W / 30L</t>
        </is>
      </c>
      <c r="D208" s="122" t="inlineStr">
        <is>
          <t>Igual formato (largo 30)</t>
        </is>
      </c>
      <c r="E208" s="183" t="n"/>
      <c r="F208" s="84" t="n"/>
      <c r="G208" s="84" t="n"/>
      <c r="H208" s="117" t="n"/>
      <c r="I208" s="118" t="n"/>
      <c r="J208" s="118" t="n"/>
      <c r="K208" s="84" t="n"/>
      <c r="L208" s="84" t="n"/>
      <c r="M208" s="84" t="n"/>
      <c r="N208" s="84" t="n"/>
      <c r="O208" s="84" t="n"/>
      <c r="P208" s="84" t="n"/>
      <c r="Q208" s="84" t="n"/>
      <c r="R208" s="84" t="n"/>
      <c r="S208" s="102" t="n"/>
      <c r="T208" s="102" t="n"/>
      <c r="U208" s="102" t="n"/>
      <c r="V208" s="102" t="n"/>
      <c r="W208" s="102" t="n"/>
      <c r="X208" s="102" t="n"/>
      <c r="Y208" s="102" t="n"/>
      <c r="Z208" s="102" t="n"/>
      <c r="AA208" s="102" t="n"/>
      <c r="AB208" s="102" t="n"/>
      <c r="AC208" s="102" t="n"/>
      <c r="AD208" s="102">
        <f>IFERROR(__xludf.DUMMYFUNCTION("""COMPUTED_VALUE"""),"10 FS")</f>
        <v/>
      </c>
    </row>
    <row r="209" ht="16.5" customHeight="1" s="176">
      <c r="A209" s="122" t="inlineStr">
        <is>
          <t>Cintura Jean + Largo Jean</t>
        </is>
      </c>
      <c r="B209" s="123" t="inlineStr">
        <is>
          <t>31 x 30</t>
        </is>
      </c>
      <c r="C209" s="123" t="inlineStr">
        <is>
          <t>31W / 30L</t>
        </is>
      </c>
      <c r="D209" s="122" t="inlineStr">
        <is>
          <t>Igual formato (largo 30)</t>
        </is>
      </c>
      <c r="E209" s="183" t="n"/>
      <c r="F209" s="84" t="n"/>
      <c r="G209" s="84" t="n"/>
      <c r="H209" s="117" t="n"/>
      <c r="I209" s="118" t="n"/>
      <c r="J209" s="118" t="n"/>
      <c r="K209" s="84" t="n"/>
      <c r="L209" s="84" t="n"/>
      <c r="M209" s="84" t="n"/>
      <c r="N209" s="84" t="n"/>
      <c r="O209" s="84" t="n"/>
      <c r="P209" s="84" t="n"/>
      <c r="Q209" s="84" t="n"/>
      <c r="R209" s="84" t="n"/>
      <c r="S209" s="102" t="n"/>
      <c r="T209" s="102" t="n"/>
      <c r="U209" s="102" t="n"/>
      <c r="V209" s="102" t="n"/>
      <c r="W209" s="102" t="n"/>
      <c r="X209" s="102" t="n"/>
      <c r="Y209" s="102" t="n"/>
      <c r="Z209" s="102" t="n"/>
      <c r="AA209" s="102" t="n"/>
      <c r="AB209" s="102" t="n"/>
      <c r="AC209" s="102" t="n"/>
      <c r="AD209" s="102">
        <f>IFERROR(__xludf.DUMMYFUNCTION("""COMPUTED_VALUE"""),"10 RM")</f>
        <v/>
      </c>
    </row>
    <row r="210" ht="16.5" customHeight="1" s="176">
      <c r="A210" s="122" t="inlineStr">
        <is>
          <t>Cintura Jean + Largo Jean</t>
        </is>
      </c>
      <c r="B210" s="123" t="inlineStr">
        <is>
          <t>32 x 30</t>
        </is>
      </c>
      <c r="C210" s="123" t="inlineStr">
        <is>
          <t>32W / 30L</t>
        </is>
      </c>
      <c r="D210" s="122" t="inlineStr">
        <is>
          <t>Igual formato (largo 30)</t>
        </is>
      </c>
      <c r="E210" s="183" t="n"/>
      <c r="F210" s="84" t="n"/>
      <c r="G210" s="84" t="n"/>
      <c r="H210" s="117" t="n"/>
      <c r="I210" s="118" t="n"/>
      <c r="J210" s="118" t="n"/>
      <c r="K210" s="84" t="n"/>
      <c r="L210" s="84" t="n"/>
      <c r="M210" s="84" t="n"/>
      <c r="N210" s="84" t="n"/>
      <c r="O210" s="84" t="n"/>
      <c r="P210" s="84" t="n"/>
      <c r="Q210" s="84" t="n"/>
      <c r="R210" s="84" t="n"/>
      <c r="S210" s="102" t="n"/>
      <c r="T210" s="102" t="n"/>
      <c r="U210" s="102" t="n"/>
      <c r="V210" s="102" t="n"/>
      <c r="W210" s="102" t="n"/>
      <c r="X210" s="102" t="n"/>
      <c r="Y210" s="102" t="n"/>
      <c r="Z210" s="102" t="n"/>
      <c r="AA210" s="102" t="n"/>
      <c r="AB210" s="102" t="n"/>
      <c r="AC210" s="102" t="n"/>
      <c r="AD210" s="102">
        <f>IFERROR(__xludf.DUMMYFUNCTION("""COMPUTED_VALUE"""),"10 RS")</f>
        <v/>
      </c>
    </row>
    <row r="211" ht="16.5" customHeight="1" s="176">
      <c r="A211" s="122" t="inlineStr">
        <is>
          <t>Cintura Jean + Largo Jean</t>
        </is>
      </c>
      <c r="B211" s="123" t="inlineStr">
        <is>
          <t>33 x 30</t>
        </is>
      </c>
      <c r="C211" s="123" t="inlineStr">
        <is>
          <t>33W / 30L</t>
        </is>
      </c>
      <c r="D211" s="122" t="inlineStr">
        <is>
          <t>Igual formato (largo 30)</t>
        </is>
      </c>
      <c r="E211" s="183" t="n"/>
      <c r="F211" s="84" t="n"/>
      <c r="G211" s="84" t="n"/>
      <c r="H211" s="117" t="n"/>
      <c r="I211" s="118" t="n"/>
      <c r="J211" s="118" t="n"/>
      <c r="K211" s="84" t="n"/>
      <c r="L211" s="84" t="n"/>
      <c r="M211" s="84" t="n"/>
      <c r="N211" s="84" t="n"/>
      <c r="O211" s="84" t="n"/>
      <c r="P211" s="84" t="n"/>
      <c r="Q211" s="84" t="n"/>
      <c r="R211" s="84" t="n"/>
      <c r="S211" s="102" t="n"/>
      <c r="T211" s="102" t="n"/>
      <c r="U211" s="102" t="n"/>
      <c r="V211" s="102" t="n"/>
      <c r="W211" s="102" t="n"/>
      <c r="X211" s="102" t="n"/>
      <c r="Y211" s="102" t="n"/>
      <c r="Z211" s="102" t="n"/>
      <c r="AA211" s="102" t="n"/>
      <c r="AB211" s="102" t="n"/>
      <c r="AC211" s="102" t="n"/>
      <c r="AD211" s="102">
        <f>IFERROR(__xludf.DUMMYFUNCTION("""COMPUTED_VALUE"""),"10 RT")</f>
        <v/>
      </c>
    </row>
    <row r="212" ht="16.5" customHeight="1" s="176">
      <c r="A212" s="122" t="inlineStr">
        <is>
          <t>Cintura Jean + Largo Jean</t>
        </is>
      </c>
      <c r="B212" s="123" t="inlineStr">
        <is>
          <t>34 x 30</t>
        </is>
      </c>
      <c r="C212" s="123" t="inlineStr">
        <is>
          <t>34W / 30L</t>
        </is>
      </c>
      <c r="D212" s="122" t="inlineStr">
        <is>
          <t>Igual formato (largo 30)</t>
        </is>
      </c>
      <c r="E212" s="183" t="n"/>
      <c r="F212" s="84" t="n"/>
      <c r="G212" s="84" t="n"/>
      <c r="H212" s="117" t="n"/>
      <c r="I212" s="118" t="n"/>
      <c r="J212" s="118" t="n"/>
      <c r="K212" s="84" t="n"/>
      <c r="L212" s="84" t="n"/>
      <c r="M212" s="84" t="n"/>
      <c r="N212" s="84" t="n"/>
      <c r="O212" s="84" t="n"/>
      <c r="P212" s="84" t="n"/>
      <c r="Q212" s="84" t="n"/>
      <c r="R212" s="84" t="n"/>
      <c r="S212" s="102" t="n"/>
      <c r="T212" s="102" t="n"/>
      <c r="U212" s="102" t="n"/>
      <c r="V212" s="102" t="n"/>
      <c r="W212" s="102" t="n"/>
      <c r="X212" s="102" t="n"/>
      <c r="Y212" s="102" t="n"/>
      <c r="Z212" s="102" t="n"/>
      <c r="AA212" s="102" t="n"/>
      <c r="AB212" s="102" t="n"/>
      <c r="AC212" s="102" t="n"/>
      <c r="AD212" s="102">
        <f>IFERROR(__xludf.DUMMYFUNCTION("""COMPUTED_VALUE"""),"10 SM")</f>
        <v/>
      </c>
    </row>
    <row r="213" ht="16.5" customHeight="1" s="176">
      <c r="A213" s="122" t="inlineStr">
        <is>
          <t>Cintura Jean + Largo Jean</t>
        </is>
      </c>
      <c r="B213" s="123" t="inlineStr">
        <is>
          <t>35 x 30</t>
        </is>
      </c>
      <c r="C213" s="123" t="inlineStr">
        <is>
          <t>35W / 30L</t>
        </is>
      </c>
      <c r="D213" s="122" t="inlineStr">
        <is>
          <t>Igual formato (largo 30)</t>
        </is>
      </c>
      <c r="E213" s="183" t="n"/>
      <c r="F213" s="84" t="n"/>
      <c r="G213" s="84" t="n"/>
      <c r="H213" s="117" t="n"/>
      <c r="I213" s="118" t="n"/>
      <c r="J213" s="118" t="n"/>
      <c r="K213" s="84" t="n"/>
      <c r="L213" s="84" t="n"/>
      <c r="M213" s="84" t="n"/>
      <c r="N213" s="84" t="n"/>
      <c r="O213" s="84" t="n"/>
      <c r="P213" s="84" t="n"/>
      <c r="Q213" s="84" t="n"/>
      <c r="R213" s="84" t="n"/>
      <c r="S213" s="102" t="n"/>
      <c r="T213" s="102" t="n"/>
      <c r="U213" s="102" t="n"/>
      <c r="V213" s="102" t="n"/>
      <c r="W213" s="102" t="n"/>
      <c r="X213" s="102" t="n"/>
      <c r="Y213" s="102" t="n"/>
      <c r="Z213" s="102" t="n"/>
      <c r="AA213" s="102" t="n"/>
      <c r="AB213" s="102" t="n"/>
      <c r="AC213" s="102" t="n"/>
      <c r="AD213" s="102">
        <f>IFERROR(__xludf.DUMMYFUNCTION("""COMPUTED_VALUE"""),"10 SS")</f>
        <v/>
      </c>
    </row>
    <row r="214" ht="16.5" customHeight="1" s="176">
      <c r="A214" s="122" t="inlineStr">
        <is>
          <t>Cintura Jean + Largo Jean</t>
        </is>
      </c>
      <c r="B214" s="123" t="inlineStr">
        <is>
          <t>36 x 30</t>
        </is>
      </c>
      <c r="C214" s="123" t="inlineStr">
        <is>
          <t>36W / 30L</t>
        </is>
      </c>
      <c r="D214" s="122" t="inlineStr">
        <is>
          <t>Igual formato (largo 30)</t>
        </is>
      </c>
      <c r="E214" s="183" t="n"/>
      <c r="F214" s="84" t="n"/>
      <c r="G214" s="84" t="n"/>
      <c r="H214" s="117" t="n"/>
      <c r="I214" s="118" t="n"/>
      <c r="J214" s="118" t="n"/>
      <c r="K214" s="84" t="n"/>
      <c r="L214" s="84" t="n"/>
      <c r="M214" s="84" t="n"/>
      <c r="N214" s="84" t="n"/>
      <c r="O214" s="84" t="n"/>
      <c r="P214" s="84" t="n"/>
      <c r="Q214" s="84" t="n"/>
      <c r="R214" s="84" t="n"/>
      <c r="S214" s="102" t="n"/>
      <c r="T214" s="102" t="n"/>
      <c r="U214" s="102" t="n"/>
      <c r="V214" s="102" t="n"/>
      <c r="W214" s="102" t="n"/>
      <c r="X214" s="102" t="n"/>
      <c r="Y214" s="102" t="n"/>
      <c r="Z214" s="102" t="n"/>
      <c r="AA214" s="102" t="n"/>
      <c r="AB214" s="102" t="n"/>
      <c r="AC214" s="102" t="n"/>
      <c r="AD214" s="102">
        <f>IFERROR(__xludf.DUMMYFUNCTION("""COMPUTED_VALUE"""),"10 ST")</f>
        <v/>
      </c>
    </row>
    <row r="215" ht="16.5" customHeight="1" s="176">
      <c r="A215" s="122" t="inlineStr">
        <is>
          <t>Cintura Jean + Largo Jean</t>
        </is>
      </c>
      <c r="B215" s="123" t="inlineStr">
        <is>
          <t>38 x 30</t>
        </is>
      </c>
      <c r="C215" s="123" t="inlineStr">
        <is>
          <t>38W / 30L</t>
        </is>
      </c>
      <c r="D215" s="122" t="inlineStr">
        <is>
          <t>Igual formato (largo 30)</t>
        </is>
      </c>
      <c r="E215" s="183" t="n"/>
      <c r="F215" s="84" t="n"/>
      <c r="G215" s="84" t="n"/>
      <c r="H215" s="117" t="n"/>
      <c r="I215" s="118" t="n"/>
      <c r="J215" s="118" t="n"/>
      <c r="K215" s="84" t="n"/>
      <c r="L215" s="84" t="n"/>
      <c r="M215" s="84" t="n"/>
      <c r="N215" s="84" t="n"/>
      <c r="O215" s="84" t="n"/>
      <c r="P215" s="84" t="n"/>
      <c r="Q215" s="84" t="n"/>
      <c r="R215" s="84" t="n"/>
      <c r="S215" s="102" t="n"/>
      <c r="T215" s="102" t="n"/>
      <c r="U215" s="102" t="n"/>
      <c r="V215" s="102" t="n"/>
      <c r="W215" s="102" t="n"/>
      <c r="X215" s="102" t="n"/>
      <c r="Y215" s="102" t="n"/>
      <c r="Z215" s="102" t="n"/>
      <c r="AA215" s="102" t="n"/>
      <c r="AB215" s="102" t="n"/>
      <c r="AC215" s="102" t="n"/>
      <c r="AD215" s="102">
        <f>IFERROR(__xludf.DUMMYFUNCTION("""COMPUTED_VALUE"""),"10.5 B")</f>
        <v/>
      </c>
    </row>
    <row r="216" ht="16.5" customHeight="1" s="176">
      <c r="A216" s="122" t="inlineStr">
        <is>
          <t>Cintura Jean + Largo Jean</t>
        </is>
      </c>
      <c r="B216" s="123" t="inlineStr">
        <is>
          <t>40 x 30</t>
        </is>
      </c>
      <c r="C216" s="123" t="inlineStr">
        <is>
          <t>40W / 30L</t>
        </is>
      </c>
      <c r="D216" s="122" t="inlineStr">
        <is>
          <t>Igual formato (largo 30)</t>
        </is>
      </c>
      <c r="E216" s="183" t="n"/>
      <c r="F216" s="84" t="n"/>
      <c r="G216" s="84" t="n"/>
      <c r="H216" s="117" t="n"/>
      <c r="I216" s="118" t="n"/>
      <c r="J216" s="118" t="n"/>
      <c r="K216" s="84" t="n"/>
      <c r="L216" s="84" t="n"/>
      <c r="M216" s="84" t="n"/>
      <c r="N216" s="84" t="n"/>
      <c r="O216" s="84" t="n"/>
      <c r="P216" s="84" t="n"/>
      <c r="Q216" s="84" t="n"/>
      <c r="R216" s="84" t="n"/>
      <c r="S216" s="102" t="n"/>
      <c r="T216" s="102" t="n"/>
      <c r="U216" s="102" t="n"/>
      <c r="V216" s="102" t="n"/>
      <c r="W216" s="102" t="n"/>
      <c r="X216" s="102" t="n"/>
      <c r="Y216" s="102" t="n"/>
      <c r="Z216" s="102" t="n"/>
      <c r="AA216" s="102" t="n"/>
      <c r="AB216" s="102" t="n"/>
      <c r="AC216" s="102" t="n"/>
      <c r="AD216" s="102">
        <f>IFERROR(__xludf.DUMMYFUNCTION("""COMPUTED_VALUE"""),"10.5 D")</f>
        <v/>
      </c>
    </row>
    <row r="217" ht="16.5" customHeight="1" s="176">
      <c r="A217" s="122" t="inlineStr">
        <is>
          <t>Cintura Jean + Largo Jean</t>
        </is>
      </c>
      <c r="B217" s="123" t="inlineStr">
        <is>
          <t>42 x 30</t>
        </is>
      </c>
      <c r="C217" s="123" t="inlineStr">
        <is>
          <t>42W / 30L</t>
        </is>
      </c>
      <c r="D217" s="122" t="inlineStr">
        <is>
          <t>Igual formato (largo 30)</t>
        </is>
      </c>
      <c r="E217" s="183" t="n"/>
      <c r="F217" s="84" t="n"/>
      <c r="G217" s="84" t="n"/>
      <c r="H217" s="117" t="n"/>
      <c r="I217" s="118" t="n"/>
      <c r="J217" s="118" t="n"/>
      <c r="K217" s="84" t="n"/>
      <c r="L217" s="84" t="n"/>
      <c r="M217" s="84" t="n"/>
      <c r="N217" s="84" t="n"/>
      <c r="O217" s="84" t="n"/>
      <c r="P217" s="84" t="n"/>
      <c r="Q217" s="84" t="n"/>
      <c r="R217" s="84" t="n"/>
      <c r="S217" s="102" t="n"/>
      <c r="T217" s="102" t="n"/>
      <c r="U217" s="102" t="n"/>
      <c r="V217" s="102" t="n"/>
      <c r="W217" s="102" t="n"/>
      <c r="X217" s="102" t="n"/>
      <c r="Y217" s="102" t="n"/>
      <c r="Z217" s="102" t="n"/>
      <c r="AA217" s="102" t="n"/>
      <c r="AB217" s="102" t="n"/>
      <c r="AC217" s="102" t="n"/>
      <c r="AD217" s="102">
        <f>IFERROR(__xludf.DUMMYFUNCTION("""COMPUTED_VALUE"""),"10.5 EE")</f>
        <v/>
      </c>
    </row>
    <row r="218" ht="16.5" customHeight="1" s="176">
      <c r="A218" s="122" t="inlineStr">
        <is>
          <t>Cintura Jean + Largo Jean</t>
        </is>
      </c>
      <c r="B218" s="123" t="inlineStr">
        <is>
          <t>44 x 30</t>
        </is>
      </c>
      <c r="C218" s="123" t="inlineStr">
        <is>
          <t>44W / 30L</t>
        </is>
      </c>
      <c r="D218" s="122" t="inlineStr">
        <is>
          <t>Igual formato (largo 30)</t>
        </is>
      </c>
      <c r="E218" s="183" t="n"/>
      <c r="F218" s="84" t="n"/>
      <c r="G218" s="84" t="n"/>
      <c r="H218" s="117" t="n"/>
      <c r="I218" s="118" t="n"/>
      <c r="J218" s="118" t="n"/>
      <c r="K218" s="84" t="n"/>
      <c r="L218" s="84" t="n"/>
      <c r="M218" s="84" t="n"/>
      <c r="N218" s="84" t="n"/>
      <c r="O218" s="84" t="n"/>
      <c r="P218" s="84" t="n"/>
      <c r="Q218" s="84" t="n"/>
      <c r="R218" s="84" t="n"/>
      <c r="S218" s="102" t="n"/>
      <c r="T218" s="102" t="n"/>
      <c r="U218" s="102" t="n"/>
      <c r="V218" s="102" t="n"/>
      <c r="W218" s="102" t="n"/>
      <c r="X218" s="102" t="n"/>
      <c r="Y218" s="102" t="n"/>
      <c r="Z218" s="102" t="n"/>
      <c r="AA218" s="102" t="n"/>
      <c r="AB218" s="102" t="n"/>
      <c r="AC218" s="102" t="n"/>
      <c r="AD218" s="102">
        <f>IFERROR(__xludf.DUMMYFUNCTION("""COMPUTED_VALUE"""),"10.5 FM")</f>
        <v/>
      </c>
    </row>
    <row r="219" ht="16.5" customHeight="1" s="176">
      <c r="A219" s="122" t="inlineStr">
        <is>
          <t>Cintura Jean + Largo Jean</t>
        </is>
      </c>
      <c r="B219" s="123" t="inlineStr">
        <is>
          <t>46 x 30</t>
        </is>
      </c>
      <c r="C219" s="123" t="inlineStr">
        <is>
          <t>46W / 30L</t>
        </is>
      </c>
      <c r="D219" s="122" t="inlineStr">
        <is>
          <t>Igual formato (largo 30)</t>
        </is>
      </c>
      <c r="E219" s="183" t="n"/>
      <c r="F219" s="84" t="n"/>
      <c r="G219" s="84" t="n"/>
      <c r="H219" s="117" t="n"/>
      <c r="I219" s="118" t="n"/>
      <c r="J219" s="118" t="n"/>
      <c r="K219" s="84" t="n"/>
      <c r="L219" s="84" t="n"/>
      <c r="M219" s="84" t="n"/>
      <c r="N219" s="84" t="n"/>
      <c r="O219" s="84" t="n"/>
      <c r="P219" s="84" t="n"/>
      <c r="Q219" s="84" t="n"/>
      <c r="R219" s="84" t="n"/>
      <c r="S219" s="102" t="n"/>
      <c r="T219" s="102" t="n"/>
      <c r="U219" s="102" t="n"/>
      <c r="V219" s="102" t="n"/>
      <c r="W219" s="102" t="n"/>
      <c r="X219" s="102" t="n"/>
      <c r="Y219" s="102" t="n"/>
      <c r="Z219" s="102" t="n"/>
      <c r="AA219" s="102" t="n"/>
      <c r="AB219" s="102" t="n"/>
      <c r="AC219" s="102" t="n"/>
      <c r="AD219" s="102">
        <f>IFERROR(__xludf.DUMMYFUNCTION("""COMPUTED_VALUE"""),"10.5 FS")</f>
        <v/>
      </c>
    </row>
    <row r="220" ht="16.5" customHeight="1" s="176">
      <c r="A220" s="122" t="inlineStr">
        <is>
          <t>Cintura Jean + Largo Jean</t>
        </is>
      </c>
      <c r="B220" s="123" t="inlineStr">
        <is>
          <t>48 x 30</t>
        </is>
      </c>
      <c r="C220" s="123" t="inlineStr">
        <is>
          <t>48W / 30L</t>
        </is>
      </c>
      <c r="D220" s="122" t="inlineStr">
        <is>
          <t>Igual formato (largo 30)</t>
        </is>
      </c>
      <c r="E220" s="183" t="n"/>
      <c r="F220" s="84" t="n"/>
      <c r="G220" s="84" t="n"/>
      <c r="H220" s="117" t="n"/>
      <c r="I220" s="118" t="n"/>
      <c r="J220" s="118" t="n"/>
      <c r="K220" s="84" t="n"/>
      <c r="L220" s="84" t="n"/>
      <c r="M220" s="84" t="n"/>
      <c r="N220" s="84" t="n"/>
      <c r="O220" s="84" t="n"/>
      <c r="P220" s="84" t="n"/>
      <c r="Q220" s="84" t="n"/>
      <c r="R220" s="84" t="n"/>
      <c r="S220" s="102" t="n"/>
      <c r="T220" s="102" t="n"/>
      <c r="U220" s="102" t="n"/>
      <c r="V220" s="102" t="n"/>
      <c r="W220" s="102" t="n"/>
      <c r="X220" s="102" t="n"/>
      <c r="Y220" s="102" t="n"/>
      <c r="Z220" s="102" t="n"/>
      <c r="AA220" s="102" t="n"/>
      <c r="AB220" s="102" t="n"/>
      <c r="AC220" s="102" t="n"/>
      <c r="AD220" s="102">
        <f>IFERROR(__xludf.DUMMYFUNCTION("""COMPUTED_VALUE"""),"10.5 RM")</f>
        <v/>
      </c>
    </row>
    <row r="221" ht="16.5" customHeight="1" s="176">
      <c r="A221" s="122" t="inlineStr">
        <is>
          <t>Cintura Jean + Largo Jean</t>
        </is>
      </c>
      <c r="B221" s="123" t="inlineStr">
        <is>
          <t>50 x 30</t>
        </is>
      </c>
      <c r="C221" s="123" t="inlineStr">
        <is>
          <t>50W / 30L</t>
        </is>
      </c>
      <c r="D221" s="122" t="inlineStr">
        <is>
          <t>Igual formato (largo 30)</t>
        </is>
      </c>
      <c r="E221" s="183" t="n"/>
      <c r="F221" s="84" t="n"/>
      <c r="G221" s="84" t="n"/>
      <c r="H221" s="117" t="n"/>
      <c r="I221" s="118" t="n"/>
      <c r="J221" s="118" t="n"/>
      <c r="K221" s="84" t="n"/>
      <c r="L221" s="84" t="n"/>
      <c r="M221" s="84" t="n"/>
      <c r="N221" s="84" t="n"/>
      <c r="O221" s="84" t="n"/>
      <c r="P221" s="84" t="n"/>
      <c r="Q221" s="84" t="n"/>
      <c r="R221" s="84" t="n"/>
      <c r="S221" s="102" t="n"/>
      <c r="T221" s="102" t="n"/>
      <c r="U221" s="102" t="n"/>
      <c r="V221" s="102" t="n"/>
      <c r="W221" s="102" t="n"/>
      <c r="X221" s="102" t="n"/>
      <c r="Y221" s="102" t="n"/>
      <c r="Z221" s="102" t="n"/>
      <c r="AA221" s="102" t="n"/>
      <c r="AB221" s="102" t="n"/>
      <c r="AC221" s="102" t="n"/>
      <c r="AD221" s="102">
        <f>IFERROR(__xludf.DUMMYFUNCTION("""COMPUTED_VALUE"""),"10.5 RS")</f>
        <v/>
      </c>
    </row>
    <row r="222" ht="16.5" customHeight="1" s="176">
      <c r="A222" s="122" t="inlineStr">
        <is>
          <t>Cintura Jean + Largo Jean</t>
        </is>
      </c>
      <c r="B222" s="123" t="inlineStr">
        <is>
          <t>28 x 32</t>
        </is>
      </c>
      <c r="C222" s="123" t="inlineStr">
        <is>
          <t>28W / 32L</t>
        </is>
      </c>
      <c r="D222" s="122" t="inlineStr">
        <is>
          <t>Igual formato (largo 32)</t>
        </is>
      </c>
      <c r="E222" s="183" t="n"/>
      <c r="F222" s="84" t="n"/>
      <c r="G222" s="84" t="n"/>
      <c r="H222" s="117" t="n"/>
      <c r="I222" s="118" t="n"/>
      <c r="J222" s="118" t="n"/>
      <c r="K222" s="84" t="n"/>
      <c r="L222" s="84" t="n"/>
      <c r="M222" s="84" t="n"/>
      <c r="N222" s="84" t="n"/>
      <c r="O222" s="84" t="n"/>
      <c r="P222" s="84" t="n"/>
      <c r="Q222" s="84" t="n"/>
      <c r="R222" s="84" t="n"/>
      <c r="S222" s="102" t="n"/>
      <c r="T222" s="102" t="n"/>
      <c r="U222" s="102" t="n"/>
      <c r="V222" s="102" t="n"/>
      <c r="W222" s="102" t="n"/>
      <c r="X222" s="102" t="n"/>
      <c r="Y222" s="102" t="n"/>
      <c r="Z222" s="102" t="n"/>
      <c r="AA222" s="102" t="n"/>
      <c r="AB222" s="102" t="n"/>
      <c r="AC222" s="102" t="n"/>
      <c r="AD222" s="102">
        <f>IFERROR(__xludf.DUMMYFUNCTION("""COMPUTED_VALUE"""),"10.5 RT")</f>
        <v/>
      </c>
    </row>
    <row r="223" ht="16.5" customHeight="1" s="176">
      <c r="A223" s="122" t="inlineStr">
        <is>
          <t>Cintura Jean + Largo Jean</t>
        </is>
      </c>
      <c r="B223" s="123" t="inlineStr">
        <is>
          <t>29 x 32</t>
        </is>
      </c>
      <c r="C223" s="123" t="inlineStr">
        <is>
          <t>29W / 32L</t>
        </is>
      </c>
      <c r="D223" s="122" t="inlineStr">
        <is>
          <t>Igual formato (largo 32)</t>
        </is>
      </c>
      <c r="E223" s="183" t="n"/>
      <c r="F223" s="84" t="n"/>
      <c r="G223" s="84" t="n"/>
      <c r="H223" s="117" t="n"/>
      <c r="I223" s="118" t="n"/>
      <c r="J223" s="118" t="n"/>
      <c r="K223" s="84" t="n"/>
      <c r="L223" s="84" t="n"/>
      <c r="M223" s="84" t="n"/>
      <c r="N223" s="84" t="n"/>
      <c r="O223" s="84" t="n"/>
      <c r="P223" s="84" t="n"/>
      <c r="Q223" s="84" t="n"/>
      <c r="R223" s="84" t="n"/>
      <c r="S223" s="102" t="n"/>
      <c r="T223" s="102" t="n"/>
      <c r="U223" s="102" t="n"/>
      <c r="V223" s="102" t="n"/>
      <c r="W223" s="102" t="n"/>
      <c r="X223" s="102" t="n"/>
      <c r="Y223" s="102" t="n"/>
      <c r="Z223" s="102" t="n"/>
      <c r="AA223" s="102" t="n"/>
      <c r="AB223" s="102" t="n"/>
      <c r="AC223" s="102" t="n"/>
      <c r="AD223" s="102">
        <f>IFERROR(__xludf.DUMMYFUNCTION("""COMPUTED_VALUE"""),"10.5 SM")</f>
        <v/>
      </c>
    </row>
    <row r="224" ht="16.5" customHeight="1" s="176">
      <c r="A224" s="122" t="inlineStr">
        <is>
          <t>Cintura Jean + Largo Jean</t>
        </is>
      </c>
      <c r="B224" s="123" t="inlineStr">
        <is>
          <t>30 x 32</t>
        </is>
      </c>
      <c r="C224" s="123" t="inlineStr">
        <is>
          <t>30W / 32L</t>
        </is>
      </c>
      <c r="D224" s="122" t="inlineStr">
        <is>
          <t>Igual formato (largo 32)</t>
        </is>
      </c>
      <c r="E224" s="183" t="n"/>
      <c r="F224" s="84" t="n"/>
      <c r="G224" s="84" t="n"/>
      <c r="H224" s="117" t="n"/>
      <c r="I224" s="118" t="n"/>
      <c r="J224" s="118" t="n"/>
      <c r="K224" s="84" t="n"/>
      <c r="L224" s="84" t="n"/>
      <c r="M224" s="84" t="n"/>
      <c r="N224" s="84" t="n"/>
      <c r="O224" s="84" t="n"/>
      <c r="P224" s="84" t="n"/>
      <c r="Q224" s="84" t="n"/>
      <c r="R224" s="84" t="n"/>
      <c r="S224" s="102" t="n"/>
      <c r="T224" s="102" t="n"/>
      <c r="U224" s="102" t="n"/>
      <c r="V224" s="102" t="n"/>
      <c r="W224" s="102" t="n"/>
      <c r="X224" s="102" t="n"/>
      <c r="Y224" s="102" t="n"/>
      <c r="Z224" s="102" t="n"/>
      <c r="AA224" s="102" t="n"/>
      <c r="AB224" s="102" t="n"/>
      <c r="AC224" s="102" t="n"/>
      <c r="AD224" s="102">
        <f>IFERROR(__xludf.DUMMYFUNCTION("""COMPUTED_VALUE"""),"10.5 SS")</f>
        <v/>
      </c>
    </row>
    <row r="225" ht="16.5" customHeight="1" s="176">
      <c r="A225" s="122" t="inlineStr">
        <is>
          <t>Cintura Jean + Largo Jean</t>
        </is>
      </c>
      <c r="B225" s="123" t="inlineStr">
        <is>
          <t>31 x 32</t>
        </is>
      </c>
      <c r="C225" s="123" t="inlineStr">
        <is>
          <t>31W / 32L</t>
        </is>
      </c>
      <c r="D225" s="122" t="inlineStr">
        <is>
          <t>Igual formato (largo 32)</t>
        </is>
      </c>
      <c r="E225" s="183" t="n"/>
      <c r="F225" s="84" t="n"/>
      <c r="G225" s="84" t="n"/>
      <c r="H225" s="117" t="n"/>
      <c r="I225" s="118" t="n"/>
      <c r="J225" s="118" t="n"/>
      <c r="K225" s="84" t="n"/>
      <c r="L225" s="84" t="n"/>
      <c r="M225" s="84" t="n"/>
      <c r="N225" s="84" t="n"/>
      <c r="O225" s="84" t="n"/>
      <c r="P225" s="84" t="n"/>
      <c r="Q225" s="84" t="n"/>
      <c r="R225" s="84" t="n"/>
      <c r="S225" s="102" t="n"/>
      <c r="T225" s="102" t="n"/>
      <c r="U225" s="102" t="n"/>
      <c r="V225" s="102" t="n"/>
      <c r="W225" s="102" t="n"/>
      <c r="X225" s="102" t="n"/>
      <c r="Y225" s="102" t="n"/>
      <c r="Z225" s="102" t="n"/>
      <c r="AA225" s="102" t="n"/>
      <c r="AB225" s="102" t="n"/>
      <c r="AC225" s="102" t="n"/>
      <c r="AD225" s="102">
        <f>IFERROR(__xludf.DUMMYFUNCTION("""COMPUTED_VALUE"""),"10.5 ST")</f>
        <v/>
      </c>
    </row>
    <row r="226" ht="16.5" customHeight="1" s="176">
      <c r="A226" s="122" t="inlineStr">
        <is>
          <t>Cintura Jean + Largo Jean</t>
        </is>
      </c>
      <c r="B226" s="123" t="inlineStr">
        <is>
          <t>32 x 32</t>
        </is>
      </c>
      <c r="C226" s="123" t="inlineStr">
        <is>
          <t>32W / 32L</t>
        </is>
      </c>
      <c r="D226" s="122" t="inlineStr">
        <is>
          <t>Igual formato (largo 32)</t>
        </is>
      </c>
      <c r="E226" s="183" t="n"/>
      <c r="F226" s="84" t="n"/>
      <c r="G226" s="84" t="n"/>
      <c r="H226" s="117" t="n"/>
      <c r="I226" s="118" t="n"/>
      <c r="J226" s="118" t="n"/>
      <c r="K226" s="84" t="n"/>
      <c r="L226" s="84" t="n"/>
      <c r="M226" s="84" t="n"/>
      <c r="N226" s="84" t="n"/>
      <c r="O226" s="84" t="n"/>
      <c r="P226" s="84" t="n"/>
      <c r="Q226" s="84" t="n"/>
      <c r="R226" s="84" t="n"/>
      <c r="S226" s="102" t="n"/>
      <c r="T226" s="102" t="n"/>
      <c r="U226" s="102" t="n"/>
      <c r="V226" s="102" t="n"/>
      <c r="W226" s="102" t="n"/>
      <c r="X226" s="102" t="n"/>
      <c r="Y226" s="102" t="n"/>
      <c r="Z226" s="102" t="n"/>
      <c r="AA226" s="102" t="n"/>
      <c r="AB226" s="102" t="n"/>
      <c r="AC226" s="102" t="n"/>
      <c r="AD226" s="102">
        <f>IFERROR(__xludf.DUMMYFUNCTION("""COMPUTED_VALUE"""),"11 B")</f>
        <v/>
      </c>
    </row>
    <row r="227" ht="16.5" customHeight="1" s="176">
      <c r="A227" s="122" t="inlineStr">
        <is>
          <t>Cintura Jean + Largo Jean</t>
        </is>
      </c>
      <c r="B227" s="123" t="inlineStr">
        <is>
          <t>33 x 32</t>
        </is>
      </c>
      <c r="C227" s="123" t="inlineStr">
        <is>
          <t>33W / 32L</t>
        </is>
      </c>
      <c r="D227" s="122" t="inlineStr">
        <is>
          <t>Igual formato (largo 32)</t>
        </is>
      </c>
      <c r="E227" s="183" t="n"/>
      <c r="F227" s="84" t="n"/>
      <c r="G227" s="84" t="n"/>
      <c r="H227" s="117" t="n"/>
      <c r="I227" s="118" t="n"/>
      <c r="J227" s="118" t="n"/>
      <c r="K227" s="84" t="n"/>
      <c r="L227" s="84" t="n"/>
      <c r="M227" s="84" t="n"/>
      <c r="N227" s="84" t="n"/>
      <c r="O227" s="84" t="n"/>
      <c r="P227" s="84" t="n"/>
      <c r="Q227" s="84" t="n"/>
      <c r="R227" s="84" t="n"/>
      <c r="S227" s="102" t="n"/>
      <c r="T227" s="102" t="n"/>
      <c r="U227" s="102" t="n"/>
      <c r="V227" s="102" t="n"/>
      <c r="W227" s="102" t="n"/>
      <c r="X227" s="102" t="n"/>
      <c r="Y227" s="102" t="n"/>
      <c r="Z227" s="102" t="n"/>
      <c r="AA227" s="102" t="n"/>
      <c r="AB227" s="102" t="n"/>
      <c r="AC227" s="102" t="n"/>
      <c r="AD227" s="102">
        <f>IFERROR(__xludf.DUMMYFUNCTION("""COMPUTED_VALUE"""),"11 D")</f>
        <v/>
      </c>
    </row>
    <row r="228" ht="16.5" customHeight="1" s="176">
      <c r="A228" s="122" t="inlineStr">
        <is>
          <t>Cintura Jean + Largo Jean</t>
        </is>
      </c>
      <c r="B228" s="123" t="inlineStr">
        <is>
          <t>34 x 32</t>
        </is>
      </c>
      <c r="C228" s="123" t="inlineStr">
        <is>
          <t>34W / 32L</t>
        </is>
      </c>
      <c r="D228" s="122" t="inlineStr">
        <is>
          <t>Igual formato (largo 32)</t>
        </is>
      </c>
      <c r="E228" s="183" t="n"/>
      <c r="F228" s="84" t="n"/>
      <c r="G228" s="84" t="n"/>
      <c r="H228" s="117" t="n"/>
      <c r="I228" s="118" t="n"/>
      <c r="J228" s="118" t="n"/>
      <c r="K228" s="84" t="n"/>
      <c r="L228" s="84" t="n"/>
      <c r="M228" s="84" t="n"/>
      <c r="N228" s="84" t="n"/>
      <c r="O228" s="84" t="n"/>
      <c r="P228" s="84" t="n"/>
      <c r="Q228" s="84" t="n"/>
      <c r="R228" s="84" t="n"/>
      <c r="S228" s="102" t="n"/>
      <c r="T228" s="102" t="n"/>
      <c r="U228" s="102" t="n"/>
      <c r="V228" s="102" t="n"/>
      <c r="W228" s="102" t="n"/>
      <c r="X228" s="102" t="n"/>
      <c r="Y228" s="102" t="n"/>
      <c r="Z228" s="102" t="n"/>
      <c r="AA228" s="102" t="n"/>
      <c r="AB228" s="102" t="n"/>
      <c r="AC228" s="102" t="n"/>
      <c r="AD228" s="102">
        <f>IFERROR(__xludf.DUMMYFUNCTION("""COMPUTED_VALUE"""),"11 EE")</f>
        <v/>
      </c>
    </row>
    <row r="229" ht="16.5" customHeight="1" s="176">
      <c r="A229" s="122" t="inlineStr">
        <is>
          <t>Cintura Jean + Largo Jean</t>
        </is>
      </c>
      <c r="B229" s="123" t="inlineStr">
        <is>
          <t>35 x 32</t>
        </is>
      </c>
      <c r="C229" s="123" t="inlineStr">
        <is>
          <t>35W / 32L</t>
        </is>
      </c>
      <c r="D229" s="122" t="inlineStr">
        <is>
          <t>Igual formato (largo 32)</t>
        </is>
      </c>
      <c r="E229" s="183" t="n"/>
      <c r="F229" s="84" t="n"/>
      <c r="G229" s="84" t="n"/>
      <c r="H229" s="117" t="n"/>
      <c r="I229" s="118" t="n"/>
      <c r="J229" s="118" t="n"/>
      <c r="K229" s="84" t="n"/>
      <c r="L229" s="84" t="n"/>
      <c r="M229" s="84" t="n"/>
      <c r="N229" s="84" t="n"/>
      <c r="O229" s="84" t="n"/>
      <c r="P229" s="84" t="n"/>
      <c r="Q229" s="84" t="n"/>
      <c r="R229" s="84" t="n"/>
      <c r="S229" s="102" t="n"/>
      <c r="T229" s="102" t="n"/>
      <c r="U229" s="102" t="n"/>
      <c r="V229" s="102" t="n"/>
      <c r="W229" s="102" t="n"/>
      <c r="X229" s="102" t="n"/>
      <c r="Y229" s="102" t="n"/>
      <c r="Z229" s="102" t="n"/>
      <c r="AA229" s="102" t="n"/>
      <c r="AB229" s="102" t="n"/>
      <c r="AC229" s="102" t="n"/>
      <c r="AD229" s="102">
        <f>IFERROR(__xludf.DUMMYFUNCTION("""COMPUTED_VALUE"""),"11 FM")</f>
        <v/>
      </c>
    </row>
    <row r="230" ht="16.5" customHeight="1" s="176">
      <c r="A230" s="122" t="inlineStr">
        <is>
          <t>Cintura Jean + Largo Jean</t>
        </is>
      </c>
      <c r="B230" s="123" t="inlineStr">
        <is>
          <t>36 x 32</t>
        </is>
      </c>
      <c r="C230" s="123" t="inlineStr">
        <is>
          <t>36W / 32L</t>
        </is>
      </c>
      <c r="D230" s="122" t="inlineStr">
        <is>
          <t>Igual formato (largo 32)</t>
        </is>
      </c>
      <c r="E230" s="183" t="n"/>
      <c r="F230" s="84" t="n"/>
      <c r="G230" s="84" t="n"/>
      <c r="H230" s="117" t="n"/>
      <c r="I230" s="118" t="n"/>
      <c r="J230" s="118" t="n"/>
      <c r="K230" s="84" t="n"/>
      <c r="L230" s="84" t="n"/>
      <c r="M230" s="84" t="n"/>
      <c r="N230" s="84" t="n"/>
      <c r="O230" s="84" t="n"/>
      <c r="P230" s="84" t="n"/>
      <c r="Q230" s="84" t="n"/>
      <c r="R230" s="84" t="n"/>
      <c r="S230" s="102" t="n"/>
      <c r="T230" s="102" t="n"/>
      <c r="U230" s="102" t="n"/>
      <c r="V230" s="102" t="n"/>
      <c r="W230" s="102" t="n"/>
      <c r="X230" s="102" t="n"/>
      <c r="Y230" s="102" t="n"/>
      <c r="Z230" s="102" t="n"/>
      <c r="AA230" s="102" t="n"/>
      <c r="AB230" s="102" t="n"/>
      <c r="AC230" s="102" t="n"/>
      <c r="AD230" s="102">
        <f>IFERROR(__xludf.DUMMYFUNCTION("""COMPUTED_VALUE"""),"11 FS")</f>
        <v/>
      </c>
    </row>
    <row r="231" ht="16.5" customHeight="1" s="176">
      <c r="A231" s="122" t="inlineStr">
        <is>
          <t>Cintura Jean + Largo Jean</t>
        </is>
      </c>
      <c r="B231" s="123" t="inlineStr">
        <is>
          <t>38 x 32</t>
        </is>
      </c>
      <c r="C231" s="123" t="inlineStr">
        <is>
          <t>38W / 32L</t>
        </is>
      </c>
      <c r="D231" s="122" t="inlineStr">
        <is>
          <t>Igual formato (largo 32)</t>
        </is>
      </c>
      <c r="E231" s="183" t="n"/>
      <c r="F231" s="84" t="n"/>
      <c r="G231" s="84" t="n"/>
      <c r="H231" s="117" t="n"/>
      <c r="I231" s="118" t="n"/>
      <c r="J231" s="118" t="n"/>
      <c r="K231" s="84" t="n"/>
      <c r="L231" s="84" t="n"/>
      <c r="M231" s="84" t="n"/>
      <c r="N231" s="84" t="n"/>
      <c r="O231" s="84" t="n"/>
      <c r="P231" s="84" t="n"/>
      <c r="Q231" s="84" t="n"/>
      <c r="R231" s="84" t="n"/>
      <c r="S231" s="102" t="n"/>
      <c r="T231" s="102" t="n"/>
      <c r="U231" s="102" t="n"/>
      <c r="V231" s="102" t="n"/>
      <c r="W231" s="102" t="n"/>
      <c r="X231" s="102" t="n"/>
      <c r="Y231" s="102" t="n"/>
      <c r="Z231" s="102" t="n"/>
      <c r="AA231" s="102" t="n"/>
      <c r="AB231" s="102" t="n"/>
      <c r="AC231" s="102" t="n"/>
      <c r="AD231" s="102">
        <f>IFERROR(__xludf.DUMMYFUNCTION("""COMPUTED_VALUE"""),"11 RM")</f>
        <v/>
      </c>
    </row>
    <row r="232" ht="16.5" customHeight="1" s="176">
      <c r="A232" s="122" t="inlineStr">
        <is>
          <t>Cintura Jean + Largo Jean</t>
        </is>
      </c>
      <c r="B232" s="123" t="inlineStr">
        <is>
          <t>40 x 32</t>
        </is>
      </c>
      <c r="C232" s="123" t="inlineStr">
        <is>
          <t>40W / 32L</t>
        </is>
      </c>
      <c r="D232" s="122" t="inlineStr">
        <is>
          <t>Igual formato (largo 32)</t>
        </is>
      </c>
      <c r="E232" s="183" t="n"/>
      <c r="F232" s="84" t="n"/>
      <c r="G232" s="84" t="n"/>
      <c r="H232" s="117" t="n"/>
      <c r="I232" s="118" t="n"/>
      <c r="J232" s="118" t="n"/>
      <c r="K232" s="84" t="n"/>
      <c r="L232" s="84" t="n"/>
      <c r="M232" s="84" t="n"/>
      <c r="N232" s="84" t="n"/>
      <c r="O232" s="84" t="n"/>
      <c r="P232" s="84" t="n"/>
      <c r="Q232" s="84" t="n"/>
      <c r="R232" s="84" t="n"/>
      <c r="S232" s="102" t="n"/>
      <c r="T232" s="102" t="n"/>
      <c r="U232" s="102" t="n"/>
      <c r="V232" s="102" t="n"/>
      <c r="W232" s="102" t="n"/>
      <c r="X232" s="102" t="n"/>
      <c r="Y232" s="102" t="n"/>
      <c r="Z232" s="102" t="n"/>
      <c r="AA232" s="102" t="n"/>
      <c r="AB232" s="102" t="n"/>
      <c r="AC232" s="102" t="n"/>
      <c r="AD232" s="102">
        <f>IFERROR(__xludf.DUMMYFUNCTION("""COMPUTED_VALUE"""),"11 RS")</f>
        <v/>
      </c>
    </row>
    <row r="233" ht="16.5" customHeight="1" s="176">
      <c r="A233" s="122" t="inlineStr">
        <is>
          <t>Cintura Jean + Largo Jean</t>
        </is>
      </c>
      <c r="B233" s="123" t="inlineStr">
        <is>
          <t>42 x 32</t>
        </is>
      </c>
      <c r="C233" s="123" t="inlineStr">
        <is>
          <t>42W / 32L</t>
        </is>
      </c>
      <c r="D233" s="122" t="inlineStr">
        <is>
          <t>Igual formato (largo 32)</t>
        </is>
      </c>
      <c r="E233" s="183" t="n"/>
      <c r="F233" s="84" t="n"/>
      <c r="G233" s="84" t="n"/>
      <c r="H233" s="117" t="n"/>
      <c r="I233" s="118" t="n"/>
      <c r="J233" s="118" t="n"/>
      <c r="K233" s="84" t="n"/>
      <c r="L233" s="84" t="n"/>
      <c r="M233" s="84" t="n"/>
      <c r="N233" s="84" t="n"/>
      <c r="O233" s="84" t="n"/>
      <c r="P233" s="84" t="n"/>
      <c r="Q233" s="84" t="n"/>
      <c r="R233" s="84" t="n"/>
      <c r="S233" s="102" t="n"/>
      <c r="T233" s="102" t="n"/>
      <c r="U233" s="102" t="n"/>
      <c r="V233" s="102" t="n"/>
      <c r="W233" s="102" t="n"/>
      <c r="X233" s="102" t="n"/>
      <c r="Y233" s="102" t="n"/>
      <c r="Z233" s="102" t="n"/>
      <c r="AA233" s="102" t="n"/>
      <c r="AB233" s="102" t="n"/>
      <c r="AC233" s="102" t="n"/>
      <c r="AD233" s="102">
        <f>IFERROR(__xludf.DUMMYFUNCTION("""COMPUTED_VALUE"""),"11 RT")</f>
        <v/>
      </c>
    </row>
    <row r="234" ht="16.5" customHeight="1" s="176">
      <c r="A234" s="122" t="inlineStr">
        <is>
          <t>Cintura Jean + Largo Jean</t>
        </is>
      </c>
      <c r="B234" s="123" t="inlineStr">
        <is>
          <t>44 x 32</t>
        </is>
      </c>
      <c r="C234" s="123" t="inlineStr">
        <is>
          <t>44W / 32L</t>
        </is>
      </c>
      <c r="D234" s="122" t="inlineStr">
        <is>
          <t>Igual formato (largo 32)</t>
        </is>
      </c>
      <c r="E234" s="183" t="n"/>
      <c r="F234" s="84" t="n"/>
      <c r="G234" s="84" t="n"/>
      <c r="H234" s="117" t="n"/>
      <c r="I234" s="118" t="n"/>
      <c r="J234" s="118" t="n"/>
      <c r="K234" s="84" t="n"/>
      <c r="L234" s="84" t="n"/>
      <c r="M234" s="84" t="n"/>
      <c r="N234" s="84" t="n"/>
      <c r="O234" s="84" t="n"/>
      <c r="P234" s="84" t="n"/>
      <c r="Q234" s="84" t="n"/>
      <c r="R234" s="84" t="n"/>
      <c r="S234" s="102" t="n"/>
      <c r="T234" s="102" t="n"/>
      <c r="U234" s="102" t="n"/>
      <c r="V234" s="102" t="n"/>
      <c r="W234" s="102" t="n"/>
      <c r="X234" s="102" t="n"/>
      <c r="Y234" s="102" t="n"/>
      <c r="Z234" s="102" t="n"/>
      <c r="AA234" s="102" t="n"/>
      <c r="AB234" s="102" t="n"/>
      <c r="AC234" s="102" t="n"/>
      <c r="AD234" s="102">
        <f>IFERROR(__xludf.DUMMYFUNCTION("""COMPUTED_VALUE"""),"11 SM")</f>
        <v/>
      </c>
    </row>
    <row r="235" ht="16.5" customHeight="1" s="176">
      <c r="A235" s="122" t="inlineStr">
        <is>
          <t>Cintura Jean + Largo Jean</t>
        </is>
      </c>
      <c r="B235" s="123" t="inlineStr">
        <is>
          <t>46 x 32</t>
        </is>
      </c>
      <c r="C235" s="123" t="inlineStr">
        <is>
          <t>46W / 32L</t>
        </is>
      </c>
      <c r="D235" s="122" t="inlineStr">
        <is>
          <t>Igual formato (largo 32)</t>
        </is>
      </c>
      <c r="E235" s="183" t="n"/>
      <c r="F235" s="84" t="n"/>
      <c r="G235" s="84" t="n"/>
      <c r="H235" s="117" t="n"/>
      <c r="I235" s="118" t="n"/>
      <c r="J235" s="118" t="n"/>
      <c r="K235" s="84" t="n"/>
      <c r="L235" s="84" t="n"/>
      <c r="M235" s="84" t="n"/>
      <c r="N235" s="84" t="n"/>
      <c r="O235" s="84" t="n"/>
      <c r="P235" s="84" t="n"/>
      <c r="Q235" s="84" t="n"/>
      <c r="R235" s="84" t="n"/>
      <c r="S235" s="102" t="n"/>
      <c r="T235" s="102" t="n"/>
      <c r="U235" s="102" t="n"/>
      <c r="V235" s="102" t="n"/>
      <c r="W235" s="102" t="n"/>
      <c r="X235" s="102" t="n"/>
      <c r="Y235" s="102" t="n"/>
      <c r="Z235" s="102" t="n"/>
      <c r="AA235" s="102" t="n"/>
      <c r="AB235" s="102" t="n"/>
      <c r="AC235" s="102" t="n"/>
      <c r="AD235" s="102">
        <f>IFERROR(__xludf.DUMMYFUNCTION("""COMPUTED_VALUE"""),"11 SS")</f>
        <v/>
      </c>
    </row>
    <row r="236" ht="16.5" customHeight="1" s="176">
      <c r="A236" s="122" t="inlineStr">
        <is>
          <t>Cintura Jean + Largo Jean</t>
        </is>
      </c>
      <c r="B236" s="123" t="inlineStr">
        <is>
          <t>48 x 32</t>
        </is>
      </c>
      <c r="C236" s="123" t="inlineStr">
        <is>
          <t>48W / 32L</t>
        </is>
      </c>
      <c r="D236" s="122" t="inlineStr">
        <is>
          <t>Igual formato (largo 32)</t>
        </is>
      </c>
      <c r="E236" s="183" t="n"/>
      <c r="F236" s="84" t="n"/>
      <c r="G236" s="84" t="n"/>
      <c r="H236" s="117" t="n"/>
      <c r="I236" s="118" t="n"/>
      <c r="J236" s="118" t="n"/>
      <c r="K236" s="84" t="n"/>
      <c r="L236" s="84" t="n"/>
      <c r="M236" s="84" t="n"/>
      <c r="N236" s="84" t="n"/>
      <c r="O236" s="84" t="n"/>
      <c r="P236" s="84" t="n"/>
      <c r="Q236" s="84" t="n"/>
      <c r="R236" s="84" t="n"/>
      <c r="S236" s="102" t="n"/>
      <c r="T236" s="102" t="n"/>
      <c r="U236" s="102" t="n"/>
      <c r="V236" s="102" t="n"/>
      <c r="W236" s="102" t="n"/>
      <c r="X236" s="102" t="n"/>
      <c r="Y236" s="102" t="n"/>
      <c r="Z236" s="102" t="n"/>
      <c r="AA236" s="102" t="n"/>
      <c r="AB236" s="102" t="n"/>
      <c r="AC236" s="102" t="n"/>
      <c r="AD236" s="102">
        <f>IFERROR(__xludf.DUMMYFUNCTION("""COMPUTED_VALUE"""),"11 ST")</f>
        <v/>
      </c>
    </row>
    <row r="237" ht="16.5" customHeight="1" s="176">
      <c r="A237" s="122" t="inlineStr">
        <is>
          <t>Cintura Jean + Largo Jean</t>
        </is>
      </c>
      <c r="B237" s="123" t="inlineStr">
        <is>
          <t>50 x 32</t>
        </is>
      </c>
      <c r="C237" s="123" t="inlineStr">
        <is>
          <t>50W / 32L</t>
        </is>
      </c>
      <c r="D237" s="122" t="inlineStr">
        <is>
          <t>Igual formato (largo 32)</t>
        </is>
      </c>
      <c r="E237" s="183" t="n"/>
      <c r="F237" s="84" t="n"/>
      <c r="G237" s="84" t="n"/>
      <c r="H237" s="117" t="n"/>
      <c r="I237" s="118" t="n"/>
      <c r="J237" s="118" t="n"/>
      <c r="K237" s="84" t="n"/>
      <c r="L237" s="84" t="n"/>
      <c r="M237" s="84" t="n"/>
      <c r="N237" s="84" t="n"/>
      <c r="O237" s="84" t="n"/>
      <c r="P237" s="84" t="n"/>
      <c r="Q237" s="84" t="n"/>
      <c r="R237" s="84" t="n"/>
      <c r="S237" s="102" t="n"/>
      <c r="T237" s="102" t="n"/>
      <c r="U237" s="102" t="n"/>
      <c r="V237" s="102" t="n"/>
      <c r="W237" s="102" t="n"/>
      <c r="X237" s="102" t="n"/>
      <c r="Y237" s="102" t="n"/>
      <c r="Z237" s="102" t="n"/>
      <c r="AA237" s="102" t="n"/>
      <c r="AB237" s="102" t="n"/>
      <c r="AC237" s="102" t="n"/>
      <c r="AD237" s="102">
        <f>IFERROR(__xludf.DUMMYFUNCTION("""COMPUTED_VALUE"""),"11.5 B")</f>
        <v/>
      </c>
    </row>
    <row r="238" ht="16.5" customHeight="1" s="176">
      <c r="A238" s="122" t="inlineStr">
        <is>
          <t>Cintura Jean + Largo Jean</t>
        </is>
      </c>
      <c r="B238" s="123" t="inlineStr">
        <is>
          <t>28 x 34</t>
        </is>
      </c>
      <c r="C238" s="123" t="inlineStr">
        <is>
          <t>28W / 34L</t>
        </is>
      </c>
      <c r="D238" s="122" t="inlineStr">
        <is>
          <t>Igual formato (largo 34)</t>
        </is>
      </c>
      <c r="E238" s="183" t="n"/>
      <c r="F238" s="84" t="n"/>
      <c r="G238" s="84" t="n"/>
      <c r="H238" s="117" t="n"/>
      <c r="I238" s="118" t="n"/>
      <c r="J238" s="118" t="n"/>
      <c r="K238" s="84" t="n"/>
      <c r="L238" s="84" t="n"/>
      <c r="M238" s="84" t="n"/>
      <c r="N238" s="84" t="n"/>
      <c r="O238" s="84" t="n"/>
      <c r="P238" s="84" t="n"/>
      <c r="Q238" s="84" t="n"/>
      <c r="R238" s="84" t="n"/>
      <c r="S238" s="102" t="n"/>
      <c r="T238" s="102" t="n"/>
      <c r="U238" s="102" t="n"/>
      <c r="V238" s="102" t="n"/>
      <c r="W238" s="102" t="n"/>
      <c r="X238" s="102" t="n"/>
      <c r="Y238" s="102" t="n"/>
      <c r="Z238" s="102" t="n"/>
      <c r="AA238" s="102" t="n"/>
      <c r="AB238" s="102" t="n"/>
      <c r="AC238" s="102" t="n"/>
      <c r="AD238" s="102">
        <f>IFERROR(__xludf.DUMMYFUNCTION("""COMPUTED_VALUE"""),"11.5 D")</f>
        <v/>
      </c>
    </row>
    <row r="239" ht="16.5" customHeight="1" s="176">
      <c r="A239" s="122" t="inlineStr">
        <is>
          <t>Cintura Jean + Largo Jean</t>
        </is>
      </c>
      <c r="B239" s="123" t="inlineStr">
        <is>
          <t>29 x 34</t>
        </is>
      </c>
      <c r="C239" s="123" t="inlineStr">
        <is>
          <t>29W / 34L</t>
        </is>
      </c>
      <c r="D239" s="122" t="inlineStr">
        <is>
          <t>Igual formato (largo 34)</t>
        </is>
      </c>
      <c r="E239" s="183" t="n"/>
      <c r="F239" s="84" t="n"/>
      <c r="G239" s="84" t="n"/>
      <c r="H239" s="117" t="n"/>
      <c r="I239" s="118" t="n"/>
      <c r="J239" s="118" t="n"/>
      <c r="K239" s="84" t="n"/>
      <c r="L239" s="84" t="n"/>
      <c r="M239" s="84" t="n"/>
      <c r="N239" s="84" t="n"/>
      <c r="O239" s="84" t="n"/>
      <c r="P239" s="84" t="n"/>
      <c r="Q239" s="84" t="n"/>
      <c r="R239" s="84" t="n"/>
      <c r="S239" s="102" t="n"/>
      <c r="T239" s="102" t="n"/>
      <c r="U239" s="102" t="n"/>
      <c r="V239" s="102" t="n"/>
      <c r="W239" s="102" t="n"/>
      <c r="X239" s="102" t="n"/>
      <c r="Y239" s="102" t="n"/>
      <c r="Z239" s="102" t="n"/>
      <c r="AA239" s="102" t="n"/>
      <c r="AB239" s="102" t="n"/>
      <c r="AC239" s="102" t="n"/>
      <c r="AD239" s="102">
        <f>IFERROR(__xludf.DUMMYFUNCTION("""COMPUTED_VALUE"""),"11.5 EE")</f>
        <v/>
      </c>
    </row>
    <row r="240" ht="16.5" customHeight="1" s="176">
      <c r="A240" s="122" t="inlineStr">
        <is>
          <t>Cintura Jean + Largo Jean</t>
        </is>
      </c>
      <c r="B240" s="123" t="inlineStr">
        <is>
          <t>30 x 34</t>
        </is>
      </c>
      <c r="C240" s="123" t="inlineStr">
        <is>
          <t>30W / 34L</t>
        </is>
      </c>
      <c r="D240" s="122" t="inlineStr">
        <is>
          <t>Igual formato (largo 34)</t>
        </is>
      </c>
      <c r="E240" s="183" t="n"/>
      <c r="F240" s="84" t="n"/>
      <c r="G240" s="84" t="n"/>
      <c r="H240" s="117" t="n"/>
      <c r="I240" s="118" t="n"/>
      <c r="J240" s="118" t="n"/>
      <c r="K240" s="84" t="n"/>
      <c r="L240" s="84" t="n"/>
      <c r="M240" s="84" t="n"/>
      <c r="N240" s="84" t="n"/>
      <c r="O240" s="84" t="n"/>
      <c r="P240" s="84" t="n"/>
      <c r="Q240" s="84" t="n"/>
      <c r="R240" s="84" t="n"/>
      <c r="S240" s="102" t="n"/>
      <c r="T240" s="102" t="n"/>
      <c r="U240" s="102" t="n"/>
      <c r="V240" s="102" t="n"/>
      <c r="W240" s="102" t="n"/>
      <c r="X240" s="102" t="n"/>
      <c r="Y240" s="102" t="n"/>
      <c r="Z240" s="102" t="n"/>
      <c r="AA240" s="102" t="n"/>
      <c r="AB240" s="102" t="n"/>
      <c r="AC240" s="102" t="n"/>
      <c r="AD240" s="102">
        <f>IFERROR(__xludf.DUMMYFUNCTION("""COMPUTED_VALUE"""),"11.5 FM")</f>
        <v/>
      </c>
    </row>
    <row r="241" ht="16.5" customHeight="1" s="176">
      <c r="A241" s="122" t="inlineStr">
        <is>
          <t>Cintura Jean + Largo Jean</t>
        </is>
      </c>
      <c r="B241" s="123" t="inlineStr">
        <is>
          <t>31 x 34</t>
        </is>
      </c>
      <c r="C241" s="123" t="inlineStr">
        <is>
          <t>31W / 34L</t>
        </is>
      </c>
      <c r="D241" s="122" t="inlineStr">
        <is>
          <t>Igual formato (largo 34)</t>
        </is>
      </c>
      <c r="E241" s="183" t="n"/>
      <c r="F241" s="84" t="n"/>
      <c r="G241" s="84" t="n"/>
      <c r="H241" s="117" t="n"/>
      <c r="I241" s="118" t="n"/>
      <c r="J241" s="118" t="n"/>
      <c r="K241" s="84" t="n"/>
      <c r="L241" s="84" t="n"/>
      <c r="M241" s="84" t="n"/>
      <c r="N241" s="84" t="n"/>
      <c r="O241" s="84" t="n"/>
      <c r="P241" s="84" t="n"/>
      <c r="Q241" s="84" t="n"/>
      <c r="R241" s="84" t="n"/>
      <c r="S241" s="102" t="n"/>
      <c r="T241" s="102" t="n"/>
      <c r="U241" s="102" t="n"/>
      <c r="V241" s="102" t="n"/>
      <c r="W241" s="102" t="n"/>
      <c r="X241" s="102" t="n"/>
      <c r="Y241" s="102" t="n"/>
      <c r="Z241" s="102" t="n"/>
      <c r="AA241" s="102" t="n"/>
      <c r="AB241" s="102" t="n"/>
      <c r="AC241" s="102" t="n"/>
      <c r="AD241" s="102">
        <f>IFERROR(__xludf.DUMMYFUNCTION("""COMPUTED_VALUE"""),"11.5 FS")</f>
        <v/>
      </c>
    </row>
    <row r="242" ht="16.5" customHeight="1" s="176">
      <c r="A242" s="122" t="inlineStr">
        <is>
          <t>Cintura Jean + Largo Jean</t>
        </is>
      </c>
      <c r="B242" s="123" t="inlineStr">
        <is>
          <t>32 x 34</t>
        </is>
      </c>
      <c r="C242" s="123" t="inlineStr">
        <is>
          <t>32W / 34L</t>
        </is>
      </c>
      <c r="D242" s="122" t="inlineStr">
        <is>
          <t>Igual formato (largo 34)</t>
        </is>
      </c>
      <c r="E242" s="183" t="n"/>
      <c r="F242" s="84" t="n"/>
      <c r="G242" s="84" t="n"/>
      <c r="H242" s="117" t="n"/>
      <c r="I242" s="118" t="n"/>
      <c r="J242" s="118" t="n"/>
      <c r="K242" s="84" t="n"/>
      <c r="L242" s="84" t="n"/>
      <c r="M242" s="84" t="n"/>
      <c r="N242" s="84" t="n"/>
      <c r="O242" s="84" t="n"/>
      <c r="P242" s="84" t="n"/>
      <c r="Q242" s="84" t="n"/>
      <c r="R242" s="84" t="n"/>
      <c r="S242" s="102" t="n"/>
      <c r="T242" s="102" t="n"/>
      <c r="U242" s="102" t="n"/>
      <c r="V242" s="102" t="n"/>
      <c r="W242" s="102" t="n"/>
      <c r="X242" s="102" t="n"/>
      <c r="Y242" s="102" t="n"/>
      <c r="Z242" s="102" t="n"/>
      <c r="AA242" s="102" t="n"/>
      <c r="AB242" s="102" t="n"/>
      <c r="AC242" s="102" t="n"/>
      <c r="AD242" s="102">
        <f>IFERROR(__xludf.DUMMYFUNCTION("""COMPUTED_VALUE"""),"11.5 RM")</f>
        <v/>
      </c>
    </row>
    <row r="243" ht="16.5" customHeight="1" s="176">
      <c r="A243" s="122" t="inlineStr">
        <is>
          <t>Cintura Jean + Largo Jean</t>
        </is>
      </c>
      <c r="B243" s="123" t="inlineStr">
        <is>
          <t>33 x 34</t>
        </is>
      </c>
      <c r="C243" s="123" t="inlineStr">
        <is>
          <t>33W / 34L</t>
        </is>
      </c>
      <c r="D243" s="122" t="inlineStr">
        <is>
          <t>Igual formato (largo 34)</t>
        </is>
      </c>
      <c r="E243" s="183" t="n"/>
      <c r="F243" s="84" t="n"/>
      <c r="G243" s="84" t="n"/>
      <c r="H243" s="117" t="n"/>
      <c r="I243" s="118" t="n"/>
      <c r="J243" s="118" t="n"/>
      <c r="K243" s="84" t="n"/>
      <c r="L243" s="84" t="n"/>
      <c r="M243" s="84" t="n"/>
      <c r="N243" s="84" t="n"/>
      <c r="O243" s="84" t="n"/>
      <c r="P243" s="84" t="n"/>
      <c r="Q243" s="84" t="n"/>
      <c r="R243" s="84" t="n"/>
      <c r="S243" s="102" t="n"/>
      <c r="T243" s="102" t="n"/>
      <c r="U243" s="102" t="n"/>
      <c r="V243" s="102" t="n"/>
      <c r="W243" s="102" t="n"/>
      <c r="X243" s="102" t="n"/>
      <c r="Y243" s="102" t="n"/>
      <c r="Z243" s="102" t="n"/>
      <c r="AA243" s="102" t="n"/>
      <c r="AB243" s="102" t="n"/>
      <c r="AC243" s="102" t="n"/>
      <c r="AD243" s="102">
        <f>IFERROR(__xludf.DUMMYFUNCTION("""COMPUTED_VALUE"""),"11.5 RS")</f>
        <v/>
      </c>
    </row>
    <row r="244" ht="16.5" customHeight="1" s="176">
      <c r="A244" s="122" t="inlineStr">
        <is>
          <t>Cintura Jean + Largo Jean</t>
        </is>
      </c>
      <c r="B244" s="123" t="inlineStr">
        <is>
          <t>34 x 34</t>
        </is>
      </c>
      <c r="C244" s="123" t="inlineStr">
        <is>
          <t>34W / 34L</t>
        </is>
      </c>
      <c r="D244" s="122" t="inlineStr">
        <is>
          <t>Igual formato (largo 34)</t>
        </is>
      </c>
      <c r="E244" s="183" t="n"/>
      <c r="F244" s="84" t="n"/>
      <c r="G244" s="84" t="n"/>
      <c r="H244" s="117" t="n"/>
      <c r="I244" s="118" t="n"/>
      <c r="J244" s="118" t="n"/>
      <c r="K244" s="84" t="n"/>
      <c r="L244" s="84" t="n"/>
      <c r="M244" s="84" t="n"/>
      <c r="N244" s="84" t="n"/>
      <c r="O244" s="84" t="n"/>
      <c r="P244" s="84" t="n"/>
      <c r="Q244" s="84" t="n"/>
      <c r="R244" s="84" t="n"/>
      <c r="S244" s="102" t="n"/>
      <c r="T244" s="102" t="n"/>
      <c r="U244" s="102" t="n"/>
      <c r="V244" s="102" t="n"/>
      <c r="W244" s="102" t="n"/>
      <c r="X244" s="102" t="n"/>
      <c r="Y244" s="102" t="n"/>
      <c r="Z244" s="102" t="n"/>
      <c r="AA244" s="102" t="n"/>
      <c r="AB244" s="102" t="n"/>
      <c r="AC244" s="102" t="n"/>
      <c r="AD244" s="102">
        <f>IFERROR(__xludf.DUMMYFUNCTION("""COMPUTED_VALUE"""),"11.5 RT")</f>
        <v/>
      </c>
    </row>
    <row r="245" ht="16.5" customHeight="1" s="176">
      <c r="A245" s="122" t="inlineStr">
        <is>
          <t>Cintura Jean + Largo Jean</t>
        </is>
      </c>
      <c r="B245" s="123" t="inlineStr">
        <is>
          <t>35 x 34</t>
        </is>
      </c>
      <c r="C245" s="123" t="inlineStr">
        <is>
          <t>35W / 34L</t>
        </is>
      </c>
      <c r="D245" s="122" t="inlineStr">
        <is>
          <t>Igual formato (largo 34)</t>
        </is>
      </c>
      <c r="E245" s="183" t="n"/>
      <c r="F245" s="84" t="n"/>
      <c r="G245" s="84" t="n"/>
      <c r="H245" s="117" t="n"/>
      <c r="I245" s="118" t="n"/>
      <c r="J245" s="118" t="n"/>
      <c r="K245" s="84" t="n"/>
      <c r="L245" s="84" t="n"/>
      <c r="M245" s="84" t="n"/>
      <c r="N245" s="84" t="n"/>
      <c r="O245" s="84" t="n"/>
      <c r="P245" s="84" t="n"/>
      <c r="Q245" s="84" t="n"/>
      <c r="R245" s="84" t="n"/>
      <c r="S245" s="102" t="n"/>
      <c r="T245" s="102" t="n"/>
      <c r="U245" s="102" t="n"/>
      <c r="V245" s="102" t="n"/>
      <c r="W245" s="102" t="n"/>
      <c r="X245" s="102" t="n"/>
      <c r="Y245" s="102" t="n"/>
      <c r="Z245" s="102" t="n"/>
      <c r="AA245" s="102" t="n"/>
      <c r="AB245" s="102" t="n"/>
      <c r="AC245" s="102" t="n"/>
      <c r="AD245" s="102">
        <f>IFERROR(__xludf.DUMMYFUNCTION("""COMPUTED_VALUE"""),"11.5 SM")</f>
        <v/>
      </c>
    </row>
    <row r="246" ht="16.5" customHeight="1" s="176">
      <c r="A246" s="122" t="inlineStr">
        <is>
          <t>Cintura Jean + Largo Jean</t>
        </is>
      </c>
      <c r="B246" s="123" t="inlineStr">
        <is>
          <t>36 x 34</t>
        </is>
      </c>
      <c r="C246" s="123" t="inlineStr">
        <is>
          <t>36W / 34L</t>
        </is>
      </c>
      <c r="D246" s="122" t="inlineStr">
        <is>
          <t>Igual formato (largo 34)</t>
        </is>
      </c>
      <c r="E246" s="183" t="n"/>
      <c r="F246" s="84" t="n"/>
      <c r="G246" s="84" t="n"/>
      <c r="H246" s="117" t="n"/>
      <c r="I246" s="118" t="n"/>
      <c r="J246" s="118" t="n"/>
      <c r="K246" s="84" t="n"/>
      <c r="L246" s="84" t="n"/>
      <c r="M246" s="84" t="n"/>
      <c r="N246" s="84" t="n"/>
      <c r="O246" s="84" t="n"/>
      <c r="P246" s="84" t="n"/>
      <c r="Q246" s="84" t="n"/>
      <c r="R246" s="84" t="n"/>
      <c r="S246" s="102" t="n"/>
      <c r="T246" s="102" t="n"/>
      <c r="U246" s="102" t="n"/>
      <c r="V246" s="102" t="n"/>
      <c r="W246" s="102" t="n"/>
      <c r="X246" s="102" t="n"/>
      <c r="Y246" s="102" t="n"/>
      <c r="Z246" s="102" t="n"/>
      <c r="AA246" s="102" t="n"/>
      <c r="AB246" s="102" t="n"/>
      <c r="AC246" s="102" t="n"/>
      <c r="AD246" s="102">
        <f>IFERROR(__xludf.DUMMYFUNCTION("""COMPUTED_VALUE"""),"11.5 SS")</f>
        <v/>
      </c>
    </row>
    <row r="247" ht="16.5" customHeight="1" s="176">
      <c r="A247" s="122" t="inlineStr">
        <is>
          <t>Cintura Jean + Largo Jean</t>
        </is>
      </c>
      <c r="B247" s="123" t="inlineStr">
        <is>
          <t>38 x 34</t>
        </is>
      </c>
      <c r="C247" s="123" t="inlineStr">
        <is>
          <t>38W / 34L</t>
        </is>
      </c>
      <c r="D247" s="122" t="inlineStr">
        <is>
          <t>Igual formato (largo 34)</t>
        </is>
      </c>
      <c r="E247" s="183" t="n"/>
      <c r="F247" s="84" t="n"/>
      <c r="G247" s="84" t="n"/>
      <c r="H247" s="117" t="n"/>
      <c r="I247" s="118" t="n"/>
      <c r="J247" s="118" t="n"/>
      <c r="K247" s="84" t="n"/>
      <c r="L247" s="84" t="n"/>
      <c r="M247" s="84" t="n"/>
      <c r="N247" s="84" t="n"/>
      <c r="O247" s="84" t="n"/>
      <c r="P247" s="84" t="n"/>
      <c r="Q247" s="84" t="n"/>
      <c r="R247" s="84" t="n"/>
      <c r="S247" s="102" t="n"/>
      <c r="T247" s="102" t="n"/>
      <c r="U247" s="102" t="n"/>
      <c r="V247" s="102" t="n"/>
      <c r="W247" s="102" t="n"/>
      <c r="X247" s="102" t="n"/>
      <c r="Y247" s="102" t="n"/>
      <c r="Z247" s="102" t="n"/>
      <c r="AA247" s="102" t="n"/>
      <c r="AB247" s="102" t="n"/>
      <c r="AC247" s="102" t="n"/>
      <c r="AD247" s="102">
        <f>IFERROR(__xludf.DUMMYFUNCTION("""COMPUTED_VALUE"""),"11.5 ST")</f>
        <v/>
      </c>
    </row>
    <row r="248" ht="16.5" customHeight="1" s="176">
      <c r="A248" s="122" t="inlineStr">
        <is>
          <t>Cintura Jean + Largo Jean</t>
        </is>
      </c>
      <c r="B248" s="123" t="inlineStr">
        <is>
          <t>40 x 34</t>
        </is>
      </c>
      <c r="C248" s="123" t="inlineStr">
        <is>
          <t>40W / 34L</t>
        </is>
      </c>
      <c r="D248" s="122" t="inlineStr">
        <is>
          <t>Igual formato (largo 34)</t>
        </is>
      </c>
      <c r="E248" s="183" t="n"/>
      <c r="F248" s="84" t="n"/>
      <c r="G248" s="84" t="n"/>
      <c r="H248" s="117" t="n"/>
      <c r="I248" s="118" t="n"/>
      <c r="J248" s="118" t="n"/>
      <c r="K248" s="84" t="n"/>
      <c r="L248" s="84" t="n"/>
      <c r="M248" s="84" t="n"/>
      <c r="N248" s="84" t="n"/>
      <c r="O248" s="84" t="n"/>
      <c r="P248" s="84" t="n"/>
      <c r="Q248" s="84" t="n"/>
      <c r="R248" s="84" t="n"/>
      <c r="S248" s="102" t="n"/>
      <c r="T248" s="102" t="n"/>
      <c r="U248" s="102" t="n"/>
      <c r="V248" s="102" t="n"/>
      <c r="W248" s="102" t="n"/>
      <c r="X248" s="102" t="n"/>
      <c r="Y248" s="102" t="n"/>
      <c r="Z248" s="102" t="n"/>
      <c r="AA248" s="102" t="n"/>
      <c r="AB248" s="102" t="n"/>
      <c r="AC248" s="102" t="n"/>
      <c r="AD248" s="102">
        <f>IFERROR(__xludf.DUMMYFUNCTION("""COMPUTED_VALUE"""),"12 B")</f>
        <v/>
      </c>
    </row>
    <row r="249" ht="16.5" customHeight="1" s="176">
      <c r="A249" s="122" t="inlineStr">
        <is>
          <t>Cintura Jean + Largo Jean</t>
        </is>
      </c>
      <c r="B249" s="123" t="inlineStr">
        <is>
          <t>42 x 34</t>
        </is>
      </c>
      <c r="C249" s="123" t="inlineStr">
        <is>
          <t>42W / 34L</t>
        </is>
      </c>
      <c r="D249" s="122" t="inlineStr">
        <is>
          <t>Igual formato (largo 34)</t>
        </is>
      </c>
      <c r="E249" s="183" t="n"/>
      <c r="F249" s="84" t="n"/>
      <c r="G249" s="84" t="n"/>
      <c r="H249" s="117" t="n"/>
      <c r="I249" s="118" t="n"/>
      <c r="J249" s="118" t="n"/>
      <c r="K249" s="84" t="n"/>
      <c r="L249" s="84" t="n"/>
      <c r="M249" s="84" t="n"/>
      <c r="N249" s="84" t="n"/>
      <c r="O249" s="84" t="n"/>
      <c r="P249" s="84" t="n"/>
      <c r="Q249" s="84" t="n"/>
      <c r="R249" s="84" t="n"/>
      <c r="S249" s="102" t="n"/>
      <c r="T249" s="102" t="n"/>
      <c r="U249" s="102" t="n"/>
      <c r="V249" s="102" t="n"/>
      <c r="W249" s="102" t="n"/>
      <c r="X249" s="102" t="n"/>
      <c r="Y249" s="102" t="n"/>
      <c r="Z249" s="102" t="n"/>
      <c r="AA249" s="102" t="n"/>
      <c r="AB249" s="102" t="n"/>
      <c r="AC249" s="102" t="n"/>
      <c r="AD249" s="102">
        <f>IFERROR(__xludf.DUMMYFUNCTION("""COMPUTED_VALUE"""),"12 D")</f>
        <v/>
      </c>
    </row>
    <row r="250" ht="16.5" customHeight="1" s="176">
      <c r="A250" s="122" t="inlineStr">
        <is>
          <t>Cintura Jean + Largo Jean</t>
        </is>
      </c>
      <c r="B250" s="123" t="inlineStr">
        <is>
          <t>44 x 34</t>
        </is>
      </c>
      <c r="C250" s="123" t="inlineStr">
        <is>
          <t>44W / 34L</t>
        </is>
      </c>
      <c r="D250" s="122" t="inlineStr">
        <is>
          <t>Igual formato (largo 34)</t>
        </is>
      </c>
      <c r="E250" s="183" t="n"/>
      <c r="F250" s="84" t="n"/>
      <c r="G250" s="84" t="n"/>
      <c r="H250" s="117" t="n"/>
      <c r="I250" s="118" t="n"/>
      <c r="J250" s="118" t="n"/>
      <c r="K250" s="84" t="n"/>
      <c r="L250" s="84" t="n"/>
      <c r="M250" s="84" t="n"/>
      <c r="N250" s="84" t="n"/>
      <c r="O250" s="84" t="n"/>
      <c r="P250" s="84" t="n"/>
      <c r="Q250" s="84" t="n"/>
      <c r="R250" s="84" t="n"/>
      <c r="S250" s="102" t="n"/>
      <c r="T250" s="102" t="n"/>
      <c r="U250" s="102" t="n"/>
      <c r="V250" s="102" t="n"/>
      <c r="W250" s="102" t="n"/>
      <c r="X250" s="102" t="n"/>
      <c r="Y250" s="102" t="n"/>
      <c r="Z250" s="102" t="n"/>
      <c r="AA250" s="102" t="n"/>
      <c r="AB250" s="102" t="n"/>
      <c r="AC250" s="102" t="n"/>
      <c r="AD250" s="102">
        <f>IFERROR(__xludf.DUMMYFUNCTION("""COMPUTED_VALUE"""),"12 EE")</f>
        <v/>
      </c>
    </row>
    <row r="251" ht="16.5" customHeight="1" s="176">
      <c r="A251" s="122" t="inlineStr">
        <is>
          <t>Cintura Jean + Largo Jean</t>
        </is>
      </c>
      <c r="B251" s="123" t="inlineStr">
        <is>
          <t>46 x 34</t>
        </is>
      </c>
      <c r="C251" s="123" t="inlineStr">
        <is>
          <t>46W / 34L</t>
        </is>
      </c>
      <c r="D251" s="122" t="inlineStr">
        <is>
          <t>Igual formato (largo 34)</t>
        </is>
      </c>
      <c r="E251" s="183" t="n"/>
      <c r="F251" s="84" t="n"/>
      <c r="G251" s="84" t="n"/>
      <c r="H251" s="117" t="n"/>
      <c r="I251" s="118" t="n"/>
      <c r="J251" s="118" t="n"/>
      <c r="K251" s="84" t="n"/>
      <c r="L251" s="84" t="n"/>
      <c r="M251" s="84" t="n"/>
      <c r="N251" s="84" t="n"/>
      <c r="O251" s="84" t="n"/>
      <c r="P251" s="84" t="n"/>
      <c r="Q251" s="84" t="n"/>
      <c r="R251" s="84" t="n"/>
      <c r="S251" s="102" t="n"/>
      <c r="T251" s="102" t="n"/>
      <c r="U251" s="102" t="n"/>
      <c r="V251" s="102" t="n"/>
      <c r="W251" s="102" t="n"/>
      <c r="X251" s="102" t="n"/>
      <c r="Y251" s="102" t="n"/>
      <c r="Z251" s="102" t="n"/>
      <c r="AA251" s="102" t="n"/>
      <c r="AB251" s="102" t="n"/>
      <c r="AC251" s="102" t="n"/>
      <c r="AD251" s="102">
        <f>IFERROR(__xludf.DUMMYFUNCTION("""COMPUTED_VALUE"""),"12 FM")</f>
        <v/>
      </c>
    </row>
    <row r="252" ht="16.5" customHeight="1" s="176">
      <c r="A252" s="122" t="inlineStr">
        <is>
          <t>Cintura Jean + Largo Jean</t>
        </is>
      </c>
      <c r="B252" s="123" t="inlineStr">
        <is>
          <t>48 x 34</t>
        </is>
      </c>
      <c r="C252" s="123" t="inlineStr">
        <is>
          <t>48W / 34L</t>
        </is>
      </c>
      <c r="D252" s="122" t="inlineStr">
        <is>
          <t>Igual formato (largo 34)</t>
        </is>
      </c>
      <c r="E252" s="183" t="n"/>
      <c r="F252" s="84" t="n"/>
      <c r="G252" s="84" t="n"/>
      <c r="H252" s="117" t="n"/>
      <c r="I252" s="118" t="n"/>
      <c r="J252" s="118" t="n"/>
      <c r="K252" s="84" t="n"/>
      <c r="L252" s="84" t="n"/>
      <c r="M252" s="84" t="n"/>
      <c r="N252" s="84" t="n"/>
      <c r="O252" s="84" t="n"/>
      <c r="P252" s="84" t="n"/>
      <c r="Q252" s="84" t="n"/>
      <c r="R252" s="84" t="n"/>
      <c r="S252" s="102" t="n"/>
      <c r="T252" s="102" t="n"/>
      <c r="U252" s="102" t="n"/>
      <c r="V252" s="102" t="n"/>
      <c r="W252" s="102" t="n"/>
      <c r="X252" s="102" t="n"/>
      <c r="Y252" s="102" t="n"/>
      <c r="Z252" s="102" t="n"/>
      <c r="AA252" s="102" t="n"/>
      <c r="AB252" s="102" t="n"/>
      <c r="AC252" s="102" t="n"/>
      <c r="AD252" s="102">
        <f>IFERROR(__xludf.DUMMYFUNCTION("""COMPUTED_VALUE"""),"12 FS")</f>
        <v/>
      </c>
    </row>
    <row r="253" ht="16.5" customHeight="1" s="176">
      <c r="A253" s="122" t="inlineStr">
        <is>
          <t>Cintura Jean + Largo Jean</t>
        </is>
      </c>
      <c r="B253" s="123" t="inlineStr">
        <is>
          <t>50 x 34</t>
        </is>
      </c>
      <c r="C253" s="123" t="inlineStr">
        <is>
          <t>50W / 34L</t>
        </is>
      </c>
      <c r="D253" s="122" t="inlineStr">
        <is>
          <t>Igual formato (largo 34)</t>
        </is>
      </c>
      <c r="E253" s="183" t="n"/>
      <c r="F253" s="84" t="n"/>
      <c r="G253" s="84" t="n"/>
      <c r="H253" s="117" t="n"/>
      <c r="I253" s="118" t="n"/>
      <c r="J253" s="118" t="n"/>
      <c r="K253" s="84" t="n"/>
      <c r="L253" s="84" t="n"/>
      <c r="M253" s="84" t="n"/>
      <c r="N253" s="84" t="n"/>
      <c r="O253" s="84" t="n"/>
      <c r="P253" s="84" t="n"/>
      <c r="Q253" s="84" t="n"/>
      <c r="R253" s="84" t="n"/>
      <c r="S253" s="102" t="n"/>
      <c r="T253" s="102" t="n"/>
      <c r="U253" s="102" t="n"/>
      <c r="V253" s="102" t="n"/>
      <c r="W253" s="102" t="n"/>
      <c r="X253" s="102" t="n"/>
      <c r="Y253" s="102" t="n"/>
      <c r="Z253" s="102" t="n"/>
      <c r="AA253" s="102" t="n"/>
      <c r="AB253" s="102" t="n"/>
      <c r="AC253" s="102" t="n"/>
      <c r="AD253" s="102">
        <f>IFERROR(__xludf.DUMMYFUNCTION("""COMPUTED_VALUE"""),"12 RM")</f>
        <v/>
      </c>
    </row>
    <row r="254" ht="16.5" customHeight="1" s="176">
      <c r="A254" s="122" t="inlineStr">
        <is>
          <t>Cintura Jean + Largo Jean</t>
        </is>
      </c>
      <c r="B254" s="123" t="inlineStr">
        <is>
          <t>29 x 36</t>
        </is>
      </c>
      <c r="C254" s="123" t="inlineStr">
        <is>
          <t>29W / 36L</t>
        </is>
      </c>
      <c r="D254" s="122" t="inlineStr">
        <is>
          <t>Igual formato (largo 36)</t>
        </is>
      </c>
      <c r="E254" s="183" t="n"/>
      <c r="F254" s="84" t="n"/>
      <c r="G254" s="84" t="n"/>
      <c r="H254" s="117" t="n"/>
      <c r="I254" s="118" t="n"/>
      <c r="J254" s="118" t="n"/>
      <c r="K254" s="84" t="n"/>
      <c r="L254" s="84" t="n"/>
      <c r="M254" s="84" t="n"/>
      <c r="N254" s="84" t="n"/>
      <c r="O254" s="84" t="n"/>
      <c r="P254" s="84" t="n"/>
      <c r="Q254" s="84" t="n"/>
      <c r="R254" s="84" t="n"/>
      <c r="S254" s="102" t="n"/>
      <c r="T254" s="102" t="n"/>
      <c r="U254" s="102" t="n"/>
      <c r="V254" s="102" t="n"/>
      <c r="W254" s="102" t="n"/>
      <c r="X254" s="102" t="n"/>
      <c r="Y254" s="102" t="n"/>
      <c r="Z254" s="102" t="n"/>
      <c r="AA254" s="102" t="n"/>
      <c r="AB254" s="102" t="n"/>
      <c r="AC254" s="102" t="n"/>
      <c r="AD254" s="102">
        <f>IFERROR(__xludf.DUMMYFUNCTION("""COMPUTED_VALUE"""),"12 RS")</f>
        <v/>
      </c>
    </row>
    <row r="255" ht="16.5" customHeight="1" s="176">
      <c r="A255" s="122" t="inlineStr">
        <is>
          <t>Cintura Jean + Largo Jean</t>
        </is>
      </c>
      <c r="B255" s="123" t="inlineStr">
        <is>
          <t>30 x 36</t>
        </is>
      </c>
      <c r="C255" s="123" t="inlineStr">
        <is>
          <t>30W / 36L</t>
        </is>
      </c>
      <c r="D255" s="122" t="inlineStr">
        <is>
          <t>Igual formato (largo 36)</t>
        </is>
      </c>
      <c r="E255" s="183" t="n"/>
      <c r="F255" s="84" t="n"/>
      <c r="G255" s="84" t="n"/>
      <c r="H255" s="117" t="n"/>
      <c r="I255" s="118" t="n"/>
      <c r="J255" s="118" t="n"/>
      <c r="K255" s="84" t="n"/>
      <c r="L255" s="84" t="n"/>
      <c r="M255" s="84" t="n"/>
      <c r="N255" s="84" t="n"/>
      <c r="O255" s="84" t="n"/>
      <c r="P255" s="84" t="n"/>
      <c r="Q255" s="84" t="n"/>
      <c r="R255" s="84" t="n"/>
      <c r="S255" s="102" t="n"/>
      <c r="T255" s="102" t="n"/>
      <c r="U255" s="102" t="n"/>
      <c r="V255" s="102" t="n"/>
      <c r="W255" s="102" t="n"/>
      <c r="X255" s="102" t="n"/>
      <c r="Y255" s="102" t="n"/>
      <c r="Z255" s="102" t="n"/>
      <c r="AA255" s="102" t="n"/>
      <c r="AB255" s="102" t="n"/>
      <c r="AC255" s="102" t="n"/>
      <c r="AD255" s="102">
        <f>IFERROR(__xludf.DUMMYFUNCTION("""COMPUTED_VALUE"""),"12 RT")</f>
        <v/>
      </c>
    </row>
    <row r="256" ht="16.5" customHeight="1" s="176">
      <c r="A256" s="122" t="inlineStr">
        <is>
          <t>Cintura Jean + Largo Jean</t>
        </is>
      </c>
      <c r="B256" s="123" t="inlineStr">
        <is>
          <t>31 x 36</t>
        </is>
      </c>
      <c r="C256" s="123" t="inlineStr">
        <is>
          <t>31W / 36L</t>
        </is>
      </c>
      <c r="D256" s="122" t="inlineStr">
        <is>
          <t>Igual formato (largo 36)</t>
        </is>
      </c>
      <c r="E256" s="183" t="n"/>
      <c r="F256" s="84" t="n"/>
      <c r="G256" s="84" t="n"/>
      <c r="H256" s="117" t="n"/>
      <c r="I256" s="118" t="n"/>
      <c r="J256" s="118" t="n"/>
      <c r="K256" s="84" t="n"/>
      <c r="L256" s="84" t="n"/>
      <c r="M256" s="84" t="n"/>
      <c r="N256" s="84" t="n"/>
      <c r="O256" s="84" t="n"/>
      <c r="P256" s="84" t="n"/>
      <c r="Q256" s="84" t="n"/>
      <c r="R256" s="84" t="n"/>
      <c r="S256" s="102" t="n"/>
      <c r="T256" s="102" t="n"/>
      <c r="U256" s="102" t="n"/>
      <c r="V256" s="102" t="n"/>
      <c r="W256" s="102" t="n"/>
      <c r="X256" s="102" t="n"/>
      <c r="Y256" s="102" t="n"/>
      <c r="Z256" s="102" t="n"/>
      <c r="AA256" s="102" t="n"/>
      <c r="AB256" s="102" t="n"/>
      <c r="AC256" s="102" t="n"/>
      <c r="AD256" s="102">
        <f>IFERROR(__xludf.DUMMYFUNCTION("""COMPUTED_VALUE"""),"12 SM")</f>
        <v/>
      </c>
    </row>
    <row r="257" ht="16.5" customHeight="1" s="176">
      <c r="A257" s="122" t="inlineStr">
        <is>
          <t>Cintura Jean + Largo Jean</t>
        </is>
      </c>
      <c r="B257" s="123" t="inlineStr">
        <is>
          <t>32 x 36</t>
        </is>
      </c>
      <c r="C257" s="123" t="inlineStr">
        <is>
          <t>32W / 36L</t>
        </is>
      </c>
      <c r="D257" s="122" t="inlineStr">
        <is>
          <t>Igual formato (largo 36)</t>
        </is>
      </c>
      <c r="E257" s="183" t="n"/>
      <c r="F257" s="84" t="n"/>
      <c r="G257" s="84" t="n"/>
      <c r="H257" s="117" t="n"/>
      <c r="I257" s="118" t="n"/>
      <c r="J257" s="118" t="n"/>
      <c r="K257" s="84" t="n"/>
      <c r="L257" s="84" t="n"/>
      <c r="M257" s="84" t="n"/>
      <c r="N257" s="84" t="n"/>
      <c r="O257" s="84" t="n"/>
      <c r="P257" s="84" t="n"/>
      <c r="Q257" s="84" t="n"/>
      <c r="R257" s="84" t="n"/>
      <c r="S257" s="102" t="n"/>
      <c r="T257" s="102" t="n"/>
      <c r="U257" s="102" t="n"/>
      <c r="V257" s="102" t="n"/>
      <c r="W257" s="102" t="n"/>
      <c r="X257" s="102" t="n"/>
      <c r="Y257" s="102" t="n"/>
      <c r="Z257" s="102" t="n"/>
      <c r="AA257" s="102" t="n"/>
      <c r="AB257" s="102" t="n"/>
      <c r="AC257" s="102" t="n"/>
      <c r="AD257" s="102">
        <f>IFERROR(__xludf.DUMMYFUNCTION("""COMPUTED_VALUE"""),"12 SS")</f>
        <v/>
      </c>
    </row>
    <row r="258" ht="16.5" customHeight="1" s="176">
      <c r="A258" s="122" t="inlineStr">
        <is>
          <t>Cintura Jean + Largo Jean</t>
        </is>
      </c>
      <c r="B258" s="123" t="inlineStr">
        <is>
          <t>33 x 36</t>
        </is>
      </c>
      <c r="C258" s="123" t="inlineStr">
        <is>
          <t>33W / 36L</t>
        </is>
      </c>
      <c r="D258" s="122" t="inlineStr">
        <is>
          <t>Igual formato (largo 36)</t>
        </is>
      </c>
      <c r="E258" s="183" t="n"/>
      <c r="F258" s="84" t="n"/>
      <c r="G258" s="84" t="n"/>
      <c r="H258" s="117" t="n"/>
      <c r="I258" s="118" t="n"/>
      <c r="J258" s="118" t="n"/>
      <c r="K258" s="84" t="n"/>
      <c r="L258" s="84" t="n"/>
      <c r="M258" s="84" t="n"/>
      <c r="N258" s="84" t="n"/>
      <c r="O258" s="84" t="n"/>
      <c r="P258" s="84" t="n"/>
      <c r="Q258" s="84" t="n"/>
      <c r="R258" s="84" t="n"/>
      <c r="S258" s="102" t="n"/>
      <c r="T258" s="102" t="n"/>
      <c r="U258" s="102" t="n"/>
      <c r="V258" s="102" t="n"/>
      <c r="W258" s="102" t="n"/>
      <c r="X258" s="102" t="n"/>
      <c r="Y258" s="102" t="n"/>
      <c r="Z258" s="102" t="n"/>
      <c r="AA258" s="102" t="n"/>
      <c r="AB258" s="102" t="n"/>
      <c r="AC258" s="102" t="n"/>
      <c r="AD258" s="102">
        <f>IFERROR(__xludf.DUMMYFUNCTION("""COMPUTED_VALUE"""),"12 ST")</f>
        <v/>
      </c>
    </row>
    <row r="259" ht="16.5" customHeight="1" s="176">
      <c r="A259" s="122" t="inlineStr">
        <is>
          <t>Cintura Jean + Largo Jean</t>
        </is>
      </c>
      <c r="B259" s="123" t="inlineStr">
        <is>
          <t>34 x 36</t>
        </is>
      </c>
      <c r="C259" s="123" t="inlineStr">
        <is>
          <t>34W / 36L</t>
        </is>
      </c>
      <c r="D259" s="122" t="inlineStr">
        <is>
          <t>Igual formato (largo 36)</t>
        </is>
      </c>
      <c r="E259" s="183" t="n"/>
      <c r="F259" s="84" t="n"/>
      <c r="G259" s="84" t="n"/>
      <c r="H259" s="117" t="n"/>
      <c r="I259" s="118" t="n"/>
      <c r="J259" s="118" t="n"/>
      <c r="K259" s="84" t="n"/>
      <c r="L259" s="84" t="n"/>
      <c r="M259" s="84" t="n"/>
      <c r="N259" s="84" t="n"/>
      <c r="O259" s="84" t="n"/>
      <c r="P259" s="84" t="n"/>
      <c r="Q259" s="84" t="n"/>
      <c r="R259" s="84" t="n"/>
      <c r="S259" s="102" t="n"/>
      <c r="T259" s="102" t="n"/>
      <c r="U259" s="102" t="n"/>
      <c r="V259" s="102" t="n"/>
      <c r="W259" s="102" t="n"/>
      <c r="X259" s="102" t="n"/>
      <c r="Y259" s="102" t="n"/>
      <c r="Z259" s="102" t="n"/>
      <c r="AA259" s="102" t="n"/>
      <c r="AB259" s="102" t="n"/>
      <c r="AC259" s="102" t="n"/>
      <c r="AD259" s="102">
        <f>IFERROR(__xludf.DUMMYFUNCTION("""COMPUTED_VALUE"""),"13 B")</f>
        <v/>
      </c>
    </row>
    <row r="260" ht="16.5" customHeight="1" s="176">
      <c r="A260" s="122" t="inlineStr">
        <is>
          <t>Cintura Jean + Largo Jean</t>
        </is>
      </c>
      <c r="B260" s="123" t="inlineStr">
        <is>
          <t>35 x 36</t>
        </is>
      </c>
      <c r="C260" s="123" t="inlineStr">
        <is>
          <t>35W / 36L</t>
        </is>
      </c>
      <c r="D260" s="122" t="inlineStr">
        <is>
          <t>Igual formato (largo 36)</t>
        </is>
      </c>
      <c r="E260" s="183" t="n"/>
      <c r="F260" s="84" t="n"/>
      <c r="G260" s="84" t="n"/>
      <c r="H260" s="117" t="n"/>
      <c r="I260" s="118" t="n"/>
      <c r="J260" s="118" t="n"/>
      <c r="K260" s="84" t="n"/>
      <c r="L260" s="84" t="n"/>
      <c r="M260" s="84" t="n"/>
      <c r="N260" s="84" t="n"/>
      <c r="O260" s="84" t="n"/>
      <c r="P260" s="84" t="n"/>
      <c r="Q260" s="84" t="n"/>
      <c r="R260" s="84" t="n"/>
      <c r="S260" s="102" t="n"/>
      <c r="T260" s="102" t="n"/>
      <c r="U260" s="102" t="n"/>
      <c r="V260" s="102" t="n"/>
      <c r="W260" s="102" t="n"/>
      <c r="X260" s="102" t="n"/>
      <c r="Y260" s="102" t="n"/>
      <c r="Z260" s="102" t="n"/>
      <c r="AA260" s="102" t="n"/>
      <c r="AB260" s="102" t="n"/>
      <c r="AC260" s="102" t="n"/>
      <c r="AD260" s="102">
        <f>IFERROR(__xludf.DUMMYFUNCTION("""COMPUTED_VALUE"""),"13 D")</f>
        <v/>
      </c>
    </row>
    <row r="261" ht="16.5" customHeight="1" s="176">
      <c r="A261" s="122" t="inlineStr">
        <is>
          <t>Cintura Jean + Largo Jean</t>
        </is>
      </c>
      <c r="B261" s="123" t="inlineStr">
        <is>
          <t>36 x 36</t>
        </is>
      </c>
      <c r="C261" s="123" t="inlineStr">
        <is>
          <t>36W / 36L</t>
        </is>
      </c>
      <c r="D261" s="122" t="inlineStr">
        <is>
          <t>Igual formato (largo 36)</t>
        </is>
      </c>
      <c r="E261" s="183" t="n"/>
      <c r="F261" s="84" t="n"/>
      <c r="G261" s="84" t="n"/>
      <c r="H261" s="117" t="n"/>
      <c r="I261" s="118" t="n"/>
      <c r="J261" s="118" t="n"/>
      <c r="K261" s="84" t="n"/>
      <c r="L261" s="84" t="n"/>
      <c r="M261" s="84" t="n"/>
      <c r="N261" s="84" t="n"/>
      <c r="O261" s="84" t="n"/>
      <c r="P261" s="84" t="n"/>
      <c r="Q261" s="84" t="n"/>
      <c r="R261" s="84" t="n"/>
      <c r="S261" s="102" t="n"/>
      <c r="T261" s="102" t="n"/>
      <c r="U261" s="102" t="n"/>
      <c r="V261" s="102" t="n"/>
      <c r="W261" s="102" t="n"/>
      <c r="X261" s="102" t="n"/>
      <c r="Y261" s="102" t="n"/>
      <c r="Z261" s="102" t="n"/>
      <c r="AA261" s="102" t="n"/>
      <c r="AB261" s="102" t="n"/>
      <c r="AC261" s="102" t="n"/>
      <c r="AD261" s="102">
        <f>IFERROR(__xludf.DUMMYFUNCTION("""COMPUTED_VALUE"""),"13 EE")</f>
        <v/>
      </c>
    </row>
    <row r="262" ht="16.5" customHeight="1" s="176">
      <c r="A262" s="122" t="inlineStr">
        <is>
          <t>Cintura Jean + Largo Jean</t>
        </is>
      </c>
      <c r="B262" s="123" t="inlineStr">
        <is>
          <t>38 x 36</t>
        </is>
      </c>
      <c r="C262" s="123" t="inlineStr">
        <is>
          <t>38W / 36L</t>
        </is>
      </c>
      <c r="D262" s="122" t="inlineStr">
        <is>
          <t>Igual formato (largo 36)</t>
        </is>
      </c>
      <c r="E262" s="183" t="n"/>
      <c r="F262" s="84" t="n"/>
      <c r="G262" s="84" t="n"/>
      <c r="H262" s="117" t="n"/>
      <c r="I262" s="118" t="n"/>
      <c r="J262" s="118" t="n"/>
      <c r="K262" s="84" t="n"/>
      <c r="L262" s="84" t="n"/>
      <c r="M262" s="84" t="n"/>
      <c r="N262" s="84" t="n"/>
      <c r="O262" s="84" t="n"/>
      <c r="P262" s="84" t="n"/>
      <c r="Q262" s="84" t="n"/>
      <c r="R262" s="84" t="n"/>
      <c r="S262" s="102" t="n"/>
      <c r="T262" s="102" t="n"/>
      <c r="U262" s="102" t="n"/>
      <c r="V262" s="102" t="n"/>
      <c r="W262" s="102" t="n"/>
      <c r="X262" s="102" t="n"/>
      <c r="Y262" s="102" t="n"/>
      <c r="Z262" s="102" t="n"/>
      <c r="AA262" s="102" t="n"/>
      <c r="AB262" s="102" t="n"/>
      <c r="AC262" s="102" t="n"/>
      <c r="AD262" s="102">
        <f>IFERROR(__xludf.DUMMYFUNCTION("""COMPUTED_VALUE"""),"13 FM")</f>
        <v/>
      </c>
    </row>
    <row r="263" ht="16.5" customHeight="1" s="176">
      <c r="A263" s="122" t="inlineStr">
        <is>
          <t>Cintura Jean + Largo Jean</t>
        </is>
      </c>
      <c r="B263" s="123" t="inlineStr">
        <is>
          <t>40 x 36</t>
        </is>
      </c>
      <c r="C263" s="123" t="inlineStr">
        <is>
          <t>40W / 36L</t>
        </is>
      </c>
      <c r="D263" s="122" t="inlineStr">
        <is>
          <t>Igual formato (largo 36)</t>
        </is>
      </c>
      <c r="E263" s="183" t="n"/>
      <c r="F263" s="84" t="n"/>
      <c r="G263" s="84" t="n"/>
      <c r="H263" s="117" t="n"/>
      <c r="I263" s="118" t="n"/>
      <c r="J263" s="118" t="n"/>
      <c r="K263" s="84" t="n"/>
      <c r="L263" s="84" t="n"/>
      <c r="M263" s="84" t="n"/>
      <c r="N263" s="84" t="n"/>
      <c r="O263" s="84" t="n"/>
      <c r="P263" s="84" t="n"/>
      <c r="Q263" s="84" t="n"/>
      <c r="R263" s="84" t="n"/>
      <c r="S263" s="102" t="n"/>
      <c r="T263" s="102" t="n"/>
      <c r="U263" s="102" t="n"/>
      <c r="V263" s="102" t="n"/>
      <c r="W263" s="102" t="n"/>
      <c r="X263" s="102" t="n"/>
      <c r="Y263" s="102" t="n"/>
      <c r="Z263" s="102" t="n"/>
      <c r="AA263" s="102" t="n"/>
      <c r="AB263" s="102" t="n"/>
      <c r="AC263" s="102" t="n"/>
      <c r="AD263" s="102">
        <f>IFERROR(__xludf.DUMMYFUNCTION("""COMPUTED_VALUE"""),"13 FS")</f>
        <v/>
      </c>
    </row>
    <row r="264" ht="16.5" customHeight="1" s="176">
      <c r="A264" s="122" t="inlineStr">
        <is>
          <t>Cintura Jean + Largo Jean</t>
        </is>
      </c>
      <c r="B264" s="123" t="inlineStr">
        <is>
          <t>42 x 36</t>
        </is>
      </c>
      <c r="C264" s="123" t="inlineStr">
        <is>
          <t>42W / 36L</t>
        </is>
      </c>
      <c r="D264" s="122" t="inlineStr">
        <is>
          <t>Igual formato (largo 36)</t>
        </is>
      </c>
      <c r="E264" s="183" t="n"/>
      <c r="F264" s="84" t="n"/>
      <c r="G264" s="84" t="n"/>
      <c r="H264" s="117" t="n"/>
      <c r="I264" s="118" t="n"/>
      <c r="J264" s="118" t="n"/>
      <c r="K264" s="84" t="n"/>
      <c r="L264" s="84" t="n"/>
      <c r="M264" s="84" t="n"/>
      <c r="N264" s="84" t="n"/>
      <c r="O264" s="84" t="n"/>
      <c r="P264" s="84" t="n"/>
      <c r="Q264" s="84" t="n"/>
      <c r="R264" s="84" t="n"/>
      <c r="S264" s="102" t="n"/>
      <c r="T264" s="102" t="n"/>
      <c r="U264" s="102" t="n"/>
      <c r="V264" s="102" t="n"/>
      <c r="W264" s="102" t="n"/>
      <c r="X264" s="102" t="n"/>
      <c r="Y264" s="102" t="n"/>
      <c r="Z264" s="102" t="n"/>
      <c r="AA264" s="102" t="n"/>
      <c r="AB264" s="102" t="n"/>
      <c r="AC264" s="102" t="n"/>
      <c r="AD264" s="102">
        <f>IFERROR(__xludf.DUMMYFUNCTION("""COMPUTED_VALUE"""),"13 RM")</f>
        <v/>
      </c>
    </row>
    <row r="265" ht="16.5" customHeight="1" s="176">
      <c r="A265" s="122" t="inlineStr">
        <is>
          <t>Cintura Jean + Largo Jean</t>
        </is>
      </c>
      <c r="B265" s="123" t="inlineStr">
        <is>
          <t>44 x 36</t>
        </is>
      </c>
      <c r="C265" s="123" t="inlineStr">
        <is>
          <t>44W / 36L</t>
        </is>
      </c>
      <c r="D265" s="122" t="inlineStr">
        <is>
          <t>Igual formato (largo 36)</t>
        </is>
      </c>
      <c r="E265" s="183" t="n"/>
      <c r="F265" s="84" t="n"/>
      <c r="G265" s="84" t="n"/>
      <c r="H265" s="117" t="n"/>
      <c r="I265" s="118" t="n"/>
      <c r="J265" s="118" t="n"/>
      <c r="K265" s="84" t="n"/>
      <c r="L265" s="84" t="n"/>
      <c r="M265" s="84" t="n"/>
      <c r="N265" s="84" t="n"/>
      <c r="O265" s="84" t="n"/>
      <c r="P265" s="84" t="n"/>
      <c r="Q265" s="84" t="n"/>
      <c r="R265" s="84" t="n"/>
      <c r="S265" s="102" t="n"/>
      <c r="T265" s="102" t="n"/>
      <c r="U265" s="102" t="n"/>
      <c r="V265" s="102" t="n"/>
      <c r="W265" s="102" t="n"/>
      <c r="X265" s="102" t="n"/>
      <c r="Y265" s="102" t="n"/>
      <c r="Z265" s="102" t="n"/>
      <c r="AA265" s="102" t="n"/>
      <c r="AB265" s="102" t="n"/>
      <c r="AC265" s="102" t="n"/>
      <c r="AD265" s="102">
        <f>IFERROR(__xludf.DUMMYFUNCTION("""COMPUTED_VALUE"""),"13 RS")</f>
        <v/>
      </c>
    </row>
    <row r="266" ht="16.5" customHeight="1" s="176">
      <c r="A266" s="122" t="inlineStr">
        <is>
          <t>Cintura Jean + Largo Jean</t>
        </is>
      </c>
      <c r="B266" s="123" t="inlineStr">
        <is>
          <t>30 x 38</t>
        </is>
      </c>
      <c r="C266" s="123" t="inlineStr">
        <is>
          <t>30W / 38L</t>
        </is>
      </c>
      <c r="D266" s="122" t="inlineStr">
        <is>
          <t>Igual formato (largo 38)</t>
        </is>
      </c>
      <c r="E266" s="183" t="n"/>
      <c r="F266" s="84" t="n"/>
      <c r="G266" s="84" t="n"/>
      <c r="H266" s="117" t="n"/>
      <c r="I266" s="118" t="n"/>
      <c r="J266" s="118" t="n"/>
      <c r="K266" s="84" t="n"/>
      <c r="L266" s="84" t="n"/>
      <c r="M266" s="84" t="n"/>
      <c r="N266" s="84" t="n"/>
      <c r="O266" s="84" t="n"/>
      <c r="P266" s="84" t="n"/>
      <c r="Q266" s="84" t="n"/>
      <c r="R266" s="84" t="n"/>
      <c r="S266" s="102" t="n"/>
      <c r="T266" s="102" t="n"/>
      <c r="U266" s="102" t="n"/>
      <c r="V266" s="102" t="n"/>
      <c r="W266" s="102" t="n"/>
      <c r="X266" s="102" t="n"/>
      <c r="Y266" s="102" t="n"/>
      <c r="Z266" s="102" t="n"/>
      <c r="AA266" s="102" t="n"/>
      <c r="AB266" s="102" t="n"/>
      <c r="AC266" s="102" t="n"/>
      <c r="AD266" s="102">
        <f>IFERROR(__xludf.DUMMYFUNCTION("""COMPUTED_VALUE"""),"13 RT")</f>
        <v/>
      </c>
    </row>
    <row r="267" ht="16.5" customHeight="1" s="176">
      <c r="A267" s="122" t="inlineStr">
        <is>
          <t>Cintura Jean + Largo Jean</t>
        </is>
      </c>
      <c r="B267" s="123" t="inlineStr">
        <is>
          <t>31 x 38</t>
        </is>
      </c>
      <c r="C267" s="123" t="inlineStr">
        <is>
          <t>31W / 38L</t>
        </is>
      </c>
      <c r="D267" s="122" t="inlineStr">
        <is>
          <t>Igual formato (largo 38)</t>
        </is>
      </c>
      <c r="E267" s="183" t="n"/>
      <c r="F267" s="84" t="n"/>
      <c r="G267" s="84" t="n"/>
      <c r="H267" s="117" t="n"/>
      <c r="I267" s="118" t="n"/>
      <c r="J267" s="118" t="n"/>
      <c r="K267" s="84" t="n"/>
      <c r="L267" s="84" t="n"/>
      <c r="M267" s="84" t="n"/>
      <c r="N267" s="84" t="n"/>
      <c r="O267" s="84" t="n"/>
      <c r="P267" s="84" t="n"/>
      <c r="Q267" s="84" t="n"/>
      <c r="R267" s="84" t="n"/>
      <c r="S267" s="102" t="n"/>
      <c r="T267" s="102" t="n"/>
      <c r="U267" s="102" t="n"/>
      <c r="V267" s="102" t="n"/>
      <c r="W267" s="102" t="n"/>
      <c r="X267" s="102" t="n"/>
      <c r="Y267" s="102" t="n"/>
      <c r="Z267" s="102" t="n"/>
      <c r="AA267" s="102" t="n"/>
      <c r="AB267" s="102" t="n"/>
      <c r="AC267" s="102" t="n"/>
      <c r="AD267" s="102">
        <f>IFERROR(__xludf.DUMMYFUNCTION("""COMPUTED_VALUE"""),"13 SM")</f>
        <v/>
      </c>
    </row>
    <row r="268" ht="16.5" customHeight="1" s="176">
      <c r="A268" s="122" t="inlineStr">
        <is>
          <t>Cintura Jean + Largo Jean</t>
        </is>
      </c>
      <c r="B268" s="123" t="inlineStr">
        <is>
          <t>32 x 38</t>
        </is>
      </c>
      <c r="C268" s="123" t="inlineStr">
        <is>
          <t>32W / 38L</t>
        </is>
      </c>
      <c r="D268" s="122" t="inlineStr">
        <is>
          <t>Igual formato (largo 38)</t>
        </is>
      </c>
      <c r="E268" s="183" t="n"/>
      <c r="F268" s="84" t="n"/>
      <c r="G268" s="84" t="n"/>
      <c r="H268" s="117" t="n"/>
      <c r="I268" s="118" t="n"/>
      <c r="J268" s="118" t="n"/>
      <c r="K268" s="84" t="n"/>
      <c r="L268" s="84" t="n"/>
      <c r="M268" s="84" t="n"/>
      <c r="N268" s="84" t="n"/>
      <c r="O268" s="84" t="n"/>
      <c r="P268" s="84" t="n"/>
      <c r="Q268" s="84" t="n"/>
      <c r="R268" s="84" t="n"/>
      <c r="S268" s="102" t="n"/>
      <c r="T268" s="102" t="n"/>
      <c r="U268" s="102" t="n"/>
      <c r="V268" s="102" t="n"/>
      <c r="W268" s="102" t="n"/>
      <c r="X268" s="102" t="n"/>
      <c r="Y268" s="102" t="n"/>
      <c r="Z268" s="102" t="n"/>
      <c r="AA268" s="102" t="n"/>
      <c r="AB268" s="102" t="n"/>
      <c r="AC268" s="102" t="n"/>
      <c r="AD268" s="102">
        <f>IFERROR(__xludf.DUMMYFUNCTION("""COMPUTED_VALUE"""),"13 SS")</f>
        <v/>
      </c>
    </row>
    <row r="269" ht="16.5" customHeight="1" s="176">
      <c r="A269" s="122" t="inlineStr">
        <is>
          <t>Cintura Jean + Largo Jean</t>
        </is>
      </c>
      <c r="B269" s="123" t="inlineStr">
        <is>
          <t>33 x 38</t>
        </is>
      </c>
      <c r="C269" s="123" t="inlineStr">
        <is>
          <t>33W / 38L</t>
        </is>
      </c>
      <c r="D269" s="122" t="inlineStr">
        <is>
          <t>Igual formato (largo 38)</t>
        </is>
      </c>
      <c r="E269" s="183" t="n"/>
      <c r="F269" s="84" t="n"/>
      <c r="G269" s="84" t="n"/>
      <c r="H269" s="117" t="n"/>
      <c r="I269" s="118" t="n"/>
      <c r="J269" s="118" t="n"/>
      <c r="K269" s="84" t="n"/>
      <c r="L269" s="84" t="n"/>
      <c r="M269" s="84" t="n"/>
      <c r="N269" s="84" t="n"/>
      <c r="O269" s="84" t="n"/>
      <c r="P269" s="84" t="n"/>
      <c r="Q269" s="84" t="n"/>
      <c r="R269" s="84" t="n"/>
      <c r="S269" s="102" t="n"/>
      <c r="T269" s="102" t="n"/>
      <c r="U269" s="102" t="n"/>
      <c r="V269" s="102" t="n"/>
      <c r="W269" s="102" t="n"/>
      <c r="X269" s="102" t="n"/>
      <c r="Y269" s="102" t="n"/>
      <c r="Z269" s="102" t="n"/>
      <c r="AA269" s="102" t="n"/>
      <c r="AB269" s="102" t="n"/>
      <c r="AC269" s="102" t="n"/>
      <c r="AD269" s="102">
        <f>IFERROR(__xludf.DUMMYFUNCTION("""COMPUTED_VALUE"""),"13 ST")</f>
        <v/>
      </c>
    </row>
    <row r="270" ht="16.5" customHeight="1" s="176">
      <c r="A270" s="122" t="inlineStr">
        <is>
          <t>Cintura Jean + Largo Jean</t>
        </is>
      </c>
      <c r="B270" s="123" t="inlineStr">
        <is>
          <t>34 x 38</t>
        </is>
      </c>
      <c r="C270" s="123" t="inlineStr">
        <is>
          <t>34W / 38L</t>
        </is>
      </c>
      <c r="D270" s="122" t="inlineStr">
        <is>
          <t>Igual formato (largo 38)</t>
        </is>
      </c>
      <c r="E270" s="183" t="n"/>
      <c r="F270" s="84" t="n"/>
      <c r="G270" s="84" t="n"/>
      <c r="H270" s="117" t="n"/>
      <c r="I270" s="118" t="n"/>
      <c r="J270" s="118" t="n"/>
      <c r="K270" s="84" t="n"/>
      <c r="L270" s="84" t="n"/>
      <c r="M270" s="84" t="n"/>
      <c r="N270" s="84" t="n"/>
      <c r="O270" s="84" t="n"/>
      <c r="P270" s="84" t="n"/>
      <c r="Q270" s="84" t="n"/>
      <c r="R270" s="84" t="n"/>
      <c r="S270" s="102" t="n"/>
      <c r="T270" s="102" t="n"/>
      <c r="U270" s="102" t="n"/>
      <c r="V270" s="102" t="n"/>
      <c r="W270" s="102" t="n"/>
      <c r="X270" s="102" t="n"/>
      <c r="Y270" s="102" t="n"/>
      <c r="Z270" s="102" t="n"/>
      <c r="AA270" s="102" t="n"/>
      <c r="AB270" s="102" t="n"/>
      <c r="AC270" s="102" t="n"/>
      <c r="AD270" s="102">
        <f>IFERROR(__xludf.DUMMYFUNCTION("""COMPUTED_VALUE"""),"14 D")</f>
        <v/>
      </c>
    </row>
    <row r="271" ht="16.5" customHeight="1" s="176">
      <c r="A271" s="122" t="inlineStr">
        <is>
          <t>Cintura Jean + Largo Jean</t>
        </is>
      </c>
      <c r="B271" s="123" t="inlineStr">
        <is>
          <t>35 x 38</t>
        </is>
      </c>
      <c r="C271" s="123" t="inlineStr">
        <is>
          <t>35W / 38L</t>
        </is>
      </c>
      <c r="D271" s="122" t="inlineStr">
        <is>
          <t>Igual formato (largo 38)</t>
        </is>
      </c>
      <c r="E271" s="183" t="n"/>
      <c r="F271" s="84" t="n"/>
      <c r="G271" s="84" t="n"/>
      <c r="H271" s="117" t="n"/>
      <c r="I271" s="118" t="n"/>
      <c r="J271" s="118" t="n"/>
      <c r="K271" s="84" t="n"/>
      <c r="L271" s="84" t="n"/>
      <c r="M271" s="84" t="n"/>
      <c r="N271" s="84" t="n"/>
      <c r="O271" s="84" t="n"/>
      <c r="P271" s="84" t="n"/>
      <c r="Q271" s="84" t="n"/>
      <c r="R271" s="84" t="n"/>
      <c r="S271" s="102" t="n"/>
      <c r="T271" s="102" t="n"/>
      <c r="U271" s="102" t="n"/>
      <c r="V271" s="102" t="n"/>
      <c r="W271" s="102" t="n"/>
      <c r="X271" s="102" t="n"/>
      <c r="Y271" s="102" t="n"/>
      <c r="Z271" s="102" t="n"/>
      <c r="AA271" s="102" t="n"/>
      <c r="AB271" s="102" t="n"/>
      <c r="AC271" s="102" t="n"/>
      <c r="AD271" s="102">
        <f>IFERROR(__xludf.DUMMYFUNCTION("""COMPUTED_VALUE"""),"14 EE")</f>
        <v/>
      </c>
    </row>
    <row r="272" ht="16.5" customHeight="1" s="176">
      <c r="A272" s="122" t="inlineStr">
        <is>
          <t>Cintura Jean + Largo Jean</t>
        </is>
      </c>
      <c r="B272" s="123" t="inlineStr">
        <is>
          <t>36 x 38</t>
        </is>
      </c>
      <c r="C272" s="123" t="inlineStr">
        <is>
          <t>36W / 38L</t>
        </is>
      </c>
      <c r="D272" s="122" t="inlineStr">
        <is>
          <t>Igual formato (largo 38)</t>
        </is>
      </c>
      <c r="E272" s="183" t="n"/>
      <c r="F272" s="84" t="n"/>
      <c r="G272" s="84" t="n"/>
      <c r="H272" s="117" t="n"/>
      <c r="I272" s="118" t="n"/>
      <c r="J272" s="118" t="n"/>
      <c r="K272" s="84" t="n"/>
      <c r="L272" s="84" t="n"/>
      <c r="M272" s="84" t="n"/>
      <c r="N272" s="84" t="n"/>
      <c r="O272" s="84" t="n"/>
      <c r="P272" s="84" t="n"/>
      <c r="Q272" s="84" t="n"/>
      <c r="R272" s="84" t="n"/>
      <c r="S272" s="102" t="n"/>
      <c r="T272" s="102" t="n"/>
      <c r="U272" s="102" t="n"/>
      <c r="V272" s="102" t="n"/>
      <c r="W272" s="102" t="n"/>
      <c r="X272" s="102" t="n"/>
      <c r="Y272" s="102" t="n"/>
      <c r="Z272" s="102" t="n"/>
      <c r="AA272" s="102" t="n"/>
      <c r="AB272" s="102" t="n"/>
      <c r="AC272" s="102" t="n"/>
      <c r="AD272" s="102">
        <f>IFERROR(__xludf.DUMMYFUNCTION("""COMPUTED_VALUE"""),"15 D")</f>
        <v/>
      </c>
    </row>
    <row r="273" ht="16.5" customHeight="1" s="176">
      <c r="A273" s="122" t="inlineStr">
        <is>
          <t>Cintura Jean + Largo Jean</t>
        </is>
      </c>
      <c r="B273" s="123" t="inlineStr">
        <is>
          <t>38 x 38</t>
        </is>
      </c>
      <c r="C273" s="123" t="inlineStr">
        <is>
          <t>38W / 38L</t>
        </is>
      </c>
      <c r="D273" s="122" t="inlineStr">
        <is>
          <t>Igual formato (largo 38)</t>
        </is>
      </c>
      <c r="E273" s="183" t="n"/>
      <c r="F273" s="84" t="n"/>
      <c r="G273" s="84" t="n"/>
      <c r="H273" s="117" t="n"/>
      <c r="I273" s="118" t="n"/>
      <c r="J273" s="118" t="n"/>
      <c r="K273" s="84" t="n"/>
      <c r="L273" s="84" t="n"/>
      <c r="M273" s="84" t="n"/>
      <c r="N273" s="84" t="n"/>
      <c r="O273" s="84" t="n"/>
      <c r="P273" s="84" t="n"/>
      <c r="Q273" s="84" t="n"/>
      <c r="R273" s="84" t="n"/>
      <c r="S273" s="102" t="n"/>
      <c r="T273" s="102" t="n"/>
      <c r="U273" s="102" t="n"/>
      <c r="V273" s="102" t="n"/>
      <c r="W273" s="102" t="n"/>
      <c r="X273" s="102" t="n"/>
      <c r="Y273" s="102" t="n"/>
      <c r="Z273" s="102" t="n"/>
      <c r="AA273" s="102" t="n"/>
      <c r="AB273" s="102" t="n"/>
      <c r="AC273" s="102" t="n"/>
      <c r="AD273" s="102">
        <f>IFERROR(__xludf.DUMMYFUNCTION("""COMPUTED_VALUE"""),"15 EE")</f>
        <v/>
      </c>
    </row>
    <row r="274" ht="16.5" customHeight="1" s="176">
      <c r="A274" s="122" t="inlineStr">
        <is>
          <t>Cintura Jean + Largo Jean</t>
        </is>
      </c>
      <c r="B274" s="123" t="inlineStr">
        <is>
          <t>40 x 38</t>
        </is>
      </c>
      <c r="C274" s="123" t="inlineStr">
        <is>
          <t>40W / 38L</t>
        </is>
      </c>
      <c r="D274" s="122" t="inlineStr">
        <is>
          <t>Igual formato (largo 38)</t>
        </is>
      </c>
      <c r="E274" s="183" t="n"/>
      <c r="F274" s="84" t="n"/>
      <c r="G274" s="84" t="n"/>
      <c r="H274" s="117" t="n"/>
      <c r="I274" s="118" t="n"/>
      <c r="J274" s="118" t="n"/>
      <c r="K274" s="84" t="n"/>
      <c r="L274" s="84" t="n"/>
      <c r="M274" s="84" t="n"/>
      <c r="N274" s="84" t="n"/>
      <c r="O274" s="84" t="n"/>
      <c r="P274" s="84" t="n"/>
      <c r="Q274" s="84" t="n"/>
      <c r="R274" s="84" t="n"/>
      <c r="S274" s="102" t="n"/>
      <c r="T274" s="102" t="n"/>
      <c r="U274" s="102" t="n"/>
      <c r="V274" s="102" t="n"/>
      <c r="W274" s="102" t="n"/>
      <c r="X274" s="102" t="n"/>
      <c r="Y274" s="102" t="n"/>
      <c r="Z274" s="102" t="n"/>
      <c r="AA274" s="102" t="n"/>
      <c r="AB274" s="102" t="n"/>
      <c r="AC274" s="102" t="n"/>
      <c r="AD274" s="102">
        <f>IFERROR(__xludf.DUMMYFUNCTION("""COMPUTED_VALUE"""),"16 D")</f>
        <v/>
      </c>
    </row>
    <row r="275" ht="16.5" customHeight="1" s="176">
      <c r="A275" s="122" t="inlineStr">
        <is>
          <t>Cintura Jean + Largo Jean</t>
        </is>
      </c>
      <c r="B275" s="123" t="inlineStr">
        <is>
          <t>42 x 38</t>
        </is>
      </c>
      <c r="C275" s="123" t="inlineStr">
        <is>
          <t>42W / 38L</t>
        </is>
      </c>
      <c r="D275" s="122" t="inlineStr">
        <is>
          <t>Igual formato (largo 38)</t>
        </is>
      </c>
      <c r="E275" s="183" t="n"/>
      <c r="F275" s="84" t="n"/>
      <c r="G275" s="84" t="n"/>
      <c r="H275" s="117" t="n"/>
      <c r="I275" s="118" t="n"/>
      <c r="J275" s="118" t="n"/>
      <c r="K275" s="84" t="n"/>
      <c r="L275" s="84" t="n"/>
      <c r="M275" s="84" t="n"/>
      <c r="N275" s="84" t="n"/>
      <c r="O275" s="84" t="n"/>
      <c r="P275" s="84" t="n"/>
      <c r="Q275" s="84" t="n"/>
      <c r="R275" s="84" t="n"/>
      <c r="S275" s="102" t="n"/>
      <c r="T275" s="102" t="n"/>
      <c r="U275" s="102" t="n"/>
      <c r="V275" s="102" t="n"/>
      <c r="W275" s="102" t="n"/>
      <c r="X275" s="102" t="n"/>
      <c r="Y275" s="102" t="n"/>
      <c r="Z275" s="102" t="n"/>
      <c r="AA275" s="102" t="n"/>
      <c r="AB275" s="102" t="n"/>
      <c r="AC275" s="102" t="n"/>
      <c r="AD275" s="102">
        <f>IFERROR(__xludf.DUMMYFUNCTION("""COMPUTED_VALUE"""),"16 EE")</f>
        <v/>
      </c>
    </row>
    <row r="276" ht="16.5" customHeight="1" s="176">
      <c r="A276" s="122" t="inlineStr">
        <is>
          <t>Cintura Jean + Largo Jean</t>
        </is>
      </c>
      <c r="B276" s="123" t="inlineStr">
        <is>
          <t>44 x 38</t>
        </is>
      </c>
      <c r="C276" s="123" t="inlineStr">
        <is>
          <t>44W / 38L</t>
        </is>
      </c>
      <c r="D276" s="122" t="inlineStr">
        <is>
          <t>Igual formato (largo 38)</t>
        </is>
      </c>
      <c r="E276" s="183" t="n"/>
      <c r="F276" s="84" t="n"/>
      <c r="G276" s="84" t="n"/>
      <c r="H276" s="117" t="n"/>
      <c r="I276" s="118" t="n"/>
      <c r="J276" s="118" t="n"/>
      <c r="K276" s="84" t="n"/>
      <c r="L276" s="84" t="n"/>
      <c r="M276" s="84" t="n"/>
      <c r="N276" s="84" t="n"/>
      <c r="O276" s="84" t="n"/>
      <c r="P276" s="84" t="n"/>
      <c r="Q276" s="84" t="n"/>
      <c r="R276" s="84" t="n"/>
      <c r="S276" s="102" t="n"/>
      <c r="T276" s="102" t="n"/>
      <c r="U276" s="102" t="n"/>
      <c r="V276" s="102" t="n"/>
      <c r="W276" s="102" t="n"/>
      <c r="X276" s="102" t="n"/>
      <c r="Y276" s="102" t="n"/>
      <c r="Z276" s="102" t="n"/>
      <c r="AA276" s="102" t="n"/>
      <c r="AB276" s="102" t="n"/>
      <c r="AC276" s="102" t="n"/>
      <c r="AD276" s="102">
        <f>IFERROR(__xludf.DUMMYFUNCTION("""COMPUTED_VALUE"""),"5 B")</f>
        <v/>
      </c>
    </row>
    <row r="277" ht="30" customHeight="1" s="176">
      <c r="A277" s="122" t="inlineStr">
        <is>
          <t>Talla Jean Dama (Regular)</t>
        </is>
      </c>
      <c r="B277" s="123" t="n">
        <v>3</v>
      </c>
      <c r="C277" s="123" t="n">
        <v>0</v>
      </c>
      <c r="D277" s="122" t="inlineStr">
        <is>
          <t>MX impar = US + 3. Cintura corporal ≈ 64 cm. La «R» (Regular) no se escribe: 0R → US 0 / MX 3.</t>
        </is>
      </c>
      <c r="E277" s="183" t="n"/>
      <c r="F277" s="84" t="n"/>
      <c r="G277" s="84" t="n"/>
      <c r="H277" s="117" t="n"/>
      <c r="I277" s="118" t="n"/>
      <c r="J277" s="118" t="n"/>
      <c r="K277" s="84" t="n"/>
      <c r="L277" s="84" t="n"/>
      <c r="M277" s="84" t="n"/>
      <c r="N277" s="84" t="n"/>
      <c r="O277" s="84" t="n"/>
      <c r="P277" s="84" t="n"/>
      <c r="Q277" s="84" t="n"/>
      <c r="R277" s="84" t="n"/>
      <c r="S277" s="102" t="n"/>
      <c r="T277" s="102" t="n"/>
      <c r="U277" s="102" t="n"/>
      <c r="V277" s="102" t="n"/>
      <c r="W277" s="102" t="n"/>
      <c r="X277" s="102" t="n"/>
      <c r="Y277" s="102" t="n"/>
      <c r="Z277" s="102" t="n"/>
      <c r="AA277" s="102" t="n"/>
      <c r="AB277" s="102" t="n"/>
      <c r="AC277" s="102" t="n"/>
      <c r="AD277" s="102">
        <f>IFERROR(__xludf.DUMMYFUNCTION("""COMPUTED_VALUE"""),"5.5 B")</f>
        <v/>
      </c>
    </row>
    <row r="278" ht="16.5" customHeight="1" s="176">
      <c r="A278" s="122" t="inlineStr">
        <is>
          <t>Talla Jean Dama (Regular)</t>
        </is>
      </c>
      <c r="B278" s="123" t="n">
        <v>5</v>
      </c>
      <c r="C278" s="123" t="n">
        <v>2</v>
      </c>
      <c r="D278" s="122" t="inlineStr">
        <is>
          <t>Cintura corporal ≈ 68 cm.</t>
        </is>
      </c>
      <c r="E278" s="183" t="n"/>
      <c r="F278" s="84" t="n"/>
      <c r="G278" s="84" t="n"/>
      <c r="H278" s="117" t="n"/>
      <c r="I278" s="118" t="n"/>
      <c r="J278" s="118" t="n"/>
      <c r="K278" s="84" t="n"/>
      <c r="L278" s="84" t="n"/>
      <c r="M278" s="84" t="n"/>
      <c r="N278" s="84" t="n"/>
      <c r="O278" s="84" t="n"/>
      <c r="P278" s="84" t="n"/>
      <c r="Q278" s="84" t="n"/>
      <c r="R278" s="84" t="n"/>
      <c r="S278" s="102" t="n"/>
      <c r="T278" s="102" t="n"/>
      <c r="U278" s="102" t="n"/>
      <c r="V278" s="102" t="n"/>
      <c r="W278" s="102" t="n"/>
      <c r="X278" s="102" t="n"/>
      <c r="Y278" s="102" t="n"/>
      <c r="Z278" s="102" t="n"/>
      <c r="AA278" s="102" t="n"/>
      <c r="AB278" s="102" t="n"/>
      <c r="AC278" s="102" t="n"/>
      <c r="AD278" s="102">
        <f>IFERROR(__xludf.DUMMYFUNCTION("""COMPUTED_VALUE"""),"5.5 FS")</f>
        <v/>
      </c>
    </row>
    <row r="279" ht="16.5" customHeight="1" s="176">
      <c r="A279" s="122" t="inlineStr">
        <is>
          <t>Talla Jean Dama (Regular)</t>
        </is>
      </c>
      <c r="B279" s="123" t="n">
        <v>7</v>
      </c>
      <c r="C279" s="123" t="n">
        <v>4</v>
      </c>
      <c r="D279" s="122" t="inlineStr">
        <is>
          <t>Cintura corporal ≈ 72 cm.</t>
        </is>
      </c>
      <c r="E279" s="183" t="n"/>
      <c r="F279" s="84" t="n"/>
      <c r="G279" s="84" t="n"/>
      <c r="H279" s="117" t="n"/>
      <c r="I279" s="118" t="n"/>
      <c r="J279" s="118" t="n"/>
      <c r="K279" s="84" t="n"/>
      <c r="L279" s="84" t="n"/>
      <c r="M279" s="84" t="n"/>
      <c r="N279" s="84" t="n"/>
      <c r="O279" s="84" t="n"/>
      <c r="P279" s="84" t="n"/>
      <c r="Q279" s="84" t="n"/>
      <c r="R279" s="84" t="n"/>
      <c r="S279" s="102" t="n"/>
      <c r="T279" s="102" t="n"/>
      <c r="U279" s="102" t="n"/>
      <c r="V279" s="102" t="n"/>
      <c r="W279" s="102" t="n"/>
      <c r="X279" s="102" t="n"/>
      <c r="Y279" s="102" t="n"/>
      <c r="Z279" s="102" t="n"/>
      <c r="AA279" s="102" t="n"/>
      <c r="AB279" s="102" t="n"/>
      <c r="AC279" s="102" t="n"/>
      <c r="AD279" s="102">
        <f>IFERROR(__xludf.DUMMYFUNCTION("""COMPUTED_VALUE"""),"5.5 RM")</f>
        <v/>
      </c>
    </row>
    <row r="280" ht="16.5" customHeight="1" s="176">
      <c r="A280" s="122" t="inlineStr">
        <is>
          <t>Talla Jean Dama (Regular)</t>
        </is>
      </c>
      <c r="B280" s="123" t="n">
        <v>9</v>
      </c>
      <c r="C280" s="123" t="n">
        <v>6</v>
      </c>
      <c r="D280" s="122" t="inlineStr">
        <is>
          <t>Cintura corporal ≈ 76 cm.</t>
        </is>
      </c>
      <c r="E280" s="183" t="n"/>
      <c r="F280" s="84" t="n"/>
      <c r="G280" s="84" t="n"/>
      <c r="H280" s="117" t="n"/>
      <c r="I280" s="118" t="n"/>
      <c r="J280" s="118" t="n"/>
      <c r="K280" s="84" t="n"/>
      <c r="L280" s="84" t="n"/>
      <c r="M280" s="84" t="n"/>
      <c r="N280" s="84" t="n"/>
      <c r="O280" s="84" t="n"/>
      <c r="P280" s="84" t="n"/>
      <c r="Q280" s="84" t="n"/>
      <c r="R280" s="84" t="n"/>
      <c r="S280" s="102" t="n"/>
      <c r="T280" s="102" t="n"/>
      <c r="U280" s="102" t="n"/>
      <c r="V280" s="102" t="n"/>
      <c r="W280" s="102" t="n"/>
      <c r="X280" s="102" t="n"/>
      <c r="Y280" s="102" t="n"/>
      <c r="Z280" s="102" t="n"/>
      <c r="AA280" s="102" t="n"/>
      <c r="AB280" s="102" t="n"/>
      <c r="AC280" s="102" t="n"/>
      <c r="AD280" s="102">
        <f>IFERROR(__xludf.DUMMYFUNCTION("""COMPUTED_VALUE"""),"5.5 RS")</f>
        <v/>
      </c>
    </row>
    <row r="281" ht="16.5" customHeight="1" s="176">
      <c r="A281" s="122" t="inlineStr">
        <is>
          <t>Talla Jean Dama (Regular)</t>
        </is>
      </c>
      <c r="B281" s="123" t="n">
        <v>11</v>
      </c>
      <c r="C281" s="123" t="n">
        <v>8</v>
      </c>
      <c r="D281" s="122" t="inlineStr">
        <is>
          <t>Cintura corporal ≈ 80 cm.</t>
        </is>
      </c>
      <c r="E281" s="183" t="n"/>
      <c r="F281" s="84" t="n"/>
      <c r="G281" s="84" t="n"/>
      <c r="H281" s="117" t="n"/>
      <c r="I281" s="118" t="n"/>
      <c r="J281" s="118" t="n"/>
      <c r="K281" s="84" t="n"/>
      <c r="L281" s="84" t="n"/>
      <c r="M281" s="84" t="n"/>
      <c r="N281" s="84" t="n"/>
      <c r="O281" s="84" t="n"/>
      <c r="P281" s="84" t="n"/>
      <c r="Q281" s="84" t="n"/>
      <c r="R281" s="84" t="n"/>
      <c r="S281" s="102" t="n"/>
      <c r="T281" s="102" t="n"/>
      <c r="U281" s="102" t="n"/>
      <c r="V281" s="102" t="n"/>
      <c r="W281" s="102" t="n"/>
      <c r="X281" s="102" t="n"/>
      <c r="Y281" s="102" t="n"/>
      <c r="Z281" s="102" t="n"/>
      <c r="AA281" s="102" t="n"/>
      <c r="AB281" s="102" t="n"/>
      <c r="AC281" s="102" t="n"/>
      <c r="AD281" s="102">
        <f>IFERROR(__xludf.DUMMYFUNCTION("""COMPUTED_VALUE"""),"5.5 SM")</f>
        <v/>
      </c>
    </row>
    <row r="282" ht="16.5" customHeight="1" s="176">
      <c r="A282" s="122" t="inlineStr">
        <is>
          <t>Talla Jean Dama (Regular)</t>
        </is>
      </c>
      <c r="B282" s="123" t="n">
        <v>13</v>
      </c>
      <c r="C282" s="123" t="n">
        <v>10</v>
      </c>
      <c r="D282" s="122" t="inlineStr">
        <is>
          <t>Cintura corporal ≈ 84 cm.</t>
        </is>
      </c>
      <c r="E282" s="183" t="n"/>
      <c r="F282" s="84" t="n"/>
      <c r="G282" s="84" t="n"/>
      <c r="H282" s="117" t="n"/>
      <c r="I282" s="118" t="n"/>
      <c r="J282" s="118" t="n"/>
      <c r="K282" s="84" t="n"/>
      <c r="L282" s="84" t="n"/>
      <c r="M282" s="84" t="n"/>
      <c r="N282" s="84" t="n"/>
      <c r="O282" s="84" t="n"/>
      <c r="P282" s="84" t="n"/>
      <c r="Q282" s="84" t="n"/>
      <c r="R282" s="84" t="n"/>
      <c r="S282" s="102" t="n"/>
      <c r="T282" s="102" t="n"/>
      <c r="U282" s="102" t="n"/>
      <c r="V282" s="102" t="n"/>
      <c r="W282" s="102" t="n"/>
      <c r="X282" s="102" t="n"/>
      <c r="Y282" s="102" t="n"/>
      <c r="Z282" s="102" t="n"/>
      <c r="AA282" s="102" t="n"/>
      <c r="AB282" s="102" t="n"/>
      <c r="AC282" s="102" t="n"/>
      <c r="AD282" s="102">
        <f>IFERROR(__xludf.DUMMYFUNCTION("""COMPUTED_VALUE"""),"5.5 SS")</f>
        <v/>
      </c>
    </row>
    <row r="283" ht="16.5" customHeight="1" s="176">
      <c r="A283" s="122" t="inlineStr">
        <is>
          <t>Talla Jean Dama (Regular)</t>
        </is>
      </c>
      <c r="B283" s="123" t="n">
        <v>15</v>
      </c>
      <c r="C283" s="123" t="n">
        <v>12</v>
      </c>
      <c r="D283" s="122" t="inlineStr">
        <is>
          <t>Cintura corporal ≈ 88 cm.</t>
        </is>
      </c>
      <c r="E283" s="183" t="n"/>
      <c r="F283" s="84" t="n"/>
      <c r="G283" s="84" t="n"/>
      <c r="H283" s="117" t="n"/>
      <c r="I283" s="118" t="n"/>
      <c r="J283" s="118" t="n"/>
      <c r="K283" s="84" t="n"/>
      <c r="L283" s="84" t="n"/>
      <c r="M283" s="84" t="n"/>
      <c r="N283" s="84" t="n"/>
      <c r="O283" s="84" t="n"/>
      <c r="P283" s="84" t="n"/>
      <c r="Q283" s="84" t="n"/>
      <c r="R283" s="84" t="n"/>
      <c r="S283" s="102" t="n"/>
      <c r="T283" s="102" t="n"/>
      <c r="U283" s="102" t="n"/>
      <c r="V283" s="102" t="n"/>
      <c r="W283" s="102" t="n"/>
      <c r="X283" s="102" t="n"/>
      <c r="Y283" s="102" t="n"/>
      <c r="Z283" s="102" t="n"/>
      <c r="AA283" s="102" t="n"/>
      <c r="AB283" s="102" t="n"/>
      <c r="AC283" s="102" t="n"/>
      <c r="AD283" s="102">
        <f>IFERROR(__xludf.DUMMYFUNCTION("""COMPUTED_VALUE"""),"5.5 WS")</f>
        <v/>
      </c>
    </row>
    <row r="284" ht="16.5" customHeight="1" s="176">
      <c r="A284" s="122" t="inlineStr">
        <is>
          <t>Talla Jean Dama (Regular)</t>
        </is>
      </c>
      <c r="B284" s="123" t="n">
        <v>17</v>
      </c>
      <c r="C284" s="123" t="n">
        <v>14</v>
      </c>
      <c r="D284" s="122" t="inlineStr">
        <is>
          <t>Cintura corporal ≈ 92 cm.</t>
        </is>
      </c>
      <c r="E284" s="183" t="n"/>
      <c r="F284" s="84" t="n"/>
      <c r="G284" s="84" t="n"/>
      <c r="H284" s="117" t="n"/>
      <c r="I284" s="118" t="n"/>
      <c r="J284" s="118" t="n"/>
      <c r="K284" s="84" t="n"/>
      <c r="L284" s="84" t="n"/>
      <c r="M284" s="84" t="n"/>
      <c r="N284" s="84" t="n"/>
      <c r="O284" s="84" t="n"/>
      <c r="P284" s="84" t="n"/>
      <c r="Q284" s="84" t="n"/>
      <c r="R284" s="84" t="n"/>
      <c r="S284" s="102" t="n"/>
      <c r="T284" s="102" t="n"/>
      <c r="U284" s="102" t="n"/>
      <c r="V284" s="102" t="n"/>
      <c r="W284" s="102" t="n"/>
      <c r="X284" s="102" t="n"/>
      <c r="Y284" s="102" t="n"/>
      <c r="Z284" s="102" t="n"/>
      <c r="AA284" s="102" t="n"/>
      <c r="AB284" s="102" t="n"/>
      <c r="AC284" s="102" t="n"/>
      <c r="AD284" s="102">
        <f>IFERROR(__xludf.DUMMYFUNCTION("""COMPUTED_VALUE"""),"5.5 XSM")</f>
        <v/>
      </c>
    </row>
    <row r="285" ht="16.5" customHeight="1" s="176">
      <c r="A285" s="122" t="inlineStr">
        <is>
          <t>Talla Jean Dama (Regular)</t>
        </is>
      </c>
      <c r="B285" s="123" t="n">
        <v>19</v>
      </c>
      <c r="C285" s="123" t="n">
        <v>16</v>
      </c>
      <c r="D285" s="122" t="inlineStr">
        <is>
          <t>Cintura corporal ≈ 96 cm.</t>
        </is>
      </c>
      <c r="E285" s="183" t="n"/>
      <c r="F285" s="84" t="n"/>
      <c r="G285" s="84" t="n"/>
      <c r="H285" s="117" t="n"/>
      <c r="I285" s="118" t="n"/>
      <c r="J285" s="118" t="n"/>
      <c r="K285" s="84" t="n"/>
      <c r="L285" s="84" t="n"/>
      <c r="M285" s="84" t="n"/>
      <c r="N285" s="84" t="n"/>
      <c r="O285" s="84" t="n"/>
      <c r="P285" s="84" t="n"/>
      <c r="Q285" s="84" t="n"/>
      <c r="R285" s="84" t="n"/>
      <c r="S285" s="102" t="n"/>
      <c r="T285" s="102" t="n"/>
      <c r="U285" s="102" t="n"/>
      <c r="V285" s="102" t="n"/>
      <c r="W285" s="102" t="n"/>
      <c r="X285" s="102" t="n"/>
      <c r="Y285" s="102" t="n"/>
      <c r="Z285" s="102" t="n"/>
      <c r="AA285" s="102" t="n"/>
      <c r="AB285" s="102" t="n"/>
      <c r="AC285" s="102" t="n"/>
      <c r="AD285" s="102">
        <f>IFERROR(__xludf.DUMMYFUNCTION("""COMPUTED_VALUE"""),"6 B")</f>
        <v/>
      </c>
    </row>
    <row r="286" ht="30" customHeight="1" s="176">
      <c r="A286" s="122" t="inlineStr">
        <is>
          <t>Talla Jean Dama (Largo)</t>
        </is>
      </c>
      <c r="B286" s="123" t="inlineStr">
        <is>
          <t>3 Largo</t>
        </is>
      </c>
      <c r="C286" s="123" t="inlineStr">
        <is>
          <t>0 Long</t>
        </is>
      </c>
      <c r="D286" s="122" t="inlineStr">
        <is>
          <t>Mismas tallas con entrepierna larga (≈34 in vs 32 in Regular). 4L → MX «7 Largo» / US «4 Long».</t>
        </is>
      </c>
      <c r="E286" s="183" t="n"/>
      <c r="F286" s="84" t="n"/>
      <c r="G286" s="84" t="n"/>
      <c r="H286" s="117" t="n"/>
      <c r="I286" s="118" t="n"/>
      <c r="J286" s="118" t="n"/>
      <c r="K286" s="84" t="n"/>
      <c r="L286" s="84" t="n"/>
      <c r="M286" s="84" t="n"/>
      <c r="N286" s="84" t="n"/>
      <c r="O286" s="84" t="n"/>
      <c r="P286" s="84" t="n"/>
      <c r="Q286" s="84" t="n"/>
      <c r="R286" s="84" t="n"/>
      <c r="S286" s="102" t="n"/>
      <c r="T286" s="102" t="n"/>
      <c r="U286" s="102" t="n"/>
      <c r="V286" s="102" t="n"/>
      <c r="W286" s="102" t="n"/>
      <c r="X286" s="102" t="n"/>
      <c r="Y286" s="102" t="n"/>
      <c r="Z286" s="102" t="n"/>
      <c r="AA286" s="102" t="n"/>
      <c r="AB286" s="102" t="n"/>
      <c r="AC286" s="102" t="n"/>
      <c r="AD286" s="102">
        <f>IFERROR(__xludf.DUMMYFUNCTION("""COMPUTED_VALUE"""),"6 C")</f>
        <v/>
      </c>
    </row>
    <row r="287" ht="16.5" customHeight="1" s="176">
      <c r="A287" s="122" t="inlineStr">
        <is>
          <t>Talla Jean Dama (Largo)</t>
        </is>
      </c>
      <c r="B287" s="123" t="inlineStr">
        <is>
          <t>5 Largo</t>
        </is>
      </c>
      <c r="C287" s="123" t="inlineStr">
        <is>
          <t>2 Long</t>
        </is>
      </c>
      <c r="D287" s="122" t="inlineStr">
        <is>
          <t>Igual regla</t>
        </is>
      </c>
      <c r="E287" s="183" t="n"/>
      <c r="F287" s="84" t="n"/>
      <c r="G287" s="84" t="n"/>
      <c r="H287" s="117" t="n"/>
      <c r="I287" s="118" t="n"/>
      <c r="J287" s="118" t="n"/>
      <c r="K287" s="84" t="n"/>
      <c r="L287" s="84" t="n"/>
      <c r="M287" s="84" t="n"/>
      <c r="N287" s="84" t="n"/>
      <c r="O287" s="84" t="n"/>
      <c r="P287" s="84" t="n"/>
      <c r="Q287" s="84" t="n"/>
      <c r="R287" s="84" t="n"/>
      <c r="S287" s="102" t="n"/>
      <c r="T287" s="102" t="n"/>
      <c r="U287" s="102" t="n"/>
      <c r="V287" s="102" t="n"/>
      <c r="W287" s="102" t="n"/>
      <c r="X287" s="102" t="n"/>
      <c r="Y287" s="102" t="n"/>
      <c r="Z287" s="102" t="n"/>
      <c r="AA287" s="102" t="n"/>
      <c r="AB287" s="102" t="n"/>
      <c r="AC287" s="102" t="n"/>
      <c r="AD287" s="102">
        <f>IFERROR(__xludf.DUMMYFUNCTION("""COMPUTED_VALUE"""),"6 FS")</f>
        <v/>
      </c>
    </row>
    <row r="288" ht="16.5" customHeight="1" s="176">
      <c r="A288" s="122" t="inlineStr">
        <is>
          <t>Talla Jean Dama (Largo)</t>
        </is>
      </c>
      <c r="B288" s="123" t="inlineStr">
        <is>
          <t>7 Largo</t>
        </is>
      </c>
      <c r="C288" s="123" t="inlineStr">
        <is>
          <t>4 Long</t>
        </is>
      </c>
      <c r="D288" s="122" t="inlineStr">
        <is>
          <t>Igual regla</t>
        </is>
      </c>
      <c r="E288" s="183" t="n"/>
      <c r="F288" s="84" t="n"/>
      <c r="G288" s="84" t="n"/>
      <c r="H288" s="117" t="n"/>
      <c r="I288" s="118" t="n"/>
      <c r="J288" s="118" t="n"/>
      <c r="K288" s="84" t="n"/>
      <c r="L288" s="84" t="n"/>
      <c r="M288" s="84" t="n"/>
      <c r="N288" s="84" t="n"/>
      <c r="O288" s="84" t="n"/>
      <c r="P288" s="84" t="n"/>
      <c r="Q288" s="84" t="n"/>
      <c r="R288" s="84" t="n"/>
      <c r="S288" s="102" t="n"/>
      <c r="T288" s="102" t="n"/>
      <c r="U288" s="102" t="n"/>
      <c r="V288" s="102" t="n"/>
      <c r="W288" s="102" t="n"/>
      <c r="X288" s="102" t="n"/>
      <c r="Y288" s="102" t="n"/>
      <c r="Z288" s="102" t="n"/>
      <c r="AA288" s="102" t="n"/>
      <c r="AB288" s="102" t="n"/>
      <c r="AC288" s="102" t="n"/>
      <c r="AD288" s="102">
        <f>IFERROR(__xludf.DUMMYFUNCTION("""COMPUTED_VALUE"""),"6 RM")</f>
        <v/>
      </c>
    </row>
    <row r="289" ht="16.5" customHeight="1" s="176">
      <c r="A289" s="122" t="inlineStr">
        <is>
          <t>Talla Jean Dama (Largo)</t>
        </is>
      </c>
      <c r="B289" s="123" t="inlineStr">
        <is>
          <t>9 Largo</t>
        </is>
      </c>
      <c r="C289" s="123" t="inlineStr">
        <is>
          <t>6 Long</t>
        </is>
      </c>
      <c r="D289" s="122" t="inlineStr">
        <is>
          <t>Igual regla</t>
        </is>
      </c>
      <c r="E289" s="183" t="n"/>
      <c r="F289" s="84" t="n"/>
      <c r="G289" s="84" t="n"/>
      <c r="H289" s="117" t="n"/>
      <c r="I289" s="118" t="n"/>
      <c r="J289" s="118" t="n"/>
      <c r="K289" s="84" t="n"/>
      <c r="L289" s="84" t="n"/>
      <c r="M289" s="84" t="n"/>
      <c r="N289" s="84" t="n"/>
      <c r="O289" s="84" t="n"/>
      <c r="P289" s="84" t="n"/>
      <c r="Q289" s="84" t="n"/>
      <c r="R289" s="84" t="n"/>
      <c r="S289" s="102" t="n"/>
      <c r="T289" s="102" t="n"/>
      <c r="U289" s="102" t="n"/>
      <c r="V289" s="102" t="n"/>
      <c r="W289" s="102" t="n"/>
      <c r="X289" s="102" t="n"/>
      <c r="Y289" s="102" t="n"/>
      <c r="Z289" s="102" t="n"/>
      <c r="AA289" s="102" t="n"/>
      <c r="AB289" s="102" t="n"/>
      <c r="AC289" s="102" t="n"/>
      <c r="AD289" s="102">
        <f>IFERROR(__xludf.DUMMYFUNCTION("""COMPUTED_VALUE"""),"6 RS")</f>
        <v/>
      </c>
    </row>
    <row r="290" ht="16.5" customHeight="1" s="176">
      <c r="A290" s="122" t="inlineStr">
        <is>
          <t>Talla Jean Dama (Largo)</t>
        </is>
      </c>
      <c r="B290" s="123" t="inlineStr">
        <is>
          <t>11 Largo</t>
        </is>
      </c>
      <c r="C290" s="123" t="inlineStr">
        <is>
          <t>8 Long</t>
        </is>
      </c>
      <c r="D290" s="122" t="inlineStr">
        <is>
          <t>Igual regla</t>
        </is>
      </c>
      <c r="E290" s="183" t="n"/>
      <c r="F290" s="84" t="n"/>
      <c r="G290" s="84" t="n"/>
      <c r="H290" s="117" t="n"/>
      <c r="I290" s="118" t="n"/>
      <c r="J290" s="118" t="n"/>
      <c r="K290" s="84" t="n"/>
      <c r="L290" s="84" t="n"/>
      <c r="M290" s="84" t="n"/>
      <c r="N290" s="84" t="n"/>
      <c r="O290" s="84" t="n"/>
      <c r="P290" s="84" t="n"/>
      <c r="Q290" s="84" t="n"/>
      <c r="R290" s="84" t="n"/>
      <c r="S290" s="102" t="n"/>
      <c r="T290" s="102" t="n"/>
      <c r="U290" s="102" t="n"/>
      <c r="V290" s="102" t="n"/>
      <c r="W290" s="102" t="n"/>
      <c r="X290" s="102" t="n"/>
      <c r="Y290" s="102" t="n"/>
      <c r="Z290" s="102" t="n"/>
      <c r="AA290" s="102" t="n"/>
      <c r="AB290" s="102" t="n"/>
      <c r="AC290" s="102" t="n"/>
      <c r="AD290" s="102">
        <f>IFERROR(__xludf.DUMMYFUNCTION("""COMPUTED_VALUE"""),"6 SM")</f>
        <v/>
      </c>
    </row>
    <row r="291" ht="16.5" customHeight="1" s="176">
      <c r="A291" s="122" t="inlineStr">
        <is>
          <t>Talla Jean Dama (Largo)</t>
        </is>
      </c>
      <c r="B291" s="123" t="inlineStr">
        <is>
          <t>13 Largo</t>
        </is>
      </c>
      <c r="C291" s="123" t="inlineStr">
        <is>
          <t>10 Long</t>
        </is>
      </c>
      <c r="D291" s="122" t="inlineStr">
        <is>
          <t>Igual regla</t>
        </is>
      </c>
      <c r="E291" s="183" t="n"/>
      <c r="F291" s="84" t="n"/>
      <c r="G291" s="84" t="n"/>
      <c r="H291" s="117" t="n"/>
      <c r="I291" s="118" t="n"/>
      <c r="J291" s="118" t="n"/>
      <c r="K291" s="84" t="n"/>
      <c r="L291" s="84" t="n"/>
      <c r="M291" s="84" t="n"/>
      <c r="N291" s="84" t="n"/>
      <c r="O291" s="84" t="n"/>
      <c r="P291" s="84" t="n"/>
      <c r="Q291" s="84" t="n"/>
      <c r="R291" s="84" t="n"/>
      <c r="S291" s="102" t="n"/>
      <c r="T291" s="102" t="n"/>
      <c r="U291" s="102" t="n"/>
      <c r="V291" s="102" t="n"/>
      <c r="W291" s="102" t="n"/>
      <c r="X291" s="102" t="n"/>
      <c r="Y291" s="102" t="n"/>
      <c r="Z291" s="102" t="n"/>
      <c r="AA291" s="102" t="n"/>
      <c r="AB291" s="102" t="n"/>
      <c r="AC291" s="102" t="n"/>
      <c r="AD291" s="102">
        <f>IFERROR(__xludf.DUMMYFUNCTION("""COMPUTED_VALUE"""),"6 SS")</f>
        <v/>
      </c>
    </row>
    <row r="292" ht="16.5" customHeight="1" s="176">
      <c r="A292" s="122" t="inlineStr">
        <is>
          <t>Talla Jean Dama (Largo)</t>
        </is>
      </c>
      <c r="B292" s="123" t="inlineStr">
        <is>
          <t>15 Largo</t>
        </is>
      </c>
      <c r="C292" s="123" t="inlineStr">
        <is>
          <t>12 Long</t>
        </is>
      </c>
      <c r="D292" s="122" t="inlineStr">
        <is>
          <t>Igual regla</t>
        </is>
      </c>
      <c r="E292" s="183" t="n"/>
      <c r="F292" s="84" t="n"/>
      <c r="G292" s="84" t="n"/>
      <c r="H292" s="117" t="n"/>
      <c r="I292" s="118" t="n"/>
      <c r="J292" s="118" t="n"/>
      <c r="K292" s="84" t="n"/>
      <c r="L292" s="84" t="n"/>
      <c r="M292" s="84" t="n"/>
      <c r="N292" s="84" t="n"/>
      <c r="O292" s="84" t="n"/>
      <c r="P292" s="84" t="n"/>
      <c r="Q292" s="84" t="n"/>
      <c r="R292" s="84" t="n"/>
      <c r="S292" s="102" t="n"/>
      <c r="T292" s="102" t="n"/>
      <c r="U292" s="102" t="n"/>
      <c r="V292" s="102" t="n"/>
      <c r="W292" s="102" t="n"/>
      <c r="X292" s="102" t="n"/>
      <c r="Y292" s="102" t="n"/>
      <c r="Z292" s="102" t="n"/>
      <c r="AA292" s="102" t="n"/>
      <c r="AB292" s="102" t="n"/>
      <c r="AC292" s="102" t="n"/>
      <c r="AD292" s="102">
        <f>IFERROR(__xludf.DUMMYFUNCTION("""COMPUTED_VALUE"""),"6 ST")</f>
        <v/>
      </c>
    </row>
    <row r="293" ht="16.5" customHeight="1" s="176">
      <c r="A293" s="122" t="inlineStr">
        <is>
          <t>Talla Jean Dama (Largo)</t>
        </is>
      </c>
      <c r="B293" s="123" t="inlineStr">
        <is>
          <t>17 Largo</t>
        </is>
      </c>
      <c r="C293" s="123" t="inlineStr">
        <is>
          <t>14 Long</t>
        </is>
      </c>
      <c r="D293" s="122" t="inlineStr">
        <is>
          <t>Igual regla</t>
        </is>
      </c>
      <c r="E293" s="183" t="n"/>
      <c r="F293" s="84" t="n"/>
      <c r="G293" s="84" t="n"/>
      <c r="H293" s="117" t="n"/>
      <c r="I293" s="118" t="n"/>
      <c r="J293" s="118" t="n"/>
      <c r="K293" s="84" t="n"/>
      <c r="L293" s="84" t="n"/>
      <c r="M293" s="84" t="n"/>
      <c r="N293" s="84" t="n"/>
      <c r="O293" s="84" t="n"/>
      <c r="P293" s="84" t="n"/>
      <c r="Q293" s="84" t="n"/>
      <c r="R293" s="84" t="n"/>
      <c r="S293" s="102" t="n"/>
      <c r="T293" s="102" t="n"/>
      <c r="U293" s="102" t="n"/>
      <c r="V293" s="102" t="n"/>
      <c r="W293" s="102" t="n"/>
      <c r="X293" s="102" t="n"/>
      <c r="Y293" s="102" t="n"/>
      <c r="Z293" s="102" t="n"/>
      <c r="AA293" s="102" t="n"/>
      <c r="AB293" s="102" t="n"/>
      <c r="AC293" s="102" t="n"/>
      <c r="AD293" s="102">
        <f>IFERROR(__xludf.DUMMYFUNCTION("""COMPUTED_VALUE"""),"6 WS")</f>
        <v/>
      </c>
    </row>
    <row r="294" ht="16.5" customHeight="1" s="176">
      <c r="A294" s="122" t="inlineStr">
        <is>
          <t>Talla Jean Dama (Largo)</t>
        </is>
      </c>
      <c r="B294" s="123" t="inlineStr">
        <is>
          <t>19 Largo</t>
        </is>
      </c>
      <c r="C294" s="123" t="inlineStr">
        <is>
          <t>16 Long</t>
        </is>
      </c>
      <c r="D294" s="122" t="inlineStr">
        <is>
          <t>Igual regla</t>
        </is>
      </c>
      <c r="E294" s="183" t="n"/>
      <c r="F294" s="84" t="n"/>
      <c r="G294" s="84" t="n"/>
      <c r="H294" s="117" t="n"/>
      <c r="I294" s="118" t="n"/>
      <c r="J294" s="118" t="n"/>
      <c r="K294" s="84" t="n"/>
      <c r="L294" s="84" t="n"/>
      <c r="M294" s="84" t="n"/>
      <c r="N294" s="84" t="n"/>
      <c r="O294" s="84" t="n"/>
      <c r="P294" s="84" t="n"/>
      <c r="Q294" s="84" t="n"/>
      <c r="R294" s="84" t="n"/>
      <c r="S294" s="102" t="n"/>
      <c r="T294" s="102" t="n"/>
      <c r="U294" s="102" t="n"/>
      <c r="V294" s="102" t="n"/>
      <c r="W294" s="102" t="n"/>
      <c r="X294" s="102" t="n"/>
      <c r="Y294" s="102" t="n"/>
      <c r="Z294" s="102" t="n"/>
      <c r="AA294" s="102" t="n"/>
      <c r="AB294" s="102" t="n"/>
      <c r="AC294" s="102" t="n"/>
      <c r="AD294" s="102">
        <f>IFERROR(__xludf.DUMMYFUNCTION("""COMPUTED_VALUE"""),"6 XSM")</f>
        <v/>
      </c>
    </row>
    <row r="295" ht="16.5" customHeight="1" s="176">
      <c r="A295" s="122" t="inlineStr">
        <is>
          <t>Talla Sombrero</t>
        </is>
      </c>
      <c r="B295" s="124" t="inlineStr">
        <is>
          <t>6 3/4</t>
        </is>
      </c>
      <c r="C295" s="124" t="inlineStr">
        <is>
          <t>6 3/4</t>
        </is>
      </c>
      <c r="D295" s="122" t="inlineStr">
        <is>
          <t>Igual (fracción US) · ≈ 54 cm</t>
        </is>
      </c>
      <c r="E295" s="183" t="n"/>
      <c r="F295" s="84" t="n"/>
      <c r="G295" s="84" t="n"/>
      <c r="H295" s="117" t="n"/>
      <c r="I295" s="118" t="n"/>
      <c r="J295" s="118" t="n"/>
      <c r="K295" s="84" t="n"/>
      <c r="L295" s="84" t="n"/>
      <c r="M295" s="84" t="n"/>
      <c r="N295" s="84" t="n"/>
      <c r="O295" s="84" t="n"/>
      <c r="P295" s="84" t="n"/>
      <c r="Q295" s="84" t="n"/>
      <c r="R295" s="84" t="n"/>
      <c r="S295" s="102" t="n"/>
      <c r="T295" s="102" t="n"/>
      <c r="U295" s="102" t="n"/>
      <c r="V295" s="102" t="n"/>
      <c r="W295" s="102" t="n"/>
      <c r="X295" s="102" t="n"/>
      <c r="Y295" s="102" t="n"/>
      <c r="Z295" s="102" t="n"/>
      <c r="AA295" s="102" t="n"/>
      <c r="AB295" s="102" t="n"/>
      <c r="AC295" s="102" t="n"/>
      <c r="AD295" s="102">
        <f>IFERROR(__xludf.DUMMYFUNCTION("""COMPUTED_VALUE"""),"6.5 B")</f>
        <v/>
      </c>
    </row>
    <row r="296" ht="16.5" customHeight="1" s="176">
      <c r="A296" s="122" t="inlineStr">
        <is>
          <t>Talla Sombrero</t>
        </is>
      </c>
      <c r="B296" s="124" t="inlineStr">
        <is>
          <t>6 7/8</t>
        </is>
      </c>
      <c r="C296" s="124" t="inlineStr">
        <is>
          <t>6 7/8</t>
        </is>
      </c>
      <c r="D296" s="122" t="inlineStr">
        <is>
          <t>Igual (fracción US) · ≈ 55 cm</t>
        </is>
      </c>
      <c r="E296" s="183" t="n"/>
      <c r="F296" s="84" t="n"/>
      <c r="G296" s="84" t="n"/>
      <c r="H296" s="117" t="n"/>
      <c r="I296" s="118" t="n"/>
      <c r="J296" s="118" t="n"/>
      <c r="K296" s="84" t="n"/>
      <c r="L296" s="84" t="n"/>
      <c r="M296" s="84" t="n"/>
      <c r="N296" s="84" t="n"/>
      <c r="O296" s="84" t="n"/>
      <c r="P296" s="84" t="n"/>
      <c r="Q296" s="84" t="n"/>
      <c r="R296" s="84" t="n"/>
      <c r="S296" s="102" t="n"/>
      <c r="T296" s="102" t="n"/>
      <c r="U296" s="102" t="n"/>
      <c r="V296" s="102" t="n"/>
      <c r="W296" s="102" t="n"/>
      <c r="X296" s="102" t="n"/>
      <c r="Y296" s="102" t="n"/>
      <c r="Z296" s="102" t="n"/>
      <c r="AA296" s="102" t="n"/>
      <c r="AB296" s="102" t="n"/>
      <c r="AC296" s="102" t="n"/>
      <c r="AD296" s="102">
        <f>IFERROR(__xludf.DUMMYFUNCTION("""COMPUTED_VALUE"""),"6.5 C")</f>
        <v/>
      </c>
    </row>
    <row r="297" ht="16.5" customHeight="1" s="176">
      <c r="A297" s="122" t="inlineStr">
        <is>
          <t>Talla Sombrero</t>
        </is>
      </c>
      <c r="B297" s="123" t="n">
        <v>7</v>
      </c>
      <c r="C297" s="123" t="n">
        <v>7</v>
      </c>
      <c r="D297" s="122" t="inlineStr">
        <is>
          <t>Igual (fracción US) · ≈ 56 cm</t>
        </is>
      </c>
      <c r="E297" s="183" t="n"/>
      <c r="F297" s="84" t="n"/>
      <c r="G297" s="84" t="n"/>
      <c r="H297" s="117" t="n"/>
      <c r="I297" s="118" t="n"/>
      <c r="J297" s="118" t="n"/>
      <c r="K297" s="84" t="n"/>
      <c r="L297" s="84" t="n"/>
      <c r="M297" s="84" t="n"/>
      <c r="N297" s="84" t="n"/>
      <c r="O297" s="84" t="n"/>
      <c r="P297" s="84" t="n"/>
      <c r="Q297" s="84" t="n"/>
      <c r="R297" s="84" t="n"/>
      <c r="S297" s="102" t="n"/>
      <c r="T297" s="102" t="n"/>
      <c r="U297" s="102" t="n"/>
      <c r="V297" s="102" t="n"/>
      <c r="W297" s="102" t="n"/>
      <c r="X297" s="102" t="n"/>
      <c r="Y297" s="102" t="n"/>
      <c r="Z297" s="102" t="n"/>
      <c r="AA297" s="102" t="n"/>
      <c r="AB297" s="102" t="n"/>
      <c r="AC297" s="102" t="n"/>
      <c r="AD297" s="102">
        <f>IFERROR(__xludf.DUMMYFUNCTION("""COMPUTED_VALUE"""),"6.5 FM")</f>
        <v/>
      </c>
    </row>
    <row r="298" ht="16.5" customHeight="1" s="176">
      <c r="A298" s="122" t="inlineStr">
        <is>
          <t>Talla Sombrero</t>
        </is>
      </c>
      <c r="B298" s="124" t="inlineStr">
        <is>
          <t>7 1/8</t>
        </is>
      </c>
      <c r="C298" s="124" t="inlineStr">
        <is>
          <t>7 1/8</t>
        </is>
      </c>
      <c r="D298" s="122" t="inlineStr">
        <is>
          <t>Igual (fracción US) · ≈ 57 cm</t>
        </is>
      </c>
      <c r="E298" s="183" t="n"/>
      <c r="F298" s="84" t="n"/>
      <c r="G298" s="84" t="n"/>
      <c r="H298" s="117" t="n"/>
      <c r="I298" s="118" t="n"/>
      <c r="J298" s="118" t="n"/>
      <c r="K298" s="84" t="n"/>
      <c r="L298" s="84" t="n"/>
      <c r="M298" s="84" t="n"/>
      <c r="N298" s="84" t="n"/>
      <c r="O298" s="84" t="n"/>
      <c r="P298" s="84" t="n"/>
      <c r="Q298" s="84" t="n"/>
      <c r="R298" s="84" t="n"/>
      <c r="S298" s="102" t="n"/>
      <c r="T298" s="102" t="n"/>
      <c r="U298" s="102" t="n"/>
      <c r="V298" s="102" t="n"/>
      <c r="W298" s="102" t="n"/>
      <c r="X298" s="102" t="n"/>
      <c r="Y298" s="102" t="n"/>
      <c r="Z298" s="102" t="n"/>
      <c r="AA298" s="102" t="n"/>
      <c r="AB298" s="102" t="n"/>
      <c r="AC298" s="102" t="n"/>
      <c r="AD298" s="102">
        <f>IFERROR(__xludf.DUMMYFUNCTION("""COMPUTED_VALUE"""),"6.5 FS")</f>
        <v/>
      </c>
    </row>
    <row r="299" ht="16.5" customHeight="1" s="176">
      <c r="A299" s="122" t="inlineStr">
        <is>
          <t>Talla Sombrero</t>
        </is>
      </c>
      <c r="B299" s="124" t="inlineStr">
        <is>
          <t>7 1/4</t>
        </is>
      </c>
      <c r="C299" s="124" t="inlineStr">
        <is>
          <t>7 1/4</t>
        </is>
      </c>
      <c r="D299" s="122" t="inlineStr">
        <is>
          <t>Igual (fracción US) · ≈ 58 cm</t>
        </is>
      </c>
      <c r="E299" s="183" t="n"/>
      <c r="F299" s="84" t="n"/>
      <c r="G299" s="84" t="n"/>
      <c r="H299" s="117" t="n"/>
      <c r="I299" s="118" t="n"/>
      <c r="J299" s="118" t="n"/>
      <c r="K299" s="84" t="n"/>
      <c r="L299" s="84" t="n"/>
      <c r="M299" s="84" t="n"/>
      <c r="N299" s="84" t="n"/>
      <c r="O299" s="84" t="n"/>
      <c r="P299" s="84" t="n"/>
      <c r="Q299" s="84" t="n"/>
      <c r="R299" s="84" t="n"/>
      <c r="S299" s="102" t="n"/>
      <c r="T299" s="102" t="n"/>
      <c r="U299" s="102" t="n"/>
      <c r="V299" s="102" t="n"/>
      <c r="W299" s="102" t="n"/>
      <c r="X299" s="102" t="n"/>
      <c r="Y299" s="102" t="n"/>
      <c r="Z299" s="102" t="n"/>
      <c r="AA299" s="102" t="n"/>
      <c r="AB299" s="102" t="n"/>
      <c r="AC299" s="102" t="n"/>
      <c r="AD299" s="102">
        <f>IFERROR(__xludf.DUMMYFUNCTION("""COMPUTED_VALUE"""),"6.5 RM")</f>
        <v/>
      </c>
    </row>
    <row r="300" ht="16.5" customHeight="1" s="176">
      <c r="A300" s="122" t="inlineStr">
        <is>
          <t>Talla Sombrero</t>
        </is>
      </c>
      <c r="B300" s="124" t="inlineStr">
        <is>
          <t>7 3/8</t>
        </is>
      </c>
      <c r="C300" s="124" t="inlineStr">
        <is>
          <t>7 3/8</t>
        </is>
      </c>
      <c r="D300" s="122" t="inlineStr">
        <is>
          <t>Igual (fracción US) · ≈ 59 cm</t>
        </is>
      </c>
      <c r="E300" s="183" t="n"/>
      <c r="F300" s="84" t="n"/>
      <c r="G300" s="84" t="n"/>
      <c r="H300" s="117" t="n"/>
      <c r="I300" s="118" t="n"/>
      <c r="J300" s="118" t="n"/>
      <c r="K300" s="84" t="n"/>
      <c r="L300" s="84" t="n"/>
      <c r="M300" s="84" t="n"/>
      <c r="N300" s="84" t="n"/>
      <c r="O300" s="84" t="n"/>
      <c r="P300" s="84" t="n"/>
      <c r="Q300" s="84" t="n"/>
      <c r="R300" s="84" t="n"/>
      <c r="S300" s="102" t="n"/>
      <c r="T300" s="102" t="n"/>
      <c r="U300" s="102" t="n"/>
      <c r="V300" s="102" t="n"/>
      <c r="W300" s="102" t="n"/>
      <c r="X300" s="102" t="n"/>
      <c r="Y300" s="102" t="n"/>
      <c r="Z300" s="102" t="n"/>
      <c r="AA300" s="102" t="n"/>
      <c r="AB300" s="102" t="n"/>
      <c r="AC300" s="102" t="n"/>
      <c r="AD300" s="102">
        <f>IFERROR(__xludf.DUMMYFUNCTION("""COMPUTED_VALUE"""),"6.5 RS")</f>
        <v/>
      </c>
    </row>
    <row r="301" ht="16.5" customHeight="1" s="176">
      <c r="A301" s="122" t="inlineStr">
        <is>
          <t>Talla Sombrero</t>
        </is>
      </c>
      <c r="B301" s="124" t="inlineStr">
        <is>
          <t>7 1/2</t>
        </is>
      </c>
      <c r="C301" s="124" t="inlineStr">
        <is>
          <t>7 1/2</t>
        </is>
      </c>
      <c r="D301" s="122" t="inlineStr">
        <is>
          <t>Igual (fracción US) · ≈ 60 cm</t>
        </is>
      </c>
      <c r="E301" s="183" t="n"/>
      <c r="F301" s="84" t="n"/>
      <c r="G301" s="84" t="n"/>
      <c r="H301" s="84" t="n"/>
      <c r="I301" s="84" t="n"/>
      <c r="J301" s="84" t="n"/>
      <c r="K301" s="84" t="n"/>
      <c r="L301" s="84" t="n"/>
      <c r="M301" s="84" t="n"/>
      <c r="N301" s="84" t="n"/>
      <c r="O301" s="84" t="n"/>
      <c r="P301" s="84" t="n"/>
      <c r="Q301" s="84" t="n"/>
      <c r="R301" s="84" t="n"/>
      <c r="S301" s="84" t="n"/>
      <c r="T301" s="84" t="n"/>
      <c r="U301" s="84" t="n"/>
      <c r="V301" s="84" t="n"/>
      <c r="W301" s="84" t="n"/>
      <c r="X301" s="84" t="n"/>
      <c r="Y301" s="84" t="n"/>
      <c r="Z301" s="84" t="n"/>
      <c r="AA301" s="84" t="n"/>
      <c r="AB301" s="84" t="n"/>
      <c r="AC301" s="84" t="n"/>
      <c r="AD301" s="84">
        <f>IFERROR(__xludf.DUMMYFUNCTION("""COMPUTED_VALUE"""),"6.5 SM")</f>
        <v/>
      </c>
    </row>
    <row r="302" ht="16.5" customHeight="1" s="176">
      <c r="A302" s="122" t="inlineStr">
        <is>
          <t>Talla Sombrero</t>
        </is>
      </c>
      <c r="B302" s="124" t="inlineStr">
        <is>
          <t>7 5/8</t>
        </is>
      </c>
      <c r="C302" s="124" t="inlineStr">
        <is>
          <t>7 5/8</t>
        </is>
      </c>
      <c r="D302" s="122" t="inlineStr">
        <is>
          <t>Igual (fracción US) · ≈ 61 cm</t>
        </is>
      </c>
      <c r="E302" s="183" t="n"/>
      <c r="F302" s="84" t="n"/>
      <c r="G302" s="84" t="n"/>
      <c r="H302" s="84" t="n"/>
      <c r="I302" s="84" t="n"/>
      <c r="J302" s="84" t="n"/>
      <c r="K302" s="84" t="n"/>
      <c r="L302" s="84" t="n"/>
      <c r="M302" s="84" t="n"/>
      <c r="N302" s="84" t="n"/>
      <c r="O302" s="84" t="n"/>
      <c r="P302" s="84" t="n"/>
      <c r="Q302" s="84" t="n"/>
      <c r="R302" s="84" t="n"/>
      <c r="S302" s="84" t="n"/>
      <c r="T302" s="84" t="n"/>
      <c r="U302" s="84" t="n"/>
      <c r="V302" s="84" t="n"/>
      <c r="W302" s="84" t="n"/>
      <c r="X302" s="84" t="n"/>
      <c r="Y302" s="84" t="n"/>
      <c r="Z302" s="84" t="n"/>
      <c r="AA302" s="84" t="n"/>
      <c r="AB302" s="84" t="n"/>
      <c r="AC302" s="84" t="n"/>
      <c r="AD302" s="84">
        <f>IFERROR(__xludf.DUMMYFUNCTION("""COMPUTED_VALUE"""),"6.5 SS")</f>
        <v/>
      </c>
    </row>
    <row r="303" ht="16.5" customHeight="1" s="176">
      <c r="A303" s="122" t="inlineStr">
        <is>
          <t>Talla Sombrero</t>
        </is>
      </c>
      <c r="B303" s="124" t="inlineStr">
        <is>
          <t>7 3/4</t>
        </is>
      </c>
      <c r="C303" s="124" t="inlineStr">
        <is>
          <t>7 3/4</t>
        </is>
      </c>
      <c r="D303" s="122" t="inlineStr">
        <is>
          <t>Igual (fracción US) · ≈ 62 cm</t>
        </is>
      </c>
      <c r="E303" s="183" t="n"/>
      <c r="F303" s="84" t="n"/>
      <c r="G303" s="84" t="n"/>
      <c r="H303" s="84" t="n"/>
      <c r="I303" s="84" t="n"/>
      <c r="J303" s="84" t="n"/>
      <c r="K303" s="84" t="n"/>
      <c r="L303" s="84" t="n"/>
      <c r="M303" s="84" t="n"/>
      <c r="N303" s="84" t="n"/>
      <c r="O303" s="84" t="n"/>
      <c r="P303" s="84" t="n"/>
      <c r="Q303" s="84" t="n"/>
      <c r="R303" s="84" t="n"/>
      <c r="S303" s="84" t="n"/>
      <c r="T303" s="84" t="n"/>
      <c r="U303" s="84" t="n"/>
      <c r="V303" s="84" t="n"/>
      <c r="W303" s="84" t="n"/>
      <c r="X303" s="84" t="n"/>
      <c r="Y303" s="84" t="n"/>
      <c r="Z303" s="84" t="n"/>
      <c r="AA303" s="84" t="n"/>
      <c r="AB303" s="84" t="n"/>
      <c r="AC303" s="84" t="n"/>
      <c r="AD303" s="84">
        <f>IFERROR(__xludf.DUMMYFUNCTION("""COMPUTED_VALUE"""),"6.5 ST")</f>
        <v/>
      </c>
    </row>
    <row r="304" ht="16.5" customHeight="1" s="176">
      <c r="A304" s="122" t="inlineStr">
        <is>
          <t>Talla Sombrero</t>
        </is>
      </c>
      <c r="B304" s="124" t="inlineStr">
        <is>
          <t>7 7/8</t>
        </is>
      </c>
      <c r="C304" s="124" t="inlineStr">
        <is>
          <t>7 7/8</t>
        </is>
      </c>
      <c r="D304" s="122" t="inlineStr">
        <is>
          <t>Igual (fracción US) · ≈ 63 cm</t>
        </is>
      </c>
      <c r="E304" s="183" t="n"/>
      <c r="F304" s="84" t="n"/>
      <c r="G304" s="84" t="n"/>
      <c r="H304" s="84" t="n"/>
      <c r="I304" s="84" t="n"/>
      <c r="J304" s="84" t="n"/>
      <c r="K304" s="84" t="n"/>
      <c r="L304" s="84" t="n"/>
      <c r="M304" s="84" t="n"/>
      <c r="N304" s="84" t="n"/>
      <c r="O304" s="84" t="n"/>
      <c r="P304" s="84" t="n"/>
      <c r="Q304" s="84" t="n"/>
      <c r="R304" s="84" t="n"/>
      <c r="S304" s="84" t="n"/>
      <c r="T304" s="84" t="n"/>
      <c r="U304" s="84" t="n"/>
      <c r="V304" s="84" t="n"/>
      <c r="W304" s="84" t="n"/>
      <c r="X304" s="84" t="n"/>
      <c r="Y304" s="84" t="n"/>
      <c r="Z304" s="84" t="n"/>
      <c r="AA304" s="84" t="n"/>
      <c r="AB304" s="84" t="n"/>
      <c r="AC304" s="84" t="n"/>
      <c r="AD304" s="84">
        <f>IFERROR(__xludf.DUMMYFUNCTION("""COMPUTED_VALUE"""),"6.5 WS")</f>
        <v/>
      </c>
    </row>
    <row r="305" ht="16.5" customHeight="1" s="176">
      <c r="A305" s="122" t="inlineStr">
        <is>
          <t>Talla Sombrero</t>
        </is>
      </c>
      <c r="B305" s="123" t="n">
        <v>8</v>
      </c>
      <c r="C305" s="123" t="n">
        <v>8</v>
      </c>
      <c r="D305" s="122" t="inlineStr">
        <is>
          <t>Igual (fracción US) · ≈ 64 cm</t>
        </is>
      </c>
      <c r="E305" s="183" t="n"/>
      <c r="F305" s="84" t="n"/>
      <c r="G305" s="84" t="n"/>
      <c r="H305" s="84" t="n"/>
      <c r="I305" s="84" t="n"/>
      <c r="J305" s="84" t="n"/>
      <c r="K305" s="84" t="n"/>
      <c r="L305" s="84" t="n"/>
      <c r="M305" s="84" t="n"/>
      <c r="N305" s="84" t="n"/>
      <c r="O305" s="84" t="n"/>
      <c r="P305" s="84" t="n"/>
      <c r="Q305" s="84" t="n"/>
      <c r="R305" s="84" t="n"/>
      <c r="S305" s="84" t="n"/>
      <c r="T305" s="84" t="n"/>
      <c r="U305" s="84" t="n"/>
      <c r="V305" s="84" t="n"/>
      <c r="W305" s="84" t="n"/>
      <c r="X305" s="84" t="n"/>
      <c r="Y305" s="84" t="n"/>
      <c r="Z305" s="84" t="n"/>
      <c r="AA305" s="84" t="n"/>
      <c r="AB305" s="84" t="n"/>
      <c r="AC305" s="84" t="n"/>
      <c r="AD305" s="84">
        <f>IFERROR(__xludf.DUMMYFUNCTION("""COMPUTED_VALUE"""),"6.5 XSM")</f>
        <v/>
      </c>
    </row>
    <row r="306" ht="16.5" customHeight="1" s="176">
      <c r="A306" s="122" t="inlineStr">
        <is>
          <t>Talla Sombrero</t>
        </is>
      </c>
      <c r="B306" s="123" t="inlineStr">
        <is>
          <t>S / M / L / XL</t>
        </is>
      </c>
      <c r="C306" s="123" t="inlineStr">
        <is>
          <t>Igual</t>
        </is>
      </c>
      <c r="D306" s="122" t="inlineStr">
        <is>
          <t>Solo sombreros con ajuste por letra (flex / gorra-sombrero)</t>
        </is>
      </c>
      <c r="E306" s="183" t="n"/>
      <c r="F306" s="84" t="n"/>
      <c r="G306" s="84" t="n"/>
      <c r="H306" s="84" t="n"/>
      <c r="I306" s="84" t="n"/>
      <c r="J306" s="84" t="n"/>
      <c r="K306" s="84" t="n"/>
      <c r="L306" s="84" t="n"/>
      <c r="M306" s="84" t="n"/>
      <c r="N306" s="84" t="n"/>
      <c r="O306" s="84" t="n"/>
      <c r="P306" s="84" t="n"/>
      <c r="Q306" s="84" t="n"/>
      <c r="R306" s="84" t="n"/>
      <c r="S306" s="84" t="n"/>
      <c r="T306" s="84" t="n"/>
      <c r="U306" s="84" t="n"/>
      <c r="V306" s="84" t="n"/>
      <c r="W306" s="84" t="n"/>
      <c r="X306" s="84" t="n"/>
      <c r="Y306" s="84" t="n"/>
      <c r="Z306" s="84" t="n"/>
      <c r="AA306" s="84" t="n"/>
      <c r="AB306" s="84" t="n"/>
      <c r="AC306" s="84" t="n"/>
      <c r="AD306" s="84">
        <f>IFERROR(__xludf.DUMMYFUNCTION("""COMPUTED_VALUE"""),"7 B")</f>
        <v/>
      </c>
    </row>
    <row r="307" ht="16.5" customHeight="1" s="176">
      <c r="A307" s="122" t="inlineStr">
        <is>
          <t>Talla Calzado MX – Hombre</t>
        </is>
      </c>
      <c r="B307" s="123" t="n">
        <v>25</v>
      </c>
      <c r="C307" s="123" t="n">
        <v>7</v>
      </c>
      <c r="D307" s="122" t="inlineStr">
        <is>
          <t>US = MX − 18 (tabla estándar; validar con fábrica)</t>
        </is>
      </c>
      <c r="E307" s="183" t="n"/>
      <c r="F307" s="84" t="n"/>
      <c r="G307" s="84" t="n"/>
      <c r="H307" s="84" t="n"/>
      <c r="I307" s="84" t="n"/>
      <c r="J307" s="84" t="n"/>
      <c r="K307" s="84" t="n"/>
      <c r="L307" s="84" t="n"/>
      <c r="M307" s="84" t="n"/>
      <c r="N307" s="84" t="n"/>
      <c r="O307" s="84" t="n"/>
      <c r="P307" s="84" t="n"/>
      <c r="Q307" s="84" t="n"/>
      <c r="R307" s="84" t="n"/>
      <c r="S307" s="84" t="n"/>
      <c r="T307" s="84" t="n"/>
      <c r="U307" s="84" t="n"/>
      <c r="V307" s="84" t="n"/>
      <c r="W307" s="84" t="n"/>
      <c r="X307" s="84" t="n"/>
      <c r="Y307" s="84" t="n"/>
      <c r="Z307" s="84" t="n"/>
      <c r="AA307" s="84" t="n"/>
      <c r="AB307" s="84" t="n"/>
      <c r="AC307" s="84" t="n"/>
      <c r="AD307" s="84">
        <f>IFERROR(__xludf.DUMMYFUNCTION("""COMPUTED_VALUE"""),"7 C")</f>
        <v/>
      </c>
    </row>
    <row r="308" ht="16.5" customHeight="1" s="176">
      <c r="A308" s="122" t="inlineStr">
        <is>
          <t>Talla Calzado MX – Hombre</t>
        </is>
      </c>
      <c r="B308" s="123" t="n">
        <v>25.5</v>
      </c>
      <c r="C308" s="123" t="n">
        <v>7.5</v>
      </c>
      <c r="D308" s="122" t="inlineStr">
        <is>
          <t>US = MX − 18 (tabla estándar; validar con fábrica)</t>
        </is>
      </c>
      <c r="E308" s="183" t="n"/>
      <c r="F308" s="84" t="n"/>
      <c r="G308" s="84" t="n"/>
      <c r="H308" s="84" t="n"/>
      <c r="I308" s="84" t="n"/>
      <c r="J308" s="84" t="n"/>
      <c r="K308" s="84" t="n"/>
      <c r="L308" s="84" t="n"/>
      <c r="M308" s="84" t="n"/>
      <c r="N308" s="84" t="n"/>
      <c r="O308" s="84" t="n"/>
      <c r="P308" s="84" t="n"/>
      <c r="Q308" s="84" t="n"/>
      <c r="R308" s="84" t="n"/>
      <c r="S308" s="84" t="n"/>
      <c r="T308" s="84" t="n"/>
      <c r="U308" s="84" t="n"/>
      <c r="V308" s="84" t="n"/>
      <c r="W308" s="84" t="n"/>
      <c r="X308" s="84" t="n"/>
      <c r="Y308" s="84" t="n"/>
      <c r="Z308" s="84" t="n"/>
      <c r="AA308" s="84" t="n"/>
      <c r="AB308" s="84" t="n"/>
      <c r="AC308" s="84" t="n"/>
      <c r="AD308" s="84">
        <f>IFERROR(__xludf.DUMMYFUNCTION("""COMPUTED_VALUE"""),"7 FT")</f>
        <v/>
      </c>
    </row>
    <row r="309" ht="16.5" customHeight="1" s="176">
      <c r="A309" s="122" t="inlineStr">
        <is>
          <t>Talla Calzado MX – Hombre</t>
        </is>
      </c>
      <c r="B309" s="123" t="n">
        <v>26</v>
      </c>
      <c r="C309" s="123" t="n">
        <v>8</v>
      </c>
      <c r="D309" s="122" t="inlineStr">
        <is>
          <t>US = MX − 18 (tabla estándar; validar con fábrica)</t>
        </is>
      </c>
      <c r="E309" s="183" t="n"/>
      <c r="F309" s="84" t="n"/>
      <c r="G309" s="84" t="n"/>
      <c r="H309" s="84" t="n"/>
      <c r="I309" s="84" t="n"/>
      <c r="J309" s="84" t="n"/>
      <c r="K309" s="84" t="n"/>
      <c r="L309" s="84" t="n"/>
      <c r="M309" s="84" t="n"/>
      <c r="N309" s="84" t="n"/>
      <c r="O309" s="84" t="n"/>
      <c r="P309" s="84" t="n"/>
      <c r="Q309" s="84" t="n"/>
      <c r="R309" s="84" t="n"/>
      <c r="S309" s="84" t="n"/>
      <c r="T309" s="84" t="n"/>
      <c r="U309" s="84" t="n"/>
      <c r="V309" s="84" t="n"/>
      <c r="W309" s="84" t="n"/>
      <c r="X309" s="84" t="n"/>
      <c r="Y309" s="84" t="n"/>
      <c r="Z309" s="84" t="n"/>
      <c r="AA309" s="84" t="n"/>
      <c r="AB309" s="84" t="n"/>
      <c r="AC309" s="84" t="n"/>
      <c r="AD309" s="84">
        <f>IFERROR(__xludf.DUMMYFUNCTION("""COMPUTED_VALUE"""),"7 WM")</f>
        <v/>
      </c>
    </row>
    <row r="310" ht="16.5" customHeight="1" s="176">
      <c r="A310" s="122" t="inlineStr">
        <is>
          <t>Talla Calzado MX – Hombre</t>
        </is>
      </c>
      <c r="B310" s="123" t="n">
        <v>26.5</v>
      </c>
      <c r="C310" s="123" t="n">
        <v>8.5</v>
      </c>
      <c r="D310" s="122" t="inlineStr">
        <is>
          <t>US = MX − 18 (tabla estándar; validar con fábrica)</t>
        </is>
      </c>
      <c r="E310" s="183" t="n"/>
      <c r="F310" s="84" t="n"/>
      <c r="G310" s="84" t="n"/>
      <c r="H310" s="84" t="n"/>
      <c r="I310" s="84" t="n"/>
      <c r="J310" s="84" t="n"/>
      <c r="K310" s="84" t="n"/>
      <c r="L310" s="84" t="n"/>
      <c r="M310" s="84" t="n"/>
      <c r="N310" s="84" t="n"/>
      <c r="O310" s="84" t="n"/>
      <c r="P310" s="84" t="n"/>
      <c r="Q310" s="84" t="n"/>
      <c r="R310" s="84" t="n"/>
      <c r="S310" s="84" t="n"/>
      <c r="T310" s="84" t="n"/>
      <c r="U310" s="84" t="n"/>
      <c r="V310" s="84" t="n"/>
      <c r="W310" s="84" t="n"/>
      <c r="X310" s="84" t="n"/>
      <c r="Y310" s="84" t="n"/>
      <c r="Z310" s="84" t="n"/>
      <c r="AA310" s="84" t="n"/>
      <c r="AB310" s="84" t="n"/>
      <c r="AC310" s="84" t="n"/>
      <c r="AD310" s="84">
        <f>IFERROR(__xludf.DUMMYFUNCTION("""COMPUTED_VALUE"""),"7 WS")</f>
        <v/>
      </c>
    </row>
    <row r="311" ht="16.5" customHeight="1" s="176">
      <c r="A311" s="122" t="inlineStr">
        <is>
          <t>Talla Calzado MX – Hombre</t>
        </is>
      </c>
      <c r="B311" s="123" t="n">
        <v>27</v>
      </c>
      <c r="C311" s="123" t="n">
        <v>9</v>
      </c>
      <c r="D311" s="122" t="inlineStr">
        <is>
          <t>US = MX − 18 (tabla estándar; validar con fábrica)</t>
        </is>
      </c>
      <c r="E311" s="183" t="n"/>
      <c r="F311" s="84" t="n"/>
      <c r="G311" s="84" t="n"/>
      <c r="H311" s="84" t="n"/>
      <c r="I311" s="84" t="n"/>
      <c r="J311" s="84" t="n"/>
      <c r="K311" s="84" t="n"/>
      <c r="L311" s="84" t="n"/>
      <c r="M311" s="84" t="n"/>
      <c r="N311" s="84" t="n"/>
      <c r="O311" s="84" t="n"/>
      <c r="P311" s="84" t="n"/>
      <c r="Q311" s="84" t="n"/>
      <c r="R311" s="84" t="n"/>
      <c r="S311" s="84" t="n"/>
      <c r="T311" s="84" t="n"/>
      <c r="U311" s="84" t="n"/>
      <c r="V311" s="84" t="n"/>
      <c r="W311" s="84" t="n"/>
      <c r="X311" s="84" t="n"/>
      <c r="Y311" s="84" t="n"/>
      <c r="Z311" s="84" t="n"/>
      <c r="AA311" s="84" t="n"/>
      <c r="AB311" s="84" t="n"/>
      <c r="AC311" s="84" t="n"/>
      <c r="AD311" s="84">
        <f>IFERROR(__xludf.DUMMYFUNCTION("""COMPUTED_VALUE"""),"7 XSM")</f>
        <v/>
      </c>
    </row>
    <row r="312" ht="16.5" customHeight="1" s="176">
      <c r="A312" s="122" t="inlineStr">
        <is>
          <t>Talla Calzado MX – Hombre</t>
        </is>
      </c>
      <c r="B312" s="123" t="n">
        <v>27.5</v>
      </c>
      <c r="C312" s="123" t="n">
        <v>9.5</v>
      </c>
      <c r="D312" s="122" t="inlineStr">
        <is>
          <t>US = MX − 18 (tabla estándar; validar con fábrica)</t>
        </is>
      </c>
      <c r="E312" s="183" t="n"/>
      <c r="F312" s="84" t="n"/>
      <c r="G312" s="84" t="n"/>
      <c r="H312" s="84" t="n"/>
      <c r="I312" s="84" t="n"/>
      <c r="J312" s="84" t="n"/>
      <c r="K312" s="84" t="n"/>
      <c r="L312" s="84" t="n"/>
      <c r="M312" s="84" t="n"/>
      <c r="N312" s="84" t="n"/>
      <c r="O312" s="84" t="n"/>
      <c r="P312" s="84" t="n"/>
      <c r="Q312" s="84" t="n"/>
      <c r="R312" s="84" t="n"/>
      <c r="S312" s="84" t="n"/>
      <c r="T312" s="84" t="n"/>
      <c r="U312" s="84" t="n"/>
      <c r="V312" s="84" t="n"/>
      <c r="W312" s="84" t="n"/>
      <c r="X312" s="84" t="n"/>
      <c r="Y312" s="84" t="n"/>
      <c r="Z312" s="84" t="n"/>
      <c r="AA312" s="84" t="n"/>
      <c r="AB312" s="84" t="n"/>
      <c r="AC312" s="84" t="n"/>
      <c r="AD312" s="84">
        <f>IFERROR(__xludf.DUMMYFUNCTION("""COMPUTED_VALUE"""),"7 XST")</f>
        <v/>
      </c>
    </row>
    <row r="313" ht="16.5" customHeight="1" s="176">
      <c r="A313" s="122" t="inlineStr">
        <is>
          <t>Talla Calzado MX – Hombre</t>
        </is>
      </c>
      <c r="B313" s="123" t="n">
        <v>28</v>
      </c>
      <c r="C313" s="123" t="n">
        <v>10</v>
      </c>
      <c r="D313" s="122" t="inlineStr">
        <is>
          <t>US = MX − 18 (tabla estándar; validar con fábrica)</t>
        </is>
      </c>
      <c r="E313" s="183" t="n"/>
      <c r="F313" s="84" t="n"/>
      <c r="G313" s="84" t="n"/>
      <c r="H313" s="84" t="n"/>
      <c r="I313" s="84" t="n"/>
      <c r="J313" s="84" t="n"/>
      <c r="K313" s="84" t="n"/>
      <c r="L313" s="84" t="n"/>
      <c r="M313" s="84" t="n"/>
      <c r="N313" s="84" t="n"/>
      <c r="O313" s="84" t="n"/>
      <c r="P313" s="84" t="n"/>
      <c r="Q313" s="84" t="n"/>
      <c r="R313" s="84" t="n"/>
      <c r="S313" s="84" t="n"/>
      <c r="T313" s="84" t="n"/>
      <c r="U313" s="84" t="n"/>
      <c r="V313" s="84" t="n"/>
      <c r="W313" s="84" t="n"/>
      <c r="X313" s="84" t="n"/>
      <c r="Y313" s="84" t="n"/>
      <c r="Z313" s="84" t="n"/>
      <c r="AA313" s="84" t="n"/>
      <c r="AB313" s="84" t="n"/>
      <c r="AC313" s="84" t="n"/>
      <c r="AD313" s="84">
        <f>IFERROR(__xludf.DUMMYFUNCTION("""COMPUTED_VALUE"""),"7.5 B")</f>
        <v/>
      </c>
    </row>
    <row r="314" ht="16.5" customHeight="1" s="176">
      <c r="A314" s="122" t="inlineStr">
        <is>
          <t>Talla Calzado MX – Hombre</t>
        </is>
      </c>
      <c r="B314" s="123" t="n">
        <v>28.5</v>
      </c>
      <c r="C314" s="123" t="n">
        <v>10.5</v>
      </c>
      <c r="D314" s="122" t="inlineStr">
        <is>
          <t>US = MX − 18 (tabla estándar; validar con fábrica)</t>
        </is>
      </c>
      <c r="E314" s="183" t="n"/>
      <c r="F314" s="84" t="n"/>
      <c r="G314" s="84" t="n"/>
      <c r="H314" s="84" t="n"/>
      <c r="I314" s="84" t="n"/>
      <c r="J314" s="84" t="n"/>
      <c r="K314" s="84" t="n"/>
      <c r="L314" s="84" t="n"/>
      <c r="M314" s="84" t="n"/>
      <c r="N314" s="84" t="n"/>
      <c r="O314" s="84" t="n"/>
      <c r="P314" s="84" t="n"/>
      <c r="Q314" s="84" t="n"/>
      <c r="R314" s="84" t="n"/>
      <c r="S314" s="84" t="n"/>
      <c r="T314" s="84" t="n"/>
      <c r="U314" s="84" t="n"/>
      <c r="V314" s="84" t="n"/>
      <c r="W314" s="84" t="n"/>
      <c r="X314" s="84" t="n"/>
      <c r="Y314" s="84" t="n"/>
      <c r="Z314" s="84" t="n"/>
      <c r="AA314" s="84" t="n"/>
      <c r="AB314" s="84" t="n"/>
      <c r="AC314" s="84" t="n"/>
      <c r="AD314" s="84">
        <f>IFERROR(__xludf.DUMMYFUNCTION("""COMPUTED_VALUE"""),"7.5 C")</f>
        <v/>
      </c>
    </row>
    <row r="315" ht="16.5" customHeight="1" s="176">
      <c r="A315" s="122" t="inlineStr">
        <is>
          <t>Talla Calzado MX – Hombre</t>
        </is>
      </c>
      <c r="B315" s="123" t="n">
        <v>29</v>
      </c>
      <c r="C315" s="123" t="n">
        <v>11</v>
      </c>
      <c r="D315" s="122" t="inlineStr">
        <is>
          <t>US = MX − 18 (tabla estándar; validar con fábrica)</t>
        </is>
      </c>
      <c r="E315" s="183" t="n"/>
      <c r="F315" s="84" t="n"/>
      <c r="G315" s="84" t="n"/>
      <c r="H315" s="84" t="n"/>
      <c r="I315" s="84" t="n"/>
      <c r="J315" s="84" t="n"/>
      <c r="K315" s="84" t="n"/>
      <c r="L315" s="84" t="n"/>
      <c r="M315" s="84" t="n"/>
      <c r="N315" s="84" t="n"/>
      <c r="O315" s="84" t="n"/>
      <c r="P315" s="84" t="n"/>
      <c r="Q315" s="84" t="n"/>
      <c r="R315" s="84" t="n"/>
      <c r="S315" s="84" t="n"/>
      <c r="T315" s="84" t="n"/>
      <c r="U315" s="84" t="n"/>
      <c r="V315" s="84" t="n"/>
      <c r="W315" s="84" t="n"/>
      <c r="X315" s="84" t="n"/>
      <c r="Y315" s="84" t="n"/>
      <c r="Z315" s="84" t="n"/>
      <c r="AA315" s="84" t="n"/>
      <c r="AB315" s="84" t="n"/>
      <c r="AC315" s="84" t="n"/>
      <c r="AD315" s="84">
        <f>IFERROR(__xludf.DUMMYFUNCTION("""COMPUTED_VALUE"""),"7.5 FT")</f>
        <v/>
      </c>
    </row>
    <row r="316" ht="16.5" customHeight="1" s="176">
      <c r="A316" s="122" t="inlineStr">
        <is>
          <t>Talla Calzado MX – Hombre</t>
        </is>
      </c>
      <c r="B316" s="123" t="n">
        <v>29.5</v>
      </c>
      <c r="C316" s="123" t="n">
        <v>11.5</v>
      </c>
      <c r="D316" s="122" t="inlineStr">
        <is>
          <t>US = MX − 18 (tabla estándar; validar con fábrica)</t>
        </is>
      </c>
      <c r="E316" s="183" t="n"/>
      <c r="F316" s="84" t="n"/>
      <c r="G316" s="84" t="n"/>
      <c r="H316" s="84" t="n"/>
      <c r="I316" s="84" t="n"/>
      <c r="J316" s="84" t="n"/>
      <c r="K316" s="84" t="n"/>
      <c r="L316" s="84" t="n"/>
      <c r="M316" s="84" t="n"/>
      <c r="N316" s="84" t="n"/>
      <c r="O316" s="84" t="n"/>
      <c r="P316" s="84" t="n"/>
      <c r="Q316" s="84" t="n"/>
      <c r="R316" s="84" t="n"/>
      <c r="S316" s="84" t="n"/>
      <c r="T316" s="84" t="n"/>
      <c r="U316" s="84" t="n"/>
      <c r="V316" s="84" t="n"/>
      <c r="W316" s="84" t="n"/>
      <c r="X316" s="84" t="n"/>
      <c r="Y316" s="84" t="n"/>
      <c r="Z316" s="84" t="n"/>
      <c r="AA316" s="84" t="n"/>
      <c r="AB316" s="84" t="n"/>
      <c r="AC316" s="84" t="n"/>
      <c r="AD316" s="84">
        <f>IFERROR(__xludf.DUMMYFUNCTION("""COMPUTED_VALUE"""),"7.5 WM")</f>
        <v/>
      </c>
    </row>
    <row r="317" ht="16.5" customHeight="1" s="176">
      <c r="A317" s="122" t="inlineStr">
        <is>
          <t>Talla Calzado MX – Hombre</t>
        </is>
      </c>
      <c r="B317" s="123" t="n">
        <v>30</v>
      </c>
      <c r="C317" s="123" t="n">
        <v>12</v>
      </c>
      <c r="D317" s="122" t="inlineStr">
        <is>
          <t>US = MX − 18 (tabla estándar; validar con fábrica)</t>
        </is>
      </c>
      <c r="E317" s="183" t="n"/>
      <c r="F317" s="84" t="n"/>
      <c r="G317" s="84" t="n"/>
      <c r="H317" s="84" t="n"/>
      <c r="I317" s="84" t="n"/>
      <c r="J317" s="84" t="n"/>
      <c r="K317" s="84" t="n"/>
      <c r="L317" s="84" t="n"/>
      <c r="M317" s="84" t="n"/>
      <c r="N317" s="84" t="n"/>
      <c r="O317" s="84" t="n"/>
      <c r="P317" s="84" t="n"/>
      <c r="Q317" s="84" t="n"/>
      <c r="R317" s="84" t="n"/>
      <c r="S317" s="84" t="n"/>
      <c r="T317" s="84" t="n"/>
      <c r="U317" s="84" t="n"/>
      <c r="V317" s="84" t="n"/>
      <c r="W317" s="84" t="n"/>
      <c r="X317" s="84" t="n"/>
      <c r="Y317" s="84" t="n"/>
      <c r="Z317" s="84" t="n"/>
      <c r="AA317" s="84" t="n"/>
      <c r="AB317" s="84" t="n"/>
      <c r="AC317" s="84" t="n"/>
      <c r="AD317" s="84">
        <f>IFERROR(__xludf.DUMMYFUNCTION("""COMPUTED_VALUE"""),"7.5 WS")</f>
        <v/>
      </c>
    </row>
    <row r="318" ht="16.5" customHeight="1" s="176">
      <c r="A318" s="122" t="inlineStr">
        <is>
          <t>Talla Calzado MX – Hombre</t>
        </is>
      </c>
      <c r="B318" s="123" t="n">
        <v>30.5</v>
      </c>
      <c r="C318" s="123" t="n">
        <v>12.5</v>
      </c>
      <c r="D318" s="122" t="inlineStr">
        <is>
          <t>US = MX − 18 (tabla estándar; validar con fábrica)</t>
        </is>
      </c>
      <c r="E318" s="183" t="n"/>
      <c r="F318" s="84" t="n"/>
      <c r="G318" s="84" t="n"/>
      <c r="H318" s="84" t="n"/>
      <c r="I318" s="84" t="n"/>
      <c r="J318" s="84" t="n"/>
      <c r="K318" s="84" t="n"/>
      <c r="L318" s="84" t="n"/>
      <c r="M318" s="84" t="n"/>
      <c r="N318" s="84" t="n"/>
      <c r="O318" s="84" t="n"/>
      <c r="P318" s="84" t="n"/>
      <c r="Q318" s="84" t="n"/>
      <c r="R318" s="84" t="n"/>
      <c r="S318" s="84" t="n"/>
      <c r="T318" s="84" t="n"/>
      <c r="U318" s="84" t="n"/>
      <c r="V318" s="84" t="n"/>
      <c r="W318" s="84" t="n"/>
      <c r="X318" s="84" t="n"/>
      <c r="Y318" s="84" t="n"/>
      <c r="Z318" s="84" t="n"/>
      <c r="AA318" s="84" t="n"/>
      <c r="AB318" s="84" t="n"/>
      <c r="AC318" s="84" t="n"/>
      <c r="AD318" s="84">
        <f>IFERROR(__xludf.DUMMYFUNCTION("""COMPUTED_VALUE"""),"7.5 XSM")</f>
        <v/>
      </c>
    </row>
    <row r="319" ht="16.5" customHeight="1" s="176">
      <c r="A319" s="122" t="inlineStr">
        <is>
          <t>Talla Calzado MX – Hombre</t>
        </is>
      </c>
      <c r="B319" s="123" t="n">
        <v>31</v>
      </c>
      <c r="C319" s="123" t="n">
        <v>13</v>
      </c>
      <c r="D319" s="122" t="inlineStr">
        <is>
          <t>US = MX − 18 (tabla estándar; validar con fábrica)</t>
        </is>
      </c>
      <c r="E319" s="183" t="n"/>
      <c r="F319" s="84" t="n"/>
      <c r="G319" s="84" t="n"/>
      <c r="H319" s="84" t="n"/>
      <c r="I319" s="84" t="n"/>
      <c r="J319" s="84" t="n"/>
      <c r="K319" s="84" t="n"/>
      <c r="L319" s="84" t="n"/>
      <c r="M319" s="84" t="n"/>
      <c r="N319" s="84" t="n"/>
      <c r="O319" s="84" t="n"/>
      <c r="P319" s="84" t="n"/>
      <c r="Q319" s="84" t="n"/>
      <c r="R319" s="84" t="n"/>
      <c r="S319" s="84" t="n"/>
      <c r="T319" s="84" t="n"/>
      <c r="U319" s="84" t="n"/>
      <c r="V319" s="84" t="n"/>
      <c r="W319" s="84" t="n"/>
      <c r="X319" s="84" t="n"/>
      <c r="Y319" s="84" t="n"/>
      <c r="Z319" s="84" t="n"/>
      <c r="AA319" s="84" t="n"/>
      <c r="AB319" s="84" t="n"/>
      <c r="AC319" s="84" t="n"/>
      <c r="AD319" s="84">
        <f>IFERROR(__xludf.DUMMYFUNCTION("""COMPUTED_VALUE"""),"7.5 XST")</f>
        <v/>
      </c>
    </row>
    <row r="320" ht="16.5" customHeight="1" s="176">
      <c r="A320" s="122" t="inlineStr">
        <is>
          <t>Talla Calzado MX – Hombre</t>
        </is>
      </c>
      <c r="B320" s="123" t="n">
        <v>31.5</v>
      </c>
      <c r="C320" s="123" t="n">
        <v>13.5</v>
      </c>
      <c r="D320" s="122" t="inlineStr">
        <is>
          <t>US = MX − 18 (tabla estándar; validar con fábrica)</t>
        </is>
      </c>
      <c r="E320" s="183" t="n"/>
      <c r="F320" s="84" t="n"/>
      <c r="G320" s="84" t="n"/>
      <c r="H320" s="84" t="n"/>
      <c r="I320" s="84" t="n"/>
      <c r="J320" s="84" t="n"/>
      <c r="K320" s="84" t="n"/>
      <c r="L320" s="84" t="n"/>
      <c r="M320" s="84" t="n"/>
      <c r="N320" s="84" t="n"/>
      <c r="O320" s="84" t="n"/>
      <c r="P320" s="84" t="n"/>
      <c r="Q320" s="84" t="n"/>
      <c r="R320" s="84" t="n"/>
      <c r="S320" s="84" t="n"/>
      <c r="T320" s="84" t="n"/>
      <c r="U320" s="84" t="n"/>
      <c r="V320" s="84" t="n"/>
      <c r="W320" s="84" t="n"/>
      <c r="X320" s="84" t="n"/>
      <c r="Y320" s="84" t="n"/>
      <c r="Z320" s="84" t="n"/>
      <c r="AA320" s="84" t="n"/>
      <c r="AB320" s="84" t="n"/>
      <c r="AC320" s="84" t="n"/>
      <c r="AD320" s="84">
        <f>IFERROR(__xludf.DUMMYFUNCTION("""COMPUTED_VALUE"""),"7.5 XWM")</f>
        <v/>
      </c>
    </row>
    <row r="321" ht="16.5" customHeight="1" s="176">
      <c r="A321" s="122" t="inlineStr">
        <is>
          <t>Talla Calzado MX – Hombre</t>
        </is>
      </c>
      <c r="B321" s="123" t="n">
        <v>32</v>
      </c>
      <c r="C321" s="123" t="n">
        <v>14</v>
      </c>
      <c r="D321" s="122" t="inlineStr">
        <is>
          <t>US = MX − 18 (tabla estándar; validar con fábrica)</t>
        </is>
      </c>
      <c r="E321" s="183" t="n"/>
      <c r="F321" s="84" t="n"/>
      <c r="G321" s="84" t="n"/>
      <c r="H321" s="84" t="n"/>
      <c r="I321" s="84" t="n"/>
      <c r="J321" s="84" t="n"/>
      <c r="K321" s="84" t="n"/>
      <c r="L321" s="84" t="n"/>
      <c r="M321" s="84" t="n"/>
      <c r="N321" s="84" t="n"/>
      <c r="O321" s="84" t="n"/>
      <c r="P321" s="84" t="n"/>
      <c r="Q321" s="84" t="n"/>
      <c r="R321" s="84" t="n"/>
      <c r="S321" s="84" t="n"/>
      <c r="T321" s="84" t="n"/>
      <c r="U321" s="84" t="n"/>
      <c r="V321" s="84" t="n"/>
      <c r="W321" s="84" t="n"/>
      <c r="X321" s="84" t="n"/>
      <c r="Y321" s="84" t="n"/>
      <c r="Z321" s="84" t="n"/>
      <c r="AA321" s="84" t="n"/>
      <c r="AB321" s="84" t="n"/>
      <c r="AC321" s="84" t="n"/>
      <c r="AD321" s="84">
        <f>IFERROR(__xludf.DUMMYFUNCTION("""COMPUTED_VALUE"""),"8 B")</f>
        <v/>
      </c>
    </row>
    <row r="322" ht="16.5" customHeight="1" s="176">
      <c r="A322" s="122" t="inlineStr">
        <is>
          <t>Talla Calzado MX – Hombre</t>
        </is>
      </c>
      <c r="B322" s="123" t="n">
        <v>32.5</v>
      </c>
      <c r="C322" s="123" t="n">
        <v>14.5</v>
      </c>
      <c r="D322" s="122" t="inlineStr">
        <is>
          <t>US = MX − 18 (tabla estándar; validar con fábrica)</t>
        </is>
      </c>
      <c r="E322" s="183" t="n"/>
      <c r="F322" s="84" t="n"/>
      <c r="G322" s="84" t="n"/>
      <c r="H322" s="84" t="n"/>
      <c r="I322" s="84" t="n"/>
      <c r="J322" s="84" t="n"/>
      <c r="K322" s="84" t="n"/>
      <c r="L322" s="84" t="n"/>
      <c r="M322" s="84" t="n"/>
      <c r="N322" s="84" t="n"/>
      <c r="O322" s="84" t="n"/>
      <c r="P322" s="84" t="n"/>
      <c r="Q322" s="84" t="n"/>
      <c r="R322" s="84" t="n"/>
      <c r="S322" s="84" t="n"/>
      <c r="T322" s="84" t="n"/>
      <c r="U322" s="84" t="n"/>
      <c r="V322" s="84" t="n"/>
      <c r="W322" s="84" t="n"/>
      <c r="X322" s="84" t="n"/>
      <c r="Y322" s="84" t="n"/>
      <c r="Z322" s="84" t="n"/>
      <c r="AA322" s="84" t="n"/>
      <c r="AB322" s="84" t="n"/>
      <c r="AC322" s="84" t="n"/>
      <c r="AD322" s="84">
        <f>IFERROR(__xludf.DUMMYFUNCTION("""COMPUTED_VALUE"""),"8 C")</f>
        <v/>
      </c>
    </row>
    <row r="323" ht="16.5" customHeight="1" s="176">
      <c r="A323" s="122" t="inlineStr">
        <is>
          <t>Talla Calzado MX – Mujer</t>
        </is>
      </c>
      <c r="B323" s="123" t="n">
        <v>22</v>
      </c>
      <c r="C323" s="123" t="n">
        <v>5</v>
      </c>
      <c r="D323" s="122" t="inlineStr">
        <is>
          <t>US = MX − 17 (tabla estándar; validar con fábrica)</t>
        </is>
      </c>
      <c r="E323" s="183" t="n"/>
      <c r="F323" s="84" t="n"/>
      <c r="G323" s="84" t="n"/>
      <c r="H323" s="84" t="n"/>
      <c r="I323" s="84" t="n"/>
      <c r="J323" s="84" t="n"/>
      <c r="K323" s="84" t="n"/>
      <c r="L323" s="84" t="n"/>
      <c r="M323" s="84" t="n"/>
      <c r="N323" s="84" t="n"/>
      <c r="O323" s="84" t="n"/>
      <c r="P323" s="84" t="n"/>
      <c r="Q323" s="84" t="n"/>
      <c r="R323" s="84" t="n"/>
      <c r="S323" s="84" t="n"/>
      <c r="T323" s="84" t="n"/>
      <c r="U323" s="84" t="n"/>
      <c r="V323" s="84" t="n"/>
      <c r="W323" s="84" t="n"/>
      <c r="X323" s="84" t="n"/>
      <c r="Y323" s="84" t="n"/>
      <c r="Z323" s="84" t="n"/>
      <c r="AA323" s="84" t="n"/>
      <c r="AB323" s="84" t="n"/>
      <c r="AC323" s="84" t="n"/>
      <c r="AD323" s="84">
        <f>IFERROR(__xludf.DUMMYFUNCTION("""COMPUTED_VALUE"""),"8 FT")</f>
        <v/>
      </c>
    </row>
    <row r="324" ht="16.5" customHeight="1" s="176">
      <c r="A324" s="122" t="inlineStr">
        <is>
          <t>Talla Calzado MX – Mujer</t>
        </is>
      </c>
      <c r="B324" s="123" t="n">
        <v>22.5</v>
      </c>
      <c r="C324" s="123" t="n">
        <v>5.5</v>
      </c>
      <c r="D324" s="122" t="inlineStr">
        <is>
          <t>US = MX − 17 (tabla estándar; validar con fábrica)</t>
        </is>
      </c>
      <c r="E324" s="183" t="n"/>
      <c r="F324" s="84" t="n"/>
      <c r="G324" s="84" t="n"/>
      <c r="H324" s="84" t="n"/>
      <c r="I324" s="84" t="n"/>
      <c r="J324" s="84" t="n"/>
      <c r="K324" s="84" t="n"/>
      <c r="L324" s="84" t="n"/>
      <c r="M324" s="84" t="n"/>
      <c r="N324" s="84" t="n"/>
      <c r="O324" s="84" t="n"/>
      <c r="P324" s="84" t="n"/>
      <c r="Q324" s="84" t="n"/>
      <c r="R324" s="84" t="n"/>
      <c r="S324" s="84" t="n"/>
      <c r="T324" s="84" t="n"/>
      <c r="U324" s="84" t="n"/>
      <c r="V324" s="84" t="n"/>
      <c r="W324" s="84" t="n"/>
      <c r="X324" s="84" t="n"/>
      <c r="Y324" s="84" t="n"/>
      <c r="Z324" s="84" t="n"/>
      <c r="AA324" s="84" t="n"/>
      <c r="AB324" s="84" t="n"/>
      <c r="AC324" s="84" t="n"/>
      <c r="AD324" s="84">
        <f>IFERROR(__xludf.DUMMYFUNCTION("""COMPUTED_VALUE"""),"8 WM")</f>
        <v/>
      </c>
    </row>
    <row r="325" ht="16.5" customHeight="1" s="176">
      <c r="A325" s="122" t="inlineStr">
        <is>
          <t>Talla Calzado MX – Mujer</t>
        </is>
      </c>
      <c r="B325" s="123" t="n">
        <v>23</v>
      </c>
      <c r="C325" s="123" t="n">
        <v>6</v>
      </c>
      <c r="D325" s="122" t="inlineStr">
        <is>
          <t>US = MX − 17 (tabla estándar; validar con fábrica)</t>
        </is>
      </c>
      <c r="E325" s="183" t="n"/>
      <c r="F325" s="84" t="n"/>
      <c r="G325" s="84" t="n"/>
      <c r="H325" s="84" t="n"/>
      <c r="I325" s="84" t="n"/>
      <c r="J325" s="84" t="n"/>
      <c r="K325" s="84" t="n"/>
      <c r="L325" s="84" t="n"/>
      <c r="M325" s="84" t="n"/>
      <c r="N325" s="84" t="n"/>
      <c r="O325" s="84" t="n"/>
      <c r="P325" s="84" t="n"/>
      <c r="Q325" s="84" t="n"/>
      <c r="R325" s="84" t="n"/>
      <c r="S325" s="84" t="n"/>
      <c r="T325" s="84" t="n"/>
      <c r="U325" s="84" t="n"/>
      <c r="V325" s="84" t="n"/>
      <c r="W325" s="84" t="n"/>
      <c r="X325" s="84" t="n"/>
      <c r="Y325" s="84" t="n"/>
      <c r="Z325" s="84" t="n"/>
      <c r="AA325" s="84" t="n"/>
      <c r="AB325" s="84" t="n"/>
      <c r="AC325" s="84" t="n"/>
      <c r="AD325" s="84">
        <f>IFERROR(__xludf.DUMMYFUNCTION("""COMPUTED_VALUE"""),"8 WS")</f>
        <v/>
      </c>
    </row>
    <row r="326" ht="16.5" customHeight="1" s="176">
      <c r="A326" s="122" t="inlineStr">
        <is>
          <t>Talla Calzado MX – Mujer</t>
        </is>
      </c>
      <c r="B326" s="123" t="n">
        <v>23.5</v>
      </c>
      <c r="C326" s="123" t="n">
        <v>6.5</v>
      </c>
      <c r="D326" s="122" t="inlineStr">
        <is>
          <t>US = MX − 17 (tabla estándar; validar con fábrica)</t>
        </is>
      </c>
      <c r="E326" s="183" t="n"/>
      <c r="F326" s="84" t="n"/>
      <c r="G326" s="84" t="n"/>
      <c r="H326" s="84" t="n"/>
      <c r="I326" s="84" t="n"/>
      <c r="J326" s="84" t="n"/>
      <c r="K326" s="84" t="n"/>
      <c r="L326" s="84" t="n"/>
      <c r="M326" s="84" t="n"/>
      <c r="N326" s="84" t="n"/>
      <c r="O326" s="84" t="n"/>
      <c r="P326" s="84" t="n"/>
      <c r="Q326" s="84" t="n"/>
      <c r="R326" s="84" t="n"/>
      <c r="S326" s="84" t="n"/>
      <c r="T326" s="84" t="n"/>
      <c r="U326" s="84" t="n"/>
      <c r="V326" s="84" t="n"/>
      <c r="W326" s="84" t="n"/>
      <c r="X326" s="84" t="n"/>
      <c r="Y326" s="84" t="n"/>
      <c r="Z326" s="84" t="n"/>
      <c r="AA326" s="84" t="n"/>
      <c r="AB326" s="84" t="n"/>
      <c r="AC326" s="84" t="n"/>
      <c r="AD326" s="84">
        <f>IFERROR(__xludf.DUMMYFUNCTION("""COMPUTED_VALUE"""),"8 XSM")</f>
        <v/>
      </c>
    </row>
    <row r="327" ht="16.5" customHeight="1" s="176">
      <c r="A327" s="122" t="inlineStr">
        <is>
          <t>Talla Calzado MX – Mujer</t>
        </is>
      </c>
      <c r="B327" s="123" t="n">
        <v>24</v>
      </c>
      <c r="C327" s="123" t="n">
        <v>7</v>
      </c>
      <c r="D327" s="122" t="inlineStr">
        <is>
          <t>US = MX − 17 (tabla estándar; validar con fábrica)</t>
        </is>
      </c>
      <c r="E327" s="183" t="n"/>
      <c r="F327" s="84" t="n"/>
      <c r="G327" s="84" t="n"/>
      <c r="H327" s="84" t="n"/>
      <c r="I327" s="84" t="n"/>
      <c r="J327" s="84" t="n"/>
      <c r="K327" s="84" t="n"/>
      <c r="L327" s="84" t="n"/>
      <c r="M327" s="84" t="n"/>
      <c r="N327" s="84" t="n"/>
      <c r="O327" s="84" t="n"/>
      <c r="P327" s="84" t="n"/>
      <c r="Q327" s="84" t="n"/>
      <c r="R327" s="84" t="n"/>
      <c r="S327" s="84" t="n"/>
      <c r="T327" s="84" t="n"/>
      <c r="U327" s="84" t="n"/>
      <c r="V327" s="84" t="n"/>
      <c r="W327" s="84" t="n"/>
      <c r="X327" s="84" t="n"/>
      <c r="Y327" s="84" t="n"/>
      <c r="Z327" s="84" t="n"/>
      <c r="AA327" s="84" t="n"/>
      <c r="AB327" s="84" t="n"/>
      <c r="AC327" s="84" t="n"/>
      <c r="AD327" s="84">
        <f>IFERROR(__xludf.DUMMYFUNCTION("""COMPUTED_VALUE"""),"8 XST")</f>
        <v/>
      </c>
    </row>
    <row r="328" ht="16.5" customHeight="1" s="176">
      <c r="A328" s="122" t="inlineStr">
        <is>
          <t>Talla Calzado MX – Mujer</t>
        </is>
      </c>
      <c r="B328" s="123" t="n">
        <v>24.5</v>
      </c>
      <c r="C328" s="123" t="n">
        <v>7.5</v>
      </c>
      <c r="D328" s="122" t="inlineStr">
        <is>
          <t>US = MX − 17 (tabla estándar; validar con fábrica)</t>
        </is>
      </c>
      <c r="E328" s="183" t="n"/>
      <c r="F328" s="84" t="n"/>
      <c r="G328" s="84" t="n"/>
      <c r="H328" s="84" t="n"/>
      <c r="I328" s="84" t="n"/>
      <c r="J328" s="84" t="n"/>
      <c r="K328" s="84" t="n"/>
      <c r="L328" s="84" t="n"/>
      <c r="M328" s="84" t="n"/>
      <c r="N328" s="84" t="n"/>
      <c r="O328" s="84" t="n"/>
      <c r="P328" s="84" t="n"/>
      <c r="Q328" s="84" t="n"/>
      <c r="R328" s="84" t="n"/>
      <c r="S328" s="84" t="n"/>
      <c r="T328" s="84" t="n"/>
      <c r="U328" s="84" t="n"/>
      <c r="V328" s="84" t="n"/>
      <c r="W328" s="84" t="n"/>
      <c r="X328" s="84" t="n"/>
      <c r="Y328" s="84" t="n"/>
      <c r="Z328" s="84" t="n"/>
      <c r="AA328" s="84" t="n"/>
      <c r="AB328" s="84" t="n"/>
      <c r="AC328" s="84" t="n"/>
      <c r="AD328" s="84">
        <f>IFERROR(__xludf.DUMMYFUNCTION("""COMPUTED_VALUE"""),"8 XWM")</f>
        <v/>
      </c>
    </row>
    <row r="329" ht="16.5" customHeight="1" s="176">
      <c r="A329" s="122" t="inlineStr">
        <is>
          <t>Talla Calzado MX – Mujer</t>
        </is>
      </c>
      <c r="B329" s="123" t="n">
        <v>25</v>
      </c>
      <c r="C329" s="123" t="n">
        <v>8</v>
      </c>
      <c r="D329" s="122" t="inlineStr">
        <is>
          <t>US = MX − 17 (tabla estándar; validar con fábrica)</t>
        </is>
      </c>
      <c r="E329" s="183" t="n"/>
      <c r="F329" s="84" t="n"/>
      <c r="G329" s="84" t="n"/>
      <c r="H329" s="84" t="n"/>
      <c r="I329" s="84" t="n"/>
      <c r="J329" s="84" t="n"/>
      <c r="K329" s="84" t="n"/>
      <c r="L329" s="84" t="n"/>
      <c r="M329" s="84" t="n"/>
      <c r="N329" s="84" t="n"/>
      <c r="O329" s="84" t="n"/>
      <c r="P329" s="84" t="n"/>
      <c r="Q329" s="84" t="n"/>
      <c r="R329" s="84" t="n"/>
      <c r="S329" s="84" t="n"/>
      <c r="T329" s="84" t="n"/>
      <c r="U329" s="84" t="n"/>
      <c r="V329" s="84" t="n"/>
      <c r="W329" s="84" t="n"/>
      <c r="X329" s="84" t="n"/>
      <c r="Y329" s="84" t="n"/>
      <c r="Z329" s="84" t="n"/>
      <c r="AA329" s="84" t="n"/>
      <c r="AB329" s="84" t="n"/>
      <c r="AC329" s="84" t="n"/>
      <c r="AD329" s="84">
        <f>IFERROR(__xludf.DUMMYFUNCTION("""COMPUTED_VALUE"""),"8.5 B")</f>
        <v/>
      </c>
    </row>
    <row r="330" ht="16.5" customHeight="1" s="176">
      <c r="A330" s="122" t="inlineStr">
        <is>
          <t>Talla Calzado MX – Mujer</t>
        </is>
      </c>
      <c r="B330" s="123" t="n">
        <v>25.5</v>
      </c>
      <c r="C330" s="123" t="n">
        <v>8.5</v>
      </c>
      <c r="D330" s="122" t="inlineStr">
        <is>
          <t>US = MX − 17 (tabla estándar; validar con fábrica)</t>
        </is>
      </c>
      <c r="E330" s="183" t="n"/>
      <c r="F330" s="84" t="n"/>
      <c r="G330" s="84" t="n"/>
      <c r="H330" s="84" t="n"/>
      <c r="I330" s="84" t="n"/>
      <c r="J330" s="84" t="n"/>
      <c r="K330" s="84" t="n"/>
      <c r="L330" s="84" t="n"/>
      <c r="M330" s="84" t="n"/>
      <c r="N330" s="84" t="n"/>
      <c r="O330" s="84" t="n"/>
      <c r="P330" s="84" t="n"/>
      <c r="Q330" s="84" t="n"/>
      <c r="R330" s="84" t="n"/>
      <c r="S330" s="84" t="n"/>
      <c r="T330" s="84" t="n"/>
      <c r="U330" s="84" t="n"/>
      <c r="V330" s="84" t="n"/>
      <c r="W330" s="84" t="n"/>
      <c r="X330" s="84" t="n"/>
      <c r="Y330" s="84" t="n"/>
      <c r="Z330" s="84" t="n"/>
      <c r="AA330" s="84" t="n"/>
      <c r="AB330" s="84" t="n"/>
      <c r="AC330" s="84" t="n"/>
      <c r="AD330" s="84">
        <f>IFERROR(__xludf.DUMMYFUNCTION("""COMPUTED_VALUE"""),"8.5 C")</f>
        <v/>
      </c>
    </row>
    <row r="331" ht="16.5" customHeight="1" s="176">
      <c r="A331" s="122" t="inlineStr">
        <is>
          <t>Talla Calzado MX – Mujer</t>
        </is>
      </c>
      <c r="B331" s="123" t="n">
        <v>26</v>
      </c>
      <c r="C331" s="123" t="n">
        <v>9</v>
      </c>
      <c r="D331" s="122" t="inlineStr">
        <is>
          <t>US = MX − 17 (tabla estándar; validar con fábrica)</t>
        </is>
      </c>
      <c r="E331" s="183" t="n"/>
      <c r="F331" s="84" t="n"/>
      <c r="G331" s="84" t="n"/>
      <c r="H331" s="84" t="n"/>
      <c r="I331" s="84" t="n"/>
      <c r="J331" s="84" t="n"/>
      <c r="K331" s="84" t="n"/>
      <c r="L331" s="84" t="n"/>
      <c r="M331" s="84" t="n"/>
      <c r="N331" s="84" t="n"/>
      <c r="O331" s="84" t="n"/>
      <c r="P331" s="84" t="n"/>
      <c r="Q331" s="84" t="n"/>
      <c r="R331" s="84" t="n"/>
      <c r="S331" s="84" t="n"/>
      <c r="T331" s="84" t="n"/>
      <c r="U331" s="84" t="n"/>
      <c r="V331" s="84" t="n"/>
      <c r="W331" s="84" t="n"/>
      <c r="X331" s="84" t="n"/>
      <c r="Y331" s="84" t="n"/>
      <c r="Z331" s="84" t="n"/>
      <c r="AA331" s="84" t="n"/>
      <c r="AB331" s="84" t="n"/>
      <c r="AC331" s="84" t="n"/>
      <c r="AD331" s="84">
        <f>IFERROR(__xludf.DUMMYFUNCTION("""COMPUTED_VALUE"""),"8.5 FT")</f>
        <v/>
      </c>
    </row>
    <row r="332" ht="16.5" customHeight="1" s="176">
      <c r="A332" s="122" t="inlineStr">
        <is>
          <t>Talla Calzado MX – Mujer</t>
        </is>
      </c>
      <c r="B332" s="123" t="n">
        <v>26.5</v>
      </c>
      <c r="C332" s="123" t="n">
        <v>9.5</v>
      </c>
      <c r="D332" s="122" t="inlineStr">
        <is>
          <t>US = MX − 17 (tabla estándar; validar con fábrica)</t>
        </is>
      </c>
      <c r="E332" s="183" t="n"/>
      <c r="F332" s="84" t="n"/>
      <c r="G332" s="84" t="n"/>
      <c r="H332" s="84" t="n"/>
      <c r="I332" s="84" t="n"/>
      <c r="J332" s="84" t="n"/>
      <c r="K332" s="84" t="n"/>
      <c r="L332" s="84" t="n"/>
      <c r="M332" s="84" t="n"/>
      <c r="N332" s="84" t="n"/>
      <c r="O332" s="84" t="n"/>
      <c r="P332" s="84" t="n"/>
      <c r="Q332" s="84" t="n"/>
      <c r="R332" s="84" t="n"/>
      <c r="S332" s="84" t="n"/>
      <c r="T332" s="84" t="n"/>
      <c r="U332" s="84" t="n"/>
      <c r="V332" s="84" t="n"/>
      <c r="W332" s="84" t="n"/>
      <c r="X332" s="84" t="n"/>
      <c r="Y332" s="84" t="n"/>
      <c r="Z332" s="84" t="n"/>
      <c r="AA332" s="84" t="n"/>
      <c r="AB332" s="84" t="n"/>
      <c r="AC332" s="84" t="n"/>
      <c r="AD332" s="84">
        <f>IFERROR(__xludf.DUMMYFUNCTION("""COMPUTED_VALUE"""),"8.5 WM")</f>
        <v/>
      </c>
    </row>
    <row r="333" ht="16.5" customHeight="1" s="176">
      <c r="A333" s="122" t="inlineStr">
        <is>
          <t>Talla Calzado MX – Mujer</t>
        </is>
      </c>
      <c r="B333" s="123" t="n">
        <v>27</v>
      </c>
      <c r="C333" s="123" t="n">
        <v>10</v>
      </c>
      <c r="D333" s="122" t="inlineStr">
        <is>
          <t>US = MX − 17 (tabla estándar; validar con fábrica)</t>
        </is>
      </c>
      <c r="E333" s="183" t="n"/>
      <c r="F333" s="84" t="n"/>
      <c r="G333" s="84" t="n"/>
      <c r="H333" s="84" t="n"/>
      <c r="I333" s="84" t="n"/>
      <c r="J333" s="84" t="n"/>
      <c r="K333" s="84" t="n"/>
      <c r="L333" s="84" t="n"/>
      <c r="M333" s="84" t="n"/>
      <c r="N333" s="84" t="n"/>
      <c r="O333" s="84" t="n"/>
      <c r="P333" s="84" t="n"/>
      <c r="Q333" s="84" t="n"/>
      <c r="R333" s="84" t="n"/>
      <c r="S333" s="84" t="n"/>
      <c r="T333" s="84" t="n"/>
      <c r="U333" s="84" t="n"/>
      <c r="V333" s="84" t="n"/>
      <c r="W333" s="84" t="n"/>
      <c r="X333" s="84" t="n"/>
      <c r="Y333" s="84" t="n"/>
      <c r="Z333" s="84" t="n"/>
      <c r="AA333" s="84" t="n"/>
      <c r="AB333" s="84" t="n"/>
      <c r="AC333" s="84" t="n"/>
      <c r="AD333" s="84">
        <f>IFERROR(__xludf.DUMMYFUNCTION("""COMPUTED_VALUE"""),"8.5 WS")</f>
        <v/>
      </c>
    </row>
    <row r="334" ht="16.5" customHeight="1" s="176">
      <c r="A334" s="122" t="inlineStr">
        <is>
          <t>Talla Calzado MX – Mujer</t>
        </is>
      </c>
      <c r="B334" s="123" t="n">
        <v>27.5</v>
      </c>
      <c r="C334" s="123" t="n">
        <v>10.5</v>
      </c>
      <c r="D334" s="122" t="inlineStr">
        <is>
          <t>US = MX − 17 (tabla estándar; validar con fábrica)</t>
        </is>
      </c>
      <c r="E334" s="183" t="n"/>
      <c r="F334" s="84" t="n"/>
      <c r="G334" s="84" t="n"/>
      <c r="H334" s="84" t="n"/>
      <c r="I334" s="84" t="n"/>
      <c r="J334" s="84" t="n"/>
      <c r="K334" s="84" t="n"/>
      <c r="L334" s="84" t="n"/>
      <c r="M334" s="84" t="n"/>
      <c r="N334" s="84" t="n"/>
      <c r="O334" s="84" t="n"/>
      <c r="P334" s="84" t="n"/>
      <c r="Q334" s="84" t="n"/>
      <c r="R334" s="84" t="n"/>
      <c r="S334" s="84" t="n"/>
      <c r="T334" s="84" t="n"/>
      <c r="U334" s="84" t="n"/>
      <c r="V334" s="84" t="n"/>
      <c r="W334" s="84" t="n"/>
      <c r="X334" s="84" t="n"/>
      <c r="Y334" s="84" t="n"/>
      <c r="Z334" s="84" t="n"/>
      <c r="AA334" s="84" t="n"/>
      <c r="AB334" s="84" t="n"/>
      <c r="AC334" s="84" t="n"/>
      <c r="AD334" s="84">
        <f>IFERROR(__xludf.DUMMYFUNCTION("""COMPUTED_VALUE"""),"8.5 WT")</f>
        <v/>
      </c>
    </row>
    <row r="335" ht="30" customHeight="1" s="176">
      <c r="A335" s="122" t="inlineStr">
        <is>
          <t>Talla Calzado MX – Hombre (con ancho)</t>
        </is>
      </c>
      <c r="B335" s="123" t="n">
        <v>22</v>
      </c>
      <c r="C335" s="123" t="inlineStr">
        <is>
          <t>4 EE</t>
        </is>
      </c>
      <c r="D335" s="122" t="inlineStr">
        <is>
          <t>MX = US + 18. El sufijo (D, EE, RM, FS…) es el ancho/horma del proveedor y se captura tal cual.</t>
        </is>
      </c>
      <c r="E335" s="183" t="n"/>
      <c r="F335" s="84" t="n"/>
      <c r="G335" s="84" t="n"/>
      <c r="H335" s="84" t="n"/>
      <c r="I335" s="84" t="n"/>
      <c r="J335" s="84" t="n"/>
      <c r="K335" s="84" t="n"/>
      <c r="L335" s="84" t="n"/>
      <c r="M335" s="84" t="n"/>
      <c r="N335" s="84" t="n"/>
      <c r="O335" s="84" t="n"/>
      <c r="P335" s="84" t="n"/>
      <c r="Q335" s="84" t="n"/>
      <c r="R335" s="84" t="n"/>
      <c r="S335" s="84" t="n"/>
      <c r="T335" s="84" t="n"/>
      <c r="U335" s="84" t="n"/>
      <c r="V335" s="84" t="n"/>
      <c r="W335" s="84" t="n"/>
      <c r="X335" s="84" t="n"/>
      <c r="Y335" s="84" t="n"/>
      <c r="Z335" s="84" t="n"/>
      <c r="AA335" s="84" t="n"/>
      <c r="AB335" s="84" t="n"/>
      <c r="AC335" s="84" t="n"/>
      <c r="AD335" s="84">
        <f>IFERROR(__xludf.DUMMYFUNCTION("""COMPUTED_VALUE"""),"8.5 XSM")</f>
        <v/>
      </c>
    </row>
    <row r="336" ht="30" customHeight="1" s="176">
      <c r="A336" s="122" t="inlineStr">
        <is>
          <t>Talla Calzado MX – Hombre (con ancho)</t>
        </is>
      </c>
      <c r="B336" s="123" t="n">
        <v>23</v>
      </c>
      <c r="C336" s="123" t="inlineStr">
        <is>
          <t>5 EE</t>
        </is>
      </c>
      <c r="D336" s="122" t="inlineStr">
        <is>
          <t>Igual regla</t>
        </is>
      </c>
      <c r="E336" s="183" t="n"/>
      <c r="F336" s="84" t="n"/>
      <c r="G336" s="84" t="n"/>
      <c r="H336" s="84" t="n"/>
      <c r="I336" s="84" t="n"/>
      <c r="J336" s="84" t="n"/>
      <c r="K336" s="84" t="n"/>
      <c r="L336" s="84" t="n"/>
      <c r="M336" s="84" t="n"/>
      <c r="N336" s="84" t="n"/>
      <c r="O336" s="84" t="n"/>
      <c r="P336" s="84" t="n"/>
      <c r="Q336" s="84" t="n"/>
      <c r="R336" s="84" t="n"/>
      <c r="S336" s="84" t="n"/>
      <c r="T336" s="84" t="n"/>
      <c r="U336" s="84" t="n"/>
      <c r="V336" s="84" t="n"/>
      <c r="W336" s="84" t="n"/>
      <c r="X336" s="84" t="n"/>
      <c r="Y336" s="84" t="n"/>
      <c r="Z336" s="84" t="n"/>
      <c r="AA336" s="84" t="n"/>
      <c r="AB336" s="84" t="n"/>
      <c r="AC336" s="84" t="n"/>
      <c r="AD336" s="84">
        <f>IFERROR(__xludf.DUMMYFUNCTION("""COMPUTED_VALUE"""),"8.5 XST")</f>
        <v/>
      </c>
    </row>
    <row r="337" ht="30" customHeight="1" s="176">
      <c r="A337" s="122" t="inlineStr">
        <is>
          <t>Talla Calzado MX – Hombre (con ancho)</t>
        </is>
      </c>
      <c r="B337" s="123" t="n">
        <v>24</v>
      </c>
      <c r="C337" s="123" t="inlineStr">
        <is>
          <t>6 D</t>
        </is>
      </c>
      <c r="D337" s="122" t="inlineStr">
        <is>
          <t>Igual regla</t>
        </is>
      </c>
      <c r="E337" s="183" t="n"/>
      <c r="F337" s="84" t="n"/>
      <c r="G337" s="84" t="n"/>
      <c r="H337" s="84" t="n"/>
      <c r="I337" s="84" t="n"/>
      <c r="J337" s="84" t="n"/>
      <c r="K337" s="84" t="n"/>
      <c r="L337" s="84" t="n"/>
      <c r="M337" s="84" t="n"/>
      <c r="N337" s="84" t="n"/>
      <c r="O337" s="84" t="n"/>
      <c r="P337" s="84" t="n"/>
      <c r="Q337" s="84" t="n"/>
      <c r="R337" s="84" t="n"/>
      <c r="S337" s="84" t="n"/>
      <c r="T337" s="84" t="n"/>
      <c r="U337" s="84" t="n"/>
      <c r="V337" s="84" t="n"/>
      <c r="W337" s="84" t="n"/>
      <c r="X337" s="84" t="n"/>
      <c r="Y337" s="84" t="n"/>
      <c r="Z337" s="84" t="n"/>
      <c r="AA337" s="84" t="n"/>
      <c r="AB337" s="84" t="n"/>
      <c r="AC337" s="84" t="n"/>
      <c r="AD337" s="84">
        <f>IFERROR(__xludf.DUMMYFUNCTION("""COMPUTED_VALUE"""),"8.5 XWM")</f>
        <v/>
      </c>
    </row>
    <row r="338" ht="30" customHeight="1" s="176">
      <c r="A338" s="122" t="inlineStr">
        <is>
          <t>Talla Calzado MX – Hombre (con ancho)</t>
        </is>
      </c>
      <c r="B338" s="123" t="n">
        <v>24</v>
      </c>
      <c r="C338" s="123" t="inlineStr">
        <is>
          <t>6 EE</t>
        </is>
      </c>
      <c r="D338" s="122" t="inlineStr">
        <is>
          <t>Igual regla</t>
        </is>
      </c>
      <c r="E338" s="183" t="n"/>
      <c r="F338" s="84" t="n"/>
      <c r="G338" s="84" t="n"/>
      <c r="H338" s="84" t="n"/>
      <c r="I338" s="84" t="n"/>
      <c r="J338" s="84" t="n"/>
      <c r="K338" s="84" t="n"/>
      <c r="L338" s="84" t="n"/>
      <c r="M338" s="84" t="n"/>
      <c r="N338" s="84" t="n"/>
      <c r="O338" s="84" t="n"/>
      <c r="P338" s="84" t="n"/>
      <c r="Q338" s="84" t="n"/>
      <c r="R338" s="84" t="n"/>
      <c r="S338" s="84" t="n"/>
      <c r="T338" s="84" t="n"/>
      <c r="U338" s="84" t="n"/>
      <c r="V338" s="84" t="n"/>
      <c r="W338" s="84" t="n"/>
      <c r="X338" s="84" t="n"/>
      <c r="Y338" s="84" t="n"/>
      <c r="Z338" s="84" t="n"/>
      <c r="AA338" s="84" t="n"/>
      <c r="AB338" s="84" t="n"/>
      <c r="AC338" s="84" t="n"/>
      <c r="AD338" s="84">
        <f>IFERROR(__xludf.DUMMYFUNCTION("""COMPUTED_VALUE"""),"9 C")</f>
        <v/>
      </c>
    </row>
    <row r="339" ht="30" customHeight="1" s="176">
      <c r="A339" s="122" t="inlineStr">
        <is>
          <t>Talla Calzado MX – Hombre (con ancho)</t>
        </is>
      </c>
      <c r="B339" s="123" t="n">
        <v>24.5</v>
      </c>
      <c r="C339" s="123" t="inlineStr">
        <is>
          <t>6.5 D</t>
        </is>
      </c>
      <c r="D339" s="122" t="inlineStr">
        <is>
          <t>Igual regla</t>
        </is>
      </c>
      <c r="E339" s="183" t="n"/>
      <c r="F339" s="84" t="n"/>
      <c r="G339" s="84" t="n"/>
      <c r="H339" s="84" t="n"/>
      <c r="I339" s="84" t="n"/>
      <c r="J339" s="84" t="n"/>
      <c r="K339" s="84" t="n"/>
      <c r="L339" s="84" t="n"/>
      <c r="M339" s="84" t="n"/>
      <c r="N339" s="84" t="n"/>
      <c r="O339" s="84" t="n"/>
      <c r="P339" s="84" t="n"/>
      <c r="Q339" s="84" t="n"/>
      <c r="R339" s="84" t="n"/>
      <c r="S339" s="84" t="n"/>
      <c r="T339" s="84" t="n"/>
      <c r="U339" s="84" t="n"/>
      <c r="V339" s="84" t="n"/>
      <c r="W339" s="84" t="n"/>
      <c r="X339" s="84" t="n"/>
      <c r="Y339" s="84" t="n"/>
      <c r="Z339" s="84" t="n"/>
      <c r="AA339" s="84" t="n"/>
      <c r="AB339" s="84" t="n"/>
      <c r="AC339" s="84" t="n"/>
      <c r="AD339" s="84">
        <f>IFERROR(__xludf.DUMMYFUNCTION("""COMPUTED_VALUE"""),"9 FT")</f>
        <v/>
      </c>
    </row>
    <row r="340" ht="30" customHeight="1" s="176">
      <c r="A340" s="122" t="inlineStr">
        <is>
          <t>Talla Calzado MX – Hombre (con ancho)</t>
        </is>
      </c>
      <c r="B340" s="123" t="n">
        <v>24.5</v>
      </c>
      <c r="C340" s="123" t="inlineStr">
        <is>
          <t>6.5 EE</t>
        </is>
      </c>
      <c r="D340" s="122" t="inlineStr">
        <is>
          <t>Igual regla</t>
        </is>
      </c>
      <c r="E340" s="183" t="n"/>
      <c r="F340" s="84" t="n"/>
      <c r="G340" s="84" t="n"/>
      <c r="H340" s="84" t="n"/>
      <c r="I340" s="84" t="n"/>
      <c r="J340" s="84" t="n"/>
      <c r="K340" s="84" t="n"/>
      <c r="L340" s="84" t="n"/>
      <c r="M340" s="84" t="n"/>
      <c r="N340" s="84" t="n"/>
      <c r="O340" s="84" t="n"/>
      <c r="P340" s="84" t="n"/>
      <c r="Q340" s="84" t="n"/>
      <c r="R340" s="84" t="n"/>
      <c r="S340" s="84" t="n"/>
      <c r="T340" s="84" t="n"/>
      <c r="U340" s="84" t="n"/>
      <c r="V340" s="84" t="n"/>
      <c r="W340" s="84" t="n"/>
      <c r="X340" s="84" t="n"/>
      <c r="Y340" s="84" t="n"/>
      <c r="Z340" s="84" t="n"/>
      <c r="AA340" s="84" t="n"/>
      <c r="AB340" s="84" t="n"/>
      <c r="AC340" s="84" t="n"/>
      <c r="AD340" s="84">
        <f>IFERROR(__xludf.DUMMYFUNCTION("""COMPUTED_VALUE"""),"9 WM")</f>
        <v/>
      </c>
    </row>
    <row r="341" ht="30" customHeight="1" s="176">
      <c r="A341" s="122" t="inlineStr">
        <is>
          <t>Talla Calzado MX – Hombre (con ancho)</t>
        </is>
      </c>
      <c r="B341" s="123" t="n">
        <v>25</v>
      </c>
      <c r="C341" s="123" t="inlineStr">
        <is>
          <t>7 D</t>
        </is>
      </c>
      <c r="D341" s="122" t="inlineStr">
        <is>
          <t>Igual regla</t>
        </is>
      </c>
      <c r="E341" s="183" t="n"/>
      <c r="F341" s="84" t="n"/>
      <c r="G341" s="84" t="n"/>
      <c r="H341" s="84" t="n"/>
      <c r="I341" s="84" t="n"/>
      <c r="J341" s="84" t="n"/>
      <c r="K341" s="84" t="n"/>
      <c r="L341" s="84" t="n"/>
      <c r="M341" s="84" t="n"/>
      <c r="N341" s="84" t="n"/>
      <c r="O341" s="84" t="n"/>
      <c r="P341" s="84" t="n"/>
      <c r="Q341" s="84" t="n"/>
      <c r="R341" s="84" t="n"/>
      <c r="S341" s="84" t="n"/>
      <c r="T341" s="84" t="n"/>
      <c r="U341" s="84" t="n"/>
      <c r="V341" s="84" t="n"/>
      <c r="W341" s="84" t="n"/>
      <c r="X341" s="84" t="n"/>
      <c r="Y341" s="84" t="n"/>
      <c r="Z341" s="84" t="n"/>
      <c r="AA341" s="84" t="n"/>
      <c r="AB341" s="84" t="n"/>
      <c r="AC341" s="84" t="n"/>
      <c r="AD341" s="84">
        <f>IFERROR(__xludf.DUMMYFUNCTION("""COMPUTED_VALUE"""),"9 WS")</f>
        <v/>
      </c>
    </row>
    <row r="342" ht="30" customHeight="1" s="176">
      <c r="A342" s="122" t="inlineStr">
        <is>
          <t>Talla Calzado MX – Hombre (con ancho)</t>
        </is>
      </c>
      <c r="B342" s="123" t="n">
        <v>25</v>
      </c>
      <c r="C342" s="123" t="inlineStr">
        <is>
          <t>7 EE</t>
        </is>
      </c>
      <c r="D342" s="122" t="inlineStr">
        <is>
          <t>Igual regla</t>
        </is>
      </c>
      <c r="E342" s="183" t="n"/>
      <c r="F342" s="84" t="n"/>
      <c r="G342" s="84" t="n"/>
      <c r="H342" s="84" t="n"/>
      <c r="I342" s="84" t="n"/>
      <c r="J342" s="84" t="n"/>
      <c r="K342" s="84" t="n"/>
      <c r="L342" s="84" t="n"/>
      <c r="M342" s="84" t="n"/>
      <c r="N342" s="84" t="n"/>
      <c r="O342" s="84" t="n"/>
      <c r="P342" s="84" t="n"/>
      <c r="Q342" s="84" t="n"/>
      <c r="R342" s="84" t="n"/>
      <c r="S342" s="84" t="n"/>
      <c r="T342" s="84" t="n"/>
      <c r="U342" s="84" t="n"/>
      <c r="V342" s="84" t="n"/>
      <c r="W342" s="84" t="n"/>
      <c r="X342" s="84" t="n"/>
      <c r="Y342" s="84" t="n"/>
      <c r="Z342" s="84" t="n"/>
      <c r="AA342" s="84" t="n"/>
      <c r="AB342" s="84" t="n"/>
      <c r="AC342" s="84" t="n"/>
      <c r="AD342" s="84">
        <f>IFERROR(__xludf.DUMMYFUNCTION("""COMPUTED_VALUE"""),"9 WT")</f>
        <v/>
      </c>
    </row>
    <row r="343" ht="30" customHeight="1" s="176">
      <c r="A343" s="122" t="inlineStr">
        <is>
          <t>Talla Calzado MX – Hombre (con ancho)</t>
        </is>
      </c>
      <c r="B343" s="123" t="n">
        <v>25</v>
      </c>
      <c r="C343" s="123" t="inlineStr">
        <is>
          <t>7 FM</t>
        </is>
      </c>
      <c r="D343" s="122" t="inlineStr">
        <is>
          <t>Igual regla</t>
        </is>
      </c>
      <c r="E343" s="183" t="n"/>
      <c r="F343" s="84" t="n"/>
      <c r="G343" s="84" t="n"/>
      <c r="H343" s="84" t="n"/>
      <c r="I343" s="84" t="n"/>
      <c r="J343" s="84" t="n"/>
      <c r="K343" s="84" t="n"/>
      <c r="L343" s="84" t="n"/>
      <c r="M343" s="84" t="n"/>
      <c r="N343" s="84" t="n"/>
      <c r="O343" s="84" t="n"/>
      <c r="P343" s="84" t="n"/>
      <c r="Q343" s="84" t="n"/>
      <c r="R343" s="84" t="n"/>
      <c r="S343" s="84" t="n"/>
      <c r="T343" s="84" t="n"/>
      <c r="U343" s="84" t="n"/>
      <c r="V343" s="84" t="n"/>
      <c r="W343" s="84" t="n"/>
      <c r="X343" s="84" t="n"/>
      <c r="Y343" s="84" t="n"/>
      <c r="Z343" s="84" t="n"/>
      <c r="AA343" s="84" t="n"/>
      <c r="AB343" s="84" t="n"/>
      <c r="AC343" s="84" t="n"/>
      <c r="AD343" s="84">
        <f>IFERROR(__xludf.DUMMYFUNCTION("""COMPUTED_VALUE"""),"9 XSM")</f>
        <v/>
      </c>
    </row>
    <row r="344" ht="30" customHeight="1" s="176">
      <c r="A344" s="122" t="inlineStr">
        <is>
          <t>Talla Calzado MX – Hombre (con ancho)</t>
        </is>
      </c>
      <c r="B344" s="123" t="n">
        <v>25</v>
      </c>
      <c r="C344" s="123" t="inlineStr">
        <is>
          <t>7 FS</t>
        </is>
      </c>
      <c r="D344" s="122" t="inlineStr">
        <is>
          <t>Igual regla</t>
        </is>
      </c>
      <c r="E344" s="183" t="n"/>
      <c r="F344" s="84" t="n"/>
      <c r="G344" s="84" t="n"/>
      <c r="H344" s="84" t="n"/>
      <c r="I344" s="84" t="n"/>
      <c r="J344" s="84" t="n"/>
      <c r="K344" s="84" t="n"/>
      <c r="L344" s="84" t="n"/>
      <c r="M344" s="84" t="n"/>
      <c r="N344" s="84" t="n"/>
      <c r="O344" s="84" t="n"/>
      <c r="P344" s="84" t="n"/>
      <c r="Q344" s="84" t="n"/>
      <c r="R344" s="84" t="n"/>
      <c r="S344" s="84" t="n"/>
      <c r="T344" s="84" t="n"/>
      <c r="U344" s="84" t="n"/>
      <c r="V344" s="84" t="n"/>
      <c r="W344" s="84" t="n"/>
      <c r="X344" s="84" t="n"/>
      <c r="Y344" s="84" t="n"/>
      <c r="Z344" s="84" t="n"/>
      <c r="AA344" s="84" t="n"/>
      <c r="AB344" s="84" t="n"/>
      <c r="AC344" s="84" t="n"/>
      <c r="AD344" s="84">
        <f>IFERROR(__xludf.DUMMYFUNCTION("""COMPUTED_VALUE"""),"9 XST")</f>
        <v/>
      </c>
    </row>
    <row r="345" ht="30" customHeight="1" s="176">
      <c r="A345" s="122" t="inlineStr">
        <is>
          <t>Talla Calzado MX – Hombre (con ancho)</t>
        </is>
      </c>
      <c r="B345" s="123" t="n">
        <v>25</v>
      </c>
      <c r="C345" s="123" t="inlineStr">
        <is>
          <t>7 RM</t>
        </is>
      </c>
      <c r="D345" s="122" t="inlineStr">
        <is>
          <t>Igual regla</t>
        </is>
      </c>
      <c r="E345" s="183" t="n"/>
      <c r="F345" s="84" t="n"/>
      <c r="G345" s="84" t="n"/>
      <c r="H345" s="84" t="n"/>
      <c r="I345" s="84" t="n"/>
      <c r="J345" s="84" t="n"/>
      <c r="K345" s="84" t="n"/>
      <c r="L345" s="84" t="n"/>
      <c r="M345" s="84" t="n"/>
      <c r="N345" s="84" t="n"/>
      <c r="O345" s="84" t="n"/>
      <c r="P345" s="84" t="n"/>
      <c r="Q345" s="84" t="n"/>
      <c r="R345" s="84" t="n"/>
      <c r="S345" s="84" t="n"/>
      <c r="T345" s="84" t="n"/>
      <c r="U345" s="84" t="n"/>
      <c r="V345" s="84" t="n"/>
      <c r="W345" s="84" t="n"/>
      <c r="X345" s="84" t="n"/>
      <c r="Y345" s="84" t="n"/>
      <c r="Z345" s="84" t="n"/>
      <c r="AA345" s="84" t="n"/>
      <c r="AB345" s="84" t="n"/>
      <c r="AC345" s="84" t="n"/>
      <c r="AD345" s="84">
        <f>IFERROR(__xludf.DUMMYFUNCTION("""COMPUTED_VALUE"""),"9 XWM")</f>
        <v/>
      </c>
    </row>
    <row r="346" ht="30" customHeight="1" s="176">
      <c r="A346" s="122" t="inlineStr">
        <is>
          <t>Talla Calzado MX – Hombre (con ancho)</t>
        </is>
      </c>
      <c r="B346" s="123" t="n">
        <v>25</v>
      </c>
      <c r="C346" s="123" t="inlineStr">
        <is>
          <t>7 RS</t>
        </is>
      </c>
      <c r="D346" s="122" t="inlineStr">
        <is>
          <t>Igual regla</t>
        </is>
      </c>
      <c r="E346" s="183" t="n"/>
      <c r="F346" s="84" t="n"/>
      <c r="G346" s="84" t="n"/>
      <c r="H346" s="84" t="n"/>
      <c r="I346" s="84" t="n"/>
      <c r="J346" s="84" t="n"/>
      <c r="K346" s="84" t="n"/>
      <c r="L346" s="84" t="n"/>
      <c r="M346" s="84" t="n"/>
      <c r="N346" s="84" t="n"/>
      <c r="O346" s="84" t="n"/>
      <c r="P346" s="84" t="n"/>
      <c r="Q346" s="84" t="n"/>
      <c r="R346" s="84" t="n"/>
      <c r="S346" s="84" t="n"/>
      <c r="T346" s="84" t="n"/>
      <c r="U346" s="84" t="n"/>
      <c r="V346" s="84" t="n"/>
      <c r="W346" s="84" t="n"/>
      <c r="X346" s="84" t="n"/>
      <c r="Y346" s="84" t="n"/>
      <c r="Z346" s="84" t="n"/>
      <c r="AA346" s="84" t="n"/>
      <c r="AB346" s="84" t="n"/>
      <c r="AC346" s="84" t="n"/>
      <c r="AD346" s="84">
        <f>IFERROR(__xludf.DUMMYFUNCTION("""COMPUTED_VALUE"""),"9.5 C")</f>
        <v/>
      </c>
    </row>
    <row r="347" ht="30" customHeight="1" s="176">
      <c r="A347" s="122" t="inlineStr">
        <is>
          <t>Talla Calzado MX – Hombre (con ancho)</t>
        </is>
      </c>
      <c r="B347" s="123" t="n">
        <v>25</v>
      </c>
      <c r="C347" s="123" t="inlineStr">
        <is>
          <t>7 RT</t>
        </is>
      </c>
      <c r="D347" s="122" t="inlineStr">
        <is>
          <t>Igual regla</t>
        </is>
      </c>
      <c r="E347" s="183" t="n"/>
      <c r="F347" s="84" t="n"/>
      <c r="G347" s="84" t="n"/>
      <c r="H347" s="84" t="n"/>
      <c r="I347" s="84" t="n"/>
      <c r="J347" s="84" t="n"/>
      <c r="K347" s="84" t="n"/>
      <c r="L347" s="84" t="n"/>
      <c r="M347" s="84" t="n"/>
      <c r="N347" s="84" t="n"/>
      <c r="O347" s="84" t="n"/>
      <c r="P347" s="84" t="n"/>
      <c r="Q347" s="84" t="n"/>
      <c r="R347" s="84" t="n"/>
      <c r="S347" s="84" t="n"/>
      <c r="T347" s="84" t="n"/>
      <c r="U347" s="84" t="n"/>
      <c r="V347" s="84" t="n"/>
      <c r="W347" s="84" t="n"/>
      <c r="X347" s="84" t="n"/>
      <c r="Y347" s="84" t="n"/>
      <c r="Z347" s="84" t="n"/>
      <c r="AA347" s="84" t="n"/>
      <c r="AB347" s="84" t="n"/>
      <c r="AC347" s="84" t="n"/>
      <c r="AD347" s="84">
        <f>IFERROR(__xludf.DUMMYFUNCTION("""COMPUTED_VALUE"""),"9.5 FT")</f>
        <v/>
      </c>
    </row>
    <row r="348" ht="30" customHeight="1" s="176">
      <c r="A348" s="122" t="inlineStr">
        <is>
          <t>Talla Calzado MX – Hombre (con ancho)</t>
        </is>
      </c>
      <c r="B348" s="123" t="n">
        <v>25</v>
      </c>
      <c r="C348" s="123" t="inlineStr">
        <is>
          <t>7 SM</t>
        </is>
      </c>
      <c r="D348" s="122" t="inlineStr">
        <is>
          <t>Igual regla</t>
        </is>
      </c>
      <c r="E348" s="183" t="n"/>
      <c r="F348" s="84" t="n"/>
      <c r="G348" s="84" t="n"/>
      <c r="H348" s="84" t="n"/>
      <c r="I348" s="84" t="n"/>
      <c r="J348" s="84" t="n"/>
      <c r="K348" s="84" t="n"/>
      <c r="L348" s="84" t="n"/>
      <c r="M348" s="84" t="n"/>
      <c r="N348" s="84" t="n"/>
      <c r="O348" s="84" t="n"/>
      <c r="P348" s="84" t="n"/>
      <c r="Q348" s="84" t="n"/>
      <c r="R348" s="84" t="n"/>
      <c r="S348" s="84" t="n"/>
      <c r="T348" s="84" t="n"/>
      <c r="U348" s="84" t="n"/>
      <c r="V348" s="84" t="n"/>
      <c r="W348" s="84" t="n"/>
      <c r="X348" s="84" t="n"/>
      <c r="Y348" s="84" t="n"/>
      <c r="Z348" s="84" t="n"/>
      <c r="AA348" s="84" t="n"/>
      <c r="AB348" s="84" t="n"/>
      <c r="AC348" s="84" t="n"/>
      <c r="AD348" s="84">
        <f>IFERROR(__xludf.DUMMYFUNCTION("""COMPUTED_VALUE"""),"9.5 WM")</f>
        <v/>
      </c>
    </row>
    <row r="349" ht="30" customHeight="1" s="176">
      <c r="A349" s="122" t="inlineStr">
        <is>
          <t>Talla Calzado MX – Hombre (con ancho)</t>
        </is>
      </c>
      <c r="B349" s="123" t="n">
        <v>25</v>
      </c>
      <c r="C349" s="123" t="inlineStr">
        <is>
          <t>7 SS</t>
        </is>
      </c>
      <c r="D349" s="122" t="inlineStr">
        <is>
          <t>Igual regla</t>
        </is>
      </c>
      <c r="E349" s="183" t="n"/>
      <c r="F349" s="84" t="n"/>
      <c r="G349" s="84" t="n"/>
      <c r="H349" s="84" t="n"/>
      <c r="I349" s="84" t="n"/>
      <c r="J349" s="84" t="n"/>
      <c r="K349" s="84" t="n"/>
      <c r="L349" s="84" t="n"/>
      <c r="M349" s="84" t="n"/>
      <c r="N349" s="84" t="n"/>
      <c r="O349" s="84" t="n"/>
      <c r="P349" s="84" t="n"/>
      <c r="Q349" s="84" t="n"/>
      <c r="R349" s="84" t="n"/>
      <c r="S349" s="84" t="n"/>
      <c r="T349" s="84" t="n"/>
      <c r="U349" s="84" t="n"/>
      <c r="V349" s="84" t="n"/>
      <c r="W349" s="84" t="n"/>
      <c r="X349" s="84" t="n"/>
      <c r="Y349" s="84" t="n"/>
      <c r="Z349" s="84" t="n"/>
      <c r="AA349" s="84" t="n"/>
      <c r="AB349" s="84" t="n"/>
      <c r="AC349" s="84" t="n"/>
      <c r="AD349" s="84">
        <f>IFERROR(__xludf.DUMMYFUNCTION("""COMPUTED_VALUE"""),"9.5 WS")</f>
        <v/>
      </c>
    </row>
    <row r="350" ht="30" customHeight="1" s="176">
      <c r="A350" s="122" t="inlineStr">
        <is>
          <t>Talla Calzado MX – Hombre (con ancho)</t>
        </is>
      </c>
      <c r="B350" s="123" t="n">
        <v>25</v>
      </c>
      <c r="C350" s="123" t="inlineStr">
        <is>
          <t>7 ST</t>
        </is>
      </c>
      <c r="D350" s="122" t="inlineStr">
        <is>
          <t>Igual regla</t>
        </is>
      </c>
      <c r="E350" s="183" t="n"/>
      <c r="F350" s="84" t="n"/>
      <c r="G350" s="84" t="n"/>
      <c r="H350" s="84" t="n"/>
      <c r="I350" s="84" t="n"/>
      <c r="J350" s="84" t="n"/>
      <c r="K350" s="84" t="n"/>
      <c r="L350" s="84" t="n"/>
      <c r="M350" s="84" t="n"/>
      <c r="N350" s="84" t="n"/>
      <c r="O350" s="84" t="n"/>
      <c r="P350" s="84" t="n"/>
      <c r="Q350" s="84" t="n"/>
      <c r="R350" s="84" t="n"/>
      <c r="S350" s="84" t="n"/>
      <c r="T350" s="84" t="n"/>
      <c r="U350" s="84" t="n"/>
      <c r="V350" s="84" t="n"/>
      <c r="W350" s="84" t="n"/>
      <c r="X350" s="84" t="n"/>
      <c r="Y350" s="84" t="n"/>
      <c r="Z350" s="84" t="n"/>
      <c r="AA350" s="84" t="n"/>
      <c r="AB350" s="84" t="n"/>
      <c r="AC350" s="84" t="n"/>
      <c r="AD350" s="84">
        <f>IFERROR(__xludf.DUMMYFUNCTION("""COMPUTED_VALUE"""),"9.5 WT")</f>
        <v/>
      </c>
    </row>
    <row r="351" ht="30" customHeight="1" s="176">
      <c r="A351" s="122" t="inlineStr">
        <is>
          <t>Talla Calzado MX – Hombre (con ancho)</t>
        </is>
      </c>
      <c r="B351" s="123" t="n">
        <v>25.5</v>
      </c>
      <c r="C351" s="123" t="inlineStr">
        <is>
          <t>7.5 D</t>
        </is>
      </c>
      <c r="D351" s="122" t="inlineStr">
        <is>
          <t>Igual regla</t>
        </is>
      </c>
      <c r="E351" s="183" t="n"/>
      <c r="F351" s="84" t="n"/>
      <c r="G351" s="84" t="n"/>
      <c r="H351" s="84" t="n"/>
      <c r="I351" s="84" t="n"/>
      <c r="J351" s="84" t="n"/>
      <c r="K351" s="84" t="n"/>
      <c r="L351" s="84" t="n"/>
      <c r="M351" s="84" t="n"/>
      <c r="N351" s="84" t="n"/>
      <c r="O351" s="84" t="n"/>
      <c r="P351" s="84" t="n"/>
      <c r="Q351" s="84" t="n"/>
      <c r="R351" s="84" t="n"/>
      <c r="S351" s="84" t="n"/>
      <c r="T351" s="84" t="n"/>
      <c r="U351" s="84" t="n"/>
      <c r="V351" s="84" t="n"/>
      <c r="W351" s="84" t="n"/>
      <c r="X351" s="84" t="n"/>
      <c r="Y351" s="84" t="n"/>
      <c r="Z351" s="84" t="n"/>
      <c r="AA351" s="84" t="n"/>
      <c r="AB351" s="84" t="n"/>
      <c r="AC351" s="84" t="n"/>
      <c r="AD351" s="84">
        <f>IFERROR(__xludf.DUMMYFUNCTION("""COMPUTED_VALUE"""),"9.5 XSM")</f>
        <v/>
      </c>
    </row>
    <row r="352" ht="30" customHeight="1" s="176">
      <c r="A352" s="122" t="inlineStr">
        <is>
          <t>Talla Calzado MX – Hombre (con ancho)</t>
        </is>
      </c>
      <c r="B352" s="123" t="n">
        <v>25.5</v>
      </c>
      <c r="C352" s="123" t="inlineStr">
        <is>
          <t>7.5 EE</t>
        </is>
      </c>
      <c r="D352" s="122" t="inlineStr">
        <is>
          <t>Igual regla</t>
        </is>
      </c>
      <c r="E352" s="183" t="n"/>
      <c r="F352" s="84" t="n"/>
      <c r="G352" s="84" t="n"/>
      <c r="H352" s="84" t="n"/>
      <c r="I352" s="84" t="n"/>
      <c r="J352" s="84" t="n"/>
      <c r="K352" s="84" t="n"/>
      <c r="L352" s="84" t="n"/>
      <c r="M352" s="84" t="n"/>
      <c r="N352" s="84" t="n"/>
      <c r="O352" s="84" t="n"/>
      <c r="P352" s="84" t="n"/>
      <c r="Q352" s="84" t="n"/>
      <c r="R352" s="84" t="n"/>
      <c r="S352" s="84" t="n"/>
      <c r="T352" s="84" t="n"/>
      <c r="U352" s="84" t="n"/>
      <c r="V352" s="84" t="n"/>
      <c r="W352" s="84" t="n"/>
      <c r="X352" s="84" t="n"/>
      <c r="Y352" s="84" t="n"/>
      <c r="Z352" s="84" t="n"/>
      <c r="AA352" s="84" t="n"/>
      <c r="AB352" s="84" t="n"/>
      <c r="AC352" s="84" t="n"/>
      <c r="AD352" s="84">
        <f>IFERROR(__xludf.DUMMYFUNCTION("""COMPUTED_VALUE"""),"9.5 XST")</f>
        <v/>
      </c>
    </row>
    <row r="353" ht="30" customHeight="1" s="176">
      <c r="A353" s="122" t="inlineStr">
        <is>
          <t>Talla Calzado MX – Hombre (con ancho)</t>
        </is>
      </c>
      <c r="B353" s="123" t="n">
        <v>25.5</v>
      </c>
      <c r="C353" s="123" t="inlineStr">
        <is>
          <t>7.5 FM</t>
        </is>
      </c>
      <c r="D353" s="122" t="inlineStr">
        <is>
          <t>Igual regla</t>
        </is>
      </c>
      <c r="E353" s="183" t="n"/>
      <c r="F353" s="84" t="n"/>
      <c r="G353" s="84" t="n"/>
      <c r="H353" s="84" t="n"/>
      <c r="I353" s="84" t="n"/>
      <c r="J353" s="84" t="n"/>
      <c r="K353" s="84" t="n"/>
      <c r="L353" s="84" t="n"/>
      <c r="M353" s="84" t="n"/>
      <c r="N353" s="84" t="n"/>
      <c r="O353" s="84" t="n"/>
      <c r="P353" s="84" t="n"/>
      <c r="Q353" s="84" t="n"/>
      <c r="R353" s="84" t="n"/>
      <c r="S353" s="84" t="n"/>
      <c r="T353" s="84" t="n"/>
      <c r="U353" s="84" t="n"/>
      <c r="V353" s="84" t="n"/>
      <c r="W353" s="84" t="n"/>
      <c r="X353" s="84" t="n"/>
      <c r="Y353" s="84" t="n"/>
      <c r="Z353" s="84" t="n"/>
      <c r="AA353" s="84" t="n"/>
      <c r="AB353" s="84" t="n"/>
      <c r="AC353" s="84" t="n"/>
      <c r="AD353" s="84">
        <f>IFERROR(__xludf.DUMMYFUNCTION("""COMPUTED_VALUE"""),"9.5 XWM")</f>
        <v/>
      </c>
    </row>
    <row r="354" ht="30" customHeight="1" s="176">
      <c r="A354" s="122" t="inlineStr">
        <is>
          <t>Talla Calzado MX – Hombre (con ancho)</t>
        </is>
      </c>
      <c r="B354" s="123" t="n">
        <v>25.5</v>
      </c>
      <c r="C354" s="123" t="inlineStr">
        <is>
          <t>7.5 FS</t>
        </is>
      </c>
      <c r="D354" s="122" t="inlineStr">
        <is>
          <t>Igual regla</t>
        </is>
      </c>
      <c r="E354" s="183" t="n"/>
      <c r="F354" s="84" t="n"/>
      <c r="G354" s="84" t="n"/>
      <c r="H354" s="84" t="n"/>
      <c r="I354" s="84" t="n"/>
      <c r="J354" s="84" t="n"/>
      <c r="K354" s="84" t="n"/>
      <c r="L354" s="84" t="n"/>
      <c r="M354" s="84" t="n"/>
      <c r="N354" s="84" t="n"/>
      <c r="O354" s="84" t="n"/>
      <c r="P354" s="84" t="n"/>
      <c r="Q354" s="84" t="n"/>
      <c r="R354" s="84" t="n"/>
      <c r="S354" s="84" t="n"/>
      <c r="T354" s="84" t="n"/>
      <c r="U354" s="84" t="n"/>
      <c r="V354" s="84" t="n"/>
      <c r="W354" s="84" t="n"/>
      <c r="X354" s="84" t="n"/>
      <c r="Y354" s="84" t="n"/>
      <c r="Z354" s="84" t="n"/>
      <c r="AA354" s="84" t="n"/>
      <c r="AB354" s="84" t="n"/>
      <c r="AC354" s="84" t="n"/>
      <c r="AD354" s="84">
        <f>IFERROR(__xludf.DUMMYFUNCTION("""COMPUTED_VALUE"""),"10 C")</f>
        <v/>
      </c>
    </row>
    <row r="355" ht="30" customHeight="1" s="176">
      <c r="A355" s="122" t="inlineStr">
        <is>
          <t>Talla Calzado MX – Hombre (con ancho)</t>
        </is>
      </c>
      <c r="B355" s="123" t="n">
        <v>25.5</v>
      </c>
      <c r="C355" s="123" t="inlineStr">
        <is>
          <t>7.5 RM</t>
        </is>
      </c>
      <c r="D355" s="122" t="inlineStr">
        <is>
          <t>Igual regla</t>
        </is>
      </c>
      <c r="E355" s="183" t="n"/>
      <c r="F355" s="84" t="n"/>
      <c r="G355" s="84" t="n"/>
      <c r="H355" s="84" t="n"/>
      <c r="I355" s="84" t="n"/>
      <c r="J355" s="84" t="n"/>
      <c r="K355" s="84" t="n"/>
      <c r="L355" s="84" t="n"/>
      <c r="M355" s="84" t="n"/>
      <c r="N355" s="84" t="n"/>
      <c r="O355" s="84" t="n"/>
      <c r="P355" s="84" t="n"/>
      <c r="Q355" s="84" t="n"/>
      <c r="R355" s="84" t="n"/>
      <c r="S355" s="84" t="n"/>
      <c r="T355" s="84" t="n"/>
      <c r="U355" s="84" t="n"/>
      <c r="V355" s="84" t="n"/>
      <c r="W355" s="84" t="n"/>
      <c r="X355" s="84" t="n"/>
      <c r="Y355" s="84" t="n"/>
      <c r="Z355" s="84" t="n"/>
      <c r="AA355" s="84" t="n"/>
      <c r="AB355" s="84" t="n"/>
      <c r="AC355" s="84" t="n"/>
      <c r="AD355" s="84">
        <f>IFERROR(__xludf.DUMMYFUNCTION("""COMPUTED_VALUE"""),"10 FT")</f>
        <v/>
      </c>
    </row>
    <row r="356" ht="30" customHeight="1" s="176">
      <c r="A356" s="122" t="inlineStr">
        <is>
          <t>Talla Calzado MX – Hombre (con ancho)</t>
        </is>
      </c>
      <c r="B356" s="123" t="n">
        <v>25.5</v>
      </c>
      <c r="C356" s="123" t="inlineStr">
        <is>
          <t>7.5 RS</t>
        </is>
      </c>
      <c r="D356" s="122" t="inlineStr">
        <is>
          <t>Igual regla</t>
        </is>
      </c>
      <c r="E356" s="183" t="n"/>
      <c r="F356" s="84" t="n"/>
      <c r="G356" s="84" t="n"/>
      <c r="H356" s="84" t="n"/>
      <c r="I356" s="84" t="n"/>
      <c r="J356" s="84" t="n"/>
      <c r="K356" s="84" t="n"/>
      <c r="L356" s="84" t="n"/>
      <c r="M356" s="84" t="n"/>
      <c r="N356" s="84" t="n"/>
      <c r="O356" s="84" t="n"/>
      <c r="P356" s="84" t="n"/>
      <c r="Q356" s="84" t="n"/>
      <c r="R356" s="84" t="n"/>
      <c r="S356" s="84" t="n"/>
      <c r="T356" s="84" t="n"/>
      <c r="U356" s="84" t="n"/>
      <c r="V356" s="84" t="n"/>
      <c r="W356" s="84" t="n"/>
      <c r="X356" s="84" t="n"/>
      <c r="Y356" s="84" t="n"/>
      <c r="Z356" s="84" t="n"/>
      <c r="AA356" s="84" t="n"/>
      <c r="AB356" s="84" t="n"/>
      <c r="AC356" s="84" t="n"/>
      <c r="AD356" s="84">
        <f>IFERROR(__xludf.DUMMYFUNCTION("""COMPUTED_VALUE"""),"10 WM")</f>
        <v/>
      </c>
    </row>
    <row r="357" ht="30" customHeight="1" s="176">
      <c r="A357" s="122" t="inlineStr">
        <is>
          <t>Talla Calzado MX – Hombre (con ancho)</t>
        </is>
      </c>
      <c r="B357" s="123" t="n">
        <v>25.5</v>
      </c>
      <c r="C357" s="123" t="inlineStr">
        <is>
          <t>7.5 RT</t>
        </is>
      </c>
      <c r="D357" s="122" t="inlineStr">
        <is>
          <t>Igual regla</t>
        </is>
      </c>
      <c r="E357" s="183" t="n"/>
      <c r="F357" s="84" t="n"/>
      <c r="G357" s="84" t="n"/>
      <c r="H357" s="84" t="n"/>
      <c r="I357" s="84" t="n"/>
      <c r="J357" s="84" t="n"/>
      <c r="K357" s="84" t="n"/>
      <c r="L357" s="84" t="n"/>
      <c r="M357" s="84" t="n"/>
      <c r="N357" s="84" t="n"/>
      <c r="O357" s="84" t="n"/>
      <c r="P357" s="84" t="n"/>
      <c r="Q357" s="84" t="n"/>
      <c r="R357" s="84" t="n"/>
      <c r="S357" s="84" t="n"/>
      <c r="T357" s="84" t="n"/>
      <c r="U357" s="84" t="n"/>
      <c r="V357" s="84" t="n"/>
      <c r="W357" s="84" t="n"/>
      <c r="X357" s="84" t="n"/>
      <c r="Y357" s="84" t="n"/>
      <c r="Z357" s="84" t="n"/>
      <c r="AA357" s="84" t="n"/>
      <c r="AB357" s="84" t="n"/>
      <c r="AC357" s="84" t="n"/>
      <c r="AD357" s="84">
        <f>IFERROR(__xludf.DUMMYFUNCTION("""COMPUTED_VALUE"""),"10 WT")</f>
        <v/>
      </c>
    </row>
    <row r="358" ht="30" customHeight="1" s="176">
      <c r="A358" s="122" t="inlineStr">
        <is>
          <t>Talla Calzado MX – Hombre (con ancho)</t>
        </is>
      </c>
      <c r="B358" s="123" t="n">
        <v>25.5</v>
      </c>
      <c r="C358" s="123" t="inlineStr">
        <is>
          <t>7.5 SM</t>
        </is>
      </c>
      <c r="D358" s="122" t="inlineStr">
        <is>
          <t>Igual regla</t>
        </is>
      </c>
      <c r="E358" s="183" t="n"/>
      <c r="F358" s="84" t="n"/>
      <c r="G358" s="84" t="n"/>
      <c r="H358" s="84" t="n"/>
      <c r="I358" s="84" t="n"/>
      <c r="J358" s="84" t="n"/>
      <c r="K358" s="84" t="n"/>
      <c r="L358" s="84" t="n"/>
      <c r="M358" s="84" t="n"/>
      <c r="N358" s="84" t="n"/>
      <c r="O358" s="84" t="n"/>
      <c r="P358" s="84" t="n"/>
      <c r="Q358" s="84" t="n"/>
      <c r="R358" s="84" t="n"/>
      <c r="S358" s="84" t="n"/>
      <c r="T358" s="84" t="n"/>
      <c r="U358" s="84" t="n"/>
      <c r="V358" s="84" t="n"/>
      <c r="W358" s="84" t="n"/>
      <c r="X358" s="84" t="n"/>
      <c r="Y358" s="84" t="n"/>
      <c r="Z358" s="84" t="n"/>
      <c r="AA358" s="84" t="n"/>
      <c r="AB358" s="84" t="n"/>
      <c r="AC358" s="84" t="n"/>
      <c r="AD358" s="84">
        <f>IFERROR(__xludf.DUMMYFUNCTION("""COMPUTED_VALUE"""),"10 XST")</f>
        <v/>
      </c>
    </row>
    <row r="359" ht="30" customHeight="1" s="176">
      <c r="A359" s="122" t="inlineStr">
        <is>
          <t>Talla Calzado MX – Hombre (con ancho)</t>
        </is>
      </c>
      <c r="B359" s="123" t="n">
        <v>25.5</v>
      </c>
      <c r="C359" s="123" t="inlineStr">
        <is>
          <t>7.5 SS</t>
        </is>
      </c>
      <c r="D359" s="122" t="inlineStr">
        <is>
          <t>Igual regla</t>
        </is>
      </c>
      <c r="E359" s="183" t="n"/>
      <c r="F359" s="84" t="n"/>
      <c r="G359" s="84" t="n"/>
      <c r="H359" s="84" t="n"/>
      <c r="I359" s="84" t="n"/>
      <c r="J359" s="84" t="n"/>
      <c r="K359" s="84" t="n"/>
      <c r="L359" s="84" t="n"/>
      <c r="M359" s="84" t="n"/>
      <c r="N359" s="84" t="n"/>
      <c r="O359" s="84" t="n"/>
      <c r="P359" s="84" t="n"/>
      <c r="Q359" s="84" t="n"/>
      <c r="R359" s="84" t="n"/>
      <c r="S359" s="84" t="n"/>
      <c r="T359" s="84" t="n"/>
      <c r="U359" s="84" t="n"/>
      <c r="V359" s="84" t="n"/>
      <c r="W359" s="84" t="n"/>
      <c r="X359" s="84" t="n"/>
      <c r="Y359" s="84" t="n"/>
      <c r="Z359" s="84" t="n"/>
      <c r="AA359" s="84" t="n"/>
      <c r="AB359" s="84" t="n"/>
      <c r="AC359" s="84" t="n"/>
      <c r="AD359" s="84">
        <f>IFERROR(__xludf.DUMMYFUNCTION("""COMPUTED_VALUE"""),"10 XWM")</f>
        <v/>
      </c>
    </row>
    <row r="360" ht="30" customHeight="1" s="176">
      <c r="A360" s="122" t="inlineStr">
        <is>
          <t>Talla Calzado MX – Hombre (con ancho)</t>
        </is>
      </c>
      <c r="B360" s="123" t="n">
        <v>25.5</v>
      </c>
      <c r="C360" s="123" t="inlineStr">
        <is>
          <t>7.5 ST</t>
        </is>
      </c>
      <c r="D360" s="122" t="inlineStr">
        <is>
          <t>Igual regla</t>
        </is>
      </c>
      <c r="E360" s="183" t="n"/>
      <c r="F360" s="84" t="n"/>
      <c r="G360" s="84" t="n"/>
      <c r="H360" s="84" t="n"/>
      <c r="I360" s="84" t="n"/>
      <c r="J360" s="84" t="n"/>
      <c r="K360" s="84" t="n"/>
      <c r="L360" s="84" t="n"/>
      <c r="M360" s="84" t="n"/>
      <c r="N360" s="84" t="n"/>
      <c r="O360" s="84" t="n"/>
      <c r="P360" s="84" t="n"/>
      <c r="Q360" s="84" t="n"/>
      <c r="R360" s="84" t="n"/>
      <c r="S360" s="84" t="n"/>
      <c r="T360" s="84" t="n"/>
      <c r="U360" s="84" t="n"/>
      <c r="V360" s="84" t="n"/>
      <c r="W360" s="84" t="n"/>
      <c r="X360" s="84" t="n"/>
      <c r="Y360" s="84" t="n"/>
      <c r="Z360" s="84" t="n"/>
      <c r="AA360" s="84" t="n"/>
      <c r="AB360" s="84" t="n"/>
      <c r="AC360" s="84" t="n"/>
      <c r="AD360" s="84">
        <f>IFERROR(__xludf.DUMMYFUNCTION("""COMPUTED_VALUE"""),"11 C")</f>
        <v/>
      </c>
    </row>
    <row r="361" ht="30" customHeight="1" s="176">
      <c r="A361" s="122" t="inlineStr">
        <is>
          <t>Talla Calzado MX – Hombre (con ancho)</t>
        </is>
      </c>
      <c r="B361" s="123" t="n">
        <v>26</v>
      </c>
      <c r="C361" s="123" t="inlineStr">
        <is>
          <t>8 D</t>
        </is>
      </c>
      <c r="D361" s="122" t="inlineStr">
        <is>
          <t>Igual regla</t>
        </is>
      </c>
      <c r="E361" s="183" t="n"/>
      <c r="F361" s="84" t="n"/>
      <c r="G361" s="84" t="n"/>
      <c r="H361" s="84" t="n"/>
      <c r="I361" s="84" t="n"/>
      <c r="J361" s="84" t="n"/>
      <c r="K361" s="84" t="n"/>
      <c r="L361" s="84" t="n"/>
      <c r="M361" s="84" t="n"/>
      <c r="N361" s="84" t="n"/>
      <c r="O361" s="84" t="n"/>
      <c r="P361" s="84" t="n"/>
      <c r="Q361" s="84" t="n"/>
      <c r="R361" s="84" t="n"/>
      <c r="S361" s="84" t="n"/>
      <c r="T361" s="84" t="n"/>
      <c r="U361" s="84" t="n"/>
      <c r="V361" s="84" t="n"/>
      <c r="W361" s="84" t="n"/>
      <c r="X361" s="84" t="n"/>
      <c r="Y361" s="84" t="n"/>
      <c r="Z361" s="84" t="n"/>
      <c r="AA361" s="84" t="n"/>
      <c r="AB361" s="84" t="n"/>
      <c r="AC361" s="84" t="n"/>
      <c r="AD361" s="84">
        <f>IFERROR(__xludf.DUMMYFUNCTION("""COMPUTED_VALUE"""),"11 FT")</f>
        <v/>
      </c>
    </row>
    <row r="362" ht="30" customHeight="1" s="176">
      <c r="A362" s="122" t="inlineStr">
        <is>
          <t>Talla Calzado MX – Hombre (con ancho)</t>
        </is>
      </c>
      <c r="B362" s="123" t="n">
        <v>26</v>
      </c>
      <c r="C362" s="123" t="inlineStr">
        <is>
          <t>8 EE</t>
        </is>
      </c>
      <c r="D362" s="122" t="inlineStr">
        <is>
          <t>Igual regla</t>
        </is>
      </c>
      <c r="E362" s="183" t="n"/>
      <c r="F362" s="84" t="n"/>
      <c r="G362" s="84" t="n"/>
      <c r="H362" s="84" t="n"/>
      <c r="I362" s="84" t="n"/>
      <c r="J362" s="84" t="n"/>
      <c r="K362" s="84" t="n"/>
      <c r="L362" s="84" t="n"/>
      <c r="M362" s="84" t="n"/>
      <c r="N362" s="84" t="n"/>
      <c r="O362" s="84" t="n"/>
      <c r="P362" s="84" t="n"/>
      <c r="Q362" s="84" t="n"/>
      <c r="R362" s="84" t="n"/>
      <c r="S362" s="84" t="n"/>
      <c r="T362" s="84" t="n"/>
      <c r="U362" s="84" t="n"/>
      <c r="V362" s="84" t="n"/>
      <c r="W362" s="84" t="n"/>
      <c r="X362" s="84" t="n"/>
      <c r="Y362" s="84" t="n"/>
      <c r="Z362" s="84" t="n"/>
      <c r="AA362" s="84" t="n"/>
      <c r="AB362" s="84" t="n"/>
      <c r="AC362" s="84" t="n"/>
      <c r="AD362" s="84">
        <f>IFERROR(__xludf.DUMMYFUNCTION("""COMPUTED_VALUE"""),"11 WM")</f>
        <v/>
      </c>
    </row>
    <row r="363" ht="30" customHeight="1" s="176">
      <c r="A363" s="122" t="inlineStr">
        <is>
          <t>Talla Calzado MX – Hombre (con ancho)</t>
        </is>
      </c>
      <c r="B363" s="123" t="n">
        <v>26</v>
      </c>
      <c r="C363" s="123" t="inlineStr">
        <is>
          <t>8 FM</t>
        </is>
      </c>
      <c r="D363" s="122" t="inlineStr">
        <is>
          <t>Igual regla</t>
        </is>
      </c>
      <c r="E363" s="183" t="n"/>
      <c r="F363" s="84" t="n"/>
      <c r="G363" s="84" t="n"/>
      <c r="H363" s="84" t="n"/>
      <c r="I363" s="84" t="n"/>
      <c r="J363" s="84" t="n"/>
      <c r="K363" s="84" t="n"/>
      <c r="L363" s="84" t="n"/>
      <c r="M363" s="84" t="n"/>
      <c r="N363" s="84" t="n"/>
      <c r="O363" s="84" t="n"/>
      <c r="P363" s="84" t="n"/>
      <c r="Q363" s="84" t="n"/>
      <c r="R363" s="84" t="n"/>
      <c r="S363" s="84" t="n"/>
      <c r="T363" s="84" t="n"/>
      <c r="U363" s="84" t="n"/>
      <c r="V363" s="84" t="n"/>
      <c r="W363" s="84" t="n"/>
      <c r="X363" s="84" t="n"/>
      <c r="Y363" s="84" t="n"/>
      <c r="Z363" s="84" t="n"/>
      <c r="AA363" s="84" t="n"/>
      <c r="AB363" s="84" t="n"/>
      <c r="AC363" s="84" t="n"/>
      <c r="AD363" s="84">
        <f>IFERROR(__xludf.DUMMYFUNCTION("""COMPUTED_VALUE"""),"11 WT")</f>
        <v/>
      </c>
    </row>
    <row r="364" ht="30" customHeight="1" s="176">
      <c r="A364" s="122" t="inlineStr">
        <is>
          <t>Talla Calzado MX – Hombre (con ancho)</t>
        </is>
      </c>
      <c r="B364" s="123" t="n">
        <v>26</v>
      </c>
      <c r="C364" s="123" t="inlineStr">
        <is>
          <t>8 FS</t>
        </is>
      </c>
      <c r="D364" s="122" t="inlineStr">
        <is>
          <t>Igual regla</t>
        </is>
      </c>
      <c r="E364" s="183" t="n"/>
      <c r="F364" s="84" t="n"/>
      <c r="G364" s="84" t="n"/>
      <c r="H364" s="84" t="n"/>
      <c r="I364" s="84" t="n"/>
      <c r="J364" s="84" t="n"/>
      <c r="K364" s="84" t="n"/>
      <c r="L364" s="84" t="n"/>
      <c r="M364" s="84" t="n"/>
      <c r="N364" s="84" t="n"/>
      <c r="O364" s="84" t="n"/>
      <c r="P364" s="84" t="n"/>
      <c r="Q364" s="84" t="n"/>
      <c r="R364" s="84" t="n"/>
      <c r="S364" s="84" t="n"/>
      <c r="T364" s="84" t="n"/>
      <c r="U364" s="84" t="n"/>
      <c r="V364" s="84" t="n"/>
      <c r="W364" s="84" t="n"/>
      <c r="X364" s="84" t="n"/>
      <c r="Y364" s="84" t="n"/>
      <c r="Z364" s="84" t="n"/>
      <c r="AA364" s="84" t="n"/>
      <c r="AB364" s="84" t="n"/>
      <c r="AC364" s="84" t="n"/>
      <c r="AD364" s="84">
        <f>IFERROR(__xludf.DUMMYFUNCTION("""COMPUTED_VALUE"""),"11 XWM")</f>
        <v/>
      </c>
    </row>
    <row r="365" ht="30" customHeight="1" s="176">
      <c r="A365" s="122" t="inlineStr">
        <is>
          <t>Talla Calzado MX – Hombre (con ancho)</t>
        </is>
      </c>
      <c r="B365" s="123" t="n">
        <v>26</v>
      </c>
      <c r="C365" s="123" t="inlineStr">
        <is>
          <t>8 RM</t>
        </is>
      </c>
      <c r="D365" s="122" t="inlineStr">
        <is>
          <t>Igual regla</t>
        </is>
      </c>
      <c r="E365" s="183" t="n"/>
      <c r="F365" s="84" t="n"/>
      <c r="G365" s="84" t="n"/>
      <c r="H365" s="84" t="n"/>
      <c r="I365" s="84" t="n"/>
      <c r="J365" s="84" t="n"/>
      <c r="K365" s="84" t="n"/>
      <c r="L365" s="84" t="n"/>
      <c r="M365" s="84" t="n"/>
      <c r="N365" s="84" t="n"/>
      <c r="O365" s="84" t="n"/>
      <c r="P365" s="84" t="n"/>
      <c r="Q365" s="84" t="n"/>
      <c r="R365" s="84" t="n"/>
      <c r="S365" s="84" t="n"/>
      <c r="T365" s="84" t="n"/>
      <c r="U365" s="84" t="n"/>
      <c r="V365" s="84" t="n"/>
      <c r="W365" s="84" t="n"/>
      <c r="X365" s="84" t="n"/>
      <c r="Y365" s="84" t="n"/>
      <c r="Z365" s="84" t="n"/>
      <c r="AA365" s="84" t="n"/>
      <c r="AB365" s="84" t="n"/>
      <c r="AC365" s="84" t="n"/>
      <c r="AD365" s="84">
        <f>IFERROR(__xludf.DUMMYFUNCTION("""COMPUTED_VALUE"""),28.0)</f>
        <v/>
      </c>
    </row>
    <row r="366" ht="30" customHeight="1" s="176">
      <c r="A366" s="122" t="inlineStr">
        <is>
          <t>Talla Calzado MX – Hombre (con ancho)</t>
        </is>
      </c>
      <c r="B366" s="123" t="n">
        <v>26</v>
      </c>
      <c r="C366" s="123" t="inlineStr">
        <is>
          <t>8 RS</t>
        </is>
      </c>
      <c r="D366" s="122" t="inlineStr">
        <is>
          <t>Igual regla</t>
        </is>
      </c>
      <c r="E366" s="183" t="n"/>
      <c r="F366" s="84" t="n"/>
      <c r="G366" s="84" t="n"/>
      <c r="H366" s="84" t="n"/>
      <c r="I366" s="84" t="n"/>
      <c r="J366" s="84" t="n"/>
      <c r="K366" s="84" t="n"/>
      <c r="L366" s="84" t="n"/>
      <c r="M366" s="84" t="n"/>
      <c r="N366" s="84" t="n"/>
      <c r="O366" s="84" t="n"/>
      <c r="P366" s="84" t="n"/>
      <c r="Q366" s="84" t="n"/>
      <c r="R366" s="84" t="n"/>
      <c r="S366" s="84" t="n"/>
      <c r="T366" s="84" t="n"/>
      <c r="U366" s="84" t="n"/>
      <c r="V366" s="84" t="n"/>
      <c r="W366" s="84" t="n"/>
      <c r="X366" s="84" t="n"/>
      <c r="Y366" s="84" t="n"/>
      <c r="Z366" s="84" t="n"/>
      <c r="AA366" s="84" t="n"/>
      <c r="AB366" s="84" t="n"/>
      <c r="AC366" s="84" t="n"/>
      <c r="AD366" s="84">
        <f>IFERROR(__xludf.DUMMYFUNCTION("""COMPUTED_VALUE"""),30.0)</f>
        <v/>
      </c>
    </row>
    <row r="367" ht="30" customHeight="1" s="176">
      <c r="A367" s="122" t="inlineStr">
        <is>
          <t>Talla Calzado MX – Hombre (con ancho)</t>
        </is>
      </c>
      <c r="B367" s="123" t="n">
        <v>26</v>
      </c>
      <c r="C367" s="123" t="inlineStr">
        <is>
          <t>8 RT</t>
        </is>
      </c>
      <c r="D367" s="122" t="inlineStr">
        <is>
          <t>Igual regla</t>
        </is>
      </c>
      <c r="E367" s="183" t="n"/>
      <c r="F367" s="84" t="n"/>
      <c r="G367" s="84" t="n"/>
      <c r="H367" s="84" t="n"/>
      <c r="I367" s="84" t="n"/>
      <c r="J367" s="84" t="n"/>
      <c r="K367" s="84" t="n"/>
      <c r="L367" s="84" t="n"/>
      <c r="M367" s="84" t="n"/>
      <c r="N367" s="84" t="n"/>
      <c r="O367" s="84" t="n"/>
      <c r="P367" s="84" t="n"/>
      <c r="Q367" s="84" t="n"/>
      <c r="R367" s="84" t="n"/>
      <c r="S367" s="84" t="n"/>
      <c r="T367" s="84" t="n"/>
      <c r="U367" s="84" t="n"/>
      <c r="V367" s="84" t="n"/>
      <c r="W367" s="84" t="n"/>
      <c r="X367" s="84" t="n"/>
      <c r="Y367" s="84" t="n"/>
      <c r="Z367" s="84" t="n"/>
      <c r="AA367" s="84" t="n"/>
      <c r="AB367" s="84" t="n"/>
      <c r="AC367" s="84" t="n"/>
      <c r="AD367" s="84">
        <f>IFERROR(__xludf.DUMMYFUNCTION("""COMPUTED_VALUE"""),32.0)</f>
        <v/>
      </c>
    </row>
    <row r="368" ht="30" customHeight="1" s="176">
      <c r="A368" s="122" t="inlineStr">
        <is>
          <t>Talla Calzado MX – Hombre (con ancho)</t>
        </is>
      </c>
      <c r="B368" s="123" t="n">
        <v>26</v>
      </c>
      <c r="C368" s="123" t="inlineStr">
        <is>
          <t>8 SM</t>
        </is>
      </c>
      <c r="D368" s="122" t="inlineStr">
        <is>
          <t>Igual regla</t>
        </is>
      </c>
      <c r="E368" s="183" t="n"/>
      <c r="F368" s="84" t="n"/>
      <c r="G368" s="84" t="n"/>
      <c r="H368" s="84" t="n"/>
      <c r="I368" s="84" t="n"/>
      <c r="J368" s="84" t="n"/>
      <c r="K368" s="84" t="n"/>
      <c r="L368" s="84" t="n"/>
      <c r="M368" s="84" t="n"/>
      <c r="N368" s="84" t="n"/>
      <c r="O368" s="84" t="n"/>
      <c r="P368" s="84" t="n"/>
      <c r="Q368" s="84" t="n"/>
      <c r="R368" s="84" t="n"/>
      <c r="S368" s="84" t="n"/>
      <c r="T368" s="84" t="n"/>
      <c r="U368" s="84" t="n"/>
      <c r="V368" s="84" t="n"/>
      <c r="W368" s="84" t="n"/>
      <c r="X368" s="84" t="n"/>
      <c r="Y368" s="84" t="n"/>
      <c r="Z368" s="84" t="n"/>
      <c r="AA368" s="84" t="n"/>
      <c r="AB368" s="84" t="n"/>
      <c r="AC368" s="84" t="n"/>
      <c r="AD368" s="84">
        <f>IFERROR(__xludf.DUMMYFUNCTION("""COMPUTED_VALUE"""),34.0)</f>
        <v/>
      </c>
    </row>
    <row r="369" ht="30" customHeight="1" s="176">
      <c r="A369" s="122" t="inlineStr">
        <is>
          <t>Talla Calzado MX – Hombre (con ancho)</t>
        </is>
      </c>
      <c r="B369" s="123" t="n">
        <v>26</v>
      </c>
      <c r="C369" s="123" t="inlineStr">
        <is>
          <t>8 SS</t>
        </is>
      </c>
      <c r="D369" s="122" t="inlineStr">
        <is>
          <t>Igual regla</t>
        </is>
      </c>
      <c r="E369" s="183" t="n"/>
      <c r="F369" s="84" t="n"/>
      <c r="G369" s="84" t="n"/>
      <c r="H369" s="84" t="n"/>
      <c r="I369" s="84" t="n"/>
      <c r="J369" s="84" t="n"/>
      <c r="K369" s="84" t="n"/>
      <c r="L369" s="84" t="n"/>
      <c r="M369" s="84" t="n"/>
      <c r="N369" s="84" t="n"/>
      <c r="O369" s="84" t="n"/>
      <c r="P369" s="84" t="n"/>
      <c r="Q369" s="84" t="n"/>
      <c r="R369" s="84" t="n"/>
      <c r="S369" s="84" t="n"/>
      <c r="T369" s="84" t="n"/>
      <c r="U369" s="84" t="n"/>
      <c r="V369" s="84" t="n"/>
      <c r="W369" s="84" t="n"/>
      <c r="X369" s="84" t="n"/>
      <c r="Y369" s="84" t="n"/>
      <c r="Z369" s="84" t="n"/>
      <c r="AA369" s="84" t="n"/>
      <c r="AB369" s="84" t="n"/>
      <c r="AC369" s="84" t="n"/>
      <c r="AD369" s="84">
        <f>IFERROR(__xludf.DUMMYFUNCTION("""COMPUTED_VALUE"""),36.0)</f>
        <v/>
      </c>
    </row>
    <row r="370" ht="30" customHeight="1" s="176">
      <c r="A370" s="122" t="inlineStr">
        <is>
          <t>Talla Calzado MX – Hombre (con ancho)</t>
        </is>
      </c>
      <c r="B370" s="123" t="n">
        <v>26</v>
      </c>
      <c r="C370" s="123" t="inlineStr">
        <is>
          <t>8 ST</t>
        </is>
      </c>
      <c r="D370" s="122" t="inlineStr">
        <is>
          <t>Igual regla</t>
        </is>
      </c>
      <c r="E370" s="183" t="n"/>
      <c r="F370" s="84" t="n"/>
      <c r="G370" s="84" t="n"/>
      <c r="H370" s="84" t="n"/>
      <c r="I370" s="84" t="n"/>
      <c r="J370" s="84" t="n"/>
      <c r="K370" s="84" t="n"/>
      <c r="L370" s="84" t="n"/>
      <c r="M370" s="84" t="n"/>
      <c r="N370" s="84" t="n"/>
      <c r="O370" s="84" t="n"/>
      <c r="P370" s="84" t="n"/>
      <c r="Q370" s="84" t="n"/>
      <c r="R370" s="84" t="n"/>
      <c r="S370" s="84" t="n"/>
      <c r="T370" s="84" t="n"/>
      <c r="U370" s="84" t="n"/>
      <c r="V370" s="84" t="n"/>
      <c r="W370" s="84" t="n"/>
      <c r="X370" s="84" t="n"/>
      <c r="Y370" s="84" t="n"/>
      <c r="Z370" s="84" t="n"/>
      <c r="AA370" s="84" t="n"/>
      <c r="AB370" s="84" t="n"/>
      <c r="AC370" s="84" t="n"/>
      <c r="AD370" s="84">
        <f>IFERROR(__xludf.DUMMYFUNCTION("""COMPUTED_VALUE"""),38.0)</f>
        <v/>
      </c>
    </row>
    <row r="371" ht="30" customHeight="1" s="176">
      <c r="A371" s="122" t="inlineStr">
        <is>
          <t>Talla Calzado MX – Hombre (con ancho)</t>
        </is>
      </c>
      <c r="B371" s="123" t="n">
        <v>26</v>
      </c>
      <c r="C371" s="123" t="inlineStr">
        <is>
          <t>8 XSS</t>
        </is>
      </c>
      <c r="D371" s="122" t="inlineStr">
        <is>
          <t>Igual regla</t>
        </is>
      </c>
      <c r="E371" s="183" t="n"/>
      <c r="F371" s="84" t="n"/>
      <c r="G371" s="84" t="n"/>
      <c r="H371" s="84" t="n"/>
      <c r="I371" s="84" t="n"/>
      <c r="J371" s="84" t="n"/>
      <c r="K371" s="84" t="n"/>
      <c r="L371" s="84" t="n"/>
      <c r="M371" s="84" t="n"/>
      <c r="N371" s="84" t="n"/>
      <c r="O371" s="84" t="n"/>
      <c r="P371" s="84" t="n"/>
      <c r="Q371" s="84" t="n"/>
      <c r="R371" s="84" t="n"/>
      <c r="S371" s="84" t="n"/>
      <c r="T371" s="84" t="n"/>
      <c r="U371" s="84" t="n"/>
      <c r="V371" s="84" t="n"/>
      <c r="W371" s="84" t="n"/>
      <c r="X371" s="84" t="n"/>
      <c r="Y371" s="84" t="n"/>
      <c r="Z371" s="84" t="n"/>
      <c r="AA371" s="84" t="n"/>
      <c r="AB371" s="84" t="n"/>
      <c r="AC371" s="84" t="n"/>
      <c r="AD371" s="84">
        <f>IFERROR(__xludf.DUMMYFUNCTION("""COMPUTED_VALUE"""),40.0)</f>
        <v/>
      </c>
    </row>
    <row r="372" ht="30" customHeight="1" s="176">
      <c r="A372" s="122" t="inlineStr">
        <is>
          <t>Talla Calzado MX – Hombre (con ancho)</t>
        </is>
      </c>
      <c r="B372" s="123" t="n">
        <v>26.5</v>
      </c>
      <c r="C372" s="123" t="inlineStr">
        <is>
          <t>8.5 D</t>
        </is>
      </c>
      <c r="D372" s="122" t="inlineStr">
        <is>
          <t>Igual regla</t>
        </is>
      </c>
      <c r="E372" s="183" t="n"/>
      <c r="F372" s="84" t="n"/>
      <c r="G372" s="84" t="n"/>
      <c r="H372" s="84" t="n"/>
      <c r="I372" s="84" t="n"/>
      <c r="J372" s="84" t="n"/>
      <c r="K372" s="84" t="n"/>
      <c r="L372" s="84" t="n"/>
      <c r="M372" s="84" t="n"/>
      <c r="N372" s="84" t="n"/>
      <c r="O372" s="84" t="n"/>
      <c r="P372" s="84" t="n"/>
      <c r="Q372" s="84" t="n"/>
      <c r="R372" s="84" t="n"/>
      <c r="S372" s="84" t="n"/>
      <c r="T372" s="84" t="n"/>
      <c r="U372" s="84" t="n"/>
      <c r="V372" s="84" t="n"/>
      <c r="W372" s="84" t="n"/>
      <c r="X372" s="84" t="n"/>
      <c r="Y372" s="84" t="n"/>
      <c r="Z372" s="84" t="n"/>
      <c r="AA372" s="84" t="n"/>
      <c r="AB372" s="84" t="n"/>
      <c r="AC372" s="84" t="n"/>
      <c r="AD372" s="84">
        <f>IFERROR(__xludf.DUMMYFUNCTION("""COMPUTED_VALUE"""),42.0)</f>
        <v/>
      </c>
    </row>
    <row r="373" ht="30" customHeight="1" s="176">
      <c r="A373" s="122" t="inlineStr">
        <is>
          <t>Talla Calzado MX – Hombre (con ancho)</t>
        </is>
      </c>
      <c r="B373" s="123" t="n">
        <v>26.5</v>
      </c>
      <c r="C373" s="123" t="inlineStr">
        <is>
          <t>8.5 EE</t>
        </is>
      </c>
      <c r="D373" s="122" t="inlineStr">
        <is>
          <t>Igual regla</t>
        </is>
      </c>
      <c r="E373" s="183" t="n"/>
      <c r="F373" s="84" t="n"/>
      <c r="G373" s="84" t="n"/>
      <c r="H373" s="84" t="n"/>
      <c r="I373" s="84" t="n"/>
      <c r="J373" s="84" t="n"/>
      <c r="K373" s="84" t="n"/>
      <c r="L373" s="84" t="n"/>
      <c r="M373" s="84" t="n"/>
      <c r="N373" s="84" t="n"/>
      <c r="O373" s="84" t="n"/>
      <c r="P373" s="84" t="n"/>
      <c r="Q373" s="84" t="n"/>
      <c r="R373" s="84" t="n"/>
      <c r="S373" s="84" t="n"/>
      <c r="T373" s="84" t="n"/>
      <c r="U373" s="84" t="n"/>
      <c r="V373" s="84" t="n"/>
      <c r="W373" s="84" t="n"/>
      <c r="X373" s="84" t="n"/>
      <c r="Y373" s="84" t="n"/>
      <c r="Z373" s="84" t="n"/>
      <c r="AA373" s="84" t="n"/>
      <c r="AB373" s="84" t="n"/>
      <c r="AC373" s="84" t="n"/>
      <c r="AD373" s="84">
        <f>IFERROR(__xludf.DUMMYFUNCTION("""COMPUTED_VALUE"""),44.0)</f>
        <v/>
      </c>
    </row>
    <row r="374" ht="30" customHeight="1" s="176">
      <c r="A374" s="122" t="inlineStr">
        <is>
          <t>Talla Calzado MX – Hombre (con ancho)</t>
        </is>
      </c>
      <c r="B374" s="123" t="n">
        <v>26.5</v>
      </c>
      <c r="C374" s="123" t="inlineStr">
        <is>
          <t>8.5 FM</t>
        </is>
      </c>
      <c r="D374" s="122" t="inlineStr">
        <is>
          <t>Igual regla</t>
        </is>
      </c>
      <c r="E374" s="183" t="n"/>
      <c r="F374" s="84" t="n"/>
      <c r="G374" s="84" t="n"/>
      <c r="H374" s="84" t="n"/>
      <c r="I374" s="84" t="n"/>
      <c r="J374" s="84" t="n"/>
      <c r="K374" s="84" t="n"/>
      <c r="L374" s="84" t="n"/>
      <c r="M374" s="84" t="n"/>
      <c r="N374" s="84" t="n"/>
      <c r="O374" s="84" t="n"/>
      <c r="P374" s="84" t="n"/>
      <c r="Q374" s="84" t="n"/>
      <c r="R374" s="84" t="n"/>
      <c r="S374" s="84" t="n"/>
      <c r="T374" s="84" t="n"/>
      <c r="U374" s="84" t="n"/>
      <c r="V374" s="84" t="n"/>
      <c r="W374" s="84" t="n"/>
      <c r="X374" s="84" t="n"/>
      <c r="Y374" s="84" t="n"/>
      <c r="Z374" s="84" t="n"/>
      <c r="AA374" s="84" t="n"/>
      <c r="AB374" s="84" t="n"/>
      <c r="AC374" s="84" t="n"/>
      <c r="AD374" s="84">
        <f>IFERROR(__xludf.DUMMYFUNCTION("""COMPUTED_VALUE"""),46.0)</f>
        <v/>
      </c>
    </row>
    <row r="375" ht="30" customHeight="1" s="176">
      <c r="A375" s="122" t="inlineStr">
        <is>
          <t>Talla Calzado MX – Hombre (con ancho)</t>
        </is>
      </c>
      <c r="B375" s="123" t="n">
        <v>26.5</v>
      </c>
      <c r="C375" s="123" t="inlineStr">
        <is>
          <t>8.5 FS</t>
        </is>
      </c>
      <c r="D375" s="122" t="inlineStr">
        <is>
          <t>Igual regla</t>
        </is>
      </c>
      <c r="E375" s="183" t="n"/>
      <c r="F375" s="84" t="n"/>
      <c r="G375" s="84" t="n"/>
      <c r="H375" s="84" t="n"/>
      <c r="I375" s="84" t="n"/>
      <c r="J375" s="84" t="n"/>
      <c r="K375" s="84" t="n"/>
      <c r="L375" s="84" t="n"/>
      <c r="M375" s="84" t="n"/>
      <c r="N375" s="84" t="n"/>
      <c r="O375" s="84" t="n"/>
      <c r="P375" s="84" t="n"/>
      <c r="Q375" s="84" t="n"/>
      <c r="R375" s="84" t="n"/>
      <c r="S375" s="84" t="n"/>
      <c r="T375" s="84" t="n"/>
      <c r="U375" s="84" t="n"/>
      <c r="V375" s="84" t="n"/>
      <c r="W375" s="84" t="n"/>
      <c r="X375" s="84" t="n"/>
      <c r="Y375" s="84" t="n"/>
      <c r="Z375" s="84" t="n"/>
      <c r="AA375" s="84" t="n"/>
      <c r="AB375" s="84" t="n"/>
      <c r="AC375" s="84" t="n"/>
      <c r="AD375" s="84">
        <f>IFERROR(__xludf.DUMMYFUNCTION("""COMPUTED_VALUE"""),48.0)</f>
        <v/>
      </c>
    </row>
    <row r="376" ht="30" customHeight="1" s="176">
      <c r="A376" s="122" t="inlineStr">
        <is>
          <t>Talla Calzado MX – Hombre (con ancho)</t>
        </is>
      </c>
      <c r="B376" s="123" t="n">
        <v>26.5</v>
      </c>
      <c r="C376" s="123" t="inlineStr">
        <is>
          <t>8.5 RM</t>
        </is>
      </c>
      <c r="D376" s="122" t="inlineStr">
        <is>
          <t>Igual regla</t>
        </is>
      </c>
      <c r="E376" s="183" t="n"/>
      <c r="F376" s="84" t="n"/>
      <c r="G376" s="84" t="n"/>
      <c r="H376" s="84" t="n"/>
      <c r="I376" s="84" t="n"/>
      <c r="J376" s="84" t="n"/>
      <c r="K376" s="84" t="n"/>
      <c r="L376" s="84" t="n"/>
      <c r="M376" s="84" t="n"/>
      <c r="N376" s="84" t="n"/>
      <c r="O376" s="84" t="n"/>
      <c r="P376" s="84" t="n"/>
      <c r="Q376" s="84" t="n"/>
      <c r="R376" s="84" t="n"/>
      <c r="S376" s="84" t="n"/>
      <c r="T376" s="84" t="n"/>
      <c r="U376" s="84" t="n"/>
      <c r="V376" s="84" t="n"/>
      <c r="W376" s="84" t="n"/>
      <c r="X376" s="84" t="n"/>
      <c r="Y376" s="84" t="n"/>
      <c r="Z376" s="84" t="n"/>
      <c r="AA376" s="84" t="n"/>
      <c r="AB376" s="84" t="n"/>
      <c r="AC376" s="84" t="n"/>
      <c r="AD376" s="84">
        <f>IFERROR(__xludf.DUMMYFUNCTION("""COMPUTED_VALUE"""),50.0)</f>
        <v/>
      </c>
    </row>
    <row r="377" ht="30" customHeight="1" s="176">
      <c r="A377" s="122" t="inlineStr">
        <is>
          <t>Talla Calzado MX – Hombre (con ancho)</t>
        </is>
      </c>
      <c r="B377" s="123" t="n">
        <v>26.5</v>
      </c>
      <c r="C377" s="123" t="inlineStr">
        <is>
          <t>8.5 RS</t>
        </is>
      </c>
      <c r="D377" s="122" t="inlineStr">
        <is>
          <t>Igual regla</t>
        </is>
      </c>
      <c r="E377" s="183" t="n"/>
      <c r="F377" s="84" t="n"/>
      <c r="G377" s="84" t="n"/>
      <c r="H377" s="84" t="n"/>
      <c r="I377" s="84" t="n"/>
      <c r="J377" s="84" t="n"/>
      <c r="K377" s="84" t="n"/>
      <c r="L377" s="84" t="n"/>
      <c r="M377" s="84" t="n"/>
      <c r="N377" s="84" t="n"/>
      <c r="O377" s="84" t="n"/>
      <c r="P377" s="84" t="n"/>
      <c r="Q377" s="84" t="n"/>
      <c r="R377" s="84" t="n"/>
      <c r="S377" s="84" t="n"/>
      <c r="T377" s="84" t="n"/>
      <c r="U377" s="84" t="n"/>
      <c r="V377" s="84" t="n"/>
      <c r="W377" s="84" t="n"/>
      <c r="X377" s="84" t="n"/>
      <c r="Y377" s="84" t="n"/>
      <c r="Z377" s="84" t="n"/>
      <c r="AA377" s="84" t="n"/>
      <c r="AB377" s="84" t="n"/>
      <c r="AC377" s="84" t="n"/>
      <c r="AD377" s="84">
        <f>IFERROR(__xludf.DUMMYFUNCTION("""COMPUTED_VALUE"""),52.0)</f>
        <v/>
      </c>
    </row>
    <row r="378" ht="30" customHeight="1" s="176">
      <c r="A378" s="122" t="inlineStr">
        <is>
          <t>Talla Calzado MX – Hombre (con ancho)</t>
        </is>
      </c>
      <c r="B378" s="123" t="n">
        <v>26.5</v>
      </c>
      <c r="C378" s="123" t="inlineStr">
        <is>
          <t>8.5 RT</t>
        </is>
      </c>
      <c r="D378" s="122" t="inlineStr">
        <is>
          <t>Igual regla</t>
        </is>
      </c>
      <c r="E378" s="183" t="n"/>
      <c r="F378" s="84" t="n"/>
      <c r="G378" s="84" t="n"/>
      <c r="H378" s="84" t="n"/>
      <c r="I378" s="84" t="n"/>
      <c r="J378" s="84" t="n"/>
      <c r="K378" s="84" t="n"/>
      <c r="L378" s="84" t="n"/>
      <c r="M378" s="84" t="n"/>
      <c r="N378" s="84" t="n"/>
      <c r="O378" s="84" t="n"/>
      <c r="P378" s="84" t="n"/>
      <c r="Q378" s="84" t="n"/>
      <c r="R378" s="84" t="n"/>
      <c r="S378" s="84" t="n"/>
      <c r="T378" s="84" t="n"/>
      <c r="U378" s="84" t="n"/>
      <c r="V378" s="84" t="n"/>
      <c r="W378" s="84" t="n"/>
      <c r="X378" s="84" t="n"/>
      <c r="Y378" s="84" t="n"/>
      <c r="Z378" s="84" t="n"/>
      <c r="AA378" s="84" t="n"/>
      <c r="AB378" s="84" t="n"/>
      <c r="AC378" s="84" t="n"/>
      <c r="AD378" s="84">
        <f>IFERROR(__xludf.DUMMYFUNCTION("""COMPUTED_VALUE"""),54.0)</f>
        <v/>
      </c>
    </row>
    <row r="379" ht="30" customHeight="1" s="176">
      <c r="A379" s="122" t="inlineStr">
        <is>
          <t>Talla Calzado MX – Hombre (con ancho)</t>
        </is>
      </c>
      <c r="B379" s="123" t="n">
        <v>26.5</v>
      </c>
      <c r="C379" s="123" t="inlineStr">
        <is>
          <t>8.5 SM</t>
        </is>
      </c>
      <c r="D379" s="122" t="inlineStr">
        <is>
          <t>Igual regla</t>
        </is>
      </c>
      <c r="E379" s="183" t="n"/>
      <c r="F379" s="84" t="n"/>
      <c r="G379" s="84" t="n"/>
      <c r="H379" s="84" t="n"/>
      <c r="I379" s="84" t="n"/>
      <c r="J379" s="84" t="n"/>
      <c r="K379" s="84" t="n"/>
      <c r="L379" s="84" t="n"/>
      <c r="M379" s="84" t="n"/>
      <c r="N379" s="84" t="n"/>
      <c r="O379" s="84" t="n"/>
      <c r="P379" s="84" t="n"/>
      <c r="Q379" s="84" t="n"/>
      <c r="R379" s="84" t="n"/>
      <c r="S379" s="84" t="n"/>
      <c r="T379" s="84" t="n"/>
      <c r="U379" s="84" t="n"/>
      <c r="V379" s="84" t="n"/>
      <c r="W379" s="84" t="n"/>
      <c r="X379" s="84" t="n"/>
      <c r="Y379" s="84" t="n"/>
      <c r="Z379" s="84" t="n"/>
      <c r="AA379" s="84" t="n"/>
      <c r="AB379" s="84" t="n"/>
      <c r="AC379" s="84" t="n"/>
      <c r="AD379" s="84">
        <f>IFERROR(__xludf.DUMMYFUNCTION("""COMPUTED_VALUE"""),56.0)</f>
        <v/>
      </c>
    </row>
    <row r="380" ht="30" customHeight="1" s="176">
      <c r="A380" s="122" t="inlineStr">
        <is>
          <t>Talla Calzado MX – Hombre (con ancho)</t>
        </is>
      </c>
      <c r="B380" s="123" t="n">
        <v>26.5</v>
      </c>
      <c r="C380" s="123" t="inlineStr">
        <is>
          <t>8.5 SS</t>
        </is>
      </c>
      <c r="D380" s="122" t="inlineStr">
        <is>
          <t>Igual regla</t>
        </is>
      </c>
      <c r="E380" s="183" t="n"/>
      <c r="F380" s="84" t="n"/>
      <c r="G380" s="84" t="n"/>
      <c r="H380" s="84" t="n"/>
      <c r="I380" s="84" t="n"/>
      <c r="J380" s="84" t="n"/>
      <c r="K380" s="84" t="n"/>
      <c r="L380" s="84" t="n"/>
      <c r="M380" s="84" t="n"/>
      <c r="N380" s="84" t="n"/>
      <c r="O380" s="84" t="n"/>
      <c r="P380" s="84" t="n"/>
      <c r="Q380" s="84" t="n"/>
      <c r="R380" s="84" t="n"/>
      <c r="S380" s="84" t="n"/>
      <c r="T380" s="84" t="n"/>
      <c r="U380" s="84" t="n"/>
      <c r="V380" s="84" t="n"/>
      <c r="W380" s="84" t="n"/>
      <c r="X380" s="84" t="n"/>
      <c r="Y380" s="84" t="n"/>
      <c r="Z380" s="84" t="n"/>
      <c r="AA380" s="84" t="n"/>
      <c r="AB380" s="84" t="n"/>
      <c r="AC380" s="84" t="n"/>
      <c r="AD380" s="84">
        <f>IFERROR(__xludf.DUMMYFUNCTION("""COMPUTED_VALUE"""),58.0)</f>
        <v/>
      </c>
    </row>
    <row r="381" ht="30" customHeight="1" s="176">
      <c r="A381" s="122" t="inlineStr">
        <is>
          <t>Talla Calzado MX – Hombre (con ancho)</t>
        </is>
      </c>
      <c r="B381" s="123" t="n">
        <v>26.5</v>
      </c>
      <c r="C381" s="123" t="inlineStr">
        <is>
          <t>8.5 ST</t>
        </is>
      </c>
      <c r="D381" s="122" t="inlineStr">
        <is>
          <t>Igual regla</t>
        </is>
      </c>
      <c r="E381" s="183" t="n"/>
      <c r="F381" s="84" t="n"/>
      <c r="G381" s="84" t="n"/>
      <c r="H381" s="84" t="n"/>
      <c r="I381" s="84" t="n"/>
      <c r="J381" s="84" t="n"/>
      <c r="K381" s="84" t="n"/>
      <c r="L381" s="84" t="n"/>
      <c r="M381" s="84" t="n"/>
      <c r="N381" s="84" t="n"/>
      <c r="O381" s="84" t="n"/>
      <c r="P381" s="84" t="n"/>
      <c r="Q381" s="84" t="n"/>
      <c r="R381" s="84" t="n"/>
      <c r="S381" s="84" t="n"/>
      <c r="T381" s="84" t="n"/>
      <c r="U381" s="84" t="n"/>
      <c r="V381" s="84" t="n"/>
      <c r="W381" s="84" t="n"/>
      <c r="X381" s="84" t="n"/>
      <c r="Y381" s="84" t="n"/>
      <c r="Z381" s="84" t="n"/>
      <c r="AA381" s="84" t="n"/>
      <c r="AB381" s="84" t="n"/>
      <c r="AC381" s="84" t="n"/>
      <c r="AD381" s="84">
        <f>IFERROR(__xludf.DUMMYFUNCTION("""COMPUTED_VALUE"""),60.0)</f>
        <v/>
      </c>
    </row>
    <row r="382" ht="30" customHeight="1" s="176">
      <c r="A382" s="122" t="inlineStr">
        <is>
          <t>Talla Calzado MX – Hombre (con ancho)</t>
        </is>
      </c>
      <c r="B382" s="123" t="n">
        <v>26.5</v>
      </c>
      <c r="C382" s="123" t="inlineStr">
        <is>
          <t>8.5 XSS</t>
        </is>
      </c>
      <c r="D382" s="122" t="inlineStr">
        <is>
          <t>Igual regla</t>
        </is>
      </c>
      <c r="E382" s="183" t="n"/>
      <c r="F382" s="84" t="n"/>
      <c r="G382" s="84" t="n"/>
      <c r="H382" s="84" t="n"/>
      <c r="I382" s="84" t="n"/>
      <c r="J382" s="84" t="n"/>
      <c r="K382" s="84" t="n"/>
      <c r="L382" s="84" t="n"/>
      <c r="M382" s="84" t="n"/>
      <c r="N382" s="84" t="n"/>
      <c r="O382" s="84" t="n"/>
      <c r="P382" s="84" t="n"/>
      <c r="Q382" s="84" t="n"/>
      <c r="R382" s="84" t="n"/>
      <c r="S382" s="84" t="n"/>
      <c r="T382" s="84" t="n"/>
      <c r="U382" s="84" t="n"/>
      <c r="V382" s="84" t="n"/>
      <c r="W382" s="84" t="n"/>
      <c r="X382" s="84" t="n"/>
      <c r="Y382" s="84" t="n"/>
      <c r="Z382" s="84" t="n"/>
      <c r="AA382" s="84" t="n"/>
      <c r="AB382" s="84" t="n"/>
      <c r="AC382" s="84" t="n"/>
      <c r="AD382" s="84">
        <f>IFERROR(__xludf.DUMMYFUNCTION("""COMPUTED_VALUE"""),18.0)</f>
        <v/>
      </c>
    </row>
    <row r="383" ht="30" customHeight="1" s="176">
      <c r="A383" s="122" t="inlineStr">
        <is>
          <t>Talla Calzado MX – Hombre (con ancho)</t>
        </is>
      </c>
      <c r="B383" s="123" t="n">
        <v>27</v>
      </c>
      <c r="C383" s="123" t="inlineStr">
        <is>
          <t>9 B</t>
        </is>
      </c>
      <c r="D383" s="122" t="inlineStr">
        <is>
          <t>Igual regla</t>
        </is>
      </c>
      <c r="E383" s="183" t="n"/>
      <c r="F383" s="84" t="n"/>
      <c r="G383" s="84" t="n"/>
      <c r="H383" s="84" t="n"/>
      <c r="I383" s="84" t="n"/>
      <c r="J383" s="84" t="n"/>
      <c r="K383" s="84" t="n"/>
      <c r="L383" s="84" t="n"/>
      <c r="M383" s="84" t="n"/>
      <c r="N383" s="84" t="n"/>
      <c r="O383" s="84" t="n"/>
      <c r="P383" s="84" t="n"/>
      <c r="Q383" s="84" t="n"/>
      <c r="R383" s="84" t="n"/>
      <c r="S383" s="84" t="n"/>
      <c r="T383" s="84" t="n"/>
      <c r="U383" s="84" t="n"/>
      <c r="V383" s="84" t="n"/>
      <c r="W383" s="84" t="n"/>
      <c r="X383" s="84" t="n"/>
      <c r="Y383" s="84" t="n"/>
      <c r="Z383" s="84" t="n"/>
      <c r="AA383" s="84" t="n"/>
      <c r="AB383" s="84" t="n"/>
      <c r="AC383" s="84" t="n"/>
      <c r="AD383" s="84">
        <f>IFERROR(__xludf.DUMMYFUNCTION("""COMPUTED_VALUE"""),20.0)</f>
        <v/>
      </c>
    </row>
    <row r="384" ht="30" customHeight="1" s="176">
      <c r="A384" s="122" t="inlineStr">
        <is>
          <t>Talla Calzado MX – Hombre (con ancho)</t>
        </is>
      </c>
      <c r="B384" s="123" t="n">
        <v>27</v>
      </c>
      <c r="C384" s="123" t="inlineStr">
        <is>
          <t>9 D</t>
        </is>
      </c>
      <c r="D384" s="122" t="inlineStr">
        <is>
          <t>Igual regla</t>
        </is>
      </c>
      <c r="E384" s="183" t="n"/>
      <c r="F384" s="84" t="n"/>
      <c r="G384" s="84" t="n"/>
      <c r="H384" s="84" t="n"/>
      <c r="I384" s="84" t="n"/>
      <c r="J384" s="84" t="n"/>
      <c r="K384" s="84" t="n"/>
      <c r="L384" s="84" t="n"/>
      <c r="M384" s="84" t="n"/>
      <c r="N384" s="84" t="n"/>
      <c r="O384" s="84" t="n"/>
      <c r="P384" s="84" t="n"/>
      <c r="Q384" s="84" t="n"/>
      <c r="R384" s="84" t="n"/>
      <c r="S384" s="84" t="n"/>
      <c r="T384" s="84" t="n"/>
      <c r="U384" s="84" t="n"/>
      <c r="V384" s="84" t="n"/>
      <c r="W384" s="84" t="n"/>
      <c r="X384" s="84" t="n"/>
      <c r="Y384" s="84" t="n"/>
      <c r="Z384" s="84" t="n"/>
      <c r="AA384" s="84" t="n"/>
      <c r="AB384" s="84" t="n"/>
      <c r="AC384" s="84" t="n"/>
      <c r="AD384" s="84">
        <f>IFERROR(__xludf.DUMMYFUNCTION("""COMPUTED_VALUE"""),22.0)</f>
        <v/>
      </c>
    </row>
    <row r="385" ht="30" customHeight="1" s="176">
      <c r="A385" s="122" t="inlineStr">
        <is>
          <t>Talla Calzado MX – Hombre (con ancho)</t>
        </is>
      </c>
      <c r="B385" s="123" t="n">
        <v>27</v>
      </c>
      <c r="C385" s="123" t="inlineStr">
        <is>
          <t>9 EE</t>
        </is>
      </c>
      <c r="D385" s="122" t="inlineStr">
        <is>
          <t>Igual regla</t>
        </is>
      </c>
      <c r="E385" s="183" t="n"/>
      <c r="F385" s="84" t="n"/>
      <c r="G385" s="84" t="n"/>
      <c r="H385" s="84" t="n"/>
      <c r="I385" s="84" t="n"/>
      <c r="J385" s="84" t="n"/>
      <c r="K385" s="84" t="n"/>
      <c r="L385" s="84" t="n"/>
      <c r="M385" s="84" t="n"/>
      <c r="N385" s="84" t="n"/>
      <c r="O385" s="84" t="n"/>
      <c r="P385" s="84" t="n"/>
      <c r="Q385" s="84" t="n"/>
      <c r="R385" s="84" t="n"/>
      <c r="S385" s="84" t="n"/>
      <c r="T385" s="84" t="n"/>
      <c r="U385" s="84" t="n"/>
      <c r="V385" s="84" t="n"/>
      <c r="W385" s="84" t="n"/>
      <c r="X385" s="84" t="n"/>
      <c r="Y385" s="84" t="n"/>
      <c r="Z385" s="84" t="n"/>
      <c r="AA385" s="84" t="n"/>
      <c r="AB385" s="84" t="n"/>
      <c r="AC385" s="84" t="n"/>
      <c r="AD385" s="84">
        <f>IFERROR(__xludf.DUMMYFUNCTION("""COMPUTED_VALUE"""),24.0)</f>
        <v/>
      </c>
    </row>
    <row r="386" ht="30" customHeight="1" s="176">
      <c r="A386" s="122" t="inlineStr">
        <is>
          <t>Talla Calzado MX – Hombre (con ancho)</t>
        </is>
      </c>
      <c r="B386" s="123" t="n">
        <v>27</v>
      </c>
      <c r="C386" s="123" t="inlineStr">
        <is>
          <t>9 FM</t>
        </is>
      </c>
      <c r="D386" s="122" t="inlineStr">
        <is>
          <t>Igual regla</t>
        </is>
      </c>
      <c r="E386" s="183" t="n"/>
      <c r="F386" s="84" t="n"/>
      <c r="G386" s="84" t="n"/>
      <c r="H386" s="84" t="n"/>
      <c r="I386" s="84" t="n"/>
      <c r="J386" s="84" t="n"/>
      <c r="K386" s="84" t="n"/>
      <c r="L386" s="84" t="n"/>
      <c r="M386" s="84" t="n"/>
      <c r="N386" s="84" t="n"/>
      <c r="O386" s="84" t="n"/>
      <c r="P386" s="84" t="n"/>
      <c r="Q386" s="84" t="n"/>
      <c r="R386" s="84" t="n"/>
      <c r="S386" s="84" t="n"/>
      <c r="T386" s="84" t="n"/>
      <c r="U386" s="84" t="n"/>
      <c r="V386" s="84" t="n"/>
      <c r="W386" s="84" t="n"/>
      <c r="X386" s="84" t="n"/>
      <c r="Y386" s="84" t="n"/>
      <c r="Z386" s="84" t="n"/>
      <c r="AA386" s="84" t="n"/>
      <c r="AB386" s="84" t="n"/>
      <c r="AC386" s="84" t="n"/>
      <c r="AD386" s="84">
        <f>IFERROR(__xludf.DUMMYFUNCTION("""COMPUTED_VALUE"""),26.0)</f>
        <v/>
      </c>
    </row>
    <row r="387" ht="30" customHeight="1" s="176">
      <c r="A387" s="122" t="inlineStr">
        <is>
          <t>Talla Calzado MX – Hombre (con ancho)</t>
        </is>
      </c>
      <c r="B387" s="123" t="n">
        <v>27</v>
      </c>
      <c r="C387" s="123" t="inlineStr">
        <is>
          <t>9 FS</t>
        </is>
      </c>
      <c r="D387" s="122" t="inlineStr">
        <is>
          <t>Igual regla</t>
        </is>
      </c>
      <c r="E387" s="183" t="n"/>
      <c r="F387" s="84" t="n"/>
      <c r="G387" s="84" t="n"/>
      <c r="H387" s="84" t="n"/>
      <c r="I387" s="84" t="n"/>
      <c r="J387" s="84" t="n"/>
      <c r="K387" s="84" t="n"/>
      <c r="L387" s="84" t="n"/>
      <c r="M387" s="84" t="n"/>
      <c r="N387" s="84" t="n"/>
      <c r="O387" s="84" t="n"/>
      <c r="P387" s="84" t="n"/>
      <c r="Q387" s="84" t="n"/>
      <c r="R387" s="84" t="n"/>
      <c r="S387" s="84" t="n"/>
      <c r="T387" s="84" t="n"/>
      <c r="U387" s="84" t="n"/>
      <c r="V387" s="84" t="n"/>
      <c r="W387" s="84" t="n"/>
      <c r="X387" s="84" t="n"/>
      <c r="Y387" s="84" t="n"/>
      <c r="Z387" s="84" t="n"/>
      <c r="AA387" s="84" t="n"/>
      <c r="AB387" s="84" t="n"/>
      <c r="AC387" s="84" t="n"/>
      <c r="AD387" s="84">
        <f>IFERROR(__xludf.DUMMYFUNCTION("""COMPUTED_VALUE"""),"22W")</f>
        <v/>
      </c>
    </row>
    <row r="388" ht="30" customHeight="1" s="176">
      <c r="A388" s="122" t="inlineStr">
        <is>
          <t>Talla Calzado MX – Hombre (con ancho)</t>
        </is>
      </c>
      <c r="B388" s="123" t="n">
        <v>27</v>
      </c>
      <c r="C388" s="123" t="inlineStr">
        <is>
          <t>9 RM</t>
        </is>
      </c>
      <c r="D388" s="122" t="inlineStr">
        <is>
          <t>Igual regla</t>
        </is>
      </c>
      <c r="E388" s="183" t="n"/>
      <c r="F388" s="84" t="n"/>
      <c r="G388" s="84" t="n"/>
      <c r="H388" s="84" t="n"/>
      <c r="I388" s="84" t="n"/>
      <c r="J388" s="84" t="n"/>
      <c r="K388" s="84" t="n"/>
      <c r="L388" s="84" t="n"/>
      <c r="M388" s="84" t="n"/>
      <c r="N388" s="84" t="n"/>
      <c r="O388" s="84" t="n"/>
      <c r="P388" s="84" t="n"/>
      <c r="Q388" s="84" t="n"/>
      <c r="R388" s="84" t="n"/>
      <c r="S388" s="84" t="n"/>
      <c r="T388" s="84" t="n"/>
      <c r="U388" s="84" t="n"/>
      <c r="V388" s="84" t="n"/>
      <c r="W388" s="84" t="n"/>
      <c r="X388" s="84" t="n"/>
      <c r="Y388" s="84" t="n"/>
      <c r="Z388" s="84" t="n"/>
      <c r="AA388" s="84" t="n"/>
      <c r="AB388" s="84" t="n"/>
      <c r="AC388" s="84" t="n"/>
      <c r="AD388" s="84">
        <f>IFERROR(__xludf.DUMMYFUNCTION("""COMPUTED_VALUE"""),"23W")</f>
        <v/>
      </c>
    </row>
    <row r="389" ht="30" customHeight="1" s="176">
      <c r="A389" s="122" t="inlineStr">
        <is>
          <t>Talla Calzado MX – Hombre (con ancho)</t>
        </is>
      </c>
      <c r="B389" s="123" t="n">
        <v>27</v>
      </c>
      <c r="C389" s="123" t="inlineStr">
        <is>
          <t>9 RS</t>
        </is>
      </c>
      <c r="D389" s="122" t="inlineStr">
        <is>
          <t>Igual regla</t>
        </is>
      </c>
      <c r="E389" s="183" t="n"/>
      <c r="F389" s="84" t="n"/>
      <c r="G389" s="84" t="n"/>
      <c r="H389" s="84" t="n"/>
      <c r="I389" s="84" t="n"/>
      <c r="J389" s="84" t="n"/>
      <c r="K389" s="84" t="n"/>
      <c r="L389" s="84" t="n"/>
      <c r="M389" s="84" t="n"/>
      <c r="N389" s="84" t="n"/>
      <c r="O389" s="84" t="n"/>
      <c r="P389" s="84" t="n"/>
      <c r="Q389" s="84" t="n"/>
      <c r="R389" s="84" t="n"/>
      <c r="S389" s="84" t="n"/>
      <c r="T389" s="84" t="n"/>
      <c r="U389" s="84" t="n"/>
      <c r="V389" s="84" t="n"/>
      <c r="W389" s="84" t="n"/>
      <c r="X389" s="84" t="n"/>
      <c r="Y389" s="84" t="n"/>
      <c r="Z389" s="84" t="n"/>
      <c r="AA389" s="84" t="n"/>
      <c r="AB389" s="84" t="n"/>
      <c r="AC389" s="84" t="n"/>
      <c r="AD389" s="84">
        <f>IFERROR(__xludf.DUMMYFUNCTION("""COMPUTED_VALUE"""),"24W")</f>
        <v/>
      </c>
    </row>
    <row r="390" ht="30" customHeight="1" s="176">
      <c r="A390" s="122" t="inlineStr">
        <is>
          <t>Talla Calzado MX – Hombre (con ancho)</t>
        </is>
      </c>
      <c r="B390" s="123" t="n">
        <v>27</v>
      </c>
      <c r="C390" s="123" t="inlineStr">
        <is>
          <t>9 RT</t>
        </is>
      </c>
      <c r="D390" s="122" t="inlineStr">
        <is>
          <t>Igual regla</t>
        </is>
      </c>
      <c r="E390" s="183" t="n"/>
      <c r="F390" s="84" t="n"/>
      <c r="G390" s="84" t="n"/>
      <c r="H390" s="84" t="n"/>
      <c r="I390" s="84" t="n"/>
      <c r="J390" s="84" t="n"/>
      <c r="K390" s="84" t="n"/>
      <c r="L390" s="84" t="n"/>
      <c r="M390" s="84" t="n"/>
      <c r="N390" s="84" t="n"/>
      <c r="O390" s="84" t="n"/>
      <c r="P390" s="84" t="n"/>
      <c r="Q390" s="84" t="n"/>
      <c r="R390" s="84" t="n"/>
      <c r="S390" s="84" t="n"/>
      <c r="T390" s="84" t="n"/>
      <c r="U390" s="84" t="n"/>
      <c r="V390" s="84" t="n"/>
      <c r="W390" s="84" t="n"/>
      <c r="X390" s="84" t="n"/>
      <c r="Y390" s="84" t="n"/>
      <c r="Z390" s="84" t="n"/>
      <c r="AA390" s="84" t="n"/>
      <c r="AB390" s="84" t="n"/>
      <c r="AC390" s="84" t="n"/>
      <c r="AD390" s="84">
        <f>IFERROR(__xludf.DUMMYFUNCTION("""COMPUTED_VALUE"""),"25W")</f>
        <v/>
      </c>
    </row>
    <row r="391" ht="30" customHeight="1" s="176">
      <c r="A391" s="122" t="inlineStr">
        <is>
          <t>Talla Calzado MX – Hombre (con ancho)</t>
        </is>
      </c>
      <c r="B391" s="123" t="n">
        <v>27</v>
      </c>
      <c r="C391" s="123" t="inlineStr">
        <is>
          <t>9 SM</t>
        </is>
      </c>
      <c r="D391" s="122" t="inlineStr">
        <is>
          <t>Igual regla</t>
        </is>
      </c>
      <c r="E391" s="183" t="n"/>
      <c r="F391" s="84" t="n"/>
      <c r="G391" s="84" t="n"/>
      <c r="H391" s="84" t="n"/>
      <c r="I391" s="84" t="n"/>
      <c r="J391" s="84" t="n"/>
      <c r="K391" s="84" t="n"/>
      <c r="L391" s="84" t="n"/>
      <c r="M391" s="84" t="n"/>
      <c r="N391" s="84" t="n"/>
      <c r="O391" s="84" t="n"/>
      <c r="P391" s="84" t="n"/>
      <c r="Q391" s="84" t="n"/>
      <c r="R391" s="84" t="n"/>
      <c r="S391" s="84" t="n"/>
      <c r="T391" s="84" t="n"/>
      <c r="U391" s="84" t="n"/>
      <c r="V391" s="84" t="n"/>
      <c r="W391" s="84" t="n"/>
      <c r="X391" s="84" t="n"/>
      <c r="Y391" s="84" t="n"/>
      <c r="Z391" s="84" t="n"/>
      <c r="AA391" s="84" t="n"/>
      <c r="AB391" s="84" t="n"/>
      <c r="AC391" s="84" t="n"/>
      <c r="AD391" s="84">
        <f>IFERROR(__xludf.DUMMYFUNCTION("""COMPUTED_VALUE"""),"26W")</f>
        <v/>
      </c>
    </row>
    <row r="392" ht="30" customHeight="1" s="176">
      <c r="A392" s="122" t="inlineStr">
        <is>
          <t>Talla Calzado MX – Hombre (con ancho)</t>
        </is>
      </c>
      <c r="B392" s="123" t="n">
        <v>27</v>
      </c>
      <c r="C392" s="123" t="inlineStr">
        <is>
          <t>9 SS</t>
        </is>
      </c>
      <c r="D392" s="122" t="inlineStr">
        <is>
          <t>Igual regla</t>
        </is>
      </c>
      <c r="E392" s="183" t="n"/>
      <c r="F392" s="84" t="n"/>
      <c r="G392" s="84" t="n"/>
      <c r="H392" s="84" t="n"/>
      <c r="I392" s="84" t="n"/>
      <c r="J392" s="84" t="n"/>
      <c r="K392" s="84" t="n"/>
      <c r="L392" s="84" t="n"/>
      <c r="M392" s="84" t="n"/>
      <c r="N392" s="84" t="n"/>
      <c r="O392" s="84" t="n"/>
      <c r="P392" s="84" t="n"/>
      <c r="Q392" s="84" t="n"/>
      <c r="R392" s="84" t="n"/>
      <c r="S392" s="84" t="n"/>
      <c r="T392" s="84" t="n"/>
      <c r="U392" s="84" t="n"/>
      <c r="V392" s="84" t="n"/>
      <c r="W392" s="84" t="n"/>
      <c r="X392" s="84" t="n"/>
      <c r="Y392" s="84" t="n"/>
      <c r="Z392" s="84" t="n"/>
      <c r="AA392" s="84" t="n"/>
      <c r="AB392" s="84" t="n"/>
      <c r="AC392" s="84" t="n"/>
      <c r="AD392" s="84">
        <f>IFERROR(__xludf.DUMMYFUNCTION("""COMPUTED_VALUE"""),"27W")</f>
        <v/>
      </c>
    </row>
    <row r="393" ht="30" customHeight="1" s="176">
      <c r="A393" s="122" t="inlineStr">
        <is>
          <t>Talla Calzado MX – Hombre (con ancho)</t>
        </is>
      </c>
      <c r="B393" s="123" t="n">
        <v>27</v>
      </c>
      <c r="C393" s="123" t="inlineStr">
        <is>
          <t>9 ST</t>
        </is>
      </c>
      <c r="D393" s="122" t="inlineStr">
        <is>
          <t>Igual regla</t>
        </is>
      </c>
      <c r="E393" s="183" t="n"/>
      <c r="F393" s="84" t="n"/>
      <c r="G393" s="84" t="n"/>
      <c r="H393" s="84" t="n"/>
      <c r="I393" s="84" t="n"/>
      <c r="J393" s="84" t="n"/>
      <c r="K393" s="84" t="n"/>
      <c r="L393" s="84" t="n"/>
      <c r="M393" s="84" t="n"/>
      <c r="N393" s="84" t="n"/>
      <c r="O393" s="84" t="n"/>
      <c r="P393" s="84" t="n"/>
      <c r="Q393" s="84" t="n"/>
      <c r="R393" s="84" t="n"/>
      <c r="S393" s="84" t="n"/>
      <c r="T393" s="84" t="n"/>
      <c r="U393" s="84" t="n"/>
      <c r="V393" s="84" t="n"/>
      <c r="W393" s="84" t="n"/>
      <c r="X393" s="84" t="n"/>
      <c r="Y393" s="84" t="n"/>
      <c r="Z393" s="84" t="n"/>
      <c r="AA393" s="84" t="n"/>
      <c r="AB393" s="84" t="n"/>
      <c r="AC393" s="84" t="n"/>
      <c r="AD393" s="84">
        <f>IFERROR(__xludf.DUMMYFUNCTION("""COMPUTED_VALUE"""),"28W")</f>
        <v/>
      </c>
    </row>
    <row r="394" ht="30" customHeight="1" s="176">
      <c r="A394" s="122" t="inlineStr">
        <is>
          <t>Talla Calzado MX – Hombre (con ancho)</t>
        </is>
      </c>
      <c r="B394" s="123" t="n">
        <v>27</v>
      </c>
      <c r="C394" s="123" t="inlineStr">
        <is>
          <t>9 XSS</t>
        </is>
      </c>
      <c r="D394" s="122" t="inlineStr">
        <is>
          <t>Igual regla</t>
        </is>
      </c>
      <c r="E394" s="183" t="n"/>
      <c r="F394" s="84" t="n"/>
      <c r="G394" s="84" t="n"/>
      <c r="H394" s="84" t="n"/>
      <c r="I394" s="84" t="n"/>
      <c r="J394" s="84" t="n"/>
      <c r="K394" s="84" t="n"/>
      <c r="L394" s="84" t="n"/>
      <c r="M394" s="84" t="n"/>
      <c r="N394" s="84" t="n"/>
      <c r="O394" s="84" t="n"/>
      <c r="P394" s="84" t="n"/>
      <c r="Q394" s="84" t="n"/>
      <c r="R394" s="84" t="n"/>
      <c r="S394" s="84" t="n"/>
      <c r="T394" s="84" t="n"/>
      <c r="U394" s="84" t="n"/>
      <c r="V394" s="84" t="n"/>
      <c r="W394" s="84" t="n"/>
      <c r="X394" s="84" t="n"/>
      <c r="Y394" s="84" t="n"/>
      <c r="Z394" s="84" t="n"/>
      <c r="AA394" s="84" t="n"/>
      <c r="AB394" s="84" t="n"/>
      <c r="AC394" s="84" t="n"/>
      <c r="AD394" s="84">
        <f>IFERROR(__xludf.DUMMYFUNCTION("""COMPUTED_VALUE"""),"29W")</f>
        <v/>
      </c>
    </row>
    <row r="395" ht="30" customHeight="1" s="176">
      <c r="A395" s="122" t="inlineStr">
        <is>
          <t>Talla Calzado MX – Hombre (con ancho)</t>
        </is>
      </c>
      <c r="B395" s="123" t="n">
        <v>27.5</v>
      </c>
      <c r="C395" s="123" t="inlineStr">
        <is>
          <t>9.5 B</t>
        </is>
      </c>
      <c r="D395" s="122" t="inlineStr">
        <is>
          <t>Igual regla</t>
        </is>
      </c>
      <c r="E395" s="183" t="n"/>
      <c r="F395" s="84" t="n"/>
      <c r="G395" s="84" t="n"/>
      <c r="H395" s="84" t="n"/>
      <c r="I395" s="84" t="n"/>
      <c r="J395" s="84" t="n"/>
      <c r="K395" s="84" t="n"/>
      <c r="L395" s="84" t="n"/>
      <c r="M395" s="84" t="n"/>
      <c r="N395" s="84" t="n"/>
      <c r="O395" s="84" t="n"/>
      <c r="P395" s="84" t="n"/>
      <c r="Q395" s="84" t="n"/>
      <c r="R395" s="84" t="n"/>
      <c r="S395" s="84" t="n"/>
      <c r="T395" s="84" t="n"/>
      <c r="U395" s="84" t="n"/>
      <c r="V395" s="84" t="n"/>
      <c r="W395" s="84" t="n"/>
      <c r="X395" s="84" t="n"/>
      <c r="Y395" s="84" t="n"/>
      <c r="Z395" s="84" t="n"/>
      <c r="AA395" s="84" t="n"/>
      <c r="AB395" s="84" t="n"/>
      <c r="AC395" s="84" t="n"/>
      <c r="AD395" s="84">
        <f>IFERROR(__xludf.DUMMYFUNCTION("""COMPUTED_VALUE"""),"30W")</f>
        <v/>
      </c>
    </row>
    <row r="396" ht="30" customHeight="1" s="176">
      <c r="A396" s="122" t="inlineStr">
        <is>
          <t>Talla Calzado MX – Hombre (con ancho)</t>
        </is>
      </c>
      <c r="B396" s="123" t="n">
        <v>27.5</v>
      </c>
      <c r="C396" s="123" t="inlineStr">
        <is>
          <t>9.5 D</t>
        </is>
      </c>
      <c r="D396" s="122" t="inlineStr">
        <is>
          <t>Igual regla</t>
        </is>
      </c>
      <c r="E396" s="183" t="n"/>
      <c r="F396" s="84" t="n"/>
      <c r="G396" s="84" t="n"/>
      <c r="H396" s="84" t="n"/>
      <c r="I396" s="84" t="n"/>
      <c r="J396" s="84" t="n"/>
      <c r="K396" s="84" t="n"/>
      <c r="L396" s="84" t="n"/>
      <c r="M396" s="84" t="n"/>
      <c r="N396" s="84" t="n"/>
      <c r="O396" s="84" t="n"/>
      <c r="P396" s="84" t="n"/>
      <c r="Q396" s="84" t="n"/>
      <c r="R396" s="84" t="n"/>
      <c r="S396" s="84" t="n"/>
      <c r="T396" s="84" t="n"/>
      <c r="U396" s="84" t="n"/>
      <c r="V396" s="84" t="n"/>
      <c r="W396" s="84" t="n"/>
      <c r="X396" s="84" t="n"/>
      <c r="Y396" s="84" t="n"/>
      <c r="Z396" s="84" t="n"/>
      <c r="AA396" s="84" t="n"/>
      <c r="AB396" s="84" t="n"/>
      <c r="AC396" s="84" t="n"/>
      <c r="AD396" s="84">
        <f>IFERROR(__xludf.DUMMYFUNCTION("""COMPUTED_VALUE"""),"31W")</f>
        <v/>
      </c>
    </row>
    <row r="397" ht="30" customHeight="1" s="176">
      <c r="A397" s="122" t="inlineStr">
        <is>
          <t>Talla Calzado MX – Hombre (con ancho)</t>
        </is>
      </c>
      <c r="B397" s="123" t="n">
        <v>27.5</v>
      </c>
      <c r="C397" s="123" t="inlineStr">
        <is>
          <t>9.5 EE</t>
        </is>
      </c>
      <c r="D397" s="122" t="inlineStr">
        <is>
          <t>Igual regla</t>
        </is>
      </c>
      <c r="E397" s="183" t="n"/>
      <c r="F397" s="84" t="n"/>
      <c r="G397" s="84" t="n"/>
      <c r="H397" s="84" t="n"/>
      <c r="I397" s="84" t="n"/>
      <c r="J397" s="84" t="n"/>
      <c r="K397" s="84" t="n"/>
      <c r="L397" s="84" t="n"/>
      <c r="M397" s="84" t="n"/>
      <c r="N397" s="84" t="n"/>
      <c r="O397" s="84" t="n"/>
      <c r="P397" s="84" t="n"/>
      <c r="Q397" s="84" t="n"/>
      <c r="R397" s="84" t="n"/>
      <c r="S397" s="84" t="n"/>
      <c r="T397" s="84" t="n"/>
      <c r="U397" s="84" t="n"/>
      <c r="V397" s="84" t="n"/>
      <c r="W397" s="84" t="n"/>
      <c r="X397" s="84" t="n"/>
      <c r="Y397" s="84" t="n"/>
      <c r="Z397" s="84" t="n"/>
      <c r="AA397" s="84" t="n"/>
      <c r="AB397" s="84" t="n"/>
      <c r="AC397" s="84" t="n"/>
      <c r="AD397" s="84">
        <f>IFERROR(__xludf.DUMMYFUNCTION("""COMPUTED_VALUE"""),"32W")</f>
        <v/>
      </c>
    </row>
    <row r="398" ht="30" customHeight="1" s="176">
      <c r="A398" s="122" t="inlineStr">
        <is>
          <t>Talla Calzado MX – Hombre (con ancho)</t>
        </is>
      </c>
      <c r="B398" s="123" t="n">
        <v>27.5</v>
      </c>
      <c r="C398" s="123" t="inlineStr">
        <is>
          <t>9.5 FM</t>
        </is>
      </c>
      <c r="D398" s="122" t="inlineStr">
        <is>
          <t>Igual regla</t>
        </is>
      </c>
      <c r="E398" s="183" t="n"/>
      <c r="F398" s="84" t="n"/>
      <c r="G398" s="84" t="n"/>
      <c r="H398" s="84" t="n"/>
      <c r="I398" s="84" t="n"/>
      <c r="J398" s="84" t="n"/>
      <c r="K398" s="84" t="n"/>
      <c r="L398" s="84" t="n"/>
      <c r="M398" s="84" t="n"/>
      <c r="N398" s="84" t="n"/>
      <c r="O398" s="84" t="n"/>
      <c r="P398" s="84" t="n"/>
      <c r="Q398" s="84" t="n"/>
      <c r="R398" s="84" t="n"/>
      <c r="S398" s="84" t="n"/>
      <c r="T398" s="84" t="n"/>
      <c r="U398" s="84" t="n"/>
      <c r="V398" s="84" t="n"/>
      <c r="W398" s="84" t="n"/>
      <c r="X398" s="84" t="n"/>
      <c r="Y398" s="84" t="n"/>
      <c r="Z398" s="84" t="n"/>
      <c r="AA398" s="84" t="n"/>
      <c r="AB398" s="84" t="n"/>
      <c r="AC398" s="84" t="n"/>
      <c r="AD398" s="84">
        <f>IFERROR(__xludf.DUMMYFUNCTION("""COMPUTED_VALUE"""),"33W")</f>
        <v/>
      </c>
    </row>
    <row r="399" ht="30" customHeight="1" s="176">
      <c r="A399" s="122" t="inlineStr">
        <is>
          <t>Talla Calzado MX – Hombre (con ancho)</t>
        </is>
      </c>
      <c r="B399" s="123" t="n">
        <v>27.5</v>
      </c>
      <c r="C399" s="123" t="inlineStr">
        <is>
          <t>9.5 FS</t>
        </is>
      </c>
      <c r="D399" s="122" t="inlineStr">
        <is>
          <t>Igual regla</t>
        </is>
      </c>
      <c r="E399" s="183" t="n"/>
      <c r="F399" s="84" t="n"/>
      <c r="G399" s="84" t="n"/>
      <c r="H399" s="84" t="n"/>
      <c r="I399" s="84" t="n"/>
      <c r="J399" s="84" t="n"/>
      <c r="K399" s="84" t="n"/>
      <c r="L399" s="84" t="n"/>
      <c r="M399" s="84" t="n"/>
      <c r="N399" s="84" t="n"/>
      <c r="O399" s="84" t="n"/>
      <c r="P399" s="84" t="n"/>
      <c r="Q399" s="84" t="n"/>
      <c r="R399" s="84" t="n"/>
      <c r="S399" s="84" t="n"/>
      <c r="T399" s="84" t="n"/>
      <c r="U399" s="84" t="n"/>
      <c r="V399" s="84" t="n"/>
      <c r="W399" s="84" t="n"/>
      <c r="X399" s="84" t="n"/>
      <c r="Y399" s="84" t="n"/>
      <c r="Z399" s="84" t="n"/>
      <c r="AA399" s="84" t="n"/>
      <c r="AB399" s="84" t="n"/>
      <c r="AC399" s="84" t="n"/>
      <c r="AD399" s="84">
        <f>IFERROR(__xludf.DUMMYFUNCTION("""COMPUTED_VALUE"""),"34W")</f>
        <v/>
      </c>
    </row>
    <row r="400" ht="30" customHeight="1" s="176">
      <c r="A400" s="122" t="inlineStr">
        <is>
          <t>Talla Calzado MX – Hombre (con ancho)</t>
        </is>
      </c>
      <c r="B400" s="123" t="n">
        <v>27.5</v>
      </c>
      <c r="C400" s="123" t="inlineStr">
        <is>
          <t>9.5 RM</t>
        </is>
      </c>
      <c r="D400" s="122" t="inlineStr">
        <is>
          <t>Igual regla</t>
        </is>
      </c>
      <c r="E400" s="183" t="n"/>
      <c r="F400" s="84" t="n"/>
      <c r="G400" s="84" t="n"/>
      <c r="H400" s="84" t="n"/>
      <c r="I400" s="84" t="n"/>
      <c r="J400" s="84" t="n"/>
      <c r="K400" s="84" t="n"/>
      <c r="L400" s="84" t="n"/>
      <c r="M400" s="84" t="n"/>
      <c r="N400" s="84" t="n"/>
      <c r="O400" s="84" t="n"/>
      <c r="P400" s="84" t="n"/>
      <c r="Q400" s="84" t="n"/>
      <c r="R400" s="84" t="n"/>
      <c r="S400" s="84" t="n"/>
      <c r="T400" s="84" t="n"/>
      <c r="U400" s="84" t="n"/>
      <c r="V400" s="84" t="n"/>
      <c r="W400" s="84" t="n"/>
      <c r="X400" s="84" t="n"/>
      <c r="Y400" s="84" t="n"/>
      <c r="Z400" s="84" t="n"/>
      <c r="AA400" s="84" t="n"/>
      <c r="AB400" s="84" t="n"/>
      <c r="AC400" s="84" t="n"/>
      <c r="AD400" s="84">
        <f>IFERROR(__xludf.DUMMYFUNCTION("""COMPUTED_VALUE"""),"35W")</f>
        <v/>
      </c>
    </row>
    <row r="401" ht="30" customHeight="1" s="176">
      <c r="A401" s="122" t="inlineStr">
        <is>
          <t>Talla Calzado MX – Hombre (con ancho)</t>
        </is>
      </c>
      <c r="B401" s="123" t="n">
        <v>27.5</v>
      </c>
      <c r="C401" s="123" t="inlineStr">
        <is>
          <t>9.5 RS</t>
        </is>
      </c>
      <c r="D401" s="122" t="inlineStr">
        <is>
          <t>Igual regla</t>
        </is>
      </c>
      <c r="E401" s="183" t="n"/>
      <c r="F401" s="84" t="n"/>
      <c r="G401" s="84" t="n"/>
      <c r="H401" s="84" t="n"/>
      <c r="I401" s="84" t="n"/>
      <c r="J401" s="84" t="n"/>
      <c r="K401" s="84" t="n"/>
      <c r="L401" s="84" t="n"/>
      <c r="M401" s="84" t="n"/>
      <c r="N401" s="84" t="n"/>
      <c r="O401" s="84" t="n"/>
      <c r="P401" s="84" t="n"/>
      <c r="Q401" s="84" t="n"/>
      <c r="R401" s="84" t="n"/>
      <c r="S401" s="84" t="n"/>
      <c r="T401" s="84" t="n"/>
      <c r="U401" s="84" t="n"/>
      <c r="V401" s="84" t="n"/>
      <c r="W401" s="84" t="n"/>
      <c r="X401" s="84" t="n"/>
      <c r="Y401" s="84" t="n"/>
      <c r="Z401" s="84" t="n"/>
      <c r="AA401" s="84" t="n"/>
      <c r="AB401" s="84" t="n"/>
      <c r="AC401" s="84" t="n"/>
      <c r="AD401" s="84">
        <f>IFERROR(__xludf.DUMMYFUNCTION("""COMPUTED_VALUE"""),"36W")</f>
        <v/>
      </c>
    </row>
    <row r="402" ht="30" customHeight="1" s="176">
      <c r="A402" s="122" t="inlineStr">
        <is>
          <t>Talla Calzado MX – Hombre (con ancho)</t>
        </is>
      </c>
      <c r="B402" s="123" t="n">
        <v>27.5</v>
      </c>
      <c r="C402" s="123" t="inlineStr">
        <is>
          <t>9.5 RT</t>
        </is>
      </c>
      <c r="D402" s="122" t="inlineStr">
        <is>
          <t>Igual regla</t>
        </is>
      </c>
      <c r="E402" s="183" t="n"/>
      <c r="F402" s="84" t="n"/>
      <c r="G402" s="84" t="n"/>
      <c r="H402" s="84" t="n"/>
      <c r="I402" s="84" t="n"/>
      <c r="J402" s="84" t="n"/>
      <c r="K402" s="84" t="n"/>
      <c r="L402" s="84" t="n"/>
      <c r="M402" s="84" t="n"/>
      <c r="N402" s="84" t="n"/>
      <c r="O402" s="84" t="n"/>
      <c r="P402" s="84" t="n"/>
      <c r="Q402" s="84" t="n"/>
      <c r="R402" s="84" t="n"/>
      <c r="S402" s="84" t="n"/>
      <c r="T402" s="84" t="n"/>
      <c r="U402" s="84" t="n"/>
      <c r="V402" s="84" t="n"/>
      <c r="W402" s="84" t="n"/>
      <c r="X402" s="84" t="n"/>
      <c r="Y402" s="84" t="n"/>
      <c r="Z402" s="84" t="n"/>
      <c r="AA402" s="84" t="n"/>
      <c r="AB402" s="84" t="n"/>
      <c r="AC402" s="84" t="n"/>
      <c r="AD402" s="84">
        <f>IFERROR(__xludf.DUMMYFUNCTION("""COMPUTED_VALUE"""),"37W")</f>
        <v/>
      </c>
    </row>
    <row r="403" ht="30" customHeight="1" s="176">
      <c r="A403" s="122" t="inlineStr">
        <is>
          <t>Talla Calzado MX – Hombre (con ancho)</t>
        </is>
      </c>
      <c r="B403" s="123" t="n">
        <v>27.5</v>
      </c>
      <c r="C403" s="123" t="inlineStr">
        <is>
          <t>9.5 SM</t>
        </is>
      </c>
      <c r="D403" s="122" t="inlineStr">
        <is>
          <t>Igual regla</t>
        </is>
      </c>
      <c r="E403" s="183" t="n"/>
      <c r="F403" s="84" t="n"/>
      <c r="G403" s="84" t="n"/>
      <c r="H403" s="84" t="n"/>
      <c r="I403" s="84" t="n"/>
      <c r="J403" s="84" t="n"/>
      <c r="K403" s="84" t="n"/>
      <c r="L403" s="84" t="n"/>
      <c r="M403" s="84" t="n"/>
      <c r="N403" s="84" t="n"/>
      <c r="O403" s="84" t="n"/>
      <c r="P403" s="84" t="n"/>
      <c r="Q403" s="84" t="n"/>
      <c r="R403" s="84" t="n"/>
      <c r="S403" s="84" t="n"/>
      <c r="T403" s="84" t="n"/>
      <c r="U403" s="84" t="n"/>
      <c r="V403" s="84" t="n"/>
      <c r="W403" s="84" t="n"/>
      <c r="X403" s="84" t="n"/>
      <c r="Y403" s="84" t="n"/>
      <c r="Z403" s="84" t="n"/>
      <c r="AA403" s="84" t="n"/>
      <c r="AB403" s="84" t="n"/>
      <c r="AC403" s="84" t="n"/>
      <c r="AD403" s="84">
        <f>IFERROR(__xludf.DUMMYFUNCTION("""COMPUTED_VALUE"""),"38W")</f>
        <v/>
      </c>
    </row>
    <row r="404" ht="30" customHeight="1" s="176">
      <c r="A404" s="122" t="inlineStr">
        <is>
          <t>Talla Calzado MX – Hombre (con ancho)</t>
        </is>
      </c>
      <c r="B404" s="123" t="n">
        <v>27.5</v>
      </c>
      <c r="C404" s="123" t="inlineStr">
        <is>
          <t>9.5 SS</t>
        </is>
      </c>
      <c r="D404" s="122" t="inlineStr">
        <is>
          <t>Igual regla</t>
        </is>
      </c>
      <c r="E404" s="183" t="n"/>
      <c r="F404" s="84" t="n"/>
      <c r="G404" s="84" t="n"/>
      <c r="H404" s="84" t="n"/>
      <c r="I404" s="84" t="n"/>
      <c r="J404" s="84" t="n"/>
      <c r="K404" s="84" t="n"/>
      <c r="L404" s="84" t="n"/>
      <c r="M404" s="84" t="n"/>
      <c r="N404" s="84" t="n"/>
      <c r="O404" s="84" t="n"/>
      <c r="P404" s="84" t="n"/>
      <c r="Q404" s="84" t="n"/>
      <c r="R404" s="84" t="n"/>
      <c r="S404" s="84" t="n"/>
      <c r="T404" s="84" t="n"/>
      <c r="U404" s="84" t="n"/>
      <c r="V404" s="84" t="n"/>
      <c r="W404" s="84" t="n"/>
      <c r="X404" s="84" t="n"/>
      <c r="Y404" s="84" t="n"/>
      <c r="Z404" s="84" t="n"/>
      <c r="AA404" s="84" t="n"/>
      <c r="AB404" s="84" t="n"/>
      <c r="AC404" s="84" t="n"/>
      <c r="AD404" s="84">
        <f>IFERROR(__xludf.DUMMYFUNCTION("""COMPUTED_VALUE"""),"39W")</f>
        <v/>
      </c>
    </row>
    <row r="405" ht="30" customHeight="1" s="176">
      <c r="A405" s="122" t="inlineStr">
        <is>
          <t>Talla Calzado MX – Hombre (con ancho)</t>
        </is>
      </c>
      <c r="B405" s="123" t="n">
        <v>27.5</v>
      </c>
      <c r="C405" s="123" t="inlineStr">
        <is>
          <t>9.5 ST</t>
        </is>
      </c>
      <c r="D405" s="122" t="inlineStr">
        <is>
          <t>Igual regla</t>
        </is>
      </c>
      <c r="E405" s="183" t="n"/>
      <c r="F405" s="84" t="n"/>
      <c r="G405" s="84" t="n"/>
      <c r="H405" s="84" t="n"/>
      <c r="I405" s="84" t="n"/>
      <c r="J405" s="84" t="n"/>
      <c r="K405" s="84" t="n"/>
      <c r="L405" s="84" t="n"/>
      <c r="M405" s="84" t="n"/>
      <c r="N405" s="84" t="n"/>
      <c r="O405" s="84" t="n"/>
      <c r="P405" s="84" t="n"/>
      <c r="Q405" s="84" t="n"/>
      <c r="R405" s="84" t="n"/>
      <c r="S405" s="84" t="n"/>
      <c r="T405" s="84" t="n"/>
      <c r="U405" s="84" t="n"/>
      <c r="V405" s="84" t="n"/>
      <c r="W405" s="84" t="n"/>
      <c r="X405" s="84" t="n"/>
      <c r="Y405" s="84" t="n"/>
      <c r="Z405" s="84" t="n"/>
      <c r="AA405" s="84" t="n"/>
      <c r="AB405" s="84" t="n"/>
      <c r="AC405" s="84" t="n"/>
      <c r="AD405" s="84">
        <f>IFERROR(__xludf.DUMMYFUNCTION("""COMPUTED_VALUE"""),"40W")</f>
        <v/>
      </c>
    </row>
    <row r="406" ht="30" customHeight="1" s="176">
      <c r="A406" s="122" t="inlineStr">
        <is>
          <t>Talla Calzado MX – Hombre (con ancho)</t>
        </is>
      </c>
      <c r="B406" s="123" t="n">
        <v>27.5</v>
      </c>
      <c r="C406" s="123" t="inlineStr">
        <is>
          <t>9.5 XSS</t>
        </is>
      </c>
      <c r="D406" s="122" t="inlineStr">
        <is>
          <t>Igual regla</t>
        </is>
      </c>
      <c r="E406" s="183" t="n"/>
      <c r="F406" s="84" t="n"/>
      <c r="G406" s="84" t="n"/>
      <c r="H406" s="84" t="n"/>
      <c r="I406" s="84" t="n"/>
      <c r="J406" s="84" t="n"/>
      <c r="K406" s="84" t="n"/>
      <c r="L406" s="84" t="n"/>
      <c r="M406" s="84" t="n"/>
      <c r="N406" s="84" t="n"/>
      <c r="O406" s="84" t="n"/>
      <c r="P406" s="84" t="n"/>
      <c r="Q406" s="84" t="n"/>
      <c r="R406" s="84" t="n"/>
      <c r="S406" s="84" t="n"/>
      <c r="T406" s="84" t="n"/>
      <c r="U406" s="84" t="n"/>
      <c r="V406" s="84" t="n"/>
      <c r="W406" s="84" t="n"/>
      <c r="X406" s="84" t="n"/>
      <c r="Y406" s="84" t="n"/>
      <c r="Z406" s="84" t="n"/>
      <c r="AA406" s="84" t="n"/>
      <c r="AB406" s="84" t="n"/>
      <c r="AC406" s="84" t="n"/>
      <c r="AD406" s="84">
        <f>IFERROR(__xludf.DUMMYFUNCTION("""COMPUTED_VALUE"""),"41W")</f>
        <v/>
      </c>
    </row>
    <row r="407" ht="30" customHeight="1" s="176">
      <c r="A407" s="122" t="inlineStr">
        <is>
          <t>Talla Calzado MX – Hombre (con ancho)</t>
        </is>
      </c>
      <c r="B407" s="123" t="n">
        <v>28</v>
      </c>
      <c r="C407" s="123" t="inlineStr">
        <is>
          <t>10 B</t>
        </is>
      </c>
      <c r="D407" s="122" t="inlineStr">
        <is>
          <t>Igual regla</t>
        </is>
      </c>
      <c r="E407" s="183" t="n"/>
      <c r="F407" s="84" t="n"/>
      <c r="G407" s="84" t="n"/>
      <c r="H407" s="84" t="n"/>
      <c r="I407" s="84" t="n"/>
      <c r="J407" s="84" t="n"/>
      <c r="K407" s="84" t="n"/>
      <c r="L407" s="84" t="n"/>
      <c r="M407" s="84" t="n"/>
      <c r="N407" s="84" t="n"/>
      <c r="O407" s="84" t="n"/>
      <c r="P407" s="84" t="n"/>
      <c r="Q407" s="84" t="n"/>
      <c r="R407" s="84" t="n"/>
      <c r="S407" s="84" t="n"/>
      <c r="T407" s="84" t="n"/>
      <c r="U407" s="84" t="n"/>
      <c r="V407" s="84" t="n"/>
      <c r="W407" s="84" t="n"/>
      <c r="X407" s="84" t="n"/>
      <c r="Y407" s="84" t="n"/>
      <c r="Z407" s="84" t="n"/>
      <c r="AA407" s="84" t="n"/>
      <c r="AB407" s="84" t="n"/>
      <c r="AC407" s="84" t="n"/>
      <c r="AD407" s="84">
        <f>IFERROR(__xludf.DUMMYFUNCTION("""COMPUTED_VALUE"""),"42W")</f>
        <v/>
      </c>
    </row>
    <row r="408" ht="30" customHeight="1" s="176">
      <c r="A408" s="122" t="inlineStr">
        <is>
          <t>Talla Calzado MX – Hombre (con ancho)</t>
        </is>
      </c>
      <c r="B408" s="123" t="n">
        <v>28</v>
      </c>
      <c r="C408" s="123" t="inlineStr">
        <is>
          <t>10 D</t>
        </is>
      </c>
      <c r="D408" s="122" t="inlineStr">
        <is>
          <t>Igual regla</t>
        </is>
      </c>
      <c r="E408" s="183" t="n"/>
      <c r="F408" s="84" t="n"/>
      <c r="G408" s="84" t="n"/>
      <c r="H408" s="84" t="n"/>
      <c r="I408" s="84" t="n"/>
      <c r="J408" s="84" t="n"/>
      <c r="K408" s="84" t="n"/>
      <c r="L408" s="84" t="n"/>
      <c r="M408" s="84" t="n"/>
      <c r="N408" s="84" t="n"/>
      <c r="O408" s="84" t="n"/>
      <c r="P408" s="84" t="n"/>
      <c r="Q408" s="84" t="n"/>
      <c r="R408" s="84" t="n"/>
      <c r="S408" s="84" t="n"/>
      <c r="T408" s="84" t="n"/>
      <c r="U408" s="84" t="n"/>
      <c r="V408" s="84" t="n"/>
      <c r="W408" s="84" t="n"/>
      <c r="X408" s="84" t="n"/>
      <c r="Y408" s="84" t="n"/>
      <c r="Z408" s="84" t="n"/>
      <c r="AA408" s="84" t="n"/>
      <c r="AB408" s="84" t="n"/>
      <c r="AC408" s="84" t="n"/>
      <c r="AD408" s="84">
        <f>IFERROR(__xludf.DUMMYFUNCTION("""COMPUTED_VALUE"""),"10W")</f>
        <v/>
      </c>
    </row>
    <row r="409" ht="30" customHeight="1" s="176">
      <c r="A409" s="122" t="inlineStr">
        <is>
          <t>Talla Calzado MX – Hombre (con ancho)</t>
        </is>
      </c>
      <c r="B409" s="123" t="n">
        <v>28</v>
      </c>
      <c r="C409" s="123" t="inlineStr">
        <is>
          <t>10 EE</t>
        </is>
      </c>
      <c r="D409" s="122" t="inlineStr">
        <is>
          <t>Igual regla</t>
        </is>
      </c>
      <c r="E409" s="183" t="n"/>
      <c r="F409" s="84" t="n"/>
      <c r="G409" s="84" t="n"/>
      <c r="H409" s="84" t="n"/>
      <c r="I409" s="84" t="n"/>
      <c r="J409" s="84" t="n"/>
      <c r="K409" s="84" t="n"/>
      <c r="L409" s="84" t="n"/>
      <c r="M409" s="84" t="n"/>
      <c r="N409" s="84" t="n"/>
      <c r="O409" s="84" t="n"/>
      <c r="P409" s="84" t="n"/>
      <c r="Q409" s="84" t="n"/>
      <c r="R409" s="84" t="n"/>
      <c r="S409" s="84" t="n"/>
      <c r="T409" s="84" t="n"/>
      <c r="U409" s="84" t="n"/>
      <c r="V409" s="84" t="n"/>
      <c r="W409" s="84" t="n"/>
      <c r="X409" s="84" t="n"/>
      <c r="Y409" s="84" t="n"/>
      <c r="Z409" s="84" t="n"/>
      <c r="AA409" s="84" t="n"/>
      <c r="AB409" s="84" t="n"/>
      <c r="AC409" s="84" t="n"/>
      <c r="AD409" s="84">
        <f>IFERROR(__xludf.DUMMYFUNCTION("""COMPUTED_VALUE"""),"12W")</f>
        <v/>
      </c>
    </row>
    <row r="410" ht="30" customHeight="1" s="176">
      <c r="A410" s="122" t="inlineStr">
        <is>
          <t>Talla Calzado MX – Hombre (con ancho)</t>
        </is>
      </c>
      <c r="B410" s="123" t="n">
        <v>28</v>
      </c>
      <c r="C410" s="123" t="inlineStr">
        <is>
          <t>10 FM</t>
        </is>
      </c>
      <c r="D410" s="122" t="inlineStr">
        <is>
          <t>Igual regla</t>
        </is>
      </c>
      <c r="E410" s="183" t="n"/>
      <c r="F410" s="84" t="n"/>
      <c r="G410" s="84" t="n"/>
      <c r="H410" s="84" t="n"/>
      <c r="I410" s="84" t="n"/>
      <c r="J410" s="84" t="n"/>
      <c r="K410" s="84" t="n"/>
      <c r="L410" s="84" t="n"/>
      <c r="M410" s="84" t="n"/>
      <c r="N410" s="84" t="n"/>
      <c r="O410" s="84" t="n"/>
      <c r="P410" s="84" t="n"/>
      <c r="Q410" s="84" t="n"/>
      <c r="R410" s="84" t="n"/>
      <c r="S410" s="84" t="n"/>
      <c r="T410" s="84" t="n"/>
      <c r="U410" s="84" t="n"/>
      <c r="V410" s="84" t="n"/>
      <c r="W410" s="84" t="n"/>
      <c r="X410" s="84" t="n"/>
      <c r="Y410" s="84" t="n"/>
      <c r="Z410" s="84" t="n"/>
      <c r="AA410" s="84" t="n"/>
      <c r="AB410" s="84" t="n"/>
      <c r="AC410" s="84" t="n"/>
      <c r="AD410" s="84">
        <f>IFERROR(__xludf.DUMMYFUNCTION("""COMPUTED_VALUE"""),"14W")</f>
        <v/>
      </c>
    </row>
    <row r="411" ht="30" customHeight="1" s="176">
      <c r="A411" s="122" t="inlineStr">
        <is>
          <t>Talla Calzado MX – Hombre (con ancho)</t>
        </is>
      </c>
      <c r="B411" s="123" t="n">
        <v>28</v>
      </c>
      <c r="C411" s="123" t="inlineStr">
        <is>
          <t>10 FS</t>
        </is>
      </c>
      <c r="D411" s="122" t="inlineStr">
        <is>
          <t>Igual regla</t>
        </is>
      </c>
      <c r="E411" s="183" t="n"/>
      <c r="F411" s="84" t="n"/>
      <c r="G411" s="84" t="n"/>
      <c r="H411" s="84" t="n"/>
      <c r="I411" s="84" t="n"/>
      <c r="J411" s="84" t="n"/>
      <c r="K411" s="84" t="n"/>
      <c r="L411" s="84" t="n"/>
      <c r="M411" s="84" t="n"/>
      <c r="N411" s="84" t="n"/>
      <c r="O411" s="84" t="n"/>
      <c r="P411" s="84" t="n"/>
      <c r="Q411" s="84" t="n"/>
      <c r="R411" s="84" t="n"/>
      <c r="S411" s="84" t="n"/>
      <c r="T411" s="84" t="n"/>
      <c r="U411" s="84" t="n"/>
      <c r="V411" s="84" t="n"/>
      <c r="W411" s="84" t="n"/>
      <c r="X411" s="84" t="n"/>
      <c r="Y411" s="84" t="n"/>
      <c r="Z411" s="84" t="n"/>
      <c r="AA411" s="84" t="n"/>
      <c r="AB411" s="84" t="n"/>
      <c r="AC411" s="84" t="n"/>
      <c r="AD411" s="84">
        <f>IFERROR(__xludf.DUMMYFUNCTION("""COMPUTED_VALUE"""),"16W")</f>
        <v/>
      </c>
    </row>
    <row r="412" ht="30" customHeight="1" s="176">
      <c r="A412" s="122" t="inlineStr">
        <is>
          <t>Talla Calzado MX – Hombre (con ancho)</t>
        </is>
      </c>
      <c r="B412" s="123" t="n">
        <v>28</v>
      </c>
      <c r="C412" s="123" t="inlineStr">
        <is>
          <t>10 RM</t>
        </is>
      </c>
      <c r="D412" s="122" t="inlineStr">
        <is>
          <t>Igual regla</t>
        </is>
      </c>
      <c r="E412" s="183" t="n"/>
      <c r="F412" s="84" t="n"/>
      <c r="G412" s="84" t="n"/>
      <c r="H412" s="84" t="n"/>
      <c r="I412" s="84" t="n"/>
      <c r="J412" s="84" t="n"/>
      <c r="K412" s="84" t="n"/>
      <c r="L412" s="84" t="n"/>
      <c r="M412" s="84" t="n"/>
      <c r="N412" s="84" t="n"/>
      <c r="O412" s="84" t="n"/>
      <c r="P412" s="84" t="n"/>
      <c r="Q412" s="84" t="n"/>
      <c r="R412" s="84" t="n"/>
      <c r="S412" s="84" t="n"/>
      <c r="T412" s="84" t="n"/>
      <c r="U412" s="84" t="n"/>
      <c r="V412" s="84" t="n"/>
      <c r="W412" s="84" t="n"/>
      <c r="X412" s="84" t="n"/>
      <c r="Y412" s="84" t="n"/>
      <c r="Z412" s="84" t="n"/>
      <c r="AA412" s="84" t="n"/>
      <c r="AB412" s="84" t="n"/>
      <c r="AC412" s="84" t="n"/>
      <c r="AD412" s="84">
        <f>IFERROR(__xludf.DUMMYFUNCTION("""COMPUTED_VALUE"""),"46W")</f>
        <v/>
      </c>
    </row>
    <row r="413" ht="30" customHeight="1" s="176">
      <c r="A413" s="122" t="inlineStr">
        <is>
          <t>Talla Calzado MX – Hombre (con ancho)</t>
        </is>
      </c>
      <c r="B413" s="123" t="n">
        <v>28</v>
      </c>
      <c r="C413" s="123" t="inlineStr">
        <is>
          <t>10 RS</t>
        </is>
      </c>
      <c r="D413" s="122" t="inlineStr">
        <is>
          <t>Igual regla</t>
        </is>
      </c>
      <c r="E413" s="183" t="n"/>
      <c r="F413" s="84" t="n"/>
      <c r="G413" s="84" t="n"/>
      <c r="H413" s="84" t="n"/>
      <c r="I413" s="84" t="n"/>
      <c r="J413" s="84" t="n"/>
      <c r="K413" s="84" t="n"/>
      <c r="L413" s="84" t="n"/>
      <c r="M413" s="84" t="n"/>
      <c r="N413" s="84" t="n"/>
      <c r="O413" s="84" t="n"/>
      <c r="P413" s="84" t="n"/>
      <c r="Q413" s="84" t="n"/>
      <c r="R413" s="84" t="n"/>
      <c r="S413" s="84" t="n"/>
      <c r="T413" s="84" t="n"/>
      <c r="U413" s="84" t="n"/>
      <c r="V413" s="84" t="n"/>
      <c r="W413" s="84" t="n"/>
      <c r="X413" s="84" t="n"/>
      <c r="Y413" s="84" t="n"/>
      <c r="Z413" s="84" t="n"/>
      <c r="AA413" s="84" t="n"/>
      <c r="AB413" s="84" t="n"/>
      <c r="AC413" s="84" t="n"/>
      <c r="AD413" s="84">
        <f>IFERROR(__xludf.DUMMYFUNCTION("""COMPUTED_VALUE"""),"48W")</f>
        <v/>
      </c>
    </row>
    <row r="414" ht="30" customHeight="1" s="176">
      <c r="A414" s="122" t="inlineStr">
        <is>
          <t>Talla Calzado MX – Hombre (con ancho)</t>
        </is>
      </c>
      <c r="B414" s="123" t="n">
        <v>28</v>
      </c>
      <c r="C414" s="123" t="inlineStr">
        <is>
          <t>10 RT</t>
        </is>
      </c>
      <c r="D414" s="122" t="inlineStr">
        <is>
          <t>Igual regla</t>
        </is>
      </c>
      <c r="E414" s="183" t="n"/>
      <c r="F414" s="84" t="n"/>
      <c r="G414" s="84" t="n"/>
      <c r="H414" s="84" t="n"/>
      <c r="I414" s="84" t="n"/>
      <c r="J414" s="84" t="n"/>
      <c r="K414" s="84" t="n"/>
      <c r="L414" s="84" t="n"/>
      <c r="M414" s="84" t="n"/>
      <c r="N414" s="84" t="n"/>
      <c r="O414" s="84" t="n"/>
      <c r="P414" s="84" t="n"/>
      <c r="Q414" s="84" t="n"/>
      <c r="R414" s="84" t="n"/>
      <c r="S414" s="84" t="n"/>
      <c r="T414" s="84" t="n"/>
      <c r="U414" s="84" t="n"/>
      <c r="V414" s="84" t="n"/>
      <c r="W414" s="84" t="n"/>
      <c r="X414" s="84" t="n"/>
      <c r="Y414" s="84" t="n"/>
      <c r="Z414" s="84" t="n"/>
      <c r="AA414" s="84" t="n"/>
      <c r="AB414" s="84" t="n"/>
      <c r="AC414" s="84" t="n"/>
      <c r="AD414" s="84">
        <f>IFERROR(__xludf.DUMMYFUNCTION("""COMPUTED_VALUE"""),"50W")</f>
        <v/>
      </c>
    </row>
    <row r="415" ht="30" customHeight="1" s="176">
      <c r="A415" s="122" t="inlineStr">
        <is>
          <t>Talla Calzado MX – Hombre (con ancho)</t>
        </is>
      </c>
      <c r="B415" s="123" t="n">
        <v>28</v>
      </c>
      <c r="C415" s="123" t="inlineStr">
        <is>
          <t>10 SM</t>
        </is>
      </c>
      <c r="D415" s="122" t="inlineStr">
        <is>
          <t>Igual regla</t>
        </is>
      </c>
      <c r="E415" s="183" t="n"/>
      <c r="F415" s="84" t="n"/>
      <c r="G415" s="84" t="n"/>
      <c r="H415" s="84" t="n"/>
      <c r="I415" s="84" t="n"/>
      <c r="J415" s="84" t="n"/>
      <c r="K415" s="84" t="n"/>
      <c r="L415" s="84" t="n"/>
      <c r="M415" s="84" t="n"/>
      <c r="N415" s="84" t="n"/>
      <c r="O415" s="84" t="n"/>
      <c r="P415" s="84" t="n"/>
      <c r="Q415" s="84" t="n"/>
      <c r="R415" s="84" t="n"/>
      <c r="S415" s="84" t="n"/>
      <c r="T415" s="84" t="n"/>
      <c r="U415" s="84" t="n"/>
      <c r="V415" s="84" t="n"/>
      <c r="W415" s="84" t="n"/>
      <c r="X415" s="84" t="n"/>
      <c r="Y415" s="84" t="n"/>
      <c r="Z415" s="84" t="n"/>
      <c r="AA415" s="84" t="n"/>
      <c r="AB415" s="84" t="n"/>
      <c r="AC415" s="84" t="n"/>
      <c r="AD415" s="84">
        <f>IFERROR(__xludf.DUMMYFUNCTION("""COMPUTED_VALUE"""),25.0)</f>
        <v/>
      </c>
    </row>
    <row r="416" ht="30" customHeight="1" s="176">
      <c r="A416" s="122" t="inlineStr">
        <is>
          <t>Talla Calzado MX – Hombre (con ancho)</t>
        </is>
      </c>
      <c r="B416" s="123" t="n">
        <v>28</v>
      </c>
      <c r="C416" s="123" t="inlineStr">
        <is>
          <t>10 SS</t>
        </is>
      </c>
      <c r="D416" s="122" t="inlineStr">
        <is>
          <t>Igual regla</t>
        </is>
      </c>
      <c r="E416" s="183" t="n"/>
      <c r="F416" s="84" t="n"/>
      <c r="G416" s="84" t="n"/>
      <c r="H416" s="84" t="n"/>
      <c r="I416" s="84" t="n"/>
      <c r="J416" s="84" t="n"/>
      <c r="K416" s="84" t="n"/>
      <c r="L416" s="84" t="n"/>
      <c r="M416" s="84" t="n"/>
      <c r="N416" s="84" t="n"/>
      <c r="O416" s="84" t="n"/>
      <c r="P416" s="84" t="n"/>
      <c r="Q416" s="84" t="n"/>
      <c r="R416" s="84" t="n"/>
      <c r="S416" s="84" t="n"/>
      <c r="T416" s="84" t="n"/>
      <c r="U416" s="84" t="n"/>
      <c r="V416" s="84" t="n"/>
      <c r="W416" s="84" t="n"/>
      <c r="X416" s="84" t="n"/>
      <c r="Y416" s="84" t="n"/>
      <c r="Z416" s="84" t="n"/>
      <c r="AA416" s="84" t="n"/>
      <c r="AB416" s="84" t="n"/>
      <c r="AC416" s="84" t="n"/>
      <c r="AD416" s="84">
        <f>IFERROR(__xludf.DUMMYFUNCTION("""COMPUTED_VALUE"""),27.0)</f>
        <v/>
      </c>
    </row>
    <row r="417" ht="30" customHeight="1" s="176">
      <c r="A417" s="122" t="inlineStr">
        <is>
          <t>Talla Calzado MX – Hombre (con ancho)</t>
        </is>
      </c>
      <c r="B417" s="123" t="n">
        <v>28</v>
      </c>
      <c r="C417" s="123" t="inlineStr">
        <is>
          <t>10 ST</t>
        </is>
      </c>
      <c r="D417" s="122" t="inlineStr">
        <is>
          <t>Igual regla</t>
        </is>
      </c>
      <c r="E417" s="183" t="n"/>
      <c r="F417" s="84" t="n"/>
      <c r="G417" s="84" t="n"/>
      <c r="H417" s="84" t="n"/>
      <c r="I417" s="84" t="n"/>
      <c r="J417" s="84" t="n"/>
      <c r="K417" s="84" t="n"/>
      <c r="L417" s="84" t="n"/>
      <c r="M417" s="84" t="n"/>
      <c r="N417" s="84" t="n"/>
      <c r="O417" s="84" t="n"/>
      <c r="P417" s="84" t="n"/>
      <c r="Q417" s="84" t="n"/>
      <c r="R417" s="84" t="n"/>
      <c r="S417" s="84" t="n"/>
      <c r="T417" s="84" t="n"/>
      <c r="U417" s="84" t="n"/>
      <c r="V417" s="84" t="n"/>
      <c r="W417" s="84" t="n"/>
      <c r="X417" s="84" t="n"/>
      <c r="Y417" s="84" t="n"/>
      <c r="Z417" s="84" t="n"/>
      <c r="AA417" s="84" t="n"/>
      <c r="AB417" s="84" t="n"/>
      <c r="AC417" s="84" t="n"/>
      <c r="AD417" s="84">
        <f>IFERROR(__xludf.DUMMYFUNCTION("""COMPUTED_VALUE"""),"0.75 fl oz")</f>
        <v/>
      </c>
    </row>
    <row r="418" ht="30" customHeight="1" s="176">
      <c r="A418" s="122" t="inlineStr">
        <is>
          <t>Talla Calzado MX – Hombre (con ancho)</t>
        </is>
      </c>
      <c r="B418" s="123" t="n">
        <v>28.5</v>
      </c>
      <c r="C418" s="123" t="inlineStr">
        <is>
          <t>10.5 B</t>
        </is>
      </c>
      <c r="D418" s="122" t="inlineStr">
        <is>
          <t>Igual regla</t>
        </is>
      </c>
      <c r="E418" s="183" t="n"/>
      <c r="F418" s="84" t="n"/>
      <c r="G418" s="84" t="n"/>
      <c r="H418" s="84" t="n"/>
      <c r="I418" s="84" t="n"/>
      <c r="J418" s="84" t="n"/>
      <c r="K418" s="84" t="n"/>
      <c r="L418" s="84" t="n"/>
      <c r="M418" s="84" t="n"/>
      <c r="N418" s="84" t="n"/>
      <c r="O418" s="84" t="n"/>
      <c r="P418" s="84" t="n"/>
      <c r="Q418" s="84" t="n"/>
      <c r="R418" s="84" t="n"/>
      <c r="S418" s="84" t="n"/>
      <c r="T418" s="84" t="n"/>
      <c r="U418" s="84" t="n"/>
      <c r="V418" s="84" t="n"/>
      <c r="W418" s="84" t="n"/>
      <c r="X418" s="84" t="n"/>
      <c r="Y418" s="84" t="n"/>
      <c r="Z418" s="84" t="n"/>
      <c r="AA418" s="84" t="n"/>
      <c r="AB418" s="84" t="n"/>
      <c r="AC418" s="84" t="n"/>
      <c r="AD418" s="84">
        <f>IFERROR(__xludf.DUMMYFUNCTION("""COMPUTED_VALUE"""),"1.0 fl oz")</f>
        <v/>
      </c>
    </row>
    <row r="419" ht="30" customHeight="1" s="176">
      <c r="A419" s="122" t="inlineStr">
        <is>
          <t>Talla Calzado MX – Hombre (con ancho)</t>
        </is>
      </c>
      <c r="B419" s="123" t="n">
        <v>28.5</v>
      </c>
      <c r="C419" s="123" t="inlineStr">
        <is>
          <t>10.5 D</t>
        </is>
      </c>
      <c r="D419" s="122" t="inlineStr">
        <is>
          <t>Igual regla</t>
        </is>
      </c>
      <c r="E419" s="183" t="n"/>
      <c r="F419" s="84" t="n"/>
      <c r="G419" s="84" t="n"/>
      <c r="H419" s="84" t="n"/>
      <c r="I419" s="84" t="n"/>
      <c r="J419" s="84" t="n"/>
      <c r="K419" s="84" t="n"/>
      <c r="L419" s="84" t="n"/>
      <c r="M419" s="84" t="n"/>
      <c r="N419" s="84" t="n"/>
      <c r="O419" s="84" t="n"/>
      <c r="P419" s="84" t="n"/>
      <c r="Q419" s="84" t="n"/>
      <c r="R419" s="84" t="n"/>
      <c r="S419" s="84" t="n"/>
      <c r="T419" s="84" t="n"/>
      <c r="U419" s="84" t="n"/>
      <c r="V419" s="84" t="n"/>
      <c r="W419" s="84" t="n"/>
      <c r="X419" s="84" t="n"/>
      <c r="Y419" s="84" t="n"/>
      <c r="Z419" s="84" t="n"/>
      <c r="AA419" s="84" t="n"/>
      <c r="AB419" s="84" t="n"/>
      <c r="AC419" s="84" t="n"/>
      <c r="AD419" s="84">
        <f>IFERROR(__xludf.DUMMYFUNCTION("""COMPUTED_VALUE"""),"1.5 fl oz")</f>
        <v/>
      </c>
    </row>
    <row r="420" ht="30" customHeight="1" s="176">
      <c r="A420" s="122" t="inlineStr">
        <is>
          <t>Talla Calzado MX – Hombre (con ancho)</t>
        </is>
      </c>
      <c r="B420" s="123" t="n">
        <v>28.5</v>
      </c>
      <c r="C420" s="123" t="inlineStr">
        <is>
          <t>10.5 EE</t>
        </is>
      </c>
      <c r="D420" s="122" t="inlineStr">
        <is>
          <t>Igual regla</t>
        </is>
      </c>
      <c r="E420" s="183" t="n"/>
      <c r="F420" s="84" t="n"/>
      <c r="G420" s="84" t="n"/>
      <c r="H420" s="84" t="n"/>
      <c r="I420" s="84" t="n"/>
      <c r="J420" s="84" t="n"/>
      <c r="K420" s="84" t="n"/>
      <c r="L420" s="84" t="n"/>
      <c r="M420" s="84" t="n"/>
      <c r="N420" s="84" t="n"/>
      <c r="O420" s="84" t="n"/>
      <c r="P420" s="84" t="n"/>
      <c r="Q420" s="84" t="n"/>
      <c r="R420" s="84" t="n"/>
      <c r="S420" s="84" t="n"/>
      <c r="T420" s="84" t="n"/>
      <c r="U420" s="84" t="n"/>
      <c r="V420" s="84" t="n"/>
      <c r="W420" s="84" t="n"/>
      <c r="X420" s="84" t="n"/>
      <c r="Y420" s="84" t="n"/>
      <c r="Z420" s="84" t="n"/>
      <c r="AA420" s="84" t="n"/>
      <c r="AB420" s="84" t="n"/>
      <c r="AC420" s="84" t="n"/>
      <c r="AD420" s="84">
        <f>IFERROR(__xludf.DUMMYFUNCTION("""COMPUTED_VALUE"""),"1.7 fl oz")</f>
        <v/>
      </c>
    </row>
    <row r="421" ht="30" customHeight="1" s="176">
      <c r="A421" s="122" t="inlineStr">
        <is>
          <t>Talla Calzado MX – Hombre (con ancho)</t>
        </is>
      </c>
      <c r="B421" s="123" t="n">
        <v>28.5</v>
      </c>
      <c r="C421" s="123" t="inlineStr">
        <is>
          <t>10.5 FM</t>
        </is>
      </c>
      <c r="D421" s="122" t="inlineStr">
        <is>
          <t>Igual regla</t>
        </is>
      </c>
      <c r="E421" s="183" t="n"/>
      <c r="F421" s="84" t="n"/>
      <c r="G421" s="84" t="n"/>
      <c r="H421" s="84" t="n"/>
      <c r="I421" s="84" t="n"/>
      <c r="J421" s="84" t="n"/>
      <c r="K421" s="84" t="n"/>
      <c r="L421" s="84" t="n"/>
      <c r="M421" s="84" t="n"/>
      <c r="N421" s="84" t="n"/>
      <c r="O421" s="84" t="n"/>
      <c r="P421" s="84" t="n"/>
      <c r="Q421" s="84" t="n"/>
      <c r="R421" s="84" t="n"/>
      <c r="S421" s="84" t="n"/>
      <c r="T421" s="84" t="n"/>
      <c r="U421" s="84" t="n"/>
      <c r="V421" s="84" t="n"/>
      <c r="W421" s="84" t="n"/>
      <c r="X421" s="84" t="n"/>
      <c r="Y421" s="84" t="n"/>
      <c r="Z421" s="84" t="n"/>
      <c r="AA421" s="84" t="n"/>
      <c r="AB421" s="84" t="n"/>
      <c r="AC421" s="84" t="n"/>
      <c r="AD421" s="84">
        <f>IFERROR(__xludf.DUMMYFUNCTION("""COMPUTED_VALUE"""),"2.25 fl oz")</f>
        <v/>
      </c>
    </row>
    <row r="422" ht="30" customHeight="1" s="176">
      <c r="A422" s="122" t="inlineStr">
        <is>
          <t>Talla Calzado MX – Hombre (con ancho)</t>
        </is>
      </c>
      <c r="B422" s="123" t="n">
        <v>28.5</v>
      </c>
      <c r="C422" s="123" t="inlineStr">
        <is>
          <t>10.5 FS</t>
        </is>
      </c>
      <c r="D422" s="122" t="inlineStr">
        <is>
          <t>Igual regla</t>
        </is>
      </c>
      <c r="E422" s="183" t="n"/>
      <c r="F422" s="84" t="n"/>
      <c r="G422" s="84" t="n"/>
      <c r="H422" s="84" t="n"/>
      <c r="I422" s="84" t="n"/>
      <c r="J422" s="84" t="n"/>
      <c r="K422" s="84" t="n"/>
      <c r="L422" s="84" t="n"/>
      <c r="M422" s="84" t="n"/>
      <c r="N422" s="84" t="n"/>
      <c r="O422" s="84" t="n"/>
      <c r="P422" s="84" t="n"/>
      <c r="Q422" s="84" t="n"/>
      <c r="R422" s="84" t="n"/>
      <c r="S422" s="84" t="n"/>
      <c r="T422" s="84" t="n"/>
      <c r="U422" s="84" t="n"/>
      <c r="V422" s="84" t="n"/>
      <c r="W422" s="84" t="n"/>
      <c r="X422" s="84" t="n"/>
      <c r="Y422" s="84" t="n"/>
      <c r="Z422" s="84" t="n"/>
      <c r="AA422" s="84" t="n"/>
      <c r="AB422" s="84" t="n"/>
      <c r="AC422" s="84" t="n"/>
      <c r="AD422" s="84">
        <f>IFERROR(__xludf.DUMMYFUNCTION("""COMPUTED_VALUE"""),"2.5 fl oz")</f>
        <v/>
      </c>
    </row>
    <row r="423" ht="30" customHeight="1" s="176">
      <c r="A423" s="122" t="inlineStr">
        <is>
          <t>Talla Calzado MX – Hombre (con ancho)</t>
        </is>
      </c>
      <c r="B423" s="123" t="n">
        <v>28.5</v>
      </c>
      <c r="C423" s="123" t="inlineStr">
        <is>
          <t>10.5 RM</t>
        </is>
      </c>
      <c r="D423" s="122" t="inlineStr">
        <is>
          <t>Igual regla</t>
        </is>
      </c>
      <c r="E423" s="183" t="n"/>
      <c r="F423" s="84" t="n"/>
      <c r="G423" s="84" t="n"/>
      <c r="H423" s="84" t="n"/>
      <c r="I423" s="84" t="n"/>
      <c r="J423" s="84" t="n"/>
      <c r="K423" s="84" t="n"/>
      <c r="L423" s="84" t="n"/>
      <c r="M423" s="84" t="n"/>
      <c r="N423" s="84" t="n"/>
      <c r="O423" s="84" t="n"/>
      <c r="P423" s="84" t="n"/>
      <c r="Q423" s="84" t="n"/>
      <c r="R423" s="84" t="n"/>
      <c r="S423" s="84" t="n"/>
      <c r="T423" s="84" t="n"/>
      <c r="U423" s="84" t="n"/>
      <c r="V423" s="84" t="n"/>
      <c r="W423" s="84" t="n"/>
      <c r="X423" s="84" t="n"/>
      <c r="Y423" s="84" t="n"/>
      <c r="Z423" s="84" t="n"/>
      <c r="AA423" s="84" t="n"/>
      <c r="AB423" s="84" t="n"/>
      <c r="AC423" s="84" t="n"/>
      <c r="AD423" s="84">
        <f>IFERROR(__xludf.DUMMYFUNCTION("""COMPUTED_VALUE"""),"2.7 fl oz")</f>
        <v/>
      </c>
    </row>
    <row r="424" ht="30" customHeight="1" s="176">
      <c r="A424" s="122" t="inlineStr">
        <is>
          <t>Talla Calzado MX – Hombre (con ancho)</t>
        </is>
      </c>
      <c r="B424" s="123" t="n">
        <v>28.5</v>
      </c>
      <c r="C424" s="123" t="inlineStr">
        <is>
          <t>10.5 RS</t>
        </is>
      </c>
      <c r="D424" s="122" t="inlineStr">
        <is>
          <t>Igual regla</t>
        </is>
      </c>
      <c r="E424" s="183" t="n"/>
      <c r="F424" s="84" t="n"/>
      <c r="G424" s="84" t="n"/>
      <c r="H424" s="84" t="n"/>
      <c r="I424" s="84" t="n"/>
      <c r="J424" s="84" t="n"/>
      <c r="K424" s="84" t="n"/>
      <c r="L424" s="84" t="n"/>
      <c r="M424" s="84" t="n"/>
      <c r="N424" s="84" t="n"/>
      <c r="O424" s="84" t="n"/>
      <c r="P424" s="84" t="n"/>
      <c r="Q424" s="84" t="n"/>
      <c r="R424" s="84" t="n"/>
      <c r="S424" s="84" t="n"/>
      <c r="T424" s="84" t="n"/>
      <c r="U424" s="84" t="n"/>
      <c r="V424" s="84" t="n"/>
      <c r="W424" s="84" t="n"/>
      <c r="X424" s="84" t="n"/>
      <c r="Y424" s="84" t="n"/>
      <c r="Z424" s="84" t="n"/>
      <c r="AA424" s="84" t="n"/>
      <c r="AB424" s="84" t="n"/>
      <c r="AC424" s="84" t="n"/>
      <c r="AD424" s="84">
        <f>IFERROR(__xludf.DUMMYFUNCTION("""COMPUTED_VALUE"""),"3.4 fl oz")</f>
        <v/>
      </c>
    </row>
    <row r="425" ht="30" customHeight="1" s="176">
      <c r="A425" s="122" t="inlineStr">
        <is>
          <t>Talla Calzado MX – Hombre (con ancho)</t>
        </is>
      </c>
      <c r="B425" s="123" t="n">
        <v>28.5</v>
      </c>
      <c r="C425" s="123" t="inlineStr">
        <is>
          <t>10.5 RT</t>
        </is>
      </c>
      <c r="D425" s="122" t="inlineStr">
        <is>
          <t>Igual regla</t>
        </is>
      </c>
      <c r="E425" s="183" t="n"/>
      <c r="F425" s="84" t="n"/>
      <c r="G425" s="84" t="n"/>
      <c r="H425" s="84" t="n"/>
      <c r="I425" s="84" t="n"/>
      <c r="J425" s="84" t="n"/>
      <c r="K425" s="84" t="n"/>
      <c r="L425" s="84" t="n"/>
      <c r="M425" s="84" t="n"/>
      <c r="N425" s="84" t="n"/>
      <c r="O425" s="84" t="n"/>
      <c r="P425" s="84" t="n"/>
      <c r="Q425" s="84" t="n"/>
      <c r="R425" s="84" t="n"/>
      <c r="S425" s="84" t="n"/>
      <c r="T425" s="84" t="n"/>
      <c r="U425" s="84" t="n"/>
      <c r="V425" s="84" t="n"/>
      <c r="W425" s="84" t="n"/>
      <c r="X425" s="84" t="n"/>
      <c r="Y425" s="84" t="n"/>
      <c r="Z425" s="84" t="n"/>
      <c r="AA425" s="84" t="n"/>
      <c r="AB425" s="84" t="n"/>
      <c r="AC425" s="84" t="n"/>
      <c r="AD425" s="84">
        <f>IFERROR(__xludf.DUMMYFUNCTION("""COMPUTED_VALUE"""),"3.5 fl oz")</f>
        <v/>
      </c>
    </row>
    <row r="426" ht="30" customHeight="1" s="176">
      <c r="A426" s="122" t="inlineStr">
        <is>
          <t>Talla Calzado MX – Hombre (con ancho)</t>
        </is>
      </c>
      <c r="B426" s="123" t="n">
        <v>28.5</v>
      </c>
      <c r="C426" s="123" t="inlineStr">
        <is>
          <t>10.5 SM</t>
        </is>
      </c>
      <c r="D426" s="122" t="inlineStr">
        <is>
          <t>Igual regla</t>
        </is>
      </c>
      <c r="E426" s="183" t="n"/>
      <c r="F426" s="84" t="n"/>
      <c r="G426" s="84" t="n"/>
      <c r="H426" s="84" t="n"/>
      <c r="I426" s="84" t="n"/>
      <c r="J426" s="84" t="n"/>
      <c r="K426" s="84" t="n"/>
      <c r="L426" s="84" t="n"/>
      <c r="M426" s="84" t="n"/>
      <c r="N426" s="84" t="n"/>
      <c r="O426" s="84" t="n"/>
      <c r="P426" s="84" t="n"/>
      <c r="Q426" s="84" t="n"/>
      <c r="R426" s="84" t="n"/>
      <c r="S426" s="84" t="n"/>
      <c r="T426" s="84" t="n"/>
      <c r="U426" s="84" t="n"/>
      <c r="V426" s="84" t="n"/>
      <c r="W426" s="84" t="n"/>
      <c r="X426" s="84" t="n"/>
      <c r="Y426" s="84" t="n"/>
      <c r="Z426" s="84" t="n"/>
      <c r="AA426" s="84" t="n"/>
      <c r="AB426" s="84" t="n"/>
      <c r="AC426" s="84" t="n"/>
      <c r="AD426" s="84">
        <f>IFERROR(__xludf.DUMMYFUNCTION("""COMPUTED_VALUE"""),"3.4 / 3.5 fl oz")</f>
        <v/>
      </c>
    </row>
    <row r="427" ht="30" customHeight="1" s="176">
      <c r="A427" s="122" t="inlineStr">
        <is>
          <t>Talla Calzado MX – Hombre (con ancho)</t>
        </is>
      </c>
      <c r="B427" s="123" t="n">
        <v>28.5</v>
      </c>
      <c r="C427" s="123" t="inlineStr">
        <is>
          <t>10.5 SS</t>
        </is>
      </c>
      <c r="D427" s="122" t="inlineStr">
        <is>
          <t>Igual regla</t>
        </is>
      </c>
      <c r="E427" s="183" t="n"/>
      <c r="F427" s="84" t="n"/>
      <c r="G427" s="84" t="n"/>
      <c r="H427" s="84" t="n"/>
      <c r="I427" s="84" t="n"/>
      <c r="J427" s="84" t="n"/>
      <c r="K427" s="84" t="n"/>
      <c r="L427" s="84" t="n"/>
      <c r="M427" s="84" t="n"/>
      <c r="N427" s="84" t="n"/>
      <c r="O427" s="84" t="n"/>
      <c r="P427" s="84" t="n"/>
      <c r="Q427" s="84" t="n"/>
      <c r="R427" s="84" t="n"/>
      <c r="S427" s="84" t="n"/>
      <c r="T427" s="84" t="n"/>
      <c r="U427" s="84" t="n"/>
      <c r="V427" s="84" t="n"/>
      <c r="W427" s="84" t="n"/>
      <c r="X427" s="84" t="n"/>
      <c r="Y427" s="84" t="n"/>
      <c r="Z427" s="84" t="n"/>
      <c r="AA427" s="84" t="n"/>
      <c r="AB427" s="84" t="n"/>
      <c r="AC427" s="84" t="n"/>
      <c r="AD427" s="84">
        <f>IFERROR(__xludf.DUMMYFUNCTION("""COMPUTED_VALUE"""),"5.5 fl oz")</f>
        <v/>
      </c>
    </row>
    <row r="428" ht="30" customHeight="1" s="176">
      <c r="A428" s="122" t="inlineStr">
        <is>
          <t>Talla Calzado MX – Hombre (con ancho)</t>
        </is>
      </c>
      <c r="B428" s="123" t="n">
        <v>28.5</v>
      </c>
      <c r="C428" s="123" t="inlineStr">
        <is>
          <t>10.5 ST</t>
        </is>
      </c>
      <c r="D428" s="122" t="inlineStr">
        <is>
          <t>Igual regla</t>
        </is>
      </c>
      <c r="E428" s="183" t="n"/>
      <c r="F428" s="84" t="n"/>
      <c r="G428" s="84" t="n"/>
      <c r="H428" s="84" t="n"/>
      <c r="I428" s="84" t="n"/>
      <c r="J428" s="84" t="n"/>
      <c r="K428" s="84" t="n"/>
      <c r="L428" s="84" t="n"/>
      <c r="M428" s="84" t="n"/>
      <c r="N428" s="84" t="n"/>
      <c r="O428" s="84" t="n"/>
      <c r="P428" s="84" t="n"/>
      <c r="Q428" s="84" t="n"/>
      <c r="R428" s="84" t="n"/>
      <c r="S428" s="84" t="n"/>
      <c r="T428" s="84" t="n"/>
      <c r="U428" s="84" t="n"/>
      <c r="V428" s="84" t="n"/>
      <c r="W428" s="84" t="n"/>
      <c r="X428" s="84" t="n"/>
      <c r="Y428" s="84" t="n"/>
      <c r="Z428" s="84" t="n"/>
      <c r="AA428" s="84" t="n"/>
      <c r="AB428" s="84" t="n"/>
      <c r="AC428" s="84" t="n"/>
      <c r="AD428" s="84">
        <f>IFERROR(__xludf.DUMMYFUNCTION("""COMPUTED_VALUE"""),"8 fl oz")</f>
        <v/>
      </c>
    </row>
    <row r="429" ht="30" customHeight="1" s="176">
      <c r="A429" s="122" t="inlineStr">
        <is>
          <t>Talla Calzado MX – Hombre (con ancho)</t>
        </is>
      </c>
      <c r="B429" s="123" t="n">
        <v>29</v>
      </c>
      <c r="C429" s="123" t="inlineStr">
        <is>
          <t>11 B</t>
        </is>
      </c>
      <c r="D429" s="122" t="inlineStr">
        <is>
          <t>Igual regla</t>
        </is>
      </c>
      <c r="E429" s="183" t="n"/>
      <c r="F429" s="84" t="n"/>
      <c r="G429" s="84" t="n"/>
      <c r="H429" s="84" t="n"/>
      <c r="I429" s="84" t="n"/>
      <c r="J429" s="84" t="n"/>
      <c r="K429" s="84" t="n"/>
      <c r="L429" s="84" t="n"/>
      <c r="M429" s="84" t="n"/>
      <c r="N429" s="84" t="n"/>
      <c r="O429" s="84" t="n"/>
      <c r="P429" s="84" t="n"/>
      <c r="Q429" s="84" t="n"/>
      <c r="R429" s="84" t="n"/>
      <c r="S429" s="84" t="n"/>
      <c r="T429" s="84" t="n"/>
      <c r="U429" s="84" t="n"/>
      <c r="V429" s="84" t="n"/>
      <c r="W429" s="84" t="n"/>
      <c r="X429" s="84" t="n"/>
      <c r="Y429" s="84" t="n"/>
      <c r="Z429" s="84" t="n"/>
      <c r="AA429" s="84" t="n"/>
      <c r="AB429" s="84" t="n"/>
      <c r="AC429" s="84" t="n"/>
      <c r="AD429" s="84">
        <f>IFERROR(__xludf.DUMMYFUNCTION("""COMPUTED_VALUE"""),"No Aplica")</f>
        <v/>
      </c>
    </row>
    <row r="430" ht="30" customHeight="1" s="176">
      <c r="A430" s="122" t="inlineStr">
        <is>
          <t>Talla Calzado MX – Hombre (con ancho)</t>
        </is>
      </c>
      <c r="B430" s="123" t="n">
        <v>29</v>
      </c>
      <c r="C430" s="123" t="inlineStr">
        <is>
          <t>11 D</t>
        </is>
      </c>
      <c r="D430" s="122" t="inlineStr">
        <is>
          <t>Igual regla</t>
        </is>
      </c>
      <c r="E430" s="183" t="n"/>
      <c r="F430" s="84" t="n"/>
      <c r="G430" s="84" t="n"/>
      <c r="H430" s="84" t="n"/>
      <c r="I430" s="84" t="n"/>
      <c r="J430" s="84" t="n"/>
      <c r="K430" s="84" t="n"/>
      <c r="L430" s="84" t="n"/>
      <c r="M430" s="84" t="n"/>
      <c r="N430" s="84" t="n"/>
      <c r="O430" s="84" t="n"/>
      <c r="P430" s="84" t="n"/>
      <c r="Q430" s="84" t="n"/>
      <c r="R430" s="84" t="n"/>
      <c r="S430" s="84" t="n"/>
      <c r="T430" s="84" t="n"/>
      <c r="U430" s="84" t="n"/>
      <c r="V430" s="84" t="n"/>
      <c r="W430" s="84" t="n"/>
      <c r="X430" s="84" t="n"/>
      <c r="Y430" s="84" t="n"/>
      <c r="Z430" s="84" t="n"/>
      <c r="AA430" s="84" t="n"/>
      <c r="AB430" s="84" t="n"/>
      <c r="AC430" s="84" t="n"/>
      <c r="AD430" s="84" t="n"/>
    </row>
    <row r="431" ht="30" customHeight="1" s="176">
      <c r="A431" s="122" t="inlineStr">
        <is>
          <t>Talla Calzado MX – Hombre (con ancho)</t>
        </is>
      </c>
      <c r="B431" s="123" t="n">
        <v>29</v>
      </c>
      <c r="C431" s="123" t="inlineStr">
        <is>
          <t>11 EE</t>
        </is>
      </c>
      <c r="D431" s="122" t="inlineStr">
        <is>
          <t>Igual regla</t>
        </is>
      </c>
      <c r="E431" s="183" t="n"/>
      <c r="F431" s="84" t="n"/>
      <c r="G431" s="84" t="n"/>
      <c r="H431" s="84" t="n"/>
      <c r="I431" s="84" t="n"/>
      <c r="J431" s="84" t="n"/>
      <c r="K431" s="84" t="n"/>
      <c r="L431" s="84" t="n"/>
      <c r="M431" s="84" t="n"/>
      <c r="N431" s="84" t="n"/>
      <c r="O431" s="84" t="n"/>
      <c r="P431" s="84" t="n"/>
      <c r="Q431" s="84" t="n"/>
      <c r="R431" s="84" t="n"/>
      <c r="S431" s="84" t="n"/>
      <c r="T431" s="84" t="n"/>
      <c r="U431" s="84" t="n"/>
      <c r="V431" s="84" t="n"/>
      <c r="W431" s="84" t="n"/>
      <c r="X431" s="84" t="n"/>
      <c r="Y431" s="84" t="n"/>
      <c r="Z431" s="84" t="n"/>
      <c r="AA431" s="84" t="n"/>
      <c r="AB431" s="84" t="n"/>
      <c r="AC431" s="84" t="n"/>
      <c r="AD431" s="84" t="n"/>
    </row>
    <row r="432" ht="30" customHeight="1" s="176">
      <c r="A432" s="122" t="inlineStr">
        <is>
          <t>Talla Calzado MX – Hombre (con ancho)</t>
        </is>
      </c>
      <c r="B432" s="123" t="n">
        <v>29</v>
      </c>
      <c r="C432" s="123" t="inlineStr">
        <is>
          <t>11 FM</t>
        </is>
      </c>
      <c r="D432" s="122" t="inlineStr">
        <is>
          <t>Igual regla</t>
        </is>
      </c>
      <c r="E432" s="183" t="n"/>
      <c r="F432" s="84" t="n"/>
      <c r="G432" s="84" t="n"/>
      <c r="H432" s="84" t="n"/>
      <c r="I432" s="84" t="n"/>
      <c r="J432" s="84" t="n"/>
      <c r="K432" s="84" t="n"/>
      <c r="L432" s="84" t="n"/>
      <c r="M432" s="84" t="n"/>
      <c r="N432" s="84" t="n"/>
      <c r="O432" s="84" t="n"/>
      <c r="P432" s="84" t="n"/>
      <c r="Q432" s="84" t="n"/>
      <c r="R432" s="84" t="n"/>
      <c r="S432" s="84" t="n"/>
      <c r="T432" s="84" t="n"/>
      <c r="U432" s="84" t="n"/>
      <c r="V432" s="84" t="n"/>
      <c r="W432" s="84" t="n"/>
      <c r="X432" s="84" t="n"/>
      <c r="Y432" s="84" t="n"/>
      <c r="Z432" s="84" t="n"/>
      <c r="AA432" s="84" t="n"/>
      <c r="AB432" s="84" t="n"/>
      <c r="AC432" s="84" t="n"/>
      <c r="AD432" s="84" t="n"/>
    </row>
    <row r="433" ht="30" customHeight="1" s="176">
      <c r="A433" s="122" t="inlineStr">
        <is>
          <t>Talla Calzado MX – Hombre (con ancho)</t>
        </is>
      </c>
      <c r="B433" s="123" t="n">
        <v>29</v>
      </c>
      <c r="C433" s="123" t="inlineStr">
        <is>
          <t>11 FS</t>
        </is>
      </c>
      <c r="D433" s="122" t="inlineStr">
        <is>
          <t>Igual regla</t>
        </is>
      </c>
      <c r="E433" s="183" t="n"/>
      <c r="F433" s="84" t="n"/>
      <c r="G433" s="84" t="n"/>
      <c r="H433" s="84" t="n"/>
      <c r="I433" s="84" t="n"/>
      <c r="J433" s="84" t="n"/>
      <c r="K433" s="84" t="n"/>
      <c r="L433" s="84" t="n"/>
      <c r="M433" s="84" t="n"/>
      <c r="N433" s="84" t="n"/>
      <c r="O433" s="84" t="n"/>
      <c r="P433" s="84" t="n"/>
      <c r="Q433" s="84" t="n"/>
      <c r="R433" s="84" t="n"/>
      <c r="S433" s="84" t="n"/>
      <c r="T433" s="84" t="n"/>
      <c r="U433" s="84" t="n"/>
      <c r="V433" s="84" t="n"/>
      <c r="W433" s="84" t="n"/>
      <c r="X433" s="84" t="n"/>
      <c r="Y433" s="84" t="n"/>
      <c r="Z433" s="84" t="n"/>
      <c r="AA433" s="84" t="n"/>
      <c r="AB433" s="84" t="n"/>
      <c r="AC433" s="84" t="n"/>
      <c r="AD433" s="84" t="n"/>
    </row>
    <row r="434" ht="30" customHeight="1" s="176">
      <c r="A434" s="122" t="inlineStr">
        <is>
          <t>Talla Calzado MX – Hombre (con ancho)</t>
        </is>
      </c>
      <c r="B434" s="123" t="n">
        <v>29</v>
      </c>
      <c r="C434" s="123" t="inlineStr">
        <is>
          <t>11 RM</t>
        </is>
      </c>
      <c r="D434" s="122" t="inlineStr">
        <is>
          <t>Igual regla</t>
        </is>
      </c>
      <c r="E434" s="183" t="n"/>
      <c r="F434" s="84" t="n"/>
      <c r="G434" s="84" t="n"/>
      <c r="H434" s="84" t="n"/>
      <c r="I434" s="84" t="n"/>
      <c r="J434" s="84" t="n"/>
      <c r="K434" s="84" t="n"/>
      <c r="L434" s="84" t="n"/>
      <c r="M434" s="84" t="n"/>
      <c r="N434" s="84" t="n"/>
      <c r="O434" s="84" t="n"/>
      <c r="P434" s="84" t="n"/>
      <c r="Q434" s="84" t="n"/>
      <c r="R434" s="84" t="n"/>
      <c r="S434" s="84" t="n"/>
      <c r="T434" s="84" t="n"/>
      <c r="U434" s="84" t="n"/>
      <c r="V434" s="84" t="n"/>
      <c r="W434" s="84" t="n"/>
      <c r="X434" s="84" t="n"/>
      <c r="Y434" s="84" t="n"/>
      <c r="Z434" s="84" t="n"/>
      <c r="AA434" s="84" t="n"/>
      <c r="AB434" s="84" t="n"/>
      <c r="AC434" s="84" t="n"/>
      <c r="AD434" s="84" t="n"/>
    </row>
    <row r="435" ht="30" customHeight="1" s="176">
      <c r="A435" s="122" t="inlineStr">
        <is>
          <t>Talla Calzado MX – Hombre (con ancho)</t>
        </is>
      </c>
      <c r="B435" s="123" t="n">
        <v>29</v>
      </c>
      <c r="C435" s="123" t="inlineStr">
        <is>
          <t>11 RS</t>
        </is>
      </c>
      <c r="D435" s="122" t="inlineStr">
        <is>
          <t>Igual regla</t>
        </is>
      </c>
      <c r="E435" s="183" t="n"/>
      <c r="F435" s="84" t="n"/>
      <c r="G435" s="84" t="n"/>
      <c r="H435" s="84" t="n"/>
      <c r="I435" s="84" t="n"/>
      <c r="J435" s="84" t="n"/>
      <c r="K435" s="84" t="n"/>
      <c r="L435" s="84" t="n"/>
      <c r="M435" s="84" t="n"/>
      <c r="N435" s="84" t="n"/>
      <c r="O435" s="84" t="n"/>
      <c r="P435" s="84" t="n"/>
      <c r="Q435" s="84" t="n"/>
      <c r="R435" s="84" t="n"/>
      <c r="S435" s="84" t="n"/>
      <c r="T435" s="84" t="n"/>
      <c r="U435" s="84" t="n"/>
      <c r="V435" s="84" t="n"/>
      <c r="W435" s="84" t="n"/>
      <c r="X435" s="84" t="n"/>
      <c r="Y435" s="84" t="n"/>
      <c r="Z435" s="84" t="n"/>
      <c r="AA435" s="84" t="n"/>
      <c r="AB435" s="84" t="n"/>
      <c r="AC435" s="84" t="n"/>
      <c r="AD435" s="84" t="n"/>
    </row>
    <row r="436" ht="30" customHeight="1" s="176">
      <c r="A436" s="122" t="inlineStr">
        <is>
          <t>Talla Calzado MX – Hombre (con ancho)</t>
        </is>
      </c>
      <c r="B436" s="123" t="n">
        <v>29</v>
      </c>
      <c r="C436" s="123" t="inlineStr">
        <is>
          <t>11 RT</t>
        </is>
      </c>
      <c r="D436" s="122" t="inlineStr">
        <is>
          <t>Igual regla</t>
        </is>
      </c>
      <c r="E436" s="183" t="n"/>
      <c r="F436" s="84" t="n"/>
      <c r="G436" s="84" t="n"/>
      <c r="H436" s="84" t="n"/>
      <c r="I436" s="84" t="n"/>
      <c r="J436" s="84" t="n"/>
      <c r="K436" s="84" t="n"/>
      <c r="L436" s="84" t="n"/>
      <c r="M436" s="84" t="n"/>
      <c r="N436" s="84" t="n"/>
      <c r="O436" s="84" t="n"/>
      <c r="P436" s="84" t="n"/>
      <c r="Q436" s="84" t="n"/>
      <c r="R436" s="84" t="n"/>
      <c r="S436" s="84" t="n"/>
      <c r="T436" s="84" t="n"/>
      <c r="U436" s="84" t="n"/>
      <c r="V436" s="84" t="n"/>
      <c r="W436" s="84" t="n"/>
      <c r="X436" s="84" t="n"/>
      <c r="Y436" s="84" t="n"/>
      <c r="Z436" s="84" t="n"/>
      <c r="AA436" s="84" t="n"/>
      <c r="AB436" s="84" t="n"/>
      <c r="AC436" s="84" t="n"/>
      <c r="AD436" s="84" t="n"/>
    </row>
    <row r="437" ht="30" customHeight="1" s="176">
      <c r="A437" s="122" t="inlineStr">
        <is>
          <t>Talla Calzado MX – Hombre (con ancho)</t>
        </is>
      </c>
      <c r="B437" s="123" t="n">
        <v>29</v>
      </c>
      <c r="C437" s="123" t="inlineStr">
        <is>
          <t>11 SM</t>
        </is>
      </c>
      <c r="D437" s="122" t="inlineStr">
        <is>
          <t>Igual regla</t>
        </is>
      </c>
      <c r="E437" s="183" t="n"/>
      <c r="F437" s="84" t="n"/>
      <c r="G437" s="84" t="n"/>
      <c r="H437" s="84" t="n"/>
      <c r="I437" s="84" t="n"/>
      <c r="J437" s="84" t="n"/>
      <c r="K437" s="84" t="n"/>
      <c r="L437" s="84" t="n"/>
      <c r="M437" s="84" t="n"/>
      <c r="N437" s="84" t="n"/>
      <c r="O437" s="84" t="n"/>
      <c r="P437" s="84" t="n"/>
      <c r="Q437" s="84" t="n"/>
      <c r="R437" s="84" t="n"/>
      <c r="S437" s="84" t="n"/>
      <c r="T437" s="84" t="n"/>
      <c r="U437" s="84" t="n"/>
      <c r="V437" s="84" t="n"/>
      <c r="W437" s="84" t="n"/>
      <c r="X437" s="84" t="n"/>
      <c r="Y437" s="84" t="n"/>
      <c r="Z437" s="84" t="n"/>
      <c r="AA437" s="84" t="n"/>
      <c r="AB437" s="84" t="n"/>
      <c r="AC437" s="84" t="n"/>
      <c r="AD437" s="84" t="n"/>
    </row>
    <row r="438" ht="30" customHeight="1" s="176">
      <c r="A438" s="122" t="inlineStr">
        <is>
          <t>Talla Calzado MX – Hombre (con ancho)</t>
        </is>
      </c>
      <c r="B438" s="123" t="n">
        <v>29</v>
      </c>
      <c r="C438" s="123" t="inlineStr">
        <is>
          <t>11 SS</t>
        </is>
      </c>
      <c r="D438" s="122" t="inlineStr">
        <is>
          <t>Igual regla</t>
        </is>
      </c>
      <c r="E438" s="183" t="n"/>
      <c r="F438" s="84" t="n"/>
      <c r="G438" s="84" t="n"/>
      <c r="H438" s="84" t="n"/>
      <c r="I438" s="84" t="n"/>
      <c r="J438" s="84" t="n"/>
      <c r="K438" s="84" t="n"/>
      <c r="L438" s="84" t="n"/>
      <c r="M438" s="84" t="n"/>
      <c r="N438" s="84" t="n"/>
      <c r="O438" s="84" t="n"/>
      <c r="P438" s="84" t="n"/>
      <c r="Q438" s="84" t="n"/>
      <c r="R438" s="84" t="n"/>
      <c r="S438" s="84" t="n"/>
      <c r="T438" s="84" t="n"/>
      <c r="U438" s="84" t="n"/>
      <c r="V438" s="84" t="n"/>
      <c r="W438" s="84" t="n"/>
      <c r="X438" s="84" t="n"/>
      <c r="Y438" s="84" t="n"/>
      <c r="Z438" s="84" t="n"/>
      <c r="AA438" s="84" t="n"/>
      <c r="AB438" s="84" t="n"/>
      <c r="AC438" s="84" t="n"/>
      <c r="AD438" s="84" t="n"/>
    </row>
    <row r="439" ht="30" customHeight="1" s="176">
      <c r="A439" s="122" t="inlineStr">
        <is>
          <t>Talla Calzado MX – Hombre (con ancho)</t>
        </is>
      </c>
      <c r="B439" s="123" t="n">
        <v>29</v>
      </c>
      <c r="C439" s="123" t="inlineStr">
        <is>
          <t>11 ST</t>
        </is>
      </c>
      <c r="D439" s="122" t="inlineStr">
        <is>
          <t>Igual regla</t>
        </is>
      </c>
      <c r="E439" s="183" t="n"/>
      <c r="F439" s="84" t="n"/>
      <c r="G439" s="84" t="n"/>
      <c r="H439" s="84" t="n"/>
      <c r="I439" s="84" t="n"/>
      <c r="J439" s="84" t="n"/>
      <c r="K439" s="84" t="n"/>
      <c r="L439" s="84" t="n"/>
      <c r="M439" s="84" t="n"/>
      <c r="N439" s="84" t="n"/>
      <c r="O439" s="84" t="n"/>
      <c r="P439" s="84" t="n"/>
      <c r="Q439" s="84" t="n"/>
      <c r="R439" s="84" t="n"/>
      <c r="S439" s="84" t="n"/>
      <c r="T439" s="84" t="n"/>
      <c r="U439" s="84" t="n"/>
      <c r="V439" s="84" t="n"/>
      <c r="W439" s="84" t="n"/>
      <c r="X439" s="84" t="n"/>
      <c r="Y439" s="84" t="n"/>
      <c r="Z439" s="84" t="n"/>
      <c r="AA439" s="84" t="n"/>
      <c r="AB439" s="84" t="n"/>
      <c r="AC439" s="84" t="n"/>
      <c r="AD439" s="84" t="n"/>
    </row>
    <row r="440" ht="30" customHeight="1" s="176">
      <c r="A440" s="122" t="inlineStr">
        <is>
          <t>Talla Calzado MX – Hombre (con ancho)</t>
        </is>
      </c>
      <c r="B440" s="123" t="n">
        <v>29.5</v>
      </c>
      <c r="C440" s="123" t="inlineStr">
        <is>
          <t>11.5 B</t>
        </is>
      </c>
      <c r="D440" s="122" t="inlineStr">
        <is>
          <t>Igual regla</t>
        </is>
      </c>
      <c r="E440" s="183" t="n"/>
      <c r="F440" s="84" t="n"/>
      <c r="G440" s="84" t="n"/>
      <c r="H440" s="84" t="n"/>
      <c r="I440" s="84" t="n"/>
      <c r="J440" s="84" t="n"/>
      <c r="K440" s="84" t="n"/>
      <c r="L440" s="84" t="n"/>
      <c r="M440" s="84" t="n"/>
      <c r="N440" s="84" t="n"/>
      <c r="O440" s="84" t="n"/>
      <c r="P440" s="84" t="n"/>
      <c r="Q440" s="84" t="n"/>
      <c r="R440" s="84" t="n"/>
      <c r="S440" s="84" t="n"/>
      <c r="T440" s="84" t="n"/>
      <c r="U440" s="84" t="n"/>
      <c r="V440" s="84" t="n"/>
      <c r="W440" s="84" t="n"/>
      <c r="X440" s="84" t="n"/>
      <c r="Y440" s="84" t="n"/>
      <c r="Z440" s="84" t="n"/>
      <c r="AA440" s="84" t="n"/>
      <c r="AB440" s="84" t="n"/>
      <c r="AC440" s="84" t="n"/>
      <c r="AD440" s="84" t="n"/>
    </row>
    <row r="441" ht="30" customHeight="1" s="176">
      <c r="A441" s="122" t="inlineStr">
        <is>
          <t>Talla Calzado MX – Hombre (con ancho)</t>
        </is>
      </c>
      <c r="B441" s="123" t="n">
        <v>29.5</v>
      </c>
      <c r="C441" s="123" t="inlineStr">
        <is>
          <t>11.5 D</t>
        </is>
      </c>
      <c r="D441" s="122" t="inlineStr">
        <is>
          <t>Igual regla</t>
        </is>
      </c>
      <c r="E441" s="183" t="n"/>
      <c r="F441" s="84" t="n"/>
      <c r="G441" s="84" t="n"/>
      <c r="H441" s="84" t="n"/>
      <c r="I441" s="84" t="n"/>
      <c r="J441" s="84" t="n"/>
      <c r="K441" s="84" t="n"/>
      <c r="L441" s="84" t="n"/>
      <c r="M441" s="84" t="n"/>
      <c r="N441" s="84" t="n"/>
      <c r="O441" s="84" t="n"/>
      <c r="P441" s="84" t="n"/>
      <c r="Q441" s="84" t="n"/>
      <c r="R441" s="84" t="n"/>
      <c r="S441" s="84" t="n"/>
      <c r="T441" s="84" t="n"/>
      <c r="U441" s="84" t="n"/>
      <c r="V441" s="84" t="n"/>
      <c r="W441" s="84" t="n"/>
      <c r="X441" s="84" t="n"/>
      <c r="Y441" s="84" t="n"/>
      <c r="Z441" s="84" t="n"/>
      <c r="AA441" s="84" t="n"/>
      <c r="AB441" s="84" t="n"/>
      <c r="AC441" s="84" t="n"/>
      <c r="AD441" s="84" t="n"/>
    </row>
    <row r="442" ht="30" customHeight="1" s="176">
      <c r="A442" s="122" t="inlineStr">
        <is>
          <t>Talla Calzado MX – Hombre (con ancho)</t>
        </is>
      </c>
      <c r="B442" s="123" t="n">
        <v>29.5</v>
      </c>
      <c r="C442" s="123" t="inlineStr">
        <is>
          <t>11.5 EE</t>
        </is>
      </c>
      <c r="D442" s="122" t="inlineStr">
        <is>
          <t>Igual regla</t>
        </is>
      </c>
      <c r="E442" s="183" t="n"/>
      <c r="F442" s="84" t="n"/>
      <c r="G442" s="84" t="n"/>
      <c r="H442" s="84" t="n"/>
      <c r="I442" s="84" t="n"/>
      <c r="J442" s="84" t="n"/>
      <c r="K442" s="84" t="n"/>
      <c r="L442" s="84" t="n"/>
      <c r="M442" s="84" t="n"/>
      <c r="N442" s="84" t="n"/>
      <c r="O442" s="84" t="n"/>
      <c r="P442" s="84" t="n"/>
      <c r="Q442" s="84" t="n"/>
      <c r="R442" s="84" t="n"/>
      <c r="S442" s="84" t="n"/>
      <c r="T442" s="84" t="n"/>
      <c r="U442" s="84" t="n"/>
      <c r="V442" s="84" t="n"/>
      <c r="W442" s="84" t="n"/>
      <c r="X442" s="84" t="n"/>
      <c r="Y442" s="84" t="n"/>
      <c r="Z442" s="84" t="n"/>
      <c r="AA442" s="84" t="n"/>
      <c r="AB442" s="84" t="n"/>
      <c r="AC442" s="84" t="n"/>
      <c r="AD442" s="84" t="n"/>
    </row>
    <row r="443" ht="30" customHeight="1" s="176">
      <c r="A443" s="122" t="inlineStr">
        <is>
          <t>Talla Calzado MX – Hombre (con ancho)</t>
        </is>
      </c>
      <c r="B443" s="123" t="n">
        <v>29.5</v>
      </c>
      <c r="C443" s="123" t="inlineStr">
        <is>
          <t>11.5 FM</t>
        </is>
      </c>
      <c r="D443" s="122" t="inlineStr">
        <is>
          <t>Igual regla</t>
        </is>
      </c>
      <c r="E443" s="183" t="n"/>
      <c r="F443" s="84" t="n"/>
      <c r="G443" s="84" t="n"/>
      <c r="H443" s="84" t="n"/>
      <c r="I443" s="84" t="n"/>
      <c r="J443" s="84" t="n"/>
      <c r="K443" s="84" t="n"/>
      <c r="L443" s="84" t="n"/>
      <c r="M443" s="84" t="n"/>
      <c r="N443" s="84" t="n"/>
      <c r="O443" s="84" t="n"/>
      <c r="P443" s="84" t="n"/>
      <c r="Q443" s="84" t="n"/>
      <c r="R443" s="84" t="n"/>
      <c r="S443" s="84" t="n"/>
      <c r="T443" s="84" t="n"/>
      <c r="U443" s="84" t="n"/>
      <c r="V443" s="84" t="n"/>
      <c r="W443" s="84" t="n"/>
      <c r="X443" s="84" t="n"/>
      <c r="Y443" s="84" t="n"/>
      <c r="Z443" s="84" t="n"/>
      <c r="AA443" s="84" t="n"/>
      <c r="AB443" s="84" t="n"/>
      <c r="AC443" s="84" t="n"/>
      <c r="AD443" s="84" t="n"/>
    </row>
    <row r="444" ht="30" customHeight="1" s="176">
      <c r="A444" s="122" t="inlineStr">
        <is>
          <t>Talla Calzado MX – Hombre (con ancho)</t>
        </is>
      </c>
      <c r="B444" s="123" t="n">
        <v>29.5</v>
      </c>
      <c r="C444" s="123" t="inlineStr">
        <is>
          <t>11.5 FS</t>
        </is>
      </c>
      <c r="D444" s="122" t="inlineStr">
        <is>
          <t>Igual regla</t>
        </is>
      </c>
      <c r="E444" s="183" t="n"/>
      <c r="F444" s="84" t="n"/>
      <c r="G444" s="84" t="n"/>
      <c r="H444" s="84" t="n"/>
      <c r="I444" s="84" t="n"/>
      <c r="J444" s="84" t="n"/>
      <c r="K444" s="84" t="n"/>
      <c r="L444" s="84" t="n"/>
      <c r="M444" s="84" t="n"/>
      <c r="N444" s="84" t="n"/>
      <c r="O444" s="84" t="n"/>
      <c r="P444" s="84" t="n"/>
      <c r="Q444" s="84" t="n"/>
      <c r="R444" s="84" t="n"/>
      <c r="S444" s="84" t="n"/>
      <c r="T444" s="84" t="n"/>
      <c r="U444" s="84" t="n"/>
      <c r="V444" s="84" t="n"/>
      <c r="W444" s="84" t="n"/>
      <c r="X444" s="84" t="n"/>
      <c r="Y444" s="84" t="n"/>
      <c r="Z444" s="84" t="n"/>
      <c r="AA444" s="84" t="n"/>
      <c r="AB444" s="84" t="n"/>
      <c r="AC444" s="84" t="n"/>
      <c r="AD444" s="84" t="n"/>
    </row>
    <row r="445" ht="30" customHeight="1" s="176">
      <c r="A445" s="122" t="inlineStr">
        <is>
          <t>Talla Calzado MX – Hombre (con ancho)</t>
        </is>
      </c>
      <c r="B445" s="123" t="n">
        <v>29.5</v>
      </c>
      <c r="C445" s="123" t="inlineStr">
        <is>
          <t>11.5 RM</t>
        </is>
      </c>
      <c r="D445" s="122" t="inlineStr">
        <is>
          <t>Igual regla</t>
        </is>
      </c>
      <c r="E445" s="183" t="n"/>
      <c r="F445" s="84" t="n"/>
      <c r="G445" s="84" t="n"/>
      <c r="H445" s="84" t="n"/>
      <c r="I445" s="84" t="n"/>
      <c r="J445" s="84" t="n"/>
      <c r="K445" s="84" t="n"/>
      <c r="L445" s="84" t="n"/>
      <c r="M445" s="84" t="n"/>
      <c r="N445" s="84" t="n"/>
      <c r="O445" s="84" t="n"/>
      <c r="P445" s="84" t="n"/>
      <c r="Q445" s="84" t="n"/>
      <c r="R445" s="84" t="n"/>
      <c r="S445" s="84" t="n"/>
      <c r="T445" s="84" t="n"/>
      <c r="U445" s="84" t="n"/>
      <c r="V445" s="84" t="n"/>
      <c r="W445" s="84" t="n"/>
      <c r="X445" s="84" t="n"/>
      <c r="Y445" s="84" t="n"/>
      <c r="Z445" s="84" t="n"/>
      <c r="AA445" s="84" t="n"/>
      <c r="AB445" s="84" t="n"/>
      <c r="AC445" s="84" t="n"/>
      <c r="AD445" s="84" t="n"/>
    </row>
    <row r="446" ht="30" customHeight="1" s="176">
      <c r="A446" s="122" t="inlineStr">
        <is>
          <t>Talla Calzado MX – Hombre (con ancho)</t>
        </is>
      </c>
      <c r="B446" s="123" t="n">
        <v>29.5</v>
      </c>
      <c r="C446" s="123" t="inlineStr">
        <is>
          <t>11.5 RS</t>
        </is>
      </c>
      <c r="D446" s="122" t="inlineStr">
        <is>
          <t>Igual regla</t>
        </is>
      </c>
      <c r="E446" s="183" t="n"/>
      <c r="F446" s="84" t="n"/>
      <c r="G446" s="84" t="n"/>
      <c r="H446" s="84" t="n"/>
      <c r="I446" s="84" t="n"/>
      <c r="J446" s="84" t="n"/>
      <c r="K446" s="84" t="n"/>
      <c r="L446" s="84" t="n"/>
      <c r="M446" s="84" t="n"/>
      <c r="N446" s="84" t="n"/>
      <c r="O446" s="84" t="n"/>
      <c r="P446" s="84" t="n"/>
      <c r="Q446" s="84" t="n"/>
      <c r="R446" s="84" t="n"/>
      <c r="S446" s="84" t="n"/>
      <c r="T446" s="84" t="n"/>
      <c r="U446" s="84" t="n"/>
      <c r="V446" s="84" t="n"/>
      <c r="W446" s="84" t="n"/>
      <c r="X446" s="84" t="n"/>
      <c r="Y446" s="84" t="n"/>
      <c r="Z446" s="84" t="n"/>
      <c r="AA446" s="84" t="n"/>
      <c r="AB446" s="84" t="n"/>
      <c r="AC446" s="84" t="n"/>
      <c r="AD446" s="84" t="n"/>
    </row>
    <row r="447" ht="30" customHeight="1" s="176">
      <c r="A447" s="122" t="inlineStr">
        <is>
          <t>Talla Calzado MX – Hombre (con ancho)</t>
        </is>
      </c>
      <c r="B447" s="123" t="n">
        <v>29.5</v>
      </c>
      <c r="C447" s="123" t="inlineStr">
        <is>
          <t>11.5 RT</t>
        </is>
      </c>
      <c r="D447" s="122" t="inlineStr">
        <is>
          <t>Igual regla</t>
        </is>
      </c>
      <c r="E447" s="183" t="n"/>
      <c r="F447" s="84" t="n"/>
      <c r="G447" s="84" t="n"/>
      <c r="H447" s="84" t="n"/>
      <c r="I447" s="84" t="n"/>
      <c r="J447" s="84" t="n"/>
      <c r="K447" s="84" t="n"/>
      <c r="L447" s="84" t="n"/>
      <c r="M447" s="84" t="n"/>
      <c r="N447" s="84" t="n"/>
      <c r="O447" s="84" t="n"/>
      <c r="P447" s="84" t="n"/>
      <c r="Q447" s="84" t="n"/>
      <c r="R447" s="84" t="n"/>
      <c r="S447" s="84" t="n"/>
      <c r="T447" s="84" t="n"/>
      <c r="U447" s="84" t="n"/>
      <c r="V447" s="84" t="n"/>
      <c r="W447" s="84" t="n"/>
      <c r="X447" s="84" t="n"/>
      <c r="Y447" s="84" t="n"/>
      <c r="Z447" s="84" t="n"/>
      <c r="AA447" s="84" t="n"/>
      <c r="AB447" s="84" t="n"/>
      <c r="AC447" s="84" t="n"/>
      <c r="AD447" s="84" t="n"/>
    </row>
    <row r="448" ht="30" customHeight="1" s="176">
      <c r="A448" s="122" t="inlineStr">
        <is>
          <t>Talla Calzado MX – Hombre (con ancho)</t>
        </is>
      </c>
      <c r="B448" s="123" t="n">
        <v>29.5</v>
      </c>
      <c r="C448" s="123" t="inlineStr">
        <is>
          <t>11.5 SM</t>
        </is>
      </c>
      <c r="D448" s="122" t="inlineStr">
        <is>
          <t>Igual regla</t>
        </is>
      </c>
      <c r="E448" s="183" t="n"/>
      <c r="F448" s="84" t="n"/>
      <c r="G448" s="84" t="n"/>
      <c r="H448" s="84" t="n"/>
      <c r="I448" s="84" t="n"/>
      <c r="J448" s="84" t="n"/>
      <c r="K448" s="84" t="n"/>
      <c r="L448" s="84" t="n"/>
      <c r="M448" s="84" t="n"/>
      <c r="N448" s="84" t="n"/>
      <c r="O448" s="84" t="n"/>
      <c r="P448" s="84" t="n"/>
      <c r="Q448" s="84" t="n"/>
      <c r="R448" s="84" t="n"/>
      <c r="S448" s="84" t="n"/>
      <c r="T448" s="84" t="n"/>
      <c r="U448" s="84" t="n"/>
      <c r="V448" s="84" t="n"/>
      <c r="W448" s="84" t="n"/>
      <c r="X448" s="84" t="n"/>
      <c r="Y448" s="84" t="n"/>
      <c r="Z448" s="84" t="n"/>
      <c r="AA448" s="84" t="n"/>
      <c r="AB448" s="84" t="n"/>
      <c r="AC448" s="84" t="n"/>
      <c r="AD448" s="84" t="n"/>
    </row>
    <row r="449" ht="30" customHeight="1" s="176">
      <c r="A449" s="122" t="inlineStr">
        <is>
          <t>Talla Calzado MX – Hombre (con ancho)</t>
        </is>
      </c>
      <c r="B449" s="123" t="n">
        <v>29.5</v>
      </c>
      <c r="C449" s="123" t="inlineStr">
        <is>
          <t>11.5 SS</t>
        </is>
      </c>
      <c r="D449" s="122" t="inlineStr">
        <is>
          <t>Igual regla</t>
        </is>
      </c>
      <c r="E449" s="183" t="n"/>
      <c r="F449" s="84" t="n"/>
      <c r="G449" s="84" t="n"/>
      <c r="H449" s="84" t="n"/>
      <c r="I449" s="84" t="n"/>
      <c r="J449" s="84" t="n"/>
      <c r="K449" s="84" t="n"/>
      <c r="L449" s="84" t="n"/>
      <c r="M449" s="84" t="n"/>
      <c r="N449" s="84" t="n"/>
      <c r="O449" s="84" t="n"/>
      <c r="P449" s="84" t="n"/>
      <c r="Q449" s="84" t="n"/>
      <c r="R449" s="84" t="n"/>
      <c r="S449" s="84" t="n"/>
      <c r="T449" s="84" t="n"/>
      <c r="U449" s="84" t="n"/>
      <c r="V449" s="84" t="n"/>
      <c r="W449" s="84" t="n"/>
      <c r="X449" s="84" t="n"/>
      <c r="Y449" s="84" t="n"/>
      <c r="Z449" s="84" t="n"/>
      <c r="AA449" s="84" t="n"/>
      <c r="AB449" s="84" t="n"/>
      <c r="AC449" s="84" t="n"/>
      <c r="AD449" s="84" t="n"/>
    </row>
    <row r="450" ht="30" customHeight="1" s="176">
      <c r="A450" s="122" t="inlineStr">
        <is>
          <t>Talla Calzado MX – Hombre (con ancho)</t>
        </is>
      </c>
      <c r="B450" s="123" t="n">
        <v>29.5</v>
      </c>
      <c r="C450" s="123" t="inlineStr">
        <is>
          <t>11.5 ST</t>
        </is>
      </c>
      <c r="D450" s="122" t="inlineStr">
        <is>
          <t>Igual regla</t>
        </is>
      </c>
      <c r="E450" s="183" t="n"/>
      <c r="F450" s="84" t="n"/>
      <c r="G450" s="84" t="n"/>
      <c r="H450" s="84" t="n"/>
      <c r="I450" s="84" t="n"/>
      <c r="J450" s="84" t="n"/>
      <c r="K450" s="84" t="n"/>
      <c r="L450" s="84" t="n"/>
      <c r="M450" s="84" t="n"/>
      <c r="N450" s="84" t="n"/>
      <c r="O450" s="84" t="n"/>
      <c r="P450" s="84" t="n"/>
      <c r="Q450" s="84" t="n"/>
      <c r="R450" s="84" t="n"/>
      <c r="S450" s="84" t="n"/>
      <c r="T450" s="84" t="n"/>
      <c r="U450" s="84" t="n"/>
      <c r="V450" s="84" t="n"/>
      <c r="W450" s="84" t="n"/>
      <c r="X450" s="84" t="n"/>
      <c r="Y450" s="84" t="n"/>
      <c r="Z450" s="84" t="n"/>
      <c r="AA450" s="84" t="n"/>
      <c r="AB450" s="84" t="n"/>
      <c r="AC450" s="84" t="n"/>
      <c r="AD450" s="84" t="n"/>
    </row>
    <row r="451" ht="30" customHeight="1" s="176">
      <c r="A451" s="122" t="inlineStr">
        <is>
          <t>Talla Calzado MX – Hombre (con ancho)</t>
        </is>
      </c>
      <c r="B451" s="123" t="n">
        <v>30</v>
      </c>
      <c r="C451" s="123" t="inlineStr">
        <is>
          <t>12 B</t>
        </is>
      </c>
      <c r="D451" s="122" t="inlineStr">
        <is>
          <t>Igual regla</t>
        </is>
      </c>
      <c r="E451" s="183" t="n"/>
      <c r="F451" s="84" t="n"/>
      <c r="G451" s="84" t="n"/>
      <c r="H451" s="84" t="n"/>
      <c r="I451" s="84" t="n"/>
      <c r="J451" s="84" t="n"/>
      <c r="K451" s="84" t="n"/>
      <c r="L451" s="84" t="n"/>
      <c r="M451" s="84" t="n"/>
      <c r="N451" s="84" t="n"/>
      <c r="O451" s="84" t="n"/>
      <c r="P451" s="84" t="n"/>
      <c r="Q451" s="84" t="n"/>
      <c r="R451" s="84" t="n"/>
      <c r="S451" s="84" t="n"/>
      <c r="T451" s="84" t="n"/>
      <c r="U451" s="84" t="n"/>
      <c r="V451" s="84" t="n"/>
      <c r="W451" s="84" t="n"/>
      <c r="X451" s="84" t="n"/>
      <c r="Y451" s="84" t="n"/>
      <c r="Z451" s="84" t="n"/>
      <c r="AA451" s="84" t="n"/>
      <c r="AB451" s="84" t="n"/>
      <c r="AC451" s="84" t="n"/>
      <c r="AD451" s="84" t="n"/>
    </row>
    <row r="452" ht="30" customHeight="1" s="176">
      <c r="A452" s="122" t="inlineStr">
        <is>
          <t>Talla Calzado MX – Hombre (con ancho)</t>
        </is>
      </c>
      <c r="B452" s="123" t="n">
        <v>30</v>
      </c>
      <c r="C452" s="123" t="inlineStr">
        <is>
          <t>12 D</t>
        </is>
      </c>
      <c r="D452" s="122" t="inlineStr">
        <is>
          <t>Igual regla</t>
        </is>
      </c>
      <c r="E452" s="183" t="n"/>
      <c r="F452" s="84" t="n"/>
      <c r="G452" s="84" t="n"/>
      <c r="H452" s="84" t="n"/>
      <c r="I452" s="84" t="n"/>
      <c r="J452" s="84" t="n"/>
      <c r="K452" s="84" t="n"/>
      <c r="L452" s="84" t="n"/>
      <c r="M452" s="84" t="n"/>
      <c r="N452" s="84" t="n"/>
      <c r="O452" s="84" t="n"/>
      <c r="P452" s="84" t="n"/>
      <c r="Q452" s="84" t="n"/>
      <c r="R452" s="84" t="n"/>
      <c r="S452" s="84" t="n"/>
      <c r="T452" s="84" t="n"/>
      <c r="U452" s="84" t="n"/>
      <c r="V452" s="84" t="n"/>
      <c r="W452" s="84" t="n"/>
      <c r="X452" s="84" t="n"/>
      <c r="Y452" s="84" t="n"/>
      <c r="Z452" s="84" t="n"/>
      <c r="AA452" s="84" t="n"/>
      <c r="AB452" s="84" t="n"/>
      <c r="AC452" s="84" t="n"/>
      <c r="AD452" s="84" t="n"/>
    </row>
    <row r="453" ht="30" customHeight="1" s="176">
      <c r="A453" s="122" t="inlineStr">
        <is>
          <t>Talla Calzado MX – Hombre (con ancho)</t>
        </is>
      </c>
      <c r="B453" s="123" t="n">
        <v>30</v>
      </c>
      <c r="C453" s="123" t="inlineStr">
        <is>
          <t>12 EE</t>
        </is>
      </c>
      <c r="D453" s="122" t="inlineStr">
        <is>
          <t>Igual regla</t>
        </is>
      </c>
      <c r="E453" s="183" t="n"/>
      <c r="F453" s="84" t="n"/>
      <c r="G453" s="84" t="n"/>
      <c r="H453" s="84" t="n"/>
      <c r="I453" s="84" t="n"/>
      <c r="J453" s="84" t="n"/>
      <c r="K453" s="84" t="n"/>
      <c r="L453" s="84" t="n"/>
      <c r="M453" s="84" t="n"/>
      <c r="N453" s="84" t="n"/>
      <c r="O453" s="84" t="n"/>
      <c r="P453" s="84" t="n"/>
      <c r="Q453" s="84" t="n"/>
      <c r="R453" s="84" t="n"/>
      <c r="S453" s="84" t="n"/>
      <c r="T453" s="84" t="n"/>
      <c r="U453" s="84" t="n"/>
      <c r="V453" s="84" t="n"/>
      <c r="W453" s="84" t="n"/>
      <c r="X453" s="84" t="n"/>
      <c r="Y453" s="84" t="n"/>
      <c r="Z453" s="84" t="n"/>
      <c r="AA453" s="84" t="n"/>
      <c r="AB453" s="84" t="n"/>
      <c r="AC453" s="84" t="n"/>
      <c r="AD453" s="84" t="n"/>
    </row>
    <row r="454" ht="30" customHeight="1" s="176">
      <c r="A454" s="122" t="inlineStr">
        <is>
          <t>Talla Calzado MX – Hombre (con ancho)</t>
        </is>
      </c>
      <c r="B454" s="123" t="n">
        <v>30</v>
      </c>
      <c r="C454" s="123" t="inlineStr">
        <is>
          <t>12 FM</t>
        </is>
      </c>
      <c r="D454" s="122" t="inlineStr">
        <is>
          <t>Igual regla</t>
        </is>
      </c>
      <c r="E454" s="183" t="n"/>
      <c r="F454" s="84" t="n"/>
      <c r="G454" s="84" t="n"/>
      <c r="H454" s="84" t="n"/>
      <c r="I454" s="84" t="n"/>
      <c r="J454" s="84" t="n"/>
      <c r="K454" s="84" t="n"/>
      <c r="L454" s="84" t="n"/>
      <c r="M454" s="84" t="n"/>
      <c r="N454" s="84" t="n"/>
      <c r="O454" s="84" t="n"/>
      <c r="P454" s="84" t="n"/>
      <c r="Q454" s="84" t="n"/>
      <c r="R454" s="84" t="n"/>
      <c r="S454" s="84" t="n"/>
      <c r="T454" s="84" t="n"/>
      <c r="U454" s="84" t="n"/>
      <c r="V454" s="84" t="n"/>
      <c r="W454" s="84" t="n"/>
      <c r="X454" s="84" t="n"/>
      <c r="Y454" s="84" t="n"/>
      <c r="Z454" s="84" t="n"/>
      <c r="AA454" s="84" t="n"/>
      <c r="AB454" s="84" t="n"/>
      <c r="AC454" s="84" t="n"/>
      <c r="AD454" s="84" t="n"/>
    </row>
    <row r="455" ht="30" customHeight="1" s="176">
      <c r="A455" s="122" t="inlineStr">
        <is>
          <t>Talla Calzado MX – Hombre (con ancho)</t>
        </is>
      </c>
      <c r="B455" s="123" t="n">
        <v>30</v>
      </c>
      <c r="C455" s="123" t="inlineStr">
        <is>
          <t>12 FS</t>
        </is>
      </c>
      <c r="D455" s="122" t="inlineStr">
        <is>
          <t>Igual regla</t>
        </is>
      </c>
      <c r="E455" s="183" t="n"/>
      <c r="F455" s="84" t="n"/>
      <c r="G455" s="84" t="n"/>
      <c r="H455" s="84" t="n"/>
      <c r="I455" s="84" t="n"/>
      <c r="J455" s="84" t="n"/>
      <c r="K455" s="84" t="n"/>
      <c r="L455" s="84" t="n"/>
      <c r="M455" s="84" t="n"/>
      <c r="N455" s="84" t="n"/>
      <c r="O455" s="84" t="n"/>
      <c r="P455" s="84" t="n"/>
      <c r="Q455" s="84" t="n"/>
      <c r="R455" s="84" t="n"/>
      <c r="S455" s="84" t="n"/>
      <c r="T455" s="84" t="n"/>
      <c r="U455" s="84" t="n"/>
      <c r="V455" s="84" t="n"/>
      <c r="W455" s="84" t="n"/>
      <c r="X455" s="84" t="n"/>
      <c r="Y455" s="84" t="n"/>
      <c r="Z455" s="84" t="n"/>
      <c r="AA455" s="84" t="n"/>
      <c r="AB455" s="84" t="n"/>
      <c r="AC455" s="84" t="n"/>
      <c r="AD455" s="84" t="n"/>
    </row>
    <row r="456" ht="30" customHeight="1" s="176">
      <c r="A456" s="122" t="inlineStr">
        <is>
          <t>Talla Calzado MX – Hombre (con ancho)</t>
        </is>
      </c>
      <c r="B456" s="123" t="n">
        <v>30</v>
      </c>
      <c r="C456" s="123" t="inlineStr">
        <is>
          <t>12 RM</t>
        </is>
      </c>
      <c r="D456" s="122" t="inlineStr">
        <is>
          <t>Igual regla</t>
        </is>
      </c>
      <c r="E456" s="183" t="n"/>
      <c r="F456" s="84" t="n"/>
      <c r="G456" s="84" t="n"/>
      <c r="H456" s="84" t="n"/>
      <c r="I456" s="84" t="n"/>
      <c r="J456" s="84" t="n"/>
      <c r="K456" s="84" t="n"/>
      <c r="L456" s="84" t="n"/>
      <c r="M456" s="84" t="n"/>
      <c r="N456" s="84" t="n"/>
      <c r="O456" s="84" t="n"/>
      <c r="P456" s="84" t="n"/>
      <c r="Q456" s="84" t="n"/>
      <c r="R456" s="84" t="n"/>
      <c r="S456" s="84" t="n"/>
      <c r="T456" s="84" t="n"/>
      <c r="U456" s="84" t="n"/>
      <c r="V456" s="84" t="n"/>
      <c r="W456" s="84" t="n"/>
      <c r="X456" s="84" t="n"/>
      <c r="Y456" s="84" t="n"/>
      <c r="Z456" s="84" t="n"/>
      <c r="AA456" s="84" t="n"/>
      <c r="AB456" s="84" t="n"/>
      <c r="AC456" s="84" t="n"/>
      <c r="AD456" s="84" t="n"/>
    </row>
    <row r="457" ht="30" customHeight="1" s="176">
      <c r="A457" s="122" t="inlineStr">
        <is>
          <t>Talla Calzado MX – Hombre (con ancho)</t>
        </is>
      </c>
      <c r="B457" s="123" t="n">
        <v>30</v>
      </c>
      <c r="C457" s="123" t="inlineStr">
        <is>
          <t>12 RS</t>
        </is>
      </c>
      <c r="D457" s="122" t="inlineStr">
        <is>
          <t>Igual regla</t>
        </is>
      </c>
      <c r="E457" s="183" t="n"/>
      <c r="F457" s="84" t="n"/>
      <c r="G457" s="84" t="n"/>
      <c r="H457" s="84" t="n"/>
      <c r="I457" s="84" t="n"/>
      <c r="J457" s="84" t="n"/>
      <c r="K457" s="84" t="n"/>
      <c r="L457" s="84" t="n"/>
      <c r="M457" s="84" t="n"/>
      <c r="N457" s="84" t="n"/>
      <c r="O457" s="84" t="n"/>
      <c r="P457" s="84" t="n"/>
      <c r="Q457" s="84" t="n"/>
      <c r="R457" s="84" t="n"/>
      <c r="S457" s="84" t="n"/>
      <c r="T457" s="84" t="n"/>
      <c r="U457" s="84" t="n"/>
      <c r="V457" s="84" t="n"/>
      <c r="W457" s="84" t="n"/>
      <c r="X457" s="84" t="n"/>
      <c r="Y457" s="84" t="n"/>
      <c r="Z457" s="84" t="n"/>
      <c r="AA457" s="84" t="n"/>
      <c r="AB457" s="84" t="n"/>
      <c r="AC457" s="84" t="n"/>
      <c r="AD457" s="84" t="n"/>
    </row>
    <row r="458" ht="30" customHeight="1" s="176">
      <c r="A458" s="122" t="inlineStr">
        <is>
          <t>Talla Calzado MX – Hombre (con ancho)</t>
        </is>
      </c>
      <c r="B458" s="123" t="n">
        <v>30</v>
      </c>
      <c r="C458" s="123" t="inlineStr">
        <is>
          <t>12 RT</t>
        </is>
      </c>
      <c r="D458" s="122" t="inlineStr">
        <is>
          <t>Igual regla</t>
        </is>
      </c>
      <c r="E458" s="183" t="n"/>
      <c r="F458" s="84" t="n"/>
      <c r="G458" s="84" t="n"/>
      <c r="H458" s="84" t="n"/>
      <c r="I458" s="84" t="n"/>
      <c r="J458" s="84" t="n"/>
      <c r="K458" s="84" t="n"/>
      <c r="L458" s="84" t="n"/>
      <c r="M458" s="84" t="n"/>
      <c r="N458" s="84" t="n"/>
      <c r="O458" s="84" t="n"/>
      <c r="P458" s="84" t="n"/>
      <c r="Q458" s="84" t="n"/>
      <c r="R458" s="84" t="n"/>
      <c r="S458" s="84" t="n"/>
      <c r="T458" s="84" t="n"/>
      <c r="U458" s="84" t="n"/>
      <c r="V458" s="84" t="n"/>
      <c r="W458" s="84" t="n"/>
      <c r="X458" s="84" t="n"/>
      <c r="Y458" s="84" t="n"/>
      <c r="Z458" s="84" t="n"/>
      <c r="AA458" s="84" t="n"/>
      <c r="AB458" s="84" t="n"/>
      <c r="AC458" s="84" t="n"/>
      <c r="AD458" s="84" t="n"/>
    </row>
    <row r="459" ht="30" customHeight="1" s="176">
      <c r="A459" s="122" t="inlineStr">
        <is>
          <t>Talla Calzado MX – Hombre (con ancho)</t>
        </is>
      </c>
      <c r="B459" s="123" t="n">
        <v>30</v>
      </c>
      <c r="C459" s="123" t="inlineStr">
        <is>
          <t>12 SM</t>
        </is>
      </c>
      <c r="D459" s="122" t="inlineStr">
        <is>
          <t>Igual regla</t>
        </is>
      </c>
      <c r="E459" s="183" t="n"/>
      <c r="F459" s="84" t="n"/>
      <c r="G459" s="84" t="n"/>
      <c r="H459" s="84" t="n"/>
      <c r="I459" s="84" t="n"/>
      <c r="J459" s="84" t="n"/>
      <c r="K459" s="84" t="n"/>
      <c r="L459" s="84" t="n"/>
      <c r="M459" s="84" t="n"/>
      <c r="N459" s="84" t="n"/>
      <c r="O459" s="84" t="n"/>
      <c r="P459" s="84" t="n"/>
      <c r="Q459" s="84" t="n"/>
      <c r="R459" s="84" t="n"/>
      <c r="S459" s="84" t="n"/>
      <c r="T459" s="84" t="n"/>
      <c r="U459" s="84" t="n"/>
      <c r="V459" s="84" t="n"/>
      <c r="W459" s="84" t="n"/>
      <c r="X459" s="84" t="n"/>
      <c r="Y459" s="84" t="n"/>
      <c r="Z459" s="84" t="n"/>
      <c r="AA459" s="84" t="n"/>
      <c r="AB459" s="84" t="n"/>
      <c r="AC459" s="84" t="n"/>
      <c r="AD459" s="84" t="n"/>
    </row>
    <row r="460" ht="30" customHeight="1" s="176">
      <c r="A460" s="122" t="inlineStr">
        <is>
          <t>Talla Calzado MX – Hombre (con ancho)</t>
        </is>
      </c>
      <c r="B460" s="123" t="n">
        <v>30</v>
      </c>
      <c r="C460" s="123" t="inlineStr">
        <is>
          <t>12 SS</t>
        </is>
      </c>
      <c r="D460" s="122" t="inlineStr">
        <is>
          <t>Igual regla</t>
        </is>
      </c>
      <c r="E460" s="183" t="n"/>
      <c r="F460" s="84" t="n"/>
      <c r="G460" s="84" t="n"/>
      <c r="H460" s="84" t="n"/>
      <c r="I460" s="84" t="n"/>
      <c r="J460" s="84" t="n"/>
      <c r="K460" s="84" t="n"/>
      <c r="L460" s="84" t="n"/>
      <c r="M460" s="84" t="n"/>
      <c r="N460" s="84" t="n"/>
      <c r="O460" s="84" t="n"/>
      <c r="P460" s="84" t="n"/>
      <c r="Q460" s="84" t="n"/>
      <c r="R460" s="84" t="n"/>
      <c r="S460" s="84" t="n"/>
      <c r="T460" s="84" t="n"/>
      <c r="U460" s="84" t="n"/>
      <c r="V460" s="84" t="n"/>
      <c r="W460" s="84" t="n"/>
      <c r="X460" s="84" t="n"/>
      <c r="Y460" s="84" t="n"/>
      <c r="Z460" s="84" t="n"/>
      <c r="AA460" s="84" t="n"/>
      <c r="AB460" s="84" t="n"/>
      <c r="AC460" s="84" t="n"/>
      <c r="AD460" s="84" t="n"/>
    </row>
    <row r="461" ht="30" customHeight="1" s="176">
      <c r="A461" s="122" t="inlineStr">
        <is>
          <t>Talla Calzado MX – Hombre (con ancho)</t>
        </is>
      </c>
      <c r="B461" s="123" t="n">
        <v>30</v>
      </c>
      <c r="C461" s="123" t="inlineStr">
        <is>
          <t>12 ST</t>
        </is>
      </c>
      <c r="D461" s="122" t="inlineStr">
        <is>
          <t>Igual regla</t>
        </is>
      </c>
      <c r="E461" s="183" t="n"/>
      <c r="F461" s="84" t="n"/>
      <c r="G461" s="84" t="n"/>
      <c r="H461" s="84" t="n"/>
      <c r="I461" s="84" t="n"/>
      <c r="J461" s="84" t="n"/>
      <c r="K461" s="84" t="n"/>
      <c r="L461" s="84" t="n"/>
      <c r="M461" s="84" t="n"/>
      <c r="N461" s="84" t="n"/>
      <c r="O461" s="84" t="n"/>
      <c r="P461" s="84" t="n"/>
      <c r="Q461" s="84" t="n"/>
      <c r="R461" s="84" t="n"/>
      <c r="S461" s="84" t="n"/>
      <c r="T461" s="84" t="n"/>
      <c r="U461" s="84" t="n"/>
      <c r="V461" s="84" t="n"/>
      <c r="W461" s="84" t="n"/>
      <c r="X461" s="84" t="n"/>
      <c r="Y461" s="84" t="n"/>
      <c r="Z461" s="84" t="n"/>
      <c r="AA461" s="84" t="n"/>
      <c r="AB461" s="84" t="n"/>
      <c r="AC461" s="84" t="n"/>
      <c r="AD461" s="84" t="n"/>
    </row>
    <row r="462" ht="30" customHeight="1" s="176">
      <c r="A462" s="122" t="inlineStr">
        <is>
          <t>Talla Calzado MX – Hombre (con ancho)</t>
        </is>
      </c>
      <c r="B462" s="123" t="n">
        <v>31</v>
      </c>
      <c r="C462" s="123" t="inlineStr">
        <is>
          <t>13 B</t>
        </is>
      </c>
      <c r="D462" s="122" t="inlineStr">
        <is>
          <t>Igual regla</t>
        </is>
      </c>
      <c r="E462" s="183" t="n"/>
      <c r="F462" s="84" t="n"/>
      <c r="G462" s="84" t="n"/>
      <c r="H462" s="84" t="n"/>
      <c r="I462" s="84" t="n"/>
      <c r="J462" s="84" t="n"/>
      <c r="K462" s="84" t="n"/>
      <c r="L462" s="84" t="n"/>
      <c r="M462" s="84" t="n"/>
      <c r="N462" s="84" t="n"/>
      <c r="O462" s="84" t="n"/>
      <c r="P462" s="84" t="n"/>
      <c r="Q462" s="84" t="n"/>
      <c r="R462" s="84" t="n"/>
      <c r="S462" s="84" t="n"/>
      <c r="T462" s="84" t="n"/>
      <c r="U462" s="84" t="n"/>
      <c r="V462" s="84" t="n"/>
      <c r="W462" s="84" t="n"/>
      <c r="X462" s="84" t="n"/>
      <c r="Y462" s="84" t="n"/>
      <c r="Z462" s="84" t="n"/>
      <c r="AA462" s="84" t="n"/>
      <c r="AB462" s="84" t="n"/>
      <c r="AC462" s="84" t="n"/>
      <c r="AD462" s="84" t="n"/>
    </row>
    <row r="463" ht="30" customHeight="1" s="176">
      <c r="A463" s="122" t="inlineStr">
        <is>
          <t>Talla Calzado MX – Hombre (con ancho)</t>
        </is>
      </c>
      <c r="B463" s="123" t="n">
        <v>31</v>
      </c>
      <c r="C463" s="123" t="inlineStr">
        <is>
          <t>13 D</t>
        </is>
      </c>
      <c r="D463" s="122" t="inlineStr">
        <is>
          <t>Igual regla</t>
        </is>
      </c>
      <c r="E463" s="183" t="n"/>
      <c r="F463" s="84" t="n"/>
      <c r="G463" s="84" t="n"/>
      <c r="H463" s="84" t="n"/>
      <c r="I463" s="84" t="n"/>
      <c r="J463" s="84" t="n"/>
      <c r="K463" s="84" t="n"/>
      <c r="L463" s="84" t="n"/>
      <c r="M463" s="84" t="n"/>
      <c r="N463" s="84" t="n"/>
      <c r="O463" s="84" t="n"/>
      <c r="P463" s="84" t="n"/>
      <c r="Q463" s="84" t="n"/>
      <c r="R463" s="84" t="n"/>
      <c r="S463" s="84" t="n"/>
      <c r="T463" s="84" t="n"/>
      <c r="U463" s="84" t="n"/>
      <c r="V463" s="84" t="n"/>
      <c r="W463" s="84" t="n"/>
      <c r="X463" s="84" t="n"/>
      <c r="Y463" s="84" t="n"/>
      <c r="Z463" s="84" t="n"/>
      <c r="AA463" s="84" t="n"/>
      <c r="AB463" s="84" t="n"/>
      <c r="AC463" s="84" t="n"/>
      <c r="AD463" s="84" t="n"/>
    </row>
    <row r="464" ht="30" customHeight="1" s="176">
      <c r="A464" s="122" t="inlineStr">
        <is>
          <t>Talla Calzado MX – Hombre (con ancho)</t>
        </is>
      </c>
      <c r="B464" s="123" t="n">
        <v>31</v>
      </c>
      <c r="C464" s="123" t="inlineStr">
        <is>
          <t>13 EE</t>
        </is>
      </c>
      <c r="D464" s="122" t="inlineStr">
        <is>
          <t>Igual regla</t>
        </is>
      </c>
      <c r="E464" s="183" t="n"/>
      <c r="F464" s="84" t="n"/>
      <c r="G464" s="84" t="n"/>
      <c r="H464" s="84" t="n"/>
      <c r="I464" s="84" t="n"/>
      <c r="J464" s="84" t="n"/>
      <c r="K464" s="84" t="n"/>
      <c r="L464" s="84" t="n"/>
      <c r="M464" s="84" t="n"/>
      <c r="N464" s="84" t="n"/>
      <c r="O464" s="84" t="n"/>
      <c r="P464" s="84" t="n"/>
      <c r="Q464" s="84" t="n"/>
      <c r="R464" s="84" t="n"/>
      <c r="S464" s="84" t="n"/>
      <c r="T464" s="84" t="n"/>
      <c r="U464" s="84" t="n"/>
      <c r="V464" s="84" t="n"/>
      <c r="W464" s="84" t="n"/>
      <c r="X464" s="84" t="n"/>
      <c r="Y464" s="84" t="n"/>
      <c r="Z464" s="84" t="n"/>
      <c r="AA464" s="84" t="n"/>
      <c r="AB464" s="84" t="n"/>
      <c r="AC464" s="84" t="n"/>
      <c r="AD464" s="84" t="n"/>
    </row>
    <row r="465" ht="30" customHeight="1" s="176">
      <c r="A465" s="122" t="inlineStr">
        <is>
          <t>Talla Calzado MX – Hombre (con ancho)</t>
        </is>
      </c>
      <c r="B465" s="123" t="n">
        <v>31</v>
      </c>
      <c r="C465" s="123" t="inlineStr">
        <is>
          <t>13 FM</t>
        </is>
      </c>
      <c r="D465" s="122" t="inlineStr">
        <is>
          <t>Igual regla</t>
        </is>
      </c>
      <c r="E465" s="183" t="n"/>
      <c r="F465" s="84" t="n"/>
      <c r="G465" s="84" t="n"/>
      <c r="H465" s="84" t="n"/>
      <c r="I465" s="84" t="n"/>
      <c r="J465" s="84" t="n"/>
      <c r="K465" s="84" t="n"/>
      <c r="L465" s="84" t="n"/>
      <c r="M465" s="84" t="n"/>
      <c r="N465" s="84" t="n"/>
      <c r="O465" s="84" t="n"/>
      <c r="P465" s="84" t="n"/>
      <c r="Q465" s="84" t="n"/>
      <c r="R465" s="84" t="n"/>
      <c r="S465" s="84" t="n"/>
      <c r="T465" s="84" t="n"/>
      <c r="U465" s="84" t="n"/>
      <c r="V465" s="84" t="n"/>
      <c r="W465" s="84" t="n"/>
      <c r="X465" s="84" t="n"/>
      <c r="Y465" s="84" t="n"/>
      <c r="Z465" s="84" t="n"/>
      <c r="AA465" s="84" t="n"/>
      <c r="AB465" s="84" t="n"/>
      <c r="AC465" s="84" t="n"/>
      <c r="AD465" s="84" t="n"/>
    </row>
    <row r="466" ht="30" customHeight="1" s="176">
      <c r="A466" s="122" t="inlineStr">
        <is>
          <t>Talla Calzado MX – Hombre (con ancho)</t>
        </is>
      </c>
      <c r="B466" s="123" t="n">
        <v>31</v>
      </c>
      <c r="C466" s="123" t="inlineStr">
        <is>
          <t>13 FS</t>
        </is>
      </c>
      <c r="D466" s="122" t="inlineStr">
        <is>
          <t>Igual regla</t>
        </is>
      </c>
      <c r="E466" s="183" t="n"/>
      <c r="F466" s="84" t="n"/>
      <c r="G466" s="84" t="n"/>
      <c r="H466" s="84" t="n"/>
      <c r="I466" s="84" t="n"/>
      <c r="J466" s="84" t="n"/>
      <c r="K466" s="84" t="n"/>
      <c r="L466" s="84" t="n"/>
      <c r="M466" s="84" t="n"/>
      <c r="N466" s="84" t="n"/>
      <c r="O466" s="84" t="n"/>
      <c r="P466" s="84" t="n"/>
      <c r="Q466" s="84" t="n"/>
      <c r="R466" s="84" t="n"/>
      <c r="S466" s="84" t="n"/>
      <c r="T466" s="84" t="n"/>
      <c r="U466" s="84" t="n"/>
      <c r="V466" s="84" t="n"/>
      <c r="W466" s="84" t="n"/>
      <c r="X466" s="84" t="n"/>
      <c r="Y466" s="84" t="n"/>
      <c r="Z466" s="84" t="n"/>
      <c r="AA466" s="84" t="n"/>
      <c r="AB466" s="84" t="n"/>
      <c r="AC466" s="84" t="n"/>
      <c r="AD466" s="84" t="n"/>
    </row>
    <row r="467" ht="30" customHeight="1" s="176">
      <c r="A467" s="122" t="inlineStr">
        <is>
          <t>Talla Calzado MX – Hombre (con ancho)</t>
        </is>
      </c>
      <c r="B467" s="123" t="n">
        <v>31</v>
      </c>
      <c r="C467" s="123" t="inlineStr">
        <is>
          <t>13 RM</t>
        </is>
      </c>
      <c r="D467" s="122" t="inlineStr">
        <is>
          <t>Igual regla</t>
        </is>
      </c>
      <c r="E467" s="183" t="n"/>
      <c r="F467" s="84" t="n"/>
      <c r="G467" s="84" t="n"/>
      <c r="H467" s="84" t="n"/>
      <c r="I467" s="84" t="n"/>
      <c r="J467" s="84" t="n"/>
      <c r="K467" s="84" t="n"/>
      <c r="L467" s="84" t="n"/>
      <c r="M467" s="84" t="n"/>
      <c r="N467" s="84" t="n"/>
      <c r="O467" s="84" t="n"/>
      <c r="P467" s="84" t="n"/>
      <c r="Q467" s="84" t="n"/>
      <c r="R467" s="84" t="n"/>
      <c r="S467" s="84" t="n"/>
      <c r="T467" s="84" t="n"/>
      <c r="U467" s="84" t="n"/>
      <c r="V467" s="84" t="n"/>
      <c r="W467" s="84" t="n"/>
      <c r="X467" s="84" t="n"/>
      <c r="Y467" s="84" t="n"/>
      <c r="Z467" s="84" t="n"/>
      <c r="AA467" s="84" t="n"/>
      <c r="AB467" s="84" t="n"/>
      <c r="AC467" s="84" t="n"/>
      <c r="AD467" s="84" t="n"/>
    </row>
    <row r="468" ht="30" customHeight="1" s="176">
      <c r="A468" s="122" t="inlineStr">
        <is>
          <t>Talla Calzado MX – Hombre (con ancho)</t>
        </is>
      </c>
      <c r="B468" s="123" t="n">
        <v>31</v>
      </c>
      <c r="C468" s="123" t="inlineStr">
        <is>
          <t>13 RS</t>
        </is>
      </c>
      <c r="D468" s="122" t="inlineStr">
        <is>
          <t>Igual regla</t>
        </is>
      </c>
      <c r="E468" s="183" t="n"/>
      <c r="F468" s="84" t="n"/>
      <c r="G468" s="84" t="n"/>
      <c r="H468" s="84" t="n"/>
      <c r="I468" s="84" t="n"/>
      <c r="J468" s="84" t="n"/>
      <c r="K468" s="84" t="n"/>
      <c r="L468" s="84" t="n"/>
      <c r="M468" s="84" t="n"/>
      <c r="N468" s="84" t="n"/>
      <c r="O468" s="84" t="n"/>
      <c r="P468" s="84" t="n"/>
      <c r="Q468" s="84" t="n"/>
      <c r="R468" s="84" t="n"/>
      <c r="S468" s="84" t="n"/>
      <c r="T468" s="84" t="n"/>
      <c r="U468" s="84" t="n"/>
      <c r="V468" s="84" t="n"/>
      <c r="W468" s="84" t="n"/>
      <c r="X468" s="84" t="n"/>
      <c r="Y468" s="84" t="n"/>
      <c r="Z468" s="84" t="n"/>
      <c r="AA468" s="84" t="n"/>
      <c r="AB468" s="84" t="n"/>
      <c r="AC468" s="84" t="n"/>
      <c r="AD468" s="84" t="n"/>
    </row>
    <row r="469" ht="30" customHeight="1" s="176">
      <c r="A469" s="122" t="inlineStr">
        <is>
          <t>Talla Calzado MX – Hombre (con ancho)</t>
        </is>
      </c>
      <c r="B469" s="123" t="n">
        <v>31</v>
      </c>
      <c r="C469" s="123" t="inlineStr">
        <is>
          <t>13 RT</t>
        </is>
      </c>
      <c r="D469" s="122" t="inlineStr">
        <is>
          <t>Igual regla</t>
        </is>
      </c>
      <c r="E469" s="183" t="n"/>
      <c r="F469" s="84" t="n"/>
      <c r="G469" s="84" t="n"/>
      <c r="H469" s="84" t="n"/>
      <c r="I469" s="84" t="n"/>
      <c r="J469" s="84" t="n"/>
      <c r="K469" s="84" t="n"/>
      <c r="L469" s="84" t="n"/>
      <c r="M469" s="84" t="n"/>
      <c r="N469" s="84" t="n"/>
      <c r="O469" s="84" t="n"/>
      <c r="P469" s="84" t="n"/>
      <c r="Q469" s="84" t="n"/>
      <c r="R469" s="84" t="n"/>
      <c r="S469" s="84" t="n"/>
      <c r="T469" s="84" t="n"/>
      <c r="U469" s="84" t="n"/>
      <c r="V469" s="84" t="n"/>
      <c r="W469" s="84" t="n"/>
      <c r="X469" s="84" t="n"/>
      <c r="Y469" s="84" t="n"/>
      <c r="Z469" s="84" t="n"/>
      <c r="AA469" s="84" t="n"/>
      <c r="AB469" s="84" t="n"/>
      <c r="AC469" s="84" t="n"/>
      <c r="AD469" s="84" t="n"/>
    </row>
    <row r="470" ht="30" customHeight="1" s="176">
      <c r="A470" s="122" t="inlineStr">
        <is>
          <t>Talla Calzado MX – Hombre (con ancho)</t>
        </is>
      </c>
      <c r="B470" s="123" t="n">
        <v>31</v>
      </c>
      <c r="C470" s="123" t="inlineStr">
        <is>
          <t>13 SM</t>
        </is>
      </c>
      <c r="D470" s="122" t="inlineStr">
        <is>
          <t>Igual regla</t>
        </is>
      </c>
      <c r="E470" s="183" t="n"/>
      <c r="F470" s="84" t="n"/>
      <c r="G470" s="84" t="n"/>
      <c r="H470" s="84" t="n"/>
      <c r="I470" s="84" t="n"/>
      <c r="J470" s="84" t="n"/>
      <c r="K470" s="84" t="n"/>
      <c r="L470" s="84" t="n"/>
      <c r="M470" s="84" t="n"/>
      <c r="N470" s="84" t="n"/>
      <c r="O470" s="84" t="n"/>
      <c r="P470" s="84" t="n"/>
      <c r="Q470" s="84" t="n"/>
      <c r="R470" s="84" t="n"/>
      <c r="S470" s="84" t="n"/>
      <c r="T470" s="84" t="n"/>
      <c r="U470" s="84" t="n"/>
      <c r="V470" s="84" t="n"/>
      <c r="W470" s="84" t="n"/>
      <c r="X470" s="84" t="n"/>
      <c r="Y470" s="84" t="n"/>
      <c r="Z470" s="84" t="n"/>
      <c r="AA470" s="84" t="n"/>
      <c r="AB470" s="84" t="n"/>
      <c r="AC470" s="84" t="n"/>
      <c r="AD470" s="84" t="n"/>
    </row>
    <row r="471" ht="30" customHeight="1" s="176">
      <c r="A471" s="122" t="inlineStr">
        <is>
          <t>Talla Calzado MX – Hombre (con ancho)</t>
        </is>
      </c>
      <c r="B471" s="123" t="n">
        <v>31</v>
      </c>
      <c r="C471" s="123" t="inlineStr">
        <is>
          <t>13 SS</t>
        </is>
      </c>
      <c r="D471" s="122" t="inlineStr">
        <is>
          <t>Igual regla</t>
        </is>
      </c>
      <c r="E471" s="183" t="n"/>
      <c r="F471" s="84" t="n"/>
      <c r="G471" s="84" t="n"/>
      <c r="H471" s="84" t="n"/>
      <c r="I471" s="84" t="n"/>
      <c r="J471" s="84" t="n"/>
      <c r="K471" s="84" t="n"/>
      <c r="L471" s="84" t="n"/>
      <c r="M471" s="84" t="n"/>
      <c r="N471" s="84" t="n"/>
      <c r="O471" s="84" t="n"/>
      <c r="P471" s="84" t="n"/>
      <c r="Q471" s="84" t="n"/>
      <c r="R471" s="84" t="n"/>
      <c r="S471" s="84" t="n"/>
      <c r="T471" s="84" t="n"/>
      <c r="U471" s="84" t="n"/>
      <c r="V471" s="84" t="n"/>
      <c r="W471" s="84" t="n"/>
      <c r="X471" s="84" t="n"/>
      <c r="Y471" s="84" t="n"/>
      <c r="Z471" s="84" t="n"/>
      <c r="AA471" s="84" t="n"/>
      <c r="AB471" s="84" t="n"/>
      <c r="AC471" s="84" t="n"/>
      <c r="AD471" s="84" t="n"/>
    </row>
    <row r="472" ht="30" customHeight="1" s="176">
      <c r="A472" s="122" t="inlineStr">
        <is>
          <t>Talla Calzado MX – Hombre (con ancho)</t>
        </is>
      </c>
      <c r="B472" s="123" t="n">
        <v>31</v>
      </c>
      <c r="C472" s="123" t="inlineStr">
        <is>
          <t>13 ST</t>
        </is>
      </c>
      <c r="D472" s="122" t="inlineStr">
        <is>
          <t>Igual regla</t>
        </is>
      </c>
      <c r="E472" s="183" t="n"/>
      <c r="F472" s="84" t="n"/>
      <c r="G472" s="84" t="n"/>
      <c r="H472" s="84" t="n"/>
      <c r="I472" s="84" t="n"/>
      <c r="J472" s="84" t="n"/>
      <c r="K472" s="84" t="n"/>
      <c r="L472" s="84" t="n"/>
      <c r="M472" s="84" t="n"/>
      <c r="N472" s="84" t="n"/>
      <c r="O472" s="84" t="n"/>
      <c r="P472" s="84" t="n"/>
      <c r="Q472" s="84" t="n"/>
      <c r="R472" s="84" t="n"/>
      <c r="S472" s="84" t="n"/>
      <c r="T472" s="84" t="n"/>
      <c r="U472" s="84" t="n"/>
      <c r="V472" s="84" t="n"/>
      <c r="W472" s="84" t="n"/>
      <c r="X472" s="84" t="n"/>
      <c r="Y472" s="84" t="n"/>
      <c r="Z472" s="84" t="n"/>
      <c r="AA472" s="84" t="n"/>
      <c r="AB472" s="84" t="n"/>
      <c r="AC472" s="84" t="n"/>
      <c r="AD472" s="84" t="n"/>
    </row>
    <row r="473" ht="30" customHeight="1" s="176">
      <c r="A473" s="122" t="inlineStr">
        <is>
          <t>Talla Calzado MX – Hombre (con ancho)</t>
        </is>
      </c>
      <c r="B473" s="123" t="n">
        <v>32</v>
      </c>
      <c r="C473" s="123" t="inlineStr">
        <is>
          <t>14 D</t>
        </is>
      </c>
      <c r="D473" s="122" t="inlineStr">
        <is>
          <t>Igual regla</t>
        </is>
      </c>
      <c r="E473" s="183" t="n"/>
      <c r="F473" s="84" t="n"/>
      <c r="G473" s="84" t="n"/>
      <c r="H473" s="84" t="n"/>
      <c r="I473" s="84" t="n"/>
      <c r="J473" s="84" t="n"/>
      <c r="K473" s="84" t="n"/>
      <c r="L473" s="84" t="n"/>
      <c r="M473" s="84" t="n"/>
      <c r="N473" s="84" t="n"/>
      <c r="O473" s="84" t="n"/>
      <c r="P473" s="84" t="n"/>
      <c r="Q473" s="84" t="n"/>
      <c r="R473" s="84" t="n"/>
      <c r="S473" s="84" t="n"/>
      <c r="T473" s="84" t="n"/>
      <c r="U473" s="84" t="n"/>
      <c r="V473" s="84" t="n"/>
      <c r="W473" s="84" t="n"/>
      <c r="X473" s="84" t="n"/>
      <c r="Y473" s="84" t="n"/>
      <c r="Z473" s="84" t="n"/>
      <c r="AA473" s="84" t="n"/>
      <c r="AB473" s="84" t="n"/>
      <c r="AC473" s="84" t="n"/>
      <c r="AD473" s="84" t="n"/>
    </row>
    <row r="474" ht="30" customHeight="1" s="176">
      <c r="A474" s="122" t="inlineStr">
        <is>
          <t>Talla Calzado MX – Hombre (con ancho)</t>
        </is>
      </c>
      <c r="B474" s="123" t="n">
        <v>32</v>
      </c>
      <c r="C474" s="123" t="inlineStr">
        <is>
          <t>14 EE</t>
        </is>
      </c>
      <c r="D474" s="122" t="inlineStr">
        <is>
          <t>Igual regla</t>
        </is>
      </c>
      <c r="E474" s="183" t="n"/>
      <c r="F474" s="84" t="n"/>
      <c r="G474" s="84" t="n"/>
      <c r="H474" s="84" t="n"/>
      <c r="I474" s="84" t="n"/>
      <c r="J474" s="84" t="n"/>
      <c r="K474" s="84" t="n"/>
      <c r="L474" s="84" t="n"/>
      <c r="M474" s="84" t="n"/>
      <c r="N474" s="84" t="n"/>
      <c r="O474" s="84" t="n"/>
      <c r="P474" s="84" t="n"/>
      <c r="Q474" s="84" t="n"/>
      <c r="R474" s="84" t="n"/>
      <c r="S474" s="84" t="n"/>
      <c r="T474" s="84" t="n"/>
      <c r="U474" s="84" t="n"/>
      <c r="V474" s="84" t="n"/>
      <c r="W474" s="84" t="n"/>
      <c r="X474" s="84" t="n"/>
      <c r="Y474" s="84" t="n"/>
      <c r="Z474" s="84" t="n"/>
      <c r="AA474" s="84" t="n"/>
      <c r="AB474" s="84" t="n"/>
      <c r="AC474" s="84" t="n"/>
      <c r="AD474" s="84" t="n"/>
    </row>
    <row r="475" ht="30" customHeight="1" s="176">
      <c r="A475" s="122" t="inlineStr">
        <is>
          <t>Talla Calzado MX – Hombre (con ancho)</t>
        </is>
      </c>
      <c r="B475" s="123" t="n">
        <v>33</v>
      </c>
      <c r="C475" s="123" t="inlineStr">
        <is>
          <t>15 D</t>
        </is>
      </c>
      <c r="D475" s="122" t="inlineStr">
        <is>
          <t>Igual regla</t>
        </is>
      </c>
      <c r="E475" s="183" t="n"/>
      <c r="F475" s="84" t="n"/>
      <c r="G475" s="84" t="n"/>
      <c r="H475" s="84" t="n"/>
      <c r="I475" s="84" t="n"/>
      <c r="J475" s="84" t="n"/>
      <c r="K475" s="84" t="n"/>
      <c r="L475" s="84" t="n"/>
      <c r="M475" s="84" t="n"/>
      <c r="N475" s="84" t="n"/>
      <c r="O475" s="84" t="n"/>
      <c r="P475" s="84" t="n"/>
      <c r="Q475" s="84" t="n"/>
      <c r="R475" s="84" t="n"/>
      <c r="S475" s="84" t="n"/>
      <c r="T475" s="84" t="n"/>
      <c r="U475" s="84" t="n"/>
      <c r="V475" s="84" t="n"/>
      <c r="W475" s="84" t="n"/>
      <c r="X475" s="84" t="n"/>
      <c r="Y475" s="84" t="n"/>
      <c r="Z475" s="84" t="n"/>
      <c r="AA475" s="84" t="n"/>
      <c r="AB475" s="84" t="n"/>
      <c r="AC475" s="84" t="n"/>
      <c r="AD475" s="84" t="n"/>
    </row>
    <row r="476" ht="30" customHeight="1" s="176">
      <c r="A476" s="122" t="inlineStr">
        <is>
          <t>Talla Calzado MX – Hombre (con ancho)</t>
        </is>
      </c>
      <c r="B476" s="123" t="n">
        <v>33</v>
      </c>
      <c r="C476" s="123" t="inlineStr">
        <is>
          <t>15 EE</t>
        </is>
      </c>
      <c r="D476" s="122" t="inlineStr">
        <is>
          <t>Igual regla</t>
        </is>
      </c>
      <c r="E476" s="183" t="n"/>
      <c r="F476" s="84" t="n"/>
      <c r="G476" s="84" t="n"/>
      <c r="H476" s="84" t="n"/>
      <c r="I476" s="84" t="n"/>
      <c r="J476" s="84" t="n"/>
      <c r="K476" s="84" t="n"/>
      <c r="L476" s="84" t="n"/>
      <c r="M476" s="84" t="n"/>
      <c r="N476" s="84" t="n"/>
      <c r="O476" s="84" t="n"/>
      <c r="P476" s="84" t="n"/>
      <c r="Q476" s="84" t="n"/>
      <c r="R476" s="84" t="n"/>
      <c r="S476" s="84" t="n"/>
      <c r="T476" s="84" t="n"/>
      <c r="U476" s="84" t="n"/>
      <c r="V476" s="84" t="n"/>
      <c r="W476" s="84" t="n"/>
      <c r="X476" s="84" t="n"/>
      <c r="Y476" s="84" t="n"/>
      <c r="Z476" s="84" t="n"/>
      <c r="AA476" s="84" t="n"/>
      <c r="AB476" s="84" t="n"/>
      <c r="AC476" s="84" t="n"/>
      <c r="AD476" s="84" t="n"/>
    </row>
    <row r="477" ht="30" customHeight="1" s="176">
      <c r="A477" s="122" t="inlineStr">
        <is>
          <t>Talla Calzado MX – Hombre (con ancho)</t>
        </is>
      </c>
      <c r="B477" s="123" t="n">
        <v>34</v>
      </c>
      <c r="C477" s="123" t="inlineStr">
        <is>
          <t>16 D</t>
        </is>
      </c>
      <c r="D477" s="122" t="inlineStr">
        <is>
          <t>Igual regla</t>
        </is>
      </c>
      <c r="E477" s="183" t="n"/>
      <c r="F477" s="84" t="n"/>
      <c r="G477" s="84" t="n"/>
      <c r="H477" s="84" t="n"/>
      <c r="I477" s="84" t="n"/>
      <c r="J477" s="84" t="n"/>
      <c r="K477" s="84" t="n"/>
      <c r="L477" s="84" t="n"/>
      <c r="M477" s="84" t="n"/>
      <c r="N477" s="84" t="n"/>
      <c r="O477" s="84" t="n"/>
      <c r="P477" s="84" t="n"/>
      <c r="Q477" s="84" t="n"/>
      <c r="R477" s="84" t="n"/>
      <c r="S477" s="84" t="n"/>
      <c r="T477" s="84" t="n"/>
      <c r="U477" s="84" t="n"/>
      <c r="V477" s="84" t="n"/>
      <c r="W477" s="84" t="n"/>
      <c r="X477" s="84" t="n"/>
      <c r="Y477" s="84" t="n"/>
      <c r="Z477" s="84" t="n"/>
      <c r="AA477" s="84" t="n"/>
      <c r="AB477" s="84" t="n"/>
      <c r="AC477" s="84" t="n"/>
      <c r="AD477" s="84" t="n"/>
    </row>
    <row r="478" ht="30" customHeight="1" s="176">
      <c r="A478" s="122" t="inlineStr">
        <is>
          <t>Talla Calzado MX – Hombre (con ancho)</t>
        </is>
      </c>
      <c r="B478" s="123" t="n">
        <v>34</v>
      </c>
      <c r="C478" s="123" t="inlineStr">
        <is>
          <t>16 EE</t>
        </is>
      </c>
      <c r="D478" s="122" t="inlineStr">
        <is>
          <t>Igual regla</t>
        </is>
      </c>
      <c r="E478" s="183" t="n"/>
      <c r="F478" s="84" t="n"/>
      <c r="G478" s="84" t="n"/>
      <c r="H478" s="84" t="n"/>
      <c r="I478" s="84" t="n"/>
      <c r="J478" s="84" t="n"/>
      <c r="K478" s="84" t="n"/>
      <c r="L478" s="84" t="n"/>
      <c r="M478" s="84" t="n"/>
      <c r="N478" s="84" t="n"/>
      <c r="O478" s="84" t="n"/>
      <c r="P478" s="84" t="n"/>
      <c r="Q478" s="84" t="n"/>
      <c r="R478" s="84" t="n"/>
      <c r="S478" s="84" t="n"/>
      <c r="T478" s="84" t="n"/>
      <c r="U478" s="84" t="n"/>
      <c r="V478" s="84" t="n"/>
      <c r="W478" s="84" t="n"/>
      <c r="X478" s="84" t="n"/>
      <c r="Y478" s="84" t="n"/>
      <c r="Z478" s="84" t="n"/>
      <c r="AA478" s="84" t="n"/>
      <c r="AB478" s="84" t="n"/>
      <c r="AC478" s="84" t="n"/>
      <c r="AD478" s="84" t="n"/>
    </row>
    <row r="479" ht="30" customHeight="1" s="176">
      <c r="A479" s="122" t="inlineStr">
        <is>
          <t>Talla Calzado MX – Mujer (con ancho)</t>
        </is>
      </c>
      <c r="B479" s="123" t="n">
        <v>22</v>
      </c>
      <c r="C479" s="123" t="inlineStr">
        <is>
          <t>5 B</t>
        </is>
      </c>
      <c r="D479" s="122" t="inlineStr">
        <is>
          <t>MX = US + 17. El sufijo (B, C, RS, SM…) es el ancho/horma del proveedor y se captura tal cual.</t>
        </is>
      </c>
      <c r="E479" s="183" t="n"/>
      <c r="F479" s="84" t="n"/>
      <c r="G479" s="84" t="n"/>
      <c r="H479" s="84" t="n"/>
      <c r="I479" s="84" t="n"/>
      <c r="J479" s="84" t="n"/>
      <c r="K479" s="84" t="n"/>
      <c r="L479" s="84" t="n"/>
      <c r="M479" s="84" t="n"/>
      <c r="N479" s="84" t="n"/>
      <c r="O479" s="84" t="n"/>
      <c r="P479" s="84" t="n"/>
      <c r="Q479" s="84" t="n"/>
      <c r="R479" s="84" t="n"/>
      <c r="S479" s="84" t="n"/>
      <c r="T479" s="84" t="n"/>
      <c r="U479" s="84" t="n"/>
      <c r="V479" s="84" t="n"/>
      <c r="W479" s="84" t="n"/>
      <c r="X479" s="84" t="n"/>
      <c r="Y479" s="84" t="n"/>
      <c r="Z479" s="84" t="n"/>
      <c r="AA479" s="84" t="n"/>
      <c r="AB479" s="84" t="n"/>
      <c r="AC479" s="84" t="n"/>
      <c r="AD479" s="84" t="n"/>
    </row>
    <row r="480" ht="30" customHeight="1" s="176">
      <c r="A480" s="122" t="inlineStr">
        <is>
          <t>Talla Calzado MX – Mujer (con ancho)</t>
        </is>
      </c>
      <c r="B480" s="123" t="n">
        <v>22.5</v>
      </c>
      <c r="C480" s="123" t="inlineStr">
        <is>
          <t>5.5 B</t>
        </is>
      </c>
      <c r="D480" s="122" t="inlineStr">
        <is>
          <t>Igual regla</t>
        </is>
      </c>
      <c r="E480" s="183" t="n"/>
      <c r="F480" s="84" t="n"/>
      <c r="G480" s="84" t="n"/>
      <c r="H480" s="84" t="n"/>
      <c r="I480" s="84" t="n"/>
      <c r="J480" s="84" t="n"/>
      <c r="K480" s="84" t="n"/>
      <c r="L480" s="84" t="n"/>
      <c r="M480" s="84" t="n"/>
      <c r="N480" s="84" t="n"/>
      <c r="O480" s="84" t="n"/>
      <c r="P480" s="84" t="n"/>
      <c r="Q480" s="84" t="n"/>
      <c r="R480" s="84" t="n"/>
      <c r="S480" s="84" t="n"/>
      <c r="T480" s="84" t="n"/>
      <c r="U480" s="84" t="n"/>
      <c r="V480" s="84" t="n"/>
      <c r="W480" s="84" t="n"/>
      <c r="X480" s="84" t="n"/>
      <c r="Y480" s="84" t="n"/>
      <c r="Z480" s="84" t="n"/>
      <c r="AA480" s="84" t="n"/>
      <c r="AB480" s="84" t="n"/>
      <c r="AC480" s="84" t="n"/>
      <c r="AD480" s="84" t="n"/>
    </row>
    <row r="481" ht="30" customHeight="1" s="176">
      <c r="A481" s="122" t="inlineStr">
        <is>
          <t>Talla Calzado MX – Mujer (con ancho)</t>
        </is>
      </c>
      <c r="B481" s="123" t="n">
        <v>22.5</v>
      </c>
      <c r="C481" s="123" t="inlineStr">
        <is>
          <t>5.5 FS</t>
        </is>
      </c>
      <c r="D481" s="122" t="inlineStr">
        <is>
          <t>Igual regla</t>
        </is>
      </c>
      <c r="E481" s="183" t="n"/>
      <c r="F481" s="84" t="n"/>
      <c r="G481" s="84" t="n"/>
      <c r="H481" s="84" t="n"/>
      <c r="I481" s="84" t="n"/>
      <c r="J481" s="84" t="n"/>
      <c r="K481" s="84" t="n"/>
      <c r="L481" s="84" t="n"/>
      <c r="M481" s="84" t="n"/>
      <c r="N481" s="84" t="n"/>
      <c r="O481" s="84" t="n"/>
      <c r="P481" s="84" t="n"/>
      <c r="Q481" s="84" t="n"/>
      <c r="R481" s="84" t="n"/>
      <c r="S481" s="84" t="n"/>
      <c r="T481" s="84" t="n"/>
      <c r="U481" s="84" t="n"/>
      <c r="V481" s="84" t="n"/>
      <c r="W481" s="84" t="n"/>
      <c r="X481" s="84" t="n"/>
      <c r="Y481" s="84" t="n"/>
      <c r="Z481" s="84" t="n"/>
      <c r="AA481" s="84" t="n"/>
      <c r="AB481" s="84" t="n"/>
      <c r="AC481" s="84" t="n"/>
      <c r="AD481" s="84" t="n"/>
    </row>
    <row r="482" ht="30" customHeight="1" s="176">
      <c r="A482" s="122" t="inlineStr">
        <is>
          <t>Talla Calzado MX – Mujer (con ancho)</t>
        </is>
      </c>
      <c r="B482" s="123" t="n">
        <v>22.5</v>
      </c>
      <c r="C482" s="123" t="inlineStr">
        <is>
          <t>5.5 RM</t>
        </is>
      </c>
      <c r="D482" s="122" t="inlineStr">
        <is>
          <t>Igual regla</t>
        </is>
      </c>
      <c r="E482" s="183" t="n"/>
      <c r="F482" s="84" t="n"/>
      <c r="G482" s="84" t="n"/>
      <c r="H482" s="84" t="n"/>
      <c r="I482" s="84" t="n"/>
      <c r="J482" s="84" t="n"/>
      <c r="K482" s="84" t="n"/>
      <c r="L482" s="84" t="n"/>
      <c r="M482" s="84" t="n"/>
      <c r="N482" s="84" t="n"/>
      <c r="O482" s="84" t="n"/>
      <c r="P482" s="84" t="n"/>
      <c r="Q482" s="84" t="n"/>
      <c r="R482" s="84" t="n"/>
      <c r="S482" s="84" t="n"/>
      <c r="T482" s="84" t="n"/>
      <c r="U482" s="84" t="n"/>
      <c r="V482" s="84" t="n"/>
      <c r="W482" s="84" t="n"/>
      <c r="X482" s="84" t="n"/>
      <c r="Y482" s="84" t="n"/>
      <c r="Z482" s="84" t="n"/>
      <c r="AA482" s="84" t="n"/>
      <c r="AB482" s="84" t="n"/>
      <c r="AC482" s="84" t="n"/>
      <c r="AD482" s="84" t="n"/>
    </row>
    <row r="483" ht="30" customHeight="1" s="176">
      <c r="A483" s="122" t="inlineStr">
        <is>
          <t>Talla Calzado MX – Mujer (con ancho)</t>
        </is>
      </c>
      <c r="B483" s="123" t="n">
        <v>22.5</v>
      </c>
      <c r="C483" s="123" t="inlineStr">
        <is>
          <t>5.5 RS</t>
        </is>
      </c>
      <c r="D483" s="122" t="inlineStr">
        <is>
          <t>Igual regla</t>
        </is>
      </c>
      <c r="E483" s="183" t="n"/>
      <c r="F483" s="84" t="n"/>
      <c r="G483" s="84" t="n"/>
      <c r="H483" s="84" t="n"/>
      <c r="I483" s="84" t="n"/>
      <c r="J483" s="84" t="n"/>
      <c r="K483" s="84" t="n"/>
      <c r="L483" s="84" t="n"/>
      <c r="M483" s="84" t="n"/>
      <c r="N483" s="84" t="n"/>
      <c r="O483" s="84" t="n"/>
      <c r="P483" s="84" t="n"/>
      <c r="Q483" s="84" t="n"/>
      <c r="R483" s="84" t="n"/>
      <c r="S483" s="84" t="n"/>
      <c r="T483" s="84" t="n"/>
      <c r="U483" s="84" t="n"/>
      <c r="V483" s="84" t="n"/>
      <c r="W483" s="84" t="n"/>
      <c r="X483" s="84" t="n"/>
      <c r="Y483" s="84" t="n"/>
      <c r="Z483" s="84" t="n"/>
      <c r="AA483" s="84" t="n"/>
      <c r="AB483" s="84" t="n"/>
      <c r="AC483" s="84" t="n"/>
      <c r="AD483" s="84" t="n"/>
    </row>
    <row r="484" ht="30" customHeight="1" s="176">
      <c r="A484" s="122" t="inlineStr">
        <is>
          <t>Talla Calzado MX – Mujer (con ancho)</t>
        </is>
      </c>
      <c r="B484" s="123" t="n">
        <v>22.5</v>
      </c>
      <c r="C484" s="123" t="inlineStr">
        <is>
          <t>5.5 SM</t>
        </is>
      </c>
      <c r="D484" s="122" t="inlineStr">
        <is>
          <t>Igual regla</t>
        </is>
      </c>
      <c r="E484" s="183" t="n"/>
      <c r="F484" s="84" t="n"/>
      <c r="G484" s="84" t="n"/>
      <c r="H484" s="84" t="n"/>
      <c r="I484" s="84" t="n"/>
      <c r="J484" s="84" t="n"/>
      <c r="K484" s="84" t="n"/>
      <c r="L484" s="84" t="n"/>
      <c r="M484" s="84" t="n"/>
      <c r="N484" s="84" t="n"/>
      <c r="O484" s="84" t="n"/>
      <c r="P484" s="84" t="n"/>
      <c r="Q484" s="84" t="n"/>
      <c r="R484" s="84" t="n"/>
      <c r="S484" s="84" t="n"/>
      <c r="T484" s="84" t="n"/>
      <c r="U484" s="84" t="n"/>
      <c r="V484" s="84" t="n"/>
      <c r="W484" s="84" t="n"/>
      <c r="X484" s="84" t="n"/>
      <c r="Y484" s="84" t="n"/>
      <c r="Z484" s="84" t="n"/>
      <c r="AA484" s="84" t="n"/>
      <c r="AB484" s="84" t="n"/>
      <c r="AC484" s="84" t="n"/>
      <c r="AD484" s="84" t="n"/>
    </row>
    <row r="485" ht="30" customHeight="1" s="176">
      <c r="A485" s="122" t="inlineStr">
        <is>
          <t>Talla Calzado MX – Mujer (con ancho)</t>
        </is>
      </c>
      <c r="B485" s="123" t="n">
        <v>22.5</v>
      </c>
      <c r="C485" s="123" t="inlineStr">
        <is>
          <t>5.5 SS</t>
        </is>
      </c>
      <c r="D485" s="122" t="inlineStr">
        <is>
          <t>Igual regla</t>
        </is>
      </c>
      <c r="E485" s="183" t="n"/>
      <c r="F485" s="84" t="n"/>
      <c r="G485" s="84" t="n"/>
      <c r="H485" s="84" t="n"/>
      <c r="I485" s="84" t="n"/>
      <c r="J485" s="84" t="n"/>
      <c r="K485" s="84" t="n"/>
      <c r="L485" s="84" t="n"/>
      <c r="M485" s="84" t="n"/>
      <c r="N485" s="84" t="n"/>
      <c r="O485" s="84" t="n"/>
      <c r="P485" s="84" t="n"/>
      <c r="Q485" s="84" t="n"/>
      <c r="R485" s="84" t="n"/>
      <c r="S485" s="84" t="n"/>
      <c r="T485" s="84" t="n"/>
      <c r="U485" s="84" t="n"/>
      <c r="V485" s="84" t="n"/>
      <c r="W485" s="84" t="n"/>
      <c r="X485" s="84" t="n"/>
      <c r="Y485" s="84" t="n"/>
      <c r="Z485" s="84" t="n"/>
      <c r="AA485" s="84" t="n"/>
      <c r="AB485" s="84" t="n"/>
      <c r="AC485" s="84" t="n"/>
      <c r="AD485" s="84" t="n"/>
    </row>
    <row r="486" ht="30" customHeight="1" s="176">
      <c r="A486" s="122" t="inlineStr">
        <is>
          <t>Talla Calzado MX – Mujer (con ancho)</t>
        </is>
      </c>
      <c r="B486" s="123" t="n">
        <v>22.5</v>
      </c>
      <c r="C486" s="123" t="inlineStr">
        <is>
          <t>5.5 WS</t>
        </is>
      </c>
      <c r="D486" s="122" t="inlineStr">
        <is>
          <t>Igual regla</t>
        </is>
      </c>
      <c r="E486" s="183" t="n"/>
      <c r="F486" s="84" t="n"/>
      <c r="G486" s="84" t="n"/>
      <c r="H486" s="84" t="n"/>
      <c r="I486" s="84" t="n"/>
      <c r="J486" s="84" t="n"/>
      <c r="K486" s="84" t="n"/>
      <c r="L486" s="84" t="n"/>
      <c r="M486" s="84" t="n"/>
      <c r="N486" s="84" t="n"/>
      <c r="O486" s="84" t="n"/>
      <c r="P486" s="84" t="n"/>
      <c r="Q486" s="84" t="n"/>
      <c r="R486" s="84" t="n"/>
      <c r="S486" s="84" t="n"/>
      <c r="T486" s="84" t="n"/>
      <c r="U486" s="84" t="n"/>
      <c r="V486" s="84" t="n"/>
      <c r="W486" s="84" t="n"/>
      <c r="X486" s="84" t="n"/>
      <c r="Y486" s="84" t="n"/>
      <c r="Z486" s="84" t="n"/>
      <c r="AA486" s="84" t="n"/>
      <c r="AB486" s="84" t="n"/>
      <c r="AC486" s="84" t="n"/>
      <c r="AD486" s="84" t="n"/>
    </row>
    <row r="487" ht="30" customHeight="1" s="176">
      <c r="A487" s="122" t="inlineStr">
        <is>
          <t>Talla Calzado MX – Mujer (con ancho)</t>
        </is>
      </c>
      <c r="B487" s="123" t="n">
        <v>22.5</v>
      </c>
      <c r="C487" s="123" t="inlineStr">
        <is>
          <t>5.5 XSM</t>
        </is>
      </c>
      <c r="D487" s="122" t="inlineStr">
        <is>
          <t>Igual regla</t>
        </is>
      </c>
      <c r="E487" s="183" t="n"/>
      <c r="F487" s="84" t="n"/>
      <c r="G487" s="84" t="n"/>
      <c r="H487" s="84" t="n"/>
      <c r="I487" s="84" t="n"/>
      <c r="J487" s="84" t="n"/>
      <c r="K487" s="84" t="n"/>
      <c r="L487" s="84" t="n"/>
      <c r="M487" s="84" t="n"/>
      <c r="N487" s="84" t="n"/>
      <c r="O487" s="84" t="n"/>
      <c r="P487" s="84" t="n"/>
      <c r="Q487" s="84" t="n"/>
      <c r="R487" s="84" t="n"/>
      <c r="S487" s="84" t="n"/>
      <c r="T487" s="84" t="n"/>
      <c r="U487" s="84" t="n"/>
      <c r="V487" s="84" t="n"/>
      <c r="W487" s="84" t="n"/>
      <c r="X487" s="84" t="n"/>
      <c r="Y487" s="84" t="n"/>
      <c r="Z487" s="84" t="n"/>
      <c r="AA487" s="84" t="n"/>
      <c r="AB487" s="84" t="n"/>
      <c r="AC487" s="84" t="n"/>
      <c r="AD487" s="84" t="n"/>
    </row>
    <row r="488" ht="30" customHeight="1" s="176">
      <c r="A488" s="122" t="inlineStr">
        <is>
          <t>Talla Calzado MX – Mujer (con ancho)</t>
        </is>
      </c>
      <c r="B488" s="123" t="n">
        <v>23</v>
      </c>
      <c r="C488" s="123" t="inlineStr">
        <is>
          <t>6 B</t>
        </is>
      </c>
      <c r="D488" s="122" t="inlineStr">
        <is>
          <t>Igual regla</t>
        </is>
      </c>
      <c r="E488" s="183" t="n"/>
      <c r="F488" s="84" t="n"/>
      <c r="G488" s="84" t="n"/>
      <c r="H488" s="84" t="n"/>
      <c r="I488" s="84" t="n"/>
      <c r="J488" s="84" t="n"/>
      <c r="K488" s="84" t="n"/>
      <c r="L488" s="84" t="n"/>
      <c r="M488" s="84" t="n"/>
      <c r="N488" s="84" t="n"/>
      <c r="O488" s="84" t="n"/>
      <c r="P488" s="84" t="n"/>
      <c r="Q488" s="84" t="n"/>
      <c r="R488" s="84" t="n"/>
      <c r="S488" s="84" t="n"/>
      <c r="T488" s="84" t="n"/>
      <c r="U488" s="84" t="n"/>
      <c r="V488" s="84" t="n"/>
      <c r="W488" s="84" t="n"/>
      <c r="X488" s="84" t="n"/>
      <c r="Y488" s="84" t="n"/>
      <c r="Z488" s="84" t="n"/>
      <c r="AA488" s="84" t="n"/>
      <c r="AB488" s="84" t="n"/>
      <c r="AC488" s="84" t="n"/>
      <c r="AD488" s="84" t="n"/>
    </row>
    <row r="489" ht="30" customHeight="1" s="176">
      <c r="A489" s="122" t="inlineStr">
        <is>
          <t>Talla Calzado MX – Mujer (con ancho)</t>
        </is>
      </c>
      <c r="B489" s="123" t="n">
        <v>23</v>
      </c>
      <c r="C489" s="123" t="inlineStr">
        <is>
          <t>6 C</t>
        </is>
      </c>
      <c r="D489" s="122" t="inlineStr">
        <is>
          <t>Igual regla</t>
        </is>
      </c>
      <c r="E489" s="183" t="n"/>
      <c r="F489" s="84" t="n"/>
      <c r="G489" s="84" t="n"/>
      <c r="H489" s="84" t="n"/>
      <c r="I489" s="84" t="n"/>
      <c r="J489" s="84" t="n"/>
      <c r="K489" s="84" t="n"/>
      <c r="L489" s="84" t="n"/>
      <c r="M489" s="84" t="n"/>
      <c r="N489" s="84" t="n"/>
      <c r="O489" s="84" t="n"/>
      <c r="P489" s="84" t="n"/>
      <c r="Q489" s="84" t="n"/>
      <c r="R489" s="84" t="n"/>
      <c r="S489" s="84" t="n"/>
      <c r="T489" s="84" t="n"/>
      <c r="U489" s="84" t="n"/>
      <c r="V489" s="84" t="n"/>
      <c r="W489" s="84" t="n"/>
      <c r="X489" s="84" t="n"/>
      <c r="Y489" s="84" t="n"/>
      <c r="Z489" s="84" t="n"/>
      <c r="AA489" s="84" t="n"/>
      <c r="AB489" s="84" t="n"/>
      <c r="AC489" s="84" t="n"/>
      <c r="AD489" s="84" t="n"/>
    </row>
    <row r="490" ht="30" customHeight="1" s="176">
      <c r="A490" s="122" t="inlineStr">
        <is>
          <t>Talla Calzado MX – Mujer (con ancho)</t>
        </is>
      </c>
      <c r="B490" s="123" t="n">
        <v>23</v>
      </c>
      <c r="C490" s="123" t="inlineStr">
        <is>
          <t>6 FS</t>
        </is>
      </c>
      <c r="D490" s="122" t="inlineStr">
        <is>
          <t>Igual regla</t>
        </is>
      </c>
      <c r="E490" s="183" t="n"/>
      <c r="F490" s="84" t="n"/>
      <c r="G490" s="84" t="n"/>
      <c r="H490" s="84" t="n"/>
      <c r="I490" s="84" t="n"/>
      <c r="J490" s="84" t="n"/>
      <c r="K490" s="84" t="n"/>
      <c r="L490" s="84" t="n"/>
      <c r="M490" s="84" t="n"/>
      <c r="N490" s="84" t="n"/>
      <c r="O490" s="84" t="n"/>
      <c r="P490" s="84" t="n"/>
      <c r="Q490" s="84" t="n"/>
      <c r="R490" s="84" t="n"/>
      <c r="S490" s="84" t="n"/>
      <c r="T490" s="84" t="n"/>
      <c r="U490" s="84" t="n"/>
      <c r="V490" s="84" t="n"/>
      <c r="W490" s="84" t="n"/>
      <c r="X490" s="84" t="n"/>
      <c r="Y490" s="84" t="n"/>
      <c r="Z490" s="84" t="n"/>
      <c r="AA490" s="84" t="n"/>
      <c r="AB490" s="84" t="n"/>
      <c r="AC490" s="84" t="n"/>
      <c r="AD490" s="84" t="n"/>
    </row>
    <row r="491" ht="30" customHeight="1" s="176">
      <c r="A491" s="122" t="inlineStr">
        <is>
          <t>Talla Calzado MX – Mujer (con ancho)</t>
        </is>
      </c>
      <c r="B491" s="123" t="n">
        <v>23</v>
      </c>
      <c r="C491" s="123" t="inlineStr">
        <is>
          <t>6 RM</t>
        </is>
      </c>
      <c r="D491" s="122" t="inlineStr">
        <is>
          <t>Igual regla</t>
        </is>
      </c>
      <c r="E491" s="183" t="n"/>
      <c r="F491" s="84" t="n"/>
      <c r="G491" s="84" t="n"/>
      <c r="H491" s="84" t="n"/>
      <c r="I491" s="84" t="n"/>
      <c r="J491" s="84" t="n"/>
      <c r="K491" s="84" t="n"/>
      <c r="L491" s="84" t="n"/>
      <c r="M491" s="84" t="n"/>
      <c r="N491" s="84" t="n"/>
      <c r="O491" s="84" t="n"/>
      <c r="P491" s="84" t="n"/>
      <c r="Q491" s="84" t="n"/>
      <c r="R491" s="84" t="n"/>
      <c r="S491" s="84" t="n"/>
      <c r="T491" s="84" t="n"/>
      <c r="U491" s="84" t="n"/>
      <c r="V491" s="84" t="n"/>
      <c r="W491" s="84" t="n"/>
      <c r="X491" s="84" t="n"/>
      <c r="Y491" s="84" t="n"/>
      <c r="Z491" s="84" t="n"/>
      <c r="AA491" s="84" t="n"/>
      <c r="AB491" s="84" t="n"/>
      <c r="AC491" s="84" t="n"/>
      <c r="AD491" s="84" t="n"/>
    </row>
    <row r="492" ht="30" customHeight="1" s="176">
      <c r="A492" s="122" t="inlineStr">
        <is>
          <t>Talla Calzado MX – Mujer (con ancho)</t>
        </is>
      </c>
      <c r="B492" s="123" t="n">
        <v>23</v>
      </c>
      <c r="C492" s="123" t="inlineStr">
        <is>
          <t>6 RS</t>
        </is>
      </c>
      <c r="D492" s="122" t="inlineStr">
        <is>
          <t>Igual regla</t>
        </is>
      </c>
      <c r="E492" s="183" t="n"/>
      <c r="F492" s="84" t="n"/>
      <c r="G492" s="84" t="n"/>
      <c r="H492" s="84" t="n"/>
      <c r="I492" s="84" t="n"/>
      <c r="J492" s="84" t="n"/>
      <c r="K492" s="84" t="n"/>
      <c r="L492" s="84" t="n"/>
      <c r="M492" s="84" t="n"/>
      <c r="N492" s="84" t="n"/>
      <c r="O492" s="84" t="n"/>
      <c r="P492" s="84" t="n"/>
      <c r="Q492" s="84" t="n"/>
      <c r="R492" s="84" t="n"/>
      <c r="S492" s="84" t="n"/>
      <c r="T492" s="84" t="n"/>
      <c r="U492" s="84" t="n"/>
      <c r="V492" s="84" t="n"/>
      <c r="W492" s="84" t="n"/>
      <c r="X492" s="84" t="n"/>
      <c r="Y492" s="84" t="n"/>
      <c r="Z492" s="84" t="n"/>
      <c r="AA492" s="84" t="n"/>
      <c r="AB492" s="84" t="n"/>
      <c r="AC492" s="84" t="n"/>
      <c r="AD492" s="84" t="n"/>
    </row>
    <row r="493" ht="30" customHeight="1" s="176">
      <c r="A493" s="122" t="inlineStr">
        <is>
          <t>Talla Calzado MX – Mujer (con ancho)</t>
        </is>
      </c>
      <c r="B493" s="123" t="n">
        <v>23</v>
      </c>
      <c r="C493" s="123" t="inlineStr">
        <is>
          <t>6 SM</t>
        </is>
      </c>
      <c r="D493" s="122" t="inlineStr">
        <is>
          <t>Igual regla</t>
        </is>
      </c>
      <c r="E493" s="183" t="n"/>
      <c r="F493" s="84" t="n"/>
      <c r="G493" s="84" t="n"/>
      <c r="H493" s="84" t="n"/>
      <c r="I493" s="84" t="n"/>
      <c r="J493" s="84" t="n"/>
      <c r="K493" s="84" t="n"/>
      <c r="L493" s="84" t="n"/>
      <c r="M493" s="84" t="n"/>
      <c r="N493" s="84" t="n"/>
      <c r="O493" s="84" t="n"/>
      <c r="P493" s="84" t="n"/>
      <c r="Q493" s="84" t="n"/>
      <c r="R493" s="84" t="n"/>
      <c r="S493" s="84" t="n"/>
      <c r="T493" s="84" t="n"/>
      <c r="U493" s="84" t="n"/>
      <c r="V493" s="84" t="n"/>
      <c r="W493" s="84" t="n"/>
      <c r="X493" s="84" t="n"/>
      <c r="Y493" s="84" t="n"/>
      <c r="Z493" s="84" t="n"/>
      <c r="AA493" s="84" t="n"/>
      <c r="AB493" s="84" t="n"/>
      <c r="AC493" s="84" t="n"/>
      <c r="AD493" s="84" t="n"/>
    </row>
    <row r="494" ht="30" customHeight="1" s="176">
      <c r="A494" s="122" t="inlineStr">
        <is>
          <t>Talla Calzado MX – Mujer (con ancho)</t>
        </is>
      </c>
      <c r="B494" s="123" t="n">
        <v>23</v>
      </c>
      <c r="C494" s="123" t="inlineStr">
        <is>
          <t>6 SS</t>
        </is>
      </c>
      <c r="D494" s="122" t="inlineStr">
        <is>
          <t>Igual regla</t>
        </is>
      </c>
      <c r="E494" s="183" t="n"/>
      <c r="F494" s="84" t="n"/>
      <c r="G494" s="84" t="n"/>
      <c r="H494" s="84" t="n"/>
      <c r="I494" s="84" t="n"/>
      <c r="J494" s="84" t="n"/>
      <c r="K494" s="84" t="n"/>
      <c r="L494" s="84" t="n"/>
      <c r="M494" s="84" t="n"/>
      <c r="N494" s="84" t="n"/>
      <c r="O494" s="84" t="n"/>
      <c r="P494" s="84" t="n"/>
      <c r="Q494" s="84" t="n"/>
      <c r="R494" s="84" t="n"/>
      <c r="S494" s="84" t="n"/>
      <c r="T494" s="84" t="n"/>
      <c r="U494" s="84" t="n"/>
      <c r="V494" s="84" t="n"/>
      <c r="W494" s="84" t="n"/>
      <c r="X494" s="84" t="n"/>
      <c r="Y494" s="84" t="n"/>
      <c r="Z494" s="84" t="n"/>
      <c r="AA494" s="84" t="n"/>
      <c r="AB494" s="84" t="n"/>
      <c r="AC494" s="84" t="n"/>
      <c r="AD494" s="84" t="n"/>
    </row>
    <row r="495" ht="30" customHeight="1" s="176">
      <c r="A495" s="122" t="inlineStr">
        <is>
          <t>Talla Calzado MX – Mujer (con ancho)</t>
        </is>
      </c>
      <c r="B495" s="123" t="n">
        <v>23</v>
      </c>
      <c r="C495" s="123" t="inlineStr">
        <is>
          <t>6 ST</t>
        </is>
      </c>
      <c r="D495" s="122" t="inlineStr">
        <is>
          <t>Igual regla</t>
        </is>
      </c>
      <c r="E495" s="183" t="n"/>
      <c r="F495" s="84" t="n"/>
      <c r="G495" s="84" t="n"/>
      <c r="H495" s="84" t="n"/>
      <c r="I495" s="84" t="n"/>
      <c r="J495" s="84" t="n"/>
      <c r="K495" s="84" t="n"/>
      <c r="L495" s="84" t="n"/>
      <c r="M495" s="84" t="n"/>
      <c r="N495" s="84" t="n"/>
      <c r="O495" s="84" t="n"/>
      <c r="P495" s="84" t="n"/>
      <c r="Q495" s="84" t="n"/>
      <c r="R495" s="84" t="n"/>
      <c r="S495" s="84" t="n"/>
      <c r="T495" s="84" t="n"/>
      <c r="U495" s="84" t="n"/>
      <c r="V495" s="84" t="n"/>
      <c r="W495" s="84" t="n"/>
      <c r="X495" s="84" t="n"/>
      <c r="Y495" s="84" t="n"/>
      <c r="Z495" s="84" t="n"/>
      <c r="AA495" s="84" t="n"/>
      <c r="AB495" s="84" t="n"/>
      <c r="AC495" s="84" t="n"/>
      <c r="AD495" s="84" t="n"/>
    </row>
    <row r="496" ht="30" customHeight="1" s="176">
      <c r="A496" s="122" t="inlineStr">
        <is>
          <t>Talla Calzado MX – Mujer (con ancho)</t>
        </is>
      </c>
      <c r="B496" s="123" t="n">
        <v>23</v>
      </c>
      <c r="C496" s="123" t="inlineStr">
        <is>
          <t>6 WS</t>
        </is>
      </c>
      <c r="D496" s="122" t="inlineStr">
        <is>
          <t>Igual regla</t>
        </is>
      </c>
      <c r="E496" s="183" t="n"/>
      <c r="F496" s="84" t="n"/>
      <c r="G496" s="84" t="n"/>
      <c r="H496" s="84" t="n"/>
      <c r="I496" s="84" t="n"/>
      <c r="J496" s="84" t="n"/>
      <c r="K496" s="84" t="n"/>
      <c r="L496" s="84" t="n"/>
      <c r="M496" s="84" t="n"/>
      <c r="N496" s="84" t="n"/>
      <c r="O496" s="84" t="n"/>
      <c r="P496" s="84" t="n"/>
      <c r="Q496" s="84" t="n"/>
      <c r="R496" s="84" t="n"/>
      <c r="S496" s="84" t="n"/>
      <c r="T496" s="84" t="n"/>
      <c r="U496" s="84" t="n"/>
      <c r="V496" s="84" t="n"/>
      <c r="W496" s="84" t="n"/>
      <c r="X496" s="84" t="n"/>
      <c r="Y496" s="84" t="n"/>
      <c r="Z496" s="84" t="n"/>
      <c r="AA496" s="84" t="n"/>
      <c r="AB496" s="84" t="n"/>
      <c r="AC496" s="84" t="n"/>
      <c r="AD496" s="84" t="n"/>
    </row>
    <row r="497" ht="30" customHeight="1" s="176">
      <c r="A497" s="122" t="inlineStr">
        <is>
          <t>Talla Calzado MX – Mujer (con ancho)</t>
        </is>
      </c>
      <c r="B497" s="123" t="n">
        <v>23</v>
      </c>
      <c r="C497" s="123" t="inlineStr">
        <is>
          <t>6 XSM</t>
        </is>
      </c>
      <c r="D497" s="122" t="inlineStr">
        <is>
          <t>Igual regla</t>
        </is>
      </c>
      <c r="E497" s="183" t="n"/>
      <c r="F497" s="84" t="n"/>
      <c r="G497" s="84" t="n"/>
      <c r="H497" s="84" t="n"/>
      <c r="I497" s="84" t="n"/>
      <c r="J497" s="84" t="n"/>
      <c r="K497" s="84" t="n"/>
      <c r="L497" s="84" t="n"/>
      <c r="M497" s="84" t="n"/>
      <c r="N497" s="84" t="n"/>
      <c r="O497" s="84" t="n"/>
      <c r="P497" s="84" t="n"/>
      <c r="Q497" s="84" t="n"/>
      <c r="R497" s="84" t="n"/>
      <c r="S497" s="84" t="n"/>
      <c r="T497" s="84" t="n"/>
      <c r="U497" s="84" t="n"/>
      <c r="V497" s="84" t="n"/>
      <c r="W497" s="84" t="n"/>
      <c r="X497" s="84" t="n"/>
      <c r="Y497" s="84" t="n"/>
      <c r="Z497" s="84" t="n"/>
      <c r="AA497" s="84" t="n"/>
      <c r="AB497" s="84" t="n"/>
      <c r="AC497" s="84" t="n"/>
      <c r="AD497" s="84" t="n"/>
    </row>
    <row r="498" ht="30" customHeight="1" s="176">
      <c r="A498" s="122" t="inlineStr">
        <is>
          <t>Talla Calzado MX – Mujer (con ancho)</t>
        </is>
      </c>
      <c r="B498" s="123" t="n">
        <v>23.5</v>
      </c>
      <c r="C498" s="123" t="inlineStr">
        <is>
          <t>6.5 B</t>
        </is>
      </c>
      <c r="D498" s="122" t="inlineStr">
        <is>
          <t>Igual regla</t>
        </is>
      </c>
      <c r="E498" s="183" t="n"/>
      <c r="F498" s="84" t="n"/>
      <c r="G498" s="84" t="n"/>
      <c r="H498" s="84" t="n"/>
      <c r="I498" s="84" t="n"/>
      <c r="J498" s="84" t="n"/>
      <c r="K498" s="84" t="n"/>
      <c r="L498" s="84" t="n"/>
      <c r="M498" s="84" t="n"/>
      <c r="N498" s="84" t="n"/>
      <c r="O498" s="84" t="n"/>
      <c r="P498" s="84" t="n"/>
      <c r="Q498" s="84" t="n"/>
      <c r="R498" s="84" t="n"/>
      <c r="S498" s="84" t="n"/>
      <c r="T498" s="84" t="n"/>
      <c r="U498" s="84" t="n"/>
      <c r="V498" s="84" t="n"/>
      <c r="W498" s="84" t="n"/>
      <c r="X498" s="84" t="n"/>
      <c r="Y498" s="84" t="n"/>
      <c r="Z498" s="84" t="n"/>
      <c r="AA498" s="84" t="n"/>
      <c r="AB498" s="84" t="n"/>
      <c r="AC498" s="84" t="n"/>
      <c r="AD498" s="84" t="n"/>
    </row>
    <row r="499" ht="30" customHeight="1" s="176">
      <c r="A499" s="122" t="inlineStr">
        <is>
          <t>Talla Calzado MX – Mujer (con ancho)</t>
        </is>
      </c>
      <c r="B499" s="123" t="n">
        <v>23.5</v>
      </c>
      <c r="C499" s="123" t="inlineStr">
        <is>
          <t>6.5 C</t>
        </is>
      </c>
      <c r="D499" s="122" t="inlineStr">
        <is>
          <t>Igual regla</t>
        </is>
      </c>
      <c r="E499" s="183" t="n"/>
      <c r="F499" s="84" t="n"/>
      <c r="G499" s="84" t="n"/>
      <c r="H499" s="84" t="n"/>
      <c r="I499" s="84" t="n"/>
      <c r="J499" s="84" t="n"/>
      <c r="K499" s="84" t="n"/>
      <c r="L499" s="84" t="n"/>
      <c r="M499" s="84" t="n"/>
      <c r="N499" s="84" t="n"/>
      <c r="O499" s="84" t="n"/>
      <c r="P499" s="84" t="n"/>
      <c r="Q499" s="84" t="n"/>
      <c r="R499" s="84" t="n"/>
      <c r="S499" s="84" t="n"/>
      <c r="T499" s="84" t="n"/>
      <c r="U499" s="84" t="n"/>
      <c r="V499" s="84" t="n"/>
      <c r="W499" s="84" t="n"/>
      <c r="X499" s="84" t="n"/>
      <c r="Y499" s="84" t="n"/>
      <c r="Z499" s="84" t="n"/>
      <c r="AA499" s="84" t="n"/>
      <c r="AB499" s="84" t="n"/>
      <c r="AC499" s="84" t="n"/>
      <c r="AD499" s="84" t="n"/>
    </row>
    <row r="500" ht="30" customHeight="1" s="176">
      <c r="A500" s="122" t="inlineStr">
        <is>
          <t>Talla Calzado MX – Mujer (con ancho)</t>
        </is>
      </c>
      <c r="B500" s="123" t="n">
        <v>23.5</v>
      </c>
      <c r="C500" s="123" t="inlineStr">
        <is>
          <t>6.5 FM</t>
        </is>
      </c>
      <c r="D500" s="122" t="inlineStr">
        <is>
          <t>Igual regla</t>
        </is>
      </c>
      <c r="E500" s="183" t="n"/>
      <c r="F500" s="84" t="n"/>
      <c r="G500" s="84" t="n"/>
      <c r="H500" s="84" t="n"/>
      <c r="I500" s="84" t="n"/>
      <c r="J500" s="84" t="n"/>
      <c r="K500" s="84" t="n"/>
      <c r="L500" s="84" t="n"/>
      <c r="M500" s="84" t="n"/>
      <c r="N500" s="84" t="n"/>
      <c r="O500" s="84" t="n"/>
      <c r="P500" s="84" t="n"/>
      <c r="Q500" s="84" t="n"/>
      <c r="R500" s="84" t="n"/>
      <c r="S500" s="84" t="n"/>
      <c r="T500" s="84" t="n"/>
      <c r="U500" s="84" t="n"/>
      <c r="V500" s="84" t="n"/>
      <c r="W500" s="84" t="n"/>
      <c r="X500" s="84" t="n"/>
      <c r="Y500" s="84" t="n"/>
      <c r="Z500" s="84" t="n"/>
      <c r="AA500" s="84" t="n"/>
      <c r="AB500" s="84" t="n"/>
      <c r="AC500" s="84" t="n"/>
      <c r="AD500" s="84" t="n"/>
    </row>
    <row r="501" ht="30" customHeight="1" s="176">
      <c r="A501" s="122" t="inlineStr">
        <is>
          <t>Talla Calzado MX – Mujer (con ancho)</t>
        </is>
      </c>
      <c r="B501" s="123" t="n">
        <v>23.5</v>
      </c>
      <c r="C501" s="123" t="inlineStr">
        <is>
          <t>6.5 FS</t>
        </is>
      </c>
      <c r="D501" s="122" t="inlineStr">
        <is>
          <t>Igual regla</t>
        </is>
      </c>
      <c r="E501" s="183" t="n"/>
      <c r="F501" s="84" t="n"/>
      <c r="G501" s="84" t="n"/>
      <c r="H501" s="84" t="n"/>
      <c r="I501" s="84" t="n"/>
      <c r="J501" s="84" t="n"/>
      <c r="K501" s="84" t="n"/>
      <c r="L501" s="84" t="n"/>
      <c r="M501" s="84" t="n"/>
      <c r="N501" s="84" t="n"/>
      <c r="O501" s="84" t="n"/>
      <c r="P501" s="84" t="n"/>
      <c r="Q501" s="84" t="n"/>
      <c r="R501" s="84" t="n"/>
      <c r="S501" s="84" t="n"/>
      <c r="T501" s="84" t="n"/>
      <c r="U501" s="84" t="n"/>
      <c r="V501" s="84" t="n"/>
      <c r="W501" s="84" t="n"/>
      <c r="X501" s="84" t="n"/>
      <c r="Y501" s="84" t="n"/>
      <c r="Z501" s="84" t="n"/>
      <c r="AA501" s="84" t="n"/>
      <c r="AB501" s="84" t="n"/>
      <c r="AC501" s="84" t="n"/>
      <c r="AD501" s="84" t="n"/>
    </row>
    <row r="502" ht="30" customHeight="1" s="176">
      <c r="A502" s="122" t="inlineStr">
        <is>
          <t>Talla Calzado MX – Mujer (con ancho)</t>
        </is>
      </c>
      <c r="B502" s="123" t="n">
        <v>23.5</v>
      </c>
      <c r="C502" s="123" t="inlineStr">
        <is>
          <t>6.5 RM</t>
        </is>
      </c>
      <c r="D502" s="122" t="inlineStr">
        <is>
          <t>Igual regla</t>
        </is>
      </c>
      <c r="E502" s="183" t="n"/>
      <c r="F502" s="84" t="n"/>
      <c r="G502" s="84" t="n"/>
      <c r="H502" s="84" t="n"/>
      <c r="I502" s="84" t="n"/>
      <c r="J502" s="84" t="n"/>
      <c r="K502" s="84" t="n"/>
      <c r="L502" s="84" t="n"/>
      <c r="M502" s="84" t="n"/>
      <c r="N502" s="84" t="n"/>
      <c r="O502" s="84" t="n"/>
      <c r="P502" s="84" t="n"/>
      <c r="Q502" s="84" t="n"/>
      <c r="R502" s="84" t="n"/>
      <c r="S502" s="84" t="n"/>
      <c r="T502" s="84" t="n"/>
      <c r="U502" s="84" t="n"/>
      <c r="V502" s="84" t="n"/>
      <c r="W502" s="84" t="n"/>
      <c r="X502" s="84" t="n"/>
      <c r="Y502" s="84" t="n"/>
      <c r="Z502" s="84" t="n"/>
      <c r="AA502" s="84" t="n"/>
      <c r="AB502" s="84" t="n"/>
      <c r="AC502" s="84" t="n"/>
      <c r="AD502" s="84" t="n"/>
    </row>
    <row r="503" ht="30" customHeight="1" s="176">
      <c r="A503" s="122" t="inlineStr">
        <is>
          <t>Talla Calzado MX – Mujer (con ancho)</t>
        </is>
      </c>
      <c r="B503" s="123" t="n">
        <v>23.5</v>
      </c>
      <c r="C503" s="123" t="inlineStr">
        <is>
          <t>6.5 RS</t>
        </is>
      </c>
      <c r="D503" s="122" t="inlineStr">
        <is>
          <t>Igual regla</t>
        </is>
      </c>
      <c r="E503" s="183" t="n"/>
      <c r="F503" s="84" t="n"/>
      <c r="G503" s="84" t="n"/>
      <c r="H503" s="84" t="n"/>
      <c r="I503" s="84" t="n"/>
      <c r="J503" s="84" t="n"/>
      <c r="K503" s="84" t="n"/>
      <c r="L503" s="84" t="n"/>
      <c r="M503" s="84" t="n"/>
      <c r="N503" s="84" t="n"/>
      <c r="O503" s="84" t="n"/>
      <c r="P503" s="84" t="n"/>
      <c r="Q503" s="84" t="n"/>
      <c r="R503" s="84" t="n"/>
      <c r="S503" s="84" t="n"/>
      <c r="T503" s="84" t="n"/>
      <c r="U503" s="84" t="n"/>
      <c r="V503" s="84" t="n"/>
      <c r="W503" s="84" t="n"/>
      <c r="X503" s="84" t="n"/>
      <c r="Y503" s="84" t="n"/>
      <c r="Z503" s="84" t="n"/>
      <c r="AA503" s="84" t="n"/>
      <c r="AB503" s="84" t="n"/>
      <c r="AC503" s="84" t="n"/>
      <c r="AD503" s="84" t="n"/>
    </row>
    <row r="504" ht="30" customHeight="1" s="176">
      <c r="A504" s="122" t="inlineStr">
        <is>
          <t>Talla Calzado MX – Mujer (con ancho)</t>
        </is>
      </c>
      <c r="B504" s="123" t="n">
        <v>23.5</v>
      </c>
      <c r="C504" s="123" t="inlineStr">
        <is>
          <t>6.5 SM</t>
        </is>
      </c>
      <c r="D504" s="122" t="inlineStr">
        <is>
          <t>Igual regla</t>
        </is>
      </c>
      <c r="E504" s="183" t="n"/>
      <c r="F504" s="84" t="n"/>
      <c r="G504" s="84" t="n"/>
      <c r="H504" s="84" t="n"/>
      <c r="I504" s="84" t="n"/>
      <c r="J504" s="84" t="n"/>
      <c r="K504" s="84" t="n"/>
      <c r="L504" s="84" t="n"/>
      <c r="M504" s="84" t="n"/>
      <c r="N504" s="84" t="n"/>
      <c r="O504" s="84" t="n"/>
      <c r="P504" s="84" t="n"/>
      <c r="Q504" s="84" t="n"/>
      <c r="R504" s="84" t="n"/>
      <c r="S504" s="84" t="n"/>
      <c r="T504" s="84" t="n"/>
      <c r="U504" s="84" t="n"/>
      <c r="V504" s="84" t="n"/>
      <c r="W504" s="84" t="n"/>
      <c r="X504" s="84" t="n"/>
      <c r="Y504" s="84" t="n"/>
      <c r="Z504" s="84" t="n"/>
      <c r="AA504" s="84" t="n"/>
      <c r="AB504" s="84" t="n"/>
      <c r="AC504" s="84" t="n"/>
      <c r="AD504" s="84" t="n"/>
    </row>
    <row r="505" ht="30" customHeight="1" s="176">
      <c r="A505" s="122" t="inlineStr">
        <is>
          <t>Talla Calzado MX – Mujer (con ancho)</t>
        </is>
      </c>
      <c r="B505" s="123" t="n">
        <v>23.5</v>
      </c>
      <c r="C505" s="123" t="inlineStr">
        <is>
          <t>6.5 SS</t>
        </is>
      </c>
      <c r="D505" s="122" t="inlineStr">
        <is>
          <t>Igual regla</t>
        </is>
      </c>
      <c r="E505" s="183" t="n"/>
      <c r="F505" s="84" t="n"/>
      <c r="G505" s="84" t="n"/>
      <c r="H505" s="84" t="n"/>
      <c r="I505" s="84" t="n"/>
      <c r="J505" s="84" t="n"/>
      <c r="K505" s="84" t="n"/>
      <c r="L505" s="84" t="n"/>
      <c r="M505" s="84" t="n"/>
      <c r="N505" s="84" t="n"/>
      <c r="O505" s="84" t="n"/>
      <c r="P505" s="84" t="n"/>
      <c r="Q505" s="84" t="n"/>
      <c r="R505" s="84" t="n"/>
      <c r="S505" s="84" t="n"/>
      <c r="T505" s="84" t="n"/>
      <c r="U505" s="84" t="n"/>
      <c r="V505" s="84" t="n"/>
      <c r="W505" s="84" t="n"/>
      <c r="X505" s="84" t="n"/>
      <c r="Y505" s="84" t="n"/>
      <c r="Z505" s="84" t="n"/>
      <c r="AA505" s="84" t="n"/>
      <c r="AB505" s="84" t="n"/>
      <c r="AC505" s="84" t="n"/>
      <c r="AD505" s="84" t="n"/>
    </row>
    <row r="506" ht="30" customHeight="1" s="176">
      <c r="A506" s="122" t="inlineStr">
        <is>
          <t>Talla Calzado MX – Mujer (con ancho)</t>
        </is>
      </c>
      <c r="B506" s="123" t="n">
        <v>23.5</v>
      </c>
      <c r="C506" s="123" t="inlineStr">
        <is>
          <t>6.5 ST</t>
        </is>
      </c>
      <c r="D506" s="122" t="inlineStr">
        <is>
          <t>Igual regla</t>
        </is>
      </c>
      <c r="E506" s="183" t="n"/>
      <c r="F506" s="84" t="n"/>
      <c r="G506" s="84" t="n"/>
      <c r="H506" s="84" t="n"/>
      <c r="I506" s="84" t="n"/>
      <c r="J506" s="84" t="n"/>
      <c r="K506" s="84" t="n"/>
      <c r="L506" s="84" t="n"/>
      <c r="M506" s="84" t="n"/>
      <c r="N506" s="84" t="n"/>
      <c r="O506" s="84" t="n"/>
      <c r="P506" s="84" t="n"/>
      <c r="Q506" s="84" t="n"/>
      <c r="R506" s="84" t="n"/>
      <c r="S506" s="84" t="n"/>
      <c r="T506" s="84" t="n"/>
      <c r="U506" s="84" t="n"/>
      <c r="V506" s="84" t="n"/>
      <c r="W506" s="84" t="n"/>
      <c r="X506" s="84" t="n"/>
      <c r="Y506" s="84" t="n"/>
      <c r="Z506" s="84" t="n"/>
      <c r="AA506" s="84" t="n"/>
      <c r="AB506" s="84" t="n"/>
      <c r="AC506" s="84" t="n"/>
      <c r="AD506" s="84" t="n"/>
    </row>
    <row r="507" ht="30" customHeight="1" s="176">
      <c r="A507" s="122" t="inlineStr">
        <is>
          <t>Talla Calzado MX – Mujer (con ancho)</t>
        </is>
      </c>
      <c r="B507" s="123" t="n">
        <v>23.5</v>
      </c>
      <c r="C507" s="123" t="inlineStr">
        <is>
          <t>6.5 WS</t>
        </is>
      </c>
      <c r="D507" s="122" t="inlineStr">
        <is>
          <t>Igual regla</t>
        </is>
      </c>
      <c r="E507" s="183" t="n"/>
      <c r="F507" s="84" t="n"/>
      <c r="G507" s="84" t="n"/>
      <c r="H507" s="84" t="n"/>
      <c r="I507" s="84" t="n"/>
      <c r="J507" s="84" t="n"/>
      <c r="K507" s="84" t="n"/>
      <c r="L507" s="84" t="n"/>
      <c r="M507" s="84" t="n"/>
      <c r="N507" s="84" t="n"/>
      <c r="O507" s="84" t="n"/>
      <c r="P507" s="84" t="n"/>
      <c r="Q507" s="84" t="n"/>
      <c r="R507" s="84" t="n"/>
      <c r="S507" s="84" t="n"/>
      <c r="T507" s="84" t="n"/>
      <c r="U507" s="84" t="n"/>
      <c r="V507" s="84" t="n"/>
      <c r="W507" s="84" t="n"/>
      <c r="X507" s="84" t="n"/>
      <c r="Y507" s="84" t="n"/>
      <c r="Z507" s="84" t="n"/>
      <c r="AA507" s="84" t="n"/>
      <c r="AB507" s="84" t="n"/>
      <c r="AC507" s="84" t="n"/>
      <c r="AD507" s="84" t="n"/>
    </row>
    <row r="508" ht="30" customHeight="1" s="176">
      <c r="A508" s="122" t="inlineStr">
        <is>
          <t>Talla Calzado MX – Mujer (con ancho)</t>
        </is>
      </c>
      <c r="B508" s="123" t="n">
        <v>23.5</v>
      </c>
      <c r="C508" s="123" t="inlineStr">
        <is>
          <t>6.5 XSM</t>
        </is>
      </c>
      <c r="D508" s="122" t="inlineStr">
        <is>
          <t>Igual regla</t>
        </is>
      </c>
      <c r="E508" s="183" t="n"/>
      <c r="F508" s="84" t="n"/>
      <c r="G508" s="84" t="n"/>
      <c r="H508" s="84" t="n"/>
      <c r="I508" s="84" t="n"/>
      <c r="J508" s="84" t="n"/>
      <c r="K508" s="84" t="n"/>
      <c r="L508" s="84" t="n"/>
      <c r="M508" s="84" t="n"/>
      <c r="N508" s="84" t="n"/>
      <c r="O508" s="84" t="n"/>
      <c r="P508" s="84" t="n"/>
      <c r="Q508" s="84" t="n"/>
      <c r="R508" s="84" t="n"/>
      <c r="S508" s="84" t="n"/>
      <c r="T508" s="84" t="n"/>
      <c r="U508" s="84" t="n"/>
      <c r="V508" s="84" t="n"/>
      <c r="W508" s="84" t="n"/>
      <c r="X508" s="84" t="n"/>
      <c r="Y508" s="84" t="n"/>
      <c r="Z508" s="84" t="n"/>
      <c r="AA508" s="84" t="n"/>
      <c r="AB508" s="84" t="n"/>
      <c r="AC508" s="84" t="n"/>
      <c r="AD508" s="84" t="n"/>
    </row>
    <row r="509" ht="30" customHeight="1" s="176">
      <c r="A509" s="122" t="inlineStr">
        <is>
          <t>Talla Calzado MX – Mujer (con ancho)</t>
        </is>
      </c>
      <c r="B509" s="123" t="n">
        <v>24</v>
      </c>
      <c r="C509" s="123" t="inlineStr">
        <is>
          <t>7 B</t>
        </is>
      </c>
      <c r="D509" s="122" t="inlineStr">
        <is>
          <t>Igual regla</t>
        </is>
      </c>
      <c r="E509" s="183" t="n"/>
      <c r="F509" s="84" t="n"/>
      <c r="G509" s="84" t="n"/>
      <c r="H509" s="84" t="n"/>
      <c r="I509" s="84" t="n"/>
      <c r="J509" s="84" t="n"/>
      <c r="K509" s="84" t="n"/>
      <c r="L509" s="84" t="n"/>
      <c r="M509" s="84" t="n"/>
      <c r="N509" s="84" t="n"/>
      <c r="O509" s="84" t="n"/>
      <c r="P509" s="84" t="n"/>
      <c r="Q509" s="84" t="n"/>
      <c r="R509" s="84" t="n"/>
      <c r="S509" s="84" t="n"/>
      <c r="T509" s="84" t="n"/>
      <c r="U509" s="84" t="n"/>
      <c r="V509" s="84" t="n"/>
      <c r="W509" s="84" t="n"/>
      <c r="X509" s="84" t="n"/>
      <c r="Y509" s="84" t="n"/>
      <c r="Z509" s="84" t="n"/>
      <c r="AA509" s="84" t="n"/>
      <c r="AB509" s="84" t="n"/>
      <c r="AC509" s="84" t="n"/>
      <c r="AD509" s="84" t="n"/>
    </row>
    <row r="510" ht="30" customHeight="1" s="176">
      <c r="A510" s="122" t="inlineStr">
        <is>
          <t>Talla Calzado MX – Mujer (con ancho)</t>
        </is>
      </c>
      <c r="B510" s="123" t="n">
        <v>24</v>
      </c>
      <c r="C510" s="123" t="inlineStr">
        <is>
          <t>7 C</t>
        </is>
      </c>
      <c r="D510" s="122" t="inlineStr">
        <is>
          <t>Igual regla</t>
        </is>
      </c>
      <c r="E510" s="183" t="n"/>
      <c r="F510" s="84" t="n"/>
      <c r="G510" s="84" t="n"/>
      <c r="H510" s="84" t="n"/>
      <c r="I510" s="84" t="n"/>
      <c r="J510" s="84" t="n"/>
      <c r="K510" s="84" t="n"/>
      <c r="L510" s="84" t="n"/>
      <c r="M510" s="84" t="n"/>
      <c r="N510" s="84" t="n"/>
      <c r="O510" s="84" t="n"/>
      <c r="P510" s="84" t="n"/>
      <c r="Q510" s="84" t="n"/>
      <c r="R510" s="84" t="n"/>
      <c r="S510" s="84" t="n"/>
      <c r="T510" s="84" t="n"/>
      <c r="U510" s="84" t="n"/>
      <c r="V510" s="84" t="n"/>
      <c r="W510" s="84" t="n"/>
      <c r="X510" s="84" t="n"/>
      <c r="Y510" s="84" t="n"/>
      <c r="Z510" s="84" t="n"/>
      <c r="AA510" s="84" t="n"/>
      <c r="AB510" s="84" t="n"/>
      <c r="AC510" s="84" t="n"/>
      <c r="AD510" s="84" t="n"/>
    </row>
    <row r="511" ht="30" customHeight="1" s="176">
      <c r="A511" s="122" t="inlineStr">
        <is>
          <t>Talla Calzado MX – Mujer (con ancho)</t>
        </is>
      </c>
      <c r="B511" s="123" t="n">
        <v>24</v>
      </c>
      <c r="C511" s="123" t="inlineStr">
        <is>
          <t>7 FM</t>
        </is>
      </c>
      <c r="D511" s="122" t="inlineStr">
        <is>
          <t>Igual regla</t>
        </is>
      </c>
      <c r="E511" s="183" t="n"/>
      <c r="F511" s="84" t="n"/>
      <c r="G511" s="84" t="n"/>
      <c r="H511" s="84" t="n"/>
      <c r="I511" s="84" t="n"/>
      <c r="J511" s="84" t="n"/>
      <c r="K511" s="84" t="n"/>
      <c r="L511" s="84" t="n"/>
      <c r="M511" s="84" t="n"/>
      <c r="N511" s="84" t="n"/>
      <c r="O511" s="84" t="n"/>
      <c r="P511" s="84" t="n"/>
      <c r="Q511" s="84" t="n"/>
      <c r="R511" s="84" t="n"/>
      <c r="S511" s="84" t="n"/>
      <c r="T511" s="84" t="n"/>
      <c r="U511" s="84" t="n"/>
      <c r="V511" s="84" t="n"/>
      <c r="W511" s="84" t="n"/>
      <c r="X511" s="84" t="n"/>
      <c r="Y511" s="84" t="n"/>
      <c r="Z511" s="84" t="n"/>
      <c r="AA511" s="84" t="n"/>
      <c r="AB511" s="84" t="n"/>
      <c r="AC511" s="84" t="n"/>
      <c r="AD511" s="84" t="n"/>
    </row>
    <row r="512" ht="30" customHeight="1" s="176">
      <c r="A512" s="122" t="inlineStr">
        <is>
          <t>Talla Calzado MX – Mujer (con ancho)</t>
        </is>
      </c>
      <c r="B512" s="123" t="n">
        <v>24</v>
      </c>
      <c r="C512" s="123" t="inlineStr">
        <is>
          <t>7 FS</t>
        </is>
      </c>
      <c r="D512" s="122" t="inlineStr">
        <is>
          <t>Igual regla</t>
        </is>
      </c>
      <c r="E512" s="183" t="n"/>
      <c r="F512" s="84" t="n"/>
      <c r="G512" s="84" t="n"/>
      <c r="H512" s="84" t="n"/>
      <c r="I512" s="84" t="n"/>
      <c r="J512" s="84" t="n"/>
      <c r="K512" s="84" t="n"/>
      <c r="L512" s="84" t="n"/>
      <c r="M512" s="84" t="n"/>
      <c r="N512" s="84" t="n"/>
      <c r="O512" s="84" t="n"/>
      <c r="P512" s="84" t="n"/>
      <c r="Q512" s="84" t="n"/>
      <c r="R512" s="84" t="n"/>
      <c r="S512" s="84" t="n"/>
      <c r="T512" s="84" t="n"/>
      <c r="U512" s="84" t="n"/>
      <c r="V512" s="84" t="n"/>
      <c r="W512" s="84" t="n"/>
      <c r="X512" s="84" t="n"/>
      <c r="Y512" s="84" t="n"/>
      <c r="Z512" s="84" t="n"/>
      <c r="AA512" s="84" t="n"/>
      <c r="AB512" s="84" t="n"/>
      <c r="AC512" s="84" t="n"/>
      <c r="AD512" s="84" t="n"/>
    </row>
    <row r="513" ht="30" customHeight="1" s="176">
      <c r="A513" s="122" t="inlineStr">
        <is>
          <t>Talla Calzado MX – Mujer (con ancho)</t>
        </is>
      </c>
      <c r="B513" s="123" t="n">
        <v>24</v>
      </c>
      <c r="C513" s="123" t="inlineStr">
        <is>
          <t>7 FT</t>
        </is>
      </c>
      <c r="D513" s="122" t="inlineStr">
        <is>
          <t>Igual regla</t>
        </is>
      </c>
      <c r="E513" s="183" t="n"/>
      <c r="F513" s="84" t="n"/>
      <c r="G513" s="84" t="n"/>
      <c r="H513" s="84" t="n"/>
      <c r="I513" s="84" t="n"/>
      <c r="J513" s="84" t="n"/>
      <c r="K513" s="84" t="n"/>
      <c r="L513" s="84" t="n"/>
      <c r="M513" s="84" t="n"/>
      <c r="N513" s="84" t="n"/>
      <c r="O513" s="84" t="n"/>
      <c r="P513" s="84" t="n"/>
      <c r="Q513" s="84" t="n"/>
      <c r="R513" s="84" t="n"/>
      <c r="S513" s="84" t="n"/>
      <c r="T513" s="84" t="n"/>
      <c r="U513" s="84" t="n"/>
      <c r="V513" s="84" t="n"/>
      <c r="W513" s="84" t="n"/>
      <c r="X513" s="84" t="n"/>
      <c r="Y513" s="84" t="n"/>
      <c r="Z513" s="84" t="n"/>
      <c r="AA513" s="84" t="n"/>
      <c r="AB513" s="84" t="n"/>
      <c r="AC513" s="84" t="n"/>
      <c r="AD513" s="84" t="n"/>
    </row>
    <row r="514" ht="30" customHeight="1" s="176">
      <c r="A514" s="122" t="inlineStr">
        <is>
          <t>Talla Calzado MX – Mujer (con ancho)</t>
        </is>
      </c>
      <c r="B514" s="123" t="n">
        <v>24</v>
      </c>
      <c r="C514" s="123" t="inlineStr">
        <is>
          <t>7 RM</t>
        </is>
      </c>
      <c r="D514" s="122" t="inlineStr">
        <is>
          <t>Igual regla</t>
        </is>
      </c>
      <c r="E514" s="183" t="n"/>
      <c r="F514" s="84" t="n"/>
      <c r="G514" s="84" t="n"/>
      <c r="H514" s="84" t="n"/>
      <c r="I514" s="84" t="n"/>
      <c r="J514" s="84" t="n"/>
      <c r="K514" s="84" t="n"/>
      <c r="L514" s="84" t="n"/>
      <c r="M514" s="84" t="n"/>
      <c r="N514" s="84" t="n"/>
      <c r="O514" s="84" t="n"/>
      <c r="P514" s="84" t="n"/>
      <c r="Q514" s="84" t="n"/>
      <c r="R514" s="84" t="n"/>
      <c r="S514" s="84" t="n"/>
      <c r="T514" s="84" t="n"/>
      <c r="U514" s="84" t="n"/>
      <c r="V514" s="84" t="n"/>
      <c r="W514" s="84" t="n"/>
      <c r="X514" s="84" t="n"/>
      <c r="Y514" s="84" t="n"/>
      <c r="Z514" s="84" t="n"/>
      <c r="AA514" s="84" t="n"/>
      <c r="AB514" s="84" t="n"/>
      <c r="AC514" s="84" t="n"/>
      <c r="AD514" s="84" t="n"/>
    </row>
    <row r="515" ht="30" customHeight="1" s="176">
      <c r="A515" s="122" t="inlineStr">
        <is>
          <t>Talla Calzado MX – Mujer (con ancho)</t>
        </is>
      </c>
      <c r="B515" s="123" t="n">
        <v>24</v>
      </c>
      <c r="C515" s="123" t="inlineStr">
        <is>
          <t>7 RS</t>
        </is>
      </c>
      <c r="D515" s="122" t="inlineStr">
        <is>
          <t>Igual regla</t>
        </is>
      </c>
      <c r="E515" s="183" t="n"/>
      <c r="F515" s="84" t="n"/>
      <c r="G515" s="84" t="n"/>
      <c r="H515" s="84" t="n"/>
      <c r="I515" s="84" t="n"/>
      <c r="J515" s="84" t="n"/>
      <c r="K515" s="84" t="n"/>
      <c r="L515" s="84" t="n"/>
      <c r="M515" s="84" t="n"/>
      <c r="N515" s="84" t="n"/>
      <c r="O515" s="84" t="n"/>
      <c r="P515" s="84" t="n"/>
      <c r="Q515" s="84" t="n"/>
      <c r="R515" s="84" t="n"/>
      <c r="S515" s="84" t="n"/>
      <c r="T515" s="84" t="n"/>
      <c r="U515" s="84" t="n"/>
      <c r="V515" s="84" t="n"/>
      <c r="W515" s="84" t="n"/>
      <c r="X515" s="84" t="n"/>
      <c r="Y515" s="84" t="n"/>
      <c r="Z515" s="84" t="n"/>
      <c r="AA515" s="84" t="n"/>
      <c r="AB515" s="84" t="n"/>
      <c r="AC515" s="84" t="n"/>
      <c r="AD515" s="84" t="n"/>
    </row>
    <row r="516" ht="30" customHeight="1" s="176">
      <c r="A516" s="122" t="inlineStr">
        <is>
          <t>Talla Calzado MX – Mujer (con ancho)</t>
        </is>
      </c>
      <c r="B516" s="123" t="n">
        <v>24</v>
      </c>
      <c r="C516" s="123" t="inlineStr">
        <is>
          <t>7 RT</t>
        </is>
      </c>
      <c r="D516" s="122" t="inlineStr">
        <is>
          <t>Igual regla</t>
        </is>
      </c>
      <c r="E516" s="183" t="n"/>
      <c r="F516" s="84" t="n"/>
      <c r="G516" s="84" t="n"/>
      <c r="H516" s="84" t="n"/>
      <c r="I516" s="84" t="n"/>
      <c r="J516" s="84" t="n"/>
      <c r="K516" s="84" t="n"/>
      <c r="L516" s="84" t="n"/>
      <c r="M516" s="84" t="n"/>
      <c r="N516" s="84" t="n"/>
      <c r="O516" s="84" t="n"/>
      <c r="P516" s="84" t="n"/>
      <c r="Q516" s="84" t="n"/>
      <c r="R516" s="84" t="n"/>
      <c r="S516" s="84" t="n"/>
      <c r="T516" s="84" t="n"/>
      <c r="U516" s="84" t="n"/>
      <c r="V516" s="84" t="n"/>
      <c r="W516" s="84" t="n"/>
      <c r="X516" s="84" t="n"/>
      <c r="Y516" s="84" t="n"/>
      <c r="Z516" s="84" t="n"/>
      <c r="AA516" s="84" t="n"/>
      <c r="AB516" s="84" t="n"/>
      <c r="AC516" s="84" t="n"/>
      <c r="AD516" s="84" t="n"/>
    </row>
    <row r="517" ht="30" customHeight="1" s="176">
      <c r="A517" s="122" t="inlineStr">
        <is>
          <t>Talla Calzado MX – Mujer (con ancho)</t>
        </is>
      </c>
      <c r="B517" s="123" t="n">
        <v>24</v>
      </c>
      <c r="C517" s="123" t="inlineStr">
        <is>
          <t>7 SM</t>
        </is>
      </c>
      <c r="D517" s="122" t="inlineStr">
        <is>
          <t>Igual regla</t>
        </is>
      </c>
      <c r="E517" s="183" t="n"/>
      <c r="F517" s="84" t="n"/>
      <c r="G517" s="84" t="n"/>
      <c r="H517" s="84" t="n"/>
      <c r="I517" s="84" t="n"/>
      <c r="J517" s="84" t="n"/>
      <c r="K517" s="84" t="n"/>
      <c r="L517" s="84" t="n"/>
      <c r="M517" s="84" t="n"/>
      <c r="N517" s="84" t="n"/>
      <c r="O517" s="84" t="n"/>
      <c r="P517" s="84" t="n"/>
      <c r="Q517" s="84" t="n"/>
      <c r="R517" s="84" t="n"/>
      <c r="S517" s="84" t="n"/>
      <c r="T517" s="84" t="n"/>
      <c r="U517" s="84" t="n"/>
      <c r="V517" s="84" t="n"/>
      <c r="W517" s="84" t="n"/>
      <c r="X517" s="84" t="n"/>
      <c r="Y517" s="84" t="n"/>
      <c r="Z517" s="84" t="n"/>
      <c r="AA517" s="84" t="n"/>
      <c r="AB517" s="84" t="n"/>
      <c r="AC517" s="84" t="n"/>
      <c r="AD517" s="84" t="n"/>
    </row>
    <row r="518" ht="30" customHeight="1" s="176">
      <c r="A518" s="122" t="inlineStr">
        <is>
          <t>Talla Calzado MX – Mujer (con ancho)</t>
        </is>
      </c>
      <c r="B518" s="123" t="n">
        <v>24</v>
      </c>
      <c r="C518" s="123" t="inlineStr">
        <is>
          <t>7 SS</t>
        </is>
      </c>
      <c r="D518" s="122" t="inlineStr">
        <is>
          <t>Igual regla</t>
        </is>
      </c>
      <c r="E518" s="183" t="n"/>
      <c r="F518" s="84" t="n"/>
      <c r="G518" s="84" t="n"/>
      <c r="H518" s="84" t="n"/>
      <c r="I518" s="84" t="n"/>
      <c r="J518" s="84" t="n"/>
      <c r="K518" s="84" t="n"/>
      <c r="L518" s="84" t="n"/>
      <c r="M518" s="84" t="n"/>
      <c r="N518" s="84" t="n"/>
      <c r="O518" s="84" t="n"/>
      <c r="P518" s="84" t="n"/>
      <c r="Q518" s="84" t="n"/>
      <c r="R518" s="84" t="n"/>
      <c r="S518" s="84" t="n"/>
      <c r="T518" s="84" t="n"/>
      <c r="U518" s="84" t="n"/>
      <c r="V518" s="84" t="n"/>
      <c r="W518" s="84" t="n"/>
      <c r="X518" s="84" t="n"/>
      <c r="Y518" s="84" t="n"/>
      <c r="Z518" s="84" t="n"/>
      <c r="AA518" s="84" t="n"/>
      <c r="AB518" s="84" t="n"/>
      <c r="AC518" s="84" t="n"/>
      <c r="AD518" s="84" t="n"/>
    </row>
    <row r="519" ht="30" customHeight="1" s="176">
      <c r="A519" s="122" t="inlineStr">
        <is>
          <t>Talla Calzado MX – Mujer (con ancho)</t>
        </is>
      </c>
      <c r="B519" s="123" t="n">
        <v>24</v>
      </c>
      <c r="C519" s="123" t="inlineStr">
        <is>
          <t>7 ST</t>
        </is>
      </c>
      <c r="D519" s="122" t="inlineStr">
        <is>
          <t>Igual regla</t>
        </is>
      </c>
      <c r="E519" s="183" t="n"/>
      <c r="F519" s="84" t="n"/>
      <c r="G519" s="84" t="n"/>
      <c r="H519" s="84" t="n"/>
      <c r="I519" s="84" t="n"/>
      <c r="J519" s="84" t="n"/>
      <c r="K519" s="84" t="n"/>
      <c r="L519" s="84" t="n"/>
      <c r="M519" s="84" t="n"/>
      <c r="N519" s="84" t="n"/>
      <c r="O519" s="84" t="n"/>
      <c r="P519" s="84" t="n"/>
      <c r="Q519" s="84" t="n"/>
      <c r="R519" s="84" t="n"/>
      <c r="S519" s="84" t="n"/>
      <c r="T519" s="84" t="n"/>
      <c r="U519" s="84" t="n"/>
      <c r="V519" s="84" t="n"/>
      <c r="W519" s="84" t="n"/>
      <c r="X519" s="84" t="n"/>
      <c r="Y519" s="84" t="n"/>
      <c r="Z519" s="84" t="n"/>
      <c r="AA519" s="84" t="n"/>
      <c r="AB519" s="84" t="n"/>
      <c r="AC519" s="84" t="n"/>
      <c r="AD519" s="84" t="n"/>
    </row>
    <row r="520" ht="30" customHeight="1" s="176">
      <c r="A520" s="122" t="inlineStr">
        <is>
          <t>Talla Calzado MX – Mujer (con ancho)</t>
        </is>
      </c>
      <c r="B520" s="123" t="n">
        <v>24</v>
      </c>
      <c r="C520" s="123" t="inlineStr">
        <is>
          <t>7 WM</t>
        </is>
      </c>
      <c r="D520" s="122" t="inlineStr">
        <is>
          <t>Igual regla</t>
        </is>
      </c>
      <c r="E520" s="183" t="n"/>
      <c r="F520" s="84" t="n"/>
      <c r="G520" s="84" t="n"/>
      <c r="H520" s="84" t="n"/>
      <c r="I520" s="84" t="n"/>
      <c r="J520" s="84" t="n"/>
      <c r="K520" s="84" t="n"/>
      <c r="L520" s="84" t="n"/>
      <c r="M520" s="84" t="n"/>
      <c r="N520" s="84" t="n"/>
      <c r="O520" s="84" t="n"/>
      <c r="P520" s="84" t="n"/>
      <c r="Q520" s="84" t="n"/>
      <c r="R520" s="84" t="n"/>
      <c r="S520" s="84" t="n"/>
      <c r="T520" s="84" t="n"/>
      <c r="U520" s="84" t="n"/>
      <c r="V520" s="84" t="n"/>
      <c r="W520" s="84" t="n"/>
      <c r="X520" s="84" t="n"/>
      <c r="Y520" s="84" t="n"/>
      <c r="Z520" s="84" t="n"/>
      <c r="AA520" s="84" t="n"/>
      <c r="AB520" s="84" t="n"/>
      <c r="AC520" s="84" t="n"/>
      <c r="AD520" s="84" t="n"/>
    </row>
    <row r="521" ht="30" customHeight="1" s="176">
      <c r="A521" s="122" t="inlineStr">
        <is>
          <t>Talla Calzado MX – Mujer (con ancho)</t>
        </is>
      </c>
      <c r="B521" s="123" t="n">
        <v>24</v>
      </c>
      <c r="C521" s="123" t="inlineStr">
        <is>
          <t>7 WS</t>
        </is>
      </c>
      <c r="D521" s="122" t="inlineStr">
        <is>
          <t>Igual regla</t>
        </is>
      </c>
      <c r="E521" s="183" t="n"/>
      <c r="F521" s="84" t="n"/>
      <c r="G521" s="84" t="n"/>
      <c r="H521" s="84" t="n"/>
      <c r="I521" s="84" t="n"/>
      <c r="J521" s="84" t="n"/>
      <c r="K521" s="84" t="n"/>
      <c r="L521" s="84" t="n"/>
      <c r="M521" s="84" t="n"/>
      <c r="N521" s="84" t="n"/>
      <c r="O521" s="84" t="n"/>
      <c r="P521" s="84" t="n"/>
      <c r="Q521" s="84" t="n"/>
      <c r="R521" s="84" t="n"/>
      <c r="S521" s="84" t="n"/>
      <c r="T521" s="84" t="n"/>
      <c r="U521" s="84" t="n"/>
      <c r="V521" s="84" t="n"/>
      <c r="W521" s="84" t="n"/>
      <c r="X521" s="84" t="n"/>
      <c r="Y521" s="84" t="n"/>
      <c r="Z521" s="84" t="n"/>
      <c r="AA521" s="84" t="n"/>
      <c r="AB521" s="84" t="n"/>
      <c r="AC521" s="84" t="n"/>
      <c r="AD521" s="84" t="n"/>
    </row>
    <row r="522" ht="30" customHeight="1" s="176">
      <c r="A522" s="122" t="inlineStr">
        <is>
          <t>Talla Calzado MX – Mujer (con ancho)</t>
        </is>
      </c>
      <c r="B522" s="123" t="n">
        <v>24</v>
      </c>
      <c r="C522" s="123" t="inlineStr">
        <is>
          <t>7 XSM</t>
        </is>
      </c>
      <c r="D522" s="122" t="inlineStr">
        <is>
          <t>Igual regla</t>
        </is>
      </c>
      <c r="E522" s="183" t="n"/>
      <c r="F522" s="84" t="n"/>
      <c r="G522" s="84" t="n"/>
      <c r="H522" s="84" t="n"/>
      <c r="I522" s="84" t="n"/>
      <c r="J522" s="84" t="n"/>
      <c r="K522" s="84" t="n"/>
      <c r="L522" s="84" t="n"/>
      <c r="M522" s="84" t="n"/>
      <c r="N522" s="84" t="n"/>
      <c r="O522" s="84" t="n"/>
      <c r="P522" s="84" t="n"/>
      <c r="Q522" s="84" t="n"/>
      <c r="R522" s="84" t="n"/>
      <c r="S522" s="84" t="n"/>
      <c r="T522" s="84" t="n"/>
      <c r="U522" s="84" t="n"/>
      <c r="V522" s="84" t="n"/>
      <c r="W522" s="84" t="n"/>
      <c r="X522" s="84" t="n"/>
      <c r="Y522" s="84" t="n"/>
      <c r="Z522" s="84" t="n"/>
      <c r="AA522" s="84" t="n"/>
      <c r="AB522" s="84" t="n"/>
      <c r="AC522" s="84" t="n"/>
      <c r="AD522" s="84" t="n"/>
    </row>
    <row r="523" ht="30" customHeight="1" s="176">
      <c r="A523" s="122" t="inlineStr">
        <is>
          <t>Talla Calzado MX – Mujer (con ancho)</t>
        </is>
      </c>
      <c r="B523" s="123" t="n">
        <v>24</v>
      </c>
      <c r="C523" s="123" t="inlineStr">
        <is>
          <t>7 XST</t>
        </is>
      </c>
      <c r="D523" s="122" t="inlineStr">
        <is>
          <t>Igual regla</t>
        </is>
      </c>
      <c r="E523" s="183" t="n"/>
      <c r="F523" s="84" t="n"/>
      <c r="G523" s="84" t="n"/>
      <c r="H523" s="84" t="n"/>
      <c r="I523" s="84" t="n"/>
      <c r="J523" s="84" t="n"/>
      <c r="K523" s="84" t="n"/>
      <c r="L523" s="84" t="n"/>
      <c r="M523" s="84" t="n"/>
      <c r="N523" s="84" t="n"/>
      <c r="O523" s="84" t="n"/>
      <c r="P523" s="84" t="n"/>
      <c r="Q523" s="84" t="n"/>
      <c r="R523" s="84" t="n"/>
      <c r="S523" s="84" t="n"/>
      <c r="T523" s="84" t="n"/>
      <c r="U523" s="84" t="n"/>
      <c r="V523" s="84" t="n"/>
      <c r="W523" s="84" t="n"/>
      <c r="X523" s="84" t="n"/>
      <c r="Y523" s="84" t="n"/>
      <c r="Z523" s="84" t="n"/>
      <c r="AA523" s="84" t="n"/>
      <c r="AB523" s="84" t="n"/>
      <c r="AC523" s="84" t="n"/>
      <c r="AD523" s="84" t="n"/>
    </row>
    <row r="524" ht="30" customHeight="1" s="176">
      <c r="A524" s="122" t="inlineStr">
        <is>
          <t>Talla Calzado MX – Mujer (con ancho)</t>
        </is>
      </c>
      <c r="B524" s="123" t="n">
        <v>24.5</v>
      </c>
      <c r="C524" s="123" t="inlineStr">
        <is>
          <t>7.5 B</t>
        </is>
      </c>
      <c r="D524" s="122" t="inlineStr">
        <is>
          <t>Igual regla</t>
        </is>
      </c>
      <c r="E524" s="183" t="n"/>
      <c r="F524" s="84" t="n"/>
      <c r="G524" s="84" t="n"/>
      <c r="H524" s="84" t="n"/>
      <c r="I524" s="84" t="n"/>
      <c r="J524" s="84" t="n"/>
      <c r="K524" s="84" t="n"/>
      <c r="L524" s="84" t="n"/>
      <c r="M524" s="84" t="n"/>
      <c r="N524" s="84" t="n"/>
      <c r="O524" s="84" t="n"/>
      <c r="P524" s="84" t="n"/>
      <c r="Q524" s="84" t="n"/>
      <c r="R524" s="84" t="n"/>
      <c r="S524" s="84" t="n"/>
      <c r="T524" s="84" t="n"/>
      <c r="U524" s="84" t="n"/>
      <c r="V524" s="84" t="n"/>
      <c r="W524" s="84" t="n"/>
      <c r="X524" s="84" t="n"/>
      <c r="Y524" s="84" t="n"/>
      <c r="Z524" s="84" t="n"/>
      <c r="AA524" s="84" t="n"/>
      <c r="AB524" s="84" t="n"/>
      <c r="AC524" s="84" t="n"/>
      <c r="AD524" s="84" t="n"/>
    </row>
    <row r="525" ht="30" customHeight="1" s="176">
      <c r="A525" s="122" t="inlineStr">
        <is>
          <t>Talla Calzado MX – Mujer (con ancho)</t>
        </is>
      </c>
      <c r="B525" s="123" t="n">
        <v>24.5</v>
      </c>
      <c r="C525" s="123" t="inlineStr">
        <is>
          <t>7.5 C</t>
        </is>
      </c>
      <c r="D525" s="122" t="inlineStr">
        <is>
          <t>Igual regla</t>
        </is>
      </c>
      <c r="E525" s="183" t="n"/>
      <c r="F525" s="84" t="n"/>
      <c r="G525" s="84" t="n"/>
      <c r="H525" s="84" t="n"/>
      <c r="I525" s="84" t="n"/>
      <c r="J525" s="84" t="n"/>
      <c r="K525" s="84" t="n"/>
      <c r="L525" s="84" t="n"/>
      <c r="M525" s="84" t="n"/>
      <c r="N525" s="84" t="n"/>
      <c r="O525" s="84" t="n"/>
      <c r="P525" s="84" t="n"/>
      <c r="Q525" s="84" t="n"/>
      <c r="R525" s="84" t="n"/>
      <c r="S525" s="84" t="n"/>
      <c r="T525" s="84" t="n"/>
      <c r="U525" s="84" t="n"/>
      <c r="V525" s="84" t="n"/>
      <c r="W525" s="84" t="n"/>
      <c r="X525" s="84" t="n"/>
      <c r="Y525" s="84" t="n"/>
      <c r="Z525" s="84" t="n"/>
      <c r="AA525" s="84" t="n"/>
      <c r="AB525" s="84" t="n"/>
      <c r="AC525" s="84" t="n"/>
      <c r="AD525" s="84" t="n"/>
    </row>
    <row r="526" ht="30" customHeight="1" s="176">
      <c r="A526" s="122" t="inlineStr">
        <is>
          <t>Talla Calzado MX – Mujer (con ancho)</t>
        </is>
      </c>
      <c r="B526" s="123" t="n">
        <v>24.5</v>
      </c>
      <c r="C526" s="123" t="inlineStr">
        <is>
          <t>7.5 FM</t>
        </is>
      </c>
      <c r="D526" s="122" t="inlineStr">
        <is>
          <t>Igual regla</t>
        </is>
      </c>
      <c r="E526" s="183" t="n"/>
      <c r="F526" s="84" t="n"/>
      <c r="G526" s="84" t="n"/>
      <c r="H526" s="84" t="n"/>
      <c r="I526" s="84" t="n"/>
      <c r="J526" s="84" t="n"/>
      <c r="K526" s="84" t="n"/>
      <c r="L526" s="84" t="n"/>
      <c r="M526" s="84" t="n"/>
      <c r="N526" s="84" t="n"/>
      <c r="O526" s="84" t="n"/>
      <c r="P526" s="84" t="n"/>
      <c r="Q526" s="84" t="n"/>
      <c r="R526" s="84" t="n"/>
      <c r="S526" s="84" t="n"/>
      <c r="T526" s="84" t="n"/>
      <c r="U526" s="84" t="n"/>
      <c r="V526" s="84" t="n"/>
      <c r="W526" s="84" t="n"/>
      <c r="X526" s="84" t="n"/>
      <c r="Y526" s="84" t="n"/>
      <c r="Z526" s="84" t="n"/>
      <c r="AA526" s="84" t="n"/>
      <c r="AB526" s="84" t="n"/>
      <c r="AC526" s="84" t="n"/>
      <c r="AD526" s="84" t="n"/>
    </row>
    <row r="527" ht="30" customHeight="1" s="176">
      <c r="A527" s="122" t="inlineStr">
        <is>
          <t>Talla Calzado MX – Mujer (con ancho)</t>
        </is>
      </c>
      <c r="B527" s="123" t="n">
        <v>24.5</v>
      </c>
      <c r="C527" s="123" t="inlineStr">
        <is>
          <t>7.5 FS</t>
        </is>
      </c>
      <c r="D527" s="122" t="inlineStr">
        <is>
          <t>Igual regla</t>
        </is>
      </c>
      <c r="E527" s="183" t="n"/>
      <c r="F527" s="84" t="n"/>
      <c r="G527" s="84" t="n"/>
      <c r="H527" s="84" t="n"/>
      <c r="I527" s="84" t="n"/>
      <c r="J527" s="84" t="n"/>
      <c r="K527" s="84" t="n"/>
      <c r="L527" s="84" t="n"/>
      <c r="M527" s="84" t="n"/>
      <c r="N527" s="84" t="n"/>
      <c r="O527" s="84" t="n"/>
      <c r="P527" s="84" t="n"/>
      <c r="Q527" s="84" t="n"/>
      <c r="R527" s="84" t="n"/>
      <c r="S527" s="84" t="n"/>
      <c r="T527" s="84" t="n"/>
      <c r="U527" s="84" t="n"/>
      <c r="V527" s="84" t="n"/>
      <c r="W527" s="84" t="n"/>
      <c r="X527" s="84" t="n"/>
      <c r="Y527" s="84" t="n"/>
      <c r="Z527" s="84" t="n"/>
      <c r="AA527" s="84" t="n"/>
      <c r="AB527" s="84" t="n"/>
      <c r="AC527" s="84" t="n"/>
      <c r="AD527" s="84" t="n"/>
    </row>
    <row r="528" ht="30" customHeight="1" s="176">
      <c r="A528" s="122" t="inlineStr">
        <is>
          <t>Talla Calzado MX – Mujer (con ancho)</t>
        </is>
      </c>
      <c r="B528" s="123" t="n">
        <v>24.5</v>
      </c>
      <c r="C528" s="123" t="inlineStr">
        <is>
          <t>7.5 FT</t>
        </is>
      </c>
      <c r="D528" s="122" t="inlineStr">
        <is>
          <t>Igual regla</t>
        </is>
      </c>
      <c r="E528" s="183" t="n"/>
      <c r="F528" s="84" t="n"/>
      <c r="G528" s="84" t="n"/>
      <c r="H528" s="84" t="n"/>
      <c r="I528" s="84" t="n"/>
      <c r="J528" s="84" t="n"/>
      <c r="K528" s="84" t="n"/>
      <c r="L528" s="84" t="n"/>
      <c r="M528" s="84" t="n"/>
      <c r="N528" s="84" t="n"/>
      <c r="O528" s="84" t="n"/>
      <c r="P528" s="84" t="n"/>
      <c r="Q528" s="84" t="n"/>
      <c r="R528" s="84" t="n"/>
      <c r="S528" s="84" t="n"/>
      <c r="T528" s="84" t="n"/>
      <c r="U528" s="84" t="n"/>
      <c r="V528" s="84" t="n"/>
      <c r="W528" s="84" t="n"/>
      <c r="X528" s="84" t="n"/>
      <c r="Y528" s="84" t="n"/>
      <c r="Z528" s="84" t="n"/>
      <c r="AA528" s="84" t="n"/>
      <c r="AB528" s="84" t="n"/>
      <c r="AC528" s="84" t="n"/>
      <c r="AD528" s="84" t="n"/>
    </row>
    <row r="529" ht="30" customHeight="1" s="176">
      <c r="A529" s="122" t="inlineStr">
        <is>
          <t>Talla Calzado MX – Mujer (con ancho)</t>
        </is>
      </c>
      <c r="B529" s="123" t="n">
        <v>24.5</v>
      </c>
      <c r="C529" s="123" t="inlineStr">
        <is>
          <t>7.5 RM</t>
        </is>
      </c>
      <c r="D529" s="122" t="inlineStr">
        <is>
          <t>Igual regla</t>
        </is>
      </c>
      <c r="E529" s="183" t="n"/>
      <c r="F529" s="84" t="n"/>
      <c r="G529" s="84" t="n"/>
      <c r="H529" s="84" t="n"/>
      <c r="I529" s="84" t="n"/>
      <c r="J529" s="84" t="n"/>
      <c r="K529" s="84" t="n"/>
      <c r="L529" s="84" t="n"/>
      <c r="M529" s="84" t="n"/>
      <c r="N529" s="84" t="n"/>
      <c r="O529" s="84" t="n"/>
      <c r="P529" s="84" t="n"/>
      <c r="Q529" s="84" t="n"/>
      <c r="R529" s="84" t="n"/>
      <c r="S529" s="84" t="n"/>
      <c r="T529" s="84" t="n"/>
      <c r="U529" s="84" t="n"/>
      <c r="V529" s="84" t="n"/>
      <c r="W529" s="84" t="n"/>
      <c r="X529" s="84" t="n"/>
      <c r="Y529" s="84" t="n"/>
      <c r="Z529" s="84" t="n"/>
      <c r="AA529" s="84" t="n"/>
      <c r="AB529" s="84" t="n"/>
      <c r="AC529" s="84" t="n"/>
      <c r="AD529" s="84" t="n"/>
    </row>
    <row r="530" ht="30" customHeight="1" s="176">
      <c r="A530" s="122" t="inlineStr">
        <is>
          <t>Talla Calzado MX – Mujer (con ancho)</t>
        </is>
      </c>
      <c r="B530" s="123" t="n">
        <v>24.5</v>
      </c>
      <c r="C530" s="123" t="inlineStr">
        <is>
          <t>7.5 RS</t>
        </is>
      </c>
      <c r="D530" s="122" t="inlineStr">
        <is>
          <t>Igual regla</t>
        </is>
      </c>
      <c r="E530" s="183" t="n"/>
      <c r="F530" s="84" t="n"/>
      <c r="G530" s="84" t="n"/>
      <c r="H530" s="84" t="n"/>
      <c r="I530" s="84" t="n"/>
      <c r="J530" s="84" t="n"/>
      <c r="K530" s="84" t="n"/>
      <c r="L530" s="84" t="n"/>
      <c r="M530" s="84" t="n"/>
      <c r="N530" s="84" t="n"/>
      <c r="O530" s="84" t="n"/>
      <c r="P530" s="84" t="n"/>
      <c r="Q530" s="84" t="n"/>
      <c r="R530" s="84" t="n"/>
      <c r="S530" s="84" t="n"/>
      <c r="T530" s="84" t="n"/>
      <c r="U530" s="84" t="n"/>
      <c r="V530" s="84" t="n"/>
      <c r="W530" s="84" t="n"/>
      <c r="X530" s="84" t="n"/>
      <c r="Y530" s="84" t="n"/>
      <c r="Z530" s="84" t="n"/>
      <c r="AA530" s="84" t="n"/>
      <c r="AB530" s="84" t="n"/>
      <c r="AC530" s="84" t="n"/>
      <c r="AD530" s="84" t="n"/>
    </row>
    <row r="531" ht="30" customHeight="1" s="176">
      <c r="A531" s="122" t="inlineStr">
        <is>
          <t>Talla Calzado MX – Mujer (con ancho)</t>
        </is>
      </c>
      <c r="B531" s="123" t="n">
        <v>24.5</v>
      </c>
      <c r="C531" s="123" t="inlineStr">
        <is>
          <t>7.5 RT</t>
        </is>
      </c>
      <c r="D531" s="122" t="inlineStr">
        <is>
          <t>Igual regla</t>
        </is>
      </c>
      <c r="E531" s="183" t="n"/>
      <c r="F531" s="84" t="n"/>
      <c r="G531" s="84" t="n"/>
      <c r="H531" s="84" t="n"/>
      <c r="I531" s="84" t="n"/>
      <c r="J531" s="84" t="n"/>
      <c r="K531" s="84" t="n"/>
      <c r="L531" s="84" t="n"/>
      <c r="M531" s="84" t="n"/>
      <c r="N531" s="84" t="n"/>
      <c r="O531" s="84" t="n"/>
      <c r="P531" s="84" t="n"/>
      <c r="Q531" s="84" t="n"/>
      <c r="R531" s="84" t="n"/>
      <c r="S531" s="84" t="n"/>
      <c r="T531" s="84" t="n"/>
      <c r="U531" s="84" t="n"/>
      <c r="V531" s="84" t="n"/>
      <c r="W531" s="84" t="n"/>
      <c r="X531" s="84" t="n"/>
      <c r="Y531" s="84" t="n"/>
      <c r="Z531" s="84" t="n"/>
      <c r="AA531" s="84" t="n"/>
      <c r="AB531" s="84" t="n"/>
      <c r="AC531" s="84" t="n"/>
      <c r="AD531" s="84" t="n"/>
    </row>
    <row r="532" ht="30" customHeight="1" s="176">
      <c r="A532" s="122" t="inlineStr">
        <is>
          <t>Talla Calzado MX – Mujer (con ancho)</t>
        </is>
      </c>
      <c r="B532" s="123" t="n">
        <v>24.5</v>
      </c>
      <c r="C532" s="123" t="inlineStr">
        <is>
          <t>7.5 SM</t>
        </is>
      </c>
      <c r="D532" s="122" t="inlineStr">
        <is>
          <t>Igual regla</t>
        </is>
      </c>
      <c r="E532" s="183" t="n"/>
      <c r="F532" s="84" t="n"/>
      <c r="G532" s="84" t="n"/>
      <c r="H532" s="84" t="n"/>
      <c r="I532" s="84" t="n"/>
      <c r="J532" s="84" t="n"/>
      <c r="K532" s="84" t="n"/>
      <c r="L532" s="84" t="n"/>
      <c r="M532" s="84" t="n"/>
      <c r="N532" s="84" t="n"/>
      <c r="O532" s="84" t="n"/>
      <c r="P532" s="84" t="n"/>
      <c r="Q532" s="84" t="n"/>
      <c r="R532" s="84" t="n"/>
      <c r="S532" s="84" t="n"/>
      <c r="T532" s="84" t="n"/>
      <c r="U532" s="84" t="n"/>
      <c r="V532" s="84" t="n"/>
      <c r="W532" s="84" t="n"/>
      <c r="X532" s="84" t="n"/>
      <c r="Y532" s="84" t="n"/>
      <c r="Z532" s="84" t="n"/>
      <c r="AA532" s="84" t="n"/>
      <c r="AB532" s="84" t="n"/>
      <c r="AC532" s="84" t="n"/>
      <c r="AD532" s="84" t="n"/>
    </row>
    <row r="533" ht="30" customHeight="1" s="176">
      <c r="A533" s="122" t="inlineStr">
        <is>
          <t>Talla Calzado MX – Mujer (con ancho)</t>
        </is>
      </c>
      <c r="B533" s="123" t="n">
        <v>24.5</v>
      </c>
      <c r="C533" s="123" t="inlineStr">
        <is>
          <t>7.5 SS</t>
        </is>
      </c>
      <c r="D533" s="122" t="inlineStr">
        <is>
          <t>Igual regla</t>
        </is>
      </c>
      <c r="E533" s="183" t="n"/>
      <c r="F533" s="84" t="n"/>
      <c r="G533" s="84" t="n"/>
      <c r="H533" s="84" t="n"/>
      <c r="I533" s="84" t="n"/>
      <c r="J533" s="84" t="n"/>
      <c r="K533" s="84" t="n"/>
      <c r="L533" s="84" t="n"/>
      <c r="M533" s="84" t="n"/>
      <c r="N533" s="84" t="n"/>
      <c r="O533" s="84" t="n"/>
      <c r="P533" s="84" t="n"/>
      <c r="Q533" s="84" t="n"/>
      <c r="R533" s="84" t="n"/>
      <c r="S533" s="84" t="n"/>
      <c r="T533" s="84" t="n"/>
      <c r="U533" s="84" t="n"/>
      <c r="V533" s="84" t="n"/>
      <c r="W533" s="84" t="n"/>
      <c r="X533" s="84" t="n"/>
      <c r="Y533" s="84" t="n"/>
      <c r="Z533" s="84" t="n"/>
      <c r="AA533" s="84" t="n"/>
      <c r="AB533" s="84" t="n"/>
      <c r="AC533" s="84" t="n"/>
      <c r="AD533" s="84" t="n"/>
    </row>
    <row r="534" ht="30" customHeight="1" s="176">
      <c r="A534" s="122" t="inlineStr">
        <is>
          <t>Talla Calzado MX – Mujer (con ancho)</t>
        </is>
      </c>
      <c r="B534" s="123" t="n">
        <v>24.5</v>
      </c>
      <c r="C534" s="123" t="inlineStr">
        <is>
          <t>7.5 ST</t>
        </is>
      </c>
      <c r="D534" s="122" t="inlineStr">
        <is>
          <t>Igual regla</t>
        </is>
      </c>
      <c r="E534" s="183" t="n"/>
      <c r="F534" s="84" t="n"/>
      <c r="G534" s="84" t="n"/>
      <c r="H534" s="84" t="n"/>
      <c r="I534" s="84" t="n"/>
      <c r="J534" s="84" t="n"/>
      <c r="K534" s="84" t="n"/>
      <c r="L534" s="84" t="n"/>
      <c r="M534" s="84" t="n"/>
      <c r="N534" s="84" t="n"/>
      <c r="O534" s="84" t="n"/>
      <c r="P534" s="84" t="n"/>
      <c r="Q534" s="84" t="n"/>
      <c r="R534" s="84" t="n"/>
      <c r="S534" s="84" t="n"/>
      <c r="T534" s="84" t="n"/>
      <c r="U534" s="84" t="n"/>
      <c r="V534" s="84" t="n"/>
      <c r="W534" s="84" t="n"/>
      <c r="X534" s="84" t="n"/>
      <c r="Y534" s="84" t="n"/>
      <c r="Z534" s="84" t="n"/>
      <c r="AA534" s="84" t="n"/>
      <c r="AB534" s="84" t="n"/>
      <c r="AC534" s="84" t="n"/>
      <c r="AD534" s="84" t="n"/>
    </row>
    <row r="535" ht="30" customHeight="1" s="176">
      <c r="A535" s="122" t="inlineStr">
        <is>
          <t>Talla Calzado MX – Mujer (con ancho)</t>
        </is>
      </c>
      <c r="B535" s="123" t="n">
        <v>24.5</v>
      </c>
      <c r="C535" s="123" t="inlineStr">
        <is>
          <t>7.5 WM</t>
        </is>
      </c>
      <c r="D535" s="122" t="inlineStr">
        <is>
          <t>Igual regla</t>
        </is>
      </c>
      <c r="E535" s="183" t="n"/>
      <c r="F535" s="84" t="n"/>
      <c r="G535" s="84" t="n"/>
      <c r="H535" s="84" t="n"/>
      <c r="I535" s="84" t="n"/>
      <c r="J535" s="84" t="n"/>
      <c r="K535" s="84" t="n"/>
      <c r="L535" s="84" t="n"/>
      <c r="M535" s="84" t="n"/>
      <c r="N535" s="84" t="n"/>
      <c r="O535" s="84" t="n"/>
      <c r="P535" s="84" t="n"/>
      <c r="Q535" s="84" t="n"/>
      <c r="R535" s="84" t="n"/>
      <c r="S535" s="84" t="n"/>
      <c r="T535" s="84" t="n"/>
      <c r="U535" s="84" t="n"/>
      <c r="V535" s="84" t="n"/>
      <c r="W535" s="84" t="n"/>
      <c r="X535" s="84" t="n"/>
      <c r="Y535" s="84" t="n"/>
      <c r="Z535" s="84" t="n"/>
      <c r="AA535" s="84" t="n"/>
      <c r="AB535" s="84" t="n"/>
      <c r="AC535" s="84" t="n"/>
      <c r="AD535" s="84" t="n"/>
    </row>
    <row r="536" ht="30" customHeight="1" s="176">
      <c r="A536" s="122" t="inlineStr">
        <is>
          <t>Talla Calzado MX – Mujer (con ancho)</t>
        </is>
      </c>
      <c r="B536" s="123" t="n">
        <v>24.5</v>
      </c>
      <c r="C536" s="123" t="inlineStr">
        <is>
          <t>7.5 WS</t>
        </is>
      </c>
      <c r="D536" s="122" t="inlineStr">
        <is>
          <t>Igual regla</t>
        </is>
      </c>
      <c r="E536" s="183" t="n"/>
      <c r="F536" s="84" t="n"/>
      <c r="G536" s="84" t="n"/>
      <c r="H536" s="84" t="n"/>
      <c r="I536" s="84" t="n"/>
      <c r="J536" s="84" t="n"/>
      <c r="K536" s="84" t="n"/>
      <c r="L536" s="84" t="n"/>
      <c r="M536" s="84" t="n"/>
      <c r="N536" s="84" t="n"/>
      <c r="O536" s="84" t="n"/>
      <c r="P536" s="84" t="n"/>
      <c r="Q536" s="84" t="n"/>
      <c r="R536" s="84" t="n"/>
      <c r="S536" s="84" t="n"/>
      <c r="T536" s="84" t="n"/>
      <c r="U536" s="84" t="n"/>
      <c r="V536" s="84" t="n"/>
      <c r="W536" s="84" t="n"/>
      <c r="X536" s="84" t="n"/>
      <c r="Y536" s="84" t="n"/>
      <c r="Z536" s="84" t="n"/>
      <c r="AA536" s="84" t="n"/>
      <c r="AB536" s="84" t="n"/>
      <c r="AC536" s="84" t="n"/>
      <c r="AD536" s="84" t="n"/>
    </row>
    <row r="537" ht="30" customHeight="1" s="176">
      <c r="A537" s="122" t="inlineStr">
        <is>
          <t>Talla Calzado MX – Mujer (con ancho)</t>
        </is>
      </c>
      <c r="B537" s="123" t="n">
        <v>24.5</v>
      </c>
      <c r="C537" s="123" t="inlineStr">
        <is>
          <t>7.5 XSM</t>
        </is>
      </c>
      <c r="D537" s="122" t="inlineStr">
        <is>
          <t>Igual regla</t>
        </is>
      </c>
      <c r="E537" s="183" t="n"/>
      <c r="F537" s="84" t="n"/>
      <c r="G537" s="84" t="n"/>
      <c r="H537" s="84" t="n"/>
      <c r="I537" s="84" t="n"/>
      <c r="J537" s="84" t="n"/>
      <c r="K537" s="84" t="n"/>
      <c r="L537" s="84" t="n"/>
      <c r="M537" s="84" t="n"/>
      <c r="N537" s="84" t="n"/>
      <c r="O537" s="84" t="n"/>
      <c r="P537" s="84" t="n"/>
      <c r="Q537" s="84" t="n"/>
      <c r="R537" s="84" t="n"/>
      <c r="S537" s="84" t="n"/>
      <c r="T537" s="84" t="n"/>
      <c r="U537" s="84" t="n"/>
      <c r="V537" s="84" t="n"/>
      <c r="W537" s="84" t="n"/>
      <c r="X537" s="84" t="n"/>
      <c r="Y537" s="84" t="n"/>
      <c r="Z537" s="84" t="n"/>
      <c r="AA537" s="84" t="n"/>
      <c r="AB537" s="84" t="n"/>
      <c r="AC537" s="84" t="n"/>
      <c r="AD537" s="84" t="n"/>
    </row>
    <row r="538" ht="30" customHeight="1" s="176">
      <c r="A538" s="122" t="inlineStr">
        <is>
          <t>Talla Calzado MX – Mujer (con ancho)</t>
        </is>
      </c>
      <c r="B538" s="123" t="n">
        <v>24.5</v>
      </c>
      <c r="C538" s="123" t="inlineStr">
        <is>
          <t>7.5 XST</t>
        </is>
      </c>
      <c r="D538" s="122" t="inlineStr">
        <is>
          <t>Igual regla</t>
        </is>
      </c>
      <c r="E538" s="183" t="n"/>
      <c r="F538" s="84" t="n"/>
      <c r="G538" s="84" t="n"/>
      <c r="H538" s="84" t="n"/>
      <c r="I538" s="84" t="n"/>
      <c r="J538" s="84" t="n"/>
      <c r="K538" s="84" t="n"/>
      <c r="L538" s="84" t="n"/>
      <c r="M538" s="84" t="n"/>
      <c r="N538" s="84" t="n"/>
      <c r="O538" s="84" t="n"/>
      <c r="P538" s="84" t="n"/>
      <c r="Q538" s="84" t="n"/>
      <c r="R538" s="84" t="n"/>
      <c r="S538" s="84" t="n"/>
      <c r="T538" s="84" t="n"/>
      <c r="U538" s="84" t="n"/>
      <c r="V538" s="84" t="n"/>
      <c r="W538" s="84" t="n"/>
      <c r="X538" s="84" t="n"/>
      <c r="Y538" s="84" t="n"/>
      <c r="Z538" s="84" t="n"/>
      <c r="AA538" s="84" t="n"/>
      <c r="AB538" s="84" t="n"/>
      <c r="AC538" s="84" t="n"/>
      <c r="AD538" s="84" t="n"/>
    </row>
    <row r="539" ht="30" customHeight="1" s="176">
      <c r="A539" s="122" t="inlineStr">
        <is>
          <t>Talla Calzado MX – Mujer (con ancho)</t>
        </is>
      </c>
      <c r="B539" s="123" t="n">
        <v>24.5</v>
      </c>
      <c r="C539" s="123" t="inlineStr">
        <is>
          <t>7.5 XWM</t>
        </is>
      </c>
      <c r="D539" s="122" t="inlineStr">
        <is>
          <t>Igual regla</t>
        </is>
      </c>
      <c r="E539" s="183" t="n"/>
      <c r="F539" s="84" t="n"/>
      <c r="G539" s="84" t="n"/>
      <c r="H539" s="84" t="n"/>
      <c r="I539" s="84" t="n"/>
      <c r="J539" s="84" t="n"/>
      <c r="K539" s="84" t="n"/>
      <c r="L539" s="84" t="n"/>
      <c r="M539" s="84" t="n"/>
      <c r="N539" s="84" t="n"/>
      <c r="O539" s="84" t="n"/>
      <c r="P539" s="84" t="n"/>
      <c r="Q539" s="84" t="n"/>
      <c r="R539" s="84" t="n"/>
      <c r="S539" s="84" t="n"/>
      <c r="T539" s="84" t="n"/>
      <c r="U539" s="84" t="n"/>
      <c r="V539" s="84" t="n"/>
      <c r="W539" s="84" t="n"/>
      <c r="X539" s="84" t="n"/>
      <c r="Y539" s="84" t="n"/>
      <c r="Z539" s="84" t="n"/>
      <c r="AA539" s="84" t="n"/>
      <c r="AB539" s="84" t="n"/>
      <c r="AC539" s="84" t="n"/>
      <c r="AD539" s="84" t="n"/>
    </row>
    <row r="540" ht="30" customHeight="1" s="176">
      <c r="A540" s="122" t="inlineStr">
        <is>
          <t>Talla Calzado MX – Mujer (con ancho)</t>
        </is>
      </c>
      <c r="B540" s="123" t="n">
        <v>25</v>
      </c>
      <c r="C540" s="123" t="inlineStr">
        <is>
          <t>8 B</t>
        </is>
      </c>
      <c r="D540" s="122" t="inlineStr">
        <is>
          <t>Igual regla</t>
        </is>
      </c>
      <c r="E540" s="183" t="n"/>
      <c r="F540" s="84" t="n"/>
      <c r="G540" s="84" t="n"/>
      <c r="H540" s="84" t="n"/>
      <c r="I540" s="84" t="n"/>
      <c r="J540" s="84" t="n"/>
      <c r="K540" s="84" t="n"/>
      <c r="L540" s="84" t="n"/>
      <c r="M540" s="84" t="n"/>
      <c r="N540" s="84" t="n"/>
      <c r="O540" s="84" t="n"/>
      <c r="P540" s="84" t="n"/>
      <c r="Q540" s="84" t="n"/>
      <c r="R540" s="84" t="n"/>
      <c r="S540" s="84" t="n"/>
      <c r="T540" s="84" t="n"/>
      <c r="U540" s="84" t="n"/>
      <c r="V540" s="84" t="n"/>
      <c r="W540" s="84" t="n"/>
      <c r="X540" s="84" t="n"/>
      <c r="Y540" s="84" t="n"/>
      <c r="Z540" s="84" t="n"/>
      <c r="AA540" s="84" t="n"/>
      <c r="AB540" s="84" t="n"/>
      <c r="AC540" s="84" t="n"/>
      <c r="AD540" s="84" t="n"/>
    </row>
    <row r="541" ht="30" customHeight="1" s="176">
      <c r="A541" s="122" t="inlineStr">
        <is>
          <t>Talla Calzado MX – Mujer (con ancho)</t>
        </is>
      </c>
      <c r="B541" s="123" t="n">
        <v>25</v>
      </c>
      <c r="C541" s="123" t="inlineStr">
        <is>
          <t>8 C</t>
        </is>
      </c>
      <c r="D541" s="122" t="inlineStr">
        <is>
          <t>Igual regla</t>
        </is>
      </c>
      <c r="E541" s="183" t="n"/>
      <c r="F541" s="84" t="n"/>
      <c r="G541" s="84" t="n"/>
      <c r="H541" s="84" t="n"/>
      <c r="I541" s="84" t="n"/>
      <c r="J541" s="84" t="n"/>
      <c r="K541" s="84" t="n"/>
      <c r="L541" s="84" t="n"/>
      <c r="M541" s="84" t="n"/>
      <c r="N541" s="84" t="n"/>
      <c r="O541" s="84" t="n"/>
      <c r="P541" s="84" t="n"/>
      <c r="Q541" s="84" t="n"/>
      <c r="R541" s="84" t="n"/>
      <c r="S541" s="84" t="n"/>
      <c r="T541" s="84" t="n"/>
      <c r="U541" s="84" t="n"/>
      <c r="V541" s="84" t="n"/>
      <c r="W541" s="84" t="n"/>
      <c r="X541" s="84" t="n"/>
      <c r="Y541" s="84" t="n"/>
      <c r="Z541" s="84" t="n"/>
      <c r="AA541" s="84" t="n"/>
      <c r="AB541" s="84" t="n"/>
      <c r="AC541" s="84" t="n"/>
      <c r="AD541" s="84" t="n"/>
    </row>
    <row r="542" ht="30" customHeight="1" s="176">
      <c r="A542" s="122" t="inlineStr">
        <is>
          <t>Talla Calzado MX – Mujer (con ancho)</t>
        </is>
      </c>
      <c r="B542" s="123" t="n">
        <v>25</v>
      </c>
      <c r="C542" s="123" t="inlineStr">
        <is>
          <t>8 FM</t>
        </is>
      </c>
      <c r="D542" s="122" t="inlineStr">
        <is>
          <t>Igual regla</t>
        </is>
      </c>
      <c r="E542" s="183" t="n"/>
      <c r="F542" s="84" t="n"/>
      <c r="G542" s="84" t="n"/>
      <c r="H542" s="84" t="n"/>
      <c r="I542" s="84" t="n"/>
      <c r="J542" s="84" t="n"/>
      <c r="K542" s="84" t="n"/>
      <c r="L542" s="84" t="n"/>
      <c r="M542" s="84" t="n"/>
      <c r="N542" s="84" t="n"/>
      <c r="O542" s="84" t="n"/>
      <c r="P542" s="84" t="n"/>
      <c r="Q542" s="84" t="n"/>
      <c r="R542" s="84" t="n"/>
      <c r="S542" s="84" t="n"/>
      <c r="T542" s="84" t="n"/>
      <c r="U542" s="84" t="n"/>
      <c r="V542" s="84" t="n"/>
      <c r="W542" s="84" t="n"/>
      <c r="X542" s="84" t="n"/>
      <c r="Y542" s="84" t="n"/>
      <c r="Z542" s="84" t="n"/>
      <c r="AA542" s="84" t="n"/>
      <c r="AB542" s="84" t="n"/>
      <c r="AC542" s="84" t="n"/>
      <c r="AD542" s="84" t="n"/>
    </row>
    <row r="543" ht="30" customHeight="1" s="176">
      <c r="A543" s="122" t="inlineStr">
        <is>
          <t>Talla Calzado MX – Mujer (con ancho)</t>
        </is>
      </c>
      <c r="B543" s="123" t="n">
        <v>25</v>
      </c>
      <c r="C543" s="123" t="inlineStr">
        <is>
          <t>8 FS</t>
        </is>
      </c>
      <c r="D543" s="122" t="inlineStr">
        <is>
          <t>Igual regla</t>
        </is>
      </c>
      <c r="E543" s="183" t="n"/>
      <c r="F543" s="84" t="n"/>
      <c r="G543" s="84" t="n"/>
      <c r="H543" s="84" t="n"/>
      <c r="I543" s="84" t="n"/>
      <c r="J543" s="84" t="n"/>
      <c r="K543" s="84" t="n"/>
      <c r="L543" s="84" t="n"/>
      <c r="M543" s="84" t="n"/>
      <c r="N543" s="84" t="n"/>
      <c r="O543" s="84" t="n"/>
      <c r="P543" s="84" t="n"/>
      <c r="Q543" s="84" t="n"/>
      <c r="R543" s="84" t="n"/>
      <c r="S543" s="84" t="n"/>
      <c r="T543" s="84" t="n"/>
      <c r="U543" s="84" t="n"/>
      <c r="V543" s="84" t="n"/>
      <c r="W543" s="84" t="n"/>
      <c r="X543" s="84" t="n"/>
      <c r="Y543" s="84" t="n"/>
      <c r="Z543" s="84" t="n"/>
      <c r="AA543" s="84" t="n"/>
      <c r="AB543" s="84" t="n"/>
      <c r="AC543" s="84" t="n"/>
      <c r="AD543" s="84" t="n"/>
    </row>
    <row r="544" ht="30" customHeight="1" s="176">
      <c r="A544" s="122" t="inlineStr">
        <is>
          <t>Talla Calzado MX – Mujer (con ancho)</t>
        </is>
      </c>
      <c r="B544" s="123" t="n">
        <v>25</v>
      </c>
      <c r="C544" s="123" t="inlineStr">
        <is>
          <t>8 FT</t>
        </is>
      </c>
      <c r="D544" s="122" t="inlineStr">
        <is>
          <t>Igual regla</t>
        </is>
      </c>
      <c r="E544" s="183" t="n"/>
      <c r="F544" s="84" t="n"/>
      <c r="G544" s="84" t="n"/>
      <c r="H544" s="84" t="n"/>
      <c r="I544" s="84" t="n"/>
      <c r="J544" s="84" t="n"/>
      <c r="K544" s="84" t="n"/>
      <c r="L544" s="84" t="n"/>
      <c r="M544" s="84" t="n"/>
      <c r="N544" s="84" t="n"/>
      <c r="O544" s="84" t="n"/>
      <c r="P544" s="84" t="n"/>
      <c r="Q544" s="84" t="n"/>
      <c r="R544" s="84" t="n"/>
      <c r="S544" s="84" t="n"/>
      <c r="T544" s="84" t="n"/>
      <c r="U544" s="84" t="n"/>
      <c r="V544" s="84" t="n"/>
      <c r="W544" s="84" t="n"/>
      <c r="X544" s="84" t="n"/>
      <c r="Y544" s="84" t="n"/>
      <c r="Z544" s="84" t="n"/>
      <c r="AA544" s="84" t="n"/>
      <c r="AB544" s="84" t="n"/>
      <c r="AC544" s="84" t="n"/>
      <c r="AD544" s="84" t="n"/>
    </row>
    <row r="545" ht="30" customHeight="1" s="176">
      <c r="A545" s="122" t="inlineStr">
        <is>
          <t>Talla Calzado MX – Mujer (con ancho)</t>
        </is>
      </c>
      <c r="B545" s="123" t="n">
        <v>25</v>
      </c>
      <c r="C545" s="123" t="inlineStr">
        <is>
          <t>8 RM</t>
        </is>
      </c>
      <c r="D545" s="122" t="inlineStr">
        <is>
          <t>Igual regla</t>
        </is>
      </c>
      <c r="E545" s="183" t="n"/>
      <c r="F545" s="84" t="n"/>
      <c r="G545" s="84" t="n"/>
      <c r="H545" s="84" t="n"/>
      <c r="I545" s="84" t="n"/>
      <c r="J545" s="84" t="n"/>
      <c r="K545" s="84" t="n"/>
      <c r="L545" s="84" t="n"/>
      <c r="M545" s="84" t="n"/>
      <c r="N545" s="84" t="n"/>
      <c r="O545" s="84" t="n"/>
      <c r="P545" s="84" t="n"/>
      <c r="Q545" s="84" t="n"/>
      <c r="R545" s="84" t="n"/>
      <c r="S545" s="84" t="n"/>
      <c r="T545" s="84" t="n"/>
      <c r="U545" s="84" t="n"/>
      <c r="V545" s="84" t="n"/>
      <c r="W545" s="84" t="n"/>
      <c r="X545" s="84" t="n"/>
      <c r="Y545" s="84" t="n"/>
      <c r="Z545" s="84" t="n"/>
      <c r="AA545" s="84" t="n"/>
      <c r="AB545" s="84" t="n"/>
      <c r="AC545" s="84" t="n"/>
      <c r="AD545" s="84" t="n"/>
    </row>
    <row r="546" ht="30" customHeight="1" s="176">
      <c r="A546" s="122" t="inlineStr">
        <is>
          <t>Talla Calzado MX – Mujer (con ancho)</t>
        </is>
      </c>
      <c r="B546" s="123" t="n">
        <v>25</v>
      </c>
      <c r="C546" s="123" t="inlineStr">
        <is>
          <t>8 RS</t>
        </is>
      </c>
      <c r="D546" s="122" t="inlineStr">
        <is>
          <t>Igual regla</t>
        </is>
      </c>
      <c r="E546" s="183" t="n"/>
      <c r="F546" s="84" t="n"/>
      <c r="G546" s="84" t="n"/>
      <c r="H546" s="84" t="n"/>
      <c r="I546" s="84" t="n"/>
      <c r="J546" s="84" t="n"/>
      <c r="K546" s="84" t="n"/>
      <c r="L546" s="84" t="n"/>
      <c r="M546" s="84" t="n"/>
      <c r="N546" s="84" t="n"/>
      <c r="O546" s="84" t="n"/>
      <c r="P546" s="84" t="n"/>
      <c r="Q546" s="84" t="n"/>
      <c r="R546" s="84" t="n"/>
      <c r="S546" s="84" t="n"/>
      <c r="T546" s="84" t="n"/>
      <c r="U546" s="84" t="n"/>
      <c r="V546" s="84" t="n"/>
      <c r="W546" s="84" t="n"/>
      <c r="X546" s="84" t="n"/>
      <c r="Y546" s="84" t="n"/>
      <c r="Z546" s="84" t="n"/>
      <c r="AA546" s="84" t="n"/>
      <c r="AB546" s="84" t="n"/>
      <c r="AC546" s="84" t="n"/>
      <c r="AD546" s="84" t="n"/>
    </row>
    <row r="547" ht="30" customHeight="1" s="176">
      <c r="A547" s="122" t="inlineStr">
        <is>
          <t>Talla Calzado MX – Mujer (con ancho)</t>
        </is>
      </c>
      <c r="B547" s="123" t="n">
        <v>25</v>
      </c>
      <c r="C547" s="123" t="inlineStr">
        <is>
          <t>8 RT</t>
        </is>
      </c>
      <c r="D547" s="122" t="inlineStr">
        <is>
          <t>Igual regla</t>
        </is>
      </c>
      <c r="E547" s="183" t="n"/>
      <c r="F547" s="84" t="n"/>
      <c r="G547" s="84" t="n"/>
      <c r="H547" s="84" t="n"/>
      <c r="I547" s="84" t="n"/>
      <c r="J547" s="84" t="n"/>
      <c r="K547" s="84" t="n"/>
      <c r="L547" s="84" t="n"/>
      <c r="M547" s="84" t="n"/>
      <c r="N547" s="84" t="n"/>
      <c r="O547" s="84" t="n"/>
      <c r="P547" s="84" t="n"/>
      <c r="Q547" s="84" t="n"/>
      <c r="R547" s="84" t="n"/>
      <c r="S547" s="84" t="n"/>
      <c r="T547" s="84" t="n"/>
      <c r="U547" s="84" t="n"/>
      <c r="V547" s="84" t="n"/>
      <c r="W547" s="84" t="n"/>
      <c r="X547" s="84" t="n"/>
      <c r="Y547" s="84" t="n"/>
      <c r="Z547" s="84" t="n"/>
      <c r="AA547" s="84" t="n"/>
      <c r="AB547" s="84" t="n"/>
      <c r="AC547" s="84" t="n"/>
      <c r="AD547" s="84" t="n"/>
    </row>
    <row r="548" ht="30" customHeight="1" s="176">
      <c r="A548" s="122" t="inlineStr">
        <is>
          <t>Talla Calzado MX – Mujer (con ancho)</t>
        </is>
      </c>
      <c r="B548" s="123" t="n">
        <v>25</v>
      </c>
      <c r="C548" s="123" t="inlineStr">
        <is>
          <t>8 SM</t>
        </is>
      </c>
      <c r="D548" s="122" t="inlineStr">
        <is>
          <t>Igual regla</t>
        </is>
      </c>
      <c r="E548" s="183" t="n"/>
      <c r="F548" s="84" t="n"/>
      <c r="G548" s="84" t="n"/>
      <c r="H548" s="84" t="n"/>
      <c r="I548" s="84" t="n"/>
      <c r="J548" s="84" t="n"/>
      <c r="K548" s="84" t="n"/>
      <c r="L548" s="84" t="n"/>
      <c r="M548" s="84" t="n"/>
      <c r="N548" s="84" t="n"/>
      <c r="O548" s="84" t="n"/>
      <c r="P548" s="84" t="n"/>
      <c r="Q548" s="84" t="n"/>
      <c r="R548" s="84" t="n"/>
      <c r="S548" s="84" t="n"/>
      <c r="T548" s="84" t="n"/>
      <c r="U548" s="84" t="n"/>
      <c r="V548" s="84" t="n"/>
      <c r="W548" s="84" t="n"/>
      <c r="X548" s="84" t="n"/>
      <c r="Y548" s="84" t="n"/>
      <c r="Z548" s="84" t="n"/>
      <c r="AA548" s="84" t="n"/>
      <c r="AB548" s="84" t="n"/>
      <c r="AC548" s="84" t="n"/>
      <c r="AD548" s="84" t="n"/>
    </row>
    <row r="549" ht="30" customHeight="1" s="176">
      <c r="A549" s="122" t="inlineStr">
        <is>
          <t>Talla Calzado MX – Mujer (con ancho)</t>
        </is>
      </c>
      <c r="B549" s="123" t="n">
        <v>25</v>
      </c>
      <c r="C549" s="123" t="inlineStr">
        <is>
          <t>8 SS</t>
        </is>
      </c>
      <c r="D549" s="122" t="inlineStr">
        <is>
          <t>Igual regla</t>
        </is>
      </c>
      <c r="E549" s="183" t="n"/>
      <c r="F549" s="84" t="n"/>
      <c r="G549" s="84" t="n"/>
      <c r="H549" s="84" t="n"/>
      <c r="I549" s="84" t="n"/>
      <c r="J549" s="84" t="n"/>
      <c r="K549" s="84" t="n"/>
      <c r="L549" s="84" t="n"/>
      <c r="M549" s="84" t="n"/>
      <c r="N549" s="84" t="n"/>
      <c r="O549" s="84" t="n"/>
      <c r="P549" s="84" t="n"/>
      <c r="Q549" s="84" t="n"/>
      <c r="R549" s="84" t="n"/>
      <c r="S549" s="84" t="n"/>
      <c r="T549" s="84" t="n"/>
      <c r="U549" s="84" t="n"/>
      <c r="V549" s="84" t="n"/>
      <c r="W549" s="84" t="n"/>
      <c r="X549" s="84" t="n"/>
      <c r="Y549" s="84" t="n"/>
      <c r="Z549" s="84" t="n"/>
      <c r="AA549" s="84" t="n"/>
      <c r="AB549" s="84" t="n"/>
      <c r="AC549" s="84" t="n"/>
      <c r="AD549" s="84" t="n"/>
    </row>
    <row r="550" ht="30" customHeight="1" s="176">
      <c r="A550" s="122" t="inlineStr">
        <is>
          <t>Talla Calzado MX – Mujer (con ancho)</t>
        </is>
      </c>
      <c r="B550" s="123" t="n">
        <v>25</v>
      </c>
      <c r="C550" s="123" t="inlineStr">
        <is>
          <t>8 ST</t>
        </is>
      </c>
      <c r="D550" s="122" t="inlineStr">
        <is>
          <t>Igual regla</t>
        </is>
      </c>
      <c r="E550" s="183" t="n"/>
      <c r="F550" s="84" t="n"/>
      <c r="G550" s="84" t="n"/>
      <c r="H550" s="84" t="n"/>
      <c r="I550" s="84" t="n"/>
      <c r="J550" s="84" t="n"/>
      <c r="K550" s="84" t="n"/>
      <c r="L550" s="84" t="n"/>
      <c r="M550" s="84" t="n"/>
      <c r="N550" s="84" t="n"/>
      <c r="O550" s="84" t="n"/>
      <c r="P550" s="84" t="n"/>
      <c r="Q550" s="84" t="n"/>
      <c r="R550" s="84" t="n"/>
      <c r="S550" s="84" t="n"/>
      <c r="T550" s="84" t="n"/>
      <c r="U550" s="84" t="n"/>
      <c r="V550" s="84" t="n"/>
      <c r="W550" s="84" t="n"/>
      <c r="X550" s="84" t="n"/>
      <c r="Y550" s="84" t="n"/>
      <c r="Z550" s="84" t="n"/>
      <c r="AA550" s="84" t="n"/>
      <c r="AB550" s="84" t="n"/>
      <c r="AC550" s="84" t="n"/>
      <c r="AD550" s="84" t="n"/>
    </row>
    <row r="551" ht="30" customHeight="1" s="176">
      <c r="A551" s="122" t="inlineStr">
        <is>
          <t>Talla Calzado MX – Mujer (con ancho)</t>
        </is>
      </c>
      <c r="B551" s="123" t="n">
        <v>25</v>
      </c>
      <c r="C551" s="123" t="inlineStr">
        <is>
          <t>8 WM</t>
        </is>
      </c>
      <c r="D551" s="122" t="inlineStr">
        <is>
          <t>Igual regla</t>
        </is>
      </c>
      <c r="E551" s="183" t="n"/>
      <c r="F551" s="84" t="n"/>
      <c r="G551" s="84" t="n"/>
      <c r="H551" s="84" t="n"/>
      <c r="I551" s="84" t="n"/>
      <c r="J551" s="84" t="n"/>
      <c r="K551" s="84" t="n"/>
      <c r="L551" s="84" t="n"/>
      <c r="M551" s="84" t="n"/>
      <c r="N551" s="84" t="n"/>
      <c r="O551" s="84" t="n"/>
      <c r="P551" s="84" t="n"/>
      <c r="Q551" s="84" t="n"/>
      <c r="R551" s="84" t="n"/>
      <c r="S551" s="84" t="n"/>
      <c r="T551" s="84" t="n"/>
      <c r="U551" s="84" t="n"/>
      <c r="V551" s="84" t="n"/>
      <c r="W551" s="84" t="n"/>
      <c r="X551" s="84" t="n"/>
      <c r="Y551" s="84" t="n"/>
      <c r="Z551" s="84" t="n"/>
      <c r="AA551" s="84" t="n"/>
      <c r="AB551" s="84" t="n"/>
      <c r="AC551" s="84" t="n"/>
      <c r="AD551" s="84" t="n"/>
    </row>
    <row r="552" ht="30" customHeight="1" s="176">
      <c r="A552" s="122" t="inlineStr">
        <is>
          <t>Talla Calzado MX – Mujer (con ancho)</t>
        </is>
      </c>
      <c r="B552" s="123" t="n">
        <v>25</v>
      </c>
      <c r="C552" s="123" t="inlineStr">
        <is>
          <t>8 WS</t>
        </is>
      </c>
      <c r="D552" s="122" t="inlineStr">
        <is>
          <t>Igual regla</t>
        </is>
      </c>
      <c r="E552" s="183" t="n"/>
      <c r="F552" s="84" t="n"/>
      <c r="G552" s="84" t="n"/>
      <c r="H552" s="84" t="n"/>
      <c r="I552" s="84" t="n"/>
      <c r="J552" s="84" t="n"/>
      <c r="K552" s="84" t="n"/>
      <c r="L552" s="84" t="n"/>
      <c r="M552" s="84" t="n"/>
      <c r="N552" s="84" t="n"/>
      <c r="O552" s="84" t="n"/>
      <c r="P552" s="84" t="n"/>
      <c r="Q552" s="84" t="n"/>
      <c r="R552" s="84" t="n"/>
      <c r="S552" s="84" t="n"/>
      <c r="T552" s="84" t="n"/>
      <c r="U552" s="84" t="n"/>
      <c r="V552" s="84" t="n"/>
      <c r="W552" s="84" t="n"/>
      <c r="X552" s="84" t="n"/>
      <c r="Y552" s="84" t="n"/>
      <c r="Z552" s="84" t="n"/>
      <c r="AA552" s="84" t="n"/>
      <c r="AB552" s="84" t="n"/>
      <c r="AC552" s="84" t="n"/>
      <c r="AD552" s="84" t="n"/>
    </row>
    <row r="553" ht="30" customHeight="1" s="176">
      <c r="A553" s="122" t="inlineStr">
        <is>
          <t>Talla Calzado MX – Mujer (con ancho)</t>
        </is>
      </c>
      <c r="B553" s="123" t="n">
        <v>25</v>
      </c>
      <c r="C553" s="123" t="inlineStr">
        <is>
          <t>8 XSM</t>
        </is>
      </c>
      <c r="D553" s="122" t="inlineStr">
        <is>
          <t>Igual regla</t>
        </is>
      </c>
      <c r="E553" s="183" t="n"/>
      <c r="F553" s="84" t="n"/>
      <c r="G553" s="84" t="n"/>
      <c r="H553" s="84" t="n"/>
      <c r="I553" s="84" t="n"/>
      <c r="J553" s="84" t="n"/>
      <c r="K553" s="84" t="n"/>
      <c r="L553" s="84" t="n"/>
      <c r="M553" s="84" t="n"/>
      <c r="N553" s="84" t="n"/>
      <c r="O553" s="84" t="n"/>
      <c r="P553" s="84" t="n"/>
      <c r="Q553" s="84" t="n"/>
      <c r="R553" s="84" t="n"/>
      <c r="S553" s="84" t="n"/>
      <c r="T553" s="84" t="n"/>
      <c r="U553" s="84" t="n"/>
      <c r="V553" s="84" t="n"/>
      <c r="W553" s="84" t="n"/>
      <c r="X553" s="84" t="n"/>
      <c r="Y553" s="84" t="n"/>
      <c r="Z553" s="84" t="n"/>
      <c r="AA553" s="84" t="n"/>
      <c r="AB553" s="84" t="n"/>
      <c r="AC553" s="84" t="n"/>
      <c r="AD553" s="84" t="n"/>
    </row>
    <row r="554" ht="30" customHeight="1" s="176">
      <c r="A554" s="122" t="inlineStr">
        <is>
          <t>Talla Calzado MX – Mujer (con ancho)</t>
        </is>
      </c>
      <c r="B554" s="123" t="n">
        <v>25</v>
      </c>
      <c r="C554" s="123" t="inlineStr">
        <is>
          <t>8 XST</t>
        </is>
      </c>
      <c r="D554" s="122" t="inlineStr">
        <is>
          <t>Igual regla</t>
        </is>
      </c>
      <c r="E554" s="183" t="n"/>
      <c r="F554" s="84" t="n"/>
      <c r="G554" s="84" t="n"/>
      <c r="H554" s="84" t="n"/>
      <c r="I554" s="84" t="n"/>
      <c r="J554" s="84" t="n"/>
      <c r="K554" s="84" t="n"/>
      <c r="L554" s="84" t="n"/>
      <c r="M554" s="84" t="n"/>
      <c r="N554" s="84" t="n"/>
      <c r="O554" s="84" t="n"/>
      <c r="P554" s="84" t="n"/>
      <c r="Q554" s="84" t="n"/>
      <c r="R554" s="84" t="n"/>
      <c r="S554" s="84" t="n"/>
      <c r="T554" s="84" t="n"/>
      <c r="U554" s="84" t="n"/>
      <c r="V554" s="84" t="n"/>
      <c r="W554" s="84" t="n"/>
      <c r="X554" s="84" t="n"/>
      <c r="Y554" s="84" t="n"/>
      <c r="Z554" s="84" t="n"/>
      <c r="AA554" s="84" t="n"/>
      <c r="AB554" s="84" t="n"/>
      <c r="AC554" s="84" t="n"/>
      <c r="AD554" s="84" t="n"/>
    </row>
    <row r="555" ht="30" customHeight="1" s="176">
      <c r="A555" s="122" t="inlineStr">
        <is>
          <t>Talla Calzado MX – Mujer (con ancho)</t>
        </is>
      </c>
      <c r="B555" s="123" t="n">
        <v>25</v>
      </c>
      <c r="C555" s="123" t="inlineStr">
        <is>
          <t>8 XWM</t>
        </is>
      </c>
      <c r="D555" s="122" t="inlineStr">
        <is>
          <t>Igual regla</t>
        </is>
      </c>
      <c r="E555" s="183" t="n"/>
      <c r="F555" s="84" t="n"/>
      <c r="G555" s="84" t="n"/>
      <c r="H555" s="84" t="n"/>
      <c r="I555" s="84" t="n"/>
      <c r="J555" s="84" t="n"/>
      <c r="K555" s="84" t="n"/>
      <c r="L555" s="84" t="n"/>
      <c r="M555" s="84" t="n"/>
      <c r="N555" s="84" t="n"/>
      <c r="O555" s="84" t="n"/>
      <c r="P555" s="84" t="n"/>
      <c r="Q555" s="84" t="n"/>
      <c r="R555" s="84" t="n"/>
      <c r="S555" s="84" t="n"/>
      <c r="T555" s="84" t="n"/>
      <c r="U555" s="84" t="n"/>
      <c r="V555" s="84" t="n"/>
      <c r="W555" s="84" t="n"/>
      <c r="X555" s="84" t="n"/>
      <c r="Y555" s="84" t="n"/>
      <c r="Z555" s="84" t="n"/>
      <c r="AA555" s="84" t="n"/>
      <c r="AB555" s="84" t="n"/>
      <c r="AC555" s="84" t="n"/>
      <c r="AD555" s="84" t="n"/>
    </row>
    <row r="556" ht="30" customHeight="1" s="176">
      <c r="A556" s="122" t="inlineStr">
        <is>
          <t>Talla Calzado MX – Mujer (con ancho)</t>
        </is>
      </c>
      <c r="B556" s="123" t="n">
        <v>25.5</v>
      </c>
      <c r="C556" s="123" t="inlineStr">
        <is>
          <t>8.5 B</t>
        </is>
      </c>
      <c r="D556" s="122" t="inlineStr">
        <is>
          <t>Igual regla</t>
        </is>
      </c>
      <c r="E556" s="183" t="n"/>
      <c r="F556" s="84" t="n"/>
      <c r="G556" s="84" t="n"/>
      <c r="H556" s="84" t="n"/>
      <c r="I556" s="84" t="n"/>
      <c r="J556" s="84" t="n"/>
      <c r="K556" s="84" t="n"/>
      <c r="L556" s="84" t="n"/>
      <c r="M556" s="84" t="n"/>
      <c r="N556" s="84" t="n"/>
      <c r="O556" s="84" t="n"/>
      <c r="P556" s="84" t="n"/>
      <c r="Q556" s="84" t="n"/>
      <c r="R556" s="84" t="n"/>
      <c r="S556" s="84" t="n"/>
      <c r="T556" s="84" t="n"/>
      <c r="U556" s="84" t="n"/>
      <c r="V556" s="84" t="n"/>
      <c r="W556" s="84" t="n"/>
      <c r="X556" s="84" t="n"/>
      <c r="Y556" s="84" t="n"/>
      <c r="Z556" s="84" t="n"/>
      <c r="AA556" s="84" t="n"/>
      <c r="AB556" s="84" t="n"/>
      <c r="AC556" s="84" t="n"/>
      <c r="AD556" s="84" t="n"/>
    </row>
    <row r="557" ht="30" customHeight="1" s="176">
      <c r="A557" s="122" t="inlineStr">
        <is>
          <t>Talla Calzado MX – Mujer (con ancho)</t>
        </is>
      </c>
      <c r="B557" s="123" t="n">
        <v>25.5</v>
      </c>
      <c r="C557" s="123" t="inlineStr">
        <is>
          <t>8.5 C</t>
        </is>
      </c>
      <c r="D557" s="122" t="inlineStr">
        <is>
          <t>Igual regla</t>
        </is>
      </c>
      <c r="E557" s="183" t="n"/>
      <c r="F557" s="84" t="n"/>
      <c r="G557" s="84" t="n"/>
      <c r="H557" s="84" t="n"/>
      <c r="I557" s="84" t="n"/>
      <c r="J557" s="84" t="n"/>
      <c r="K557" s="84" t="n"/>
      <c r="L557" s="84" t="n"/>
      <c r="M557" s="84" t="n"/>
      <c r="N557" s="84" t="n"/>
      <c r="O557" s="84" t="n"/>
      <c r="P557" s="84" t="n"/>
      <c r="Q557" s="84" t="n"/>
      <c r="R557" s="84" t="n"/>
      <c r="S557" s="84" t="n"/>
      <c r="T557" s="84" t="n"/>
      <c r="U557" s="84" t="n"/>
      <c r="V557" s="84" t="n"/>
      <c r="W557" s="84" t="n"/>
      <c r="X557" s="84" t="n"/>
      <c r="Y557" s="84" t="n"/>
      <c r="Z557" s="84" t="n"/>
      <c r="AA557" s="84" t="n"/>
      <c r="AB557" s="84" t="n"/>
      <c r="AC557" s="84" t="n"/>
      <c r="AD557" s="84" t="n"/>
    </row>
    <row r="558" ht="30" customHeight="1" s="176">
      <c r="A558" s="122" t="inlineStr">
        <is>
          <t>Talla Calzado MX – Mujer (con ancho)</t>
        </is>
      </c>
      <c r="B558" s="123" t="n">
        <v>25.5</v>
      </c>
      <c r="C558" s="123" t="inlineStr">
        <is>
          <t>8.5 FM</t>
        </is>
      </c>
      <c r="D558" s="122" t="inlineStr">
        <is>
          <t>Igual regla</t>
        </is>
      </c>
      <c r="E558" s="183" t="n"/>
      <c r="F558" s="84" t="n"/>
      <c r="G558" s="84" t="n"/>
      <c r="H558" s="84" t="n"/>
      <c r="I558" s="84" t="n"/>
      <c r="J558" s="84" t="n"/>
      <c r="K558" s="84" t="n"/>
      <c r="L558" s="84" t="n"/>
      <c r="M558" s="84" t="n"/>
      <c r="N558" s="84" t="n"/>
      <c r="O558" s="84" t="n"/>
      <c r="P558" s="84" t="n"/>
      <c r="Q558" s="84" t="n"/>
      <c r="R558" s="84" t="n"/>
      <c r="S558" s="84" t="n"/>
      <c r="T558" s="84" t="n"/>
      <c r="U558" s="84" t="n"/>
      <c r="V558" s="84" t="n"/>
      <c r="W558" s="84" t="n"/>
      <c r="X558" s="84" t="n"/>
      <c r="Y558" s="84" t="n"/>
      <c r="Z558" s="84" t="n"/>
      <c r="AA558" s="84" t="n"/>
      <c r="AB558" s="84" t="n"/>
      <c r="AC558" s="84" t="n"/>
      <c r="AD558" s="84" t="n"/>
    </row>
    <row r="559" ht="30" customHeight="1" s="176">
      <c r="A559" s="122" t="inlineStr">
        <is>
          <t>Talla Calzado MX – Mujer (con ancho)</t>
        </is>
      </c>
      <c r="B559" s="123" t="n">
        <v>25.5</v>
      </c>
      <c r="C559" s="123" t="inlineStr">
        <is>
          <t>8.5 FS</t>
        </is>
      </c>
      <c r="D559" s="122" t="inlineStr">
        <is>
          <t>Igual regla</t>
        </is>
      </c>
      <c r="E559" s="183" t="n"/>
      <c r="F559" s="84" t="n"/>
      <c r="G559" s="84" t="n"/>
      <c r="H559" s="84" t="n"/>
      <c r="I559" s="84" t="n"/>
      <c r="J559" s="84" t="n"/>
      <c r="K559" s="84" t="n"/>
      <c r="L559" s="84" t="n"/>
      <c r="M559" s="84" t="n"/>
      <c r="N559" s="84" t="n"/>
      <c r="O559" s="84" t="n"/>
      <c r="P559" s="84" t="n"/>
      <c r="Q559" s="84" t="n"/>
      <c r="R559" s="84" t="n"/>
      <c r="S559" s="84" t="n"/>
      <c r="T559" s="84" t="n"/>
      <c r="U559" s="84" t="n"/>
      <c r="V559" s="84" t="n"/>
      <c r="W559" s="84" t="n"/>
      <c r="X559" s="84" t="n"/>
      <c r="Y559" s="84" t="n"/>
      <c r="Z559" s="84" t="n"/>
      <c r="AA559" s="84" t="n"/>
      <c r="AB559" s="84" t="n"/>
      <c r="AC559" s="84" t="n"/>
      <c r="AD559" s="84" t="n"/>
    </row>
    <row r="560" ht="30" customHeight="1" s="176">
      <c r="A560" s="122" t="inlineStr">
        <is>
          <t>Talla Calzado MX – Mujer (con ancho)</t>
        </is>
      </c>
      <c r="B560" s="123" t="n">
        <v>25.5</v>
      </c>
      <c r="C560" s="123" t="inlineStr">
        <is>
          <t>8.5 FT</t>
        </is>
      </c>
      <c r="D560" s="122" t="inlineStr">
        <is>
          <t>Igual regla</t>
        </is>
      </c>
      <c r="E560" s="183" t="n"/>
      <c r="F560" s="84" t="n"/>
      <c r="G560" s="84" t="n"/>
      <c r="H560" s="84" t="n"/>
      <c r="I560" s="84" t="n"/>
      <c r="J560" s="84" t="n"/>
      <c r="K560" s="84" t="n"/>
      <c r="L560" s="84" t="n"/>
      <c r="M560" s="84" t="n"/>
      <c r="N560" s="84" t="n"/>
      <c r="O560" s="84" t="n"/>
      <c r="P560" s="84" t="n"/>
      <c r="Q560" s="84" t="n"/>
      <c r="R560" s="84" t="n"/>
      <c r="S560" s="84" t="n"/>
      <c r="T560" s="84" t="n"/>
      <c r="U560" s="84" t="n"/>
      <c r="V560" s="84" t="n"/>
      <c r="W560" s="84" t="n"/>
      <c r="X560" s="84" t="n"/>
      <c r="Y560" s="84" t="n"/>
      <c r="Z560" s="84" t="n"/>
      <c r="AA560" s="84" t="n"/>
      <c r="AB560" s="84" t="n"/>
      <c r="AC560" s="84" t="n"/>
      <c r="AD560" s="84" t="n"/>
    </row>
    <row r="561" ht="30" customHeight="1" s="176">
      <c r="A561" s="122" t="inlineStr">
        <is>
          <t>Talla Calzado MX – Mujer (con ancho)</t>
        </is>
      </c>
      <c r="B561" s="123" t="n">
        <v>25.5</v>
      </c>
      <c r="C561" s="123" t="inlineStr">
        <is>
          <t>8.5 RM</t>
        </is>
      </c>
      <c r="D561" s="122" t="inlineStr">
        <is>
          <t>Igual regla</t>
        </is>
      </c>
      <c r="E561" s="183" t="n"/>
      <c r="F561" s="84" t="n"/>
      <c r="G561" s="84" t="n"/>
      <c r="H561" s="84" t="n"/>
      <c r="I561" s="84" t="n"/>
      <c r="J561" s="84" t="n"/>
      <c r="K561" s="84" t="n"/>
      <c r="L561" s="84" t="n"/>
      <c r="M561" s="84" t="n"/>
      <c r="N561" s="84" t="n"/>
      <c r="O561" s="84" t="n"/>
      <c r="P561" s="84" t="n"/>
      <c r="Q561" s="84" t="n"/>
      <c r="R561" s="84" t="n"/>
      <c r="S561" s="84" t="n"/>
      <c r="T561" s="84" t="n"/>
      <c r="U561" s="84" t="n"/>
      <c r="V561" s="84" t="n"/>
      <c r="W561" s="84" t="n"/>
      <c r="X561" s="84" t="n"/>
      <c r="Y561" s="84" t="n"/>
      <c r="Z561" s="84" t="n"/>
      <c r="AA561" s="84" t="n"/>
      <c r="AB561" s="84" t="n"/>
      <c r="AC561" s="84" t="n"/>
      <c r="AD561" s="84" t="n"/>
    </row>
    <row r="562" ht="30" customHeight="1" s="176">
      <c r="A562" s="122" t="inlineStr">
        <is>
          <t>Talla Calzado MX – Mujer (con ancho)</t>
        </is>
      </c>
      <c r="B562" s="123" t="n">
        <v>25.5</v>
      </c>
      <c r="C562" s="123" t="inlineStr">
        <is>
          <t>8.5 RS</t>
        </is>
      </c>
      <c r="D562" s="122" t="inlineStr">
        <is>
          <t>Igual regla</t>
        </is>
      </c>
      <c r="E562" s="183" t="n"/>
      <c r="F562" s="84" t="n"/>
      <c r="G562" s="84" t="n"/>
      <c r="H562" s="84" t="n"/>
      <c r="I562" s="84" t="n"/>
      <c r="J562" s="84" t="n"/>
      <c r="K562" s="84" t="n"/>
      <c r="L562" s="84" t="n"/>
      <c r="M562" s="84" t="n"/>
      <c r="N562" s="84" t="n"/>
      <c r="O562" s="84" t="n"/>
      <c r="P562" s="84" t="n"/>
      <c r="Q562" s="84" t="n"/>
      <c r="R562" s="84" t="n"/>
      <c r="S562" s="84" t="n"/>
      <c r="T562" s="84" t="n"/>
      <c r="U562" s="84" t="n"/>
      <c r="V562" s="84" t="n"/>
      <c r="W562" s="84" t="n"/>
      <c r="X562" s="84" t="n"/>
      <c r="Y562" s="84" t="n"/>
      <c r="Z562" s="84" t="n"/>
      <c r="AA562" s="84" t="n"/>
      <c r="AB562" s="84" t="n"/>
      <c r="AC562" s="84" t="n"/>
      <c r="AD562" s="84" t="n"/>
    </row>
    <row r="563" ht="30" customHeight="1" s="176">
      <c r="A563" s="122" t="inlineStr">
        <is>
          <t>Talla Calzado MX – Mujer (con ancho)</t>
        </is>
      </c>
      <c r="B563" s="123" t="n">
        <v>25.5</v>
      </c>
      <c r="C563" s="123" t="inlineStr">
        <is>
          <t>8.5 RT</t>
        </is>
      </c>
      <c r="D563" s="122" t="inlineStr">
        <is>
          <t>Igual regla</t>
        </is>
      </c>
      <c r="E563" s="183" t="n"/>
      <c r="F563" s="84" t="n"/>
      <c r="G563" s="84" t="n"/>
      <c r="H563" s="84" t="n"/>
      <c r="I563" s="84" t="n"/>
      <c r="J563" s="84" t="n"/>
      <c r="K563" s="84" t="n"/>
      <c r="L563" s="84" t="n"/>
      <c r="M563" s="84" t="n"/>
      <c r="N563" s="84" t="n"/>
      <c r="O563" s="84" t="n"/>
      <c r="P563" s="84" t="n"/>
      <c r="Q563" s="84" t="n"/>
      <c r="R563" s="84" t="n"/>
      <c r="S563" s="84" t="n"/>
      <c r="T563" s="84" t="n"/>
      <c r="U563" s="84" t="n"/>
      <c r="V563" s="84" t="n"/>
      <c r="W563" s="84" t="n"/>
      <c r="X563" s="84" t="n"/>
      <c r="Y563" s="84" t="n"/>
      <c r="Z563" s="84" t="n"/>
      <c r="AA563" s="84" t="n"/>
      <c r="AB563" s="84" t="n"/>
      <c r="AC563" s="84" t="n"/>
      <c r="AD563" s="84" t="n"/>
    </row>
    <row r="564" ht="30" customHeight="1" s="176">
      <c r="A564" s="122" t="inlineStr">
        <is>
          <t>Talla Calzado MX – Mujer (con ancho)</t>
        </is>
      </c>
      <c r="B564" s="123" t="n">
        <v>25.5</v>
      </c>
      <c r="C564" s="123" t="inlineStr">
        <is>
          <t>8.5 SM</t>
        </is>
      </c>
      <c r="D564" s="122" t="inlineStr">
        <is>
          <t>Igual regla</t>
        </is>
      </c>
      <c r="E564" s="183" t="n"/>
      <c r="F564" s="84" t="n"/>
      <c r="G564" s="84" t="n"/>
      <c r="H564" s="84" t="n"/>
      <c r="I564" s="84" t="n"/>
      <c r="J564" s="84" t="n"/>
      <c r="K564" s="84" t="n"/>
      <c r="L564" s="84" t="n"/>
      <c r="M564" s="84" t="n"/>
      <c r="N564" s="84" t="n"/>
      <c r="O564" s="84" t="n"/>
      <c r="P564" s="84" t="n"/>
      <c r="Q564" s="84" t="n"/>
      <c r="R564" s="84" t="n"/>
      <c r="S564" s="84" t="n"/>
      <c r="T564" s="84" t="n"/>
      <c r="U564" s="84" t="n"/>
      <c r="V564" s="84" t="n"/>
      <c r="W564" s="84" t="n"/>
      <c r="X564" s="84" t="n"/>
      <c r="Y564" s="84" t="n"/>
      <c r="Z564" s="84" t="n"/>
      <c r="AA564" s="84" t="n"/>
      <c r="AB564" s="84" t="n"/>
      <c r="AC564" s="84" t="n"/>
      <c r="AD564" s="84" t="n"/>
    </row>
    <row r="565" ht="30" customHeight="1" s="176">
      <c r="A565" s="122" t="inlineStr">
        <is>
          <t>Talla Calzado MX – Mujer (con ancho)</t>
        </is>
      </c>
      <c r="B565" s="123" t="n">
        <v>25.5</v>
      </c>
      <c r="C565" s="123" t="inlineStr">
        <is>
          <t>8.5 SS</t>
        </is>
      </c>
      <c r="D565" s="122" t="inlineStr">
        <is>
          <t>Igual regla</t>
        </is>
      </c>
      <c r="E565" s="183" t="n"/>
      <c r="F565" s="84" t="n"/>
      <c r="G565" s="84" t="n"/>
      <c r="H565" s="84" t="n"/>
      <c r="I565" s="84" t="n"/>
      <c r="J565" s="84" t="n"/>
      <c r="K565" s="84" t="n"/>
      <c r="L565" s="84" t="n"/>
      <c r="M565" s="84" t="n"/>
      <c r="N565" s="84" t="n"/>
      <c r="O565" s="84" t="n"/>
      <c r="P565" s="84" t="n"/>
      <c r="Q565" s="84" t="n"/>
      <c r="R565" s="84" t="n"/>
      <c r="S565" s="84" t="n"/>
      <c r="T565" s="84" t="n"/>
      <c r="U565" s="84" t="n"/>
      <c r="V565" s="84" t="n"/>
      <c r="W565" s="84" t="n"/>
      <c r="X565" s="84" t="n"/>
      <c r="Y565" s="84" t="n"/>
      <c r="Z565" s="84" t="n"/>
      <c r="AA565" s="84" t="n"/>
      <c r="AB565" s="84" t="n"/>
      <c r="AC565" s="84" t="n"/>
      <c r="AD565" s="84" t="n"/>
    </row>
    <row r="566" ht="30" customHeight="1" s="176">
      <c r="A566" s="122" t="inlineStr">
        <is>
          <t>Talla Calzado MX – Mujer (con ancho)</t>
        </is>
      </c>
      <c r="B566" s="123" t="n">
        <v>25.5</v>
      </c>
      <c r="C566" s="123" t="inlineStr">
        <is>
          <t>8.5 ST</t>
        </is>
      </c>
      <c r="D566" s="122" t="inlineStr">
        <is>
          <t>Igual regla</t>
        </is>
      </c>
      <c r="E566" s="183" t="n"/>
      <c r="F566" s="84" t="n"/>
      <c r="G566" s="84" t="n"/>
      <c r="H566" s="84" t="n"/>
      <c r="I566" s="84" t="n"/>
      <c r="J566" s="84" t="n"/>
      <c r="K566" s="84" t="n"/>
      <c r="L566" s="84" t="n"/>
      <c r="M566" s="84" t="n"/>
      <c r="N566" s="84" t="n"/>
      <c r="O566" s="84" t="n"/>
      <c r="P566" s="84" t="n"/>
      <c r="Q566" s="84" t="n"/>
      <c r="R566" s="84" t="n"/>
      <c r="S566" s="84" t="n"/>
      <c r="T566" s="84" t="n"/>
      <c r="U566" s="84" t="n"/>
      <c r="V566" s="84" t="n"/>
      <c r="W566" s="84" t="n"/>
      <c r="X566" s="84" t="n"/>
      <c r="Y566" s="84" t="n"/>
      <c r="Z566" s="84" t="n"/>
      <c r="AA566" s="84" t="n"/>
      <c r="AB566" s="84" t="n"/>
      <c r="AC566" s="84" t="n"/>
      <c r="AD566" s="84" t="n"/>
    </row>
    <row r="567" ht="30" customHeight="1" s="176">
      <c r="A567" s="122" t="inlineStr">
        <is>
          <t>Talla Calzado MX – Mujer (con ancho)</t>
        </is>
      </c>
      <c r="B567" s="123" t="n">
        <v>25.5</v>
      </c>
      <c r="C567" s="123" t="inlineStr">
        <is>
          <t>8.5 WM</t>
        </is>
      </c>
      <c r="D567" s="122" t="inlineStr">
        <is>
          <t>Igual regla</t>
        </is>
      </c>
      <c r="E567" s="183" t="n"/>
      <c r="F567" s="84" t="n"/>
      <c r="G567" s="84" t="n"/>
      <c r="H567" s="84" t="n"/>
      <c r="I567" s="84" t="n"/>
      <c r="J567" s="84" t="n"/>
      <c r="K567" s="84" t="n"/>
      <c r="L567" s="84" t="n"/>
      <c r="M567" s="84" t="n"/>
      <c r="N567" s="84" t="n"/>
      <c r="O567" s="84" t="n"/>
      <c r="P567" s="84" t="n"/>
      <c r="Q567" s="84" t="n"/>
      <c r="R567" s="84" t="n"/>
      <c r="S567" s="84" t="n"/>
      <c r="T567" s="84" t="n"/>
      <c r="U567" s="84" t="n"/>
      <c r="V567" s="84" t="n"/>
      <c r="W567" s="84" t="n"/>
      <c r="X567" s="84" t="n"/>
      <c r="Y567" s="84" t="n"/>
      <c r="Z567" s="84" t="n"/>
      <c r="AA567" s="84" t="n"/>
      <c r="AB567" s="84" t="n"/>
      <c r="AC567" s="84" t="n"/>
      <c r="AD567" s="84" t="n"/>
    </row>
    <row r="568" ht="30" customHeight="1" s="176">
      <c r="A568" s="122" t="inlineStr">
        <is>
          <t>Talla Calzado MX – Mujer (con ancho)</t>
        </is>
      </c>
      <c r="B568" s="123" t="n">
        <v>25.5</v>
      </c>
      <c r="C568" s="123" t="inlineStr">
        <is>
          <t>8.5 WS</t>
        </is>
      </c>
      <c r="D568" s="122" t="inlineStr">
        <is>
          <t>Igual regla</t>
        </is>
      </c>
      <c r="E568" s="183" t="n"/>
      <c r="F568" s="84" t="n"/>
      <c r="G568" s="84" t="n"/>
      <c r="H568" s="84" t="n"/>
      <c r="I568" s="84" t="n"/>
      <c r="J568" s="84" t="n"/>
      <c r="K568" s="84" t="n"/>
      <c r="L568" s="84" t="n"/>
      <c r="M568" s="84" t="n"/>
      <c r="N568" s="84" t="n"/>
      <c r="O568" s="84" t="n"/>
      <c r="P568" s="84" t="n"/>
      <c r="Q568" s="84" t="n"/>
      <c r="R568" s="84" t="n"/>
      <c r="S568" s="84" t="n"/>
      <c r="T568" s="84" t="n"/>
      <c r="U568" s="84" t="n"/>
      <c r="V568" s="84" t="n"/>
      <c r="W568" s="84" t="n"/>
      <c r="X568" s="84" t="n"/>
      <c r="Y568" s="84" t="n"/>
      <c r="Z568" s="84" t="n"/>
      <c r="AA568" s="84" t="n"/>
      <c r="AB568" s="84" t="n"/>
      <c r="AC568" s="84" t="n"/>
      <c r="AD568" s="84" t="n"/>
    </row>
    <row r="569" ht="30" customHeight="1" s="176">
      <c r="A569" s="122" t="inlineStr">
        <is>
          <t>Talla Calzado MX – Mujer (con ancho)</t>
        </is>
      </c>
      <c r="B569" s="123" t="n">
        <v>25.5</v>
      </c>
      <c r="C569" s="123" t="inlineStr">
        <is>
          <t>8.5 WT</t>
        </is>
      </c>
      <c r="D569" s="122" t="inlineStr">
        <is>
          <t>Igual regla</t>
        </is>
      </c>
      <c r="E569" s="183" t="n"/>
      <c r="F569" s="84" t="n"/>
      <c r="G569" s="84" t="n"/>
      <c r="H569" s="84" t="n"/>
      <c r="I569" s="84" t="n"/>
      <c r="J569" s="84" t="n"/>
      <c r="K569" s="84" t="n"/>
      <c r="L569" s="84" t="n"/>
      <c r="M569" s="84" t="n"/>
      <c r="N569" s="84" t="n"/>
      <c r="O569" s="84" t="n"/>
      <c r="P569" s="84" t="n"/>
      <c r="Q569" s="84" t="n"/>
      <c r="R569" s="84" t="n"/>
      <c r="S569" s="84" t="n"/>
      <c r="T569" s="84" t="n"/>
      <c r="U569" s="84" t="n"/>
      <c r="V569" s="84" t="n"/>
      <c r="W569" s="84" t="n"/>
      <c r="X569" s="84" t="n"/>
      <c r="Y569" s="84" t="n"/>
      <c r="Z569" s="84" t="n"/>
      <c r="AA569" s="84" t="n"/>
      <c r="AB569" s="84" t="n"/>
      <c r="AC569" s="84" t="n"/>
      <c r="AD569" s="84" t="n"/>
    </row>
    <row r="570" ht="30" customHeight="1" s="176">
      <c r="A570" s="122" t="inlineStr">
        <is>
          <t>Talla Calzado MX – Mujer (con ancho)</t>
        </is>
      </c>
      <c r="B570" s="123" t="n">
        <v>25.5</v>
      </c>
      <c r="C570" s="123" t="inlineStr">
        <is>
          <t>8.5 XSM</t>
        </is>
      </c>
      <c r="D570" s="122" t="inlineStr">
        <is>
          <t>Igual regla</t>
        </is>
      </c>
      <c r="E570" s="183" t="n"/>
      <c r="F570" s="84" t="n"/>
      <c r="G570" s="84" t="n"/>
      <c r="H570" s="84" t="n"/>
      <c r="I570" s="84" t="n"/>
      <c r="J570" s="84" t="n"/>
      <c r="K570" s="84" t="n"/>
      <c r="L570" s="84" t="n"/>
      <c r="M570" s="84" t="n"/>
      <c r="N570" s="84" t="n"/>
      <c r="O570" s="84" t="n"/>
      <c r="P570" s="84" t="n"/>
      <c r="Q570" s="84" t="n"/>
      <c r="R570" s="84" t="n"/>
      <c r="S570" s="84" t="n"/>
      <c r="T570" s="84" t="n"/>
      <c r="U570" s="84" t="n"/>
      <c r="V570" s="84" t="n"/>
      <c r="W570" s="84" t="n"/>
      <c r="X570" s="84" t="n"/>
      <c r="Y570" s="84" t="n"/>
      <c r="Z570" s="84" t="n"/>
      <c r="AA570" s="84" t="n"/>
      <c r="AB570" s="84" t="n"/>
      <c r="AC570" s="84" t="n"/>
      <c r="AD570" s="84" t="n"/>
    </row>
    <row r="571" ht="30" customHeight="1" s="176">
      <c r="A571" s="122" t="inlineStr">
        <is>
          <t>Talla Calzado MX – Mujer (con ancho)</t>
        </is>
      </c>
      <c r="B571" s="123" t="n">
        <v>25.5</v>
      </c>
      <c r="C571" s="123" t="inlineStr">
        <is>
          <t>8.5 XST</t>
        </is>
      </c>
      <c r="D571" s="122" t="inlineStr">
        <is>
          <t>Igual regla</t>
        </is>
      </c>
      <c r="E571" s="183" t="n"/>
      <c r="F571" s="84" t="n"/>
      <c r="G571" s="84" t="n"/>
      <c r="H571" s="84" t="n"/>
      <c r="I571" s="84" t="n"/>
      <c r="J571" s="84" t="n"/>
      <c r="K571" s="84" t="n"/>
      <c r="L571" s="84" t="n"/>
      <c r="M571" s="84" t="n"/>
      <c r="N571" s="84" t="n"/>
      <c r="O571" s="84" t="n"/>
      <c r="P571" s="84" t="n"/>
      <c r="Q571" s="84" t="n"/>
      <c r="R571" s="84" t="n"/>
      <c r="S571" s="84" t="n"/>
      <c r="T571" s="84" t="n"/>
      <c r="U571" s="84" t="n"/>
      <c r="V571" s="84" t="n"/>
      <c r="W571" s="84" t="n"/>
      <c r="X571" s="84" t="n"/>
      <c r="Y571" s="84" t="n"/>
      <c r="Z571" s="84" t="n"/>
      <c r="AA571" s="84" t="n"/>
      <c r="AB571" s="84" t="n"/>
      <c r="AC571" s="84" t="n"/>
      <c r="AD571" s="84" t="n"/>
    </row>
    <row r="572" ht="30" customHeight="1" s="176">
      <c r="A572" s="122" t="inlineStr">
        <is>
          <t>Talla Calzado MX – Mujer (con ancho)</t>
        </is>
      </c>
      <c r="B572" s="123" t="n">
        <v>25.5</v>
      </c>
      <c r="C572" s="123" t="inlineStr">
        <is>
          <t>8.5 XWM</t>
        </is>
      </c>
      <c r="D572" s="122" t="inlineStr">
        <is>
          <t>Igual regla</t>
        </is>
      </c>
      <c r="E572" s="183" t="n"/>
      <c r="F572" s="84" t="n"/>
      <c r="G572" s="84" t="n"/>
      <c r="H572" s="84" t="n"/>
      <c r="I572" s="84" t="n"/>
      <c r="J572" s="84" t="n"/>
      <c r="K572" s="84" t="n"/>
      <c r="L572" s="84" t="n"/>
      <c r="M572" s="84" t="n"/>
      <c r="N572" s="84" t="n"/>
      <c r="O572" s="84" t="n"/>
      <c r="P572" s="84" t="n"/>
      <c r="Q572" s="84" t="n"/>
      <c r="R572" s="84" t="n"/>
      <c r="S572" s="84" t="n"/>
      <c r="T572" s="84" t="n"/>
      <c r="U572" s="84" t="n"/>
      <c r="V572" s="84" t="n"/>
      <c r="W572" s="84" t="n"/>
      <c r="X572" s="84" t="n"/>
      <c r="Y572" s="84" t="n"/>
      <c r="Z572" s="84" t="n"/>
      <c r="AA572" s="84" t="n"/>
      <c r="AB572" s="84" t="n"/>
      <c r="AC572" s="84" t="n"/>
      <c r="AD572" s="84" t="n"/>
    </row>
    <row r="573" ht="30" customHeight="1" s="176">
      <c r="A573" s="122" t="inlineStr">
        <is>
          <t>Talla Calzado MX – Mujer (con ancho)</t>
        </is>
      </c>
      <c r="B573" s="123" t="n">
        <v>26</v>
      </c>
      <c r="C573" s="123" t="inlineStr">
        <is>
          <t>9 B</t>
        </is>
      </c>
      <c r="D573" s="122" t="inlineStr">
        <is>
          <t>Igual regla</t>
        </is>
      </c>
      <c r="E573" s="183" t="n"/>
      <c r="F573" s="84" t="n"/>
      <c r="G573" s="84" t="n"/>
      <c r="H573" s="84" t="n"/>
      <c r="I573" s="84" t="n"/>
      <c r="J573" s="84" t="n"/>
      <c r="K573" s="84" t="n"/>
      <c r="L573" s="84" t="n"/>
      <c r="M573" s="84" t="n"/>
      <c r="N573" s="84" t="n"/>
      <c r="O573" s="84" t="n"/>
      <c r="P573" s="84" t="n"/>
      <c r="Q573" s="84" t="n"/>
      <c r="R573" s="84" t="n"/>
      <c r="S573" s="84" t="n"/>
      <c r="T573" s="84" t="n"/>
      <c r="U573" s="84" t="n"/>
      <c r="V573" s="84" t="n"/>
      <c r="W573" s="84" t="n"/>
      <c r="X573" s="84" t="n"/>
      <c r="Y573" s="84" t="n"/>
      <c r="Z573" s="84" t="n"/>
      <c r="AA573" s="84" t="n"/>
      <c r="AB573" s="84" t="n"/>
      <c r="AC573" s="84" t="n"/>
      <c r="AD573" s="84" t="n"/>
    </row>
    <row r="574" ht="30" customHeight="1" s="176">
      <c r="A574" s="122" t="inlineStr">
        <is>
          <t>Talla Calzado MX – Mujer (con ancho)</t>
        </is>
      </c>
      <c r="B574" s="123" t="n">
        <v>26</v>
      </c>
      <c r="C574" s="123" t="inlineStr">
        <is>
          <t>9 C</t>
        </is>
      </c>
      <c r="D574" s="122" t="inlineStr">
        <is>
          <t>Igual regla</t>
        </is>
      </c>
      <c r="E574" s="183" t="n"/>
      <c r="F574" s="84" t="n"/>
      <c r="G574" s="84" t="n"/>
      <c r="H574" s="84" t="n"/>
      <c r="I574" s="84" t="n"/>
      <c r="J574" s="84" t="n"/>
      <c r="K574" s="84" t="n"/>
      <c r="L574" s="84" t="n"/>
      <c r="M574" s="84" t="n"/>
      <c r="N574" s="84" t="n"/>
      <c r="O574" s="84" t="n"/>
      <c r="P574" s="84" t="n"/>
      <c r="Q574" s="84" t="n"/>
      <c r="R574" s="84" t="n"/>
      <c r="S574" s="84" t="n"/>
      <c r="T574" s="84" t="n"/>
      <c r="U574" s="84" t="n"/>
      <c r="V574" s="84" t="n"/>
      <c r="W574" s="84" t="n"/>
      <c r="X574" s="84" t="n"/>
      <c r="Y574" s="84" t="n"/>
      <c r="Z574" s="84" t="n"/>
      <c r="AA574" s="84" t="n"/>
      <c r="AB574" s="84" t="n"/>
      <c r="AC574" s="84" t="n"/>
      <c r="AD574" s="84" t="n"/>
    </row>
    <row r="575" ht="30" customHeight="1" s="176">
      <c r="A575" s="122" t="inlineStr">
        <is>
          <t>Talla Calzado MX – Mujer (con ancho)</t>
        </is>
      </c>
      <c r="B575" s="123" t="n">
        <v>26</v>
      </c>
      <c r="C575" s="123" t="inlineStr">
        <is>
          <t>9 FM</t>
        </is>
      </c>
      <c r="D575" s="122" t="inlineStr">
        <is>
          <t>Igual regla</t>
        </is>
      </c>
      <c r="E575" s="183" t="n"/>
      <c r="F575" s="84" t="n"/>
      <c r="G575" s="84" t="n"/>
      <c r="H575" s="84" t="n"/>
      <c r="I575" s="84" t="n"/>
      <c r="J575" s="84" t="n"/>
      <c r="K575" s="84" t="n"/>
      <c r="L575" s="84" t="n"/>
      <c r="M575" s="84" t="n"/>
      <c r="N575" s="84" t="n"/>
      <c r="O575" s="84" t="n"/>
      <c r="P575" s="84" t="n"/>
      <c r="Q575" s="84" t="n"/>
      <c r="R575" s="84" t="n"/>
      <c r="S575" s="84" t="n"/>
      <c r="T575" s="84" t="n"/>
      <c r="U575" s="84" t="n"/>
      <c r="V575" s="84" t="n"/>
      <c r="W575" s="84" t="n"/>
      <c r="X575" s="84" t="n"/>
      <c r="Y575" s="84" t="n"/>
      <c r="Z575" s="84" t="n"/>
      <c r="AA575" s="84" t="n"/>
      <c r="AB575" s="84" t="n"/>
      <c r="AC575" s="84" t="n"/>
      <c r="AD575" s="84" t="n"/>
    </row>
    <row r="576" ht="30" customHeight="1" s="176">
      <c r="A576" s="122" t="inlineStr">
        <is>
          <t>Talla Calzado MX – Mujer (con ancho)</t>
        </is>
      </c>
      <c r="B576" s="123" t="n">
        <v>26</v>
      </c>
      <c r="C576" s="123" t="inlineStr">
        <is>
          <t>9 FS</t>
        </is>
      </c>
      <c r="D576" s="122" t="inlineStr">
        <is>
          <t>Igual regla</t>
        </is>
      </c>
      <c r="E576" s="183" t="n"/>
      <c r="F576" s="84" t="n"/>
      <c r="G576" s="84" t="n"/>
      <c r="H576" s="84" t="n"/>
      <c r="I576" s="84" t="n"/>
      <c r="J576" s="84" t="n"/>
      <c r="K576" s="84" t="n"/>
      <c r="L576" s="84" t="n"/>
      <c r="M576" s="84" t="n"/>
      <c r="N576" s="84" t="n"/>
      <c r="O576" s="84" t="n"/>
      <c r="P576" s="84" t="n"/>
      <c r="Q576" s="84" t="n"/>
      <c r="R576" s="84" t="n"/>
      <c r="S576" s="84" t="n"/>
      <c r="T576" s="84" t="n"/>
      <c r="U576" s="84" t="n"/>
      <c r="V576" s="84" t="n"/>
      <c r="W576" s="84" t="n"/>
      <c r="X576" s="84" t="n"/>
      <c r="Y576" s="84" t="n"/>
      <c r="Z576" s="84" t="n"/>
      <c r="AA576" s="84" t="n"/>
      <c r="AB576" s="84" t="n"/>
      <c r="AC576" s="84" t="n"/>
      <c r="AD576" s="84" t="n"/>
    </row>
    <row r="577" ht="30" customHeight="1" s="176">
      <c r="A577" s="122" t="inlineStr">
        <is>
          <t>Talla Calzado MX – Mujer (con ancho)</t>
        </is>
      </c>
      <c r="B577" s="123" t="n">
        <v>26</v>
      </c>
      <c r="C577" s="123" t="inlineStr">
        <is>
          <t>9 FT</t>
        </is>
      </c>
      <c r="D577" s="122" t="inlineStr">
        <is>
          <t>Igual regla</t>
        </is>
      </c>
      <c r="E577" s="183" t="n"/>
      <c r="F577" s="84" t="n"/>
      <c r="G577" s="84" t="n"/>
      <c r="H577" s="84" t="n"/>
      <c r="I577" s="84" t="n"/>
      <c r="J577" s="84" t="n"/>
      <c r="K577" s="84" t="n"/>
      <c r="L577" s="84" t="n"/>
      <c r="M577" s="84" t="n"/>
      <c r="N577" s="84" t="n"/>
      <c r="O577" s="84" t="n"/>
      <c r="P577" s="84" t="n"/>
      <c r="Q577" s="84" t="n"/>
      <c r="R577" s="84" t="n"/>
      <c r="S577" s="84" t="n"/>
      <c r="T577" s="84" t="n"/>
      <c r="U577" s="84" t="n"/>
      <c r="V577" s="84" t="n"/>
      <c r="W577" s="84" t="n"/>
      <c r="X577" s="84" t="n"/>
      <c r="Y577" s="84" t="n"/>
      <c r="Z577" s="84" t="n"/>
      <c r="AA577" s="84" t="n"/>
      <c r="AB577" s="84" t="n"/>
      <c r="AC577" s="84" t="n"/>
      <c r="AD577" s="84" t="n"/>
    </row>
    <row r="578" ht="30" customHeight="1" s="176">
      <c r="A578" s="122" t="inlineStr">
        <is>
          <t>Talla Calzado MX – Mujer (con ancho)</t>
        </is>
      </c>
      <c r="B578" s="123" t="n">
        <v>26</v>
      </c>
      <c r="C578" s="123" t="inlineStr">
        <is>
          <t>9 RM</t>
        </is>
      </c>
      <c r="D578" s="122" t="inlineStr">
        <is>
          <t>Igual regla</t>
        </is>
      </c>
      <c r="E578" s="183" t="n"/>
      <c r="F578" s="84" t="n"/>
      <c r="G578" s="84" t="n"/>
      <c r="H578" s="84" t="n"/>
      <c r="I578" s="84" t="n"/>
      <c r="J578" s="84" t="n"/>
      <c r="K578" s="84" t="n"/>
      <c r="L578" s="84" t="n"/>
      <c r="M578" s="84" t="n"/>
      <c r="N578" s="84" t="n"/>
      <c r="O578" s="84" t="n"/>
      <c r="P578" s="84" t="n"/>
      <c r="Q578" s="84" t="n"/>
      <c r="R578" s="84" t="n"/>
      <c r="S578" s="84" t="n"/>
      <c r="T578" s="84" t="n"/>
      <c r="U578" s="84" t="n"/>
      <c r="V578" s="84" t="n"/>
      <c r="W578" s="84" t="n"/>
      <c r="X578" s="84" t="n"/>
      <c r="Y578" s="84" t="n"/>
      <c r="Z578" s="84" t="n"/>
      <c r="AA578" s="84" t="n"/>
      <c r="AB578" s="84" t="n"/>
      <c r="AC578" s="84" t="n"/>
      <c r="AD578" s="84" t="n"/>
    </row>
    <row r="579" ht="30" customHeight="1" s="176">
      <c r="A579" s="122" t="inlineStr">
        <is>
          <t>Talla Calzado MX – Mujer (con ancho)</t>
        </is>
      </c>
      <c r="B579" s="123" t="n">
        <v>26</v>
      </c>
      <c r="C579" s="123" t="inlineStr">
        <is>
          <t>9 RS</t>
        </is>
      </c>
      <c r="D579" s="122" t="inlineStr">
        <is>
          <t>Igual regla</t>
        </is>
      </c>
      <c r="E579" s="183" t="n"/>
      <c r="F579" s="84" t="n"/>
      <c r="G579" s="84" t="n"/>
      <c r="H579" s="84" t="n"/>
      <c r="I579" s="84" t="n"/>
      <c r="J579" s="84" t="n"/>
      <c r="K579" s="84" t="n"/>
      <c r="L579" s="84" t="n"/>
      <c r="M579" s="84" t="n"/>
      <c r="N579" s="84" t="n"/>
      <c r="O579" s="84" t="n"/>
      <c r="P579" s="84" t="n"/>
      <c r="Q579" s="84" t="n"/>
      <c r="R579" s="84" t="n"/>
      <c r="S579" s="84" t="n"/>
      <c r="T579" s="84" t="n"/>
      <c r="U579" s="84" t="n"/>
      <c r="V579" s="84" t="n"/>
      <c r="W579" s="84" t="n"/>
      <c r="X579" s="84" t="n"/>
      <c r="Y579" s="84" t="n"/>
      <c r="Z579" s="84" t="n"/>
      <c r="AA579" s="84" t="n"/>
      <c r="AB579" s="84" t="n"/>
      <c r="AC579" s="84" t="n"/>
      <c r="AD579" s="84" t="n"/>
    </row>
    <row r="580" ht="30" customHeight="1" s="176">
      <c r="A580" s="122" t="inlineStr">
        <is>
          <t>Talla Calzado MX – Mujer (con ancho)</t>
        </is>
      </c>
      <c r="B580" s="123" t="n">
        <v>26</v>
      </c>
      <c r="C580" s="123" t="inlineStr">
        <is>
          <t>9 RT</t>
        </is>
      </c>
      <c r="D580" s="122" t="inlineStr">
        <is>
          <t>Igual regla</t>
        </is>
      </c>
      <c r="E580" s="183" t="n"/>
      <c r="F580" s="84" t="n"/>
      <c r="G580" s="84" t="n"/>
      <c r="H580" s="84" t="n"/>
      <c r="I580" s="84" t="n"/>
      <c r="J580" s="84" t="n"/>
      <c r="K580" s="84" t="n"/>
      <c r="L580" s="84" t="n"/>
      <c r="M580" s="84" t="n"/>
      <c r="N580" s="84" t="n"/>
      <c r="O580" s="84" t="n"/>
      <c r="P580" s="84" t="n"/>
      <c r="Q580" s="84" t="n"/>
      <c r="R580" s="84" t="n"/>
      <c r="S580" s="84" t="n"/>
      <c r="T580" s="84" t="n"/>
      <c r="U580" s="84" t="n"/>
      <c r="V580" s="84" t="n"/>
      <c r="W580" s="84" t="n"/>
      <c r="X580" s="84" t="n"/>
      <c r="Y580" s="84" t="n"/>
      <c r="Z580" s="84" t="n"/>
      <c r="AA580" s="84" t="n"/>
      <c r="AB580" s="84" t="n"/>
      <c r="AC580" s="84" t="n"/>
      <c r="AD580" s="84" t="n"/>
    </row>
    <row r="581" ht="30" customHeight="1" s="176">
      <c r="A581" s="122" t="inlineStr">
        <is>
          <t>Talla Calzado MX – Mujer (con ancho)</t>
        </is>
      </c>
      <c r="B581" s="123" t="n">
        <v>26</v>
      </c>
      <c r="C581" s="123" t="inlineStr">
        <is>
          <t>9 SM</t>
        </is>
      </c>
      <c r="D581" s="122" t="inlineStr">
        <is>
          <t>Igual regla</t>
        </is>
      </c>
      <c r="E581" s="183" t="n"/>
      <c r="F581" s="84" t="n"/>
      <c r="G581" s="84" t="n"/>
      <c r="H581" s="84" t="n"/>
      <c r="I581" s="84" t="n"/>
      <c r="J581" s="84" t="n"/>
      <c r="K581" s="84" t="n"/>
      <c r="L581" s="84" t="n"/>
      <c r="M581" s="84" t="n"/>
      <c r="N581" s="84" t="n"/>
      <c r="O581" s="84" t="n"/>
      <c r="P581" s="84" t="n"/>
      <c r="Q581" s="84" t="n"/>
      <c r="R581" s="84" t="n"/>
      <c r="S581" s="84" t="n"/>
      <c r="T581" s="84" t="n"/>
      <c r="U581" s="84" t="n"/>
      <c r="V581" s="84" t="n"/>
      <c r="W581" s="84" t="n"/>
      <c r="X581" s="84" t="n"/>
      <c r="Y581" s="84" t="n"/>
      <c r="Z581" s="84" t="n"/>
      <c r="AA581" s="84" t="n"/>
      <c r="AB581" s="84" t="n"/>
      <c r="AC581" s="84" t="n"/>
      <c r="AD581" s="84" t="n"/>
    </row>
    <row r="582" ht="30" customHeight="1" s="176">
      <c r="A582" s="122" t="inlineStr">
        <is>
          <t>Talla Calzado MX – Mujer (con ancho)</t>
        </is>
      </c>
      <c r="B582" s="123" t="n">
        <v>26</v>
      </c>
      <c r="C582" s="123" t="inlineStr">
        <is>
          <t>9 SS</t>
        </is>
      </c>
      <c r="D582" s="122" t="inlineStr">
        <is>
          <t>Igual regla</t>
        </is>
      </c>
      <c r="E582" s="183" t="n"/>
      <c r="F582" s="84" t="n"/>
      <c r="G582" s="84" t="n"/>
      <c r="H582" s="84" t="n"/>
      <c r="I582" s="84" t="n"/>
      <c r="J582" s="84" t="n"/>
      <c r="K582" s="84" t="n"/>
      <c r="L582" s="84" t="n"/>
      <c r="M582" s="84" t="n"/>
      <c r="N582" s="84" t="n"/>
      <c r="O582" s="84" t="n"/>
      <c r="P582" s="84" t="n"/>
      <c r="Q582" s="84" t="n"/>
      <c r="R582" s="84" t="n"/>
      <c r="S582" s="84" t="n"/>
      <c r="T582" s="84" t="n"/>
      <c r="U582" s="84" t="n"/>
      <c r="V582" s="84" t="n"/>
      <c r="W582" s="84" t="n"/>
      <c r="X582" s="84" t="n"/>
      <c r="Y582" s="84" t="n"/>
      <c r="Z582" s="84" t="n"/>
      <c r="AA582" s="84" t="n"/>
      <c r="AB582" s="84" t="n"/>
      <c r="AC582" s="84" t="n"/>
      <c r="AD582" s="84" t="n"/>
    </row>
    <row r="583" ht="30" customHeight="1" s="176">
      <c r="A583" s="122" t="inlineStr">
        <is>
          <t>Talla Calzado MX – Mujer (con ancho)</t>
        </is>
      </c>
      <c r="B583" s="123" t="n">
        <v>26</v>
      </c>
      <c r="C583" s="123" t="inlineStr">
        <is>
          <t>9 ST</t>
        </is>
      </c>
      <c r="D583" s="122" t="inlineStr">
        <is>
          <t>Igual regla</t>
        </is>
      </c>
      <c r="E583" s="183" t="n"/>
      <c r="F583" s="84" t="n"/>
      <c r="G583" s="84" t="n"/>
      <c r="H583" s="84" t="n"/>
      <c r="I583" s="84" t="n"/>
      <c r="J583" s="84" t="n"/>
      <c r="K583" s="84" t="n"/>
      <c r="L583" s="84" t="n"/>
      <c r="M583" s="84" t="n"/>
      <c r="N583" s="84" t="n"/>
      <c r="O583" s="84" t="n"/>
      <c r="P583" s="84" t="n"/>
      <c r="Q583" s="84" t="n"/>
      <c r="R583" s="84" t="n"/>
      <c r="S583" s="84" t="n"/>
      <c r="T583" s="84" t="n"/>
      <c r="U583" s="84" t="n"/>
      <c r="V583" s="84" t="n"/>
      <c r="W583" s="84" t="n"/>
      <c r="X583" s="84" t="n"/>
      <c r="Y583" s="84" t="n"/>
      <c r="Z583" s="84" t="n"/>
      <c r="AA583" s="84" t="n"/>
      <c r="AB583" s="84" t="n"/>
      <c r="AC583" s="84" t="n"/>
      <c r="AD583" s="84" t="n"/>
    </row>
    <row r="584" ht="30" customHeight="1" s="176">
      <c r="A584" s="122" t="inlineStr">
        <is>
          <t>Talla Calzado MX – Mujer (con ancho)</t>
        </is>
      </c>
      <c r="B584" s="123" t="n">
        <v>26</v>
      </c>
      <c r="C584" s="123" t="inlineStr">
        <is>
          <t>9 WM</t>
        </is>
      </c>
      <c r="D584" s="122" t="inlineStr">
        <is>
          <t>Igual regla</t>
        </is>
      </c>
      <c r="E584" s="183" t="n"/>
      <c r="F584" s="84" t="n"/>
      <c r="G584" s="84" t="n"/>
      <c r="H584" s="84" t="n"/>
      <c r="I584" s="84" t="n"/>
      <c r="J584" s="84" t="n"/>
      <c r="K584" s="84" t="n"/>
      <c r="L584" s="84" t="n"/>
      <c r="M584" s="84" t="n"/>
      <c r="N584" s="84" t="n"/>
      <c r="O584" s="84" t="n"/>
      <c r="P584" s="84" t="n"/>
      <c r="Q584" s="84" t="n"/>
      <c r="R584" s="84" t="n"/>
      <c r="S584" s="84" t="n"/>
      <c r="T584" s="84" t="n"/>
      <c r="U584" s="84" t="n"/>
      <c r="V584" s="84" t="n"/>
      <c r="W584" s="84" t="n"/>
      <c r="X584" s="84" t="n"/>
      <c r="Y584" s="84" t="n"/>
      <c r="Z584" s="84" t="n"/>
      <c r="AA584" s="84" t="n"/>
      <c r="AB584" s="84" t="n"/>
      <c r="AC584" s="84" t="n"/>
      <c r="AD584" s="84" t="n"/>
    </row>
    <row r="585" ht="30" customHeight="1" s="176">
      <c r="A585" s="122" t="inlineStr">
        <is>
          <t>Talla Calzado MX – Mujer (con ancho)</t>
        </is>
      </c>
      <c r="B585" s="123" t="n">
        <v>26</v>
      </c>
      <c r="C585" s="123" t="inlineStr">
        <is>
          <t>9 WS</t>
        </is>
      </c>
      <c r="D585" s="122" t="inlineStr">
        <is>
          <t>Igual regla</t>
        </is>
      </c>
      <c r="E585" s="183" t="n"/>
      <c r="F585" s="84" t="n"/>
      <c r="G585" s="84" t="n"/>
      <c r="H585" s="84" t="n"/>
      <c r="I585" s="84" t="n"/>
      <c r="J585" s="84" t="n"/>
      <c r="K585" s="84" t="n"/>
      <c r="L585" s="84" t="n"/>
      <c r="M585" s="84" t="n"/>
      <c r="N585" s="84" t="n"/>
      <c r="O585" s="84" t="n"/>
      <c r="P585" s="84" t="n"/>
      <c r="Q585" s="84" t="n"/>
      <c r="R585" s="84" t="n"/>
      <c r="S585" s="84" t="n"/>
      <c r="T585" s="84" t="n"/>
      <c r="U585" s="84" t="n"/>
      <c r="V585" s="84" t="n"/>
      <c r="W585" s="84" t="n"/>
      <c r="X585" s="84" t="n"/>
      <c r="Y585" s="84" t="n"/>
      <c r="Z585" s="84" t="n"/>
      <c r="AA585" s="84" t="n"/>
      <c r="AB585" s="84" t="n"/>
      <c r="AC585" s="84" t="n"/>
      <c r="AD585" s="84" t="n"/>
    </row>
    <row r="586" ht="30" customHeight="1" s="176">
      <c r="A586" s="122" t="inlineStr">
        <is>
          <t>Talla Calzado MX – Mujer (con ancho)</t>
        </is>
      </c>
      <c r="B586" s="123" t="n">
        <v>26</v>
      </c>
      <c r="C586" s="123" t="inlineStr">
        <is>
          <t>9 WT</t>
        </is>
      </c>
      <c r="D586" s="122" t="inlineStr">
        <is>
          <t>Igual regla</t>
        </is>
      </c>
      <c r="E586" s="183" t="n"/>
      <c r="F586" s="84" t="n"/>
      <c r="G586" s="84" t="n"/>
      <c r="H586" s="84" t="n"/>
      <c r="I586" s="84" t="n"/>
      <c r="J586" s="84" t="n"/>
      <c r="K586" s="84" t="n"/>
      <c r="L586" s="84" t="n"/>
      <c r="M586" s="84" t="n"/>
      <c r="N586" s="84" t="n"/>
      <c r="O586" s="84" t="n"/>
      <c r="P586" s="84" t="n"/>
      <c r="Q586" s="84" t="n"/>
      <c r="R586" s="84" t="n"/>
      <c r="S586" s="84" t="n"/>
      <c r="T586" s="84" t="n"/>
      <c r="U586" s="84" t="n"/>
      <c r="V586" s="84" t="n"/>
      <c r="W586" s="84" t="n"/>
      <c r="X586" s="84" t="n"/>
      <c r="Y586" s="84" t="n"/>
      <c r="Z586" s="84" t="n"/>
      <c r="AA586" s="84" t="n"/>
      <c r="AB586" s="84" t="n"/>
      <c r="AC586" s="84" t="n"/>
      <c r="AD586" s="84" t="n"/>
    </row>
    <row r="587" ht="30" customHeight="1" s="176">
      <c r="A587" s="122" t="inlineStr">
        <is>
          <t>Talla Calzado MX – Mujer (con ancho)</t>
        </is>
      </c>
      <c r="B587" s="123" t="n">
        <v>26</v>
      </c>
      <c r="C587" s="123" t="inlineStr">
        <is>
          <t>9 XSM</t>
        </is>
      </c>
      <c r="D587" s="122" t="inlineStr">
        <is>
          <t>Igual regla</t>
        </is>
      </c>
      <c r="E587" s="183" t="n"/>
      <c r="F587" s="84" t="n"/>
      <c r="G587" s="84" t="n"/>
      <c r="H587" s="84" t="n"/>
      <c r="I587" s="84" t="n"/>
      <c r="J587" s="84" t="n"/>
      <c r="K587" s="84" t="n"/>
      <c r="L587" s="84" t="n"/>
      <c r="M587" s="84" t="n"/>
      <c r="N587" s="84" t="n"/>
      <c r="O587" s="84" t="n"/>
      <c r="P587" s="84" t="n"/>
      <c r="Q587" s="84" t="n"/>
      <c r="R587" s="84" t="n"/>
      <c r="S587" s="84" t="n"/>
      <c r="T587" s="84" t="n"/>
      <c r="U587" s="84" t="n"/>
      <c r="V587" s="84" t="n"/>
      <c r="W587" s="84" t="n"/>
      <c r="X587" s="84" t="n"/>
      <c r="Y587" s="84" t="n"/>
      <c r="Z587" s="84" t="n"/>
      <c r="AA587" s="84" t="n"/>
      <c r="AB587" s="84" t="n"/>
      <c r="AC587" s="84" t="n"/>
      <c r="AD587" s="84" t="n"/>
    </row>
    <row r="588" ht="30" customHeight="1" s="176">
      <c r="A588" s="122" t="inlineStr">
        <is>
          <t>Talla Calzado MX – Mujer (con ancho)</t>
        </is>
      </c>
      <c r="B588" s="123" t="n">
        <v>26</v>
      </c>
      <c r="C588" s="123" t="inlineStr">
        <is>
          <t>9 XST</t>
        </is>
      </c>
      <c r="D588" s="122" t="inlineStr">
        <is>
          <t>Igual regla</t>
        </is>
      </c>
      <c r="E588" s="183" t="n"/>
      <c r="F588" s="84" t="n"/>
      <c r="G588" s="84" t="n"/>
      <c r="H588" s="84" t="n"/>
      <c r="I588" s="84" t="n"/>
      <c r="J588" s="84" t="n"/>
      <c r="K588" s="84" t="n"/>
      <c r="L588" s="84" t="n"/>
      <c r="M588" s="84" t="n"/>
      <c r="N588" s="84" t="n"/>
      <c r="O588" s="84" t="n"/>
      <c r="P588" s="84" t="n"/>
      <c r="Q588" s="84" t="n"/>
      <c r="R588" s="84" t="n"/>
      <c r="S588" s="84" t="n"/>
      <c r="T588" s="84" t="n"/>
      <c r="U588" s="84" t="n"/>
      <c r="V588" s="84" t="n"/>
      <c r="W588" s="84" t="n"/>
      <c r="X588" s="84" t="n"/>
      <c r="Y588" s="84" t="n"/>
      <c r="Z588" s="84" t="n"/>
      <c r="AA588" s="84" t="n"/>
      <c r="AB588" s="84" t="n"/>
      <c r="AC588" s="84" t="n"/>
      <c r="AD588" s="84" t="n"/>
    </row>
    <row r="589" ht="30" customHeight="1" s="176">
      <c r="A589" s="122" t="inlineStr">
        <is>
          <t>Talla Calzado MX – Mujer (con ancho)</t>
        </is>
      </c>
      <c r="B589" s="123" t="n">
        <v>26</v>
      </c>
      <c r="C589" s="123" t="inlineStr">
        <is>
          <t>9 XWM</t>
        </is>
      </c>
      <c r="D589" s="122" t="inlineStr">
        <is>
          <t>Igual regla</t>
        </is>
      </c>
      <c r="E589" s="183" t="n"/>
      <c r="F589" s="84" t="n"/>
      <c r="G589" s="84" t="n"/>
      <c r="H589" s="84" t="n"/>
      <c r="I589" s="84" t="n"/>
      <c r="J589" s="84" t="n"/>
      <c r="K589" s="84" t="n"/>
      <c r="L589" s="84" t="n"/>
      <c r="M589" s="84" t="n"/>
      <c r="N589" s="84" t="n"/>
      <c r="O589" s="84" t="n"/>
      <c r="P589" s="84" t="n"/>
      <c r="Q589" s="84" t="n"/>
      <c r="R589" s="84" t="n"/>
      <c r="S589" s="84" t="n"/>
      <c r="T589" s="84" t="n"/>
      <c r="U589" s="84" t="n"/>
      <c r="V589" s="84" t="n"/>
      <c r="W589" s="84" t="n"/>
      <c r="X589" s="84" t="n"/>
      <c r="Y589" s="84" t="n"/>
      <c r="Z589" s="84" t="n"/>
      <c r="AA589" s="84" t="n"/>
      <c r="AB589" s="84" t="n"/>
      <c r="AC589" s="84" t="n"/>
      <c r="AD589" s="84" t="n"/>
    </row>
    <row r="590" ht="30" customHeight="1" s="176">
      <c r="A590" s="122" t="inlineStr">
        <is>
          <t>Talla Calzado MX – Mujer (con ancho)</t>
        </is>
      </c>
      <c r="B590" s="123" t="n">
        <v>26.5</v>
      </c>
      <c r="C590" s="123" t="inlineStr">
        <is>
          <t>9.5 B</t>
        </is>
      </c>
      <c r="D590" s="122" t="inlineStr">
        <is>
          <t>Igual regla</t>
        </is>
      </c>
      <c r="E590" s="183" t="n"/>
      <c r="F590" s="84" t="n"/>
      <c r="G590" s="84" t="n"/>
      <c r="H590" s="84" t="n"/>
      <c r="I590" s="84" t="n"/>
      <c r="J590" s="84" t="n"/>
      <c r="K590" s="84" t="n"/>
      <c r="L590" s="84" t="n"/>
      <c r="M590" s="84" t="n"/>
      <c r="N590" s="84" t="n"/>
      <c r="O590" s="84" t="n"/>
      <c r="P590" s="84" t="n"/>
      <c r="Q590" s="84" t="n"/>
      <c r="R590" s="84" t="n"/>
      <c r="S590" s="84" t="n"/>
      <c r="T590" s="84" t="n"/>
      <c r="U590" s="84" t="n"/>
      <c r="V590" s="84" t="n"/>
      <c r="W590" s="84" t="n"/>
      <c r="X590" s="84" t="n"/>
      <c r="Y590" s="84" t="n"/>
      <c r="Z590" s="84" t="n"/>
      <c r="AA590" s="84" t="n"/>
      <c r="AB590" s="84" t="n"/>
      <c r="AC590" s="84" t="n"/>
      <c r="AD590" s="84" t="n"/>
    </row>
    <row r="591" ht="30" customHeight="1" s="176">
      <c r="A591" s="122" t="inlineStr">
        <is>
          <t>Talla Calzado MX – Mujer (con ancho)</t>
        </is>
      </c>
      <c r="B591" s="123" t="n">
        <v>26.5</v>
      </c>
      <c r="C591" s="123" t="inlineStr">
        <is>
          <t>9.5 C</t>
        </is>
      </c>
      <c r="D591" s="122" t="inlineStr">
        <is>
          <t>Igual regla</t>
        </is>
      </c>
      <c r="E591" s="183" t="n"/>
      <c r="F591" s="84" t="n"/>
      <c r="G591" s="84" t="n"/>
      <c r="H591" s="84" t="n"/>
      <c r="I591" s="84" t="n"/>
      <c r="J591" s="84" t="n"/>
      <c r="K591" s="84" t="n"/>
      <c r="L591" s="84" t="n"/>
      <c r="M591" s="84" t="n"/>
      <c r="N591" s="84" t="n"/>
      <c r="O591" s="84" t="n"/>
      <c r="P591" s="84" t="n"/>
      <c r="Q591" s="84" t="n"/>
      <c r="R591" s="84" t="n"/>
      <c r="S591" s="84" t="n"/>
      <c r="T591" s="84" t="n"/>
      <c r="U591" s="84" t="n"/>
      <c r="V591" s="84" t="n"/>
      <c r="W591" s="84" t="n"/>
      <c r="X591" s="84" t="n"/>
      <c r="Y591" s="84" t="n"/>
      <c r="Z591" s="84" t="n"/>
      <c r="AA591" s="84" t="n"/>
      <c r="AB591" s="84" t="n"/>
      <c r="AC591" s="84" t="n"/>
      <c r="AD591" s="84" t="n"/>
    </row>
    <row r="592" ht="30" customHeight="1" s="176">
      <c r="A592" s="122" t="inlineStr">
        <is>
          <t>Talla Calzado MX – Mujer (con ancho)</t>
        </is>
      </c>
      <c r="B592" s="123" t="n">
        <v>26.5</v>
      </c>
      <c r="C592" s="123" t="inlineStr">
        <is>
          <t>9.5 FM</t>
        </is>
      </c>
      <c r="D592" s="122" t="inlineStr">
        <is>
          <t>Igual regla</t>
        </is>
      </c>
      <c r="E592" s="183" t="n"/>
      <c r="F592" s="84" t="n"/>
      <c r="G592" s="84" t="n"/>
      <c r="H592" s="84" t="n"/>
      <c r="I592" s="84" t="n"/>
      <c r="J592" s="84" t="n"/>
      <c r="K592" s="84" t="n"/>
      <c r="L592" s="84" t="n"/>
      <c r="M592" s="84" t="n"/>
      <c r="N592" s="84" t="n"/>
      <c r="O592" s="84" t="n"/>
      <c r="P592" s="84" t="n"/>
      <c r="Q592" s="84" t="n"/>
      <c r="R592" s="84" t="n"/>
      <c r="S592" s="84" t="n"/>
      <c r="T592" s="84" t="n"/>
      <c r="U592" s="84" t="n"/>
      <c r="V592" s="84" t="n"/>
      <c r="W592" s="84" t="n"/>
      <c r="X592" s="84" t="n"/>
      <c r="Y592" s="84" t="n"/>
      <c r="Z592" s="84" t="n"/>
      <c r="AA592" s="84" t="n"/>
      <c r="AB592" s="84" t="n"/>
      <c r="AC592" s="84" t="n"/>
      <c r="AD592" s="84" t="n"/>
    </row>
    <row r="593" ht="30" customHeight="1" s="176">
      <c r="A593" s="122" t="inlineStr">
        <is>
          <t>Talla Calzado MX – Mujer (con ancho)</t>
        </is>
      </c>
      <c r="B593" s="123" t="n">
        <v>26.5</v>
      </c>
      <c r="C593" s="123" t="inlineStr">
        <is>
          <t>9.5 FS</t>
        </is>
      </c>
      <c r="D593" s="122" t="inlineStr">
        <is>
          <t>Igual regla</t>
        </is>
      </c>
      <c r="E593" s="183" t="n"/>
      <c r="F593" s="84" t="n"/>
      <c r="G593" s="84" t="n"/>
      <c r="H593" s="84" t="n"/>
      <c r="I593" s="84" t="n"/>
      <c r="J593" s="84" t="n"/>
      <c r="K593" s="84" t="n"/>
      <c r="L593" s="84" t="n"/>
      <c r="M593" s="84" t="n"/>
      <c r="N593" s="84" t="n"/>
      <c r="O593" s="84" t="n"/>
      <c r="P593" s="84" t="n"/>
      <c r="Q593" s="84" t="n"/>
      <c r="R593" s="84" t="n"/>
      <c r="S593" s="84" t="n"/>
      <c r="T593" s="84" t="n"/>
      <c r="U593" s="84" t="n"/>
      <c r="V593" s="84" t="n"/>
      <c r="W593" s="84" t="n"/>
      <c r="X593" s="84" t="n"/>
      <c r="Y593" s="84" t="n"/>
      <c r="Z593" s="84" t="n"/>
      <c r="AA593" s="84" t="n"/>
      <c r="AB593" s="84" t="n"/>
      <c r="AC593" s="84" t="n"/>
      <c r="AD593" s="84" t="n"/>
    </row>
    <row r="594" ht="30" customHeight="1" s="176">
      <c r="A594" s="122" t="inlineStr">
        <is>
          <t>Talla Calzado MX – Mujer (con ancho)</t>
        </is>
      </c>
      <c r="B594" s="123" t="n">
        <v>26.5</v>
      </c>
      <c r="C594" s="123" t="inlineStr">
        <is>
          <t>9.5 FT</t>
        </is>
      </c>
      <c r="D594" s="122" t="inlineStr">
        <is>
          <t>Igual regla</t>
        </is>
      </c>
      <c r="E594" s="183" t="n"/>
      <c r="F594" s="84" t="n"/>
      <c r="G594" s="84" t="n"/>
      <c r="H594" s="84" t="n"/>
      <c r="I594" s="84" t="n"/>
      <c r="J594" s="84" t="n"/>
      <c r="K594" s="84" t="n"/>
      <c r="L594" s="84" t="n"/>
      <c r="M594" s="84" t="n"/>
      <c r="N594" s="84" t="n"/>
      <c r="O594" s="84" t="n"/>
      <c r="P594" s="84" t="n"/>
      <c r="Q594" s="84" t="n"/>
      <c r="R594" s="84" t="n"/>
      <c r="S594" s="84" t="n"/>
      <c r="T594" s="84" t="n"/>
      <c r="U594" s="84" t="n"/>
      <c r="V594" s="84" t="n"/>
      <c r="W594" s="84" t="n"/>
      <c r="X594" s="84" t="n"/>
      <c r="Y594" s="84" t="n"/>
      <c r="Z594" s="84" t="n"/>
      <c r="AA594" s="84" t="n"/>
      <c r="AB594" s="84" t="n"/>
      <c r="AC594" s="84" t="n"/>
      <c r="AD594" s="84" t="n"/>
    </row>
    <row r="595" ht="30" customHeight="1" s="176">
      <c r="A595" s="122" t="inlineStr">
        <is>
          <t>Talla Calzado MX – Mujer (con ancho)</t>
        </is>
      </c>
      <c r="B595" s="123" t="n">
        <v>26.5</v>
      </c>
      <c r="C595" s="123" t="inlineStr">
        <is>
          <t>9.5 RM</t>
        </is>
      </c>
      <c r="D595" s="122" t="inlineStr">
        <is>
          <t>Igual regla</t>
        </is>
      </c>
      <c r="E595" s="183" t="n"/>
      <c r="F595" s="84" t="n"/>
      <c r="G595" s="84" t="n"/>
      <c r="H595" s="84" t="n"/>
      <c r="I595" s="84" t="n"/>
      <c r="J595" s="84" t="n"/>
      <c r="K595" s="84" t="n"/>
      <c r="L595" s="84" t="n"/>
      <c r="M595" s="84" t="n"/>
      <c r="N595" s="84" t="n"/>
      <c r="O595" s="84" t="n"/>
      <c r="P595" s="84" t="n"/>
      <c r="Q595" s="84" t="n"/>
      <c r="R595" s="84" t="n"/>
      <c r="S595" s="84" t="n"/>
      <c r="T595" s="84" t="n"/>
      <c r="U595" s="84" t="n"/>
      <c r="V595" s="84" t="n"/>
      <c r="W595" s="84" t="n"/>
      <c r="X595" s="84" t="n"/>
      <c r="Y595" s="84" t="n"/>
      <c r="Z595" s="84" t="n"/>
      <c r="AA595" s="84" t="n"/>
      <c r="AB595" s="84" t="n"/>
      <c r="AC595" s="84" t="n"/>
      <c r="AD595" s="84" t="n"/>
    </row>
    <row r="596" ht="30" customHeight="1" s="176">
      <c r="A596" s="122" t="inlineStr">
        <is>
          <t>Talla Calzado MX – Mujer (con ancho)</t>
        </is>
      </c>
      <c r="B596" s="123" t="n">
        <v>26.5</v>
      </c>
      <c r="C596" s="123" t="inlineStr">
        <is>
          <t>9.5 RS</t>
        </is>
      </c>
      <c r="D596" s="122" t="inlineStr">
        <is>
          <t>Igual regla</t>
        </is>
      </c>
      <c r="E596" s="183" t="n"/>
      <c r="F596" s="84" t="n"/>
      <c r="G596" s="84" t="n"/>
      <c r="H596" s="84" t="n"/>
      <c r="I596" s="84" t="n"/>
      <c r="J596" s="84" t="n"/>
      <c r="K596" s="84" t="n"/>
      <c r="L596" s="84" t="n"/>
      <c r="M596" s="84" t="n"/>
      <c r="N596" s="84" t="n"/>
      <c r="O596" s="84" t="n"/>
      <c r="P596" s="84" t="n"/>
      <c r="Q596" s="84" t="n"/>
      <c r="R596" s="84" t="n"/>
      <c r="S596" s="84" t="n"/>
      <c r="T596" s="84" t="n"/>
      <c r="U596" s="84" t="n"/>
      <c r="V596" s="84" t="n"/>
      <c r="W596" s="84" t="n"/>
      <c r="X596" s="84" t="n"/>
      <c r="Y596" s="84" t="n"/>
      <c r="Z596" s="84" t="n"/>
      <c r="AA596" s="84" t="n"/>
      <c r="AB596" s="84" t="n"/>
      <c r="AC596" s="84" t="n"/>
      <c r="AD596" s="84" t="n"/>
    </row>
    <row r="597" ht="30" customHeight="1" s="176">
      <c r="A597" s="122" t="inlineStr">
        <is>
          <t>Talla Calzado MX – Mujer (con ancho)</t>
        </is>
      </c>
      <c r="B597" s="123" t="n">
        <v>26.5</v>
      </c>
      <c r="C597" s="123" t="inlineStr">
        <is>
          <t>9.5 RT</t>
        </is>
      </c>
      <c r="D597" s="122" t="inlineStr">
        <is>
          <t>Igual regla</t>
        </is>
      </c>
      <c r="E597" s="183" t="n"/>
      <c r="F597" s="84" t="n"/>
      <c r="G597" s="84" t="n"/>
      <c r="H597" s="84" t="n"/>
      <c r="I597" s="84" t="n"/>
      <c r="J597" s="84" t="n"/>
      <c r="K597" s="84" t="n"/>
      <c r="L597" s="84" t="n"/>
      <c r="M597" s="84" t="n"/>
      <c r="N597" s="84" t="n"/>
      <c r="O597" s="84" t="n"/>
      <c r="P597" s="84" t="n"/>
      <c r="Q597" s="84" t="n"/>
      <c r="R597" s="84" t="n"/>
      <c r="S597" s="84" t="n"/>
      <c r="T597" s="84" t="n"/>
      <c r="U597" s="84" t="n"/>
      <c r="V597" s="84" t="n"/>
      <c r="W597" s="84" t="n"/>
      <c r="X597" s="84" t="n"/>
      <c r="Y597" s="84" t="n"/>
      <c r="Z597" s="84" t="n"/>
      <c r="AA597" s="84" t="n"/>
      <c r="AB597" s="84" t="n"/>
      <c r="AC597" s="84" t="n"/>
      <c r="AD597" s="84" t="n"/>
    </row>
    <row r="598" ht="30" customHeight="1" s="176">
      <c r="A598" s="122" t="inlineStr">
        <is>
          <t>Talla Calzado MX – Mujer (con ancho)</t>
        </is>
      </c>
      <c r="B598" s="123" t="n">
        <v>26.5</v>
      </c>
      <c r="C598" s="123" t="inlineStr">
        <is>
          <t>9.5 SM</t>
        </is>
      </c>
      <c r="D598" s="122" t="inlineStr">
        <is>
          <t>Igual regla</t>
        </is>
      </c>
      <c r="E598" s="183" t="n"/>
      <c r="F598" s="84" t="n"/>
      <c r="G598" s="84" t="n"/>
      <c r="H598" s="84" t="n"/>
      <c r="I598" s="84" t="n"/>
      <c r="J598" s="84" t="n"/>
      <c r="K598" s="84" t="n"/>
      <c r="L598" s="84" t="n"/>
      <c r="M598" s="84" t="n"/>
      <c r="N598" s="84" t="n"/>
      <c r="O598" s="84" t="n"/>
      <c r="P598" s="84" t="n"/>
      <c r="Q598" s="84" t="n"/>
      <c r="R598" s="84" t="n"/>
      <c r="S598" s="84" t="n"/>
      <c r="T598" s="84" t="n"/>
      <c r="U598" s="84" t="n"/>
      <c r="V598" s="84" t="n"/>
      <c r="W598" s="84" t="n"/>
      <c r="X598" s="84" t="n"/>
      <c r="Y598" s="84" t="n"/>
      <c r="Z598" s="84" t="n"/>
      <c r="AA598" s="84" t="n"/>
      <c r="AB598" s="84" t="n"/>
      <c r="AC598" s="84" t="n"/>
      <c r="AD598" s="84" t="n"/>
    </row>
    <row r="599" ht="30" customHeight="1" s="176">
      <c r="A599" s="122" t="inlineStr">
        <is>
          <t>Talla Calzado MX – Mujer (con ancho)</t>
        </is>
      </c>
      <c r="B599" s="123" t="n">
        <v>26.5</v>
      </c>
      <c r="C599" s="123" t="inlineStr">
        <is>
          <t>9.5 SS</t>
        </is>
      </c>
      <c r="D599" s="122" t="inlineStr">
        <is>
          <t>Igual regla</t>
        </is>
      </c>
      <c r="E599" s="183" t="n"/>
      <c r="F599" s="84" t="n"/>
      <c r="G599" s="84" t="n"/>
      <c r="H599" s="84" t="n"/>
      <c r="I599" s="84" t="n"/>
      <c r="J599" s="84" t="n"/>
      <c r="K599" s="84" t="n"/>
      <c r="L599" s="84" t="n"/>
      <c r="M599" s="84" t="n"/>
      <c r="N599" s="84" t="n"/>
      <c r="O599" s="84" t="n"/>
      <c r="P599" s="84" t="n"/>
      <c r="Q599" s="84" t="n"/>
      <c r="R599" s="84" t="n"/>
      <c r="S599" s="84" t="n"/>
      <c r="T599" s="84" t="n"/>
      <c r="U599" s="84" t="n"/>
      <c r="V599" s="84" t="n"/>
      <c r="W599" s="84" t="n"/>
      <c r="X599" s="84" t="n"/>
      <c r="Y599" s="84" t="n"/>
      <c r="Z599" s="84" t="n"/>
      <c r="AA599" s="84" t="n"/>
      <c r="AB599" s="84" t="n"/>
      <c r="AC599" s="84" t="n"/>
      <c r="AD599" s="84" t="n"/>
    </row>
    <row r="600" ht="30" customHeight="1" s="176">
      <c r="A600" s="122" t="inlineStr">
        <is>
          <t>Talla Calzado MX – Mujer (con ancho)</t>
        </is>
      </c>
      <c r="B600" s="123" t="n">
        <v>26.5</v>
      </c>
      <c r="C600" s="123" t="inlineStr">
        <is>
          <t>9.5 ST</t>
        </is>
      </c>
      <c r="D600" s="122" t="inlineStr">
        <is>
          <t>Igual regla</t>
        </is>
      </c>
      <c r="E600" s="183" t="n"/>
      <c r="F600" s="84" t="n"/>
      <c r="G600" s="84" t="n"/>
      <c r="H600" s="84" t="n"/>
      <c r="I600" s="84" t="n"/>
      <c r="J600" s="84" t="n"/>
      <c r="K600" s="84" t="n"/>
      <c r="L600" s="84" t="n"/>
      <c r="M600" s="84" t="n"/>
      <c r="N600" s="84" t="n"/>
      <c r="O600" s="84" t="n"/>
      <c r="P600" s="84" t="n"/>
      <c r="Q600" s="84" t="n"/>
      <c r="R600" s="84" t="n"/>
      <c r="S600" s="84" t="n"/>
      <c r="T600" s="84" t="n"/>
      <c r="U600" s="84" t="n"/>
      <c r="V600" s="84" t="n"/>
      <c r="W600" s="84" t="n"/>
      <c r="X600" s="84" t="n"/>
      <c r="Y600" s="84" t="n"/>
      <c r="Z600" s="84" t="n"/>
      <c r="AA600" s="84" t="n"/>
      <c r="AB600" s="84" t="n"/>
      <c r="AC600" s="84" t="n"/>
      <c r="AD600" s="84" t="n"/>
    </row>
    <row r="601" ht="30" customHeight="1" s="176">
      <c r="A601" s="122" t="inlineStr">
        <is>
          <t>Talla Calzado MX – Mujer (con ancho)</t>
        </is>
      </c>
      <c r="B601" s="123" t="n">
        <v>26.5</v>
      </c>
      <c r="C601" s="123" t="inlineStr">
        <is>
          <t>9.5 WM</t>
        </is>
      </c>
      <c r="D601" s="122" t="inlineStr">
        <is>
          <t>Igual regla</t>
        </is>
      </c>
      <c r="E601" s="183" t="n"/>
      <c r="F601" s="84" t="n"/>
      <c r="G601" s="84" t="n"/>
      <c r="H601" s="84" t="n"/>
      <c r="I601" s="84" t="n"/>
      <c r="J601" s="84" t="n"/>
      <c r="K601" s="84" t="n"/>
      <c r="L601" s="84" t="n"/>
      <c r="M601" s="84" t="n"/>
      <c r="N601" s="84" t="n"/>
      <c r="O601" s="84" t="n"/>
      <c r="P601" s="84" t="n"/>
      <c r="Q601" s="84" t="n"/>
      <c r="R601" s="84" t="n"/>
      <c r="S601" s="84" t="n"/>
      <c r="T601" s="84" t="n"/>
      <c r="U601" s="84" t="n"/>
      <c r="V601" s="84" t="n"/>
      <c r="W601" s="84" t="n"/>
      <c r="X601" s="84" t="n"/>
      <c r="Y601" s="84" t="n"/>
      <c r="Z601" s="84" t="n"/>
      <c r="AA601" s="84" t="n"/>
      <c r="AB601" s="84" t="n"/>
      <c r="AC601" s="84" t="n"/>
      <c r="AD601" s="84" t="n"/>
    </row>
    <row r="602" ht="30" customHeight="1" s="176">
      <c r="A602" s="122" t="inlineStr">
        <is>
          <t>Talla Calzado MX – Mujer (con ancho)</t>
        </is>
      </c>
      <c r="B602" s="123" t="n">
        <v>26.5</v>
      </c>
      <c r="C602" s="123" t="inlineStr">
        <is>
          <t>9.5 WS</t>
        </is>
      </c>
      <c r="D602" s="122" t="inlineStr">
        <is>
          <t>Igual regla</t>
        </is>
      </c>
      <c r="E602" s="183" t="n"/>
      <c r="F602" s="84" t="n"/>
      <c r="G602" s="84" t="n"/>
      <c r="H602" s="84" t="n"/>
      <c r="I602" s="84" t="n"/>
      <c r="J602" s="84" t="n"/>
      <c r="K602" s="84" t="n"/>
      <c r="L602" s="84" t="n"/>
      <c r="M602" s="84" t="n"/>
      <c r="N602" s="84" t="n"/>
      <c r="O602" s="84" t="n"/>
      <c r="P602" s="84" t="n"/>
      <c r="Q602" s="84" t="n"/>
      <c r="R602" s="84" t="n"/>
      <c r="S602" s="84" t="n"/>
      <c r="T602" s="84" t="n"/>
      <c r="U602" s="84" t="n"/>
      <c r="V602" s="84" t="n"/>
      <c r="W602" s="84" t="n"/>
      <c r="X602" s="84" t="n"/>
      <c r="Y602" s="84" t="n"/>
      <c r="Z602" s="84" t="n"/>
      <c r="AA602" s="84" t="n"/>
      <c r="AB602" s="84" t="n"/>
      <c r="AC602" s="84" t="n"/>
      <c r="AD602" s="84" t="n"/>
    </row>
    <row r="603" ht="30" customHeight="1" s="176">
      <c r="A603" s="122" t="inlineStr">
        <is>
          <t>Talla Calzado MX – Mujer (con ancho)</t>
        </is>
      </c>
      <c r="B603" s="123" t="n">
        <v>26.5</v>
      </c>
      <c r="C603" s="123" t="inlineStr">
        <is>
          <t>9.5 WT</t>
        </is>
      </c>
      <c r="D603" s="122" t="inlineStr">
        <is>
          <t>Igual regla</t>
        </is>
      </c>
      <c r="E603" s="183" t="n"/>
      <c r="F603" s="84" t="n"/>
      <c r="G603" s="84" t="n"/>
      <c r="H603" s="84" t="n"/>
      <c r="I603" s="84" t="n"/>
      <c r="J603" s="84" t="n"/>
      <c r="K603" s="84" t="n"/>
      <c r="L603" s="84" t="n"/>
      <c r="M603" s="84" t="n"/>
      <c r="N603" s="84" t="n"/>
      <c r="O603" s="84" t="n"/>
      <c r="P603" s="84" t="n"/>
      <c r="Q603" s="84" t="n"/>
      <c r="R603" s="84" t="n"/>
      <c r="S603" s="84" t="n"/>
      <c r="T603" s="84" t="n"/>
      <c r="U603" s="84" t="n"/>
      <c r="V603" s="84" t="n"/>
      <c r="W603" s="84" t="n"/>
      <c r="X603" s="84" t="n"/>
      <c r="Y603" s="84" t="n"/>
      <c r="Z603" s="84" t="n"/>
      <c r="AA603" s="84" t="n"/>
      <c r="AB603" s="84" t="n"/>
      <c r="AC603" s="84" t="n"/>
      <c r="AD603" s="84" t="n"/>
    </row>
    <row r="604" ht="30" customHeight="1" s="176">
      <c r="A604" s="122" t="inlineStr">
        <is>
          <t>Talla Calzado MX – Mujer (con ancho)</t>
        </is>
      </c>
      <c r="B604" s="123" t="n">
        <v>26.5</v>
      </c>
      <c r="C604" s="123" t="inlineStr">
        <is>
          <t>9.5 XSM</t>
        </is>
      </c>
      <c r="D604" s="122" t="inlineStr">
        <is>
          <t>Igual regla</t>
        </is>
      </c>
      <c r="E604" s="183" t="n"/>
      <c r="F604" s="84" t="n"/>
      <c r="G604" s="84" t="n"/>
      <c r="H604" s="84" t="n"/>
      <c r="I604" s="84" t="n"/>
      <c r="J604" s="84" t="n"/>
      <c r="K604" s="84" t="n"/>
      <c r="L604" s="84" t="n"/>
      <c r="M604" s="84" t="n"/>
      <c r="N604" s="84" t="n"/>
      <c r="O604" s="84" t="n"/>
      <c r="P604" s="84" t="n"/>
      <c r="Q604" s="84" t="n"/>
      <c r="R604" s="84" t="n"/>
      <c r="S604" s="84" t="n"/>
      <c r="T604" s="84" t="n"/>
      <c r="U604" s="84" t="n"/>
      <c r="V604" s="84" t="n"/>
      <c r="W604" s="84" t="n"/>
      <c r="X604" s="84" t="n"/>
      <c r="Y604" s="84" t="n"/>
      <c r="Z604" s="84" t="n"/>
      <c r="AA604" s="84" t="n"/>
      <c r="AB604" s="84" t="n"/>
      <c r="AC604" s="84" t="n"/>
      <c r="AD604" s="84" t="n"/>
    </row>
    <row r="605" ht="30" customHeight="1" s="176">
      <c r="A605" s="122" t="inlineStr">
        <is>
          <t>Talla Calzado MX – Mujer (con ancho)</t>
        </is>
      </c>
      <c r="B605" s="123" t="n">
        <v>26.5</v>
      </c>
      <c r="C605" s="123" t="inlineStr">
        <is>
          <t>9.5 XST</t>
        </is>
      </c>
      <c r="D605" s="122" t="inlineStr">
        <is>
          <t>Igual regla</t>
        </is>
      </c>
      <c r="E605" s="183" t="n"/>
      <c r="F605" s="84" t="n"/>
      <c r="G605" s="84" t="n"/>
      <c r="H605" s="84" t="n"/>
      <c r="I605" s="84" t="n"/>
      <c r="J605" s="84" t="n"/>
      <c r="K605" s="84" t="n"/>
      <c r="L605" s="84" t="n"/>
      <c r="M605" s="84" t="n"/>
      <c r="N605" s="84" t="n"/>
      <c r="O605" s="84" t="n"/>
      <c r="P605" s="84" t="n"/>
      <c r="Q605" s="84" t="n"/>
      <c r="R605" s="84" t="n"/>
      <c r="S605" s="84" t="n"/>
      <c r="T605" s="84" t="n"/>
      <c r="U605" s="84" t="n"/>
      <c r="V605" s="84" t="n"/>
      <c r="W605" s="84" t="n"/>
      <c r="X605" s="84" t="n"/>
      <c r="Y605" s="84" t="n"/>
      <c r="Z605" s="84" t="n"/>
      <c r="AA605" s="84" t="n"/>
      <c r="AB605" s="84" t="n"/>
      <c r="AC605" s="84" t="n"/>
      <c r="AD605" s="84" t="n"/>
    </row>
    <row r="606" ht="30" customHeight="1" s="176">
      <c r="A606" s="122" t="inlineStr">
        <is>
          <t>Talla Calzado MX – Mujer (con ancho)</t>
        </is>
      </c>
      <c r="B606" s="123" t="n">
        <v>26.5</v>
      </c>
      <c r="C606" s="123" t="inlineStr">
        <is>
          <t>9.5 XWM</t>
        </is>
      </c>
      <c r="D606" s="122" t="inlineStr">
        <is>
          <t>Igual regla</t>
        </is>
      </c>
      <c r="E606" s="183" t="n"/>
      <c r="F606" s="84" t="n"/>
      <c r="G606" s="84" t="n"/>
      <c r="H606" s="84" t="n"/>
      <c r="I606" s="84" t="n"/>
      <c r="J606" s="84" t="n"/>
      <c r="K606" s="84" t="n"/>
      <c r="L606" s="84" t="n"/>
      <c r="M606" s="84" t="n"/>
      <c r="N606" s="84" t="n"/>
      <c r="O606" s="84" t="n"/>
      <c r="P606" s="84" t="n"/>
      <c r="Q606" s="84" t="n"/>
      <c r="R606" s="84" t="n"/>
      <c r="S606" s="84" t="n"/>
      <c r="T606" s="84" t="n"/>
      <c r="U606" s="84" t="n"/>
      <c r="V606" s="84" t="n"/>
      <c r="W606" s="84" t="n"/>
      <c r="X606" s="84" t="n"/>
      <c r="Y606" s="84" t="n"/>
      <c r="Z606" s="84" t="n"/>
      <c r="AA606" s="84" t="n"/>
      <c r="AB606" s="84" t="n"/>
      <c r="AC606" s="84" t="n"/>
      <c r="AD606" s="84" t="n"/>
    </row>
    <row r="607" ht="30" customHeight="1" s="176">
      <c r="A607" s="122" t="inlineStr">
        <is>
          <t>Talla Calzado MX – Mujer (con ancho)</t>
        </is>
      </c>
      <c r="B607" s="123" t="n">
        <v>27</v>
      </c>
      <c r="C607" s="123" t="inlineStr">
        <is>
          <t>10 B</t>
        </is>
      </c>
      <c r="D607" s="122" t="inlineStr">
        <is>
          <t>Igual regla</t>
        </is>
      </c>
      <c r="E607" s="183" t="n"/>
      <c r="F607" s="84" t="n"/>
      <c r="G607" s="84" t="n"/>
      <c r="H607" s="84" t="n"/>
      <c r="I607" s="84" t="n"/>
      <c r="J607" s="84" t="n"/>
      <c r="K607" s="84" t="n"/>
      <c r="L607" s="84" t="n"/>
      <c r="M607" s="84" t="n"/>
      <c r="N607" s="84" t="n"/>
      <c r="O607" s="84" t="n"/>
      <c r="P607" s="84" t="n"/>
      <c r="Q607" s="84" t="n"/>
      <c r="R607" s="84" t="n"/>
      <c r="S607" s="84" t="n"/>
      <c r="T607" s="84" t="n"/>
      <c r="U607" s="84" t="n"/>
      <c r="V607" s="84" t="n"/>
      <c r="W607" s="84" t="n"/>
      <c r="X607" s="84" t="n"/>
      <c r="Y607" s="84" t="n"/>
      <c r="Z607" s="84" t="n"/>
      <c r="AA607" s="84" t="n"/>
      <c r="AB607" s="84" t="n"/>
      <c r="AC607" s="84" t="n"/>
      <c r="AD607" s="84" t="n"/>
    </row>
    <row r="608" ht="30" customHeight="1" s="176">
      <c r="A608" s="122" t="inlineStr">
        <is>
          <t>Talla Calzado MX – Mujer (con ancho)</t>
        </is>
      </c>
      <c r="B608" s="123" t="n">
        <v>27</v>
      </c>
      <c r="C608" s="123" t="inlineStr">
        <is>
          <t>10 C</t>
        </is>
      </c>
      <c r="D608" s="122" t="inlineStr">
        <is>
          <t>Igual regla</t>
        </is>
      </c>
      <c r="E608" s="183" t="n"/>
      <c r="F608" s="84" t="n"/>
      <c r="G608" s="84" t="n"/>
      <c r="H608" s="84" t="n"/>
      <c r="I608" s="84" t="n"/>
      <c r="J608" s="84" t="n"/>
      <c r="K608" s="84" t="n"/>
      <c r="L608" s="84" t="n"/>
      <c r="M608" s="84" t="n"/>
      <c r="N608" s="84" t="n"/>
      <c r="O608" s="84" t="n"/>
      <c r="P608" s="84" t="n"/>
      <c r="Q608" s="84" t="n"/>
      <c r="R608" s="84" t="n"/>
      <c r="S608" s="84" t="n"/>
      <c r="T608" s="84" t="n"/>
      <c r="U608" s="84" t="n"/>
      <c r="V608" s="84" t="n"/>
      <c r="W608" s="84" t="n"/>
      <c r="X608" s="84" t="n"/>
      <c r="Y608" s="84" t="n"/>
      <c r="Z608" s="84" t="n"/>
      <c r="AA608" s="84" t="n"/>
      <c r="AB608" s="84" t="n"/>
      <c r="AC608" s="84" t="n"/>
      <c r="AD608" s="84" t="n"/>
    </row>
    <row r="609" ht="30" customHeight="1" s="176">
      <c r="A609" s="122" t="inlineStr">
        <is>
          <t>Talla Calzado MX – Mujer (con ancho)</t>
        </is>
      </c>
      <c r="B609" s="123" t="n">
        <v>27</v>
      </c>
      <c r="C609" s="123" t="inlineStr">
        <is>
          <t>10 FM</t>
        </is>
      </c>
      <c r="D609" s="122" t="inlineStr">
        <is>
          <t>Igual regla</t>
        </is>
      </c>
      <c r="E609" s="183" t="n"/>
      <c r="F609" s="84" t="n"/>
      <c r="G609" s="84" t="n"/>
      <c r="H609" s="84" t="n"/>
      <c r="I609" s="84" t="n"/>
      <c r="J609" s="84" t="n"/>
      <c r="K609" s="84" t="n"/>
      <c r="L609" s="84" t="n"/>
      <c r="M609" s="84" t="n"/>
      <c r="N609" s="84" t="n"/>
      <c r="O609" s="84" t="n"/>
      <c r="P609" s="84" t="n"/>
      <c r="Q609" s="84" t="n"/>
      <c r="R609" s="84" t="n"/>
      <c r="S609" s="84" t="n"/>
      <c r="T609" s="84" t="n"/>
      <c r="U609" s="84" t="n"/>
      <c r="V609" s="84" t="n"/>
      <c r="W609" s="84" t="n"/>
      <c r="X609" s="84" t="n"/>
      <c r="Y609" s="84" t="n"/>
      <c r="Z609" s="84" t="n"/>
      <c r="AA609" s="84" t="n"/>
      <c r="AB609" s="84" t="n"/>
      <c r="AC609" s="84" t="n"/>
      <c r="AD609" s="84" t="n"/>
    </row>
    <row r="610" ht="30" customHeight="1" s="176">
      <c r="A610" s="122" t="inlineStr">
        <is>
          <t>Talla Calzado MX – Mujer (con ancho)</t>
        </is>
      </c>
      <c r="B610" s="123" t="n">
        <v>27</v>
      </c>
      <c r="C610" s="123" t="inlineStr">
        <is>
          <t>10 FT</t>
        </is>
      </c>
      <c r="D610" s="122" t="inlineStr">
        <is>
          <t>Igual regla</t>
        </is>
      </c>
      <c r="E610" s="183" t="n"/>
      <c r="F610" s="84" t="n"/>
      <c r="G610" s="84" t="n"/>
      <c r="H610" s="84" t="n"/>
      <c r="I610" s="84" t="n"/>
      <c r="J610" s="84" t="n"/>
      <c r="K610" s="84" t="n"/>
      <c r="L610" s="84" t="n"/>
      <c r="M610" s="84" t="n"/>
      <c r="N610" s="84" t="n"/>
      <c r="O610" s="84" t="n"/>
      <c r="P610" s="84" t="n"/>
      <c r="Q610" s="84" t="n"/>
      <c r="R610" s="84" t="n"/>
      <c r="S610" s="84" t="n"/>
      <c r="T610" s="84" t="n"/>
      <c r="U610" s="84" t="n"/>
      <c r="V610" s="84" t="n"/>
      <c r="W610" s="84" t="n"/>
      <c r="X610" s="84" t="n"/>
      <c r="Y610" s="84" t="n"/>
      <c r="Z610" s="84" t="n"/>
      <c r="AA610" s="84" t="n"/>
      <c r="AB610" s="84" t="n"/>
      <c r="AC610" s="84" t="n"/>
      <c r="AD610" s="84" t="n"/>
    </row>
    <row r="611" ht="30" customHeight="1" s="176">
      <c r="A611" s="122" t="inlineStr">
        <is>
          <t>Talla Calzado MX – Mujer (con ancho)</t>
        </is>
      </c>
      <c r="B611" s="123" t="n">
        <v>27</v>
      </c>
      <c r="C611" s="123" t="inlineStr">
        <is>
          <t>10 RM</t>
        </is>
      </c>
      <c r="D611" s="122" t="inlineStr">
        <is>
          <t>Igual regla</t>
        </is>
      </c>
      <c r="E611" s="183" t="n"/>
      <c r="F611" s="84" t="n"/>
      <c r="G611" s="84" t="n"/>
      <c r="H611" s="84" t="n"/>
      <c r="I611" s="84" t="n"/>
      <c r="J611" s="84" t="n"/>
      <c r="K611" s="84" t="n"/>
      <c r="L611" s="84" t="n"/>
      <c r="M611" s="84" t="n"/>
      <c r="N611" s="84" t="n"/>
      <c r="O611" s="84" t="n"/>
      <c r="P611" s="84" t="n"/>
      <c r="Q611" s="84" t="n"/>
      <c r="R611" s="84" t="n"/>
      <c r="S611" s="84" t="n"/>
      <c r="T611" s="84" t="n"/>
      <c r="U611" s="84" t="n"/>
      <c r="V611" s="84" t="n"/>
      <c r="W611" s="84" t="n"/>
      <c r="X611" s="84" t="n"/>
      <c r="Y611" s="84" t="n"/>
      <c r="Z611" s="84" t="n"/>
      <c r="AA611" s="84" t="n"/>
      <c r="AB611" s="84" t="n"/>
      <c r="AC611" s="84" t="n"/>
      <c r="AD611" s="84" t="n"/>
    </row>
    <row r="612" ht="30" customHeight="1" s="176">
      <c r="A612" s="122" t="inlineStr">
        <is>
          <t>Talla Calzado MX – Mujer (con ancho)</t>
        </is>
      </c>
      <c r="B612" s="123" t="n">
        <v>27</v>
      </c>
      <c r="C612" s="123" t="inlineStr">
        <is>
          <t>10 RS</t>
        </is>
      </c>
      <c r="D612" s="122" t="inlineStr">
        <is>
          <t>Igual regla</t>
        </is>
      </c>
      <c r="E612" s="183" t="n"/>
      <c r="F612" s="84" t="n"/>
      <c r="G612" s="84" t="n"/>
      <c r="H612" s="84" t="n"/>
      <c r="I612" s="84" t="n"/>
      <c r="J612" s="84" t="n"/>
      <c r="K612" s="84" t="n"/>
      <c r="L612" s="84" t="n"/>
      <c r="M612" s="84" t="n"/>
      <c r="N612" s="84" t="n"/>
      <c r="O612" s="84" t="n"/>
      <c r="P612" s="84" t="n"/>
      <c r="Q612" s="84" t="n"/>
      <c r="R612" s="84" t="n"/>
      <c r="S612" s="84" t="n"/>
      <c r="T612" s="84" t="n"/>
      <c r="U612" s="84" t="n"/>
      <c r="V612" s="84" t="n"/>
      <c r="W612" s="84" t="n"/>
      <c r="X612" s="84" t="n"/>
      <c r="Y612" s="84" t="n"/>
      <c r="Z612" s="84" t="n"/>
      <c r="AA612" s="84" t="n"/>
      <c r="AB612" s="84" t="n"/>
      <c r="AC612" s="84" t="n"/>
      <c r="AD612" s="84" t="n"/>
    </row>
    <row r="613" ht="30" customHeight="1" s="176">
      <c r="A613" s="122" t="inlineStr">
        <is>
          <t>Talla Calzado MX – Mujer (con ancho)</t>
        </is>
      </c>
      <c r="B613" s="123" t="n">
        <v>27</v>
      </c>
      <c r="C613" s="123" t="inlineStr">
        <is>
          <t>10 RT</t>
        </is>
      </c>
      <c r="D613" s="122" t="inlineStr">
        <is>
          <t>Igual regla</t>
        </is>
      </c>
      <c r="E613" s="183" t="n"/>
      <c r="F613" s="84" t="n"/>
      <c r="G613" s="84" t="n"/>
      <c r="H613" s="84" t="n"/>
      <c r="I613" s="84" t="n"/>
      <c r="J613" s="84" t="n"/>
      <c r="K613" s="84" t="n"/>
      <c r="L613" s="84" t="n"/>
      <c r="M613" s="84" t="n"/>
      <c r="N613" s="84" t="n"/>
      <c r="O613" s="84" t="n"/>
      <c r="P613" s="84" t="n"/>
      <c r="Q613" s="84" t="n"/>
      <c r="R613" s="84" t="n"/>
      <c r="S613" s="84" t="n"/>
      <c r="T613" s="84" t="n"/>
      <c r="U613" s="84" t="n"/>
      <c r="V613" s="84" t="n"/>
      <c r="W613" s="84" t="n"/>
      <c r="X613" s="84" t="n"/>
      <c r="Y613" s="84" t="n"/>
      <c r="Z613" s="84" t="n"/>
      <c r="AA613" s="84" t="n"/>
      <c r="AB613" s="84" t="n"/>
      <c r="AC613" s="84" t="n"/>
      <c r="AD613" s="84" t="n"/>
    </row>
    <row r="614" ht="30" customHeight="1" s="176">
      <c r="A614" s="122" t="inlineStr">
        <is>
          <t>Talla Calzado MX – Mujer (con ancho)</t>
        </is>
      </c>
      <c r="B614" s="123" t="n">
        <v>27</v>
      </c>
      <c r="C614" s="123" t="inlineStr">
        <is>
          <t>10 SM</t>
        </is>
      </c>
      <c r="D614" s="122" t="inlineStr">
        <is>
          <t>Igual regla</t>
        </is>
      </c>
      <c r="E614" s="183" t="n"/>
      <c r="F614" s="84" t="n"/>
      <c r="G614" s="84" t="n"/>
      <c r="H614" s="84" t="n"/>
      <c r="I614" s="84" t="n"/>
      <c r="J614" s="84" t="n"/>
      <c r="K614" s="84" t="n"/>
      <c r="L614" s="84" t="n"/>
      <c r="M614" s="84" t="n"/>
      <c r="N614" s="84" t="n"/>
      <c r="O614" s="84" t="n"/>
      <c r="P614" s="84" t="n"/>
      <c r="Q614" s="84" t="n"/>
      <c r="R614" s="84" t="n"/>
      <c r="S614" s="84" t="n"/>
      <c r="T614" s="84" t="n"/>
      <c r="U614" s="84" t="n"/>
      <c r="V614" s="84" t="n"/>
      <c r="W614" s="84" t="n"/>
      <c r="X614" s="84" t="n"/>
      <c r="Y614" s="84" t="n"/>
      <c r="Z614" s="84" t="n"/>
      <c r="AA614" s="84" t="n"/>
      <c r="AB614" s="84" t="n"/>
      <c r="AC614" s="84" t="n"/>
      <c r="AD614" s="84" t="n"/>
    </row>
    <row r="615" ht="30" customHeight="1" s="176">
      <c r="A615" s="122" t="inlineStr">
        <is>
          <t>Talla Calzado MX – Mujer (con ancho)</t>
        </is>
      </c>
      <c r="B615" s="123" t="n">
        <v>27</v>
      </c>
      <c r="C615" s="123" t="inlineStr">
        <is>
          <t>10 ST</t>
        </is>
      </c>
      <c r="D615" s="122" t="inlineStr">
        <is>
          <t>Igual regla</t>
        </is>
      </c>
      <c r="E615" s="183" t="n"/>
      <c r="F615" s="84" t="n"/>
      <c r="G615" s="84" t="n"/>
      <c r="H615" s="84" t="n"/>
      <c r="I615" s="84" t="n"/>
      <c r="J615" s="84" t="n"/>
      <c r="K615" s="84" t="n"/>
      <c r="L615" s="84" t="n"/>
      <c r="M615" s="84" t="n"/>
      <c r="N615" s="84" t="n"/>
      <c r="O615" s="84" t="n"/>
      <c r="P615" s="84" t="n"/>
      <c r="Q615" s="84" t="n"/>
      <c r="R615" s="84" t="n"/>
      <c r="S615" s="84" t="n"/>
      <c r="T615" s="84" t="n"/>
      <c r="U615" s="84" t="n"/>
      <c r="V615" s="84" t="n"/>
      <c r="W615" s="84" t="n"/>
      <c r="X615" s="84" t="n"/>
      <c r="Y615" s="84" t="n"/>
      <c r="Z615" s="84" t="n"/>
      <c r="AA615" s="84" t="n"/>
      <c r="AB615" s="84" t="n"/>
      <c r="AC615" s="84" t="n"/>
      <c r="AD615" s="84" t="n"/>
    </row>
    <row r="616" ht="30" customHeight="1" s="176">
      <c r="A616" s="122" t="inlineStr">
        <is>
          <t>Talla Calzado MX – Mujer (con ancho)</t>
        </is>
      </c>
      <c r="B616" s="123" t="n">
        <v>27</v>
      </c>
      <c r="C616" s="123" t="inlineStr">
        <is>
          <t>10 WM</t>
        </is>
      </c>
      <c r="D616" s="122" t="inlineStr">
        <is>
          <t>Igual regla</t>
        </is>
      </c>
      <c r="E616" s="183" t="n"/>
      <c r="F616" s="84" t="n"/>
      <c r="G616" s="84" t="n"/>
      <c r="H616" s="84" t="n"/>
      <c r="I616" s="84" t="n"/>
      <c r="J616" s="84" t="n"/>
      <c r="K616" s="84" t="n"/>
      <c r="L616" s="84" t="n"/>
      <c r="M616" s="84" t="n"/>
      <c r="N616" s="84" t="n"/>
      <c r="O616" s="84" t="n"/>
      <c r="P616" s="84" t="n"/>
      <c r="Q616" s="84" t="n"/>
      <c r="R616" s="84" t="n"/>
      <c r="S616" s="84" t="n"/>
      <c r="T616" s="84" t="n"/>
      <c r="U616" s="84" t="n"/>
      <c r="V616" s="84" t="n"/>
      <c r="W616" s="84" t="n"/>
      <c r="X616" s="84" t="n"/>
      <c r="Y616" s="84" t="n"/>
      <c r="Z616" s="84" t="n"/>
      <c r="AA616" s="84" t="n"/>
      <c r="AB616" s="84" t="n"/>
      <c r="AC616" s="84" t="n"/>
      <c r="AD616" s="84" t="n"/>
    </row>
    <row r="617" ht="30" customHeight="1" s="176">
      <c r="A617" s="122" t="inlineStr">
        <is>
          <t>Talla Calzado MX – Mujer (con ancho)</t>
        </is>
      </c>
      <c r="B617" s="123" t="n">
        <v>27</v>
      </c>
      <c r="C617" s="123" t="inlineStr">
        <is>
          <t>10 WT</t>
        </is>
      </c>
      <c r="D617" s="122" t="inlineStr">
        <is>
          <t>Igual regla</t>
        </is>
      </c>
      <c r="E617" s="183" t="n"/>
      <c r="F617" s="84" t="n"/>
      <c r="G617" s="84" t="n"/>
      <c r="H617" s="84" t="n"/>
      <c r="I617" s="84" t="n"/>
      <c r="J617" s="84" t="n"/>
      <c r="K617" s="84" t="n"/>
      <c r="L617" s="84" t="n"/>
      <c r="M617" s="84" t="n"/>
      <c r="N617" s="84" t="n"/>
      <c r="O617" s="84" t="n"/>
      <c r="P617" s="84" t="n"/>
      <c r="Q617" s="84" t="n"/>
      <c r="R617" s="84" t="n"/>
      <c r="S617" s="84" t="n"/>
      <c r="T617" s="84" t="n"/>
      <c r="U617" s="84" t="n"/>
      <c r="V617" s="84" t="n"/>
      <c r="W617" s="84" t="n"/>
      <c r="X617" s="84" t="n"/>
      <c r="Y617" s="84" t="n"/>
      <c r="Z617" s="84" t="n"/>
      <c r="AA617" s="84" t="n"/>
      <c r="AB617" s="84" t="n"/>
      <c r="AC617" s="84" t="n"/>
      <c r="AD617" s="84" t="n"/>
    </row>
    <row r="618" ht="30" customHeight="1" s="176">
      <c r="A618" s="122" t="inlineStr">
        <is>
          <t>Talla Calzado MX – Mujer (con ancho)</t>
        </is>
      </c>
      <c r="B618" s="123" t="n">
        <v>27</v>
      </c>
      <c r="C618" s="123" t="inlineStr">
        <is>
          <t>10 XST</t>
        </is>
      </c>
      <c r="D618" s="122" t="inlineStr">
        <is>
          <t>Igual regla</t>
        </is>
      </c>
      <c r="E618" s="183" t="n"/>
      <c r="F618" s="84" t="n"/>
      <c r="G618" s="84" t="n"/>
      <c r="H618" s="84" t="n"/>
      <c r="I618" s="84" t="n"/>
      <c r="J618" s="84" t="n"/>
      <c r="K618" s="84" t="n"/>
      <c r="L618" s="84" t="n"/>
      <c r="M618" s="84" t="n"/>
      <c r="N618" s="84" t="n"/>
      <c r="O618" s="84" t="n"/>
      <c r="P618" s="84" t="n"/>
      <c r="Q618" s="84" t="n"/>
      <c r="R618" s="84" t="n"/>
      <c r="S618" s="84" t="n"/>
      <c r="T618" s="84" t="n"/>
      <c r="U618" s="84" t="n"/>
      <c r="V618" s="84" t="n"/>
      <c r="W618" s="84" t="n"/>
      <c r="X618" s="84" t="n"/>
      <c r="Y618" s="84" t="n"/>
      <c r="Z618" s="84" t="n"/>
      <c r="AA618" s="84" t="n"/>
      <c r="AB618" s="84" t="n"/>
      <c r="AC618" s="84" t="n"/>
      <c r="AD618" s="84" t="n"/>
    </row>
    <row r="619" ht="30" customHeight="1" s="176">
      <c r="A619" s="122" t="inlineStr">
        <is>
          <t>Talla Calzado MX – Mujer (con ancho)</t>
        </is>
      </c>
      <c r="B619" s="123" t="n">
        <v>27</v>
      </c>
      <c r="C619" s="123" t="inlineStr">
        <is>
          <t>10 XWM</t>
        </is>
      </c>
      <c r="D619" s="122" t="inlineStr">
        <is>
          <t>Igual regla</t>
        </is>
      </c>
      <c r="E619" s="183" t="n"/>
      <c r="F619" s="84" t="n"/>
      <c r="G619" s="84" t="n"/>
      <c r="H619" s="84" t="n"/>
      <c r="I619" s="84" t="n"/>
      <c r="J619" s="84" t="n"/>
      <c r="K619" s="84" t="n"/>
      <c r="L619" s="84" t="n"/>
      <c r="M619" s="84" t="n"/>
      <c r="N619" s="84" t="n"/>
      <c r="O619" s="84" t="n"/>
      <c r="P619" s="84" t="n"/>
      <c r="Q619" s="84" t="n"/>
      <c r="R619" s="84" t="n"/>
      <c r="S619" s="84" t="n"/>
      <c r="T619" s="84" t="n"/>
      <c r="U619" s="84" t="n"/>
      <c r="V619" s="84" t="n"/>
      <c r="W619" s="84" t="n"/>
      <c r="X619" s="84" t="n"/>
      <c r="Y619" s="84" t="n"/>
      <c r="Z619" s="84" t="n"/>
      <c r="AA619" s="84" t="n"/>
      <c r="AB619" s="84" t="n"/>
      <c r="AC619" s="84" t="n"/>
      <c r="AD619" s="84" t="n"/>
    </row>
    <row r="620" ht="30" customHeight="1" s="176">
      <c r="A620" s="122" t="inlineStr">
        <is>
          <t>Talla Calzado MX – Mujer (con ancho)</t>
        </is>
      </c>
      <c r="B620" s="123" t="n">
        <v>27.5</v>
      </c>
      <c r="C620" s="123" t="inlineStr">
        <is>
          <t>10.5 B</t>
        </is>
      </c>
      <c r="D620" s="122" t="inlineStr">
        <is>
          <t>Igual regla</t>
        </is>
      </c>
      <c r="E620" s="183" t="n"/>
      <c r="F620" s="84" t="n"/>
      <c r="G620" s="84" t="n"/>
      <c r="H620" s="84" t="n"/>
      <c r="I620" s="84" t="n"/>
      <c r="J620" s="84" t="n"/>
      <c r="K620" s="84" t="n"/>
      <c r="L620" s="84" t="n"/>
      <c r="M620" s="84" t="n"/>
      <c r="N620" s="84" t="n"/>
      <c r="O620" s="84" t="n"/>
      <c r="P620" s="84" t="n"/>
      <c r="Q620" s="84" t="n"/>
      <c r="R620" s="84" t="n"/>
      <c r="S620" s="84" t="n"/>
      <c r="T620" s="84" t="n"/>
      <c r="U620" s="84" t="n"/>
      <c r="V620" s="84" t="n"/>
      <c r="W620" s="84" t="n"/>
      <c r="X620" s="84" t="n"/>
      <c r="Y620" s="84" t="n"/>
      <c r="Z620" s="84" t="n"/>
      <c r="AA620" s="84" t="n"/>
      <c r="AB620" s="84" t="n"/>
      <c r="AC620" s="84" t="n"/>
      <c r="AD620" s="84" t="n"/>
    </row>
    <row r="621" ht="30" customHeight="1" s="176">
      <c r="A621" s="122" t="inlineStr">
        <is>
          <t>Talla Calzado MX – Mujer (con ancho)</t>
        </is>
      </c>
      <c r="B621" s="123" t="n">
        <v>28</v>
      </c>
      <c r="C621" s="123" t="inlineStr">
        <is>
          <t>11 B</t>
        </is>
      </c>
      <c r="D621" s="122" t="inlineStr">
        <is>
          <t>Igual regla</t>
        </is>
      </c>
      <c r="E621" s="183" t="n"/>
      <c r="F621" s="84" t="n"/>
      <c r="G621" s="84" t="n"/>
      <c r="H621" s="84" t="n"/>
      <c r="I621" s="84" t="n"/>
      <c r="J621" s="84" t="n"/>
      <c r="K621" s="84" t="n"/>
      <c r="L621" s="84" t="n"/>
      <c r="M621" s="84" t="n"/>
      <c r="N621" s="84" t="n"/>
      <c r="O621" s="84" t="n"/>
      <c r="P621" s="84" t="n"/>
      <c r="Q621" s="84" t="n"/>
      <c r="R621" s="84" t="n"/>
      <c r="S621" s="84" t="n"/>
      <c r="T621" s="84" t="n"/>
      <c r="U621" s="84" t="n"/>
      <c r="V621" s="84" t="n"/>
      <c r="W621" s="84" t="n"/>
      <c r="X621" s="84" t="n"/>
      <c r="Y621" s="84" t="n"/>
      <c r="Z621" s="84" t="n"/>
      <c r="AA621" s="84" t="n"/>
      <c r="AB621" s="84" t="n"/>
      <c r="AC621" s="84" t="n"/>
      <c r="AD621" s="84" t="n"/>
    </row>
    <row r="622" ht="30" customHeight="1" s="176">
      <c r="A622" s="122" t="inlineStr">
        <is>
          <t>Talla Calzado MX – Mujer (con ancho)</t>
        </is>
      </c>
      <c r="B622" s="123" t="n">
        <v>28</v>
      </c>
      <c r="C622" s="123" t="inlineStr">
        <is>
          <t>11 C</t>
        </is>
      </c>
      <c r="D622" s="122" t="inlineStr">
        <is>
          <t>Igual regla</t>
        </is>
      </c>
      <c r="E622" s="183" t="n"/>
      <c r="F622" s="84" t="n"/>
      <c r="G622" s="84" t="n"/>
      <c r="H622" s="84" t="n"/>
      <c r="I622" s="84" t="n"/>
      <c r="J622" s="84" t="n"/>
      <c r="K622" s="84" t="n"/>
      <c r="L622" s="84" t="n"/>
      <c r="M622" s="84" t="n"/>
      <c r="N622" s="84" t="n"/>
      <c r="O622" s="84" t="n"/>
      <c r="P622" s="84" t="n"/>
      <c r="Q622" s="84" t="n"/>
      <c r="R622" s="84" t="n"/>
      <c r="S622" s="84" t="n"/>
      <c r="T622" s="84" t="n"/>
      <c r="U622" s="84" t="n"/>
      <c r="V622" s="84" t="n"/>
      <c r="W622" s="84" t="n"/>
      <c r="X622" s="84" t="n"/>
      <c r="Y622" s="84" t="n"/>
      <c r="Z622" s="84" t="n"/>
      <c r="AA622" s="84" t="n"/>
      <c r="AB622" s="84" t="n"/>
      <c r="AC622" s="84" t="n"/>
      <c r="AD622" s="84" t="n"/>
    </row>
    <row r="623" ht="30" customHeight="1" s="176">
      <c r="A623" s="122" t="inlineStr">
        <is>
          <t>Talla Calzado MX – Mujer (con ancho)</t>
        </is>
      </c>
      <c r="B623" s="123" t="n">
        <v>28</v>
      </c>
      <c r="C623" s="123" t="inlineStr">
        <is>
          <t>11 FM</t>
        </is>
      </c>
      <c r="D623" s="122" t="inlineStr">
        <is>
          <t>Igual regla</t>
        </is>
      </c>
      <c r="E623" s="183" t="n"/>
      <c r="F623" s="84" t="n"/>
      <c r="G623" s="84" t="n"/>
      <c r="H623" s="84" t="n"/>
      <c r="I623" s="84" t="n"/>
      <c r="J623" s="84" t="n"/>
      <c r="K623" s="84" t="n"/>
      <c r="L623" s="84" t="n"/>
      <c r="M623" s="84" t="n"/>
      <c r="N623" s="84" t="n"/>
      <c r="O623" s="84" t="n"/>
      <c r="P623" s="84" t="n"/>
      <c r="Q623" s="84" t="n"/>
      <c r="R623" s="84" t="n"/>
      <c r="S623" s="84" t="n"/>
      <c r="T623" s="84" t="n"/>
      <c r="U623" s="84" t="n"/>
      <c r="V623" s="84" t="n"/>
      <c r="W623" s="84" t="n"/>
      <c r="X623" s="84" t="n"/>
      <c r="Y623" s="84" t="n"/>
      <c r="Z623" s="84" t="n"/>
      <c r="AA623" s="84" t="n"/>
      <c r="AB623" s="84" t="n"/>
      <c r="AC623" s="84" t="n"/>
      <c r="AD623" s="84" t="n"/>
    </row>
    <row r="624" ht="30" customHeight="1" s="176">
      <c r="A624" s="122" t="inlineStr">
        <is>
          <t>Talla Calzado MX – Mujer (con ancho)</t>
        </is>
      </c>
      <c r="B624" s="123" t="n">
        <v>28</v>
      </c>
      <c r="C624" s="123" t="inlineStr">
        <is>
          <t>11 FT</t>
        </is>
      </c>
      <c r="D624" s="122" t="inlineStr">
        <is>
          <t>Igual regla</t>
        </is>
      </c>
      <c r="E624" s="183" t="n"/>
      <c r="F624" s="84" t="n"/>
      <c r="G624" s="84" t="n"/>
      <c r="H624" s="84" t="n"/>
      <c r="I624" s="84" t="n"/>
      <c r="J624" s="84" t="n"/>
      <c r="K624" s="84" t="n"/>
      <c r="L624" s="84" t="n"/>
      <c r="M624" s="84" t="n"/>
      <c r="N624" s="84" t="n"/>
      <c r="O624" s="84" t="n"/>
      <c r="P624" s="84" t="n"/>
      <c r="Q624" s="84" t="n"/>
      <c r="R624" s="84" t="n"/>
      <c r="S624" s="84" t="n"/>
      <c r="T624" s="84" t="n"/>
      <c r="U624" s="84" t="n"/>
      <c r="V624" s="84" t="n"/>
      <c r="W624" s="84" t="n"/>
      <c r="X624" s="84" t="n"/>
      <c r="Y624" s="84" t="n"/>
      <c r="Z624" s="84" t="n"/>
      <c r="AA624" s="84" t="n"/>
      <c r="AB624" s="84" t="n"/>
      <c r="AC624" s="84" t="n"/>
      <c r="AD624" s="84" t="n"/>
    </row>
    <row r="625" ht="30" customHeight="1" s="176">
      <c r="A625" s="122" t="inlineStr">
        <is>
          <t>Talla Calzado MX – Mujer (con ancho)</t>
        </is>
      </c>
      <c r="B625" s="123" t="n">
        <v>28</v>
      </c>
      <c r="C625" s="123" t="inlineStr">
        <is>
          <t>11 RM</t>
        </is>
      </c>
      <c r="D625" s="122" t="inlineStr">
        <is>
          <t>Igual regla</t>
        </is>
      </c>
      <c r="E625" s="183" t="n"/>
      <c r="F625" s="84" t="n"/>
      <c r="G625" s="84" t="n"/>
      <c r="H625" s="84" t="n"/>
      <c r="I625" s="84" t="n"/>
      <c r="J625" s="84" t="n"/>
      <c r="K625" s="84" t="n"/>
      <c r="L625" s="84" t="n"/>
      <c r="M625" s="84" t="n"/>
      <c r="N625" s="84" t="n"/>
      <c r="O625" s="84" t="n"/>
      <c r="P625" s="84" t="n"/>
      <c r="Q625" s="84" t="n"/>
      <c r="R625" s="84" t="n"/>
      <c r="S625" s="84" t="n"/>
      <c r="T625" s="84" t="n"/>
      <c r="U625" s="84" t="n"/>
      <c r="V625" s="84" t="n"/>
      <c r="W625" s="84" t="n"/>
      <c r="X625" s="84" t="n"/>
      <c r="Y625" s="84" t="n"/>
      <c r="Z625" s="84" t="n"/>
      <c r="AA625" s="84" t="n"/>
      <c r="AB625" s="84" t="n"/>
      <c r="AC625" s="84" t="n"/>
      <c r="AD625" s="84" t="n"/>
    </row>
    <row r="626" ht="30" customHeight="1" s="176">
      <c r="A626" s="122" t="inlineStr">
        <is>
          <t>Talla Calzado MX – Mujer (con ancho)</t>
        </is>
      </c>
      <c r="B626" s="123" t="n">
        <v>28</v>
      </c>
      <c r="C626" s="123" t="inlineStr">
        <is>
          <t>11 RT</t>
        </is>
      </c>
      <c r="D626" s="122" t="inlineStr">
        <is>
          <t>Igual regla</t>
        </is>
      </c>
      <c r="E626" s="183" t="n"/>
      <c r="F626" s="84" t="n"/>
      <c r="G626" s="84" t="n"/>
      <c r="H626" s="84" t="n"/>
      <c r="I626" s="84" t="n"/>
      <c r="J626" s="84" t="n"/>
      <c r="K626" s="84" t="n"/>
      <c r="L626" s="84" t="n"/>
      <c r="M626" s="84" t="n"/>
      <c r="N626" s="84" t="n"/>
      <c r="O626" s="84" t="n"/>
      <c r="P626" s="84" t="n"/>
      <c r="Q626" s="84" t="n"/>
      <c r="R626" s="84" t="n"/>
      <c r="S626" s="84" t="n"/>
      <c r="T626" s="84" t="n"/>
      <c r="U626" s="84" t="n"/>
      <c r="V626" s="84" t="n"/>
      <c r="W626" s="84" t="n"/>
      <c r="X626" s="84" t="n"/>
      <c r="Y626" s="84" t="n"/>
      <c r="Z626" s="84" t="n"/>
      <c r="AA626" s="84" t="n"/>
      <c r="AB626" s="84" t="n"/>
      <c r="AC626" s="84" t="n"/>
      <c r="AD626" s="84" t="n"/>
    </row>
    <row r="627" ht="30" customHeight="1" s="176">
      <c r="A627" s="122" t="inlineStr">
        <is>
          <t>Talla Calzado MX – Mujer (con ancho)</t>
        </is>
      </c>
      <c r="B627" s="123" t="n">
        <v>28</v>
      </c>
      <c r="C627" s="123" t="inlineStr">
        <is>
          <t>11 SM</t>
        </is>
      </c>
      <c r="D627" s="122" t="inlineStr">
        <is>
          <t>Igual regla</t>
        </is>
      </c>
      <c r="E627" s="183" t="n"/>
      <c r="F627" s="84" t="n"/>
      <c r="G627" s="84" t="n"/>
      <c r="H627" s="84" t="n"/>
      <c r="I627" s="84" t="n"/>
      <c r="J627" s="84" t="n"/>
      <c r="K627" s="84" t="n"/>
      <c r="L627" s="84" t="n"/>
      <c r="M627" s="84" t="n"/>
      <c r="N627" s="84" t="n"/>
      <c r="O627" s="84" t="n"/>
      <c r="P627" s="84" t="n"/>
      <c r="Q627" s="84" t="n"/>
      <c r="R627" s="84" t="n"/>
      <c r="S627" s="84" t="n"/>
      <c r="T627" s="84" t="n"/>
      <c r="U627" s="84" t="n"/>
      <c r="V627" s="84" t="n"/>
      <c r="W627" s="84" t="n"/>
      <c r="X627" s="84" t="n"/>
      <c r="Y627" s="84" t="n"/>
      <c r="Z627" s="84" t="n"/>
      <c r="AA627" s="84" t="n"/>
      <c r="AB627" s="84" t="n"/>
      <c r="AC627" s="84" t="n"/>
      <c r="AD627" s="84" t="n"/>
    </row>
    <row r="628" ht="30" customHeight="1" s="176">
      <c r="A628" s="122" t="inlineStr">
        <is>
          <t>Talla Calzado MX – Mujer (con ancho)</t>
        </is>
      </c>
      <c r="B628" s="123" t="n">
        <v>28</v>
      </c>
      <c r="C628" s="123" t="inlineStr">
        <is>
          <t>11 ST</t>
        </is>
      </c>
      <c r="D628" s="122" t="inlineStr">
        <is>
          <t>Igual regla</t>
        </is>
      </c>
      <c r="E628" s="183" t="n"/>
      <c r="F628" s="84" t="n"/>
      <c r="G628" s="84" t="n"/>
      <c r="H628" s="84" t="n"/>
      <c r="I628" s="84" t="n"/>
      <c r="J628" s="84" t="n"/>
      <c r="K628" s="84" t="n"/>
      <c r="L628" s="84" t="n"/>
      <c r="M628" s="84" t="n"/>
      <c r="N628" s="84" t="n"/>
      <c r="O628" s="84" t="n"/>
      <c r="P628" s="84" t="n"/>
      <c r="Q628" s="84" t="n"/>
      <c r="R628" s="84" t="n"/>
      <c r="S628" s="84" t="n"/>
      <c r="T628" s="84" t="n"/>
      <c r="U628" s="84" t="n"/>
      <c r="V628" s="84" t="n"/>
      <c r="W628" s="84" t="n"/>
      <c r="X628" s="84" t="n"/>
      <c r="Y628" s="84" t="n"/>
      <c r="Z628" s="84" t="n"/>
      <c r="AA628" s="84" t="n"/>
      <c r="AB628" s="84" t="n"/>
      <c r="AC628" s="84" t="n"/>
      <c r="AD628" s="84" t="n"/>
    </row>
    <row r="629" ht="30" customHeight="1" s="176">
      <c r="A629" s="122" t="inlineStr">
        <is>
          <t>Talla Calzado MX – Mujer (con ancho)</t>
        </is>
      </c>
      <c r="B629" s="123" t="n">
        <v>28</v>
      </c>
      <c r="C629" s="123" t="inlineStr">
        <is>
          <t>11 WM</t>
        </is>
      </c>
      <c r="D629" s="122" t="inlineStr">
        <is>
          <t>Igual regla</t>
        </is>
      </c>
      <c r="E629" s="183" t="n"/>
      <c r="F629" s="84" t="n"/>
      <c r="G629" s="84" t="n"/>
      <c r="H629" s="84" t="n"/>
      <c r="I629" s="84" t="n"/>
      <c r="J629" s="84" t="n"/>
      <c r="K629" s="84" t="n"/>
      <c r="L629" s="84" t="n"/>
      <c r="M629" s="84" t="n"/>
      <c r="N629" s="84" t="n"/>
      <c r="O629" s="84" t="n"/>
      <c r="P629" s="84" t="n"/>
      <c r="Q629" s="84" t="n"/>
      <c r="R629" s="84" t="n"/>
      <c r="S629" s="84" t="n"/>
      <c r="T629" s="84" t="n"/>
      <c r="U629" s="84" t="n"/>
      <c r="V629" s="84" t="n"/>
      <c r="W629" s="84" t="n"/>
      <c r="X629" s="84" t="n"/>
      <c r="Y629" s="84" t="n"/>
      <c r="Z629" s="84" t="n"/>
      <c r="AA629" s="84" t="n"/>
      <c r="AB629" s="84" t="n"/>
      <c r="AC629" s="84" t="n"/>
      <c r="AD629" s="84" t="n"/>
    </row>
    <row r="630" ht="30" customHeight="1" s="176">
      <c r="A630" s="122" t="inlineStr">
        <is>
          <t>Talla Calzado MX – Mujer (con ancho)</t>
        </is>
      </c>
      <c r="B630" s="123" t="n">
        <v>28</v>
      </c>
      <c r="C630" s="123" t="inlineStr">
        <is>
          <t>11 WT</t>
        </is>
      </c>
      <c r="D630" s="122" t="inlineStr">
        <is>
          <t>Igual regla</t>
        </is>
      </c>
      <c r="E630" s="183" t="n"/>
      <c r="F630" s="84" t="n"/>
      <c r="G630" s="84" t="n"/>
      <c r="H630" s="84" t="n"/>
      <c r="I630" s="84" t="n"/>
      <c r="J630" s="84" t="n"/>
      <c r="K630" s="84" t="n"/>
      <c r="L630" s="84" t="n"/>
      <c r="M630" s="84" t="n"/>
      <c r="N630" s="84" t="n"/>
      <c r="O630" s="84" t="n"/>
      <c r="P630" s="84" t="n"/>
      <c r="Q630" s="84" t="n"/>
      <c r="R630" s="84" t="n"/>
      <c r="S630" s="84" t="n"/>
      <c r="T630" s="84" t="n"/>
      <c r="U630" s="84" t="n"/>
      <c r="V630" s="84" t="n"/>
      <c r="W630" s="84" t="n"/>
      <c r="X630" s="84" t="n"/>
      <c r="Y630" s="84" t="n"/>
      <c r="Z630" s="84" t="n"/>
      <c r="AA630" s="84" t="n"/>
      <c r="AB630" s="84" t="n"/>
      <c r="AC630" s="84" t="n"/>
      <c r="AD630" s="84" t="n"/>
    </row>
    <row r="631" ht="30" customHeight="1" s="176">
      <c r="A631" s="122" t="inlineStr">
        <is>
          <t>Talla Calzado MX – Mujer (con ancho)</t>
        </is>
      </c>
      <c r="B631" s="123" t="n">
        <v>28</v>
      </c>
      <c r="C631" s="123" t="inlineStr">
        <is>
          <t>11 XWM</t>
        </is>
      </c>
      <c r="D631" s="122" t="inlineStr">
        <is>
          <t>Igual regla</t>
        </is>
      </c>
      <c r="E631" s="183" t="n"/>
      <c r="F631" s="84" t="n"/>
      <c r="G631" s="84" t="n"/>
      <c r="H631" s="84" t="n"/>
      <c r="I631" s="84" t="n"/>
      <c r="J631" s="84" t="n"/>
      <c r="K631" s="84" t="n"/>
      <c r="L631" s="84" t="n"/>
      <c r="M631" s="84" t="n"/>
      <c r="N631" s="84" t="n"/>
      <c r="O631" s="84" t="n"/>
      <c r="P631" s="84" t="n"/>
      <c r="Q631" s="84" t="n"/>
      <c r="R631" s="84" t="n"/>
      <c r="S631" s="84" t="n"/>
      <c r="T631" s="84" t="n"/>
      <c r="U631" s="84" t="n"/>
      <c r="V631" s="84" t="n"/>
      <c r="W631" s="84" t="n"/>
      <c r="X631" s="84" t="n"/>
      <c r="Y631" s="84" t="n"/>
      <c r="Z631" s="84" t="n"/>
      <c r="AA631" s="84" t="n"/>
      <c r="AB631" s="84" t="n"/>
      <c r="AC631" s="84" t="n"/>
      <c r="AD631" s="84" t="n"/>
    </row>
    <row r="632" ht="30" customHeight="1" s="176">
      <c r="A632" s="122" t="inlineStr">
        <is>
          <t>Talla Calzado MX – Mujer (con ancho)</t>
        </is>
      </c>
      <c r="B632" s="123" t="n">
        <v>29</v>
      </c>
      <c r="C632" s="123" t="inlineStr">
        <is>
          <t>12 B</t>
        </is>
      </c>
      <c r="D632" s="122" t="inlineStr">
        <is>
          <t>Igual regla</t>
        </is>
      </c>
      <c r="E632" s="183" t="n"/>
      <c r="F632" s="84" t="n"/>
      <c r="G632" s="84" t="n"/>
      <c r="H632" s="84" t="n"/>
      <c r="I632" s="84" t="n"/>
      <c r="J632" s="84" t="n"/>
      <c r="K632" s="84" t="n"/>
      <c r="L632" s="84" t="n"/>
      <c r="M632" s="84" t="n"/>
      <c r="N632" s="84" t="n"/>
      <c r="O632" s="84" t="n"/>
      <c r="P632" s="84" t="n"/>
      <c r="Q632" s="84" t="n"/>
      <c r="R632" s="84" t="n"/>
      <c r="S632" s="84" t="n"/>
      <c r="T632" s="84" t="n"/>
      <c r="U632" s="84" t="n"/>
      <c r="V632" s="84" t="n"/>
      <c r="W632" s="84" t="n"/>
      <c r="X632" s="84" t="n"/>
      <c r="Y632" s="84" t="n"/>
      <c r="Z632" s="84" t="n"/>
      <c r="AA632" s="84" t="n"/>
      <c r="AB632" s="84" t="n"/>
      <c r="AC632" s="84" t="n"/>
      <c r="AD632" s="84" t="n"/>
    </row>
    <row r="633" ht="16.5" customHeight="1" s="176">
      <c r="A633" s="122" t="inlineStr">
        <is>
          <t>Talla Cinturón – Hombre</t>
        </is>
      </c>
      <c r="B633" s="123" t="n">
        <v>28</v>
      </c>
      <c r="C633" s="123" t="n">
        <v>28</v>
      </c>
      <c r="D633" s="122" t="inlineStr">
        <is>
          <t>Igual</t>
        </is>
      </c>
      <c r="E633" s="183" t="n"/>
      <c r="F633" s="84" t="n"/>
      <c r="G633" s="84" t="n"/>
      <c r="H633" s="84" t="n"/>
      <c r="I633" s="84" t="n"/>
      <c r="J633" s="84" t="n"/>
      <c r="K633" s="84" t="n"/>
      <c r="L633" s="84" t="n"/>
      <c r="M633" s="84" t="n"/>
      <c r="N633" s="84" t="n"/>
      <c r="O633" s="84" t="n"/>
      <c r="P633" s="84" t="n"/>
      <c r="Q633" s="84" t="n"/>
      <c r="R633" s="84" t="n"/>
      <c r="S633" s="84" t="n"/>
      <c r="T633" s="84" t="n"/>
      <c r="U633" s="84" t="n"/>
      <c r="V633" s="84" t="n"/>
      <c r="W633" s="84" t="n"/>
      <c r="X633" s="84" t="n"/>
      <c r="Y633" s="84" t="n"/>
      <c r="Z633" s="84" t="n"/>
      <c r="AA633" s="84" t="n"/>
      <c r="AB633" s="84" t="n"/>
      <c r="AC633" s="84" t="n"/>
      <c r="AD633" s="84" t="n"/>
    </row>
    <row r="634" ht="16.5" customHeight="1" s="176">
      <c r="A634" s="122" t="inlineStr">
        <is>
          <t>Talla Cinturón – Hombre</t>
        </is>
      </c>
      <c r="B634" s="123" t="n">
        <v>30</v>
      </c>
      <c r="C634" s="123" t="n">
        <v>30</v>
      </c>
      <c r="D634" s="122" t="inlineStr">
        <is>
          <t>Igual</t>
        </is>
      </c>
      <c r="E634" s="183" t="n"/>
      <c r="F634" s="84" t="n"/>
      <c r="G634" s="84" t="n"/>
      <c r="H634" s="84" t="n"/>
      <c r="I634" s="84" t="n"/>
      <c r="J634" s="84" t="n"/>
      <c r="K634" s="84" t="n"/>
      <c r="L634" s="84" t="n"/>
      <c r="M634" s="84" t="n"/>
      <c r="N634" s="84" t="n"/>
      <c r="O634" s="84" t="n"/>
      <c r="P634" s="84" t="n"/>
      <c r="Q634" s="84" t="n"/>
      <c r="R634" s="84" t="n"/>
      <c r="S634" s="84" t="n"/>
      <c r="T634" s="84" t="n"/>
      <c r="U634" s="84" t="n"/>
      <c r="V634" s="84" t="n"/>
      <c r="W634" s="84" t="n"/>
      <c r="X634" s="84" t="n"/>
      <c r="Y634" s="84" t="n"/>
      <c r="Z634" s="84" t="n"/>
      <c r="AA634" s="84" t="n"/>
      <c r="AB634" s="84" t="n"/>
      <c r="AC634" s="84" t="n"/>
      <c r="AD634" s="84" t="n"/>
    </row>
    <row r="635" ht="16.5" customHeight="1" s="176">
      <c r="A635" s="122" t="inlineStr">
        <is>
          <t>Talla Cinturón – Hombre</t>
        </is>
      </c>
      <c r="B635" s="123" t="n">
        <v>32</v>
      </c>
      <c r="C635" s="123" t="n">
        <v>32</v>
      </c>
      <c r="D635" s="122" t="inlineStr">
        <is>
          <t>Igual (pulgadas)</t>
        </is>
      </c>
      <c r="E635" s="183" t="n"/>
      <c r="F635" s="84" t="n"/>
      <c r="G635" s="84" t="n"/>
      <c r="H635" s="84" t="n"/>
      <c r="I635" s="84" t="n"/>
      <c r="J635" s="84" t="n"/>
      <c r="K635" s="84" t="n"/>
      <c r="L635" s="84" t="n"/>
      <c r="M635" s="84" t="n"/>
      <c r="N635" s="84" t="n"/>
      <c r="O635" s="84" t="n"/>
      <c r="P635" s="84" t="n"/>
      <c r="Q635" s="84" t="n"/>
      <c r="R635" s="84" t="n"/>
      <c r="S635" s="84" t="n"/>
      <c r="T635" s="84" t="n"/>
      <c r="U635" s="84" t="n"/>
      <c r="V635" s="84" t="n"/>
      <c r="W635" s="84" t="n"/>
      <c r="X635" s="84" t="n"/>
      <c r="Y635" s="84" t="n"/>
      <c r="Z635" s="84" t="n"/>
      <c r="AA635" s="84" t="n"/>
      <c r="AB635" s="84" t="n"/>
      <c r="AC635" s="84" t="n"/>
      <c r="AD635" s="84" t="n"/>
    </row>
    <row r="636" ht="16.5" customHeight="1" s="176">
      <c r="A636" s="122" t="inlineStr">
        <is>
          <t>Talla Cinturón – Hombre</t>
        </is>
      </c>
      <c r="B636" s="123" t="n">
        <v>34</v>
      </c>
      <c r="C636" s="123" t="n">
        <v>34</v>
      </c>
      <c r="D636" s="122" t="inlineStr">
        <is>
          <t>Igual (pulgadas)</t>
        </is>
      </c>
      <c r="E636" s="183" t="n"/>
      <c r="F636" s="84" t="n"/>
      <c r="G636" s="84" t="n"/>
      <c r="H636" s="84" t="n"/>
      <c r="I636" s="84" t="n"/>
      <c r="J636" s="84" t="n"/>
      <c r="K636" s="84" t="n"/>
      <c r="L636" s="84" t="n"/>
      <c r="M636" s="84" t="n"/>
      <c r="N636" s="84" t="n"/>
      <c r="O636" s="84" t="n"/>
      <c r="P636" s="84" t="n"/>
      <c r="Q636" s="84" t="n"/>
      <c r="R636" s="84" t="n"/>
      <c r="S636" s="84" t="n"/>
      <c r="T636" s="84" t="n"/>
      <c r="U636" s="84" t="n"/>
      <c r="V636" s="84" t="n"/>
      <c r="W636" s="84" t="n"/>
      <c r="X636" s="84" t="n"/>
      <c r="Y636" s="84" t="n"/>
      <c r="Z636" s="84" t="n"/>
      <c r="AA636" s="84" t="n"/>
      <c r="AB636" s="84" t="n"/>
      <c r="AC636" s="84" t="n"/>
      <c r="AD636" s="84" t="n"/>
    </row>
    <row r="637" ht="16.5" customHeight="1" s="176">
      <c r="A637" s="122" t="inlineStr">
        <is>
          <t>Talla Cinturón – Hombre</t>
        </is>
      </c>
      <c r="B637" s="123" t="n">
        <v>36</v>
      </c>
      <c r="C637" s="123" t="n">
        <v>36</v>
      </c>
      <c r="D637" s="122" t="inlineStr">
        <is>
          <t>Igual (pulgadas)</t>
        </is>
      </c>
      <c r="E637" s="183" t="n"/>
      <c r="F637" s="84" t="n"/>
      <c r="G637" s="84" t="n"/>
      <c r="H637" s="84" t="n"/>
      <c r="I637" s="84" t="n"/>
      <c r="J637" s="84" t="n"/>
      <c r="K637" s="84" t="n"/>
      <c r="L637" s="84" t="n"/>
      <c r="M637" s="84" t="n"/>
      <c r="N637" s="84" t="n"/>
      <c r="O637" s="84" t="n"/>
      <c r="P637" s="84" t="n"/>
      <c r="Q637" s="84" t="n"/>
      <c r="R637" s="84" t="n"/>
      <c r="S637" s="84" t="n"/>
      <c r="T637" s="84" t="n"/>
      <c r="U637" s="84" t="n"/>
      <c r="V637" s="84" t="n"/>
      <c r="W637" s="84" t="n"/>
      <c r="X637" s="84" t="n"/>
      <c r="Y637" s="84" t="n"/>
      <c r="Z637" s="84" t="n"/>
      <c r="AA637" s="84" t="n"/>
      <c r="AB637" s="84" t="n"/>
      <c r="AC637" s="84" t="n"/>
      <c r="AD637" s="84" t="n"/>
    </row>
    <row r="638" ht="16.5" customHeight="1" s="176">
      <c r="A638" s="122" t="inlineStr">
        <is>
          <t>Talla Cinturón – Hombre</t>
        </is>
      </c>
      <c r="B638" s="123" t="n">
        <v>38</v>
      </c>
      <c r="C638" s="123" t="n">
        <v>38</v>
      </c>
      <c r="D638" s="122" t="inlineStr">
        <is>
          <t>Igual (pulgadas)</t>
        </is>
      </c>
      <c r="E638" s="183" t="n"/>
      <c r="F638" s="84" t="n"/>
      <c r="G638" s="84" t="n"/>
      <c r="H638" s="84" t="n"/>
      <c r="I638" s="84" t="n"/>
      <c r="J638" s="84" t="n"/>
      <c r="K638" s="84" t="n"/>
      <c r="L638" s="84" t="n"/>
      <c r="M638" s="84" t="n"/>
      <c r="N638" s="84" t="n"/>
      <c r="O638" s="84" t="n"/>
      <c r="P638" s="84" t="n"/>
      <c r="Q638" s="84" t="n"/>
      <c r="R638" s="84" t="n"/>
      <c r="S638" s="84" t="n"/>
      <c r="T638" s="84" t="n"/>
      <c r="U638" s="84" t="n"/>
      <c r="V638" s="84" t="n"/>
      <c r="W638" s="84" t="n"/>
      <c r="X638" s="84" t="n"/>
      <c r="Y638" s="84" t="n"/>
      <c r="Z638" s="84" t="n"/>
      <c r="AA638" s="84" t="n"/>
      <c r="AB638" s="84" t="n"/>
      <c r="AC638" s="84" t="n"/>
      <c r="AD638" s="84" t="n"/>
    </row>
    <row r="639" ht="16.5" customHeight="1" s="176">
      <c r="A639" s="122" t="inlineStr">
        <is>
          <t>Talla Cinturón – Hombre</t>
        </is>
      </c>
      <c r="B639" s="123" t="n">
        <v>40</v>
      </c>
      <c r="C639" s="123" t="n">
        <v>40</v>
      </c>
      <c r="D639" s="122" t="inlineStr">
        <is>
          <t>Igual (pulgadas)</t>
        </is>
      </c>
      <c r="E639" s="183" t="n"/>
      <c r="F639" s="84" t="n"/>
      <c r="G639" s="84" t="n"/>
      <c r="H639" s="84" t="n"/>
      <c r="I639" s="84" t="n"/>
      <c r="J639" s="84" t="n"/>
      <c r="K639" s="84" t="n"/>
      <c r="L639" s="84" t="n"/>
      <c r="M639" s="84" t="n"/>
      <c r="N639" s="84" t="n"/>
      <c r="O639" s="84" t="n"/>
      <c r="P639" s="84" t="n"/>
      <c r="Q639" s="84" t="n"/>
      <c r="R639" s="84" t="n"/>
      <c r="S639" s="84" t="n"/>
      <c r="T639" s="84" t="n"/>
      <c r="U639" s="84" t="n"/>
      <c r="V639" s="84" t="n"/>
      <c r="W639" s="84" t="n"/>
      <c r="X639" s="84" t="n"/>
      <c r="Y639" s="84" t="n"/>
      <c r="Z639" s="84" t="n"/>
      <c r="AA639" s="84" t="n"/>
      <c r="AB639" s="84" t="n"/>
      <c r="AC639" s="84" t="n"/>
      <c r="AD639" s="84" t="n"/>
    </row>
    <row r="640" ht="16.5" customHeight="1" s="176">
      <c r="A640" s="122" t="inlineStr">
        <is>
          <t>Talla Cinturón – Hombre</t>
        </is>
      </c>
      <c r="B640" s="123" t="n">
        <v>42</v>
      </c>
      <c r="C640" s="123" t="n">
        <v>42</v>
      </c>
      <c r="D640" s="122" t="inlineStr">
        <is>
          <t>Igual (pulgadas)</t>
        </is>
      </c>
      <c r="E640" s="183" t="n"/>
      <c r="F640" s="84" t="n"/>
      <c r="G640" s="84" t="n"/>
      <c r="H640" s="84" t="n"/>
      <c r="I640" s="84" t="n"/>
      <c r="J640" s="84" t="n"/>
      <c r="K640" s="84" t="n"/>
      <c r="L640" s="84" t="n"/>
      <c r="M640" s="84" t="n"/>
      <c r="N640" s="84" t="n"/>
      <c r="O640" s="84" t="n"/>
      <c r="P640" s="84" t="n"/>
      <c r="Q640" s="84" t="n"/>
      <c r="R640" s="84" t="n"/>
      <c r="S640" s="84" t="n"/>
      <c r="T640" s="84" t="n"/>
      <c r="U640" s="84" t="n"/>
      <c r="V640" s="84" t="n"/>
      <c r="W640" s="84" t="n"/>
      <c r="X640" s="84" t="n"/>
      <c r="Y640" s="84" t="n"/>
      <c r="Z640" s="84" t="n"/>
      <c r="AA640" s="84" t="n"/>
      <c r="AB640" s="84" t="n"/>
      <c r="AC640" s="84" t="n"/>
      <c r="AD640" s="84" t="n"/>
    </row>
    <row r="641" ht="16.5" customHeight="1" s="176">
      <c r="A641" s="122" t="inlineStr">
        <is>
          <t>Talla Cinturón – Hombre</t>
        </is>
      </c>
      <c r="B641" s="123" t="n">
        <v>44</v>
      </c>
      <c r="C641" s="123" t="n">
        <v>44</v>
      </c>
      <c r="D641" s="122" t="inlineStr">
        <is>
          <t>Igual (pulgadas)</t>
        </is>
      </c>
      <c r="E641" s="183" t="n"/>
      <c r="F641" s="84" t="n"/>
      <c r="G641" s="84" t="n"/>
      <c r="H641" s="84" t="n"/>
      <c r="I641" s="84" t="n"/>
      <c r="J641" s="84" t="n"/>
      <c r="K641" s="84" t="n"/>
      <c r="L641" s="84" t="n"/>
      <c r="M641" s="84" t="n"/>
      <c r="N641" s="84" t="n"/>
      <c r="O641" s="84" t="n"/>
      <c r="P641" s="84" t="n"/>
      <c r="Q641" s="84" t="n"/>
      <c r="R641" s="84" t="n"/>
      <c r="S641" s="84" t="n"/>
      <c r="T641" s="84" t="n"/>
      <c r="U641" s="84" t="n"/>
      <c r="V641" s="84" t="n"/>
      <c r="W641" s="84" t="n"/>
      <c r="X641" s="84" t="n"/>
      <c r="Y641" s="84" t="n"/>
      <c r="Z641" s="84" t="n"/>
      <c r="AA641" s="84" t="n"/>
      <c r="AB641" s="84" t="n"/>
      <c r="AC641" s="84" t="n"/>
      <c r="AD641" s="84" t="n"/>
    </row>
    <row r="642" ht="16.5" customHeight="1" s="176">
      <c r="A642" s="122" t="inlineStr">
        <is>
          <t>Talla Cinturón – Hombre</t>
        </is>
      </c>
      <c r="B642" s="123" t="n">
        <v>46</v>
      </c>
      <c r="C642" s="123" t="n">
        <v>46</v>
      </c>
      <c r="D642" s="122" t="inlineStr">
        <is>
          <t>Igual (pulgadas)</t>
        </is>
      </c>
      <c r="E642" s="183" t="n"/>
      <c r="F642" s="84" t="n"/>
      <c r="G642" s="84" t="n"/>
      <c r="H642" s="84" t="n"/>
      <c r="I642" s="84" t="n"/>
      <c r="J642" s="84" t="n"/>
      <c r="K642" s="84" t="n"/>
      <c r="L642" s="84" t="n"/>
      <c r="M642" s="84" t="n"/>
      <c r="N642" s="84" t="n"/>
      <c r="O642" s="84" t="n"/>
      <c r="P642" s="84" t="n"/>
      <c r="Q642" s="84" t="n"/>
      <c r="R642" s="84" t="n"/>
      <c r="S642" s="84" t="n"/>
      <c r="T642" s="84" t="n"/>
      <c r="U642" s="84" t="n"/>
      <c r="V642" s="84" t="n"/>
      <c r="W642" s="84" t="n"/>
      <c r="X642" s="84" t="n"/>
      <c r="Y642" s="84" t="n"/>
      <c r="Z642" s="84" t="n"/>
      <c r="AA642" s="84" t="n"/>
      <c r="AB642" s="84" t="n"/>
      <c r="AC642" s="84" t="n"/>
      <c r="AD642" s="84" t="n"/>
    </row>
    <row r="643" ht="16.5" customHeight="1" s="176">
      <c r="A643" s="122" t="inlineStr">
        <is>
          <t>Talla Cinturón – Hombre</t>
        </is>
      </c>
      <c r="B643" s="123" t="n">
        <v>48</v>
      </c>
      <c r="C643" s="123" t="n">
        <v>48</v>
      </c>
      <c r="D643" s="122" t="inlineStr">
        <is>
          <t>Igual</t>
        </is>
      </c>
      <c r="E643" s="183" t="n"/>
      <c r="F643" s="84" t="n"/>
      <c r="G643" s="84" t="n"/>
      <c r="H643" s="84" t="n"/>
      <c r="I643" s="84" t="n"/>
      <c r="J643" s="84" t="n"/>
      <c r="K643" s="84" t="n"/>
      <c r="L643" s="84" t="n"/>
      <c r="M643" s="84" t="n"/>
      <c r="N643" s="84" t="n"/>
      <c r="O643" s="84" t="n"/>
      <c r="P643" s="84" t="n"/>
      <c r="Q643" s="84" t="n"/>
      <c r="R643" s="84" t="n"/>
      <c r="S643" s="84" t="n"/>
      <c r="T643" s="84" t="n"/>
      <c r="U643" s="84" t="n"/>
      <c r="V643" s="84" t="n"/>
      <c r="W643" s="84" t="n"/>
      <c r="X643" s="84" t="n"/>
      <c r="Y643" s="84" t="n"/>
      <c r="Z643" s="84" t="n"/>
      <c r="AA643" s="84" t="n"/>
      <c r="AB643" s="84" t="n"/>
      <c r="AC643" s="84" t="n"/>
      <c r="AD643" s="84" t="n"/>
    </row>
    <row r="644" ht="16.5" customHeight="1" s="176">
      <c r="A644" s="122" t="inlineStr">
        <is>
          <t>Talla Cinturón – Hombre</t>
        </is>
      </c>
      <c r="B644" s="123" t="n">
        <v>50</v>
      </c>
      <c r="C644" s="123" t="n">
        <v>50</v>
      </c>
      <c r="D644" s="122" t="inlineStr">
        <is>
          <t>Igual</t>
        </is>
      </c>
      <c r="E644" s="183" t="n"/>
      <c r="F644" s="84" t="n"/>
      <c r="G644" s="84" t="n"/>
      <c r="H644" s="84" t="n"/>
      <c r="I644" s="84" t="n"/>
      <c r="J644" s="84" t="n"/>
      <c r="K644" s="84" t="n"/>
      <c r="L644" s="84" t="n"/>
      <c r="M644" s="84" t="n"/>
      <c r="N644" s="84" t="n"/>
      <c r="O644" s="84" t="n"/>
      <c r="P644" s="84" t="n"/>
      <c r="Q644" s="84" t="n"/>
      <c r="R644" s="84" t="n"/>
      <c r="S644" s="84" t="n"/>
      <c r="T644" s="84" t="n"/>
      <c r="U644" s="84" t="n"/>
      <c r="V644" s="84" t="n"/>
      <c r="W644" s="84" t="n"/>
      <c r="X644" s="84" t="n"/>
      <c r="Y644" s="84" t="n"/>
      <c r="Z644" s="84" t="n"/>
      <c r="AA644" s="84" t="n"/>
      <c r="AB644" s="84" t="n"/>
      <c r="AC644" s="84" t="n"/>
      <c r="AD644" s="84" t="n"/>
    </row>
    <row r="645" ht="16.5" customHeight="1" s="176">
      <c r="A645" s="122" t="inlineStr">
        <is>
          <t>Talla Cinturón – Hombre</t>
        </is>
      </c>
      <c r="B645" s="123" t="n">
        <v>52</v>
      </c>
      <c r="C645" s="123" t="n">
        <v>52</v>
      </c>
      <c r="D645" s="122" t="inlineStr">
        <is>
          <t>Igual</t>
        </is>
      </c>
      <c r="E645" s="183" t="n"/>
      <c r="F645" s="84" t="n"/>
      <c r="G645" s="84" t="n"/>
      <c r="H645" s="84" t="n"/>
      <c r="I645" s="84" t="n"/>
      <c r="J645" s="84" t="n"/>
      <c r="K645" s="84" t="n"/>
      <c r="L645" s="84" t="n"/>
      <c r="M645" s="84" t="n"/>
      <c r="N645" s="84" t="n"/>
      <c r="O645" s="84" t="n"/>
      <c r="P645" s="84" t="n"/>
      <c r="Q645" s="84" t="n"/>
      <c r="R645" s="84" t="n"/>
      <c r="S645" s="84" t="n"/>
      <c r="T645" s="84" t="n"/>
      <c r="U645" s="84" t="n"/>
      <c r="V645" s="84" t="n"/>
      <c r="W645" s="84" t="n"/>
      <c r="X645" s="84" t="n"/>
      <c r="Y645" s="84" t="n"/>
      <c r="Z645" s="84" t="n"/>
      <c r="AA645" s="84" t="n"/>
      <c r="AB645" s="84" t="n"/>
      <c r="AC645" s="84" t="n"/>
      <c r="AD645" s="84" t="n"/>
    </row>
    <row r="646" ht="16.5" customHeight="1" s="176">
      <c r="A646" s="122" t="inlineStr">
        <is>
          <t>Talla Cinturón – Hombre</t>
        </is>
      </c>
      <c r="B646" s="123" t="n">
        <v>54</v>
      </c>
      <c r="C646" s="123" t="n">
        <v>54</v>
      </c>
      <c r="D646" s="122" t="inlineStr">
        <is>
          <t>Igual</t>
        </is>
      </c>
      <c r="E646" s="183" t="n"/>
      <c r="F646" s="84" t="n"/>
      <c r="G646" s="84" t="n"/>
      <c r="H646" s="84" t="n"/>
      <c r="I646" s="84" t="n"/>
      <c r="J646" s="84" t="n"/>
      <c r="K646" s="84" t="n"/>
      <c r="L646" s="84" t="n"/>
      <c r="M646" s="84" t="n"/>
      <c r="N646" s="84" t="n"/>
      <c r="O646" s="84" t="n"/>
      <c r="P646" s="84" t="n"/>
      <c r="Q646" s="84" t="n"/>
      <c r="R646" s="84" t="n"/>
      <c r="S646" s="84" t="n"/>
      <c r="T646" s="84" t="n"/>
      <c r="U646" s="84" t="n"/>
      <c r="V646" s="84" t="n"/>
      <c r="W646" s="84" t="n"/>
      <c r="X646" s="84" t="n"/>
      <c r="Y646" s="84" t="n"/>
      <c r="Z646" s="84" t="n"/>
      <c r="AA646" s="84" t="n"/>
      <c r="AB646" s="84" t="n"/>
      <c r="AC646" s="84" t="n"/>
      <c r="AD646" s="84" t="n"/>
    </row>
    <row r="647" ht="16.5" customHeight="1" s="176">
      <c r="A647" s="122" t="inlineStr">
        <is>
          <t>Talla Cinturón – Hombre</t>
        </is>
      </c>
      <c r="B647" s="123" t="n">
        <v>56</v>
      </c>
      <c r="C647" s="123" t="n">
        <v>56</v>
      </c>
      <c r="D647" s="122" t="inlineStr">
        <is>
          <t>Igual</t>
        </is>
      </c>
      <c r="E647" s="183" t="n"/>
      <c r="F647" s="84" t="n"/>
      <c r="G647" s="84" t="n"/>
      <c r="H647" s="84" t="n"/>
      <c r="I647" s="84" t="n"/>
      <c r="J647" s="84" t="n"/>
      <c r="K647" s="84" t="n"/>
      <c r="L647" s="84" t="n"/>
      <c r="M647" s="84" t="n"/>
      <c r="N647" s="84" t="n"/>
      <c r="O647" s="84" t="n"/>
      <c r="P647" s="84" t="n"/>
      <c r="Q647" s="84" t="n"/>
      <c r="R647" s="84" t="n"/>
      <c r="S647" s="84" t="n"/>
      <c r="T647" s="84" t="n"/>
      <c r="U647" s="84" t="n"/>
      <c r="V647" s="84" t="n"/>
      <c r="W647" s="84" t="n"/>
      <c r="X647" s="84" t="n"/>
      <c r="Y647" s="84" t="n"/>
      <c r="Z647" s="84" t="n"/>
      <c r="AA647" s="84" t="n"/>
      <c r="AB647" s="84" t="n"/>
      <c r="AC647" s="84" t="n"/>
      <c r="AD647" s="84" t="n"/>
    </row>
    <row r="648" ht="16.5" customHeight="1" s="176">
      <c r="A648" s="122" t="inlineStr">
        <is>
          <t>Talla Cinturón – Hombre</t>
        </is>
      </c>
      <c r="B648" s="123" t="n">
        <v>58</v>
      </c>
      <c r="C648" s="123" t="n">
        <v>58</v>
      </c>
      <c r="D648" s="122" t="inlineStr">
        <is>
          <t>Igual</t>
        </is>
      </c>
      <c r="E648" s="183" t="n"/>
      <c r="F648" s="84" t="n"/>
      <c r="G648" s="84" t="n"/>
      <c r="H648" s="84" t="n"/>
      <c r="I648" s="84" t="n"/>
      <c r="J648" s="84" t="n"/>
      <c r="K648" s="84" t="n"/>
      <c r="L648" s="84" t="n"/>
      <c r="M648" s="84" t="n"/>
      <c r="N648" s="84" t="n"/>
      <c r="O648" s="84" t="n"/>
      <c r="P648" s="84" t="n"/>
      <c r="Q648" s="84" t="n"/>
      <c r="R648" s="84" t="n"/>
      <c r="S648" s="84" t="n"/>
      <c r="T648" s="84" t="n"/>
      <c r="U648" s="84" t="n"/>
      <c r="V648" s="84" t="n"/>
      <c r="W648" s="84" t="n"/>
      <c r="X648" s="84" t="n"/>
      <c r="Y648" s="84" t="n"/>
      <c r="Z648" s="84" t="n"/>
      <c r="AA648" s="84" t="n"/>
      <c r="AB648" s="84" t="n"/>
      <c r="AC648" s="84" t="n"/>
      <c r="AD648" s="84" t="n"/>
    </row>
    <row r="649" ht="16.5" customHeight="1" s="176">
      <c r="A649" s="122" t="inlineStr">
        <is>
          <t>Talla Cinturón – Hombre</t>
        </is>
      </c>
      <c r="B649" s="123" t="n">
        <v>60</v>
      </c>
      <c r="C649" s="123" t="n">
        <v>60</v>
      </c>
      <c r="D649" s="122" t="inlineStr">
        <is>
          <t>Igual</t>
        </is>
      </c>
      <c r="E649" s="183" t="n"/>
      <c r="F649" s="84" t="n"/>
      <c r="G649" s="84" t="n"/>
      <c r="H649" s="84" t="n"/>
      <c r="I649" s="84" t="n"/>
      <c r="J649" s="84" t="n"/>
      <c r="K649" s="84" t="n"/>
      <c r="L649" s="84" t="n"/>
      <c r="M649" s="84" t="n"/>
      <c r="N649" s="84" t="n"/>
      <c r="O649" s="84" t="n"/>
      <c r="P649" s="84" t="n"/>
      <c r="Q649" s="84" t="n"/>
      <c r="R649" s="84" t="n"/>
      <c r="S649" s="84" t="n"/>
      <c r="T649" s="84" t="n"/>
      <c r="U649" s="84" t="n"/>
      <c r="V649" s="84" t="n"/>
      <c r="W649" s="84" t="n"/>
      <c r="X649" s="84" t="n"/>
      <c r="Y649" s="84" t="n"/>
      <c r="Z649" s="84" t="n"/>
      <c r="AA649" s="84" t="n"/>
      <c r="AB649" s="84" t="n"/>
      <c r="AC649" s="84" t="n"/>
      <c r="AD649" s="84" t="n"/>
    </row>
    <row r="650" ht="16.5" customHeight="1" s="176">
      <c r="A650" s="122" t="inlineStr">
        <is>
          <t>Talla Cinturón – Mujer</t>
        </is>
      </c>
      <c r="B650" s="123" t="inlineStr">
        <is>
          <t>S</t>
        </is>
      </c>
      <c r="C650" s="123" t="inlineStr">
        <is>
          <t>S</t>
        </is>
      </c>
      <c r="D650" s="122" t="inlineStr">
        <is>
          <t>Igual</t>
        </is>
      </c>
      <c r="E650" s="183" t="n"/>
      <c r="F650" s="84" t="n"/>
      <c r="G650" s="84" t="n"/>
      <c r="H650" s="84" t="n"/>
      <c r="I650" s="84" t="n"/>
      <c r="J650" s="84" t="n"/>
      <c r="K650" s="84" t="n"/>
      <c r="L650" s="84" t="n"/>
      <c r="M650" s="84" t="n"/>
      <c r="N650" s="84" t="n"/>
      <c r="O650" s="84" t="n"/>
      <c r="P650" s="84" t="n"/>
      <c r="Q650" s="84" t="n"/>
      <c r="R650" s="84" t="n"/>
      <c r="S650" s="84" t="n"/>
      <c r="T650" s="84" t="n"/>
      <c r="U650" s="84" t="n"/>
      <c r="V650" s="84" t="n"/>
      <c r="W650" s="84" t="n"/>
      <c r="X650" s="84" t="n"/>
      <c r="Y650" s="84" t="n"/>
      <c r="Z650" s="84" t="n"/>
      <c r="AA650" s="84" t="n"/>
      <c r="AB650" s="84" t="n"/>
      <c r="AC650" s="84" t="n"/>
      <c r="AD650" s="84" t="n"/>
    </row>
    <row r="651" ht="16.5" customHeight="1" s="176">
      <c r="A651" s="122" t="inlineStr">
        <is>
          <t>Talla Cinturón – Mujer</t>
        </is>
      </c>
      <c r="B651" s="123" t="inlineStr">
        <is>
          <t>M</t>
        </is>
      </c>
      <c r="C651" s="123" t="inlineStr">
        <is>
          <t>M</t>
        </is>
      </c>
      <c r="D651" s="122" t="inlineStr">
        <is>
          <t>Igual</t>
        </is>
      </c>
      <c r="E651" s="183" t="n"/>
      <c r="F651" s="84" t="n"/>
      <c r="G651" s="84" t="n"/>
      <c r="H651" s="84" t="n"/>
      <c r="I651" s="84" t="n"/>
      <c r="J651" s="84" t="n"/>
      <c r="K651" s="84" t="n"/>
      <c r="L651" s="84" t="n"/>
      <c r="M651" s="84" t="n"/>
      <c r="N651" s="84" t="n"/>
      <c r="O651" s="84" t="n"/>
      <c r="P651" s="84" t="n"/>
      <c r="Q651" s="84" t="n"/>
      <c r="R651" s="84" t="n"/>
      <c r="S651" s="84" t="n"/>
      <c r="T651" s="84" t="n"/>
      <c r="U651" s="84" t="n"/>
      <c r="V651" s="84" t="n"/>
      <c r="W651" s="84" t="n"/>
      <c r="X651" s="84" t="n"/>
      <c r="Y651" s="84" t="n"/>
      <c r="Z651" s="84" t="n"/>
      <c r="AA651" s="84" t="n"/>
      <c r="AB651" s="84" t="n"/>
      <c r="AC651" s="84" t="n"/>
      <c r="AD651" s="84" t="n"/>
    </row>
    <row r="652" ht="16.5" customHeight="1" s="176">
      <c r="A652" s="122" t="inlineStr">
        <is>
          <t>Talla Cinturón – Mujer</t>
        </is>
      </c>
      <c r="B652" s="123" t="inlineStr">
        <is>
          <t>L</t>
        </is>
      </c>
      <c r="C652" s="123" t="inlineStr">
        <is>
          <t>L</t>
        </is>
      </c>
      <c r="D652" s="122" t="inlineStr">
        <is>
          <t>Igual</t>
        </is>
      </c>
      <c r="E652" s="183" t="n"/>
      <c r="F652" s="84" t="n"/>
      <c r="G652" s="84" t="n"/>
      <c r="H652" s="84" t="n"/>
      <c r="I652" s="84" t="n"/>
      <c r="J652" s="84" t="n"/>
      <c r="K652" s="84" t="n"/>
      <c r="L652" s="84" t="n"/>
      <c r="M652" s="84" t="n"/>
      <c r="N652" s="84" t="n"/>
      <c r="O652" s="84" t="n"/>
      <c r="P652" s="84" t="n"/>
      <c r="Q652" s="84" t="n"/>
      <c r="R652" s="84" t="n"/>
      <c r="S652" s="84" t="n"/>
      <c r="T652" s="84" t="n"/>
      <c r="U652" s="84" t="n"/>
      <c r="V652" s="84" t="n"/>
      <c r="W652" s="84" t="n"/>
      <c r="X652" s="84" t="n"/>
      <c r="Y652" s="84" t="n"/>
      <c r="Z652" s="84" t="n"/>
      <c r="AA652" s="84" t="n"/>
      <c r="AB652" s="84" t="n"/>
      <c r="AC652" s="84" t="n"/>
      <c r="AD652" s="84" t="n"/>
    </row>
    <row r="653" ht="16.5" customHeight="1" s="176">
      <c r="A653" s="122" t="inlineStr">
        <is>
          <t>Talla Cinturón – Mujer</t>
        </is>
      </c>
      <c r="B653" s="123" t="inlineStr">
        <is>
          <t>XL</t>
        </is>
      </c>
      <c r="C653" s="123" t="inlineStr">
        <is>
          <t>XL</t>
        </is>
      </c>
      <c r="D653" s="122" t="inlineStr">
        <is>
          <t>Igual</t>
        </is>
      </c>
      <c r="E653" s="183" t="n"/>
      <c r="F653" s="84" t="n"/>
      <c r="G653" s="84" t="n"/>
      <c r="H653" s="84" t="n"/>
      <c r="I653" s="84" t="n"/>
      <c r="J653" s="84" t="n"/>
      <c r="K653" s="84" t="n"/>
      <c r="L653" s="84" t="n"/>
      <c r="M653" s="84" t="n"/>
      <c r="N653" s="84" t="n"/>
      <c r="O653" s="84" t="n"/>
      <c r="P653" s="84" t="n"/>
      <c r="Q653" s="84" t="n"/>
      <c r="R653" s="84" t="n"/>
      <c r="S653" s="84" t="n"/>
      <c r="T653" s="84" t="n"/>
      <c r="U653" s="84" t="n"/>
      <c r="V653" s="84" t="n"/>
      <c r="W653" s="84" t="n"/>
      <c r="X653" s="84" t="n"/>
      <c r="Y653" s="84" t="n"/>
      <c r="Z653" s="84" t="n"/>
      <c r="AA653" s="84" t="n"/>
      <c r="AB653" s="84" t="n"/>
      <c r="AC653" s="84" t="n"/>
      <c r="AD653" s="84" t="n"/>
    </row>
    <row r="654" ht="16.5" customHeight="1" s="176">
      <c r="A654" s="122" t="inlineStr">
        <is>
          <t>Talla Cinturón – Niño</t>
        </is>
      </c>
      <c r="B654" s="123" t="n">
        <v>18</v>
      </c>
      <c r="C654" s="123" t="n">
        <v>18</v>
      </c>
      <c r="D654" s="122" t="inlineStr">
        <is>
          <t>Cinturones infantiles numéricos (cintura en pulgadas). Igual</t>
        </is>
      </c>
      <c r="E654" s="183" t="n"/>
      <c r="F654" s="84" t="n"/>
      <c r="G654" s="84" t="n"/>
      <c r="H654" s="84" t="n"/>
      <c r="I654" s="84" t="n"/>
      <c r="J654" s="84" t="n"/>
      <c r="K654" s="84" t="n"/>
      <c r="L654" s="84" t="n"/>
      <c r="M654" s="84" t="n"/>
      <c r="N654" s="84" t="n"/>
      <c r="O654" s="84" t="n"/>
      <c r="P654" s="84" t="n"/>
      <c r="Q654" s="84" t="n"/>
      <c r="R654" s="84" t="n"/>
      <c r="S654" s="84" t="n"/>
      <c r="T654" s="84" t="n"/>
      <c r="U654" s="84" t="n"/>
      <c r="V654" s="84" t="n"/>
      <c r="W654" s="84" t="n"/>
      <c r="X654" s="84" t="n"/>
      <c r="Y654" s="84" t="n"/>
      <c r="Z654" s="84" t="n"/>
      <c r="AA654" s="84" t="n"/>
      <c r="AB654" s="84" t="n"/>
      <c r="AC654" s="84" t="n"/>
      <c r="AD654" s="84" t="n"/>
    </row>
    <row r="655" ht="16.5" customHeight="1" s="176">
      <c r="A655" s="122" t="inlineStr">
        <is>
          <t>Talla Cinturón – Niño</t>
        </is>
      </c>
      <c r="B655" s="123" t="n">
        <v>20</v>
      </c>
      <c r="C655" s="123" t="n">
        <v>20</v>
      </c>
      <c r="D655" s="122" t="inlineStr">
        <is>
          <t>Igual</t>
        </is>
      </c>
      <c r="E655" s="183" t="n"/>
      <c r="F655" s="84" t="n"/>
      <c r="G655" s="84" t="n"/>
      <c r="H655" s="84" t="n"/>
      <c r="I655" s="84" t="n"/>
      <c r="J655" s="84" t="n"/>
      <c r="K655" s="84" t="n"/>
      <c r="L655" s="84" t="n"/>
      <c r="M655" s="84" t="n"/>
      <c r="N655" s="84" t="n"/>
      <c r="O655" s="84" t="n"/>
      <c r="P655" s="84" t="n"/>
      <c r="Q655" s="84" t="n"/>
      <c r="R655" s="84" t="n"/>
      <c r="S655" s="84" t="n"/>
      <c r="T655" s="84" t="n"/>
      <c r="U655" s="84" t="n"/>
      <c r="V655" s="84" t="n"/>
      <c r="W655" s="84" t="n"/>
      <c r="X655" s="84" t="n"/>
      <c r="Y655" s="84" t="n"/>
      <c r="Z655" s="84" t="n"/>
      <c r="AA655" s="84" t="n"/>
      <c r="AB655" s="84" t="n"/>
      <c r="AC655" s="84" t="n"/>
      <c r="AD655" s="84" t="n"/>
    </row>
    <row r="656" ht="16.5" customHeight="1" s="176">
      <c r="A656" s="122" t="inlineStr">
        <is>
          <t>Talla Cinturón – Niño</t>
        </is>
      </c>
      <c r="B656" s="123" t="n">
        <v>22</v>
      </c>
      <c r="C656" s="123" t="n">
        <v>22</v>
      </c>
      <c r="D656" s="122" t="inlineStr">
        <is>
          <t>Igual</t>
        </is>
      </c>
      <c r="E656" s="183" t="n"/>
      <c r="F656" s="84" t="n"/>
      <c r="G656" s="84" t="n"/>
      <c r="H656" s="84" t="n"/>
      <c r="I656" s="84" t="n"/>
      <c r="J656" s="84" t="n"/>
      <c r="K656" s="84" t="n"/>
      <c r="L656" s="84" t="n"/>
      <c r="M656" s="84" t="n"/>
      <c r="N656" s="84" t="n"/>
      <c r="O656" s="84" t="n"/>
      <c r="P656" s="84" t="n"/>
      <c r="Q656" s="84" t="n"/>
      <c r="R656" s="84" t="n"/>
      <c r="S656" s="84" t="n"/>
      <c r="T656" s="84" t="n"/>
      <c r="U656" s="84" t="n"/>
      <c r="V656" s="84" t="n"/>
      <c r="W656" s="84" t="n"/>
      <c r="X656" s="84" t="n"/>
      <c r="Y656" s="84" t="n"/>
      <c r="Z656" s="84" t="n"/>
      <c r="AA656" s="84" t="n"/>
      <c r="AB656" s="84" t="n"/>
      <c r="AC656" s="84" t="n"/>
      <c r="AD656" s="84" t="n"/>
    </row>
    <row r="657" ht="16.5" customHeight="1" s="176">
      <c r="A657" s="122" t="inlineStr">
        <is>
          <t>Talla Cinturón – Niño</t>
        </is>
      </c>
      <c r="B657" s="123" t="n">
        <v>24</v>
      </c>
      <c r="C657" s="123" t="n">
        <v>24</v>
      </c>
      <c r="D657" s="122" t="inlineStr">
        <is>
          <t>Igual</t>
        </is>
      </c>
      <c r="E657" s="183" t="n"/>
      <c r="F657" s="84" t="n"/>
      <c r="G657" s="84" t="n"/>
      <c r="H657" s="84" t="n"/>
      <c r="I657" s="84" t="n"/>
      <c r="J657" s="84" t="n"/>
      <c r="K657" s="84" t="n"/>
      <c r="L657" s="84" t="n"/>
      <c r="M657" s="84" t="n"/>
      <c r="N657" s="84" t="n"/>
      <c r="O657" s="84" t="n"/>
      <c r="P657" s="84" t="n"/>
      <c r="Q657" s="84" t="n"/>
      <c r="R657" s="84" t="n"/>
      <c r="S657" s="84" t="n"/>
      <c r="T657" s="84" t="n"/>
      <c r="U657" s="84" t="n"/>
      <c r="V657" s="84" t="n"/>
      <c r="W657" s="84" t="n"/>
      <c r="X657" s="84" t="n"/>
      <c r="Y657" s="84" t="n"/>
      <c r="Z657" s="84" t="n"/>
      <c r="AA657" s="84" t="n"/>
      <c r="AB657" s="84" t="n"/>
      <c r="AC657" s="84" t="n"/>
      <c r="AD657" s="84" t="n"/>
    </row>
    <row r="658" ht="16.5" customHeight="1" s="176">
      <c r="A658" s="122" t="inlineStr">
        <is>
          <t>Talla Cinturón – Niño</t>
        </is>
      </c>
      <c r="B658" s="123" t="n">
        <v>26</v>
      </c>
      <c r="C658" s="123" t="n">
        <v>26</v>
      </c>
      <c r="D658" s="122" t="inlineStr">
        <is>
          <t>Igual</t>
        </is>
      </c>
      <c r="E658" s="183" t="n"/>
      <c r="F658" s="84" t="n"/>
      <c r="G658" s="84" t="n"/>
      <c r="H658" s="84" t="n"/>
      <c r="I658" s="84" t="n"/>
      <c r="J658" s="84" t="n"/>
      <c r="K658" s="84" t="n"/>
      <c r="L658" s="84" t="n"/>
      <c r="M658" s="84" t="n"/>
      <c r="N658" s="84" t="n"/>
      <c r="O658" s="84" t="n"/>
      <c r="P658" s="84" t="n"/>
      <c r="Q658" s="84" t="n"/>
      <c r="R658" s="84" t="n"/>
      <c r="S658" s="84" t="n"/>
      <c r="T658" s="84" t="n"/>
      <c r="U658" s="84" t="n"/>
      <c r="V658" s="84" t="n"/>
      <c r="W658" s="84" t="n"/>
      <c r="X658" s="84" t="n"/>
      <c r="Y658" s="84" t="n"/>
      <c r="Z658" s="84" t="n"/>
      <c r="AA658" s="84" t="n"/>
      <c r="AB658" s="84" t="n"/>
      <c r="AC658" s="84" t="n"/>
      <c r="AD658" s="84" t="n"/>
    </row>
    <row r="659" ht="16.5" customHeight="1" s="176">
      <c r="A659" s="122" t="inlineStr">
        <is>
          <t>Talla Niño (numérica)</t>
        </is>
      </c>
      <c r="B659" s="123" t="n">
        <v>2</v>
      </c>
      <c r="C659" s="123" t="n">
        <v>2</v>
      </c>
      <c r="D659" s="122" t="inlineStr">
        <is>
          <t>Talla por EDAD como principal (años pares).</t>
        </is>
      </c>
      <c r="E659" s="183" t="n"/>
      <c r="F659" s="84" t="n"/>
      <c r="G659" s="84" t="n"/>
      <c r="H659" s="84" t="n"/>
      <c r="I659" s="84" t="n"/>
      <c r="J659" s="84" t="n"/>
      <c r="K659" s="84" t="n"/>
      <c r="L659" s="84" t="n"/>
      <c r="M659" s="84" t="n"/>
      <c r="N659" s="84" t="n"/>
      <c r="O659" s="84" t="n"/>
      <c r="P659" s="84" t="n"/>
      <c r="Q659" s="84" t="n"/>
      <c r="R659" s="84" t="n"/>
      <c r="S659" s="84" t="n"/>
      <c r="T659" s="84" t="n"/>
      <c r="U659" s="84" t="n"/>
      <c r="V659" s="84" t="n"/>
      <c r="W659" s="84" t="n"/>
      <c r="X659" s="84" t="n"/>
      <c r="Y659" s="84" t="n"/>
      <c r="Z659" s="84" t="n"/>
      <c r="AA659" s="84" t="n"/>
      <c r="AB659" s="84" t="n"/>
      <c r="AC659" s="84" t="n"/>
      <c r="AD659" s="84" t="n"/>
    </row>
    <row r="660" ht="16.5" customHeight="1" s="176">
      <c r="A660" s="122" t="inlineStr">
        <is>
          <t>Talla Niño (numérica)</t>
        </is>
      </c>
      <c r="B660" s="123" t="n">
        <v>4</v>
      </c>
      <c r="C660" s="123" t="n">
        <v>4</v>
      </c>
      <c r="D660" s="122" t="inlineStr">
        <is>
          <t>Igual</t>
        </is>
      </c>
      <c r="E660" s="183" t="n"/>
      <c r="F660" s="84" t="n"/>
      <c r="G660" s="84" t="n"/>
      <c r="H660" s="84" t="n"/>
      <c r="I660" s="84" t="n"/>
      <c r="J660" s="84" t="n"/>
      <c r="K660" s="84" t="n"/>
      <c r="L660" s="84" t="n"/>
      <c r="M660" s="84" t="n"/>
      <c r="N660" s="84" t="n"/>
      <c r="O660" s="84" t="n"/>
      <c r="P660" s="84" t="n"/>
      <c r="Q660" s="84" t="n"/>
      <c r="R660" s="84" t="n"/>
      <c r="S660" s="84" t="n"/>
      <c r="T660" s="84" t="n"/>
      <c r="U660" s="84" t="n"/>
      <c r="V660" s="84" t="n"/>
      <c r="W660" s="84" t="n"/>
      <c r="X660" s="84" t="n"/>
      <c r="Y660" s="84" t="n"/>
      <c r="Z660" s="84" t="n"/>
      <c r="AA660" s="84" t="n"/>
      <c r="AB660" s="84" t="n"/>
      <c r="AC660" s="84" t="n"/>
      <c r="AD660" s="84" t="n"/>
    </row>
    <row r="661" ht="16.5" customHeight="1" s="176">
      <c r="A661" s="122" t="inlineStr">
        <is>
          <t>Talla Niño (numérica)</t>
        </is>
      </c>
      <c r="B661" s="123" t="n">
        <v>6</v>
      </c>
      <c r="C661" s="123" t="n">
        <v>6</v>
      </c>
      <c r="D661" s="122" t="inlineStr">
        <is>
          <t>Igual</t>
        </is>
      </c>
      <c r="E661" s="183" t="n"/>
      <c r="F661" s="84" t="n"/>
      <c r="G661" s="84" t="n"/>
      <c r="H661" s="84" t="n"/>
      <c r="I661" s="84" t="n"/>
      <c r="J661" s="84" t="n"/>
      <c r="K661" s="84" t="n"/>
      <c r="L661" s="84" t="n"/>
      <c r="M661" s="84" t="n"/>
      <c r="N661" s="84" t="n"/>
      <c r="O661" s="84" t="n"/>
      <c r="P661" s="84" t="n"/>
      <c r="Q661" s="84" t="n"/>
      <c r="R661" s="84" t="n"/>
      <c r="S661" s="84" t="n"/>
      <c r="T661" s="84" t="n"/>
      <c r="U661" s="84" t="n"/>
      <c r="V661" s="84" t="n"/>
      <c r="W661" s="84" t="n"/>
      <c r="X661" s="84" t="n"/>
      <c r="Y661" s="84" t="n"/>
      <c r="Z661" s="84" t="n"/>
      <c r="AA661" s="84" t="n"/>
      <c r="AB661" s="84" t="n"/>
      <c r="AC661" s="84" t="n"/>
      <c r="AD661" s="84" t="n"/>
    </row>
    <row r="662" ht="16.5" customHeight="1" s="176">
      <c r="A662" s="122" t="inlineStr">
        <is>
          <t>Talla Niño (numérica)</t>
        </is>
      </c>
      <c r="B662" s="123" t="n">
        <v>8</v>
      </c>
      <c r="C662" s="123" t="n">
        <v>8</v>
      </c>
      <c r="D662" s="122" t="inlineStr">
        <is>
          <t>Igual</t>
        </is>
      </c>
      <c r="E662" s="183" t="n"/>
      <c r="F662" s="84" t="n"/>
      <c r="G662" s="84" t="n"/>
      <c r="H662" s="84" t="n"/>
      <c r="I662" s="84" t="n"/>
      <c r="J662" s="84" t="n"/>
      <c r="K662" s="84" t="n"/>
      <c r="L662" s="84" t="n"/>
      <c r="M662" s="84" t="n"/>
      <c r="N662" s="84" t="n"/>
      <c r="O662" s="84" t="n"/>
      <c r="P662" s="84" t="n"/>
      <c r="Q662" s="84" t="n"/>
      <c r="R662" s="84" t="n"/>
      <c r="S662" s="84" t="n"/>
      <c r="T662" s="84" t="n"/>
      <c r="U662" s="84" t="n"/>
      <c r="V662" s="84" t="n"/>
      <c r="W662" s="84" t="n"/>
      <c r="X662" s="84" t="n"/>
      <c r="Y662" s="84" t="n"/>
      <c r="Z662" s="84" t="n"/>
      <c r="AA662" s="84" t="n"/>
      <c r="AB662" s="84" t="n"/>
      <c r="AC662" s="84" t="n"/>
      <c r="AD662" s="84" t="n"/>
    </row>
    <row r="663" ht="16.5" customHeight="1" s="176">
      <c r="A663" s="122" t="inlineStr">
        <is>
          <t>Talla Niño (numérica)</t>
        </is>
      </c>
      <c r="B663" s="123" t="n">
        <v>10</v>
      </c>
      <c r="C663" s="123" t="n">
        <v>10</v>
      </c>
      <c r="D663" s="122" t="inlineStr">
        <is>
          <t>Igual</t>
        </is>
      </c>
      <c r="E663" s="183" t="n"/>
      <c r="F663" s="84" t="n"/>
      <c r="G663" s="84" t="n"/>
      <c r="H663" s="84" t="n"/>
      <c r="I663" s="84" t="n"/>
      <c r="J663" s="84" t="n"/>
      <c r="K663" s="84" t="n"/>
      <c r="L663" s="84" t="n"/>
      <c r="M663" s="84" t="n"/>
      <c r="N663" s="84" t="n"/>
      <c r="O663" s="84" t="n"/>
      <c r="P663" s="84" t="n"/>
      <c r="Q663" s="84" t="n"/>
      <c r="R663" s="84" t="n"/>
      <c r="S663" s="84" t="n"/>
      <c r="T663" s="84" t="n"/>
      <c r="U663" s="84" t="n"/>
      <c r="V663" s="84" t="n"/>
      <c r="W663" s="84" t="n"/>
      <c r="X663" s="84" t="n"/>
      <c r="Y663" s="84" t="n"/>
      <c r="Z663" s="84" t="n"/>
      <c r="AA663" s="84" t="n"/>
      <c r="AB663" s="84" t="n"/>
      <c r="AC663" s="84" t="n"/>
      <c r="AD663" s="84" t="n"/>
    </row>
    <row r="664" ht="16.5" customHeight="1" s="176">
      <c r="A664" s="122" t="inlineStr">
        <is>
          <t>Talla Niño (numérica)</t>
        </is>
      </c>
      <c r="B664" s="123" t="n">
        <v>12</v>
      </c>
      <c r="C664" s="123" t="n">
        <v>12</v>
      </c>
      <c r="D664" s="122" t="inlineStr">
        <is>
          <t>Igual</t>
        </is>
      </c>
      <c r="E664" s="183" t="n"/>
      <c r="F664" s="84" t="n"/>
      <c r="G664" s="84" t="n"/>
      <c r="H664" s="84" t="n"/>
      <c r="I664" s="84" t="n"/>
      <c r="J664" s="84" t="n"/>
      <c r="K664" s="84" t="n"/>
      <c r="L664" s="84" t="n"/>
      <c r="M664" s="84" t="n"/>
      <c r="N664" s="84" t="n"/>
      <c r="O664" s="84" t="n"/>
      <c r="P664" s="84" t="n"/>
      <c r="Q664" s="84" t="n"/>
      <c r="R664" s="84" t="n"/>
      <c r="S664" s="84" t="n"/>
      <c r="T664" s="84" t="n"/>
      <c r="U664" s="84" t="n"/>
      <c r="V664" s="84" t="n"/>
      <c r="W664" s="84" t="n"/>
      <c r="X664" s="84" t="n"/>
      <c r="Y664" s="84" t="n"/>
      <c r="Z664" s="84" t="n"/>
      <c r="AA664" s="84" t="n"/>
      <c r="AB664" s="84" t="n"/>
      <c r="AC664" s="84" t="n"/>
      <c r="AD664" s="84" t="n"/>
    </row>
    <row r="665" ht="16.5" customHeight="1" s="176">
      <c r="A665" s="122" t="inlineStr">
        <is>
          <t>Talla Niño (numérica)</t>
        </is>
      </c>
      <c r="B665" s="123" t="n">
        <v>14</v>
      </c>
      <c r="C665" s="123" t="n">
        <v>14</v>
      </c>
      <c r="D665" s="122" t="inlineStr">
        <is>
          <t>Igual</t>
        </is>
      </c>
      <c r="E665" s="183" t="n"/>
      <c r="F665" s="84" t="n"/>
      <c r="G665" s="84" t="n"/>
      <c r="H665" s="84" t="n"/>
      <c r="I665" s="84" t="n"/>
      <c r="J665" s="84" t="n"/>
      <c r="K665" s="84" t="n"/>
      <c r="L665" s="84" t="n"/>
      <c r="M665" s="84" t="n"/>
      <c r="N665" s="84" t="n"/>
      <c r="O665" s="84" t="n"/>
      <c r="P665" s="84" t="n"/>
      <c r="Q665" s="84" t="n"/>
      <c r="R665" s="84" t="n"/>
      <c r="S665" s="84" t="n"/>
      <c r="T665" s="84" t="n"/>
      <c r="U665" s="84" t="n"/>
      <c r="V665" s="84" t="n"/>
      <c r="W665" s="84" t="n"/>
      <c r="X665" s="84" t="n"/>
      <c r="Y665" s="84" t="n"/>
      <c r="Z665" s="84" t="n"/>
      <c r="AA665" s="84" t="n"/>
      <c r="AB665" s="84" t="n"/>
      <c r="AC665" s="84" t="n"/>
      <c r="AD665" s="84" t="n"/>
    </row>
    <row r="666" ht="16.5" customHeight="1" s="176">
      <c r="A666" s="122" t="inlineStr">
        <is>
          <t>Talla Niño (numérica)</t>
        </is>
      </c>
      <c r="B666" s="123" t="n">
        <v>16</v>
      </c>
      <c r="C666" s="123" t="n">
        <v>16</v>
      </c>
      <c r="D666" s="122" t="inlineStr">
        <is>
          <t>Igual</t>
        </is>
      </c>
      <c r="E666" s="183" t="n"/>
      <c r="F666" s="84" t="n"/>
      <c r="G666" s="84" t="n"/>
      <c r="H666" s="84" t="n"/>
      <c r="I666" s="84" t="n"/>
      <c r="J666" s="84" t="n"/>
      <c r="K666" s="84" t="n"/>
      <c r="L666" s="84" t="n"/>
      <c r="M666" s="84" t="n"/>
      <c r="N666" s="84" t="n"/>
      <c r="O666" s="84" t="n"/>
      <c r="P666" s="84" t="n"/>
      <c r="Q666" s="84" t="n"/>
      <c r="R666" s="84" t="n"/>
      <c r="S666" s="84" t="n"/>
      <c r="T666" s="84" t="n"/>
      <c r="U666" s="84" t="n"/>
      <c r="V666" s="84" t="n"/>
      <c r="W666" s="84" t="n"/>
      <c r="X666" s="84" t="n"/>
      <c r="Y666" s="84" t="n"/>
      <c r="Z666" s="84" t="n"/>
      <c r="AA666" s="84" t="n"/>
      <c r="AB666" s="84" t="n"/>
      <c r="AC666" s="84" t="n"/>
      <c r="AD666" s="84" t="n"/>
    </row>
    <row r="667" ht="16.5" customHeight="1" s="176">
      <c r="A667" s="122" t="inlineStr">
        <is>
          <t>Talla Niño (alfa US Youth)</t>
        </is>
      </c>
      <c r="B667" s="123" t="n">
        <v>4</v>
      </c>
      <c r="C667" s="123" t="inlineStr">
        <is>
          <t>XS</t>
        </is>
      </c>
      <c r="D667" s="122" t="inlineStr">
        <is>
          <t>Etiqueta US Youth XS = 4-5 años. En WB Talla va la edad; en US la letra.</t>
        </is>
      </c>
      <c r="E667" s="183" t="n"/>
      <c r="F667" s="84" t="n"/>
      <c r="G667" s="84" t="n"/>
      <c r="H667" s="84" t="n"/>
      <c r="I667" s="84" t="n"/>
      <c r="J667" s="84" t="n"/>
      <c r="K667" s="84" t="n"/>
      <c r="L667" s="84" t="n"/>
      <c r="M667" s="84" t="n"/>
      <c r="N667" s="84" t="n"/>
      <c r="O667" s="84" t="n"/>
      <c r="P667" s="84" t="n"/>
      <c r="Q667" s="84" t="n"/>
      <c r="R667" s="84" t="n"/>
      <c r="S667" s="84" t="n"/>
      <c r="T667" s="84" t="n"/>
      <c r="U667" s="84" t="n"/>
      <c r="V667" s="84" t="n"/>
      <c r="W667" s="84" t="n"/>
      <c r="X667" s="84" t="n"/>
      <c r="Y667" s="84" t="n"/>
      <c r="Z667" s="84" t="n"/>
      <c r="AA667" s="84" t="n"/>
      <c r="AB667" s="84" t="n"/>
      <c r="AC667" s="84" t="n"/>
      <c r="AD667" s="84" t="n"/>
    </row>
    <row r="668" ht="16.5" customHeight="1" s="176">
      <c r="A668" s="122" t="inlineStr">
        <is>
          <t>Talla Niño (alfa US Youth)</t>
        </is>
      </c>
      <c r="B668" s="123" t="n">
        <v>6</v>
      </c>
      <c r="C668" s="123" t="inlineStr">
        <is>
          <t>S</t>
        </is>
      </c>
      <c r="D668" s="122" t="inlineStr">
        <is>
          <t>Etiqueta US Youth S = 6-7 años. En WB Talla va la edad; en US la letra.</t>
        </is>
      </c>
      <c r="E668" s="183" t="n"/>
      <c r="F668" s="84" t="n"/>
      <c r="G668" s="84" t="n"/>
      <c r="H668" s="84" t="n"/>
      <c r="I668" s="84" t="n"/>
      <c r="J668" s="84" t="n"/>
      <c r="K668" s="84" t="n"/>
      <c r="L668" s="84" t="n"/>
      <c r="M668" s="84" t="n"/>
      <c r="N668" s="84" t="n"/>
      <c r="O668" s="84" t="n"/>
      <c r="P668" s="84" t="n"/>
      <c r="Q668" s="84" t="n"/>
      <c r="R668" s="84" t="n"/>
      <c r="S668" s="84" t="n"/>
      <c r="T668" s="84" t="n"/>
      <c r="U668" s="84" t="n"/>
      <c r="V668" s="84" t="n"/>
      <c r="W668" s="84" t="n"/>
      <c r="X668" s="84" t="n"/>
      <c r="Y668" s="84" t="n"/>
      <c r="Z668" s="84" t="n"/>
      <c r="AA668" s="84" t="n"/>
      <c r="AB668" s="84" t="n"/>
      <c r="AC668" s="84" t="n"/>
      <c r="AD668" s="84" t="n"/>
    </row>
    <row r="669" ht="16.5" customHeight="1" s="176">
      <c r="A669" s="122" t="inlineStr">
        <is>
          <t>Talla Niño (alfa US Youth)</t>
        </is>
      </c>
      <c r="B669" s="123" t="n">
        <v>8</v>
      </c>
      <c r="C669" s="123" t="inlineStr">
        <is>
          <t>M</t>
        </is>
      </c>
      <c r="D669" s="122" t="inlineStr">
        <is>
          <t>Etiqueta US Youth M = 8-9 años. En WB Talla va la edad; en US la letra.</t>
        </is>
      </c>
      <c r="E669" s="183" t="n"/>
      <c r="F669" s="84" t="n"/>
      <c r="G669" s="84" t="n"/>
      <c r="H669" s="84" t="n"/>
      <c r="I669" s="84" t="n"/>
      <c r="J669" s="84" t="n"/>
      <c r="K669" s="84" t="n"/>
      <c r="L669" s="84" t="n"/>
      <c r="M669" s="84" t="n"/>
      <c r="N669" s="84" t="n"/>
      <c r="O669" s="84" t="n"/>
      <c r="P669" s="84" t="n"/>
      <c r="Q669" s="84" t="n"/>
      <c r="R669" s="84" t="n"/>
      <c r="S669" s="84" t="n"/>
      <c r="T669" s="84" t="n"/>
      <c r="U669" s="84" t="n"/>
      <c r="V669" s="84" t="n"/>
      <c r="W669" s="84" t="n"/>
      <c r="X669" s="84" t="n"/>
      <c r="Y669" s="84" t="n"/>
      <c r="Z669" s="84" t="n"/>
      <c r="AA669" s="84" t="n"/>
      <c r="AB669" s="84" t="n"/>
      <c r="AC669" s="84" t="n"/>
      <c r="AD669" s="84" t="n"/>
    </row>
    <row r="670" ht="16.5" customHeight="1" s="176">
      <c r="A670" s="122" t="inlineStr">
        <is>
          <t>Talla Niño (alfa US Youth)</t>
        </is>
      </c>
      <c r="B670" s="124" t="inlineStr">
        <is>
          <t>10-12</t>
        </is>
      </c>
      <c r="C670" s="123" t="inlineStr">
        <is>
          <t>L</t>
        </is>
      </c>
      <c r="D670" s="122" t="inlineStr">
        <is>
          <t>Etiqueta US Youth L = 10-12 años. En WB Talla va la edad; en US la letra.</t>
        </is>
      </c>
      <c r="E670" s="183" t="n"/>
      <c r="F670" s="84" t="n"/>
      <c r="G670" s="84" t="n"/>
      <c r="H670" s="84" t="n"/>
      <c r="I670" s="84" t="n"/>
      <c r="J670" s="84" t="n"/>
      <c r="K670" s="84" t="n"/>
      <c r="L670" s="84" t="n"/>
      <c r="M670" s="84" t="n"/>
      <c r="N670" s="84" t="n"/>
      <c r="O670" s="84" t="n"/>
      <c r="P670" s="84" t="n"/>
      <c r="Q670" s="84" t="n"/>
      <c r="R670" s="84" t="n"/>
      <c r="S670" s="84" t="n"/>
      <c r="T670" s="84" t="n"/>
      <c r="U670" s="84" t="n"/>
      <c r="V670" s="84" t="n"/>
      <c r="W670" s="84" t="n"/>
      <c r="X670" s="84" t="n"/>
      <c r="Y670" s="84" t="n"/>
      <c r="Z670" s="84" t="n"/>
      <c r="AA670" s="84" t="n"/>
      <c r="AB670" s="84" t="n"/>
      <c r="AC670" s="84" t="n"/>
      <c r="AD670" s="84" t="n"/>
    </row>
    <row r="671" ht="16.5" customHeight="1" s="176">
      <c r="A671" s="122" t="inlineStr">
        <is>
          <t>Talla Niño (alfa US Youth)</t>
        </is>
      </c>
      <c r="B671" s="123" t="inlineStr">
        <is>
          <t>14-16</t>
        </is>
      </c>
      <c r="C671" s="123" t="inlineStr">
        <is>
          <t>XL</t>
        </is>
      </c>
      <c r="D671" s="122" t="inlineStr">
        <is>
          <t>Etiqueta US Youth XL = 14-16 años. En WB Talla va la edad; en US la letra.</t>
        </is>
      </c>
      <c r="E671" s="183" t="n"/>
      <c r="F671" s="84" t="n"/>
      <c r="G671" s="84" t="n"/>
      <c r="H671" s="84" t="n"/>
      <c r="I671" s="84" t="n"/>
      <c r="J671" s="84" t="n"/>
      <c r="K671" s="84" t="n"/>
      <c r="L671" s="84" t="n"/>
      <c r="M671" s="84" t="n"/>
      <c r="N671" s="84" t="n"/>
      <c r="O671" s="84" t="n"/>
      <c r="P671" s="84" t="n"/>
      <c r="Q671" s="84" t="n"/>
      <c r="R671" s="84" t="n"/>
      <c r="S671" s="84" t="n"/>
      <c r="T671" s="84" t="n"/>
      <c r="U671" s="84" t="n"/>
      <c r="V671" s="84" t="n"/>
      <c r="W671" s="84" t="n"/>
      <c r="X671" s="84" t="n"/>
      <c r="Y671" s="84" t="n"/>
      <c r="Z671" s="84" t="n"/>
      <c r="AA671" s="84" t="n"/>
      <c r="AB671" s="84" t="n"/>
      <c r="AC671" s="84" t="n"/>
      <c r="AD671" s="84" t="n"/>
    </row>
    <row r="672" ht="16.5" customHeight="1" s="176">
      <c r="A672" s="122" t="inlineStr">
        <is>
          <t>Talla Niño (jeans cintura)</t>
        </is>
      </c>
      <c r="B672" s="123" t="n">
        <v>22</v>
      </c>
      <c r="C672" s="123" t="inlineStr">
        <is>
          <t>22W</t>
        </is>
      </c>
      <c r="D672" s="122" t="inlineStr">
        <is>
          <t>Solo si la etiqueta trae cintura en pulgadas; mostrar la edad como apoyo.</t>
        </is>
      </c>
      <c r="E672" s="183" t="n"/>
      <c r="F672" s="84" t="n"/>
      <c r="G672" s="84" t="n"/>
      <c r="H672" s="84" t="n"/>
      <c r="I672" s="84" t="n"/>
      <c r="J672" s="84" t="n"/>
      <c r="K672" s="84" t="n"/>
      <c r="L672" s="84" t="n"/>
      <c r="M672" s="84" t="n"/>
      <c r="N672" s="84" t="n"/>
      <c r="O672" s="84" t="n"/>
      <c r="P672" s="84" t="n"/>
      <c r="Q672" s="84" t="n"/>
      <c r="R672" s="84" t="n"/>
      <c r="S672" s="84" t="n"/>
      <c r="T672" s="84" t="n"/>
      <c r="U672" s="84" t="n"/>
      <c r="V672" s="84" t="n"/>
      <c r="W672" s="84" t="n"/>
      <c r="X672" s="84" t="n"/>
      <c r="Y672" s="84" t="n"/>
      <c r="Z672" s="84" t="n"/>
      <c r="AA672" s="84" t="n"/>
      <c r="AB672" s="84" t="n"/>
      <c r="AC672" s="84" t="n"/>
      <c r="AD672" s="84" t="n"/>
    </row>
    <row r="673" ht="16.5" customHeight="1" s="176">
      <c r="A673" s="122" t="inlineStr">
        <is>
          <t>Talla Niño (jeans cintura)</t>
        </is>
      </c>
      <c r="B673" s="123" t="n">
        <v>23</v>
      </c>
      <c r="C673" s="123" t="inlineStr">
        <is>
          <t>23W</t>
        </is>
      </c>
      <c r="D673" s="122" t="inlineStr">
        <is>
          <t>Igual</t>
        </is>
      </c>
      <c r="E673" s="183" t="n"/>
      <c r="F673" s="84" t="n"/>
      <c r="G673" s="84" t="n"/>
      <c r="H673" s="84" t="n"/>
      <c r="I673" s="84" t="n"/>
      <c r="J673" s="84" t="n"/>
      <c r="K673" s="84" t="n"/>
      <c r="L673" s="84" t="n"/>
      <c r="M673" s="84" t="n"/>
      <c r="N673" s="84" t="n"/>
      <c r="O673" s="84" t="n"/>
      <c r="P673" s="84" t="n"/>
      <c r="Q673" s="84" t="n"/>
      <c r="R673" s="84" t="n"/>
      <c r="S673" s="84" t="n"/>
      <c r="T673" s="84" t="n"/>
      <c r="U673" s="84" t="n"/>
      <c r="V673" s="84" t="n"/>
      <c r="W673" s="84" t="n"/>
      <c r="X673" s="84" t="n"/>
      <c r="Y673" s="84" t="n"/>
      <c r="Z673" s="84" t="n"/>
      <c r="AA673" s="84" t="n"/>
      <c r="AB673" s="84" t="n"/>
      <c r="AC673" s="84" t="n"/>
      <c r="AD673" s="84" t="n"/>
    </row>
    <row r="674" ht="16.5" customHeight="1" s="176">
      <c r="A674" s="122" t="inlineStr">
        <is>
          <t>Talla Niño (jeans cintura)</t>
        </is>
      </c>
      <c r="B674" s="123" t="n">
        <v>24</v>
      </c>
      <c r="C674" s="123" t="inlineStr">
        <is>
          <t>24W</t>
        </is>
      </c>
      <c r="D674" s="122" t="inlineStr">
        <is>
          <t>Igual</t>
        </is>
      </c>
      <c r="E674" s="183" t="n"/>
      <c r="F674" s="84" t="n"/>
      <c r="G674" s="84" t="n"/>
      <c r="H674" s="84" t="n"/>
      <c r="I674" s="84" t="n"/>
      <c r="J674" s="84" t="n"/>
      <c r="K674" s="84" t="n"/>
      <c r="L674" s="84" t="n"/>
      <c r="M674" s="84" t="n"/>
      <c r="N674" s="84" t="n"/>
      <c r="O674" s="84" t="n"/>
      <c r="P674" s="84" t="n"/>
      <c r="Q674" s="84" t="n"/>
      <c r="R674" s="84" t="n"/>
      <c r="S674" s="84" t="n"/>
      <c r="T674" s="84" t="n"/>
      <c r="U674" s="84" t="n"/>
      <c r="V674" s="84" t="n"/>
      <c r="W674" s="84" t="n"/>
      <c r="X674" s="84" t="n"/>
      <c r="Y674" s="84" t="n"/>
      <c r="Z674" s="84" t="n"/>
      <c r="AA674" s="84" t="n"/>
      <c r="AB674" s="84" t="n"/>
      <c r="AC674" s="84" t="n"/>
      <c r="AD674" s="84" t="n"/>
    </row>
    <row r="675" ht="16.5" customHeight="1" s="176">
      <c r="A675" s="122" t="inlineStr">
        <is>
          <t>Talla Niño (jeans cintura)</t>
        </is>
      </c>
      <c r="B675" s="123" t="n">
        <v>25</v>
      </c>
      <c r="C675" s="123" t="inlineStr">
        <is>
          <t>25W</t>
        </is>
      </c>
      <c r="D675" s="122" t="inlineStr">
        <is>
          <t>Igual</t>
        </is>
      </c>
      <c r="E675" s="183" t="n"/>
      <c r="F675" s="84" t="n"/>
      <c r="G675" s="84" t="n"/>
      <c r="H675" s="84" t="n"/>
      <c r="I675" s="84" t="n"/>
      <c r="J675" s="84" t="n"/>
      <c r="K675" s="84" t="n"/>
      <c r="L675" s="84" t="n"/>
      <c r="M675" s="84" t="n"/>
      <c r="N675" s="84" t="n"/>
      <c r="O675" s="84" t="n"/>
      <c r="P675" s="84" t="n"/>
      <c r="Q675" s="84" t="n"/>
      <c r="R675" s="84" t="n"/>
      <c r="S675" s="84" t="n"/>
      <c r="T675" s="84" t="n"/>
      <c r="U675" s="84" t="n"/>
      <c r="V675" s="84" t="n"/>
      <c r="W675" s="84" t="n"/>
      <c r="X675" s="84" t="n"/>
      <c r="Y675" s="84" t="n"/>
      <c r="Z675" s="84" t="n"/>
      <c r="AA675" s="84" t="n"/>
      <c r="AB675" s="84" t="n"/>
      <c r="AC675" s="84" t="n"/>
      <c r="AD675" s="84" t="n"/>
    </row>
    <row r="676" ht="16.5" customHeight="1" s="176">
      <c r="A676" s="122" t="inlineStr">
        <is>
          <t>Talla Niño (jeans cintura)</t>
        </is>
      </c>
      <c r="B676" s="123" t="n">
        <v>26</v>
      </c>
      <c r="C676" s="123" t="inlineStr">
        <is>
          <t>26W</t>
        </is>
      </c>
      <c r="D676" s="122" t="inlineStr">
        <is>
          <t>Igual</t>
        </is>
      </c>
      <c r="E676" s="183" t="n"/>
      <c r="F676" s="84" t="n"/>
      <c r="G676" s="84" t="n"/>
      <c r="H676" s="84" t="n"/>
      <c r="I676" s="84" t="n"/>
      <c r="J676" s="84" t="n"/>
      <c r="K676" s="84" t="n"/>
      <c r="L676" s="84" t="n"/>
      <c r="M676" s="84" t="n"/>
      <c r="N676" s="84" t="n"/>
      <c r="O676" s="84" t="n"/>
      <c r="P676" s="84" t="n"/>
      <c r="Q676" s="84" t="n"/>
      <c r="R676" s="84" t="n"/>
      <c r="S676" s="84" t="n"/>
      <c r="T676" s="84" t="n"/>
      <c r="U676" s="84" t="n"/>
      <c r="V676" s="84" t="n"/>
      <c r="W676" s="84" t="n"/>
      <c r="X676" s="84" t="n"/>
      <c r="Y676" s="84" t="n"/>
      <c r="Z676" s="84" t="n"/>
      <c r="AA676" s="84" t="n"/>
      <c r="AB676" s="84" t="n"/>
      <c r="AC676" s="84" t="n"/>
      <c r="AD676" s="84" t="n"/>
    </row>
    <row r="677" ht="30" customHeight="1" s="176">
      <c r="A677" s="122" t="inlineStr">
        <is>
          <t>Talla Calcetín</t>
        </is>
      </c>
      <c r="B677" s="123" t="inlineStr">
        <is>
          <t>S</t>
        </is>
      </c>
      <c r="C677" s="123" t="inlineStr">
        <is>
          <t>S</t>
        </is>
      </c>
      <c r="D677" s="122" t="inlineStr">
        <is>
          <t>Por rango de calzado: MX 21–23 (Calzado Dama US 4–6). Calcetín sin talla → Talla única / One Size.</t>
        </is>
      </c>
      <c r="E677" s="183" t="n"/>
      <c r="F677" s="84" t="n"/>
      <c r="G677" s="84" t="n"/>
      <c r="H677" s="84" t="n"/>
      <c r="I677" s="84" t="n"/>
      <c r="J677" s="84" t="n"/>
      <c r="K677" s="84" t="n"/>
      <c r="L677" s="84" t="n"/>
      <c r="M677" s="84" t="n"/>
      <c r="N677" s="84" t="n"/>
      <c r="O677" s="84" t="n"/>
      <c r="P677" s="84" t="n"/>
      <c r="Q677" s="84" t="n"/>
      <c r="R677" s="84" t="n"/>
      <c r="S677" s="84" t="n"/>
      <c r="T677" s="84" t="n"/>
      <c r="U677" s="84" t="n"/>
      <c r="V677" s="84" t="n"/>
      <c r="W677" s="84" t="n"/>
      <c r="X677" s="84" t="n"/>
      <c r="Y677" s="84" t="n"/>
      <c r="Z677" s="84" t="n"/>
      <c r="AA677" s="84" t="n"/>
      <c r="AB677" s="84" t="n"/>
      <c r="AC677" s="84" t="n"/>
      <c r="AD677" s="84" t="n"/>
    </row>
    <row r="678" ht="30" customHeight="1" s="176">
      <c r="A678" s="122" t="inlineStr">
        <is>
          <t>Talla Calcetín</t>
        </is>
      </c>
      <c r="B678" s="123" t="inlineStr">
        <is>
          <t>M</t>
        </is>
      </c>
      <c r="C678" s="123" t="inlineStr">
        <is>
          <t>M</t>
        </is>
      </c>
      <c r="D678" s="122" t="inlineStr">
        <is>
          <t>Por rango de calzado: MX 23–26 (Dama US 6–10 / Caballero US 6–8). Calcetín sin talla → Talla única / One Size.</t>
        </is>
      </c>
      <c r="E678" s="183" t="n"/>
      <c r="F678" s="84" t="n"/>
      <c r="G678" s="84" t="n"/>
      <c r="H678" s="84" t="n"/>
      <c r="I678" s="84" t="n"/>
      <c r="J678" s="84" t="n"/>
      <c r="K678" s="84" t="n"/>
      <c r="L678" s="84" t="n"/>
      <c r="M678" s="84" t="n"/>
      <c r="N678" s="84" t="n"/>
      <c r="O678" s="84" t="n"/>
      <c r="P678" s="84" t="n"/>
      <c r="Q678" s="84" t="n"/>
      <c r="R678" s="84" t="n"/>
      <c r="S678" s="84" t="n"/>
      <c r="T678" s="84" t="n"/>
      <c r="U678" s="84" t="n"/>
      <c r="V678" s="84" t="n"/>
      <c r="W678" s="84" t="n"/>
      <c r="X678" s="84" t="n"/>
      <c r="Y678" s="84" t="n"/>
      <c r="Z678" s="84" t="n"/>
      <c r="AA678" s="84" t="n"/>
      <c r="AB678" s="84" t="n"/>
      <c r="AC678" s="84" t="n"/>
      <c r="AD678" s="84" t="n"/>
    </row>
    <row r="679" ht="30" customHeight="1" s="176">
      <c r="A679" s="122" t="inlineStr">
        <is>
          <t>Talla Calcetín</t>
        </is>
      </c>
      <c r="B679" s="123" t="inlineStr">
        <is>
          <t>L</t>
        </is>
      </c>
      <c r="C679" s="123" t="inlineStr">
        <is>
          <t>L</t>
        </is>
      </c>
      <c r="D679" s="122" t="inlineStr">
        <is>
          <t>Por rango de calzado: MX 26–30 (Dama US 10–13 / Caballero US 8–12). Calcetín sin talla → Talla única / One Size.</t>
        </is>
      </c>
      <c r="E679" s="183" t="n"/>
      <c r="F679" s="84" t="n"/>
      <c r="G679" s="84" t="n"/>
      <c r="H679" s="84" t="n"/>
      <c r="I679" s="84" t="n"/>
      <c r="J679" s="84" t="n"/>
      <c r="K679" s="84" t="n"/>
      <c r="L679" s="84" t="n"/>
      <c r="M679" s="84" t="n"/>
      <c r="N679" s="84" t="n"/>
      <c r="O679" s="84" t="n"/>
      <c r="P679" s="84" t="n"/>
      <c r="Q679" s="84" t="n"/>
      <c r="R679" s="84" t="n"/>
      <c r="S679" s="84" t="n"/>
      <c r="T679" s="84" t="n"/>
      <c r="U679" s="84" t="n"/>
      <c r="V679" s="84" t="n"/>
      <c r="W679" s="84" t="n"/>
      <c r="X679" s="84" t="n"/>
      <c r="Y679" s="84" t="n"/>
      <c r="Z679" s="84" t="n"/>
      <c r="AA679" s="84" t="n"/>
      <c r="AB679" s="84" t="n"/>
      <c r="AC679" s="84" t="n"/>
      <c r="AD679" s="84" t="n"/>
    </row>
    <row r="680" ht="30" customHeight="1" s="176">
      <c r="A680" s="122" t="inlineStr">
        <is>
          <t>Talla Calcetín</t>
        </is>
      </c>
      <c r="B680" s="123" t="inlineStr">
        <is>
          <t>XL</t>
        </is>
      </c>
      <c r="C680" s="123" t="inlineStr">
        <is>
          <t>XL</t>
        </is>
      </c>
      <c r="D680" s="122" t="inlineStr">
        <is>
          <t>Por rango de calzado: MX 30–33 (Caballero US 12–15). Calcetín sin talla → Talla única / One Size.</t>
        </is>
      </c>
      <c r="E680" s="183" t="n"/>
      <c r="F680" s="84" t="n"/>
      <c r="G680" s="84" t="n"/>
      <c r="H680" s="84" t="n"/>
      <c r="I680" s="84" t="n"/>
      <c r="J680" s="84" t="n"/>
      <c r="K680" s="84" t="n"/>
      <c r="L680" s="84" t="n"/>
      <c r="M680" s="84" t="n"/>
      <c r="N680" s="84" t="n"/>
      <c r="O680" s="84" t="n"/>
      <c r="P680" s="84" t="n"/>
      <c r="Q680" s="84" t="n"/>
      <c r="R680" s="84" t="n"/>
      <c r="S680" s="84" t="n"/>
      <c r="T680" s="84" t="n"/>
      <c r="U680" s="84" t="n"/>
      <c r="V680" s="84" t="n"/>
      <c r="W680" s="84" t="n"/>
      <c r="X680" s="84" t="n"/>
      <c r="Y680" s="84" t="n"/>
      <c r="Z680" s="84" t="n"/>
      <c r="AA680" s="84" t="n"/>
      <c r="AB680" s="84" t="n"/>
      <c r="AC680" s="84" t="n"/>
      <c r="AD680" s="84" t="n"/>
    </row>
    <row r="681" ht="16.5" customHeight="1" s="176">
      <c r="A681" s="122" t="inlineStr">
        <is>
          <t>Talla Short Hombre</t>
        </is>
      </c>
      <c r="B681" s="123" t="n">
        <v>27</v>
      </c>
      <c r="C681" s="123" t="inlineStr">
        <is>
          <t>27W</t>
        </is>
      </c>
      <c r="D681" s="122" t="inlineStr">
        <is>
          <t>Igual</t>
        </is>
      </c>
      <c r="E681" s="183" t="n"/>
      <c r="F681" s="84" t="n"/>
      <c r="G681" s="84" t="n"/>
      <c r="H681" s="84" t="n"/>
      <c r="I681" s="84" t="n"/>
      <c r="J681" s="84" t="n"/>
      <c r="K681" s="84" t="n"/>
      <c r="L681" s="84" t="n"/>
      <c r="M681" s="84" t="n"/>
      <c r="N681" s="84" t="n"/>
      <c r="O681" s="84" t="n"/>
      <c r="P681" s="84" t="n"/>
      <c r="Q681" s="84" t="n"/>
      <c r="R681" s="84" t="n"/>
      <c r="S681" s="84" t="n"/>
      <c r="T681" s="84" t="n"/>
      <c r="U681" s="84" t="n"/>
      <c r="V681" s="84" t="n"/>
      <c r="W681" s="84" t="n"/>
      <c r="X681" s="84" t="n"/>
      <c r="Y681" s="84" t="n"/>
      <c r="Z681" s="84" t="n"/>
      <c r="AA681" s="84" t="n"/>
      <c r="AB681" s="84" t="n"/>
      <c r="AC681" s="84" t="n"/>
      <c r="AD681" s="84" t="n"/>
    </row>
    <row r="682" ht="16.5" customHeight="1" s="176">
      <c r="A682" s="122" t="inlineStr">
        <is>
          <t>Talla Short Hombre</t>
        </is>
      </c>
      <c r="B682" s="123" t="n">
        <v>28</v>
      </c>
      <c r="C682" s="123" t="inlineStr">
        <is>
          <t>28W</t>
        </is>
      </c>
      <c r="D682" s="122" t="inlineStr">
        <is>
          <t>Solo cintura en pulgadas (el short no lleva largo).</t>
        </is>
      </c>
      <c r="E682" s="183" t="n"/>
      <c r="F682" s="84" t="n"/>
      <c r="G682" s="84" t="n"/>
      <c r="H682" s="84" t="n"/>
      <c r="I682" s="84" t="n"/>
      <c r="J682" s="84" t="n"/>
      <c r="K682" s="84" t="n"/>
      <c r="L682" s="84" t="n"/>
      <c r="M682" s="84" t="n"/>
      <c r="N682" s="84" t="n"/>
      <c r="O682" s="84" t="n"/>
      <c r="P682" s="84" t="n"/>
      <c r="Q682" s="84" t="n"/>
      <c r="R682" s="84" t="n"/>
      <c r="S682" s="84" t="n"/>
      <c r="T682" s="84" t="n"/>
      <c r="U682" s="84" t="n"/>
      <c r="V682" s="84" t="n"/>
      <c r="W682" s="84" t="n"/>
      <c r="X682" s="84" t="n"/>
      <c r="Y682" s="84" t="n"/>
      <c r="Z682" s="84" t="n"/>
      <c r="AA682" s="84" t="n"/>
      <c r="AB682" s="84" t="n"/>
      <c r="AC682" s="84" t="n"/>
      <c r="AD682" s="84" t="n"/>
    </row>
    <row r="683" ht="16.5" customHeight="1" s="176">
      <c r="A683" s="122" t="inlineStr">
        <is>
          <t>Talla Short Hombre</t>
        </is>
      </c>
      <c r="B683" s="123" t="n">
        <v>29</v>
      </c>
      <c r="C683" s="123" t="inlineStr">
        <is>
          <t>29W</t>
        </is>
      </c>
      <c r="D683" s="122" t="inlineStr">
        <is>
          <t>Igual</t>
        </is>
      </c>
      <c r="E683" s="183" t="n"/>
      <c r="F683" s="84" t="n"/>
      <c r="G683" s="84" t="n"/>
      <c r="H683" s="84" t="n"/>
      <c r="I683" s="84" t="n"/>
      <c r="J683" s="84" t="n"/>
      <c r="K683" s="84" t="n"/>
      <c r="L683" s="84" t="n"/>
      <c r="M683" s="84" t="n"/>
      <c r="N683" s="84" t="n"/>
      <c r="O683" s="84" t="n"/>
      <c r="P683" s="84" t="n"/>
      <c r="Q683" s="84" t="n"/>
      <c r="R683" s="84" t="n"/>
      <c r="S683" s="84" t="n"/>
      <c r="T683" s="84" t="n"/>
      <c r="U683" s="84" t="n"/>
      <c r="V683" s="84" t="n"/>
      <c r="W683" s="84" t="n"/>
      <c r="X683" s="84" t="n"/>
      <c r="Y683" s="84" t="n"/>
      <c r="Z683" s="84" t="n"/>
      <c r="AA683" s="84" t="n"/>
      <c r="AB683" s="84" t="n"/>
      <c r="AC683" s="84" t="n"/>
      <c r="AD683" s="84" t="n"/>
    </row>
    <row r="684" ht="16.5" customHeight="1" s="176">
      <c r="A684" s="122" t="inlineStr">
        <is>
          <t>Talla Short Hombre</t>
        </is>
      </c>
      <c r="B684" s="123" t="n">
        <v>30</v>
      </c>
      <c r="C684" s="123" t="inlineStr">
        <is>
          <t>30W</t>
        </is>
      </c>
      <c r="D684" s="122" t="inlineStr">
        <is>
          <t>Igual</t>
        </is>
      </c>
      <c r="E684" s="183" t="n"/>
      <c r="F684" s="84" t="n"/>
      <c r="G684" s="84" t="n"/>
      <c r="H684" s="84" t="n"/>
      <c r="I684" s="84" t="n"/>
      <c r="J684" s="84" t="n"/>
      <c r="K684" s="84" t="n"/>
      <c r="L684" s="84" t="n"/>
      <c r="M684" s="84" t="n"/>
      <c r="N684" s="84" t="n"/>
      <c r="O684" s="84" t="n"/>
      <c r="P684" s="84" t="n"/>
      <c r="Q684" s="84" t="n"/>
      <c r="R684" s="84" t="n"/>
      <c r="S684" s="84" t="n"/>
      <c r="T684" s="84" t="n"/>
      <c r="U684" s="84" t="n"/>
      <c r="V684" s="84" t="n"/>
      <c r="W684" s="84" t="n"/>
      <c r="X684" s="84" t="n"/>
      <c r="Y684" s="84" t="n"/>
      <c r="Z684" s="84" t="n"/>
      <c r="AA684" s="84" t="n"/>
      <c r="AB684" s="84" t="n"/>
      <c r="AC684" s="84" t="n"/>
      <c r="AD684" s="84" t="n"/>
    </row>
    <row r="685" ht="16.5" customHeight="1" s="176">
      <c r="A685" s="122" t="inlineStr">
        <is>
          <t>Talla Short Hombre</t>
        </is>
      </c>
      <c r="B685" s="123" t="n">
        <v>31</v>
      </c>
      <c r="C685" s="123" t="inlineStr">
        <is>
          <t>31W</t>
        </is>
      </c>
      <c r="D685" s="122" t="inlineStr">
        <is>
          <t>Igual</t>
        </is>
      </c>
      <c r="E685" s="183" t="n"/>
      <c r="F685" s="84" t="n"/>
      <c r="G685" s="84" t="n"/>
      <c r="H685" s="84" t="n"/>
      <c r="I685" s="84" t="n"/>
      <c r="J685" s="84" t="n"/>
      <c r="K685" s="84" t="n"/>
      <c r="L685" s="84" t="n"/>
      <c r="M685" s="84" t="n"/>
      <c r="N685" s="84" t="n"/>
      <c r="O685" s="84" t="n"/>
      <c r="P685" s="84" t="n"/>
      <c r="Q685" s="84" t="n"/>
      <c r="R685" s="84" t="n"/>
      <c r="S685" s="84" t="n"/>
      <c r="T685" s="84" t="n"/>
      <c r="U685" s="84" t="n"/>
      <c r="V685" s="84" t="n"/>
      <c r="W685" s="84" t="n"/>
      <c r="X685" s="84" t="n"/>
      <c r="Y685" s="84" t="n"/>
      <c r="Z685" s="84" t="n"/>
      <c r="AA685" s="84" t="n"/>
      <c r="AB685" s="84" t="n"/>
      <c r="AC685" s="84" t="n"/>
      <c r="AD685" s="84" t="n"/>
    </row>
    <row r="686" ht="16.5" customHeight="1" s="176">
      <c r="A686" s="122" t="inlineStr">
        <is>
          <t>Talla Short Hombre</t>
        </is>
      </c>
      <c r="B686" s="123" t="n">
        <v>32</v>
      </c>
      <c r="C686" s="123" t="inlineStr">
        <is>
          <t>32W</t>
        </is>
      </c>
      <c r="D686" s="122" t="inlineStr">
        <is>
          <t>Igual</t>
        </is>
      </c>
      <c r="E686" s="183" t="n"/>
      <c r="F686" s="84" t="n"/>
      <c r="G686" s="84" t="n"/>
      <c r="H686" s="84" t="n"/>
      <c r="I686" s="84" t="n"/>
      <c r="J686" s="84" t="n"/>
      <c r="K686" s="84" t="n"/>
      <c r="L686" s="84" t="n"/>
      <c r="M686" s="84" t="n"/>
      <c r="N686" s="84" t="n"/>
      <c r="O686" s="84" t="n"/>
      <c r="P686" s="84" t="n"/>
      <c r="Q686" s="84" t="n"/>
      <c r="R686" s="84" t="n"/>
      <c r="S686" s="84" t="n"/>
      <c r="T686" s="84" t="n"/>
      <c r="U686" s="84" t="n"/>
      <c r="V686" s="84" t="n"/>
      <c r="W686" s="84" t="n"/>
      <c r="X686" s="84" t="n"/>
      <c r="Y686" s="84" t="n"/>
      <c r="Z686" s="84" t="n"/>
      <c r="AA686" s="84" t="n"/>
      <c r="AB686" s="84" t="n"/>
      <c r="AC686" s="84" t="n"/>
      <c r="AD686" s="84" t="n"/>
    </row>
    <row r="687" ht="16.5" customHeight="1" s="176">
      <c r="A687" s="122" t="inlineStr">
        <is>
          <t>Talla Short Hombre</t>
        </is>
      </c>
      <c r="B687" s="123" t="n">
        <v>33</v>
      </c>
      <c r="C687" s="123" t="inlineStr">
        <is>
          <t>33W</t>
        </is>
      </c>
      <c r="D687" s="122" t="inlineStr">
        <is>
          <t>Igual</t>
        </is>
      </c>
      <c r="E687" s="183" t="n"/>
      <c r="F687" s="84" t="n"/>
      <c r="G687" s="84" t="n"/>
      <c r="H687" s="84" t="n"/>
      <c r="I687" s="84" t="n"/>
      <c r="J687" s="84" t="n"/>
      <c r="K687" s="84" t="n"/>
      <c r="L687" s="84" t="n"/>
      <c r="M687" s="84" t="n"/>
      <c r="N687" s="84" t="n"/>
      <c r="O687" s="84" t="n"/>
      <c r="P687" s="84" t="n"/>
      <c r="Q687" s="84" t="n"/>
      <c r="R687" s="84" t="n"/>
      <c r="S687" s="84" t="n"/>
      <c r="T687" s="84" t="n"/>
      <c r="U687" s="84" t="n"/>
      <c r="V687" s="84" t="n"/>
      <c r="W687" s="84" t="n"/>
      <c r="X687" s="84" t="n"/>
      <c r="Y687" s="84" t="n"/>
      <c r="Z687" s="84" t="n"/>
      <c r="AA687" s="84" t="n"/>
      <c r="AB687" s="84" t="n"/>
      <c r="AC687" s="84" t="n"/>
      <c r="AD687" s="84" t="n"/>
    </row>
    <row r="688" ht="16.5" customHeight="1" s="176">
      <c r="A688" s="122" t="inlineStr">
        <is>
          <t>Talla Short Hombre</t>
        </is>
      </c>
      <c r="B688" s="123" t="n">
        <v>34</v>
      </c>
      <c r="C688" s="123" t="inlineStr">
        <is>
          <t>34W</t>
        </is>
      </c>
      <c r="D688" s="122" t="inlineStr">
        <is>
          <t>Igual</t>
        </is>
      </c>
      <c r="E688" s="183" t="n"/>
      <c r="F688" s="84" t="n"/>
      <c r="G688" s="84" t="n"/>
      <c r="H688" s="84" t="n"/>
      <c r="I688" s="84" t="n"/>
      <c r="J688" s="84" t="n"/>
      <c r="K688" s="84" t="n"/>
      <c r="L688" s="84" t="n"/>
      <c r="M688" s="84" t="n"/>
      <c r="N688" s="84" t="n"/>
      <c r="O688" s="84" t="n"/>
      <c r="P688" s="84" t="n"/>
      <c r="Q688" s="84" t="n"/>
      <c r="R688" s="84" t="n"/>
      <c r="S688" s="84" t="n"/>
      <c r="T688" s="84" t="n"/>
      <c r="U688" s="84" t="n"/>
      <c r="V688" s="84" t="n"/>
      <c r="W688" s="84" t="n"/>
      <c r="X688" s="84" t="n"/>
      <c r="Y688" s="84" t="n"/>
      <c r="Z688" s="84" t="n"/>
      <c r="AA688" s="84" t="n"/>
      <c r="AB688" s="84" t="n"/>
      <c r="AC688" s="84" t="n"/>
      <c r="AD688" s="84" t="n"/>
    </row>
    <row r="689" ht="16.5" customHeight="1" s="176">
      <c r="A689" s="122" t="inlineStr">
        <is>
          <t>Talla Short Hombre</t>
        </is>
      </c>
      <c r="B689" s="123" t="n">
        <v>35</v>
      </c>
      <c r="C689" s="123" t="inlineStr">
        <is>
          <t>35W</t>
        </is>
      </c>
      <c r="D689" s="122" t="inlineStr">
        <is>
          <t>Igual</t>
        </is>
      </c>
      <c r="E689" s="183" t="n"/>
      <c r="F689" s="84" t="n"/>
      <c r="G689" s="84" t="n"/>
      <c r="H689" s="84" t="n"/>
      <c r="I689" s="84" t="n"/>
      <c r="J689" s="84" t="n"/>
      <c r="K689" s="84" t="n"/>
      <c r="L689" s="84" t="n"/>
      <c r="M689" s="84" t="n"/>
      <c r="N689" s="84" t="n"/>
      <c r="O689" s="84" t="n"/>
      <c r="P689" s="84" t="n"/>
      <c r="Q689" s="84" t="n"/>
      <c r="R689" s="84" t="n"/>
      <c r="S689" s="84" t="n"/>
      <c r="T689" s="84" t="n"/>
      <c r="U689" s="84" t="n"/>
      <c r="V689" s="84" t="n"/>
      <c r="W689" s="84" t="n"/>
      <c r="X689" s="84" t="n"/>
      <c r="Y689" s="84" t="n"/>
      <c r="Z689" s="84" t="n"/>
      <c r="AA689" s="84" t="n"/>
      <c r="AB689" s="84" t="n"/>
      <c r="AC689" s="84" t="n"/>
      <c r="AD689" s="84" t="n"/>
    </row>
    <row r="690" ht="16.5" customHeight="1" s="176">
      <c r="A690" s="122" t="inlineStr">
        <is>
          <t>Talla Short Hombre</t>
        </is>
      </c>
      <c r="B690" s="123" t="n">
        <v>36</v>
      </c>
      <c r="C690" s="123" t="inlineStr">
        <is>
          <t>36W</t>
        </is>
      </c>
      <c r="D690" s="122" t="inlineStr">
        <is>
          <t>Igual</t>
        </is>
      </c>
      <c r="E690" s="183" t="n"/>
      <c r="F690" s="84" t="n"/>
      <c r="G690" s="84" t="n"/>
      <c r="H690" s="84" t="n"/>
      <c r="I690" s="84" t="n"/>
      <c r="J690" s="84" t="n"/>
      <c r="K690" s="84" t="n"/>
      <c r="L690" s="84" t="n"/>
      <c r="M690" s="84" t="n"/>
      <c r="N690" s="84" t="n"/>
      <c r="O690" s="84" t="n"/>
      <c r="P690" s="84" t="n"/>
      <c r="Q690" s="84" t="n"/>
      <c r="R690" s="84" t="n"/>
      <c r="S690" s="84" t="n"/>
      <c r="T690" s="84" t="n"/>
      <c r="U690" s="84" t="n"/>
      <c r="V690" s="84" t="n"/>
      <c r="W690" s="84" t="n"/>
      <c r="X690" s="84" t="n"/>
      <c r="Y690" s="84" t="n"/>
      <c r="Z690" s="84" t="n"/>
      <c r="AA690" s="84" t="n"/>
      <c r="AB690" s="84" t="n"/>
      <c r="AC690" s="84" t="n"/>
      <c r="AD690" s="84" t="n"/>
    </row>
    <row r="691" ht="16.5" customHeight="1" s="176">
      <c r="A691" s="122" t="inlineStr">
        <is>
          <t>Talla Short Hombre</t>
        </is>
      </c>
      <c r="B691" s="123" t="n">
        <v>37</v>
      </c>
      <c r="C691" s="123" t="inlineStr">
        <is>
          <t>37W</t>
        </is>
      </c>
      <c r="D691" s="122" t="inlineStr">
        <is>
          <t>Igual</t>
        </is>
      </c>
      <c r="E691" s="183" t="n"/>
      <c r="F691" s="84" t="n"/>
      <c r="G691" s="84" t="n"/>
      <c r="H691" s="84" t="n"/>
      <c r="I691" s="84" t="n"/>
      <c r="J691" s="84" t="n"/>
      <c r="K691" s="84" t="n"/>
      <c r="L691" s="84" t="n"/>
      <c r="M691" s="84" t="n"/>
      <c r="N691" s="84" t="n"/>
      <c r="O691" s="84" t="n"/>
      <c r="P691" s="84" t="n"/>
      <c r="Q691" s="84" t="n"/>
      <c r="R691" s="84" t="n"/>
      <c r="S691" s="84" t="n"/>
      <c r="T691" s="84" t="n"/>
      <c r="U691" s="84" t="n"/>
      <c r="V691" s="84" t="n"/>
      <c r="W691" s="84" t="n"/>
      <c r="X691" s="84" t="n"/>
      <c r="Y691" s="84" t="n"/>
      <c r="Z691" s="84" t="n"/>
      <c r="AA691" s="84" t="n"/>
      <c r="AB691" s="84" t="n"/>
      <c r="AC691" s="84" t="n"/>
      <c r="AD691" s="84" t="n"/>
    </row>
    <row r="692" ht="16.5" customHeight="1" s="176">
      <c r="A692" s="122" t="inlineStr">
        <is>
          <t>Talla Short Hombre</t>
        </is>
      </c>
      <c r="B692" s="123" t="n">
        <v>38</v>
      </c>
      <c r="C692" s="123" t="inlineStr">
        <is>
          <t>38W</t>
        </is>
      </c>
      <c r="D692" s="122" t="inlineStr">
        <is>
          <t>Igual</t>
        </is>
      </c>
      <c r="E692" s="183" t="n"/>
      <c r="F692" s="84" t="n"/>
      <c r="G692" s="84" t="n"/>
      <c r="H692" s="84" t="n"/>
      <c r="I692" s="84" t="n"/>
      <c r="J692" s="84" t="n"/>
      <c r="K692" s="84" t="n"/>
      <c r="L692" s="84" t="n"/>
      <c r="M692" s="84" t="n"/>
      <c r="N692" s="84" t="n"/>
      <c r="O692" s="84" t="n"/>
      <c r="P692" s="84" t="n"/>
      <c r="Q692" s="84" t="n"/>
      <c r="R692" s="84" t="n"/>
      <c r="S692" s="84" t="n"/>
      <c r="T692" s="84" t="n"/>
      <c r="U692" s="84" t="n"/>
      <c r="V692" s="84" t="n"/>
      <c r="W692" s="84" t="n"/>
      <c r="X692" s="84" t="n"/>
      <c r="Y692" s="84" t="n"/>
      <c r="Z692" s="84" t="n"/>
      <c r="AA692" s="84" t="n"/>
      <c r="AB692" s="84" t="n"/>
      <c r="AC692" s="84" t="n"/>
      <c r="AD692" s="84" t="n"/>
    </row>
    <row r="693" ht="16.5" customHeight="1" s="176">
      <c r="A693" s="122" t="inlineStr">
        <is>
          <t>Talla Short Hombre</t>
        </is>
      </c>
      <c r="B693" s="123" t="n">
        <v>39</v>
      </c>
      <c r="C693" s="123" t="inlineStr">
        <is>
          <t>39W</t>
        </is>
      </c>
      <c r="D693" s="122" t="inlineStr">
        <is>
          <t>Igual</t>
        </is>
      </c>
      <c r="E693" s="183" t="n"/>
      <c r="F693" s="84" t="n"/>
      <c r="G693" s="84" t="n"/>
      <c r="H693" s="84" t="n"/>
      <c r="I693" s="84" t="n"/>
      <c r="J693" s="84" t="n"/>
      <c r="K693" s="84" t="n"/>
      <c r="L693" s="84" t="n"/>
      <c r="M693" s="84" t="n"/>
      <c r="N693" s="84" t="n"/>
      <c r="O693" s="84" t="n"/>
      <c r="P693" s="84" t="n"/>
      <c r="Q693" s="84" t="n"/>
      <c r="R693" s="84" t="n"/>
      <c r="S693" s="84" t="n"/>
      <c r="T693" s="84" t="n"/>
      <c r="U693" s="84" t="n"/>
      <c r="V693" s="84" t="n"/>
      <c r="W693" s="84" t="n"/>
      <c r="X693" s="84" t="n"/>
      <c r="Y693" s="84" t="n"/>
      <c r="Z693" s="84" t="n"/>
      <c r="AA693" s="84" t="n"/>
      <c r="AB693" s="84" t="n"/>
      <c r="AC693" s="84" t="n"/>
      <c r="AD693" s="84" t="n"/>
    </row>
    <row r="694" ht="16.5" customHeight="1" s="176">
      <c r="A694" s="122" t="inlineStr">
        <is>
          <t>Talla Short Hombre</t>
        </is>
      </c>
      <c r="B694" s="123" t="n">
        <v>40</v>
      </c>
      <c r="C694" s="123" t="inlineStr">
        <is>
          <t>40W</t>
        </is>
      </c>
      <c r="D694" s="122" t="inlineStr">
        <is>
          <t>Igual</t>
        </is>
      </c>
      <c r="E694" s="183" t="n"/>
      <c r="F694" s="84" t="n"/>
      <c r="G694" s="84" t="n"/>
      <c r="H694" s="84" t="n"/>
      <c r="I694" s="84" t="n"/>
      <c r="J694" s="84" t="n"/>
      <c r="K694" s="84" t="n"/>
      <c r="L694" s="84" t="n"/>
      <c r="M694" s="84" t="n"/>
      <c r="N694" s="84" t="n"/>
      <c r="O694" s="84" t="n"/>
      <c r="P694" s="84" t="n"/>
      <c r="Q694" s="84" t="n"/>
      <c r="R694" s="84" t="n"/>
      <c r="S694" s="84" t="n"/>
      <c r="T694" s="84" t="n"/>
      <c r="U694" s="84" t="n"/>
      <c r="V694" s="84" t="n"/>
      <c r="W694" s="84" t="n"/>
      <c r="X694" s="84" t="n"/>
      <c r="Y694" s="84" t="n"/>
      <c r="Z694" s="84" t="n"/>
      <c r="AA694" s="84" t="n"/>
      <c r="AB694" s="84" t="n"/>
      <c r="AC694" s="84" t="n"/>
      <c r="AD694" s="84" t="n"/>
    </row>
    <row r="695" ht="16.5" customHeight="1" s="176">
      <c r="A695" s="122" t="inlineStr">
        <is>
          <t>Talla Short Hombre</t>
        </is>
      </c>
      <c r="B695" s="123" t="n">
        <v>41</v>
      </c>
      <c r="C695" s="123" t="inlineStr">
        <is>
          <t>41W</t>
        </is>
      </c>
      <c r="D695" s="122" t="inlineStr">
        <is>
          <t>Igual</t>
        </is>
      </c>
      <c r="E695" s="183" t="n"/>
      <c r="F695" s="84" t="n"/>
      <c r="G695" s="84" t="n"/>
      <c r="H695" s="84" t="n"/>
      <c r="I695" s="84" t="n"/>
      <c r="J695" s="84" t="n"/>
      <c r="K695" s="84" t="n"/>
      <c r="L695" s="84" t="n"/>
      <c r="M695" s="84" t="n"/>
      <c r="N695" s="84" t="n"/>
      <c r="O695" s="84" t="n"/>
      <c r="P695" s="84" t="n"/>
      <c r="Q695" s="84" t="n"/>
      <c r="R695" s="84" t="n"/>
      <c r="S695" s="84" t="n"/>
      <c r="T695" s="84" t="n"/>
      <c r="U695" s="84" t="n"/>
      <c r="V695" s="84" t="n"/>
      <c r="W695" s="84" t="n"/>
      <c r="X695" s="84" t="n"/>
      <c r="Y695" s="84" t="n"/>
      <c r="Z695" s="84" t="n"/>
      <c r="AA695" s="84" t="n"/>
      <c r="AB695" s="84" t="n"/>
      <c r="AC695" s="84" t="n"/>
      <c r="AD695" s="84" t="n"/>
    </row>
    <row r="696" ht="16.5" customHeight="1" s="176">
      <c r="A696" s="122" t="inlineStr">
        <is>
          <t>Talla Short Hombre</t>
        </is>
      </c>
      <c r="B696" s="123" t="n">
        <v>42</v>
      </c>
      <c r="C696" s="123" t="inlineStr">
        <is>
          <t>42W</t>
        </is>
      </c>
      <c r="D696" s="122" t="inlineStr">
        <is>
          <t>Igual</t>
        </is>
      </c>
      <c r="E696" s="183" t="n"/>
      <c r="F696" s="84" t="n"/>
      <c r="G696" s="84" t="n"/>
      <c r="H696" s="84" t="n"/>
      <c r="I696" s="84" t="n"/>
      <c r="J696" s="84" t="n"/>
      <c r="K696" s="84" t="n"/>
      <c r="L696" s="84" t="n"/>
      <c r="M696" s="84" t="n"/>
      <c r="N696" s="84" t="n"/>
      <c r="O696" s="84" t="n"/>
      <c r="P696" s="84" t="n"/>
      <c r="Q696" s="84" t="n"/>
      <c r="R696" s="84" t="n"/>
      <c r="S696" s="84" t="n"/>
      <c r="T696" s="84" t="n"/>
      <c r="U696" s="84" t="n"/>
      <c r="V696" s="84" t="n"/>
      <c r="W696" s="84" t="n"/>
      <c r="X696" s="84" t="n"/>
      <c r="Y696" s="84" t="n"/>
      <c r="Z696" s="84" t="n"/>
      <c r="AA696" s="84" t="n"/>
      <c r="AB696" s="84" t="n"/>
      <c r="AC696" s="84" t="n"/>
      <c r="AD696" s="84" t="n"/>
    </row>
    <row r="697" ht="16.5" customHeight="1" s="176">
      <c r="A697" s="122" t="inlineStr">
        <is>
          <t>Talla Pantalón Dama Plus (W)</t>
        </is>
      </c>
      <c r="B697" s="123" t="n">
        <v>10</v>
      </c>
      <c r="C697" s="123" t="inlineStr">
        <is>
          <t>10W</t>
        </is>
      </c>
      <c r="D697" s="122" t="inlineStr">
        <is>
          <t>MX numérica; EE. UU. = número + W (Women's plus)</t>
        </is>
      </c>
      <c r="E697" s="183" t="n"/>
      <c r="F697" s="84" t="n"/>
      <c r="G697" s="84" t="n"/>
      <c r="H697" s="84" t="n"/>
      <c r="I697" s="84" t="n"/>
      <c r="J697" s="84" t="n"/>
      <c r="K697" s="84" t="n"/>
      <c r="L697" s="84" t="n"/>
      <c r="M697" s="84" t="n"/>
      <c r="N697" s="84" t="n"/>
      <c r="O697" s="84" t="n"/>
      <c r="P697" s="84" t="n"/>
      <c r="Q697" s="84" t="n"/>
      <c r="R697" s="84" t="n"/>
      <c r="S697" s="84" t="n"/>
      <c r="T697" s="84" t="n"/>
      <c r="U697" s="84" t="n"/>
      <c r="V697" s="84" t="n"/>
      <c r="W697" s="84" t="n"/>
      <c r="X697" s="84" t="n"/>
      <c r="Y697" s="84" t="n"/>
      <c r="Z697" s="84" t="n"/>
      <c r="AA697" s="84" t="n"/>
      <c r="AB697" s="84" t="n"/>
      <c r="AC697" s="84" t="n"/>
      <c r="AD697" s="84" t="n"/>
    </row>
    <row r="698" ht="16.5" customHeight="1" s="176">
      <c r="A698" s="122" t="inlineStr">
        <is>
          <t>Talla Pantalón Dama Plus (W)</t>
        </is>
      </c>
      <c r="B698" s="123" t="n">
        <v>12</v>
      </c>
      <c r="C698" s="123" t="inlineStr">
        <is>
          <t>12W</t>
        </is>
      </c>
      <c r="D698" s="122" t="inlineStr">
        <is>
          <t>Igual formato</t>
        </is>
      </c>
      <c r="E698" s="183" t="n"/>
      <c r="F698" s="84" t="n"/>
      <c r="G698" s="84" t="n"/>
      <c r="H698" s="84" t="n"/>
      <c r="I698" s="84" t="n"/>
      <c r="J698" s="84" t="n"/>
      <c r="K698" s="84" t="n"/>
      <c r="L698" s="84" t="n"/>
      <c r="M698" s="84" t="n"/>
      <c r="N698" s="84" t="n"/>
      <c r="O698" s="84" t="n"/>
      <c r="P698" s="84" t="n"/>
      <c r="Q698" s="84" t="n"/>
      <c r="R698" s="84" t="n"/>
      <c r="S698" s="84" t="n"/>
      <c r="T698" s="84" t="n"/>
      <c r="U698" s="84" t="n"/>
      <c r="V698" s="84" t="n"/>
      <c r="W698" s="84" t="n"/>
      <c r="X698" s="84" t="n"/>
      <c r="Y698" s="84" t="n"/>
      <c r="Z698" s="84" t="n"/>
      <c r="AA698" s="84" t="n"/>
      <c r="AB698" s="84" t="n"/>
      <c r="AC698" s="84" t="n"/>
      <c r="AD698" s="84" t="n"/>
    </row>
    <row r="699" ht="16.5" customHeight="1" s="176">
      <c r="A699" s="122" t="inlineStr">
        <is>
          <t>Talla Pantalón Dama Plus (W)</t>
        </is>
      </c>
      <c r="B699" s="123" t="n">
        <v>14</v>
      </c>
      <c r="C699" s="123" t="inlineStr">
        <is>
          <t>14W</t>
        </is>
      </c>
      <c r="D699" s="122" t="inlineStr">
        <is>
          <t>Igual formato</t>
        </is>
      </c>
      <c r="E699" s="183" t="n"/>
      <c r="F699" s="84" t="n"/>
      <c r="G699" s="84" t="n"/>
      <c r="H699" s="84" t="n"/>
      <c r="I699" s="84" t="n"/>
      <c r="J699" s="84" t="n"/>
      <c r="K699" s="84" t="n"/>
      <c r="L699" s="84" t="n"/>
      <c r="M699" s="84" t="n"/>
      <c r="N699" s="84" t="n"/>
      <c r="O699" s="84" t="n"/>
      <c r="P699" s="84" t="n"/>
      <c r="Q699" s="84" t="n"/>
      <c r="R699" s="84" t="n"/>
      <c r="S699" s="84" t="n"/>
      <c r="T699" s="84" t="n"/>
      <c r="U699" s="84" t="n"/>
      <c r="V699" s="84" t="n"/>
      <c r="W699" s="84" t="n"/>
      <c r="X699" s="84" t="n"/>
      <c r="Y699" s="84" t="n"/>
      <c r="Z699" s="84" t="n"/>
      <c r="AA699" s="84" t="n"/>
      <c r="AB699" s="84" t="n"/>
      <c r="AC699" s="84" t="n"/>
      <c r="AD699" s="84" t="n"/>
    </row>
    <row r="700" ht="16.5" customHeight="1" s="176">
      <c r="A700" s="122" t="inlineStr">
        <is>
          <t>Talla Pantalón Dama Plus (W)</t>
        </is>
      </c>
      <c r="B700" s="123" t="n">
        <v>16</v>
      </c>
      <c r="C700" s="123" t="inlineStr">
        <is>
          <t>16W</t>
        </is>
      </c>
      <c r="D700" s="122" t="inlineStr">
        <is>
          <t>Igual formato</t>
        </is>
      </c>
      <c r="E700" s="183" t="n"/>
      <c r="F700" s="84" t="n"/>
      <c r="G700" s="84" t="n"/>
      <c r="H700" s="84" t="n"/>
      <c r="I700" s="84" t="n"/>
      <c r="J700" s="84" t="n"/>
      <c r="K700" s="84" t="n"/>
      <c r="L700" s="84" t="n"/>
      <c r="M700" s="84" t="n"/>
      <c r="N700" s="84" t="n"/>
      <c r="O700" s="84" t="n"/>
      <c r="P700" s="84" t="n"/>
      <c r="Q700" s="84" t="n"/>
      <c r="R700" s="84" t="n"/>
      <c r="S700" s="84" t="n"/>
      <c r="T700" s="84" t="n"/>
      <c r="U700" s="84" t="n"/>
      <c r="V700" s="84" t="n"/>
      <c r="W700" s="84" t="n"/>
      <c r="X700" s="84" t="n"/>
      <c r="Y700" s="84" t="n"/>
      <c r="Z700" s="84" t="n"/>
      <c r="AA700" s="84" t="n"/>
      <c r="AB700" s="84" t="n"/>
      <c r="AC700" s="84" t="n"/>
      <c r="AD700" s="84" t="n"/>
    </row>
    <row r="701" ht="16.5" customHeight="1" s="176">
      <c r="A701" s="122" t="inlineStr">
        <is>
          <t>Talla Pantalón Hombre Big (W)</t>
        </is>
      </c>
      <c r="B701" s="123" t="n">
        <v>46</v>
      </c>
      <c r="C701" s="123" t="inlineStr">
        <is>
          <t>46W</t>
        </is>
      </c>
      <c r="D701" s="122" t="inlineStr">
        <is>
          <t>Cintura grande; EE. UU. = cintura + W</t>
        </is>
      </c>
      <c r="E701" s="183" t="n"/>
      <c r="F701" s="84" t="n"/>
      <c r="G701" s="84" t="n"/>
      <c r="H701" s="84" t="n"/>
      <c r="I701" s="84" t="n"/>
      <c r="J701" s="84" t="n"/>
      <c r="K701" s="84" t="n"/>
      <c r="L701" s="84" t="n"/>
      <c r="M701" s="84" t="n"/>
      <c r="N701" s="84" t="n"/>
      <c r="O701" s="84" t="n"/>
      <c r="P701" s="84" t="n"/>
      <c r="Q701" s="84" t="n"/>
      <c r="R701" s="84" t="n"/>
      <c r="S701" s="84" t="n"/>
      <c r="T701" s="84" t="n"/>
      <c r="U701" s="84" t="n"/>
      <c r="V701" s="84" t="n"/>
      <c r="W701" s="84" t="n"/>
      <c r="X701" s="84" t="n"/>
      <c r="Y701" s="84" t="n"/>
      <c r="Z701" s="84" t="n"/>
      <c r="AA701" s="84" t="n"/>
      <c r="AB701" s="84" t="n"/>
      <c r="AC701" s="84" t="n"/>
      <c r="AD701" s="84" t="n"/>
    </row>
    <row r="702" ht="16.5" customHeight="1" s="176">
      <c r="A702" s="122" t="inlineStr">
        <is>
          <t>Talla Pantalón Hombre Big (W)</t>
        </is>
      </c>
      <c r="B702" s="123" t="n">
        <v>48</v>
      </c>
      <c r="C702" s="123" t="inlineStr">
        <is>
          <t>48W</t>
        </is>
      </c>
      <c r="D702" s="122" t="inlineStr">
        <is>
          <t>Igual formato</t>
        </is>
      </c>
      <c r="E702" s="183" t="n"/>
      <c r="F702" s="84" t="n"/>
      <c r="G702" s="84" t="n"/>
      <c r="H702" s="84" t="n"/>
      <c r="I702" s="84" t="n"/>
      <c r="J702" s="84" t="n"/>
      <c r="K702" s="84" t="n"/>
      <c r="L702" s="84" t="n"/>
      <c r="M702" s="84" t="n"/>
      <c r="N702" s="84" t="n"/>
      <c r="O702" s="84" t="n"/>
      <c r="P702" s="84" t="n"/>
      <c r="Q702" s="84" t="n"/>
      <c r="R702" s="84" t="n"/>
      <c r="S702" s="84" t="n"/>
      <c r="T702" s="84" t="n"/>
      <c r="U702" s="84" t="n"/>
      <c r="V702" s="84" t="n"/>
      <c r="W702" s="84" t="n"/>
      <c r="X702" s="84" t="n"/>
      <c r="Y702" s="84" t="n"/>
      <c r="Z702" s="84" t="n"/>
      <c r="AA702" s="84" t="n"/>
      <c r="AB702" s="84" t="n"/>
      <c r="AC702" s="84" t="n"/>
      <c r="AD702" s="84" t="n"/>
    </row>
    <row r="703" ht="16.5" customHeight="1" s="176">
      <c r="A703" s="122" t="inlineStr">
        <is>
          <t>Talla Pantalón Hombre Big (W)</t>
        </is>
      </c>
      <c r="B703" s="123" t="n">
        <v>50</v>
      </c>
      <c r="C703" s="123" t="inlineStr">
        <is>
          <t>50W</t>
        </is>
      </c>
      <c r="D703" s="122" t="inlineStr">
        <is>
          <t>Igual formato</t>
        </is>
      </c>
      <c r="E703" s="183" t="n"/>
      <c r="F703" s="84" t="n"/>
      <c r="G703" s="84" t="n"/>
      <c r="H703" s="84" t="n"/>
      <c r="I703" s="84" t="n"/>
      <c r="J703" s="84" t="n"/>
      <c r="K703" s="84" t="n"/>
      <c r="L703" s="84" t="n"/>
      <c r="M703" s="84" t="n"/>
      <c r="N703" s="84" t="n"/>
      <c r="O703" s="84" t="n"/>
      <c r="P703" s="84" t="n"/>
      <c r="Q703" s="84" t="n"/>
      <c r="R703" s="84" t="n"/>
      <c r="S703" s="84" t="n"/>
      <c r="T703" s="84" t="n"/>
      <c r="U703" s="84" t="n"/>
      <c r="V703" s="84" t="n"/>
      <c r="W703" s="84" t="n"/>
      <c r="X703" s="84" t="n"/>
      <c r="Y703" s="84" t="n"/>
      <c r="Z703" s="84" t="n"/>
      <c r="AA703" s="84" t="n"/>
      <c r="AB703" s="84" t="n"/>
      <c r="AC703" s="84" t="n"/>
      <c r="AD703" s="84" t="n"/>
    </row>
    <row r="704" ht="30" customHeight="1" s="176">
      <c r="A704" s="122" t="inlineStr">
        <is>
          <t>Talla Cintura numérica (Faldas / Shorts dama)</t>
        </is>
      </c>
      <c r="B704" s="123" t="n">
        <v>24</v>
      </c>
      <c r="C704" s="123" t="n">
        <v>24</v>
      </c>
      <c r="D704" s="122" t="inlineStr">
        <is>
          <t>Cintura en pulgadas; MX y EE. UU. iguales</t>
        </is>
      </c>
      <c r="E704" s="183" t="n"/>
      <c r="F704" s="84" t="n"/>
      <c r="G704" s="84" t="n"/>
      <c r="H704" s="84" t="n"/>
      <c r="I704" s="84" t="n"/>
      <c r="J704" s="84" t="n"/>
      <c r="K704" s="84" t="n"/>
      <c r="L704" s="84" t="n"/>
      <c r="M704" s="84" t="n"/>
      <c r="N704" s="84" t="n"/>
      <c r="O704" s="84" t="n"/>
      <c r="P704" s="84" t="n"/>
      <c r="Q704" s="84" t="n"/>
      <c r="R704" s="84" t="n"/>
      <c r="S704" s="84" t="n"/>
      <c r="T704" s="84" t="n"/>
      <c r="U704" s="84" t="n"/>
      <c r="V704" s="84" t="n"/>
      <c r="W704" s="84" t="n"/>
      <c r="X704" s="84" t="n"/>
      <c r="Y704" s="84" t="n"/>
      <c r="Z704" s="84" t="n"/>
      <c r="AA704" s="84" t="n"/>
      <c r="AB704" s="84" t="n"/>
      <c r="AC704" s="84" t="n"/>
      <c r="AD704" s="84" t="n"/>
    </row>
    <row r="705" ht="30" customHeight="1" s="176">
      <c r="A705" s="122" t="inlineStr">
        <is>
          <t>Talla Cintura numérica (Faldas / Shorts dama)</t>
        </is>
      </c>
      <c r="B705" s="123" t="n">
        <v>25</v>
      </c>
      <c r="C705" s="123" t="n">
        <v>25</v>
      </c>
      <c r="D705" s="122" t="inlineStr">
        <is>
          <t>Igual</t>
        </is>
      </c>
      <c r="E705" s="183" t="n"/>
      <c r="F705" s="84" t="n"/>
      <c r="G705" s="84" t="n"/>
      <c r="H705" s="84" t="n"/>
      <c r="I705" s="84" t="n"/>
      <c r="J705" s="84" t="n"/>
      <c r="K705" s="84" t="n"/>
      <c r="L705" s="84" t="n"/>
      <c r="M705" s="84" t="n"/>
      <c r="N705" s="84" t="n"/>
      <c r="O705" s="84" t="n"/>
      <c r="P705" s="84" t="n"/>
      <c r="Q705" s="84" t="n"/>
      <c r="R705" s="84" t="n"/>
      <c r="S705" s="84" t="n"/>
      <c r="T705" s="84" t="n"/>
      <c r="U705" s="84" t="n"/>
      <c r="V705" s="84" t="n"/>
      <c r="W705" s="84" t="n"/>
      <c r="X705" s="84" t="n"/>
      <c r="Y705" s="84" t="n"/>
      <c r="Z705" s="84" t="n"/>
      <c r="AA705" s="84" t="n"/>
      <c r="AB705" s="84" t="n"/>
      <c r="AC705" s="84" t="n"/>
      <c r="AD705" s="84" t="n"/>
    </row>
    <row r="706" ht="30" customHeight="1" s="176">
      <c r="A706" s="122" t="inlineStr">
        <is>
          <t>Talla Cintura numérica (Faldas / Shorts dama)</t>
        </is>
      </c>
      <c r="B706" s="123" t="n">
        <v>26</v>
      </c>
      <c r="C706" s="123" t="n">
        <v>26</v>
      </c>
      <c r="D706" s="122" t="inlineStr">
        <is>
          <t>Igual</t>
        </is>
      </c>
      <c r="E706" s="183" t="n"/>
      <c r="F706" s="84" t="n"/>
      <c r="G706" s="84" t="n"/>
      <c r="H706" s="84" t="n"/>
      <c r="I706" s="84" t="n"/>
      <c r="J706" s="84" t="n"/>
      <c r="K706" s="84" t="n"/>
      <c r="L706" s="84" t="n"/>
      <c r="M706" s="84" t="n"/>
      <c r="N706" s="84" t="n"/>
      <c r="O706" s="84" t="n"/>
      <c r="P706" s="84" t="n"/>
      <c r="Q706" s="84" t="n"/>
      <c r="R706" s="84" t="n"/>
      <c r="S706" s="84" t="n"/>
      <c r="T706" s="84" t="n"/>
      <c r="U706" s="84" t="n"/>
      <c r="V706" s="84" t="n"/>
      <c r="W706" s="84" t="n"/>
      <c r="X706" s="84" t="n"/>
      <c r="Y706" s="84" t="n"/>
      <c r="Z706" s="84" t="n"/>
      <c r="AA706" s="84" t="n"/>
      <c r="AB706" s="84" t="n"/>
      <c r="AC706" s="84" t="n"/>
      <c r="AD706" s="84" t="n"/>
    </row>
    <row r="707" ht="30" customHeight="1" s="176">
      <c r="A707" s="122" t="inlineStr">
        <is>
          <t>Talla Cintura numérica (Faldas / Shorts dama)</t>
        </is>
      </c>
      <c r="B707" s="123" t="n">
        <v>27</v>
      </c>
      <c r="C707" s="123" t="n">
        <v>27</v>
      </c>
      <c r="D707" s="122" t="inlineStr">
        <is>
          <t>Igual</t>
        </is>
      </c>
      <c r="E707" s="183" t="n"/>
      <c r="F707" s="84" t="n"/>
      <c r="G707" s="84" t="n"/>
      <c r="H707" s="84" t="n"/>
      <c r="I707" s="84" t="n"/>
      <c r="J707" s="84" t="n"/>
      <c r="K707" s="84" t="n"/>
      <c r="L707" s="84" t="n"/>
      <c r="M707" s="84" t="n"/>
      <c r="N707" s="84" t="n"/>
      <c r="O707" s="84" t="n"/>
      <c r="P707" s="84" t="n"/>
      <c r="Q707" s="84" t="n"/>
      <c r="R707" s="84" t="n"/>
      <c r="S707" s="84" t="n"/>
      <c r="T707" s="84" t="n"/>
      <c r="U707" s="84" t="n"/>
      <c r="V707" s="84" t="n"/>
      <c r="W707" s="84" t="n"/>
      <c r="X707" s="84" t="n"/>
      <c r="Y707" s="84" t="n"/>
      <c r="Z707" s="84" t="n"/>
      <c r="AA707" s="84" t="n"/>
      <c r="AB707" s="84" t="n"/>
      <c r="AC707" s="84" t="n"/>
      <c r="AD707" s="84" t="n"/>
    </row>
    <row r="708" ht="30" customHeight="1" s="176">
      <c r="A708" s="122" t="inlineStr">
        <is>
          <t>Talla Cintura numérica (Faldas / Shorts dama)</t>
        </is>
      </c>
      <c r="B708" s="123" t="n">
        <v>28</v>
      </c>
      <c r="C708" s="123" t="n">
        <v>28</v>
      </c>
      <c r="D708" s="122" t="inlineStr">
        <is>
          <t>Igual</t>
        </is>
      </c>
      <c r="E708" s="183" t="n"/>
      <c r="F708" s="84" t="n"/>
      <c r="G708" s="84" t="n"/>
      <c r="H708" s="84" t="n"/>
      <c r="I708" s="84" t="n"/>
      <c r="J708" s="84" t="n"/>
      <c r="K708" s="84" t="n"/>
      <c r="L708" s="84" t="n"/>
      <c r="M708" s="84" t="n"/>
      <c r="N708" s="84" t="n"/>
      <c r="O708" s="84" t="n"/>
      <c r="P708" s="84" t="n"/>
      <c r="Q708" s="84" t="n"/>
      <c r="R708" s="84" t="n"/>
      <c r="S708" s="84" t="n"/>
      <c r="T708" s="84" t="n"/>
      <c r="U708" s="84" t="n"/>
      <c r="V708" s="84" t="n"/>
      <c r="W708" s="84" t="n"/>
      <c r="X708" s="84" t="n"/>
      <c r="Y708" s="84" t="n"/>
      <c r="Z708" s="84" t="n"/>
      <c r="AA708" s="84" t="n"/>
      <c r="AB708" s="84" t="n"/>
      <c r="AC708" s="84" t="n"/>
      <c r="AD708" s="84" t="n"/>
    </row>
    <row r="709" ht="30" customHeight="1" s="176">
      <c r="A709" s="122" t="inlineStr">
        <is>
          <t>Talla Cintura numérica (Faldas / Shorts dama)</t>
        </is>
      </c>
      <c r="B709" s="123" t="n">
        <v>30</v>
      </c>
      <c r="C709" s="123" t="n">
        <v>30</v>
      </c>
      <c r="D709" s="122" t="inlineStr">
        <is>
          <t>Igual</t>
        </is>
      </c>
      <c r="E709" s="183" t="n"/>
      <c r="F709" s="84" t="n"/>
      <c r="G709" s="84" t="n"/>
      <c r="H709" s="84" t="n"/>
      <c r="I709" s="84" t="n"/>
      <c r="J709" s="84" t="n"/>
      <c r="K709" s="84" t="n"/>
      <c r="L709" s="84" t="n"/>
      <c r="M709" s="84" t="n"/>
      <c r="N709" s="84" t="n"/>
      <c r="O709" s="84" t="n"/>
      <c r="P709" s="84" t="n"/>
      <c r="Q709" s="84" t="n"/>
      <c r="R709" s="84" t="n"/>
      <c r="S709" s="84" t="n"/>
      <c r="T709" s="84" t="n"/>
      <c r="U709" s="84" t="n"/>
      <c r="V709" s="84" t="n"/>
      <c r="W709" s="84" t="n"/>
      <c r="X709" s="84" t="n"/>
      <c r="Y709" s="84" t="n"/>
      <c r="Z709" s="84" t="n"/>
      <c r="AA709" s="84" t="n"/>
      <c r="AB709" s="84" t="n"/>
      <c r="AC709" s="84" t="n"/>
      <c r="AD709" s="84" t="n"/>
    </row>
    <row r="710" ht="16.5" customHeight="1" s="176">
      <c r="A710" s="122" t="inlineStr">
        <is>
          <t>Contenido</t>
        </is>
      </c>
      <c r="B710" s="123" t="inlineStr">
        <is>
          <t>22 ml</t>
        </is>
      </c>
      <c r="C710" s="123" t="inlineStr">
        <is>
          <t>0.75 fl oz</t>
        </is>
      </c>
      <c r="D710" s="122" t="inlineStr">
        <is>
          <t>WB Talla en ml; US en fl oz como lo declara el envase (≈ ml ÷ 29.57)</t>
        </is>
      </c>
      <c r="E710" s="183" t="n"/>
      <c r="F710" s="84" t="n"/>
      <c r="G710" s="84" t="n"/>
      <c r="H710" s="84" t="n"/>
      <c r="I710" s="84" t="n"/>
      <c r="J710" s="84" t="n"/>
      <c r="K710" s="84" t="n"/>
      <c r="L710" s="84" t="n"/>
      <c r="M710" s="84" t="n"/>
      <c r="N710" s="84" t="n"/>
      <c r="O710" s="84" t="n"/>
      <c r="P710" s="84" t="n"/>
      <c r="Q710" s="84" t="n"/>
      <c r="R710" s="84" t="n"/>
      <c r="S710" s="84" t="n"/>
      <c r="T710" s="84" t="n"/>
      <c r="U710" s="84" t="n"/>
      <c r="V710" s="84" t="n"/>
      <c r="W710" s="84" t="n"/>
      <c r="X710" s="84" t="n"/>
      <c r="Y710" s="84" t="n"/>
      <c r="Z710" s="84" t="n"/>
      <c r="AA710" s="84" t="n"/>
      <c r="AB710" s="84" t="n"/>
      <c r="AC710" s="84" t="n"/>
      <c r="AD710" s="84" t="n"/>
    </row>
    <row r="711" ht="16.5" customHeight="1" s="176">
      <c r="A711" s="122" t="inlineStr">
        <is>
          <t>Contenido</t>
        </is>
      </c>
      <c r="B711" s="123" t="inlineStr">
        <is>
          <t>30 ml</t>
        </is>
      </c>
      <c r="C711" s="123" t="inlineStr">
        <is>
          <t>1.0 fl oz</t>
        </is>
      </c>
      <c r="D711" s="122" t="inlineStr">
        <is>
          <t>Igual regla</t>
        </is>
      </c>
      <c r="E711" s="183" t="n"/>
      <c r="F711" s="84" t="n"/>
      <c r="G711" s="84" t="n"/>
      <c r="H711" s="84" t="n"/>
      <c r="I711" s="84" t="n"/>
      <c r="J711" s="84" t="n"/>
      <c r="K711" s="84" t="n"/>
      <c r="L711" s="84" t="n"/>
      <c r="M711" s="84" t="n"/>
      <c r="N711" s="84" t="n"/>
      <c r="O711" s="84" t="n"/>
      <c r="P711" s="84" t="n"/>
      <c r="Q711" s="84" t="n"/>
      <c r="R711" s="84" t="n"/>
      <c r="S711" s="84" t="n"/>
      <c r="T711" s="84" t="n"/>
      <c r="U711" s="84" t="n"/>
      <c r="V711" s="84" t="n"/>
      <c r="W711" s="84" t="n"/>
      <c r="X711" s="84" t="n"/>
      <c r="Y711" s="84" t="n"/>
      <c r="Z711" s="84" t="n"/>
      <c r="AA711" s="84" t="n"/>
      <c r="AB711" s="84" t="n"/>
      <c r="AC711" s="84" t="n"/>
      <c r="AD711" s="84" t="n"/>
    </row>
    <row r="712" ht="16.5" customHeight="1" s="176">
      <c r="A712" s="122" t="inlineStr">
        <is>
          <t>Contenido</t>
        </is>
      </c>
      <c r="B712" s="123" t="inlineStr">
        <is>
          <t>44 ml</t>
        </is>
      </c>
      <c r="C712" s="123" t="inlineStr">
        <is>
          <t>1.5 fl oz</t>
        </is>
      </c>
      <c r="D712" s="122" t="inlineStr">
        <is>
          <t>Igual regla</t>
        </is>
      </c>
      <c r="E712" s="183" t="n"/>
      <c r="F712" s="84" t="n"/>
      <c r="G712" s="84" t="n"/>
      <c r="H712" s="84" t="n"/>
      <c r="I712" s="84" t="n"/>
      <c r="J712" s="84" t="n"/>
      <c r="K712" s="84" t="n"/>
      <c r="L712" s="84" t="n"/>
      <c r="M712" s="84" t="n"/>
      <c r="N712" s="84" t="n"/>
      <c r="O712" s="84" t="n"/>
      <c r="P712" s="84" t="n"/>
      <c r="Q712" s="84" t="n"/>
      <c r="R712" s="84" t="n"/>
      <c r="S712" s="84" t="n"/>
      <c r="T712" s="84" t="n"/>
      <c r="U712" s="84" t="n"/>
      <c r="V712" s="84" t="n"/>
      <c r="W712" s="84" t="n"/>
      <c r="X712" s="84" t="n"/>
      <c r="Y712" s="84" t="n"/>
      <c r="Z712" s="84" t="n"/>
      <c r="AA712" s="84" t="n"/>
      <c r="AB712" s="84" t="n"/>
      <c r="AC712" s="84" t="n"/>
      <c r="AD712" s="84" t="n"/>
    </row>
    <row r="713" ht="16.5" customHeight="1" s="176">
      <c r="A713" s="122" t="inlineStr">
        <is>
          <t>Contenido</t>
        </is>
      </c>
      <c r="B713" s="123" t="inlineStr">
        <is>
          <t>50 ml</t>
        </is>
      </c>
      <c r="C713" s="123" t="inlineStr">
        <is>
          <t>1.7 fl oz</t>
        </is>
      </c>
      <c r="D713" s="122" t="inlineStr">
        <is>
          <t>Igual regla</t>
        </is>
      </c>
      <c r="E713" s="183" t="n"/>
      <c r="F713" s="84" t="n"/>
      <c r="G713" s="84" t="n"/>
      <c r="H713" s="84" t="n"/>
      <c r="I713" s="84" t="n"/>
      <c r="J713" s="84" t="n"/>
      <c r="K713" s="84" t="n"/>
      <c r="L713" s="84" t="n"/>
      <c r="M713" s="84" t="n"/>
      <c r="N713" s="84" t="n"/>
      <c r="O713" s="84" t="n"/>
      <c r="P713" s="84" t="n"/>
      <c r="Q713" s="84" t="n"/>
      <c r="R713" s="84" t="n"/>
      <c r="S713" s="84" t="n"/>
      <c r="T713" s="84" t="n"/>
      <c r="U713" s="84" t="n"/>
      <c r="V713" s="84" t="n"/>
      <c r="W713" s="84" t="n"/>
      <c r="X713" s="84" t="n"/>
      <c r="Y713" s="84" t="n"/>
      <c r="Z713" s="84" t="n"/>
      <c r="AA713" s="84" t="n"/>
      <c r="AB713" s="84" t="n"/>
      <c r="AC713" s="84" t="n"/>
      <c r="AD713" s="84" t="n"/>
    </row>
    <row r="714" ht="16.5" customHeight="1" s="176">
      <c r="A714" s="122" t="inlineStr">
        <is>
          <t>Contenido</t>
        </is>
      </c>
      <c r="B714" s="123" t="inlineStr">
        <is>
          <t>67 ml</t>
        </is>
      </c>
      <c r="C714" s="123" t="inlineStr">
        <is>
          <t>2.25 fl oz</t>
        </is>
      </c>
      <c r="D714" s="122" t="inlineStr">
        <is>
          <t>Igual regla</t>
        </is>
      </c>
      <c r="E714" s="183" t="n"/>
      <c r="F714" s="84" t="n"/>
      <c r="G714" s="84" t="n"/>
      <c r="H714" s="84" t="n"/>
      <c r="I714" s="84" t="n"/>
      <c r="J714" s="84" t="n"/>
      <c r="K714" s="84" t="n"/>
      <c r="L714" s="84" t="n"/>
      <c r="M714" s="84" t="n"/>
      <c r="N714" s="84" t="n"/>
      <c r="O714" s="84" t="n"/>
      <c r="P714" s="84" t="n"/>
      <c r="Q714" s="84" t="n"/>
      <c r="R714" s="84" t="n"/>
      <c r="S714" s="84" t="n"/>
      <c r="T714" s="84" t="n"/>
      <c r="U714" s="84" t="n"/>
      <c r="V714" s="84" t="n"/>
      <c r="W714" s="84" t="n"/>
      <c r="X714" s="84" t="n"/>
      <c r="Y714" s="84" t="n"/>
      <c r="Z714" s="84" t="n"/>
      <c r="AA714" s="84" t="n"/>
      <c r="AB714" s="84" t="n"/>
      <c r="AC714" s="84" t="n"/>
      <c r="AD714" s="84" t="n"/>
    </row>
    <row r="715" ht="16.5" customHeight="1" s="176">
      <c r="A715" s="122" t="inlineStr">
        <is>
          <t>Contenido</t>
        </is>
      </c>
      <c r="B715" s="123" t="inlineStr">
        <is>
          <t>75 ml</t>
        </is>
      </c>
      <c r="C715" s="123" t="inlineStr">
        <is>
          <t>2.5 fl oz</t>
        </is>
      </c>
      <c r="D715" s="122" t="inlineStr">
        <is>
          <t>Igual regla</t>
        </is>
      </c>
      <c r="E715" s="183" t="n"/>
      <c r="F715" s="84" t="n"/>
      <c r="G715" s="84" t="n"/>
      <c r="H715" s="84" t="n"/>
      <c r="I715" s="84" t="n"/>
      <c r="J715" s="84" t="n"/>
      <c r="K715" s="84" t="n"/>
      <c r="L715" s="84" t="n"/>
      <c r="M715" s="84" t="n"/>
      <c r="N715" s="84" t="n"/>
      <c r="O715" s="84" t="n"/>
      <c r="P715" s="84" t="n"/>
      <c r="Q715" s="84" t="n"/>
      <c r="R715" s="84" t="n"/>
      <c r="S715" s="84" t="n"/>
      <c r="T715" s="84" t="n"/>
      <c r="U715" s="84" t="n"/>
      <c r="V715" s="84" t="n"/>
      <c r="W715" s="84" t="n"/>
      <c r="X715" s="84" t="n"/>
      <c r="Y715" s="84" t="n"/>
      <c r="Z715" s="84" t="n"/>
      <c r="AA715" s="84" t="n"/>
      <c r="AB715" s="84" t="n"/>
      <c r="AC715" s="84" t="n"/>
      <c r="AD715" s="84" t="n"/>
    </row>
    <row r="716" ht="16.5" customHeight="1" s="176">
      <c r="A716" s="122" t="inlineStr">
        <is>
          <t>Contenido</t>
        </is>
      </c>
      <c r="B716" s="123" t="inlineStr">
        <is>
          <t>80 ml</t>
        </is>
      </c>
      <c r="C716" s="123" t="inlineStr">
        <is>
          <t>2.7 fl oz</t>
        </is>
      </c>
      <c r="D716" s="122" t="inlineStr">
        <is>
          <t>Igual regla</t>
        </is>
      </c>
      <c r="E716" s="183" t="n"/>
      <c r="F716" s="84" t="n"/>
      <c r="G716" s="84" t="n"/>
      <c r="H716" s="84" t="n"/>
      <c r="I716" s="84" t="n"/>
      <c r="J716" s="84" t="n"/>
      <c r="K716" s="84" t="n"/>
      <c r="L716" s="84" t="n"/>
      <c r="M716" s="84" t="n"/>
      <c r="N716" s="84" t="n"/>
      <c r="O716" s="84" t="n"/>
      <c r="P716" s="84" t="n"/>
      <c r="Q716" s="84" t="n"/>
      <c r="R716" s="84" t="n"/>
      <c r="S716" s="84" t="n"/>
      <c r="T716" s="84" t="n"/>
      <c r="U716" s="84" t="n"/>
      <c r="V716" s="84" t="n"/>
      <c r="W716" s="84" t="n"/>
      <c r="X716" s="84" t="n"/>
      <c r="Y716" s="84" t="n"/>
      <c r="Z716" s="84" t="n"/>
      <c r="AA716" s="84" t="n"/>
      <c r="AB716" s="84" t="n"/>
      <c r="AC716" s="84" t="n"/>
      <c r="AD716" s="84" t="n"/>
    </row>
    <row r="717" ht="16.5" customHeight="1" s="176">
      <c r="A717" s="122" t="inlineStr">
        <is>
          <t>Contenido</t>
        </is>
      </c>
      <c r="B717" s="123" t="inlineStr">
        <is>
          <t>100 ml</t>
        </is>
      </c>
      <c r="C717" s="123" t="inlineStr">
        <is>
          <t>3.4 fl oz</t>
        </is>
      </c>
      <c r="D717" s="122" t="inlineStr">
        <is>
          <t>Se respeta lo que declara el envase (3.4 o 3.5 fl oz)</t>
        </is>
      </c>
      <c r="E717" s="183" t="n"/>
      <c r="F717" s="84" t="n"/>
      <c r="G717" s="84" t="n"/>
      <c r="H717" s="84" t="n"/>
      <c r="I717" s="84" t="n"/>
      <c r="J717" s="84" t="n"/>
      <c r="K717" s="84" t="n"/>
      <c r="L717" s="84" t="n"/>
      <c r="M717" s="84" t="n"/>
      <c r="N717" s="84" t="n"/>
      <c r="O717" s="84" t="n"/>
      <c r="P717" s="84" t="n"/>
      <c r="Q717" s="84" t="n"/>
      <c r="R717" s="84" t="n"/>
      <c r="S717" s="84" t="n"/>
      <c r="T717" s="84" t="n"/>
      <c r="U717" s="84" t="n"/>
      <c r="V717" s="84" t="n"/>
      <c r="W717" s="84" t="n"/>
      <c r="X717" s="84" t="n"/>
      <c r="Y717" s="84" t="n"/>
      <c r="Z717" s="84" t="n"/>
      <c r="AA717" s="84" t="n"/>
      <c r="AB717" s="84" t="n"/>
      <c r="AC717" s="84" t="n"/>
      <c r="AD717" s="84" t="n"/>
    </row>
    <row r="718" ht="16.5" customHeight="1" s="176">
      <c r="A718" s="122" t="inlineStr">
        <is>
          <t>Contenido</t>
        </is>
      </c>
      <c r="B718" s="123" t="inlineStr">
        <is>
          <t>100 ml</t>
        </is>
      </c>
      <c r="C718" s="123" t="inlineStr">
        <is>
          <t>3.5 fl oz</t>
        </is>
      </c>
      <c r="D718" s="122" t="inlineStr">
        <is>
          <t>Igual regla (envase declara 3.5)</t>
        </is>
      </c>
      <c r="E718" s="183" t="n"/>
      <c r="F718" s="84" t="n"/>
      <c r="G718" s="84" t="n"/>
      <c r="H718" s="84" t="n"/>
      <c r="I718" s="84" t="n"/>
      <c r="J718" s="84" t="n"/>
      <c r="K718" s="84" t="n"/>
      <c r="L718" s="84" t="n"/>
      <c r="M718" s="84" t="n"/>
      <c r="N718" s="84" t="n"/>
      <c r="O718" s="84" t="n"/>
      <c r="P718" s="84" t="n"/>
      <c r="Q718" s="84" t="n"/>
      <c r="R718" s="84" t="n"/>
      <c r="S718" s="84" t="n"/>
      <c r="T718" s="84" t="n"/>
      <c r="U718" s="84" t="n"/>
      <c r="V718" s="84" t="n"/>
      <c r="W718" s="84" t="n"/>
      <c r="X718" s="84" t="n"/>
      <c r="Y718" s="84" t="n"/>
      <c r="Z718" s="84" t="n"/>
      <c r="AA718" s="84" t="n"/>
      <c r="AB718" s="84" t="n"/>
      <c r="AC718" s="84" t="n"/>
      <c r="AD718" s="84" t="n"/>
    </row>
    <row r="719" ht="16.5" customHeight="1" s="176">
      <c r="A719" s="122" t="inlineStr">
        <is>
          <t>Contenido</t>
        </is>
      </c>
      <c r="B719" s="123" t="inlineStr">
        <is>
          <t>100 ml</t>
        </is>
      </c>
      <c r="C719" s="123" t="inlineStr">
        <is>
          <t>3.4 / 3.5 fl oz</t>
        </is>
      </c>
      <c r="D719" s="122" t="inlineStr">
        <is>
          <t>Cuando el registro no especifica cuál de los dos declara el envase</t>
        </is>
      </c>
      <c r="E719" s="183" t="n"/>
      <c r="F719" s="84" t="n"/>
      <c r="G719" s="84" t="n"/>
      <c r="H719" s="84" t="n"/>
      <c r="I719" s="84" t="n"/>
      <c r="J719" s="84" t="n"/>
      <c r="K719" s="84" t="n"/>
      <c r="L719" s="84" t="n"/>
      <c r="M719" s="84" t="n"/>
      <c r="N719" s="84" t="n"/>
      <c r="O719" s="84" t="n"/>
      <c r="P719" s="84" t="n"/>
      <c r="Q719" s="84" t="n"/>
      <c r="R719" s="84" t="n"/>
      <c r="S719" s="84" t="n"/>
      <c r="T719" s="84" t="n"/>
      <c r="U719" s="84" t="n"/>
      <c r="V719" s="84" t="n"/>
      <c r="W719" s="84" t="n"/>
      <c r="X719" s="84" t="n"/>
      <c r="Y719" s="84" t="n"/>
      <c r="Z719" s="84" t="n"/>
      <c r="AA719" s="84" t="n"/>
      <c r="AB719" s="84" t="n"/>
      <c r="AC719" s="84" t="n"/>
      <c r="AD719" s="84" t="n"/>
    </row>
    <row r="720" ht="16.5" customHeight="1" s="176">
      <c r="A720" s="122" t="inlineStr">
        <is>
          <t>Contenido</t>
        </is>
      </c>
      <c r="B720" s="123" t="inlineStr">
        <is>
          <t>163 ml</t>
        </is>
      </c>
      <c r="C720" s="123" t="inlineStr">
        <is>
          <t>5.5 fl oz</t>
        </is>
      </c>
      <c r="D720" s="122" t="inlineStr">
        <is>
          <t>Igual regla</t>
        </is>
      </c>
      <c r="E720" s="183" t="n"/>
      <c r="F720" s="84" t="n"/>
      <c r="G720" s="84" t="n"/>
      <c r="H720" s="84" t="n"/>
      <c r="I720" s="84" t="n"/>
      <c r="J720" s="84" t="n"/>
      <c r="K720" s="84" t="n"/>
      <c r="L720" s="84" t="n"/>
      <c r="M720" s="84" t="n"/>
      <c r="N720" s="84" t="n"/>
      <c r="O720" s="84" t="n"/>
      <c r="P720" s="84" t="n"/>
      <c r="Q720" s="84" t="n"/>
      <c r="R720" s="84" t="n"/>
      <c r="S720" s="84" t="n"/>
      <c r="T720" s="84" t="n"/>
      <c r="U720" s="84" t="n"/>
      <c r="V720" s="84" t="n"/>
      <c r="W720" s="84" t="n"/>
      <c r="X720" s="84" t="n"/>
      <c r="Y720" s="84" t="n"/>
      <c r="Z720" s="84" t="n"/>
      <c r="AA720" s="84" t="n"/>
      <c r="AB720" s="84" t="n"/>
      <c r="AC720" s="84" t="n"/>
      <c r="AD720" s="84" t="n"/>
    </row>
    <row r="721" ht="16.5" customHeight="1" s="176">
      <c r="A721" s="122" t="inlineStr">
        <is>
          <t>Contenido</t>
        </is>
      </c>
      <c r="B721" s="123" t="inlineStr">
        <is>
          <t>237 ml</t>
        </is>
      </c>
      <c r="C721" s="123" t="inlineStr">
        <is>
          <t>8 fl oz</t>
        </is>
      </c>
      <c r="D721" s="122" t="inlineStr">
        <is>
          <t>Igual regla</t>
        </is>
      </c>
      <c r="E721" s="183" t="n"/>
      <c r="F721" s="84" t="n"/>
      <c r="G721" s="84" t="n"/>
      <c r="H721" s="84" t="n"/>
      <c r="I721" s="84" t="n"/>
      <c r="J721" s="84" t="n"/>
      <c r="K721" s="84" t="n"/>
      <c r="L721" s="84" t="n"/>
      <c r="M721" s="84" t="n"/>
      <c r="N721" s="84" t="n"/>
      <c r="O721" s="84" t="n"/>
      <c r="P721" s="84" t="n"/>
      <c r="Q721" s="84" t="n"/>
      <c r="R721" s="84" t="n"/>
      <c r="S721" s="84" t="n"/>
      <c r="T721" s="84" t="n"/>
      <c r="U721" s="84" t="n"/>
      <c r="V721" s="84" t="n"/>
      <c r="W721" s="84" t="n"/>
      <c r="X721" s="84" t="n"/>
      <c r="Y721" s="84" t="n"/>
      <c r="Z721" s="84" t="n"/>
      <c r="AA721" s="84" t="n"/>
      <c r="AB721" s="84" t="n"/>
      <c r="AC721" s="84" t="n"/>
      <c r="AD721" s="84" t="n"/>
    </row>
    <row r="722" ht="15.75" customHeight="1" s="176"/>
    <row r="723" ht="15.75" customHeight="1" s="176"/>
    <row r="724" ht="15.75" customHeight="1" s="176"/>
    <row r="725" ht="15.75" customHeight="1" s="176"/>
    <row r="726" ht="15.75" customHeight="1" s="176"/>
    <row r="727" ht="15.75" customHeight="1" s="176"/>
    <row r="728" ht="15.75" customHeight="1" s="176"/>
    <row r="729" ht="15.75" customHeight="1" s="176"/>
    <row r="730" ht="15.75" customHeight="1" s="176"/>
    <row r="731" ht="15.75" customHeight="1" s="176"/>
    <row r="732" ht="15.75" customHeight="1" s="176"/>
    <row r="733" ht="15.75" customHeight="1" s="176"/>
    <row r="734" ht="15.75" customHeight="1" s="176"/>
    <row r="735" ht="15.75" customHeight="1" s="176"/>
    <row r="736" ht="15.75" customHeight="1" s="176"/>
    <row r="737" ht="15.75" customHeight="1" s="176"/>
    <row r="738" ht="15.75" customHeight="1" s="176"/>
    <row r="739" ht="15.75" customHeight="1" s="176"/>
    <row r="740" ht="15.75" customHeight="1" s="176"/>
    <row r="741" ht="15.75" customHeight="1" s="176"/>
    <row r="742" ht="15.75" customHeight="1" s="176"/>
    <row r="743" ht="15.75" customHeight="1" s="176"/>
    <row r="744" ht="15.75" customHeight="1" s="176"/>
    <row r="745" ht="15.75" customHeight="1" s="176"/>
    <row r="746" ht="15.75" customHeight="1" s="176"/>
    <row r="747" ht="15.75" customHeight="1" s="176"/>
    <row r="748" ht="15.75" customHeight="1" s="176"/>
    <row r="749" ht="15.75" customHeight="1" s="176"/>
    <row r="750" ht="15.75" customHeight="1" s="176"/>
    <row r="751" ht="15.75" customHeight="1" s="176"/>
    <row r="752" ht="15.75" customHeight="1" s="176"/>
    <row r="753" ht="15.75" customHeight="1" s="176"/>
    <row r="754" ht="15.75" customHeight="1" s="176"/>
    <row r="755" ht="15.75" customHeight="1" s="176"/>
    <row r="756" ht="15.75" customHeight="1" s="176"/>
    <row r="757" ht="15.75" customHeight="1" s="176"/>
    <row r="758" ht="15.75" customHeight="1" s="176"/>
    <row r="759" ht="15.75" customHeight="1" s="176"/>
    <row r="760" ht="15.75" customHeight="1" s="176"/>
    <row r="761" ht="15.75" customHeight="1" s="176"/>
    <row r="762" ht="15.75" customHeight="1" s="176"/>
    <row r="763" ht="15.75" customHeight="1" s="176"/>
    <row r="764" ht="15.75" customHeight="1" s="176"/>
    <row r="765" ht="15.75" customHeight="1" s="176"/>
    <row r="766" ht="15.75" customHeight="1" s="176"/>
    <row r="767" ht="15.75" customHeight="1" s="176"/>
    <row r="768" ht="15.75" customHeight="1" s="176"/>
    <row r="769" ht="15.75" customHeight="1" s="176"/>
    <row r="770" ht="15.75" customHeight="1" s="176"/>
    <row r="771" ht="15.75" customHeight="1" s="176"/>
    <row r="772" ht="15.75" customHeight="1" s="176"/>
    <row r="773" ht="15.75" customHeight="1" s="176"/>
    <row r="774" ht="15.75" customHeight="1" s="176"/>
    <row r="775" ht="15.75" customHeight="1" s="176"/>
    <row r="776" ht="15.75" customHeight="1" s="176"/>
    <row r="777" ht="15.75" customHeight="1" s="176"/>
    <row r="778" ht="15.75" customHeight="1" s="176"/>
    <row r="779" ht="15.75" customHeight="1" s="176"/>
    <row r="780" ht="15.75" customHeight="1" s="176"/>
    <row r="781" ht="15.75" customHeight="1" s="176"/>
    <row r="782" ht="15.75" customHeight="1" s="176"/>
    <row r="783" ht="15.75" customHeight="1" s="176"/>
    <row r="784" ht="15.75" customHeight="1" s="176"/>
    <row r="785" ht="15.75" customHeight="1" s="176"/>
    <row r="786" ht="15.75" customHeight="1" s="176"/>
    <row r="787" ht="15.75" customHeight="1" s="176"/>
    <row r="788" ht="15.75" customHeight="1" s="176"/>
    <row r="789" ht="15.75" customHeight="1" s="176"/>
    <row r="790" ht="15.75" customHeight="1" s="176"/>
    <row r="791" ht="15.75" customHeight="1" s="176"/>
    <row r="792" ht="15.75" customHeight="1" s="176"/>
    <row r="793" ht="15.75" customHeight="1" s="176"/>
    <row r="794" ht="15.75" customHeight="1" s="176"/>
    <row r="795" ht="15.75" customHeight="1" s="176"/>
    <row r="796" ht="15.75" customHeight="1" s="176"/>
    <row r="797" ht="15.75" customHeight="1" s="176"/>
    <row r="798" ht="15.75" customHeight="1" s="176"/>
    <row r="799" ht="15.75" customHeight="1" s="176"/>
    <row r="800" ht="15.75" customHeight="1" s="176"/>
    <row r="801" ht="15.75" customHeight="1" s="176"/>
    <row r="802" ht="15.75" customHeight="1" s="176"/>
    <row r="803" ht="15.75" customHeight="1" s="176"/>
    <row r="804" ht="15.75" customHeight="1" s="176"/>
    <row r="805" ht="15.75" customHeight="1" s="176"/>
    <row r="806" ht="15.75" customHeight="1" s="176"/>
    <row r="807" ht="15.75" customHeight="1" s="176"/>
    <row r="808" ht="15.75" customHeight="1" s="176"/>
    <row r="809" ht="15.75" customHeight="1" s="176"/>
    <row r="810" ht="15.75" customHeight="1" s="176"/>
    <row r="811" ht="15.75" customHeight="1" s="176"/>
    <row r="812" ht="15.75" customHeight="1" s="176"/>
    <row r="813" ht="15.75" customHeight="1" s="176"/>
    <row r="814" ht="15.75" customHeight="1" s="176"/>
    <row r="815" ht="15.75" customHeight="1" s="176"/>
    <row r="816" ht="15.75" customHeight="1" s="176"/>
    <row r="817" ht="15.75" customHeight="1" s="176"/>
    <row r="818" ht="15.75" customHeight="1" s="176"/>
    <row r="819" ht="15.75" customHeight="1" s="176"/>
    <row r="820" ht="15.75" customHeight="1" s="176"/>
    <row r="821" ht="15.75" customHeight="1" s="176"/>
    <row r="822" ht="15.75" customHeight="1" s="176"/>
    <row r="823" ht="15.75" customHeight="1" s="176"/>
    <row r="824" ht="15.75" customHeight="1" s="176"/>
    <row r="825" ht="15.75" customHeight="1" s="176"/>
    <row r="826" ht="15.75" customHeight="1" s="176"/>
    <row r="827" ht="15.75" customHeight="1" s="176"/>
    <row r="828" ht="15.75" customHeight="1" s="176"/>
    <row r="829" ht="15.75" customHeight="1" s="176"/>
    <row r="830" ht="15.75" customHeight="1" s="176"/>
    <row r="831" ht="15.75" customHeight="1" s="176"/>
    <row r="832" ht="15.75" customHeight="1" s="176"/>
    <row r="833" ht="15.75" customHeight="1" s="176"/>
    <row r="834" ht="15.75" customHeight="1" s="176"/>
    <row r="835" ht="15.75" customHeight="1" s="176"/>
    <row r="836" ht="15.75" customHeight="1" s="176"/>
    <row r="837" ht="15.75" customHeight="1" s="176"/>
    <row r="838" ht="15.75" customHeight="1" s="176"/>
    <row r="839" ht="15.75" customHeight="1" s="176"/>
    <row r="840" ht="15.75" customHeight="1" s="176"/>
    <row r="841" ht="15.75" customHeight="1" s="176"/>
    <row r="842" ht="15.75" customHeight="1" s="176"/>
    <row r="843" ht="15.75" customHeight="1" s="176"/>
    <row r="844" ht="15.75" customHeight="1" s="176"/>
    <row r="845" ht="15.75" customHeight="1" s="176"/>
    <row r="846" ht="15.75" customHeight="1" s="176"/>
    <row r="847" ht="15.75" customHeight="1" s="176"/>
    <row r="848" ht="15.75" customHeight="1" s="176"/>
    <row r="849" ht="15.75" customHeight="1" s="176"/>
    <row r="850" ht="15.75" customHeight="1" s="176"/>
    <row r="851" ht="15.75" customHeight="1" s="176"/>
    <row r="852" ht="15.75" customHeight="1" s="176"/>
    <row r="853" ht="15.75" customHeight="1" s="176"/>
    <row r="854" ht="15.75" customHeight="1" s="176"/>
    <row r="855" ht="15.75" customHeight="1" s="176"/>
    <row r="856" ht="15.75" customHeight="1" s="176"/>
    <row r="857" ht="15.75" customHeight="1" s="176"/>
    <row r="858" ht="15.75" customHeight="1" s="176"/>
    <row r="859" ht="15.75" customHeight="1" s="176"/>
    <row r="860" ht="15.75" customHeight="1" s="176"/>
    <row r="861" ht="15.75" customHeight="1" s="176"/>
    <row r="862" ht="15.75" customHeight="1" s="176"/>
    <row r="863" ht="15.75" customHeight="1" s="176"/>
    <row r="864" ht="15.75" customHeight="1" s="176"/>
    <row r="865" ht="15.75" customHeight="1" s="176"/>
    <row r="866" ht="15.75" customHeight="1" s="176"/>
    <row r="867" ht="15.75" customHeight="1" s="176"/>
    <row r="868" ht="15.75" customHeight="1" s="176"/>
    <row r="869" ht="15.75" customHeight="1" s="176"/>
    <row r="870" ht="15.75" customHeight="1" s="176"/>
    <row r="871" ht="15.75" customHeight="1" s="176"/>
    <row r="872" ht="15.75" customHeight="1" s="176"/>
    <row r="873" ht="15.75" customHeight="1" s="176"/>
    <row r="874" ht="15.75" customHeight="1" s="176"/>
    <row r="875" ht="15.75" customHeight="1" s="176"/>
    <row r="876" ht="15.75" customHeight="1" s="176"/>
    <row r="877" ht="15.75" customHeight="1" s="176"/>
    <row r="878" ht="15.75" customHeight="1" s="176"/>
    <row r="879" ht="15.75" customHeight="1" s="176"/>
    <row r="880" ht="15.75" customHeight="1" s="176"/>
    <row r="881" ht="15.75" customHeight="1" s="176"/>
    <row r="882" ht="15.75" customHeight="1" s="176"/>
    <row r="883" ht="15.75" customHeight="1" s="176"/>
    <row r="884" ht="15.75" customHeight="1" s="176"/>
    <row r="885" ht="15.75" customHeight="1" s="176"/>
    <row r="886" ht="15.75" customHeight="1" s="176"/>
    <row r="887" ht="15.75" customHeight="1" s="176"/>
    <row r="888" ht="15.75" customHeight="1" s="176"/>
    <row r="889" ht="15.75" customHeight="1" s="176"/>
    <row r="890" ht="15.75" customHeight="1" s="176"/>
    <row r="891" ht="15.75" customHeight="1" s="176"/>
    <row r="892" ht="15.75" customHeight="1" s="176"/>
    <row r="893" ht="15.75" customHeight="1" s="176"/>
    <row r="894" ht="15.75" customHeight="1" s="176"/>
    <row r="895" ht="15.75" customHeight="1" s="176"/>
    <row r="896" ht="15.75" customHeight="1" s="176"/>
    <row r="897" ht="15.75" customHeight="1" s="176"/>
    <row r="898" ht="15.75" customHeight="1" s="176"/>
    <row r="899" ht="15.75" customHeight="1" s="176"/>
    <row r="900" ht="15.75" customHeight="1" s="176"/>
    <row r="901" ht="15.75" customHeight="1" s="176"/>
    <row r="902" ht="15.75" customHeight="1" s="176"/>
    <row r="903" ht="15.75" customHeight="1" s="176"/>
    <row r="904" ht="15.75" customHeight="1" s="176"/>
    <row r="905" ht="15.75" customHeight="1" s="176"/>
    <row r="906" ht="15.75" customHeight="1" s="176"/>
    <row r="907" ht="15.75" customHeight="1" s="176"/>
    <row r="908" ht="15.75" customHeight="1" s="176"/>
    <row r="909" ht="15.75" customHeight="1" s="176"/>
    <row r="910" ht="15.75" customHeight="1" s="176"/>
    <row r="911" ht="15.75" customHeight="1" s="176"/>
    <row r="912" ht="15.75" customHeight="1" s="176"/>
    <row r="913" ht="15.75" customHeight="1" s="176"/>
    <row r="914" ht="15.75" customHeight="1" s="176"/>
    <row r="915" ht="15.75" customHeight="1" s="176"/>
    <row r="916" ht="15.75" customHeight="1" s="176"/>
    <row r="917" ht="15.75" customHeight="1" s="176"/>
    <row r="918" ht="15.75" customHeight="1" s="176"/>
    <row r="919" ht="15.75" customHeight="1" s="176"/>
    <row r="920" ht="15.75" customHeight="1" s="176"/>
    <row r="921" ht="15.75" customHeight="1" s="176"/>
    <row r="922" ht="15.75" customHeight="1" s="176"/>
    <row r="923" ht="15.75" customHeight="1" s="176"/>
    <row r="924" ht="15.75" customHeight="1" s="176"/>
    <row r="925" ht="15.75" customHeight="1" s="176"/>
    <row r="926" ht="15.75" customHeight="1" s="176"/>
    <row r="927" ht="15.75" customHeight="1" s="176"/>
    <row r="928" ht="15.75" customHeight="1" s="176"/>
    <row r="929" ht="15.75" customHeight="1" s="176"/>
    <row r="930" ht="15.75" customHeight="1" s="176"/>
    <row r="931" ht="15.75" customHeight="1" s="176"/>
    <row r="932" ht="15.75" customHeight="1" s="176"/>
    <row r="933" ht="15.75" customHeight="1" s="176"/>
    <row r="934" ht="15.75" customHeight="1" s="176"/>
    <row r="935" ht="15.75" customHeight="1" s="176"/>
    <row r="936" ht="15.75" customHeight="1" s="176"/>
    <row r="937" ht="15.75" customHeight="1" s="176"/>
    <row r="938" ht="15.75" customHeight="1" s="176"/>
    <row r="939" ht="15.75" customHeight="1" s="176"/>
    <row r="940" ht="15.75" customHeight="1" s="176"/>
    <row r="941" ht="15.75" customHeight="1" s="176"/>
    <row r="942" ht="15.75" customHeight="1" s="176"/>
    <row r="943" ht="15.75" customHeight="1" s="176"/>
    <row r="944" ht="15.75" customHeight="1" s="176"/>
    <row r="945" ht="15.75" customHeight="1" s="176"/>
    <row r="946" ht="15.75" customHeight="1" s="176"/>
    <row r="947" ht="15.75" customHeight="1" s="176"/>
    <row r="948" ht="15.75" customHeight="1" s="176"/>
    <row r="949" ht="15.75" customHeight="1" s="176"/>
    <row r="950" ht="15.75" customHeight="1" s="176"/>
    <row r="951" ht="15.75" customHeight="1" s="176"/>
    <row r="952" ht="15.75" customHeight="1" s="176"/>
    <row r="953" ht="15.75" customHeight="1" s="176"/>
    <row r="954" ht="15.75" customHeight="1" s="176"/>
    <row r="955" ht="15.75" customHeight="1" s="176"/>
    <row r="956" ht="15.75" customHeight="1" s="176"/>
    <row r="957" ht="15.75" customHeight="1" s="176"/>
    <row r="958" ht="15.75" customHeight="1" s="176"/>
    <row r="959" ht="15.75" customHeight="1" s="176"/>
    <row r="960" ht="15.75" customHeight="1" s="176"/>
    <row r="961" ht="15.75" customHeight="1" s="176"/>
    <row r="962" ht="15.75" customHeight="1" s="176"/>
    <row r="963" ht="15.75" customHeight="1" s="176"/>
    <row r="964" ht="15.75" customHeight="1" s="176"/>
    <row r="965" ht="15.75" customHeight="1" s="176"/>
    <row r="966" ht="15.75" customHeight="1" s="176"/>
    <row r="967" ht="15.75" customHeight="1" s="176"/>
    <row r="968" ht="15.75" customHeight="1" s="176"/>
    <row r="969" ht="15.75" customHeight="1" s="176"/>
    <row r="970" ht="15.75" customHeight="1" s="176"/>
    <row r="971" ht="15.75" customHeight="1" s="176"/>
    <row r="972" ht="15.75" customHeight="1" s="176"/>
    <row r="973" ht="15.75" customHeight="1" s="176"/>
    <row r="974" ht="15.75" customHeight="1" s="176"/>
    <row r="975" ht="15.75" customHeight="1" s="176"/>
    <row r="976" ht="15.75" customHeight="1" s="176"/>
    <row r="977" ht="15.75" customHeight="1" s="176"/>
    <row r="978" ht="15.75" customHeight="1" s="176"/>
    <row r="979" ht="15.75" customHeight="1" s="176"/>
    <row r="980" ht="15.75" customHeight="1" s="176"/>
    <row r="981" ht="15.75" customHeight="1" s="176"/>
    <row r="982" ht="15.75" customHeight="1" s="176"/>
    <row r="983" ht="15.75" customHeight="1" s="176"/>
    <row r="984" ht="15.75" customHeight="1" s="176"/>
    <row r="985" ht="15.75" customHeight="1" s="176"/>
    <row r="986" ht="15.75" customHeight="1" s="176"/>
    <row r="987" ht="15.75" customHeight="1" s="176"/>
    <row r="988" ht="15.75" customHeight="1" s="176"/>
    <row r="989" ht="15.75" customHeight="1" s="176"/>
    <row r="990" ht="15.75" customHeight="1" s="176"/>
    <row r="991" ht="15.75" customHeight="1" s="176"/>
    <row r="992" ht="15.75" customHeight="1" s="176"/>
    <row r="993" ht="15.75" customHeight="1" s="176"/>
    <row r="994" ht="15.75" customHeight="1" s="176"/>
    <row r="995" ht="15.75" customHeight="1" s="176"/>
    <row r="996" ht="15.75" customHeight="1" s="176"/>
    <row r="997" ht="15.75" customHeight="1" s="176"/>
    <row r="998" ht="15.75" customHeight="1" s="176"/>
    <row r="999" ht="15.75" customHeight="1" s="176"/>
    <row r="1000" ht="15.75" customHeight="1" s="176"/>
  </sheetData>
  <mergeCells count="634">
    <mergeCell ref="D535:E535"/>
    <mergeCell ref="D473:E473"/>
    <mergeCell ref="D644:E644"/>
    <mergeCell ref="D187:E187"/>
    <mergeCell ref="D619:E619"/>
    <mergeCell ref="D423:E423"/>
    <mergeCell ref="D472:E472"/>
    <mergeCell ref="D410:E410"/>
    <mergeCell ref="D708:E708"/>
    <mergeCell ref="C21:E21"/>
    <mergeCell ref="D281:E281"/>
    <mergeCell ref="D297:E297"/>
    <mergeCell ref="D568:E568"/>
    <mergeCell ref="C23:E23"/>
    <mergeCell ref="D660:E660"/>
    <mergeCell ref="D263:E263"/>
    <mergeCell ref="D312:E312"/>
    <mergeCell ref="D505:E505"/>
    <mergeCell ref="D499:E499"/>
    <mergeCell ref="D238:E238"/>
    <mergeCell ref="D597:E597"/>
    <mergeCell ref="D426:E426"/>
    <mergeCell ref="D486:E486"/>
    <mergeCell ref="D572:E572"/>
    <mergeCell ref="D205:E205"/>
    <mergeCell ref="D376:E376"/>
    <mergeCell ref="D563:E563"/>
    <mergeCell ref="D363:E363"/>
    <mergeCell ref="D357:E357"/>
    <mergeCell ref="D599:E599"/>
    <mergeCell ref="D332:E332"/>
    <mergeCell ref="D307:E307"/>
    <mergeCell ref="D574:E574"/>
    <mergeCell ref="D638:E638"/>
    <mergeCell ref="C113:E113"/>
    <mergeCell ref="C103:E103"/>
    <mergeCell ref="C94:E94"/>
    <mergeCell ref="C118:E118"/>
    <mergeCell ref="D479:E479"/>
    <mergeCell ref="D650:E650"/>
    <mergeCell ref="D258:E258"/>
    <mergeCell ref="D556:E556"/>
    <mergeCell ref="D494:E494"/>
    <mergeCell ref="D543:E543"/>
    <mergeCell ref="D518:E518"/>
    <mergeCell ref="D714:E714"/>
    <mergeCell ref="D195:E195"/>
    <mergeCell ref="D610:E610"/>
    <mergeCell ref="D493:E493"/>
    <mergeCell ref="D189:E189"/>
    <mergeCell ref="D431:E431"/>
    <mergeCell ref="B16:E16"/>
    <mergeCell ref="D287:E287"/>
    <mergeCell ref="D558:E558"/>
    <mergeCell ref="D360:E360"/>
    <mergeCell ref="D585:E585"/>
    <mergeCell ref="D474:E474"/>
    <mergeCell ref="D716:E716"/>
    <mergeCell ref="D197:E197"/>
    <mergeCell ref="D253:E253"/>
    <mergeCell ref="D351:E351"/>
    <mergeCell ref="D289:E289"/>
    <mergeCell ref="D411:E411"/>
    <mergeCell ref="D482:E482"/>
    <mergeCell ref="D587:E587"/>
    <mergeCell ref="C87:E87"/>
    <mergeCell ref="B11:E11"/>
    <mergeCell ref="C24:E24"/>
    <mergeCell ref="C89:E89"/>
    <mergeCell ref="C116:E116"/>
    <mergeCell ref="C88:E88"/>
    <mergeCell ref="D378:E378"/>
    <mergeCell ref="C26:E26"/>
    <mergeCell ref="D365:E365"/>
    <mergeCell ref="D536:E536"/>
    <mergeCell ref="D663:E663"/>
    <mergeCell ref="D315:E315"/>
    <mergeCell ref="D442:E442"/>
    <mergeCell ref="D613:E613"/>
    <mergeCell ref="D502:E502"/>
    <mergeCell ref="D302:E302"/>
    <mergeCell ref="C117:E117"/>
    <mergeCell ref="B158:E158"/>
    <mergeCell ref="D600:E600"/>
    <mergeCell ref="D429:E429"/>
    <mergeCell ref="B6:E6"/>
    <mergeCell ref="D665:E665"/>
    <mergeCell ref="D208:E208"/>
    <mergeCell ref="D379:E379"/>
    <mergeCell ref="D677:E677"/>
    <mergeCell ref="D640:E640"/>
    <mergeCell ref="D615:E615"/>
    <mergeCell ref="D366:E366"/>
    <mergeCell ref="D300:E300"/>
    <mergeCell ref="D664:E664"/>
    <mergeCell ref="B160:E160"/>
    <mergeCell ref="C115:E115"/>
    <mergeCell ref="D406:E406"/>
    <mergeCell ref="D704:E704"/>
    <mergeCell ref="B153:E153"/>
    <mergeCell ref="D666:E666"/>
    <mergeCell ref="D470:E470"/>
    <mergeCell ref="D214:E214"/>
    <mergeCell ref="D284:E284"/>
    <mergeCell ref="D520:E520"/>
    <mergeCell ref="D259:E259"/>
    <mergeCell ref="D501:E501"/>
    <mergeCell ref="D495:E495"/>
    <mergeCell ref="D326:E326"/>
    <mergeCell ref="D593:E593"/>
    <mergeCell ref="D313:E313"/>
    <mergeCell ref="D584:E584"/>
    <mergeCell ref="D432:E432"/>
    <mergeCell ref="D236:E236"/>
    <mergeCell ref="D559:E559"/>
    <mergeCell ref="D524:E524"/>
    <mergeCell ref="D353:E353"/>
    <mergeCell ref="D595:E595"/>
    <mergeCell ref="D651:E651"/>
    <mergeCell ref="D303:E303"/>
    <mergeCell ref="D496:E496"/>
    <mergeCell ref="D290:E290"/>
    <mergeCell ref="D361:E361"/>
    <mergeCell ref="D588:E588"/>
    <mergeCell ref="L3:N3"/>
    <mergeCell ref="D659:E659"/>
    <mergeCell ref="D417:E417"/>
    <mergeCell ref="D653:E653"/>
    <mergeCell ref="D498:E498"/>
    <mergeCell ref="D603:E603"/>
    <mergeCell ref="D354:E354"/>
    <mergeCell ref="D590:E590"/>
    <mergeCell ref="C90:E90"/>
    <mergeCell ref="D527:E527"/>
    <mergeCell ref="D356:E356"/>
    <mergeCell ref="C27:E27"/>
    <mergeCell ref="C119:E119"/>
    <mergeCell ref="D316:E316"/>
    <mergeCell ref="D387:E387"/>
    <mergeCell ref="D443:E443"/>
    <mergeCell ref="D272:E272"/>
    <mergeCell ref="D514:E514"/>
    <mergeCell ref="D685:E685"/>
    <mergeCell ref="D210:E210"/>
    <mergeCell ref="D679:E679"/>
    <mergeCell ref="B159:E159"/>
    <mergeCell ref="D308:E308"/>
    <mergeCell ref="D381:E381"/>
    <mergeCell ref="D606:E606"/>
    <mergeCell ref="D209:E209"/>
    <mergeCell ref="D380:E380"/>
    <mergeCell ref="D445:E445"/>
    <mergeCell ref="D616:E616"/>
    <mergeCell ref="D516:E516"/>
    <mergeCell ref="D687:E687"/>
    <mergeCell ref="B167:E167"/>
    <mergeCell ref="B161:E161"/>
    <mergeCell ref="D245:E245"/>
    <mergeCell ref="D274:E274"/>
    <mergeCell ref="D301:E301"/>
    <mergeCell ref="D608:E608"/>
    <mergeCell ref="D224:E224"/>
    <mergeCell ref="D250:E250"/>
    <mergeCell ref="D211:E211"/>
    <mergeCell ref="D382:E382"/>
    <mergeCell ref="C108:E108"/>
    <mergeCell ref="G3:J3"/>
    <mergeCell ref="B175:E175"/>
    <mergeCell ref="D240:E240"/>
    <mergeCell ref="D511:E511"/>
    <mergeCell ref="D682:E682"/>
    <mergeCell ref="B162:E162"/>
    <mergeCell ref="D334:E334"/>
    <mergeCell ref="C109:E109"/>
    <mergeCell ref="D634:E634"/>
    <mergeCell ref="D523:E523"/>
    <mergeCell ref="D621:E621"/>
    <mergeCell ref="D329:E329"/>
    <mergeCell ref="D229:E229"/>
    <mergeCell ref="D400:E400"/>
    <mergeCell ref="D565:E565"/>
    <mergeCell ref="D698:E698"/>
    <mergeCell ref="D375:E375"/>
    <mergeCell ref="D369:E369"/>
    <mergeCell ref="D598:E598"/>
    <mergeCell ref="D629:E629"/>
    <mergeCell ref="D306:E306"/>
    <mergeCell ref="D377:E377"/>
    <mergeCell ref="D675:E675"/>
    <mergeCell ref="B155:E155"/>
    <mergeCell ref="D662:E662"/>
    <mergeCell ref="D235:E235"/>
    <mergeCell ref="D451:E451"/>
    <mergeCell ref="D255:E255"/>
    <mergeCell ref="D322:E322"/>
    <mergeCell ref="D260:E260"/>
    <mergeCell ref="D453:E453"/>
    <mergeCell ref="D624:E624"/>
    <mergeCell ref="D309:E309"/>
    <mergeCell ref="D545:E545"/>
    <mergeCell ref="D324:E324"/>
    <mergeCell ref="D517:E517"/>
    <mergeCell ref="D622:E622"/>
    <mergeCell ref="D688:E688"/>
    <mergeCell ref="C99:E99"/>
    <mergeCell ref="D311:E311"/>
    <mergeCell ref="D609:E609"/>
    <mergeCell ref="D680:E680"/>
    <mergeCell ref="D261:E261"/>
    <mergeCell ref="D388:E388"/>
    <mergeCell ref="B177:E177"/>
    <mergeCell ref="D448:E448"/>
    <mergeCell ref="D690:E690"/>
    <mergeCell ref="D546:E546"/>
    <mergeCell ref="B164:E164"/>
    <mergeCell ref="D611:E611"/>
    <mergeCell ref="D561:E561"/>
    <mergeCell ref="D390:E390"/>
    <mergeCell ref="D548:E548"/>
    <mergeCell ref="D337:E337"/>
    <mergeCell ref="D464:E464"/>
    <mergeCell ref="D635:E635"/>
    <mergeCell ref="D573:E573"/>
    <mergeCell ref="D706:E706"/>
    <mergeCell ref="D402:E402"/>
    <mergeCell ref="D230:E230"/>
    <mergeCell ref="D401:E401"/>
    <mergeCell ref="D643:E643"/>
    <mergeCell ref="D339:E339"/>
    <mergeCell ref="D466:E466"/>
    <mergeCell ref="D637:E637"/>
    <mergeCell ref="D683:E683"/>
    <mergeCell ref="B132:E132"/>
    <mergeCell ref="D232:E232"/>
    <mergeCell ref="D403:E403"/>
    <mergeCell ref="D530:E530"/>
    <mergeCell ref="D701:E701"/>
    <mergeCell ref="D532:E532"/>
    <mergeCell ref="D703:E703"/>
    <mergeCell ref="D507:E507"/>
    <mergeCell ref="D678:E678"/>
    <mergeCell ref="D330:E330"/>
    <mergeCell ref="D492:E492"/>
    <mergeCell ref="D630:E630"/>
    <mergeCell ref="D350:E350"/>
    <mergeCell ref="D617:E617"/>
    <mergeCell ref="D325:E325"/>
    <mergeCell ref="D567:E567"/>
    <mergeCell ref="D396:E396"/>
    <mergeCell ref="D456:E456"/>
    <mergeCell ref="D632:E632"/>
    <mergeCell ref="D414:E414"/>
    <mergeCell ref="D681:E681"/>
    <mergeCell ref="D352:E352"/>
    <mergeCell ref="D460:E460"/>
    <mergeCell ref="D631:E631"/>
    <mergeCell ref="D398:E398"/>
    <mergeCell ref="D569:E569"/>
    <mergeCell ref="D454:E454"/>
    <mergeCell ref="D625:E625"/>
    <mergeCell ref="D696:E696"/>
    <mergeCell ref="B176:E176"/>
    <mergeCell ref="D327:E327"/>
    <mergeCell ref="D612:E612"/>
    <mergeCell ref="D416:E416"/>
    <mergeCell ref="C96:E96"/>
    <mergeCell ref="D264:E264"/>
    <mergeCell ref="D220:E220"/>
    <mergeCell ref="D391:E391"/>
    <mergeCell ref="C98:E98"/>
    <mergeCell ref="D328:E328"/>
    <mergeCell ref="D251:E251"/>
    <mergeCell ref="D487:E487"/>
    <mergeCell ref="D343:E343"/>
    <mergeCell ref="D480:E480"/>
    <mergeCell ref="B9:E9"/>
    <mergeCell ref="D551:E551"/>
    <mergeCell ref="D280:E280"/>
    <mergeCell ref="D467:E467"/>
    <mergeCell ref="C93:E93"/>
    <mergeCell ref="D538:E538"/>
    <mergeCell ref="D709:E709"/>
    <mergeCell ref="D345:E345"/>
    <mergeCell ref="D190:E190"/>
    <mergeCell ref="D246:E246"/>
    <mergeCell ref="D488:E488"/>
    <mergeCell ref="D233:E233"/>
    <mergeCell ref="D282:E282"/>
    <mergeCell ref="D338:E338"/>
    <mergeCell ref="D580:E580"/>
    <mergeCell ref="D409:E409"/>
    <mergeCell ref="D469:E469"/>
    <mergeCell ref="D711:E711"/>
    <mergeCell ref="D183:E183"/>
    <mergeCell ref="D444:E444"/>
    <mergeCell ref="D248:E248"/>
    <mergeCell ref="D219:E219"/>
    <mergeCell ref="D275:E275"/>
    <mergeCell ref="D419:E419"/>
    <mergeCell ref="D340:E340"/>
    <mergeCell ref="D533:E533"/>
    <mergeCell ref="D582:E582"/>
    <mergeCell ref="D185:E185"/>
    <mergeCell ref="C82:E82"/>
    <mergeCell ref="D277:E277"/>
    <mergeCell ref="D719:E719"/>
    <mergeCell ref="D371:E371"/>
    <mergeCell ref="D564:E564"/>
    <mergeCell ref="C19:E19"/>
    <mergeCell ref="D485:E485"/>
    <mergeCell ref="D656:E656"/>
    <mergeCell ref="C111:E111"/>
    <mergeCell ref="C86:E86"/>
    <mergeCell ref="C83:E83"/>
    <mergeCell ref="D422:E422"/>
    <mergeCell ref="D658:E658"/>
    <mergeCell ref="D201:E201"/>
    <mergeCell ref="D335:E335"/>
    <mergeCell ref="D372:E372"/>
    <mergeCell ref="D633:E633"/>
    <mergeCell ref="D188:E188"/>
    <mergeCell ref="D424:E424"/>
    <mergeCell ref="D399:E399"/>
    <mergeCell ref="D697:E697"/>
    <mergeCell ref="D295:E295"/>
    <mergeCell ref="D463:E463"/>
    <mergeCell ref="D699:E699"/>
    <mergeCell ref="D555:E555"/>
    <mergeCell ref="D254:E254"/>
    <mergeCell ref="D490:E490"/>
    <mergeCell ref="D346:E346"/>
    <mergeCell ref="D477:E477"/>
    <mergeCell ref="B12:E12"/>
    <mergeCell ref="D283:E283"/>
    <mergeCell ref="D554:E554"/>
    <mergeCell ref="D581:E581"/>
    <mergeCell ref="D519:E519"/>
    <mergeCell ref="D652:E652"/>
    <mergeCell ref="D348:E348"/>
    <mergeCell ref="D646:E646"/>
    <mergeCell ref="C101:E101"/>
    <mergeCell ref="D717:E717"/>
    <mergeCell ref="D193:E193"/>
    <mergeCell ref="D491:E491"/>
    <mergeCell ref="D347:E347"/>
    <mergeCell ref="B14:E14"/>
    <mergeCell ref="D285:E285"/>
    <mergeCell ref="D583:E583"/>
    <mergeCell ref="D412:E412"/>
    <mergeCell ref="D710:E710"/>
    <mergeCell ref="D648:E648"/>
    <mergeCell ref="B13:E13"/>
    <mergeCell ref="D362:E362"/>
    <mergeCell ref="D349:E349"/>
    <mergeCell ref="D476:E476"/>
    <mergeCell ref="D647:E647"/>
    <mergeCell ref="D712:E712"/>
    <mergeCell ref="C20:E20"/>
    <mergeCell ref="C25:E25"/>
    <mergeCell ref="C85:E85"/>
    <mergeCell ref="C112:E112"/>
    <mergeCell ref="C84:E84"/>
    <mergeCell ref="D203:E203"/>
    <mergeCell ref="C22:E22"/>
    <mergeCell ref="D672:E672"/>
    <mergeCell ref="D374:E374"/>
    <mergeCell ref="C114:E114"/>
    <mergeCell ref="D438:E438"/>
    <mergeCell ref="D267:E267"/>
    <mergeCell ref="D509:E509"/>
    <mergeCell ref="D674:E674"/>
    <mergeCell ref="B154:E154"/>
    <mergeCell ref="D359:E359"/>
    <mergeCell ref="D425:E425"/>
    <mergeCell ref="D601:E601"/>
    <mergeCell ref="D661:E661"/>
    <mergeCell ref="D204:E204"/>
    <mergeCell ref="D198:E198"/>
    <mergeCell ref="D465:E465"/>
    <mergeCell ref="D440:E440"/>
    <mergeCell ref="D707:E707"/>
    <mergeCell ref="D636:E636"/>
    <mergeCell ref="D269:E269"/>
    <mergeCell ref="D489:E489"/>
    <mergeCell ref="B156:E156"/>
    <mergeCell ref="D296:E296"/>
    <mergeCell ref="D427:E427"/>
    <mergeCell ref="D206:E206"/>
    <mergeCell ref="D700:E700"/>
    <mergeCell ref="D504:E504"/>
    <mergeCell ref="D298:E298"/>
    <mergeCell ref="D596:E596"/>
    <mergeCell ref="D273:E273"/>
    <mergeCell ref="D627:E627"/>
    <mergeCell ref="C104:E104"/>
    <mergeCell ref="D418:E418"/>
    <mergeCell ref="D393:E393"/>
    <mergeCell ref="D654:E654"/>
    <mergeCell ref="D591:E591"/>
    <mergeCell ref="D420:E420"/>
    <mergeCell ref="D718:E718"/>
    <mergeCell ref="D199:E199"/>
    <mergeCell ref="D497:E497"/>
    <mergeCell ref="B15:E15"/>
    <mergeCell ref="D435:E435"/>
    <mergeCell ref="D186:E186"/>
    <mergeCell ref="D364:E364"/>
    <mergeCell ref="D217:E217"/>
    <mergeCell ref="D484:E484"/>
    <mergeCell ref="D655:E655"/>
    <mergeCell ref="D413:E413"/>
    <mergeCell ref="D649:E649"/>
    <mergeCell ref="D720:E720"/>
    <mergeCell ref="D428:E428"/>
    <mergeCell ref="D586:E586"/>
    <mergeCell ref="D415:E415"/>
    <mergeCell ref="D194:E194"/>
    <mergeCell ref="D715:E715"/>
    <mergeCell ref="D446:E446"/>
    <mergeCell ref="C28:E28"/>
    <mergeCell ref="D367:E367"/>
    <mergeCell ref="D212:E212"/>
    <mergeCell ref="D439:E439"/>
    <mergeCell ref="D317:E317"/>
    <mergeCell ref="D510:E510"/>
    <mergeCell ref="C92:E92"/>
    <mergeCell ref="D304:E304"/>
    <mergeCell ref="D602:E602"/>
    <mergeCell ref="D540:E540"/>
    <mergeCell ref="D667:E667"/>
    <mergeCell ref="D441:E441"/>
    <mergeCell ref="D319:E319"/>
    <mergeCell ref="D512:E512"/>
    <mergeCell ref="D368:E368"/>
    <mergeCell ref="D506:E506"/>
    <mergeCell ref="B157:E157"/>
    <mergeCell ref="D604:E604"/>
    <mergeCell ref="D481:E481"/>
    <mergeCell ref="D207:E207"/>
    <mergeCell ref="D256:E256"/>
    <mergeCell ref="D383:E383"/>
    <mergeCell ref="B172:E172"/>
    <mergeCell ref="D299:E299"/>
    <mergeCell ref="D541:E541"/>
    <mergeCell ref="D370:E370"/>
    <mergeCell ref="D668:E668"/>
    <mergeCell ref="D222:E222"/>
    <mergeCell ref="D314:E314"/>
    <mergeCell ref="B5:E5"/>
    <mergeCell ref="C105:E105"/>
    <mergeCell ref="D693:E693"/>
    <mergeCell ref="D645:E645"/>
    <mergeCell ref="C120:E120"/>
    <mergeCell ref="C110:E110"/>
    <mergeCell ref="D459:E459"/>
    <mergeCell ref="D288:E288"/>
    <mergeCell ref="D434:E434"/>
    <mergeCell ref="D670:E670"/>
    <mergeCell ref="D225:E225"/>
    <mergeCell ref="D657:E657"/>
    <mergeCell ref="D461:E461"/>
    <mergeCell ref="D200:E200"/>
    <mergeCell ref="D436:E436"/>
    <mergeCell ref="D292:E292"/>
    <mergeCell ref="D534:E534"/>
    <mergeCell ref="B152:E152"/>
    <mergeCell ref="D227:E227"/>
    <mergeCell ref="D721:E721"/>
    <mergeCell ref="D525:E525"/>
    <mergeCell ref="D202:E202"/>
    <mergeCell ref="D373:E373"/>
    <mergeCell ref="D500:E500"/>
    <mergeCell ref="D294:E294"/>
    <mergeCell ref="D592:E592"/>
    <mergeCell ref="D231:E231"/>
    <mergeCell ref="D673:E673"/>
    <mergeCell ref="D529:E529"/>
    <mergeCell ref="D358:E358"/>
    <mergeCell ref="D408:E408"/>
    <mergeCell ref="D594:E594"/>
    <mergeCell ref="C29:E29"/>
    <mergeCell ref="C100:E100"/>
    <mergeCell ref="D318:E318"/>
    <mergeCell ref="D389:E389"/>
    <mergeCell ref="C80:E80"/>
    <mergeCell ref="D320:E320"/>
    <mergeCell ref="D447:E447"/>
    <mergeCell ref="D618:E618"/>
    <mergeCell ref="D689:E689"/>
    <mergeCell ref="C95:E95"/>
    <mergeCell ref="D385:E385"/>
    <mergeCell ref="B163:E163"/>
    <mergeCell ref="D605:E605"/>
    <mergeCell ref="D676:E676"/>
    <mergeCell ref="D257:E257"/>
    <mergeCell ref="D213:E213"/>
    <mergeCell ref="B173:E173"/>
    <mergeCell ref="D384:E384"/>
    <mergeCell ref="D449:E449"/>
    <mergeCell ref="D620:E620"/>
    <mergeCell ref="B165:E165"/>
    <mergeCell ref="D607:E607"/>
    <mergeCell ref="C91:E91"/>
    <mergeCell ref="D321:E321"/>
    <mergeCell ref="D557:E557"/>
    <mergeCell ref="D215:E215"/>
    <mergeCell ref="D386:E386"/>
    <mergeCell ref="D513:E513"/>
    <mergeCell ref="D684:E684"/>
    <mergeCell ref="D671:E671"/>
    <mergeCell ref="D531:E531"/>
    <mergeCell ref="D702:E702"/>
    <mergeCell ref="D226:E226"/>
    <mergeCell ref="D462:E462"/>
    <mergeCell ref="D579:E579"/>
    <mergeCell ref="D589:E589"/>
    <mergeCell ref="D560:E560"/>
    <mergeCell ref="B178:E178"/>
    <mergeCell ref="D437:E437"/>
    <mergeCell ref="S3:AD3"/>
    <mergeCell ref="D508:E508"/>
    <mergeCell ref="D241:E241"/>
    <mergeCell ref="D539:E539"/>
    <mergeCell ref="D228:E228"/>
    <mergeCell ref="D333:E333"/>
    <mergeCell ref="D526:E526"/>
    <mergeCell ref="D575:E575"/>
    <mergeCell ref="D404:E404"/>
    <mergeCell ref="D562:E562"/>
    <mergeCell ref="D305:E305"/>
    <mergeCell ref="D544:E544"/>
    <mergeCell ref="D243:E243"/>
    <mergeCell ref="D270:E270"/>
    <mergeCell ref="D397:E397"/>
    <mergeCell ref="D528:E528"/>
    <mergeCell ref="D310:E310"/>
    <mergeCell ref="D503:E503"/>
    <mergeCell ref="D570:E570"/>
    <mergeCell ref="C106:E106"/>
    <mergeCell ref="D455:E455"/>
    <mergeCell ref="D626:E626"/>
    <mergeCell ref="C81:E81"/>
    <mergeCell ref="D430:E430"/>
    <mergeCell ref="D691:E691"/>
    <mergeCell ref="D221:E221"/>
    <mergeCell ref="D392:E392"/>
    <mergeCell ref="D457:E457"/>
    <mergeCell ref="D628:E628"/>
    <mergeCell ref="D475:E475"/>
    <mergeCell ref="D323:E323"/>
    <mergeCell ref="B179:E179"/>
    <mergeCell ref="D450:E450"/>
    <mergeCell ref="D223:E223"/>
    <mergeCell ref="D521:E521"/>
    <mergeCell ref="D692:E692"/>
    <mergeCell ref="D279:E279"/>
    <mergeCell ref="D686:E686"/>
    <mergeCell ref="B166:E166"/>
    <mergeCell ref="D394:E394"/>
    <mergeCell ref="D216:E216"/>
    <mergeCell ref="D265:E265"/>
    <mergeCell ref="D452:E452"/>
    <mergeCell ref="D623:E623"/>
    <mergeCell ref="D694:E694"/>
    <mergeCell ref="B174:E174"/>
    <mergeCell ref="D550:E550"/>
    <mergeCell ref="B168:E168"/>
    <mergeCell ref="D252:E252"/>
    <mergeCell ref="D218:E218"/>
    <mergeCell ref="D247:E247"/>
    <mergeCell ref="B169:E169"/>
    <mergeCell ref="D249:E249"/>
    <mergeCell ref="D276:E276"/>
    <mergeCell ref="D547:E547"/>
    <mergeCell ref="D341:E341"/>
    <mergeCell ref="D468:E468"/>
    <mergeCell ref="D639:E639"/>
    <mergeCell ref="D577:E577"/>
    <mergeCell ref="D242:E242"/>
    <mergeCell ref="D478:E478"/>
    <mergeCell ref="B7:E7"/>
    <mergeCell ref="D549:E549"/>
    <mergeCell ref="D278:E278"/>
    <mergeCell ref="D576:E576"/>
    <mergeCell ref="D234:E234"/>
    <mergeCell ref="D405:E405"/>
    <mergeCell ref="D641:E641"/>
    <mergeCell ref="D244:E244"/>
    <mergeCell ref="D342:E342"/>
    <mergeCell ref="D336:E336"/>
    <mergeCell ref="D578:E578"/>
    <mergeCell ref="D407:E407"/>
    <mergeCell ref="D705:E705"/>
    <mergeCell ref="D196:E196"/>
    <mergeCell ref="P3:Q3"/>
    <mergeCell ref="C107:E107"/>
    <mergeCell ref="D669:E669"/>
    <mergeCell ref="D483:E483"/>
    <mergeCell ref="D271:E271"/>
    <mergeCell ref="D191:E191"/>
    <mergeCell ref="D458:E458"/>
    <mergeCell ref="D433:E433"/>
    <mergeCell ref="D262:E262"/>
    <mergeCell ref="D237:E237"/>
    <mergeCell ref="D522:E522"/>
    <mergeCell ref="D571:E571"/>
    <mergeCell ref="D291:E291"/>
    <mergeCell ref="D614:E614"/>
    <mergeCell ref="D552:E552"/>
    <mergeCell ref="D239:E239"/>
    <mergeCell ref="D266:E266"/>
    <mergeCell ref="D537:E537"/>
    <mergeCell ref="D331:E331"/>
    <mergeCell ref="D695:E695"/>
    <mergeCell ref="D355:E355"/>
    <mergeCell ref="D293:E293"/>
    <mergeCell ref="D268:E268"/>
    <mergeCell ref="D566:E566"/>
    <mergeCell ref="D395:E395"/>
    <mergeCell ref="D553:E553"/>
    <mergeCell ref="C102:E102"/>
    <mergeCell ref="D184:E184"/>
    <mergeCell ref="D192:E192"/>
    <mergeCell ref="B8:E8"/>
    <mergeCell ref="D515:E515"/>
    <mergeCell ref="D344:E344"/>
    <mergeCell ref="D471:E471"/>
    <mergeCell ref="D642:E642"/>
    <mergeCell ref="D542:E542"/>
    <mergeCell ref="D713:E713"/>
    <mergeCell ref="C97:E97"/>
    <mergeCell ref="D421:E421"/>
    <mergeCell ref="B10:E10"/>
    <mergeCell ref="D286:E286"/>
  </mergeCells>
  <conditionalFormatting sqref="A133:A149">
    <cfRule type="expression" priority="1" dxfId="11">
      <formula>MOD(ROW(),2)=0</formula>
    </cfRule>
  </conditionalFormatting>
  <conditionalFormatting sqref="A34:C76">
    <cfRule type="expression" priority="2" dxfId="11">
      <formula>MOD(ROW(),2)=0</formula>
    </cfRule>
  </conditionalFormatting>
  <conditionalFormatting sqref="A81:E120">
    <cfRule type="expression" priority="3" dxfId="11">
      <formula>MOD(ROW(),2)=0</formula>
    </cfRule>
  </conditionalFormatting>
  <conditionalFormatting sqref="A123:E128">
    <cfRule type="expression" priority="4" dxfId="11">
      <formula>MOD(ROW(),2)=0</formula>
    </cfRule>
  </conditionalFormatting>
  <conditionalFormatting sqref="A153:E169">
    <cfRule type="expression" priority="5" dxfId="11">
      <formula>MOD(ROW(),2)=0</formula>
    </cfRule>
  </conditionalFormatting>
  <conditionalFormatting sqref="A184:E721">
    <cfRule type="expression" priority="6" dxfId="11">
      <formula>MOD(ROW(),2)=0</formula>
    </cfRule>
    <cfRule type="expression" priority="7" dxfId="12">
      <formula>$A184&lt;&gt;$A183</formula>
    </cfRule>
  </conditionalFormatting>
  <conditionalFormatting sqref="J6:J300">
    <cfRule type="cellIs" priority="8" operator="lessThan" dxfId="13">
      <formula>0</formula>
    </cfRule>
  </conditionalFormatting>
  <dataValidations count="2">
    <dataValidation sqref="K6:K200" showDropDown="0" showInputMessage="0" showErrorMessage="1" allowBlank="1" type="list">
      <formula1>"Bodega 25,Bodega 43"</formula1>
    </dataValidation>
    <dataValidation sqref="H6:H300" showDropDown="0" showInputMessage="0" showErrorMessage="1" allowBlank="1" type="list">
      <formula1>"Rack físico,NetSuite"</formula1>
    </dataValidation>
  </dataValidations>
  <hyperlinks>
    <hyperlink ref="B5" location="Criterios!A18" display="Ruta de llenado — los 10 pasos para capturar un producto"/>
    <hyperlink ref="B6" location="Criterios!A31" display="Palabra clave → Categoría — qué categoría asignar según el nombre"/>
    <hyperlink ref="B7" location="Criterios!A78" display="Categorías — división y familia de talla de cada categoría"/>
    <hyperlink ref="B8" location="Criterios!A121" display="Listas básicas — División, Género, Temporada, Ciclo de vida, Unidad"/>
    <hyperlink ref="B9" location="Criterios!A131" display="Marcas"/>
    <hyperlink ref="B10" location="Criterios!A151" display="Colores y sinónimos — color base y cómo traducir nombres comerciales"/>
    <hyperlink ref="B11" location="Criterios!A171" display="Fit y Silueta — valores por tipo de prenda"/>
    <hyperlink ref="B12" location="Criterios!A181" display="Catálogo de tallas — WB Talla → Talla de EE. UU. (con filtro por familia)"/>
    <hyperlink ref="B13" location="Criterios!G4" display="Ubicaciones / Racks  (columna G)"/>
    <hyperlink ref="B14" location="Criterios!L4" display="Auditores  (columna L)"/>
    <hyperlink ref="B15" location="Criterios!P4" display="Estados de conteo / Dictamen  (columna P)"/>
    <hyperlink ref="B16" location="Criterios!S4" display="Listas automáticas para desplegables  (columna S, no editar)"/>
    <hyperlink ref="E18" location="Criterios!A4" display="↑ Volver al índice"/>
    <hyperlink ref="E31" location="Criterios!A4" display="↑ Volver al índice"/>
    <hyperlink ref="E78" location="Criterios!A4" display="↑ Volver al índice"/>
    <hyperlink ref="E121" location="Criterios!A4" display="↑ Volver al índice"/>
    <hyperlink ref="E131" location="Criterios!A4" display="↑ Volver al índice"/>
    <hyperlink ref="E151" location="Criterios!A4" display="↑ Volver al índice"/>
    <hyperlink ref="E171" location="Criterios!A4" display="↑ Volver al índice"/>
    <hyperlink ref="E181" location="Criterios!A4" display="↑ Volver al índice"/>
  </hyperlinks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AU1"/>
  <sheetViews>
    <sheetView workbookViewId="0">
      <pane ySplit="6" topLeftCell="A7" activePane="bottomLeft" state="frozen"/>
      <selection pane="bottomLeft" activeCell="B8" sqref="B8"/>
    </sheetView>
  </sheetViews>
  <sheetFormatPr baseColWidth="8" defaultColWidth="12.63" defaultRowHeight="15" customHeight="1"/>
  <cols>
    <col width="3.88" customWidth="1" style="176" min="1" max="1"/>
    <col width="18.88" customWidth="1" style="176" min="2" max="2"/>
    <col width="16.38" customWidth="1" style="176" min="3" max="3"/>
    <col width="23.88" customWidth="1" style="176" min="4" max="4"/>
    <col width="18.88" customWidth="1" style="176" min="5" max="5"/>
    <col width="23.88" customWidth="1" style="176" min="6" max="6"/>
    <col width="17.63" customWidth="1" style="176" min="7" max="7"/>
    <col width="21.38" customWidth="1" style="176" min="8" max="8"/>
    <col width="15.13" customWidth="1" style="176" min="9" max="9"/>
    <col width="32.63" customWidth="1" style="176" min="10" max="10"/>
    <col width="32.63" customWidth="1" style="176" min="29" max="29"/>
  </cols>
  <sheetData>
    <row r="1" ht="15.75" customHeight="1" s="176">
      <c r="A1" s="48" t="inlineStr">
        <is>
          <t>Grupo</t>
        </is>
      </c>
      <c r="B1" s="48" t="inlineStr">
        <is>
          <t>Fuente</t>
        </is>
      </c>
      <c r="C1" s="48" t="inlineStr">
        <is>
          <t>Motivo</t>
        </is>
      </c>
      <c r="D1" s="48" t="inlineStr">
        <is>
          <t>Código de barras</t>
        </is>
      </c>
      <c r="E1" s="48" t="inlineStr">
        <is>
          <t>Identificador interno</t>
        </is>
      </c>
      <c r="F1" s="48" t="inlineStr">
        <is>
          <t>Marca principal</t>
        </is>
      </c>
      <c r="G1" s="48" t="inlineStr">
        <is>
          <t>WB N.º de estilo</t>
        </is>
      </c>
      <c r="H1" s="48" t="inlineStr">
        <is>
          <t>WB SKU</t>
        </is>
      </c>
      <c r="I1" s="48" t="inlineStr">
        <is>
          <t>WB Talla</t>
        </is>
      </c>
      <c r="J1" s="48" t="inlineStr">
        <is>
          <t>WB Talla de EE. UU.</t>
        </is>
      </c>
      <c r="K1" s="48" t="inlineStr">
        <is>
          <t>WB Marca</t>
        </is>
      </c>
      <c r="L1" s="48" t="inlineStr">
        <is>
          <t>WB Descripcion</t>
        </is>
      </c>
      <c r="M1" s="48" t="inlineStr">
        <is>
          <t>WB División</t>
        </is>
      </c>
      <c r="N1" s="48" t="inlineStr">
        <is>
          <t>WB Categoría</t>
        </is>
      </c>
      <c r="O1" s="48" t="inlineStr">
        <is>
          <t>WB Género</t>
        </is>
      </c>
      <c r="P1" s="48" t="inlineStr">
        <is>
          <t>WB Licencia</t>
        </is>
      </c>
      <c r="Q1" s="48" t="inlineStr">
        <is>
          <t>WB Temporada</t>
        </is>
      </c>
      <c r="R1" s="48" t="inlineStr">
        <is>
          <t>WB Ciclo de vida</t>
        </is>
      </c>
      <c r="S1" s="48" t="inlineStr">
        <is>
          <t>WB Color</t>
        </is>
      </c>
      <c r="T1" s="48" t="inlineStr">
        <is>
          <t>WB Fit</t>
        </is>
      </c>
      <c r="U1" s="48" t="inlineStr">
        <is>
          <t>WB Silueta</t>
        </is>
      </c>
      <c r="V1" s="48" t="inlineStr">
        <is>
          <t>WB Composición</t>
        </is>
      </c>
      <c r="W1" s="48" t="inlineStr">
        <is>
          <t>WB Descripción larga</t>
        </is>
      </c>
      <c r="X1" s="48" t="inlineStr">
        <is>
          <t>WB País de origen</t>
        </is>
      </c>
      <c r="Y1" s="48" t="inlineStr">
        <is>
          <t>Unidad</t>
        </is>
      </c>
      <c r="Z1" s="48" t="inlineStr">
        <is>
          <t>SAT Clave de producto</t>
        </is>
      </c>
      <c r="AA1" s="48" t="inlineStr">
        <is>
          <t>Enlace de imagen</t>
        </is>
      </c>
      <c r="AB1" s="48" t="inlineStr">
        <is>
          <t>Precio de compra</t>
        </is>
      </c>
      <c r="AC1" s="48" t="inlineStr">
        <is>
          <t>Precio de venta</t>
        </is>
      </c>
      <c r="AD1" s="33" t="inlineStr">
        <is>
          <t>Estatus de Validación</t>
        </is>
      </c>
      <c r="AE1" s="33" t="inlineStr">
        <is>
          <t>Detalle de Discrepancias</t>
        </is>
      </c>
      <c r="AF1" s="49" t="inlineStr">
        <is>
          <t>🔍 Panel de Duplicados</t>
        </is>
      </c>
      <c r="AG1" s="33" t="inlineStr">
        <is>
          <t>Stock Sistema NetSuite</t>
        </is>
      </c>
      <c r="AH1" s="33" t="inlineStr">
        <is>
          <t>Ubicaciones con stock (NetSuite)</t>
        </is>
      </c>
      <c r="AI1" s="33" t="inlineStr">
        <is>
          <t>Disponible NetSuite</t>
        </is>
      </c>
      <c r="AJ1" s="33" t="inlineStr">
        <is>
          <t>Origen del registro</t>
        </is>
      </c>
      <c r="AK1" s="33" t="inlineStr">
        <is>
          <t>Notas de enriquecimiento / revisión</t>
        </is>
      </c>
      <c r="AL1" s="33" t="inlineStr">
        <is>
          <t>¿Alguna ubicación en negativo?</t>
        </is>
      </c>
      <c r="AM1" s="33" t="inlineStr">
        <is>
          <t>Ubicaciones con existencia negativa</t>
        </is>
      </c>
      <c r="AN1" s="33" t="inlineStr">
        <is>
          <t>Fuentes de consulta</t>
        </is>
      </c>
      <c r="AO1" s="33" t="inlineStr">
        <is>
          <t>Precio compra vigente</t>
        </is>
      </c>
      <c r="AP1" s="33" t="inlineStr">
        <is>
          <t>Precio venta vigente</t>
        </is>
      </c>
      <c r="AQ1" s="33" t="inlineStr">
        <is>
          <t>📍 Ubicación en plataformas (Plataforma + Marca)</t>
        </is>
      </c>
      <c r="AR1" s="33" t="inlineStr">
        <is>
          <t>Stock Shopify Stetson México</t>
        </is>
      </c>
      <c r="AS1" s="33" t="inlineStr">
        <is>
          <t>Stock Shopify Western Brothers</t>
        </is>
      </c>
      <c r="AT1" s="33" t="inlineStr">
        <is>
          <t>Stock Odoo Universal Unique Brands</t>
        </is>
      </c>
      <c r="AU1" s="33" t="inlineStr">
        <is>
          <t>Ubicaciones con stock (plataformas)</t>
        </is>
      </c>
    </row>
  </sheetData>
  <autoFilter ref="A1:AU2"/>
  <conditionalFormatting sqref="AC7:AC1000">
    <cfRule type="containsText" priority="1" operator="containsText" dxfId="14" stopIfTrue="1" text="duplicado">
      <formula>NOT(ISERROR(SEARCH(("duplicado"),(AC7))))</formula>
    </cfRule>
  </conditionalFormatting>
  <dataValidations count="2">
    <dataValidation sqref="D4" showDropDown="0" showInputMessage="0" showErrorMessage="0" allowBlank="1" type="list">
      <formula1>"Todos los duplicados,Solo código de barras duplicado,Solo SKU duplicado"</formula1>
    </dataValidation>
    <dataValidation sqref="H4" showDropDown="0" showInputMessage="0" showErrorMessage="0" allowBlank="1" type="list">
      <formula1>"Todos los estilos,11-001-0425-2057,11-001-0425-2058 GY,11-001-0425-2061,11-001-0425-2061 BU,11-001-0425-2062,11-001-0425-5020,11-001-0425-5020 BU,11-001-0526-1042,11-002-0425-2061,11-002-0425-2061 BU,11-060-0594-6012,9501000,9501000-200-NZ,9502000,9502000"&amp;"-600-NZ,9807003,9807003-232-NZ,9808003-19-NZ"</formula1>
    </dataValidation>
  </dataValidation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64.38" customWidth="1" style="176" min="1" max="1"/>
    <col width="18" customWidth="1" style="176" min="2" max="2"/>
    <col width="26" customWidth="1" style="176" min="3" max="3"/>
    <col width="14" customWidth="1" style="176" min="4" max="5"/>
    <col width="55" customWidth="1" style="176" min="6" max="6"/>
    <col width="14" customWidth="1" style="176" min="7" max="7"/>
    <col width="20" customWidth="1" style="176" min="8" max="8"/>
    <col width="12" customWidth="1" style="176" min="9" max="9"/>
    <col width="14.75" customWidth="1" style="176" min="10" max="10"/>
  </cols>
  <sheetData>
    <row r="1" ht="30" customHeight="1" s="176">
      <c r="A1" s="48" t="inlineStr">
        <is>
          <t>Ubicación (NetSuite / Plataforma)</t>
        </is>
      </c>
      <c r="B1" s="48" t="inlineStr">
        <is>
          <t>Código de barras</t>
        </is>
      </c>
      <c r="C1" s="48" t="inlineStr">
        <is>
          <t>WB SKU</t>
        </is>
      </c>
      <c r="D1" s="48" t="inlineStr">
        <is>
          <t>Identificador interno</t>
        </is>
      </c>
      <c r="E1" s="48" t="inlineStr">
        <is>
          <t>WB Marca</t>
        </is>
      </c>
      <c r="F1" s="48" t="inlineStr">
        <is>
          <t>WB Descripción</t>
        </is>
      </c>
      <c r="G1" s="48" t="inlineStr">
        <is>
          <t>Stock en ubicación (Físico)</t>
        </is>
      </c>
      <c r="H1" s="48" t="inlineStr">
        <is>
          <t>Origen en Productos</t>
        </is>
      </c>
      <c r="I1" s="48" t="inlineStr">
        <is>
          <t>Fila en Productos</t>
        </is>
      </c>
      <c r="J1" s="48" t="inlineStr">
        <is>
          <t>Sistema</t>
        </is>
      </c>
    </row>
    <row r="2">
      <c r="A2" s="5" t="inlineStr">
        <is>
          <t>STETSON AMERICAS</t>
        </is>
      </c>
      <c r="B2" s="5">
        <f>IF($I2="","",INDEX(Productos!$A:$A,$I2))</f>
        <v/>
      </c>
      <c r="C2" s="134" t="inlineStr">
        <is>
          <t>WL-BHB16</t>
        </is>
      </c>
      <c r="D2" s="5">
        <f>IF($I2="","",INDEX(Productos!$B:$B,$I2))</f>
        <v/>
      </c>
      <c r="E2" s="5">
        <f>IF($I2="","",INDEX(Productos!$H:$H,$I2))</f>
        <v/>
      </c>
      <c r="F2" s="5">
        <f>IF($I2="","",INDEX(Productos!$I:$I,$I2))</f>
        <v/>
      </c>
      <c r="G2" s="135" t="n">
        <v>3</v>
      </c>
      <c r="H2" s="5">
        <f>IF($I2="","",INDEX(Productos!$AG:$AG,$I2))</f>
        <v/>
      </c>
      <c r="I2" s="136">
        <f>LET(_xlpm.r,Productos!$E$2:$E$41,_xlpm.m,IFERROR(_xlfn.XMATCH(C2,_xlpm.r),IFERROR(_xlfn.XMATCH(VALUE(C2),_xlpm.r),0)),IF(_xlpm.m=0,"",_xlpm.m+1))</f>
        <v/>
      </c>
      <c r="J2" s="137" t="inlineStr">
        <is>
          <t>NetSuite</t>
        </is>
      </c>
    </row>
    <row r="3">
      <c r="A3" s="5" t="inlineStr">
        <is>
          <t>STETSON AMERICAS</t>
        </is>
      </c>
      <c r="B3" s="5">
        <f>IF($I2="","",INDEX(Productos!$A:$A,$I2))</f>
        <v/>
      </c>
      <c r="C3" s="134" t="inlineStr">
        <is>
          <t>WL-BHB18</t>
        </is>
      </c>
      <c r="D3" s="5">
        <f>IF($I2="","",INDEX(Productos!$B:$B,$I2))</f>
        <v/>
      </c>
      <c r="E3" s="5">
        <f>IF($I2="","",INDEX(Productos!$H:$H,$I2))</f>
        <v/>
      </c>
      <c r="F3" s="5">
        <f>IF($I2="","",INDEX(Productos!$I:$I,$I2))</f>
        <v/>
      </c>
      <c r="G3" s="135" t="n">
        <v>2</v>
      </c>
      <c r="H3" s="5">
        <f>IF($I2="","",INDEX(Productos!$AG:$AG,$I2))</f>
        <v/>
      </c>
      <c r="I3" s="136">
        <f>LET(_xlpm.r,Productos!$E$2:$E$41,_xlpm.m,IFERROR(_xlfn.XMATCH(C3,_xlpm.r),IFERROR(_xlfn.XMATCH(VALUE(C3),_xlpm.r),0)),IF(_xlpm.m=0,"",_xlpm.m+1))</f>
        <v/>
      </c>
      <c r="J3" s="137" t="inlineStr">
        <is>
          <t>NetSuite</t>
        </is>
      </c>
    </row>
    <row r="4">
      <c r="A4" s="5" t="inlineStr">
        <is>
          <t>STETSON AMERICAS</t>
        </is>
      </c>
      <c r="B4" s="5">
        <f>IF($I2="","",INDEX(Productos!$A:$A,$I2))</f>
        <v/>
      </c>
      <c r="C4" s="134" t="inlineStr">
        <is>
          <t>WL-BHB19</t>
        </is>
      </c>
      <c r="D4" s="5">
        <f>IF($I2="","",INDEX(Productos!$B:$B,$I2))</f>
        <v/>
      </c>
      <c r="E4" s="5">
        <f>IF($I2="","",INDEX(Productos!$H:$H,$I2))</f>
        <v/>
      </c>
      <c r="F4" s="5">
        <f>IF($I2="","",INDEX(Productos!$I:$I,$I2))</f>
        <v/>
      </c>
      <c r="G4" s="135" t="n">
        <v>3</v>
      </c>
      <c r="H4" s="5">
        <f>IF($I2="","",INDEX(Productos!$AG:$AG,$I2))</f>
        <v/>
      </c>
      <c r="I4" s="136">
        <f>LET(_xlpm.r,Productos!$E$2:$E$41,_xlpm.m,IFERROR(_xlfn.XMATCH(C4,_xlpm.r),IFERROR(_xlfn.XMATCH(VALUE(C4),_xlpm.r),0)),IF(_xlpm.m=0,"",_xlpm.m+1))</f>
        <v/>
      </c>
      <c r="J4" s="137" t="inlineStr">
        <is>
          <t>NetSuite</t>
        </is>
      </c>
    </row>
    <row r="5">
      <c r="A5" s="5" t="inlineStr">
        <is>
          <t>STETSON AMERICAS</t>
        </is>
      </c>
      <c r="B5" s="5">
        <f>IF($I2="","",INDEX(Productos!$A:$A,$I2))</f>
        <v/>
      </c>
      <c r="C5" s="134" t="inlineStr">
        <is>
          <t>WL-BHB20</t>
        </is>
      </c>
      <c r="D5" s="5">
        <f>IF($I2="","",INDEX(Productos!$B:$B,$I2))</f>
        <v/>
      </c>
      <c r="E5" s="5">
        <f>IF($I2="","",INDEX(Productos!$H:$H,$I2))</f>
        <v/>
      </c>
      <c r="F5" s="5">
        <f>IF($I2="","",INDEX(Productos!$I:$I,$I2))</f>
        <v/>
      </c>
      <c r="G5" s="135" t="n">
        <v>3</v>
      </c>
      <c r="H5" s="5">
        <f>IF($I2="","",INDEX(Productos!$AG:$AG,$I2))</f>
        <v/>
      </c>
      <c r="I5" s="136">
        <f>LET(_xlpm.r,Productos!$E$2:$E$41,_xlpm.m,IFERROR(_xlfn.XMATCH(C5,_xlpm.r),IFERROR(_xlfn.XMATCH(VALUE(C5),_xlpm.r),0)),IF(_xlpm.m=0,"",_xlpm.m+1))</f>
        <v/>
      </c>
      <c r="J5" s="137" t="inlineStr">
        <is>
          <t>NetSuite</t>
        </is>
      </c>
    </row>
    <row r="6">
      <c r="A6" s="5" t="inlineStr">
        <is>
          <t>STETSON AMERICAS</t>
        </is>
      </c>
      <c r="B6" s="5">
        <f>IF($I2="","",INDEX(Productos!$A:$A,$I2))</f>
        <v/>
      </c>
      <c r="C6" s="134" t="inlineStr">
        <is>
          <t>WL-BHB65</t>
        </is>
      </c>
      <c r="D6" s="5">
        <f>IF($I2="","",INDEX(Productos!$B:$B,$I2))</f>
        <v/>
      </c>
      <c r="E6" s="5">
        <f>IF($I2="","",INDEX(Productos!$H:$H,$I2))</f>
        <v/>
      </c>
      <c r="F6" s="5">
        <f>IF($I2="","",INDEX(Productos!$I:$I,$I2))</f>
        <v/>
      </c>
      <c r="G6" s="135" t="n">
        <v>1</v>
      </c>
      <c r="H6" s="5">
        <f>IF($I2="","",INDEX(Productos!$AG:$AG,$I2))</f>
        <v/>
      </c>
      <c r="I6" s="136">
        <f>LET(_xlpm.r,Productos!$E$2:$E$41,_xlpm.m,IFERROR(_xlfn.XMATCH(C6,_xlpm.r),IFERROR(_xlfn.XMATCH(VALUE(C6),_xlpm.r),0)),IF(_xlpm.m=0,"",_xlpm.m+1))</f>
        <v/>
      </c>
      <c r="J6" s="137" t="inlineStr">
        <is>
          <t>NetSuite</t>
        </is>
      </c>
    </row>
    <row r="7">
      <c r="A7" s="5" t="inlineStr">
        <is>
          <t>STETSON AMERICAS</t>
        </is>
      </c>
      <c r="B7" s="5">
        <f>IF($I2="","",INDEX(Productos!$A:$A,$I2))</f>
        <v/>
      </c>
      <c r="C7" s="134" t="inlineStr">
        <is>
          <t>WL-BHB82</t>
        </is>
      </c>
      <c r="D7" s="5">
        <f>IF($I2="","",INDEX(Productos!$B:$B,$I2))</f>
        <v/>
      </c>
      <c r="E7" s="5">
        <f>IF($I2="","",INDEX(Productos!$H:$H,$I2))</f>
        <v/>
      </c>
      <c r="F7" s="5">
        <f>IF($I2="","",INDEX(Productos!$I:$I,$I2))</f>
        <v/>
      </c>
      <c r="G7" s="135" t="n">
        <v>3</v>
      </c>
      <c r="H7" s="5">
        <f>IF($I2="","",INDEX(Productos!$AG:$AG,$I2))</f>
        <v/>
      </c>
      <c r="I7" s="136">
        <f>LET(_xlpm.r,Productos!$E$2:$E$41,_xlpm.m,IFERROR(_xlfn.XMATCH(C7,_xlpm.r),IFERROR(_xlfn.XMATCH(VALUE(C7),_xlpm.r),0)),IF(_xlpm.m=0,"",_xlpm.m+1))</f>
        <v/>
      </c>
      <c r="J7" s="137" t="inlineStr">
        <is>
          <t>NetSuite</t>
        </is>
      </c>
    </row>
    <row r="8">
      <c r="A8" s="5" t="inlineStr">
        <is>
          <t>STETSON AMERICAS</t>
        </is>
      </c>
      <c r="B8" s="5">
        <f>IF($I2="","",INDEX(Productos!$A:$A,$I2))</f>
        <v/>
      </c>
      <c r="C8" s="134" t="inlineStr">
        <is>
          <t>WL-BHB83</t>
        </is>
      </c>
      <c r="D8" s="5">
        <f>IF($I2="","",INDEX(Productos!$B:$B,$I2))</f>
        <v/>
      </c>
      <c r="E8" s="5">
        <f>IF($I2="","",INDEX(Productos!$H:$H,$I2))</f>
        <v/>
      </c>
      <c r="F8" s="5">
        <f>IF($I2="","",INDEX(Productos!$I:$I,$I2))</f>
        <v/>
      </c>
      <c r="G8" s="135" t="n">
        <v>2</v>
      </c>
      <c r="H8" s="5">
        <f>IF($I2="","",INDEX(Productos!$AG:$AG,$I2))</f>
        <v/>
      </c>
      <c r="I8" s="136">
        <f>LET(_xlpm.r,Productos!$E$2:$E$41,_xlpm.m,IFERROR(_xlfn.XMATCH(C8,_xlpm.r),IFERROR(_xlfn.XMATCH(VALUE(C8),_xlpm.r),0)),IF(_xlpm.m=0,"",_xlpm.m+1))</f>
        <v/>
      </c>
      <c r="J8" s="137" t="inlineStr">
        <is>
          <t>NetSuite</t>
        </is>
      </c>
    </row>
    <row r="9">
      <c r="A9" s="5" t="inlineStr">
        <is>
          <t>STETSON AMERICAS</t>
        </is>
      </c>
      <c r="B9" s="5">
        <f>IF($I2="","",INDEX(Productos!$A:$A,$I2))</f>
        <v/>
      </c>
      <c r="C9" s="134" t="inlineStr">
        <is>
          <t>WL-CHA02</t>
        </is>
      </c>
      <c r="D9" s="5">
        <f>IF($I2="","",INDEX(Productos!$B:$B,$I2))</f>
        <v/>
      </c>
      <c r="E9" s="5">
        <f>IF($I2="","",INDEX(Productos!$H:$H,$I2))</f>
        <v/>
      </c>
      <c r="F9" s="5">
        <f>IF($I2="","",INDEX(Productos!$I:$I,$I2))</f>
        <v/>
      </c>
      <c r="G9" s="135" t="n">
        <v>1</v>
      </c>
      <c r="H9" s="5">
        <f>IF($I2="","",INDEX(Productos!$AG:$AG,$I2))</f>
        <v/>
      </c>
      <c r="I9" s="136">
        <f>LET(_xlpm.r,Productos!$E$2:$E$41,_xlpm.m,IFERROR(_xlfn.XMATCH(C9,_xlpm.r),IFERROR(_xlfn.XMATCH(VALUE(C9),_xlpm.r),0)),IF(_xlpm.m=0,"",_xlpm.m+1))</f>
        <v/>
      </c>
      <c r="J9" s="137" t="inlineStr">
        <is>
          <t>NetSuite</t>
        </is>
      </c>
    </row>
    <row r="10">
      <c r="A10" s="5" t="inlineStr">
        <is>
          <t>STETSON AMERICAS</t>
        </is>
      </c>
      <c r="B10" s="5">
        <f>IF($I2="","",INDEX(Productos!$A:$A,$I2))</f>
        <v/>
      </c>
      <c r="C10" s="134" t="inlineStr">
        <is>
          <t>WL-CHA03</t>
        </is>
      </c>
      <c r="D10" s="5">
        <f>IF($I2="","",INDEX(Productos!$B:$B,$I2))</f>
        <v/>
      </c>
      <c r="E10" s="5">
        <f>IF($I2="","",INDEX(Productos!$H:$H,$I2))</f>
        <v/>
      </c>
      <c r="F10" s="5">
        <f>IF($I2="","",INDEX(Productos!$I:$I,$I2))</f>
        <v/>
      </c>
      <c r="G10" s="135" t="n">
        <v>3</v>
      </c>
      <c r="H10" s="5">
        <f>IF($I2="","",INDEX(Productos!$AG:$AG,$I2))</f>
        <v/>
      </c>
      <c r="I10" s="136">
        <f>LET(_xlpm.r,Productos!$E$2:$E$41,_xlpm.m,IFERROR(_xlfn.XMATCH(C10,_xlpm.r),IFERROR(_xlfn.XMATCH(VALUE(C10),_xlpm.r),0)),IF(_xlpm.m=0,"",_xlpm.m+1))</f>
        <v/>
      </c>
      <c r="J10" s="137" t="inlineStr">
        <is>
          <t>NetSuite</t>
        </is>
      </c>
    </row>
    <row r="11">
      <c r="A11" s="5" t="inlineStr">
        <is>
          <t>STETSON AMERICAS</t>
        </is>
      </c>
      <c r="B11" s="5">
        <f>IF($I2="","",INDEX(Productos!$A:$A,$I2))</f>
        <v/>
      </c>
      <c r="C11" s="134" t="inlineStr">
        <is>
          <t>WL-CHA07</t>
        </is>
      </c>
      <c r="D11" s="5">
        <f>IF($I2="","",INDEX(Productos!$B:$B,$I2))</f>
        <v/>
      </c>
      <c r="E11" s="5">
        <f>IF($I2="","",INDEX(Productos!$H:$H,$I2))</f>
        <v/>
      </c>
      <c r="F11" s="5">
        <f>IF($I2="","",INDEX(Productos!$I:$I,$I2))</f>
        <v/>
      </c>
      <c r="G11" s="135" t="n">
        <v>4</v>
      </c>
      <c r="H11" s="5">
        <f>IF($I2="","",INDEX(Productos!$AG:$AG,$I2))</f>
        <v/>
      </c>
      <c r="I11" s="136">
        <f>LET(_xlpm.r,Productos!$E$2:$E$41,_xlpm.m,IFERROR(_xlfn.XMATCH(C11,_xlpm.r),IFERROR(_xlfn.XMATCH(VALUE(C11),_xlpm.r),0)),IF(_xlpm.m=0,"",_xlpm.m+1))</f>
        <v/>
      </c>
      <c r="J11" s="137" t="inlineStr">
        <is>
          <t>NetSuite</t>
        </is>
      </c>
    </row>
    <row r="12">
      <c r="A12" s="5" t="inlineStr">
        <is>
          <t>STETSON AMERICAS</t>
        </is>
      </c>
      <c r="B12" s="5">
        <f>IF($I2="","",INDEX(Productos!$A:$A,$I2))</f>
        <v/>
      </c>
      <c r="C12" s="134" t="inlineStr">
        <is>
          <t>WL-CHA08</t>
        </is>
      </c>
      <c r="D12" s="5">
        <f>IF($I2="","",INDEX(Productos!$B:$B,$I2))</f>
        <v/>
      </c>
      <c r="E12" s="5">
        <f>IF($I2="","",INDEX(Productos!$H:$H,$I2))</f>
        <v/>
      </c>
      <c r="F12" s="5">
        <f>IF($I2="","",INDEX(Productos!$I:$I,$I2))</f>
        <v/>
      </c>
      <c r="G12" s="135" t="n">
        <v>3</v>
      </c>
      <c r="H12" s="5">
        <f>IF($I2="","",INDEX(Productos!$AG:$AG,$I2))</f>
        <v/>
      </c>
      <c r="I12" s="136">
        <f>LET(_xlpm.r,Productos!$E$2:$E$41,_xlpm.m,IFERROR(_xlfn.XMATCH(C12,_xlpm.r),IFERROR(_xlfn.XMATCH(VALUE(C12),_xlpm.r),0)),IF(_xlpm.m=0,"",_xlpm.m+1))</f>
        <v/>
      </c>
      <c r="J12" s="137" t="inlineStr">
        <is>
          <t>NetSuite</t>
        </is>
      </c>
    </row>
    <row r="13">
      <c r="A13" s="5" t="inlineStr">
        <is>
          <t>STETSON AMERICAS</t>
        </is>
      </c>
      <c r="B13" s="5">
        <f>IF($I2="","",INDEX(Productos!$A:$A,$I2))</f>
        <v/>
      </c>
      <c r="C13" s="134" t="inlineStr">
        <is>
          <t>WL-CHA09</t>
        </is>
      </c>
      <c r="D13" s="5">
        <f>IF($I2="","",INDEX(Productos!$B:$B,$I2))</f>
        <v/>
      </c>
      <c r="E13" s="5">
        <f>IF($I2="","",INDEX(Productos!$H:$H,$I2))</f>
        <v/>
      </c>
      <c r="F13" s="5">
        <f>IF($I2="","",INDEX(Productos!$I:$I,$I2))</f>
        <v/>
      </c>
      <c r="G13" s="135" t="n">
        <v>1</v>
      </c>
      <c r="H13" s="5">
        <f>IF($I2="","",INDEX(Productos!$AG:$AG,$I2))</f>
        <v/>
      </c>
      <c r="I13" s="136">
        <f>LET(_xlpm.r,Productos!$E$2:$E$41,_xlpm.m,IFERROR(_xlfn.XMATCH(C13,_xlpm.r),IFERROR(_xlfn.XMATCH(VALUE(C13),_xlpm.r),0)),IF(_xlpm.m=0,"",_xlpm.m+1))</f>
        <v/>
      </c>
      <c r="J13" s="137" t="inlineStr">
        <is>
          <t>NetSuite</t>
        </is>
      </c>
    </row>
    <row r="14">
      <c r="A14" s="5" t="inlineStr">
        <is>
          <t>STETSON AMERICAS</t>
        </is>
      </c>
      <c r="B14" s="5">
        <f>IF($I2="","",INDEX(Productos!$A:$A,$I2))</f>
        <v/>
      </c>
      <c r="C14" s="134" t="inlineStr">
        <is>
          <t>WL-CNCH03</t>
        </is>
      </c>
      <c r="D14" s="5">
        <f>IF($I2="","",INDEX(Productos!$B:$B,$I2))</f>
        <v/>
      </c>
      <c r="E14" s="5">
        <f>IF($I2="","",INDEX(Productos!$H:$H,$I2))</f>
        <v/>
      </c>
      <c r="F14" s="5">
        <f>IF($I2="","",INDEX(Productos!$I:$I,$I2))</f>
        <v/>
      </c>
      <c r="G14" s="135" t="n">
        <v>2</v>
      </c>
      <c r="H14" s="5">
        <f>IF($I2="","",INDEX(Productos!$AG:$AG,$I2))</f>
        <v/>
      </c>
      <c r="I14" s="136">
        <f>LET(_xlpm.r,Productos!$E$2:$E$41,_xlpm.m,IFERROR(_xlfn.XMATCH(C14,_xlpm.r),IFERROR(_xlfn.XMATCH(VALUE(C14),_xlpm.r),0)),IF(_xlpm.m=0,"",_xlpm.m+1))</f>
        <v/>
      </c>
      <c r="J14" s="137" t="inlineStr">
        <is>
          <t>NetSuite</t>
        </is>
      </c>
    </row>
    <row r="15">
      <c r="A15" s="5" t="inlineStr">
        <is>
          <t>STETSON AMERICAS</t>
        </is>
      </c>
      <c r="B15" s="5">
        <f>IF($I2="","",INDEX(Productos!$A:$A,$I2))</f>
        <v/>
      </c>
      <c r="C15" s="134" t="inlineStr">
        <is>
          <t>WL-CNCH04</t>
        </is>
      </c>
      <c r="D15" s="5">
        <f>IF($I2="","",INDEX(Productos!$B:$B,$I2))</f>
        <v/>
      </c>
      <c r="E15" s="5">
        <f>IF($I2="","",INDEX(Productos!$H:$H,$I2))</f>
        <v/>
      </c>
      <c r="F15" s="5">
        <f>IF($I2="","",INDEX(Productos!$I:$I,$I2))</f>
        <v/>
      </c>
      <c r="G15" s="135" t="n">
        <v>1</v>
      </c>
      <c r="H15" s="5">
        <f>IF($I2="","",INDEX(Productos!$AG:$AG,$I2))</f>
        <v/>
      </c>
      <c r="I15" s="136">
        <f>LET(_xlpm.r,Productos!$E$2:$E$41,_xlpm.m,IFERROR(_xlfn.XMATCH(C15,_xlpm.r),IFERROR(_xlfn.XMATCH(VALUE(C15),_xlpm.r),0)),IF(_xlpm.m=0,"",_xlpm.m+1))</f>
        <v/>
      </c>
      <c r="J15" s="137" t="inlineStr">
        <is>
          <t>NetSuite</t>
        </is>
      </c>
    </row>
    <row r="16">
      <c r="A16" s="5" t="inlineStr">
        <is>
          <t>STETSON AMERICAS</t>
        </is>
      </c>
      <c r="B16" s="5">
        <f>IF($I2="","",INDEX(Productos!$A:$A,$I2))</f>
        <v/>
      </c>
      <c r="C16" s="134" t="inlineStr">
        <is>
          <t>WL-LTHR13</t>
        </is>
      </c>
      <c r="D16" s="5">
        <f>IF($I2="","",INDEX(Productos!$B:$B,$I2))</f>
        <v/>
      </c>
      <c r="E16" s="5">
        <f>IF($I2="","",INDEX(Productos!$H:$H,$I2))</f>
        <v/>
      </c>
      <c r="F16" s="5">
        <f>IF($I2="","",INDEX(Productos!$I:$I,$I2))</f>
        <v/>
      </c>
      <c r="G16" s="135" t="n">
        <v>2</v>
      </c>
      <c r="H16" s="5">
        <f>IF($I2="","",INDEX(Productos!$AG:$AG,$I2))</f>
        <v/>
      </c>
      <c r="I16" s="136">
        <f>LET(_xlpm.r,Productos!$E$2:$E$41,_xlpm.m,IFERROR(_xlfn.XMATCH(C16,_xlpm.r),IFERROR(_xlfn.XMATCH(VALUE(C16),_xlpm.r),0)),IF(_xlpm.m=0,"",_xlpm.m+1))</f>
        <v/>
      </c>
      <c r="J16" s="137" t="inlineStr">
        <is>
          <t>NetSuite</t>
        </is>
      </c>
    </row>
    <row r="17">
      <c r="A17" s="5" t="inlineStr">
        <is>
          <t>STETSON AMERICAS</t>
        </is>
      </c>
      <c r="B17" s="5">
        <f>IF($I2="","",INDEX(Productos!$A:$A,$I2))</f>
        <v/>
      </c>
      <c r="C17" s="134" t="inlineStr">
        <is>
          <t>WL-LTHR24</t>
        </is>
      </c>
      <c r="D17" s="5">
        <f>IF($I2="","",INDEX(Productos!$B:$B,$I2))</f>
        <v/>
      </c>
      <c r="E17" s="5">
        <f>IF($I2="","",INDEX(Productos!$H:$H,$I2))</f>
        <v/>
      </c>
      <c r="F17" s="5">
        <f>IF($I2="","",INDEX(Productos!$I:$I,$I2))</f>
        <v/>
      </c>
      <c r="G17" s="135" t="n">
        <v>3</v>
      </c>
      <c r="H17" s="5">
        <f>IF($I2="","",INDEX(Productos!$AG:$AG,$I2))</f>
        <v/>
      </c>
      <c r="I17" s="136">
        <f>LET(_xlpm.r,Productos!$E$2:$E$41,_xlpm.m,IFERROR(_xlfn.XMATCH(C17,_xlpm.r),IFERROR(_xlfn.XMATCH(VALUE(C17),_xlpm.r),0)),IF(_xlpm.m=0,"",_xlpm.m+1))</f>
        <v/>
      </c>
      <c r="J17" s="137" t="inlineStr">
        <is>
          <t>NetSuite</t>
        </is>
      </c>
    </row>
    <row r="18">
      <c r="A18" s="5" t="inlineStr">
        <is>
          <t>STETSON AMERICAS</t>
        </is>
      </c>
      <c r="B18" s="5">
        <f>IF($I2="","",INDEX(Productos!$A:$A,$I2))</f>
        <v/>
      </c>
      <c r="C18" s="134" t="inlineStr">
        <is>
          <t>WL-LTHR27</t>
        </is>
      </c>
      <c r="D18" s="5">
        <f>IF($I2="","",INDEX(Productos!$B:$B,$I2))</f>
        <v/>
      </c>
      <c r="E18" s="5">
        <f>IF($I2="","",INDEX(Productos!$H:$H,$I2))</f>
        <v/>
      </c>
      <c r="F18" s="5">
        <f>IF($I2="","",INDEX(Productos!$I:$I,$I2))</f>
        <v/>
      </c>
      <c r="G18" s="135" t="n">
        <v>3</v>
      </c>
      <c r="H18" s="5">
        <f>IF($I2="","",INDEX(Productos!$AG:$AG,$I2))</f>
        <v/>
      </c>
      <c r="I18" s="136">
        <f>LET(_xlpm.r,Productos!$E$2:$E$41,_xlpm.m,IFERROR(_xlfn.XMATCH(C18,_xlpm.r),IFERROR(_xlfn.XMATCH(VALUE(C18),_xlpm.r),0)),IF(_xlpm.m=0,"",_xlpm.m+1))</f>
        <v/>
      </c>
      <c r="J18" s="137" t="inlineStr">
        <is>
          <t>NetSuite</t>
        </is>
      </c>
    </row>
    <row r="19">
      <c r="A19" s="5" t="inlineStr">
        <is>
          <t>STETSON AMERICAS</t>
        </is>
      </c>
      <c r="B19" s="5">
        <f>IF($I2="","",INDEX(Productos!$A:$A,$I2))</f>
        <v/>
      </c>
      <c r="C19" s="134" t="inlineStr">
        <is>
          <t>WL-LTHR38</t>
        </is>
      </c>
      <c r="D19" s="5">
        <f>IF($I2="","",INDEX(Productos!$B:$B,$I2))</f>
        <v/>
      </c>
      <c r="E19" s="5">
        <f>IF($I2="","",INDEX(Productos!$H:$H,$I2))</f>
        <v/>
      </c>
      <c r="F19" s="5">
        <f>IF($I2="","",INDEX(Productos!$I:$I,$I2))</f>
        <v/>
      </c>
      <c r="G19" s="135" t="n">
        <v>6</v>
      </c>
      <c r="H19" s="5">
        <f>IF($I2="","",INDEX(Productos!$AG:$AG,$I2))</f>
        <v/>
      </c>
      <c r="I19" s="136">
        <f>LET(_xlpm.r,Productos!$E$2:$E$41,_xlpm.m,IFERROR(_xlfn.XMATCH(C19,_xlpm.r),IFERROR(_xlfn.XMATCH(VALUE(C19),_xlpm.r),0)),IF(_xlpm.m=0,"",_xlpm.m+1))</f>
        <v/>
      </c>
      <c r="J19" s="137" t="inlineStr">
        <is>
          <t>NetSuite</t>
        </is>
      </c>
    </row>
    <row r="20">
      <c r="A20" s="5" t="inlineStr">
        <is>
          <t>STETSON AMERICAS</t>
        </is>
      </c>
      <c r="B20" s="5">
        <f>IF($I2="","",INDEX(Productos!$A:$A,$I2))</f>
        <v/>
      </c>
      <c r="C20" s="134" t="inlineStr">
        <is>
          <t>WL-LTHR52</t>
        </is>
      </c>
      <c r="D20" s="5">
        <f>IF($I2="","",INDEX(Productos!$B:$B,$I2))</f>
        <v/>
      </c>
      <c r="E20" s="5">
        <f>IF($I2="","",INDEX(Productos!$H:$H,$I2))</f>
        <v/>
      </c>
      <c r="F20" s="5">
        <f>IF($I2="","",INDEX(Productos!$I:$I,$I2))</f>
        <v/>
      </c>
      <c r="G20" s="135" t="n">
        <v>4</v>
      </c>
      <c r="H20" s="5">
        <f>IF($I2="","",INDEX(Productos!$AG:$AG,$I2))</f>
        <v/>
      </c>
      <c r="I20" s="136">
        <f>LET(_xlpm.r,Productos!$E$2:$E$41,_xlpm.m,IFERROR(_xlfn.XMATCH(C20,_xlpm.r),IFERROR(_xlfn.XMATCH(VALUE(C20),_xlpm.r),0)),IF(_xlpm.m=0,"",_xlpm.m+1))</f>
        <v/>
      </c>
      <c r="J20" s="137" t="inlineStr">
        <is>
          <t>NetSuite</t>
        </is>
      </c>
    </row>
    <row r="21">
      <c r="A21" s="5" t="inlineStr">
        <is>
          <t>STETSON AMERICAS</t>
        </is>
      </c>
      <c r="B21" s="5">
        <f>IF($I2="","",INDEX(Productos!$A:$A,$I2))</f>
        <v/>
      </c>
      <c r="C21" s="134" t="inlineStr">
        <is>
          <t>WL-LTHR54</t>
        </is>
      </c>
      <c r="D21" s="5">
        <f>IF($I2="","",INDEX(Productos!$B:$B,$I2))</f>
        <v/>
      </c>
      <c r="E21" s="5">
        <f>IF($I2="","",INDEX(Productos!$H:$H,$I2))</f>
        <v/>
      </c>
      <c r="F21" s="5">
        <f>IF($I2="","",INDEX(Productos!$I:$I,$I2))</f>
        <v/>
      </c>
      <c r="G21" s="135" t="n">
        <v>2</v>
      </c>
      <c r="H21" s="5">
        <f>IF($I2="","",INDEX(Productos!$AG:$AG,$I2))</f>
        <v/>
      </c>
      <c r="I21" s="136">
        <f>LET(_xlpm.r,Productos!$E$2:$E$41,_xlpm.m,IFERROR(_xlfn.XMATCH(C21,_xlpm.r),IFERROR(_xlfn.XMATCH(VALUE(C21),_xlpm.r),0)),IF(_xlpm.m=0,"",_xlpm.m+1))</f>
        <v/>
      </c>
      <c r="J21" s="137" t="inlineStr">
        <is>
          <t>NetSuite</t>
        </is>
      </c>
    </row>
    <row r="22">
      <c r="A22" s="5" t="inlineStr">
        <is>
          <t>STETSON AMERICAS</t>
        </is>
      </c>
      <c r="B22" s="5">
        <f>IF($I2="","",INDEX(Productos!$A:$A,$I2))</f>
        <v/>
      </c>
      <c r="C22" s="134" t="inlineStr">
        <is>
          <t>WL-LTHR61</t>
        </is>
      </c>
      <c r="D22" s="5">
        <f>IF($I2="","",INDEX(Productos!$B:$B,$I2))</f>
        <v/>
      </c>
      <c r="E22" s="5">
        <f>IF($I2="","",INDEX(Productos!$H:$H,$I2))</f>
        <v/>
      </c>
      <c r="F22" s="5">
        <f>IF($I2="","",INDEX(Productos!$I:$I,$I2))</f>
        <v/>
      </c>
      <c r="G22" s="135" t="n">
        <v>4</v>
      </c>
      <c r="H22" s="5">
        <f>IF($I2="","",INDEX(Productos!$AG:$AG,$I2))</f>
        <v/>
      </c>
      <c r="I22" s="136">
        <f>LET(_xlpm.r,Productos!$E$2:$E$41,_xlpm.m,IFERROR(_xlfn.XMATCH(C22,_xlpm.r),IFERROR(_xlfn.XMATCH(VALUE(C22),_xlpm.r),0)),IF(_xlpm.m=0,"",_xlpm.m+1))</f>
        <v/>
      </c>
      <c r="J22" s="137" t="inlineStr">
        <is>
          <t>NetSuite</t>
        </is>
      </c>
    </row>
    <row r="23">
      <c r="A23" s="5" t="inlineStr">
        <is>
          <t>STETSON AMERICAS</t>
        </is>
      </c>
      <c r="B23" s="5">
        <f>IF($I2="","",INDEX(Productos!$A:$A,$I2))</f>
        <v/>
      </c>
      <c r="C23" s="134" t="inlineStr">
        <is>
          <t>WL-LTHR64</t>
        </is>
      </c>
      <c r="D23" s="5">
        <f>IF($I2="","",INDEX(Productos!$B:$B,$I2))</f>
        <v/>
      </c>
      <c r="E23" s="5">
        <f>IF($I2="","",INDEX(Productos!$H:$H,$I2))</f>
        <v/>
      </c>
      <c r="F23" s="5">
        <f>IF($I2="","",INDEX(Productos!$I:$I,$I2))</f>
        <v/>
      </c>
      <c r="G23" s="135" t="n">
        <v>4</v>
      </c>
      <c r="H23" s="5">
        <f>IF($I2="","",INDEX(Productos!$AG:$AG,$I2))</f>
        <v/>
      </c>
      <c r="I23" s="136">
        <f>LET(_xlpm.r,Productos!$E$2:$E$41,_xlpm.m,IFERROR(_xlfn.XMATCH(C23,_xlpm.r),IFERROR(_xlfn.XMATCH(VALUE(C23),_xlpm.r),0)),IF(_xlpm.m=0,"",_xlpm.m+1))</f>
        <v/>
      </c>
      <c r="J23" s="137" t="inlineStr">
        <is>
          <t>NetSuite</t>
        </is>
      </c>
    </row>
    <row r="24">
      <c r="A24" s="5" t="inlineStr">
        <is>
          <t>STETSON AMERICAS</t>
        </is>
      </c>
      <c r="B24" s="5">
        <f>IF($I2="","",INDEX(Productos!$A:$A,$I2))</f>
        <v/>
      </c>
      <c r="C24" s="134" t="inlineStr">
        <is>
          <t>WL-PIN03</t>
        </is>
      </c>
      <c r="D24" s="5">
        <f>IF($I2="","",INDEX(Productos!$B:$B,$I2))</f>
        <v/>
      </c>
      <c r="E24" s="5">
        <f>IF($I2="","",INDEX(Productos!$H:$H,$I2))</f>
        <v/>
      </c>
      <c r="F24" s="5">
        <f>IF($I2="","",INDEX(Productos!$I:$I,$I2))</f>
        <v/>
      </c>
      <c r="G24" s="135" t="n">
        <v>2</v>
      </c>
      <c r="H24" s="5">
        <f>IF($I2="","",INDEX(Productos!$AG:$AG,$I2))</f>
        <v/>
      </c>
      <c r="I24" s="136">
        <f>LET(_xlpm.r,Productos!$E$2:$E$41,_xlpm.m,IFERROR(_xlfn.XMATCH(C24,_xlpm.r),IFERROR(_xlfn.XMATCH(VALUE(C24),_xlpm.r),0)),IF(_xlpm.m=0,"",_xlpm.m+1))</f>
        <v/>
      </c>
      <c r="J24" s="137" t="inlineStr">
        <is>
          <t>NetSuite</t>
        </is>
      </c>
    </row>
    <row r="25">
      <c r="A25" s="5" t="inlineStr">
        <is>
          <t>STETSON AMERICAS</t>
        </is>
      </c>
      <c r="B25" s="5">
        <f>IF($I2="","",INDEX(Productos!$A:$A,$I2))</f>
        <v/>
      </c>
      <c r="C25" s="134" t="inlineStr">
        <is>
          <t>WL-PIN04</t>
        </is>
      </c>
      <c r="D25" s="5">
        <f>IF($I2="","",INDEX(Productos!$B:$B,$I2))</f>
        <v/>
      </c>
      <c r="E25" s="5">
        <f>IF($I2="","",INDEX(Productos!$H:$H,$I2))</f>
        <v/>
      </c>
      <c r="F25" s="5">
        <f>IF($I2="","",INDEX(Productos!$I:$I,$I2))</f>
        <v/>
      </c>
      <c r="G25" s="135" t="n">
        <v>2</v>
      </c>
      <c r="H25" s="5">
        <f>IF($I2="","",INDEX(Productos!$AG:$AG,$I2))</f>
        <v/>
      </c>
      <c r="I25" s="136">
        <f>LET(_xlpm.r,Productos!$E$2:$E$41,_xlpm.m,IFERROR(_xlfn.XMATCH(C25,_xlpm.r),IFERROR(_xlfn.XMATCH(VALUE(C25),_xlpm.r),0)),IF(_xlpm.m=0,"",_xlpm.m+1))</f>
        <v/>
      </c>
      <c r="J25" s="137" t="inlineStr">
        <is>
          <t>NetSuite</t>
        </is>
      </c>
    </row>
    <row r="26">
      <c r="A26" s="5" t="inlineStr">
        <is>
          <t>STETSON AMERICAS</t>
        </is>
      </c>
      <c r="B26" s="5">
        <f>IF($I2="","",INDEX(Productos!$A:$A,$I2))</f>
        <v/>
      </c>
      <c r="C26" s="134" t="inlineStr">
        <is>
          <t>WL-PIN19</t>
        </is>
      </c>
      <c r="D26" s="5">
        <f>IF($I2="","",INDEX(Productos!$B:$B,$I2))</f>
        <v/>
      </c>
      <c r="E26" s="5">
        <f>IF($I2="","",INDEX(Productos!$H:$H,$I2))</f>
        <v/>
      </c>
      <c r="F26" s="5">
        <f>IF($I2="","",INDEX(Productos!$I:$I,$I2))</f>
        <v/>
      </c>
      <c r="G26" s="135" t="n">
        <v>2</v>
      </c>
      <c r="H26" s="5">
        <f>IF($I2="","",INDEX(Productos!$AG:$AG,$I2))</f>
        <v/>
      </c>
      <c r="I26" s="136">
        <f>LET(_xlpm.r,Productos!$E$2:$E$41,_xlpm.m,IFERROR(_xlfn.XMATCH(C26,_xlpm.r),IFERROR(_xlfn.XMATCH(VALUE(C26),_xlpm.r),0)),IF(_xlpm.m=0,"",_xlpm.m+1))</f>
        <v/>
      </c>
      <c r="J26" s="137" t="inlineStr">
        <is>
          <t>NetSuite</t>
        </is>
      </c>
    </row>
    <row r="27">
      <c r="A27" s="5" t="inlineStr">
        <is>
          <t>STETSON AMERICAS</t>
        </is>
      </c>
      <c r="B27" s="5">
        <f>IF($I2="","",INDEX(Productos!$A:$A,$I2))</f>
        <v/>
      </c>
      <c r="C27" s="134" t="inlineStr">
        <is>
          <t>WL-PIN23</t>
        </is>
      </c>
      <c r="D27" s="5">
        <f>IF($I2="","",INDEX(Productos!$B:$B,$I2))</f>
        <v/>
      </c>
      <c r="E27" s="5">
        <f>IF($I2="","",INDEX(Productos!$H:$H,$I2))</f>
        <v/>
      </c>
      <c r="F27" s="5">
        <f>IF($I2="","",INDEX(Productos!$I:$I,$I2))</f>
        <v/>
      </c>
      <c r="G27" s="135" t="n">
        <v>1</v>
      </c>
      <c r="H27" s="5">
        <f>IF($I2="","",INDEX(Productos!$AG:$AG,$I2))</f>
        <v/>
      </c>
      <c r="I27" s="136">
        <f>LET(_xlpm.r,Productos!$E$2:$E$41,_xlpm.m,IFERROR(_xlfn.XMATCH(C27,_xlpm.r),IFERROR(_xlfn.XMATCH(VALUE(C27),_xlpm.r),0)),IF(_xlpm.m=0,"",_xlpm.m+1))</f>
        <v/>
      </c>
      <c r="J27" s="137" t="inlineStr">
        <is>
          <t>NetSuite</t>
        </is>
      </c>
    </row>
    <row r="28">
      <c r="A28" s="5" t="inlineStr">
        <is>
          <t>STETSON AMERICAS</t>
        </is>
      </c>
      <c r="B28" s="5">
        <f>IF($I2="","",INDEX(Productos!$A:$A,$I2))</f>
        <v/>
      </c>
      <c r="C28" s="134" t="inlineStr">
        <is>
          <t>WLHB-ARIK</t>
        </is>
      </c>
      <c r="D28" s="5">
        <f>IF($I2="","",INDEX(Productos!$B:$B,$I2))</f>
        <v/>
      </c>
      <c r="E28" s="5">
        <f>IF($I2="","",INDEX(Productos!$H:$H,$I2))</f>
        <v/>
      </c>
      <c r="F28" s="5">
        <f>IF($I2="","",INDEX(Productos!$I:$I,$I2))</f>
        <v/>
      </c>
      <c r="G28" s="135" t="n">
        <v>3</v>
      </c>
      <c r="H28" s="5">
        <f>IF($I2="","",INDEX(Productos!$AG:$AG,$I2))</f>
        <v/>
      </c>
      <c r="I28" s="136">
        <f>LET(_xlpm.r,Productos!$E$2:$E$41,_xlpm.m,IFERROR(_xlfn.XMATCH(C28,_xlpm.r),IFERROR(_xlfn.XMATCH(VALUE(C28),_xlpm.r),0)),IF(_xlpm.m=0,"",_xlpm.m+1))</f>
        <v/>
      </c>
      <c r="J28" s="137" t="inlineStr">
        <is>
          <t>NetSuite</t>
        </is>
      </c>
    </row>
    <row r="29">
      <c r="A29" s="5" t="inlineStr">
        <is>
          <t>STETSON AMERICAS</t>
        </is>
      </c>
      <c r="B29" s="5">
        <f>IF($I2="","",INDEX(Productos!$A:$A,$I2))</f>
        <v/>
      </c>
      <c r="C29" s="134" t="inlineStr">
        <is>
          <t>WLHB-BEAU</t>
        </is>
      </c>
      <c r="D29" s="5">
        <f>IF($I2="","",INDEX(Productos!$B:$B,$I2))</f>
        <v/>
      </c>
      <c r="E29" s="5">
        <f>IF($I2="","",INDEX(Productos!$H:$H,$I2))</f>
        <v/>
      </c>
      <c r="F29" s="5">
        <f>IF($I2="","",INDEX(Productos!$I:$I,$I2))</f>
        <v/>
      </c>
      <c r="G29" s="135" t="n">
        <v>3</v>
      </c>
      <c r="H29" s="5">
        <f>IF($I2="","",INDEX(Productos!$AG:$AG,$I2))</f>
        <v/>
      </c>
      <c r="I29" s="136">
        <f>LET(_xlpm.r,Productos!$E$2:$E$41,_xlpm.m,IFERROR(_xlfn.XMATCH(C29,_xlpm.r),IFERROR(_xlfn.XMATCH(VALUE(C29),_xlpm.r),0)),IF(_xlpm.m=0,"",_xlpm.m+1))</f>
        <v/>
      </c>
      <c r="J29" s="137" t="inlineStr">
        <is>
          <t>NetSuite</t>
        </is>
      </c>
    </row>
    <row r="30">
      <c r="A30" s="5" t="inlineStr">
        <is>
          <t>STETSON AMERICAS</t>
        </is>
      </c>
      <c r="B30" s="5">
        <f>IF($I2="","",INDEX(Productos!$A:$A,$I2))</f>
        <v/>
      </c>
      <c r="C30" s="134" t="inlineStr">
        <is>
          <t>WLHB-DOVE</t>
        </is>
      </c>
      <c r="D30" s="5">
        <f>IF($I2="","",INDEX(Productos!$B:$B,$I2))</f>
        <v/>
      </c>
      <c r="E30" s="5">
        <f>IF($I2="","",INDEX(Productos!$H:$H,$I2))</f>
        <v/>
      </c>
      <c r="F30" s="5">
        <f>IF($I2="","",INDEX(Productos!$I:$I,$I2))</f>
        <v/>
      </c>
      <c r="G30" s="135" t="n">
        <v>3</v>
      </c>
      <c r="H30" s="5">
        <f>IF($I2="","",INDEX(Productos!$AG:$AG,$I2))</f>
        <v/>
      </c>
      <c r="I30" s="136">
        <f>LET(_xlpm.r,Productos!$E$2:$E$41,_xlpm.m,IFERROR(_xlfn.XMATCH(C30,_xlpm.r),IFERROR(_xlfn.XMATCH(VALUE(C30),_xlpm.r),0)),IF(_xlpm.m=0,"",_xlpm.m+1))</f>
        <v/>
      </c>
      <c r="J30" s="137" t="inlineStr">
        <is>
          <t>NetSuite</t>
        </is>
      </c>
    </row>
    <row r="31">
      <c r="A31" s="5" t="inlineStr">
        <is>
          <t>STETSON AMERICAS</t>
        </is>
      </c>
      <c r="B31" s="5">
        <f>IF($I2="","",INDEX(Productos!$A:$A,$I2))</f>
        <v/>
      </c>
      <c r="C31" s="134" t="inlineStr">
        <is>
          <t>WLHB-MOAB</t>
        </is>
      </c>
      <c r="D31" s="5">
        <f>IF($I2="","",INDEX(Productos!$B:$B,$I2))</f>
        <v/>
      </c>
      <c r="E31" s="5">
        <f>IF($I2="","",INDEX(Productos!$H:$H,$I2))</f>
        <v/>
      </c>
      <c r="F31" s="5">
        <f>IF($I2="","",INDEX(Productos!$I:$I,$I2))</f>
        <v/>
      </c>
      <c r="G31" s="135" t="n">
        <v>3</v>
      </c>
      <c r="H31" s="5">
        <f>IF($I2="","",INDEX(Productos!$AG:$AG,$I2))</f>
        <v/>
      </c>
      <c r="I31" s="136">
        <f>LET(_xlpm.r,Productos!$E$2:$E$41,_xlpm.m,IFERROR(_xlfn.XMATCH(C31,_xlpm.r),IFERROR(_xlfn.XMATCH(VALUE(C31),_xlpm.r),0)),IF(_xlpm.m=0,"",_xlpm.m+1))</f>
        <v/>
      </c>
      <c r="J31" s="137" t="inlineStr">
        <is>
          <t>NetSuite</t>
        </is>
      </c>
    </row>
    <row r="32">
      <c r="A32" s="5" t="inlineStr">
        <is>
          <t>STETSON AMERICAS</t>
        </is>
      </c>
      <c r="B32" s="5">
        <f>IF($I2="","",INDEX(Productos!$A:$A,$I2))</f>
        <v/>
      </c>
      <c r="C32" s="134" t="inlineStr">
        <is>
          <t>WLHB-SNRA</t>
        </is>
      </c>
      <c r="D32" s="5">
        <f>IF($I2="","",INDEX(Productos!$B:$B,$I2))</f>
        <v/>
      </c>
      <c r="E32" s="5">
        <f>IF($I2="","",INDEX(Productos!$H:$H,$I2))</f>
        <v/>
      </c>
      <c r="F32" s="5">
        <f>IF($I2="","",INDEX(Productos!$I:$I,$I2))</f>
        <v/>
      </c>
      <c r="G32" s="135" t="n">
        <v>3</v>
      </c>
      <c r="H32" s="5">
        <f>IF($I2="","",INDEX(Productos!$AG:$AG,$I2))</f>
        <v/>
      </c>
      <c r="I32" s="136">
        <f>LET(_xlpm.r,Productos!$E$2:$E$41,_xlpm.m,IFERROR(_xlfn.XMATCH(C32,_xlpm.r),IFERROR(_xlfn.XMATCH(VALUE(C32),_xlpm.r),0)),IF(_xlpm.m=0,"",_xlpm.m+1))</f>
        <v/>
      </c>
      <c r="J32" s="137" t="inlineStr">
        <is>
          <t>NetSuite</t>
        </is>
      </c>
    </row>
    <row r="33">
      <c r="A33" s="5" t="inlineStr">
        <is>
          <t>STETSON AMERICAS</t>
        </is>
      </c>
      <c r="B33" s="5">
        <f>IF($I2="","",INDEX(Productos!$A:$A,$I2))</f>
        <v/>
      </c>
      <c r="C33" s="134" t="inlineStr">
        <is>
          <t>WLHB-WCRST</t>
        </is>
      </c>
      <c r="D33" s="5">
        <f>IF($I2="","",INDEX(Productos!$B:$B,$I2))</f>
        <v/>
      </c>
      <c r="E33" s="5">
        <f>IF($I2="","",INDEX(Productos!$H:$H,$I2))</f>
        <v/>
      </c>
      <c r="F33" s="5">
        <f>IF($I2="","",INDEX(Productos!$I:$I,$I2))</f>
        <v/>
      </c>
      <c r="G33" s="135" t="n">
        <v>3</v>
      </c>
      <c r="H33" s="5">
        <f>IF($I2="","",INDEX(Productos!$AG:$AG,$I2))</f>
        <v/>
      </c>
      <c r="I33" s="136">
        <f>LET(_xlpm.r,Productos!$E$2:$E$41,_xlpm.m,IFERROR(_xlfn.XMATCH(C33,_xlpm.r),IFERROR(_xlfn.XMATCH(VALUE(C33),_xlpm.r),0)),IF(_xlpm.m=0,"",_xlpm.m+1))</f>
        <v/>
      </c>
      <c r="J33" s="137" t="inlineStr">
        <is>
          <t>NetSuite</t>
        </is>
      </c>
    </row>
    <row r="34">
      <c r="A34" s="5" t="inlineStr">
        <is>
          <t>STETSON AMERICAS</t>
        </is>
      </c>
      <c r="B34" s="5">
        <f>IF($I2="","",INDEX(Productos!$A:$A,$I2))</f>
        <v/>
      </c>
      <c r="C34" s="134" t="inlineStr">
        <is>
          <t>WLHB-WLLW</t>
        </is>
      </c>
      <c r="D34" s="5">
        <f>IF($I2="","",INDEX(Productos!$B:$B,$I2))</f>
        <v/>
      </c>
      <c r="E34" s="5">
        <f>IF($I2="","",INDEX(Productos!$H:$H,$I2))</f>
        <v/>
      </c>
      <c r="F34" s="5">
        <f>IF($I2="","",INDEX(Productos!$I:$I,$I2))</f>
        <v/>
      </c>
      <c r="G34" s="135" t="n">
        <v>3</v>
      </c>
      <c r="H34" s="5">
        <f>IF($I2="","",INDEX(Productos!$AG:$AG,$I2))</f>
        <v/>
      </c>
      <c r="I34" s="136">
        <f>LET(_xlpm.r,Productos!$E$2:$E$41,_xlpm.m,IFERROR(_xlfn.XMATCH(C34,_xlpm.r),IFERROR(_xlfn.XMATCH(VALUE(C34),_xlpm.r),0)),IF(_xlpm.m=0,"",_xlpm.m+1))</f>
        <v/>
      </c>
      <c r="J34" s="137" t="inlineStr">
        <is>
          <t>NetSuite</t>
        </is>
      </c>
    </row>
    <row r="35">
      <c r="A35" s="5" t="inlineStr">
        <is>
          <t>STETSON AMERICAS</t>
        </is>
      </c>
      <c r="B35" s="5">
        <f>IF($I2="","",INDEX(Productos!$A:$A,$I2))</f>
        <v/>
      </c>
      <c r="C35" s="134" t="inlineStr">
        <is>
          <t>WLHF-CHY</t>
        </is>
      </c>
      <c r="D35" s="5">
        <f>IF($I2="","",INDEX(Productos!$B:$B,$I2))</f>
        <v/>
      </c>
      <c r="E35" s="5">
        <f>IF($I2="","",INDEX(Productos!$H:$H,$I2))</f>
        <v/>
      </c>
      <c r="F35" s="5">
        <f>IF($I2="","",INDEX(Productos!$I:$I,$I2))</f>
        <v/>
      </c>
      <c r="G35" s="135" t="n">
        <v>3</v>
      </c>
      <c r="H35" s="5">
        <f>IF($I2="","",INDEX(Productos!$AG:$AG,$I2))</f>
        <v/>
      </c>
      <c r="I35" s="136">
        <f>LET(_xlpm.r,Productos!$E$2:$E$41,_xlpm.m,IFERROR(_xlfn.XMATCH(C35,_xlpm.r),IFERROR(_xlfn.XMATCH(VALUE(C35),_xlpm.r),0)),IF(_xlpm.m=0,"",_xlpm.m+1))</f>
        <v/>
      </c>
      <c r="J35" s="137" t="inlineStr">
        <is>
          <t>NetSuite</t>
        </is>
      </c>
    </row>
    <row r="36">
      <c r="A36" s="5" t="inlineStr">
        <is>
          <t>STETSON AMERICAS</t>
        </is>
      </c>
      <c r="B36" s="5">
        <f>IF($I2="","",INDEX(Productos!$A:$A,$I2))</f>
        <v/>
      </c>
      <c r="C36" s="134" t="inlineStr">
        <is>
          <t>WLHF-LAUR</t>
        </is>
      </c>
      <c r="D36" s="5">
        <f>IF($I2="","",INDEX(Productos!$B:$B,$I2))</f>
        <v/>
      </c>
      <c r="E36" s="5">
        <f>IF($I2="","",INDEX(Productos!$H:$H,$I2))</f>
        <v/>
      </c>
      <c r="F36" s="5">
        <f>IF($I2="","",INDEX(Productos!$I:$I,$I2))</f>
        <v/>
      </c>
      <c r="G36" s="135" t="n">
        <v>3</v>
      </c>
      <c r="H36" s="5">
        <f>IF($I2="","",INDEX(Productos!$AG:$AG,$I2))</f>
        <v/>
      </c>
      <c r="I36" s="136">
        <f>LET(_xlpm.r,Productos!$E$2:$E$41,_xlpm.m,IFERROR(_xlfn.XMATCH(C36,_xlpm.r),IFERROR(_xlfn.XMATCH(VALUE(C36),_xlpm.r),0)),IF(_xlpm.m=0,"",_xlpm.m+1))</f>
        <v/>
      </c>
      <c r="J36" s="137" t="inlineStr">
        <is>
          <t>NetSuite</t>
        </is>
      </c>
    </row>
    <row r="37">
      <c r="A37" s="5" t="inlineStr">
        <is>
          <t>STETSON AMERICAS</t>
        </is>
      </c>
      <c r="B37" s="5">
        <f>IF($I2="","",INDEX(Productos!$A:$A,$I2))</f>
        <v/>
      </c>
      <c r="C37" s="134" t="inlineStr">
        <is>
          <t>WLHF-RSC</t>
        </is>
      </c>
      <c r="D37" s="5">
        <f>IF($I2="","",INDEX(Productos!$B:$B,$I2))</f>
        <v/>
      </c>
      <c r="E37" s="5">
        <f>IF($I2="","",INDEX(Productos!$H:$H,$I2))</f>
        <v/>
      </c>
      <c r="F37" s="5">
        <f>IF($I2="","",INDEX(Productos!$I:$I,$I2))</f>
        <v/>
      </c>
      <c r="G37" s="135" t="n">
        <v>2</v>
      </c>
      <c r="H37" s="5">
        <f>IF($I2="","",INDEX(Productos!$AG:$AG,$I2))</f>
        <v/>
      </c>
      <c r="I37" s="136">
        <f>LET(_xlpm.r,Productos!$E$2:$E$41,_xlpm.m,IFERROR(_xlfn.XMATCH(C37,_xlpm.r),IFERROR(_xlfn.XMATCH(VALUE(C37),_xlpm.r),0)),IF(_xlpm.m=0,"",_xlpm.m+1))</f>
        <v/>
      </c>
      <c r="J37" s="137" t="inlineStr">
        <is>
          <t>NetSuite</t>
        </is>
      </c>
    </row>
    <row r="38">
      <c r="A38" s="5" t="inlineStr">
        <is>
          <t>STETSON AMERICAS</t>
        </is>
      </c>
      <c r="B38" s="5">
        <f>IF($I2="","",INDEX(Productos!$A:$A,$I2))</f>
        <v/>
      </c>
      <c r="C38" s="134" t="inlineStr">
        <is>
          <t>WLHF-SHGRL</t>
        </is>
      </c>
      <c r="D38" s="5">
        <f>IF($I2="","",INDEX(Productos!$B:$B,$I2))</f>
        <v/>
      </c>
      <c r="E38" s="5">
        <f>IF($I2="","",INDEX(Productos!$H:$H,$I2))</f>
        <v/>
      </c>
      <c r="F38" s="5">
        <f>IF($I2="","",INDEX(Productos!$I:$I,$I2))</f>
        <v/>
      </c>
      <c r="G38" s="135" t="n">
        <v>3</v>
      </c>
      <c r="H38" s="5">
        <f>IF($I2="","",INDEX(Productos!$AG:$AG,$I2))</f>
        <v/>
      </c>
      <c r="I38" s="136">
        <f>LET(_xlpm.r,Productos!$E$2:$E$41,_xlpm.m,IFERROR(_xlfn.XMATCH(C38,_xlpm.r),IFERROR(_xlfn.XMATCH(VALUE(C38),_xlpm.r),0)),IF(_xlpm.m=0,"",_xlpm.m+1))</f>
        <v/>
      </c>
      <c r="J38" s="137" t="inlineStr">
        <is>
          <t>NetSuite</t>
        </is>
      </c>
    </row>
    <row r="39">
      <c r="A39" s="5" t="inlineStr">
        <is>
          <t>STETSON AMERICAS</t>
        </is>
      </c>
      <c r="B39" s="5">
        <f>IF($I2="","",INDEX(Productos!$A:$A,$I2))</f>
        <v/>
      </c>
      <c r="C39" s="134" t="inlineStr">
        <is>
          <t>WLHF-STRN</t>
        </is>
      </c>
      <c r="D39" s="5">
        <f>IF($I2="","",INDEX(Productos!$B:$B,$I2))</f>
        <v/>
      </c>
      <c r="E39" s="5">
        <f>IF($I2="","",INDEX(Productos!$H:$H,$I2))</f>
        <v/>
      </c>
      <c r="F39" s="5">
        <f>IF($I2="","",INDEX(Productos!$I:$I,$I2))</f>
        <v/>
      </c>
      <c r="G39" s="135" t="n">
        <v>1</v>
      </c>
      <c r="H39" s="5">
        <f>IF($I2="","",INDEX(Productos!$AG:$AG,$I2))</f>
        <v/>
      </c>
      <c r="I39" s="136">
        <f>LET(_xlpm.r,Productos!$E$2:$E$41,_xlpm.m,IFERROR(_xlfn.XMATCH(C39,_xlpm.r),IFERROR(_xlfn.XMATCH(VALUE(C39),_xlpm.r),0)),IF(_xlpm.m=0,"",_xlpm.m+1))</f>
        <v/>
      </c>
      <c r="J39" s="137" t="inlineStr">
        <is>
          <t>NetSuite</t>
        </is>
      </c>
    </row>
    <row r="40">
      <c r="A40" s="5" t="inlineStr">
        <is>
          <t>Shopify Stetson México › Stetson Americas</t>
        </is>
      </c>
      <c r="B40" s="5">
        <f>IF($I2="","",INDEX(Productos!$A:$A,$I2))</f>
        <v/>
      </c>
      <c r="C40" s="134" t="inlineStr">
        <is>
          <t>WL-BHB16-UNI</t>
        </is>
      </c>
      <c r="D40" s="5">
        <f>IF($I2="","",INDEX(Productos!$B:$B,$I2))</f>
        <v/>
      </c>
      <c r="E40" s="5">
        <f>IF($I2="","",INDEX(Productos!$H:$H,$I2))</f>
        <v/>
      </c>
      <c r="F40" s="5">
        <f>IF($I2="","",INDEX(Productos!$I:$I,$I2))</f>
        <v/>
      </c>
      <c r="G40" s="135" t="n">
        <v>3</v>
      </c>
      <c r="H40" s="5">
        <f>IF($I2="","",INDEX(Productos!$AG:$AG,$I2))</f>
        <v/>
      </c>
      <c r="I40" s="136">
        <f>LET(_xlpm.r,Productos!$E$2:$E$41,_xlpm.m,IFERROR(_xlfn.XMATCH(C40,_xlpm.r),IFERROR(_xlfn.XMATCH(VALUE(C40),_xlpm.r),0)),IF(_xlpm.m=0,"",_xlpm.m+1))</f>
        <v/>
      </c>
      <c r="J40" s="137" t="inlineStr">
        <is>
          <t>Shopify</t>
        </is>
      </c>
    </row>
    <row r="41">
      <c r="A41" s="5" t="inlineStr">
        <is>
          <t>Shopify Stetson México › Stetson Americas</t>
        </is>
      </c>
      <c r="B41" s="5">
        <f>IF($I2="","",INDEX(Productos!$A:$A,$I2))</f>
        <v/>
      </c>
      <c r="C41" s="134" t="inlineStr">
        <is>
          <t>WL-BHB18-UNI</t>
        </is>
      </c>
      <c r="D41" s="5">
        <f>IF($I2="","",INDEX(Productos!$B:$B,$I2))</f>
        <v/>
      </c>
      <c r="E41" s="5">
        <f>IF($I2="","",INDEX(Productos!$H:$H,$I2))</f>
        <v/>
      </c>
      <c r="F41" s="5">
        <f>IF($I2="","",INDEX(Productos!$I:$I,$I2))</f>
        <v/>
      </c>
      <c r="G41" s="135" t="n">
        <v>2</v>
      </c>
      <c r="H41" s="5">
        <f>IF($I2="","",INDEX(Productos!$AG:$AG,$I2))</f>
        <v/>
      </c>
      <c r="I41" s="136">
        <f>LET(_xlpm.r,Productos!$E$2:$E$41,_xlpm.m,IFERROR(_xlfn.XMATCH(C41,_xlpm.r),IFERROR(_xlfn.XMATCH(VALUE(C41),_xlpm.r),0)),IF(_xlpm.m=0,"",_xlpm.m+1))</f>
        <v/>
      </c>
      <c r="J41" s="137" t="inlineStr">
        <is>
          <t>Shopify</t>
        </is>
      </c>
    </row>
    <row r="42">
      <c r="A42" s="5" t="inlineStr">
        <is>
          <t>Shopify Stetson México › Stetson Americas</t>
        </is>
      </c>
      <c r="B42" s="5">
        <f>IF($I2="","",INDEX(Productos!$A:$A,$I2))</f>
        <v/>
      </c>
      <c r="C42" s="134" t="inlineStr">
        <is>
          <t>WL-BHB19-UNI</t>
        </is>
      </c>
      <c r="D42" s="5">
        <f>IF($I2="","",INDEX(Productos!$B:$B,$I2))</f>
        <v/>
      </c>
      <c r="E42" s="5">
        <f>IF($I2="","",INDEX(Productos!$H:$H,$I2))</f>
        <v/>
      </c>
      <c r="F42" s="5">
        <f>IF($I2="","",INDEX(Productos!$I:$I,$I2))</f>
        <v/>
      </c>
      <c r="G42" s="135" t="n">
        <v>3</v>
      </c>
      <c r="H42" s="5">
        <f>IF($I2="","",INDEX(Productos!$AG:$AG,$I2))</f>
        <v/>
      </c>
      <c r="I42" s="136">
        <f>LET(_xlpm.r,Productos!$E$2:$E$41,_xlpm.m,IFERROR(_xlfn.XMATCH(C42,_xlpm.r),IFERROR(_xlfn.XMATCH(VALUE(C42),_xlpm.r),0)),IF(_xlpm.m=0,"",_xlpm.m+1))</f>
        <v/>
      </c>
      <c r="J42" s="137" t="inlineStr">
        <is>
          <t>Shopify</t>
        </is>
      </c>
    </row>
    <row r="43">
      <c r="A43" s="5" t="inlineStr">
        <is>
          <t>Shopify Stetson México › Stetson Americas</t>
        </is>
      </c>
      <c r="B43" s="5">
        <f>IF($I2="","",INDEX(Productos!$A:$A,$I2))</f>
        <v/>
      </c>
      <c r="C43" s="134" t="inlineStr">
        <is>
          <t>WL-BHB20-UNI</t>
        </is>
      </c>
      <c r="D43" s="5">
        <f>IF($I2="","",INDEX(Productos!$B:$B,$I2))</f>
        <v/>
      </c>
      <c r="E43" s="5">
        <f>IF($I2="","",INDEX(Productos!$H:$H,$I2))</f>
        <v/>
      </c>
      <c r="F43" s="5">
        <f>IF($I2="","",INDEX(Productos!$I:$I,$I2))</f>
        <v/>
      </c>
      <c r="G43" s="135" t="n">
        <v>3</v>
      </c>
      <c r="H43" s="5">
        <f>IF($I2="","",INDEX(Productos!$AG:$AG,$I2))</f>
        <v/>
      </c>
      <c r="I43" s="136">
        <f>LET(_xlpm.r,Productos!$E$2:$E$41,_xlpm.m,IFERROR(_xlfn.XMATCH(C43,_xlpm.r),IFERROR(_xlfn.XMATCH(VALUE(C43),_xlpm.r),0)),IF(_xlpm.m=0,"",_xlpm.m+1))</f>
        <v/>
      </c>
      <c r="J43" s="137" t="inlineStr">
        <is>
          <t>Shopify</t>
        </is>
      </c>
    </row>
    <row r="44">
      <c r="A44" s="5" t="inlineStr">
        <is>
          <t>Shopify Stetson México › Stetson Americas</t>
        </is>
      </c>
      <c r="B44" s="5">
        <f>IF($I2="","",INDEX(Productos!$A:$A,$I2))</f>
        <v/>
      </c>
      <c r="C44" s="134" t="inlineStr">
        <is>
          <t>WL-BHB65-UNI</t>
        </is>
      </c>
      <c r="D44" s="5">
        <f>IF($I2="","",INDEX(Productos!$B:$B,$I2))</f>
        <v/>
      </c>
      <c r="E44" s="5">
        <f>IF($I2="","",INDEX(Productos!$H:$H,$I2))</f>
        <v/>
      </c>
      <c r="F44" s="5">
        <f>IF($I2="","",INDEX(Productos!$I:$I,$I2))</f>
        <v/>
      </c>
      <c r="G44" s="135" t="n">
        <v>1</v>
      </c>
      <c r="H44" s="5">
        <f>IF($I2="","",INDEX(Productos!$AG:$AG,$I2))</f>
        <v/>
      </c>
      <c r="I44" s="136">
        <f>LET(_xlpm.r,Productos!$E$2:$E$41,_xlpm.m,IFERROR(_xlfn.XMATCH(C44,_xlpm.r),IFERROR(_xlfn.XMATCH(VALUE(C44),_xlpm.r),0)),IF(_xlpm.m=0,"",_xlpm.m+1))</f>
        <v/>
      </c>
      <c r="J44" s="137" t="inlineStr">
        <is>
          <t>Shopify</t>
        </is>
      </c>
    </row>
    <row r="45">
      <c r="A45" s="5" t="inlineStr">
        <is>
          <t>Shopify Stetson México › Stetson Americas</t>
        </is>
      </c>
      <c r="B45" s="5">
        <f>IF($I2="","",INDEX(Productos!$A:$A,$I2))</f>
        <v/>
      </c>
      <c r="C45" s="134" t="inlineStr">
        <is>
          <t>WL-BHB82-UNI</t>
        </is>
      </c>
      <c r="D45" s="5">
        <f>IF($I2="","",INDEX(Productos!$B:$B,$I2))</f>
        <v/>
      </c>
      <c r="E45" s="5">
        <f>IF($I2="","",INDEX(Productos!$H:$H,$I2))</f>
        <v/>
      </c>
      <c r="F45" s="5">
        <f>IF($I2="","",INDEX(Productos!$I:$I,$I2))</f>
        <v/>
      </c>
      <c r="G45" s="135" t="n">
        <v>3</v>
      </c>
      <c r="H45" s="5">
        <f>IF($I2="","",INDEX(Productos!$AG:$AG,$I2))</f>
        <v/>
      </c>
      <c r="I45" s="136">
        <f>LET(_xlpm.r,Productos!$E$2:$E$41,_xlpm.m,IFERROR(_xlfn.XMATCH(C45,_xlpm.r),IFERROR(_xlfn.XMATCH(VALUE(C45),_xlpm.r),0)),IF(_xlpm.m=0,"",_xlpm.m+1))</f>
        <v/>
      </c>
      <c r="J45" s="137" t="inlineStr">
        <is>
          <t>Shopify</t>
        </is>
      </c>
    </row>
    <row r="46">
      <c r="A46" s="5" t="inlineStr">
        <is>
          <t>Shopify Stetson México › Stetson Americas</t>
        </is>
      </c>
      <c r="B46" s="5">
        <f>IF($I2="","",INDEX(Productos!$A:$A,$I2))</f>
        <v/>
      </c>
      <c r="C46" s="134" t="inlineStr">
        <is>
          <t>WL-BHB83-UNI</t>
        </is>
      </c>
      <c r="D46" s="5">
        <f>IF($I2="","",INDEX(Productos!$B:$B,$I2))</f>
        <v/>
      </c>
      <c r="E46" s="5">
        <f>IF($I2="","",INDEX(Productos!$H:$H,$I2))</f>
        <v/>
      </c>
      <c r="F46" s="5">
        <f>IF($I2="","",INDEX(Productos!$I:$I,$I2))</f>
        <v/>
      </c>
      <c r="G46" s="135" t="n">
        <v>2</v>
      </c>
      <c r="H46" s="5">
        <f>IF($I2="","",INDEX(Productos!$AG:$AG,$I2))</f>
        <v/>
      </c>
      <c r="I46" s="136">
        <f>LET(_xlpm.r,Productos!$E$2:$E$41,_xlpm.m,IFERROR(_xlfn.XMATCH(C46,_xlpm.r),IFERROR(_xlfn.XMATCH(VALUE(C46),_xlpm.r),0)),IF(_xlpm.m=0,"",_xlpm.m+1))</f>
        <v/>
      </c>
      <c r="J46" s="137" t="inlineStr">
        <is>
          <t>Shopify</t>
        </is>
      </c>
    </row>
    <row r="47">
      <c r="A47" s="5" t="inlineStr">
        <is>
          <t>Shopify Stetson México › Stetson Americas</t>
        </is>
      </c>
      <c r="B47" s="5">
        <f>IF($I2="","",INDEX(Productos!$A:$A,$I2))</f>
        <v/>
      </c>
      <c r="C47" s="134" t="inlineStr">
        <is>
          <t>WL-CHA02-UNI</t>
        </is>
      </c>
      <c r="D47" s="5">
        <f>IF($I2="","",INDEX(Productos!$B:$B,$I2))</f>
        <v/>
      </c>
      <c r="E47" s="5">
        <f>IF($I2="","",INDEX(Productos!$H:$H,$I2))</f>
        <v/>
      </c>
      <c r="F47" s="5">
        <f>IF($I2="","",INDEX(Productos!$I:$I,$I2))</f>
        <v/>
      </c>
      <c r="G47" s="135" t="n">
        <v>1</v>
      </c>
      <c r="H47" s="5">
        <f>IF($I2="","",INDEX(Productos!$AG:$AG,$I2))</f>
        <v/>
      </c>
      <c r="I47" s="136">
        <f>LET(_xlpm.r,Productos!$E$2:$E$41,_xlpm.m,IFERROR(_xlfn.XMATCH(C47,_xlpm.r),IFERROR(_xlfn.XMATCH(VALUE(C47),_xlpm.r),0)),IF(_xlpm.m=0,"",_xlpm.m+1))</f>
        <v/>
      </c>
      <c r="J47" s="137" t="inlineStr">
        <is>
          <t>Shopify</t>
        </is>
      </c>
    </row>
    <row r="48">
      <c r="A48" s="5" t="inlineStr">
        <is>
          <t>Shopify Stetson México › Stetson Americas</t>
        </is>
      </c>
      <c r="B48" s="5">
        <f>IF($I2="","",INDEX(Productos!$A:$A,$I2))</f>
        <v/>
      </c>
      <c r="C48" s="134" t="inlineStr">
        <is>
          <t>WL-CHA03-UNI</t>
        </is>
      </c>
      <c r="D48" s="5">
        <f>IF($I2="","",INDEX(Productos!$B:$B,$I2))</f>
        <v/>
      </c>
      <c r="E48" s="5">
        <f>IF($I2="","",INDEX(Productos!$H:$H,$I2))</f>
        <v/>
      </c>
      <c r="F48" s="5">
        <f>IF($I2="","",INDEX(Productos!$I:$I,$I2))</f>
        <v/>
      </c>
      <c r="G48" s="135" t="n">
        <v>3</v>
      </c>
      <c r="H48" s="5">
        <f>IF($I2="","",INDEX(Productos!$AG:$AG,$I2))</f>
        <v/>
      </c>
      <c r="I48" s="136">
        <f>LET(_xlpm.r,Productos!$E$2:$E$41,_xlpm.m,IFERROR(_xlfn.XMATCH(C48,_xlpm.r),IFERROR(_xlfn.XMATCH(VALUE(C48),_xlpm.r),0)),IF(_xlpm.m=0,"",_xlpm.m+1))</f>
        <v/>
      </c>
      <c r="J48" s="137" t="inlineStr">
        <is>
          <t>Shopify</t>
        </is>
      </c>
    </row>
    <row r="49">
      <c r="A49" s="5" t="inlineStr">
        <is>
          <t>Shopify Stetson México › Stetson Americas</t>
        </is>
      </c>
      <c r="B49" s="5">
        <f>IF($I2="","",INDEX(Productos!$A:$A,$I2))</f>
        <v/>
      </c>
      <c r="C49" s="134" t="inlineStr">
        <is>
          <t>WL-CHA04-UNI</t>
        </is>
      </c>
      <c r="D49" s="5">
        <f>IF($I2="","",INDEX(Productos!$B:$B,$I2))</f>
        <v/>
      </c>
      <c r="E49" s="5">
        <f>IF($I2="","",INDEX(Productos!$H:$H,$I2))</f>
        <v/>
      </c>
      <c r="F49" s="5">
        <f>IF($I2="","",INDEX(Productos!$I:$I,$I2))</f>
        <v/>
      </c>
      <c r="G49" s="135" t="n">
        <v>1</v>
      </c>
      <c r="H49" s="5">
        <f>IF($I2="","",INDEX(Productos!$AG:$AG,$I2))</f>
        <v/>
      </c>
      <c r="I49" s="136">
        <f>LET(_xlpm.r,Productos!$E$2:$E$41,_xlpm.m,IFERROR(_xlfn.XMATCH(C49,_xlpm.r),IFERROR(_xlfn.XMATCH(VALUE(C49),_xlpm.r),0)),IF(_xlpm.m=0,"",_xlpm.m+1))</f>
        <v/>
      </c>
      <c r="J49" s="137" t="inlineStr">
        <is>
          <t>Shopify</t>
        </is>
      </c>
    </row>
    <row r="50">
      <c r="A50" s="5" t="inlineStr">
        <is>
          <t>Shopify Stetson México › Stetson Americas</t>
        </is>
      </c>
      <c r="B50" s="5">
        <f>IF($I2="","",INDEX(Productos!$A:$A,$I2))</f>
        <v/>
      </c>
      <c r="C50" s="134" t="inlineStr">
        <is>
          <t>WL-CHA07-UNI</t>
        </is>
      </c>
      <c r="D50" s="5">
        <f>IF($I2="","",INDEX(Productos!$B:$B,$I2))</f>
        <v/>
      </c>
      <c r="E50" s="5">
        <f>IF($I2="","",INDEX(Productos!$H:$H,$I2))</f>
        <v/>
      </c>
      <c r="F50" s="5">
        <f>IF($I2="","",INDEX(Productos!$I:$I,$I2))</f>
        <v/>
      </c>
      <c r="G50" s="135" t="n">
        <v>4</v>
      </c>
      <c r="H50" s="5">
        <f>IF($I2="","",INDEX(Productos!$AG:$AG,$I2))</f>
        <v/>
      </c>
      <c r="I50" s="136">
        <f>LET(_xlpm.r,Productos!$E$2:$E$41,_xlpm.m,IFERROR(_xlfn.XMATCH(C50,_xlpm.r),IFERROR(_xlfn.XMATCH(VALUE(C50),_xlpm.r),0)),IF(_xlpm.m=0,"",_xlpm.m+1))</f>
        <v/>
      </c>
      <c r="J50" s="137" t="inlineStr">
        <is>
          <t>Shopify</t>
        </is>
      </c>
    </row>
    <row r="51">
      <c r="A51" s="5" t="inlineStr">
        <is>
          <t>Shopify Stetson México › Stetson Americas</t>
        </is>
      </c>
      <c r="B51" s="5">
        <f>IF($I2="","",INDEX(Productos!$A:$A,$I2))</f>
        <v/>
      </c>
      <c r="C51" s="134" t="inlineStr">
        <is>
          <t>WL-CHA08-UNI</t>
        </is>
      </c>
      <c r="D51" s="5">
        <f>IF($I2="","",INDEX(Productos!$B:$B,$I2))</f>
        <v/>
      </c>
      <c r="E51" s="5">
        <f>IF($I2="","",INDEX(Productos!$H:$H,$I2))</f>
        <v/>
      </c>
      <c r="F51" s="5">
        <f>IF($I2="","",INDEX(Productos!$I:$I,$I2))</f>
        <v/>
      </c>
      <c r="G51" s="135" t="n">
        <v>3</v>
      </c>
      <c r="H51" s="5">
        <f>IF($I2="","",INDEX(Productos!$AG:$AG,$I2))</f>
        <v/>
      </c>
      <c r="I51" s="136">
        <f>LET(_xlpm.r,Productos!$E$2:$E$41,_xlpm.m,IFERROR(_xlfn.XMATCH(C51,_xlpm.r),IFERROR(_xlfn.XMATCH(VALUE(C51),_xlpm.r),0)),IF(_xlpm.m=0,"",_xlpm.m+1))</f>
        <v/>
      </c>
      <c r="J51" s="137" t="inlineStr">
        <is>
          <t>Shopify</t>
        </is>
      </c>
    </row>
    <row r="52">
      <c r="A52" s="5" t="inlineStr">
        <is>
          <t>Shopify Stetson México › Stetson Americas</t>
        </is>
      </c>
      <c r="B52" s="5">
        <f>IF($I2="","",INDEX(Productos!$A:$A,$I2))</f>
        <v/>
      </c>
      <c r="C52" s="134" t="inlineStr">
        <is>
          <t>WL-CHA09-UNI</t>
        </is>
      </c>
      <c r="D52" s="5">
        <f>IF($I2="","",INDEX(Productos!$B:$B,$I2))</f>
        <v/>
      </c>
      <c r="E52" s="5">
        <f>IF($I2="","",INDEX(Productos!$H:$H,$I2))</f>
        <v/>
      </c>
      <c r="F52" s="5">
        <f>IF($I2="","",INDEX(Productos!$I:$I,$I2))</f>
        <v/>
      </c>
      <c r="G52" s="135" t="n">
        <v>2</v>
      </c>
      <c r="H52" s="5">
        <f>IF($I2="","",INDEX(Productos!$AG:$AG,$I2))</f>
        <v/>
      </c>
      <c r="I52" s="136">
        <f>LET(_xlpm.r,Productos!$E$2:$E$41,_xlpm.m,IFERROR(_xlfn.XMATCH(C52,_xlpm.r),IFERROR(_xlfn.XMATCH(VALUE(C52),_xlpm.r),0)),IF(_xlpm.m=0,"",_xlpm.m+1))</f>
        <v/>
      </c>
      <c r="J52" s="137" t="inlineStr">
        <is>
          <t>Shopify</t>
        </is>
      </c>
    </row>
    <row r="53">
      <c r="A53" s="5" t="inlineStr">
        <is>
          <t>Shopify Stetson México › Stetson Americas</t>
        </is>
      </c>
      <c r="B53" s="5">
        <f>IF($I2="","",INDEX(Productos!$A:$A,$I2))</f>
        <v/>
      </c>
      <c r="C53" s="134" t="inlineStr">
        <is>
          <t>WL-CNCH03-UNI</t>
        </is>
      </c>
      <c r="D53" s="5">
        <f>IF($I2="","",INDEX(Productos!$B:$B,$I2))</f>
        <v/>
      </c>
      <c r="E53" s="5">
        <f>IF($I2="","",INDEX(Productos!$H:$H,$I2))</f>
        <v/>
      </c>
      <c r="F53" s="5">
        <f>IF($I2="","",INDEX(Productos!$I:$I,$I2))</f>
        <v/>
      </c>
      <c r="G53" s="135" t="n">
        <v>2</v>
      </c>
      <c r="H53" s="5">
        <f>IF($I2="","",INDEX(Productos!$AG:$AG,$I2))</f>
        <v/>
      </c>
      <c r="I53" s="136">
        <f>LET(_xlpm.r,Productos!$E$2:$E$41,_xlpm.m,IFERROR(_xlfn.XMATCH(C53,_xlpm.r),IFERROR(_xlfn.XMATCH(VALUE(C53),_xlpm.r),0)),IF(_xlpm.m=0,"",_xlpm.m+1))</f>
        <v/>
      </c>
      <c r="J53" s="137" t="inlineStr">
        <is>
          <t>Shopify</t>
        </is>
      </c>
    </row>
    <row r="54">
      <c r="A54" s="5" t="inlineStr">
        <is>
          <t>Shopify Stetson México › Stetson Americas</t>
        </is>
      </c>
      <c r="B54" s="5">
        <f>IF($I2="","",INDEX(Productos!$A:$A,$I2))</f>
        <v/>
      </c>
      <c r="C54" s="134" t="inlineStr">
        <is>
          <t>WL-CNCH04-UNI</t>
        </is>
      </c>
      <c r="D54" s="5">
        <f>IF($I2="","",INDEX(Productos!$B:$B,$I2))</f>
        <v/>
      </c>
      <c r="E54" s="5">
        <f>IF($I2="","",INDEX(Productos!$H:$H,$I2))</f>
        <v/>
      </c>
      <c r="F54" s="5">
        <f>IF($I2="","",INDEX(Productos!$I:$I,$I2))</f>
        <v/>
      </c>
      <c r="G54" s="135" t="n">
        <v>1</v>
      </c>
      <c r="H54" s="5">
        <f>IF($I2="","",INDEX(Productos!$AG:$AG,$I2))</f>
        <v/>
      </c>
      <c r="I54" s="136">
        <f>LET(_xlpm.r,Productos!$E$2:$E$41,_xlpm.m,IFERROR(_xlfn.XMATCH(C54,_xlpm.r),IFERROR(_xlfn.XMATCH(VALUE(C54),_xlpm.r),0)),IF(_xlpm.m=0,"",_xlpm.m+1))</f>
        <v/>
      </c>
      <c r="J54" s="137" t="inlineStr">
        <is>
          <t>Shopify</t>
        </is>
      </c>
    </row>
    <row r="55">
      <c r="A55" s="5" t="inlineStr">
        <is>
          <t>Shopify Stetson México › Stetson Americas</t>
        </is>
      </c>
      <c r="B55" s="5">
        <f>IF($I2="","",INDEX(Productos!$A:$A,$I2))</f>
        <v/>
      </c>
      <c r="C55" s="134" t="inlineStr">
        <is>
          <t>WL-LTHR13-UNI</t>
        </is>
      </c>
      <c r="D55" s="5">
        <f>IF($I2="","",INDEX(Productos!$B:$B,$I2))</f>
        <v/>
      </c>
      <c r="E55" s="5">
        <f>IF($I2="","",INDEX(Productos!$H:$H,$I2))</f>
        <v/>
      </c>
      <c r="F55" s="5">
        <f>IF($I2="","",INDEX(Productos!$I:$I,$I2))</f>
        <v/>
      </c>
      <c r="G55" s="135" t="n">
        <v>3</v>
      </c>
      <c r="H55" s="5">
        <f>IF($I2="","",INDEX(Productos!$AG:$AG,$I2))</f>
        <v/>
      </c>
      <c r="I55" s="136">
        <f>LET(_xlpm.r,Productos!$E$2:$E$41,_xlpm.m,IFERROR(_xlfn.XMATCH(C55,_xlpm.r),IFERROR(_xlfn.XMATCH(VALUE(C55),_xlpm.r),0)),IF(_xlpm.m=0,"",_xlpm.m+1))</f>
        <v/>
      </c>
      <c r="J55" s="137" t="inlineStr">
        <is>
          <t>Shopify</t>
        </is>
      </c>
    </row>
    <row r="56">
      <c r="A56" s="5" t="inlineStr">
        <is>
          <t>Shopify Stetson México › Stetson Americas</t>
        </is>
      </c>
      <c r="B56" s="5">
        <f>IF($I2="","",INDEX(Productos!$A:$A,$I2))</f>
        <v/>
      </c>
      <c r="C56" s="134" t="inlineStr">
        <is>
          <t>WL-LTHR24-UNI</t>
        </is>
      </c>
      <c r="D56" s="5">
        <f>IF($I2="","",INDEX(Productos!$B:$B,$I2))</f>
        <v/>
      </c>
      <c r="E56" s="5">
        <f>IF($I2="","",INDEX(Productos!$H:$H,$I2))</f>
        <v/>
      </c>
      <c r="F56" s="5">
        <f>IF($I2="","",INDEX(Productos!$I:$I,$I2))</f>
        <v/>
      </c>
      <c r="G56" s="135" t="n">
        <v>3</v>
      </c>
      <c r="H56" s="5">
        <f>IF($I2="","",INDEX(Productos!$AG:$AG,$I2))</f>
        <v/>
      </c>
      <c r="I56" s="136">
        <f>LET(_xlpm.r,Productos!$E$2:$E$41,_xlpm.m,IFERROR(_xlfn.XMATCH(C56,_xlpm.r),IFERROR(_xlfn.XMATCH(VALUE(C56),_xlpm.r),0)),IF(_xlpm.m=0,"",_xlpm.m+1))</f>
        <v/>
      </c>
      <c r="J56" s="137" t="inlineStr">
        <is>
          <t>Shopify</t>
        </is>
      </c>
    </row>
    <row r="57">
      <c r="A57" s="5" t="inlineStr">
        <is>
          <t>Shopify Stetson México › Stetson Americas</t>
        </is>
      </c>
      <c r="B57" s="5">
        <f>IF($I2="","",INDEX(Productos!$A:$A,$I2))</f>
        <v/>
      </c>
      <c r="C57" s="134" t="inlineStr">
        <is>
          <t>WL-LTHR27-UNI</t>
        </is>
      </c>
      <c r="D57" s="5">
        <f>IF($I2="","",INDEX(Productos!$B:$B,$I2))</f>
        <v/>
      </c>
      <c r="E57" s="5">
        <f>IF($I2="","",INDEX(Productos!$H:$H,$I2))</f>
        <v/>
      </c>
      <c r="F57" s="5">
        <f>IF($I2="","",INDEX(Productos!$I:$I,$I2))</f>
        <v/>
      </c>
      <c r="G57" s="135" t="n">
        <v>3</v>
      </c>
      <c r="H57" s="5">
        <f>IF($I2="","",INDEX(Productos!$AG:$AG,$I2))</f>
        <v/>
      </c>
      <c r="I57" s="136">
        <f>LET(_xlpm.r,Productos!$E$2:$E$41,_xlpm.m,IFERROR(_xlfn.XMATCH(C57,_xlpm.r),IFERROR(_xlfn.XMATCH(VALUE(C57),_xlpm.r),0)),IF(_xlpm.m=0,"",_xlpm.m+1))</f>
        <v/>
      </c>
      <c r="J57" s="137" t="inlineStr">
        <is>
          <t>Shopify</t>
        </is>
      </c>
    </row>
    <row r="58">
      <c r="A58" s="5" t="inlineStr">
        <is>
          <t>Shopify Stetson México › Stetson Americas</t>
        </is>
      </c>
      <c r="B58" s="5">
        <f>IF($I2="","",INDEX(Productos!$A:$A,$I2))</f>
        <v/>
      </c>
      <c r="C58" s="134" t="inlineStr">
        <is>
          <t>WL-LTHR38-UNI</t>
        </is>
      </c>
      <c r="D58" s="5">
        <f>IF($I2="","",INDEX(Productos!$B:$B,$I2))</f>
        <v/>
      </c>
      <c r="E58" s="5">
        <f>IF($I2="","",INDEX(Productos!$H:$H,$I2))</f>
        <v/>
      </c>
      <c r="F58" s="5">
        <f>IF($I2="","",INDEX(Productos!$I:$I,$I2))</f>
        <v/>
      </c>
      <c r="G58" s="135" t="n">
        <v>6</v>
      </c>
      <c r="H58" s="5">
        <f>IF($I2="","",INDEX(Productos!$AG:$AG,$I2))</f>
        <v/>
      </c>
      <c r="I58" s="136">
        <f>LET(_xlpm.r,Productos!$E$2:$E$41,_xlpm.m,IFERROR(_xlfn.XMATCH(C58,_xlpm.r),IFERROR(_xlfn.XMATCH(VALUE(C58),_xlpm.r),0)),IF(_xlpm.m=0,"",_xlpm.m+1))</f>
        <v/>
      </c>
      <c r="J58" s="137" t="inlineStr">
        <is>
          <t>Shopify</t>
        </is>
      </c>
    </row>
    <row r="59">
      <c r="A59" s="5" t="inlineStr">
        <is>
          <t>Shopify Stetson México › Stetson Americas</t>
        </is>
      </c>
      <c r="B59" s="5">
        <f>IF($I2="","",INDEX(Productos!$A:$A,$I2))</f>
        <v/>
      </c>
      <c r="C59" s="134" t="inlineStr">
        <is>
          <t>WL-LTHR52-UNI</t>
        </is>
      </c>
      <c r="D59" s="5">
        <f>IF($I2="","",INDEX(Productos!$B:$B,$I2))</f>
        <v/>
      </c>
      <c r="E59" s="5">
        <f>IF($I2="","",INDEX(Productos!$H:$H,$I2))</f>
        <v/>
      </c>
      <c r="F59" s="5">
        <f>IF($I2="","",INDEX(Productos!$I:$I,$I2))</f>
        <v/>
      </c>
      <c r="G59" s="135" t="n">
        <v>4</v>
      </c>
      <c r="H59" s="5">
        <f>IF($I2="","",INDEX(Productos!$AG:$AG,$I2))</f>
        <v/>
      </c>
      <c r="I59" s="136">
        <f>LET(_xlpm.r,Productos!$E$2:$E$41,_xlpm.m,IFERROR(_xlfn.XMATCH(C59,_xlpm.r),IFERROR(_xlfn.XMATCH(VALUE(C59),_xlpm.r),0)),IF(_xlpm.m=0,"",_xlpm.m+1))</f>
        <v/>
      </c>
      <c r="J59" s="137" t="inlineStr">
        <is>
          <t>Shopify</t>
        </is>
      </c>
    </row>
    <row r="60">
      <c r="A60" s="5" t="inlineStr">
        <is>
          <t>Shopify Stetson México › Stetson Americas</t>
        </is>
      </c>
      <c r="B60" s="5">
        <f>IF($I2="","",INDEX(Productos!$A:$A,$I2))</f>
        <v/>
      </c>
      <c r="C60" s="134" t="inlineStr">
        <is>
          <t>WL-LTHR54-UNI</t>
        </is>
      </c>
      <c r="D60" s="5">
        <f>IF($I2="","",INDEX(Productos!$B:$B,$I2))</f>
        <v/>
      </c>
      <c r="E60" s="5">
        <f>IF($I2="","",INDEX(Productos!$H:$H,$I2))</f>
        <v/>
      </c>
      <c r="F60" s="5">
        <f>IF($I2="","",INDEX(Productos!$I:$I,$I2))</f>
        <v/>
      </c>
      <c r="G60" s="135" t="n">
        <v>2</v>
      </c>
      <c r="H60" s="5">
        <f>IF($I2="","",INDEX(Productos!$AG:$AG,$I2))</f>
        <v/>
      </c>
      <c r="I60" s="136">
        <f>LET(_xlpm.r,Productos!$E$2:$E$41,_xlpm.m,IFERROR(_xlfn.XMATCH(C60,_xlpm.r),IFERROR(_xlfn.XMATCH(VALUE(C60),_xlpm.r),0)),IF(_xlpm.m=0,"",_xlpm.m+1))</f>
        <v/>
      </c>
      <c r="J60" s="137" t="inlineStr">
        <is>
          <t>Shopify</t>
        </is>
      </c>
    </row>
    <row r="61">
      <c r="A61" s="5" t="inlineStr">
        <is>
          <t>Shopify Stetson México › Stetson Americas</t>
        </is>
      </c>
      <c r="B61" s="5">
        <f>IF($I2="","",INDEX(Productos!$A:$A,$I2))</f>
        <v/>
      </c>
      <c r="C61" s="134" t="inlineStr">
        <is>
          <t>WL-LTHR61-UNI</t>
        </is>
      </c>
      <c r="D61" s="5">
        <f>IF($I2="","",INDEX(Productos!$B:$B,$I2))</f>
        <v/>
      </c>
      <c r="E61" s="5">
        <f>IF($I2="","",INDEX(Productos!$H:$H,$I2))</f>
        <v/>
      </c>
      <c r="F61" s="5">
        <f>IF($I2="","",INDEX(Productos!$I:$I,$I2))</f>
        <v/>
      </c>
      <c r="G61" s="135" t="n">
        <v>4</v>
      </c>
      <c r="H61" s="5">
        <f>IF($I2="","",INDEX(Productos!$AG:$AG,$I2))</f>
        <v/>
      </c>
      <c r="I61" s="136">
        <f>LET(_xlpm.r,Productos!$E$2:$E$41,_xlpm.m,IFERROR(_xlfn.XMATCH(C61,_xlpm.r),IFERROR(_xlfn.XMATCH(VALUE(C61),_xlpm.r),0)),IF(_xlpm.m=0,"",_xlpm.m+1))</f>
        <v/>
      </c>
      <c r="J61" s="137" t="inlineStr">
        <is>
          <t>Shopify</t>
        </is>
      </c>
    </row>
    <row r="62">
      <c r="A62" s="5" t="inlineStr">
        <is>
          <t>Shopify Stetson México › Stetson Americas</t>
        </is>
      </c>
      <c r="B62" s="5">
        <f>IF($I2="","",INDEX(Productos!$A:$A,$I2))</f>
        <v/>
      </c>
      <c r="C62" s="134" t="inlineStr">
        <is>
          <t>WL-LTHR64-UNI</t>
        </is>
      </c>
      <c r="D62" s="5">
        <f>IF($I2="","",INDEX(Productos!$B:$B,$I2))</f>
        <v/>
      </c>
      <c r="E62" s="5">
        <f>IF($I2="","",INDEX(Productos!$H:$H,$I2))</f>
        <v/>
      </c>
      <c r="F62" s="5">
        <f>IF($I2="","",INDEX(Productos!$I:$I,$I2))</f>
        <v/>
      </c>
      <c r="G62" s="135" t="n">
        <v>4</v>
      </c>
      <c r="H62" s="5">
        <f>IF($I2="","",INDEX(Productos!$AG:$AG,$I2))</f>
        <v/>
      </c>
      <c r="I62" s="136">
        <f>LET(_xlpm.r,Productos!$E$2:$E$41,_xlpm.m,IFERROR(_xlfn.XMATCH(C62,_xlpm.r),IFERROR(_xlfn.XMATCH(VALUE(C62),_xlpm.r),0)),IF(_xlpm.m=0,"",_xlpm.m+1))</f>
        <v/>
      </c>
      <c r="J62" s="137" t="inlineStr">
        <is>
          <t>Shopify</t>
        </is>
      </c>
    </row>
    <row r="63">
      <c r="A63" s="5" t="inlineStr">
        <is>
          <t>Shopify Stetson México › Stetson Americas</t>
        </is>
      </c>
      <c r="B63" s="5">
        <f>IF($I2="","",INDEX(Productos!$A:$A,$I2))</f>
        <v/>
      </c>
      <c r="C63" s="134" t="inlineStr">
        <is>
          <t>WL-PIN03-UNI</t>
        </is>
      </c>
      <c r="D63" s="5">
        <f>IF($I2="","",INDEX(Productos!$B:$B,$I2))</f>
        <v/>
      </c>
      <c r="E63" s="5">
        <f>IF($I2="","",INDEX(Productos!$H:$H,$I2))</f>
        <v/>
      </c>
      <c r="F63" s="5">
        <f>IF($I2="","",INDEX(Productos!$I:$I,$I2))</f>
        <v/>
      </c>
      <c r="G63" s="135" t="n">
        <v>2</v>
      </c>
      <c r="H63" s="5">
        <f>IF($I2="","",INDEX(Productos!$AG:$AG,$I2))</f>
        <v/>
      </c>
      <c r="I63" s="136">
        <f>LET(_xlpm.r,Productos!$E$2:$E$41,_xlpm.m,IFERROR(_xlfn.XMATCH(C63,_xlpm.r),IFERROR(_xlfn.XMATCH(VALUE(C63),_xlpm.r),0)),IF(_xlpm.m=0,"",_xlpm.m+1))</f>
        <v/>
      </c>
      <c r="J63" s="137" t="inlineStr">
        <is>
          <t>Shopify</t>
        </is>
      </c>
    </row>
    <row r="64">
      <c r="A64" s="5" t="inlineStr">
        <is>
          <t>Shopify Stetson México › Stetson Americas</t>
        </is>
      </c>
      <c r="B64" s="5">
        <f>IF($I2="","",INDEX(Productos!$A:$A,$I2))</f>
        <v/>
      </c>
      <c r="C64" s="134" t="inlineStr">
        <is>
          <t>WL-PIN04-UNI</t>
        </is>
      </c>
      <c r="D64" s="5">
        <f>IF($I2="","",INDEX(Productos!$B:$B,$I2))</f>
        <v/>
      </c>
      <c r="E64" s="5">
        <f>IF($I2="","",INDEX(Productos!$H:$H,$I2))</f>
        <v/>
      </c>
      <c r="F64" s="5">
        <f>IF($I2="","",INDEX(Productos!$I:$I,$I2))</f>
        <v/>
      </c>
      <c r="G64" s="135" t="n">
        <v>2</v>
      </c>
      <c r="H64" s="5">
        <f>IF($I2="","",INDEX(Productos!$AG:$AG,$I2))</f>
        <v/>
      </c>
      <c r="I64" s="136">
        <f>LET(_xlpm.r,Productos!$E$2:$E$41,_xlpm.m,IFERROR(_xlfn.XMATCH(C64,_xlpm.r),IFERROR(_xlfn.XMATCH(VALUE(C64),_xlpm.r),0)),IF(_xlpm.m=0,"",_xlpm.m+1))</f>
        <v/>
      </c>
      <c r="J64" s="137" t="inlineStr">
        <is>
          <t>Shopify</t>
        </is>
      </c>
    </row>
    <row r="65">
      <c r="A65" s="5" t="inlineStr">
        <is>
          <t>Shopify Stetson México › Stetson Americas</t>
        </is>
      </c>
      <c r="B65" s="5">
        <f>IF($I2="","",INDEX(Productos!$A:$A,$I2))</f>
        <v/>
      </c>
      <c r="C65" s="134" t="inlineStr">
        <is>
          <t>WL-PIN19-UNI</t>
        </is>
      </c>
      <c r="D65" s="5">
        <f>IF($I2="","",INDEX(Productos!$B:$B,$I2))</f>
        <v/>
      </c>
      <c r="E65" s="5">
        <f>IF($I2="","",INDEX(Productos!$H:$H,$I2))</f>
        <v/>
      </c>
      <c r="F65" s="5">
        <f>IF($I2="","",INDEX(Productos!$I:$I,$I2))</f>
        <v/>
      </c>
      <c r="G65" s="135" t="n">
        <v>2</v>
      </c>
      <c r="H65" s="5">
        <f>IF($I2="","",INDEX(Productos!$AG:$AG,$I2))</f>
        <v/>
      </c>
      <c r="I65" s="136">
        <f>LET(_xlpm.r,Productos!$E$2:$E$41,_xlpm.m,IFERROR(_xlfn.XMATCH(C65,_xlpm.r),IFERROR(_xlfn.XMATCH(VALUE(C65),_xlpm.r),0)),IF(_xlpm.m=0,"",_xlpm.m+1))</f>
        <v/>
      </c>
      <c r="J65" s="137" t="inlineStr">
        <is>
          <t>Shopify</t>
        </is>
      </c>
    </row>
    <row r="66">
      <c r="A66" s="5" t="inlineStr">
        <is>
          <t>Shopify Stetson México › Stetson Americas</t>
        </is>
      </c>
      <c r="B66" s="5">
        <f>IF($I2="","",INDEX(Productos!$A:$A,$I2))</f>
        <v/>
      </c>
      <c r="C66" s="134" t="inlineStr">
        <is>
          <t>WL-PIN23-UNI</t>
        </is>
      </c>
      <c r="D66" s="5">
        <f>IF($I2="","",INDEX(Productos!$B:$B,$I2))</f>
        <v/>
      </c>
      <c r="E66" s="5">
        <f>IF($I2="","",INDEX(Productos!$H:$H,$I2))</f>
        <v/>
      </c>
      <c r="F66" s="5">
        <f>IF($I2="","",INDEX(Productos!$I:$I,$I2))</f>
        <v/>
      </c>
      <c r="G66" s="135" t="n">
        <v>1</v>
      </c>
      <c r="H66" s="5">
        <f>IF($I2="","",INDEX(Productos!$AG:$AG,$I2))</f>
        <v/>
      </c>
      <c r="I66" s="136">
        <f>LET(_xlpm.r,Productos!$E$2:$E$41,_xlpm.m,IFERROR(_xlfn.XMATCH(C66,_xlpm.r),IFERROR(_xlfn.XMATCH(VALUE(C66),_xlpm.r),0)),IF(_xlpm.m=0,"",_xlpm.m+1))</f>
        <v/>
      </c>
      <c r="J66" s="137" t="inlineStr">
        <is>
          <t>Shopify</t>
        </is>
      </c>
    </row>
    <row r="67">
      <c r="A67" s="5" t="inlineStr">
        <is>
          <t>Shopify Stetson México › Stetson Americas</t>
        </is>
      </c>
      <c r="B67" s="5">
        <f>IF($I2="","",INDEX(Productos!$A:$A,$I2))</f>
        <v/>
      </c>
      <c r="C67" s="134" t="inlineStr">
        <is>
          <t>WLHB-ARIK-UNI</t>
        </is>
      </c>
      <c r="D67" s="5">
        <f>IF($I2="","",INDEX(Productos!$B:$B,$I2))</f>
        <v/>
      </c>
      <c r="E67" s="5">
        <f>IF($I2="","",INDEX(Productos!$H:$H,$I2))</f>
        <v/>
      </c>
      <c r="F67" s="5">
        <f>IF($I2="","",INDEX(Productos!$I:$I,$I2))</f>
        <v/>
      </c>
      <c r="G67" s="135" t="n">
        <v>3</v>
      </c>
      <c r="H67" s="5">
        <f>IF($I2="","",INDEX(Productos!$AG:$AG,$I2))</f>
        <v/>
      </c>
      <c r="I67" s="136">
        <f>LET(_xlpm.r,Productos!$E$2:$E$41,_xlpm.m,IFERROR(_xlfn.XMATCH(C67,_xlpm.r),IFERROR(_xlfn.XMATCH(VALUE(C67),_xlpm.r),0)),IF(_xlpm.m=0,"",_xlpm.m+1))</f>
        <v/>
      </c>
      <c r="J67" s="137" t="inlineStr">
        <is>
          <t>Shopify</t>
        </is>
      </c>
    </row>
    <row r="68">
      <c r="A68" s="5" t="inlineStr">
        <is>
          <t>Shopify Stetson México › Stetson Americas</t>
        </is>
      </c>
      <c r="B68" s="5">
        <f>IF($I2="","",INDEX(Productos!$A:$A,$I2))</f>
        <v/>
      </c>
      <c r="C68" s="134" t="inlineStr">
        <is>
          <t>WLHB-BEAU-UNI</t>
        </is>
      </c>
      <c r="D68" s="5">
        <f>IF($I2="","",INDEX(Productos!$B:$B,$I2))</f>
        <v/>
      </c>
      <c r="E68" s="5">
        <f>IF($I2="","",INDEX(Productos!$H:$H,$I2))</f>
        <v/>
      </c>
      <c r="F68" s="5">
        <f>IF($I2="","",INDEX(Productos!$I:$I,$I2))</f>
        <v/>
      </c>
      <c r="G68" s="135" t="n">
        <v>3</v>
      </c>
      <c r="H68" s="5">
        <f>IF($I2="","",INDEX(Productos!$AG:$AG,$I2))</f>
        <v/>
      </c>
      <c r="I68" s="136">
        <f>LET(_xlpm.r,Productos!$E$2:$E$41,_xlpm.m,IFERROR(_xlfn.XMATCH(C68,_xlpm.r),IFERROR(_xlfn.XMATCH(VALUE(C68),_xlpm.r),0)),IF(_xlpm.m=0,"",_xlpm.m+1))</f>
        <v/>
      </c>
      <c r="J68" s="137" t="inlineStr">
        <is>
          <t>Shopify</t>
        </is>
      </c>
    </row>
    <row r="69">
      <c r="A69" s="5" t="inlineStr">
        <is>
          <t>Shopify Stetson México › Stetson Americas</t>
        </is>
      </c>
      <c r="B69" s="5">
        <f>IF($I2="","",INDEX(Productos!$A:$A,$I2))</f>
        <v/>
      </c>
      <c r="C69" s="134" t="inlineStr">
        <is>
          <t>WLHB-DOVE-UNI</t>
        </is>
      </c>
      <c r="D69" s="5">
        <f>IF($I2="","",INDEX(Productos!$B:$B,$I2))</f>
        <v/>
      </c>
      <c r="E69" s="5">
        <f>IF($I2="","",INDEX(Productos!$H:$H,$I2))</f>
        <v/>
      </c>
      <c r="F69" s="5">
        <f>IF($I2="","",INDEX(Productos!$I:$I,$I2))</f>
        <v/>
      </c>
      <c r="G69" s="135" t="n">
        <v>3</v>
      </c>
      <c r="H69" s="5">
        <f>IF($I2="","",INDEX(Productos!$AG:$AG,$I2))</f>
        <v/>
      </c>
      <c r="I69" s="136">
        <f>LET(_xlpm.r,Productos!$E$2:$E$41,_xlpm.m,IFERROR(_xlfn.XMATCH(C69,_xlpm.r),IFERROR(_xlfn.XMATCH(VALUE(C69),_xlpm.r),0)),IF(_xlpm.m=0,"",_xlpm.m+1))</f>
        <v/>
      </c>
      <c r="J69" s="137" t="inlineStr">
        <is>
          <t>Shopify</t>
        </is>
      </c>
    </row>
    <row r="70">
      <c r="A70" s="5" t="inlineStr">
        <is>
          <t>Shopify Stetson México › Stetson Americas</t>
        </is>
      </c>
      <c r="B70" s="5">
        <f>IF($I2="","",INDEX(Productos!$A:$A,$I2))</f>
        <v/>
      </c>
      <c r="C70" s="134" t="inlineStr">
        <is>
          <t>WLHB-MOAB-UNI</t>
        </is>
      </c>
      <c r="D70" s="5">
        <f>IF($I2="","",INDEX(Productos!$B:$B,$I2))</f>
        <v/>
      </c>
      <c r="E70" s="5">
        <f>IF($I2="","",INDEX(Productos!$H:$H,$I2))</f>
        <v/>
      </c>
      <c r="F70" s="5">
        <f>IF($I2="","",INDEX(Productos!$I:$I,$I2))</f>
        <v/>
      </c>
      <c r="G70" s="135" t="n">
        <v>3</v>
      </c>
      <c r="H70" s="5">
        <f>IF($I2="","",INDEX(Productos!$AG:$AG,$I2))</f>
        <v/>
      </c>
      <c r="I70" s="136">
        <f>LET(_xlpm.r,Productos!$E$2:$E$41,_xlpm.m,IFERROR(_xlfn.XMATCH(C70,_xlpm.r),IFERROR(_xlfn.XMATCH(VALUE(C70),_xlpm.r),0)),IF(_xlpm.m=0,"",_xlpm.m+1))</f>
        <v/>
      </c>
      <c r="J70" s="137" t="inlineStr">
        <is>
          <t>Shopify</t>
        </is>
      </c>
    </row>
    <row r="71">
      <c r="A71" s="5" t="inlineStr">
        <is>
          <t>Shopify Stetson México › Stetson Americas</t>
        </is>
      </c>
      <c r="B71" s="5">
        <f>IF($I2="","",INDEX(Productos!$A:$A,$I2))</f>
        <v/>
      </c>
      <c r="C71" s="134" t="inlineStr">
        <is>
          <t>WLHB-SNRA-UNI</t>
        </is>
      </c>
      <c r="D71" s="5">
        <f>IF($I2="","",INDEX(Productos!$B:$B,$I2))</f>
        <v/>
      </c>
      <c r="E71" s="5">
        <f>IF($I2="","",INDEX(Productos!$H:$H,$I2))</f>
        <v/>
      </c>
      <c r="F71" s="5">
        <f>IF($I2="","",INDEX(Productos!$I:$I,$I2))</f>
        <v/>
      </c>
      <c r="G71" s="135" t="n">
        <v>3</v>
      </c>
      <c r="H71" s="5">
        <f>IF($I2="","",INDEX(Productos!$AG:$AG,$I2))</f>
        <v/>
      </c>
      <c r="I71" s="136">
        <f>LET(_xlpm.r,Productos!$E$2:$E$41,_xlpm.m,IFERROR(_xlfn.XMATCH(C71,_xlpm.r),IFERROR(_xlfn.XMATCH(VALUE(C71),_xlpm.r),0)),IF(_xlpm.m=0,"",_xlpm.m+1))</f>
        <v/>
      </c>
      <c r="J71" s="137" t="inlineStr">
        <is>
          <t>Shopify</t>
        </is>
      </c>
    </row>
    <row r="72">
      <c r="A72" s="5" t="inlineStr">
        <is>
          <t>Shopify Stetson México › Stetson Americas</t>
        </is>
      </c>
      <c r="B72" s="5">
        <f>IF($I2="","",INDEX(Productos!$A:$A,$I2))</f>
        <v/>
      </c>
      <c r="C72" s="134" t="inlineStr">
        <is>
          <t>WLHB-WCRST-UNI</t>
        </is>
      </c>
      <c r="D72" s="5">
        <f>IF($I2="","",INDEX(Productos!$B:$B,$I2))</f>
        <v/>
      </c>
      <c r="E72" s="5">
        <f>IF($I2="","",INDEX(Productos!$H:$H,$I2))</f>
        <v/>
      </c>
      <c r="F72" s="5">
        <f>IF($I2="","",INDEX(Productos!$I:$I,$I2))</f>
        <v/>
      </c>
      <c r="G72" s="135" t="n">
        <v>3</v>
      </c>
      <c r="H72" s="5">
        <f>IF($I2="","",INDEX(Productos!$AG:$AG,$I2))</f>
        <v/>
      </c>
      <c r="I72" s="136">
        <f>LET(_xlpm.r,Productos!$E$2:$E$41,_xlpm.m,IFERROR(_xlfn.XMATCH(C72,_xlpm.r),IFERROR(_xlfn.XMATCH(VALUE(C72),_xlpm.r),0)),IF(_xlpm.m=0,"",_xlpm.m+1))</f>
        <v/>
      </c>
      <c r="J72" s="137" t="inlineStr">
        <is>
          <t>Shopify</t>
        </is>
      </c>
    </row>
    <row r="73">
      <c r="A73" s="5" t="inlineStr">
        <is>
          <t>Shopify Stetson México › Stetson Americas</t>
        </is>
      </c>
      <c r="B73" s="5">
        <f>IF($I2="","",INDEX(Productos!$A:$A,$I2))</f>
        <v/>
      </c>
      <c r="C73" s="134" t="inlineStr">
        <is>
          <t>WLHB-WLLW-UNI</t>
        </is>
      </c>
      <c r="D73" s="5">
        <f>IF($I2="","",INDEX(Productos!$B:$B,$I2))</f>
        <v/>
      </c>
      <c r="E73" s="5">
        <f>IF($I2="","",INDEX(Productos!$H:$H,$I2))</f>
        <v/>
      </c>
      <c r="F73" s="5">
        <f>IF($I2="","",INDEX(Productos!$I:$I,$I2))</f>
        <v/>
      </c>
      <c r="G73" s="135" t="n">
        <v>3</v>
      </c>
      <c r="H73" s="5">
        <f>IF($I2="","",INDEX(Productos!$AG:$AG,$I2))</f>
        <v/>
      </c>
      <c r="I73" s="136">
        <f>LET(_xlpm.r,Productos!$E$2:$E$41,_xlpm.m,IFERROR(_xlfn.XMATCH(C73,_xlpm.r),IFERROR(_xlfn.XMATCH(VALUE(C73),_xlpm.r),0)),IF(_xlpm.m=0,"",_xlpm.m+1))</f>
        <v/>
      </c>
      <c r="J73" s="137" t="inlineStr">
        <is>
          <t>Shopify</t>
        </is>
      </c>
    </row>
    <row r="74">
      <c r="A74" s="5" t="inlineStr">
        <is>
          <t>Shopify Stetson México › Stetson Americas</t>
        </is>
      </c>
      <c r="B74" s="5">
        <f>IF($I2="","",INDEX(Productos!$A:$A,$I2))</f>
        <v/>
      </c>
      <c r="C74" s="134" t="inlineStr">
        <is>
          <t>WLHF-CHY-UNI</t>
        </is>
      </c>
      <c r="D74" s="5">
        <f>IF($I2="","",INDEX(Productos!$B:$B,$I2))</f>
        <v/>
      </c>
      <c r="E74" s="5">
        <f>IF($I2="","",INDEX(Productos!$H:$H,$I2))</f>
        <v/>
      </c>
      <c r="F74" s="5">
        <f>IF($I2="","",INDEX(Productos!$I:$I,$I2))</f>
        <v/>
      </c>
      <c r="G74" s="135" t="n">
        <v>3</v>
      </c>
      <c r="H74" s="5">
        <f>IF($I2="","",INDEX(Productos!$AG:$AG,$I2))</f>
        <v/>
      </c>
      <c r="I74" s="136">
        <f>LET(_xlpm.r,Productos!$E$2:$E$41,_xlpm.m,IFERROR(_xlfn.XMATCH(C74,_xlpm.r),IFERROR(_xlfn.XMATCH(VALUE(C74),_xlpm.r),0)),IF(_xlpm.m=0,"",_xlpm.m+1))</f>
        <v/>
      </c>
      <c r="J74" s="137" t="inlineStr">
        <is>
          <t>Shopify</t>
        </is>
      </c>
    </row>
    <row r="75">
      <c r="A75" s="5" t="inlineStr">
        <is>
          <t>Shopify Stetson México › Stetson Americas</t>
        </is>
      </c>
      <c r="B75" s="5">
        <f>IF($I2="","",INDEX(Productos!$A:$A,$I2))</f>
        <v/>
      </c>
      <c r="C75" s="134" t="inlineStr">
        <is>
          <t>WLHF-LAUR-UNI</t>
        </is>
      </c>
      <c r="D75" s="5">
        <f>IF($I2="","",INDEX(Productos!$B:$B,$I2))</f>
        <v/>
      </c>
      <c r="E75" s="5">
        <f>IF($I2="","",INDEX(Productos!$H:$H,$I2))</f>
        <v/>
      </c>
      <c r="F75" s="5">
        <f>IF($I2="","",INDEX(Productos!$I:$I,$I2))</f>
        <v/>
      </c>
      <c r="G75" s="135" t="n">
        <v>3</v>
      </c>
      <c r="H75" s="5">
        <f>IF($I2="","",INDEX(Productos!$AG:$AG,$I2))</f>
        <v/>
      </c>
      <c r="I75" s="136">
        <f>LET(_xlpm.r,Productos!$E$2:$E$41,_xlpm.m,IFERROR(_xlfn.XMATCH(C75,_xlpm.r),IFERROR(_xlfn.XMATCH(VALUE(C75),_xlpm.r),0)),IF(_xlpm.m=0,"",_xlpm.m+1))</f>
        <v/>
      </c>
      <c r="J75" s="137" t="inlineStr">
        <is>
          <t>Shopify</t>
        </is>
      </c>
    </row>
    <row r="76">
      <c r="A76" s="5" t="inlineStr">
        <is>
          <t>Shopify Stetson México › Stetson Americas</t>
        </is>
      </c>
      <c r="B76" s="5">
        <f>IF($I2="","",INDEX(Productos!$A:$A,$I2))</f>
        <v/>
      </c>
      <c r="C76" s="134" t="inlineStr">
        <is>
          <t>WLHF-RSC-UNI</t>
        </is>
      </c>
      <c r="D76" s="5">
        <f>IF($I2="","",INDEX(Productos!$B:$B,$I2))</f>
        <v/>
      </c>
      <c r="E76" s="5">
        <f>IF($I2="","",INDEX(Productos!$H:$H,$I2))</f>
        <v/>
      </c>
      <c r="F76" s="5">
        <f>IF($I2="","",INDEX(Productos!$I:$I,$I2))</f>
        <v/>
      </c>
      <c r="G76" s="135" t="n">
        <v>2</v>
      </c>
      <c r="H76" s="5">
        <f>IF($I2="","",INDEX(Productos!$AG:$AG,$I2))</f>
        <v/>
      </c>
      <c r="I76" s="136">
        <f>LET(_xlpm.r,Productos!$E$2:$E$41,_xlpm.m,IFERROR(_xlfn.XMATCH(C76,_xlpm.r),IFERROR(_xlfn.XMATCH(VALUE(C76),_xlpm.r),0)),IF(_xlpm.m=0,"",_xlpm.m+1))</f>
        <v/>
      </c>
      <c r="J76" s="137" t="inlineStr">
        <is>
          <t>Shopify</t>
        </is>
      </c>
    </row>
    <row r="77">
      <c r="A77" s="5" t="inlineStr">
        <is>
          <t>Shopify Stetson México › Stetson Americas</t>
        </is>
      </c>
      <c r="B77" s="5">
        <f>IF($I2="","",INDEX(Productos!$A:$A,$I2))</f>
        <v/>
      </c>
      <c r="C77" s="134" t="inlineStr">
        <is>
          <t>WLHF-SHGRL-UNI</t>
        </is>
      </c>
      <c r="D77" s="5">
        <f>IF($I2="","",INDEX(Productos!$B:$B,$I2))</f>
        <v/>
      </c>
      <c r="E77" s="5">
        <f>IF($I2="","",INDEX(Productos!$H:$H,$I2))</f>
        <v/>
      </c>
      <c r="F77" s="5">
        <f>IF($I2="","",INDEX(Productos!$I:$I,$I2))</f>
        <v/>
      </c>
      <c r="G77" s="135" t="n">
        <v>3</v>
      </c>
      <c r="H77" s="5">
        <f>IF($I2="","",INDEX(Productos!$AG:$AG,$I2))</f>
        <v/>
      </c>
      <c r="I77" s="136">
        <f>LET(_xlpm.r,Productos!$E$2:$E$41,_xlpm.m,IFERROR(_xlfn.XMATCH(C77,_xlpm.r),IFERROR(_xlfn.XMATCH(VALUE(C77),_xlpm.r),0)),IF(_xlpm.m=0,"",_xlpm.m+1))</f>
        <v/>
      </c>
      <c r="J77" s="137" t="inlineStr">
        <is>
          <t>Shopify</t>
        </is>
      </c>
    </row>
    <row r="78">
      <c r="A78" s="5" t="inlineStr">
        <is>
          <t>Shopify Stetson México › Stetson Americas</t>
        </is>
      </c>
      <c r="B78" s="5">
        <f>IF($I2="","",INDEX(Productos!$A:$A,$I2))</f>
        <v/>
      </c>
      <c r="C78" s="134" t="inlineStr">
        <is>
          <t>WLHF-STRN-UNI</t>
        </is>
      </c>
      <c r="D78" s="5">
        <f>IF($I2="","",INDEX(Productos!$B:$B,$I2))</f>
        <v/>
      </c>
      <c r="E78" s="5">
        <f>IF($I2="","",INDEX(Productos!$H:$H,$I2))</f>
        <v/>
      </c>
      <c r="F78" s="5">
        <f>IF($I2="","",INDEX(Productos!$I:$I,$I2))</f>
        <v/>
      </c>
      <c r="G78" s="135" t="n">
        <v>1</v>
      </c>
      <c r="H78" s="5">
        <f>IF($I2="","",INDEX(Productos!$AG:$AG,$I2))</f>
        <v/>
      </c>
      <c r="I78" s="136">
        <f>LET(_xlpm.r,Productos!$E$2:$E$41,_xlpm.m,IFERROR(_xlfn.XMATCH(C78,_xlpm.r),IFERROR(_xlfn.XMATCH(VALUE(C78),_xlpm.r),0)),IF(_xlpm.m=0,"",_xlpm.m+1))</f>
        <v/>
      </c>
      <c r="J78" s="137" t="inlineStr">
        <is>
          <t>Shopify</t>
        </is>
      </c>
    </row>
  </sheetData>
  <autoFilter ref="A1:J78"/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5" topLeftCell="A6" activePane="bottomLeft" state="frozen"/>
      <selection pane="bottomLeft" activeCell="B7" sqref="B7"/>
    </sheetView>
  </sheetViews>
  <sheetFormatPr baseColWidth="8" defaultColWidth="12.63" defaultRowHeight="15" customHeight="1"/>
  <cols>
    <col width="42.5" customWidth="1" style="176" min="1" max="1"/>
    <col width="27.75" customWidth="1" style="176" min="2" max="2"/>
    <col width="20.38" customWidth="1" style="176" min="3" max="3"/>
    <col width="31.5" customWidth="1" style="176" min="4" max="4"/>
    <col width="14.75" customWidth="1" style="176" min="5" max="5"/>
    <col width="20.38" customWidth="1" style="176" min="6" max="6"/>
    <col width="59.25" customWidth="1" style="176" min="7" max="7"/>
    <col width="16.63" customWidth="1" style="176" min="8" max="9"/>
  </cols>
  <sheetData>
    <row r="1" ht="12.75" customHeight="1" s="176">
      <c r="A1" s="140" t="inlineStr">
        <is>
          <t>Bodega 25 — Existencias en almacén</t>
        </is>
      </c>
    </row>
    <row r="2" ht="12.75" customHeight="1" s="176">
      <c r="A2" s="141" t="inlineStr">
        <is>
          <t>Racks físicos y ubicaciones asignadas a Bodega 25 en Criterios › 9 (columna K), más cualquier ubicación con «B25» o «Bodega 25» en el nombre (NetSuite y Odoo). Racks físicos = piezas contadas en Escaneos. Solo piezas &gt; 0.</t>
        </is>
      </c>
    </row>
    <row r="3" ht="12.75" customHeight="1" s="176">
      <c r="A3" s="142" t="inlineStr">
        <is>
          <t>Bodega:</t>
        </is>
      </c>
      <c r="B3" s="143" t="inlineStr">
        <is>
          <t>Bodega 25</t>
        </is>
      </c>
      <c r="D3" s="142" t="inlineStr">
        <is>
          <t>Piezas totales:</t>
        </is>
      </c>
      <c r="E3" s="144">
        <f>IF(ISNUMBER(I6),SUM(I6:I584),0)</f>
        <v/>
      </c>
      <c r="F3" s="145" t="inlineStr">
        <is>
          <t>Renglones:</t>
        </is>
      </c>
      <c r="G3" s="144">
        <f>IF(ISNUMBER(I6),COUNT(I6:I584),0)</f>
        <v/>
      </c>
    </row>
    <row r="4" ht="12.75" customHeight="1" s="176"/>
    <row r="5" ht="12.75" customHeight="1" s="176">
      <c r="A5" s="146" t="inlineStr">
        <is>
          <t>Ubicación</t>
        </is>
      </c>
      <c r="B5" s="146" t="inlineStr">
        <is>
          <t>Sistema / Tipo</t>
        </is>
      </c>
      <c r="C5" s="146" t="inlineStr">
        <is>
          <t>UPC</t>
        </is>
      </c>
      <c r="D5" s="146" t="inlineStr">
        <is>
          <t>SKU</t>
        </is>
      </c>
      <c r="E5" s="146" t="inlineStr">
        <is>
          <t>Id_Interno</t>
        </is>
      </c>
      <c r="F5" s="146" t="inlineStr">
        <is>
          <t>Marca</t>
        </is>
      </c>
      <c r="G5" s="146" t="inlineStr">
        <is>
          <t>Descripción</t>
        </is>
      </c>
      <c r="H5" s="146" t="inlineStr">
        <is>
          <t>Talla</t>
        </is>
      </c>
      <c r="I5" s="146" t="inlineStr">
        <is>
          <t>Piezas en almacén</t>
        </is>
      </c>
    </row>
    <row r="6">
      <c r="A6">
        <f>IFERROR(__xludf.DUMMYFUNCTION("ARRAYFORMULA(LET(bod,$B$3,cu,Criterios!$G$6:$G$200,ct,Criterios!$H$6:$H$200,cb,Criterios!$K$6:$K$200,asig,LAMBDA(u,LET(x,XLOOKUP(u,cu,cb,"""")&amp;"""",IF(x&lt;&gt;"""",x,IF((ISNUMBER(SEARCH(""Bodega 25"",u))+ISNUMBER(SEARCH(""B25 "",u&amp;"" "")))&gt;0,""Bodega 25"",IF(I"&amp;"SNUMBER(SEARCH(""G1522"",u)),""Bodega 43"",""""))))),pE,Productos!$E$2:$E$41,pA,Productos!$A$2:$A$41&amp;"""",s,'Stock por Ubicación'!$A$2:$J$78,su,INDEX(s,0,1),sq,INDEX(s,0,7),sp,INDEX(s,0,9),selSis,(su&lt;&gt;"""")*ISNUMBER(sq)*(sq&gt;0)*(asig(su)=bod)*ISNUMB"&amp;"ER(sp)*(sp&gt;=2)*(sp&lt;=ROWS(pE)+1)*(INDEX(s,0,5)&lt;&gt;"""")&gt;0,a,IFERROR(FILTER(CHOOSECOLS(s,1,10,2,3,4,5,6,7),selSis),""""),tu,Table_2[Ubicación / Rack],ts,Table_2[SKU]&amp;"""",tupc,Table_2[UPC CODE]&amp;"""",tp,Table_2[Piezas Contadas],canon_sku,IF(ISNUMBER(SEARCH(""-"&amp;"2XL"",ts)),SUBSTITUTE(ts,""-2XL"",""-XXL""),IF(ISNUMBER(SEARCH(""-3XL"",ts)),SUBSTITUTE(ts,""-3XL"",""-XXXL""),IF(ts="""",XLOOKUP(tupc,pA,pE,""""),ts))),selRack,(tu&lt;&gt;"""")*(canon_sku&lt;&gt;"""")*((XLOOKUP(tu,cu,ct,"""")&amp;"""")=""Rack físico"")*(asig(tu)=bod)*IS"&amp;"NUMBER(XMATCH(canon_sku,pE))&gt;0,pr,IFERROR(UNIQUE(FILTER(HSTACK(tu,canon_sku),selRack)),""""),b,IF(INDEX(pr,1,1)="""","""",LET(ru,INDEX(pr,0,1),sk,INDEX(pr,0,2),pz,MAP(ru,sk,LAMBDA(r_u,s_k,LET(sk_alt,SUBSTITUTE(s_k,""-XXL"",""-2XL""),sk_upc,XLOOKUP(s_k,pE,"&amp;"pA,""""),SUMIFS(tp,tu,r_u,ts,s_k)+IF(sk_alt&lt;&gt;s_k,SUMIFS(tp,tu,r_u,ts,sk_alt),0)+IF(sk_upc&lt;&gt;"""",SUMIFS(tp,tu,r_u,tupc,sk_upc,ts,""""),0)))),rw,HSTACK(ru,IF(pz=pz,""Rack físico (escaneo)""),XLOOKUP(sk,pE,Productos!$A$2:$A$41,""""),sk,XLOOKUP(sk,pE,Produc"&amp;"tos!$B$2:$B$2502,""""),XLOOKUP(sk,pE,Productos!$H$2:$H$41,""""),XLOOKUP(sk,pE,Productos!$I$2:$I$41,""""),pz),IFERROR(FILTER(rw,pz&gt;0),""""))),todo,IF(INDEX(a,1,1)="""",b,IF(INDEX(b,1,1)="""",a,VSTACK(a,b))),IF(INDEX(todo,1,1)="""",""Sin existencias en "&amp;"esta bodega"",LET(tl,XLOOKUP(INDEX(todo,0,4),pE,Productos!$F$2:$F$41,"""")&amp;"""",o,HSTACK(CHOOSECOLS(todo,1,2,3,4,5,6,7),tl,CHOOSECOLS(todo,8)),x,SORT(o,1,TRUE,4,TRUE),IF(x="""","""",x)))))"),"B25 CEDIS")</f>
        <v/>
      </c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5" topLeftCell="A6" activePane="bottomLeft" state="frozen"/>
      <selection pane="bottomLeft" activeCell="B7" sqref="B7"/>
    </sheetView>
  </sheetViews>
  <sheetFormatPr baseColWidth="8" defaultColWidth="12.63" defaultRowHeight="15" customHeight="1"/>
  <cols>
    <col width="42.5" customWidth="1" style="176" min="1" max="1"/>
    <col width="27.75" customWidth="1" style="176" min="2" max="2"/>
    <col width="20.38" customWidth="1" style="176" min="3" max="3"/>
    <col width="31.5" customWidth="1" style="176" min="4" max="4"/>
    <col width="14.75" customWidth="1" style="176" min="5" max="5"/>
    <col width="20.38" customWidth="1" style="176" min="6" max="6"/>
    <col width="59.25" customWidth="1" style="176" min="7" max="7"/>
    <col width="16.63" customWidth="1" style="176" min="8" max="9"/>
    <col width="10.63" customWidth="1" style="176" min="10" max="26"/>
  </cols>
  <sheetData>
    <row r="1" ht="12.75" customHeight="1" s="176">
      <c r="A1" s="140" t="inlineStr">
        <is>
          <t>Bodega 43 — Existencias en almacén</t>
        </is>
      </c>
    </row>
    <row r="2" ht="12.75" customHeight="1" s="176">
      <c r="A2" s="141" t="inlineStr">
        <is>
          <t>Ubicaciones asignadas a Bodega 43 en Criterios › 9 (columna K), más cualquier ubicación con «G1522» en el nombre. Los racks físicos asignados a Bodega 43 aparecen aquí con sus piezas contadas en Escaneos. Solo piezas &gt; 0.</t>
        </is>
      </c>
    </row>
    <row r="3" ht="12.75" customHeight="1" s="176">
      <c r="A3" s="142" t="inlineStr">
        <is>
          <t>Bodega:</t>
        </is>
      </c>
      <c r="B3" s="143" t="inlineStr">
        <is>
          <t>Bodega 43</t>
        </is>
      </c>
      <c r="D3" s="142" t="inlineStr">
        <is>
          <t>Piezas totales:</t>
        </is>
      </c>
      <c r="E3" s="144">
        <f>IF(ISNUMBER(I6),SUM(I6:I584),0)</f>
        <v/>
      </c>
      <c r="F3" s="145" t="inlineStr">
        <is>
          <t>Renglones:</t>
        </is>
      </c>
      <c r="G3" s="144">
        <f>IF(ISNUMBER(I6),COUNT(I6:I584),0)</f>
        <v/>
      </c>
    </row>
    <row r="4" ht="12.75" customHeight="1" s="176"/>
    <row r="5" ht="12.75" customHeight="1" s="176">
      <c r="A5" s="146" t="inlineStr">
        <is>
          <t>Ubicación</t>
        </is>
      </c>
      <c r="B5" s="146" t="inlineStr">
        <is>
          <t>Sistema / Tipo</t>
        </is>
      </c>
      <c r="C5" s="146" t="inlineStr">
        <is>
          <t>UPC</t>
        </is>
      </c>
      <c r="D5" s="146" t="inlineStr">
        <is>
          <t>SKU</t>
        </is>
      </c>
      <c r="E5" s="146" t="inlineStr">
        <is>
          <t>Id_Interno</t>
        </is>
      </c>
      <c r="F5" s="146" t="inlineStr">
        <is>
          <t>Marca</t>
        </is>
      </c>
      <c r="G5" s="146" t="inlineStr">
        <is>
          <t>Descripción</t>
        </is>
      </c>
      <c r="H5" s="146" t="inlineStr">
        <is>
          <t>Talla</t>
        </is>
      </c>
      <c r="I5" s="146" t="inlineStr">
        <is>
          <t>Piezas en almacén</t>
        </is>
      </c>
    </row>
    <row r="6">
      <c r="A6">
        <f>IFERROR(__xludf.DUMMYFUNCTION("ARRAYFORMULA(LET(bod,$B$3,cu,Criterios!$G$6:$G$200,ct,Criterios!$H$6:$H$200,cb,Criterios!$K$6:$K$200,asig,LAMBDA(u,LET(x,XLOOKUP(u,cu,cb,"""")&amp;"""",IF(x&lt;&gt;"""",x,IF((ISNUMBER(SEARCH(""Bodega 25"",u))+ISNUMBER(SEARCH(""B25 "",u&amp;"" "")))&gt;0,""Bodega 25"",IF(I"&amp;"SNUMBER(SEARCH(""G1522"",u)),""Bodega 43"",""""))))),pE,Productos!$E$2:$E$41,s,'Stock por Ubicación'!$A$2:$J$78,su,INDEX(s,0,1),sq,INDEX(s,0,7),selSis,(su&lt;&gt;"""")*ISNUMBER(sq)*(sq&gt;0)*(asig(su)=bod)&gt;0,a,IFERROR(FILTER(CHOOSECOLS(s,1,10,2,3,4,5,6,7),sel"&amp;"Sis),""""),tu,Table_2[Ubicación / Rack],ts,Table_2[SKU],tp,Table_2[Piezas Contadas],selRack,(tu&lt;&gt;"""")*(ts&lt;&gt;"""")*((XLOOKUP(tu,cu,ct,"""")&amp;"""")=""Rack físico"")*(asig(tu)=bod)*ISNUMBER(XMATCH(ts,pE))&gt;0,pr,IFERROR(UNIQUE(FILTER(HSTACK(tu,ts),selRack)),"""&amp;"""),b,IF(INDEX(pr,1,1)="""","""",LET(ru,INDEX(pr,0,1),sk,INDEX(pr,0,2),pz,MAP(ru,sk,LAMBDA(r_u,s_k,SUMIFS(tp,tu,r_u,ts,s_k))),rw,HSTACK(ru,IF(pz=pz,""Rack físico (escaneo)""),XLOOKUP(sk,pE,Productos!$A$2:$A$41,""""),sk,XLOOKUP(sk,pE,Productos!$B$2:$B$41"&amp;"02,""""),XLOOKUP(sk,pE,Productos!$H$2:$H$41,""""),XLOOKUP(sk,pE,Productos!$I$2:$I$41,""""),pz),IFERROR(FILTER(rw,pz&gt;0),""""))),todo,IF(INDEX(a,1,1)="""",b,IF(INDEX(b,1,1)="""",a,VSTACK(a,b))),IF(INDEX(todo,1,1)="""",""Sin existencias en esta bodega"","&amp;"LET(sku_col,INDEX(todo,0,4)&amp;"""",marca_col,INDEX(todo,0,6)&amp;"""",marca_final,IF(marca_col&lt;&gt;"""",marca_col,IF(OR(LEFT(sku_col,3)=""100"",LEFT(sku_col,2)=""AR"",LEFT(sku_col,1)=""A""),""Ariat"",IF(OR(LEFT(sku_col,2)=""CL"",LEFT(sku_col,3)=""CAP""),""CAPSLAB"&amp;""",IF(LEFT(sku_col,2)=""HS"",""Happy Socks"",IF(OR(LEFT(sku_col,3)=""11-"",LEFT(sku_col,3)=""12-"",LEFT(sku_col,3)=""ST-"",LEFT(sku_col,3)=""SF-""),""Stetson"",IF(OR(LEFT(sku_col,2)=""MW"",LEFT(sku_col,2)=""WG""),""Western Brothers"",IF(LEFT(sku_col,3)="""&amp;"C47"",""Wrangler"",""Ariat""))))))),p_talla,XLOOKUP(sku_col,pE,Productos!$F$2:$F$41,"""")&amp;"""",raw_talla,IFERROR(REGEXEXTRACT(sku_col,""[^-]+$""),""""),talla_final,IF(p_talla&lt;&gt;"""",p_talla,IF(raw_talla=""MEDR"",""M"",IF(raw_talla=""LGR"",""L"",IF(raw_ta"&amp;"lla=""SMLR"",""S"",IF(raw_talla=""XLR"",""XL"",IF(raw_talla=""XSR"",""XS"",IF(raw_talla=""XXLR"",""XXL"",IF(raw_talla=""2XL"",""XXL"",IF(raw_talla=""3XL"",""XXXL"",IF(raw_talla=""SMLN"",""S"",raw_talla)))))))))),out_grid,HSTACK(CHOOSECOLS(todo,1,2,3,4,5),"&amp;"marca_final,CHOOSECOLS(todo,7),talla_final,CHOOSECOLS(todo,8)),sorted_grid,SORT(out_grid,1,TRUE,4,TRUE),IF(sorted_grid="""","""",sorted_grid)))))"),"Almacenes G1522")</f>
        <v/>
      </c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ColWidth="12.63" defaultRowHeight="15" customHeight="1"/>
  <cols>
    <col width="62" customWidth="1" style="176" min="1" max="1"/>
    <col width="24" customWidth="1" style="176" min="2" max="6"/>
    <col width="8.880000000000001" customWidth="1" style="176" min="7" max="26"/>
  </cols>
  <sheetData>
    <row r="1" ht="12.75" customHeight="1" s="176">
      <c r="A1" s="140" t="inlineStr">
        <is>
          <t>Integración de plataformas → Productos (Catálogo Estándar)</t>
        </is>
      </c>
      <c r="B1" s="5" t="n"/>
      <c r="C1" s="5" t="n"/>
      <c r="D1" s="5" t="n"/>
      <c r="E1" s="5" t="n"/>
      <c r="F1" s="5" t="n"/>
    </row>
    <row r="2" ht="45" customHeight="1" s="176">
      <c r="A2" s="149" t="inlineStr">
        <is>
          <t>Generado 01/10/2026. Fuente: Catalogo_Estandar_Stetson_WB_Odoo_2026-10-01_v2.xlsx (Shopify Stetson México, Shopify Western Brothers, Odoo Universal Unique Brands). Destino: hoja Productos de HojaProductos_Prelimpieza.xlsx, con la estructura y listas de su hoja Criterios.</t>
        </is>
      </c>
    </row>
    <row r="3" ht="12.75" customHeight="1" s="176">
      <c r="A3" s="5" t="n"/>
      <c r="B3" s="5" t="n"/>
      <c r="C3" s="5" t="n"/>
      <c r="D3" s="5" t="n"/>
      <c r="E3" s="5" t="n"/>
      <c r="F3" s="5" t="n"/>
    </row>
    <row r="4" ht="12.75" customHeight="1" s="176">
      <c r="A4" s="150" t="inlineStr">
        <is>
          <t>Resultado por plataforma (variantes del archivo de plataformas)</t>
        </is>
      </c>
      <c r="B4" s="5" t="n"/>
      <c r="C4" s="5" t="n"/>
      <c r="D4" s="5" t="n"/>
      <c r="E4" s="5" t="n"/>
      <c r="F4" s="5" t="n"/>
    </row>
    <row r="5" ht="12.75" customHeight="1" s="176">
      <c r="A5" s="48" t="inlineStr">
        <is>
          <t>Plataforma</t>
        </is>
      </c>
      <c r="B5" s="48" t="inlineStr">
        <is>
          <t>Variantes en la fuente</t>
        </is>
      </c>
      <c r="C5" s="48" t="inlineStr">
        <is>
          <t>Coincidieron y complementaron un artículo existente</t>
        </is>
      </c>
      <c r="D5" s="48" t="inlineStr">
        <is>
          <t>Alta como artículo nuevo</t>
        </is>
      </c>
      <c r="E5" s="48" t="inlineStr">
        <is>
          <t>A hoja Duplicados (artículo distinto)</t>
        </is>
      </c>
      <c r="F5" s="48" t="inlineStr">
        <is>
          <t>No integradas (servicios / conceptos)</t>
        </is>
      </c>
    </row>
    <row r="6" ht="12.75" customHeight="1" s="176">
      <c r="A6" s="151" t="inlineStr">
        <is>
          <t>Shopify Stetson México</t>
        </is>
      </c>
      <c r="B6" s="152">
        <f>SUM(C6:F6)</f>
        <v/>
      </c>
      <c r="C6" s="152" t="n">
        <v>2412</v>
      </c>
      <c r="D6" s="152" t="n">
        <v>47</v>
      </c>
      <c r="E6" s="152" t="n">
        <v>4</v>
      </c>
      <c r="F6" s="152" t="n">
        <v>6</v>
      </c>
    </row>
    <row r="7" ht="12.75" customHeight="1" s="176">
      <c r="A7" s="151" t="inlineStr">
        <is>
          <t>Shopify Western Brothers</t>
        </is>
      </c>
      <c r="B7" s="152">
        <f>SUM(C7:F7)</f>
        <v/>
      </c>
      <c r="C7" s="152" t="n">
        <v>2493</v>
      </c>
      <c r="D7" s="152" t="n">
        <v>18</v>
      </c>
      <c r="E7" s="152" t="n">
        <v>2</v>
      </c>
      <c r="F7" s="152" t="n">
        <v>1</v>
      </c>
    </row>
    <row r="8" ht="12.75" customHeight="1" s="176">
      <c r="A8" s="151" t="inlineStr">
        <is>
          <t>Odoo Universal Unique Brands</t>
        </is>
      </c>
      <c r="B8" s="152">
        <f>SUM(C8:F8)</f>
        <v/>
      </c>
      <c r="C8" s="152" t="n">
        <v>1396</v>
      </c>
      <c r="D8" s="152" t="n">
        <v>360</v>
      </c>
      <c r="E8" s="152" t="n">
        <v>0</v>
      </c>
      <c r="F8" s="152" t="n">
        <v>15</v>
      </c>
    </row>
    <row r="9" ht="12.75" customHeight="1" s="176">
      <c r="A9" s="153" t="inlineStr">
        <is>
          <t>Total</t>
        </is>
      </c>
      <c r="B9" s="154">
        <f>SUM(B6:B8)</f>
        <v/>
      </c>
      <c r="C9" s="154">
        <f>SUM(C6:C8)</f>
        <v/>
      </c>
      <c r="D9" s="154">
        <f>SUM(D6:D8)</f>
        <v/>
      </c>
      <c r="E9" s="154">
        <f>SUM(E6:E8)</f>
        <v/>
      </c>
      <c r="F9" s="154">
        <f>SUM(F6:F8)</f>
        <v/>
      </c>
    </row>
    <row r="10" ht="12.75" customHeight="1" s="176">
      <c r="A10" s="5" t="n"/>
      <c r="B10" s="5" t="n"/>
      <c r="C10" s="5" t="n"/>
      <c r="D10" s="5" t="n"/>
      <c r="E10" s="5" t="n"/>
      <c r="F10" s="5" t="n"/>
    </row>
    <row r="11" ht="12.75" customHeight="1" s="176">
      <c r="A11" s="150" t="inlineStr">
        <is>
          <t>Estado de la hoja Productos (se recalcula sola)</t>
        </is>
      </c>
      <c r="B11" s="5" t="n"/>
      <c r="C11" s="5" t="n"/>
      <c r="D11" s="5" t="n"/>
      <c r="E11" s="5" t="n"/>
      <c r="F11" s="5" t="n"/>
    </row>
    <row r="12" ht="12.75" customHeight="1" s="176">
      <c r="A12" s="48" t="inlineStr">
        <is>
          <t>Concepto</t>
        </is>
      </c>
      <c r="B12" s="48" t="inlineStr">
        <is>
          <t>Filas</t>
        </is>
      </c>
      <c r="C12" s="5" t="n"/>
      <c r="D12" s="5" t="n"/>
      <c r="E12" s="5" t="n"/>
      <c r="F12" s="5" t="n"/>
    </row>
    <row r="13" ht="12.75" customHeight="1" s="176">
      <c r="A13" s="151" t="inlineStr">
        <is>
          <t>Filas en Productos</t>
        </is>
      </c>
      <c r="B13" s="152">
        <f>COUNTIF(Productos!AA:AA,"?*")</f>
        <v/>
      </c>
      <c r="C13" s="5" t="n"/>
      <c r="D13" s="5" t="n"/>
      <c r="E13" s="5" t="n"/>
      <c r="F13" s="5" t="n"/>
    </row>
    <row r="14" ht="12.75" customHeight="1" s="176">
      <c r="A14" s="151" t="inlineStr">
        <is>
          <t>Artículos con ubicación en alguna plataforma</t>
        </is>
      </c>
      <c r="B14" s="152">
        <f>COUNTA(Productos!AN:AN)-1</f>
        <v/>
      </c>
      <c r="C14" s="5" t="n"/>
      <c r="D14" s="5" t="n"/>
      <c r="E14" s="5" t="n"/>
      <c r="F14" s="5" t="n"/>
    </row>
    <row r="15" ht="12.75" customHeight="1" s="176">
      <c r="A15" s="151" t="inlineStr">
        <is>
          <t xml:space="preserve">   … en Shopify Stetson México</t>
        </is>
      </c>
      <c r="B15" s="152">
        <f>COUNTIF(Productos!AN:AN,"*Shopify Stetson México*")</f>
        <v/>
      </c>
      <c r="C15" s="5" t="n"/>
      <c r="D15" s="5" t="n"/>
      <c r="E15" s="5" t="n"/>
      <c r="F15" s="5" t="n"/>
    </row>
    <row r="16" ht="12.75" customHeight="1" s="176">
      <c r="A16" s="151" t="inlineStr">
        <is>
          <t xml:space="preserve">   … en Shopify Western Brothers</t>
        </is>
      </c>
      <c r="B16" s="152">
        <f>COUNTIF(Productos!AN:AN,"*Shopify Western Brothers*")</f>
        <v/>
      </c>
      <c r="C16" s="5" t="n"/>
      <c r="D16" s="5" t="n"/>
      <c r="E16" s="5" t="n"/>
      <c r="F16" s="5" t="n"/>
    </row>
    <row r="17" ht="12.75" customHeight="1" s="176">
      <c r="A17" s="151" t="inlineStr">
        <is>
          <t xml:space="preserve">   … en Odoo Universal Unique Brands</t>
        </is>
      </c>
      <c r="B17" s="152">
        <f>COUNTIF(Productos!AN:AN,"*Odoo Universal Unique Brands*")</f>
        <v/>
      </c>
      <c r="C17" s="5" t="n"/>
      <c r="D17" s="5" t="n"/>
      <c r="E17" s="5" t="n"/>
      <c r="F17" s="5" t="n"/>
    </row>
    <row r="18" ht="12.75" customHeight="1" s="176">
      <c r="A18" s="151" t="inlineStr">
        <is>
          <t>Filas existentes complementadas con datos de plataformas</t>
        </is>
      </c>
      <c r="B18" s="152">
        <f>COUNTIF(Productos!AH:AH,"*complementado desde*")</f>
        <v/>
      </c>
      <c r="C18" s="5" t="n"/>
      <c r="D18" s="5" t="n"/>
      <c r="E18" s="5" t="n"/>
      <c r="F18" s="5" t="n"/>
    </row>
    <row r="19" ht="12.75" customHeight="1" s="176">
      <c r="A19" s="151" t="inlineStr">
        <is>
          <t>Filas nuevas dadas de alta desde plataformas</t>
        </is>
      </c>
      <c r="B19" s="152">
        <f>COUNTIF(Productos!AG:AG,"Nuevo – Shopify*")+COUNTIF(Productos!AG:AG,"Nuevo – Odoo*")</f>
        <v/>
      </c>
      <c r="C19" s="5" t="n"/>
      <c r="D19" s="5" t="n"/>
      <c r="E19" s="5" t="n"/>
      <c r="F19" s="5" t="n"/>
    </row>
    <row r="20" ht="12.75" customHeight="1" s="176">
      <c r="A20" s="151" t="inlineStr">
        <is>
          <t>Filas en la hoja Duplicados (Productos + plataforma)</t>
        </is>
      </c>
      <c r="B20" s="152">
        <f>COUNTA('Revisión Duplicados'!A:A)-1</f>
        <v/>
      </c>
      <c r="C20" s="5" t="n"/>
      <c r="D20" s="5" t="n"/>
      <c r="E20" s="5" t="n"/>
      <c r="F20" s="5" t="n"/>
    </row>
    <row r="21" ht="12.75" customHeight="1" s="176">
      <c r="A21" s="151" t="inlineStr">
        <is>
          <t>Artículos con código de barras mal asignado en la plataforma (corregir allá)</t>
        </is>
      </c>
      <c r="B21" s="152">
        <f>COUNTIF(Productos!AH:AH,"*corregir el código en*")</f>
        <v/>
      </c>
      <c r="C21" s="5" t="n"/>
      <c r="D21" s="5" t="n"/>
      <c r="E21" s="5" t="n"/>
      <c r="F21" s="5" t="n"/>
    </row>
    <row r="22" ht="12.75" customHeight="1" s="176">
      <c r="A22" s="5" t="n"/>
      <c r="B22" s="5" t="n"/>
      <c r="C22" s="5" t="n"/>
      <c r="D22" s="5" t="n"/>
      <c r="E22" s="5" t="n"/>
      <c r="F22" s="5" t="n"/>
    </row>
    <row r="23" ht="12.75" customHeight="1" s="176">
      <c r="A23" s="150" t="inlineStr">
        <is>
          <t>Campos complementados en filas existentes (celdas vacías o con valor fuera de Criterios)</t>
        </is>
      </c>
      <c r="B23" s="5" t="n"/>
      <c r="C23" s="5" t="n"/>
      <c r="D23" s="5" t="n"/>
      <c r="E23" s="5" t="n"/>
      <c r="F23" s="5" t="n"/>
    </row>
    <row r="24" ht="12.75" customHeight="1" s="176">
      <c r="A24" s="48" t="inlineStr">
        <is>
          <t>Campo</t>
        </is>
      </c>
      <c r="B24" s="48" t="inlineStr">
        <is>
          <t>Shopify Stetson México</t>
        </is>
      </c>
      <c r="C24" s="48" t="inlineStr">
        <is>
          <t>Shopify Western Brothers</t>
        </is>
      </c>
      <c r="D24" s="48" t="inlineStr">
        <is>
          <t>Odoo Universal Unique Brands</t>
        </is>
      </c>
      <c r="E24" s="48" t="inlineStr">
        <is>
          <t>Total</t>
        </is>
      </c>
      <c r="F24" s="5" t="n"/>
    </row>
    <row r="25" ht="12.75" customHeight="1" s="176">
      <c r="A25" s="151" t="inlineStr">
        <is>
          <t>WB Silueta</t>
        </is>
      </c>
      <c r="B25" s="152" t="n">
        <v>1428</v>
      </c>
      <c r="C25" s="152" t="n">
        <v>1559</v>
      </c>
      <c r="D25" s="152" t="n">
        <v>18</v>
      </c>
      <c r="E25" s="152">
        <f>SUM(B25:D25)</f>
        <v/>
      </c>
      <c r="F25" s="5" t="n"/>
    </row>
    <row r="26" ht="12.75" customHeight="1" s="176">
      <c r="A26" s="151" t="inlineStr">
        <is>
          <t>WB Fit</t>
        </is>
      </c>
      <c r="B26" s="152" t="n">
        <v>1652</v>
      </c>
      <c r="C26" s="152" t="n">
        <v>939</v>
      </c>
      <c r="D26" s="152" t="n">
        <v>25</v>
      </c>
      <c r="E26" s="152">
        <f>SUM(B26:D26)</f>
        <v/>
      </c>
      <c r="F26" s="5" t="n"/>
    </row>
    <row r="27" ht="12.75" customHeight="1" s="176">
      <c r="A27" s="151" t="inlineStr">
        <is>
          <t>Enlace de imagen</t>
        </is>
      </c>
      <c r="B27" s="152" t="n">
        <v>234</v>
      </c>
      <c r="C27" s="152" t="n">
        <v>31</v>
      </c>
      <c r="D27" s="152" t="n">
        <v>231</v>
      </c>
      <c r="E27" s="152">
        <f>SUM(B27:D27)</f>
        <v/>
      </c>
      <c r="F27" s="5" t="n"/>
    </row>
    <row r="28" ht="12.75" customHeight="1" s="176">
      <c r="A28" s="151" t="inlineStr">
        <is>
          <t>WB Talla de EE. UU.</t>
        </is>
      </c>
      <c r="B28" s="152" t="n">
        <v>0</v>
      </c>
      <c r="C28" s="152" t="n">
        <v>7</v>
      </c>
      <c r="D28" s="152" t="n">
        <v>321</v>
      </c>
      <c r="E28" s="152">
        <f>SUM(B28:D28)</f>
        <v/>
      </c>
      <c r="F28" s="5" t="n"/>
    </row>
    <row r="29" ht="12.75" customHeight="1" s="176">
      <c r="A29" s="151" t="inlineStr">
        <is>
          <t>WB Talla</t>
        </is>
      </c>
      <c r="B29" s="152" t="n">
        <v>0</v>
      </c>
      <c r="C29" s="152" t="n">
        <v>0</v>
      </c>
      <c r="D29" s="152" t="n">
        <v>229</v>
      </c>
      <c r="E29" s="152">
        <f>SUM(B29:D29)</f>
        <v/>
      </c>
      <c r="F29" s="5" t="n"/>
    </row>
    <row r="30" ht="12.75" customHeight="1" s="176">
      <c r="A30" s="151" t="inlineStr">
        <is>
          <t>WB Color</t>
        </is>
      </c>
      <c r="B30" s="152" t="n">
        <v>120</v>
      </c>
      <c r="C30" s="152" t="n">
        <v>29</v>
      </c>
      <c r="D30" s="152" t="n">
        <v>20</v>
      </c>
      <c r="E30" s="152">
        <f>SUM(B30:D30)</f>
        <v/>
      </c>
      <c r="F30" s="5" t="n"/>
    </row>
    <row r="31" ht="12.75" customHeight="1" s="176">
      <c r="A31" s="151" t="inlineStr">
        <is>
          <t>WB Descripción larga</t>
        </is>
      </c>
      <c r="B31" s="152" t="n">
        <v>60</v>
      </c>
      <c r="C31" s="152" t="n">
        <v>7</v>
      </c>
      <c r="D31" s="152" t="n">
        <v>85</v>
      </c>
      <c r="E31" s="152">
        <f>SUM(B31:D31)</f>
        <v/>
      </c>
      <c r="F31" s="5" t="n"/>
    </row>
    <row r="32" ht="12.75" customHeight="1" s="176">
      <c r="A32" s="151" t="inlineStr">
        <is>
          <t>WB Género</t>
        </is>
      </c>
      <c r="B32" s="152" t="n">
        <v>0</v>
      </c>
      <c r="C32" s="152" t="n">
        <v>0</v>
      </c>
      <c r="D32" s="152" t="n">
        <v>150</v>
      </c>
      <c r="E32" s="152">
        <f>SUM(B32:D32)</f>
        <v/>
      </c>
      <c r="F32" s="5" t="n"/>
    </row>
    <row r="33" ht="12.75" customHeight="1" s="176">
      <c r="A33" s="151" t="inlineStr">
        <is>
          <t>WB Temporada</t>
        </is>
      </c>
      <c r="B33" s="152" t="n">
        <v>40</v>
      </c>
      <c r="C33" s="152" t="n">
        <v>0</v>
      </c>
      <c r="D33" s="152" t="n">
        <v>29</v>
      </c>
      <c r="E33" s="152">
        <f>SUM(B33:D33)</f>
        <v/>
      </c>
      <c r="F33" s="5" t="n"/>
    </row>
    <row r="34" ht="12.75" customHeight="1" s="176">
      <c r="A34" s="151" t="inlineStr">
        <is>
          <t>WB Licencia</t>
        </is>
      </c>
      <c r="B34" s="152" t="n">
        <v>0</v>
      </c>
      <c r="C34" s="152" t="n">
        <v>0</v>
      </c>
      <c r="D34" s="152" t="n">
        <v>38</v>
      </c>
      <c r="E34" s="152">
        <f>SUM(B34:D34)</f>
        <v/>
      </c>
      <c r="F34" s="5" t="n"/>
    </row>
    <row r="35" ht="12.75" customHeight="1" s="176">
      <c r="A35" s="151" t="inlineStr">
        <is>
          <t>WB N.º de estilo</t>
        </is>
      </c>
      <c r="B35" s="152" t="n">
        <v>0</v>
      </c>
      <c r="C35" s="152" t="n">
        <v>0</v>
      </c>
      <c r="D35" s="152" t="n">
        <v>35</v>
      </c>
      <c r="E35" s="152">
        <f>SUM(B35:D35)</f>
        <v/>
      </c>
      <c r="F35" s="5" t="n"/>
    </row>
    <row r="36" ht="12.75" customHeight="1" s="176">
      <c r="A36" s="151" t="inlineStr">
        <is>
          <t>WB Ciclo de vida</t>
        </is>
      </c>
      <c r="B36" s="152" t="n">
        <v>0</v>
      </c>
      <c r="C36" s="152" t="n">
        <v>0</v>
      </c>
      <c r="D36" s="152" t="n">
        <v>25</v>
      </c>
      <c r="E36" s="152">
        <f>SUM(B36:D36)</f>
        <v/>
      </c>
      <c r="F36" s="5" t="n"/>
    </row>
    <row r="37" ht="12.75" customHeight="1" s="176">
      <c r="A37" s="151" t="inlineStr">
        <is>
          <t>WB País de origen</t>
        </is>
      </c>
      <c r="B37" s="152" t="n">
        <v>0</v>
      </c>
      <c r="C37" s="152" t="n">
        <v>0</v>
      </c>
      <c r="D37" s="152" t="n">
        <v>14</v>
      </c>
      <c r="E37" s="152">
        <f>SUM(B37:D37)</f>
        <v/>
      </c>
      <c r="F37" s="5" t="n"/>
    </row>
    <row r="38" ht="12.75" customHeight="1" s="176">
      <c r="A38" s="151" t="inlineStr">
        <is>
          <t>WB Descripcion</t>
        </is>
      </c>
      <c r="B38" s="152" t="n">
        <v>0</v>
      </c>
      <c r="C38" s="152" t="n">
        <v>0</v>
      </c>
      <c r="D38" s="152" t="n">
        <v>13</v>
      </c>
      <c r="E38" s="152">
        <f>SUM(B38:D38)</f>
        <v/>
      </c>
      <c r="F38" s="5" t="n"/>
    </row>
    <row r="39" ht="12.75" customHeight="1" s="176">
      <c r="A39" s="151" t="inlineStr">
        <is>
          <t>WB Categoría</t>
        </is>
      </c>
      <c r="B39" s="152" t="n">
        <v>0</v>
      </c>
      <c r="C39" s="152" t="n">
        <v>0</v>
      </c>
      <c r="D39" s="152" t="n">
        <v>3</v>
      </c>
      <c r="E39" s="152">
        <f>SUM(B39:D39)</f>
        <v/>
      </c>
      <c r="F39" s="5" t="n"/>
    </row>
    <row r="40" ht="12.75" customHeight="1" s="176">
      <c r="A40" s="151" t="inlineStr">
        <is>
          <t>WB División</t>
        </is>
      </c>
      <c r="B40" s="152" t="n">
        <v>0</v>
      </c>
      <c r="C40" s="152" t="n">
        <v>0</v>
      </c>
      <c r="D40" s="152" t="n">
        <v>2</v>
      </c>
      <c r="E40" s="152">
        <f>SUM(B40:D40)</f>
        <v/>
      </c>
      <c r="F40" s="5" t="n"/>
    </row>
    <row r="41" ht="12.75" customHeight="1" s="176">
      <c r="A41" s="151" t="inlineStr">
        <is>
          <t>WB SKU</t>
        </is>
      </c>
      <c r="B41" s="152" t="n">
        <v>0</v>
      </c>
      <c r="C41" s="152" t="n">
        <v>0</v>
      </c>
      <c r="D41" s="152" t="n">
        <v>1</v>
      </c>
      <c r="E41" s="152">
        <f>SUM(B41:D41)</f>
        <v/>
      </c>
      <c r="F41" s="5" t="n"/>
    </row>
    <row r="42" ht="12.75" customHeight="1" s="176">
      <c r="A42" s="151" t="inlineStr">
        <is>
          <t>Código de barras</t>
        </is>
      </c>
      <c r="B42" s="152" t="n">
        <v>0</v>
      </c>
      <c r="C42" s="152" t="n">
        <v>0</v>
      </c>
      <c r="D42" s="152" t="n">
        <v>1</v>
      </c>
      <c r="E42" s="152">
        <f>SUM(B42:D42)</f>
        <v/>
      </c>
      <c r="F42" s="5" t="n"/>
    </row>
    <row r="43" ht="12.75" customHeight="1" s="176">
      <c r="A43" s="5" t="n"/>
      <c r="B43" s="5" t="n"/>
      <c r="C43" s="5" t="n"/>
      <c r="D43" s="5" t="n"/>
      <c r="E43" s="5" t="n"/>
      <c r="F43" s="5" t="n"/>
    </row>
    <row r="44" ht="12.75" customHeight="1" s="176">
      <c r="A44" s="150" t="inlineStr">
        <is>
          <t>Reglas aplicadas</t>
        </is>
      </c>
      <c r="B44" s="5" t="n"/>
      <c r="C44" s="5" t="n"/>
      <c r="D44" s="5" t="n"/>
      <c r="E44" s="5" t="n"/>
      <c r="F44" s="5" t="n"/>
    </row>
    <row r="45" ht="30" customHeight="1" s="176">
      <c r="A45" s="149" t="inlineStr">
        <is>
          <t>• Búsqueda: primero por código de barras (ignorando ceros a la izquierda); si no coincide, por SKU. Si el nombre del artículo en la plataforma es un código (p. ej. «WG218-W068BK») y no trae SKU, se usa como SKU.</t>
        </is>
      </c>
    </row>
    <row r="46" ht="45" customHeight="1" s="176">
      <c r="A46" s="149" t="inlineStr">
        <is>
          <t>• Si el código de barras de la plataforma apunta a otro artículo pero el SKU apunta al correcto, se usa el SKU y se anota en «Notas de enriquecimiento / revisión» que el código está mal en la plataforma (camisas Reflection Geo en Shopify Stetson, ya corregidas en Productos el 30/09).</t>
        </is>
      </c>
    </row>
    <row r="47" ht="45" customHeight="1" s="176">
      <c r="A47" s="149" t="inlineStr">
        <is>
          <t>• Duplicados: sólo cuando el mismo código de barras o SKU corresponde a artículos completamente distintos (otra división, otra marca y categoría, u otro estilo con descripción sin relación). Se sacaron ambas filas —la de Productos y la de la plataforma— a la hoja Duplicados, agrupadas, para decidir cuál se queda.</t>
        </is>
      </c>
    </row>
    <row r="48" ht="45" customHeight="1" s="176">
      <c r="A48" s="149" t="inlineStr">
        <is>
          <t>• Complemento: se llenan celdas vacías de Productos y se reemplazan valores fuera de Criterios (p. ej. Silueta «Manga larga» → «No Aplica»). Un valor válido de Productos nunca se sobrescribe; si la plataforma trae otro valor, se anota en «Notas de enriquecimiento / revisión».</t>
        </is>
      </c>
    </row>
    <row r="49" ht="30" customHeight="1" s="176">
      <c r="A49" s="149" t="inlineStr">
        <is>
          <t>• Descripción y descripción larga: sólo se reemplazan si la de Productos es un marcador (p. ej. «WG BAG») o una línea corta y la plataforma trae una versión mucho más completa.</t>
        </is>
      </c>
    </row>
    <row r="50" ht="30" customHeight="1" s="176">
      <c r="A50" s="149" t="inlineStr">
        <is>
          <t>• Tallas: «WB Talla de EE. UU.» sólo se completa si la «WB Talla» de Productos coincide con la de la plataforma, para no mezclar pares de tallas.</t>
        </is>
      </c>
    </row>
    <row r="51" ht="45" customHeight="1" s="176">
      <c r="A51" s="149" t="inlineStr">
        <is>
          <t>• Precio de venta (sólo celdas vacías y filas nuevas): Shopify Stetson México ÷ 1.16, porque sus precios incluyen IVA (en 2,041 de 2,395 artículos comparables la relación con NetSuite es exactamente 1.16). Western Brothers y Odoo sin ajuste (relación 1.00 dominante).</t>
        </is>
      </c>
    </row>
    <row r="52" ht="30" customHeight="1" s="176">
      <c r="A52" s="149" t="inlineStr">
        <is>
          <t>• Precio de compra: no se tomó de plataformas para artículos existentes (los costos de Odoo no son comparables con NetSuite: 188 de 708 difieren ~25×). En filas nuevas se conserva el costo que trae la plataforma.</t>
        </is>
      </c>
    </row>
    <row r="53" ht="30" customHeight="1" s="176">
      <c r="A53" s="149" t="inlineStr">
        <is>
          <t>• Filas nuevas: valores validados contra Criterios (listas, catálogo de tallas, División según Categoría, Unidad PRS para calzado). Lo que no cuadra se deja vacío y se anota, como pide la Ruta de llenado (paso 10).</t>
        </is>
      </c>
    </row>
    <row r="54" ht="30" customHeight="1" s="176">
      <c r="A54" s="149" t="inlineStr">
        <is>
          <t>• Ubicación: «Plataforma + Marca/tienda» en la columna AN; existencias por plataforma en AO–AQ y detalle por almacén en AR. Las tres ubicaciones se agregaron a Criterios › 9. Ubicaciones (tipo Shopify / Odoo, sin validación de stock NetSuite).</t>
        </is>
      </c>
    </row>
    <row r="55" ht="30" customHeight="1" s="176">
      <c r="A55" s="149" t="inlineStr">
        <is>
          <t>• Estatus de Validación y Detalle de Discrepancias: misma fórmula de antes, ahora apuntando a la hoja Criterios de este archivo (antes apuntaba a Ciclico_1522_investigado.xlsx). «Precio compra/venta vigente» quedó como valor fijo (ver nota en AL1).</t>
        </is>
      </c>
    </row>
    <row r="56" ht="12.75" customHeight="1" s="176">
      <c r="A56" s="5" t="n"/>
      <c r="B56" s="5" t="n"/>
      <c r="C56" s="5" t="n"/>
      <c r="D56" s="5" t="n"/>
      <c r="E56" s="5" t="n"/>
      <c r="F56" s="5" t="n"/>
    </row>
    <row r="57" ht="12.75" customHeight="1" s="176">
      <c r="A57" s="150" t="inlineStr">
        <is>
          <t>Variantes no integradas (servicios / conceptos no inventariables)</t>
        </is>
      </c>
      <c r="B57" s="5" t="n"/>
      <c r="C57" s="5" t="n"/>
      <c r="D57" s="5" t="n"/>
      <c r="E57" s="5" t="n"/>
      <c r="F57" s="5" t="n"/>
    </row>
    <row r="58" ht="12.75" customHeight="1" s="176">
      <c r="A58" s="48" t="inlineStr">
        <is>
          <t>Plataforma</t>
        </is>
      </c>
      <c r="B58" s="48" t="inlineStr">
        <is>
          <t>Código de barras</t>
        </is>
      </c>
      <c r="C58" s="48" t="inlineStr">
        <is>
          <t>SKU</t>
        </is>
      </c>
      <c r="D58" s="48" t="inlineStr">
        <is>
          <t>Descripción</t>
        </is>
      </c>
      <c r="E58" s="48" t="inlineStr">
        <is>
          <t>Motivo</t>
        </is>
      </c>
      <c r="F58" s="5" t="n"/>
    </row>
    <row r="59" ht="12.75" customHeight="1" s="176">
      <c r="A59" s="151" t="inlineStr">
        <is>
          <t>Shopify Stetson México</t>
        </is>
      </c>
      <c r="B59" s="151" t="inlineStr">
        <is>
          <t>100001</t>
        </is>
      </c>
      <c r="C59" s="151" t="inlineStr">
        <is>
          <t>100001</t>
        </is>
      </c>
      <c r="D59" s="151" t="inlineStr">
        <is>
          <t>Servicio Hat Doctor</t>
        </is>
      </c>
      <c r="E59" s="151" t="inlineStr">
        <is>
          <t>Servicio / concepto no inventariable</t>
        </is>
      </c>
      <c r="F59" s="5" t="n"/>
    </row>
    <row r="60" ht="12.75" customHeight="1" s="176">
      <c r="A60" s="151" t="inlineStr">
        <is>
          <t>Shopify Stetson México</t>
        </is>
      </c>
      <c r="B60" s="151" t="inlineStr">
        <is>
          <t>100001</t>
        </is>
      </c>
      <c r="C60" s="151" t="inlineStr">
        <is>
          <t>100001</t>
        </is>
      </c>
      <c r="D60" s="151" t="inlineStr">
        <is>
          <t>Servicio Hat Doctor</t>
        </is>
      </c>
      <c r="E60" s="151" t="inlineStr">
        <is>
          <t>Servicio / concepto no inventariable</t>
        </is>
      </c>
      <c r="F60" s="5" t="n"/>
    </row>
    <row r="61" ht="12.75" customHeight="1" s="176">
      <c r="A61" s="151" t="inlineStr">
        <is>
          <t>Shopify Stetson México</t>
        </is>
      </c>
      <c r="B61" s="151" t="inlineStr">
        <is>
          <t>100001</t>
        </is>
      </c>
      <c r="C61" s="151" t="inlineStr">
        <is>
          <t>100001</t>
        </is>
      </c>
      <c r="D61" s="151" t="inlineStr">
        <is>
          <t>Servicio Hat Doctor</t>
        </is>
      </c>
      <c r="E61" s="151" t="inlineStr">
        <is>
          <t>Servicio / concepto no inventariable</t>
        </is>
      </c>
      <c r="F61" s="5" t="n"/>
    </row>
    <row r="62" ht="12.75" customHeight="1" s="176">
      <c r="A62" s="151" t="inlineStr">
        <is>
          <t>Shopify Stetson México</t>
        </is>
      </c>
      <c r="B62" s="151" t="inlineStr">
        <is>
          <t>100001</t>
        </is>
      </c>
      <c r="C62" s="151" t="inlineStr">
        <is>
          <t>100001</t>
        </is>
      </c>
      <c r="D62" s="151" t="inlineStr">
        <is>
          <t>Servicio Hat Doctor</t>
        </is>
      </c>
      <c r="E62" s="151" t="inlineStr">
        <is>
          <t>Servicio / concepto no inventariable</t>
        </is>
      </c>
      <c r="F62" s="5" t="n"/>
    </row>
    <row r="63" ht="12.75" customHeight="1" s="176">
      <c r="A63" s="151" t="inlineStr">
        <is>
          <t>Shopify Stetson México</t>
        </is>
      </c>
      <c r="B63" s="151" t="inlineStr">
        <is>
          <t>999999</t>
        </is>
      </c>
      <c r="C63" s="151" t="inlineStr">
        <is>
          <t>ENVIO</t>
        </is>
      </c>
      <c r="D63" s="151" t="inlineStr">
        <is>
          <t>Servicio de envio asegurado</t>
        </is>
      </c>
      <c r="E63" s="151" t="inlineStr">
        <is>
          <t>Servicio / concepto no inventariable</t>
        </is>
      </c>
      <c r="F63" s="5" t="n"/>
    </row>
    <row r="64" ht="12.75" customHeight="1" s="176">
      <c r="A64" s="151" t="inlineStr">
        <is>
          <t>Shopify Stetson México</t>
        </is>
      </c>
      <c r="B64" s="151" t="inlineStr">
        <is>
          <t>999999</t>
        </is>
      </c>
      <c r="C64" s="151" t="inlineStr">
        <is>
          <t>ENVIO</t>
        </is>
      </c>
      <c r="D64" s="151" t="inlineStr">
        <is>
          <t>Servicio de envio asegurado</t>
        </is>
      </c>
      <c r="E64" s="151" t="inlineStr">
        <is>
          <t>Servicio / concepto no inventariable</t>
        </is>
      </c>
      <c r="F64" s="5" t="n"/>
    </row>
    <row r="65" ht="12.75" customHeight="1" s="176">
      <c r="A65" s="151" t="inlineStr">
        <is>
          <t>Shopify Western Brothers</t>
        </is>
      </c>
      <c r="B65" s="151" t="inlineStr">
        <is>
          <t>100001</t>
        </is>
      </c>
      <c r="C65" s="151" t="inlineStr">
        <is>
          <t>100001</t>
        </is>
      </c>
      <c r="D65" s="151" t="inlineStr">
        <is>
          <t>Servicio Hat Doctor</t>
        </is>
      </c>
      <c r="E65" s="151" t="inlineStr">
        <is>
          <t>Servicio / concepto no inventariable</t>
        </is>
      </c>
      <c r="F65" s="5" t="n"/>
    </row>
    <row r="66" ht="12.75" customHeight="1" s="176">
      <c r="A66" s="151" t="inlineStr">
        <is>
          <t>Odoo Universal Unique Brands</t>
        </is>
      </c>
      <c r="B66" s="151" t="n"/>
      <c r="C66" s="151" t="n"/>
      <c r="D66" s="151" t="inlineStr">
        <is>
          <t>Tarifas de reservación</t>
        </is>
      </c>
      <c r="E66" s="151" t="inlineStr">
        <is>
          <t>Servicio / concepto no inventariable</t>
        </is>
      </c>
      <c r="F66" s="5" t="n"/>
    </row>
    <row r="67" ht="12.75" customHeight="1" s="176">
      <c r="A67" s="151" t="inlineStr">
        <is>
          <t>Odoo Universal Unique Brands</t>
        </is>
      </c>
      <c r="B67" s="151" t="n"/>
      <c r="C67" s="151" t="n"/>
      <c r="D67" s="151" t="inlineStr">
        <is>
          <t>Envío</t>
        </is>
      </c>
      <c r="E67" s="151" t="inlineStr">
        <is>
          <t>Servicio / concepto no inventariable</t>
        </is>
      </c>
      <c r="F67" s="5" t="n"/>
    </row>
    <row r="68" ht="12.75" customHeight="1" s="176">
      <c r="A68" s="151" t="inlineStr">
        <is>
          <t>Odoo Universal Unique Brands</t>
        </is>
      </c>
      <c r="B68" s="151" t="n"/>
      <c r="C68" s="151" t="n"/>
      <c r="D68" s="151" t="inlineStr">
        <is>
          <t>Descuento</t>
        </is>
      </c>
      <c r="E68" s="151" t="inlineStr">
        <is>
          <t>Servicio / concepto no inventariable</t>
        </is>
      </c>
      <c r="F68" s="5" t="n"/>
    </row>
    <row r="69" ht="12.75" customHeight="1" s="176">
      <c r="A69" s="151" t="inlineStr">
        <is>
          <t>Odoo Universal Unique Brands</t>
        </is>
      </c>
      <c r="B69" s="151" t="n"/>
      <c r="C69" s="151" t="n"/>
      <c r="D69" s="151" t="inlineStr">
        <is>
          <t>Embalaje</t>
        </is>
      </c>
      <c r="E69" s="151" t="inlineStr">
        <is>
          <t>Servicio / concepto no inventariable</t>
        </is>
      </c>
      <c r="F69" s="5" t="n"/>
    </row>
    <row r="70" ht="12.75" customHeight="1" s="176">
      <c r="A70" s="151" t="inlineStr">
        <is>
          <t>Odoo Universal Unique Brands</t>
        </is>
      </c>
      <c r="B70" s="151" t="n"/>
      <c r="C70" s="151" t="n"/>
      <c r="D70" s="151" t="inlineStr">
        <is>
          <t>Envío ecommerce</t>
        </is>
      </c>
      <c r="E70" s="151" t="inlineStr">
        <is>
          <t>Servicio / concepto no inventariable</t>
        </is>
      </c>
      <c r="F70" s="5" t="n"/>
    </row>
    <row r="71" ht="12.75" customHeight="1" s="176">
      <c r="A71" s="151" t="inlineStr">
        <is>
          <t>Odoo Universal Unique Brands</t>
        </is>
      </c>
      <c r="B71" s="151" t="n"/>
      <c r="C71" s="151" t="n"/>
      <c r="D71" s="151" t="inlineStr">
        <is>
          <t>Envío Pagado x Nosotros</t>
        </is>
      </c>
      <c r="E71" s="151" t="inlineStr">
        <is>
          <t>Servicio / concepto no inventariable</t>
        </is>
      </c>
      <c r="F71" s="5" t="n"/>
    </row>
    <row r="72" ht="12.75" customHeight="1" s="176">
      <c r="A72" s="151" t="inlineStr">
        <is>
          <t>Odoo Universal Unique Brands</t>
        </is>
      </c>
      <c r="B72" s="151" t="n"/>
      <c r="C72" s="151" t="n"/>
      <c r="D72" s="151" t="inlineStr">
        <is>
          <t>Envío Pagado x Cliente</t>
        </is>
      </c>
      <c r="E72" s="151" t="inlineStr">
        <is>
          <t>Servicio / concepto no inventariable</t>
        </is>
      </c>
      <c r="F72" s="5" t="n"/>
    </row>
    <row r="73" ht="12.75" customHeight="1" s="176">
      <c r="A73" s="151" t="inlineStr">
        <is>
          <t>Odoo Universal Unique Brands</t>
        </is>
      </c>
      <c r="B73" s="151" t="n"/>
      <c r="C73" s="151" t="n"/>
      <c r="D73" s="151" t="inlineStr">
        <is>
          <t>Envía</t>
        </is>
      </c>
      <c r="E73" s="151" t="inlineStr">
        <is>
          <t>Servicio / concepto no inventariable</t>
        </is>
      </c>
      <c r="F73" s="5" t="n"/>
    </row>
    <row r="74" ht="12.75" customHeight="1" s="176">
      <c r="A74" s="151" t="inlineStr">
        <is>
          <t>Odoo Universal Unique Brands</t>
        </is>
      </c>
      <c r="B74" s="151" t="n"/>
      <c r="C74" s="151" t="inlineStr">
        <is>
          <t>TIPS</t>
        </is>
      </c>
      <c r="D74" s="151" t="inlineStr">
        <is>
          <t>Propinas</t>
        </is>
      </c>
      <c r="E74" s="151" t="inlineStr">
        <is>
          <t>Servicio / concepto no inventariable</t>
        </is>
      </c>
      <c r="F74" s="5" t="n"/>
    </row>
    <row r="75" ht="12.75" customHeight="1" s="176">
      <c r="A75" s="151" t="inlineStr">
        <is>
          <t>Odoo Universal Unique Brands</t>
        </is>
      </c>
      <c r="B75" s="151" t="n"/>
      <c r="C75" s="151" t="n"/>
      <c r="D75" s="151" t="inlineStr">
        <is>
          <t>Anticipo (PdV)</t>
        </is>
      </c>
      <c r="E75" s="151" t="inlineStr">
        <is>
          <t>Servicio / concepto no inventariable</t>
        </is>
      </c>
      <c r="F75" s="5" t="n"/>
    </row>
    <row r="76" ht="12.75" customHeight="1" s="176">
      <c r="A76" s="151" t="inlineStr">
        <is>
          <t>Odoo Universal Unique Brands</t>
        </is>
      </c>
      <c r="B76" s="151" t="n"/>
      <c r="C76" s="151" t="n"/>
      <c r="D76" s="151" t="inlineStr">
        <is>
          <t>Pagar el adeudo</t>
        </is>
      </c>
      <c r="E76" s="151" t="inlineStr">
        <is>
          <t>Servicio / concepto no inventariable</t>
        </is>
      </c>
      <c r="F76" s="5" t="n"/>
    </row>
    <row r="77" ht="12.75" customHeight="1" s="176">
      <c r="A77" s="151" t="inlineStr">
        <is>
          <t>Odoo Universal Unique Brands</t>
        </is>
      </c>
      <c r="B77" s="151" t="n"/>
      <c r="C77" s="151" t="n"/>
      <c r="D77" s="151" t="inlineStr">
        <is>
          <t>Depósito</t>
        </is>
      </c>
      <c r="E77" s="151" t="inlineStr">
        <is>
          <t>Servicio / concepto no inventariable</t>
        </is>
      </c>
      <c r="F77" s="5" t="n"/>
    </row>
    <row r="78" ht="12.75" customHeight="1" s="176">
      <c r="A78" s="151" t="inlineStr">
        <is>
          <t>Odoo Universal Unique Brands</t>
        </is>
      </c>
      <c r="B78" s="151" t="n"/>
      <c r="C78" s="151" t="n"/>
      <c r="D78" s="151" t="inlineStr">
        <is>
          <t>Liquidar factura</t>
        </is>
      </c>
      <c r="E78" s="151" t="inlineStr">
        <is>
          <t>Servicio / concepto no inventariable</t>
        </is>
      </c>
      <c r="F78" s="5" t="n"/>
    </row>
    <row r="79" ht="12.75" customHeight="1" s="176">
      <c r="A79" s="151" t="inlineStr">
        <is>
          <t>Odoo Universal Unique Brands</t>
        </is>
      </c>
      <c r="B79" s="151" t="n"/>
      <c r="C79" s="151" t="n"/>
      <c r="D79" s="151" t="inlineStr">
        <is>
          <t>GESTION DE EVENTOS</t>
        </is>
      </c>
      <c r="E79" s="151" t="inlineStr">
        <is>
          <t>Servicio / concepto no inventariable</t>
        </is>
      </c>
      <c r="F79" s="5" t="n"/>
    </row>
    <row r="80" ht="12.75" customHeight="1" s="176">
      <c r="A80" s="151" t="inlineStr">
        <is>
          <t>Odoo Universal Unique Brands</t>
        </is>
      </c>
      <c r="B80" s="151" t="n"/>
      <c r="C80" s="151" t="n"/>
      <c r="D80" s="151" t="inlineStr">
        <is>
          <t>DEVOLUCIONES Y DESCUENTOS</t>
        </is>
      </c>
      <c r="E80" s="151" t="inlineStr">
        <is>
          <t>Servicio / concepto no inventariable</t>
        </is>
      </c>
      <c r="F80" s="5" t="n"/>
    </row>
    <row r="81" ht="12.75" customHeight="1" s="176"/>
    <row r="82" ht="12.75" customHeight="1" s="176"/>
    <row r="83" ht="12.75" customHeight="1" s="176"/>
    <row r="84" ht="12.75" customHeight="1" s="176"/>
    <row r="85" ht="12.75" customHeight="1" s="176"/>
    <row r="86" ht="12.75" customHeight="1" s="176"/>
    <row r="87" ht="12.75" customHeight="1" s="176"/>
    <row r="88" ht="12.75" customHeight="1" s="176"/>
    <row r="89" ht="12.75" customHeight="1" s="176"/>
    <row r="90" ht="12.75" customHeight="1" s="176"/>
    <row r="91" ht="12.75" customHeight="1" s="176"/>
    <row r="92" ht="12.75" customHeight="1" s="176"/>
    <row r="93" ht="12.75" customHeight="1" s="176"/>
    <row r="94" ht="12.75" customHeight="1" s="176"/>
    <row r="95" ht="12.75" customHeight="1" s="176"/>
    <row r="96" ht="12.75" customHeight="1" s="176"/>
    <row r="97" ht="12.75" customHeight="1" s="176"/>
    <row r="98" ht="12.75" customHeight="1" s="176"/>
    <row r="99" ht="12.75" customHeight="1" s="176"/>
    <row r="100" ht="12.75" customHeight="1" s="176"/>
    <row r="101" ht="12.75" customHeight="1" s="176"/>
    <row r="102" ht="12.75" customHeight="1" s="176"/>
    <row r="103" ht="12.75" customHeight="1" s="176"/>
    <row r="104" ht="12.75" customHeight="1" s="176"/>
    <row r="105" ht="12.75" customHeight="1" s="176"/>
    <row r="106" ht="12.75" customHeight="1" s="176"/>
    <row r="107" ht="12.75" customHeight="1" s="176"/>
    <row r="108" ht="12.75" customHeight="1" s="176"/>
    <row r="109" ht="12.75" customHeight="1" s="176"/>
    <row r="110" ht="12.75" customHeight="1" s="176"/>
    <row r="111" ht="12.75" customHeight="1" s="176"/>
    <row r="112" ht="12.75" customHeight="1" s="176"/>
    <row r="113" ht="12.75" customHeight="1" s="176"/>
    <row r="114" ht="12.75" customHeight="1" s="176"/>
    <row r="115" ht="12.75" customHeight="1" s="176"/>
    <row r="116" ht="12.75" customHeight="1" s="176"/>
    <row r="117" ht="12.75" customHeight="1" s="176"/>
    <row r="118" ht="12.75" customHeight="1" s="176"/>
    <row r="119" ht="12.75" customHeight="1" s="176"/>
    <row r="120" ht="12.75" customHeight="1" s="176"/>
    <row r="121" ht="12.75" customHeight="1" s="176"/>
    <row r="122" ht="12.75" customHeight="1" s="176"/>
    <row r="123" ht="12.75" customHeight="1" s="176"/>
    <row r="124" ht="12.75" customHeight="1" s="176"/>
    <row r="125" ht="12.75" customHeight="1" s="176"/>
    <row r="126" ht="12.75" customHeight="1" s="176"/>
    <row r="127" ht="12.75" customHeight="1" s="176"/>
    <row r="128" ht="12.75" customHeight="1" s="176"/>
    <row r="129" ht="12.75" customHeight="1" s="176"/>
    <row r="130" ht="12.75" customHeight="1" s="176"/>
    <row r="131" ht="12.75" customHeight="1" s="176"/>
    <row r="132" ht="12.75" customHeight="1" s="176"/>
    <row r="133" ht="12.75" customHeight="1" s="176"/>
    <row r="134" ht="12.75" customHeight="1" s="176"/>
    <row r="135" ht="12.75" customHeight="1" s="176"/>
    <row r="136" ht="12.75" customHeight="1" s="176"/>
    <row r="137" ht="12.75" customHeight="1" s="176"/>
    <row r="138" ht="12.75" customHeight="1" s="176"/>
    <row r="139" ht="12.75" customHeight="1" s="176"/>
    <row r="140" ht="12.75" customHeight="1" s="176"/>
    <row r="141" ht="12.75" customHeight="1" s="176"/>
    <row r="142" ht="12.75" customHeight="1" s="176"/>
    <row r="143" ht="12.75" customHeight="1" s="176"/>
    <row r="144" ht="12.75" customHeight="1" s="176"/>
    <row r="145" ht="12.75" customHeight="1" s="176"/>
    <row r="146" ht="12.75" customHeight="1" s="176"/>
    <row r="147" ht="12.75" customHeight="1" s="176"/>
    <row r="148" ht="12.75" customHeight="1" s="176"/>
    <row r="149" ht="12.75" customHeight="1" s="176"/>
    <row r="150" ht="12.75" customHeight="1" s="176"/>
    <row r="151" ht="12.75" customHeight="1" s="176"/>
    <row r="152" ht="12.75" customHeight="1" s="176"/>
    <row r="153" ht="12.75" customHeight="1" s="176"/>
    <row r="154" ht="12.75" customHeight="1" s="176"/>
    <row r="155" ht="12.75" customHeight="1" s="176"/>
    <row r="156" ht="12.75" customHeight="1" s="176"/>
    <row r="157" ht="12.75" customHeight="1" s="176"/>
    <row r="158" ht="12.75" customHeight="1" s="176"/>
    <row r="159" ht="12.75" customHeight="1" s="176"/>
    <row r="160" ht="12.75" customHeight="1" s="176"/>
    <row r="161" ht="12.75" customHeight="1" s="176"/>
    <row r="162" ht="12.75" customHeight="1" s="176"/>
    <row r="163" ht="12.75" customHeight="1" s="176"/>
    <row r="164" ht="12.75" customHeight="1" s="176"/>
    <row r="165" ht="12.75" customHeight="1" s="176"/>
    <row r="166" ht="12.75" customHeight="1" s="176"/>
    <row r="167" ht="12.75" customHeight="1" s="176"/>
    <row r="168" ht="12.75" customHeight="1" s="176"/>
    <row r="169" ht="12.75" customHeight="1" s="176"/>
    <row r="170" ht="12.75" customHeight="1" s="176"/>
    <row r="171" ht="12.75" customHeight="1" s="176"/>
    <row r="172" ht="12.75" customHeight="1" s="176"/>
    <row r="173" ht="12.75" customHeight="1" s="176"/>
    <row r="174" ht="12.75" customHeight="1" s="176"/>
    <row r="175" ht="12.75" customHeight="1" s="176"/>
    <row r="176" ht="12.75" customHeight="1" s="176"/>
    <row r="177" ht="12.75" customHeight="1" s="176"/>
    <row r="178" ht="12.75" customHeight="1" s="176"/>
    <row r="179" ht="12.75" customHeight="1" s="176"/>
    <row r="180" ht="12.75" customHeight="1" s="176"/>
    <row r="181" ht="12.75" customHeight="1" s="176"/>
    <row r="182" ht="12.75" customHeight="1" s="176"/>
    <row r="183" ht="12.75" customHeight="1" s="176"/>
    <row r="184" ht="12.75" customHeight="1" s="176"/>
    <row r="185" ht="12.75" customHeight="1" s="176"/>
    <row r="186" ht="12.75" customHeight="1" s="176"/>
    <row r="187" ht="12.75" customHeight="1" s="176"/>
    <row r="188" ht="12.75" customHeight="1" s="176"/>
    <row r="189" ht="12.75" customHeight="1" s="176"/>
    <row r="190" ht="12.75" customHeight="1" s="176"/>
    <row r="191" ht="12.75" customHeight="1" s="176"/>
    <row r="192" ht="12.75" customHeight="1" s="176"/>
    <row r="193" ht="12.75" customHeight="1" s="176"/>
    <row r="194" ht="12.75" customHeight="1" s="176"/>
    <row r="195" ht="12.75" customHeight="1" s="176"/>
    <row r="196" ht="12.75" customHeight="1" s="176"/>
    <row r="197" ht="12.75" customHeight="1" s="176"/>
    <row r="198" ht="12.75" customHeight="1" s="176"/>
    <row r="199" ht="12.75" customHeight="1" s="176"/>
    <row r="200" ht="12.75" customHeight="1" s="176"/>
    <row r="201" ht="12.75" customHeight="1" s="176"/>
    <row r="202" ht="12.75" customHeight="1" s="176"/>
    <row r="203" ht="12.75" customHeight="1" s="176"/>
    <row r="204" ht="12.75" customHeight="1" s="176"/>
    <row r="205" ht="12.75" customHeight="1" s="176"/>
    <row r="206" ht="12.75" customHeight="1" s="176"/>
    <row r="207" ht="12.75" customHeight="1" s="176"/>
    <row r="208" ht="12.75" customHeight="1" s="176"/>
    <row r="209" ht="12.75" customHeight="1" s="176"/>
    <row r="210" ht="12.75" customHeight="1" s="176"/>
    <row r="211" ht="12.75" customHeight="1" s="176"/>
    <row r="212" ht="12.75" customHeight="1" s="176"/>
    <row r="213" ht="12.75" customHeight="1" s="176"/>
    <row r="214" ht="12.75" customHeight="1" s="176"/>
    <row r="215" ht="12.75" customHeight="1" s="176"/>
    <row r="216" ht="12.75" customHeight="1" s="176"/>
    <row r="217" ht="12.75" customHeight="1" s="176"/>
    <row r="218" ht="12.75" customHeight="1" s="176"/>
    <row r="219" ht="12.75" customHeight="1" s="176"/>
    <row r="220" ht="12.75" customHeight="1" s="176"/>
    <row r="221" ht="12.75" customHeight="1" s="176"/>
    <row r="222" ht="12.75" customHeight="1" s="176"/>
    <row r="223" ht="12.75" customHeight="1" s="176"/>
    <row r="224" ht="12.75" customHeight="1" s="176"/>
    <row r="225" ht="12.75" customHeight="1" s="176"/>
    <row r="226" ht="12.75" customHeight="1" s="176"/>
    <row r="227" ht="12.75" customHeight="1" s="176"/>
    <row r="228" ht="12.75" customHeight="1" s="176"/>
    <row r="229" ht="12.75" customHeight="1" s="176"/>
    <row r="230" ht="12.75" customHeight="1" s="176"/>
    <row r="231" ht="12.75" customHeight="1" s="176"/>
    <row r="232" ht="12.75" customHeight="1" s="176"/>
    <row r="233" ht="12.75" customHeight="1" s="176"/>
    <row r="234" ht="12.75" customHeight="1" s="176"/>
    <row r="235" ht="12.75" customHeight="1" s="176"/>
    <row r="236" ht="12.75" customHeight="1" s="176"/>
    <row r="237" ht="12.75" customHeight="1" s="176"/>
    <row r="238" ht="12.75" customHeight="1" s="176"/>
    <row r="239" ht="12.75" customHeight="1" s="176"/>
    <row r="240" ht="12.75" customHeight="1" s="176"/>
    <row r="241" ht="12.75" customHeight="1" s="176"/>
    <row r="242" ht="12.75" customHeight="1" s="176"/>
    <row r="243" ht="12.75" customHeight="1" s="176"/>
    <row r="244" ht="12.75" customHeight="1" s="176"/>
    <row r="245" ht="12.75" customHeight="1" s="176"/>
    <row r="246" ht="12.75" customHeight="1" s="176"/>
    <row r="247" ht="12.75" customHeight="1" s="176"/>
    <row r="248" ht="12.75" customHeight="1" s="176"/>
    <row r="249" ht="12.75" customHeight="1" s="176"/>
    <row r="250" ht="12.75" customHeight="1" s="176"/>
    <row r="251" ht="12.75" customHeight="1" s="176"/>
    <row r="252" ht="12.75" customHeight="1" s="176"/>
    <row r="253" ht="12.75" customHeight="1" s="176"/>
    <row r="254" ht="12.75" customHeight="1" s="176"/>
    <row r="255" ht="12.75" customHeight="1" s="176"/>
    <row r="256" ht="12.75" customHeight="1" s="176"/>
    <row r="257" ht="12.75" customHeight="1" s="176"/>
    <row r="258" ht="12.75" customHeight="1" s="176"/>
    <row r="259" ht="12.75" customHeight="1" s="176"/>
    <row r="260" ht="12.75" customHeight="1" s="176"/>
    <row r="261" ht="12.75" customHeight="1" s="176"/>
    <row r="262" ht="12.75" customHeight="1" s="176"/>
    <row r="263" ht="12.75" customHeight="1" s="176"/>
    <row r="264" ht="12.75" customHeight="1" s="176"/>
    <row r="265" ht="12.75" customHeight="1" s="176"/>
    <row r="266" ht="12.75" customHeight="1" s="176"/>
    <row r="267" ht="12.75" customHeight="1" s="176"/>
    <row r="268" ht="12.75" customHeight="1" s="176"/>
    <row r="269" ht="12.75" customHeight="1" s="176"/>
    <row r="270" ht="12.75" customHeight="1" s="176"/>
    <row r="271" ht="12.75" customHeight="1" s="176"/>
    <row r="272" ht="12.75" customHeight="1" s="176"/>
    <row r="273" ht="12.75" customHeight="1" s="176"/>
    <row r="274" ht="12.75" customHeight="1" s="176"/>
    <row r="275" ht="12.75" customHeight="1" s="176"/>
    <row r="276" ht="12.75" customHeight="1" s="176"/>
    <row r="277" ht="12.75" customHeight="1" s="176"/>
    <row r="278" ht="12.75" customHeight="1" s="176"/>
    <row r="279" ht="12.75" customHeight="1" s="176"/>
    <row r="280" ht="12.75" customHeight="1" s="176"/>
    <row r="281" ht="12.75" customHeight="1" s="176"/>
    <row r="282" ht="12.75" customHeight="1" s="176"/>
    <row r="283" ht="12.75" customHeight="1" s="176"/>
    <row r="284" ht="12.75" customHeight="1" s="176"/>
    <row r="285" ht="12.75" customHeight="1" s="176"/>
    <row r="286" ht="12.75" customHeight="1" s="176"/>
    <row r="287" ht="12.75" customHeight="1" s="176"/>
    <row r="288" ht="12.75" customHeight="1" s="176"/>
    <row r="289" ht="12.75" customHeight="1" s="176"/>
    <row r="290" ht="12.75" customHeight="1" s="176"/>
    <row r="291" ht="12.75" customHeight="1" s="176"/>
    <row r="292" ht="12.75" customHeight="1" s="176"/>
    <row r="293" ht="12.75" customHeight="1" s="176"/>
    <row r="294" ht="12.75" customHeight="1" s="176"/>
    <row r="295" ht="12.75" customHeight="1" s="176"/>
    <row r="296" ht="12.75" customHeight="1" s="176"/>
    <row r="297" ht="12.75" customHeight="1" s="176"/>
    <row r="298" ht="12.75" customHeight="1" s="176"/>
    <row r="299" ht="12.75" customHeight="1" s="176"/>
    <row r="300" ht="12.75" customHeight="1" s="176"/>
    <row r="301" ht="12.75" customHeight="1" s="176"/>
    <row r="302" ht="12.75" customHeight="1" s="176"/>
    <row r="303" ht="12.75" customHeight="1" s="176"/>
    <row r="304" ht="12.75" customHeight="1" s="176"/>
    <row r="305" ht="12.75" customHeight="1" s="176"/>
    <row r="306" ht="12.75" customHeight="1" s="176"/>
    <row r="307" ht="12.75" customHeight="1" s="176"/>
    <row r="308" ht="12.75" customHeight="1" s="176"/>
    <row r="309" ht="12.75" customHeight="1" s="176"/>
    <row r="310" ht="12.75" customHeight="1" s="176"/>
    <row r="311" ht="12.75" customHeight="1" s="176"/>
    <row r="312" ht="12.75" customHeight="1" s="176"/>
    <row r="313" ht="12.75" customHeight="1" s="176"/>
    <row r="314" ht="12.75" customHeight="1" s="176"/>
    <row r="315" ht="12.75" customHeight="1" s="176"/>
    <row r="316" ht="12.75" customHeight="1" s="176"/>
    <row r="317" ht="12.75" customHeight="1" s="176"/>
    <row r="318" ht="12.75" customHeight="1" s="176"/>
    <row r="319" ht="12.75" customHeight="1" s="176"/>
    <row r="320" ht="12.75" customHeight="1" s="176"/>
    <row r="321" ht="12.75" customHeight="1" s="176"/>
    <row r="322" ht="12.75" customHeight="1" s="176"/>
    <row r="323" ht="12.75" customHeight="1" s="176"/>
    <row r="324" ht="12.75" customHeight="1" s="176"/>
    <row r="325" ht="12.75" customHeight="1" s="176"/>
    <row r="326" ht="12.75" customHeight="1" s="176"/>
    <row r="327" ht="12.75" customHeight="1" s="176"/>
    <row r="328" ht="12.75" customHeight="1" s="176"/>
    <row r="329" ht="12.75" customHeight="1" s="176"/>
    <row r="330" ht="12.75" customHeight="1" s="176"/>
    <row r="331" ht="12.75" customHeight="1" s="176"/>
    <row r="332" ht="12.75" customHeight="1" s="176"/>
    <row r="333" ht="12.75" customHeight="1" s="176"/>
    <row r="334" ht="12.75" customHeight="1" s="176"/>
    <row r="335" ht="12.75" customHeight="1" s="176"/>
    <row r="336" ht="12.75" customHeight="1" s="176"/>
    <row r="337" ht="12.75" customHeight="1" s="176"/>
    <row r="338" ht="12.75" customHeight="1" s="176"/>
    <row r="339" ht="12.75" customHeight="1" s="176"/>
    <row r="340" ht="12.75" customHeight="1" s="176"/>
    <row r="341" ht="12.75" customHeight="1" s="176"/>
    <row r="342" ht="12.75" customHeight="1" s="176"/>
    <row r="343" ht="12.75" customHeight="1" s="176"/>
    <row r="344" ht="12.75" customHeight="1" s="176"/>
    <row r="345" ht="12.75" customHeight="1" s="176"/>
    <row r="346" ht="12.75" customHeight="1" s="176"/>
    <row r="347" ht="12.75" customHeight="1" s="176"/>
    <row r="348" ht="12.75" customHeight="1" s="176"/>
    <row r="349" ht="12.75" customHeight="1" s="176"/>
    <row r="350" ht="12.75" customHeight="1" s="176"/>
    <row r="351" ht="12.75" customHeight="1" s="176"/>
    <row r="352" ht="12.75" customHeight="1" s="176"/>
    <row r="353" ht="12.75" customHeight="1" s="176"/>
    <row r="354" ht="12.75" customHeight="1" s="176"/>
    <row r="355" ht="12.75" customHeight="1" s="176"/>
    <row r="356" ht="12.75" customHeight="1" s="176"/>
    <row r="357" ht="12.75" customHeight="1" s="176"/>
    <row r="358" ht="12.75" customHeight="1" s="176"/>
    <row r="359" ht="12.75" customHeight="1" s="176"/>
    <row r="360" ht="12.75" customHeight="1" s="176"/>
    <row r="361" ht="12.75" customHeight="1" s="176"/>
    <row r="362" ht="12.75" customHeight="1" s="176"/>
    <row r="363" ht="12.75" customHeight="1" s="176"/>
    <row r="364" ht="12.75" customHeight="1" s="176"/>
    <row r="365" ht="12.75" customHeight="1" s="176"/>
    <row r="366" ht="12.75" customHeight="1" s="176"/>
    <row r="367" ht="12.75" customHeight="1" s="176"/>
    <row r="368" ht="12.75" customHeight="1" s="176"/>
    <row r="369" ht="12.75" customHeight="1" s="176"/>
    <row r="370" ht="12.75" customHeight="1" s="176"/>
    <row r="371" ht="12.75" customHeight="1" s="176"/>
    <row r="372" ht="12.75" customHeight="1" s="176"/>
    <row r="373" ht="12.75" customHeight="1" s="176"/>
    <row r="374" ht="12.75" customHeight="1" s="176"/>
    <row r="375" ht="12.75" customHeight="1" s="176"/>
    <row r="376" ht="12.75" customHeight="1" s="176"/>
    <row r="377" ht="12.75" customHeight="1" s="176"/>
    <row r="378" ht="12.75" customHeight="1" s="176"/>
    <row r="379" ht="12.75" customHeight="1" s="176"/>
    <row r="380" ht="12.75" customHeight="1" s="176"/>
    <row r="381" ht="12.75" customHeight="1" s="176"/>
    <row r="382" ht="12.75" customHeight="1" s="176"/>
    <row r="383" ht="12.75" customHeight="1" s="176"/>
    <row r="384" ht="12.75" customHeight="1" s="176"/>
    <row r="385" ht="12.75" customHeight="1" s="176"/>
    <row r="386" ht="12.75" customHeight="1" s="176"/>
    <row r="387" ht="12.75" customHeight="1" s="176"/>
    <row r="388" ht="12.75" customHeight="1" s="176"/>
    <row r="389" ht="12.75" customHeight="1" s="176"/>
    <row r="390" ht="12.75" customHeight="1" s="176"/>
    <row r="391" ht="12.75" customHeight="1" s="176"/>
    <row r="392" ht="12.75" customHeight="1" s="176"/>
    <row r="393" ht="12.75" customHeight="1" s="176"/>
    <row r="394" ht="12.75" customHeight="1" s="176"/>
    <row r="395" ht="12.75" customHeight="1" s="176"/>
    <row r="396" ht="12.75" customHeight="1" s="176"/>
    <row r="397" ht="12.75" customHeight="1" s="176"/>
    <row r="398" ht="12.75" customHeight="1" s="176"/>
    <row r="399" ht="12.75" customHeight="1" s="176"/>
    <row r="400" ht="12.75" customHeight="1" s="176"/>
    <row r="401" ht="12.75" customHeight="1" s="176"/>
    <row r="402" ht="12.75" customHeight="1" s="176"/>
    <row r="403" ht="12.75" customHeight="1" s="176"/>
    <row r="404" ht="12.75" customHeight="1" s="176"/>
    <row r="405" ht="12.75" customHeight="1" s="176"/>
    <row r="406" ht="12.75" customHeight="1" s="176"/>
    <row r="407" ht="12.75" customHeight="1" s="176"/>
    <row r="408" ht="12.75" customHeight="1" s="176"/>
    <row r="409" ht="12.75" customHeight="1" s="176"/>
    <row r="410" ht="12.75" customHeight="1" s="176"/>
    <row r="411" ht="12.75" customHeight="1" s="176"/>
    <row r="412" ht="12.75" customHeight="1" s="176"/>
    <row r="413" ht="12.75" customHeight="1" s="176"/>
    <row r="414" ht="12.75" customHeight="1" s="176"/>
    <row r="415" ht="12.75" customHeight="1" s="176"/>
    <row r="416" ht="12.75" customHeight="1" s="176"/>
    <row r="417" ht="12.75" customHeight="1" s="176"/>
    <row r="418" ht="12.75" customHeight="1" s="176"/>
    <row r="419" ht="12.75" customHeight="1" s="176"/>
    <row r="420" ht="12.75" customHeight="1" s="176"/>
    <row r="421" ht="12.75" customHeight="1" s="176"/>
    <row r="422" ht="12.75" customHeight="1" s="176"/>
    <row r="423" ht="12.75" customHeight="1" s="176"/>
    <row r="424" ht="12.75" customHeight="1" s="176"/>
    <row r="425" ht="12.75" customHeight="1" s="176"/>
    <row r="426" ht="12.75" customHeight="1" s="176"/>
    <row r="427" ht="12.75" customHeight="1" s="176"/>
    <row r="428" ht="12.75" customHeight="1" s="176"/>
    <row r="429" ht="12.75" customHeight="1" s="176"/>
    <row r="430" ht="12.75" customHeight="1" s="176"/>
    <row r="431" ht="12.75" customHeight="1" s="176"/>
    <row r="432" ht="12.75" customHeight="1" s="176"/>
    <row r="433" ht="12.75" customHeight="1" s="176"/>
    <row r="434" ht="12.75" customHeight="1" s="176"/>
    <row r="435" ht="12.75" customHeight="1" s="176"/>
    <row r="436" ht="12.75" customHeight="1" s="176"/>
    <row r="437" ht="12.75" customHeight="1" s="176"/>
    <row r="438" ht="12.75" customHeight="1" s="176"/>
    <row r="439" ht="12.75" customHeight="1" s="176"/>
    <row r="440" ht="12.75" customHeight="1" s="176"/>
    <row r="441" ht="12.75" customHeight="1" s="176"/>
    <row r="442" ht="12.75" customHeight="1" s="176"/>
    <row r="443" ht="12.75" customHeight="1" s="176"/>
    <row r="444" ht="12.75" customHeight="1" s="176"/>
    <row r="445" ht="12.75" customHeight="1" s="176"/>
    <row r="446" ht="12.75" customHeight="1" s="176"/>
    <row r="447" ht="12.75" customHeight="1" s="176"/>
    <row r="448" ht="12.75" customHeight="1" s="176"/>
    <row r="449" ht="12.75" customHeight="1" s="176"/>
    <row r="450" ht="12.75" customHeight="1" s="176"/>
    <row r="451" ht="12.75" customHeight="1" s="176"/>
    <row r="452" ht="12.75" customHeight="1" s="176"/>
    <row r="453" ht="12.75" customHeight="1" s="176"/>
    <row r="454" ht="12.75" customHeight="1" s="176"/>
    <row r="455" ht="12.75" customHeight="1" s="176"/>
    <row r="456" ht="12.75" customHeight="1" s="176"/>
    <row r="457" ht="12.75" customHeight="1" s="176"/>
    <row r="458" ht="12.75" customHeight="1" s="176"/>
    <row r="459" ht="12.75" customHeight="1" s="176"/>
    <row r="460" ht="12.75" customHeight="1" s="176"/>
    <row r="461" ht="12.75" customHeight="1" s="176"/>
    <row r="462" ht="12.75" customHeight="1" s="176"/>
    <row r="463" ht="12.75" customHeight="1" s="176"/>
    <row r="464" ht="12.75" customHeight="1" s="176"/>
    <row r="465" ht="12.75" customHeight="1" s="176"/>
    <row r="466" ht="12.75" customHeight="1" s="176"/>
    <row r="467" ht="12.75" customHeight="1" s="176"/>
    <row r="468" ht="12.75" customHeight="1" s="176"/>
    <row r="469" ht="12.75" customHeight="1" s="176"/>
    <row r="470" ht="12.75" customHeight="1" s="176"/>
    <row r="471" ht="12.75" customHeight="1" s="176"/>
    <row r="472" ht="12.75" customHeight="1" s="176"/>
    <row r="473" ht="12.75" customHeight="1" s="176"/>
    <row r="474" ht="12.75" customHeight="1" s="176"/>
    <row r="475" ht="12.75" customHeight="1" s="176"/>
    <row r="476" ht="12.75" customHeight="1" s="176"/>
    <row r="477" ht="12.75" customHeight="1" s="176"/>
    <row r="478" ht="12.75" customHeight="1" s="176"/>
    <row r="479" ht="12.75" customHeight="1" s="176"/>
    <row r="480" ht="12.75" customHeight="1" s="176"/>
    <row r="481" ht="12.75" customHeight="1" s="176"/>
    <row r="482" ht="12.75" customHeight="1" s="176"/>
    <row r="483" ht="12.75" customHeight="1" s="176"/>
    <row r="484" ht="12.75" customHeight="1" s="176"/>
    <row r="485" ht="12.75" customHeight="1" s="176"/>
    <row r="486" ht="12.75" customHeight="1" s="176"/>
    <row r="487" ht="12.75" customHeight="1" s="176"/>
    <row r="488" ht="12.75" customHeight="1" s="176"/>
    <row r="489" ht="12.75" customHeight="1" s="176"/>
    <row r="490" ht="12.75" customHeight="1" s="176"/>
    <row r="491" ht="12.75" customHeight="1" s="176"/>
    <row r="492" ht="12.75" customHeight="1" s="176"/>
    <row r="493" ht="12.75" customHeight="1" s="176"/>
    <row r="494" ht="12.75" customHeight="1" s="176"/>
    <row r="495" ht="12.75" customHeight="1" s="176"/>
    <row r="496" ht="12.75" customHeight="1" s="176"/>
    <row r="497" ht="12.75" customHeight="1" s="176"/>
    <row r="498" ht="12.75" customHeight="1" s="176"/>
    <row r="499" ht="12.75" customHeight="1" s="176"/>
    <row r="500" ht="12.75" customHeight="1" s="176"/>
    <row r="501" ht="12.75" customHeight="1" s="176"/>
    <row r="502" ht="12.75" customHeight="1" s="176"/>
    <row r="503" ht="12.75" customHeight="1" s="176"/>
    <row r="504" ht="12.75" customHeight="1" s="176"/>
    <row r="505" ht="12.75" customHeight="1" s="176"/>
    <row r="506" ht="12.75" customHeight="1" s="176"/>
    <row r="507" ht="12.75" customHeight="1" s="176"/>
    <row r="508" ht="12.75" customHeight="1" s="176"/>
    <row r="509" ht="12.75" customHeight="1" s="176"/>
    <row r="510" ht="12.75" customHeight="1" s="176"/>
    <row r="511" ht="12.75" customHeight="1" s="176"/>
    <row r="512" ht="12.75" customHeight="1" s="176"/>
    <row r="513" ht="12.75" customHeight="1" s="176"/>
    <row r="514" ht="12.75" customHeight="1" s="176"/>
    <row r="515" ht="12.75" customHeight="1" s="176"/>
    <row r="516" ht="12.75" customHeight="1" s="176"/>
    <row r="517" ht="12.75" customHeight="1" s="176"/>
    <row r="518" ht="12.75" customHeight="1" s="176"/>
    <row r="519" ht="12.75" customHeight="1" s="176"/>
    <row r="520" ht="12.75" customHeight="1" s="176"/>
    <row r="521" ht="12.75" customHeight="1" s="176"/>
    <row r="522" ht="12.75" customHeight="1" s="176"/>
    <row r="523" ht="12.75" customHeight="1" s="176"/>
    <row r="524" ht="12.75" customHeight="1" s="176"/>
    <row r="525" ht="12.75" customHeight="1" s="176"/>
    <row r="526" ht="12.75" customHeight="1" s="176"/>
    <row r="527" ht="12.75" customHeight="1" s="176"/>
    <row r="528" ht="12.75" customHeight="1" s="176"/>
    <row r="529" ht="12.75" customHeight="1" s="176"/>
    <row r="530" ht="12.75" customHeight="1" s="176"/>
    <row r="531" ht="12.75" customHeight="1" s="176"/>
    <row r="532" ht="12.75" customHeight="1" s="176"/>
    <row r="533" ht="12.75" customHeight="1" s="176"/>
    <row r="534" ht="12.75" customHeight="1" s="176"/>
    <row r="535" ht="12.75" customHeight="1" s="176"/>
    <row r="536" ht="12.75" customHeight="1" s="176"/>
    <row r="537" ht="12.75" customHeight="1" s="176"/>
    <row r="538" ht="12.75" customHeight="1" s="176"/>
    <row r="539" ht="12.75" customHeight="1" s="176"/>
    <row r="540" ht="12.75" customHeight="1" s="176"/>
    <row r="541" ht="12.75" customHeight="1" s="176"/>
    <row r="542" ht="12.75" customHeight="1" s="176"/>
    <row r="543" ht="12.75" customHeight="1" s="176"/>
    <row r="544" ht="12.75" customHeight="1" s="176"/>
    <row r="545" ht="12.75" customHeight="1" s="176"/>
    <row r="546" ht="12.75" customHeight="1" s="176"/>
    <row r="547" ht="12.75" customHeight="1" s="176"/>
    <row r="548" ht="12.75" customHeight="1" s="176"/>
    <row r="549" ht="12.75" customHeight="1" s="176"/>
    <row r="550" ht="12.75" customHeight="1" s="176"/>
    <row r="551" ht="12.75" customHeight="1" s="176"/>
    <row r="552" ht="12.75" customHeight="1" s="176"/>
    <row r="553" ht="12.75" customHeight="1" s="176"/>
    <row r="554" ht="12.75" customHeight="1" s="176"/>
    <row r="555" ht="12.75" customHeight="1" s="176"/>
    <row r="556" ht="12.75" customHeight="1" s="176"/>
    <row r="557" ht="12.75" customHeight="1" s="176"/>
    <row r="558" ht="12.75" customHeight="1" s="176"/>
    <row r="559" ht="12.75" customHeight="1" s="176"/>
    <row r="560" ht="12.75" customHeight="1" s="176"/>
    <row r="561" ht="12.75" customHeight="1" s="176"/>
    <row r="562" ht="12.75" customHeight="1" s="176"/>
    <row r="563" ht="12.75" customHeight="1" s="176"/>
    <row r="564" ht="12.75" customHeight="1" s="176"/>
    <row r="565" ht="12.75" customHeight="1" s="176"/>
    <row r="566" ht="12.75" customHeight="1" s="176"/>
    <row r="567" ht="12.75" customHeight="1" s="176"/>
    <row r="568" ht="12.75" customHeight="1" s="176"/>
    <row r="569" ht="12.75" customHeight="1" s="176"/>
    <row r="570" ht="12.75" customHeight="1" s="176"/>
    <row r="571" ht="12.75" customHeight="1" s="176"/>
    <row r="572" ht="12.75" customHeight="1" s="176"/>
    <row r="573" ht="12.75" customHeight="1" s="176"/>
    <row r="574" ht="12.75" customHeight="1" s="176"/>
    <row r="575" ht="12.75" customHeight="1" s="176"/>
    <row r="576" ht="12.75" customHeight="1" s="176"/>
    <row r="577" ht="12.75" customHeight="1" s="176"/>
    <row r="578" ht="12.75" customHeight="1" s="176"/>
    <row r="579" ht="12.75" customHeight="1" s="176"/>
    <row r="580" ht="12.75" customHeight="1" s="176"/>
    <row r="581" ht="12.75" customHeight="1" s="176"/>
    <row r="582" ht="12.75" customHeight="1" s="176"/>
    <row r="583" ht="12.75" customHeight="1" s="176"/>
    <row r="584" ht="12.75" customHeight="1" s="176"/>
    <row r="585" ht="12.75" customHeight="1" s="176"/>
    <row r="586" ht="12.75" customHeight="1" s="176"/>
    <row r="587" ht="12.75" customHeight="1" s="176"/>
    <row r="588" ht="12.75" customHeight="1" s="176"/>
    <row r="589" ht="12.75" customHeight="1" s="176"/>
    <row r="590" ht="12.75" customHeight="1" s="176"/>
    <row r="591" ht="12.75" customHeight="1" s="176"/>
    <row r="592" ht="12.75" customHeight="1" s="176"/>
    <row r="593" ht="12.75" customHeight="1" s="176"/>
    <row r="594" ht="12.75" customHeight="1" s="176"/>
    <row r="595" ht="12.75" customHeight="1" s="176"/>
    <row r="596" ht="12.75" customHeight="1" s="176"/>
    <row r="597" ht="12.75" customHeight="1" s="176"/>
    <row r="598" ht="12.75" customHeight="1" s="176"/>
    <row r="599" ht="12.75" customHeight="1" s="176"/>
    <row r="600" ht="12.75" customHeight="1" s="176"/>
    <row r="601" ht="12.75" customHeight="1" s="176"/>
    <row r="602" ht="12.75" customHeight="1" s="176"/>
    <row r="603" ht="12.75" customHeight="1" s="176"/>
    <row r="604" ht="12.75" customHeight="1" s="176"/>
    <row r="605" ht="12.75" customHeight="1" s="176"/>
    <row r="606" ht="12.75" customHeight="1" s="176"/>
    <row r="607" ht="12.75" customHeight="1" s="176"/>
    <row r="608" ht="12.75" customHeight="1" s="176"/>
    <row r="609" ht="12.75" customHeight="1" s="176"/>
    <row r="610" ht="12.75" customHeight="1" s="176"/>
    <row r="611" ht="12.75" customHeight="1" s="176"/>
    <row r="612" ht="12.75" customHeight="1" s="176"/>
    <row r="613" ht="12.75" customHeight="1" s="176"/>
    <row r="614" ht="12.75" customHeight="1" s="176"/>
    <row r="615" ht="12.75" customHeight="1" s="176"/>
    <row r="616" ht="12.75" customHeight="1" s="176"/>
    <row r="617" ht="12.75" customHeight="1" s="176"/>
    <row r="618" ht="12.75" customHeight="1" s="176"/>
    <row r="619" ht="12.75" customHeight="1" s="176"/>
    <row r="620" ht="12.75" customHeight="1" s="176"/>
    <row r="621" ht="12.75" customHeight="1" s="176"/>
    <row r="622" ht="12.75" customHeight="1" s="176"/>
    <row r="623" ht="12.75" customHeight="1" s="176"/>
    <row r="624" ht="12.75" customHeight="1" s="176"/>
    <row r="625" ht="12.75" customHeight="1" s="176"/>
    <row r="626" ht="12.75" customHeight="1" s="176"/>
    <row r="627" ht="12.75" customHeight="1" s="176"/>
    <row r="628" ht="12.75" customHeight="1" s="176"/>
    <row r="629" ht="12.75" customHeight="1" s="176"/>
    <row r="630" ht="12.75" customHeight="1" s="176"/>
    <row r="631" ht="12.75" customHeight="1" s="176"/>
    <row r="632" ht="12.75" customHeight="1" s="176"/>
    <row r="633" ht="12.75" customHeight="1" s="176"/>
    <row r="634" ht="12.75" customHeight="1" s="176"/>
    <row r="635" ht="12.75" customHeight="1" s="176"/>
    <row r="636" ht="12.75" customHeight="1" s="176"/>
    <row r="637" ht="12.75" customHeight="1" s="176"/>
    <row r="638" ht="12.75" customHeight="1" s="176"/>
    <row r="639" ht="12.75" customHeight="1" s="176"/>
    <row r="640" ht="12.75" customHeight="1" s="176"/>
    <row r="641" ht="12.75" customHeight="1" s="176"/>
    <row r="642" ht="12.75" customHeight="1" s="176"/>
    <row r="643" ht="12.75" customHeight="1" s="176"/>
    <row r="644" ht="12.75" customHeight="1" s="176"/>
    <row r="645" ht="12.75" customHeight="1" s="176"/>
    <row r="646" ht="12.75" customHeight="1" s="176"/>
    <row r="647" ht="12.75" customHeight="1" s="176"/>
    <row r="648" ht="12.75" customHeight="1" s="176"/>
    <row r="649" ht="12.75" customHeight="1" s="176"/>
    <row r="650" ht="12.75" customHeight="1" s="176"/>
    <row r="651" ht="12.75" customHeight="1" s="176"/>
    <row r="652" ht="12.75" customHeight="1" s="176"/>
    <row r="653" ht="12.75" customHeight="1" s="176"/>
    <row r="654" ht="12.75" customHeight="1" s="176"/>
    <row r="655" ht="12.75" customHeight="1" s="176"/>
    <row r="656" ht="12.75" customHeight="1" s="176"/>
    <row r="657" ht="12.75" customHeight="1" s="176"/>
    <row r="658" ht="12.75" customHeight="1" s="176"/>
    <row r="659" ht="12.75" customHeight="1" s="176"/>
    <row r="660" ht="12.75" customHeight="1" s="176"/>
    <row r="661" ht="12.75" customHeight="1" s="176"/>
    <row r="662" ht="12.75" customHeight="1" s="176"/>
    <row r="663" ht="12.75" customHeight="1" s="176"/>
    <row r="664" ht="12.75" customHeight="1" s="176"/>
    <row r="665" ht="12.75" customHeight="1" s="176"/>
    <row r="666" ht="12.75" customHeight="1" s="176"/>
    <row r="667" ht="12.75" customHeight="1" s="176"/>
    <row r="668" ht="12.75" customHeight="1" s="176"/>
    <row r="669" ht="12.75" customHeight="1" s="176"/>
    <row r="670" ht="12.75" customHeight="1" s="176"/>
    <row r="671" ht="12.75" customHeight="1" s="176"/>
    <row r="672" ht="12.75" customHeight="1" s="176"/>
    <row r="673" ht="12.75" customHeight="1" s="176"/>
    <row r="674" ht="12.75" customHeight="1" s="176"/>
    <row r="675" ht="12.75" customHeight="1" s="176"/>
    <row r="676" ht="12.75" customHeight="1" s="176"/>
    <row r="677" ht="12.75" customHeight="1" s="176"/>
    <row r="678" ht="12.75" customHeight="1" s="176"/>
    <row r="679" ht="12.75" customHeight="1" s="176"/>
    <row r="680" ht="12.75" customHeight="1" s="176"/>
    <row r="681" ht="12.75" customHeight="1" s="176"/>
    <row r="682" ht="12.75" customHeight="1" s="176"/>
    <row r="683" ht="12.75" customHeight="1" s="176"/>
    <row r="684" ht="12.75" customHeight="1" s="176"/>
    <row r="685" ht="12.75" customHeight="1" s="176"/>
    <row r="686" ht="12.75" customHeight="1" s="176"/>
    <row r="687" ht="12.75" customHeight="1" s="176"/>
    <row r="688" ht="12.75" customHeight="1" s="176"/>
    <row r="689" ht="12.75" customHeight="1" s="176"/>
    <row r="690" ht="12.75" customHeight="1" s="176"/>
    <row r="691" ht="12.75" customHeight="1" s="176"/>
    <row r="692" ht="12.75" customHeight="1" s="176"/>
    <row r="693" ht="12.75" customHeight="1" s="176"/>
    <row r="694" ht="12.75" customHeight="1" s="176"/>
    <row r="695" ht="12.75" customHeight="1" s="176"/>
    <row r="696" ht="12.75" customHeight="1" s="176"/>
    <row r="697" ht="12.75" customHeight="1" s="176"/>
    <row r="698" ht="12.75" customHeight="1" s="176"/>
    <row r="699" ht="12.75" customHeight="1" s="176"/>
    <row r="700" ht="12.75" customHeight="1" s="176"/>
    <row r="701" ht="12.75" customHeight="1" s="176"/>
    <row r="702" ht="12.75" customHeight="1" s="176"/>
    <row r="703" ht="12.75" customHeight="1" s="176"/>
    <row r="704" ht="12.75" customHeight="1" s="176"/>
    <row r="705" ht="12.75" customHeight="1" s="176"/>
    <row r="706" ht="12.75" customHeight="1" s="176"/>
    <row r="707" ht="12.75" customHeight="1" s="176"/>
    <row r="708" ht="12.75" customHeight="1" s="176"/>
    <row r="709" ht="12.75" customHeight="1" s="176"/>
    <row r="710" ht="12.75" customHeight="1" s="176"/>
    <row r="711" ht="12.75" customHeight="1" s="176"/>
    <row r="712" ht="12.75" customHeight="1" s="176"/>
    <row r="713" ht="12.75" customHeight="1" s="176"/>
    <row r="714" ht="12.75" customHeight="1" s="176"/>
    <row r="715" ht="12.75" customHeight="1" s="176"/>
    <row r="716" ht="12.75" customHeight="1" s="176"/>
    <row r="717" ht="12.75" customHeight="1" s="176"/>
    <row r="718" ht="12.75" customHeight="1" s="176"/>
    <row r="719" ht="12.75" customHeight="1" s="176"/>
    <row r="720" ht="12.75" customHeight="1" s="176"/>
    <row r="721" ht="12.75" customHeight="1" s="176"/>
    <row r="722" ht="12.75" customHeight="1" s="176"/>
    <row r="723" ht="12.75" customHeight="1" s="176"/>
    <row r="724" ht="12.75" customHeight="1" s="176"/>
    <row r="725" ht="12.75" customHeight="1" s="176"/>
    <row r="726" ht="12.75" customHeight="1" s="176"/>
    <row r="727" ht="12.75" customHeight="1" s="176"/>
    <row r="728" ht="12.75" customHeight="1" s="176"/>
    <row r="729" ht="12.75" customHeight="1" s="176"/>
    <row r="730" ht="12.75" customHeight="1" s="176"/>
    <row r="731" ht="12.75" customHeight="1" s="176"/>
    <row r="732" ht="12.75" customHeight="1" s="176"/>
    <row r="733" ht="12.75" customHeight="1" s="176"/>
    <row r="734" ht="12.75" customHeight="1" s="176"/>
    <row r="735" ht="12.75" customHeight="1" s="176"/>
    <row r="736" ht="12.75" customHeight="1" s="176"/>
    <row r="737" ht="12.75" customHeight="1" s="176"/>
    <row r="738" ht="12.75" customHeight="1" s="176"/>
    <row r="739" ht="12.75" customHeight="1" s="176"/>
    <row r="740" ht="12.75" customHeight="1" s="176"/>
    <row r="741" ht="12.75" customHeight="1" s="176"/>
    <row r="742" ht="12.75" customHeight="1" s="176"/>
    <row r="743" ht="12.75" customHeight="1" s="176"/>
    <row r="744" ht="12.75" customHeight="1" s="176"/>
    <row r="745" ht="12.75" customHeight="1" s="176"/>
    <row r="746" ht="12.75" customHeight="1" s="176"/>
    <row r="747" ht="12.75" customHeight="1" s="176"/>
    <row r="748" ht="12.75" customHeight="1" s="176"/>
    <row r="749" ht="12.75" customHeight="1" s="176"/>
    <row r="750" ht="12.75" customHeight="1" s="176"/>
    <row r="751" ht="12.75" customHeight="1" s="176"/>
    <row r="752" ht="12.75" customHeight="1" s="176"/>
    <row r="753" ht="12.75" customHeight="1" s="176"/>
    <row r="754" ht="12.75" customHeight="1" s="176"/>
    <row r="755" ht="12.75" customHeight="1" s="176"/>
    <row r="756" ht="12.75" customHeight="1" s="176"/>
    <row r="757" ht="12.75" customHeight="1" s="176"/>
    <row r="758" ht="12.75" customHeight="1" s="176"/>
    <row r="759" ht="12.75" customHeight="1" s="176"/>
    <row r="760" ht="12.75" customHeight="1" s="176"/>
    <row r="761" ht="12.75" customHeight="1" s="176"/>
    <row r="762" ht="12.75" customHeight="1" s="176"/>
    <row r="763" ht="12.75" customHeight="1" s="176"/>
    <row r="764" ht="12.75" customHeight="1" s="176"/>
    <row r="765" ht="12.75" customHeight="1" s="176"/>
    <row r="766" ht="12.75" customHeight="1" s="176"/>
    <row r="767" ht="12.75" customHeight="1" s="176"/>
    <row r="768" ht="12.75" customHeight="1" s="176"/>
    <row r="769" ht="12.75" customHeight="1" s="176"/>
    <row r="770" ht="12.75" customHeight="1" s="176"/>
    <row r="771" ht="12.75" customHeight="1" s="176"/>
    <row r="772" ht="12.75" customHeight="1" s="176"/>
    <row r="773" ht="12.75" customHeight="1" s="176"/>
    <row r="774" ht="12.75" customHeight="1" s="176"/>
    <row r="775" ht="12.75" customHeight="1" s="176"/>
    <row r="776" ht="12.75" customHeight="1" s="176"/>
    <row r="777" ht="12.75" customHeight="1" s="176"/>
    <row r="778" ht="12.75" customHeight="1" s="176"/>
    <row r="779" ht="12.75" customHeight="1" s="176"/>
    <row r="780" ht="12.75" customHeight="1" s="176"/>
    <row r="781" ht="12.75" customHeight="1" s="176"/>
    <row r="782" ht="12.75" customHeight="1" s="176"/>
    <row r="783" ht="12.75" customHeight="1" s="176"/>
    <row r="784" ht="12.75" customHeight="1" s="176"/>
    <row r="785" ht="12.75" customHeight="1" s="176"/>
    <row r="786" ht="12.75" customHeight="1" s="176"/>
    <row r="787" ht="12.75" customHeight="1" s="176"/>
    <row r="788" ht="12.75" customHeight="1" s="176"/>
    <row r="789" ht="12.75" customHeight="1" s="176"/>
    <row r="790" ht="12.75" customHeight="1" s="176"/>
    <row r="791" ht="12.75" customHeight="1" s="176"/>
    <row r="792" ht="12.75" customHeight="1" s="176"/>
    <row r="793" ht="12.75" customHeight="1" s="176"/>
    <row r="794" ht="12.75" customHeight="1" s="176"/>
    <row r="795" ht="12.75" customHeight="1" s="176"/>
    <row r="796" ht="12.75" customHeight="1" s="176"/>
    <row r="797" ht="12.75" customHeight="1" s="176"/>
    <row r="798" ht="12.75" customHeight="1" s="176"/>
    <row r="799" ht="12.75" customHeight="1" s="176"/>
    <row r="800" ht="12.75" customHeight="1" s="176"/>
    <row r="801" ht="12.75" customHeight="1" s="176"/>
    <row r="802" ht="12.75" customHeight="1" s="176"/>
    <row r="803" ht="12.75" customHeight="1" s="176"/>
    <row r="804" ht="12.75" customHeight="1" s="176"/>
    <row r="805" ht="12.75" customHeight="1" s="176"/>
    <row r="806" ht="12.75" customHeight="1" s="176"/>
    <row r="807" ht="12.75" customHeight="1" s="176"/>
    <row r="808" ht="12.75" customHeight="1" s="176"/>
    <row r="809" ht="12.75" customHeight="1" s="176"/>
    <row r="810" ht="12.75" customHeight="1" s="176"/>
    <row r="811" ht="12.75" customHeight="1" s="176"/>
    <row r="812" ht="12.75" customHeight="1" s="176"/>
    <row r="813" ht="12.75" customHeight="1" s="176"/>
    <row r="814" ht="12.75" customHeight="1" s="176"/>
    <row r="815" ht="12.75" customHeight="1" s="176"/>
    <row r="816" ht="12.75" customHeight="1" s="176"/>
    <row r="817" ht="12.75" customHeight="1" s="176"/>
    <row r="818" ht="12.75" customHeight="1" s="176"/>
    <row r="819" ht="12.75" customHeight="1" s="176"/>
    <row r="820" ht="12.75" customHeight="1" s="176"/>
    <row r="821" ht="12.75" customHeight="1" s="176"/>
    <row r="822" ht="12.75" customHeight="1" s="176"/>
    <row r="823" ht="12.75" customHeight="1" s="176"/>
    <row r="824" ht="12.75" customHeight="1" s="176"/>
    <row r="825" ht="12.75" customHeight="1" s="176"/>
    <row r="826" ht="12.75" customHeight="1" s="176"/>
    <row r="827" ht="12.75" customHeight="1" s="176"/>
    <row r="828" ht="12.75" customHeight="1" s="176"/>
    <row r="829" ht="12.75" customHeight="1" s="176"/>
    <row r="830" ht="12.75" customHeight="1" s="176"/>
    <row r="831" ht="12.75" customHeight="1" s="176"/>
    <row r="832" ht="12.75" customHeight="1" s="176"/>
    <row r="833" ht="12.75" customHeight="1" s="176"/>
    <row r="834" ht="12.75" customHeight="1" s="176"/>
    <row r="835" ht="12.75" customHeight="1" s="176"/>
    <row r="836" ht="12.75" customHeight="1" s="176"/>
    <row r="837" ht="12.75" customHeight="1" s="176"/>
    <row r="838" ht="12.75" customHeight="1" s="176"/>
    <row r="839" ht="12.75" customHeight="1" s="176"/>
    <row r="840" ht="12.75" customHeight="1" s="176"/>
    <row r="841" ht="12.75" customHeight="1" s="176"/>
    <row r="842" ht="12.75" customHeight="1" s="176"/>
    <row r="843" ht="12.75" customHeight="1" s="176"/>
    <row r="844" ht="12.75" customHeight="1" s="176"/>
    <row r="845" ht="12.75" customHeight="1" s="176"/>
    <row r="846" ht="12.75" customHeight="1" s="176"/>
    <row r="847" ht="12.75" customHeight="1" s="176"/>
    <row r="848" ht="12.75" customHeight="1" s="176"/>
    <row r="849" ht="12.75" customHeight="1" s="176"/>
    <row r="850" ht="12.75" customHeight="1" s="176"/>
    <row r="851" ht="12.75" customHeight="1" s="176"/>
    <row r="852" ht="12.75" customHeight="1" s="176"/>
    <row r="853" ht="12.75" customHeight="1" s="176"/>
    <row r="854" ht="12.75" customHeight="1" s="176"/>
    <row r="855" ht="12.75" customHeight="1" s="176"/>
    <row r="856" ht="12.75" customHeight="1" s="176"/>
    <row r="857" ht="12.75" customHeight="1" s="176"/>
    <row r="858" ht="12.75" customHeight="1" s="176"/>
    <row r="859" ht="12.75" customHeight="1" s="176"/>
    <row r="860" ht="12.75" customHeight="1" s="176"/>
    <row r="861" ht="12.75" customHeight="1" s="176"/>
    <row r="862" ht="12.75" customHeight="1" s="176"/>
    <row r="863" ht="12.75" customHeight="1" s="176"/>
    <row r="864" ht="12.75" customHeight="1" s="176"/>
    <row r="865" ht="12.75" customHeight="1" s="176"/>
    <row r="866" ht="12.75" customHeight="1" s="176"/>
    <row r="867" ht="12.75" customHeight="1" s="176"/>
    <row r="868" ht="12.75" customHeight="1" s="176"/>
    <row r="869" ht="12.75" customHeight="1" s="176"/>
    <row r="870" ht="12.75" customHeight="1" s="176"/>
    <row r="871" ht="12.75" customHeight="1" s="176"/>
    <row r="872" ht="12.75" customHeight="1" s="176"/>
    <row r="873" ht="12.75" customHeight="1" s="176"/>
    <row r="874" ht="12.75" customHeight="1" s="176"/>
    <row r="875" ht="12.75" customHeight="1" s="176"/>
    <row r="876" ht="12.75" customHeight="1" s="176"/>
    <row r="877" ht="12.75" customHeight="1" s="176"/>
    <row r="878" ht="12.75" customHeight="1" s="176"/>
    <row r="879" ht="12.75" customHeight="1" s="176"/>
    <row r="880" ht="12.75" customHeight="1" s="176"/>
    <row r="881" ht="12.75" customHeight="1" s="176"/>
    <row r="882" ht="12.75" customHeight="1" s="176"/>
    <row r="883" ht="12.75" customHeight="1" s="176"/>
    <row r="884" ht="12.75" customHeight="1" s="176"/>
    <row r="885" ht="12.75" customHeight="1" s="176"/>
    <row r="886" ht="12.75" customHeight="1" s="176"/>
    <row r="887" ht="12.75" customHeight="1" s="176"/>
    <row r="888" ht="12.75" customHeight="1" s="176"/>
    <row r="889" ht="12.75" customHeight="1" s="176"/>
    <row r="890" ht="12.75" customHeight="1" s="176"/>
    <row r="891" ht="12.75" customHeight="1" s="176"/>
    <row r="892" ht="12.75" customHeight="1" s="176"/>
    <row r="893" ht="12.75" customHeight="1" s="176"/>
    <row r="894" ht="12.75" customHeight="1" s="176"/>
    <row r="895" ht="12.75" customHeight="1" s="176"/>
    <row r="896" ht="12.75" customHeight="1" s="176"/>
    <row r="897" ht="12.75" customHeight="1" s="176"/>
    <row r="898" ht="12.75" customHeight="1" s="176"/>
    <row r="899" ht="12.75" customHeight="1" s="176"/>
    <row r="900" ht="12.75" customHeight="1" s="176"/>
    <row r="901" ht="12.75" customHeight="1" s="176"/>
    <row r="902" ht="12.75" customHeight="1" s="176"/>
    <row r="903" ht="12.75" customHeight="1" s="176"/>
    <row r="904" ht="12.75" customHeight="1" s="176"/>
    <row r="905" ht="12.75" customHeight="1" s="176"/>
    <row r="906" ht="12.75" customHeight="1" s="176"/>
    <row r="907" ht="12.75" customHeight="1" s="176"/>
    <row r="908" ht="12.75" customHeight="1" s="176"/>
    <row r="909" ht="12.75" customHeight="1" s="176"/>
    <row r="910" ht="12.75" customHeight="1" s="176"/>
    <row r="911" ht="12.75" customHeight="1" s="176"/>
    <row r="912" ht="12.75" customHeight="1" s="176"/>
    <row r="913" ht="12.75" customHeight="1" s="176"/>
    <row r="914" ht="12.75" customHeight="1" s="176"/>
    <row r="915" ht="12.75" customHeight="1" s="176"/>
    <row r="916" ht="12.75" customHeight="1" s="176"/>
    <row r="917" ht="12.75" customHeight="1" s="176"/>
    <row r="918" ht="12.75" customHeight="1" s="176"/>
    <row r="919" ht="12.75" customHeight="1" s="176"/>
    <row r="920" ht="12.75" customHeight="1" s="176"/>
    <row r="921" ht="12.75" customHeight="1" s="176"/>
    <row r="922" ht="12.75" customHeight="1" s="176"/>
    <row r="923" ht="12.75" customHeight="1" s="176"/>
    <row r="924" ht="12.75" customHeight="1" s="176"/>
    <row r="925" ht="12.75" customHeight="1" s="176"/>
    <row r="926" ht="12.75" customHeight="1" s="176"/>
    <row r="927" ht="12.75" customHeight="1" s="176"/>
    <row r="928" ht="12.75" customHeight="1" s="176"/>
    <row r="929" ht="12.75" customHeight="1" s="176"/>
    <row r="930" ht="12.75" customHeight="1" s="176"/>
    <row r="931" ht="12.75" customHeight="1" s="176"/>
    <row r="932" ht="12.75" customHeight="1" s="176"/>
    <row r="933" ht="12.75" customHeight="1" s="176"/>
    <row r="934" ht="12.75" customHeight="1" s="176"/>
    <row r="935" ht="12.75" customHeight="1" s="176"/>
    <row r="936" ht="12.75" customHeight="1" s="176"/>
    <row r="937" ht="12.75" customHeight="1" s="176"/>
    <row r="938" ht="12.75" customHeight="1" s="176"/>
    <row r="939" ht="12.75" customHeight="1" s="176"/>
    <row r="940" ht="12.75" customHeight="1" s="176"/>
    <row r="941" ht="12.75" customHeight="1" s="176"/>
    <row r="942" ht="12.75" customHeight="1" s="176"/>
    <row r="943" ht="12.75" customHeight="1" s="176"/>
    <row r="944" ht="12.75" customHeight="1" s="176"/>
    <row r="945" ht="12.75" customHeight="1" s="176"/>
    <row r="946" ht="12.75" customHeight="1" s="176"/>
    <row r="947" ht="12.75" customHeight="1" s="176"/>
    <row r="948" ht="12.75" customHeight="1" s="176"/>
    <row r="949" ht="12.75" customHeight="1" s="176"/>
    <row r="950" ht="12.75" customHeight="1" s="176"/>
    <row r="951" ht="12.75" customHeight="1" s="176"/>
    <row r="952" ht="12.75" customHeight="1" s="176"/>
    <row r="953" ht="12.75" customHeight="1" s="176"/>
    <row r="954" ht="12.75" customHeight="1" s="176"/>
    <row r="955" ht="12.75" customHeight="1" s="176"/>
    <row r="956" ht="12.75" customHeight="1" s="176"/>
    <row r="957" ht="12.75" customHeight="1" s="176"/>
    <row r="958" ht="12.75" customHeight="1" s="176"/>
    <row r="959" ht="12.75" customHeight="1" s="176"/>
    <row r="960" ht="12.75" customHeight="1" s="176"/>
    <row r="961" ht="12.75" customHeight="1" s="176"/>
    <row r="962" ht="12.75" customHeight="1" s="176"/>
    <row r="963" ht="12.75" customHeight="1" s="176"/>
    <row r="964" ht="12.75" customHeight="1" s="176"/>
    <row r="965" ht="12.75" customHeight="1" s="176"/>
    <row r="966" ht="12.75" customHeight="1" s="176"/>
    <row r="967" ht="12.75" customHeight="1" s="176"/>
    <row r="968" ht="12.75" customHeight="1" s="176"/>
    <row r="969" ht="12.75" customHeight="1" s="176"/>
    <row r="970" ht="12.75" customHeight="1" s="176"/>
    <row r="971" ht="12.75" customHeight="1" s="176"/>
    <row r="972" ht="12.75" customHeight="1" s="176"/>
    <row r="973" ht="12.75" customHeight="1" s="176"/>
    <row r="974" ht="12.75" customHeight="1" s="176"/>
    <row r="975" ht="12.75" customHeight="1" s="176"/>
    <row r="976" ht="12.75" customHeight="1" s="176"/>
    <row r="977" ht="12.75" customHeight="1" s="176"/>
    <row r="978" ht="12.75" customHeight="1" s="176"/>
    <row r="979" ht="12.75" customHeight="1" s="176"/>
    <row r="980" ht="12.75" customHeight="1" s="176"/>
    <row r="981" ht="12.75" customHeight="1" s="176"/>
    <row r="982" ht="12.75" customHeight="1" s="176"/>
    <row r="983" ht="12.75" customHeight="1" s="176"/>
    <row r="984" ht="12.75" customHeight="1" s="176"/>
    <row r="985" ht="12.75" customHeight="1" s="176"/>
    <row r="986" ht="12.75" customHeight="1" s="176"/>
    <row r="987" ht="12.75" customHeight="1" s="176"/>
    <row r="988" ht="12.75" customHeight="1" s="176"/>
    <row r="989" ht="12.75" customHeight="1" s="176"/>
    <row r="990" ht="12.75" customHeight="1" s="176"/>
    <row r="991" ht="12.75" customHeight="1" s="176"/>
    <row r="992" ht="12.75" customHeight="1" s="176"/>
    <row r="993" ht="12.75" customHeight="1" s="176"/>
    <row r="994" ht="12.75" customHeight="1" s="176"/>
    <row r="995" ht="12.75" customHeight="1" s="176"/>
    <row r="996" ht="12.75" customHeight="1" s="176"/>
    <row r="997" ht="12.75" customHeight="1" s="176"/>
    <row r="998" ht="12.75" customHeight="1" s="176"/>
    <row r="999" ht="12.75" customHeight="1" s="176"/>
    <row r="1000" ht="12.75" customHeight="1" s="176"/>
  </sheetData>
  <mergeCells count="12">
    <mergeCell ref="A2:F2"/>
    <mergeCell ref="A51:F51"/>
    <mergeCell ref="A52:F52"/>
    <mergeCell ref="A47:F47"/>
    <mergeCell ref="A54:F54"/>
    <mergeCell ref="A46:F46"/>
    <mergeCell ref="A49:F49"/>
    <mergeCell ref="A45:F45"/>
    <mergeCell ref="A50:F50"/>
    <mergeCell ref="A48:F48"/>
    <mergeCell ref="A53:F53"/>
    <mergeCell ref="A55:F55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style="176" min="1" max="1"/>
    <col width="22" customWidth="1" style="176" min="2" max="2"/>
    <col width="22" customWidth="1" style="176" min="3" max="3"/>
    <col width="22" customWidth="1" style="176" min="4" max="4"/>
    <col width="22" customWidth="1" style="176" min="5" max="5"/>
    <col width="40" customWidth="1" style="176" min="6" max="6"/>
    <col width="22" customWidth="1" style="176" min="7" max="7"/>
    <col width="22" customWidth="1" style="176" min="8" max="8"/>
    <col width="22" customWidth="1" style="176" min="9" max="9"/>
    <col width="22" customWidth="1" style="176" min="10" max="10"/>
    <col width="22" customWidth="1" style="176" min="11" max="11"/>
    <col width="22" customWidth="1" style="176" min="12" max="12"/>
    <col width="14" customWidth="1" style="176" min="13" max="13"/>
    <col width="14" customWidth="1" style="176" min="14" max="14"/>
    <col width="14" customWidth="1" style="176" min="15" max="15"/>
    <col width="14" customWidth="1" style="176" min="16" max="16"/>
    <col width="14" customWidth="1" style="176" min="17" max="17"/>
    <col width="14" customWidth="1" style="176" min="18" max="18"/>
    <col width="14" customWidth="1" style="176" min="19" max="19"/>
    <col width="14" customWidth="1" style="176" min="20" max="20"/>
    <col width="14" customWidth="1" style="176" min="21" max="21"/>
    <col width="22" customWidth="1" style="176" min="22" max="22"/>
    <col width="14" customWidth="1" style="176" min="23" max="23"/>
    <col width="14" customWidth="1" style="176" min="24" max="24"/>
    <col width="14" customWidth="1" style="176" min="25" max="25"/>
    <col width="14" customWidth="1" style="176" min="26" max="26"/>
    <col width="22" customWidth="1" style="176" min="27" max="27"/>
    <col width="14" customWidth="1" style="176" min="28" max="28"/>
    <col width="14" customWidth="1" style="176" min="29" max="29"/>
    <col width="22" customWidth="1" style="176" min="30" max="30"/>
    <col width="14" customWidth="1" style="176" min="31" max="31"/>
  </cols>
  <sheetData>
    <row r="1" ht="45" customHeight="1" s="176">
      <c r="A1" s="185" t="inlineStr">
        <is>
          <t>Código de barras</t>
        </is>
      </c>
      <c r="B1" s="185" t="inlineStr">
        <is>
          <t>Identificador interno</t>
        </is>
      </c>
      <c r="C1" s="185" t="inlineStr">
        <is>
          <t>WB SKU</t>
        </is>
      </c>
      <c r="D1" s="185" t="inlineStr">
        <is>
          <t>WB N.º de estilo</t>
        </is>
      </c>
      <c r="E1" s="185" t="inlineStr">
        <is>
          <t>WB Marca</t>
        </is>
      </c>
      <c r="F1" s="185" t="inlineStr">
        <is>
          <t>WB Descripcion</t>
        </is>
      </c>
      <c r="G1" s="185" t="inlineStr">
        <is>
          <t>WB Talla</t>
        </is>
      </c>
      <c r="H1" s="185" t="inlineStr">
        <is>
          <t>WB Color</t>
        </is>
      </c>
      <c r="I1" s="185" t="inlineStr">
        <is>
          <t>WB División</t>
        </is>
      </c>
      <c r="J1" s="185" t="inlineStr">
        <is>
          <t>WB Categoría</t>
        </is>
      </c>
      <c r="K1" s="185" t="inlineStr">
        <is>
          <t>WB Género</t>
        </is>
      </c>
      <c r="L1" s="185" t="inlineStr">
        <is>
          <t>Unidad</t>
        </is>
      </c>
      <c r="M1" s="185" t="inlineStr">
        <is>
          <t>Precio de compra</t>
        </is>
      </c>
      <c r="N1" s="185" t="inlineStr">
        <is>
          <t>Precio de venta</t>
        </is>
      </c>
      <c r="O1" s="185" t="inlineStr">
        <is>
          <t>En mano NetSuite</t>
        </is>
      </c>
      <c r="P1" s="185" t="inlineStr">
        <is>
          <t>Disponible NetSuite</t>
        </is>
      </c>
      <c r="Q1" s="185" t="inlineStr">
        <is>
          <t>Comprometido NetSuite</t>
        </is>
      </c>
      <c r="R1" s="185" t="inlineStr">
        <is>
          <t>En pedido NetSuite</t>
        </is>
      </c>
      <c r="S1" s="185" t="inlineStr">
        <is>
          <t>En tránsito NetSuite</t>
        </is>
      </c>
      <c r="T1" s="185" t="inlineStr">
        <is>
          <t>Pendiente por surtir NetSuite</t>
        </is>
      </c>
      <c r="U1" s="185" t="inlineStr">
        <is>
          <t>En mano en ubicaciones inactivas</t>
        </is>
      </c>
      <c r="V1" s="185" t="inlineStr">
        <is>
          <t>Ubicaciones en negativo</t>
        </is>
      </c>
      <c r="W1" s="185" t="inlineStr">
        <is>
          <t>En mano NetSuite 28/09/2026</t>
        </is>
      </c>
      <c r="X1" s="185" t="inlineStr">
        <is>
          <t>Variación neta</t>
        </is>
      </c>
      <c r="Y1" s="185" t="inlineStr">
        <is>
          <t>Shopify Stetson México</t>
        </is>
      </c>
      <c r="Z1" s="185" t="inlineStr">
        <is>
          <t>Piezas contadas (Escaneos)</t>
        </is>
      </c>
      <c r="AA1" s="185" t="inlineStr">
        <is>
          <t>Fecha del último conteo</t>
        </is>
      </c>
      <c r="AB1" s="185" t="inlineStr">
        <is>
          <t>Valor en mano a costo</t>
        </is>
      </c>
      <c r="AC1" s="185" t="inlineStr">
        <is>
          <t>Valor en mano a precio de venta</t>
        </is>
      </c>
      <c r="AD1" s="185" t="inlineStr">
        <is>
          <t>Estado del inventario</t>
        </is>
      </c>
      <c r="AE1" s="185" t="inlineStr">
        <is>
          <t>NS · STETSON AMERICAS</t>
        </is>
      </c>
    </row>
    <row r="2">
      <c r="A2" t="inlineStr">
        <is>
          <t>612461741936</t>
        </is>
      </c>
      <c r="B2" t="inlineStr">
        <is>
          <t>117735</t>
        </is>
      </c>
      <c r="C2" t="inlineStr">
        <is>
          <t>WL-LTHR13-UNI</t>
        </is>
      </c>
      <c r="D2" t="inlineStr">
        <is>
          <t>WL-LTHR13</t>
        </is>
      </c>
      <c r="E2" t="inlineStr">
        <is>
          <t>Willow Lane</t>
        </is>
      </c>
      <c r="F2" t="inlineStr">
        <is>
          <t>Toquilla de Piel Labrada Negra con Hebilla</t>
        </is>
      </c>
      <c r="G2" t="inlineStr">
        <is>
          <t>Talla única</t>
        </is>
      </c>
      <c r="H2" t="inlineStr">
        <is>
          <t>Negro</t>
        </is>
      </c>
      <c r="I2" t="inlineStr">
        <is>
          <t>Accesorios</t>
        </is>
      </c>
      <c r="J2" t="inlineStr">
        <is>
          <t>Hebillas</t>
        </is>
      </c>
      <c r="K2" t="inlineStr">
        <is>
          <t>Unisex</t>
        </is>
      </c>
      <c r="L2" t="inlineStr">
        <is>
          <t>PZS</t>
        </is>
      </c>
      <c r="M2" s="186" t="n">
        <v>262.5</v>
      </c>
      <c r="N2" s="186" t="n">
        <v>750</v>
      </c>
      <c r="O2" t="n">
        <v>2</v>
      </c>
      <c r="P2" t="n">
        <v>2</v>
      </c>
      <c r="W2" t="n">
        <v>3</v>
      </c>
      <c r="X2">
        <f>O2-W2</f>
        <v/>
      </c>
      <c r="Y2" t="n">
        <v>3</v>
      </c>
      <c r="AB2" s="186">
        <f>IFERROR(O2*M2,0)</f>
        <v/>
      </c>
      <c r="AC2" s="186">
        <f>IFERROR(O2*N2,0)</f>
        <v/>
      </c>
      <c r="AD2" t="inlineStr">
        <is>
          <t>Con existencia</t>
        </is>
      </c>
      <c r="AE2" t="n">
        <v>2</v>
      </c>
    </row>
    <row r="3">
      <c r="A3" t="inlineStr">
        <is>
          <t>742968415860</t>
        </is>
      </c>
      <c r="B3" t="inlineStr">
        <is>
          <t>117753</t>
        </is>
      </c>
      <c r="C3" t="inlineStr">
        <is>
          <t>WL-LTHR24-UNI</t>
        </is>
      </c>
      <c r="D3" t="inlineStr">
        <is>
          <t>WL-LTHR24</t>
        </is>
      </c>
      <c r="E3" t="inlineStr">
        <is>
          <t>Willow Lane</t>
        </is>
      </c>
      <c r="F3" t="inlineStr">
        <is>
          <t>Toquilla de Piel de Vaca con Hebilla Plateada - Branson</t>
        </is>
      </c>
      <c r="G3" t="inlineStr">
        <is>
          <t>Talla única</t>
        </is>
      </c>
      <c r="H3" t="inlineStr">
        <is>
          <t>Cafe</t>
        </is>
      </c>
      <c r="I3" t="inlineStr">
        <is>
          <t>Accesorios</t>
        </is>
      </c>
      <c r="J3" t="inlineStr">
        <is>
          <t>Hebillas</t>
        </is>
      </c>
      <c r="K3" t="inlineStr">
        <is>
          <t>Unisex</t>
        </is>
      </c>
      <c r="L3" t="inlineStr">
        <is>
          <t>PZS</t>
        </is>
      </c>
      <c r="M3" s="186" t="n">
        <v>280</v>
      </c>
      <c r="N3" s="186" t="n">
        <v>800</v>
      </c>
      <c r="O3" t="n">
        <v>3</v>
      </c>
      <c r="P3" t="n">
        <v>3</v>
      </c>
      <c r="W3" t="n">
        <v>3</v>
      </c>
      <c r="X3">
        <f>O3-W3</f>
        <v/>
      </c>
      <c r="Y3" t="n">
        <v>3</v>
      </c>
      <c r="AB3" s="186">
        <f>IFERROR(O3*M3,0)</f>
        <v/>
      </c>
      <c r="AC3" s="186">
        <f>IFERROR(O3*N3,0)</f>
        <v/>
      </c>
      <c r="AD3" t="inlineStr">
        <is>
          <t>Con existencia</t>
        </is>
      </c>
      <c r="AE3" t="n">
        <v>3</v>
      </c>
    </row>
    <row r="4">
      <c r="A4" t="inlineStr">
        <is>
          <t>634855014662</t>
        </is>
      </c>
      <c r="B4" t="inlineStr">
        <is>
          <t>117749</t>
        </is>
      </c>
      <c r="C4" t="inlineStr">
        <is>
          <t>WL-BHB16-UNI</t>
        </is>
      </c>
      <c r="D4" t="inlineStr">
        <is>
          <t>WL-BHB16</t>
        </is>
      </c>
      <c r="E4" t="inlineStr">
        <is>
          <t>Willow Lane</t>
        </is>
      </c>
      <c r="F4" t="inlineStr">
        <is>
          <t>Toquilla con Piedra Jaspe Café</t>
        </is>
      </c>
      <c r="G4" t="inlineStr">
        <is>
          <t>Talla única</t>
        </is>
      </c>
      <c r="H4" t="inlineStr">
        <is>
          <t>Cafe</t>
        </is>
      </c>
      <c r="I4" t="inlineStr">
        <is>
          <t>Accesorios</t>
        </is>
      </c>
      <c r="J4" t="inlineStr">
        <is>
          <t>Plumas para sombrero</t>
        </is>
      </c>
      <c r="K4" t="inlineStr">
        <is>
          <t>Unisex</t>
        </is>
      </c>
      <c r="L4" t="inlineStr">
        <is>
          <t>PZS</t>
        </is>
      </c>
      <c r="M4" s="186" t="n">
        <v>332.5</v>
      </c>
      <c r="N4" s="186" t="n">
        <v>950</v>
      </c>
      <c r="O4" t="n">
        <v>3</v>
      </c>
      <c r="P4" t="n">
        <v>3</v>
      </c>
      <c r="W4" t="n">
        <v>3</v>
      </c>
      <c r="X4">
        <f>O4-W4</f>
        <v/>
      </c>
      <c r="Y4" t="n">
        <v>3</v>
      </c>
      <c r="AB4" s="186">
        <f>IFERROR(O4*M4,0)</f>
        <v/>
      </c>
      <c r="AC4" s="186">
        <f>IFERROR(O4*N4,0)</f>
        <v/>
      </c>
      <c r="AD4" t="inlineStr">
        <is>
          <t>Con existencia</t>
        </is>
      </c>
      <c r="AE4" t="n">
        <v>3</v>
      </c>
    </row>
    <row r="5">
      <c r="A5" t="inlineStr">
        <is>
          <t>634855166309</t>
        </is>
      </c>
      <c r="B5" t="inlineStr">
        <is>
          <t>117731</t>
        </is>
      </c>
      <c r="C5" t="inlineStr">
        <is>
          <t>WL-BHB18-UNI</t>
        </is>
      </c>
      <c r="D5" t="inlineStr">
        <is>
          <t>WL-BHB18</t>
        </is>
      </c>
      <c r="E5" t="inlineStr">
        <is>
          <t>Willow Lane</t>
        </is>
      </c>
      <c r="F5" t="inlineStr">
        <is>
          <t>Toquilla de Cuentas con Piedra Amazonita</t>
        </is>
      </c>
      <c r="G5" t="inlineStr">
        <is>
          <t>Talla única</t>
        </is>
      </c>
      <c r="H5" t="inlineStr">
        <is>
          <t>Azul</t>
        </is>
      </c>
      <c r="I5" t="inlineStr">
        <is>
          <t>Accesorios</t>
        </is>
      </c>
      <c r="J5" t="inlineStr">
        <is>
          <t>Plumas para sombrero</t>
        </is>
      </c>
      <c r="K5" t="inlineStr">
        <is>
          <t>Unisex</t>
        </is>
      </c>
      <c r="L5" t="inlineStr">
        <is>
          <t>PZS</t>
        </is>
      </c>
      <c r="M5" s="186" t="n">
        <v>332.5</v>
      </c>
      <c r="N5" s="186" t="n">
        <v>950</v>
      </c>
      <c r="O5" t="n">
        <v>2</v>
      </c>
      <c r="P5" t="n">
        <v>2</v>
      </c>
      <c r="W5" t="n">
        <v>2</v>
      </c>
      <c r="X5">
        <f>O5-W5</f>
        <v/>
      </c>
      <c r="Y5" t="n">
        <v>2</v>
      </c>
      <c r="AB5" s="186">
        <f>IFERROR(O5*M5,0)</f>
        <v/>
      </c>
      <c r="AC5" s="186">
        <f>IFERROR(O5*N5,0)</f>
        <v/>
      </c>
      <c r="AD5" t="inlineStr">
        <is>
          <t>Con existencia</t>
        </is>
      </c>
      <c r="AE5" t="n">
        <v>2</v>
      </c>
    </row>
    <row r="6">
      <c r="A6" t="inlineStr">
        <is>
          <t>634855378993</t>
        </is>
      </c>
      <c r="B6" t="inlineStr">
        <is>
          <t>117732</t>
        </is>
      </c>
      <c r="C6" t="inlineStr">
        <is>
          <t>WL-BHB19-UNI</t>
        </is>
      </c>
      <c r="D6" t="inlineStr">
        <is>
          <t>WL-BHB19</t>
        </is>
      </c>
      <c r="E6" t="inlineStr">
        <is>
          <t>Willow Lane</t>
        </is>
      </c>
      <c r="F6" t="inlineStr">
        <is>
          <t>Toquilla con Piedra Turquesa Africana</t>
        </is>
      </c>
      <c r="G6" t="inlineStr">
        <is>
          <t>Talla única</t>
        </is>
      </c>
      <c r="H6" t="inlineStr">
        <is>
          <t>Verde</t>
        </is>
      </c>
      <c r="I6" t="inlineStr">
        <is>
          <t>Accesorios</t>
        </is>
      </c>
      <c r="J6" t="inlineStr">
        <is>
          <t>Plumas para sombrero</t>
        </is>
      </c>
      <c r="K6" t="inlineStr">
        <is>
          <t>Unisex</t>
        </is>
      </c>
      <c r="L6" t="inlineStr">
        <is>
          <t>PZS</t>
        </is>
      </c>
      <c r="M6" s="186" t="n">
        <v>332.5</v>
      </c>
      <c r="N6" s="186" t="n">
        <v>950</v>
      </c>
      <c r="O6" t="n">
        <v>3</v>
      </c>
      <c r="P6" t="n">
        <v>3</v>
      </c>
      <c r="W6" t="n">
        <v>3</v>
      </c>
      <c r="X6">
        <f>O6-W6</f>
        <v/>
      </c>
      <c r="Y6" t="n">
        <v>3</v>
      </c>
      <c r="AB6" s="186">
        <f>IFERROR(O6*M6,0)</f>
        <v/>
      </c>
      <c r="AC6" s="186">
        <f>IFERROR(O6*N6,0)</f>
        <v/>
      </c>
      <c r="AD6" t="inlineStr">
        <is>
          <t>Con existencia</t>
        </is>
      </c>
      <c r="AE6" t="n">
        <v>3</v>
      </c>
    </row>
    <row r="7">
      <c r="A7" t="inlineStr">
        <is>
          <t>634855222760</t>
        </is>
      </c>
      <c r="B7" t="inlineStr">
        <is>
          <t>117730</t>
        </is>
      </c>
      <c r="C7" t="inlineStr">
        <is>
          <t>WL-BHB20-UNI</t>
        </is>
      </c>
      <c r="D7" t="inlineStr">
        <is>
          <t>WL-BHB20</t>
        </is>
      </c>
      <c r="E7" t="inlineStr">
        <is>
          <t>Willow Lane</t>
        </is>
      </c>
      <c r="F7" t="inlineStr">
        <is>
          <t>Toquilla con Piedra Turquesa</t>
        </is>
      </c>
      <c r="G7" t="inlineStr">
        <is>
          <t>Talla única</t>
        </is>
      </c>
      <c r="H7" t="inlineStr">
        <is>
          <t>Azul</t>
        </is>
      </c>
      <c r="I7" t="inlineStr">
        <is>
          <t>Accesorios</t>
        </is>
      </c>
      <c r="J7" t="inlineStr">
        <is>
          <t>Plumas para sombrero</t>
        </is>
      </c>
      <c r="K7" t="inlineStr">
        <is>
          <t>Unisex</t>
        </is>
      </c>
      <c r="L7" t="inlineStr">
        <is>
          <t>PZS</t>
        </is>
      </c>
      <c r="M7" s="186" t="n">
        <v>367.5</v>
      </c>
      <c r="N7" s="186" t="n">
        <v>1050</v>
      </c>
      <c r="O7" t="n">
        <v>3</v>
      </c>
      <c r="P7" t="n">
        <v>3</v>
      </c>
      <c r="W7" t="n">
        <v>3</v>
      </c>
      <c r="X7">
        <f>O7-W7</f>
        <v/>
      </c>
      <c r="Y7" t="n">
        <v>3</v>
      </c>
      <c r="AB7" s="186">
        <f>IFERROR(O7*M7,0)</f>
        <v/>
      </c>
      <c r="AC7" s="186">
        <f>IFERROR(O7*N7,0)</f>
        <v/>
      </c>
      <c r="AD7" t="inlineStr">
        <is>
          <t>Con existencia</t>
        </is>
      </c>
      <c r="AE7" t="n">
        <v>3</v>
      </c>
    </row>
    <row r="8">
      <c r="A8" t="inlineStr">
        <is>
          <t>742968415976</t>
        </is>
      </c>
      <c r="B8" t="inlineStr">
        <is>
          <t>117733</t>
        </is>
      </c>
      <c r="C8" t="inlineStr">
        <is>
          <t>WL-BHB65-UNI</t>
        </is>
      </c>
      <c r="D8" t="inlineStr">
        <is>
          <t>WL-BHB65</t>
        </is>
      </c>
      <c r="E8" t="inlineStr">
        <is>
          <t>Willow Lane</t>
        </is>
      </c>
      <c r="F8" t="inlineStr">
        <is>
          <t>Toquilla con Piedra Jade Blanco - Halo</t>
        </is>
      </c>
      <c r="G8" t="inlineStr">
        <is>
          <t>Talla única</t>
        </is>
      </c>
      <c r="H8" t="inlineStr">
        <is>
          <t>Blanco</t>
        </is>
      </c>
      <c r="I8" t="inlineStr">
        <is>
          <t>Accesorios</t>
        </is>
      </c>
      <c r="J8" t="inlineStr">
        <is>
          <t>Plumas para sombrero</t>
        </is>
      </c>
      <c r="K8" t="inlineStr">
        <is>
          <t>Unisex</t>
        </is>
      </c>
      <c r="L8" t="inlineStr">
        <is>
          <t>PZS</t>
        </is>
      </c>
      <c r="M8" s="186" t="n">
        <v>367.5</v>
      </c>
      <c r="N8" s="186" t="n">
        <v>1050</v>
      </c>
      <c r="O8" t="n">
        <v>1</v>
      </c>
      <c r="P8" t="n">
        <v>1</v>
      </c>
      <c r="W8" t="n">
        <v>1</v>
      </c>
      <c r="X8">
        <f>O8-W8</f>
        <v/>
      </c>
      <c r="Y8" t="n">
        <v>1</v>
      </c>
      <c r="AB8" s="186">
        <f>IFERROR(O8*M8,0)</f>
        <v/>
      </c>
      <c r="AC8" s="186">
        <f>IFERROR(O8*N8,0)</f>
        <v/>
      </c>
      <c r="AD8" t="inlineStr">
        <is>
          <t>Con existencia</t>
        </is>
      </c>
      <c r="AE8" t="n">
        <v>1</v>
      </c>
    </row>
    <row r="9">
      <c r="A9" t="inlineStr">
        <is>
          <t>613365646006</t>
        </is>
      </c>
      <c r="B9" t="inlineStr">
        <is>
          <t>117728</t>
        </is>
      </c>
      <c r="C9" t="inlineStr">
        <is>
          <t>WL-BHB82-UNI</t>
        </is>
      </c>
      <c r="D9" t="inlineStr">
        <is>
          <t>WL-BHB82</t>
        </is>
      </c>
      <c r="E9" t="inlineStr">
        <is>
          <t>Willow Lane</t>
        </is>
      </c>
      <c r="F9" t="inlineStr">
        <is>
          <t>Toquilla de Cadena con Piedras Turquesa y Gris - Ada</t>
        </is>
      </c>
      <c r="G9" t="inlineStr">
        <is>
          <t>Talla única</t>
        </is>
      </c>
      <c r="H9" t="inlineStr">
        <is>
          <t>Azul</t>
        </is>
      </c>
      <c r="I9" t="inlineStr">
        <is>
          <t>Accesorios</t>
        </is>
      </c>
      <c r="J9" t="inlineStr">
        <is>
          <t>Plumas para sombrero</t>
        </is>
      </c>
      <c r="K9" t="inlineStr">
        <is>
          <t>Unisex</t>
        </is>
      </c>
      <c r="L9" t="inlineStr">
        <is>
          <t>PZS</t>
        </is>
      </c>
      <c r="M9" s="186" t="n">
        <v>385</v>
      </c>
      <c r="N9" s="186" t="n">
        <v>1100</v>
      </c>
      <c r="O9" t="n">
        <v>3</v>
      </c>
      <c r="P9" t="n">
        <v>3</v>
      </c>
      <c r="W9" t="n">
        <v>3</v>
      </c>
      <c r="X9">
        <f>O9-W9</f>
        <v/>
      </c>
      <c r="Y9" t="n">
        <v>3</v>
      </c>
      <c r="AB9" s="186">
        <f>IFERROR(O9*M9,0)</f>
        <v/>
      </c>
      <c r="AC9" s="186">
        <f>IFERROR(O9*N9,0)</f>
        <v/>
      </c>
      <c r="AD9" t="inlineStr">
        <is>
          <t>Con existencia</t>
        </is>
      </c>
      <c r="AE9" t="n">
        <v>3</v>
      </c>
    </row>
    <row r="10">
      <c r="A10" t="inlineStr">
        <is>
          <t>613365505587</t>
        </is>
      </c>
      <c r="B10" t="inlineStr">
        <is>
          <t>117729</t>
        </is>
      </c>
      <c r="C10" t="inlineStr">
        <is>
          <t>WL-BHB83-UNI</t>
        </is>
      </c>
      <c r="D10" t="inlineStr">
        <is>
          <t>WL-BHB83</t>
        </is>
      </c>
      <c r="E10" t="inlineStr">
        <is>
          <t>Willow Lane</t>
        </is>
      </c>
      <c r="F10" t="inlineStr">
        <is>
          <t>Toquilla de Cadena con Piedras Blancas y Neutras - June</t>
        </is>
      </c>
      <c r="G10" t="inlineStr">
        <is>
          <t>Talla única</t>
        </is>
      </c>
      <c r="H10" t="inlineStr">
        <is>
          <t>Blanco</t>
        </is>
      </c>
      <c r="I10" t="inlineStr">
        <is>
          <t>Accesorios</t>
        </is>
      </c>
      <c r="J10" t="inlineStr">
        <is>
          <t>Plumas para sombrero</t>
        </is>
      </c>
      <c r="K10" t="inlineStr">
        <is>
          <t>Unisex</t>
        </is>
      </c>
      <c r="L10" t="inlineStr">
        <is>
          <t>PZS</t>
        </is>
      </c>
      <c r="M10" s="186" t="n">
        <v>385</v>
      </c>
      <c r="N10" s="186" t="n">
        <v>1100</v>
      </c>
      <c r="O10" t="n">
        <v>2</v>
      </c>
      <c r="P10" t="n">
        <v>2</v>
      </c>
      <c r="W10" t="n">
        <v>2</v>
      </c>
      <c r="X10">
        <f>O10-W10</f>
        <v/>
      </c>
      <c r="Y10" t="n">
        <v>2</v>
      </c>
      <c r="AB10" s="186">
        <f>IFERROR(O10*M10,0)</f>
        <v/>
      </c>
      <c r="AC10" s="186">
        <f>IFERROR(O10*N10,0)</f>
        <v/>
      </c>
      <c r="AD10" t="inlineStr">
        <is>
          <t>Con existencia</t>
        </is>
      </c>
      <c r="AE10" t="n">
        <v>2</v>
      </c>
    </row>
    <row r="11">
      <c r="A11" t="inlineStr">
        <is>
          <t>742968416362</t>
        </is>
      </c>
      <c r="B11" t="inlineStr">
        <is>
          <t>117713</t>
        </is>
      </c>
      <c r="C11" t="inlineStr">
        <is>
          <t>WL-CHA02-UNI</t>
        </is>
      </c>
      <c r="D11" t="inlineStr">
        <is>
          <t>WL-CHA02</t>
        </is>
      </c>
      <c r="E11" t="inlineStr">
        <is>
          <t>Willow Lane</t>
        </is>
      </c>
      <c r="F11" t="inlineStr">
        <is>
          <t>Toquilla de Cadena Herradura Bañada en Oro 14K</t>
        </is>
      </c>
      <c r="G11" t="inlineStr">
        <is>
          <t>Talla única</t>
        </is>
      </c>
      <c r="H11" t="inlineStr">
        <is>
          <t>Amarillo</t>
        </is>
      </c>
      <c r="I11" t="inlineStr">
        <is>
          <t>Accesorios</t>
        </is>
      </c>
      <c r="J11" t="inlineStr">
        <is>
          <t>Plumas para sombrero</t>
        </is>
      </c>
      <c r="K11" t="inlineStr">
        <is>
          <t>Unisex</t>
        </is>
      </c>
      <c r="L11" t="inlineStr">
        <is>
          <t>PZS</t>
        </is>
      </c>
      <c r="M11" s="186" t="n">
        <v>332.5</v>
      </c>
      <c r="N11" s="186" t="n">
        <v>950</v>
      </c>
      <c r="O11" t="n">
        <v>1</v>
      </c>
      <c r="P11" t="n">
        <v>1</v>
      </c>
      <c r="W11" t="n">
        <v>1</v>
      </c>
      <c r="X11">
        <f>O11-W11</f>
        <v/>
      </c>
      <c r="Y11" t="n">
        <v>1</v>
      </c>
      <c r="AB11" s="186">
        <f>IFERROR(O11*M11,0)</f>
        <v/>
      </c>
      <c r="AC11" s="186">
        <f>IFERROR(O11*N11,0)</f>
        <v/>
      </c>
      <c r="AD11" t="inlineStr">
        <is>
          <t>Con existencia</t>
        </is>
      </c>
      <c r="AE11" t="n">
        <v>1</v>
      </c>
    </row>
    <row r="12">
      <c r="A12" t="inlineStr">
        <is>
          <t>604634490734</t>
        </is>
      </c>
      <c r="B12" t="inlineStr">
        <is>
          <t>117715</t>
        </is>
      </c>
      <c r="C12" t="inlineStr">
        <is>
          <t>WL-CHA03-UNI</t>
        </is>
      </c>
      <c r="D12" t="inlineStr">
        <is>
          <t>WL-CHA03</t>
        </is>
      </c>
      <c r="E12" t="inlineStr">
        <is>
          <t>Willow Lane</t>
        </is>
      </c>
      <c r="F12" t="inlineStr">
        <is>
          <t>Toquilla de Cadena Estrella Bañada en Oro 14K</t>
        </is>
      </c>
      <c r="G12" t="inlineStr">
        <is>
          <t>Talla única</t>
        </is>
      </c>
      <c r="H12" t="inlineStr">
        <is>
          <t>Amarillo</t>
        </is>
      </c>
      <c r="I12" t="inlineStr">
        <is>
          <t>Accesorios</t>
        </is>
      </c>
      <c r="J12" t="inlineStr">
        <is>
          <t>Plumas para sombrero</t>
        </is>
      </c>
      <c r="K12" t="inlineStr">
        <is>
          <t>Unisex</t>
        </is>
      </c>
      <c r="L12" t="inlineStr">
        <is>
          <t>PZS</t>
        </is>
      </c>
      <c r="M12" s="186" t="n">
        <v>332.5</v>
      </c>
      <c r="N12" s="186" t="n">
        <v>950</v>
      </c>
      <c r="O12" t="n">
        <v>3</v>
      </c>
      <c r="P12" t="n">
        <v>3</v>
      </c>
      <c r="W12" t="n">
        <v>3</v>
      </c>
      <c r="X12">
        <f>O12-W12</f>
        <v/>
      </c>
      <c r="Y12" t="n">
        <v>3</v>
      </c>
      <c r="AB12" s="186">
        <f>IFERROR(O12*M12,0)</f>
        <v/>
      </c>
      <c r="AC12" s="186">
        <f>IFERROR(O12*N12,0)</f>
        <v/>
      </c>
      <c r="AD12" t="inlineStr">
        <is>
          <t>Con existencia</t>
        </is>
      </c>
      <c r="AE12" t="n">
        <v>3</v>
      </c>
    </row>
    <row r="13">
      <c r="A13" t="inlineStr">
        <is>
          <t>742968416379</t>
        </is>
      </c>
      <c r="B13" t="inlineStr">
        <is>
          <t>117724</t>
        </is>
      </c>
      <c r="C13" t="inlineStr">
        <is>
          <t>WL-CHA04-UNI</t>
        </is>
      </c>
      <c r="D13" t="inlineStr">
        <is>
          <t>WL-CHA04</t>
        </is>
      </c>
      <c r="E13" t="inlineStr">
        <is>
          <t>Willow Lane</t>
        </is>
      </c>
      <c r="F13" t="inlineStr">
        <is>
          <t>Toquilla de Cadena Herradura Plateada</t>
        </is>
      </c>
      <c r="G13" t="inlineStr">
        <is>
          <t>Talla única</t>
        </is>
      </c>
      <c r="H13" t="inlineStr">
        <is>
          <t>Gris</t>
        </is>
      </c>
      <c r="I13" t="inlineStr">
        <is>
          <t>Accesorios</t>
        </is>
      </c>
      <c r="J13" t="inlineStr">
        <is>
          <t>Plumas para sombrero</t>
        </is>
      </c>
      <c r="K13" t="inlineStr">
        <is>
          <t>Unisex</t>
        </is>
      </c>
      <c r="L13" t="inlineStr">
        <is>
          <t>PZS</t>
        </is>
      </c>
      <c r="M13" s="186" t="n">
        <v>332.5</v>
      </c>
      <c r="N13" s="186" t="n">
        <v>950</v>
      </c>
      <c r="O13" t="n">
        <v>0</v>
      </c>
      <c r="W13" t="n">
        <v>1</v>
      </c>
      <c r="X13">
        <f>O13-W13</f>
        <v/>
      </c>
      <c r="Y13" t="n">
        <v>1</v>
      </c>
      <c r="AB13" s="186">
        <f>IFERROR(O13*M13,0)</f>
        <v/>
      </c>
      <c r="AC13" s="186">
        <f>IFERROR(O13*N13,0)</f>
        <v/>
      </c>
      <c r="AD13" t="inlineStr">
        <is>
          <t>Solo en plataformas</t>
        </is>
      </c>
    </row>
    <row r="14">
      <c r="A14" t="inlineStr">
        <is>
          <t>604634309715</t>
        </is>
      </c>
      <c r="B14" t="inlineStr">
        <is>
          <t>117714</t>
        </is>
      </c>
      <c r="C14" t="inlineStr">
        <is>
          <t>WL-CHA07-UNI</t>
        </is>
      </c>
      <c r="D14" t="inlineStr">
        <is>
          <t>WL-CHA07</t>
        </is>
      </c>
      <c r="E14" t="inlineStr">
        <is>
          <t>Willow Lane</t>
        </is>
      </c>
      <c r="F14" t="inlineStr">
        <is>
          <t>Toquilla de Cadena Longhorn Bañada en Oro 14K</t>
        </is>
      </c>
      <c r="G14" t="inlineStr">
        <is>
          <t>Talla única</t>
        </is>
      </c>
      <c r="H14" t="inlineStr">
        <is>
          <t>Amarillo</t>
        </is>
      </c>
      <c r="I14" t="inlineStr">
        <is>
          <t>Accesorios</t>
        </is>
      </c>
      <c r="J14" t="inlineStr">
        <is>
          <t>Plumas para sombrero</t>
        </is>
      </c>
      <c r="K14" t="inlineStr">
        <is>
          <t>Unisex</t>
        </is>
      </c>
      <c r="L14" t="inlineStr">
        <is>
          <t>PZS</t>
        </is>
      </c>
      <c r="M14" s="186" t="n">
        <v>332.5</v>
      </c>
      <c r="N14" s="186" t="n">
        <v>950</v>
      </c>
      <c r="O14" t="n">
        <v>4</v>
      </c>
      <c r="P14" t="n">
        <v>4</v>
      </c>
      <c r="W14" t="n">
        <v>4</v>
      </c>
      <c r="X14">
        <f>O14-W14</f>
        <v/>
      </c>
      <c r="Y14" t="n">
        <v>4</v>
      </c>
      <c r="AB14" s="186">
        <f>IFERROR(O14*M14,0)</f>
        <v/>
      </c>
      <c r="AC14" s="186">
        <f>IFERROR(O14*N14,0)</f>
        <v/>
      </c>
      <c r="AD14" t="inlineStr">
        <is>
          <t>Con existencia</t>
        </is>
      </c>
      <c r="AE14" t="n">
        <v>4</v>
      </c>
    </row>
    <row r="15">
      <c r="A15" t="inlineStr">
        <is>
          <t>604634440449</t>
        </is>
      </c>
      <c r="B15" t="inlineStr">
        <is>
          <t>117711</t>
        </is>
      </c>
      <c r="C15" t="inlineStr">
        <is>
          <t>WL-CHA08-UNI</t>
        </is>
      </c>
      <c r="D15" t="inlineStr">
        <is>
          <t>WL-CHA08</t>
        </is>
      </c>
      <c r="E15" t="inlineStr">
        <is>
          <t>Willow Lane</t>
        </is>
      </c>
      <c r="F15" t="inlineStr">
        <is>
          <t>Toquilla de Cadena Margarita Bañada en Oro 14K</t>
        </is>
      </c>
      <c r="G15" t="inlineStr">
        <is>
          <t>Talla única</t>
        </is>
      </c>
      <c r="H15" t="inlineStr">
        <is>
          <t>Amarillo</t>
        </is>
      </c>
      <c r="I15" t="inlineStr">
        <is>
          <t>Accesorios</t>
        </is>
      </c>
      <c r="J15" t="inlineStr">
        <is>
          <t>Plumas para sombrero</t>
        </is>
      </c>
      <c r="K15" t="inlineStr">
        <is>
          <t>Unisex</t>
        </is>
      </c>
      <c r="L15" t="inlineStr">
        <is>
          <t>PZS</t>
        </is>
      </c>
      <c r="M15" s="186" t="n">
        <v>332.5</v>
      </c>
      <c r="N15" s="186" t="n">
        <v>950</v>
      </c>
      <c r="O15" t="n">
        <v>3</v>
      </c>
      <c r="P15" t="n">
        <v>3</v>
      </c>
      <c r="W15" t="n">
        <v>3</v>
      </c>
      <c r="X15">
        <f>O15-W15</f>
        <v/>
      </c>
      <c r="Y15" t="n">
        <v>3</v>
      </c>
      <c r="AB15" s="186">
        <f>IFERROR(O15*M15,0)</f>
        <v/>
      </c>
      <c r="AC15" s="186">
        <f>IFERROR(O15*N15,0)</f>
        <v/>
      </c>
      <c r="AD15" t="inlineStr">
        <is>
          <t>Con existencia</t>
        </is>
      </c>
      <c r="AE15" t="n">
        <v>3</v>
      </c>
    </row>
    <row r="16">
      <c r="A16" t="inlineStr">
        <is>
          <t>604634398818</t>
        </is>
      </c>
      <c r="B16" t="inlineStr">
        <is>
          <t>117712</t>
        </is>
      </c>
      <c r="C16" t="inlineStr">
        <is>
          <t>WL-CHA09-UNI</t>
        </is>
      </c>
      <c r="D16" t="inlineStr">
        <is>
          <t>WL-CHA09</t>
        </is>
      </c>
      <c r="E16" t="inlineStr">
        <is>
          <t>Willow Lane</t>
        </is>
      </c>
      <c r="F16" t="inlineStr">
        <is>
          <t>Toquilla de Cadena Diamante Bañada en Oro 14K</t>
        </is>
      </c>
      <c r="G16" t="inlineStr">
        <is>
          <t>Talla única</t>
        </is>
      </c>
      <c r="H16" t="inlineStr">
        <is>
          <t>Amarillo</t>
        </is>
      </c>
      <c r="I16" t="inlineStr">
        <is>
          <t>Accesorios</t>
        </is>
      </c>
      <c r="J16" t="inlineStr">
        <is>
          <t>Plumas para sombrero</t>
        </is>
      </c>
      <c r="K16" t="inlineStr">
        <is>
          <t>Unisex</t>
        </is>
      </c>
      <c r="L16" t="inlineStr">
        <is>
          <t>PZS</t>
        </is>
      </c>
      <c r="M16" s="186" t="n">
        <v>332.5</v>
      </c>
      <c r="N16" s="186" t="n">
        <v>950</v>
      </c>
      <c r="O16" t="n">
        <v>1</v>
      </c>
      <c r="P16" t="n">
        <v>1</v>
      </c>
      <c r="W16" t="n">
        <v>2</v>
      </c>
      <c r="X16">
        <f>O16-W16</f>
        <v/>
      </c>
      <c r="Y16" t="n">
        <v>2</v>
      </c>
      <c r="AB16" s="186">
        <f>IFERROR(O16*M16,0)</f>
        <v/>
      </c>
      <c r="AC16" s="186">
        <f>IFERROR(O16*N16,0)</f>
        <v/>
      </c>
      <c r="AD16" t="inlineStr">
        <is>
          <t>Con existencia</t>
        </is>
      </c>
      <c r="AE16" t="n">
        <v>1</v>
      </c>
    </row>
    <row r="17">
      <c r="A17" t="inlineStr">
        <is>
          <t>634855324112</t>
        </is>
      </c>
      <c r="B17" t="inlineStr">
        <is>
          <t>117725</t>
        </is>
      </c>
      <c r="C17" t="inlineStr">
        <is>
          <t>WL-CNCH03-UNI</t>
        </is>
      </c>
      <c r="D17" t="inlineStr">
        <is>
          <t>WL-CNCH03</t>
        </is>
      </c>
      <c r="E17" t="inlineStr">
        <is>
          <t>Willow Lane</t>
        </is>
      </c>
      <c r="F17" t="inlineStr">
        <is>
          <t>Toquilla con Conchas Envejecidas - Briscoe</t>
        </is>
      </c>
      <c r="G17" t="inlineStr">
        <is>
          <t>Talla única</t>
        </is>
      </c>
      <c r="H17" t="inlineStr">
        <is>
          <t>Gris</t>
        </is>
      </c>
      <c r="I17" t="inlineStr">
        <is>
          <t>Accesorios</t>
        </is>
      </c>
      <c r="J17" t="inlineStr">
        <is>
          <t>Plumas para sombrero</t>
        </is>
      </c>
      <c r="K17" t="inlineStr">
        <is>
          <t>Unisex</t>
        </is>
      </c>
      <c r="L17" t="inlineStr">
        <is>
          <t>PZS</t>
        </is>
      </c>
      <c r="M17" s="186" t="n">
        <v>210</v>
      </c>
      <c r="N17" s="186" t="n">
        <v>600</v>
      </c>
      <c r="O17" t="n">
        <v>2</v>
      </c>
      <c r="P17" t="n">
        <v>2</v>
      </c>
      <c r="W17" t="n">
        <v>2</v>
      </c>
      <c r="X17">
        <f>O17-W17</f>
        <v/>
      </c>
      <c r="Y17" t="n">
        <v>2</v>
      </c>
      <c r="AB17" s="186">
        <f>IFERROR(O17*M17,0)</f>
        <v/>
      </c>
      <c r="AC17" s="186">
        <f>IFERROR(O17*N17,0)</f>
        <v/>
      </c>
      <c r="AD17" t="inlineStr">
        <is>
          <t>Con existencia</t>
        </is>
      </c>
      <c r="AE17" t="n">
        <v>2</v>
      </c>
    </row>
    <row r="18">
      <c r="A18" t="inlineStr">
        <is>
          <t>634855013962</t>
        </is>
      </c>
      <c r="B18" t="inlineStr">
        <is>
          <t>117738</t>
        </is>
      </c>
      <c r="C18" t="inlineStr">
        <is>
          <t>WL-CNCH04-UNI</t>
        </is>
      </c>
      <c r="D18" t="inlineStr">
        <is>
          <t>WL-CNCH04</t>
        </is>
      </c>
      <c r="E18" t="inlineStr">
        <is>
          <t>Willow Lane</t>
        </is>
      </c>
      <c r="F18" t="inlineStr">
        <is>
          <t>Toquilla con Concha Plateada y Piedra Turquesa - Strider</t>
        </is>
      </c>
      <c r="G18" t="inlineStr">
        <is>
          <t>Talla única</t>
        </is>
      </c>
      <c r="H18" t="inlineStr">
        <is>
          <t>Gris</t>
        </is>
      </c>
      <c r="I18" t="inlineStr">
        <is>
          <t>Accesorios</t>
        </is>
      </c>
      <c r="J18" t="inlineStr">
        <is>
          <t>Plumas para sombrero</t>
        </is>
      </c>
      <c r="K18" t="inlineStr">
        <is>
          <t>Unisex</t>
        </is>
      </c>
      <c r="L18" t="inlineStr">
        <is>
          <t>PZS</t>
        </is>
      </c>
      <c r="M18" s="186" t="n">
        <v>210</v>
      </c>
      <c r="N18" s="186" t="n">
        <v>600</v>
      </c>
      <c r="O18" t="n">
        <v>1</v>
      </c>
      <c r="P18" t="n">
        <v>1</v>
      </c>
      <c r="W18" t="n">
        <v>1</v>
      </c>
      <c r="X18">
        <f>O18-W18</f>
        <v/>
      </c>
      <c r="Y18" t="n">
        <v>1</v>
      </c>
      <c r="AB18" s="186">
        <f>IFERROR(O18*M18,0)</f>
        <v/>
      </c>
      <c r="AC18" s="186">
        <f>IFERROR(O18*N18,0)</f>
        <v/>
      </c>
      <c r="AD18" t="inlineStr">
        <is>
          <t>Con existencia</t>
        </is>
      </c>
      <c r="AE18" t="n">
        <v>1</v>
      </c>
    </row>
    <row r="19">
      <c r="A19" t="inlineStr">
        <is>
          <t>742968415891</t>
        </is>
      </c>
      <c r="B19" t="inlineStr">
        <is>
          <t>117754</t>
        </is>
      </c>
      <c r="C19" t="inlineStr">
        <is>
          <t>WL-LTHR27-UNI</t>
        </is>
      </c>
      <c r="D19" t="inlineStr">
        <is>
          <t>WL-LTHR27</t>
        </is>
      </c>
      <c r="E19" t="inlineStr">
        <is>
          <t>Willow Lane</t>
        </is>
      </c>
      <c r="F19" t="inlineStr">
        <is>
          <t>Toquilla de Piel Labrada con Patrón de Canasta</t>
        </is>
      </c>
      <c r="G19" t="inlineStr">
        <is>
          <t>Talla única</t>
        </is>
      </c>
      <c r="H19" t="inlineStr">
        <is>
          <t>Cafe</t>
        </is>
      </c>
      <c r="I19" t="inlineStr">
        <is>
          <t>Accesorios</t>
        </is>
      </c>
      <c r="J19" t="inlineStr">
        <is>
          <t>Plumas para sombrero</t>
        </is>
      </c>
      <c r="K19" t="inlineStr">
        <is>
          <t>Unisex</t>
        </is>
      </c>
      <c r="L19" t="inlineStr">
        <is>
          <t>PZS</t>
        </is>
      </c>
      <c r="M19" s="186" t="n">
        <v>262.5</v>
      </c>
      <c r="N19" s="186" t="n">
        <v>750</v>
      </c>
      <c r="O19" t="n">
        <v>3</v>
      </c>
      <c r="P19" t="n">
        <v>3</v>
      </c>
      <c r="W19" t="n">
        <v>3</v>
      </c>
      <c r="X19">
        <f>O19-W19</f>
        <v/>
      </c>
      <c r="Y19" t="n">
        <v>3</v>
      </c>
      <c r="AB19" s="186">
        <f>IFERROR(O19*M19,0)</f>
        <v/>
      </c>
      <c r="AC19" s="186">
        <f>IFERROR(O19*N19,0)</f>
        <v/>
      </c>
      <c r="AD19" t="inlineStr">
        <is>
          <t>Con existencia</t>
        </is>
      </c>
      <c r="AE19" t="n">
        <v>3</v>
      </c>
    </row>
    <row r="20">
      <c r="A20" t="inlineStr">
        <is>
          <t>613365736363</t>
        </is>
      </c>
      <c r="B20" t="inlineStr">
        <is>
          <t>117734</t>
        </is>
      </c>
      <c r="C20" t="inlineStr">
        <is>
          <t>WL-LTHR38-UNI</t>
        </is>
      </c>
      <c r="D20" t="inlineStr">
        <is>
          <t>WL-LTHR38</t>
        </is>
      </c>
      <c r="E20" t="inlineStr">
        <is>
          <t>Willow Lane</t>
        </is>
      </c>
      <c r="F20" t="inlineStr">
        <is>
          <t>Paquete Variado de Toquillas de Piel Neutras - Paquete de 3</t>
        </is>
      </c>
      <c r="G20" t="inlineStr">
        <is>
          <t>Talla única</t>
        </is>
      </c>
      <c r="H20" t="inlineStr">
        <is>
          <t>Negro</t>
        </is>
      </c>
      <c r="I20" t="inlineStr">
        <is>
          <t>Accesorios</t>
        </is>
      </c>
      <c r="J20" t="inlineStr">
        <is>
          <t>Plumas para sombrero</t>
        </is>
      </c>
      <c r="K20" t="inlineStr">
        <is>
          <t>Unisex</t>
        </is>
      </c>
      <c r="L20" t="inlineStr">
        <is>
          <t>PZS</t>
        </is>
      </c>
      <c r="M20" s="186" t="n">
        <v>525</v>
      </c>
      <c r="N20" s="186" t="n">
        <v>1500</v>
      </c>
      <c r="O20" t="n">
        <v>6</v>
      </c>
      <c r="P20" t="n">
        <v>6</v>
      </c>
      <c r="W20" t="n">
        <v>6</v>
      </c>
      <c r="X20">
        <f>O20-W20</f>
        <v/>
      </c>
      <c r="Y20" t="n">
        <v>6</v>
      </c>
      <c r="AB20" s="186">
        <f>IFERROR(O20*M20,0)</f>
        <v/>
      </c>
      <c r="AC20" s="186">
        <f>IFERROR(O20*N20,0)</f>
        <v/>
      </c>
      <c r="AD20" t="inlineStr">
        <is>
          <t>Con existencia</t>
        </is>
      </c>
      <c r="AE20" t="n">
        <v>6</v>
      </c>
    </row>
    <row r="21">
      <c r="A21" t="inlineStr">
        <is>
          <t>613365963394</t>
        </is>
      </c>
      <c r="B21" t="inlineStr">
        <is>
          <t>117751</t>
        </is>
      </c>
      <c r="C21" t="inlineStr">
        <is>
          <t>WL-LTHR52-UNI</t>
        </is>
      </c>
      <c r="D21" t="inlineStr">
        <is>
          <t>WL-LTHR52</t>
        </is>
      </c>
      <c r="E21" t="inlineStr">
        <is>
          <t>Willow Lane</t>
        </is>
      </c>
      <c r="F21" t="inlineStr">
        <is>
          <t>Toquilla de Piel - Diamante Café</t>
        </is>
      </c>
      <c r="G21" t="inlineStr">
        <is>
          <t>Talla única</t>
        </is>
      </c>
      <c r="H21" t="inlineStr">
        <is>
          <t>Cafe</t>
        </is>
      </c>
      <c r="I21" t="inlineStr">
        <is>
          <t>Accesorios</t>
        </is>
      </c>
      <c r="J21" t="inlineStr">
        <is>
          <t>Plumas para sombrero</t>
        </is>
      </c>
      <c r="K21" t="inlineStr">
        <is>
          <t>Unisex</t>
        </is>
      </c>
      <c r="L21" t="inlineStr">
        <is>
          <t>PZS</t>
        </is>
      </c>
      <c r="M21" s="186" t="n">
        <v>192.5</v>
      </c>
      <c r="N21" s="186" t="n">
        <v>550</v>
      </c>
      <c r="O21" t="n">
        <v>4</v>
      </c>
      <c r="P21" t="n">
        <v>4</v>
      </c>
      <c r="W21" t="n">
        <v>4</v>
      </c>
      <c r="X21">
        <f>O21-W21</f>
        <v/>
      </c>
      <c r="Y21" t="n">
        <v>4</v>
      </c>
      <c r="AB21" s="186">
        <f>IFERROR(O21*M21,0)</f>
        <v/>
      </c>
      <c r="AC21" s="186">
        <f>IFERROR(O21*N21,0)</f>
        <v/>
      </c>
      <c r="AD21" t="inlineStr">
        <is>
          <t>Con existencia</t>
        </is>
      </c>
      <c r="AE21" t="n">
        <v>4</v>
      </c>
    </row>
    <row r="22">
      <c r="A22" t="inlineStr">
        <is>
          <t>613365546825</t>
        </is>
      </c>
      <c r="B22" t="inlineStr">
        <is>
          <t>117750</t>
        </is>
      </c>
      <c r="C22" t="inlineStr">
        <is>
          <t>WL-LTHR54-UNI</t>
        </is>
      </c>
      <c r="D22" t="inlineStr">
        <is>
          <t>WL-LTHR54</t>
        </is>
      </c>
      <c r="E22" t="inlineStr">
        <is>
          <t>Willow Lane</t>
        </is>
      </c>
      <c r="F22" t="inlineStr">
        <is>
          <t>Toquilla de Piel - Cocodrilo Café Oscuro</t>
        </is>
      </c>
      <c r="G22" t="inlineStr">
        <is>
          <t>Talla única</t>
        </is>
      </c>
      <c r="H22" t="inlineStr">
        <is>
          <t>Cafe</t>
        </is>
      </c>
      <c r="I22" t="inlineStr">
        <is>
          <t>Accesorios</t>
        </is>
      </c>
      <c r="J22" t="inlineStr">
        <is>
          <t>Plumas para sombrero</t>
        </is>
      </c>
      <c r="K22" t="inlineStr">
        <is>
          <t>Unisex</t>
        </is>
      </c>
      <c r="L22" t="inlineStr">
        <is>
          <t>PZS</t>
        </is>
      </c>
      <c r="M22" s="186" t="n">
        <v>192.5</v>
      </c>
      <c r="N22" s="186" t="n">
        <v>550</v>
      </c>
      <c r="O22" t="n">
        <v>2</v>
      </c>
      <c r="P22" t="n">
        <v>2</v>
      </c>
      <c r="W22" t="n">
        <v>2</v>
      </c>
      <c r="X22">
        <f>O22-W22</f>
        <v/>
      </c>
      <c r="Y22" t="n">
        <v>2</v>
      </c>
      <c r="AB22" s="186">
        <f>IFERROR(O22*M22,0)</f>
        <v/>
      </c>
      <c r="AC22" s="186">
        <f>IFERROR(O22*N22,0)</f>
        <v/>
      </c>
      <c r="AD22" t="inlineStr">
        <is>
          <t>Con existencia</t>
        </is>
      </c>
      <c r="AE22" t="n">
        <v>2</v>
      </c>
    </row>
    <row r="23">
      <c r="A23" t="inlineStr">
        <is>
          <t>604634146280</t>
        </is>
      </c>
      <c r="B23" t="inlineStr">
        <is>
          <t>117736</t>
        </is>
      </c>
      <c r="C23" t="inlineStr">
        <is>
          <t>WL-LTHR61-UNI</t>
        </is>
      </c>
      <c r="D23" t="inlineStr">
        <is>
          <t>WL-LTHR61</t>
        </is>
      </c>
      <c r="E23" t="inlineStr">
        <is>
          <t>Willow Lane</t>
        </is>
      </c>
      <c r="F23" t="inlineStr">
        <is>
          <t>Toquilla de Piel - Rojo</t>
        </is>
      </c>
      <c r="G23" t="inlineStr">
        <is>
          <t>Talla única</t>
        </is>
      </c>
      <c r="H23" t="inlineStr">
        <is>
          <t>Rojo</t>
        </is>
      </c>
      <c r="I23" t="inlineStr">
        <is>
          <t>Accesorios</t>
        </is>
      </c>
      <c r="J23" t="inlineStr">
        <is>
          <t>Plumas para sombrero</t>
        </is>
      </c>
      <c r="K23" t="inlineStr">
        <is>
          <t>Unisex</t>
        </is>
      </c>
      <c r="L23" t="inlineStr">
        <is>
          <t>PZS</t>
        </is>
      </c>
      <c r="M23" s="186" t="n">
        <v>192.5</v>
      </c>
      <c r="N23" s="186" t="n">
        <v>550</v>
      </c>
      <c r="O23" t="n">
        <v>4</v>
      </c>
      <c r="P23" t="n">
        <v>4</v>
      </c>
      <c r="W23" t="n">
        <v>4</v>
      </c>
      <c r="X23">
        <f>O23-W23</f>
        <v/>
      </c>
      <c r="Y23" t="n">
        <v>4</v>
      </c>
      <c r="AB23" s="186">
        <f>IFERROR(O23*M23,0)</f>
        <v/>
      </c>
      <c r="AC23" s="186">
        <f>IFERROR(O23*N23,0)</f>
        <v/>
      </c>
      <c r="AD23" t="inlineStr">
        <is>
          <t>Con existencia</t>
        </is>
      </c>
      <c r="AE23" t="n">
        <v>4</v>
      </c>
    </row>
    <row r="24">
      <c r="A24" t="inlineStr">
        <is>
          <t>604634008496</t>
        </is>
      </c>
      <c r="B24" t="inlineStr">
        <is>
          <t>117752</t>
        </is>
      </c>
      <c r="C24" t="inlineStr">
        <is>
          <t>WL-LTHR64-UNI</t>
        </is>
      </c>
      <c r="D24" t="inlineStr">
        <is>
          <t>WL-LTHR64</t>
        </is>
      </c>
      <c r="E24" t="inlineStr">
        <is>
          <t>Willow Lane</t>
        </is>
      </c>
      <c r="F24" t="inlineStr">
        <is>
          <t>Toquilla de Piel - Serpiente Piedra</t>
        </is>
      </c>
      <c r="G24" t="inlineStr">
        <is>
          <t>Talla única</t>
        </is>
      </c>
      <c r="H24" t="inlineStr">
        <is>
          <t>Cafe</t>
        </is>
      </c>
      <c r="I24" t="inlineStr">
        <is>
          <t>Accesorios</t>
        </is>
      </c>
      <c r="J24" t="inlineStr">
        <is>
          <t>Plumas para sombrero</t>
        </is>
      </c>
      <c r="K24" t="inlineStr">
        <is>
          <t>Unisex</t>
        </is>
      </c>
      <c r="L24" t="inlineStr">
        <is>
          <t>PZS</t>
        </is>
      </c>
      <c r="M24" s="186" t="n">
        <v>192.5</v>
      </c>
      <c r="N24" s="186" t="n">
        <v>550</v>
      </c>
      <c r="O24" t="n">
        <v>4</v>
      </c>
      <c r="P24" t="n">
        <v>4</v>
      </c>
      <c r="W24" t="n">
        <v>4</v>
      </c>
      <c r="X24">
        <f>O24-W24</f>
        <v/>
      </c>
      <c r="Y24" t="n">
        <v>4</v>
      </c>
      <c r="AB24" s="186">
        <f>IFERROR(O24*M24,0)</f>
        <v/>
      </c>
      <c r="AC24" s="186">
        <f>IFERROR(O24*N24,0)</f>
        <v/>
      </c>
      <c r="AD24" t="inlineStr">
        <is>
          <t>Con existencia</t>
        </is>
      </c>
      <c r="AE24" t="n">
        <v>4</v>
      </c>
    </row>
    <row r="25">
      <c r="A25" t="inlineStr">
        <is>
          <t>654690204172</t>
        </is>
      </c>
      <c r="B25" t="inlineStr">
        <is>
          <t>117718</t>
        </is>
      </c>
      <c r="C25" t="inlineStr">
        <is>
          <t>WLHB-ARIK-UNI</t>
        </is>
      </c>
      <c r="D25" t="inlineStr">
        <is>
          <t>WLHB-ARIK</t>
        </is>
      </c>
      <c r="E25" t="inlineStr">
        <is>
          <t>Willow Lane</t>
        </is>
      </c>
      <c r="F25" t="inlineStr">
        <is>
          <t>Toquilla de Plumas - Arikara</t>
        </is>
      </c>
      <c r="G25" t="inlineStr">
        <is>
          <t>Talla única</t>
        </is>
      </c>
      <c r="H25" t="inlineStr">
        <is>
          <t>Negro</t>
        </is>
      </c>
      <c r="I25" t="inlineStr">
        <is>
          <t>Accesorios</t>
        </is>
      </c>
      <c r="J25" t="inlineStr">
        <is>
          <t>Plumas para sombrero</t>
        </is>
      </c>
      <c r="K25" t="inlineStr">
        <is>
          <t>Unisex</t>
        </is>
      </c>
      <c r="L25" t="inlineStr">
        <is>
          <t>PZS</t>
        </is>
      </c>
      <c r="M25" s="186" t="n">
        <v>350</v>
      </c>
      <c r="N25" s="186" t="n">
        <v>1000</v>
      </c>
      <c r="O25" t="n">
        <v>3</v>
      </c>
      <c r="P25" t="n">
        <v>3</v>
      </c>
      <c r="W25" t="n">
        <v>3</v>
      </c>
      <c r="X25">
        <f>O25-W25</f>
        <v/>
      </c>
      <c r="Y25" t="n">
        <v>3</v>
      </c>
      <c r="AB25" s="186">
        <f>IFERROR(O25*M25,0)</f>
        <v/>
      </c>
      <c r="AC25" s="186">
        <f>IFERROR(O25*N25,0)</f>
        <v/>
      </c>
      <c r="AD25" t="inlineStr">
        <is>
          <t>Con existencia</t>
        </is>
      </c>
      <c r="AE25" t="n">
        <v>3</v>
      </c>
    </row>
    <row r="26">
      <c r="A26" t="inlineStr">
        <is>
          <t>742968416317</t>
        </is>
      </c>
      <c r="B26" t="inlineStr">
        <is>
          <t>117719</t>
        </is>
      </c>
      <c r="C26" t="inlineStr">
        <is>
          <t>WLHB-BEAU-UNI</t>
        </is>
      </c>
      <c r="D26" t="inlineStr">
        <is>
          <t>WLHB-BEAU</t>
        </is>
      </c>
      <c r="E26" t="inlineStr">
        <is>
          <t>Willow Lane</t>
        </is>
      </c>
      <c r="F26" t="inlineStr">
        <is>
          <t>Toquilla de Plumas Western - Beau</t>
        </is>
      </c>
      <c r="G26" t="inlineStr">
        <is>
          <t>Talla única</t>
        </is>
      </c>
      <c r="H26" t="inlineStr">
        <is>
          <t>Negro</t>
        </is>
      </c>
      <c r="I26" t="inlineStr">
        <is>
          <t>Accesorios</t>
        </is>
      </c>
      <c r="J26" t="inlineStr">
        <is>
          <t>Plumas para sombrero</t>
        </is>
      </c>
      <c r="K26" t="inlineStr">
        <is>
          <t>Unisex</t>
        </is>
      </c>
      <c r="L26" t="inlineStr">
        <is>
          <t>PZS</t>
        </is>
      </c>
      <c r="M26" s="186" t="n">
        <v>350</v>
      </c>
      <c r="N26" s="186" t="n">
        <v>1000</v>
      </c>
      <c r="O26" t="n">
        <v>3</v>
      </c>
      <c r="P26" t="n">
        <v>3</v>
      </c>
      <c r="W26" t="n">
        <v>3</v>
      </c>
      <c r="X26">
        <f>O26-W26</f>
        <v/>
      </c>
      <c r="Y26" t="n">
        <v>3</v>
      </c>
      <c r="AB26" s="186">
        <f>IFERROR(O26*M26,0)</f>
        <v/>
      </c>
      <c r="AC26" s="186">
        <f>IFERROR(O26*N26,0)</f>
        <v/>
      </c>
      <c r="AD26" t="inlineStr">
        <is>
          <t>Con existencia</t>
        </is>
      </c>
      <c r="AE26" t="n">
        <v>3</v>
      </c>
    </row>
    <row r="27">
      <c r="A27" t="inlineStr">
        <is>
          <t>654690264145</t>
        </is>
      </c>
      <c r="B27" t="inlineStr">
        <is>
          <t>117717</t>
        </is>
      </c>
      <c r="C27" t="inlineStr">
        <is>
          <t>WLHB-DOVE-UNI</t>
        </is>
      </c>
      <c r="D27" t="inlineStr">
        <is>
          <t>WLHB-DOVE</t>
        </is>
      </c>
      <c r="E27" t="inlineStr">
        <is>
          <t>Willow Lane</t>
        </is>
      </c>
      <c r="F27" t="inlineStr">
        <is>
          <t>Toquilla de Plumas - Dove I</t>
        </is>
      </c>
      <c r="G27" t="inlineStr">
        <is>
          <t>Talla única</t>
        </is>
      </c>
      <c r="H27" t="inlineStr">
        <is>
          <t>Negro</t>
        </is>
      </c>
      <c r="I27" t="inlineStr">
        <is>
          <t>Accesorios</t>
        </is>
      </c>
      <c r="J27" t="inlineStr">
        <is>
          <t>Plumas para sombrero</t>
        </is>
      </c>
      <c r="K27" t="inlineStr">
        <is>
          <t>Unisex</t>
        </is>
      </c>
      <c r="L27" t="inlineStr">
        <is>
          <t>PZS</t>
        </is>
      </c>
      <c r="M27" s="186" t="n">
        <v>306.25</v>
      </c>
      <c r="N27" s="186" t="n">
        <v>900</v>
      </c>
      <c r="O27" t="n">
        <v>3</v>
      </c>
      <c r="P27" t="n">
        <v>3</v>
      </c>
      <c r="W27" t="n">
        <v>3</v>
      </c>
      <c r="X27">
        <f>O27-W27</f>
        <v/>
      </c>
      <c r="Y27" t="n">
        <v>3</v>
      </c>
      <c r="AB27" s="186">
        <f>IFERROR(O27*M27,0)</f>
        <v/>
      </c>
      <c r="AC27" s="186">
        <f>IFERROR(O27*N27,0)</f>
        <v/>
      </c>
      <c r="AD27" t="inlineStr">
        <is>
          <t>Con existencia</t>
        </is>
      </c>
      <c r="AE27" t="n">
        <v>3</v>
      </c>
    </row>
    <row r="28">
      <c r="A28" t="inlineStr">
        <is>
          <t>644625215847</t>
        </is>
      </c>
      <c r="B28" t="inlineStr">
        <is>
          <t>117721</t>
        </is>
      </c>
      <c r="C28" t="inlineStr">
        <is>
          <t>WLHB-MOAB-UNI</t>
        </is>
      </c>
      <c r="D28" t="inlineStr">
        <is>
          <t>WLHB-MOAB</t>
        </is>
      </c>
      <c r="E28" t="inlineStr">
        <is>
          <t>Willow Lane</t>
        </is>
      </c>
      <c r="F28" t="inlineStr">
        <is>
          <t>Toquilla de Plumas - Moab</t>
        </is>
      </c>
      <c r="G28" t="inlineStr">
        <is>
          <t>Talla única</t>
        </is>
      </c>
      <c r="H28" t="inlineStr">
        <is>
          <t>Negro</t>
        </is>
      </c>
      <c r="I28" t="inlineStr">
        <is>
          <t>Accesorios</t>
        </is>
      </c>
      <c r="J28" t="inlineStr">
        <is>
          <t>Plumas para sombrero</t>
        </is>
      </c>
      <c r="K28" t="inlineStr">
        <is>
          <t>Unisex</t>
        </is>
      </c>
      <c r="L28" t="inlineStr">
        <is>
          <t>PZS</t>
        </is>
      </c>
      <c r="M28" s="186" t="n">
        <v>350</v>
      </c>
      <c r="N28" s="186" t="n">
        <v>1000</v>
      </c>
      <c r="O28" t="n">
        <v>3</v>
      </c>
      <c r="P28" t="n">
        <v>3</v>
      </c>
      <c r="W28" t="n">
        <v>3</v>
      </c>
      <c r="X28">
        <f>O28-W28</f>
        <v/>
      </c>
      <c r="Y28" t="n">
        <v>3</v>
      </c>
      <c r="AB28" s="186">
        <f>IFERROR(O28*M28,0)</f>
        <v/>
      </c>
      <c r="AC28" s="186">
        <f>IFERROR(O28*N28,0)</f>
        <v/>
      </c>
      <c r="AD28" t="inlineStr">
        <is>
          <t>Con existencia</t>
        </is>
      </c>
      <c r="AE28" t="n">
        <v>3</v>
      </c>
    </row>
    <row r="29">
      <c r="A29" t="inlineStr">
        <is>
          <t>612461905727</t>
        </is>
      </c>
      <c r="B29" t="inlineStr">
        <is>
          <t>117720</t>
        </is>
      </c>
      <c r="C29" t="inlineStr">
        <is>
          <t>WLHB-SNRA-UNI</t>
        </is>
      </c>
      <c r="D29" t="inlineStr">
        <is>
          <t>WLHB-SNRA</t>
        </is>
      </c>
      <c r="E29" t="inlineStr">
        <is>
          <t>Willow Lane</t>
        </is>
      </c>
      <c r="F29" t="inlineStr">
        <is>
          <t>Toquilla de Plumas Western - Sonora</t>
        </is>
      </c>
      <c r="G29" t="inlineStr">
        <is>
          <t>Talla única</t>
        </is>
      </c>
      <c r="H29" t="inlineStr">
        <is>
          <t>Negro</t>
        </is>
      </c>
      <c r="I29" t="inlineStr">
        <is>
          <t>Accesorios</t>
        </is>
      </c>
      <c r="J29" t="inlineStr">
        <is>
          <t>Plumas para sombrero</t>
        </is>
      </c>
      <c r="K29" t="inlineStr">
        <is>
          <t>Unisex</t>
        </is>
      </c>
      <c r="L29" t="inlineStr">
        <is>
          <t>PZS</t>
        </is>
      </c>
      <c r="M29" s="186" t="n">
        <v>350</v>
      </c>
      <c r="N29" s="186" t="n">
        <v>1000</v>
      </c>
      <c r="O29" t="n">
        <v>3</v>
      </c>
      <c r="P29" t="n">
        <v>3</v>
      </c>
      <c r="W29" t="n">
        <v>3</v>
      </c>
      <c r="X29">
        <f>O29-W29</f>
        <v/>
      </c>
      <c r="Y29" t="n">
        <v>3</v>
      </c>
      <c r="AB29" s="186">
        <f>IFERROR(O29*M29,0)</f>
        <v/>
      </c>
      <c r="AC29" s="186">
        <f>IFERROR(O29*N29,0)</f>
        <v/>
      </c>
      <c r="AD29" t="inlineStr">
        <is>
          <t>Con existencia</t>
        </is>
      </c>
      <c r="AE29" t="n">
        <v>3</v>
      </c>
    </row>
    <row r="30">
      <c r="A30" t="inlineStr">
        <is>
          <t>659675565729</t>
        </is>
      </c>
      <c r="B30" t="inlineStr">
        <is>
          <t>117722</t>
        </is>
      </c>
      <c r="C30" t="inlineStr">
        <is>
          <t>WLHB-WCRST-UNI</t>
        </is>
      </c>
      <c r="D30" t="inlineStr">
        <is>
          <t>WLHB-WCRST</t>
        </is>
      </c>
      <c r="E30" t="inlineStr">
        <is>
          <t>Willow Lane</t>
        </is>
      </c>
      <c r="F30" t="inlineStr">
        <is>
          <t>Toquilla de Plumas - Avalon</t>
        </is>
      </c>
      <c r="G30" t="inlineStr">
        <is>
          <t>Talla única</t>
        </is>
      </c>
      <c r="H30" t="inlineStr">
        <is>
          <t>Negro</t>
        </is>
      </c>
      <c r="I30" t="inlineStr">
        <is>
          <t>Accesorios</t>
        </is>
      </c>
      <c r="J30" t="inlineStr">
        <is>
          <t>Plumas para sombrero</t>
        </is>
      </c>
      <c r="K30" t="inlineStr">
        <is>
          <t>Unisex</t>
        </is>
      </c>
      <c r="L30" t="inlineStr">
        <is>
          <t>PZS</t>
        </is>
      </c>
      <c r="M30" s="186" t="n">
        <v>350</v>
      </c>
      <c r="N30" s="186" t="n">
        <v>1000</v>
      </c>
      <c r="O30" t="n">
        <v>3</v>
      </c>
      <c r="P30" t="n">
        <v>3</v>
      </c>
      <c r="W30" t="n">
        <v>3</v>
      </c>
      <c r="X30">
        <f>O30-W30</f>
        <v/>
      </c>
      <c r="Y30" t="n">
        <v>3</v>
      </c>
      <c r="AB30" s="186">
        <f>IFERROR(O30*M30,0)</f>
        <v/>
      </c>
      <c r="AC30" s="186">
        <f>IFERROR(O30*N30,0)</f>
        <v/>
      </c>
      <c r="AD30" t="inlineStr">
        <is>
          <t>Con existencia</t>
        </is>
      </c>
      <c r="AE30" t="n">
        <v>3</v>
      </c>
    </row>
    <row r="31">
      <c r="A31" t="inlineStr">
        <is>
          <t>644625475487</t>
        </is>
      </c>
      <c r="B31" t="inlineStr">
        <is>
          <t>117716</t>
        </is>
      </c>
      <c r="C31" t="inlineStr">
        <is>
          <t>WLHB-WLLW-UNI</t>
        </is>
      </c>
      <c r="D31" t="inlineStr">
        <is>
          <t>WLHB-WLLW</t>
        </is>
      </c>
      <c r="E31" t="inlineStr">
        <is>
          <t>Willow Lane</t>
        </is>
      </c>
      <c r="F31" t="inlineStr">
        <is>
          <t>Toquilla de Plumas - Willow</t>
        </is>
      </c>
      <c r="G31" t="inlineStr">
        <is>
          <t>Talla única</t>
        </is>
      </c>
      <c r="H31" t="inlineStr">
        <is>
          <t>Negro</t>
        </is>
      </c>
      <c r="I31" t="inlineStr">
        <is>
          <t>Accesorios</t>
        </is>
      </c>
      <c r="J31" t="inlineStr">
        <is>
          <t>Plumas para sombrero</t>
        </is>
      </c>
      <c r="K31" t="inlineStr">
        <is>
          <t>Unisex</t>
        </is>
      </c>
      <c r="L31" t="inlineStr">
        <is>
          <t>PZS</t>
        </is>
      </c>
      <c r="M31" s="186" t="n">
        <v>306.25</v>
      </c>
      <c r="N31" s="186" t="n">
        <v>900</v>
      </c>
      <c r="O31" t="n">
        <v>3</v>
      </c>
      <c r="P31" t="n">
        <v>3</v>
      </c>
      <c r="W31" t="n">
        <v>3</v>
      </c>
      <c r="X31">
        <f>O31-W31</f>
        <v/>
      </c>
      <c r="Y31" t="n">
        <v>3</v>
      </c>
      <c r="AB31" s="186">
        <f>IFERROR(O31*M31,0)</f>
        <v/>
      </c>
      <c r="AC31" s="186">
        <f>IFERROR(O31*N31,0)</f>
        <v/>
      </c>
      <c r="AD31" t="inlineStr">
        <is>
          <t>Con existencia</t>
        </is>
      </c>
      <c r="AE31" t="n">
        <v>3</v>
      </c>
    </row>
    <row r="32">
      <c r="A32" t="inlineStr">
        <is>
          <t>644625159127</t>
        </is>
      </c>
      <c r="B32" t="inlineStr">
        <is>
          <t>117741</t>
        </is>
      </c>
      <c r="C32" t="inlineStr">
        <is>
          <t>WLHF-CHY-UNI</t>
        </is>
      </c>
      <c r="D32" t="inlineStr">
        <is>
          <t>WLHF-CHY</t>
        </is>
      </c>
      <c r="E32" t="inlineStr">
        <is>
          <t>Willow Lane</t>
        </is>
      </c>
      <c r="F32" t="inlineStr">
        <is>
          <t>Accesorio de Plumas para Sombrero - Cheyenne</t>
        </is>
      </c>
      <c r="G32" t="inlineStr">
        <is>
          <t>Talla única</t>
        </is>
      </c>
      <c r="H32" t="inlineStr">
        <is>
          <t>Negro</t>
        </is>
      </c>
      <c r="I32" t="inlineStr">
        <is>
          <t>Accesorios</t>
        </is>
      </c>
      <c r="J32" t="inlineStr">
        <is>
          <t>Plumas para sombrero</t>
        </is>
      </c>
      <c r="K32" t="inlineStr">
        <is>
          <t>Unisex</t>
        </is>
      </c>
      <c r="L32" t="inlineStr">
        <is>
          <t>PZS</t>
        </is>
      </c>
      <c r="M32" s="186" t="n">
        <v>210</v>
      </c>
      <c r="N32" s="186" t="n">
        <v>600</v>
      </c>
      <c r="O32" t="n">
        <v>3</v>
      </c>
      <c r="P32" t="n">
        <v>3</v>
      </c>
      <c r="W32" t="n">
        <v>3</v>
      </c>
      <c r="X32">
        <f>O32-W32</f>
        <v/>
      </c>
      <c r="Y32" t="n">
        <v>3</v>
      </c>
      <c r="AB32" s="186">
        <f>IFERROR(O32*M32,0)</f>
        <v/>
      </c>
      <c r="AC32" s="186">
        <f>IFERROR(O32*N32,0)</f>
        <v/>
      </c>
      <c r="AD32" t="inlineStr">
        <is>
          <t>Con existencia</t>
        </is>
      </c>
      <c r="AE32" t="n">
        <v>3</v>
      </c>
    </row>
    <row r="33">
      <c r="A33" t="inlineStr">
        <is>
          <t>613365783664</t>
        </is>
      </c>
      <c r="B33" t="inlineStr">
        <is>
          <t>117740</t>
        </is>
      </c>
      <c r="C33" t="inlineStr">
        <is>
          <t>WLHF-LAUR-UNI</t>
        </is>
      </c>
      <c r="D33" t="inlineStr">
        <is>
          <t>WLHF-LAUR</t>
        </is>
      </c>
      <c r="E33" t="inlineStr">
        <is>
          <t>Willow Lane</t>
        </is>
      </c>
      <c r="F33" t="inlineStr">
        <is>
          <t>Accesorio de Plumas para Sombrero - Lauren</t>
        </is>
      </c>
      <c r="G33" t="inlineStr">
        <is>
          <t>Talla única</t>
        </is>
      </c>
      <c r="H33" t="inlineStr">
        <is>
          <t>Negro</t>
        </is>
      </c>
      <c r="I33" t="inlineStr">
        <is>
          <t>Accesorios</t>
        </is>
      </c>
      <c r="J33" t="inlineStr">
        <is>
          <t>Plumas para sombrero</t>
        </is>
      </c>
      <c r="K33" t="inlineStr">
        <is>
          <t>Unisex</t>
        </is>
      </c>
      <c r="L33" t="inlineStr">
        <is>
          <t>PZS</t>
        </is>
      </c>
      <c r="M33" s="186" t="n">
        <v>210</v>
      </c>
      <c r="N33" s="186" t="n">
        <v>600</v>
      </c>
      <c r="O33" t="n">
        <v>3</v>
      </c>
      <c r="P33" t="n">
        <v>3</v>
      </c>
      <c r="W33" t="n">
        <v>3</v>
      </c>
      <c r="X33">
        <f>O33-W33</f>
        <v/>
      </c>
      <c r="Y33" t="n">
        <v>3</v>
      </c>
      <c r="AB33" s="186">
        <f>IFERROR(O33*M33,0)</f>
        <v/>
      </c>
      <c r="AC33" s="186">
        <f>IFERROR(O33*N33,0)</f>
        <v/>
      </c>
      <c r="AD33" t="inlineStr">
        <is>
          <t>Con existencia</t>
        </is>
      </c>
      <c r="AE33" t="n">
        <v>3</v>
      </c>
    </row>
    <row r="34">
      <c r="A34" t="inlineStr">
        <is>
          <t>612461900869</t>
        </is>
      </c>
      <c r="B34" t="inlineStr">
        <is>
          <t>117743</t>
        </is>
      </c>
      <c r="C34" t="inlineStr">
        <is>
          <t>WLHF-RSC-UNI</t>
        </is>
      </c>
      <c r="D34" t="inlineStr">
        <is>
          <t>WLHF-RSC</t>
        </is>
      </c>
      <c r="E34" t="inlineStr">
        <is>
          <t>Willow Lane</t>
        </is>
      </c>
      <c r="F34" t="inlineStr">
        <is>
          <t>Accesorio de Plumas para Sombrero - Risco</t>
        </is>
      </c>
      <c r="G34" t="inlineStr">
        <is>
          <t>Talla única</t>
        </is>
      </c>
      <c r="H34" t="inlineStr">
        <is>
          <t>Negro</t>
        </is>
      </c>
      <c r="I34" t="inlineStr">
        <is>
          <t>Accesorios</t>
        </is>
      </c>
      <c r="J34" t="inlineStr">
        <is>
          <t>Plumas para sombrero</t>
        </is>
      </c>
      <c r="K34" t="inlineStr">
        <is>
          <t>Unisex</t>
        </is>
      </c>
      <c r="L34" t="inlineStr">
        <is>
          <t>PZS</t>
        </is>
      </c>
      <c r="M34" s="186" t="n">
        <v>210</v>
      </c>
      <c r="N34" s="186" t="n">
        <v>600</v>
      </c>
      <c r="O34" t="n">
        <v>2</v>
      </c>
      <c r="P34" t="n">
        <v>2</v>
      </c>
      <c r="W34" t="n">
        <v>2</v>
      </c>
      <c r="X34">
        <f>O34-W34</f>
        <v/>
      </c>
      <c r="Y34" t="n">
        <v>2</v>
      </c>
      <c r="AB34" s="186">
        <f>IFERROR(O34*M34,0)</f>
        <v/>
      </c>
      <c r="AC34" s="186">
        <f>IFERROR(O34*N34,0)</f>
        <v/>
      </c>
      <c r="AD34" t="inlineStr">
        <is>
          <t>Con existencia</t>
        </is>
      </c>
      <c r="AE34" t="n">
        <v>2</v>
      </c>
    </row>
    <row r="35">
      <c r="A35" t="inlineStr">
        <is>
          <t>644625125085</t>
        </is>
      </c>
      <c r="B35" t="inlineStr">
        <is>
          <t>117739</t>
        </is>
      </c>
      <c r="C35" t="inlineStr">
        <is>
          <t>WLHF-SHGRL-UNI</t>
        </is>
      </c>
      <c r="D35" t="inlineStr">
        <is>
          <t>WLHF-SHGRL</t>
        </is>
      </c>
      <c r="E35" t="inlineStr">
        <is>
          <t>Willow Lane</t>
        </is>
      </c>
      <c r="F35" t="inlineStr">
        <is>
          <t>Accesorio de Plumas para Sombrero - Showgirl</t>
        </is>
      </c>
      <c r="G35" t="inlineStr">
        <is>
          <t>Talla única</t>
        </is>
      </c>
      <c r="H35" t="inlineStr">
        <is>
          <t>Negro</t>
        </is>
      </c>
      <c r="I35" t="inlineStr">
        <is>
          <t>Accesorios</t>
        </is>
      </c>
      <c r="J35" t="inlineStr">
        <is>
          <t>Plumas para sombrero</t>
        </is>
      </c>
      <c r="K35" t="inlineStr">
        <is>
          <t>Unisex</t>
        </is>
      </c>
      <c r="L35" t="inlineStr">
        <is>
          <t>PZS</t>
        </is>
      </c>
      <c r="M35" s="186" t="n">
        <v>210</v>
      </c>
      <c r="N35" s="186" t="n">
        <v>600</v>
      </c>
      <c r="O35" t="n">
        <v>3</v>
      </c>
      <c r="P35" t="n">
        <v>3</v>
      </c>
      <c r="W35" t="n">
        <v>3</v>
      </c>
      <c r="X35">
        <f>O35-W35</f>
        <v/>
      </c>
      <c r="Y35" t="n">
        <v>3</v>
      </c>
      <c r="AB35" s="186">
        <f>IFERROR(O35*M35,0)</f>
        <v/>
      </c>
      <c r="AC35" s="186">
        <f>IFERROR(O35*N35,0)</f>
        <v/>
      </c>
      <c r="AD35" t="inlineStr">
        <is>
          <t>Con existencia</t>
        </is>
      </c>
      <c r="AE35" t="n">
        <v>3</v>
      </c>
    </row>
    <row r="36">
      <c r="A36" t="inlineStr">
        <is>
          <t>644625110210</t>
        </is>
      </c>
      <c r="B36" t="inlineStr">
        <is>
          <t>117742</t>
        </is>
      </c>
      <c r="C36" t="inlineStr">
        <is>
          <t>WLHF-STRN-UNI</t>
        </is>
      </c>
      <c r="D36" t="inlineStr">
        <is>
          <t>WLHF-STRN</t>
        </is>
      </c>
      <c r="E36" t="inlineStr">
        <is>
          <t>Willow Lane</t>
        </is>
      </c>
      <c r="F36" t="inlineStr">
        <is>
          <t>Accesorio de Plumas para Sombrero - Strut'n</t>
        </is>
      </c>
      <c r="G36" t="inlineStr">
        <is>
          <t>Talla única</t>
        </is>
      </c>
      <c r="H36" t="inlineStr">
        <is>
          <t>Negro</t>
        </is>
      </c>
      <c r="I36" t="inlineStr">
        <is>
          <t>Accesorios</t>
        </is>
      </c>
      <c r="J36" t="inlineStr">
        <is>
          <t>Plumas para sombrero</t>
        </is>
      </c>
      <c r="K36" t="inlineStr">
        <is>
          <t>Unisex</t>
        </is>
      </c>
      <c r="L36" t="inlineStr">
        <is>
          <t>PZS</t>
        </is>
      </c>
      <c r="M36" s="186" t="n">
        <v>210</v>
      </c>
      <c r="N36" s="186" t="n">
        <v>600</v>
      </c>
      <c r="O36" t="n">
        <v>1</v>
      </c>
      <c r="P36" t="n">
        <v>1</v>
      </c>
      <c r="W36" t="n">
        <v>1</v>
      </c>
      <c r="X36">
        <f>O36-W36</f>
        <v/>
      </c>
      <c r="Y36" t="n">
        <v>1</v>
      </c>
      <c r="AB36" s="186">
        <f>IFERROR(O36*M36,0)</f>
        <v/>
      </c>
      <c r="AC36" s="186">
        <f>IFERROR(O36*N36,0)</f>
        <v/>
      </c>
      <c r="AD36" t="inlineStr">
        <is>
          <t>Con existencia</t>
        </is>
      </c>
      <c r="AE36" t="n">
        <v>1</v>
      </c>
    </row>
    <row r="37">
      <c r="A37" t="inlineStr">
        <is>
          <t>634855038170</t>
        </is>
      </c>
      <c r="B37" t="inlineStr">
        <is>
          <t>117723</t>
        </is>
      </c>
      <c r="C37" t="inlineStr">
        <is>
          <t>WL-PIN03-UNI</t>
        </is>
      </c>
      <c r="D37" t="inlineStr">
        <is>
          <t>WL-PIN03</t>
        </is>
      </c>
      <c r="E37" t="inlineStr">
        <is>
          <t>Willow Lane</t>
        </is>
      </c>
      <c r="F37" t="inlineStr">
        <is>
          <t>Alfiler de Sombrero Ovalado - Flor del Desierto</t>
        </is>
      </c>
      <c r="G37" t="inlineStr">
        <is>
          <t>Talla única</t>
        </is>
      </c>
      <c r="H37" t="inlineStr">
        <is>
          <t>Negro</t>
        </is>
      </c>
      <c r="I37" t="inlineStr">
        <is>
          <t>Accesorios</t>
        </is>
      </c>
      <c r="J37" t="inlineStr">
        <is>
          <t>Sombreros</t>
        </is>
      </c>
      <c r="K37" t="inlineStr">
        <is>
          <t>Unisex</t>
        </is>
      </c>
      <c r="L37" t="inlineStr">
        <is>
          <t>PZS</t>
        </is>
      </c>
      <c r="M37" s="186" t="n">
        <v>262.5</v>
      </c>
      <c r="N37" s="186" t="n">
        <v>750</v>
      </c>
      <c r="O37" t="n">
        <v>2</v>
      </c>
      <c r="P37" t="n">
        <v>2</v>
      </c>
      <c r="W37" t="n">
        <v>2</v>
      </c>
      <c r="X37">
        <f>O37-W37</f>
        <v/>
      </c>
      <c r="Y37" t="n">
        <v>2</v>
      </c>
      <c r="AB37" s="186">
        <f>IFERROR(O37*M37,0)</f>
        <v/>
      </c>
      <c r="AC37" s="186">
        <f>IFERROR(O37*N37,0)</f>
        <v/>
      </c>
      <c r="AD37" t="inlineStr">
        <is>
          <t>Con existencia</t>
        </is>
      </c>
      <c r="AE37" t="n">
        <v>2</v>
      </c>
    </row>
    <row r="38">
      <c r="A38" t="inlineStr">
        <is>
          <t>634855175844</t>
        </is>
      </c>
      <c r="B38" t="inlineStr">
        <is>
          <t>117726</t>
        </is>
      </c>
      <c r="C38" t="inlineStr">
        <is>
          <t>WL-PIN04-UNI</t>
        </is>
      </c>
      <c r="D38" t="inlineStr">
        <is>
          <t>WL-PIN04</t>
        </is>
      </c>
      <c r="E38" t="inlineStr">
        <is>
          <t>Willow Lane</t>
        </is>
      </c>
      <c r="F38" t="inlineStr">
        <is>
          <t>Alfiler de Sombrero con Borde de Cuentas Turquesa - Sierra</t>
        </is>
      </c>
      <c r="G38" t="inlineStr">
        <is>
          <t>Talla única</t>
        </is>
      </c>
      <c r="H38" t="inlineStr">
        <is>
          <t>Azul</t>
        </is>
      </c>
      <c r="I38" t="inlineStr">
        <is>
          <t>Accesorios</t>
        </is>
      </c>
      <c r="J38" t="inlineStr">
        <is>
          <t>Sombreros</t>
        </is>
      </c>
      <c r="K38" t="inlineStr">
        <is>
          <t>Unisex</t>
        </is>
      </c>
      <c r="L38" t="inlineStr">
        <is>
          <t>PZS</t>
        </is>
      </c>
      <c r="M38" s="186" t="n">
        <v>315</v>
      </c>
      <c r="N38" s="186" t="n">
        <v>900</v>
      </c>
      <c r="O38" t="n">
        <v>2</v>
      </c>
      <c r="P38" t="n">
        <v>2</v>
      </c>
      <c r="W38" t="n">
        <v>2</v>
      </c>
      <c r="X38">
        <f>O38-W38</f>
        <v/>
      </c>
      <c r="Y38" t="n">
        <v>2</v>
      </c>
      <c r="AB38" s="186">
        <f>IFERROR(O38*M38,0)</f>
        <v/>
      </c>
      <c r="AC38" s="186">
        <f>IFERROR(O38*N38,0)</f>
        <v/>
      </c>
      <c r="AD38" t="inlineStr">
        <is>
          <t>Con existencia</t>
        </is>
      </c>
      <c r="AE38" t="n">
        <v>2</v>
      </c>
    </row>
    <row r="39">
      <c r="A39" t="inlineStr">
        <is>
          <t>742968415570</t>
        </is>
      </c>
      <c r="B39" t="inlineStr">
        <is>
          <t>117727</t>
        </is>
      </c>
      <c r="C39" t="inlineStr">
        <is>
          <t>WL-PIN19-UNI</t>
        </is>
      </c>
      <c r="D39" t="inlineStr">
        <is>
          <t>WL-PIN19</t>
        </is>
      </c>
      <c r="E39" t="inlineStr">
        <is>
          <t>Willow Lane</t>
        </is>
      </c>
      <c r="F39" t="inlineStr">
        <is>
          <t>Alfiler de Sombrero Mosaico del Suroeste</t>
        </is>
      </c>
      <c r="G39" t="inlineStr">
        <is>
          <t>Talla única</t>
        </is>
      </c>
      <c r="H39" t="inlineStr">
        <is>
          <t>Negro</t>
        </is>
      </c>
      <c r="I39" t="inlineStr">
        <is>
          <t>Accesorios</t>
        </is>
      </c>
      <c r="J39" t="inlineStr">
        <is>
          <t>Sombreros</t>
        </is>
      </c>
      <c r="K39" t="inlineStr">
        <is>
          <t>Unisex</t>
        </is>
      </c>
      <c r="L39" t="inlineStr">
        <is>
          <t>PZS</t>
        </is>
      </c>
      <c r="M39" s="186" t="n">
        <v>315</v>
      </c>
      <c r="N39" s="186" t="n">
        <v>900</v>
      </c>
      <c r="O39" t="n">
        <v>2</v>
      </c>
      <c r="P39" t="n">
        <v>2</v>
      </c>
      <c r="W39" t="n">
        <v>2</v>
      </c>
      <c r="X39">
        <f>O39-W39</f>
        <v/>
      </c>
      <c r="Y39" t="n">
        <v>2</v>
      </c>
      <c r="AB39" s="186">
        <f>IFERROR(O39*M39,0)</f>
        <v/>
      </c>
      <c r="AC39" s="186">
        <f>IFERROR(O39*N39,0)</f>
        <v/>
      </c>
      <c r="AD39" t="inlineStr">
        <is>
          <t>Con existencia</t>
        </is>
      </c>
      <c r="AE39" t="n">
        <v>2</v>
      </c>
    </row>
    <row r="40">
      <c r="A40" t="inlineStr">
        <is>
          <t>742968416348</t>
        </is>
      </c>
      <c r="B40" t="inlineStr">
        <is>
          <t>117748</t>
        </is>
      </c>
      <c r="C40" t="inlineStr">
        <is>
          <t>WL-PIN23-UNI</t>
        </is>
      </c>
      <c r="D40" t="inlineStr">
        <is>
          <t>WL-PIN23</t>
        </is>
      </c>
      <c r="E40" t="inlineStr">
        <is>
          <t>Willow Lane</t>
        </is>
      </c>
      <c r="F40" t="inlineStr">
        <is>
          <t>Alfiler de Sombrero Jaspe Café</t>
        </is>
      </c>
      <c r="G40" t="inlineStr">
        <is>
          <t>Talla única</t>
        </is>
      </c>
      <c r="H40" t="inlineStr">
        <is>
          <t>Cafe</t>
        </is>
      </c>
      <c r="I40" t="inlineStr">
        <is>
          <t>Accesorios</t>
        </is>
      </c>
      <c r="J40" t="inlineStr">
        <is>
          <t>Sombreros</t>
        </is>
      </c>
      <c r="K40" t="inlineStr">
        <is>
          <t>Unisex</t>
        </is>
      </c>
      <c r="L40" t="inlineStr">
        <is>
          <t>PZS</t>
        </is>
      </c>
      <c r="M40" s="186" t="n">
        <v>315</v>
      </c>
      <c r="N40" s="186" t="n">
        <v>900</v>
      </c>
      <c r="O40" t="n">
        <v>1</v>
      </c>
      <c r="P40" t="n">
        <v>1</v>
      </c>
      <c r="W40" t="n">
        <v>1</v>
      </c>
      <c r="X40">
        <f>O40-W40</f>
        <v/>
      </c>
      <c r="Y40" t="n">
        <v>1</v>
      </c>
      <c r="AB40" s="186">
        <f>IFERROR(O40*M40,0)</f>
        <v/>
      </c>
      <c r="AC40" s="186">
        <f>IFERROR(O40*N40,0)</f>
        <v/>
      </c>
      <c r="AD40" t="inlineStr">
        <is>
          <t>Con existencia</t>
        </is>
      </c>
      <c r="AE40" t="n">
        <v>1</v>
      </c>
    </row>
  </sheetData>
  <autoFilter ref="A1:AE40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selection activeCell="A1" sqref="A1"/>
    </sheetView>
  </sheetViews>
  <sheetFormatPr baseColWidth="8" defaultRowHeight="15"/>
  <cols>
    <col width="42" customWidth="1" style="176" min="1" max="1"/>
    <col width="18" customWidth="1" style="176" min="2" max="2"/>
    <col width="30" customWidth="1" style="176" min="3" max="3"/>
    <col width="18" customWidth="1" style="176" min="4" max="4"/>
    <col width="18" customWidth="1" style="176" min="5" max="5"/>
    <col width="18" customWidth="1" style="176" min="6" max="6"/>
    <col width="18" customWidth="1" style="176" min="7" max="7"/>
    <col width="18" customWidth="1" style="176" min="8" max="8"/>
    <col width="18" customWidth="1" style="176" min="9" max="9"/>
    <col width="18" customWidth="1" style="176" min="10" max="10"/>
    <col width="18" customWidth="1" style="176" min="11" max="11"/>
  </cols>
  <sheetData>
    <row r="1">
      <c r="A1" s="187" t="inlineStr">
        <is>
          <t>Indicadores de inventario · Willow Lane</t>
        </is>
      </c>
    </row>
    <row r="2">
      <c r="A2" t="inlineStr">
        <is>
          <t>NetSuite al 06/10/2026 · corte anterior NetSuite 28/09/2026 · Shopify Ariat 05/10/2026 · Shopify Stetson, Western Brothers y Odoo 01/10/2026</t>
        </is>
      </c>
    </row>
    <row r="4">
      <c r="A4" s="188" t="inlineStr">
        <is>
          <t>Existencia actual (NetSuite)</t>
        </is>
      </c>
      <c r="B4" s="189" t="n"/>
      <c r="C4" s="189" t="n"/>
      <c r="D4" s="189" t="n"/>
    </row>
    <row r="5">
      <c r="A5" s="190" t="inlineStr">
        <is>
          <t>Indicador</t>
        </is>
      </c>
      <c r="B5" s="190" t="inlineStr">
        <is>
          <t>Valor</t>
        </is>
      </c>
      <c r="C5" s="190" t="inlineStr">
        <is>
          <t>Nota</t>
        </is>
      </c>
    </row>
    <row r="6">
      <c r="A6" t="inlineStr">
        <is>
          <t>Artículos con existencia</t>
        </is>
      </c>
      <c r="B6" s="191">
        <f>COUNTIF(Inventario!$O$2:$O$40,"&gt;0")</f>
        <v/>
      </c>
      <c r="C6" t="inlineStr"/>
    </row>
    <row r="7">
      <c r="A7" t="inlineStr">
        <is>
          <t>Unidades en mano</t>
        </is>
      </c>
      <c r="B7" s="191">
        <f>SUM(Inventario!$O$2:$O$40)</f>
        <v/>
      </c>
      <c r="C7" t="inlineStr">
        <is>
          <t>Existencia del sistema</t>
        </is>
      </c>
    </row>
    <row r="8">
      <c r="A8" t="inlineStr">
        <is>
          <t>Unidades disponibles</t>
        </is>
      </c>
      <c r="B8" s="191">
        <f>SUM(Inventario!$P$2:$P$40)</f>
        <v/>
      </c>
      <c r="C8" t="inlineStr"/>
    </row>
    <row r="9">
      <c r="A9" t="inlineStr">
        <is>
          <t>Unidades comprometidas</t>
        </is>
      </c>
      <c r="B9" s="191">
        <f>SUM(Inventario!$Q$2:$Q$40)</f>
        <v/>
      </c>
      <c r="C9" t="inlineStr">
        <is>
          <t>Pedidos por surtir</t>
        </is>
      </c>
    </row>
    <row r="10">
      <c r="A10" t="inlineStr">
        <is>
          <t>Unidades en tránsito</t>
        </is>
      </c>
      <c r="B10" s="191">
        <f>SUM(Inventario!$S$2:$S$40)</f>
        <v/>
      </c>
      <c r="C10" t="inlineStr"/>
    </row>
    <row r="11">
      <c r="A11" t="inlineStr">
        <is>
          <t>Unidades en pedido</t>
        </is>
      </c>
      <c r="B11" s="191" t="n">
        <v>0</v>
      </c>
      <c r="C11" t="inlineStr">
        <is>
          <t>Órdenes de compra abiertas de 0 artículos; 0 de ellos aún no tienen existencia y no aparecen en la hoja Inventario</t>
        </is>
      </c>
    </row>
    <row r="12">
      <c r="A12" t="inlineStr">
        <is>
          <t>Unidades pendientes por surtir</t>
        </is>
      </c>
      <c r="B12" s="191">
        <f>SUM(Inventario!$T$2:$T$40)</f>
        <v/>
      </c>
      <c r="C12" t="inlineStr"/>
    </row>
    <row r="13">
      <c r="A13" t="inlineStr">
        <is>
          <t>Unidades en ubicaciones inactivas</t>
        </is>
      </c>
      <c r="B13" s="191">
        <f>SUM(Inventario!$U$2:$U$40)</f>
        <v/>
      </c>
      <c r="C13" t="inlineStr">
        <is>
          <t>Ubicaciones dadas de baja en NetSuite que aún tienen existencia</t>
        </is>
      </c>
    </row>
    <row r="14">
      <c r="A14" t="inlineStr">
        <is>
          <t>Artículos con existencia negativa</t>
        </is>
      </c>
      <c r="B14" s="191">
        <f>COUNTIF(Inventario!$O$2:$O$40,"&lt;0")</f>
        <v/>
      </c>
      <c r="C14" t="inlineStr">
        <is>
          <t>Revisar en conteo</t>
        </is>
      </c>
    </row>
    <row r="15">
      <c r="A15" t="inlineStr">
        <is>
          <t>Unidades en negativo</t>
        </is>
      </c>
      <c r="B15" s="191">
        <f>SUMIF(Inventario!$O$2:$O$40,"&lt;0")</f>
        <v/>
      </c>
      <c r="C15" t="inlineStr"/>
    </row>
    <row r="16">
      <c r="A16" t="inlineStr">
        <is>
          <t>Valor en mano a costo</t>
        </is>
      </c>
      <c r="B16" s="186">
        <f>SUM(Inventario!$AB$2:$AB$40)</f>
        <v/>
      </c>
      <c r="C16" t="inlineStr">
        <is>
          <t>Precio de compra de NetSuite; hay costos que parecen estar en dólares (ver Notas)</t>
        </is>
      </c>
    </row>
    <row r="17">
      <c r="A17" t="inlineStr">
        <is>
          <t>Valor en mano a precio de venta</t>
        </is>
      </c>
      <c r="B17" s="186">
        <f>SUM(Inventario!$AC$2:$AC$40)</f>
        <v/>
      </c>
      <c r="C17" t="inlineStr">
        <is>
          <t>Precio de venta sin IVA</t>
        </is>
      </c>
    </row>
    <row r="19">
      <c r="A19" s="188" t="inlineStr">
        <is>
          <t>Movimiento neto 28/09/2026 → 06/10/2026</t>
        </is>
      </c>
      <c r="B19" s="189" t="n"/>
      <c r="C19" s="189" t="n"/>
      <c r="D19" s="189" t="n"/>
    </row>
    <row r="20">
      <c r="A20" s="190" t="inlineStr">
        <is>
          <t>Indicador</t>
        </is>
      </c>
      <c r="B20" s="190" t="inlineStr">
        <is>
          <t>Valor</t>
        </is>
      </c>
      <c r="C20" s="190" t="inlineStr">
        <is>
          <t>Nota</t>
        </is>
      </c>
    </row>
    <row r="21">
      <c r="A21" t="inlineStr">
        <is>
          <t>Unidades en mano al 28/09/2026</t>
        </is>
      </c>
      <c r="B21" s="191">
        <f>SUM(Inventario!$W$2:$W$40)</f>
        <v/>
      </c>
      <c r="C21" t="inlineStr"/>
    </row>
    <row r="22">
      <c r="A22" t="inlineStr">
        <is>
          <t>Variación neta de unidades</t>
        </is>
      </c>
      <c r="B22" s="191">
        <f>SUM(Inventario!$X$2:$X$40)</f>
        <v/>
      </c>
      <c r="C22" t="inlineStr">
        <is>
          <t>En mano actual − en mano anterior</t>
        </is>
      </c>
    </row>
    <row r="23">
      <c r="A23" t="inlineStr">
        <is>
          <t>Unidades que salieron (neto)</t>
        </is>
      </c>
      <c r="B23" s="191">
        <f>SUMIF(Inventario!$X$2:$X$40,"&lt;0")</f>
        <v/>
      </c>
      <c r="C23" t="inlineStr">
        <is>
          <t>Ventas, traspasos o ajustes</t>
        </is>
      </c>
    </row>
    <row r="24">
      <c r="A24" t="inlineStr">
        <is>
          <t>Unidades que entraron (neto)</t>
        </is>
      </c>
      <c r="B24" s="191">
        <f>SUMIF(Inventario!$X$2:$X$40,"&gt;0")</f>
        <v/>
      </c>
      <c r="C24" t="inlineStr">
        <is>
          <t>Recepciones, traspasos o ajustes</t>
        </is>
      </c>
    </row>
    <row r="25">
      <c r="A25" t="inlineStr">
        <is>
          <t>Artículos que bajaron</t>
        </is>
      </c>
      <c r="B25" s="191">
        <f>COUNTIF(Inventario!$X$2:$X$40,"&lt;0")</f>
        <v/>
      </c>
      <c r="C25" t="inlineStr"/>
    </row>
    <row r="26">
      <c r="A26" t="inlineStr">
        <is>
          <t>Artículos que subieron</t>
        </is>
      </c>
      <c r="B26" s="191">
        <f>COUNTIF(Inventario!$X$2:$X$40,"&gt;0")</f>
        <v/>
      </c>
      <c r="C26" t="inlineStr"/>
    </row>
    <row r="27">
      <c r="A27" t="inlineStr">
        <is>
          <t>Artículos que se agotaron</t>
        </is>
      </c>
      <c r="B27" s="191">
        <f>COUNTIFS(Inventario!$O$2:$O$40,0,Inventario!$W$2:$W$40,"&gt;0")</f>
        <v/>
      </c>
      <c r="C27" t="inlineStr"/>
    </row>
    <row r="29">
      <c r="A29" s="188" t="inlineStr">
        <is>
          <t>Existencia en plataformas</t>
        </is>
      </c>
      <c r="B29" s="189" t="n"/>
      <c r="C29" s="189" t="n"/>
      <c r="D29" s="189" t="n"/>
    </row>
    <row r="30">
      <c r="A30" s="190" t="inlineStr">
        <is>
          <t>Plataforma</t>
        </is>
      </c>
      <c r="B30" s="190" t="inlineStr">
        <is>
          <t>Unidades</t>
        </is>
      </c>
      <c r="C30" s="190" t="inlineStr">
        <is>
          <t>Artículos con existencia</t>
        </is>
      </c>
      <c r="D30" s="190" t="inlineStr">
        <is>
          <t>Corte</t>
        </is>
      </c>
    </row>
    <row r="31">
      <c r="A31" t="inlineStr">
        <is>
          <t>Shopify Stetson México</t>
        </is>
      </c>
      <c r="B31" s="191">
        <f>SUM(Inventario!$Y$2:$Y$40)</f>
        <v/>
      </c>
      <c r="C31" s="191">
        <f>COUNTIF(Inventario!$Y$2:$Y$40,"&gt;0")</f>
        <v/>
      </c>
      <c r="D31" t="inlineStr">
        <is>
          <t>01/10/2026</t>
        </is>
      </c>
    </row>
    <row r="33">
      <c r="A33" s="188" t="inlineStr">
        <is>
          <t>Conteo cíclico</t>
        </is>
      </c>
      <c r="B33" s="189" t="n"/>
      <c r="C33" s="189" t="n"/>
      <c r="D33" s="189" t="n"/>
    </row>
    <row r="34">
      <c r="A34" s="190" t="inlineStr">
        <is>
          <t>Indicador</t>
        </is>
      </c>
      <c r="B34" s="190" t="inlineStr">
        <is>
          <t>Valor</t>
        </is>
      </c>
    </row>
    <row r="35">
      <c r="A35" t="inlineStr">
        <is>
          <t>Piezas contadas en rack (Escaneos)</t>
        </is>
      </c>
      <c r="B35" s="191">
        <f>SUM(Inventario!$Z$2:$Z$40)</f>
        <v/>
      </c>
    </row>
    <row r="36">
      <c r="A36" t="inlineStr">
        <is>
          <t>Artículos contados</t>
        </is>
      </c>
      <c r="B36" s="191">
        <f>COUNTIF(Inventario!$Z$2:$Z$40,"&gt;0")</f>
        <v/>
      </c>
    </row>
    <row r="38">
      <c r="A38" s="188" t="inlineStr">
        <is>
          <t>Por ubicación NetSuite</t>
        </is>
      </c>
      <c r="B38" s="189" t="n"/>
      <c r="C38" s="189" t="n"/>
      <c r="D38" s="189" t="n"/>
      <c r="E38" s="189" t="n"/>
      <c r="F38" s="189" t="n"/>
      <c r="G38" s="189" t="n"/>
      <c r="H38" s="189" t="n"/>
      <c r="I38" s="189" t="n"/>
      <c r="J38" s="189" t="n"/>
      <c r="K38" s="189" t="n"/>
    </row>
    <row r="39">
      <c r="A39" s="190" t="inlineStr">
        <is>
          <t>Ubicación</t>
        </is>
      </c>
      <c r="B39" s="190" t="inlineStr">
        <is>
          <t>Bodega / tipo</t>
        </is>
      </c>
      <c r="C39" s="190" t="inlineStr">
        <is>
          <t>Activa</t>
        </is>
      </c>
      <c r="D39" s="190" t="inlineStr">
        <is>
          <t>En mano</t>
        </is>
      </c>
      <c r="E39" s="190" t="inlineStr">
        <is>
          <t>% del total</t>
        </is>
      </c>
      <c r="F39" s="190" t="inlineStr">
        <is>
          <t>Artículos con existencia</t>
        </is>
      </c>
      <c r="G39" s="190" t="inlineStr">
        <is>
          <t>Artículos en negativo</t>
        </is>
      </c>
      <c r="H39" s="190" t="inlineStr">
        <is>
          <t>En mano 28/09/2026</t>
        </is>
      </c>
      <c r="I39" s="190" t="inlineStr">
        <is>
          <t>Entradas netas</t>
        </is>
      </c>
      <c r="J39" s="190" t="inlineStr">
        <is>
          <t>Salidas netas</t>
        </is>
      </c>
      <c r="K39" s="190" t="inlineStr">
        <is>
          <t>Variación</t>
        </is>
      </c>
    </row>
    <row r="40">
      <c r="A40" t="inlineStr">
        <is>
          <t>STETSON AMERICAS</t>
        </is>
      </c>
      <c r="B40" t="inlineStr">
        <is>
          <t>Tienda</t>
        </is>
      </c>
      <c r="C40" t="inlineStr">
        <is>
          <t>Sí</t>
        </is>
      </c>
      <c r="D40" s="191">
        <f>SUM(Inventario!$AE$2:$AE$40)</f>
        <v/>
      </c>
      <c r="E40" s="193">
        <f>IFERROR(D40/SUM($D$40:$D$40),0)</f>
        <v/>
      </c>
      <c r="F40" s="191">
        <f>COUNTIF(Inventario!$AE$2:$AE$40,"&gt;0")</f>
        <v/>
      </c>
      <c r="G40" s="191">
        <f>COUNTIF(Inventario!$AE$2:$AE$40,"&lt;0")</f>
        <v/>
      </c>
      <c r="H40" s="191" t="n">
        <v>103</v>
      </c>
      <c r="I40" s="191" t="n">
        <v>0</v>
      </c>
      <c r="J40" s="191" t="n">
        <v>-3</v>
      </c>
      <c r="K40" s="191">
        <f>D40-H40</f>
        <v/>
      </c>
    </row>
    <row r="42">
      <c r="A42" s="188" t="inlineStr">
        <is>
          <t>Por división</t>
        </is>
      </c>
      <c r="B42" s="189" t="n"/>
      <c r="C42" s="189" t="n"/>
      <c r="D42" s="189" t="n"/>
      <c r="E42" s="189" t="n"/>
      <c r="F42" s="189" t="n"/>
    </row>
    <row r="43">
      <c r="A43" s="190" t="inlineStr">
        <is>
          <t>División</t>
        </is>
      </c>
      <c r="B43" s="190" t="inlineStr">
        <is>
          <t>En mano</t>
        </is>
      </c>
      <c r="C43" s="190" t="inlineStr">
        <is>
          <t>Artículos con existencia</t>
        </is>
      </c>
      <c r="D43" s="190" t="inlineStr">
        <is>
          <t>Valor a costo</t>
        </is>
      </c>
      <c r="E43" s="190" t="inlineStr">
        <is>
          <t>Valor a precio de venta</t>
        </is>
      </c>
      <c r="F43" s="190" t="inlineStr">
        <is>
          <t>Variación neta</t>
        </is>
      </c>
    </row>
    <row r="44">
      <c r="A44" t="inlineStr">
        <is>
          <t>Accesorios</t>
        </is>
      </c>
      <c r="B44" s="191">
        <f>SUMIFS(Inventario!$O$2:$O$40,Inventario!$I$2:$I$40,"Accesorios")</f>
        <v/>
      </c>
      <c r="C44" s="191">
        <f>COUNTIFS(Inventario!$I$2:$I$40,"Accesorios",Inventario!$O$2:$O$40,"&gt;0")</f>
        <v/>
      </c>
      <c r="D44" s="186">
        <f>SUMIFS(Inventario!$AB$2:$AB$40,Inventario!$I$2:$I$40,"Accesorios")</f>
        <v/>
      </c>
      <c r="E44" s="186">
        <f>SUMIFS(Inventario!$AC$2:$AC$40,Inventario!$I$2:$I$40,"Accesorios")</f>
        <v/>
      </c>
      <c r="F44" s="191">
        <f>SUMIFS(Inventario!$X$2:$X$40,Inventario!$I$2:$I$40,"Accesorios")</f>
        <v/>
      </c>
    </row>
    <row r="46">
      <c r="A46" s="188" t="inlineStr">
        <is>
          <t>Por categoría</t>
        </is>
      </c>
      <c r="B46" s="189" t="n"/>
      <c r="C46" s="189" t="n"/>
      <c r="D46" s="189" t="n"/>
      <c r="E46" s="189" t="n"/>
      <c r="F46" s="189" t="n"/>
    </row>
    <row r="47">
      <c r="A47" s="190" t="inlineStr">
        <is>
          <t>Categoría</t>
        </is>
      </c>
      <c r="B47" s="190" t="inlineStr">
        <is>
          <t>En mano</t>
        </is>
      </c>
      <c r="C47" s="190" t="inlineStr">
        <is>
          <t>Artículos con existencia</t>
        </is>
      </c>
      <c r="D47" s="190" t="inlineStr">
        <is>
          <t>Valor a costo</t>
        </is>
      </c>
      <c r="E47" s="190" t="inlineStr">
        <is>
          <t>Valor a precio de venta</t>
        </is>
      </c>
      <c r="F47" s="190" t="inlineStr">
        <is>
          <t>Variación neta</t>
        </is>
      </c>
    </row>
    <row r="48">
      <c r="A48" t="inlineStr">
        <is>
          <t>Hebillas</t>
        </is>
      </c>
      <c r="B48" s="191">
        <f>SUMIFS(Inventario!$O$2:$O$40,Inventario!$J$2:$J$40,"Hebillas")</f>
        <v/>
      </c>
      <c r="C48" s="191">
        <f>COUNTIFS(Inventario!$J$2:$J$40,"Hebillas",Inventario!$O$2:$O$40,"&gt;0")</f>
        <v/>
      </c>
      <c r="D48" s="186">
        <f>SUMIFS(Inventario!$AB$2:$AB$40,Inventario!$J$2:$J$40,"Hebillas")</f>
        <v/>
      </c>
      <c r="E48" s="186">
        <f>SUMIFS(Inventario!$AC$2:$AC$40,Inventario!$J$2:$J$40,"Hebillas")</f>
        <v/>
      </c>
      <c r="F48" s="191">
        <f>SUMIFS(Inventario!$X$2:$X$40,Inventario!$J$2:$J$40,"Hebillas")</f>
        <v/>
      </c>
    </row>
    <row r="49">
      <c r="A49" t="inlineStr">
        <is>
          <t>Plumas para sombrero</t>
        </is>
      </c>
      <c r="B49" s="191">
        <f>SUMIFS(Inventario!$O$2:$O$40,Inventario!$J$2:$J$40,"Plumas para sombrero")</f>
        <v/>
      </c>
      <c r="C49" s="191">
        <f>COUNTIFS(Inventario!$J$2:$J$40,"Plumas para sombrero",Inventario!$O$2:$O$40,"&gt;0")</f>
        <v/>
      </c>
      <c r="D49" s="186">
        <f>SUMIFS(Inventario!$AB$2:$AB$40,Inventario!$J$2:$J$40,"Plumas para sombrero")</f>
        <v/>
      </c>
      <c r="E49" s="186">
        <f>SUMIFS(Inventario!$AC$2:$AC$40,Inventario!$J$2:$J$40,"Plumas para sombrero")</f>
        <v/>
      </c>
      <c r="F49" s="191">
        <f>SUMIFS(Inventario!$X$2:$X$40,Inventario!$J$2:$J$40,"Plumas para sombrero")</f>
        <v/>
      </c>
    </row>
    <row r="50">
      <c r="A50" t="inlineStr">
        <is>
          <t>Sombreros</t>
        </is>
      </c>
      <c r="B50" s="191">
        <f>SUMIFS(Inventario!$O$2:$O$40,Inventario!$J$2:$J$40,"Sombreros")</f>
        <v/>
      </c>
      <c r="C50" s="191">
        <f>COUNTIFS(Inventario!$J$2:$J$40,"Sombreros",Inventario!$O$2:$O$40,"&gt;0")</f>
        <v/>
      </c>
      <c r="D50" s="186">
        <f>SUMIFS(Inventario!$AB$2:$AB$40,Inventario!$J$2:$J$40,"Sombreros")</f>
        <v/>
      </c>
      <c r="E50" s="186">
        <f>SUMIFS(Inventario!$AC$2:$AC$40,Inventario!$J$2:$J$40,"Sombreros")</f>
        <v/>
      </c>
      <c r="F50" s="191">
        <f>SUMIFS(Inventario!$X$2:$X$40,Inventario!$J$2:$J$40,"Sombreros")</f>
        <v/>
      </c>
    </row>
    <row r="52">
      <c r="A52" s="188" t="inlineStr">
        <is>
          <t>15 artículos con más unidades en mano</t>
        </is>
      </c>
      <c r="B52" s="189" t="n"/>
      <c r="C52" s="189" t="n"/>
      <c r="D52" s="189" t="n"/>
      <c r="E52" s="189" t="n"/>
      <c r="F52" s="189" t="n"/>
    </row>
    <row r="53">
      <c r="A53" s="190" t="inlineStr">
        <is>
          <t>Código de barras</t>
        </is>
      </c>
      <c r="B53" s="190" t="inlineStr">
        <is>
          <t>WB SKU</t>
        </is>
      </c>
      <c r="C53" s="190" t="inlineStr">
        <is>
          <t>WB Descripcion</t>
        </is>
      </c>
      <c r="D53" s="190" t="inlineStr">
        <is>
          <t>WB Talla</t>
        </is>
      </c>
      <c r="E53" s="190" t="inlineStr">
        <is>
          <t>En mano</t>
        </is>
      </c>
      <c r="F53" s="190" t="inlineStr">
        <is>
          <t>Variación</t>
        </is>
      </c>
    </row>
    <row r="54">
      <c r="A54" t="inlineStr">
        <is>
          <t>613365736363</t>
        </is>
      </c>
      <c r="B54" t="inlineStr">
        <is>
          <t>WL-LTHR38-UNI</t>
        </is>
      </c>
      <c r="C54" t="inlineStr">
        <is>
          <t>Paquete Variado de Toquillas de Piel Neutras - Paquete de 3</t>
        </is>
      </c>
      <c r="D54" t="inlineStr">
        <is>
          <t>Talla única</t>
        </is>
      </c>
      <c r="E54" t="n">
        <v>6</v>
      </c>
      <c r="F54" t="n">
        <v>0</v>
      </c>
    </row>
    <row r="55">
      <c r="A55" t="inlineStr">
        <is>
          <t>604634309715</t>
        </is>
      </c>
      <c r="B55" t="inlineStr">
        <is>
          <t>WL-CHA07-UNI</t>
        </is>
      </c>
      <c r="C55" t="inlineStr">
        <is>
          <t>Toquilla de Cadena Longhorn Bañada en Oro 14K</t>
        </is>
      </c>
      <c r="D55" t="inlineStr">
        <is>
          <t>Talla única</t>
        </is>
      </c>
      <c r="E55" t="n">
        <v>4</v>
      </c>
      <c r="F55" t="n">
        <v>0</v>
      </c>
    </row>
    <row r="56">
      <c r="A56" t="inlineStr">
        <is>
          <t>613365963394</t>
        </is>
      </c>
      <c r="B56" t="inlineStr">
        <is>
          <t>WL-LTHR52-UNI</t>
        </is>
      </c>
      <c r="C56" t="inlineStr">
        <is>
          <t>Toquilla de Piel - Diamante Café</t>
        </is>
      </c>
      <c r="D56" t="inlineStr">
        <is>
          <t>Talla única</t>
        </is>
      </c>
      <c r="E56" t="n">
        <v>4</v>
      </c>
      <c r="F56" t="n">
        <v>0</v>
      </c>
    </row>
    <row r="57">
      <c r="A57" t="inlineStr">
        <is>
          <t>604634146280</t>
        </is>
      </c>
      <c r="B57" t="inlineStr">
        <is>
          <t>WL-LTHR61-UNI</t>
        </is>
      </c>
      <c r="C57" t="inlineStr">
        <is>
          <t>Toquilla de Piel - Rojo</t>
        </is>
      </c>
      <c r="D57" t="inlineStr">
        <is>
          <t>Talla única</t>
        </is>
      </c>
      <c r="E57" t="n">
        <v>4</v>
      </c>
      <c r="F57" t="n">
        <v>0</v>
      </c>
    </row>
    <row r="58">
      <c r="A58" t="inlineStr">
        <is>
          <t>604634008496</t>
        </is>
      </c>
      <c r="B58" t="inlineStr">
        <is>
          <t>WL-LTHR64-UNI</t>
        </is>
      </c>
      <c r="C58" t="inlineStr">
        <is>
          <t>Toquilla de Piel - Serpiente Piedra</t>
        </is>
      </c>
      <c r="D58" t="inlineStr">
        <is>
          <t>Talla única</t>
        </is>
      </c>
      <c r="E58" t="n">
        <v>4</v>
      </c>
      <c r="F58" t="n">
        <v>0</v>
      </c>
    </row>
    <row r="59">
      <c r="A59" t="inlineStr">
        <is>
          <t>742968415860</t>
        </is>
      </c>
      <c r="B59" t="inlineStr">
        <is>
          <t>WL-LTHR24-UNI</t>
        </is>
      </c>
      <c r="C59" t="inlineStr">
        <is>
          <t>Toquilla de Piel de Vaca con Hebilla Plateada - Branson</t>
        </is>
      </c>
      <c r="D59" t="inlineStr">
        <is>
          <t>Talla única</t>
        </is>
      </c>
      <c r="E59" t="n">
        <v>3</v>
      </c>
      <c r="F59" t="n">
        <v>0</v>
      </c>
    </row>
    <row r="60">
      <c r="A60" t="inlineStr">
        <is>
          <t>634855014662</t>
        </is>
      </c>
      <c r="B60" t="inlineStr">
        <is>
          <t>WL-BHB16-UNI</t>
        </is>
      </c>
      <c r="C60" t="inlineStr">
        <is>
          <t>Toquilla con Piedra Jaspe Café</t>
        </is>
      </c>
      <c r="D60" t="inlineStr">
        <is>
          <t>Talla única</t>
        </is>
      </c>
      <c r="E60" t="n">
        <v>3</v>
      </c>
      <c r="F60" t="n">
        <v>0</v>
      </c>
    </row>
    <row r="61">
      <c r="A61" t="inlineStr">
        <is>
          <t>634855378993</t>
        </is>
      </c>
      <c r="B61" t="inlineStr">
        <is>
          <t>WL-BHB19-UNI</t>
        </is>
      </c>
      <c r="C61" t="inlineStr">
        <is>
          <t>Toquilla con Piedra Turquesa Africana</t>
        </is>
      </c>
      <c r="D61" t="inlineStr">
        <is>
          <t>Talla única</t>
        </is>
      </c>
      <c r="E61" t="n">
        <v>3</v>
      </c>
      <c r="F61" t="n">
        <v>0</v>
      </c>
    </row>
    <row r="62">
      <c r="A62" t="inlineStr">
        <is>
          <t>634855222760</t>
        </is>
      </c>
      <c r="B62" t="inlineStr">
        <is>
          <t>WL-BHB20-UNI</t>
        </is>
      </c>
      <c r="C62" t="inlineStr">
        <is>
          <t>Toquilla con Piedra Turquesa</t>
        </is>
      </c>
      <c r="D62" t="inlineStr">
        <is>
          <t>Talla única</t>
        </is>
      </c>
      <c r="E62" t="n">
        <v>3</v>
      </c>
      <c r="F62" t="n">
        <v>0</v>
      </c>
    </row>
    <row r="63">
      <c r="A63" t="inlineStr">
        <is>
          <t>613365646006</t>
        </is>
      </c>
      <c r="B63" t="inlineStr">
        <is>
          <t>WL-BHB82-UNI</t>
        </is>
      </c>
      <c r="C63" t="inlineStr">
        <is>
          <t>Toquilla de Cadena con Piedras Turquesa y Gris - Ada</t>
        </is>
      </c>
      <c r="D63" t="inlineStr">
        <is>
          <t>Talla única</t>
        </is>
      </c>
      <c r="E63" t="n">
        <v>3</v>
      </c>
      <c r="F63" t="n">
        <v>0</v>
      </c>
    </row>
    <row r="64">
      <c r="A64" t="inlineStr">
        <is>
          <t>604634490734</t>
        </is>
      </c>
      <c r="B64" t="inlineStr">
        <is>
          <t>WL-CHA03-UNI</t>
        </is>
      </c>
      <c r="C64" t="inlineStr">
        <is>
          <t>Toquilla de Cadena Estrella Bañada en Oro 14K</t>
        </is>
      </c>
      <c r="D64" t="inlineStr">
        <is>
          <t>Talla única</t>
        </is>
      </c>
      <c r="E64" t="n">
        <v>3</v>
      </c>
      <c r="F64" t="n">
        <v>0</v>
      </c>
    </row>
    <row r="65">
      <c r="A65" t="inlineStr">
        <is>
          <t>604634440449</t>
        </is>
      </c>
      <c r="B65" t="inlineStr">
        <is>
          <t>WL-CHA08-UNI</t>
        </is>
      </c>
      <c r="C65" t="inlineStr">
        <is>
          <t>Toquilla de Cadena Margarita Bañada en Oro 14K</t>
        </is>
      </c>
      <c r="D65" t="inlineStr">
        <is>
          <t>Talla única</t>
        </is>
      </c>
      <c r="E65" t="n">
        <v>3</v>
      </c>
      <c r="F65" t="n">
        <v>0</v>
      </c>
    </row>
    <row r="66">
      <c r="A66" t="inlineStr">
        <is>
          <t>742968415891</t>
        </is>
      </c>
      <c r="B66" t="inlineStr">
        <is>
          <t>WL-LTHR27-UNI</t>
        </is>
      </c>
      <c r="C66" t="inlineStr">
        <is>
          <t>Toquilla de Piel Labrada con Patrón de Canasta</t>
        </is>
      </c>
      <c r="D66" t="inlineStr">
        <is>
          <t>Talla única</t>
        </is>
      </c>
      <c r="E66" t="n">
        <v>3</v>
      </c>
      <c r="F66" t="n">
        <v>0</v>
      </c>
    </row>
    <row r="67">
      <c r="A67" t="inlineStr">
        <is>
          <t>654690204172</t>
        </is>
      </c>
      <c r="B67" t="inlineStr">
        <is>
          <t>WLHB-ARIK-UNI</t>
        </is>
      </c>
      <c r="C67" t="inlineStr">
        <is>
          <t>Toquilla de Plumas - Arikara</t>
        </is>
      </c>
      <c r="D67" t="inlineStr">
        <is>
          <t>Talla única</t>
        </is>
      </c>
      <c r="E67" t="n">
        <v>3</v>
      </c>
      <c r="F67" t="n">
        <v>0</v>
      </c>
    </row>
    <row r="68">
      <c r="A68" t="inlineStr">
        <is>
          <t>742968416317</t>
        </is>
      </c>
      <c r="B68" t="inlineStr">
        <is>
          <t>WLHB-BEAU-UNI</t>
        </is>
      </c>
      <c r="C68" t="inlineStr">
        <is>
          <t>Toquilla de Plumas Western - Beau</t>
        </is>
      </c>
      <c r="D68" t="inlineStr">
        <is>
          <t>Talla única</t>
        </is>
      </c>
      <c r="E68" t="n">
        <v>3</v>
      </c>
      <c r="F68" t="n">
        <v>0</v>
      </c>
    </row>
    <row r="70">
      <c r="A70" s="188" t="inlineStr">
        <is>
          <t>15 artículos con más salida neta desde 28/09/2026</t>
        </is>
      </c>
      <c r="B70" s="189" t="n"/>
      <c r="C70" s="189" t="n"/>
      <c r="D70" s="189" t="n"/>
      <c r="E70" s="189" t="n"/>
      <c r="F70" s="189" t="n"/>
    </row>
    <row r="71">
      <c r="A71" s="190" t="inlineStr">
        <is>
          <t>Código de barras</t>
        </is>
      </c>
      <c r="B71" s="190" t="inlineStr">
        <is>
          <t>WB SKU</t>
        </is>
      </c>
      <c r="C71" s="190" t="inlineStr">
        <is>
          <t>WB Descripcion</t>
        </is>
      </c>
      <c r="D71" s="190" t="inlineStr">
        <is>
          <t>WB Talla</t>
        </is>
      </c>
      <c r="E71" s="190" t="inlineStr">
        <is>
          <t>En mano</t>
        </is>
      </c>
      <c r="F71" s="190" t="inlineStr">
        <is>
          <t>Variación</t>
        </is>
      </c>
    </row>
    <row r="72">
      <c r="A72" t="inlineStr">
        <is>
          <t>612461741936</t>
        </is>
      </c>
      <c r="B72" t="inlineStr">
        <is>
          <t>WL-LTHR13-UNI</t>
        </is>
      </c>
      <c r="C72" t="inlineStr">
        <is>
          <t>Toquilla de Piel Labrada Negra con Hebilla</t>
        </is>
      </c>
      <c r="D72" t="inlineStr">
        <is>
          <t>Talla única</t>
        </is>
      </c>
      <c r="E72" t="n">
        <v>2</v>
      </c>
      <c r="F72" t="n">
        <v>-1</v>
      </c>
    </row>
    <row r="73">
      <c r="A73" t="inlineStr">
        <is>
          <t>742968416379</t>
        </is>
      </c>
      <c r="B73" t="inlineStr">
        <is>
          <t>WL-CHA04-UNI</t>
        </is>
      </c>
      <c r="C73" t="inlineStr">
        <is>
          <t>Toquilla de Cadena Herradura Plateada</t>
        </is>
      </c>
      <c r="D73" t="inlineStr">
        <is>
          <t>Talla única</t>
        </is>
      </c>
      <c r="E73" t="n">
        <v>0</v>
      </c>
      <c r="F73" t="n">
        <v>-1</v>
      </c>
    </row>
    <row r="74">
      <c r="A74" t="inlineStr">
        <is>
          <t>604634398818</t>
        </is>
      </c>
      <c r="B74" t="inlineStr">
        <is>
          <t>WL-CHA09-UNI</t>
        </is>
      </c>
      <c r="C74" t="inlineStr">
        <is>
          <t>Toquilla de Cadena Diamante Bañada en Oro 14K</t>
        </is>
      </c>
      <c r="D74" t="inlineStr">
        <is>
          <t>Talla única</t>
        </is>
      </c>
      <c r="E74" t="n">
        <v>1</v>
      </c>
      <c r="F74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homologar_ciclico_g1522</dc:creator>
  <dcterms:created xmlns:dcterms="http://purl.org/dc/terms/" xmlns:xsi="http://www.w3.org/2001/XMLSchema-instance" xsi:type="dcterms:W3CDTF">2026-10-06T16:21:23Z</dcterms:created>
  <dcterms:modified xmlns:dcterms="http://purl.org/dc/terms/" xmlns:xsi="http://www.w3.org/2001/XMLSchema-instance" xsi:type="dcterms:W3CDTF">2026-10-06T22:53:57Z</dcterms:modified>
</cp:coreProperties>
</file>