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KPIs Inventario" sheetId="14" state="visible" r:id="rId14"/>
  </sheets>
  <definedNames>
    <definedName name="_xlnm._FilterDatabase" localSheetId="4" hidden="1">'Productos'!$A$1:$AR$285</definedName>
    <definedName name="_xlnm._FilterDatabase" localSheetId="7" hidden="1">'Revisión Duplicados'!$A$1:$AU$2</definedName>
    <definedName name="_xlnm._FilterDatabase" localSheetId="8" hidden="1">'Stock por Ubicación'!$A$1:$J$263</definedName>
    <definedName name="_xlnm._FilterDatabase" localSheetId="12" hidden="1">'Inventario'!$A$1:$AD$263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  <numFmt numFmtId="172" formatCode="0.0%"/>
  </numFmts>
  <fonts count="43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b val="1"/>
      <color rgb="00FFFFFF"/>
    </font>
    <font>
      <b val="1"/>
      <sz val="14"/>
    </font>
    <font>
      <b val="1"/>
    </font>
  </fonts>
  <fills count="23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  <xf numFmtId="0" fontId="40" fillId="21" borderId="0" applyAlignment="1" pivotButton="0" quotePrefix="0" xfId="0">
      <alignment vertical="center" wrapText="1"/>
    </xf>
    <xf numFmtId="169" fontId="0" fillId="0" borderId="0" pivotButton="0" quotePrefix="0" xfId="0"/>
    <xf numFmtId="0" fontId="41" fillId="0" borderId="0" pivotButton="0" quotePrefix="0" xfId="0"/>
    <xf numFmtId="0" fontId="42" fillId="22" borderId="0" pivotButton="0" quotePrefix="0" xfId="0"/>
    <xf numFmtId="0" fontId="0" fillId="22" borderId="0" pivotButton="0" quotePrefix="0" xfId="0"/>
    <xf numFmtId="0" fontId="40" fillId="21" borderId="0" pivotButton="0" quotePrefix="0" xfId="0"/>
    <xf numFmtId="3" fontId="0" fillId="0" borderId="0" pivotButton="0" quotePrefix="0" xfId="0"/>
    <xf numFmtId="172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2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199168087517</t>
        </is>
      </c>
      <c r="B2" s="51" t="n"/>
      <c r="C2" s="156" t="inlineStr">
        <is>
          <t>Roper</t>
        </is>
      </c>
      <c r="D2" s="156" t="inlineStr">
        <is>
          <t>01-001-0016-1076</t>
        </is>
      </c>
      <c r="E2" s="156" t="inlineStr">
        <is>
          <t>01-001-0016-1076 BL-2XL</t>
        </is>
      </c>
      <c r="F2" s="156" t="inlineStr">
        <is>
          <t>XXL</t>
        </is>
      </c>
      <c r="G2" s="156" t="inlineStr">
        <is>
          <t>XXL</t>
        </is>
      </c>
      <c r="H2" s="156" t="inlineStr">
        <is>
          <t>Roper</t>
        </is>
      </c>
      <c r="I2" s="156" t="inlineStr">
        <is>
          <t>ROPER Shirt Black/GreyWhite /Plaid</t>
        </is>
      </c>
      <c r="J2" s="156" t="inlineStr">
        <is>
          <t>Ropa</t>
        </is>
      </c>
      <c r="K2" s="156" t="inlineStr">
        <is>
          <t>Camisas</t>
        </is>
      </c>
      <c r="L2" s="156" t="inlineStr">
        <is>
          <t>Hombre</t>
        </is>
      </c>
      <c r="M2" s="156" t="n"/>
      <c r="N2" s="156" t="n"/>
      <c r="O2" s="156" t="n"/>
      <c r="P2" s="156" t="inlineStr">
        <is>
          <t>Negro</t>
        </is>
      </c>
      <c r="Q2" s="156" t="n"/>
      <c r="R2" s="156" t="n"/>
      <c r="S2" s="156" t="n"/>
      <c r="T2" s="156" t="n"/>
      <c r="U2" s="156" t="n"/>
      <c r="V2" s="156" t="inlineStr">
        <is>
          <t>PZS</t>
        </is>
      </c>
      <c r="W2" s="51" t="inlineStr">
        <is>
          <t>53101602</t>
        </is>
      </c>
      <c r="X2" s="156" t="n"/>
      <c r="Y2" s="54" t="n">
        <v>38</v>
      </c>
      <c r="Z2" s="54" t="n">
        <v>990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IFERROR(_xlfn.XMATCH(A2,$A$2:$A$285,0,1)&lt;&gt;_xlfn.XMATCH(A2,$A$2:$A$285,0,-1),FALSE)), "Código de barras duplicado", ""), IF(AND(E2&lt;&gt;"", COUNTIF($E$2:$E$285,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/>
      <c r="AE2" s="156" t="n"/>
      <c r="AF2" s="51" t="n"/>
      <c r="AG2" s="156" t="inlineStr">
        <is>
          <t>Nuevo – Odoo Universal Unique Brands 01/10/2026</t>
        </is>
      </c>
      <c r="AH2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(black) | Homologación G1522 06/10/2026: WB N.º de estilo: «» → «01-001-0016-1076» (Completado por regla) · Validador Shopify: WB: precio con IVA no termina en 9</t>
        </is>
      </c>
      <c r="AI2" s="156" t="n"/>
      <c r="AJ2" s="156" t="n"/>
      <c r="AK2" s="155" t="inlineStr">
        <is>
          <t>Odoo: producto 20856 / plantilla 26859</t>
        </is>
      </c>
      <c r="AL2" s="58" t="n"/>
      <c r="AM2" s="58" t="n"/>
      <c r="AN2" s="155" t="inlineStr">
        <is>
          <t>Odoo Universal Unique Brands</t>
        </is>
      </c>
      <c r="AO2" s="59" t="n"/>
      <c r="AP2" s="59" t="n"/>
      <c r="AQ2" s="59" t="n">
        <v>10</v>
      </c>
      <c r="AR2" s="155" t="inlineStr">
        <is>
          <t>Odoo Universal Unique Brands › Bodega 25 › Bodega 25/General: 10</t>
        </is>
      </c>
    </row>
    <row r="3">
      <c r="A3" s="50" t="inlineStr">
        <is>
          <t>199168087470</t>
        </is>
      </c>
      <c r="B3" s="51" t="n"/>
      <c r="C3" s="156" t="inlineStr">
        <is>
          <t>Roper</t>
        </is>
      </c>
      <c r="D3" s="156" t="inlineStr">
        <is>
          <t>01-001-0016-1076</t>
        </is>
      </c>
      <c r="E3" s="156" t="inlineStr">
        <is>
          <t>01-001-0016-1076 BL-L</t>
        </is>
      </c>
      <c r="F3" s="156" t="inlineStr">
        <is>
          <t>L</t>
        </is>
      </c>
      <c r="G3" s="156" t="inlineStr">
        <is>
          <t>L</t>
        </is>
      </c>
      <c r="H3" s="156" t="inlineStr">
        <is>
          <t>Roper</t>
        </is>
      </c>
      <c r="I3" s="156" t="inlineStr">
        <is>
          <t>ROPER Shirt Black/GreyWhite /Plaid</t>
        </is>
      </c>
      <c r="J3" s="156" t="inlineStr">
        <is>
          <t>Ropa</t>
        </is>
      </c>
      <c r="K3" s="156" t="inlineStr">
        <is>
          <t>Camisas</t>
        </is>
      </c>
      <c r="L3" s="156" t="inlineStr">
        <is>
          <t>Hombre</t>
        </is>
      </c>
      <c r="M3" s="156" t="n"/>
      <c r="N3" s="156" t="n"/>
      <c r="O3" s="156" t="n"/>
      <c r="P3" s="156" t="inlineStr">
        <is>
          <t>Negro</t>
        </is>
      </c>
      <c r="Q3" s="156" t="n"/>
      <c r="R3" s="156" t="n"/>
      <c r="S3" s="156" t="n"/>
      <c r="T3" s="156" t="n"/>
      <c r="U3" s="156" t="n"/>
      <c r="V3" s="156" t="inlineStr">
        <is>
          <t>PZS</t>
        </is>
      </c>
      <c r="W3" s="51" t="inlineStr">
        <is>
          <t>53101602</t>
        </is>
      </c>
      <c r="X3" s="156" t="n"/>
      <c r="Y3" s="54" t="n">
        <v>38</v>
      </c>
      <c r="Z3" s="54" t="n">
        <v>990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IFERROR(_xlfn.XMATCH(A3,$A$2:$A$285,0,1)&lt;&gt;_xlfn.XMATCH(A3,$A$2:$A$285,0,-1),FALSE)), "Código de barras duplicado", ""), IF(AND(E3&lt;&gt;"", COUNTIF($E$2:$E$285,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/>
      <c r="AE3" s="156" t="n"/>
      <c r="AF3" s="51" t="n"/>
      <c r="AG3" s="156" t="inlineStr">
        <is>
          <t>Nuevo – Odoo Universal Unique Brands 01/10/2026</t>
        </is>
      </c>
      <c r="AH3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(black) | Homologación G1522 06/10/2026: WB N.º de estilo: «» → «01-001-0016-1076» (Completado por regla) · Validador Shopify: WB: precio con IVA no termina en 9</t>
        </is>
      </c>
      <c r="AI3" s="156" t="n"/>
      <c r="AJ3" s="156" t="n"/>
      <c r="AK3" s="155" t="inlineStr">
        <is>
          <t>Odoo: producto 20854 / plantilla 26857</t>
        </is>
      </c>
      <c r="AL3" s="58" t="n"/>
      <c r="AM3" s="58" t="n"/>
      <c r="AN3" s="155" t="inlineStr">
        <is>
          <t>Odoo Universal Unique Brands</t>
        </is>
      </c>
      <c r="AO3" s="59" t="n"/>
      <c r="AP3" s="59" t="n"/>
      <c r="AQ3" s="59" t="n">
        <v>30</v>
      </c>
      <c r="AR3" s="155" t="inlineStr">
        <is>
          <t>Odoo Universal Unique Brands › Bodega 25 › Bodega 25/General: 30</t>
        </is>
      </c>
    </row>
    <row r="4">
      <c r="A4" s="50" t="inlineStr">
        <is>
          <t>199168087487</t>
        </is>
      </c>
      <c r="B4" s="51" t="n"/>
      <c r="C4" s="156" t="inlineStr">
        <is>
          <t>Roper</t>
        </is>
      </c>
      <c r="D4" s="156" t="inlineStr">
        <is>
          <t>01-001-0016-1076</t>
        </is>
      </c>
      <c r="E4" s="156" t="inlineStr">
        <is>
          <t>01-001-0016-1076 BL-M</t>
        </is>
      </c>
      <c r="F4" s="156" t="inlineStr">
        <is>
          <t>M</t>
        </is>
      </c>
      <c r="G4" s="156" t="inlineStr">
        <is>
          <t>M</t>
        </is>
      </c>
      <c r="H4" s="156" t="inlineStr">
        <is>
          <t>Roper</t>
        </is>
      </c>
      <c r="I4" s="156" t="inlineStr">
        <is>
          <t>ROPER Shirt Black/GreyWhite /Plaid</t>
        </is>
      </c>
      <c r="J4" s="156" t="inlineStr">
        <is>
          <t>Ropa</t>
        </is>
      </c>
      <c r="K4" s="156" t="inlineStr">
        <is>
          <t>Camisas</t>
        </is>
      </c>
      <c r="L4" s="156" t="inlineStr">
        <is>
          <t>Hombre</t>
        </is>
      </c>
      <c r="M4" s="156" t="n"/>
      <c r="N4" s="156" t="n"/>
      <c r="O4" s="156" t="n"/>
      <c r="P4" s="156" t="inlineStr">
        <is>
          <t>Negro</t>
        </is>
      </c>
      <c r="Q4" s="156" t="n"/>
      <c r="R4" s="156" t="n"/>
      <c r="S4" s="156" t="n"/>
      <c r="T4" s="156" t="n"/>
      <c r="U4" s="156" t="n"/>
      <c r="V4" s="156" t="inlineStr">
        <is>
          <t>PZS</t>
        </is>
      </c>
      <c r="W4" s="51" t="inlineStr">
        <is>
          <t>53101602</t>
        </is>
      </c>
      <c r="X4" s="156" t="n"/>
      <c r="Y4" s="54" t="n">
        <v>38</v>
      </c>
      <c r="Z4" s="54" t="n">
        <v>990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IFERROR(_xlfn.XMATCH(A4,$A$2:$A$285,0,1)&lt;&gt;_xlfn.XMATCH(A4,$A$2:$A$285,0,-1),FALSE)), "Código de barras duplicado", ""), IF(AND(E4&lt;&gt;"", COUNTIF($E$2:$E$285,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/>
      <c r="AE4" s="156" t="n"/>
      <c r="AF4" s="51" t="n"/>
      <c r="AG4" s="156" t="inlineStr">
        <is>
          <t>Nuevo – Odoo Universal Unique Brands 01/10/2026</t>
        </is>
      </c>
      <c r="AH4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(black) | Homologación G1522 06/10/2026: WB N.º de estilo: «» → «01-001-0016-1076» (Completado por regla) · Validador Shopify: WB: precio con IVA no termina en 9</t>
        </is>
      </c>
      <c r="AI4" s="156" t="n"/>
      <c r="AJ4" s="156" t="n"/>
      <c r="AK4" s="155" t="inlineStr">
        <is>
          <t>Odoo: producto 20853 / plantilla 26856</t>
        </is>
      </c>
      <c r="AL4" s="58" t="n"/>
      <c r="AM4" s="58" t="n"/>
      <c r="AN4" s="155" t="inlineStr">
        <is>
          <t>Odoo Universal Unique Brands</t>
        </is>
      </c>
      <c r="AO4" s="59" t="n"/>
      <c r="AP4" s="59" t="n"/>
      <c r="AQ4" s="59" t="n">
        <v>30</v>
      </c>
      <c r="AR4" s="155" t="inlineStr">
        <is>
          <t>Odoo Universal Unique Brands › Bodega 25 › Bodega 25/General: 30</t>
        </is>
      </c>
    </row>
    <row r="5">
      <c r="A5" s="50" t="inlineStr">
        <is>
          <t>199168087494</t>
        </is>
      </c>
      <c r="B5" s="51" t="n"/>
      <c r="C5" s="156" t="inlineStr">
        <is>
          <t>Roper</t>
        </is>
      </c>
      <c r="D5" s="156" t="inlineStr">
        <is>
          <t>01-001-0016-1076</t>
        </is>
      </c>
      <c r="E5" s="156" t="inlineStr">
        <is>
          <t>01-001-0016-1076 BL-S</t>
        </is>
      </c>
      <c r="F5" s="156" t="inlineStr">
        <is>
          <t>S</t>
        </is>
      </c>
      <c r="G5" s="156" t="inlineStr">
        <is>
          <t>S</t>
        </is>
      </c>
      <c r="H5" s="156" t="inlineStr">
        <is>
          <t>Roper</t>
        </is>
      </c>
      <c r="I5" s="156" t="inlineStr">
        <is>
          <t>ROPER Shirt Black/GreyWhite /Plaid</t>
        </is>
      </c>
      <c r="J5" s="156" t="inlineStr">
        <is>
          <t>Ropa</t>
        </is>
      </c>
      <c r="K5" s="156" t="inlineStr">
        <is>
          <t>Camisas</t>
        </is>
      </c>
      <c r="L5" s="156" t="n"/>
      <c r="M5" s="156" t="n"/>
      <c r="N5" s="156" t="n"/>
      <c r="O5" s="156" t="n"/>
      <c r="P5" s="156" t="inlineStr">
        <is>
          <t>Negro</t>
        </is>
      </c>
      <c r="Q5" s="156" t="n"/>
      <c r="R5" s="156" t="n"/>
      <c r="S5" s="156" t="n"/>
      <c r="T5" s="156" t="n"/>
      <c r="U5" s="156" t="n"/>
      <c r="V5" s="156" t="inlineStr">
        <is>
          <t>PZS</t>
        </is>
      </c>
      <c r="W5" s="51" t="inlineStr">
        <is>
          <t>53101602</t>
        </is>
      </c>
      <c r="X5" s="156" t="n"/>
      <c r="Y5" s="54" t="n">
        <v>38</v>
      </c>
      <c r="Z5" s="54" t="n">
        <v>990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IFERROR(_xlfn.XMATCH(A5,$A$2:$A$285,0,1)&lt;&gt;_xlfn.XMATCH(A5,$A$2:$A$285,0,-1),FALSE)), "Código de barras duplicado", ""), IF(AND(E5&lt;&gt;"", COUNTIF($E$2:$E$285,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/>
      <c r="AE5" s="156" t="n"/>
      <c r="AF5" s="51" t="n"/>
      <c r="AG5" s="156" t="inlineStr">
        <is>
          <t>Nuevo – Odoo Universal Unique Brands 01/10/2026</t>
        </is>
      </c>
      <c r="AH5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(black) | Homologación G1522 06/10/2026: WB N.º de estilo: «» → «01-001-0016-1076» (Completado por regla) · Validador Shopify: WB: precio con IVA no termina en 9</t>
        </is>
      </c>
      <c r="AI5" s="156" t="n"/>
      <c r="AJ5" s="156" t="n"/>
      <c r="AK5" s="155" t="inlineStr">
        <is>
          <t>Odoo: producto 20852 / plantilla 26855</t>
        </is>
      </c>
      <c r="AL5" s="58" t="n"/>
      <c r="AM5" s="58" t="n"/>
      <c r="AN5" s="155" t="inlineStr">
        <is>
          <t>Odoo Universal Unique Brands</t>
        </is>
      </c>
      <c r="AO5" s="59" t="n"/>
      <c r="AP5" s="59" t="n"/>
      <c r="AQ5" s="59" t="n">
        <v>30</v>
      </c>
      <c r="AR5" s="155" t="inlineStr">
        <is>
          <t>Odoo Universal Unique Brands › Bodega 25 › Bodega 25/General: 30</t>
        </is>
      </c>
    </row>
    <row r="6">
      <c r="A6" s="50" t="inlineStr">
        <is>
          <t>199168087500</t>
        </is>
      </c>
      <c r="B6" s="51" t="n"/>
      <c r="C6" s="156" t="inlineStr">
        <is>
          <t>Roper</t>
        </is>
      </c>
      <c r="D6" s="156" t="inlineStr">
        <is>
          <t>01-001-0016-1076</t>
        </is>
      </c>
      <c r="E6" s="156" t="inlineStr">
        <is>
          <t>01-001-0016-1076 BL-XL</t>
        </is>
      </c>
      <c r="F6" s="156" t="inlineStr">
        <is>
          <t>XL</t>
        </is>
      </c>
      <c r="G6" s="156" t="inlineStr">
        <is>
          <t>XL</t>
        </is>
      </c>
      <c r="H6" s="156" t="inlineStr">
        <is>
          <t>Roper</t>
        </is>
      </c>
      <c r="I6" s="156" t="inlineStr">
        <is>
          <t>ROPER Shirt Black/GreyWhite /Plaid</t>
        </is>
      </c>
      <c r="J6" s="156" t="inlineStr">
        <is>
          <t>Ropa</t>
        </is>
      </c>
      <c r="K6" s="156" t="inlineStr">
        <is>
          <t>Camisas</t>
        </is>
      </c>
      <c r="L6" s="156" t="inlineStr">
        <is>
          <t>Hombre</t>
        </is>
      </c>
      <c r="M6" s="156" t="n"/>
      <c r="N6" s="156" t="n"/>
      <c r="O6" s="156" t="n"/>
      <c r="P6" s="156" t="inlineStr">
        <is>
          <t>Negro</t>
        </is>
      </c>
      <c r="Q6" s="156" t="n"/>
      <c r="R6" s="156" t="n"/>
      <c r="S6" s="156" t="n"/>
      <c r="T6" s="156" t="n"/>
      <c r="U6" s="156" t="n"/>
      <c r="V6" s="156" t="inlineStr">
        <is>
          <t>PZS</t>
        </is>
      </c>
      <c r="W6" s="51" t="inlineStr">
        <is>
          <t>53101602</t>
        </is>
      </c>
      <c r="X6" s="156" t="n"/>
      <c r="Y6" s="54" t="n">
        <v>38</v>
      </c>
      <c r="Z6" s="54" t="n">
        <v>990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IFERROR(_xlfn.XMATCH(A6,$A$2:$A$285,0,1)&lt;&gt;_xlfn.XMATCH(A6,$A$2:$A$285,0,-1),FALSE)), "Código de barras duplicado", ""), IF(AND(E6&lt;&gt;"", COUNTIF($E$2:$E$285,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/>
      <c r="AE6" s="156" t="n"/>
      <c r="AF6" s="51" t="n"/>
      <c r="AG6" s="156" t="inlineStr">
        <is>
          <t>Nuevo – Odoo Universal Unique Brands 01/10/2026</t>
        </is>
      </c>
      <c r="AH6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(black) | Homologación G1522 06/10/2026: WB N.º de estilo: «» → «01-001-0016-1076» (Completado por regla) · Validador Shopify: WB: precio con IVA no termina en 9</t>
        </is>
      </c>
      <c r="AI6" s="156" t="n"/>
      <c r="AJ6" s="156" t="n"/>
      <c r="AK6" s="155" t="inlineStr">
        <is>
          <t>Odoo: producto 20855 / plantilla 26858</t>
        </is>
      </c>
      <c r="AL6" s="58" t="n"/>
      <c r="AM6" s="58" t="n"/>
      <c r="AN6" s="155" t="inlineStr">
        <is>
          <t>Odoo Universal Unique Brands</t>
        </is>
      </c>
      <c r="AO6" s="59" t="n"/>
      <c r="AP6" s="59" t="n"/>
      <c r="AQ6" s="59" t="n">
        <v>20</v>
      </c>
      <c r="AR6" s="155" t="inlineStr">
        <is>
          <t>Odoo Universal Unique Brands › Bodega 25 › Bodega 25/General: 20</t>
        </is>
      </c>
    </row>
    <row r="7">
      <c r="A7" s="50" t="inlineStr">
        <is>
          <t>199168041441</t>
        </is>
      </c>
      <c r="B7" s="51" t="n"/>
      <c r="C7" s="156" t="inlineStr">
        <is>
          <t>Roper</t>
        </is>
      </c>
      <c r="D7" s="156" t="inlineStr">
        <is>
          <t>01-001-0016-7004</t>
        </is>
      </c>
      <c r="E7" s="156" t="inlineStr">
        <is>
          <t>01-001-0016-7004 BL-2XL</t>
        </is>
      </c>
      <c r="F7" s="156" t="inlineStr">
        <is>
          <t>XXL</t>
        </is>
      </c>
      <c r="G7" s="156" t="inlineStr">
        <is>
          <t>XXL</t>
        </is>
      </c>
      <c r="H7" s="156" t="inlineStr">
        <is>
          <t>Roper</t>
        </is>
      </c>
      <c r="I7" s="156" t="inlineStr">
        <is>
          <t>ROPER Shirt Bl/Wh/Re Plaid</t>
        </is>
      </c>
      <c r="J7" s="156" t="inlineStr">
        <is>
          <t>Ropa</t>
        </is>
      </c>
      <c r="K7" s="156" t="inlineStr">
        <is>
          <t>Camisas</t>
        </is>
      </c>
      <c r="L7" s="156" t="n"/>
      <c r="M7" s="156" t="n"/>
      <c r="N7" s="156" t="n"/>
      <c r="O7" s="156" t="n"/>
      <c r="P7" s="156" t="n"/>
      <c r="Q7" s="156" t="n"/>
      <c r="R7" s="156" t="n"/>
      <c r="S7" s="156" t="n"/>
      <c r="T7" s="156" t="n"/>
      <c r="U7" s="156" t="n"/>
      <c r="V7" s="156" t="inlineStr">
        <is>
          <t>PZS</t>
        </is>
      </c>
      <c r="W7" s="51" t="inlineStr">
        <is>
          <t>53101602</t>
        </is>
      </c>
      <c r="X7" s="156" t="n"/>
      <c r="Y7" s="54" t="n">
        <v>32.09</v>
      </c>
      <c r="Z7" s="54" t="n">
        <v>859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IFERROR(_xlfn.XMATCH(A7,$A$2:$A$285,0,1)&lt;&gt;_xlfn.XMATCH(A7,$A$2:$A$285,0,-1),FALSE)), "Código de barras duplicado", ""), IF(AND(E7&lt;&gt;"", COUNTIF($E$2:$E$285,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/>
      <c r="AE7" s="156" t="n"/>
      <c r="AF7" s="51" t="n"/>
      <c r="AG7" s="156" t="inlineStr">
        <is>
          <t>Nuevo – Odoo Universal Unique Brands 01/10/2026</t>
        </is>
      </c>
      <c r="AH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«01-001-0016-7004» (Completado por regla) · Validador Shopify: WB: precio con IVA no termina en 9</t>
        </is>
      </c>
      <c r="AI7" s="156" t="n"/>
      <c r="AJ7" s="156" t="n"/>
      <c r="AK7" s="155" t="inlineStr">
        <is>
          <t>Odoo: producto 21093 / plantilla 27096</t>
        </is>
      </c>
      <c r="AL7" s="58" t="n"/>
      <c r="AM7" s="58" t="n"/>
      <c r="AN7" s="155" t="inlineStr">
        <is>
          <t>Odoo Universal Unique Brands</t>
        </is>
      </c>
      <c r="AO7" s="59" t="n"/>
      <c r="AP7" s="59" t="n"/>
      <c r="AQ7" s="59" t="n">
        <v>2</v>
      </c>
      <c r="AR7" s="155" t="inlineStr">
        <is>
          <t>Odoo Universal Unique Brands › Bodega 25 › Bodega 25/General: 2</t>
        </is>
      </c>
    </row>
    <row r="8">
      <c r="A8" s="50" t="inlineStr">
        <is>
          <t>199168041458</t>
        </is>
      </c>
      <c r="B8" s="51" t="n"/>
      <c r="C8" s="156" t="inlineStr">
        <is>
          <t>Roper</t>
        </is>
      </c>
      <c r="D8" s="156" t="inlineStr">
        <is>
          <t>01-001-0016-7004</t>
        </is>
      </c>
      <c r="E8" s="156" t="inlineStr">
        <is>
          <t>01-001-0016-7004 BL-3XL</t>
        </is>
      </c>
      <c r="F8" s="156" t="inlineStr">
        <is>
          <t>XXXL</t>
        </is>
      </c>
      <c r="G8" s="156" t="inlineStr">
        <is>
          <t>XXXL</t>
        </is>
      </c>
      <c r="H8" s="156" t="inlineStr">
        <is>
          <t>Roper</t>
        </is>
      </c>
      <c r="I8" s="156" t="inlineStr">
        <is>
          <t>ROPER Shirt Bl/Wh/Re Plaid</t>
        </is>
      </c>
      <c r="J8" s="156" t="inlineStr">
        <is>
          <t>Ropa</t>
        </is>
      </c>
      <c r="K8" s="156" t="inlineStr">
        <is>
          <t>Camisas</t>
        </is>
      </c>
      <c r="L8" s="156" t="n"/>
      <c r="M8" s="156" t="n"/>
      <c r="N8" s="156" t="n"/>
      <c r="O8" s="156" t="n"/>
      <c r="P8" s="156" t="n"/>
      <c r="Q8" s="156" t="n"/>
      <c r="R8" s="156" t="n"/>
      <c r="S8" s="156" t="n"/>
      <c r="T8" s="156" t="n"/>
      <c r="U8" s="156" t="n"/>
      <c r="V8" s="156" t="inlineStr">
        <is>
          <t>PZS</t>
        </is>
      </c>
      <c r="W8" s="51" t="inlineStr">
        <is>
          <t>53101602</t>
        </is>
      </c>
      <c r="X8" s="156" t="n"/>
      <c r="Y8" s="54" t="n">
        <v>32.09</v>
      </c>
      <c r="Z8" s="54" t="n">
        <v>859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IFERROR(_xlfn.XMATCH(A8,$A$2:$A$285,0,1)&lt;&gt;_xlfn.XMATCH(A8,$A$2:$A$285,0,-1),FALSE)), "Código de barras duplicado", ""), IF(AND(E8&lt;&gt;"", COUNTIF($E$2:$E$285,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/>
      <c r="AE8" s="156" t="n"/>
      <c r="AF8" s="51" t="n"/>
      <c r="AG8" s="156" t="inlineStr">
        <is>
          <t>Nuevo – Odoo Universal Unique Brands 01/10/2026</t>
        </is>
      </c>
      <c r="AH8" s="156" t="inlineStr">
        <is>
          <t>01/10/2026: alta desde Odoo Universal Unique Brands (no existía en Productos por código de barras ni SKU) | Talla tomada del sufijo del SKU (3XL); Categoría: Palabra clave "Camisa" en tipo/categoría de la fuente (Ropa / Camisas); Talla: 3XL→XXXL | Homologación G1522 06/10/2026: WB N.º de estilo: «» → «01-001-0016-7004» (Completado por regla) · Validador Shopify: WB: precio con IVA no termina en 9</t>
        </is>
      </c>
      <c r="AI8" s="156" t="n"/>
      <c r="AJ8" s="156" t="n"/>
      <c r="AK8" s="155" t="inlineStr">
        <is>
          <t>Odoo: producto 21572 / plantilla 27583</t>
        </is>
      </c>
      <c r="AL8" s="58" t="n"/>
      <c r="AM8" s="58" t="n"/>
      <c r="AN8" s="155" t="inlineStr">
        <is>
          <t>Odoo Universal Unique Brands</t>
        </is>
      </c>
      <c r="AO8" s="59" t="n"/>
      <c r="AP8" s="59" t="n"/>
      <c r="AQ8" s="59" t="n">
        <v>1</v>
      </c>
      <c r="AR8" s="155" t="inlineStr">
        <is>
          <t>Odoo Universal Unique Brands › Bodega 25 › Bodega 25/General: 1</t>
        </is>
      </c>
    </row>
    <row r="9">
      <c r="A9" s="50" t="inlineStr">
        <is>
          <t>199168041403</t>
        </is>
      </c>
      <c r="B9" s="51" t="n"/>
      <c r="C9" s="156" t="inlineStr">
        <is>
          <t>Roper</t>
        </is>
      </c>
      <c r="D9" s="156" t="inlineStr">
        <is>
          <t>01-001-0016-7004</t>
        </is>
      </c>
      <c r="E9" s="156" t="inlineStr">
        <is>
          <t>01-001-0016-7004 BL-L</t>
        </is>
      </c>
      <c r="F9" s="156" t="inlineStr">
        <is>
          <t>L</t>
        </is>
      </c>
      <c r="G9" s="156" t="inlineStr">
        <is>
          <t>L</t>
        </is>
      </c>
      <c r="H9" s="156" t="inlineStr">
        <is>
          <t>Roper</t>
        </is>
      </c>
      <c r="I9" s="156" t="inlineStr">
        <is>
          <t>ROPER Shirt Bl/Wh/Re Plaid</t>
        </is>
      </c>
      <c r="J9" s="156" t="inlineStr">
        <is>
          <t>Ropa</t>
        </is>
      </c>
      <c r="K9" s="156" t="inlineStr">
        <is>
          <t>Camisas</t>
        </is>
      </c>
      <c r="L9" s="156" t="n"/>
      <c r="M9" s="156" t="n"/>
      <c r="N9" s="156" t="n"/>
      <c r="O9" s="156" t="n"/>
      <c r="P9" s="156" t="n"/>
      <c r="Q9" s="156" t="n"/>
      <c r="R9" s="156" t="n"/>
      <c r="S9" s="156" t="n"/>
      <c r="T9" s="156" t="n"/>
      <c r="U9" s="156" t="n"/>
      <c r="V9" s="156" t="inlineStr">
        <is>
          <t>PZS</t>
        </is>
      </c>
      <c r="W9" s="51" t="inlineStr">
        <is>
          <t>53101602</t>
        </is>
      </c>
      <c r="X9" s="156" t="n"/>
      <c r="Y9" s="54" t="n">
        <v>32.09</v>
      </c>
      <c r="Z9" s="54" t="n">
        <v>859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IFERROR(_xlfn.XMATCH(A9,$A$2:$A$285,0,1)&lt;&gt;_xlfn.XMATCH(A9,$A$2:$A$285,0,-1),FALSE)), "Código de barras duplicado", ""), IF(AND(E9&lt;&gt;"", COUNTIF($E$2:$E$285,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/>
      <c r="AE9" s="156" t="n"/>
      <c r="AF9" s="51" t="n"/>
      <c r="AG9" s="156" t="inlineStr">
        <is>
          <t>Nuevo – Odoo Universal Unique Brands 01/10/2026</t>
        </is>
      </c>
      <c r="AH9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«01-001-0016-7004» (Completado por regla) · Validador Shopify: WB: precio con IVA no termina en 9</t>
        </is>
      </c>
      <c r="AI9" s="156" t="n"/>
      <c r="AJ9" s="156" t="n"/>
      <c r="AK9" s="155" t="inlineStr">
        <is>
          <t>Odoo: producto 21091 / plantilla 27094</t>
        </is>
      </c>
      <c r="AL9" s="58" t="n"/>
      <c r="AM9" s="58" t="n"/>
      <c r="AN9" s="155" t="inlineStr">
        <is>
          <t>Odoo Universal Unique Brands</t>
        </is>
      </c>
      <c r="AO9" s="59" t="n"/>
      <c r="AP9" s="59" t="n"/>
      <c r="AQ9" s="59" t="n">
        <v>10</v>
      </c>
      <c r="AR9" s="155" t="inlineStr">
        <is>
          <t>Odoo Universal Unique Brands › Bodega 25 › Bodega 25/General: 10</t>
        </is>
      </c>
    </row>
    <row r="10">
      <c r="A10" s="50" t="inlineStr">
        <is>
          <t>199168041410</t>
        </is>
      </c>
      <c r="B10" s="51" t="n"/>
      <c r="C10" s="156" t="inlineStr">
        <is>
          <t>Roper</t>
        </is>
      </c>
      <c r="D10" s="156" t="inlineStr">
        <is>
          <t>01-001-0016-7004</t>
        </is>
      </c>
      <c r="E10" s="156" t="inlineStr">
        <is>
          <t>01-001-0016-7004 BL-M</t>
        </is>
      </c>
      <c r="F10" s="156" t="inlineStr">
        <is>
          <t>M</t>
        </is>
      </c>
      <c r="G10" s="156" t="inlineStr">
        <is>
          <t>M</t>
        </is>
      </c>
      <c r="H10" s="156" t="inlineStr">
        <is>
          <t>Roper</t>
        </is>
      </c>
      <c r="I10" s="156" t="inlineStr">
        <is>
          <t>ROPER Shirt Bl/Wh/Re Plaid</t>
        </is>
      </c>
      <c r="J10" s="156" t="inlineStr">
        <is>
          <t>Ropa</t>
        </is>
      </c>
      <c r="K10" s="156" t="inlineStr">
        <is>
          <t>Camisas</t>
        </is>
      </c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inlineStr">
        <is>
          <t>PZS</t>
        </is>
      </c>
      <c r="W10" s="51" t="inlineStr">
        <is>
          <t>53101602</t>
        </is>
      </c>
      <c r="X10" s="156" t="n"/>
      <c r="Y10" s="54" t="n">
        <v>32.09</v>
      </c>
      <c r="Z10" s="54" t="n">
        <v>859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IFERROR(_xlfn.XMATCH(A10,$A$2:$A$285,0,1)&lt;&gt;_xlfn.XMATCH(A10,$A$2:$A$285,0,-1),FALSE)), "Código de barras duplicado", ""), IF(AND(E10&lt;&gt;"", COUNTIF($E$2:$E$285,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/>
      <c r="AE10" s="156" t="n"/>
      <c r="AF10" s="51" t="n"/>
      <c r="AG10" s="156" t="inlineStr">
        <is>
          <t>Nuevo – Odoo Universal Unique Brands 01/10/2026</t>
        </is>
      </c>
      <c r="AH10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«01-001-0016-7004» (Completado por regla) · Validador Shopify: WB: precio con IVA no termina en 9</t>
        </is>
      </c>
      <c r="AI10" s="156" t="n"/>
      <c r="AJ10" s="156" t="n"/>
      <c r="AK10" s="155" t="inlineStr">
        <is>
          <t>Odoo: producto 21090 / plantilla 27093</t>
        </is>
      </c>
      <c r="AL10" s="58" t="n"/>
      <c r="AM10" s="58" t="n"/>
      <c r="AN10" s="155" t="inlineStr">
        <is>
          <t>Odoo Universal Unique Brands</t>
        </is>
      </c>
      <c r="AO10" s="59" t="n"/>
      <c r="AP10" s="59" t="n"/>
      <c r="AQ10" s="59" t="n">
        <v>10</v>
      </c>
      <c r="AR10" s="155" t="inlineStr">
        <is>
          <t>Odoo Universal Unique Brands › Bodega 25 › Bodega 25/General: 10</t>
        </is>
      </c>
    </row>
    <row r="11">
      <c r="A11" s="50" t="inlineStr">
        <is>
          <t>199168041427</t>
        </is>
      </c>
      <c r="B11" s="51" t="n"/>
      <c r="C11" s="156" t="inlineStr">
        <is>
          <t>Roper</t>
        </is>
      </c>
      <c r="D11" s="156" t="inlineStr">
        <is>
          <t>01-001-0016-7004</t>
        </is>
      </c>
      <c r="E11" s="156" t="inlineStr">
        <is>
          <t>01-001-0016-7004 BL-S</t>
        </is>
      </c>
      <c r="F11" s="156" t="inlineStr">
        <is>
          <t>S</t>
        </is>
      </c>
      <c r="G11" s="156" t="inlineStr">
        <is>
          <t>S</t>
        </is>
      </c>
      <c r="H11" s="156" t="inlineStr">
        <is>
          <t>Roper</t>
        </is>
      </c>
      <c r="I11" s="156" t="inlineStr">
        <is>
          <t>ROPER Shirt Bl/Wh/Re Plaid</t>
        </is>
      </c>
      <c r="J11" s="156" t="inlineStr">
        <is>
          <t>Ropa</t>
        </is>
      </c>
      <c r="K11" s="156" t="inlineStr">
        <is>
          <t>Camisas</t>
        </is>
      </c>
      <c r="L11" s="156" t="n"/>
      <c r="M11" s="156" t="n"/>
      <c r="N11" s="156" t="n"/>
      <c r="O11" s="156" t="n"/>
      <c r="P11" s="156" t="n"/>
      <c r="Q11" s="156" t="n"/>
      <c r="R11" s="156" t="n"/>
      <c r="S11" s="156" t="n"/>
      <c r="T11" s="156" t="n"/>
      <c r="U11" s="156" t="n"/>
      <c r="V11" s="156" t="inlineStr">
        <is>
          <t>PZS</t>
        </is>
      </c>
      <c r="W11" s="51" t="inlineStr">
        <is>
          <t>53101602</t>
        </is>
      </c>
      <c r="X11" s="156" t="n"/>
      <c r="Y11" s="54" t="n">
        <v>32.09</v>
      </c>
      <c r="Z11" s="54" t="n">
        <v>859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IFERROR(_xlfn.XMATCH(A11,$A$2:$A$285,0,1)&lt;&gt;_xlfn.XMATCH(A11,$A$2:$A$285,0,-1),FALSE)), "Código de barras duplicado", ""), IF(AND(E11&lt;&gt;"", COUNTIF($E$2:$E$285,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/>
      <c r="AE11" s="156" t="n"/>
      <c r="AF11" s="51" t="n"/>
      <c r="AG11" s="156" t="inlineStr">
        <is>
          <t>Nuevo – Odoo Universal Unique Brands 01/10/2026</t>
        </is>
      </c>
      <c r="AH11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«01-001-0016-7004» (Completado por regla) · Validador Shopify: WB: precio con IVA no termina en 9</t>
        </is>
      </c>
      <c r="AI11" s="156" t="n"/>
      <c r="AJ11" s="156" t="n"/>
      <c r="AK11" s="155" t="inlineStr">
        <is>
          <t>Odoo: producto 21089 / plantilla 27092</t>
        </is>
      </c>
      <c r="AL11" s="58" t="n"/>
      <c r="AM11" s="58" t="n"/>
      <c r="AN11" s="155" t="inlineStr">
        <is>
          <t>Odoo Universal Unique Brands</t>
        </is>
      </c>
      <c r="AO11" s="59" t="n"/>
      <c r="AP11" s="59" t="n"/>
      <c r="AQ11" s="59" t="n">
        <v>10</v>
      </c>
      <c r="AR11" s="155" t="inlineStr">
        <is>
          <t>Odoo Universal Unique Brands › Bodega 25 › Bodega 25/General: 10</t>
        </is>
      </c>
    </row>
    <row r="12">
      <c r="A12" s="50" t="inlineStr">
        <is>
          <t>199168041434</t>
        </is>
      </c>
      <c r="B12" s="51" t="n"/>
      <c r="C12" s="156" t="inlineStr">
        <is>
          <t>Roper</t>
        </is>
      </c>
      <c r="D12" s="156" t="inlineStr">
        <is>
          <t>01-001-0016-7004</t>
        </is>
      </c>
      <c r="E12" s="156" t="inlineStr">
        <is>
          <t>01-001-0016-7004 BL-XL</t>
        </is>
      </c>
      <c r="F12" s="156" t="inlineStr">
        <is>
          <t>XL</t>
        </is>
      </c>
      <c r="G12" s="156" t="inlineStr">
        <is>
          <t>XL</t>
        </is>
      </c>
      <c r="H12" s="156" t="inlineStr">
        <is>
          <t>Roper</t>
        </is>
      </c>
      <c r="I12" s="156" t="inlineStr">
        <is>
          <t>ROPER Shirt Bl/Wh/Re Plaid</t>
        </is>
      </c>
      <c r="J12" s="156" t="inlineStr">
        <is>
          <t>Ropa</t>
        </is>
      </c>
      <c r="K12" s="156" t="inlineStr">
        <is>
          <t>Camisas</t>
        </is>
      </c>
      <c r="L12" s="156" t="n"/>
      <c r="M12" s="156" t="n"/>
      <c r="N12" s="156" t="n"/>
      <c r="O12" s="156" t="n"/>
      <c r="P12" s="156" t="n"/>
      <c r="Q12" s="156" t="n"/>
      <c r="R12" s="156" t="n"/>
      <c r="S12" s="156" t="n"/>
      <c r="T12" s="156" t="n"/>
      <c r="U12" s="156" t="n"/>
      <c r="V12" s="156" t="inlineStr">
        <is>
          <t>PZS</t>
        </is>
      </c>
      <c r="W12" s="51" t="inlineStr">
        <is>
          <t>53101602</t>
        </is>
      </c>
      <c r="X12" s="156" t="n"/>
      <c r="Y12" s="54" t="n">
        <v>32.09</v>
      </c>
      <c r="Z12" s="54" t="n">
        <v>859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IFERROR(_xlfn.XMATCH(A12,$A$2:$A$285,0,1)&lt;&gt;_xlfn.XMATCH(A12,$A$2:$A$285,0,-1),FALSE)), "Código de barras duplicado", ""), IF(AND(E12&lt;&gt;"", COUNTIF($E$2:$E$285,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/>
      <c r="AE12" s="156" t="n"/>
      <c r="AF12" s="51" t="n"/>
      <c r="AG12" s="156" t="inlineStr">
        <is>
          <t>Nuevo – Odoo Universal Unique Brands 01/10/2026</t>
        </is>
      </c>
      <c r="AH12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«01-001-0016-7004» (Completado por regla) · Validador Shopify: WB: precio con IVA no termina en 9</t>
        </is>
      </c>
      <c r="AI12" s="156" t="n"/>
      <c r="AJ12" s="156" t="n"/>
      <c r="AK12" s="155" t="inlineStr">
        <is>
          <t>Odoo: producto 21092 / plantilla 27095</t>
        </is>
      </c>
      <c r="AL12" s="58" t="n"/>
      <c r="AM12" s="58" t="n"/>
      <c r="AN12" s="155" t="inlineStr">
        <is>
          <t>Odoo Universal Unique Brands</t>
        </is>
      </c>
      <c r="AO12" s="59" t="n"/>
      <c r="AP12" s="59" t="n"/>
      <c r="AQ12" s="59" t="n">
        <v>11</v>
      </c>
      <c r="AR12" s="155" t="inlineStr">
        <is>
          <t>Odoo Universal Unique Brands › Bodega 25 › Bodega 25/General: 11</t>
        </is>
      </c>
    </row>
    <row r="13">
      <c r="A13" s="50" t="inlineStr">
        <is>
          <t>199168041625</t>
        </is>
      </c>
      <c r="B13" s="51" t="n"/>
      <c r="C13" s="156" t="inlineStr">
        <is>
          <t>Roper</t>
        </is>
      </c>
      <c r="D13" s="156" t="inlineStr">
        <is>
          <t>01-001-0017-7018</t>
        </is>
      </c>
      <c r="E13" s="156" t="inlineStr">
        <is>
          <t>01-001-0017-7018 BR-2XL</t>
        </is>
      </c>
      <c r="F13" s="156" t="inlineStr">
        <is>
          <t>XXL</t>
        </is>
      </c>
      <c r="G13" s="156" t="inlineStr">
        <is>
          <t>XXL</t>
        </is>
      </c>
      <c r="H13" s="156" t="inlineStr">
        <is>
          <t>Roper</t>
        </is>
      </c>
      <c r="I13" s="156" t="inlineStr">
        <is>
          <t>ROPER Shirt Chocolate Solid Poplin</t>
        </is>
      </c>
      <c r="J13" s="156" t="inlineStr">
        <is>
          <t>Ropa</t>
        </is>
      </c>
      <c r="K13" s="156" t="inlineStr">
        <is>
          <t>Camisas</t>
        </is>
      </c>
      <c r="L13" s="156" t="n"/>
      <c r="M13" s="156" t="n"/>
      <c r="N13" s="156" t="n"/>
      <c r="O13" s="156" t="n"/>
      <c r="P13" s="156" t="inlineStr">
        <is>
          <t>Cafe</t>
        </is>
      </c>
      <c r="Q13" s="156" t="n"/>
      <c r="R13" s="156" t="n"/>
      <c r="S13" s="156" t="n"/>
      <c r="T13" s="156" t="n"/>
      <c r="U13" s="156" t="n"/>
      <c r="V13" s="156" t="inlineStr">
        <is>
          <t>PZS</t>
        </is>
      </c>
      <c r="W13" s="51" t="inlineStr">
        <is>
          <t>53101602</t>
        </is>
      </c>
      <c r="X13" s="156" t="n"/>
      <c r="Y13" s="54" t="n">
        <v>33.02</v>
      </c>
      <c r="Z13" s="54" t="n">
        <v>879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IFERROR(_xlfn.XMATCH(A13,$A$2:$A$285,0,1)&lt;&gt;_xlfn.XMATCH(A13,$A$2:$A$285,0,-1),FALSE)), "Código de barras duplicado", ""), IF(AND(E13&lt;&gt;"", COUNTIF($E$2:$E$285,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/>
      <c r="AE13" s="156" t="n"/>
      <c r="AF13" s="51" t="n"/>
      <c r="AG13" s="156" t="inlineStr">
        <is>
          <t>Nuevo – Odoo Universal Unique Brands 01/10/2026</t>
        </is>
      </c>
      <c r="AH13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(chocolate) | Homologación G1522 06/10/2026: WB N.º de estilo: «» → «01-001-0017-7018» (Completado por regla)</t>
        </is>
      </c>
      <c r="AI13" s="156" t="n"/>
      <c r="AJ13" s="156" t="n"/>
      <c r="AK13" s="155" t="inlineStr">
        <is>
          <t>Odoo: producto 21103 / plantilla 27106</t>
        </is>
      </c>
      <c r="AL13" s="58" t="n"/>
      <c r="AM13" s="58" t="n"/>
      <c r="AN13" s="155" t="inlineStr">
        <is>
          <t>Odoo Universal Unique Brands</t>
        </is>
      </c>
      <c r="AO13" s="59" t="n"/>
      <c r="AP13" s="59" t="n"/>
      <c r="AQ13" s="59" t="n">
        <v>4</v>
      </c>
      <c r="AR13" s="155" t="inlineStr">
        <is>
          <t>Odoo Universal Unique Brands › Bodega 25 › Bodega 25/General: 4</t>
        </is>
      </c>
    </row>
    <row r="14">
      <c r="A14" s="50" t="inlineStr">
        <is>
          <t>199168041588</t>
        </is>
      </c>
      <c r="B14" s="51" t="n"/>
      <c r="C14" s="156" t="inlineStr">
        <is>
          <t>Roper</t>
        </is>
      </c>
      <c r="D14" s="156" t="inlineStr">
        <is>
          <t>01-001-0017-7018</t>
        </is>
      </c>
      <c r="E14" s="156" t="inlineStr">
        <is>
          <t>01-001-0017-7018 BR-L</t>
        </is>
      </c>
      <c r="F14" s="156" t="inlineStr">
        <is>
          <t>L</t>
        </is>
      </c>
      <c r="G14" s="156" t="inlineStr">
        <is>
          <t>L</t>
        </is>
      </c>
      <c r="H14" s="156" t="inlineStr">
        <is>
          <t>Roper</t>
        </is>
      </c>
      <c r="I14" s="156" t="inlineStr">
        <is>
          <t>ROPER Shirt Chocolate Solid Poplin</t>
        </is>
      </c>
      <c r="J14" s="156" t="inlineStr">
        <is>
          <t>Ropa</t>
        </is>
      </c>
      <c r="K14" s="156" t="inlineStr">
        <is>
          <t>Camisas</t>
        </is>
      </c>
      <c r="L14" s="156" t="n"/>
      <c r="M14" s="156" t="n"/>
      <c r="N14" s="156" t="n"/>
      <c r="O14" s="156" t="n"/>
      <c r="P14" s="156" t="inlineStr">
        <is>
          <t>Cafe</t>
        </is>
      </c>
      <c r="Q14" s="156" t="n"/>
      <c r="R14" s="156" t="n"/>
      <c r="S14" s="156" t="n"/>
      <c r="T14" s="156" t="n"/>
      <c r="U14" s="156" t="n"/>
      <c r="V14" s="156" t="inlineStr">
        <is>
          <t>PZS</t>
        </is>
      </c>
      <c r="W14" s="51" t="inlineStr">
        <is>
          <t>53101602</t>
        </is>
      </c>
      <c r="X14" s="156" t="n"/>
      <c r="Y14" s="54" t="n">
        <v>33.02</v>
      </c>
      <c r="Z14" s="54" t="n">
        <v>879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IFERROR(_xlfn.XMATCH(A14,$A$2:$A$285,0,1)&lt;&gt;_xlfn.XMATCH(A14,$A$2:$A$285,0,-1),FALSE)), "Código de barras duplicado", ""), IF(AND(E14&lt;&gt;"", COUNTIF($E$2:$E$285,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n"/>
      <c r="AD14" s="51" t="n"/>
      <c r="AE14" s="156" t="n"/>
      <c r="AF14" s="51" t="n"/>
      <c r="AG14" s="156" t="inlineStr">
        <is>
          <t>Nuevo – Odoo Universal Unique Brands 01/10/2026</t>
        </is>
      </c>
      <c r="AH14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(chocolate) | Homologación G1522 06/10/2026: WB N.º de estilo: «» → «01-001-0017-7018» (Completado por regla)</t>
        </is>
      </c>
      <c r="AI14" s="156" t="n"/>
      <c r="AJ14" s="156" t="n"/>
      <c r="AK14" s="155" t="inlineStr">
        <is>
          <t>Odoo: producto 21101 / plantilla 27104</t>
        </is>
      </c>
      <c r="AL14" s="58" t="n"/>
      <c r="AM14" s="58" t="n"/>
      <c r="AN14" s="155" t="inlineStr">
        <is>
          <t>Odoo Universal Unique Brands</t>
        </is>
      </c>
      <c r="AO14" s="59" t="n"/>
      <c r="AP14" s="59" t="n"/>
      <c r="AQ14" s="59" t="n">
        <v>1</v>
      </c>
      <c r="AR14" s="155" t="inlineStr">
        <is>
          <t>Odoo Universal Unique Brands › Bodega 25 › Bodega 25/General: 1</t>
        </is>
      </c>
    </row>
    <row r="15">
      <c r="A15" s="50" t="inlineStr">
        <is>
          <t>199168041595</t>
        </is>
      </c>
      <c r="B15" s="51" t="n"/>
      <c r="C15" s="156" t="inlineStr">
        <is>
          <t>Roper</t>
        </is>
      </c>
      <c r="D15" s="156" t="inlineStr">
        <is>
          <t>01-001-0017-7018</t>
        </is>
      </c>
      <c r="E15" s="156" t="inlineStr">
        <is>
          <t>01-001-0017-7018 BR-M</t>
        </is>
      </c>
      <c r="F15" s="156" t="inlineStr">
        <is>
          <t>M</t>
        </is>
      </c>
      <c r="G15" s="156" t="inlineStr">
        <is>
          <t>M</t>
        </is>
      </c>
      <c r="H15" s="156" t="inlineStr">
        <is>
          <t>Roper</t>
        </is>
      </c>
      <c r="I15" s="156" t="inlineStr">
        <is>
          <t>ROPER Shirt Chocolate Solid Poplin</t>
        </is>
      </c>
      <c r="J15" s="156" t="inlineStr">
        <is>
          <t>Ropa</t>
        </is>
      </c>
      <c r="K15" s="156" t="inlineStr">
        <is>
          <t>Camisas</t>
        </is>
      </c>
      <c r="L15" s="156" t="n"/>
      <c r="M15" s="156" t="n"/>
      <c r="N15" s="156" t="n"/>
      <c r="O15" s="156" t="n"/>
      <c r="P15" s="156" t="inlineStr">
        <is>
          <t>Cafe</t>
        </is>
      </c>
      <c r="Q15" s="156" t="n"/>
      <c r="R15" s="156" t="n"/>
      <c r="S15" s="156" t="n"/>
      <c r="T15" s="156" t="n"/>
      <c r="U15" s="156" t="n"/>
      <c r="V15" s="156" t="inlineStr">
        <is>
          <t>PZS</t>
        </is>
      </c>
      <c r="W15" s="51" t="inlineStr">
        <is>
          <t>53101602</t>
        </is>
      </c>
      <c r="X15" s="156" t="n"/>
      <c r="Y15" s="54" t="n">
        <v>33.02</v>
      </c>
      <c r="Z15" s="54" t="n">
        <v>879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IFERROR(_xlfn.XMATCH(A15,$A$2:$A$285,0,1)&lt;&gt;_xlfn.XMATCH(A15,$A$2:$A$285,0,-1),FALSE)), "Código de barras duplicado", ""), IF(AND(E15&lt;&gt;"", COUNTIF($E$2:$E$285,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n"/>
      <c r="AD15" s="51" t="n"/>
      <c r="AE15" s="156" t="n"/>
      <c r="AF15" s="51" t="n"/>
      <c r="AG15" s="156" t="inlineStr">
        <is>
          <t>Nuevo – Odoo Universal Unique Brands 01/10/2026</t>
        </is>
      </c>
      <c r="AH15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(chocolate) | Homologación G1522 06/10/2026: WB N.º de estilo: «» → «01-001-0017-7018» (Completado por regla)</t>
        </is>
      </c>
      <c r="AI15" s="156" t="n"/>
      <c r="AJ15" s="156" t="n"/>
      <c r="AK15" s="155" t="inlineStr">
        <is>
          <t>Odoo: producto 21100 / plantilla 27103</t>
        </is>
      </c>
      <c r="AL15" s="58" t="n"/>
      <c r="AM15" s="58" t="n"/>
      <c r="AN15" s="155" t="inlineStr">
        <is>
          <t>Odoo Universal Unique Brands</t>
        </is>
      </c>
      <c r="AO15" s="59" t="n"/>
      <c r="AP15" s="59" t="n"/>
      <c r="AQ15" s="59" t="n">
        <v>9</v>
      </c>
      <c r="AR15" s="155" t="inlineStr">
        <is>
          <t>Odoo Universal Unique Brands › Bodega 25 › Bodega 25/General: 9</t>
        </is>
      </c>
    </row>
    <row r="16">
      <c r="A16" s="50" t="inlineStr">
        <is>
          <t>199168041601</t>
        </is>
      </c>
      <c r="B16" s="51" t="n"/>
      <c r="C16" s="156" t="inlineStr">
        <is>
          <t>Roper</t>
        </is>
      </c>
      <c r="D16" s="156" t="inlineStr">
        <is>
          <t>01-001-0017-7018</t>
        </is>
      </c>
      <c r="E16" s="156" t="inlineStr">
        <is>
          <t>01-001-0017-7018 BR-S</t>
        </is>
      </c>
      <c r="F16" s="156" t="inlineStr">
        <is>
          <t>S</t>
        </is>
      </c>
      <c r="G16" s="156" t="inlineStr">
        <is>
          <t>S</t>
        </is>
      </c>
      <c r="H16" s="156" t="inlineStr">
        <is>
          <t>Roper</t>
        </is>
      </c>
      <c r="I16" s="156" t="inlineStr">
        <is>
          <t>ROPER Shirt Chocolate Solid Poplin</t>
        </is>
      </c>
      <c r="J16" s="156" t="inlineStr">
        <is>
          <t>Ropa</t>
        </is>
      </c>
      <c r="K16" s="156" t="inlineStr">
        <is>
          <t>Camisas</t>
        </is>
      </c>
      <c r="L16" s="156" t="n"/>
      <c r="M16" s="156" t="n"/>
      <c r="N16" s="156" t="n"/>
      <c r="O16" s="156" t="n"/>
      <c r="P16" s="156" t="inlineStr">
        <is>
          <t>Cafe</t>
        </is>
      </c>
      <c r="Q16" s="156" t="n"/>
      <c r="R16" s="156" t="n"/>
      <c r="S16" s="156" t="n"/>
      <c r="T16" s="156" t="n"/>
      <c r="U16" s="156" t="n"/>
      <c r="V16" s="156" t="inlineStr">
        <is>
          <t>PZS</t>
        </is>
      </c>
      <c r="W16" s="51" t="inlineStr">
        <is>
          <t>53101602</t>
        </is>
      </c>
      <c r="X16" s="156" t="n"/>
      <c r="Y16" s="54" t="n">
        <v>33.02</v>
      </c>
      <c r="Z16" s="54" t="n">
        <v>879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IFERROR(_xlfn.XMATCH(A16,$A$2:$A$285,0,1)&lt;&gt;_xlfn.XMATCH(A16,$A$2:$A$285,0,-1),FALSE)), "Código de barras duplicado", ""), IF(AND(E16&lt;&gt;"", COUNTIF($E$2:$E$285,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n"/>
      <c r="AD16" s="51" t="n"/>
      <c r="AE16" s="156" t="n"/>
      <c r="AF16" s="51" t="n"/>
      <c r="AG16" s="156" t="inlineStr">
        <is>
          <t>Nuevo – Odoo Universal Unique Brands 01/10/2026</t>
        </is>
      </c>
      <c r="AH16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(chocolate) | Homologación G1522 06/10/2026: WB N.º de estilo: «» → «01-001-0017-7018» (Completado por regla)</t>
        </is>
      </c>
      <c r="AI16" s="156" t="n"/>
      <c r="AJ16" s="156" t="n"/>
      <c r="AK16" s="155" t="inlineStr">
        <is>
          <t>Odoo: producto 21099 / plantilla 27102</t>
        </is>
      </c>
      <c r="AL16" s="58" t="n"/>
      <c r="AM16" s="58" t="n"/>
      <c r="AN16" s="155" t="inlineStr">
        <is>
          <t>Odoo Universal Unique Brands</t>
        </is>
      </c>
      <c r="AO16" s="59" t="n"/>
      <c r="AP16" s="59" t="n"/>
      <c r="AQ16" s="59" t="n">
        <v>7</v>
      </c>
      <c r="AR16" s="155" t="inlineStr">
        <is>
          <t>Odoo Universal Unique Brands › Bodega 25 › Bodega 25/General: 7</t>
        </is>
      </c>
    </row>
    <row r="17">
      <c r="A17" s="50" t="inlineStr">
        <is>
          <t>199168041618</t>
        </is>
      </c>
      <c r="B17" s="51" t="n"/>
      <c r="C17" s="156" t="inlineStr">
        <is>
          <t>Roper</t>
        </is>
      </c>
      <c r="D17" s="156" t="inlineStr">
        <is>
          <t>01-001-0017-7018</t>
        </is>
      </c>
      <c r="E17" s="156" t="inlineStr">
        <is>
          <t>01-001-0017-7018 BR-XL</t>
        </is>
      </c>
      <c r="F17" s="156" t="inlineStr">
        <is>
          <t>XL</t>
        </is>
      </c>
      <c r="G17" s="156" t="inlineStr">
        <is>
          <t>XL</t>
        </is>
      </c>
      <c r="H17" s="156" t="inlineStr">
        <is>
          <t>Roper</t>
        </is>
      </c>
      <c r="I17" s="156" t="inlineStr">
        <is>
          <t>ROPER Shirt Chocolate Solid Poplin</t>
        </is>
      </c>
      <c r="J17" s="156" t="inlineStr">
        <is>
          <t>Ropa</t>
        </is>
      </c>
      <c r="K17" s="156" t="inlineStr">
        <is>
          <t>Camisas</t>
        </is>
      </c>
      <c r="L17" s="156" t="n"/>
      <c r="M17" s="156" t="n"/>
      <c r="N17" s="156" t="n"/>
      <c r="O17" s="156" t="n"/>
      <c r="P17" s="156" t="inlineStr">
        <is>
          <t>Cafe</t>
        </is>
      </c>
      <c r="Q17" s="156" t="n"/>
      <c r="R17" s="156" t="n"/>
      <c r="S17" s="156" t="n"/>
      <c r="T17" s="156" t="n"/>
      <c r="U17" s="156" t="n"/>
      <c r="V17" s="156" t="inlineStr">
        <is>
          <t>PZS</t>
        </is>
      </c>
      <c r="W17" s="51" t="inlineStr">
        <is>
          <t>53101602</t>
        </is>
      </c>
      <c r="X17" s="156" t="n"/>
      <c r="Y17" s="54" t="n">
        <v>33.02</v>
      </c>
      <c r="Z17" s="54" t="n">
        <v>879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IFERROR(_xlfn.XMATCH(A17,$A$2:$A$285,0,1)&lt;&gt;_xlfn.XMATCH(A17,$A$2:$A$285,0,-1),FALSE)), "Código de barras duplicado", ""), IF(AND(E17&lt;&gt;"", COUNTIF($E$2:$E$285,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n"/>
      <c r="AD17" s="51" t="n"/>
      <c r="AE17" s="156" t="n"/>
      <c r="AF17" s="51" t="n"/>
      <c r="AG17" s="156" t="inlineStr">
        <is>
          <t>Nuevo – Odoo Universal Unique Brands 01/10/2026</t>
        </is>
      </c>
      <c r="AH17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(chocolate) | Homologación G1522 06/10/2026: WB N.º de estilo: «» → «01-001-0017-7018» (Completado por regla)</t>
        </is>
      </c>
      <c r="AI17" s="156" t="n"/>
      <c r="AJ17" s="156" t="n"/>
      <c r="AK17" s="155" t="inlineStr">
        <is>
          <t>Odoo: producto 21102 / plantilla 27105</t>
        </is>
      </c>
      <c r="AL17" s="58" t="n"/>
      <c r="AM17" s="58" t="n"/>
      <c r="AN17" s="155" t="inlineStr">
        <is>
          <t>Odoo Universal Unique Brands</t>
        </is>
      </c>
      <c r="AO17" s="59" t="n"/>
      <c r="AP17" s="59" t="n"/>
      <c r="AQ17" s="59" t="n">
        <v>9</v>
      </c>
      <c r="AR17" s="155" t="inlineStr">
        <is>
          <t>Odoo Universal Unique Brands › Bodega 25 › Bodega 25/General: 9</t>
        </is>
      </c>
    </row>
    <row r="18">
      <c r="A18" s="50" t="inlineStr">
        <is>
          <t>199168041748</t>
        </is>
      </c>
      <c r="B18" s="51" t="n"/>
      <c r="C18" s="156" t="inlineStr">
        <is>
          <t>Roper</t>
        </is>
      </c>
      <c r="D18" s="156" t="inlineStr">
        <is>
          <t>01-001-0019-7010</t>
        </is>
      </c>
      <c r="E18" s="156" t="inlineStr">
        <is>
          <t>01-001-0019-7010 GR-2XL</t>
        </is>
      </c>
      <c r="F18" s="156" t="inlineStr">
        <is>
          <t>XXL</t>
        </is>
      </c>
      <c r="G18" s="156" t="inlineStr">
        <is>
          <t>XXL</t>
        </is>
      </c>
      <c r="H18" s="156" t="inlineStr">
        <is>
          <t>Roper</t>
        </is>
      </c>
      <c r="I18" s="156" t="inlineStr">
        <is>
          <t>ROPER Shirt Olive Floral Print</t>
        </is>
      </c>
      <c r="J18" s="156" t="inlineStr">
        <is>
          <t>Ropa</t>
        </is>
      </c>
      <c r="K18" s="156" t="inlineStr">
        <is>
          <t>Camisas</t>
        </is>
      </c>
      <c r="L18" s="156" t="n"/>
      <c r="M18" s="156" t="n"/>
      <c r="N18" s="156" t="n"/>
      <c r="O18" s="156" t="n"/>
      <c r="P18" s="156" t="inlineStr">
        <is>
          <t>Verde</t>
        </is>
      </c>
      <c r="Q18" s="156" t="n"/>
      <c r="R18" s="156" t="n"/>
      <c r="S18" s="156" t="n"/>
      <c r="T18" s="156" t="n"/>
      <c r="U18" s="156" t="n"/>
      <c r="V18" s="156" t="inlineStr">
        <is>
          <t>PZS</t>
        </is>
      </c>
      <c r="W18" s="51" t="inlineStr">
        <is>
          <t>53101602</t>
        </is>
      </c>
      <c r="X18" s="156" t="n"/>
      <c r="Y18" s="54" t="n">
        <v>22.79</v>
      </c>
      <c r="Z18" s="54" t="n">
        <v>629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IFERROR(_xlfn.XMATCH(A18,$A$2:$A$285,0,1)&lt;&gt;_xlfn.XMATCH(A18,$A$2:$A$285,0,-1),FALSE)), "Código de barras duplicado", ""), IF(AND(E18&lt;&gt;"", COUNTIF($E$2:$E$285,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n"/>
      <c r="AD18" s="51" t="n"/>
      <c r="AE18" s="156" t="n"/>
      <c r="AF18" s="51" t="n"/>
      <c r="AG18" s="156" t="inlineStr">
        <is>
          <t>Nuevo – Odoo Universal Unique Brands 01/10/2026</t>
        </is>
      </c>
      <c r="AH18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(olive) | Homologación G1522 06/10/2026: WB N.º de estilo: «» → «01-001-0019-7010» (Completado por regla)</t>
        </is>
      </c>
      <c r="AI18" s="156" t="n"/>
      <c r="AJ18" s="156" t="n"/>
      <c r="AK18" s="155" t="inlineStr">
        <is>
          <t>Odoo: producto 21080 / plantilla 27083</t>
        </is>
      </c>
      <c r="AL18" s="58" t="n"/>
      <c r="AM18" s="58" t="n"/>
      <c r="AN18" s="155" t="inlineStr">
        <is>
          <t>Odoo Universal Unique Brands</t>
        </is>
      </c>
      <c r="AO18" s="59" t="n"/>
      <c r="AP18" s="59" t="n"/>
      <c r="AQ18" s="59" t="n">
        <v>3</v>
      </c>
      <c r="AR18" s="155" t="inlineStr">
        <is>
          <t>Odoo Universal Unique Brands › Bodega 25 › Bodega 25/General: 3</t>
        </is>
      </c>
    </row>
    <row r="19">
      <c r="A19" s="50" t="inlineStr">
        <is>
          <t>199168041700</t>
        </is>
      </c>
      <c r="B19" s="51" t="n"/>
      <c r="C19" s="156" t="inlineStr">
        <is>
          <t>Roper</t>
        </is>
      </c>
      <c r="D19" s="156" t="inlineStr">
        <is>
          <t>01-001-0019-7010</t>
        </is>
      </c>
      <c r="E19" s="156" t="inlineStr">
        <is>
          <t>01-001-0019-7010 GR-L</t>
        </is>
      </c>
      <c r="F19" s="156" t="inlineStr">
        <is>
          <t>L</t>
        </is>
      </c>
      <c r="G19" s="156" t="inlineStr">
        <is>
          <t>L</t>
        </is>
      </c>
      <c r="H19" s="156" t="inlineStr">
        <is>
          <t>Roper</t>
        </is>
      </c>
      <c r="I19" s="156" t="inlineStr">
        <is>
          <t>ROPER Shirt Olive Floral Print</t>
        </is>
      </c>
      <c r="J19" s="156" t="inlineStr">
        <is>
          <t>Ropa</t>
        </is>
      </c>
      <c r="K19" s="156" t="inlineStr">
        <is>
          <t>Camisas</t>
        </is>
      </c>
      <c r="L19" s="156" t="n"/>
      <c r="M19" s="156" t="n"/>
      <c r="N19" s="156" t="n"/>
      <c r="O19" s="156" t="n"/>
      <c r="P19" s="156" t="inlineStr">
        <is>
          <t>Verde</t>
        </is>
      </c>
      <c r="Q19" s="156" t="n"/>
      <c r="R19" s="156" t="n"/>
      <c r="S19" s="156" t="n"/>
      <c r="T19" s="156" t="n"/>
      <c r="U19" s="156" t="n"/>
      <c r="V19" s="156" t="inlineStr">
        <is>
          <t>PZS</t>
        </is>
      </c>
      <c r="W19" s="51" t="inlineStr">
        <is>
          <t>53101602</t>
        </is>
      </c>
      <c r="X19" s="156" t="n"/>
      <c r="Y19" s="54" t="n">
        <v>22.79</v>
      </c>
      <c r="Z19" s="54" t="n">
        <v>629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IFERROR(_xlfn.XMATCH(A19,$A$2:$A$285,0,1)&lt;&gt;_xlfn.XMATCH(A19,$A$2:$A$285,0,-1),FALSE)), "Código de barras duplicado", ""), IF(AND(E19&lt;&gt;"", COUNTIF($E$2:$E$285,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n"/>
      <c r="AD19" s="51" t="n"/>
      <c r="AE19" s="156" t="n"/>
      <c r="AF19" s="51" t="n"/>
      <c r="AG19" s="156" t="inlineStr">
        <is>
          <t>Nuevo – Odoo Universal Unique Brands 01/10/2026</t>
        </is>
      </c>
      <c r="AH19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(olive) | Homologación G1522 06/10/2026: WB N.º de estilo: «» → «01-001-0019-7010» (Completado por regla)</t>
        </is>
      </c>
      <c r="AI19" s="156" t="n"/>
      <c r="AJ19" s="156" t="n"/>
      <c r="AK19" s="155" t="inlineStr">
        <is>
          <t>Odoo: producto 21078 / plantilla 27081</t>
        </is>
      </c>
      <c r="AL19" s="58" t="n"/>
      <c r="AM19" s="58" t="n"/>
      <c r="AN19" s="155" t="inlineStr">
        <is>
          <t>Odoo Universal Unique Brands</t>
        </is>
      </c>
      <c r="AO19" s="59" t="n"/>
      <c r="AP19" s="59" t="n"/>
      <c r="AQ19" s="59" t="n">
        <v>8</v>
      </c>
      <c r="AR19" s="155" t="inlineStr">
        <is>
          <t>Odoo Universal Unique Brands › Bodega 25 › Bodega 25/General: 8</t>
        </is>
      </c>
    </row>
    <row r="20">
      <c r="A20" s="50" t="inlineStr">
        <is>
          <t>199168041717</t>
        </is>
      </c>
      <c r="B20" s="51" t="n"/>
      <c r="C20" s="156" t="inlineStr">
        <is>
          <t>Roper</t>
        </is>
      </c>
      <c r="D20" s="156" t="inlineStr">
        <is>
          <t>01-001-0019-7010</t>
        </is>
      </c>
      <c r="E20" s="156" t="inlineStr">
        <is>
          <t>01-001-0019-7010 GR-M</t>
        </is>
      </c>
      <c r="F20" s="156" t="inlineStr">
        <is>
          <t>M</t>
        </is>
      </c>
      <c r="G20" s="156" t="inlineStr">
        <is>
          <t>M</t>
        </is>
      </c>
      <c r="H20" s="156" t="inlineStr">
        <is>
          <t>Roper</t>
        </is>
      </c>
      <c r="I20" s="156" t="inlineStr">
        <is>
          <t>ROPER Shirt Olive Floral Print</t>
        </is>
      </c>
      <c r="J20" s="156" t="inlineStr">
        <is>
          <t>Ropa</t>
        </is>
      </c>
      <c r="K20" s="156" t="inlineStr">
        <is>
          <t>Camisas</t>
        </is>
      </c>
      <c r="L20" s="156" t="n"/>
      <c r="M20" s="156" t="n"/>
      <c r="N20" s="156" t="n"/>
      <c r="O20" s="156" t="n"/>
      <c r="P20" s="156" t="inlineStr">
        <is>
          <t>Verde</t>
        </is>
      </c>
      <c r="Q20" s="156" t="n"/>
      <c r="R20" s="156" t="n"/>
      <c r="S20" s="156" t="n"/>
      <c r="T20" s="156" t="n"/>
      <c r="U20" s="156" t="n"/>
      <c r="V20" s="156" t="inlineStr">
        <is>
          <t>PZS</t>
        </is>
      </c>
      <c r="W20" s="51" t="inlineStr">
        <is>
          <t>53101602</t>
        </is>
      </c>
      <c r="X20" s="156" t="n"/>
      <c r="Y20" s="54" t="n">
        <v>22.79</v>
      </c>
      <c r="Z20" s="54" t="n">
        <v>629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IFERROR(_xlfn.XMATCH(A20,$A$2:$A$285,0,1)&lt;&gt;_xlfn.XMATCH(A20,$A$2:$A$285,0,-1),FALSE)), "Código de barras duplicado", ""), IF(AND(E20&lt;&gt;"", COUNTIF($E$2:$E$285,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n"/>
      <c r="AD20" s="51" t="n"/>
      <c r="AE20" s="156" t="n"/>
      <c r="AF20" s="51" t="n"/>
      <c r="AG20" s="156" t="inlineStr">
        <is>
          <t>Nuevo – Odoo Universal Unique Brands 01/10/2026</t>
        </is>
      </c>
      <c r="AH20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(olive) | Homologación G1522 06/10/2026: WB N.º de estilo: «» → «01-001-0019-7010» (Completado por regla)</t>
        </is>
      </c>
      <c r="AI20" s="156" t="n"/>
      <c r="AJ20" s="156" t="n"/>
      <c r="AK20" s="155" t="inlineStr">
        <is>
          <t>Odoo: producto 21077 / plantilla 27080</t>
        </is>
      </c>
      <c r="AL20" s="58" t="n"/>
      <c r="AM20" s="58" t="n"/>
      <c r="AN20" s="155" t="inlineStr">
        <is>
          <t>Odoo Universal Unique Brands</t>
        </is>
      </c>
      <c r="AO20" s="59" t="n"/>
      <c r="AP20" s="59" t="n"/>
      <c r="AQ20" s="59" t="n">
        <v>8</v>
      </c>
      <c r="AR20" s="155" t="inlineStr">
        <is>
          <t>Odoo Universal Unique Brands › Bodega 25 › Bodega 25/General: 8</t>
        </is>
      </c>
    </row>
    <row r="21">
      <c r="A21" s="50" t="inlineStr">
        <is>
          <t>199168041724</t>
        </is>
      </c>
      <c r="B21" s="51" t="n"/>
      <c r="C21" s="156" t="inlineStr">
        <is>
          <t>Roper</t>
        </is>
      </c>
      <c r="D21" s="156" t="inlineStr">
        <is>
          <t>01-001-0019-7010</t>
        </is>
      </c>
      <c r="E21" s="156" t="inlineStr">
        <is>
          <t>01-001-0019-7010 GR-S</t>
        </is>
      </c>
      <c r="F21" s="156" t="inlineStr">
        <is>
          <t>S</t>
        </is>
      </c>
      <c r="G21" s="156" t="inlineStr">
        <is>
          <t>S</t>
        </is>
      </c>
      <c r="H21" s="156" t="inlineStr">
        <is>
          <t>Roper</t>
        </is>
      </c>
      <c r="I21" s="156" t="inlineStr">
        <is>
          <t>ROPER Shirt Olive Floral Print</t>
        </is>
      </c>
      <c r="J21" s="156" t="inlineStr">
        <is>
          <t>Ropa</t>
        </is>
      </c>
      <c r="K21" s="156" t="inlineStr">
        <is>
          <t>Camisas</t>
        </is>
      </c>
      <c r="L21" s="156" t="n"/>
      <c r="M21" s="156" t="n"/>
      <c r="N21" s="156" t="n"/>
      <c r="O21" s="156" t="n"/>
      <c r="P21" s="156" t="inlineStr">
        <is>
          <t>Verde</t>
        </is>
      </c>
      <c r="Q21" s="156" t="n"/>
      <c r="R21" s="156" t="n"/>
      <c r="S21" s="156" t="n"/>
      <c r="T21" s="156" t="n"/>
      <c r="U21" s="156" t="n"/>
      <c r="V21" s="156" t="inlineStr">
        <is>
          <t>PZS</t>
        </is>
      </c>
      <c r="W21" s="51" t="inlineStr">
        <is>
          <t>53101602</t>
        </is>
      </c>
      <c r="X21" s="156" t="n"/>
      <c r="Y21" s="54" t="n">
        <v>22.79</v>
      </c>
      <c r="Z21" s="54" t="n">
        <v>629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IFERROR(_xlfn.XMATCH(A21,$A$2:$A$285,0,1)&lt;&gt;_xlfn.XMATCH(A21,$A$2:$A$285,0,-1),FALSE)), "Código de barras duplicado", ""), IF(AND(E21&lt;&gt;"", COUNTIF($E$2:$E$285,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n"/>
      <c r="AD21" s="51" t="n"/>
      <c r="AE21" s="156" t="n"/>
      <c r="AF21" s="51" t="n"/>
      <c r="AG21" s="156" t="inlineStr">
        <is>
          <t>Nuevo – Odoo Universal Unique Brands 01/10/2026</t>
        </is>
      </c>
      <c r="AH21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(olive) | Homologación G1522 06/10/2026: WB N.º de estilo: «» → «01-001-0019-7010» (Completado por regla)</t>
        </is>
      </c>
      <c r="AI21" s="156" t="n"/>
      <c r="AJ21" s="156" t="n"/>
      <c r="AK21" s="155" t="inlineStr">
        <is>
          <t>Odoo: producto 21076 / plantilla 27079</t>
        </is>
      </c>
      <c r="AL21" s="58" t="n"/>
      <c r="AM21" s="58" t="n"/>
      <c r="AN21" s="155" t="inlineStr">
        <is>
          <t>Odoo Universal Unique Brands</t>
        </is>
      </c>
      <c r="AO21" s="59" t="n"/>
      <c r="AP21" s="59" t="n"/>
      <c r="AQ21" s="59" t="n">
        <v>6</v>
      </c>
      <c r="AR21" s="155" t="inlineStr">
        <is>
          <t>Odoo Universal Unique Brands › Bodega 25 › Bodega 25/General: 6</t>
        </is>
      </c>
    </row>
    <row r="22">
      <c r="A22" s="50" t="inlineStr">
        <is>
          <t>199168041731</t>
        </is>
      </c>
      <c r="B22" s="51" t="n"/>
      <c r="C22" s="156" t="inlineStr">
        <is>
          <t>Roper</t>
        </is>
      </c>
      <c r="D22" s="156" t="inlineStr">
        <is>
          <t>01-001-0019-7010</t>
        </is>
      </c>
      <c r="E22" s="156" t="inlineStr">
        <is>
          <t>01-001-0019-7010 GR-XL</t>
        </is>
      </c>
      <c r="F22" s="156" t="inlineStr">
        <is>
          <t>XL</t>
        </is>
      </c>
      <c r="G22" s="156" t="inlineStr">
        <is>
          <t>XL</t>
        </is>
      </c>
      <c r="H22" s="156" t="inlineStr">
        <is>
          <t>Roper</t>
        </is>
      </c>
      <c r="I22" s="156" t="inlineStr">
        <is>
          <t>ROPER Shirt Olive Floral Print</t>
        </is>
      </c>
      <c r="J22" s="156" t="inlineStr">
        <is>
          <t>Ropa</t>
        </is>
      </c>
      <c r="K22" s="156" t="inlineStr">
        <is>
          <t>Camisas</t>
        </is>
      </c>
      <c r="L22" s="156" t="n"/>
      <c r="M22" s="156" t="n"/>
      <c r="N22" s="156" t="n"/>
      <c r="O22" s="156" t="n"/>
      <c r="P22" s="156" t="inlineStr">
        <is>
          <t>Verde</t>
        </is>
      </c>
      <c r="Q22" s="156" t="n"/>
      <c r="R22" s="156" t="n"/>
      <c r="S22" s="156" t="n"/>
      <c r="T22" s="156" t="n"/>
      <c r="U22" s="156" t="n"/>
      <c r="V22" s="156" t="inlineStr">
        <is>
          <t>PZS</t>
        </is>
      </c>
      <c r="W22" s="51" t="inlineStr">
        <is>
          <t>53101602</t>
        </is>
      </c>
      <c r="X22" s="156" t="n"/>
      <c r="Y22" s="54" t="n">
        <v>22.79</v>
      </c>
      <c r="Z22" s="54" t="n">
        <v>629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IFERROR(_xlfn.XMATCH(A22,$A$2:$A$285,0,1)&lt;&gt;_xlfn.XMATCH(A22,$A$2:$A$285,0,-1),FALSE)), "Código de barras duplicado", ""), IF(AND(E22&lt;&gt;"", COUNTIF($E$2:$E$285,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n"/>
      <c r="AD22" s="51" t="n"/>
      <c r="AE22" s="156" t="n"/>
      <c r="AF22" s="51" t="n"/>
      <c r="AG22" s="156" t="inlineStr">
        <is>
          <t>Nuevo – Odoo Universal Unique Brands 01/10/2026</t>
        </is>
      </c>
      <c r="AH22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(olive) | Homologación G1522 06/10/2026: WB N.º de estilo: «» → «01-001-0019-7010» (Completado por regla)</t>
        </is>
      </c>
      <c r="AI22" s="156" t="n"/>
      <c r="AJ22" s="156" t="n"/>
      <c r="AK22" s="155" t="inlineStr">
        <is>
          <t>Odoo: producto 21079 / plantilla 27082</t>
        </is>
      </c>
      <c r="AL22" s="58" t="n"/>
      <c r="AM22" s="58" t="n"/>
      <c r="AN22" s="155" t="inlineStr">
        <is>
          <t>Odoo Universal Unique Brands</t>
        </is>
      </c>
      <c r="AO22" s="59" t="n"/>
      <c r="AP22" s="59" t="n"/>
      <c r="AQ22" s="59" t="n">
        <v>8</v>
      </c>
      <c r="AR22" s="155" t="inlineStr">
        <is>
          <t>Odoo Universal Unique Brands › Bodega 25 › Bodega 25/General: 8</t>
        </is>
      </c>
    </row>
    <row r="23">
      <c r="A23" s="50" t="inlineStr">
        <is>
          <t>199168041762</t>
        </is>
      </c>
      <c r="B23" s="51" t="n"/>
      <c r="C23" s="156" t="inlineStr">
        <is>
          <t>Roper</t>
        </is>
      </c>
      <c r="D23" s="156" t="inlineStr">
        <is>
          <t>01-001-0019-7011</t>
        </is>
      </c>
      <c r="E23" s="156" t="inlineStr">
        <is>
          <t>01-001-0019-7011 BL-L</t>
        </is>
      </c>
      <c r="F23" s="156" t="inlineStr">
        <is>
          <t>L</t>
        </is>
      </c>
      <c r="G23" s="156" t="inlineStr">
        <is>
          <t>L</t>
        </is>
      </c>
      <c r="H23" s="156" t="inlineStr">
        <is>
          <t>Roper</t>
        </is>
      </c>
      <c r="I23" s="156" t="inlineStr">
        <is>
          <t>ROPER Shirt Black &amp; Grey Floral Print</t>
        </is>
      </c>
      <c r="J23" s="156" t="inlineStr">
        <is>
          <t>Ropa</t>
        </is>
      </c>
      <c r="K23" s="156" t="inlineStr">
        <is>
          <t>Camisas</t>
        </is>
      </c>
      <c r="L23" s="156" t="n"/>
      <c r="M23" s="156" t="n"/>
      <c r="N23" s="156" t="n"/>
      <c r="O23" s="156" t="n"/>
      <c r="P23" s="156" t="inlineStr">
        <is>
          <t>Negro</t>
        </is>
      </c>
      <c r="Q23" s="156" t="n"/>
      <c r="R23" s="156" t="n"/>
      <c r="S23" s="156" t="n"/>
      <c r="T23" s="156" t="n"/>
      <c r="U23" s="156" t="n"/>
      <c r="V23" s="156" t="inlineStr">
        <is>
          <t>PZS</t>
        </is>
      </c>
      <c r="W23" s="51" t="inlineStr">
        <is>
          <t>53101602</t>
        </is>
      </c>
      <c r="X23" s="156" t="n"/>
      <c r="Y23" s="54" t="n">
        <v>22.79</v>
      </c>
      <c r="Z23" s="54" t="n">
        <v>629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IFERROR(_xlfn.XMATCH(A23,$A$2:$A$285,0,1)&lt;&gt;_xlfn.XMATCH(A23,$A$2:$A$285,0,-1),FALSE)), "Código de barras duplicado", ""), IF(AND(E23&lt;&gt;"", COUNTIF($E$2:$E$285,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n"/>
      <c r="AD23" s="51" t="n"/>
      <c r="AE23" s="156" t="n"/>
      <c r="AF23" s="51" t="n"/>
      <c r="AG23" s="156" t="inlineStr">
        <is>
          <t>Nuevo – Odoo Universal Unique Brands 01/10/2026</t>
        </is>
      </c>
      <c r="AH23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(black) | Homologación G1522 06/10/2026: WB N.º de estilo: «» → «01-001-0019-7011» (Completado por regla)</t>
        </is>
      </c>
      <c r="AI23" s="156" t="n"/>
      <c r="AJ23" s="156" t="n"/>
      <c r="AK23" s="155" t="inlineStr">
        <is>
          <t>Odoo: producto 20926 / plantilla 26929</t>
        </is>
      </c>
      <c r="AL23" s="58" t="n"/>
      <c r="AM23" s="58" t="n"/>
      <c r="AN23" s="155" t="inlineStr">
        <is>
          <t>Odoo Universal Unique Brands</t>
        </is>
      </c>
      <c r="AO23" s="59" t="n"/>
      <c r="AP23" s="59" t="n"/>
      <c r="AQ23" s="59" t="n">
        <v>14</v>
      </c>
      <c r="AR23" s="155" t="inlineStr">
        <is>
          <t>Odoo Universal Unique Brands › Bodega 25 › Bodega 25/General: 14</t>
        </is>
      </c>
    </row>
    <row r="24">
      <c r="A24" s="50" t="inlineStr">
        <is>
          <t>199168041779</t>
        </is>
      </c>
      <c r="B24" s="51" t="n"/>
      <c r="C24" s="156" t="inlineStr">
        <is>
          <t>Roper</t>
        </is>
      </c>
      <c r="D24" s="156" t="inlineStr">
        <is>
          <t>01-001-0019-7011</t>
        </is>
      </c>
      <c r="E24" s="156" t="inlineStr">
        <is>
          <t>01-001-0019-7011 BL-M</t>
        </is>
      </c>
      <c r="F24" s="156" t="inlineStr">
        <is>
          <t>M</t>
        </is>
      </c>
      <c r="G24" s="156" t="inlineStr">
        <is>
          <t>M</t>
        </is>
      </c>
      <c r="H24" s="156" t="inlineStr">
        <is>
          <t>Roper</t>
        </is>
      </c>
      <c r="I24" s="156" t="inlineStr">
        <is>
          <t>ROPER Shirt Black &amp; Grey Floral Print</t>
        </is>
      </c>
      <c r="J24" s="156" t="inlineStr">
        <is>
          <t>Ropa</t>
        </is>
      </c>
      <c r="K24" s="156" t="inlineStr">
        <is>
          <t>Camisas</t>
        </is>
      </c>
      <c r="L24" s="156" t="n"/>
      <c r="M24" s="156" t="n"/>
      <c r="N24" s="156" t="n"/>
      <c r="O24" s="156" t="n"/>
      <c r="P24" s="156" t="inlineStr">
        <is>
          <t>Negro</t>
        </is>
      </c>
      <c r="Q24" s="156" t="n"/>
      <c r="R24" s="156" t="n"/>
      <c r="S24" s="156" t="n"/>
      <c r="T24" s="156" t="n"/>
      <c r="U24" s="156" t="n"/>
      <c r="V24" s="156" t="inlineStr">
        <is>
          <t>PZS</t>
        </is>
      </c>
      <c r="W24" s="51" t="inlineStr">
        <is>
          <t>53101602</t>
        </is>
      </c>
      <c r="X24" s="156" t="n"/>
      <c r="Y24" s="54" t="n">
        <v>22.79</v>
      </c>
      <c r="Z24" s="54" t="n">
        <v>629</v>
      </c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IFERROR(_xlfn.XMATCH(A24,$A$2:$A$285,0,1)&lt;&gt;_xlfn.XMATCH(A24,$A$2:$A$285,0,-1),FALSE)), "Código de barras duplicado", ""), IF(AND(E24&lt;&gt;"", COUNTIF($E$2:$E$285,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n"/>
      <c r="AD24" s="51" t="n"/>
      <c r="AE24" s="156" t="n"/>
      <c r="AF24" s="51" t="n"/>
      <c r="AG24" s="156" t="inlineStr">
        <is>
          <t>Nuevo – Odoo Universal Unique Brands 01/10/2026</t>
        </is>
      </c>
      <c r="AH24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(black) | Homologación G1522 06/10/2026: WB N.º de estilo: «» → «01-001-0019-7011» (Completado por regla)</t>
        </is>
      </c>
      <c r="AI24" s="156" t="n"/>
      <c r="AJ24" s="156" t="n"/>
      <c r="AK24" s="155" t="inlineStr">
        <is>
          <t>Odoo: producto 20925 / plantilla 26928</t>
        </is>
      </c>
      <c r="AL24" s="58" t="n"/>
      <c r="AM24" s="58" t="n"/>
      <c r="AN24" s="155" t="inlineStr">
        <is>
          <t>Odoo Universal Unique Brands</t>
        </is>
      </c>
      <c r="AO24" s="59" t="n"/>
      <c r="AP24" s="59" t="n"/>
      <c r="AQ24" s="59" t="n">
        <v>15</v>
      </c>
      <c r="AR24" s="155" t="inlineStr">
        <is>
          <t>Odoo Universal Unique Brands › Bodega 25 › Bodega 25/General: 15</t>
        </is>
      </c>
    </row>
    <row r="25">
      <c r="A25" s="50" t="inlineStr">
        <is>
          <t>199168041786</t>
        </is>
      </c>
      <c r="B25" s="51" t="n"/>
      <c r="C25" s="156" t="inlineStr">
        <is>
          <t>Roper</t>
        </is>
      </c>
      <c r="D25" s="156" t="inlineStr">
        <is>
          <t>01-001-0019-7011</t>
        </is>
      </c>
      <c r="E25" s="156" t="inlineStr">
        <is>
          <t>01-001-0019-7011 BL-S</t>
        </is>
      </c>
      <c r="F25" s="156" t="inlineStr">
        <is>
          <t>S</t>
        </is>
      </c>
      <c r="G25" s="156" t="inlineStr">
        <is>
          <t>S</t>
        </is>
      </c>
      <c r="H25" s="156" t="inlineStr">
        <is>
          <t>Roper</t>
        </is>
      </c>
      <c r="I25" s="156" t="inlineStr">
        <is>
          <t>ROPER Shirt Black &amp; Grey Floral Print</t>
        </is>
      </c>
      <c r="J25" s="156" t="inlineStr">
        <is>
          <t>Ropa</t>
        </is>
      </c>
      <c r="K25" s="156" t="inlineStr">
        <is>
          <t>Camisas</t>
        </is>
      </c>
      <c r="L25" s="156" t="n"/>
      <c r="M25" s="156" t="n"/>
      <c r="N25" s="156" t="n"/>
      <c r="O25" s="156" t="n"/>
      <c r="P25" s="156" t="inlineStr">
        <is>
          <t>Negro</t>
        </is>
      </c>
      <c r="Q25" s="156" t="n"/>
      <c r="R25" s="156" t="n"/>
      <c r="S25" s="156" t="n"/>
      <c r="T25" s="156" t="n"/>
      <c r="U25" s="156" t="n"/>
      <c r="V25" s="156" t="inlineStr">
        <is>
          <t>PZS</t>
        </is>
      </c>
      <c r="W25" s="51" t="inlineStr">
        <is>
          <t>53101602</t>
        </is>
      </c>
      <c r="X25" s="156" t="n"/>
      <c r="Y25" s="54" t="n">
        <v>22.79</v>
      </c>
      <c r="Z25" s="54" t="n">
        <v>629</v>
      </c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IFERROR(_xlfn.XMATCH(A25,$A$2:$A$285,0,1)&lt;&gt;_xlfn.XMATCH(A25,$A$2:$A$285,0,-1),FALSE)), "Código de barras duplicado", ""), IF(AND(E25&lt;&gt;"", COUNTIF($E$2:$E$285,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n"/>
      <c r="AD25" s="51" t="n"/>
      <c r="AE25" s="156" t="n"/>
      <c r="AF25" s="51" t="n"/>
      <c r="AG25" s="156" t="inlineStr">
        <is>
          <t>Nuevo – Odoo Universal Unique Brands 01/10/2026</t>
        </is>
      </c>
      <c r="AH25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(black) | Homologación G1522 06/10/2026: WB N.º de estilo: «» → «01-001-0019-7011» (Completado por regla)</t>
        </is>
      </c>
      <c r="AI25" s="156" t="n"/>
      <c r="AJ25" s="156" t="n"/>
      <c r="AK25" s="155" t="inlineStr">
        <is>
          <t>Odoo: producto 20924 / plantilla 26927</t>
        </is>
      </c>
      <c r="AL25" s="58" t="n"/>
      <c r="AM25" s="58" t="n"/>
      <c r="AN25" s="155" t="inlineStr">
        <is>
          <t>Odoo Universal Unique Brands</t>
        </is>
      </c>
      <c r="AO25" s="59" t="n"/>
      <c r="AP25" s="59" t="n"/>
      <c r="AQ25" s="59" t="n">
        <v>12</v>
      </c>
      <c r="AR25" s="155" t="inlineStr">
        <is>
          <t>Odoo Universal Unique Brands › Bodega 25 › Bodega 25/General: 12</t>
        </is>
      </c>
    </row>
    <row r="26">
      <c r="A26" s="50" t="inlineStr">
        <is>
          <t>199168041793</t>
        </is>
      </c>
      <c r="B26" s="51" t="n"/>
      <c r="C26" s="156" t="inlineStr">
        <is>
          <t>Roper</t>
        </is>
      </c>
      <c r="D26" s="156" t="inlineStr">
        <is>
          <t>01-001-0019-7011</t>
        </is>
      </c>
      <c r="E26" s="156" t="inlineStr">
        <is>
          <t>01-001-0019-7011 BL-XL</t>
        </is>
      </c>
      <c r="F26" s="156" t="inlineStr">
        <is>
          <t>XL</t>
        </is>
      </c>
      <c r="G26" s="156" t="inlineStr">
        <is>
          <t>XL</t>
        </is>
      </c>
      <c r="H26" s="156" t="inlineStr">
        <is>
          <t>Roper</t>
        </is>
      </c>
      <c r="I26" s="156" t="inlineStr">
        <is>
          <t>ROPER Shirt Black &amp; Grey Floral Print</t>
        </is>
      </c>
      <c r="J26" s="156" t="inlineStr">
        <is>
          <t>Ropa</t>
        </is>
      </c>
      <c r="K26" s="156" t="inlineStr">
        <is>
          <t>Camisas</t>
        </is>
      </c>
      <c r="L26" s="156" t="n"/>
      <c r="M26" s="156" t="n"/>
      <c r="N26" s="156" t="n"/>
      <c r="O26" s="156" t="n"/>
      <c r="P26" s="156" t="inlineStr">
        <is>
          <t>Negro</t>
        </is>
      </c>
      <c r="Q26" s="156" t="n"/>
      <c r="R26" s="156" t="n"/>
      <c r="S26" s="156" t="n"/>
      <c r="T26" s="156" t="n"/>
      <c r="U26" s="156" t="n"/>
      <c r="V26" s="156" t="inlineStr">
        <is>
          <t>PZS</t>
        </is>
      </c>
      <c r="W26" s="51" t="inlineStr">
        <is>
          <t>53101602</t>
        </is>
      </c>
      <c r="X26" s="156" t="n"/>
      <c r="Y26" s="54" t="n">
        <v>22.79</v>
      </c>
      <c r="Z26" s="54" t="n">
        <v>629</v>
      </c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IFERROR(_xlfn.XMATCH(A26,$A$2:$A$285,0,1)&lt;&gt;_xlfn.XMATCH(A26,$A$2:$A$285,0,-1),FALSE)), "Código de barras duplicado", ""), IF(AND(E26&lt;&gt;"", COUNTIF($E$2:$E$285,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n"/>
      <c r="AD26" s="51" t="n"/>
      <c r="AE26" s="156" t="n"/>
      <c r="AF26" s="51" t="n"/>
      <c r="AG26" s="156" t="inlineStr">
        <is>
          <t>Nuevo – Odoo Universal Unique Brands 01/10/2026</t>
        </is>
      </c>
      <c r="AH26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(black) | Homologación G1522 06/10/2026: WB N.º de estilo: «» → «01-001-0019-7011» (Completado por regla)</t>
        </is>
      </c>
      <c r="AI26" s="156" t="n"/>
      <c r="AJ26" s="156" t="n"/>
      <c r="AK26" s="155" t="inlineStr">
        <is>
          <t>Odoo: producto 20927 / plantilla 26930</t>
        </is>
      </c>
      <c r="AL26" s="58" t="n"/>
      <c r="AM26" s="58" t="n"/>
      <c r="AN26" s="155" t="inlineStr">
        <is>
          <t>Odoo Universal Unique Brands</t>
        </is>
      </c>
      <c r="AO26" s="59" t="n"/>
      <c r="AP26" s="59" t="n"/>
      <c r="AQ26" s="59" t="n">
        <v>11</v>
      </c>
      <c r="AR26" s="155" t="inlineStr">
        <is>
          <t>Odoo Universal Unique Brands › Bodega 25 › Bodega 25/General: 11</t>
        </is>
      </c>
    </row>
    <row r="27">
      <c r="A27" s="50" t="inlineStr">
        <is>
          <t>199168041984</t>
        </is>
      </c>
      <c r="B27" s="51" t="n"/>
      <c r="C27" s="156" t="inlineStr">
        <is>
          <t>Roper</t>
        </is>
      </c>
      <c r="D27" s="156" t="inlineStr">
        <is>
          <t>01-001-0024-7008</t>
        </is>
      </c>
      <c r="E27" s="156" t="inlineStr">
        <is>
          <t>01-001-0024-7008 BL-2XL</t>
        </is>
      </c>
      <c r="F27" s="156" t="inlineStr">
        <is>
          <t>XXL</t>
        </is>
      </c>
      <c r="G27" s="156" t="inlineStr">
        <is>
          <t>XXL</t>
        </is>
      </c>
      <c r="H27" s="156" t="inlineStr">
        <is>
          <t>Roper</t>
        </is>
      </c>
      <c r="I27" s="156" t="inlineStr">
        <is>
          <t>ROPER Shirt Bl/Gy/Br Plaid</t>
        </is>
      </c>
      <c r="J27" s="156" t="inlineStr">
        <is>
          <t>Ropa</t>
        </is>
      </c>
      <c r="K27" s="156" t="inlineStr">
        <is>
          <t>Camisas</t>
        </is>
      </c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6" t="n"/>
      <c r="V27" s="156" t="inlineStr">
        <is>
          <t>PZS</t>
        </is>
      </c>
      <c r="W27" s="51" t="inlineStr">
        <is>
          <t>53101602</t>
        </is>
      </c>
      <c r="X27" s="156" t="n"/>
      <c r="Y27" s="54" t="n">
        <v>33.48</v>
      </c>
      <c r="Z27" s="54" t="n">
        <v>889</v>
      </c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IFERROR(_xlfn.XMATCH(A27,$A$2:$A$285,0,1)&lt;&gt;_xlfn.XMATCH(A27,$A$2:$A$285,0,-1),FALSE)), "Código de barras duplicado", ""), IF(AND(E27&lt;&gt;"", COUNTIF($E$2:$E$285,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n"/>
      <c r="AD27" s="51" t="n"/>
      <c r="AE27" s="156" t="n"/>
      <c r="AF27" s="51" t="n"/>
      <c r="AG27" s="156" t="inlineStr">
        <is>
          <t>Nuevo – Odoo Universal Unique Brands 01/10/2026</t>
        </is>
      </c>
      <c r="AH2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«01-001-0024-7008» (Completado por regla) · Validador Shopify: WB: precio con IVA no termina en 9</t>
        </is>
      </c>
      <c r="AI27" s="156" t="n"/>
      <c r="AJ27" s="156" t="n"/>
      <c r="AK27" s="155" t="inlineStr">
        <is>
          <t>Odoo: producto 21123 / plantilla 27126</t>
        </is>
      </c>
      <c r="AL27" s="58" t="n"/>
      <c r="AM27" s="58" t="n"/>
      <c r="AN27" s="155" t="inlineStr">
        <is>
          <t>Odoo Universal Unique Brands</t>
        </is>
      </c>
      <c r="AO27" s="59" t="n"/>
      <c r="AP27" s="59" t="n"/>
      <c r="AQ27" s="59" t="n">
        <v>6</v>
      </c>
      <c r="AR27" s="155" t="inlineStr">
        <is>
          <t>Odoo Universal Unique Brands › Bodega 25 › Bodega 25/General: 6</t>
        </is>
      </c>
    </row>
    <row r="28">
      <c r="A28" s="50" t="inlineStr">
        <is>
          <t>199168041946</t>
        </is>
      </c>
      <c r="B28" s="51" t="n"/>
      <c r="C28" s="156" t="inlineStr">
        <is>
          <t>Roper</t>
        </is>
      </c>
      <c r="D28" s="156" t="inlineStr">
        <is>
          <t>01-001-0024-7008</t>
        </is>
      </c>
      <c r="E28" s="156" t="inlineStr">
        <is>
          <t>01-001-0024-7008 BL-L</t>
        </is>
      </c>
      <c r="F28" s="156" t="inlineStr">
        <is>
          <t>L</t>
        </is>
      </c>
      <c r="G28" s="156" t="inlineStr">
        <is>
          <t>L</t>
        </is>
      </c>
      <c r="H28" s="156" t="inlineStr">
        <is>
          <t>Roper</t>
        </is>
      </c>
      <c r="I28" s="156" t="inlineStr">
        <is>
          <t>ROPER Shirt Bl/Gy/Br Plaid</t>
        </is>
      </c>
      <c r="J28" s="156" t="inlineStr">
        <is>
          <t>Ropa</t>
        </is>
      </c>
      <c r="K28" s="156" t="inlineStr">
        <is>
          <t>Camisas</t>
        </is>
      </c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6" t="n"/>
      <c r="V28" s="156" t="inlineStr">
        <is>
          <t>PZS</t>
        </is>
      </c>
      <c r="W28" s="51" t="inlineStr">
        <is>
          <t>53101602</t>
        </is>
      </c>
      <c r="X28" s="156" t="n"/>
      <c r="Y28" s="54" t="n">
        <v>33.48</v>
      </c>
      <c r="Z28" s="54" t="n">
        <v>889</v>
      </c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IFERROR(_xlfn.XMATCH(A28,$A$2:$A$285,0,1)&lt;&gt;_xlfn.XMATCH(A28,$A$2:$A$285,0,-1),FALSE)), "Código de barras duplicado", ""), IF(AND(E28&lt;&gt;"", COUNTIF($E$2:$E$285,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n"/>
      <c r="AD28" s="51" t="n"/>
      <c r="AE28" s="156" t="n"/>
      <c r="AF28" s="51" t="n"/>
      <c r="AG28" s="156" t="inlineStr">
        <is>
          <t>Nuevo – Odoo Universal Unique Brands 01/10/2026</t>
        </is>
      </c>
      <c r="AH28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«01-001-0024-7008» (Completado por regla) · Validador Shopify: WB: precio con IVA no termina en 9</t>
        </is>
      </c>
      <c r="AI28" s="156" t="n"/>
      <c r="AJ28" s="156" t="n"/>
      <c r="AK28" s="155" t="inlineStr">
        <is>
          <t>Odoo: producto 21121 / plantilla 27124</t>
        </is>
      </c>
      <c r="AL28" s="58" t="n"/>
      <c r="AM28" s="58" t="n"/>
      <c r="AN28" s="155" t="inlineStr">
        <is>
          <t>Odoo Universal Unique Brands</t>
        </is>
      </c>
      <c r="AO28" s="59" t="n"/>
      <c r="AP28" s="59" t="n"/>
      <c r="AQ28" s="59" t="n">
        <v>9</v>
      </c>
      <c r="AR28" s="155" t="inlineStr">
        <is>
          <t>Odoo Universal Unique Brands › Bodega 25 › Bodega 25/General: 9</t>
        </is>
      </c>
    </row>
    <row r="29">
      <c r="A29" s="50" t="inlineStr">
        <is>
          <t>199168041953</t>
        </is>
      </c>
      <c r="B29" s="51" t="n"/>
      <c r="C29" s="156" t="inlineStr">
        <is>
          <t>Roper</t>
        </is>
      </c>
      <c r="D29" s="156" t="inlineStr">
        <is>
          <t>01-001-0024-7008</t>
        </is>
      </c>
      <c r="E29" s="156" t="inlineStr">
        <is>
          <t>01-001-0024-7008 BL-M</t>
        </is>
      </c>
      <c r="F29" s="156" t="inlineStr">
        <is>
          <t>M</t>
        </is>
      </c>
      <c r="G29" s="156" t="inlineStr">
        <is>
          <t>M</t>
        </is>
      </c>
      <c r="H29" s="156" t="inlineStr">
        <is>
          <t>Roper</t>
        </is>
      </c>
      <c r="I29" s="156" t="inlineStr">
        <is>
          <t>ROPER Shirt Bl/Gy/Br Plaid</t>
        </is>
      </c>
      <c r="J29" s="156" t="inlineStr">
        <is>
          <t>Ropa</t>
        </is>
      </c>
      <c r="K29" s="156" t="inlineStr">
        <is>
          <t>Camisas</t>
        </is>
      </c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6" t="n"/>
      <c r="V29" s="156" t="inlineStr">
        <is>
          <t>PZS</t>
        </is>
      </c>
      <c r="W29" s="51" t="inlineStr">
        <is>
          <t>53101602</t>
        </is>
      </c>
      <c r="X29" s="156" t="n"/>
      <c r="Y29" s="54" t="n">
        <v>33.48</v>
      </c>
      <c r="Z29" s="54" t="n">
        <v>889</v>
      </c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IFERROR(_xlfn.XMATCH(A29,$A$2:$A$285,0,1)&lt;&gt;_xlfn.XMATCH(A29,$A$2:$A$285,0,-1),FALSE)), "Código de barras duplicado", ""), IF(AND(E29&lt;&gt;"", COUNTIF($E$2:$E$285,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/>
      <c r="AE29" s="156" t="n"/>
      <c r="AF29" s="51" t="n"/>
      <c r="AG29" s="156" t="inlineStr">
        <is>
          <t>Nuevo – Odoo Universal Unique Brands 01/10/2026</t>
        </is>
      </c>
      <c r="AH29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«01-001-0024-7008» (Completado por regla) · Validador Shopify: WB: precio con IVA no termina en 9</t>
        </is>
      </c>
      <c r="AI29" s="156" t="n"/>
      <c r="AJ29" s="156" t="n"/>
      <c r="AK29" s="155" t="inlineStr">
        <is>
          <t>Odoo: producto 21120 / plantilla 27123</t>
        </is>
      </c>
      <c r="AL29" s="58" t="n"/>
      <c r="AM29" s="58" t="n"/>
      <c r="AN29" s="155" t="inlineStr">
        <is>
          <t>Odoo Universal Unique Brands</t>
        </is>
      </c>
      <c r="AO29" s="59" t="n"/>
      <c r="AP29" s="59" t="n"/>
      <c r="AQ29" s="59" t="n">
        <v>9</v>
      </c>
      <c r="AR29" s="155" t="inlineStr">
        <is>
          <t>Odoo Universal Unique Brands › Bodega 25 › Bodega 25/General: 9</t>
        </is>
      </c>
    </row>
    <row r="30">
      <c r="A30" s="50" t="inlineStr">
        <is>
          <t>199168041960</t>
        </is>
      </c>
      <c r="B30" s="51" t="n"/>
      <c r="C30" s="156" t="inlineStr">
        <is>
          <t>Roper</t>
        </is>
      </c>
      <c r="D30" s="156" t="inlineStr">
        <is>
          <t>01-001-0024-7008</t>
        </is>
      </c>
      <c r="E30" s="156" t="inlineStr">
        <is>
          <t>01-001-0024-7008 BL-S</t>
        </is>
      </c>
      <c r="F30" s="156" t="inlineStr">
        <is>
          <t>S</t>
        </is>
      </c>
      <c r="G30" s="156" t="inlineStr">
        <is>
          <t>S</t>
        </is>
      </c>
      <c r="H30" s="156" t="inlineStr">
        <is>
          <t>Roper</t>
        </is>
      </c>
      <c r="I30" s="156" t="inlineStr">
        <is>
          <t>ROPER Shirt Bl/Gy/Br Plaid</t>
        </is>
      </c>
      <c r="J30" s="156" t="inlineStr">
        <is>
          <t>Ropa</t>
        </is>
      </c>
      <c r="K30" s="156" t="inlineStr">
        <is>
          <t>Camisas</t>
        </is>
      </c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6" t="n"/>
      <c r="V30" s="156" t="inlineStr">
        <is>
          <t>PZS</t>
        </is>
      </c>
      <c r="W30" s="51" t="inlineStr">
        <is>
          <t>53101602</t>
        </is>
      </c>
      <c r="X30" s="156" t="n"/>
      <c r="Y30" s="54" t="n">
        <v>33.48</v>
      </c>
      <c r="Z30" s="54" t="n">
        <v>889</v>
      </c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IFERROR(_xlfn.XMATCH(A30,$A$2:$A$285,0,1)&lt;&gt;_xlfn.XMATCH(A30,$A$2:$A$285,0,-1),FALSE)), "Código de barras duplicado", ""), IF(AND(E30&lt;&gt;"", COUNTIF($E$2:$E$285,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/>
      <c r="AE30" s="156" t="n"/>
      <c r="AF30" s="51" t="n"/>
      <c r="AG30" s="156" t="inlineStr">
        <is>
          <t>Nuevo – Odoo Universal Unique Brands 01/10/2026</t>
        </is>
      </c>
      <c r="AH30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«01-001-0024-7008» (Completado por regla) · Validador Shopify: WB: precio con IVA no termina en 9</t>
        </is>
      </c>
      <c r="AI30" s="156" t="n"/>
      <c r="AJ30" s="156" t="n"/>
      <c r="AK30" s="155" t="inlineStr">
        <is>
          <t>Odoo: producto 21119 / plantilla 27122</t>
        </is>
      </c>
      <c r="AL30" s="58" t="n"/>
      <c r="AM30" s="58" t="n"/>
      <c r="AN30" s="155" t="inlineStr">
        <is>
          <t>Odoo Universal Unique Brands</t>
        </is>
      </c>
      <c r="AO30" s="59" t="n"/>
      <c r="AP30" s="59" t="n"/>
      <c r="AQ30" s="59" t="n">
        <v>6</v>
      </c>
      <c r="AR30" s="155" t="inlineStr">
        <is>
          <t>Odoo Universal Unique Brands › Bodega 25 › Bodega 25/General: 6</t>
        </is>
      </c>
    </row>
    <row r="31">
      <c r="A31" s="50" t="inlineStr">
        <is>
          <t>199168041977</t>
        </is>
      </c>
      <c r="B31" s="51" t="n"/>
      <c r="C31" s="156" t="inlineStr">
        <is>
          <t>Roper</t>
        </is>
      </c>
      <c r="D31" s="156" t="inlineStr">
        <is>
          <t>01-001-0024-7008</t>
        </is>
      </c>
      <c r="E31" s="156" t="inlineStr">
        <is>
          <t>01-001-0024-7008 BL-XL</t>
        </is>
      </c>
      <c r="F31" s="156" t="inlineStr">
        <is>
          <t>XL</t>
        </is>
      </c>
      <c r="G31" s="156" t="inlineStr">
        <is>
          <t>XL</t>
        </is>
      </c>
      <c r="H31" s="156" t="inlineStr">
        <is>
          <t>Roper</t>
        </is>
      </c>
      <c r="I31" s="156" t="inlineStr">
        <is>
          <t>ROPER Shirt Bl/Gy/Br Plaid</t>
        </is>
      </c>
      <c r="J31" s="156" t="inlineStr">
        <is>
          <t>Ropa</t>
        </is>
      </c>
      <c r="K31" s="156" t="inlineStr">
        <is>
          <t>Camisas</t>
        </is>
      </c>
      <c r="L31" s="156" t="n"/>
      <c r="M31" s="156" t="n"/>
      <c r="N31" s="156" t="n"/>
      <c r="O31" s="156" t="n"/>
      <c r="P31" s="156" t="n"/>
      <c r="Q31" s="156" t="n"/>
      <c r="R31" s="156" t="n"/>
      <c r="S31" s="156" t="n"/>
      <c r="T31" s="156" t="n"/>
      <c r="U31" s="156" t="n"/>
      <c r="V31" s="156" t="inlineStr">
        <is>
          <t>PZS</t>
        </is>
      </c>
      <c r="W31" s="51" t="inlineStr">
        <is>
          <t>53101602</t>
        </is>
      </c>
      <c r="X31" s="156" t="n"/>
      <c r="Y31" s="54" t="n">
        <v>33.48</v>
      </c>
      <c r="Z31" s="54" t="n">
        <v>889</v>
      </c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IFERROR(_xlfn.XMATCH(A31,$A$2:$A$285,0,1)&lt;&gt;_xlfn.XMATCH(A31,$A$2:$A$285,0,-1),FALSE)), "Código de barras duplicado", ""), IF(AND(E31&lt;&gt;"", COUNTIF($E$2:$E$285,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/>
      <c r="AE31" s="156" t="n"/>
      <c r="AF31" s="51" t="n"/>
      <c r="AG31" s="156" t="inlineStr">
        <is>
          <t>Nuevo – Odoo Universal Unique Brands 01/10/2026</t>
        </is>
      </c>
      <c r="AH31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«01-001-0024-7008» (Completado por regla) · Validador Shopify: WB: precio con IVA no termina en 9</t>
        </is>
      </c>
      <c r="AI31" s="156" t="n"/>
      <c r="AJ31" s="156" t="n"/>
      <c r="AK31" s="155" t="inlineStr">
        <is>
          <t>Odoo: producto 21122 / plantilla 27125</t>
        </is>
      </c>
      <c r="AL31" s="58" t="n"/>
      <c r="AM31" s="58" t="n"/>
      <c r="AN31" s="155" t="inlineStr">
        <is>
          <t>Odoo Universal Unique Brands</t>
        </is>
      </c>
      <c r="AO31" s="59" t="n"/>
      <c r="AP31" s="59" t="n"/>
      <c r="AQ31" s="59" t="n">
        <v>9</v>
      </c>
      <c r="AR31" s="155" t="inlineStr">
        <is>
          <t>Odoo Universal Unique Brands › Bodega 25 › Bodega 25/General: 9</t>
        </is>
      </c>
    </row>
    <row r="32">
      <c r="A32" s="50" t="inlineStr">
        <is>
          <t>199168087999</t>
        </is>
      </c>
      <c r="B32" s="51" t="n"/>
      <c r="C32" s="156" t="inlineStr">
        <is>
          <t>Roper</t>
        </is>
      </c>
      <c r="D32" s="156" t="inlineStr">
        <is>
          <t>01-001-0044-1084</t>
        </is>
      </c>
      <c r="E32" s="156" t="inlineStr">
        <is>
          <t>01-001-0044-1084 BR-2XL</t>
        </is>
      </c>
      <c r="F32" s="156" t="inlineStr">
        <is>
          <t>XXL</t>
        </is>
      </c>
      <c r="G32" s="156" t="inlineStr">
        <is>
          <t>XXL</t>
        </is>
      </c>
      <c r="H32" s="156" t="inlineStr">
        <is>
          <t>Roper</t>
        </is>
      </c>
      <c r="I32" s="156" t="inlineStr">
        <is>
          <t>ROPER Shirt Brown &amp; Blue Wide Stripe</t>
        </is>
      </c>
      <c r="J32" s="156" t="inlineStr">
        <is>
          <t>Ropa</t>
        </is>
      </c>
      <c r="K32" s="156" t="inlineStr">
        <is>
          <t>Camisas</t>
        </is>
      </c>
      <c r="L32" s="156" t="inlineStr">
        <is>
          <t>Hombre</t>
        </is>
      </c>
      <c r="M32" s="156" t="n"/>
      <c r="N32" s="156" t="n"/>
      <c r="O32" s="156" t="n"/>
      <c r="P32" s="156" t="inlineStr">
        <is>
          <t>Cafe</t>
        </is>
      </c>
      <c r="Q32" s="156" t="n"/>
      <c r="R32" s="156" t="n"/>
      <c r="S32" s="156" t="n"/>
      <c r="T32" s="156" t="n"/>
      <c r="U32" s="156" t="n"/>
      <c r="V32" s="156" t="inlineStr">
        <is>
          <t>PZS</t>
        </is>
      </c>
      <c r="W32" s="51" t="inlineStr">
        <is>
          <t>53101602</t>
        </is>
      </c>
      <c r="X32" s="156" t="n"/>
      <c r="Y32" s="54" t="n">
        <v>27</v>
      </c>
      <c r="Z32" s="54" t="n">
        <v>729</v>
      </c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IFERROR(_xlfn.XMATCH(A32,$A$2:$A$285,0,1)&lt;&gt;_xlfn.XMATCH(A32,$A$2:$A$285,0,-1),FALSE)), "Código de barras duplicado", ""), IF(AND(E32&lt;&gt;"", COUNTIF($E$2:$E$285,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/>
      <c r="AE32" s="156" t="n"/>
      <c r="AF32" s="51" t="n"/>
      <c r="AG32" s="156" t="inlineStr">
        <is>
          <t>Nuevo – Odoo Universal Unique Brands 01/10/2026</t>
        </is>
      </c>
      <c r="AH32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(brown) | Homologación G1522 06/10/2026: WB N.º de estilo: «» → «01-001-0044-1084» (Completado por regla) · Validador Shopify: WB: precio con IVA no termina en 9</t>
        </is>
      </c>
      <c r="AI32" s="156" t="n"/>
      <c r="AJ32" s="156" t="n"/>
      <c r="AK32" s="155" t="inlineStr">
        <is>
          <t>Odoo: producto 20851 / plantilla 26854</t>
        </is>
      </c>
      <c r="AL32" s="58" t="n"/>
      <c r="AM32" s="58" t="n"/>
      <c r="AN32" s="155" t="inlineStr">
        <is>
          <t>Odoo Universal Unique Brands</t>
        </is>
      </c>
      <c r="AO32" s="59" t="n"/>
      <c r="AP32" s="59" t="n"/>
      <c r="AQ32" s="59" t="n">
        <v>10</v>
      </c>
      <c r="AR32" s="155" t="inlineStr">
        <is>
          <t>Odoo Universal Unique Brands › Bodega 25 › Bodega 25/General: 10</t>
        </is>
      </c>
    </row>
    <row r="33">
      <c r="A33" s="50" t="inlineStr">
        <is>
          <t>199168087951</t>
        </is>
      </c>
      <c r="B33" s="51" t="n"/>
      <c r="C33" s="156" t="inlineStr">
        <is>
          <t>Roper</t>
        </is>
      </c>
      <c r="D33" s="156" t="inlineStr">
        <is>
          <t>01-001-0044-1084</t>
        </is>
      </c>
      <c r="E33" s="156" t="inlineStr">
        <is>
          <t>01-001-0044-1084 BR-L</t>
        </is>
      </c>
      <c r="F33" s="156" t="inlineStr">
        <is>
          <t>L</t>
        </is>
      </c>
      <c r="G33" s="156" t="inlineStr">
        <is>
          <t>L</t>
        </is>
      </c>
      <c r="H33" s="156" t="inlineStr">
        <is>
          <t>Roper</t>
        </is>
      </c>
      <c r="I33" s="156" t="inlineStr">
        <is>
          <t>ROPER Shirt Brown &amp; Blue Wide Stripe</t>
        </is>
      </c>
      <c r="J33" s="156" t="inlineStr">
        <is>
          <t>Ropa</t>
        </is>
      </c>
      <c r="K33" s="156" t="inlineStr">
        <is>
          <t>Camisas</t>
        </is>
      </c>
      <c r="L33" s="156" t="inlineStr">
        <is>
          <t>Hombre</t>
        </is>
      </c>
      <c r="M33" s="156" t="n"/>
      <c r="N33" s="156" t="n"/>
      <c r="O33" s="156" t="n"/>
      <c r="P33" s="156" t="inlineStr">
        <is>
          <t>Cafe</t>
        </is>
      </c>
      <c r="Q33" s="156" t="n"/>
      <c r="R33" s="156" t="n"/>
      <c r="S33" s="156" t="n"/>
      <c r="T33" s="156" t="n"/>
      <c r="U33" s="156" t="n"/>
      <c r="V33" s="156" t="inlineStr">
        <is>
          <t>PZS</t>
        </is>
      </c>
      <c r="W33" s="51" t="inlineStr">
        <is>
          <t>53101602</t>
        </is>
      </c>
      <c r="X33" s="156" t="n"/>
      <c r="Y33" s="54" t="n">
        <v>27</v>
      </c>
      <c r="Z33" s="54" t="n">
        <v>729</v>
      </c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IFERROR(_xlfn.XMATCH(A33,$A$2:$A$285,0,1)&lt;&gt;_xlfn.XMATCH(A33,$A$2:$A$285,0,-1),FALSE)), "Código de barras duplicado", ""), IF(AND(E33&lt;&gt;"", COUNTIF($E$2:$E$285,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/>
      <c r="AE33" s="156" t="n"/>
      <c r="AF33" s="51" t="n"/>
      <c r="AG33" s="156" t="inlineStr">
        <is>
          <t>Nuevo – Odoo Universal Unique Brands 01/10/2026</t>
        </is>
      </c>
      <c r="AH33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(brown) | Homologación G1522 06/10/2026: WB N.º de estilo: «» → «01-001-0044-1084» (Completado por regla) · Validador Shopify: WB: precio con IVA no termina en 9</t>
        </is>
      </c>
      <c r="AI33" s="156" t="n"/>
      <c r="AJ33" s="156" t="n"/>
      <c r="AK33" s="155" t="inlineStr">
        <is>
          <t>Odoo: producto 20849 / plantilla 26852</t>
        </is>
      </c>
      <c r="AL33" s="58" t="n"/>
      <c r="AM33" s="58" t="n"/>
      <c r="AN33" s="155" t="inlineStr">
        <is>
          <t>Odoo Universal Unique Brands</t>
        </is>
      </c>
      <c r="AO33" s="59" t="n"/>
      <c r="AP33" s="59" t="n"/>
      <c r="AQ33" s="59" t="n">
        <v>30</v>
      </c>
      <c r="AR33" s="155" t="inlineStr">
        <is>
          <t>Odoo Universal Unique Brands › Bodega 25 › Bodega 25/General: 30</t>
        </is>
      </c>
    </row>
    <row r="34">
      <c r="A34" s="50" t="inlineStr">
        <is>
          <t>199168087968</t>
        </is>
      </c>
      <c r="B34" s="51" t="n"/>
      <c r="C34" s="156" t="inlineStr">
        <is>
          <t>Roper</t>
        </is>
      </c>
      <c r="D34" s="156" t="inlineStr">
        <is>
          <t>01-001-0044-1084</t>
        </is>
      </c>
      <c r="E34" s="156" t="inlineStr">
        <is>
          <t>01-001-0044-1084 BR-M</t>
        </is>
      </c>
      <c r="F34" s="156" t="inlineStr">
        <is>
          <t>M</t>
        </is>
      </c>
      <c r="G34" s="156" t="inlineStr">
        <is>
          <t>M</t>
        </is>
      </c>
      <c r="H34" s="156" t="inlineStr">
        <is>
          <t>Roper</t>
        </is>
      </c>
      <c r="I34" s="156" t="inlineStr">
        <is>
          <t>ROPER Shirt Brown &amp; Blue Wide Stripe</t>
        </is>
      </c>
      <c r="J34" s="156" t="inlineStr">
        <is>
          <t>Ropa</t>
        </is>
      </c>
      <c r="K34" s="156" t="inlineStr">
        <is>
          <t>Camisas</t>
        </is>
      </c>
      <c r="L34" s="156" t="inlineStr">
        <is>
          <t>Hombre</t>
        </is>
      </c>
      <c r="M34" s="156" t="n"/>
      <c r="N34" s="156" t="n"/>
      <c r="O34" s="156" t="n"/>
      <c r="P34" s="156" t="inlineStr">
        <is>
          <t>Cafe</t>
        </is>
      </c>
      <c r="Q34" s="156" t="n"/>
      <c r="R34" s="156" t="n"/>
      <c r="S34" s="156" t="n"/>
      <c r="T34" s="156" t="n"/>
      <c r="U34" s="156" t="n"/>
      <c r="V34" s="156" t="inlineStr">
        <is>
          <t>PZS</t>
        </is>
      </c>
      <c r="W34" s="51" t="inlineStr">
        <is>
          <t>53101602</t>
        </is>
      </c>
      <c r="X34" s="156" t="n"/>
      <c r="Y34" s="54" t="n">
        <v>27</v>
      </c>
      <c r="Z34" s="54" t="n">
        <v>729</v>
      </c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IFERROR(_xlfn.XMATCH(A34,$A$2:$A$285,0,1)&lt;&gt;_xlfn.XMATCH(A34,$A$2:$A$285,0,-1),FALSE)), "Código de barras duplicado", ""), IF(AND(E34&lt;&gt;"", COUNTIF($E$2:$E$285,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/>
      <c r="AE34" s="156" t="n"/>
      <c r="AF34" s="51" t="n"/>
      <c r="AG34" s="156" t="inlineStr">
        <is>
          <t>Nuevo – Odoo Universal Unique Brands 01/10/2026</t>
        </is>
      </c>
      <c r="AH34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(brown) | Homologación G1522 06/10/2026: WB N.º de estilo: «» → «01-001-0044-1084» (Completado por regla) · Validador Shopify: WB: precio con IVA no termina en 9</t>
        </is>
      </c>
      <c r="AI34" s="156" t="n"/>
      <c r="AJ34" s="156" t="n"/>
      <c r="AK34" s="155" t="inlineStr">
        <is>
          <t>Odoo: producto 20848 / plantilla 26851</t>
        </is>
      </c>
      <c r="AL34" s="58" t="n"/>
      <c r="AM34" s="58" t="n"/>
      <c r="AN34" s="155" t="inlineStr">
        <is>
          <t>Odoo Universal Unique Brands</t>
        </is>
      </c>
      <c r="AO34" s="59" t="n"/>
      <c r="AP34" s="59" t="n"/>
      <c r="AQ34" s="59" t="n">
        <v>30</v>
      </c>
      <c r="AR34" s="155" t="inlineStr">
        <is>
          <t>Odoo Universal Unique Brands › Bodega 25 › Bodega 25/General: 30</t>
        </is>
      </c>
    </row>
    <row r="35">
      <c r="A35" s="50" t="inlineStr">
        <is>
          <t>199168087975</t>
        </is>
      </c>
      <c r="B35" s="51" t="n"/>
      <c r="C35" s="156" t="inlineStr">
        <is>
          <t>Roper</t>
        </is>
      </c>
      <c r="D35" s="156" t="inlineStr">
        <is>
          <t>01-001-0044-1084</t>
        </is>
      </c>
      <c r="E35" s="156" t="inlineStr">
        <is>
          <t>01-001-0044-1084 BR-S</t>
        </is>
      </c>
      <c r="F35" s="156" t="inlineStr">
        <is>
          <t>S</t>
        </is>
      </c>
      <c r="G35" s="156" t="inlineStr">
        <is>
          <t>S</t>
        </is>
      </c>
      <c r="H35" s="156" t="inlineStr">
        <is>
          <t>Roper</t>
        </is>
      </c>
      <c r="I35" s="156" t="inlineStr">
        <is>
          <t>ROPER Shirt Brown &amp; Blue Wide Stripe</t>
        </is>
      </c>
      <c r="J35" s="156" t="inlineStr">
        <is>
          <t>Ropa</t>
        </is>
      </c>
      <c r="K35" s="156" t="inlineStr">
        <is>
          <t>Camisas</t>
        </is>
      </c>
      <c r="L35" s="156" t="inlineStr">
        <is>
          <t>Hombre</t>
        </is>
      </c>
      <c r="M35" s="156" t="n"/>
      <c r="N35" s="156" t="n"/>
      <c r="O35" s="156" t="n"/>
      <c r="P35" s="156" t="inlineStr">
        <is>
          <t>Cafe</t>
        </is>
      </c>
      <c r="Q35" s="156" t="n"/>
      <c r="R35" s="156" t="n"/>
      <c r="S35" s="156" t="n"/>
      <c r="T35" s="156" t="n"/>
      <c r="U35" s="156" t="n"/>
      <c r="V35" s="156" t="inlineStr">
        <is>
          <t>PZS</t>
        </is>
      </c>
      <c r="W35" s="51" t="inlineStr">
        <is>
          <t>53101602</t>
        </is>
      </c>
      <c r="X35" s="156" t="n"/>
      <c r="Y35" s="54" t="n">
        <v>27</v>
      </c>
      <c r="Z35" s="54" t="n">
        <v>729</v>
      </c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IFERROR(_xlfn.XMATCH(A35,$A$2:$A$285,0,1)&lt;&gt;_xlfn.XMATCH(A35,$A$2:$A$285,0,-1),FALSE)), "Código de barras duplicado", ""), IF(AND(E35&lt;&gt;"", COUNTIF($E$2:$E$285,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n"/>
      <c r="AD35" s="51" t="n"/>
      <c r="AE35" s="156" t="n"/>
      <c r="AF35" s="51" t="n"/>
      <c r="AG35" s="156" t="inlineStr">
        <is>
          <t>Nuevo – Odoo Universal Unique Brands 01/10/2026</t>
        </is>
      </c>
      <c r="AH35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(brown) | Homologación G1522 06/10/2026: WB N.º de estilo: «» → «01-001-0044-1084» (Completado por regla) · Validador Shopify: WB: precio con IVA no termina en 9</t>
        </is>
      </c>
      <c r="AI35" s="156" t="n"/>
      <c r="AJ35" s="156" t="n"/>
      <c r="AK35" s="155" t="inlineStr">
        <is>
          <t>Odoo: producto 20847 / plantilla 26850</t>
        </is>
      </c>
      <c r="AL35" s="58" t="n"/>
      <c r="AM35" s="58" t="n"/>
      <c r="AN35" s="155" t="inlineStr">
        <is>
          <t>Odoo Universal Unique Brands</t>
        </is>
      </c>
      <c r="AO35" s="59" t="n"/>
      <c r="AP35" s="59" t="n"/>
      <c r="AQ35" s="59" t="n">
        <v>30</v>
      </c>
      <c r="AR35" s="155" t="inlineStr">
        <is>
          <t>Odoo Universal Unique Brands › Bodega 25 › Bodega 25/General: 30</t>
        </is>
      </c>
    </row>
    <row r="36">
      <c r="A36" s="50" t="inlineStr">
        <is>
          <t>199168087982</t>
        </is>
      </c>
      <c r="B36" s="51" t="n"/>
      <c r="C36" s="156" t="inlineStr">
        <is>
          <t>Roper</t>
        </is>
      </c>
      <c r="D36" s="156" t="inlineStr">
        <is>
          <t>01-001-0044-1084</t>
        </is>
      </c>
      <c r="E36" s="156" t="inlineStr">
        <is>
          <t>01-001-0044-1084 BR-XL</t>
        </is>
      </c>
      <c r="F36" s="156" t="inlineStr">
        <is>
          <t>XL</t>
        </is>
      </c>
      <c r="G36" s="156" t="inlineStr">
        <is>
          <t>XL</t>
        </is>
      </c>
      <c r="H36" s="156" t="inlineStr">
        <is>
          <t>Roper</t>
        </is>
      </c>
      <c r="I36" s="156" t="inlineStr">
        <is>
          <t>ROPER Shirt Brown &amp; Blue Wide Stripe</t>
        </is>
      </c>
      <c r="J36" s="156" t="inlineStr">
        <is>
          <t>Ropa</t>
        </is>
      </c>
      <c r="K36" s="156" t="inlineStr">
        <is>
          <t>Camisas</t>
        </is>
      </c>
      <c r="L36" s="156" t="inlineStr">
        <is>
          <t>Hombre</t>
        </is>
      </c>
      <c r="M36" s="156" t="n"/>
      <c r="N36" s="156" t="n"/>
      <c r="O36" s="156" t="n"/>
      <c r="P36" s="156" t="inlineStr">
        <is>
          <t>Cafe</t>
        </is>
      </c>
      <c r="Q36" s="156" t="n"/>
      <c r="R36" s="156" t="n"/>
      <c r="S36" s="156" t="n"/>
      <c r="T36" s="156" t="n"/>
      <c r="U36" s="156" t="n"/>
      <c r="V36" s="156" t="inlineStr">
        <is>
          <t>PZS</t>
        </is>
      </c>
      <c r="W36" s="51" t="inlineStr">
        <is>
          <t>53101602</t>
        </is>
      </c>
      <c r="X36" s="156" t="n"/>
      <c r="Y36" s="54" t="n">
        <v>27</v>
      </c>
      <c r="Z36" s="54" t="n">
        <v>729</v>
      </c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IFERROR(_xlfn.XMATCH(A36,$A$2:$A$285,0,1)&lt;&gt;_xlfn.XMATCH(A36,$A$2:$A$285,0,-1),FALSE)), "Código de barras duplicado", ""), IF(AND(E36&lt;&gt;"", COUNTIF($E$2:$E$285,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n"/>
      <c r="AD36" s="51" t="n"/>
      <c r="AE36" s="156" t="n"/>
      <c r="AF36" s="51" t="n"/>
      <c r="AG36" s="156" t="inlineStr">
        <is>
          <t>Nuevo – Odoo Universal Unique Brands 01/10/2026</t>
        </is>
      </c>
      <c r="AH36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(brown) | Homologación G1522 06/10/2026: WB N.º de estilo: «» → «01-001-0044-1084» (Completado por regla) · Validador Shopify: WB: precio con IVA no termina en 9</t>
        </is>
      </c>
      <c r="AI36" s="156" t="n"/>
      <c r="AJ36" s="156" t="n"/>
      <c r="AK36" s="155" t="inlineStr">
        <is>
          <t>Odoo: producto 20850 / plantilla 26853</t>
        </is>
      </c>
      <c r="AL36" s="58" t="n"/>
      <c r="AM36" s="58" t="n"/>
      <c r="AN36" s="155" t="inlineStr">
        <is>
          <t>Odoo Universal Unique Brands</t>
        </is>
      </c>
      <c r="AO36" s="59" t="n"/>
      <c r="AP36" s="59" t="n"/>
      <c r="AQ36" s="59" t="n">
        <v>20</v>
      </c>
      <c r="AR36" s="155" t="inlineStr">
        <is>
          <t>Odoo Universal Unique Brands › Bodega 25 › Bodega 25/General: 20</t>
        </is>
      </c>
    </row>
    <row r="37">
      <c r="A37" s="50" t="inlineStr">
        <is>
          <t>199168042288</t>
        </is>
      </c>
      <c r="B37" s="51" t="n"/>
      <c r="C37" s="156" t="inlineStr">
        <is>
          <t>Roper</t>
        </is>
      </c>
      <c r="D37" s="156" t="inlineStr">
        <is>
          <t>01-001-0086-7011</t>
        </is>
      </c>
      <c r="E37" s="156" t="inlineStr">
        <is>
          <t>01-001-0086-7011 BL-2XL</t>
        </is>
      </c>
      <c r="F37" s="156" t="inlineStr">
        <is>
          <t>XXL</t>
        </is>
      </c>
      <c r="G37" s="156" t="inlineStr">
        <is>
          <t>XXL</t>
        </is>
      </c>
      <c r="H37" s="156" t="inlineStr">
        <is>
          <t>Roper</t>
        </is>
      </c>
      <c r="I37" s="156" t="inlineStr">
        <is>
          <t>ROPER Shirt Black/Grey Floral</t>
        </is>
      </c>
      <c r="J37" s="156" t="inlineStr">
        <is>
          <t>Ropa</t>
        </is>
      </c>
      <c r="K37" s="156" t="inlineStr">
        <is>
          <t>Camisas</t>
        </is>
      </c>
      <c r="L37" s="156" t="n"/>
      <c r="M37" s="156" t="n"/>
      <c r="N37" s="156" t="n"/>
      <c r="O37" s="156" t="n"/>
      <c r="P37" s="156" t="inlineStr">
        <is>
          <t>Negro</t>
        </is>
      </c>
      <c r="Q37" s="156" t="n"/>
      <c r="R37" s="156" t="n"/>
      <c r="S37" s="156" t="n"/>
      <c r="T37" s="156" t="n"/>
      <c r="U37" s="156" t="n"/>
      <c r="V37" s="156" t="inlineStr">
        <is>
          <t>PZS</t>
        </is>
      </c>
      <c r="W37" s="51" t="inlineStr">
        <is>
          <t>53101602</t>
        </is>
      </c>
      <c r="X37" s="156" t="n"/>
      <c r="Y37" s="54" t="n">
        <v>28.13</v>
      </c>
      <c r="Z37" s="54" t="n">
        <v>759</v>
      </c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IFERROR(_xlfn.XMATCH(A37,$A$2:$A$285,0,1)&lt;&gt;_xlfn.XMATCH(A37,$A$2:$A$285,0,-1),FALSE)), "Código de barras duplicado", ""), IF(AND(E37&lt;&gt;"", COUNTIF($E$2:$E$285,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n"/>
      <c r="AD37" s="51" t="n"/>
      <c r="AE37" s="156" t="n"/>
      <c r="AF37" s="51" t="n"/>
      <c r="AG37" s="156" t="inlineStr">
        <is>
          <t>Nuevo – Odoo Universal Unique Brands 01/10/2026</t>
        </is>
      </c>
      <c r="AH3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(black) | Homologación G1522 06/10/2026: WB N.º de estilo: «» → «01-001-0086-7011» (Completado por regla) · Validador Shopify: WB: precio con IVA no termina en 9</t>
        </is>
      </c>
      <c r="AI37" s="156" t="n"/>
      <c r="AJ37" s="156" t="n"/>
      <c r="AK37" s="155" t="inlineStr">
        <is>
          <t>Odoo: producto 21070 / plantilla 27073</t>
        </is>
      </c>
      <c r="AL37" s="58" t="n"/>
      <c r="AM37" s="58" t="n"/>
      <c r="AN37" s="155" t="inlineStr">
        <is>
          <t>Odoo Universal Unique Brands</t>
        </is>
      </c>
      <c r="AO37" s="59" t="n"/>
      <c r="AP37" s="59" t="n"/>
      <c r="AQ37" s="59" t="n">
        <v>2</v>
      </c>
      <c r="AR37" s="155" t="inlineStr">
        <is>
          <t>Odoo Universal Unique Brands › Bodega 25 › Bodega 25/General: 2</t>
        </is>
      </c>
    </row>
    <row r="38">
      <c r="A38" s="50" t="inlineStr">
        <is>
          <t>199168042240</t>
        </is>
      </c>
      <c r="B38" s="51" t="n"/>
      <c r="C38" s="156" t="inlineStr">
        <is>
          <t>Roper</t>
        </is>
      </c>
      <c r="D38" s="156" t="inlineStr">
        <is>
          <t>01-001-0086-7011</t>
        </is>
      </c>
      <c r="E38" s="156" t="inlineStr">
        <is>
          <t>01-001-0086-7011 BL-L</t>
        </is>
      </c>
      <c r="F38" s="156" t="inlineStr">
        <is>
          <t>L</t>
        </is>
      </c>
      <c r="G38" s="156" t="inlineStr">
        <is>
          <t>L</t>
        </is>
      </c>
      <c r="H38" s="156" t="inlineStr">
        <is>
          <t>Roper</t>
        </is>
      </c>
      <c r="I38" s="156" t="inlineStr">
        <is>
          <t>ROPER Shirt Black/Grey Floral</t>
        </is>
      </c>
      <c r="J38" s="156" t="inlineStr">
        <is>
          <t>Ropa</t>
        </is>
      </c>
      <c r="K38" s="156" t="inlineStr">
        <is>
          <t>Camisas</t>
        </is>
      </c>
      <c r="L38" s="156" t="n"/>
      <c r="M38" s="156" t="n"/>
      <c r="N38" s="156" t="n"/>
      <c r="O38" s="156" t="n"/>
      <c r="P38" s="156" t="inlineStr">
        <is>
          <t>Negro</t>
        </is>
      </c>
      <c r="Q38" s="156" t="n"/>
      <c r="R38" s="156" t="n"/>
      <c r="S38" s="156" t="n"/>
      <c r="T38" s="156" t="n"/>
      <c r="U38" s="156" t="n"/>
      <c r="V38" s="156" t="inlineStr">
        <is>
          <t>PZS</t>
        </is>
      </c>
      <c r="W38" s="51" t="inlineStr">
        <is>
          <t>53101602</t>
        </is>
      </c>
      <c r="X38" s="156" t="n"/>
      <c r="Y38" s="54" t="n">
        <v>28.13</v>
      </c>
      <c r="Z38" s="54" t="n">
        <v>759</v>
      </c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IFERROR(_xlfn.XMATCH(A38,$A$2:$A$285,0,1)&lt;&gt;_xlfn.XMATCH(A38,$A$2:$A$285,0,-1),FALSE)), "Código de barras duplicado", ""), IF(AND(E38&lt;&gt;"", COUNTIF($E$2:$E$285,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n"/>
      <c r="AD38" s="51" t="n"/>
      <c r="AE38" s="156" t="n"/>
      <c r="AF38" s="51" t="n"/>
      <c r="AG38" s="156" t="inlineStr">
        <is>
          <t>Nuevo – Odoo Universal Unique Brands 01/10/2026</t>
        </is>
      </c>
      <c r="AH38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(black) | Homologación G1522 06/10/2026: WB N.º de estilo: «» → «01-001-0086-7011» (Completado por regla) · Validador Shopify: WB: precio con IVA no termina en 9</t>
        </is>
      </c>
      <c r="AI38" s="156" t="n"/>
      <c r="AJ38" s="156" t="n"/>
      <c r="AK38" s="155" t="inlineStr">
        <is>
          <t>Odoo: producto 21560 / plantilla 27571</t>
        </is>
      </c>
      <c r="AL38" s="58" t="n"/>
      <c r="AM38" s="58" t="n"/>
      <c r="AN38" s="155" t="inlineStr">
        <is>
          <t>Odoo Universal Unique Brands</t>
        </is>
      </c>
      <c r="AO38" s="59" t="n"/>
      <c r="AP38" s="59" t="n"/>
      <c r="AQ38" s="59" t="n">
        <v>0</v>
      </c>
      <c r="AR38" s="155" t="n"/>
    </row>
    <row r="39">
      <c r="A39" s="50" t="inlineStr">
        <is>
          <t>199168042257</t>
        </is>
      </c>
      <c r="B39" s="51" t="n"/>
      <c r="C39" s="156" t="inlineStr">
        <is>
          <t>Roper</t>
        </is>
      </c>
      <c r="D39" s="156" t="inlineStr">
        <is>
          <t>01-001-0086-7011</t>
        </is>
      </c>
      <c r="E39" s="156" t="inlineStr">
        <is>
          <t>01-001-0086-7011 BL-M</t>
        </is>
      </c>
      <c r="F39" s="156" t="inlineStr">
        <is>
          <t>M</t>
        </is>
      </c>
      <c r="G39" s="156" t="inlineStr">
        <is>
          <t>M</t>
        </is>
      </c>
      <c r="H39" s="156" t="inlineStr">
        <is>
          <t>Roper</t>
        </is>
      </c>
      <c r="I39" s="156" t="inlineStr">
        <is>
          <t>ROPER Shirt Black/Grey Floral</t>
        </is>
      </c>
      <c r="J39" s="156" t="inlineStr">
        <is>
          <t>Ropa</t>
        </is>
      </c>
      <c r="K39" s="156" t="inlineStr">
        <is>
          <t>Camisas</t>
        </is>
      </c>
      <c r="L39" s="156" t="inlineStr">
        <is>
          <t>Hombre</t>
        </is>
      </c>
      <c r="M39" s="156" t="n"/>
      <c r="N39" s="156" t="n"/>
      <c r="O39" s="156" t="n"/>
      <c r="P39" s="156" t="inlineStr">
        <is>
          <t>Negro</t>
        </is>
      </c>
      <c r="Q39" s="156" t="n"/>
      <c r="R39" s="156" t="n"/>
      <c r="S39" s="156" t="n"/>
      <c r="T39" s="156" t="n"/>
      <c r="U39" s="156" t="n"/>
      <c r="V39" s="156" t="inlineStr">
        <is>
          <t>PZS</t>
        </is>
      </c>
      <c r="W39" s="51" t="inlineStr">
        <is>
          <t>53101602</t>
        </is>
      </c>
      <c r="X39" s="156" t="n"/>
      <c r="Y39" s="54" t="n">
        <v>28.13</v>
      </c>
      <c r="Z39" s="54" t="n">
        <v>759</v>
      </c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IFERROR(_xlfn.XMATCH(A39,$A$2:$A$285,0,1)&lt;&gt;_xlfn.XMATCH(A39,$A$2:$A$285,0,-1),FALSE)), "Código de barras duplicado", ""), IF(AND(E39&lt;&gt;"", COUNTIF($E$2:$E$285,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n"/>
      <c r="AD39" s="51" t="n"/>
      <c r="AE39" s="156" t="n"/>
      <c r="AF39" s="51" t="n"/>
      <c r="AG39" s="156" t="inlineStr">
        <is>
          <t>Nuevo – Odoo Universal Unique Brands 01/10/2026</t>
        </is>
      </c>
      <c r="AH39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(black) | Homologación G1522 06/10/2026: WB N.º de estilo: «» → «01-001-0086-7011» (Completado por regla) · Validador Shopify: WB: precio con IVA no termina en 9</t>
        </is>
      </c>
      <c r="AI39" s="156" t="n"/>
      <c r="AJ39" s="156" t="n"/>
      <c r="AK39" s="155" t="inlineStr">
        <is>
          <t>Odoo: producto 21067 / plantilla 27070</t>
        </is>
      </c>
      <c r="AL39" s="58" t="n"/>
      <c r="AM39" s="58" t="n"/>
      <c r="AN39" s="155" t="inlineStr">
        <is>
          <t>Odoo Universal Unique Brands</t>
        </is>
      </c>
      <c r="AO39" s="59" t="n"/>
      <c r="AP39" s="59" t="n"/>
      <c r="AQ39" s="59" t="n">
        <v>1</v>
      </c>
      <c r="AR39" s="155" t="inlineStr">
        <is>
          <t>Odoo Universal Unique Brands › Bodega 25 › Bodega 25/General: 1</t>
        </is>
      </c>
    </row>
    <row r="40">
      <c r="A40" s="50" t="inlineStr">
        <is>
          <t>199168042264</t>
        </is>
      </c>
      <c r="B40" s="51" t="n"/>
      <c r="C40" s="156" t="inlineStr">
        <is>
          <t>Roper</t>
        </is>
      </c>
      <c r="D40" s="156" t="inlineStr">
        <is>
          <t>01-001-0086-7011</t>
        </is>
      </c>
      <c r="E40" s="156" t="inlineStr">
        <is>
          <t>01-001-0086-7011 BL-S</t>
        </is>
      </c>
      <c r="F40" s="156" t="inlineStr">
        <is>
          <t>S</t>
        </is>
      </c>
      <c r="G40" s="156" t="inlineStr">
        <is>
          <t>S</t>
        </is>
      </c>
      <c r="H40" s="156" t="inlineStr">
        <is>
          <t>Roper</t>
        </is>
      </c>
      <c r="I40" s="156" t="inlineStr">
        <is>
          <t>ROPER Shirt Black/Grey Floral</t>
        </is>
      </c>
      <c r="J40" s="156" t="inlineStr">
        <is>
          <t>Ropa</t>
        </is>
      </c>
      <c r="K40" s="156" t="inlineStr">
        <is>
          <t>Camisas</t>
        </is>
      </c>
      <c r="L40" s="156" t="inlineStr">
        <is>
          <t>Hombre</t>
        </is>
      </c>
      <c r="M40" s="156" t="n"/>
      <c r="N40" s="156" t="n"/>
      <c r="O40" s="156" t="n"/>
      <c r="P40" s="156" t="inlineStr">
        <is>
          <t>Negro</t>
        </is>
      </c>
      <c r="Q40" s="156" t="n"/>
      <c r="R40" s="156" t="n"/>
      <c r="S40" s="156" t="n"/>
      <c r="T40" s="156" t="n"/>
      <c r="U40" s="156" t="n"/>
      <c r="V40" s="156" t="inlineStr">
        <is>
          <t>PZS</t>
        </is>
      </c>
      <c r="W40" s="51" t="inlineStr">
        <is>
          <t>53101602</t>
        </is>
      </c>
      <c r="X40" s="156" t="n"/>
      <c r="Y40" s="54" t="n">
        <v>28.13</v>
      </c>
      <c r="Z40" s="54" t="n">
        <v>759</v>
      </c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IFERROR(_xlfn.XMATCH(A40,$A$2:$A$285,0,1)&lt;&gt;_xlfn.XMATCH(A40,$A$2:$A$285,0,-1),FALSE)), "Código de barras duplicado", ""), IF(AND(E40&lt;&gt;"", COUNTIF($E$2:$E$285,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n"/>
      <c r="AD40" s="51" t="n"/>
      <c r="AE40" s="156" t="n"/>
      <c r="AF40" s="51" t="n"/>
      <c r="AG40" s="156" t="inlineStr">
        <is>
          <t>Nuevo – Odoo Universal Unique Brands 01/10/2026</t>
        </is>
      </c>
      <c r="AH40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(black) | Homologación G1522 06/10/2026: WB N.º de estilo: «» → «01-001-0086-7011» (Completado por regla) · Validador Shopify: WB: precio con IVA no termina en 9</t>
        </is>
      </c>
      <c r="AI40" s="156" t="n"/>
      <c r="AJ40" s="156" t="n"/>
      <c r="AK40" s="155" t="inlineStr">
        <is>
          <t>Odoo: producto 21066 / plantilla 27069</t>
        </is>
      </c>
      <c r="AL40" s="58" t="n"/>
      <c r="AM40" s="58" t="n"/>
      <c r="AN40" s="155" t="inlineStr">
        <is>
          <t>Odoo Universal Unique Brands</t>
        </is>
      </c>
      <c r="AO40" s="59" t="n"/>
      <c r="AP40" s="59" t="n"/>
      <c r="AQ40" s="59" t="n">
        <v>1</v>
      </c>
      <c r="AR40" s="155" t="inlineStr">
        <is>
          <t>Odoo Universal Unique Brands › Bodega 25 › Bodega 25/General: 1</t>
        </is>
      </c>
    </row>
    <row r="41">
      <c r="A41" s="50" t="inlineStr">
        <is>
          <t>199168042271</t>
        </is>
      </c>
      <c r="B41" s="51" t="n"/>
      <c r="C41" s="156" t="inlineStr">
        <is>
          <t>Roper</t>
        </is>
      </c>
      <c r="D41" s="156" t="inlineStr">
        <is>
          <t>01-001-0086-7011</t>
        </is>
      </c>
      <c r="E41" s="156" t="inlineStr">
        <is>
          <t>01-001-0086-7011 BL-XL</t>
        </is>
      </c>
      <c r="F41" s="156" t="inlineStr">
        <is>
          <t>XL</t>
        </is>
      </c>
      <c r="G41" s="156" t="inlineStr">
        <is>
          <t>XL</t>
        </is>
      </c>
      <c r="H41" s="156" t="inlineStr">
        <is>
          <t>Roper</t>
        </is>
      </c>
      <c r="I41" s="156" t="inlineStr">
        <is>
          <t>ROPER Shirt Black/Grey Floral</t>
        </is>
      </c>
      <c r="J41" s="156" t="inlineStr">
        <is>
          <t>Ropa</t>
        </is>
      </c>
      <c r="K41" s="156" t="inlineStr">
        <is>
          <t>Camisas</t>
        </is>
      </c>
      <c r="L41" s="156" t="inlineStr">
        <is>
          <t>Hombre</t>
        </is>
      </c>
      <c r="M41" s="156" t="n"/>
      <c r="N41" s="156" t="n"/>
      <c r="O41" s="156" t="n"/>
      <c r="P41" s="156" t="inlineStr">
        <is>
          <t>Negro</t>
        </is>
      </c>
      <c r="Q41" s="156" t="n"/>
      <c r="R41" s="156" t="n"/>
      <c r="S41" s="156" t="n"/>
      <c r="T41" s="156" t="n"/>
      <c r="U41" s="156" t="n"/>
      <c r="V41" s="156" t="inlineStr">
        <is>
          <t>PZS</t>
        </is>
      </c>
      <c r="W41" s="51" t="inlineStr">
        <is>
          <t>53101602</t>
        </is>
      </c>
      <c r="X41" s="156" t="n"/>
      <c r="Y41" s="54" t="n">
        <v>28.13</v>
      </c>
      <c r="Z41" s="54" t="n">
        <v>759</v>
      </c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IFERROR(_xlfn.XMATCH(A41,$A$2:$A$285,0,1)&lt;&gt;_xlfn.XMATCH(A41,$A$2:$A$285,0,-1),FALSE)), "Código de barras duplicado", ""), IF(AND(E41&lt;&gt;"", COUNTIF($E$2:$E$285,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n"/>
      <c r="AD41" s="51" t="n"/>
      <c r="AE41" s="156" t="n"/>
      <c r="AF41" s="51" t="n"/>
      <c r="AG41" s="156" t="inlineStr">
        <is>
          <t>Nuevo – Odoo Universal Unique Brands 01/10/2026</t>
        </is>
      </c>
      <c r="AH41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(black) | Homologación G1522 06/10/2026: WB N.º de estilo: «» → «01-001-0086-7011» (Completado por regla) · Validador Shopify: WB: precio con IVA no termina en 9</t>
        </is>
      </c>
      <c r="AI41" s="156" t="n"/>
      <c r="AJ41" s="156" t="n"/>
      <c r="AK41" s="155" t="inlineStr">
        <is>
          <t>Odoo: producto 21069 / plantilla 27072</t>
        </is>
      </c>
      <c r="AL41" s="58" t="n"/>
      <c r="AM41" s="58" t="n"/>
      <c r="AN41" s="155" t="inlineStr">
        <is>
          <t>Odoo Universal Unique Brands</t>
        </is>
      </c>
      <c r="AO41" s="59" t="n"/>
      <c r="AP41" s="59" t="n"/>
      <c r="AQ41" s="59" t="n">
        <v>1</v>
      </c>
      <c r="AR41" s="155" t="inlineStr">
        <is>
          <t>Odoo Universal Unique Brands › Bodega 25 › Bodega 25/General: 1</t>
        </is>
      </c>
    </row>
    <row r="42">
      <c r="A42" s="50" t="inlineStr">
        <is>
          <t>199168042707</t>
        </is>
      </c>
      <c r="B42" s="51" t="n"/>
      <c r="C42" s="156" t="inlineStr">
        <is>
          <t>Roper</t>
        </is>
      </c>
      <c r="D42" s="156" t="inlineStr">
        <is>
          <t>01-001-0101-7003</t>
        </is>
      </c>
      <c r="E42" s="156" t="inlineStr">
        <is>
          <t>01-001-0101-7003 BR-2XL</t>
        </is>
      </c>
      <c r="F42" s="156" t="inlineStr">
        <is>
          <t>XXL</t>
        </is>
      </c>
      <c r="G42" s="156" t="inlineStr">
        <is>
          <t>XXL</t>
        </is>
      </c>
      <c r="H42" s="156" t="inlineStr">
        <is>
          <t>Roper</t>
        </is>
      </c>
      <c r="I42" s="156" t="inlineStr">
        <is>
          <t>ROPER Shirt Brown/Black/Tan Plaid</t>
        </is>
      </c>
      <c r="J42" s="156" t="inlineStr">
        <is>
          <t>Ropa</t>
        </is>
      </c>
      <c r="K42" s="156" t="inlineStr">
        <is>
          <t>Camisas</t>
        </is>
      </c>
      <c r="L42" s="156" t="n"/>
      <c r="M42" s="156" t="n"/>
      <c r="N42" s="156" t="n"/>
      <c r="O42" s="156" t="n"/>
      <c r="P42" s="156" t="inlineStr">
        <is>
          <t>Cafe</t>
        </is>
      </c>
      <c r="Q42" s="156" t="n"/>
      <c r="R42" s="156" t="n"/>
      <c r="S42" s="156" t="n"/>
      <c r="T42" s="156" t="n"/>
      <c r="U42" s="156" t="n"/>
      <c r="V42" s="156" t="inlineStr">
        <is>
          <t>PZS</t>
        </is>
      </c>
      <c r="W42" s="51" t="inlineStr">
        <is>
          <t>53101602</t>
        </is>
      </c>
      <c r="X42" s="156" t="n"/>
      <c r="Y42" s="54" t="n">
        <v>22.55</v>
      </c>
      <c r="Z42" s="54" t="n">
        <v>629</v>
      </c>
      <c r="AA42" s="55">
        <f>IF(AND(A42="", B42="", E42=""), "", IF(AB42="", "Válido", IF((LEN(AB42)-LEN(SUBSTITUTE(AB42,"; ","")))/2+1&gt;(LEN(AB42)-LEN(SUBSTITUTE(AB42,"[Aviso]","")))/7, "Con Incidencias", "Válido")))</f>
        <v/>
      </c>
      <c r="AB42" s="56">
        <f>IF(AND(A42="", B42="", E42=""), "", TEXTJOIN("; ", TRUE, IF(OR(TRIM(A42&amp;"")="", ISNUMBER(SEARCH("FALTA", A42))), "UPC faltante/inválido", ""), IF(AND(A42&lt;&gt;"", IFERROR(_xlfn.XMATCH(A42,$A$2:$A$285,0,1)&lt;&gt;_xlfn.XMATCH(A42,$A$2:$A$285,0,-1),FALSE)), "Código de barras duplicado", ""), IF(AND(E42&lt;&gt;"", COUNTIF($E$2:$E$285, E42)&gt;1), "SKU duplicado", ""), IF(OR(J42="", J42=""), "[Aviso] División no capturada ()", IF(ISNA(MATCH(J42, Criterios!$A$123:$A$126, 0)), "División no válida", "")), IF(OR(K42="", K42=""), "[Aviso] Categoría no capturada ()", IF(ISNA(MATCH(K42, Criterios!$A$81:$A$120, 0)), "Categoría no válida", IF(AND(J42&lt;&gt;"", J42&lt;&gt;"", J42&lt;&gt;VLOOKUP(K42, Criterios!$A$81:$B$120, 2, FALSE)), "División no coincide con Categoría", ""))), IF(OR(L42="", L42=""), "[Aviso] Género no capturado ()", IF(ISNA(MATCH(L42, Criterios!$B$123:$B$127, 0)), "Género no válido", "")), IF(OR(N42="", N42=""), "[Aviso] Temporada no capturada ()", IF(ISNA(MATCH(N42, Criterios!$C$123:$C$128, 0)), "Temporada no válida", "")), IF(OR(O42="", O42=""), "[Aviso] Ciclo de vida no capturado ()", IF(ISNA(MATCH(O42, Criterios!$D$123:$D$124, 0)), "Ciclo de vida no válido", ""))))</f>
        <v/>
      </c>
      <c r="AC42" s="56" t="n"/>
      <c r="AD42" s="51" t="n"/>
      <c r="AE42" s="156" t="n"/>
      <c r="AF42" s="51" t="n"/>
      <c r="AG42" s="156" t="inlineStr">
        <is>
          <t>Nuevo – Odoo Universal Unique Brands 01/10/2026</t>
        </is>
      </c>
      <c r="AH42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(brown) | Homologación G1522 06/10/2026: WB N.º de estilo: «» → «01-001-0101-7003» (Completado por regla)</t>
        </is>
      </c>
      <c r="AI42" s="156" t="n"/>
      <c r="AJ42" s="156" t="n"/>
      <c r="AK42" s="155" t="inlineStr">
        <is>
          <t>Odoo: producto 21118 / plantilla 27121</t>
        </is>
      </c>
      <c r="AL42" s="58" t="n"/>
      <c r="AM42" s="58" t="n"/>
      <c r="AN42" s="155" t="inlineStr">
        <is>
          <t>Odoo Universal Unique Brands</t>
        </is>
      </c>
      <c r="AO42" s="59" t="n"/>
      <c r="AP42" s="59" t="n"/>
      <c r="AQ42" s="59" t="n">
        <v>2</v>
      </c>
      <c r="AR42" s="155" t="inlineStr">
        <is>
          <t>Odoo Universal Unique Brands › Bodega 25 › Bodega 25/General: 2</t>
        </is>
      </c>
    </row>
    <row r="43">
      <c r="A43" s="50" t="inlineStr">
        <is>
          <t>199168042660</t>
        </is>
      </c>
      <c r="B43" s="51" t="n"/>
      <c r="C43" s="156" t="inlineStr">
        <is>
          <t>Roper</t>
        </is>
      </c>
      <c r="D43" s="156" t="inlineStr">
        <is>
          <t>01-001-0101-7003</t>
        </is>
      </c>
      <c r="E43" s="156" t="inlineStr">
        <is>
          <t>01-001-0101-7003 BR-L</t>
        </is>
      </c>
      <c r="F43" s="156" t="inlineStr">
        <is>
          <t>L</t>
        </is>
      </c>
      <c r="G43" s="156" t="inlineStr">
        <is>
          <t>L</t>
        </is>
      </c>
      <c r="H43" s="156" t="inlineStr">
        <is>
          <t>Roper</t>
        </is>
      </c>
      <c r="I43" s="156" t="inlineStr">
        <is>
          <t>ROPER Shirt Brown/Black/Tan Plaid</t>
        </is>
      </c>
      <c r="J43" s="156" t="inlineStr">
        <is>
          <t>Ropa</t>
        </is>
      </c>
      <c r="K43" s="156" t="inlineStr">
        <is>
          <t>Camisas</t>
        </is>
      </c>
      <c r="L43" s="156" t="n"/>
      <c r="M43" s="156" t="n"/>
      <c r="N43" s="156" t="n"/>
      <c r="O43" s="156" t="n"/>
      <c r="P43" s="156" t="inlineStr">
        <is>
          <t>Cafe</t>
        </is>
      </c>
      <c r="Q43" s="156" t="n"/>
      <c r="R43" s="156" t="n"/>
      <c r="S43" s="156" t="n"/>
      <c r="T43" s="156" t="n"/>
      <c r="U43" s="156" t="n"/>
      <c r="V43" s="156" t="inlineStr">
        <is>
          <t>PZS</t>
        </is>
      </c>
      <c r="W43" s="51" t="inlineStr">
        <is>
          <t>53101602</t>
        </is>
      </c>
      <c r="X43" s="156" t="n"/>
      <c r="Y43" s="54" t="n">
        <v>22.55</v>
      </c>
      <c r="Z43" s="54" t="n">
        <v>629</v>
      </c>
      <c r="AA43" s="55">
        <f>IF(AND(A43="", B43="", E43=""), "", IF(AB43="", "Válido", IF((LEN(AB43)-LEN(SUBSTITUTE(AB43,"; ","")))/2+1&gt;(LEN(AB43)-LEN(SUBSTITUTE(AB43,"[Aviso]","")))/7, "Con Incidencias", "Válido")))</f>
        <v/>
      </c>
      <c r="AB43" s="56">
        <f>IF(AND(A43="", B43="", E43=""), "", TEXTJOIN("; ", TRUE, IF(OR(TRIM(A43&amp;"")="", ISNUMBER(SEARCH("FALTA", A43))), "UPC faltante/inválido", ""), IF(AND(A43&lt;&gt;"", IFERROR(_xlfn.XMATCH(A43,$A$2:$A$285,0,1)&lt;&gt;_xlfn.XMATCH(A43,$A$2:$A$285,0,-1),FALSE)), "Código de barras duplicado", ""), IF(AND(E43&lt;&gt;"", COUNTIF($E$2:$E$285, E43)&gt;1), "SKU duplicado", ""), IF(OR(J43="", J43=""), "[Aviso] División no capturada ()", IF(ISNA(MATCH(J43, Criterios!$A$123:$A$126, 0)), "División no válida", "")), IF(OR(K43="", K43=""), "[Aviso] Categoría no capturada ()", IF(ISNA(MATCH(K43, Criterios!$A$81:$A$120, 0)), "Categoría no válida", IF(AND(J43&lt;&gt;"", J43&lt;&gt;"", J43&lt;&gt;VLOOKUP(K43, Criterios!$A$81:$B$120, 2, FALSE)), "División no coincide con Categoría", ""))), IF(OR(L43="", L43=""), "[Aviso] Género no capturado ()", IF(ISNA(MATCH(L43, Criterios!$B$123:$B$127, 0)), "Género no válido", "")), IF(OR(N43="", N43=""), "[Aviso] Temporada no capturada ()", IF(ISNA(MATCH(N43, Criterios!$C$123:$C$128, 0)), "Temporada no válida", "")), IF(OR(O43="", O43=""), "[Aviso] Ciclo de vida no capturado ()", IF(ISNA(MATCH(O43, Criterios!$D$123:$D$124, 0)), "Ciclo de vida no válido", ""))))</f>
        <v/>
      </c>
      <c r="AC43" s="56" t="n"/>
      <c r="AD43" s="51" t="n"/>
      <c r="AE43" s="156" t="n"/>
      <c r="AF43" s="51" t="n"/>
      <c r="AG43" s="156" t="inlineStr">
        <is>
          <t>Nuevo – Odoo Universal Unique Brands 01/10/2026</t>
        </is>
      </c>
      <c r="AH43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(brown) | Homologación G1522 06/10/2026: WB N.º de estilo: «» → «01-001-0101-7003» (Completado por regla)</t>
        </is>
      </c>
      <c r="AI43" s="156" t="n"/>
      <c r="AJ43" s="156" t="n"/>
      <c r="AK43" s="155" t="inlineStr">
        <is>
          <t>Odoo: producto 21116 / plantilla 27119</t>
        </is>
      </c>
      <c r="AL43" s="58" t="n"/>
      <c r="AM43" s="58" t="n"/>
      <c r="AN43" s="155" t="inlineStr">
        <is>
          <t>Odoo Universal Unique Brands</t>
        </is>
      </c>
      <c r="AO43" s="59" t="n"/>
      <c r="AP43" s="59" t="n"/>
      <c r="AQ43" s="59" t="n">
        <v>8</v>
      </c>
      <c r="AR43" s="155" t="inlineStr">
        <is>
          <t>Odoo Universal Unique Brands › Bodega 25 › Bodega 25/General: 8</t>
        </is>
      </c>
    </row>
    <row r="44">
      <c r="A44" s="50" t="inlineStr">
        <is>
          <t>199168042677</t>
        </is>
      </c>
      <c r="B44" s="51" t="n"/>
      <c r="C44" s="156" t="inlineStr">
        <is>
          <t>Roper</t>
        </is>
      </c>
      <c r="D44" s="156" t="inlineStr">
        <is>
          <t>01-001-0101-7003</t>
        </is>
      </c>
      <c r="E44" s="156" t="inlineStr">
        <is>
          <t>01-001-0101-7003 BR-M</t>
        </is>
      </c>
      <c r="F44" s="156" t="inlineStr">
        <is>
          <t>M</t>
        </is>
      </c>
      <c r="G44" s="156" t="inlineStr">
        <is>
          <t>M</t>
        </is>
      </c>
      <c r="H44" s="156" t="inlineStr">
        <is>
          <t>Roper</t>
        </is>
      </c>
      <c r="I44" s="156" t="inlineStr">
        <is>
          <t>ROPER Shirt Brown/Black/Tan Plaid</t>
        </is>
      </c>
      <c r="J44" s="156" t="inlineStr">
        <is>
          <t>Ropa</t>
        </is>
      </c>
      <c r="K44" s="156" t="inlineStr">
        <is>
          <t>Camisas</t>
        </is>
      </c>
      <c r="L44" s="156" t="n"/>
      <c r="M44" s="156" t="n"/>
      <c r="N44" s="156" t="n"/>
      <c r="O44" s="156" t="n"/>
      <c r="P44" s="156" t="inlineStr">
        <is>
          <t>Cafe</t>
        </is>
      </c>
      <c r="Q44" s="156" t="n"/>
      <c r="R44" s="156" t="n"/>
      <c r="S44" s="156" t="n"/>
      <c r="T44" s="156" t="n"/>
      <c r="U44" s="156" t="n"/>
      <c r="V44" s="156" t="inlineStr">
        <is>
          <t>PZS</t>
        </is>
      </c>
      <c r="W44" s="51" t="inlineStr">
        <is>
          <t>53101602</t>
        </is>
      </c>
      <c r="X44" s="156" t="n"/>
      <c r="Y44" s="54" t="n">
        <v>22.55</v>
      </c>
      <c r="Z44" s="54" t="n">
        <v>629</v>
      </c>
      <c r="AA44" s="55">
        <f>IF(AND(A44="", B44="", E44=""), "", IF(AB44="", "Válido", IF((LEN(AB44)-LEN(SUBSTITUTE(AB44,"; ","")))/2+1&gt;(LEN(AB44)-LEN(SUBSTITUTE(AB44,"[Aviso]","")))/7, "Con Incidencias", "Válido")))</f>
        <v/>
      </c>
      <c r="AB44" s="56">
        <f>IF(AND(A44="", B44="", E44=""), "", TEXTJOIN("; ", TRUE, IF(OR(TRIM(A44&amp;"")="", ISNUMBER(SEARCH("FALTA", A44))), "UPC faltante/inválido", ""), IF(AND(A44&lt;&gt;"", IFERROR(_xlfn.XMATCH(A44,$A$2:$A$285,0,1)&lt;&gt;_xlfn.XMATCH(A44,$A$2:$A$285,0,-1),FALSE)), "Código de barras duplicado", ""), IF(AND(E44&lt;&gt;"", COUNTIF($E$2:$E$285, E44)&gt;1), "SKU duplicado", ""), IF(OR(J44="", J44=""), "[Aviso] División no capturada ()", IF(ISNA(MATCH(J44, Criterios!$A$123:$A$126, 0)), "División no válida", "")), IF(OR(K44="", K44=""), "[Aviso] Categoría no capturada ()", IF(ISNA(MATCH(K44, Criterios!$A$81:$A$120, 0)), "Categoría no válida", IF(AND(J44&lt;&gt;"", J44&lt;&gt;"", J44&lt;&gt;VLOOKUP(K44, Criterios!$A$81:$B$120, 2, FALSE)), "División no coincide con Categoría", ""))), IF(OR(L44="", L44=""), "[Aviso] Género no capturado ()", IF(ISNA(MATCH(L44, Criterios!$B$123:$B$127, 0)), "Género no válido", "")), IF(OR(N44="", N44=""), "[Aviso] Temporada no capturada ()", IF(ISNA(MATCH(N44, Criterios!$C$123:$C$128, 0)), "Temporada no válida", "")), IF(OR(O44="", O44=""), "[Aviso] Ciclo de vida no capturado ()", IF(ISNA(MATCH(O44, Criterios!$D$123:$D$124, 0)), "Ciclo de vida no válido", ""))))</f>
        <v/>
      </c>
      <c r="AC44" s="56" t="n"/>
      <c r="AD44" s="51" t="n"/>
      <c r="AE44" s="156" t="n"/>
      <c r="AF44" s="51" t="n"/>
      <c r="AG44" s="156" t="inlineStr">
        <is>
          <t>Nuevo – Odoo Universal Unique Brands 01/10/2026</t>
        </is>
      </c>
      <c r="AH44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(brown) | Homologación G1522 06/10/2026: WB N.º de estilo: «» → «01-001-0101-7003» (Completado por regla)</t>
        </is>
      </c>
      <c r="AI44" s="156" t="n"/>
      <c r="AJ44" s="156" t="n"/>
      <c r="AK44" s="155" t="inlineStr">
        <is>
          <t>Odoo: producto 21115 / plantilla 27118</t>
        </is>
      </c>
      <c r="AL44" s="58" t="n"/>
      <c r="AM44" s="58" t="n"/>
      <c r="AN44" s="155" t="inlineStr">
        <is>
          <t>Odoo Universal Unique Brands</t>
        </is>
      </c>
      <c r="AO44" s="59" t="n"/>
      <c r="AP44" s="59" t="n"/>
      <c r="AQ44" s="59" t="n">
        <v>8</v>
      </c>
      <c r="AR44" s="155" t="inlineStr">
        <is>
          <t>Odoo Universal Unique Brands › Bodega 25 › Bodega 25/General: 8</t>
        </is>
      </c>
    </row>
    <row r="45">
      <c r="A45" s="50" t="inlineStr">
        <is>
          <t>199168042684</t>
        </is>
      </c>
      <c r="B45" s="51" t="n"/>
      <c r="C45" s="156" t="inlineStr">
        <is>
          <t>Roper</t>
        </is>
      </c>
      <c r="D45" s="156" t="inlineStr">
        <is>
          <t>01-001-0101-7003</t>
        </is>
      </c>
      <c r="E45" s="156" t="inlineStr">
        <is>
          <t>01-001-0101-7003 BR-S</t>
        </is>
      </c>
      <c r="F45" s="156" t="inlineStr">
        <is>
          <t>S</t>
        </is>
      </c>
      <c r="G45" s="156" t="inlineStr">
        <is>
          <t>S</t>
        </is>
      </c>
      <c r="H45" s="156" t="inlineStr">
        <is>
          <t>Roper</t>
        </is>
      </c>
      <c r="I45" s="156" t="inlineStr">
        <is>
          <t>ROPER Shirt Brown/Black/Tan Plaid</t>
        </is>
      </c>
      <c r="J45" s="156" t="inlineStr">
        <is>
          <t>Ropa</t>
        </is>
      </c>
      <c r="K45" s="156" t="inlineStr">
        <is>
          <t>Camisas</t>
        </is>
      </c>
      <c r="L45" s="156" t="n"/>
      <c r="M45" s="156" t="n"/>
      <c r="N45" s="156" t="n"/>
      <c r="O45" s="156" t="n"/>
      <c r="P45" s="156" t="inlineStr">
        <is>
          <t>Cafe</t>
        </is>
      </c>
      <c r="Q45" s="156" t="n"/>
      <c r="R45" s="156" t="n"/>
      <c r="S45" s="156" t="n"/>
      <c r="T45" s="156" t="n"/>
      <c r="U45" s="156" t="n"/>
      <c r="V45" s="156" t="inlineStr">
        <is>
          <t>PZS</t>
        </is>
      </c>
      <c r="W45" s="51" t="inlineStr">
        <is>
          <t>53101602</t>
        </is>
      </c>
      <c r="X45" s="156" t="n"/>
      <c r="Y45" s="54" t="n">
        <v>22.55</v>
      </c>
      <c r="Z45" s="54" t="n">
        <v>629</v>
      </c>
      <c r="AA45" s="55">
        <f>IF(AND(A45="", B45="", E45=""), "", IF(AB45="", "Válido", IF((LEN(AB45)-LEN(SUBSTITUTE(AB45,"; ","")))/2+1&gt;(LEN(AB45)-LEN(SUBSTITUTE(AB45,"[Aviso]","")))/7, "Con Incidencias", "Válido")))</f>
        <v/>
      </c>
      <c r="AB45" s="56">
        <f>IF(AND(A45="", B45="", E45=""), "", TEXTJOIN("; ", TRUE, IF(OR(TRIM(A45&amp;"")="", ISNUMBER(SEARCH("FALTA", A45))), "UPC faltante/inválido", ""), IF(AND(A45&lt;&gt;"", IFERROR(_xlfn.XMATCH(A45,$A$2:$A$285,0,1)&lt;&gt;_xlfn.XMATCH(A45,$A$2:$A$285,0,-1),FALSE)), "Código de barras duplicado", ""), IF(AND(E45&lt;&gt;"", COUNTIF($E$2:$E$285, E45)&gt;1), "SKU duplicado", ""), IF(OR(J45="", J45=""), "[Aviso] División no capturada ()", IF(ISNA(MATCH(J45, Criterios!$A$123:$A$126, 0)), "División no válida", "")), IF(OR(K45="", K45=""), "[Aviso] Categoría no capturada ()", IF(ISNA(MATCH(K45, Criterios!$A$81:$A$120, 0)), "Categoría no válida", IF(AND(J45&lt;&gt;"", J45&lt;&gt;"", J45&lt;&gt;VLOOKUP(K45, Criterios!$A$81:$B$120, 2, FALSE)), "División no coincide con Categoría", ""))), IF(OR(L45="", L45=""), "[Aviso] Género no capturado ()", IF(ISNA(MATCH(L45, Criterios!$B$123:$B$127, 0)), "Género no válido", "")), IF(OR(N45="", N45=""), "[Aviso] Temporada no capturada ()", IF(ISNA(MATCH(N45, Criterios!$C$123:$C$128, 0)), "Temporada no válida", "")), IF(OR(O45="", O45=""), "[Aviso] Ciclo de vida no capturado ()", IF(ISNA(MATCH(O45, Criterios!$D$123:$D$124, 0)), "Ciclo de vida no válido", ""))))</f>
        <v/>
      </c>
      <c r="AC45" s="56" t="n"/>
      <c r="AD45" s="51" t="n"/>
      <c r="AE45" s="156" t="n"/>
      <c r="AF45" s="51" t="n"/>
      <c r="AG45" s="156" t="inlineStr">
        <is>
          <t>Nuevo – Odoo Universal Unique Brands 01/10/2026</t>
        </is>
      </c>
      <c r="AH45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(brown) | Homologación G1522 06/10/2026: WB N.º de estilo: «» → «01-001-0101-7003» (Completado por regla)</t>
        </is>
      </c>
      <c r="AI45" s="156" t="n"/>
      <c r="AJ45" s="156" t="n"/>
      <c r="AK45" s="155" t="inlineStr">
        <is>
          <t>Odoo: producto 21114 / plantilla 27117</t>
        </is>
      </c>
      <c r="AL45" s="58" t="n"/>
      <c r="AM45" s="58" t="n"/>
      <c r="AN45" s="155" t="inlineStr">
        <is>
          <t>Odoo Universal Unique Brands</t>
        </is>
      </c>
      <c r="AO45" s="59" t="n"/>
      <c r="AP45" s="59" t="n"/>
      <c r="AQ45" s="59" t="n">
        <v>5</v>
      </c>
      <c r="AR45" s="155" t="inlineStr">
        <is>
          <t>Odoo Universal Unique Brands › Bodega 25 › Bodega 25/General: 5</t>
        </is>
      </c>
    </row>
    <row r="46">
      <c r="A46" s="50" t="inlineStr">
        <is>
          <t>199168042691</t>
        </is>
      </c>
      <c r="B46" s="51" t="n"/>
      <c r="C46" s="156" t="inlineStr">
        <is>
          <t>Roper</t>
        </is>
      </c>
      <c r="D46" s="156" t="inlineStr">
        <is>
          <t>01-001-0101-7003</t>
        </is>
      </c>
      <c r="E46" s="156" t="inlineStr">
        <is>
          <t>01-001-0101-7003 BR-XL</t>
        </is>
      </c>
      <c r="F46" s="156" t="inlineStr">
        <is>
          <t>XL</t>
        </is>
      </c>
      <c r="G46" s="156" t="inlineStr">
        <is>
          <t>XL</t>
        </is>
      </c>
      <c r="H46" s="156" t="inlineStr">
        <is>
          <t>Roper</t>
        </is>
      </c>
      <c r="I46" s="156" t="inlineStr">
        <is>
          <t>ROPER Shirt Brown/Black/Tan Plaid</t>
        </is>
      </c>
      <c r="J46" s="156" t="inlineStr">
        <is>
          <t>Ropa</t>
        </is>
      </c>
      <c r="K46" s="156" t="inlineStr">
        <is>
          <t>Camisas</t>
        </is>
      </c>
      <c r="L46" s="156" t="n"/>
      <c r="M46" s="156" t="n"/>
      <c r="N46" s="156" t="n"/>
      <c r="O46" s="156" t="n"/>
      <c r="P46" s="156" t="inlineStr">
        <is>
          <t>Cafe</t>
        </is>
      </c>
      <c r="Q46" s="156" t="n"/>
      <c r="R46" s="156" t="n"/>
      <c r="S46" s="156" t="n"/>
      <c r="T46" s="156" t="n"/>
      <c r="U46" s="156" t="n"/>
      <c r="V46" s="156" t="inlineStr">
        <is>
          <t>PZS</t>
        </is>
      </c>
      <c r="W46" s="51" t="inlineStr">
        <is>
          <t>53101602</t>
        </is>
      </c>
      <c r="X46" s="156" t="n"/>
      <c r="Y46" s="54" t="n">
        <v>22.55</v>
      </c>
      <c r="Z46" s="54" t="n">
        <v>629</v>
      </c>
      <c r="AA46" s="55">
        <f>IF(AND(A46="", B46="", E46=""), "", IF(AB46="", "Válido", IF((LEN(AB46)-LEN(SUBSTITUTE(AB46,"; ","")))/2+1&gt;(LEN(AB46)-LEN(SUBSTITUTE(AB46,"[Aviso]","")))/7, "Con Incidencias", "Válido")))</f>
        <v/>
      </c>
      <c r="AB46" s="56">
        <f>IF(AND(A46="", B46="", E46=""), "", TEXTJOIN("; ", TRUE, IF(OR(TRIM(A46&amp;"")="", ISNUMBER(SEARCH("FALTA", A46))), "UPC faltante/inválido", ""), IF(AND(A46&lt;&gt;"", IFERROR(_xlfn.XMATCH(A46,$A$2:$A$285,0,1)&lt;&gt;_xlfn.XMATCH(A46,$A$2:$A$285,0,-1),FALSE)), "Código de barras duplicado", ""), IF(AND(E46&lt;&gt;"", COUNTIF($E$2:$E$285, E46)&gt;1), "SKU duplicado", ""), IF(OR(J46="", J46=""), "[Aviso] División no capturada ()", IF(ISNA(MATCH(J46, Criterios!$A$123:$A$126, 0)), "División no válida", "")), IF(OR(K46="", K46=""), "[Aviso] Categoría no capturada ()", IF(ISNA(MATCH(K46, Criterios!$A$81:$A$120, 0)), "Categoría no válida", IF(AND(J46&lt;&gt;"", J46&lt;&gt;"", J46&lt;&gt;VLOOKUP(K46, Criterios!$A$81:$B$120, 2, FALSE)), "División no coincide con Categoría", ""))), IF(OR(L46="", L46=""), "[Aviso] Género no capturado ()", IF(ISNA(MATCH(L46, Criterios!$B$123:$B$127, 0)), "Género no válido", "")), IF(OR(N46="", N46=""), "[Aviso] Temporada no capturada ()", IF(ISNA(MATCH(N46, Criterios!$C$123:$C$128, 0)), "Temporada no válida", "")), IF(OR(O46="", O46=""), "[Aviso] Ciclo de vida no capturado ()", IF(ISNA(MATCH(O46, Criterios!$D$123:$D$124, 0)), "Ciclo de vida no válido", ""))))</f>
        <v/>
      </c>
      <c r="AC46" s="56" t="n"/>
      <c r="AD46" s="51" t="n"/>
      <c r="AE46" s="156" t="n"/>
      <c r="AF46" s="51" t="n"/>
      <c r="AG46" s="156" t="inlineStr">
        <is>
          <t>Nuevo – Odoo Universal Unique Brands 01/10/2026</t>
        </is>
      </c>
      <c r="AH46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(brown) | Homologación G1522 06/10/2026: WB N.º de estilo: «» → «01-001-0101-7003» (Completado por regla)</t>
        </is>
      </c>
      <c r="AI46" s="156" t="n"/>
      <c r="AJ46" s="156" t="n"/>
      <c r="AK46" s="155" t="inlineStr">
        <is>
          <t>Odoo: producto 21117 / plantilla 27120</t>
        </is>
      </c>
      <c r="AL46" s="58" t="n"/>
      <c r="AM46" s="58" t="n"/>
      <c r="AN46" s="155" t="inlineStr">
        <is>
          <t>Odoo Universal Unique Brands</t>
        </is>
      </c>
      <c r="AO46" s="59" t="n"/>
      <c r="AP46" s="59" t="n"/>
      <c r="AQ46" s="59" t="n">
        <v>8</v>
      </c>
      <c r="AR46" s="155" t="inlineStr">
        <is>
          <t>Odoo Universal Unique Brands › Bodega 25 › Bodega 25/General: 8</t>
        </is>
      </c>
    </row>
    <row r="47">
      <c r="A47" s="50" t="inlineStr">
        <is>
          <t>199168042943</t>
        </is>
      </c>
      <c r="B47" s="51" t="n"/>
      <c r="C47" s="156" t="inlineStr">
        <is>
          <t>Roper</t>
        </is>
      </c>
      <c r="D47" s="156" t="inlineStr">
        <is>
          <t>01-001-0101-7007</t>
        </is>
      </c>
      <c r="E47" s="156" t="inlineStr">
        <is>
          <t>01-001-0101-7007 BU-2XL</t>
        </is>
      </c>
      <c r="F47" s="156" t="inlineStr">
        <is>
          <t>XXL</t>
        </is>
      </c>
      <c r="G47" s="156" t="inlineStr">
        <is>
          <t>XXL</t>
        </is>
      </c>
      <c r="H47" s="156" t="inlineStr">
        <is>
          <t>Roper</t>
        </is>
      </c>
      <c r="I47" s="156" t="inlineStr">
        <is>
          <t>ROPER Shirt Tq/Cobalt/Chocolate Plaid</t>
        </is>
      </c>
      <c r="J47" s="156" t="inlineStr">
        <is>
          <t>Ropa</t>
        </is>
      </c>
      <c r="K47" s="156" t="inlineStr">
        <is>
          <t>Camisas</t>
        </is>
      </c>
      <c r="L47" s="156" t="n"/>
      <c r="M47" s="156" t="n"/>
      <c r="N47" s="156" t="n"/>
      <c r="O47" s="156" t="n"/>
      <c r="P47" s="156" t="inlineStr">
        <is>
          <t>Cafe</t>
        </is>
      </c>
      <c r="Q47" s="156" t="n"/>
      <c r="R47" s="156" t="n"/>
      <c r="S47" s="156" t="n"/>
      <c r="T47" s="156" t="n"/>
      <c r="U47" s="156" t="n"/>
      <c r="V47" s="156" t="inlineStr">
        <is>
          <t>PZS</t>
        </is>
      </c>
      <c r="W47" s="51" t="inlineStr">
        <is>
          <t>53101602</t>
        </is>
      </c>
      <c r="X47" s="156" t="n"/>
      <c r="Y47" s="54" t="n">
        <v>22.55</v>
      </c>
      <c r="Z47" s="54" t="n">
        <v>629</v>
      </c>
      <c r="AA47" s="55">
        <f>IF(AND(A47="", B47="", E47=""), "", IF(AB47="", "Válido", IF((LEN(AB47)-LEN(SUBSTITUTE(AB47,"; ","")))/2+1&gt;(LEN(AB47)-LEN(SUBSTITUTE(AB47,"[Aviso]","")))/7, "Con Incidencias", "Válido")))</f>
        <v/>
      </c>
      <c r="AB47" s="56">
        <f>IF(AND(A47="", B47="", E47=""), "", TEXTJOIN("; ", TRUE, IF(OR(TRIM(A47&amp;"")="", ISNUMBER(SEARCH("FALTA", A47))), "UPC faltante/inválido", ""), IF(AND(A47&lt;&gt;"", IFERROR(_xlfn.XMATCH(A47,$A$2:$A$285,0,1)&lt;&gt;_xlfn.XMATCH(A47,$A$2:$A$285,0,-1),FALSE)), "Código de barras duplicado", ""), IF(AND(E47&lt;&gt;"", COUNTIF($E$2:$E$285, E47)&gt;1), "SKU duplicado", ""), IF(OR(J47="", J47=""), "[Aviso] División no capturada ()", IF(ISNA(MATCH(J47, Criterios!$A$123:$A$126, 0)), "División no válida", "")), IF(OR(K47="", K47=""), "[Aviso] Categoría no capturada ()", IF(ISNA(MATCH(K47, Criterios!$A$81:$A$120, 0)), "Categoría no válida", IF(AND(J47&lt;&gt;"", J47&lt;&gt;"", J47&lt;&gt;VLOOKUP(K47, Criterios!$A$81:$B$120, 2, FALSE)), "División no coincide con Categoría", ""))), IF(OR(L47="", L47=""), "[Aviso] Género no capturado ()", IF(ISNA(MATCH(L47, Criterios!$B$123:$B$127, 0)), "Género no válido", "")), IF(OR(N47="", N47=""), "[Aviso] Temporada no capturada ()", IF(ISNA(MATCH(N47, Criterios!$C$123:$C$128, 0)), "Temporada no válida", "")), IF(OR(O47="", O47=""), "[Aviso] Ciclo de vida no capturado ()", IF(ISNA(MATCH(O47, Criterios!$D$123:$D$124, 0)), "Ciclo de vida no válido", ""))))</f>
        <v/>
      </c>
      <c r="AC47" s="56" t="n"/>
      <c r="AD47" s="51" t="n"/>
      <c r="AE47" s="156" t="n"/>
      <c r="AF47" s="51" t="n"/>
      <c r="AG47" s="156" t="inlineStr">
        <is>
          <t>Nuevo – Odoo Universal Unique Brands 01/10/2026</t>
        </is>
      </c>
      <c r="AH4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(chocolate) | Homologación G1522 06/10/2026: WB N.º de estilo: «» → «01-001-0101-7007» (Completado por regla)</t>
        </is>
      </c>
      <c r="AI47" s="156" t="n"/>
      <c r="AJ47" s="156" t="n"/>
      <c r="AK47" s="155" t="inlineStr">
        <is>
          <t>Odoo: producto 20923 / plantilla 26926</t>
        </is>
      </c>
      <c r="AL47" s="58" t="n"/>
      <c r="AM47" s="58" t="n"/>
      <c r="AN47" s="155" t="inlineStr">
        <is>
          <t>Odoo Universal Unique Brands</t>
        </is>
      </c>
      <c r="AO47" s="59" t="n"/>
      <c r="AP47" s="59" t="n"/>
      <c r="AQ47" s="59" t="n">
        <v>6</v>
      </c>
      <c r="AR47" s="155" t="inlineStr">
        <is>
          <t>Odoo Universal Unique Brands › Bodega 25 › Bodega 25/General: 6</t>
        </is>
      </c>
    </row>
    <row r="48">
      <c r="A48" s="50" t="inlineStr">
        <is>
          <t>199168042905</t>
        </is>
      </c>
      <c r="B48" s="51" t="n"/>
      <c r="C48" s="156" t="inlineStr">
        <is>
          <t>Roper</t>
        </is>
      </c>
      <c r="D48" s="156" t="inlineStr">
        <is>
          <t>01-001-0101-7007</t>
        </is>
      </c>
      <c r="E48" s="156" t="inlineStr">
        <is>
          <t>01-001-0101-7007 BU-L</t>
        </is>
      </c>
      <c r="F48" s="156" t="inlineStr">
        <is>
          <t>L</t>
        </is>
      </c>
      <c r="G48" s="156" t="inlineStr">
        <is>
          <t>L</t>
        </is>
      </c>
      <c r="H48" s="156" t="inlineStr">
        <is>
          <t>Roper</t>
        </is>
      </c>
      <c r="I48" s="156" t="inlineStr">
        <is>
          <t>ROPER Shirt Tq/Cobalt/Chocolate Plaid</t>
        </is>
      </c>
      <c r="J48" s="156" t="inlineStr">
        <is>
          <t>Ropa</t>
        </is>
      </c>
      <c r="K48" s="156" t="inlineStr">
        <is>
          <t>Camisas</t>
        </is>
      </c>
      <c r="L48" s="156" t="n"/>
      <c r="M48" s="156" t="n"/>
      <c r="N48" s="156" t="n"/>
      <c r="O48" s="156" t="n"/>
      <c r="P48" s="156" t="inlineStr">
        <is>
          <t>Cafe</t>
        </is>
      </c>
      <c r="Q48" s="156" t="n"/>
      <c r="R48" s="156" t="n"/>
      <c r="S48" s="156" t="n"/>
      <c r="T48" s="156" t="n"/>
      <c r="U48" s="156" t="n"/>
      <c r="V48" s="156" t="inlineStr">
        <is>
          <t>PZS</t>
        </is>
      </c>
      <c r="W48" s="51" t="inlineStr">
        <is>
          <t>53101602</t>
        </is>
      </c>
      <c r="X48" s="156" t="n"/>
      <c r="Y48" s="54" t="n">
        <v>22.55</v>
      </c>
      <c r="Z48" s="54" t="n">
        <v>629</v>
      </c>
      <c r="AA48" s="55">
        <f>IF(AND(A48="", B48="", E48=""), "", IF(AB48="", "Válido", IF((LEN(AB48)-LEN(SUBSTITUTE(AB48,"; ","")))/2+1&gt;(LEN(AB48)-LEN(SUBSTITUTE(AB48,"[Aviso]","")))/7, "Con Incidencias", "Válido")))</f>
        <v/>
      </c>
      <c r="AB48" s="56">
        <f>IF(AND(A48="", B48="", E48=""), "", TEXTJOIN("; ", TRUE, IF(OR(TRIM(A48&amp;"")="", ISNUMBER(SEARCH("FALTA", A48))), "UPC faltante/inválido", ""), IF(AND(A48&lt;&gt;"", IFERROR(_xlfn.XMATCH(A48,$A$2:$A$285,0,1)&lt;&gt;_xlfn.XMATCH(A48,$A$2:$A$285,0,-1),FALSE)), "Código de barras duplicado", ""), IF(AND(E48&lt;&gt;"", COUNTIF($E$2:$E$285, E48)&gt;1), "SKU duplicado", ""), IF(OR(J48="", J48=""), "[Aviso] División no capturada ()", IF(ISNA(MATCH(J48, Criterios!$A$123:$A$126, 0)), "División no válida", "")), IF(OR(K48="", K48=""), "[Aviso] Categoría no capturada ()", IF(ISNA(MATCH(K48, Criterios!$A$81:$A$120, 0)), "Categoría no válida", IF(AND(J48&lt;&gt;"", J48&lt;&gt;"", J48&lt;&gt;VLOOKUP(K48, Criterios!$A$81:$B$120, 2, FALSE)), "División no coincide con Categoría", ""))), IF(OR(L48="", L48=""), "[Aviso] Género no capturado ()", IF(ISNA(MATCH(L48, Criterios!$B$123:$B$127, 0)), "Género no válido", "")), IF(OR(N48="", N48=""), "[Aviso] Temporada no capturada ()", IF(ISNA(MATCH(N48, Criterios!$C$123:$C$128, 0)), "Temporada no válida", "")), IF(OR(O48="", O48=""), "[Aviso] Ciclo de vida no capturado ()", IF(ISNA(MATCH(O48, Criterios!$D$123:$D$124, 0)), "Ciclo de vida no válido", ""))))</f>
        <v/>
      </c>
      <c r="AC48" s="56" t="n"/>
      <c r="AD48" s="51" t="n"/>
      <c r="AE48" s="156" t="n"/>
      <c r="AF48" s="51" t="n"/>
      <c r="AG48" s="156" t="inlineStr">
        <is>
          <t>Nuevo – Odoo Universal Unique Brands 01/10/2026</t>
        </is>
      </c>
      <c r="AH48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(chocolate) | Homologación G1522 06/10/2026: WB N.º de estilo: «» → «01-001-0101-7007» (Completado por regla)</t>
        </is>
      </c>
      <c r="AI48" s="156" t="n"/>
      <c r="AJ48" s="156" t="n"/>
      <c r="AK48" s="155" t="inlineStr">
        <is>
          <t>Odoo: producto 20921 / plantilla 26924</t>
        </is>
      </c>
      <c r="AL48" s="58" t="n"/>
      <c r="AM48" s="58" t="n"/>
      <c r="AN48" s="155" t="inlineStr">
        <is>
          <t>Odoo Universal Unique Brands</t>
        </is>
      </c>
      <c r="AO48" s="59" t="n"/>
      <c r="AP48" s="59" t="n"/>
      <c r="AQ48" s="59" t="n">
        <v>11</v>
      </c>
      <c r="AR48" s="155" t="inlineStr">
        <is>
          <t>Odoo Universal Unique Brands › Bodega 25 › Bodega 25/General: 11</t>
        </is>
      </c>
    </row>
    <row r="49">
      <c r="A49" s="50" t="inlineStr">
        <is>
          <t>199168042912</t>
        </is>
      </c>
      <c r="B49" s="51" t="n"/>
      <c r="C49" s="156" t="inlineStr">
        <is>
          <t>Roper</t>
        </is>
      </c>
      <c r="D49" s="156" t="inlineStr">
        <is>
          <t>01-001-0101-7007</t>
        </is>
      </c>
      <c r="E49" s="156" t="inlineStr">
        <is>
          <t>01-001-0101-7007 BU-M</t>
        </is>
      </c>
      <c r="F49" s="156" t="inlineStr">
        <is>
          <t>M</t>
        </is>
      </c>
      <c r="G49" s="156" t="inlineStr">
        <is>
          <t>M</t>
        </is>
      </c>
      <c r="H49" s="156" t="inlineStr">
        <is>
          <t>Roper</t>
        </is>
      </c>
      <c r="I49" s="156" t="inlineStr">
        <is>
          <t>ROPER Shirt Tq/Cobalt/Chocolate Plaid</t>
        </is>
      </c>
      <c r="J49" s="156" t="inlineStr">
        <is>
          <t>Ropa</t>
        </is>
      </c>
      <c r="K49" s="156" t="inlineStr">
        <is>
          <t>Camisas</t>
        </is>
      </c>
      <c r="L49" s="156" t="n"/>
      <c r="M49" s="156" t="n"/>
      <c r="N49" s="156" t="n"/>
      <c r="O49" s="156" t="n"/>
      <c r="P49" s="156" t="inlineStr">
        <is>
          <t>Cafe</t>
        </is>
      </c>
      <c r="Q49" s="156" t="n"/>
      <c r="R49" s="156" t="n"/>
      <c r="S49" s="156" t="n"/>
      <c r="T49" s="156" t="n"/>
      <c r="U49" s="156" t="n"/>
      <c r="V49" s="156" t="inlineStr">
        <is>
          <t>PZS</t>
        </is>
      </c>
      <c r="W49" s="51" t="inlineStr">
        <is>
          <t>53101602</t>
        </is>
      </c>
      <c r="X49" s="156" t="n"/>
      <c r="Y49" s="54" t="n">
        <v>22.55</v>
      </c>
      <c r="Z49" s="54" t="n">
        <v>629</v>
      </c>
      <c r="AA49" s="55">
        <f>IF(AND(A49="", B49="", E49=""), "", IF(AB49="", "Válido", IF((LEN(AB49)-LEN(SUBSTITUTE(AB49,"; ","")))/2+1&gt;(LEN(AB49)-LEN(SUBSTITUTE(AB49,"[Aviso]","")))/7, "Con Incidencias", "Válido")))</f>
        <v/>
      </c>
      <c r="AB49" s="56">
        <f>IF(AND(A49="", B49="", E49=""), "", TEXTJOIN("; ", TRUE, IF(OR(TRIM(A49&amp;"")="", ISNUMBER(SEARCH("FALTA", A49))), "UPC faltante/inválido", ""), IF(AND(A49&lt;&gt;"", IFERROR(_xlfn.XMATCH(A49,$A$2:$A$285,0,1)&lt;&gt;_xlfn.XMATCH(A49,$A$2:$A$285,0,-1),FALSE)), "Código de barras duplicado", ""), IF(AND(E49&lt;&gt;"", COUNTIF($E$2:$E$285, E49)&gt;1), "SKU duplicado", ""), IF(OR(J49="", J49=""), "[Aviso] División no capturada ()", IF(ISNA(MATCH(J49, Criterios!$A$123:$A$126, 0)), "División no válida", "")), IF(OR(K49="", K49=""), "[Aviso] Categoría no capturada ()", IF(ISNA(MATCH(K49, Criterios!$A$81:$A$120, 0)), "Categoría no válida", IF(AND(J49&lt;&gt;"", J49&lt;&gt;"", J49&lt;&gt;VLOOKUP(K49, Criterios!$A$81:$B$120, 2, FALSE)), "División no coincide con Categoría", ""))), IF(OR(L49="", L49=""), "[Aviso] Género no capturado ()", IF(ISNA(MATCH(L49, Criterios!$B$123:$B$127, 0)), "Género no válido", "")), IF(OR(N49="", N49=""), "[Aviso] Temporada no capturada ()", IF(ISNA(MATCH(N49, Criterios!$C$123:$C$128, 0)), "Temporada no válida", "")), IF(OR(O49="", O49=""), "[Aviso] Ciclo de vida no capturado ()", IF(ISNA(MATCH(O49, Criterios!$D$123:$D$124, 0)), "Ciclo de vida no válido", ""))))</f>
        <v/>
      </c>
      <c r="AC49" s="56" t="n"/>
      <c r="AD49" s="51" t="n"/>
      <c r="AE49" s="156" t="n"/>
      <c r="AF49" s="51" t="n"/>
      <c r="AG49" s="156" t="inlineStr">
        <is>
          <t>Nuevo – Odoo Universal Unique Brands 01/10/2026</t>
        </is>
      </c>
      <c r="AH49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(chocolate) | Homologación G1522 06/10/2026: WB N.º de estilo: «» → «01-001-0101-7007» (Completado por regla)</t>
        </is>
      </c>
      <c r="AI49" s="156" t="n"/>
      <c r="AJ49" s="156" t="n"/>
      <c r="AK49" s="155" t="inlineStr">
        <is>
          <t>Odoo: producto 20920 / plantilla 26923</t>
        </is>
      </c>
      <c r="AL49" s="58" t="n"/>
      <c r="AM49" s="58" t="n"/>
      <c r="AN49" s="155" t="inlineStr">
        <is>
          <t>Odoo Universal Unique Brands</t>
        </is>
      </c>
      <c r="AO49" s="59" t="n"/>
      <c r="AP49" s="59" t="n"/>
      <c r="AQ49" s="59" t="n">
        <v>12</v>
      </c>
      <c r="AR49" s="155" t="inlineStr">
        <is>
          <t>Odoo Universal Unique Brands › Bodega 25 › Bodega 25/General: 12</t>
        </is>
      </c>
    </row>
    <row r="50">
      <c r="A50" s="50" t="inlineStr">
        <is>
          <t>199168042929</t>
        </is>
      </c>
      <c r="B50" s="51" t="n"/>
      <c r="C50" s="156" t="inlineStr">
        <is>
          <t>Roper</t>
        </is>
      </c>
      <c r="D50" s="156" t="inlineStr">
        <is>
          <t>01-001-0101-7007</t>
        </is>
      </c>
      <c r="E50" s="156" t="inlineStr">
        <is>
          <t>01-001-0101-7007 BU-S</t>
        </is>
      </c>
      <c r="F50" s="156" t="inlineStr">
        <is>
          <t>S</t>
        </is>
      </c>
      <c r="G50" s="156" t="inlineStr">
        <is>
          <t>S</t>
        </is>
      </c>
      <c r="H50" s="156" t="inlineStr">
        <is>
          <t>Roper</t>
        </is>
      </c>
      <c r="I50" s="156" t="inlineStr">
        <is>
          <t>ROPER Shirt Tq/Cobalt/Chocolate Plaid</t>
        </is>
      </c>
      <c r="J50" s="156" t="inlineStr">
        <is>
          <t>Ropa</t>
        </is>
      </c>
      <c r="K50" s="156" t="inlineStr">
        <is>
          <t>Camisas</t>
        </is>
      </c>
      <c r="L50" s="156" t="n"/>
      <c r="M50" s="156" t="n"/>
      <c r="N50" s="156" t="n"/>
      <c r="O50" s="156" t="n"/>
      <c r="P50" s="156" t="inlineStr">
        <is>
          <t>Cafe</t>
        </is>
      </c>
      <c r="Q50" s="156" t="n"/>
      <c r="R50" s="156" t="n"/>
      <c r="S50" s="156" t="n"/>
      <c r="T50" s="156" t="n"/>
      <c r="U50" s="156" t="n"/>
      <c r="V50" s="156" t="inlineStr">
        <is>
          <t>PZS</t>
        </is>
      </c>
      <c r="W50" s="51" t="inlineStr">
        <is>
          <t>53101602</t>
        </is>
      </c>
      <c r="X50" s="156" t="n"/>
      <c r="Y50" s="54" t="n">
        <v>22.55</v>
      </c>
      <c r="Z50" s="54" t="n">
        <v>629</v>
      </c>
      <c r="AA50" s="55">
        <f>IF(AND(A50="", B50="", E50=""), "", IF(AB50="", "Válido", IF((LEN(AB50)-LEN(SUBSTITUTE(AB50,"; ","")))/2+1&gt;(LEN(AB50)-LEN(SUBSTITUTE(AB50,"[Aviso]","")))/7, "Con Incidencias", "Válido")))</f>
        <v/>
      </c>
      <c r="AB50" s="56">
        <f>IF(AND(A50="", B50="", E50=""), "", TEXTJOIN("; ", TRUE, IF(OR(TRIM(A50&amp;"")="", ISNUMBER(SEARCH("FALTA", A50))), "UPC faltante/inválido", ""), IF(AND(A50&lt;&gt;"", IFERROR(_xlfn.XMATCH(A50,$A$2:$A$285,0,1)&lt;&gt;_xlfn.XMATCH(A50,$A$2:$A$285,0,-1),FALSE)), "Código de barras duplicado", ""), IF(AND(E50&lt;&gt;"", COUNTIF($E$2:$E$285, E50)&gt;1), "SKU duplicado", ""), IF(OR(J50="", J50=""), "[Aviso] División no capturada ()", IF(ISNA(MATCH(J50, Criterios!$A$123:$A$126, 0)), "División no válida", "")), IF(OR(K50="", K50=""), "[Aviso] Categoría no capturada ()", IF(ISNA(MATCH(K50, Criterios!$A$81:$A$120, 0)), "Categoría no válida", IF(AND(J50&lt;&gt;"", J50&lt;&gt;"", J50&lt;&gt;VLOOKUP(K50, Criterios!$A$81:$B$120, 2, FALSE)), "División no coincide con Categoría", ""))), IF(OR(L50="", L50=""), "[Aviso] Género no capturado ()", IF(ISNA(MATCH(L50, Criterios!$B$123:$B$127, 0)), "Género no válido", "")), IF(OR(N50="", N50=""), "[Aviso] Temporada no capturada ()", IF(ISNA(MATCH(N50, Criterios!$C$123:$C$128, 0)), "Temporada no válida", "")), IF(OR(O50="", O50=""), "[Aviso] Ciclo de vida no capturado ()", IF(ISNA(MATCH(O50, Criterios!$D$123:$D$124, 0)), "Ciclo de vida no válido", ""))))</f>
        <v/>
      </c>
      <c r="AC50" s="56" t="n"/>
      <c r="AD50" s="51" t="n"/>
      <c r="AE50" s="156" t="n"/>
      <c r="AF50" s="51" t="n"/>
      <c r="AG50" s="156" t="inlineStr">
        <is>
          <t>Nuevo – Odoo Universal Unique Brands 01/10/2026</t>
        </is>
      </c>
      <c r="AH50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(chocolate) | Homologación G1522 06/10/2026: WB N.º de estilo: «» → «01-001-0101-7007» (Completado por regla)</t>
        </is>
      </c>
      <c r="AI50" s="156" t="n"/>
      <c r="AJ50" s="156" t="n"/>
      <c r="AK50" s="155" t="inlineStr">
        <is>
          <t>Odoo: producto 20919 / plantilla 26922</t>
        </is>
      </c>
      <c r="AL50" s="58" t="n"/>
      <c r="AM50" s="58" t="n"/>
      <c r="AN50" s="155" t="inlineStr">
        <is>
          <t>Odoo Universal Unique Brands</t>
        </is>
      </c>
      <c r="AO50" s="59" t="n"/>
      <c r="AP50" s="59" t="n"/>
      <c r="AQ50" s="59" t="n">
        <v>13</v>
      </c>
      <c r="AR50" s="155" t="inlineStr">
        <is>
          <t>Odoo Universal Unique Brands › Bodega 25 › Bodega 25/General: 13</t>
        </is>
      </c>
    </row>
    <row r="51">
      <c r="A51" s="50" t="inlineStr">
        <is>
          <t>199168042936</t>
        </is>
      </c>
      <c r="B51" s="51" t="n"/>
      <c r="C51" s="156" t="inlineStr">
        <is>
          <t>Roper</t>
        </is>
      </c>
      <c r="D51" s="156" t="inlineStr">
        <is>
          <t>01-001-0101-7007</t>
        </is>
      </c>
      <c r="E51" s="156" t="inlineStr">
        <is>
          <t>01-001-0101-7007 BU-XL</t>
        </is>
      </c>
      <c r="F51" s="156" t="inlineStr">
        <is>
          <t>XL</t>
        </is>
      </c>
      <c r="G51" s="156" t="inlineStr">
        <is>
          <t>XL</t>
        </is>
      </c>
      <c r="H51" s="156" t="inlineStr">
        <is>
          <t>Roper</t>
        </is>
      </c>
      <c r="I51" s="156" t="inlineStr">
        <is>
          <t>ROPER Shirt Tq/Cobalt/Chocolate Plaid</t>
        </is>
      </c>
      <c r="J51" s="156" t="inlineStr">
        <is>
          <t>Ropa</t>
        </is>
      </c>
      <c r="K51" s="156" t="inlineStr">
        <is>
          <t>Camisas</t>
        </is>
      </c>
      <c r="L51" s="156" t="n"/>
      <c r="M51" s="156" t="n"/>
      <c r="N51" s="156" t="n"/>
      <c r="O51" s="156" t="n"/>
      <c r="P51" s="156" t="inlineStr">
        <is>
          <t>Cafe</t>
        </is>
      </c>
      <c r="Q51" s="156" t="n"/>
      <c r="R51" s="156" t="n"/>
      <c r="S51" s="156" t="n"/>
      <c r="T51" s="156" t="n"/>
      <c r="U51" s="156" t="n"/>
      <c r="V51" s="156" t="inlineStr">
        <is>
          <t>PZS</t>
        </is>
      </c>
      <c r="W51" s="51" t="inlineStr">
        <is>
          <t>53101602</t>
        </is>
      </c>
      <c r="X51" s="156" t="n"/>
      <c r="Y51" s="54" t="n">
        <v>22.55</v>
      </c>
      <c r="Z51" s="54" t="n">
        <v>629</v>
      </c>
      <c r="AA51" s="55">
        <f>IF(AND(A51="", B51="", E51=""), "", IF(AB51="", "Válido", IF((LEN(AB51)-LEN(SUBSTITUTE(AB51,"; ","")))/2+1&gt;(LEN(AB51)-LEN(SUBSTITUTE(AB51,"[Aviso]","")))/7, "Con Incidencias", "Válido")))</f>
        <v/>
      </c>
      <c r="AB51" s="56">
        <f>IF(AND(A51="", B51="", E51=""), "", TEXTJOIN("; ", TRUE, IF(OR(TRIM(A51&amp;"")="", ISNUMBER(SEARCH("FALTA", A51))), "UPC faltante/inválido", ""), IF(AND(A51&lt;&gt;"", IFERROR(_xlfn.XMATCH(A51,$A$2:$A$285,0,1)&lt;&gt;_xlfn.XMATCH(A51,$A$2:$A$285,0,-1),FALSE)), "Código de barras duplicado", ""), IF(AND(E51&lt;&gt;"", COUNTIF($E$2:$E$285, E51)&gt;1), "SKU duplicado", ""), IF(OR(J51="", J51=""), "[Aviso] División no capturada ()", IF(ISNA(MATCH(J51, Criterios!$A$123:$A$126, 0)), "División no válida", "")), IF(OR(K51="", K51=""), "[Aviso] Categoría no capturada ()", IF(ISNA(MATCH(K51, Criterios!$A$81:$A$120, 0)), "Categoría no válida", IF(AND(J51&lt;&gt;"", J51&lt;&gt;"", J51&lt;&gt;VLOOKUP(K51, Criterios!$A$81:$B$120, 2, FALSE)), "División no coincide con Categoría", ""))), IF(OR(L51="", L51=""), "[Aviso] Género no capturado ()", IF(ISNA(MATCH(L51, Criterios!$B$123:$B$127, 0)), "Género no válido", "")), IF(OR(N51="", N51=""), "[Aviso] Temporada no capturada ()", IF(ISNA(MATCH(N51, Criterios!$C$123:$C$128, 0)), "Temporada no válida", "")), IF(OR(O51="", O51=""), "[Aviso] Ciclo de vida no capturado ()", IF(ISNA(MATCH(O51, Criterios!$D$123:$D$124, 0)), "Ciclo de vida no válido", ""))))</f>
        <v/>
      </c>
      <c r="AC51" s="56" t="n"/>
      <c r="AD51" s="51" t="n"/>
      <c r="AE51" s="156" t="n"/>
      <c r="AF51" s="51" t="n"/>
      <c r="AG51" s="156" t="inlineStr">
        <is>
          <t>Nuevo – Odoo Universal Unique Brands 01/10/2026</t>
        </is>
      </c>
      <c r="AH51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(chocolate) | Homologación G1522 06/10/2026: WB N.º de estilo: «» → «01-001-0101-7007» (Completado por regla)</t>
        </is>
      </c>
      <c r="AI51" s="156" t="n"/>
      <c r="AJ51" s="156" t="n"/>
      <c r="AK51" s="155" t="inlineStr">
        <is>
          <t>Odoo: producto 20922 / plantilla 26925</t>
        </is>
      </c>
      <c r="AL51" s="58" t="n"/>
      <c r="AM51" s="58" t="n"/>
      <c r="AN51" s="155" t="inlineStr">
        <is>
          <t>Odoo Universal Unique Brands</t>
        </is>
      </c>
      <c r="AO51" s="59" t="n"/>
      <c r="AP51" s="59" t="n"/>
      <c r="AQ51" s="59" t="n">
        <v>12</v>
      </c>
      <c r="AR51" s="155" t="inlineStr">
        <is>
          <t>Odoo Universal Unique Brands › Bodega 25 › Bodega 25/General: 12</t>
        </is>
      </c>
    </row>
    <row r="52">
      <c r="A52" s="50" t="inlineStr">
        <is>
          <t>199168044138</t>
        </is>
      </c>
      <c r="B52" s="51" t="n"/>
      <c r="C52" s="156" t="inlineStr">
        <is>
          <t>Roper</t>
        </is>
      </c>
      <c r="D52" s="156" t="inlineStr">
        <is>
          <t>01-050-0016-7004</t>
        </is>
      </c>
      <c r="E52" s="156" t="inlineStr">
        <is>
          <t>01-050-0016-7004 BL-L</t>
        </is>
      </c>
      <c r="F52" s="156" t="inlineStr">
        <is>
          <t>L</t>
        </is>
      </c>
      <c r="G52" s="156" t="inlineStr">
        <is>
          <t>L</t>
        </is>
      </c>
      <c r="H52" s="156" t="inlineStr">
        <is>
          <t>Roper</t>
        </is>
      </c>
      <c r="I52" s="156" t="inlineStr">
        <is>
          <t>ROPER Shirt Bl/Wh/Re Plaid</t>
        </is>
      </c>
      <c r="J52" s="156" t="inlineStr">
        <is>
          <t>Ropa</t>
        </is>
      </c>
      <c r="K52" s="156" t="inlineStr">
        <is>
          <t>Camisas</t>
        </is>
      </c>
      <c r="L52" s="156" t="n"/>
      <c r="M52" s="156" t="n"/>
      <c r="N52" s="156" t="n"/>
      <c r="O52" s="156" t="n"/>
      <c r="P52" s="156" t="n"/>
      <c r="Q52" s="156" t="n"/>
      <c r="R52" s="156" t="n"/>
      <c r="S52" s="156" t="n"/>
      <c r="T52" s="156" t="n"/>
      <c r="U52" s="156" t="n"/>
      <c r="V52" s="156" t="inlineStr">
        <is>
          <t>PZS</t>
        </is>
      </c>
      <c r="W52" s="51" t="inlineStr">
        <is>
          <t>53101602</t>
        </is>
      </c>
      <c r="X52" s="156" t="n"/>
      <c r="Y52" s="54" t="n">
        <v>32.09</v>
      </c>
      <c r="Z52" s="54" t="n">
        <v>859</v>
      </c>
      <c r="AA52" s="55">
        <f>IF(AND(A52="", B52="", E52=""), "", IF(AB52="", "Válido", IF((LEN(AB52)-LEN(SUBSTITUTE(AB52,"; ","")))/2+1&gt;(LEN(AB52)-LEN(SUBSTITUTE(AB52,"[Aviso]","")))/7, "Con Incidencias", "Válido")))</f>
        <v/>
      </c>
      <c r="AB52" s="56">
        <f>IF(AND(A52="", B52="", E52=""), "", TEXTJOIN("; ", TRUE, IF(OR(TRIM(A52&amp;"")="", ISNUMBER(SEARCH("FALTA", A52))), "UPC faltante/inválido", ""), IF(AND(A52&lt;&gt;"", IFERROR(_xlfn.XMATCH(A52,$A$2:$A$285,0,1)&lt;&gt;_xlfn.XMATCH(A52,$A$2:$A$285,0,-1),FALSE)), "Código de barras duplicado", ""), IF(AND(E52&lt;&gt;"", COUNTIF($E$2:$E$285, E52)&gt;1), "SKU duplicado", ""), IF(OR(J52="", J52=""), "[Aviso] División no capturada ()", IF(ISNA(MATCH(J52, Criterios!$A$123:$A$126, 0)), "División no válida", "")), IF(OR(K52="", K52=""), "[Aviso] Categoría no capturada ()", IF(ISNA(MATCH(K52, Criterios!$A$81:$A$120, 0)), "Categoría no válida", IF(AND(J52&lt;&gt;"", J52&lt;&gt;"", J52&lt;&gt;VLOOKUP(K52, Criterios!$A$81:$B$120, 2, FALSE)), "División no coincide con Categoría", ""))), IF(OR(L52="", L52=""), "[Aviso] Género no capturado ()", IF(ISNA(MATCH(L52, Criterios!$B$123:$B$127, 0)), "Género no válido", "")), IF(OR(N52="", N52=""), "[Aviso] Temporada no capturada ()", IF(ISNA(MATCH(N52, Criterios!$C$123:$C$128, 0)), "Temporada no válida", "")), IF(OR(O52="", O52=""), "[Aviso] Ciclo de vida no capturado ()", IF(ISNA(MATCH(O52, Criterios!$D$123:$D$124, 0)), "Ciclo de vida no válido", ""))))</f>
        <v/>
      </c>
      <c r="AC52" s="56" t="n"/>
      <c r="AD52" s="51" t="n"/>
      <c r="AE52" s="156" t="n"/>
      <c r="AF52" s="51" t="n"/>
      <c r="AG52" s="156" t="inlineStr">
        <is>
          <t>Nuevo – Odoo Universal Unique Brands 01/10/2026</t>
        </is>
      </c>
      <c r="AH52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«01-050-0016-7004» (Completado por regla) · Validador Shopify: WB: precio con IVA no termina en 9</t>
        </is>
      </c>
      <c r="AI52" s="156" t="n"/>
      <c r="AJ52" s="156" t="n"/>
      <c r="AK52" s="155" t="inlineStr">
        <is>
          <t>Odoo: producto 21011 / plantilla 27014</t>
        </is>
      </c>
      <c r="AL52" s="58" t="n"/>
      <c r="AM52" s="58" t="n"/>
      <c r="AN52" s="155" t="inlineStr">
        <is>
          <t>Odoo Universal Unique Brands</t>
        </is>
      </c>
      <c r="AO52" s="59" t="n"/>
      <c r="AP52" s="59" t="n"/>
      <c r="AQ52" s="59" t="n">
        <v>13</v>
      </c>
      <c r="AR52" s="155" t="inlineStr">
        <is>
          <t>Odoo Universal Unique Brands › Bodega 25 › Bodega 25/General: 13</t>
        </is>
      </c>
    </row>
    <row r="53">
      <c r="A53" s="50" t="inlineStr">
        <is>
          <t>199168044145</t>
        </is>
      </c>
      <c r="B53" s="51" t="n"/>
      <c r="C53" s="156" t="inlineStr">
        <is>
          <t>Roper</t>
        </is>
      </c>
      <c r="D53" s="156" t="inlineStr">
        <is>
          <t>01-050-0016-7004</t>
        </is>
      </c>
      <c r="E53" s="156" t="inlineStr">
        <is>
          <t>01-050-0016-7004 BL-M</t>
        </is>
      </c>
      <c r="F53" s="156" t="inlineStr">
        <is>
          <t>M</t>
        </is>
      </c>
      <c r="G53" s="156" t="inlineStr">
        <is>
          <t>M</t>
        </is>
      </c>
      <c r="H53" s="156" t="inlineStr">
        <is>
          <t>Roper</t>
        </is>
      </c>
      <c r="I53" s="156" t="inlineStr">
        <is>
          <t>ROPER Shirt Bl/Wh/Re Plaid</t>
        </is>
      </c>
      <c r="J53" s="156" t="inlineStr">
        <is>
          <t>Ropa</t>
        </is>
      </c>
      <c r="K53" s="156" t="inlineStr">
        <is>
          <t>Camisas</t>
        </is>
      </c>
      <c r="L53" s="156" t="n"/>
      <c r="M53" s="156" t="n"/>
      <c r="N53" s="156" t="n"/>
      <c r="O53" s="156" t="n"/>
      <c r="P53" s="156" t="n"/>
      <c r="Q53" s="156" t="n"/>
      <c r="R53" s="156" t="n"/>
      <c r="S53" s="156" t="n"/>
      <c r="T53" s="156" t="n"/>
      <c r="U53" s="156" t="n"/>
      <c r="V53" s="156" t="inlineStr">
        <is>
          <t>PZS</t>
        </is>
      </c>
      <c r="W53" s="51" t="inlineStr">
        <is>
          <t>53101602</t>
        </is>
      </c>
      <c r="X53" s="156" t="n"/>
      <c r="Y53" s="54" t="n">
        <v>32.09</v>
      </c>
      <c r="Z53" s="54" t="n">
        <v>859</v>
      </c>
      <c r="AA53" s="55">
        <f>IF(AND(A53="", B53="", E53=""), "", IF(AB53="", "Válido", IF((LEN(AB53)-LEN(SUBSTITUTE(AB53,"; ","")))/2+1&gt;(LEN(AB53)-LEN(SUBSTITUTE(AB53,"[Aviso]","")))/7, "Con Incidencias", "Válido")))</f>
        <v/>
      </c>
      <c r="AB53" s="56">
        <f>IF(AND(A53="", B53="", E53=""), "", TEXTJOIN("; ", TRUE, IF(OR(TRIM(A53&amp;"")="", ISNUMBER(SEARCH("FALTA", A53))), "UPC faltante/inválido", ""), IF(AND(A53&lt;&gt;"", IFERROR(_xlfn.XMATCH(A53,$A$2:$A$285,0,1)&lt;&gt;_xlfn.XMATCH(A53,$A$2:$A$285,0,-1),FALSE)), "Código de barras duplicado", ""), IF(AND(E53&lt;&gt;"", COUNTIF($E$2:$E$285, E53)&gt;1), "SKU duplicado", ""), IF(OR(J53="", J53=""), "[Aviso] División no capturada ()", IF(ISNA(MATCH(J53, Criterios!$A$123:$A$126, 0)), "División no válida", "")), IF(OR(K53="", K53=""), "[Aviso] Categoría no capturada ()", IF(ISNA(MATCH(K53, Criterios!$A$81:$A$120, 0)), "Categoría no válida", IF(AND(J53&lt;&gt;"", J53&lt;&gt;"", J53&lt;&gt;VLOOKUP(K53, Criterios!$A$81:$B$120, 2, FALSE)), "División no coincide con Categoría", ""))), IF(OR(L53="", L53=""), "[Aviso] Género no capturado ()", IF(ISNA(MATCH(L53, Criterios!$B$123:$B$127, 0)), "Género no válido", "")), IF(OR(N53="", N53=""), "[Aviso] Temporada no capturada ()", IF(ISNA(MATCH(N53, Criterios!$C$123:$C$128, 0)), "Temporada no válida", "")), IF(OR(O53="", O53=""), "[Aviso] Ciclo de vida no capturado ()", IF(ISNA(MATCH(O53, Criterios!$D$123:$D$124, 0)), "Ciclo de vida no válido", ""))))</f>
        <v/>
      </c>
      <c r="AC53" s="56" t="n"/>
      <c r="AD53" s="51" t="n"/>
      <c r="AE53" s="156" t="n"/>
      <c r="AF53" s="51" t="n"/>
      <c r="AG53" s="156" t="inlineStr">
        <is>
          <t>Nuevo – Odoo Universal Unique Brands 01/10/2026</t>
        </is>
      </c>
      <c r="AH53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«01-050-0016-7004» (Completado por regla) · Validador Shopify: WB: precio con IVA no termina en 9</t>
        </is>
      </c>
      <c r="AI53" s="156" t="n"/>
      <c r="AJ53" s="156" t="n"/>
      <c r="AK53" s="155" t="inlineStr">
        <is>
          <t>Odoo: producto 21010 / plantilla 27013</t>
        </is>
      </c>
      <c r="AL53" s="58" t="n"/>
      <c r="AM53" s="58" t="n"/>
      <c r="AN53" s="155" t="inlineStr">
        <is>
          <t>Odoo Universal Unique Brands</t>
        </is>
      </c>
      <c r="AO53" s="59" t="n"/>
      <c r="AP53" s="59" t="n"/>
      <c r="AQ53" s="59" t="n">
        <v>12</v>
      </c>
      <c r="AR53" s="155" t="inlineStr">
        <is>
          <t>Odoo Universal Unique Brands › Bodega 25 › Bodega 25/General: 12</t>
        </is>
      </c>
    </row>
    <row r="54">
      <c r="A54" s="50" t="inlineStr">
        <is>
          <t>199168044152</t>
        </is>
      </c>
      <c r="B54" s="51" t="n"/>
      <c r="C54" s="156" t="inlineStr">
        <is>
          <t>Roper</t>
        </is>
      </c>
      <c r="D54" s="156" t="inlineStr">
        <is>
          <t>01-050-0016-7004</t>
        </is>
      </c>
      <c r="E54" s="156" t="inlineStr">
        <is>
          <t>01-050-0016-7004 BL-S</t>
        </is>
      </c>
      <c r="F54" s="156" t="inlineStr">
        <is>
          <t>S</t>
        </is>
      </c>
      <c r="G54" s="156" t="inlineStr">
        <is>
          <t>S</t>
        </is>
      </c>
      <c r="H54" s="156" t="inlineStr">
        <is>
          <t>Roper</t>
        </is>
      </c>
      <c r="I54" s="156" t="inlineStr">
        <is>
          <t>ROPER Shirt Bl/Wh/Re Plaid</t>
        </is>
      </c>
      <c r="J54" s="156" t="inlineStr">
        <is>
          <t>Ropa</t>
        </is>
      </c>
      <c r="K54" s="156" t="inlineStr">
        <is>
          <t>Camisas</t>
        </is>
      </c>
      <c r="L54" s="156" t="n"/>
      <c r="M54" s="156" t="n"/>
      <c r="N54" s="156" t="n"/>
      <c r="O54" s="156" t="n"/>
      <c r="P54" s="156" t="n"/>
      <c r="Q54" s="156" t="n"/>
      <c r="R54" s="156" t="n"/>
      <c r="S54" s="156" t="n"/>
      <c r="T54" s="156" t="n"/>
      <c r="U54" s="156" t="n"/>
      <c r="V54" s="156" t="inlineStr">
        <is>
          <t>PZS</t>
        </is>
      </c>
      <c r="W54" s="51" t="inlineStr">
        <is>
          <t>53101602</t>
        </is>
      </c>
      <c r="X54" s="156" t="n"/>
      <c r="Y54" s="54" t="n">
        <v>32.09</v>
      </c>
      <c r="Z54" s="54" t="n">
        <v>859</v>
      </c>
      <c r="AA54" s="55">
        <f>IF(AND(A54="", B54="", E54=""), "", IF(AB54="", "Válido", IF((LEN(AB54)-LEN(SUBSTITUTE(AB54,"; ","")))/2+1&gt;(LEN(AB54)-LEN(SUBSTITUTE(AB54,"[Aviso]","")))/7, "Con Incidencias", "Válido")))</f>
        <v/>
      </c>
      <c r="AB54" s="56">
        <f>IF(AND(A54="", B54="", E54=""), "", TEXTJOIN("; ", TRUE, IF(OR(TRIM(A54&amp;"")="", ISNUMBER(SEARCH("FALTA", A54))), "UPC faltante/inválido", ""), IF(AND(A54&lt;&gt;"", IFERROR(_xlfn.XMATCH(A54,$A$2:$A$285,0,1)&lt;&gt;_xlfn.XMATCH(A54,$A$2:$A$285,0,-1),FALSE)), "Código de barras duplicado", ""), IF(AND(E54&lt;&gt;"", COUNTIF($E$2:$E$285, E54)&gt;1), "SKU duplicado", ""), IF(OR(J54="", J54=""), "[Aviso] División no capturada ()", IF(ISNA(MATCH(J54, Criterios!$A$123:$A$126, 0)), "División no válida", "")), IF(OR(K54="", K54=""), "[Aviso] Categoría no capturada ()", IF(ISNA(MATCH(K54, Criterios!$A$81:$A$120, 0)), "Categoría no válida", IF(AND(J54&lt;&gt;"", J54&lt;&gt;"", J54&lt;&gt;VLOOKUP(K54, Criterios!$A$81:$B$120, 2, FALSE)), "División no coincide con Categoría", ""))), IF(OR(L54="", L54=""), "[Aviso] Género no capturado ()", IF(ISNA(MATCH(L54, Criterios!$B$123:$B$127, 0)), "Género no válido", "")), IF(OR(N54="", N54=""), "[Aviso] Temporada no capturada ()", IF(ISNA(MATCH(N54, Criterios!$C$123:$C$128, 0)), "Temporada no válida", "")), IF(OR(O54="", O54=""), "[Aviso] Ciclo de vida no capturado ()", IF(ISNA(MATCH(O54, Criterios!$D$123:$D$124, 0)), "Ciclo de vida no válido", ""))))</f>
        <v/>
      </c>
      <c r="AC54" s="56" t="n"/>
      <c r="AD54" s="51" t="n"/>
      <c r="AE54" s="156" t="n"/>
      <c r="AF54" s="51" t="n"/>
      <c r="AG54" s="156" t="inlineStr">
        <is>
          <t>Nuevo – Odoo Universal Unique Brands 01/10/2026</t>
        </is>
      </c>
      <c r="AH54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«01-050-0016-7004» (Completado por regla) · Validador Shopify: WB: precio con IVA no termina en 9</t>
        </is>
      </c>
      <c r="AI54" s="156" t="n"/>
      <c r="AJ54" s="156" t="n"/>
      <c r="AK54" s="155" t="inlineStr">
        <is>
          <t>Odoo: producto 21009 / plantilla 27012</t>
        </is>
      </c>
      <c r="AL54" s="58" t="n"/>
      <c r="AM54" s="58" t="n"/>
      <c r="AN54" s="155" t="inlineStr">
        <is>
          <t>Odoo Universal Unique Brands</t>
        </is>
      </c>
      <c r="AO54" s="59" t="n"/>
      <c r="AP54" s="59" t="n"/>
      <c r="AQ54" s="59" t="n">
        <v>10</v>
      </c>
      <c r="AR54" s="155" t="inlineStr">
        <is>
          <t>Odoo Universal Unique Brands › Bodega 25 › Bodega 25/General: 10</t>
        </is>
      </c>
    </row>
    <row r="55">
      <c r="A55" s="50" t="inlineStr">
        <is>
          <t>199168044169</t>
        </is>
      </c>
      <c r="B55" s="51" t="n"/>
      <c r="C55" s="156" t="inlineStr">
        <is>
          <t>Roper</t>
        </is>
      </c>
      <c r="D55" s="156" t="inlineStr">
        <is>
          <t>01-050-0016-7004</t>
        </is>
      </c>
      <c r="E55" s="156" t="inlineStr">
        <is>
          <t>01-050-0016-7004 BL-XL</t>
        </is>
      </c>
      <c r="F55" s="156" t="inlineStr">
        <is>
          <t>XL</t>
        </is>
      </c>
      <c r="G55" s="156" t="inlineStr">
        <is>
          <t>XL</t>
        </is>
      </c>
      <c r="H55" s="156" t="inlineStr">
        <is>
          <t>Roper</t>
        </is>
      </c>
      <c r="I55" s="156" t="inlineStr">
        <is>
          <t>ROPER Shirt Bl/Wh/Re Plaid</t>
        </is>
      </c>
      <c r="J55" s="156" t="inlineStr">
        <is>
          <t>Ropa</t>
        </is>
      </c>
      <c r="K55" s="156" t="inlineStr">
        <is>
          <t>Camisas</t>
        </is>
      </c>
      <c r="L55" s="156" t="n"/>
      <c r="M55" s="156" t="n"/>
      <c r="N55" s="156" t="n"/>
      <c r="O55" s="156" t="n"/>
      <c r="P55" s="156" t="n"/>
      <c r="Q55" s="156" t="n"/>
      <c r="R55" s="156" t="n"/>
      <c r="S55" s="156" t="n"/>
      <c r="T55" s="156" t="n"/>
      <c r="U55" s="156" t="n"/>
      <c r="V55" s="156" t="inlineStr">
        <is>
          <t>PZS</t>
        </is>
      </c>
      <c r="W55" s="51" t="inlineStr">
        <is>
          <t>53101602</t>
        </is>
      </c>
      <c r="X55" s="156" t="n"/>
      <c r="Y55" s="54" t="n">
        <v>32.09</v>
      </c>
      <c r="Z55" s="54" t="n">
        <v>859</v>
      </c>
      <c r="AA55" s="55">
        <f>IF(AND(A55="", B55="", E55=""), "", IF(AB55="", "Válido", IF((LEN(AB55)-LEN(SUBSTITUTE(AB55,"; ","")))/2+1&gt;(LEN(AB55)-LEN(SUBSTITUTE(AB55,"[Aviso]","")))/7, "Con Incidencias", "Válido")))</f>
        <v/>
      </c>
      <c r="AB55" s="56">
        <f>IF(AND(A55="", B55="", E55=""), "", TEXTJOIN("; ", TRUE, IF(OR(TRIM(A55&amp;"")="", ISNUMBER(SEARCH("FALTA", A55))), "UPC faltante/inválido", ""), IF(AND(A55&lt;&gt;"", IFERROR(_xlfn.XMATCH(A55,$A$2:$A$285,0,1)&lt;&gt;_xlfn.XMATCH(A55,$A$2:$A$285,0,-1),FALSE)), "Código de barras duplicado", ""), IF(AND(E55&lt;&gt;"", COUNTIF($E$2:$E$285, E55)&gt;1), "SKU duplicado", ""), IF(OR(J55="", J55=""), "[Aviso] División no capturada ()", IF(ISNA(MATCH(J55, Criterios!$A$123:$A$126, 0)), "División no válida", "")), IF(OR(K55="", K55=""), "[Aviso] Categoría no capturada ()", IF(ISNA(MATCH(K55, Criterios!$A$81:$A$120, 0)), "Categoría no válida", IF(AND(J55&lt;&gt;"", J55&lt;&gt;"", J55&lt;&gt;VLOOKUP(K55, Criterios!$A$81:$B$120, 2, FALSE)), "División no coincide con Categoría", ""))), IF(OR(L55="", L55=""), "[Aviso] Género no capturado ()", IF(ISNA(MATCH(L55, Criterios!$B$123:$B$127, 0)), "Género no válido", "")), IF(OR(N55="", N55=""), "[Aviso] Temporada no capturada ()", IF(ISNA(MATCH(N55, Criterios!$C$123:$C$128, 0)), "Temporada no válida", "")), IF(OR(O55="", O55=""), "[Aviso] Ciclo de vida no capturado ()", IF(ISNA(MATCH(O55, Criterios!$D$123:$D$124, 0)), "Ciclo de vida no válido", ""))))</f>
        <v/>
      </c>
      <c r="AC55" s="56" t="n"/>
      <c r="AD55" s="51" t="n"/>
      <c r="AE55" s="156" t="n"/>
      <c r="AF55" s="51" t="n"/>
      <c r="AG55" s="156" t="inlineStr">
        <is>
          <t>Nuevo – Odoo Universal Unique Brands 01/10/2026</t>
        </is>
      </c>
      <c r="AH55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«01-050-0016-7004» (Completado por regla) · Validador Shopify: WB: precio con IVA no termina en 9</t>
        </is>
      </c>
      <c r="AI55" s="156" t="n"/>
      <c r="AJ55" s="156" t="n"/>
      <c r="AK55" s="155" t="inlineStr">
        <is>
          <t>Odoo: producto 21012 / plantilla 27015</t>
        </is>
      </c>
      <c r="AL55" s="58" t="n"/>
      <c r="AM55" s="58" t="n"/>
      <c r="AN55" s="155" t="inlineStr">
        <is>
          <t>Odoo Universal Unique Brands</t>
        </is>
      </c>
      <c r="AO55" s="59" t="n"/>
      <c r="AP55" s="59" t="n"/>
      <c r="AQ55" s="59" t="n">
        <v>17</v>
      </c>
      <c r="AR55" s="155" t="inlineStr">
        <is>
          <t>Odoo Universal Unique Brands › Bodega 25 › Bodega 25/General: 17</t>
        </is>
      </c>
    </row>
    <row r="56">
      <c r="A56" s="50" t="inlineStr">
        <is>
          <t>199168044237</t>
        </is>
      </c>
      <c r="B56" s="51" t="n"/>
      <c r="C56" s="156" t="inlineStr">
        <is>
          <t>Roper</t>
        </is>
      </c>
      <c r="D56" s="156" t="inlineStr">
        <is>
          <t>01-050-0016-7005</t>
        </is>
      </c>
      <c r="E56" s="156" t="inlineStr">
        <is>
          <t>01-050-0016-7005 BR-1XL</t>
        </is>
      </c>
      <c r="F56" s="156" t="n"/>
      <c r="G56" s="156" t="n"/>
      <c r="H56" s="156" t="inlineStr">
        <is>
          <t>Roper</t>
        </is>
      </c>
      <c r="I56" s="156" t="inlineStr">
        <is>
          <t>ROPER Shirt BrGy//Peri Plaid</t>
        </is>
      </c>
      <c r="J56" s="156" t="inlineStr">
        <is>
          <t>Ropa</t>
        </is>
      </c>
      <c r="K56" s="156" t="inlineStr">
        <is>
          <t>Camisas</t>
        </is>
      </c>
      <c r="L56" s="156" t="n"/>
      <c r="M56" s="156" t="n"/>
      <c r="N56" s="156" t="n"/>
      <c r="O56" s="156" t="n"/>
      <c r="P56" s="156" t="n"/>
      <c r="Q56" s="156" t="n"/>
      <c r="R56" s="156" t="n"/>
      <c r="S56" s="156" t="n"/>
      <c r="T56" s="156" t="n"/>
      <c r="U56" s="156" t="n"/>
      <c r="V56" s="156" t="inlineStr">
        <is>
          <t>PZS</t>
        </is>
      </c>
      <c r="W56" s="51" t="inlineStr">
        <is>
          <t>53101604</t>
        </is>
      </c>
      <c r="X56" s="156" t="n"/>
      <c r="Y56" s="54" t="n">
        <v>32.09</v>
      </c>
      <c r="Z56" s="54" t="n">
        <v>859</v>
      </c>
      <c r="AA56" s="55">
        <f>IF(AND(A56="", B56="", E56=""), "", IF(AB56="", "Válido", IF((LEN(AB56)-LEN(SUBSTITUTE(AB56,"; ","")))/2+1&gt;(LEN(AB56)-LEN(SUBSTITUTE(AB56,"[Aviso]","")))/7, "Con Incidencias", "Válido")))</f>
        <v/>
      </c>
      <c r="AB56" s="56">
        <f>IF(AND(A56="", B56="", E56=""), "", TEXTJOIN("; ", TRUE, IF(OR(TRIM(A56&amp;"")="", ISNUMBER(SEARCH("FALTA", A56))), "UPC faltante/inválido", ""), IF(AND(A56&lt;&gt;"", IFERROR(_xlfn.XMATCH(A56,$A$2:$A$285,0,1)&lt;&gt;_xlfn.XMATCH(A56,$A$2:$A$285,0,-1),FALSE)), "Código de barras duplicado", ""), IF(AND(E56&lt;&gt;"", COUNTIF($E$2:$E$285, E56)&gt;1), "SKU duplicado", ""), IF(OR(J56="", J56=""), "[Aviso] División no capturada ()", IF(ISNA(MATCH(J56, Criterios!$A$123:$A$126, 0)), "División no válida", "")), IF(OR(K56="", K56=""), "[Aviso] Categoría no capturada ()", IF(ISNA(MATCH(K56, Criterios!$A$81:$A$120, 0)), "Categoría no válida", IF(AND(J56&lt;&gt;"", J56&lt;&gt;"", J56&lt;&gt;VLOOKUP(K56, Criterios!$A$81:$B$120, 2, FALSE)), "División no coincide con Categoría", ""))), IF(OR(L56="", L56=""), "[Aviso] Género no capturado ()", IF(ISNA(MATCH(L56, Criterios!$B$123:$B$127, 0)), "Género no válido", "")), IF(OR(N56="", N56=""), "[Aviso] Temporada no capturada ()", IF(ISNA(MATCH(N56, Criterios!$C$123:$C$128, 0)), "Temporada no válida", "")), IF(OR(O56="", O56=""), "[Aviso] Ciclo de vida no capturado ()", IF(ISNA(MATCH(O56, Criterios!$D$123:$D$124, 0)), "Ciclo de vida no válido", ""))))</f>
        <v/>
      </c>
      <c r="AC56" s="56" t="n"/>
      <c r="AD56" s="51" t="n"/>
      <c r="AE56" s="156" t="n"/>
      <c r="AF56" s="51" t="n"/>
      <c r="AG56" s="156" t="inlineStr">
        <is>
          <t>Nuevo – Odoo Universal Unique Brands 01/10/2026</t>
        </is>
      </c>
      <c r="AH56" s="156" t="inlineStr">
        <is>
          <t>01/10/2026: alta desde Odoo Universal Unique Brands (no existía en Productos por código de barras ni SKU) | Categoría: Palabra clave "Camisa" en tipo/categoría de la fuente (Ropa / Camisas) | Homologación G1522 06/10/2026: WB N.º de estilo: «» → «01-050-0016-7005» (Completado por regla) · Validador NetSuite / Odoo: N2: talla cero o vacía · Validador Shopify: WB: precio con IVA no termina en 9</t>
        </is>
      </c>
      <c r="AI56" s="156" t="n"/>
      <c r="AJ56" s="156" t="n"/>
      <c r="AK56" s="155" t="inlineStr">
        <is>
          <t>Odoo: producto 20999 / plantilla 27002</t>
        </is>
      </c>
      <c r="AL56" s="58" t="n"/>
      <c r="AM56" s="58" t="n"/>
      <c r="AN56" s="155" t="inlineStr">
        <is>
          <t>Odoo Universal Unique Brands</t>
        </is>
      </c>
      <c r="AO56" s="59" t="n"/>
      <c r="AP56" s="59" t="n"/>
      <c r="AQ56" s="59" t="n">
        <v>2</v>
      </c>
      <c r="AR56" s="155" t="inlineStr">
        <is>
          <t>Odoo Universal Unique Brands › Bodega 25 › Bodega 25/General: 2</t>
        </is>
      </c>
    </row>
    <row r="57">
      <c r="A57" s="50" t="n"/>
      <c r="B57" s="51" t="n"/>
      <c r="C57" s="156" t="inlineStr">
        <is>
          <t>Roper</t>
        </is>
      </c>
      <c r="D57" s="156" t="inlineStr">
        <is>
          <t>01-050-0016-7005</t>
        </is>
      </c>
      <c r="E57" s="156" t="inlineStr">
        <is>
          <t>01-050-0016-7005 BR-2XL</t>
        </is>
      </c>
      <c r="F57" s="156" t="inlineStr">
        <is>
          <t>XXL</t>
        </is>
      </c>
      <c r="G57" s="156" t="inlineStr">
        <is>
          <t>XXL</t>
        </is>
      </c>
      <c r="H57" s="156" t="inlineStr">
        <is>
          <t>Roper</t>
        </is>
      </c>
      <c r="I57" s="156" t="inlineStr">
        <is>
          <t>ROPER Shirt BrGy//Peri Plaid</t>
        </is>
      </c>
      <c r="J57" s="156" t="inlineStr">
        <is>
          <t>Ropa</t>
        </is>
      </c>
      <c r="K57" s="156" t="inlineStr">
        <is>
          <t>Camisas</t>
        </is>
      </c>
      <c r="L57" s="156" t="n"/>
      <c r="M57" s="156" t="n"/>
      <c r="N57" s="156" t="n"/>
      <c r="O57" s="156" t="n"/>
      <c r="P57" s="156" t="n"/>
      <c r="Q57" s="156" t="n"/>
      <c r="R57" s="156" t="n"/>
      <c r="S57" s="156" t="n"/>
      <c r="T57" s="156" t="n"/>
      <c r="U57" s="156" t="n"/>
      <c r="V57" s="156" t="inlineStr">
        <is>
          <t>PZS</t>
        </is>
      </c>
      <c r="W57" s="51" t="inlineStr">
        <is>
          <t>53101602</t>
        </is>
      </c>
      <c r="X57" s="156" t="n"/>
      <c r="Y57" s="54" t="n">
        <v>32.09</v>
      </c>
      <c r="Z57" s="54" t="n">
        <v>859</v>
      </c>
      <c r="AA57" s="55">
        <f>IF(AND(A57="", B57="", E57=""), "", IF(AB57="", "Válido", IF((LEN(AB57)-LEN(SUBSTITUTE(AB57,"; ","")))/2+1&gt;(LEN(AB57)-LEN(SUBSTITUTE(AB57,"[Aviso]","")))/7, "Con Incidencias", "Válido")))</f>
        <v/>
      </c>
      <c r="AB57" s="56">
        <f>IF(AND(A57="", B57="", E57=""), "", TEXTJOIN("; ", TRUE, IF(OR(TRIM(A57&amp;"")="", ISNUMBER(SEARCH("FALTA", A57))), "UPC faltante/inválido", ""), IF(AND(A57&lt;&gt;"", IFERROR(_xlfn.XMATCH(A57,$A$2:$A$285,0,1)&lt;&gt;_xlfn.XMATCH(A57,$A$2:$A$285,0,-1),FALSE)), "Código de barras duplicado", ""), IF(AND(E57&lt;&gt;"", COUNTIF($E$2:$E$285, E57)&gt;1), "SKU duplicado", ""), IF(OR(J57="", J57=""), "[Aviso] División no capturada ()", IF(ISNA(MATCH(J57, Criterios!$A$123:$A$126, 0)), "División no válida", "")), IF(OR(K57="", K57=""), "[Aviso] Categoría no capturada ()", IF(ISNA(MATCH(K57, Criterios!$A$81:$A$120, 0)), "Categoría no válida", IF(AND(J57&lt;&gt;"", J57&lt;&gt;"", J57&lt;&gt;VLOOKUP(K57, Criterios!$A$81:$B$120, 2, FALSE)), "División no coincide con Categoría", ""))), IF(OR(L57="", L57=""), "[Aviso] Género no capturado ()", IF(ISNA(MATCH(L57, Criterios!$B$123:$B$127, 0)), "Género no válido", "")), IF(OR(N57="", N57=""), "[Aviso] Temporada no capturada ()", IF(ISNA(MATCH(N57, Criterios!$C$123:$C$128, 0)), "Temporada no válida", "")), IF(OR(O57="", O57=""), "[Aviso] Ciclo de vida no capturado ()", IF(ISNA(MATCH(O57, Criterios!$D$123:$D$124, 0)), "Ciclo de vida no válido", ""))))</f>
        <v/>
      </c>
      <c r="AC57" s="56" t="n"/>
      <c r="AD57" s="51" t="n"/>
      <c r="AE57" s="156" t="n"/>
      <c r="AF57" s="51" t="n"/>
      <c r="AG57" s="156" t="inlineStr">
        <is>
          <t>Nuevo – Odoo Universal Unique Brands 01/10/2026</t>
        </is>
      </c>
      <c r="AH5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«01-050-0016-7005» (Completado por regla) · Validación G1522: Código de barras faltante · Validador NetSuite / Odoo: V1: falta código de barras · Validador Shopify: V1: falta código de barras; WB: precio con IVA no termina en 9</t>
        </is>
      </c>
      <c r="AI57" s="156" t="n"/>
      <c r="AJ57" s="156" t="n"/>
      <c r="AK57" s="155" t="inlineStr">
        <is>
          <t>Odoo: producto 21564 / plantilla 27575</t>
        </is>
      </c>
      <c r="AL57" s="58" t="n"/>
      <c r="AM57" s="58" t="n"/>
      <c r="AN57" s="155" t="inlineStr">
        <is>
          <t>Odoo Universal Unique Brands</t>
        </is>
      </c>
      <c r="AO57" s="59" t="n"/>
      <c r="AP57" s="59" t="n"/>
      <c r="AQ57" s="59" t="n">
        <v>1</v>
      </c>
      <c r="AR57" s="155" t="inlineStr">
        <is>
          <t>Odoo Universal Unique Brands › Bodega 25 › Bodega 25/General: 1</t>
        </is>
      </c>
    </row>
    <row r="58">
      <c r="A58" s="50" t="inlineStr">
        <is>
          <t>199168044183</t>
        </is>
      </c>
      <c r="B58" s="51" t="n"/>
      <c r="C58" s="156" t="inlineStr">
        <is>
          <t>Roper</t>
        </is>
      </c>
      <c r="D58" s="156" t="inlineStr">
        <is>
          <t>01-050-0016-7005</t>
        </is>
      </c>
      <c r="E58" s="156" t="inlineStr">
        <is>
          <t>01-050-0016-7005 BR-L</t>
        </is>
      </c>
      <c r="F58" s="156" t="inlineStr">
        <is>
          <t>L</t>
        </is>
      </c>
      <c r="G58" s="156" t="inlineStr">
        <is>
          <t>L</t>
        </is>
      </c>
      <c r="H58" s="156" t="inlineStr">
        <is>
          <t>Roper</t>
        </is>
      </c>
      <c r="I58" s="156" t="inlineStr">
        <is>
          <t>ROPER Shirt BrGy//Peri Plaid</t>
        </is>
      </c>
      <c r="J58" s="156" t="inlineStr">
        <is>
          <t>Ropa</t>
        </is>
      </c>
      <c r="K58" s="156" t="inlineStr">
        <is>
          <t>Camisas</t>
        </is>
      </c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n"/>
      <c r="U58" s="156" t="n"/>
      <c r="V58" s="156" t="inlineStr">
        <is>
          <t>PZS</t>
        </is>
      </c>
      <c r="W58" s="51" t="inlineStr">
        <is>
          <t>53101604</t>
        </is>
      </c>
      <c r="X58" s="156" t="n"/>
      <c r="Y58" s="54" t="n">
        <v>32.09</v>
      </c>
      <c r="Z58" s="54" t="n">
        <v>859</v>
      </c>
      <c r="AA58" s="55">
        <f>IF(AND(A58="", B58="", E58=""), "", IF(AB58="", "Válido", IF((LEN(AB58)-LEN(SUBSTITUTE(AB58,"; ","")))/2+1&gt;(LEN(AB58)-LEN(SUBSTITUTE(AB58,"[Aviso]","")))/7, "Con Incidencias", "Válido")))</f>
        <v/>
      </c>
      <c r="AB58" s="56">
        <f>IF(AND(A58="", B58="", E58=""), "", TEXTJOIN("; ", TRUE, IF(OR(TRIM(A58&amp;"")="", ISNUMBER(SEARCH("FALTA", A58))), "UPC faltante/inválido", ""), IF(AND(A58&lt;&gt;"", IFERROR(_xlfn.XMATCH(A58,$A$2:$A$285,0,1)&lt;&gt;_xlfn.XMATCH(A58,$A$2:$A$285,0,-1),FALSE)), "Código de barras duplicado", ""), IF(AND(E58&lt;&gt;"", COUNTIF($E$2:$E$285, E58)&gt;1), "SKU duplicado", ""), IF(OR(J58="", J58=""), "[Aviso] División no capturada ()", IF(ISNA(MATCH(J58, Criterios!$A$123:$A$126, 0)), "División no válida", "")), IF(OR(K58="", K58=""), "[Aviso] Categoría no capturada ()", IF(ISNA(MATCH(K58, Criterios!$A$81:$A$120, 0)), "Categoría no válida", IF(AND(J58&lt;&gt;"", J58&lt;&gt;"", J58&lt;&gt;VLOOKUP(K58, Criterios!$A$81:$B$120, 2, FALSE)), "División no coincide con Categoría", ""))), IF(OR(L58="", L58=""), "[Aviso] Género no capturado ()", IF(ISNA(MATCH(L58, Criterios!$B$123:$B$127, 0)), "Género no válido", "")), IF(OR(N58="", N58=""), "[Aviso] Temporada no capturada ()", IF(ISNA(MATCH(N58, Criterios!$C$123:$C$128, 0)), "Temporada no válida", "")), IF(OR(O58="", O58=""), "[Aviso] Ciclo de vida no capturado ()", IF(ISNA(MATCH(O58, Criterios!$D$123:$D$124, 0)), "Ciclo de vida no válido", ""))))</f>
        <v/>
      </c>
      <c r="AC58" s="56" t="n"/>
      <c r="AD58" s="51" t="n"/>
      <c r="AE58" s="156" t="n"/>
      <c r="AF58" s="51" t="n"/>
      <c r="AG58" s="156" t="inlineStr">
        <is>
          <t>Nuevo – Odoo Universal Unique Brands 01/10/2026</t>
        </is>
      </c>
      <c r="AH58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«01-050-0016-7005» (Completado por regla) · Validador Shopify: WB: precio con IVA no termina en 9</t>
        </is>
      </c>
      <c r="AI58" s="156" t="n"/>
      <c r="AJ58" s="156" t="n"/>
      <c r="AK58" s="155" t="inlineStr">
        <is>
          <t>Odoo: producto 20997 / plantilla 27000</t>
        </is>
      </c>
      <c r="AL58" s="58" t="n"/>
      <c r="AM58" s="58" t="n"/>
      <c r="AN58" s="155" t="inlineStr">
        <is>
          <t>Odoo Universal Unique Brands</t>
        </is>
      </c>
      <c r="AO58" s="59" t="n"/>
      <c r="AP58" s="59" t="n"/>
      <c r="AQ58" s="59" t="n">
        <v>1</v>
      </c>
      <c r="AR58" s="155" t="inlineStr">
        <is>
          <t>Odoo Universal Unique Brands › Bodega 25 › Bodega 25/General: 1</t>
        </is>
      </c>
    </row>
    <row r="59">
      <c r="A59" s="50" t="inlineStr">
        <is>
          <t>199168044213</t>
        </is>
      </c>
      <c r="B59" s="51" t="n"/>
      <c r="C59" s="156" t="inlineStr">
        <is>
          <t>Roper</t>
        </is>
      </c>
      <c r="D59" s="156" t="inlineStr">
        <is>
          <t>01-050-0016-7005</t>
        </is>
      </c>
      <c r="E59" s="156" t="inlineStr">
        <is>
          <t>01-050-0016-7005 BR-XL</t>
        </is>
      </c>
      <c r="F59" s="156" t="inlineStr">
        <is>
          <t>XL</t>
        </is>
      </c>
      <c r="G59" s="156" t="inlineStr">
        <is>
          <t>XL</t>
        </is>
      </c>
      <c r="H59" s="156" t="inlineStr">
        <is>
          <t>Roper</t>
        </is>
      </c>
      <c r="I59" s="156" t="inlineStr">
        <is>
          <t>ROPER Shirt BrGy//Peri Plaid</t>
        </is>
      </c>
      <c r="J59" s="156" t="inlineStr">
        <is>
          <t>Ropa</t>
        </is>
      </c>
      <c r="K59" s="156" t="inlineStr">
        <is>
          <t>Camisas</t>
        </is>
      </c>
      <c r="L59" s="156" t="n"/>
      <c r="M59" s="156" t="n"/>
      <c r="N59" s="156" t="n"/>
      <c r="O59" s="156" t="n"/>
      <c r="P59" s="156" t="n"/>
      <c r="Q59" s="156" t="n"/>
      <c r="R59" s="156" t="n"/>
      <c r="S59" s="156" t="n"/>
      <c r="T59" s="156" t="n"/>
      <c r="U59" s="156" t="n"/>
      <c r="V59" s="156" t="inlineStr">
        <is>
          <t>PZS</t>
        </is>
      </c>
      <c r="W59" s="51" t="inlineStr">
        <is>
          <t>53101604</t>
        </is>
      </c>
      <c r="X59" s="156" t="n"/>
      <c r="Y59" s="54" t="n">
        <v>32.09</v>
      </c>
      <c r="Z59" s="54" t="n">
        <v>740.52</v>
      </c>
      <c r="AA59" s="55">
        <f>IF(AND(A59="", B59="", E59=""), "", IF(AB59="", "Válido", IF((LEN(AB59)-LEN(SUBSTITUTE(AB59,"; ","")))/2+1&gt;(LEN(AB59)-LEN(SUBSTITUTE(AB59,"[Aviso]","")))/7, "Con Incidencias", "Válido")))</f>
        <v/>
      </c>
      <c r="AB59" s="56">
        <f>IF(AND(A59="", B59="", E59=""), "", TEXTJOIN("; ", TRUE, IF(OR(TRIM(A59&amp;"")="", ISNUMBER(SEARCH("FALTA", A59))), "UPC faltante/inválido", ""), IF(AND(A59&lt;&gt;"", IFERROR(_xlfn.XMATCH(A59,$A$2:$A$285,0,1)&lt;&gt;_xlfn.XMATCH(A59,$A$2:$A$285,0,-1),FALSE)), "Código de barras duplicado", ""), IF(AND(E59&lt;&gt;"", COUNTIF($E$2:$E$285, E59)&gt;1), "SKU duplicado", ""), IF(OR(J59="", J59=""), "[Aviso] División no capturada ()", IF(ISNA(MATCH(J59, Criterios!$A$123:$A$126, 0)), "División no válida", "")), IF(OR(K59="", K59=""), "[Aviso] Categoría no capturada ()", IF(ISNA(MATCH(K59, Criterios!$A$81:$A$120, 0)), "Categoría no válida", IF(AND(J59&lt;&gt;"", J59&lt;&gt;"", J59&lt;&gt;VLOOKUP(K59, Criterios!$A$81:$B$120, 2, FALSE)), "División no coincide con Categoría", ""))), IF(OR(L59="", L59=""), "[Aviso] Género no capturado ()", IF(ISNA(MATCH(L59, Criterios!$B$123:$B$127, 0)), "Género no válido", "")), IF(OR(N59="", N59=""), "[Aviso] Temporada no capturada ()", IF(ISNA(MATCH(N59, Criterios!$C$123:$C$128, 0)), "Temporada no válida", "")), IF(OR(O59="", O59=""), "[Aviso] Ciclo de vida no capturado ()", IF(ISNA(MATCH(O59, Criterios!$D$123:$D$124, 0)), "Ciclo de vida no válido", ""))))</f>
        <v/>
      </c>
      <c r="AC59" s="56" t="n"/>
      <c r="AD59" s="51" t="n"/>
      <c r="AE59" s="156" t="n"/>
      <c r="AF59" s="51" t="n"/>
      <c r="AG59" s="156" t="inlineStr">
        <is>
          <t>Nuevo – Odoo Universal Unique Brands 01/10/2026</t>
        </is>
      </c>
      <c r="AH59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«01-050-0016-7005» (Completado por regla)</t>
        </is>
      </c>
      <c r="AI59" s="156" t="n"/>
      <c r="AJ59" s="156" t="n"/>
      <c r="AK59" s="155" t="inlineStr">
        <is>
          <t>Odoo: producto 20998 / plantilla 27001</t>
        </is>
      </c>
      <c r="AL59" s="58" t="n"/>
      <c r="AM59" s="58" t="n"/>
      <c r="AN59" s="155" t="inlineStr">
        <is>
          <t>Odoo Universal Unique Brands</t>
        </is>
      </c>
      <c r="AO59" s="59" t="n"/>
      <c r="AP59" s="59" t="n"/>
      <c r="AQ59" s="59" t="n">
        <v>0</v>
      </c>
      <c r="AR59" s="155" t="n"/>
    </row>
    <row r="60">
      <c r="A60" s="50" t="inlineStr">
        <is>
          <t>199168044312</t>
        </is>
      </c>
      <c r="B60" s="51" t="n"/>
      <c r="C60" s="156" t="inlineStr">
        <is>
          <t>Roper</t>
        </is>
      </c>
      <c r="D60" s="156" t="inlineStr">
        <is>
          <t>01-050-0017-7018</t>
        </is>
      </c>
      <c r="E60" s="156" t="inlineStr">
        <is>
          <t>01-050-0017-7018 BR-1XL</t>
        </is>
      </c>
      <c r="F60" s="156" t="n"/>
      <c r="G60" s="156" t="n"/>
      <c r="H60" s="156" t="inlineStr">
        <is>
          <t>Roper</t>
        </is>
      </c>
      <c r="I60" s="156" t="inlineStr">
        <is>
          <t>ROPER Chocolate Solid Poplin</t>
        </is>
      </c>
      <c r="J60" s="156" t="inlineStr">
        <is>
          <t>Ropa</t>
        </is>
      </c>
      <c r="K60" s="156" t="inlineStr">
        <is>
          <t>Camisas</t>
        </is>
      </c>
      <c r="L60" s="156" t="n"/>
      <c r="M60" s="156" t="n"/>
      <c r="N60" s="156" t="n"/>
      <c r="O60" s="156" t="n"/>
      <c r="P60" s="156" t="inlineStr">
        <is>
          <t>Cafe</t>
        </is>
      </c>
      <c r="Q60" s="156" t="n"/>
      <c r="R60" s="156" t="n"/>
      <c r="S60" s="156" t="n"/>
      <c r="T60" s="156" t="n"/>
      <c r="U60" s="156" t="n"/>
      <c r="V60" s="156" t="inlineStr">
        <is>
          <t>PZS</t>
        </is>
      </c>
      <c r="W60" s="51" t="inlineStr">
        <is>
          <t>53102002</t>
        </is>
      </c>
      <c r="X60" s="156" t="n"/>
      <c r="Y60" s="54" t="n">
        <v>32.55</v>
      </c>
      <c r="Z60" s="54" t="n">
        <v>869</v>
      </c>
      <c r="AA60" s="55">
        <f>IF(AND(A60="", B60="", E60=""), "", IF(AB60="", "Válido", IF((LEN(AB60)-LEN(SUBSTITUTE(AB60,"; ","")))/2+1&gt;(LEN(AB60)-LEN(SUBSTITUTE(AB60,"[Aviso]","")))/7, "Con Incidencias", "Válido")))</f>
        <v/>
      </c>
      <c r="AB60" s="56">
        <f>IF(AND(A60="", B60="", E60=""), "", TEXTJOIN("; ", TRUE, IF(OR(TRIM(A60&amp;"")="", ISNUMBER(SEARCH("FALTA", A60))), "UPC faltante/inválido", ""), IF(AND(A60&lt;&gt;"", IFERROR(_xlfn.XMATCH(A60,$A$2:$A$285,0,1)&lt;&gt;_xlfn.XMATCH(A60,$A$2:$A$285,0,-1),FALSE)), "Código de barras duplicado", ""), IF(AND(E60&lt;&gt;"", COUNTIF($E$2:$E$285, E60)&gt;1), "SKU duplicado", ""), IF(OR(J60="", J60=""), "[Aviso] División no capturada ()", IF(ISNA(MATCH(J60, Criterios!$A$123:$A$126, 0)), "División no válida", "")), IF(OR(K60="", K60=""), "[Aviso] Categoría no capturada ()", IF(ISNA(MATCH(K60, Criterios!$A$81:$A$120, 0)), "Categoría no válida", IF(AND(J60&lt;&gt;"", J60&lt;&gt;"", J60&lt;&gt;VLOOKUP(K60, Criterios!$A$81:$B$120, 2, FALSE)), "División no coincide con Categoría", ""))), IF(OR(L60="", L60=""), "[Aviso] Género no capturado ()", IF(ISNA(MATCH(L60, Criterios!$B$123:$B$127, 0)), "Género no válido", "")), IF(OR(N60="", N60=""), "[Aviso] Temporada no capturada ()", IF(ISNA(MATCH(N60, Criterios!$C$123:$C$128, 0)), "Temporada no válida", "")), IF(OR(O60="", O60=""), "[Aviso] Ciclo de vida no capturado ()", IF(ISNA(MATCH(O60, Criterios!$D$123:$D$124, 0)), "Ciclo de vida no válido", ""))))</f>
        <v/>
      </c>
      <c r="AC60" s="56" t="n"/>
      <c r="AD60" s="51" t="n"/>
      <c r="AE60" s="156" t="n"/>
      <c r="AF60" s="51" t="n"/>
      <c r="AG60" s="156" t="inlineStr">
        <is>
          <t>Nuevo – Odoo Universal Unique Brands 01/10/2026</t>
        </is>
      </c>
      <c r="AH60" s="156" t="inlineStr">
        <is>
          <t>01/10/2026: alta desde Odoo Universal Unique Brands (no existía en Productos por código de barras ni SKU) | Categoría: Palabra clave "Camisa" en tipo/categoría de la fuente (Ropa / Camisas); Color detectado en el nombre (chocolate) | Homologación G1522 06/10/2026: WB N.º de estilo: «» → «01-050-0017-7018» (Completado por regla) · Validador NetSuite / Odoo: N2: talla cero o vacía · Validador Shopify: WB: precio con IVA no termina en 9</t>
        </is>
      </c>
      <c r="AI60" s="156" t="n"/>
      <c r="AJ60" s="156" t="n"/>
      <c r="AK60" s="155" t="inlineStr">
        <is>
          <t>Odoo: producto 20974 / plantilla 26977</t>
        </is>
      </c>
      <c r="AL60" s="58" t="n"/>
      <c r="AM60" s="58" t="n"/>
      <c r="AN60" s="155" t="inlineStr">
        <is>
          <t>Odoo Universal Unique Brands</t>
        </is>
      </c>
      <c r="AO60" s="59" t="n"/>
      <c r="AP60" s="59" t="n"/>
      <c r="AQ60" s="59" t="n">
        <v>3</v>
      </c>
      <c r="AR60" s="155" t="inlineStr">
        <is>
          <t>Odoo Universal Unique Brands › Bodega 25 › Bodega 25/General: 3</t>
        </is>
      </c>
    </row>
    <row r="61">
      <c r="A61" s="50" t="inlineStr">
        <is>
          <t>199168044268</t>
        </is>
      </c>
      <c r="B61" s="51" t="n"/>
      <c r="C61" s="156" t="inlineStr">
        <is>
          <t>Roper</t>
        </is>
      </c>
      <c r="D61" s="156" t="inlineStr">
        <is>
          <t>01-050-0017-7018</t>
        </is>
      </c>
      <c r="E61" s="156" t="inlineStr">
        <is>
          <t>01-050-0017-7018 BR-L</t>
        </is>
      </c>
      <c r="F61" s="156" t="inlineStr">
        <is>
          <t>L</t>
        </is>
      </c>
      <c r="G61" s="156" t="inlineStr">
        <is>
          <t>L</t>
        </is>
      </c>
      <c r="H61" s="156" t="inlineStr">
        <is>
          <t>Roper</t>
        </is>
      </c>
      <c r="I61" s="156" t="inlineStr">
        <is>
          <t>ROPER Shirt Chocolate Solid Poplin</t>
        </is>
      </c>
      <c r="J61" s="156" t="inlineStr">
        <is>
          <t>Ropa</t>
        </is>
      </c>
      <c r="K61" s="156" t="inlineStr">
        <is>
          <t>Camisas</t>
        </is>
      </c>
      <c r="L61" s="156" t="n"/>
      <c r="M61" s="156" t="n"/>
      <c r="N61" s="156" t="n"/>
      <c r="O61" s="156" t="n"/>
      <c r="P61" s="156" t="inlineStr">
        <is>
          <t>Cafe</t>
        </is>
      </c>
      <c r="Q61" s="156" t="n"/>
      <c r="R61" s="156" t="n"/>
      <c r="S61" s="156" t="n"/>
      <c r="T61" s="156" t="n"/>
      <c r="U61" s="156" t="n"/>
      <c r="V61" s="156" t="inlineStr">
        <is>
          <t>PZS</t>
        </is>
      </c>
      <c r="W61" s="51" t="inlineStr">
        <is>
          <t>53101602</t>
        </is>
      </c>
      <c r="X61" s="156" t="n"/>
      <c r="Y61" s="54" t="n">
        <v>32.55</v>
      </c>
      <c r="Z61" s="54" t="n">
        <v>869</v>
      </c>
      <c r="AA61" s="55">
        <f>IF(AND(A61="", B61="", E61=""), "", IF(AB61="", "Válido", IF((LEN(AB61)-LEN(SUBSTITUTE(AB61,"; ","")))/2+1&gt;(LEN(AB61)-LEN(SUBSTITUTE(AB61,"[Aviso]","")))/7, "Con Incidencias", "Válido")))</f>
        <v/>
      </c>
      <c r="AB61" s="56">
        <f>IF(AND(A61="", B61="", E61=""), "", TEXTJOIN("; ", TRUE, IF(OR(TRIM(A61&amp;"")="", ISNUMBER(SEARCH("FALTA", A61))), "UPC faltante/inválido", ""), IF(AND(A61&lt;&gt;"", IFERROR(_xlfn.XMATCH(A61,$A$2:$A$285,0,1)&lt;&gt;_xlfn.XMATCH(A61,$A$2:$A$285,0,-1),FALSE)), "Código de barras duplicado", ""), IF(AND(E61&lt;&gt;"", COUNTIF($E$2:$E$285, E61)&gt;1), "SKU duplicado", ""), IF(OR(J61="", J61=""), "[Aviso] División no capturada ()", IF(ISNA(MATCH(J61, Criterios!$A$123:$A$126, 0)), "División no válida", "")), IF(OR(K61="", K61=""), "[Aviso] Categoría no capturada ()", IF(ISNA(MATCH(K61, Criterios!$A$81:$A$120, 0)), "Categoría no válida", IF(AND(J61&lt;&gt;"", J61&lt;&gt;"", J61&lt;&gt;VLOOKUP(K61, Criterios!$A$81:$B$120, 2, FALSE)), "División no coincide con Categoría", ""))), IF(OR(L61="", L61=""), "[Aviso] Género no capturado ()", IF(ISNA(MATCH(L61, Criterios!$B$123:$B$127, 0)), "Género no válido", "")), IF(OR(N61="", N61=""), "[Aviso] Temporada no capturada ()", IF(ISNA(MATCH(N61, Criterios!$C$123:$C$128, 0)), "Temporada no válida", "")), IF(OR(O61="", O61=""), "[Aviso] Ciclo de vida no capturado ()", IF(ISNA(MATCH(O61, Criterios!$D$123:$D$124, 0)), "Ciclo de vida no válido", ""))))</f>
        <v/>
      </c>
      <c r="AC61" s="56" t="n"/>
      <c r="AD61" s="51" t="n"/>
      <c r="AE61" s="156" t="n"/>
      <c r="AF61" s="51" t="n"/>
      <c r="AG61" s="156" t="inlineStr">
        <is>
          <t>Nuevo – Odoo Universal Unique Brands 01/10/2026</t>
        </is>
      </c>
      <c r="AH61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(chocolate) | Homologación G1522 06/10/2026: WB N.º de estilo: «» → «01-050-0017-7018» (Completado por regla) · Validador Shopify: WB: precio con IVA no termina en 9</t>
        </is>
      </c>
      <c r="AI61" s="156" t="n"/>
      <c r="AJ61" s="156" t="n"/>
      <c r="AK61" s="155" t="inlineStr">
        <is>
          <t>Odoo: producto 20972 / plantilla 26975</t>
        </is>
      </c>
      <c r="AL61" s="58" t="n"/>
      <c r="AM61" s="58" t="n"/>
      <c r="AN61" s="155" t="inlineStr">
        <is>
          <t>Odoo Universal Unique Brands</t>
        </is>
      </c>
      <c r="AO61" s="59" t="n"/>
      <c r="AP61" s="59" t="n"/>
      <c r="AQ61" s="59" t="n">
        <v>8</v>
      </c>
      <c r="AR61" s="155" t="inlineStr">
        <is>
          <t>Odoo Universal Unique Brands › Bodega 25 › Bodega 25/General: 8</t>
        </is>
      </c>
    </row>
    <row r="62">
      <c r="A62" s="50" t="inlineStr">
        <is>
          <t>199168044275</t>
        </is>
      </c>
      <c r="B62" s="51" t="n"/>
      <c r="C62" s="156" t="inlineStr">
        <is>
          <t>Roper</t>
        </is>
      </c>
      <c r="D62" s="156" t="inlineStr">
        <is>
          <t>01-050-0017-7018</t>
        </is>
      </c>
      <c r="E62" s="156" t="inlineStr">
        <is>
          <t>01-050-0017-7018 BR-M</t>
        </is>
      </c>
      <c r="F62" s="156" t="inlineStr">
        <is>
          <t>M</t>
        </is>
      </c>
      <c r="G62" s="156" t="inlineStr">
        <is>
          <t>M</t>
        </is>
      </c>
      <c r="H62" s="156" t="inlineStr">
        <is>
          <t>Roper</t>
        </is>
      </c>
      <c r="I62" s="156" t="inlineStr">
        <is>
          <t>ROPER Shirt Chocolate Solid Poplin</t>
        </is>
      </c>
      <c r="J62" s="156" t="inlineStr">
        <is>
          <t>Ropa</t>
        </is>
      </c>
      <c r="K62" s="156" t="inlineStr">
        <is>
          <t>Camisas</t>
        </is>
      </c>
      <c r="L62" s="156" t="n"/>
      <c r="M62" s="156" t="n"/>
      <c r="N62" s="156" t="n"/>
      <c r="O62" s="156" t="n"/>
      <c r="P62" s="156" t="inlineStr">
        <is>
          <t>Cafe</t>
        </is>
      </c>
      <c r="Q62" s="156" t="n"/>
      <c r="R62" s="156" t="n"/>
      <c r="S62" s="156" t="n"/>
      <c r="T62" s="156" t="n"/>
      <c r="U62" s="156" t="n"/>
      <c r="V62" s="156" t="inlineStr">
        <is>
          <t>PZS</t>
        </is>
      </c>
      <c r="W62" s="51" t="inlineStr">
        <is>
          <t>53101602</t>
        </is>
      </c>
      <c r="X62" s="156" t="n"/>
      <c r="Y62" s="54" t="n">
        <v>32.55</v>
      </c>
      <c r="Z62" s="54" t="n">
        <v>869</v>
      </c>
      <c r="AA62" s="55">
        <f>IF(AND(A62="", B62="", E62=""), "", IF(AB62="", "Válido", IF((LEN(AB62)-LEN(SUBSTITUTE(AB62,"; ","")))/2+1&gt;(LEN(AB62)-LEN(SUBSTITUTE(AB62,"[Aviso]","")))/7, "Con Incidencias", "Válido")))</f>
        <v/>
      </c>
      <c r="AB62" s="56">
        <f>IF(AND(A62="", B62="", E62=""), "", TEXTJOIN("; ", TRUE, IF(OR(TRIM(A62&amp;"")="", ISNUMBER(SEARCH("FALTA", A62))), "UPC faltante/inválido", ""), IF(AND(A62&lt;&gt;"", IFERROR(_xlfn.XMATCH(A62,$A$2:$A$285,0,1)&lt;&gt;_xlfn.XMATCH(A62,$A$2:$A$285,0,-1),FALSE)), "Código de barras duplicado", ""), IF(AND(E62&lt;&gt;"", COUNTIF($E$2:$E$285, E62)&gt;1), "SKU duplicado", ""), IF(OR(J62="", J62=""), "[Aviso] División no capturada ()", IF(ISNA(MATCH(J62, Criterios!$A$123:$A$126, 0)), "División no válida", "")), IF(OR(K62="", K62=""), "[Aviso] Categoría no capturada ()", IF(ISNA(MATCH(K62, Criterios!$A$81:$A$120, 0)), "Categoría no válida", IF(AND(J62&lt;&gt;"", J62&lt;&gt;"", J62&lt;&gt;VLOOKUP(K62, Criterios!$A$81:$B$120, 2, FALSE)), "División no coincide con Categoría", ""))), IF(OR(L62="", L62=""), "[Aviso] Género no capturado ()", IF(ISNA(MATCH(L62, Criterios!$B$123:$B$127, 0)), "Género no válido", "")), IF(OR(N62="", N62=""), "[Aviso] Temporada no capturada ()", IF(ISNA(MATCH(N62, Criterios!$C$123:$C$128, 0)), "Temporada no válida", "")), IF(OR(O62="", O62=""), "[Aviso] Ciclo de vida no capturado ()", IF(ISNA(MATCH(O62, Criterios!$D$123:$D$124, 0)), "Ciclo de vida no válido", ""))))</f>
        <v/>
      </c>
      <c r="AC62" s="56" t="n"/>
      <c r="AD62" s="51" t="n"/>
      <c r="AE62" s="156" t="n"/>
      <c r="AF62" s="51" t="n"/>
      <c r="AG62" s="156" t="inlineStr">
        <is>
          <t>Nuevo – Odoo Universal Unique Brands 01/10/2026</t>
        </is>
      </c>
      <c r="AH62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(chocolate) | Homologación G1522 06/10/2026: WB N.º de estilo: «» → «01-050-0017-7018» (Completado por regla) · Validador Shopify: WB: precio con IVA no termina en 9</t>
        </is>
      </c>
      <c r="AI62" s="156" t="n"/>
      <c r="AJ62" s="156" t="n"/>
      <c r="AK62" s="155" t="inlineStr">
        <is>
          <t>Odoo: producto 20971 / plantilla 26974</t>
        </is>
      </c>
      <c r="AL62" s="58" t="n"/>
      <c r="AM62" s="58" t="n"/>
      <c r="AN62" s="155" t="inlineStr">
        <is>
          <t>Odoo Universal Unique Brands</t>
        </is>
      </c>
      <c r="AO62" s="59" t="n"/>
      <c r="AP62" s="59" t="n"/>
      <c r="AQ62" s="59" t="n">
        <v>8</v>
      </c>
      <c r="AR62" s="155" t="inlineStr">
        <is>
          <t>Odoo Universal Unique Brands › Bodega 25 › Bodega 25/General: 8</t>
        </is>
      </c>
    </row>
    <row r="63">
      <c r="A63" s="50" t="inlineStr">
        <is>
          <t>199168044282</t>
        </is>
      </c>
      <c r="B63" s="51" t="n"/>
      <c r="C63" s="156" t="inlineStr">
        <is>
          <t>Roper</t>
        </is>
      </c>
      <c r="D63" s="156" t="inlineStr">
        <is>
          <t>01-050-0017-7018</t>
        </is>
      </c>
      <c r="E63" s="156" t="inlineStr">
        <is>
          <t>01-050-0017-7018 BR-S</t>
        </is>
      </c>
      <c r="F63" s="156" t="inlineStr">
        <is>
          <t>S</t>
        </is>
      </c>
      <c r="G63" s="156" t="inlineStr">
        <is>
          <t>S</t>
        </is>
      </c>
      <c r="H63" s="156" t="inlineStr">
        <is>
          <t>Roper</t>
        </is>
      </c>
      <c r="I63" s="156" t="inlineStr">
        <is>
          <t>ROPER Shirt Chocolate Solid Poplin</t>
        </is>
      </c>
      <c r="J63" s="156" t="inlineStr">
        <is>
          <t>Ropa</t>
        </is>
      </c>
      <c r="K63" s="156" t="inlineStr">
        <is>
          <t>Camisas</t>
        </is>
      </c>
      <c r="L63" s="156" t="n"/>
      <c r="M63" s="156" t="n"/>
      <c r="N63" s="156" t="n"/>
      <c r="O63" s="156" t="n"/>
      <c r="P63" s="156" t="inlineStr">
        <is>
          <t>Cafe</t>
        </is>
      </c>
      <c r="Q63" s="156" t="n"/>
      <c r="R63" s="156" t="n"/>
      <c r="S63" s="156" t="n"/>
      <c r="T63" s="156" t="n"/>
      <c r="U63" s="156" t="n"/>
      <c r="V63" s="156" t="inlineStr">
        <is>
          <t>PZS</t>
        </is>
      </c>
      <c r="W63" s="51" t="inlineStr">
        <is>
          <t>53101602</t>
        </is>
      </c>
      <c r="X63" s="156" t="n"/>
      <c r="Y63" s="54" t="n">
        <v>32.55</v>
      </c>
      <c r="Z63" s="54" t="n">
        <v>869</v>
      </c>
      <c r="AA63" s="55">
        <f>IF(AND(A63="", B63="", E63=""), "", IF(AB63="", "Válido", IF((LEN(AB63)-LEN(SUBSTITUTE(AB63,"; ","")))/2+1&gt;(LEN(AB63)-LEN(SUBSTITUTE(AB63,"[Aviso]","")))/7, "Con Incidencias", "Válido")))</f>
        <v/>
      </c>
      <c r="AB63" s="56">
        <f>IF(AND(A63="", B63="", E63=""), "", TEXTJOIN("; ", TRUE, IF(OR(TRIM(A63&amp;"")="", ISNUMBER(SEARCH("FALTA", A63))), "UPC faltante/inválido", ""), IF(AND(A63&lt;&gt;"", IFERROR(_xlfn.XMATCH(A63,$A$2:$A$285,0,1)&lt;&gt;_xlfn.XMATCH(A63,$A$2:$A$285,0,-1),FALSE)), "Código de barras duplicado", ""), IF(AND(E63&lt;&gt;"", COUNTIF($E$2:$E$285, E63)&gt;1), "SKU duplicado", ""), IF(OR(J63="", J63=""), "[Aviso] División no capturada ()", IF(ISNA(MATCH(J63, Criterios!$A$123:$A$126, 0)), "División no válida", "")), IF(OR(K63="", K63=""), "[Aviso] Categoría no capturada ()", IF(ISNA(MATCH(K63, Criterios!$A$81:$A$120, 0)), "Categoría no válida", IF(AND(J63&lt;&gt;"", J63&lt;&gt;"", J63&lt;&gt;VLOOKUP(K63, Criterios!$A$81:$B$120, 2, FALSE)), "División no coincide con Categoría", ""))), IF(OR(L63="", L63=""), "[Aviso] Género no capturado ()", IF(ISNA(MATCH(L63, Criterios!$B$123:$B$127, 0)), "Género no válido", "")), IF(OR(N63="", N63=""), "[Aviso] Temporada no capturada ()", IF(ISNA(MATCH(N63, Criterios!$C$123:$C$128, 0)), "Temporada no válida", "")), IF(OR(O63="", O63=""), "[Aviso] Ciclo de vida no capturado ()", IF(ISNA(MATCH(O63, Criterios!$D$123:$D$124, 0)), "Ciclo de vida no válido", ""))))</f>
        <v/>
      </c>
      <c r="AC63" s="56" t="n"/>
      <c r="AD63" s="51" t="n"/>
      <c r="AE63" s="156" t="n"/>
      <c r="AF63" s="51" t="n"/>
      <c r="AG63" s="156" t="inlineStr">
        <is>
          <t>Nuevo – Odoo Universal Unique Brands 01/10/2026</t>
        </is>
      </c>
      <c r="AH63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(chocolate) | Homologación G1522 06/10/2026: WB N.º de estilo: «» → «01-050-0017-7018» (Completado por regla) · Validador Shopify: WB: precio con IVA no termina en 9</t>
        </is>
      </c>
      <c r="AI63" s="156" t="n"/>
      <c r="AJ63" s="156" t="n"/>
      <c r="AK63" s="155" t="inlineStr">
        <is>
          <t>Odoo: producto 20970 / plantilla 26973</t>
        </is>
      </c>
      <c r="AL63" s="58" t="n"/>
      <c r="AM63" s="58" t="n"/>
      <c r="AN63" s="155" t="inlineStr">
        <is>
          <t>Odoo Universal Unique Brands</t>
        </is>
      </c>
      <c r="AO63" s="59" t="n"/>
      <c r="AP63" s="59" t="n"/>
      <c r="AQ63" s="59" t="n">
        <v>6</v>
      </c>
      <c r="AR63" s="155" t="inlineStr">
        <is>
          <t>Odoo Universal Unique Brands › Bodega 25 › Bodega 25/General: 6</t>
        </is>
      </c>
    </row>
    <row r="64">
      <c r="A64" s="50" t="inlineStr">
        <is>
          <t>199168044299</t>
        </is>
      </c>
      <c r="B64" s="51" t="n"/>
      <c r="C64" s="156" t="inlineStr">
        <is>
          <t>Roper</t>
        </is>
      </c>
      <c r="D64" s="156" t="inlineStr">
        <is>
          <t>01-050-0017-7018</t>
        </is>
      </c>
      <c r="E64" s="156" t="inlineStr">
        <is>
          <t>01-050-0017-7018 BR-XL</t>
        </is>
      </c>
      <c r="F64" s="156" t="inlineStr">
        <is>
          <t>XL</t>
        </is>
      </c>
      <c r="G64" s="156" t="inlineStr">
        <is>
          <t>XL</t>
        </is>
      </c>
      <c r="H64" s="156" t="inlineStr">
        <is>
          <t>Roper</t>
        </is>
      </c>
      <c r="I64" s="156" t="inlineStr">
        <is>
          <t>ROPER Shirt Chocolate Solid Poplin</t>
        </is>
      </c>
      <c r="J64" s="156" t="inlineStr">
        <is>
          <t>Ropa</t>
        </is>
      </c>
      <c r="K64" s="156" t="inlineStr">
        <is>
          <t>Camisas</t>
        </is>
      </c>
      <c r="L64" s="156" t="n"/>
      <c r="M64" s="156" t="n"/>
      <c r="N64" s="156" t="n"/>
      <c r="O64" s="156" t="n"/>
      <c r="P64" s="156" t="inlineStr">
        <is>
          <t>Cafe</t>
        </is>
      </c>
      <c r="Q64" s="156" t="n"/>
      <c r="R64" s="156" t="n"/>
      <c r="S64" s="156" t="n"/>
      <c r="T64" s="156" t="n"/>
      <c r="U64" s="156" t="n"/>
      <c r="V64" s="156" t="inlineStr">
        <is>
          <t>PZS</t>
        </is>
      </c>
      <c r="W64" s="51" t="inlineStr">
        <is>
          <t>53101602</t>
        </is>
      </c>
      <c r="X64" s="156" t="n"/>
      <c r="Y64" s="54" t="n">
        <v>32.55</v>
      </c>
      <c r="Z64" s="54" t="n">
        <v>869</v>
      </c>
      <c r="AA64" s="55">
        <f>IF(AND(A64="", B64="", E64=""), "", IF(AB64="", "Válido", IF((LEN(AB64)-LEN(SUBSTITUTE(AB64,"; ","")))/2+1&gt;(LEN(AB64)-LEN(SUBSTITUTE(AB64,"[Aviso]","")))/7, "Con Incidencias", "Válido")))</f>
        <v/>
      </c>
      <c r="AB64" s="56">
        <f>IF(AND(A64="", B64="", E64=""), "", TEXTJOIN("; ", TRUE, IF(OR(TRIM(A64&amp;"")="", ISNUMBER(SEARCH("FALTA", A64))), "UPC faltante/inválido", ""), IF(AND(A64&lt;&gt;"", IFERROR(_xlfn.XMATCH(A64,$A$2:$A$285,0,1)&lt;&gt;_xlfn.XMATCH(A64,$A$2:$A$285,0,-1),FALSE)), "Código de barras duplicado", ""), IF(AND(E64&lt;&gt;"", COUNTIF($E$2:$E$285, E64)&gt;1), "SKU duplicado", ""), IF(OR(J64="", J64=""), "[Aviso] División no capturada ()", IF(ISNA(MATCH(J64, Criterios!$A$123:$A$126, 0)), "División no válida", "")), IF(OR(K64="", K64=""), "[Aviso] Categoría no capturada ()", IF(ISNA(MATCH(K64, Criterios!$A$81:$A$120, 0)), "Categoría no válida", IF(AND(J64&lt;&gt;"", J64&lt;&gt;"", J64&lt;&gt;VLOOKUP(K64, Criterios!$A$81:$B$120, 2, FALSE)), "División no coincide con Categoría", ""))), IF(OR(L64="", L64=""), "[Aviso] Género no capturado ()", IF(ISNA(MATCH(L64, Criterios!$B$123:$B$127, 0)), "Género no válido", "")), IF(OR(N64="", N64=""), "[Aviso] Temporada no capturada ()", IF(ISNA(MATCH(N64, Criterios!$C$123:$C$128, 0)), "Temporada no válida", "")), IF(OR(O64="", O64=""), "[Aviso] Ciclo de vida no capturado ()", IF(ISNA(MATCH(O64, Criterios!$D$123:$D$124, 0)), "Ciclo de vida no válido", ""))))</f>
        <v/>
      </c>
      <c r="AC64" s="56" t="n"/>
      <c r="AD64" s="51" t="n"/>
      <c r="AE64" s="156" t="n"/>
      <c r="AF64" s="51" t="n"/>
      <c r="AG64" s="156" t="inlineStr">
        <is>
          <t>Nuevo – Odoo Universal Unique Brands 01/10/2026</t>
        </is>
      </c>
      <c r="AH64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(chocolate) | Homologación G1522 06/10/2026: WB N.º de estilo: «» → «01-050-0017-7018» (Completado por regla) · Validador Shopify: WB: precio con IVA no termina en 9</t>
        </is>
      </c>
      <c r="AI64" s="156" t="n"/>
      <c r="AJ64" s="156" t="n"/>
      <c r="AK64" s="155" t="inlineStr">
        <is>
          <t>Odoo: producto 20973 / plantilla 26976</t>
        </is>
      </c>
      <c r="AL64" s="58" t="n"/>
      <c r="AM64" s="58" t="n"/>
      <c r="AN64" s="155" t="inlineStr">
        <is>
          <t>Odoo Universal Unique Brands</t>
        </is>
      </c>
      <c r="AO64" s="59" t="n"/>
      <c r="AP64" s="59" t="n"/>
      <c r="AQ64" s="59" t="n">
        <v>8</v>
      </c>
      <c r="AR64" s="155" t="inlineStr">
        <is>
          <t>Odoo Universal Unique Brands › Bodega 25 › Bodega 25/General: 8</t>
        </is>
      </c>
    </row>
    <row r="65">
      <c r="A65" s="50" t="inlineStr">
        <is>
          <t>199168044473</t>
        </is>
      </c>
      <c r="B65" s="51" t="n"/>
      <c r="C65" s="156" t="inlineStr">
        <is>
          <t>Roper</t>
        </is>
      </c>
      <c r="D65" s="156" t="inlineStr">
        <is>
          <t>01-050-0019-7011</t>
        </is>
      </c>
      <c r="E65" s="156" t="inlineStr">
        <is>
          <t>01-050-0019-7011 BL-L</t>
        </is>
      </c>
      <c r="F65" s="156" t="inlineStr">
        <is>
          <t>L</t>
        </is>
      </c>
      <c r="G65" s="156" t="inlineStr">
        <is>
          <t>L</t>
        </is>
      </c>
      <c r="H65" s="156" t="inlineStr">
        <is>
          <t>Roper</t>
        </is>
      </c>
      <c r="I65" s="156" t="inlineStr">
        <is>
          <t>ROPER Shirt Black &amp; Grey Floral</t>
        </is>
      </c>
      <c r="J65" s="156" t="inlineStr">
        <is>
          <t>Ropa</t>
        </is>
      </c>
      <c r="K65" s="156" t="inlineStr">
        <is>
          <t>Camisas</t>
        </is>
      </c>
      <c r="L65" s="156" t="n"/>
      <c r="M65" s="156" t="n"/>
      <c r="N65" s="156" t="n"/>
      <c r="O65" s="156" t="n"/>
      <c r="P65" s="156" t="inlineStr">
        <is>
          <t>Negro</t>
        </is>
      </c>
      <c r="Q65" s="156" t="n"/>
      <c r="R65" s="156" t="n"/>
      <c r="S65" s="156" t="n"/>
      <c r="T65" s="156" t="n"/>
      <c r="U65" s="156" t="n"/>
      <c r="V65" s="156" t="inlineStr">
        <is>
          <t>PZS</t>
        </is>
      </c>
      <c r="W65" s="51" t="inlineStr">
        <is>
          <t>53101602</t>
        </is>
      </c>
      <c r="X65" s="156" t="n"/>
      <c r="Y65" s="54" t="n">
        <v>22.55</v>
      </c>
      <c r="Z65" s="54" t="n">
        <v>629</v>
      </c>
      <c r="AA65" s="55">
        <f>IF(AND(A65="", B65="", E65=""), "", IF(AB65="", "Válido", IF((LEN(AB65)-LEN(SUBSTITUTE(AB65,"; ","")))/2+1&gt;(LEN(AB65)-LEN(SUBSTITUTE(AB65,"[Aviso]","")))/7, "Con Incidencias", "Válido")))</f>
        <v/>
      </c>
      <c r="AB65" s="56">
        <f>IF(AND(A65="", B65="", E65=""), "", TEXTJOIN("; ", TRUE, IF(OR(TRIM(A65&amp;"")="", ISNUMBER(SEARCH("FALTA", A65))), "UPC faltante/inválido", ""), IF(AND(A65&lt;&gt;"", IFERROR(_xlfn.XMATCH(A65,$A$2:$A$285,0,1)&lt;&gt;_xlfn.XMATCH(A65,$A$2:$A$285,0,-1),FALSE)), "Código de barras duplicado", ""), IF(AND(E65&lt;&gt;"", COUNTIF($E$2:$E$285, E65)&gt;1), "SKU duplicado", ""), IF(OR(J65="", J65=""), "[Aviso] División no capturada ()", IF(ISNA(MATCH(J65, Criterios!$A$123:$A$126, 0)), "División no válida", "")), IF(OR(K65="", K65=""), "[Aviso] Categoría no capturada ()", IF(ISNA(MATCH(K65, Criterios!$A$81:$A$120, 0)), "Categoría no válida", IF(AND(J65&lt;&gt;"", J65&lt;&gt;"", J65&lt;&gt;VLOOKUP(K65, Criterios!$A$81:$B$120, 2, FALSE)), "División no coincide con Categoría", ""))), IF(OR(L65="", L65=""), "[Aviso] Género no capturado ()", IF(ISNA(MATCH(L65, Criterios!$B$123:$B$127, 0)), "Género no válido", "")), IF(OR(N65="", N65=""), "[Aviso] Temporada no capturada ()", IF(ISNA(MATCH(N65, Criterios!$C$123:$C$128, 0)), "Temporada no válida", "")), IF(OR(O65="", O65=""), "[Aviso] Ciclo de vida no capturado ()", IF(ISNA(MATCH(O65, Criterios!$D$123:$D$124, 0)), "Ciclo de vida no válido", ""))))</f>
        <v/>
      </c>
      <c r="AC65" s="56" t="n"/>
      <c r="AD65" s="51" t="n"/>
      <c r="AE65" s="156" t="n"/>
      <c r="AF65" s="51" t="n"/>
      <c r="AG65" s="156" t="inlineStr">
        <is>
          <t>Nuevo – Odoo Universal Unique Brands 01/10/2026</t>
        </is>
      </c>
      <c r="AH65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(black) | Homologación G1522 06/10/2026: WB N.º de estilo: «» → «01-050-0019-7011» (Completado por regla)</t>
        </is>
      </c>
      <c r="AI65" s="156" t="n"/>
      <c r="AJ65" s="156" t="n"/>
      <c r="AK65" s="155" t="inlineStr">
        <is>
          <t>Odoo: producto 21019 / plantilla 27022</t>
        </is>
      </c>
      <c r="AL65" s="58" t="n"/>
      <c r="AM65" s="58" t="n"/>
      <c r="AN65" s="155" t="inlineStr">
        <is>
          <t>Odoo Universal Unique Brands</t>
        </is>
      </c>
      <c r="AO65" s="59" t="n"/>
      <c r="AP65" s="59" t="n"/>
      <c r="AQ65" s="59" t="n">
        <v>7</v>
      </c>
      <c r="AR65" s="155" t="inlineStr">
        <is>
          <t>Odoo Universal Unique Brands › Bodega 25 › Bodega 25/General: 7</t>
        </is>
      </c>
    </row>
    <row r="66">
      <c r="A66" s="50" t="inlineStr">
        <is>
          <t>199168044480</t>
        </is>
      </c>
      <c r="B66" s="51" t="n"/>
      <c r="C66" s="156" t="inlineStr">
        <is>
          <t>Roper</t>
        </is>
      </c>
      <c r="D66" s="156" t="inlineStr">
        <is>
          <t>01-050-0019-7011</t>
        </is>
      </c>
      <c r="E66" s="156" t="inlineStr">
        <is>
          <t>01-050-0019-7011 BL-M</t>
        </is>
      </c>
      <c r="F66" s="156" t="inlineStr">
        <is>
          <t>M</t>
        </is>
      </c>
      <c r="G66" s="156" t="inlineStr">
        <is>
          <t>M</t>
        </is>
      </c>
      <c r="H66" s="156" t="inlineStr">
        <is>
          <t>Roper</t>
        </is>
      </c>
      <c r="I66" s="156" t="inlineStr">
        <is>
          <t>ROPER Shirt Black &amp; Grey Floral</t>
        </is>
      </c>
      <c r="J66" s="156" t="inlineStr">
        <is>
          <t>Ropa</t>
        </is>
      </c>
      <c r="K66" s="156" t="inlineStr">
        <is>
          <t>Camisas</t>
        </is>
      </c>
      <c r="L66" s="156" t="n"/>
      <c r="M66" s="156" t="n"/>
      <c r="N66" s="156" t="n"/>
      <c r="O66" s="156" t="n"/>
      <c r="P66" s="156" t="inlineStr">
        <is>
          <t>Negro</t>
        </is>
      </c>
      <c r="Q66" s="156" t="n"/>
      <c r="R66" s="156" t="n"/>
      <c r="S66" s="156" t="n"/>
      <c r="T66" s="156" t="n"/>
      <c r="U66" s="156" t="n"/>
      <c r="V66" s="156" t="inlineStr">
        <is>
          <t>PZS</t>
        </is>
      </c>
      <c r="W66" s="51" t="inlineStr">
        <is>
          <t>53101602</t>
        </is>
      </c>
      <c r="X66" s="156" t="n"/>
      <c r="Y66" s="54" t="n">
        <v>22.55</v>
      </c>
      <c r="Z66" s="54" t="n">
        <v>629</v>
      </c>
      <c r="AA66" s="55">
        <f>IF(AND(A66="", B66="", E66=""), "", IF(AB66="", "Válido", IF((LEN(AB66)-LEN(SUBSTITUTE(AB66,"; ","")))/2+1&gt;(LEN(AB66)-LEN(SUBSTITUTE(AB66,"[Aviso]","")))/7, "Con Incidencias", "Válido")))</f>
        <v/>
      </c>
      <c r="AB66" s="56">
        <f>IF(AND(A66="", B66="", E66=""), "", TEXTJOIN("; ", TRUE, IF(OR(TRIM(A66&amp;"")="", ISNUMBER(SEARCH("FALTA", A66))), "UPC faltante/inválido", ""), IF(AND(A66&lt;&gt;"", IFERROR(_xlfn.XMATCH(A66,$A$2:$A$285,0,1)&lt;&gt;_xlfn.XMATCH(A66,$A$2:$A$285,0,-1),FALSE)), "Código de barras duplicado", ""), IF(AND(E66&lt;&gt;"", COUNTIF($E$2:$E$285, E66)&gt;1), "SKU duplicado", ""), IF(OR(J66="", J66=""), "[Aviso] División no capturada ()", IF(ISNA(MATCH(J66, Criterios!$A$123:$A$126, 0)), "División no válida", "")), IF(OR(K66="", K66=""), "[Aviso] Categoría no capturada ()", IF(ISNA(MATCH(K66, Criterios!$A$81:$A$120, 0)), "Categoría no válida", IF(AND(J66&lt;&gt;"", J66&lt;&gt;"", J66&lt;&gt;VLOOKUP(K66, Criterios!$A$81:$B$120, 2, FALSE)), "División no coincide con Categoría", ""))), IF(OR(L66="", L66=""), "[Aviso] Género no capturado ()", IF(ISNA(MATCH(L66, Criterios!$B$123:$B$127, 0)), "Género no válido", "")), IF(OR(N66="", N66=""), "[Aviso] Temporada no capturada ()", IF(ISNA(MATCH(N66, Criterios!$C$123:$C$128, 0)), "Temporada no válida", "")), IF(OR(O66="", O66=""), "[Aviso] Ciclo de vida no capturado ()", IF(ISNA(MATCH(O66, Criterios!$D$123:$D$124, 0)), "Ciclo de vida no válido", ""))))</f>
        <v/>
      </c>
      <c r="AC66" s="56" t="n"/>
      <c r="AD66" s="51" t="n"/>
      <c r="AE66" s="156" t="n"/>
      <c r="AF66" s="51" t="n"/>
      <c r="AG66" s="156" t="inlineStr">
        <is>
          <t>Nuevo – Odoo Universal Unique Brands 01/10/2026</t>
        </is>
      </c>
      <c r="AH66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(black) | Homologación G1522 06/10/2026: WB N.º de estilo: «» → «01-050-0019-7011» (Completado por regla)</t>
        </is>
      </c>
      <c r="AI66" s="156" t="n"/>
      <c r="AJ66" s="156" t="n"/>
      <c r="AK66" s="155" t="inlineStr">
        <is>
          <t>Odoo: producto 21018 / plantilla 27021</t>
        </is>
      </c>
      <c r="AL66" s="58" t="n"/>
      <c r="AM66" s="58" t="n"/>
      <c r="AN66" s="155" t="inlineStr">
        <is>
          <t>Odoo Universal Unique Brands</t>
        </is>
      </c>
      <c r="AO66" s="59" t="n"/>
      <c r="AP66" s="59" t="n"/>
      <c r="AQ66" s="59" t="n">
        <v>7</v>
      </c>
      <c r="AR66" s="155" t="inlineStr">
        <is>
          <t>Odoo Universal Unique Brands › Bodega 25 › Bodega 25/General: 7</t>
        </is>
      </c>
    </row>
    <row r="67">
      <c r="A67" s="50" t="inlineStr">
        <is>
          <t>199168044497</t>
        </is>
      </c>
      <c r="B67" s="51" t="n"/>
      <c r="C67" s="156" t="inlineStr">
        <is>
          <t>Roper</t>
        </is>
      </c>
      <c r="D67" s="156" t="inlineStr">
        <is>
          <t>01-050-0019-7011</t>
        </is>
      </c>
      <c r="E67" s="156" t="inlineStr">
        <is>
          <t>01-050-0019-7011 BL-S</t>
        </is>
      </c>
      <c r="F67" s="156" t="inlineStr">
        <is>
          <t>S</t>
        </is>
      </c>
      <c r="G67" s="156" t="inlineStr">
        <is>
          <t>S</t>
        </is>
      </c>
      <c r="H67" s="156" t="inlineStr">
        <is>
          <t>Roper</t>
        </is>
      </c>
      <c r="I67" s="156" t="inlineStr">
        <is>
          <t>ROPER Shirt Black &amp; Grey Floral</t>
        </is>
      </c>
      <c r="J67" s="156" t="inlineStr">
        <is>
          <t>Ropa</t>
        </is>
      </c>
      <c r="K67" s="156" t="inlineStr">
        <is>
          <t>Camisas</t>
        </is>
      </c>
      <c r="L67" s="156" t="n"/>
      <c r="M67" s="156" t="n"/>
      <c r="N67" s="156" t="n"/>
      <c r="O67" s="156" t="n"/>
      <c r="P67" s="156" t="inlineStr">
        <is>
          <t>Negro</t>
        </is>
      </c>
      <c r="Q67" s="156" t="n"/>
      <c r="R67" s="156" t="n"/>
      <c r="S67" s="156" t="n"/>
      <c r="T67" s="156" t="n"/>
      <c r="U67" s="156" t="n"/>
      <c r="V67" s="156" t="inlineStr">
        <is>
          <t>PZS</t>
        </is>
      </c>
      <c r="W67" s="51" t="inlineStr">
        <is>
          <t>53101602</t>
        </is>
      </c>
      <c r="X67" s="156" t="n"/>
      <c r="Y67" s="54" t="n">
        <v>22.55</v>
      </c>
      <c r="Z67" s="54" t="n">
        <v>629</v>
      </c>
      <c r="AA67" s="55">
        <f>IF(AND(A67="", B67="", E67=""), "", IF(AB67="", "Válido", IF((LEN(AB67)-LEN(SUBSTITUTE(AB67,"; ","")))/2+1&gt;(LEN(AB67)-LEN(SUBSTITUTE(AB67,"[Aviso]","")))/7, "Con Incidencias", "Válido")))</f>
        <v/>
      </c>
      <c r="AB67" s="56">
        <f>IF(AND(A67="", B67="", E67=""), "", TEXTJOIN("; ", TRUE, IF(OR(TRIM(A67&amp;"")="", ISNUMBER(SEARCH("FALTA", A67))), "UPC faltante/inválido", ""), IF(AND(A67&lt;&gt;"", IFERROR(_xlfn.XMATCH(A67,$A$2:$A$285,0,1)&lt;&gt;_xlfn.XMATCH(A67,$A$2:$A$285,0,-1),FALSE)), "Código de barras duplicado", ""), IF(AND(E67&lt;&gt;"", COUNTIF($E$2:$E$285, E67)&gt;1), "SKU duplicado", ""), IF(OR(J67="", J67=""), "[Aviso] División no capturada ()", IF(ISNA(MATCH(J67, Criterios!$A$123:$A$126, 0)), "División no válida", "")), IF(OR(K67="", K67=""), "[Aviso] Categoría no capturada ()", IF(ISNA(MATCH(K67, Criterios!$A$81:$A$120, 0)), "Categoría no válida", IF(AND(J67&lt;&gt;"", J67&lt;&gt;"", J67&lt;&gt;VLOOKUP(K67, Criterios!$A$81:$B$120, 2, FALSE)), "División no coincide con Categoría", ""))), IF(OR(L67="", L67=""), "[Aviso] Género no capturado ()", IF(ISNA(MATCH(L67, Criterios!$B$123:$B$127, 0)), "Género no válido", "")), IF(OR(N67="", N67=""), "[Aviso] Temporada no capturada ()", IF(ISNA(MATCH(N67, Criterios!$C$123:$C$128, 0)), "Temporada no válida", "")), IF(OR(O67="", O67=""), "[Aviso] Ciclo de vida no capturado ()", IF(ISNA(MATCH(O67, Criterios!$D$123:$D$124, 0)), "Ciclo de vida no válido", ""))))</f>
        <v/>
      </c>
      <c r="AC67" s="56" t="n"/>
      <c r="AD67" s="51" t="n"/>
      <c r="AE67" s="156" t="n"/>
      <c r="AF67" s="51" t="n"/>
      <c r="AG67" s="156" t="inlineStr">
        <is>
          <t>Nuevo – Odoo Universal Unique Brands 01/10/2026</t>
        </is>
      </c>
      <c r="AH67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(black) | Homologación G1522 06/10/2026: WB N.º de estilo: «» → «01-050-0019-7011» (Completado por regla)</t>
        </is>
      </c>
      <c r="AI67" s="156" t="n"/>
      <c r="AJ67" s="156" t="n"/>
      <c r="AK67" s="155" t="inlineStr">
        <is>
          <t>Odoo: producto 21017 / plantilla 27020</t>
        </is>
      </c>
      <c r="AL67" s="58" t="n"/>
      <c r="AM67" s="58" t="n"/>
      <c r="AN67" s="155" t="inlineStr">
        <is>
          <t>Odoo Universal Unique Brands</t>
        </is>
      </c>
      <c r="AO67" s="59" t="n"/>
      <c r="AP67" s="59" t="n"/>
      <c r="AQ67" s="59" t="n">
        <v>6</v>
      </c>
      <c r="AR67" s="155" t="inlineStr">
        <is>
          <t>Odoo Universal Unique Brands › Bodega 25 › Bodega 25/General: 6</t>
        </is>
      </c>
    </row>
    <row r="68">
      <c r="A68" s="50" t="inlineStr">
        <is>
          <t>199168044503</t>
        </is>
      </c>
      <c r="B68" s="51" t="n"/>
      <c r="C68" s="156" t="inlineStr">
        <is>
          <t>Roper</t>
        </is>
      </c>
      <c r="D68" s="156" t="inlineStr">
        <is>
          <t>01-050-0019-7011</t>
        </is>
      </c>
      <c r="E68" s="156" t="inlineStr">
        <is>
          <t>01-050-0019-7011 BL-XL</t>
        </is>
      </c>
      <c r="F68" s="156" t="inlineStr">
        <is>
          <t>XL</t>
        </is>
      </c>
      <c r="G68" s="156" t="inlineStr">
        <is>
          <t>XL</t>
        </is>
      </c>
      <c r="H68" s="156" t="inlineStr">
        <is>
          <t>Roper</t>
        </is>
      </c>
      <c r="I68" s="156" t="inlineStr">
        <is>
          <t>ROPER Shirt Black &amp; Grey Floral</t>
        </is>
      </c>
      <c r="J68" s="156" t="inlineStr">
        <is>
          <t>Ropa</t>
        </is>
      </c>
      <c r="K68" s="156" t="inlineStr">
        <is>
          <t>Camisas</t>
        </is>
      </c>
      <c r="L68" s="156" t="n"/>
      <c r="M68" s="156" t="n"/>
      <c r="N68" s="156" t="n"/>
      <c r="O68" s="156" t="n"/>
      <c r="P68" s="156" t="inlineStr">
        <is>
          <t>Negro</t>
        </is>
      </c>
      <c r="Q68" s="156" t="n"/>
      <c r="R68" s="156" t="n"/>
      <c r="S68" s="156" t="n"/>
      <c r="T68" s="156" t="n"/>
      <c r="U68" s="156" t="n"/>
      <c r="V68" s="156" t="inlineStr">
        <is>
          <t>PZS</t>
        </is>
      </c>
      <c r="W68" s="51" t="inlineStr">
        <is>
          <t>53101602</t>
        </is>
      </c>
      <c r="X68" s="156" t="n"/>
      <c r="Y68" s="54" t="n">
        <v>22.55</v>
      </c>
      <c r="Z68" s="54" t="n">
        <v>629</v>
      </c>
      <c r="AA68" s="55">
        <f>IF(AND(A68="", B68="", E68=""), "", IF(AB68="", "Válido", IF((LEN(AB68)-LEN(SUBSTITUTE(AB68,"; ","")))/2+1&gt;(LEN(AB68)-LEN(SUBSTITUTE(AB68,"[Aviso]","")))/7, "Con Incidencias", "Válido")))</f>
        <v/>
      </c>
      <c r="AB68" s="56">
        <f>IF(AND(A68="", B68="", E68=""), "", TEXTJOIN("; ", TRUE, IF(OR(TRIM(A68&amp;"")="", ISNUMBER(SEARCH("FALTA", A68))), "UPC faltante/inválido", ""), IF(AND(A68&lt;&gt;"", IFERROR(_xlfn.XMATCH(A68,$A$2:$A$285,0,1)&lt;&gt;_xlfn.XMATCH(A68,$A$2:$A$285,0,-1),FALSE)), "Código de barras duplicado", ""), IF(AND(E68&lt;&gt;"", COUNTIF($E$2:$E$285, E68)&gt;1), "SKU duplicado", ""), IF(OR(J68="", J68=""), "[Aviso] División no capturada ()", IF(ISNA(MATCH(J68, Criterios!$A$123:$A$126, 0)), "División no válida", "")), IF(OR(K68="", K68=""), "[Aviso] Categoría no capturada ()", IF(ISNA(MATCH(K68, Criterios!$A$81:$A$120, 0)), "Categoría no válida", IF(AND(J68&lt;&gt;"", J68&lt;&gt;"", J68&lt;&gt;VLOOKUP(K68, Criterios!$A$81:$B$120, 2, FALSE)), "División no coincide con Categoría", ""))), IF(OR(L68="", L68=""), "[Aviso] Género no capturado ()", IF(ISNA(MATCH(L68, Criterios!$B$123:$B$127, 0)), "Género no válido", "")), IF(OR(N68="", N68=""), "[Aviso] Temporada no capturada ()", IF(ISNA(MATCH(N68, Criterios!$C$123:$C$128, 0)), "Temporada no válida", "")), IF(OR(O68="", O68=""), "[Aviso] Ciclo de vida no capturado ()", IF(ISNA(MATCH(O68, Criterios!$D$123:$D$124, 0)), "Ciclo de vida no válido", ""))))</f>
        <v/>
      </c>
      <c r="AC68" s="56" t="n"/>
      <c r="AD68" s="51" t="n"/>
      <c r="AE68" s="156" t="n"/>
      <c r="AF68" s="51" t="n"/>
      <c r="AG68" s="156" t="inlineStr">
        <is>
          <t>Nuevo – Odoo Universal Unique Brands 01/10/2026</t>
        </is>
      </c>
      <c r="AH68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(black) | Homologación G1522 06/10/2026: WB N.º de estilo: «» → «01-050-0019-7011» (Completado por regla)</t>
        </is>
      </c>
      <c r="AI68" s="156" t="n"/>
      <c r="AJ68" s="156" t="n"/>
      <c r="AK68" s="155" t="inlineStr">
        <is>
          <t>Odoo: producto 21020 / plantilla 27023</t>
        </is>
      </c>
      <c r="AL68" s="58" t="n"/>
      <c r="AM68" s="58" t="n"/>
      <c r="AN68" s="155" t="inlineStr">
        <is>
          <t>Odoo Universal Unique Brands</t>
        </is>
      </c>
      <c r="AO68" s="59" t="n"/>
      <c r="AP68" s="59" t="n"/>
      <c r="AQ68" s="59" t="n">
        <v>7</v>
      </c>
      <c r="AR68" s="155" t="inlineStr">
        <is>
          <t>Odoo Universal Unique Brands › Bodega 25 › Bodega 25/General: 7</t>
        </is>
      </c>
    </row>
    <row r="69">
      <c r="A69" s="50" t="inlineStr">
        <is>
          <t>199168044572</t>
        </is>
      </c>
      <c r="B69" s="51" t="n"/>
      <c r="C69" s="156" t="inlineStr">
        <is>
          <t>Roper</t>
        </is>
      </c>
      <c r="D69" s="156" t="inlineStr">
        <is>
          <t>01-050-0024-7008</t>
        </is>
      </c>
      <c r="E69" s="156" t="inlineStr">
        <is>
          <t>01-050-0024-7008 BL-L</t>
        </is>
      </c>
      <c r="F69" s="156" t="inlineStr">
        <is>
          <t>L</t>
        </is>
      </c>
      <c r="G69" s="156" t="inlineStr">
        <is>
          <t>L</t>
        </is>
      </c>
      <c r="H69" s="156" t="inlineStr">
        <is>
          <t>Roper</t>
        </is>
      </c>
      <c r="I69" s="156" t="inlineStr">
        <is>
          <t>ROPER Shirt Bl/Gy/Br Plaid</t>
        </is>
      </c>
      <c r="J69" s="156" t="inlineStr">
        <is>
          <t>Ropa</t>
        </is>
      </c>
      <c r="K69" s="156" t="inlineStr">
        <is>
          <t>Camisas</t>
        </is>
      </c>
      <c r="L69" s="156" t="n"/>
      <c r="M69" s="156" t="n"/>
      <c r="N69" s="156" t="n"/>
      <c r="O69" s="156" t="n"/>
      <c r="P69" s="156" t="n"/>
      <c r="Q69" s="156" t="n"/>
      <c r="R69" s="156" t="n"/>
      <c r="S69" s="156" t="n"/>
      <c r="T69" s="156" t="n"/>
      <c r="U69" s="156" t="n"/>
      <c r="V69" s="156" t="inlineStr">
        <is>
          <t>PZS</t>
        </is>
      </c>
      <c r="W69" s="51" t="inlineStr">
        <is>
          <t>53101604</t>
        </is>
      </c>
      <c r="X69" s="156" t="n"/>
      <c r="Y69" s="54" t="n">
        <v>33.48</v>
      </c>
      <c r="Z69" s="54" t="n">
        <v>889</v>
      </c>
      <c r="AA69" s="55">
        <f>IF(AND(A69="", B69="", E69=""), "", IF(AB69="", "Válido", IF((LEN(AB69)-LEN(SUBSTITUTE(AB69,"; ","")))/2+1&gt;(LEN(AB69)-LEN(SUBSTITUTE(AB69,"[Aviso]","")))/7, "Con Incidencias", "Válido")))</f>
        <v/>
      </c>
      <c r="AB69" s="56">
        <f>IF(AND(A69="", B69="", E69=""), "", TEXTJOIN("; ", TRUE, IF(OR(TRIM(A69&amp;"")="", ISNUMBER(SEARCH("FALTA", A69))), "UPC faltante/inválido", ""), IF(AND(A69&lt;&gt;"", IFERROR(_xlfn.XMATCH(A69,$A$2:$A$285,0,1)&lt;&gt;_xlfn.XMATCH(A69,$A$2:$A$285,0,-1),FALSE)), "Código de barras duplicado", ""), IF(AND(E69&lt;&gt;"", COUNTIF($E$2:$E$285, E69)&gt;1), "SKU duplicado", ""), IF(OR(J69="", J69=""), "[Aviso] División no capturada ()", IF(ISNA(MATCH(J69, Criterios!$A$123:$A$126, 0)), "División no válida", "")), IF(OR(K69="", K69=""), "[Aviso] Categoría no capturada ()", IF(ISNA(MATCH(K69, Criterios!$A$81:$A$120, 0)), "Categoría no válida", IF(AND(J69&lt;&gt;"", J69&lt;&gt;"", J69&lt;&gt;VLOOKUP(K69, Criterios!$A$81:$B$120, 2, FALSE)), "División no coincide con Categoría", ""))), IF(OR(L69="", L69=""), "[Aviso] Género no capturado ()", IF(ISNA(MATCH(L69, Criterios!$B$123:$B$127, 0)), "Género no válido", "")), IF(OR(N69="", N69=""), "[Aviso] Temporada no capturada ()", IF(ISNA(MATCH(N69, Criterios!$C$123:$C$128, 0)), "Temporada no válida", "")), IF(OR(O69="", O69=""), "[Aviso] Ciclo de vida no capturado ()", IF(ISNA(MATCH(O69, Criterios!$D$123:$D$124, 0)), "Ciclo de vida no válido", ""))))</f>
        <v/>
      </c>
      <c r="AC69" s="56" t="n"/>
      <c r="AD69" s="51" t="n"/>
      <c r="AE69" s="156" t="n"/>
      <c r="AF69" s="51" t="n"/>
      <c r="AG69" s="156" t="inlineStr">
        <is>
          <t>Nuevo – Odoo Universal Unique Brands 01/10/2026</t>
        </is>
      </c>
      <c r="AH69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«01-050-0024-7008» (Completado por regla) · Validador Shopify: WB: precio con IVA no termina en 9</t>
        </is>
      </c>
      <c r="AI69" s="156" t="n"/>
      <c r="AJ69" s="156" t="n"/>
      <c r="AK69" s="155" t="inlineStr">
        <is>
          <t>Odoo: producto 20977 / plantilla 26980</t>
        </is>
      </c>
      <c r="AL69" s="58" t="n"/>
      <c r="AM69" s="58" t="n"/>
      <c r="AN69" s="155" t="inlineStr">
        <is>
          <t>Odoo Universal Unique Brands</t>
        </is>
      </c>
      <c r="AO69" s="59" t="n"/>
      <c r="AP69" s="59" t="n"/>
      <c r="AQ69" s="59" t="n">
        <v>5</v>
      </c>
      <c r="AR69" s="155" t="inlineStr">
        <is>
          <t>Odoo Universal Unique Brands › Bodega 25 › Bodega 25/General: 5</t>
        </is>
      </c>
    </row>
    <row r="70">
      <c r="A70" s="50" t="inlineStr">
        <is>
          <t>199168044589</t>
        </is>
      </c>
      <c r="B70" s="51" t="n"/>
      <c r="C70" s="156" t="inlineStr">
        <is>
          <t>Roper</t>
        </is>
      </c>
      <c r="D70" s="156" t="inlineStr">
        <is>
          <t>01-050-0024-7008</t>
        </is>
      </c>
      <c r="E70" s="156" t="inlineStr">
        <is>
          <t>01-050-0024-7008 BL-M</t>
        </is>
      </c>
      <c r="F70" s="156" t="inlineStr">
        <is>
          <t>M</t>
        </is>
      </c>
      <c r="G70" s="156" t="inlineStr">
        <is>
          <t>M</t>
        </is>
      </c>
      <c r="H70" s="156" t="inlineStr">
        <is>
          <t>Roper</t>
        </is>
      </c>
      <c r="I70" s="156" t="inlineStr">
        <is>
          <t>ROPER Shirt Bl/Gy/Br Plaid</t>
        </is>
      </c>
      <c r="J70" s="156" t="inlineStr">
        <is>
          <t>Ropa</t>
        </is>
      </c>
      <c r="K70" s="156" t="inlineStr">
        <is>
          <t>Camisas</t>
        </is>
      </c>
      <c r="L70" s="156" t="n"/>
      <c r="M70" s="156" t="n"/>
      <c r="N70" s="156" t="n"/>
      <c r="O70" s="156" t="n"/>
      <c r="P70" s="156" t="n"/>
      <c r="Q70" s="156" t="n"/>
      <c r="R70" s="156" t="n"/>
      <c r="S70" s="156" t="n"/>
      <c r="T70" s="156" t="n"/>
      <c r="U70" s="156" t="n"/>
      <c r="V70" s="156" t="inlineStr">
        <is>
          <t>PZS</t>
        </is>
      </c>
      <c r="W70" s="51" t="inlineStr">
        <is>
          <t>53101604</t>
        </is>
      </c>
      <c r="X70" s="156" t="n"/>
      <c r="Y70" s="54" t="n">
        <v>33.48</v>
      </c>
      <c r="Z70" s="54" t="n">
        <v>889</v>
      </c>
      <c r="AA70" s="55">
        <f>IF(AND(A70="", B70="", E70=""), "", IF(AB70="", "Válido", IF((LEN(AB70)-LEN(SUBSTITUTE(AB70,"; ","")))/2+1&gt;(LEN(AB70)-LEN(SUBSTITUTE(AB70,"[Aviso]","")))/7, "Con Incidencias", "Válido")))</f>
        <v/>
      </c>
      <c r="AB70" s="56">
        <f>IF(AND(A70="", B70="", E70=""), "", TEXTJOIN("; ", TRUE, IF(OR(TRIM(A70&amp;"")="", ISNUMBER(SEARCH("FALTA", A70))), "UPC faltante/inválido", ""), IF(AND(A70&lt;&gt;"", IFERROR(_xlfn.XMATCH(A70,$A$2:$A$285,0,1)&lt;&gt;_xlfn.XMATCH(A70,$A$2:$A$285,0,-1),FALSE)), "Código de barras duplicado", ""), IF(AND(E70&lt;&gt;"", COUNTIF($E$2:$E$285, E70)&gt;1), "SKU duplicado", ""), IF(OR(J70="", J70=""), "[Aviso] División no capturada ()", IF(ISNA(MATCH(J70, Criterios!$A$123:$A$126, 0)), "División no válida", "")), IF(OR(K70="", K70=""), "[Aviso] Categoría no capturada ()", IF(ISNA(MATCH(K70, Criterios!$A$81:$A$120, 0)), "Categoría no válida", IF(AND(J70&lt;&gt;"", J70&lt;&gt;"", J70&lt;&gt;VLOOKUP(K70, Criterios!$A$81:$B$120, 2, FALSE)), "División no coincide con Categoría", ""))), IF(OR(L70="", L70=""), "[Aviso] Género no capturado ()", IF(ISNA(MATCH(L70, Criterios!$B$123:$B$127, 0)), "Género no válido", "")), IF(OR(N70="", N70=""), "[Aviso] Temporada no capturada ()", IF(ISNA(MATCH(N70, Criterios!$C$123:$C$128, 0)), "Temporada no válida", "")), IF(OR(O70="", O70=""), "[Aviso] Ciclo de vida no capturado ()", IF(ISNA(MATCH(O70, Criterios!$D$123:$D$124, 0)), "Ciclo de vida no válido", ""))))</f>
        <v/>
      </c>
      <c r="AC70" s="56" t="n"/>
      <c r="AD70" s="51" t="n"/>
      <c r="AE70" s="156" t="n"/>
      <c r="AF70" s="51" t="n"/>
      <c r="AG70" s="156" t="inlineStr">
        <is>
          <t>Nuevo – Odoo Universal Unique Brands 01/10/2026</t>
        </is>
      </c>
      <c r="AH70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«01-050-0024-7008» (Completado por regla) · Validador Shopify: WB: precio con IVA no termina en 9</t>
        </is>
      </c>
      <c r="AI70" s="156" t="n"/>
      <c r="AJ70" s="156" t="n"/>
      <c r="AK70" s="155" t="inlineStr">
        <is>
          <t>Odoo: producto 20976 / plantilla 26979</t>
        </is>
      </c>
      <c r="AL70" s="58" t="n"/>
      <c r="AM70" s="58" t="n"/>
      <c r="AN70" s="155" t="inlineStr">
        <is>
          <t>Odoo Universal Unique Brands</t>
        </is>
      </c>
      <c r="AO70" s="59" t="n"/>
      <c r="AP70" s="59" t="n"/>
      <c r="AQ70" s="59" t="n">
        <v>5</v>
      </c>
      <c r="AR70" s="155" t="inlineStr">
        <is>
          <t>Odoo Universal Unique Brands › Bodega 25 › Bodega 25/General: 5</t>
        </is>
      </c>
    </row>
    <row r="71">
      <c r="A71" s="50" t="inlineStr">
        <is>
          <t>199168044596</t>
        </is>
      </c>
      <c r="B71" s="51" t="n"/>
      <c r="C71" s="156" t="inlineStr">
        <is>
          <t>Roper</t>
        </is>
      </c>
      <c r="D71" s="156" t="inlineStr">
        <is>
          <t>01-050-0024-7008</t>
        </is>
      </c>
      <c r="E71" s="156" t="inlineStr">
        <is>
          <t>01-050-0024-7008 BL-S</t>
        </is>
      </c>
      <c r="F71" s="156" t="inlineStr">
        <is>
          <t>S</t>
        </is>
      </c>
      <c r="G71" s="156" t="inlineStr">
        <is>
          <t>S</t>
        </is>
      </c>
      <c r="H71" s="156" t="inlineStr">
        <is>
          <t>Roper</t>
        </is>
      </c>
      <c r="I71" s="156" t="inlineStr">
        <is>
          <t>ROPER Shirt Bl/Gy/Br Plaid</t>
        </is>
      </c>
      <c r="J71" s="156" t="inlineStr">
        <is>
          <t>Ropa</t>
        </is>
      </c>
      <c r="K71" s="156" t="inlineStr">
        <is>
          <t>Camisas</t>
        </is>
      </c>
      <c r="L71" s="156" t="n"/>
      <c r="M71" s="156" t="n"/>
      <c r="N71" s="156" t="n"/>
      <c r="O71" s="156" t="n"/>
      <c r="P71" s="156" t="n"/>
      <c r="Q71" s="156" t="n"/>
      <c r="R71" s="156" t="n"/>
      <c r="S71" s="156" t="n"/>
      <c r="T71" s="156" t="n"/>
      <c r="U71" s="156" t="n"/>
      <c r="V71" s="156" t="inlineStr">
        <is>
          <t>PZS</t>
        </is>
      </c>
      <c r="W71" s="51" t="inlineStr">
        <is>
          <t>53101604</t>
        </is>
      </c>
      <c r="X71" s="156" t="n"/>
      <c r="Y71" s="54" t="n">
        <v>33.48</v>
      </c>
      <c r="Z71" s="54" t="n">
        <v>889</v>
      </c>
      <c r="AA71" s="55">
        <f>IF(AND(A71="", B71="", E71=""), "", IF(AB71="", "Válido", IF((LEN(AB71)-LEN(SUBSTITUTE(AB71,"; ","")))/2+1&gt;(LEN(AB71)-LEN(SUBSTITUTE(AB71,"[Aviso]","")))/7, "Con Incidencias", "Válido")))</f>
        <v/>
      </c>
      <c r="AB71" s="56">
        <f>IF(AND(A71="", B71="", E71=""), "", TEXTJOIN("; ", TRUE, IF(OR(TRIM(A71&amp;"")="", ISNUMBER(SEARCH("FALTA", A71))), "UPC faltante/inválido", ""), IF(AND(A71&lt;&gt;"", IFERROR(_xlfn.XMATCH(A71,$A$2:$A$285,0,1)&lt;&gt;_xlfn.XMATCH(A71,$A$2:$A$285,0,-1),FALSE)), "Código de barras duplicado", ""), IF(AND(E71&lt;&gt;"", COUNTIF($E$2:$E$285, E71)&gt;1), "SKU duplicado", ""), IF(OR(J71="", J71=""), "[Aviso] División no capturada ()", IF(ISNA(MATCH(J71, Criterios!$A$123:$A$126, 0)), "División no válida", "")), IF(OR(K71="", K71=""), "[Aviso] Categoría no capturada ()", IF(ISNA(MATCH(K71, Criterios!$A$81:$A$120, 0)), "Categoría no válida", IF(AND(J71&lt;&gt;"", J71&lt;&gt;"", J71&lt;&gt;VLOOKUP(K71, Criterios!$A$81:$B$120, 2, FALSE)), "División no coincide con Categoría", ""))), IF(OR(L71="", L71=""), "[Aviso] Género no capturado ()", IF(ISNA(MATCH(L71, Criterios!$B$123:$B$127, 0)), "Género no válido", "")), IF(OR(N71="", N71=""), "[Aviso] Temporada no capturada ()", IF(ISNA(MATCH(N71, Criterios!$C$123:$C$128, 0)), "Temporada no válida", "")), IF(OR(O71="", O71=""), "[Aviso] Ciclo de vida no capturado ()", IF(ISNA(MATCH(O71, Criterios!$D$123:$D$124, 0)), "Ciclo de vida no válido", ""))))</f>
        <v/>
      </c>
      <c r="AC71" s="56" t="n"/>
      <c r="AD71" s="51" t="n"/>
      <c r="AE71" s="156" t="n"/>
      <c r="AF71" s="51" t="n"/>
      <c r="AG71" s="156" t="inlineStr">
        <is>
          <t>Nuevo – Odoo Universal Unique Brands 01/10/2026</t>
        </is>
      </c>
      <c r="AH71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«01-050-0024-7008» (Completado por regla) · Validador Shopify: WB: precio con IVA no termina en 9</t>
        </is>
      </c>
      <c r="AI71" s="156" t="n"/>
      <c r="AJ71" s="156" t="n"/>
      <c r="AK71" s="155" t="inlineStr">
        <is>
          <t>Odoo: producto 20975 / plantilla 26978</t>
        </is>
      </c>
      <c r="AL71" s="58" t="n"/>
      <c r="AM71" s="58" t="n"/>
      <c r="AN71" s="155" t="inlineStr">
        <is>
          <t>Odoo Universal Unique Brands</t>
        </is>
      </c>
      <c r="AO71" s="59" t="n"/>
      <c r="AP71" s="59" t="n"/>
      <c r="AQ71" s="59" t="n">
        <v>5</v>
      </c>
      <c r="AR71" s="155" t="inlineStr">
        <is>
          <t>Odoo Universal Unique Brands › Bodega 25 › Bodega 25/General: 5</t>
        </is>
      </c>
    </row>
    <row r="72">
      <c r="A72" s="50" t="inlineStr">
        <is>
          <t>199168044602</t>
        </is>
      </c>
      <c r="B72" s="51" t="n"/>
      <c r="C72" s="156" t="inlineStr">
        <is>
          <t>Roper</t>
        </is>
      </c>
      <c r="D72" s="156" t="inlineStr">
        <is>
          <t>01-050-0024-7008</t>
        </is>
      </c>
      <c r="E72" s="156" t="inlineStr">
        <is>
          <t>01-050-0024-7008 BL-XL</t>
        </is>
      </c>
      <c r="F72" s="156" t="inlineStr">
        <is>
          <t>XL</t>
        </is>
      </c>
      <c r="G72" s="156" t="inlineStr">
        <is>
          <t>XL</t>
        </is>
      </c>
      <c r="H72" s="156" t="inlineStr">
        <is>
          <t>Roper</t>
        </is>
      </c>
      <c r="I72" s="156" t="inlineStr">
        <is>
          <t>ROPER Shirt Bl/Gy/Br Plaid</t>
        </is>
      </c>
      <c r="J72" s="156" t="inlineStr">
        <is>
          <t>Ropa</t>
        </is>
      </c>
      <c r="K72" s="156" t="inlineStr">
        <is>
          <t>Camisas</t>
        </is>
      </c>
      <c r="L72" s="156" t="n"/>
      <c r="M72" s="156" t="n"/>
      <c r="N72" s="156" t="n"/>
      <c r="O72" s="156" t="n"/>
      <c r="P72" s="156" t="n"/>
      <c r="Q72" s="156" t="n"/>
      <c r="R72" s="156" t="n"/>
      <c r="S72" s="156" t="n"/>
      <c r="T72" s="156" t="n"/>
      <c r="U72" s="156" t="n"/>
      <c r="V72" s="156" t="inlineStr">
        <is>
          <t>PZS</t>
        </is>
      </c>
      <c r="W72" s="51" t="inlineStr">
        <is>
          <t>53101604</t>
        </is>
      </c>
      <c r="X72" s="156" t="n"/>
      <c r="Y72" s="54" t="n">
        <v>33.48</v>
      </c>
      <c r="Z72" s="54" t="n">
        <v>889</v>
      </c>
      <c r="AA72" s="55">
        <f>IF(AND(A72="", B72="", E72=""), "", IF(AB72="", "Válido", IF((LEN(AB72)-LEN(SUBSTITUTE(AB72,"; ","")))/2+1&gt;(LEN(AB72)-LEN(SUBSTITUTE(AB72,"[Aviso]","")))/7, "Con Incidencias", "Válido")))</f>
        <v/>
      </c>
      <c r="AB72" s="56">
        <f>IF(AND(A72="", B72="", E72=""), "", TEXTJOIN("; ", TRUE, IF(OR(TRIM(A72&amp;"")="", ISNUMBER(SEARCH("FALTA", A72))), "UPC faltante/inválido", ""), IF(AND(A72&lt;&gt;"", IFERROR(_xlfn.XMATCH(A72,$A$2:$A$285,0,1)&lt;&gt;_xlfn.XMATCH(A72,$A$2:$A$285,0,-1),FALSE)), "Código de barras duplicado", ""), IF(AND(E72&lt;&gt;"", COUNTIF($E$2:$E$285, E72)&gt;1), "SKU duplicado", ""), IF(OR(J72="", J72=""), "[Aviso] División no capturada ()", IF(ISNA(MATCH(J72, Criterios!$A$123:$A$126, 0)), "División no válida", "")), IF(OR(K72="", K72=""), "[Aviso] Categoría no capturada ()", IF(ISNA(MATCH(K72, Criterios!$A$81:$A$120, 0)), "Categoría no válida", IF(AND(J72&lt;&gt;"", J72&lt;&gt;"", J72&lt;&gt;VLOOKUP(K72, Criterios!$A$81:$B$120, 2, FALSE)), "División no coincide con Categoría", ""))), IF(OR(L72="", L72=""), "[Aviso] Género no capturado ()", IF(ISNA(MATCH(L72, Criterios!$B$123:$B$127, 0)), "Género no válido", "")), IF(OR(N72="", N72=""), "[Aviso] Temporada no capturada ()", IF(ISNA(MATCH(N72, Criterios!$C$123:$C$128, 0)), "Temporada no válida", "")), IF(OR(O72="", O72=""), "[Aviso] Ciclo de vida no capturado ()", IF(ISNA(MATCH(O72, Criterios!$D$123:$D$124, 0)), "Ciclo de vida no válido", ""))))</f>
        <v/>
      </c>
      <c r="AC72" s="56" t="n"/>
      <c r="AD72" s="51" t="n"/>
      <c r="AE72" s="156" t="n"/>
      <c r="AF72" s="51" t="n"/>
      <c r="AG72" s="156" t="inlineStr">
        <is>
          <t>Nuevo – Odoo Universal Unique Brands 01/10/2026</t>
        </is>
      </c>
      <c r="AH72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«01-050-0024-7008» (Completado por regla) · Validador Shopify: WB: precio con IVA no termina en 9</t>
        </is>
      </c>
      <c r="AI72" s="156" t="n"/>
      <c r="AJ72" s="156" t="n"/>
      <c r="AK72" s="155" t="inlineStr">
        <is>
          <t>Odoo: producto 20978 / plantilla 26981</t>
        </is>
      </c>
      <c r="AL72" s="58" t="n"/>
      <c r="AM72" s="58" t="n"/>
      <c r="AN72" s="155" t="inlineStr">
        <is>
          <t>Odoo Universal Unique Brands</t>
        </is>
      </c>
      <c r="AO72" s="59" t="n"/>
      <c r="AP72" s="59" t="n"/>
      <c r="AQ72" s="59" t="n">
        <v>6</v>
      </c>
      <c r="AR72" s="155" t="inlineStr">
        <is>
          <t>Odoo Universal Unique Brands › Bodega 25 › Bodega 25/General: 6</t>
        </is>
      </c>
    </row>
    <row r="73">
      <c r="A73" s="50" t="inlineStr">
        <is>
          <t>199168044800</t>
        </is>
      </c>
      <c r="B73" s="51" t="n"/>
      <c r="C73" s="156" t="inlineStr">
        <is>
          <t>Roper</t>
        </is>
      </c>
      <c r="D73" s="156" t="inlineStr">
        <is>
          <t>01-050-0087-7007</t>
        </is>
      </c>
      <c r="E73" s="156" t="inlineStr">
        <is>
          <t>01-050-0087-7007 BU-1XL</t>
        </is>
      </c>
      <c r="F73" s="156" t="n"/>
      <c r="G73" s="156" t="n"/>
      <c r="H73" s="156" t="inlineStr">
        <is>
          <t>Roper</t>
        </is>
      </c>
      <c r="I73" s="156" t="inlineStr">
        <is>
          <t>ROPER Shirt Tq/Cobalt/Choc Plaid</t>
        </is>
      </c>
      <c r="J73" s="156" t="inlineStr">
        <is>
          <t>Ropa</t>
        </is>
      </c>
      <c r="K73" s="156" t="inlineStr">
        <is>
          <t>Camisas</t>
        </is>
      </c>
      <c r="L73" s="156" t="n"/>
      <c r="M73" s="156" t="n"/>
      <c r="N73" s="156" t="n"/>
      <c r="O73" s="156" t="n"/>
      <c r="P73" s="156" t="n"/>
      <c r="Q73" s="156" t="n"/>
      <c r="R73" s="156" t="n"/>
      <c r="S73" s="156" t="n"/>
      <c r="T73" s="156" t="n"/>
      <c r="U73" s="156" t="n"/>
      <c r="V73" s="156" t="inlineStr">
        <is>
          <t>PZS</t>
        </is>
      </c>
      <c r="W73" s="51" t="inlineStr">
        <is>
          <t>53101602</t>
        </is>
      </c>
      <c r="X73" s="156" t="n"/>
      <c r="Y73" s="54" t="n">
        <v>28.13</v>
      </c>
      <c r="Z73" s="54" t="n">
        <v>759</v>
      </c>
      <c r="AA73" s="55">
        <f>IF(AND(A73="", B73="", E73=""), "", IF(AB73="", "Válido", IF((LEN(AB73)-LEN(SUBSTITUTE(AB73,"; ","")))/2+1&gt;(LEN(AB73)-LEN(SUBSTITUTE(AB73,"[Aviso]","")))/7, "Con Incidencias", "Válido")))</f>
        <v/>
      </c>
      <c r="AB73" s="56">
        <f>IF(AND(A73="", B73="", E73=""), "", TEXTJOIN("; ", TRUE, IF(OR(TRIM(A73&amp;"")="", ISNUMBER(SEARCH("FALTA", A73))), "UPC faltante/inválido", ""), IF(AND(A73&lt;&gt;"", IFERROR(_xlfn.XMATCH(A73,$A$2:$A$285,0,1)&lt;&gt;_xlfn.XMATCH(A73,$A$2:$A$285,0,-1),FALSE)), "Código de barras duplicado", ""), IF(AND(E73&lt;&gt;"", COUNTIF($E$2:$E$285, E73)&gt;1), "SKU duplicado", ""), IF(OR(J73="", J73=""), "[Aviso] División no capturada ()", IF(ISNA(MATCH(J73, Criterios!$A$123:$A$126, 0)), "División no válida", "")), IF(OR(K73="", K73=""), "[Aviso] Categoría no capturada ()", IF(ISNA(MATCH(K73, Criterios!$A$81:$A$120, 0)), "Categoría no válida", IF(AND(J73&lt;&gt;"", J73&lt;&gt;"", J73&lt;&gt;VLOOKUP(K73, Criterios!$A$81:$B$120, 2, FALSE)), "División no coincide con Categoría", ""))), IF(OR(L73="", L73=""), "[Aviso] Género no capturado ()", IF(ISNA(MATCH(L73, Criterios!$B$123:$B$127, 0)), "Género no válido", "")), IF(OR(N73="", N73=""), "[Aviso] Temporada no capturada ()", IF(ISNA(MATCH(N73, Criterios!$C$123:$C$128, 0)), "Temporada no válida", "")), IF(OR(O73="", O73=""), "[Aviso] Ciclo de vida no capturado ()", IF(ISNA(MATCH(O73, Criterios!$D$123:$D$124, 0)), "Ciclo de vida no válido", ""))))</f>
        <v/>
      </c>
      <c r="AC73" s="56" t="n"/>
      <c r="AD73" s="51" t="n"/>
      <c r="AE73" s="156" t="n"/>
      <c r="AF73" s="51" t="n"/>
      <c r="AG73" s="156" t="inlineStr">
        <is>
          <t>Nuevo – Odoo Universal Unique Brands 01/10/2026</t>
        </is>
      </c>
      <c r="AH73" s="156" t="inlineStr">
        <is>
          <t>01/10/2026: alta desde Odoo Universal Unique Brands (no existía en Productos por código de barras ni SKU) | Categoría: Palabra clave "Camisa" en tipo/categoría de la fuente (Ropa / Camisas) | Homologación G1522 06/10/2026: WB N.º de estilo: «» → «01-050-0087-7007» (Completado por regla) · Validador NetSuite / Odoo: N2: talla cero o vacía · Validador Shopify: WB: precio con IVA no termina en 9</t>
        </is>
      </c>
      <c r="AI73" s="156" t="n"/>
      <c r="AJ73" s="156" t="n"/>
      <c r="AK73" s="155" t="inlineStr">
        <is>
          <t>Odoo: producto 21008 / plantilla 27011</t>
        </is>
      </c>
      <c r="AL73" s="58" t="n"/>
      <c r="AM73" s="58" t="n"/>
      <c r="AN73" s="155" t="inlineStr">
        <is>
          <t>Odoo Universal Unique Brands</t>
        </is>
      </c>
      <c r="AO73" s="59" t="n"/>
      <c r="AP73" s="59" t="n"/>
      <c r="AQ73" s="59" t="n">
        <v>6</v>
      </c>
      <c r="AR73" s="155" t="inlineStr">
        <is>
          <t>Odoo Universal Unique Brands › Bodega 25 › Bodega 25/General: 6</t>
        </is>
      </c>
    </row>
    <row r="74">
      <c r="A74" s="50" t="inlineStr">
        <is>
          <t>199168044756</t>
        </is>
      </c>
      <c r="B74" s="51" t="n"/>
      <c r="C74" s="156" t="inlineStr">
        <is>
          <t>Roper</t>
        </is>
      </c>
      <c r="D74" s="156" t="inlineStr">
        <is>
          <t>01-050-0087-7007</t>
        </is>
      </c>
      <c r="E74" s="156" t="inlineStr">
        <is>
          <t>01-050-0087-7007 BU-L</t>
        </is>
      </c>
      <c r="F74" s="156" t="inlineStr">
        <is>
          <t>L</t>
        </is>
      </c>
      <c r="G74" s="156" t="inlineStr">
        <is>
          <t>L</t>
        </is>
      </c>
      <c r="H74" s="156" t="inlineStr">
        <is>
          <t>Roper</t>
        </is>
      </c>
      <c r="I74" s="156" t="inlineStr">
        <is>
          <t>ROPER Shirt Tq/Cobalt/Choc Plaid</t>
        </is>
      </c>
      <c r="J74" s="156" t="inlineStr">
        <is>
          <t>Ropa</t>
        </is>
      </c>
      <c r="K74" s="156" t="inlineStr">
        <is>
          <t>Camisas</t>
        </is>
      </c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n"/>
      <c r="U74" s="156" t="n"/>
      <c r="V74" s="156" t="inlineStr">
        <is>
          <t>PZS</t>
        </is>
      </c>
      <c r="W74" s="51" t="inlineStr">
        <is>
          <t>53101602</t>
        </is>
      </c>
      <c r="X74" s="156" t="n"/>
      <c r="Y74" s="54" t="n">
        <v>28.13</v>
      </c>
      <c r="Z74" s="54" t="n">
        <v>759</v>
      </c>
      <c r="AA74" s="55">
        <f>IF(AND(A74="", B74="", E74=""), "", IF(AB74="", "Válido", IF((LEN(AB74)-LEN(SUBSTITUTE(AB74,"; ","")))/2+1&gt;(LEN(AB74)-LEN(SUBSTITUTE(AB74,"[Aviso]","")))/7, "Con Incidencias", "Válido")))</f>
        <v/>
      </c>
      <c r="AB74" s="56">
        <f>IF(AND(A74="", B74="", E74=""), "", TEXTJOIN("; ", TRUE, IF(OR(TRIM(A74&amp;"")="", ISNUMBER(SEARCH("FALTA", A74))), "UPC faltante/inválido", ""), IF(AND(A74&lt;&gt;"", IFERROR(_xlfn.XMATCH(A74,$A$2:$A$285,0,1)&lt;&gt;_xlfn.XMATCH(A74,$A$2:$A$285,0,-1),FALSE)), "Código de barras duplicado", ""), IF(AND(E74&lt;&gt;"", COUNTIF($E$2:$E$285, E74)&gt;1), "SKU duplicado", ""), IF(OR(J74="", J74=""), "[Aviso] División no capturada ()", IF(ISNA(MATCH(J74, Criterios!$A$123:$A$126, 0)), "División no válida", "")), IF(OR(K74="", K74=""), "[Aviso] Categoría no capturada ()", IF(ISNA(MATCH(K74, Criterios!$A$81:$A$120, 0)), "Categoría no válida", IF(AND(J74&lt;&gt;"", J74&lt;&gt;"", J74&lt;&gt;VLOOKUP(K74, Criterios!$A$81:$B$120, 2, FALSE)), "División no coincide con Categoría", ""))), IF(OR(L74="", L74=""), "[Aviso] Género no capturado ()", IF(ISNA(MATCH(L74, Criterios!$B$123:$B$127, 0)), "Género no válido", "")), IF(OR(N74="", N74=""), "[Aviso] Temporada no capturada ()", IF(ISNA(MATCH(N74, Criterios!$C$123:$C$128, 0)), "Temporada no válida", "")), IF(OR(O74="", O74=""), "[Aviso] Ciclo de vida no capturado ()", IF(ISNA(MATCH(O74, Criterios!$D$123:$D$124, 0)), "Ciclo de vida no válido", ""))))</f>
        <v/>
      </c>
      <c r="AC74" s="56" t="n"/>
      <c r="AD74" s="51" t="n"/>
      <c r="AE74" s="156" t="n"/>
      <c r="AF74" s="51" t="n"/>
      <c r="AG74" s="156" t="inlineStr">
        <is>
          <t>Nuevo – Odoo Universal Unique Brands 01/10/2026</t>
        </is>
      </c>
      <c r="AH74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«01-050-0087-7007» (Completado por regla) · Validador Shopify: WB: precio con IVA no termina en 9</t>
        </is>
      </c>
      <c r="AI74" s="156" t="n"/>
      <c r="AJ74" s="156" t="n"/>
      <c r="AK74" s="155" t="inlineStr">
        <is>
          <t>Odoo: producto 21006 / plantilla 27009</t>
        </is>
      </c>
      <c r="AL74" s="58" t="n"/>
      <c r="AM74" s="58" t="n"/>
      <c r="AN74" s="155" t="inlineStr">
        <is>
          <t>Odoo Universal Unique Brands</t>
        </is>
      </c>
      <c r="AO74" s="59" t="n"/>
      <c r="AP74" s="59" t="n"/>
      <c r="AQ74" s="59" t="n">
        <v>7</v>
      </c>
      <c r="AR74" s="155" t="inlineStr">
        <is>
          <t>Odoo Universal Unique Brands › Bodega 25 › Bodega 25/General: 7</t>
        </is>
      </c>
    </row>
    <row r="75">
      <c r="A75" s="50" t="inlineStr">
        <is>
          <t>199168044763</t>
        </is>
      </c>
      <c r="B75" s="51" t="n"/>
      <c r="C75" s="156" t="inlineStr">
        <is>
          <t>Roper</t>
        </is>
      </c>
      <c r="D75" s="156" t="inlineStr">
        <is>
          <t>01-050-0087-7007</t>
        </is>
      </c>
      <c r="E75" s="156" t="inlineStr">
        <is>
          <t>01-050-0087-7007 BU-M</t>
        </is>
      </c>
      <c r="F75" s="156" t="inlineStr">
        <is>
          <t>M</t>
        </is>
      </c>
      <c r="G75" s="156" t="inlineStr">
        <is>
          <t>M</t>
        </is>
      </c>
      <c r="H75" s="156" t="inlineStr">
        <is>
          <t>Roper</t>
        </is>
      </c>
      <c r="I75" s="156" t="inlineStr">
        <is>
          <t>ROPER Shirt Tq/Cobalt/Choc Plaid</t>
        </is>
      </c>
      <c r="J75" s="156" t="inlineStr">
        <is>
          <t>Ropa</t>
        </is>
      </c>
      <c r="K75" s="156" t="inlineStr">
        <is>
          <t>Camisas</t>
        </is>
      </c>
      <c r="L75" s="156" t="n"/>
      <c r="M75" s="156" t="n"/>
      <c r="N75" s="156" t="n"/>
      <c r="O75" s="156" t="n"/>
      <c r="P75" s="156" t="n"/>
      <c r="Q75" s="156" t="n"/>
      <c r="R75" s="156" t="n"/>
      <c r="S75" s="156" t="n"/>
      <c r="T75" s="156" t="n"/>
      <c r="U75" s="156" t="n"/>
      <c r="V75" s="156" t="inlineStr">
        <is>
          <t>PZS</t>
        </is>
      </c>
      <c r="W75" s="51" t="inlineStr">
        <is>
          <t>53101602</t>
        </is>
      </c>
      <c r="X75" s="156" t="n"/>
      <c r="Y75" s="54" t="n">
        <v>28.13</v>
      </c>
      <c r="Z75" s="54" t="n">
        <v>759</v>
      </c>
      <c r="AA75" s="55">
        <f>IF(AND(A75="", B75="", E75=""), "", IF(AB75="", "Válido", IF((LEN(AB75)-LEN(SUBSTITUTE(AB75,"; ","")))/2+1&gt;(LEN(AB75)-LEN(SUBSTITUTE(AB75,"[Aviso]","")))/7, "Con Incidencias", "Válido")))</f>
        <v/>
      </c>
      <c r="AB75" s="56">
        <f>IF(AND(A75="", B75="", E75=""), "", TEXTJOIN("; ", TRUE, IF(OR(TRIM(A75&amp;"")="", ISNUMBER(SEARCH("FALTA", A75))), "UPC faltante/inválido", ""), IF(AND(A75&lt;&gt;"", IFERROR(_xlfn.XMATCH(A75,$A$2:$A$285,0,1)&lt;&gt;_xlfn.XMATCH(A75,$A$2:$A$285,0,-1),FALSE)), "Código de barras duplicado", ""), IF(AND(E75&lt;&gt;"", COUNTIF($E$2:$E$285, E75)&gt;1), "SKU duplicado", ""), IF(OR(J75="", J75=""), "[Aviso] División no capturada ()", IF(ISNA(MATCH(J75, Criterios!$A$123:$A$126, 0)), "División no válida", "")), IF(OR(K75="", K75=""), "[Aviso] Categoría no capturada ()", IF(ISNA(MATCH(K75, Criterios!$A$81:$A$120, 0)), "Categoría no válida", IF(AND(J75&lt;&gt;"", J75&lt;&gt;"", J75&lt;&gt;VLOOKUP(K75, Criterios!$A$81:$B$120, 2, FALSE)), "División no coincide con Categoría", ""))), IF(OR(L75="", L75=""), "[Aviso] Género no capturado ()", IF(ISNA(MATCH(L75, Criterios!$B$123:$B$127, 0)), "Género no válido", "")), IF(OR(N75="", N75=""), "[Aviso] Temporada no capturada ()", IF(ISNA(MATCH(N75, Criterios!$C$123:$C$128, 0)), "Temporada no válida", "")), IF(OR(O75="", O75=""), "[Aviso] Ciclo de vida no capturado ()", IF(ISNA(MATCH(O75, Criterios!$D$123:$D$124, 0)), "Ciclo de vida no válido", ""))))</f>
        <v/>
      </c>
      <c r="AC75" s="56" t="n"/>
      <c r="AD75" s="51" t="n"/>
      <c r="AE75" s="156" t="n"/>
      <c r="AF75" s="51" t="n"/>
      <c r="AG75" s="156" t="inlineStr">
        <is>
          <t>Nuevo – Odoo Universal Unique Brands 01/10/2026</t>
        </is>
      </c>
      <c r="AH75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«01-050-0087-7007» (Completado por regla) · Validador Shopify: WB: precio con IVA no termina en 9</t>
        </is>
      </c>
      <c r="AI75" s="156" t="n"/>
      <c r="AJ75" s="156" t="n"/>
      <c r="AK75" s="155" t="inlineStr">
        <is>
          <t>Odoo: producto 21005 / plantilla 27008</t>
        </is>
      </c>
      <c r="AL75" s="58" t="n"/>
      <c r="AM75" s="58" t="n"/>
      <c r="AN75" s="155" t="inlineStr">
        <is>
          <t>Odoo Universal Unique Brands</t>
        </is>
      </c>
      <c r="AO75" s="59" t="n"/>
      <c r="AP75" s="59" t="n"/>
      <c r="AQ75" s="59" t="n">
        <v>7</v>
      </c>
      <c r="AR75" s="155" t="inlineStr">
        <is>
          <t>Odoo Universal Unique Brands › Bodega 25 › Bodega 25/General: 7</t>
        </is>
      </c>
    </row>
    <row r="76">
      <c r="A76" s="50" t="inlineStr">
        <is>
          <t>199168044770</t>
        </is>
      </c>
      <c r="B76" s="51" t="n"/>
      <c r="C76" s="156" t="inlineStr">
        <is>
          <t>Roper</t>
        </is>
      </c>
      <c r="D76" s="156" t="inlineStr">
        <is>
          <t>01-050-0087-7007</t>
        </is>
      </c>
      <c r="E76" s="156" t="inlineStr">
        <is>
          <t>01-050-0087-7007 BU-S</t>
        </is>
      </c>
      <c r="F76" s="156" t="inlineStr">
        <is>
          <t>S</t>
        </is>
      </c>
      <c r="G76" s="156" t="inlineStr">
        <is>
          <t>S</t>
        </is>
      </c>
      <c r="H76" s="156" t="inlineStr">
        <is>
          <t>Roper</t>
        </is>
      </c>
      <c r="I76" s="156" t="inlineStr">
        <is>
          <t>ROPER Shirt Tq/Cobalt/Choc Plaid</t>
        </is>
      </c>
      <c r="J76" s="156" t="inlineStr">
        <is>
          <t>Ropa</t>
        </is>
      </c>
      <c r="K76" s="156" t="inlineStr">
        <is>
          <t>Camisas</t>
        </is>
      </c>
      <c r="L76" s="156" t="n"/>
      <c r="M76" s="156" t="n"/>
      <c r="N76" s="156" t="n"/>
      <c r="O76" s="156" t="n"/>
      <c r="P76" s="156" t="n"/>
      <c r="Q76" s="156" t="n"/>
      <c r="R76" s="156" t="n"/>
      <c r="S76" s="156" t="n"/>
      <c r="T76" s="156" t="n"/>
      <c r="U76" s="156" t="n"/>
      <c r="V76" s="156" t="inlineStr">
        <is>
          <t>PZS</t>
        </is>
      </c>
      <c r="W76" s="51" t="inlineStr">
        <is>
          <t>53101602</t>
        </is>
      </c>
      <c r="X76" s="156" t="n"/>
      <c r="Y76" s="54" t="n">
        <v>28.13</v>
      </c>
      <c r="Z76" s="54" t="n">
        <v>759</v>
      </c>
      <c r="AA76" s="55">
        <f>IF(AND(A76="", B76="", E76=""), "", IF(AB76="", "Válido", IF((LEN(AB76)-LEN(SUBSTITUTE(AB76,"; ","")))/2+1&gt;(LEN(AB76)-LEN(SUBSTITUTE(AB76,"[Aviso]","")))/7, "Con Incidencias", "Válido")))</f>
        <v/>
      </c>
      <c r="AB76" s="56">
        <f>IF(AND(A76="", B76="", E76=""), "", TEXTJOIN("; ", TRUE, IF(OR(TRIM(A76&amp;"")="", ISNUMBER(SEARCH("FALTA", A76))), "UPC faltante/inválido", ""), IF(AND(A76&lt;&gt;"", IFERROR(_xlfn.XMATCH(A76,$A$2:$A$285,0,1)&lt;&gt;_xlfn.XMATCH(A76,$A$2:$A$285,0,-1),FALSE)), "Código de barras duplicado", ""), IF(AND(E76&lt;&gt;"", COUNTIF($E$2:$E$285, E76)&gt;1), "SKU duplicado", ""), IF(OR(J76="", J76=""), "[Aviso] División no capturada ()", IF(ISNA(MATCH(J76, Criterios!$A$123:$A$126, 0)), "División no válida", "")), IF(OR(K76="", K76=""), "[Aviso] Categoría no capturada ()", IF(ISNA(MATCH(K76, Criterios!$A$81:$A$120, 0)), "Categoría no válida", IF(AND(J76&lt;&gt;"", J76&lt;&gt;"", J76&lt;&gt;VLOOKUP(K76, Criterios!$A$81:$B$120, 2, FALSE)), "División no coincide con Categoría", ""))), IF(OR(L76="", L76=""), "[Aviso] Género no capturado ()", IF(ISNA(MATCH(L76, Criterios!$B$123:$B$127, 0)), "Género no válido", "")), IF(OR(N76="", N76=""), "[Aviso] Temporada no capturada ()", IF(ISNA(MATCH(N76, Criterios!$C$123:$C$128, 0)), "Temporada no válida", "")), IF(OR(O76="", O76=""), "[Aviso] Ciclo de vida no capturado ()", IF(ISNA(MATCH(O76, Criterios!$D$123:$D$124, 0)), "Ciclo de vida no válido", ""))))</f>
        <v/>
      </c>
      <c r="AC76" s="56" t="n"/>
      <c r="AD76" s="51" t="n"/>
      <c r="AE76" s="156" t="n"/>
      <c r="AF76" s="51" t="n"/>
      <c r="AG76" s="156" t="inlineStr">
        <is>
          <t>Nuevo – Odoo Universal Unique Brands 01/10/2026</t>
        </is>
      </c>
      <c r="AH76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«01-050-0087-7007» (Completado por regla) · Validador Shopify: WB: precio con IVA no termina en 9</t>
        </is>
      </c>
      <c r="AI76" s="156" t="n"/>
      <c r="AJ76" s="156" t="n"/>
      <c r="AK76" s="155" t="inlineStr">
        <is>
          <t>Odoo: producto 21004 / plantilla 27007</t>
        </is>
      </c>
      <c r="AL76" s="58" t="n"/>
      <c r="AM76" s="58" t="n"/>
      <c r="AN76" s="155" t="inlineStr">
        <is>
          <t>Odoo Universal Unique Brands</t>
        </is>
      </c>
      <c r="AO76" s="59" t="n"/>
      <c r="AP76" s="59" t="n"/>
      <c r="AQ76" s="59" t="n">
        <v>6</v>
      </c>
      <c r="AR76" s="155" t="inlineStr">
        <is>
          <t>Odoo Universal Unique Brands › Bodega 25 › Bodega 25/General: 6</t>
        </is>
      </c>
    </row>
    <row r="77">
      <c r="A77" s="50" t="inlineStr">
        <is>
          <t>199168044787</t>
        </is>
      </c>
      <c r="B77" s="51" t="n"/>
      <c r="C77" s="156" t="inlineStr">
        <is>
          <t>Roper</t>
        </is>
      </c>
      <c r="D77" s="156" t="inlineStr">
        <is>
          <t>01-050-0087-7007</t>
        </is>
      </c>
      <c r="E77" s="156" t="inlineStr">
        <is>
          <t>01-050-0087-7007 BU-XL</t>
        </is>
      </c>
      <c r="F77" s="156" t="inlineStr">
        <is>
          <t>XL</t>
        </is>
      </c>
      <c r="G77" s="156" t="inlineStr">
        <is>
          <t>XL</t>
        </is>
      </c>
      <c r="H77" s="156" t="inlineStr">
        <is>
          <t>Roper</t>
        </is>
      </c>
      <c r="I77" s="156" t="inlineStr">
        <is>
          <t>ROPER Shirt Tq/Cobalt/Choc Plaid</t>
        </is>
      </c>
      <c r="J77" s="156" t="inlineStr">
        <is>
          <t>Ropa</t>
        </is>
      </c>
      <c r="K77" s="156" t="inlineStr">
        <is>
          <t>Camisas</t>
        </is>
      </c>
      <c r="L77" s="156" t="n"/>
      <c r="M77" s="156" t="n"/>
      <c r="N77" s="156" t="n"/>
      <c r="O77" s="156" t="n"/>
      <c r="P77" s="156" t="n"/>
      <c r="Q77" s="156" t="n"/>
      <c r="R77" s="156" t="n"/>
      <c r="S77" s="156" t="n"/>
      <c r="T77" s="156" t="n"/>
      <c r="U77" s="156" t="n"/>
      <c r="V77" s="156" t="inlineStr">
        <is>
          <t>PZS</t>
        </is>
      </c>
      <c r="W77" s="51" t="inlineStr">
        <is>
          <t>53101602</t>
        </is>
      </c>
      <c r="X77" s="156" t="n"/>
      <c r="Y77" s="54" t="n">
        <v>28.13</v>
      </c>
      <c r="Z77" s="54" t="n">
        <v>759</v>
      </c>
      <c r="AA77" s="55">
        <f>IF(AND(A77="", B77="", E77=""), "", IF(AB77="", "Válido", IF((LEN(AB77)-LEN(SUBSTITUTE(AB77,"; ","")))/2+1&gt;(LEN(AB77)-LEN(SUBSTITUTE(AB77,"[Aviso]","")))/7, "Con Incidencias", "Válido")))</f>
        <v/>
      </c>
      <c r="AB77" s="56">
        <f>IF(AND(A77="", B77="", E77=""), "", TEXTJOIN("; ", TRUE, IF(OR(TRIM(A77&amp;"")="", ISNUMBER(SEARCH("FALTA", A77))), "UPC faltante/inválido", ""), IF(AND(A77&lt;&gt;"", IFERROR(_xlfn.XMATCH(A77,$A$2:$A$285,0,1)&lt;&gt;_xlfn.XMATCH(A77,$A$2:$A$285,0,-1),FALSE)), "Código de barras duplicado", ""), IF(AND(E77&lt;&gt;"", COUNTIF($E$2:$E$285, E77)&gt;1), "SKU duplicado", ""), IF(OR(J77="", J77=""), "[Aviso] División no capturada ()", IF(ISNA(MATCH(J77, Criterios!$A$123:$A$126, 0)), "División no válida", "")), IF(OR(K77="", K77=""), "[Aviso] Categoría no capturada ()", IF(ISNA(MATCH(K77, Criterios!$A$81:$A$120, 0)), "Categoría no válida", IF(AND(J77&lt;&gt;"", J77&lt;&gt;"", J77&lt;&gt;VLOOKUP(K77, Criterios!$A$81:$B$120, 2, FALSE)), "División no coincide con Categoría", ""))), IF(OR(L77="", L77=""), "[Aviso] Género no capturado ()", IF(ISNA(MATCH(L77, Criterios!$B$123:$B$127, 0)), "Género no válido", "")), IF(OR(N77="", N77=""), "[Aviso] Temporada no capturada ()", IF(ISNA(MATCH(N77, Criterios!$C$123:$C$128, 0)), "Temporada no válida", "")), IF(OR(O77="", O77=""), "[Aviso] Ciclo de vida no capturado ()", IF(ISNA(MATCH(O77, Criterios!$D$123:$D$124, 0)), "Ciclo de vida no válido", ""))))</f>
        <v/>
      </c>
      <c r="AC77" s="56" t="n"/>
      <c r="AD77" s="51" t="n"/>
      <c r="AE77" s="156" t="n"/>
      <c r="AF77" s="51" t="n"/>
      <c r="AG77" s="156" t="inlineStr">
        <is>
          <t>Nuevo – Odoo Universal Unique Brands 01/10/2026</t>
        </is>
      </c>
      <c r="AH77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«01-050-0087-7007» (Completado por regla) · Validador Shopify: WB: precio con IVA no termina en 9</t>
        </is>
      </c>
      <c r="AI77" s="156" t="n"/>
      <c r="AJ77" s="156" t="n"/>
      <c r="AK77" s="155" t="inlineStr">
        <is>
          <t>Odoo: producto 21007 / plantilla 27010</t>
        </is>
      </c>
      <c r="AL77" s="58" t="n"/>
      <c r="AM77" s="58" t="n"/>
      <c r="AN77" s="155" t="inlineStr">
        <is>
          <t>Odoo Universal Unique Brands</t>
        </is>
      </c>
      <c r="AO77" s="59" t="n"/>
      <c r="AP77" s="59" t="n"/>
      <c r="AQ77" s="59" t="n">
        <v>7</v>
      </c>
      <c r="AR77" s="155" t="inlineStr">
        <is>
          <t>Odoo Universal Unique Brands › Bodega 25 › Bodega 25/General: 7</t>
        </is>
      </c>
    </row>
    <row r="78">
      <c r="A78" s="50" t="inlineStr">
        <is>
          <t>199168044831</t>
        </is>
      </c>
      <c r="B78" s="51" t="n"/>
      <c r="C78" s="156" t="inlineStr">
        <is>
          <t>Roper</t>
        </is>
      </c>
      <c r="D78" s="156" t="inlineStr">
        <is>
          <t>01-050-0101-7000</t>
        </is>
      </c>
      <c r="E78" s="156" t="inlineStr">
        <is>
          <t>01-050-0101-7000 BU-L</t>
        </is>
      </c>
      <c r="F78" s="156" t="inlineStr">
        <is>
          <t>L</t>
        </is>
      </c>
      <c r="G78" s="156" t="inlineStr">
        <is>
          <t>L</t>
        </is>
      </c>
      <c r="H78" s="156" t="inlineStr">
        <is>
          <t>Roper</t>
        </is>
      </c>
      <c r="I78" s="156" t="inlineStr">
        <is>
          <t>ROPER Shirt Multi Blue Paid W/Lurex</t>
        </is>
      </c>
      <c r="J78" s="156" t="inlineStr">
        <is>
          <t>Ropa</t>
        </is>
      </c>
      <c r="K78" s="156" t="inlineStr">
        <is>
          <t>Camisas</t>
        </is>
      </c>
      <c r="L78" s="156" t="n"/>
      <c r="M78" s="156" t="n"/>
      <c r="N78" s="156" t="n"/>
      <c r="O78" s="156" t="n"/>
      <c r="P78" s="156" t="inlineStr">
        <is>
          <t>Varios</t>
        </is>
      </c>
      <c r="Q78" s="156" t="n"/>
      <c r="R78" s="156" t="n"/>
      <c r="S78" s="156" t="n"/>
      <c r="T78" s="156" t="n"/>
      <c r="U78" s="156" t="n"/>
      <c r="V78" s="156" t="inlineStr">
        <is>
          <t>PZS</t>
        </is>
      </c>
      <c r="W78" s="51" t="inlineStr">
        <is>
          <t>53101602</t>
        </is>
      </c>
      <c r="X78" s="156" t="n"/>
      <c r="Y78" s="54" t="n">
        <v>22.55</v>
      </c>
      <c r="Z78" s="54" t="n">
        <v>629</v>
      </c>
      <c r="AA78" s="55">
        <f>IF(AND(A78="", B78="", E78=""), "", IF(AB78="", "Válido", IF((LEN(AB78)-LEN(SUBSTITUTE(AB78,"; ","")))/2+1&gt;(LEN(AB78)-LEN(SUBSTITUTE(AB78,"[Aviso]","")))/7, "Con Incidencias", "Válido")))</f>
        <v/>
      </c>
      <c r="AB78" s="56">
        <f>IF(AND(A78="", B78="", E78=""), "", TEXTJOIN("; ", TRUE, IF(OR(TRIM(A78&amp;"")="", ISNUMBER(SEARCH("FALTA", A78))), "UPC faltante/inválido", ""), IF(AND(A78&lt;&gt;"", IFERROR(_xlfn.XMATCH(A78,$A$2:$A$285,0,1)&lt;&gt;_xlfn.XMATCH(A78,$A$2:$A$285,0,-1),FALSE)), "Código de barras duplicado", ""), IF(AND(E78&lt;&gt;"", COUNTIF($E$2:$E$285, E78)&gt;1), "SKU duplicado", ""), IF(OR(J78="", J78=""), "[Aviso] División no capturada ()", IF(ISNA(MATCH(J78, Criterios!$A$123:$A$126, 0)), "División no válida", "")), IF(OR(K78="", K78=""), "[Aviso] Categoría no capturada ()", IF(ISNA(MATCH(K78, Criterios!$A$81:$A$120, 0)), "Categoría no válida", IF(AND(J78&lt;&gt;"", J78&lt;&gt;"", J78&lt;&gt;VLOOKUP(K78, Criterios!$A$81:$B$120, 2, FALSE)), "División no coincide con Categoría", ""))), IF(OR(L78="", L78=""), "[Aviso] Género no capturado ()", IF(ISNA(MATCH(L78, Criterios!$B$123:$B$127, 0)), "Género no válido", "")), IF(OR(N78="", N78=""), "[Aviso] Temporada no capturada ()", IF(ISNA(MATCH(N78, Criterios!$C$123:$C$128, 0)), "Temporada no válida", "")), IF(OR(O78="", O78=""), "[Aviso] Ciclo de vida no capturado ()", IF(ISNA(MATCH(O78, Criterios!$D$123:$D$124, 0)), "Ciclo de vida no válido", ""))))</f>
        <v/>
      </c>
      <c r="AC78" s="56" t="n"/>
      <c r="AD78" s="51" t="n"/>
      <c r="AE78" s="156" t="n"/>
      <c r="AF78" s="51" t="n"/>
      <c r="AG78" s="156" t="inlineStr">
        <is>
          <t>Nuevo – Odoo Universal Unique Brands 01/10/2026</t>
        </is>
      </c>
      <c r="AH78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(multi) | Homologación G1522 06/10/2026: WB N.º de estilo: «» → «01-050-0101-7000» (Completado por regla)</t>
        </is>
      </c>
      <c r="AI78" s="156" t="n"/>
      <c r="AJ78" s="156" t="n"/>
      <c r="AK78" s="155" t="inlineStr">
        <is>
          <t>Odoo: producto 20981 / plantilla 26984</t>
        </is>
      </c>
      <c r="AL78" s="58" t="n"/>
      <c r="AM78" s="58" t="n"/>
      <c r="AN78" s="155" t="inlineStr">
        <is>
          <t>Odoo Universal Unique Brands</t>
        </is>
      </c>
      <c r="AO78" s="59" t="n"/>
      <c r="AP78" s="59" t="n"/>
      <c r="AQ78" s="59" t="n">
        <v>2</v>
      </c>
      <c r="AR78" s="155" t="inlineStr">
        <is>
          <t>Odoo Universal Unique Brands › Bodega 25 › Bodega 25/General: 2</t>
        </is>
      </c>
    </row>
    <row r="79">
      <c r="A79" s="50" t="inlineStr">
        <is>
          <t>199168044848</t>
        </is>
      </c>
      <c r="B79" s="51" t="n"/>
      <c r="C79" s="156" t="inlineStr">
        <is>
          <t>Roper</t>
        </is>
      </c>
      <c r="D79" s="156" t="inlineStr">
        <is>
          <t>01-050-0101-7000</t>
        </is>
      </c>
      <c r="E79" s="156" t="inlineStr">
        <is>
          <t>01-050-0101-7000 BU-M</t>
        </is>
      </c>
      <c r="F79" s="156" t="inlineStr">
        <is>
          <t>M</t>
        </is>
      </c>
      <c r="G79" s="156" t="inlineStr">
        <is>
          <t>M</t>
        </is>
      </c>
      <c r="H79" s="156" t="inlineStr">
        <is>
          <t>Roper</t>
        </is>
      </c>
      <c r="I79" s="156" t="inlineStr">
        <is>
          <t>ROPER Shirt Multi Blue Paid W/Lurex</t>
        </is>
      </c>
      <c r="J79" s="156" t="inlineStr">
        <is>
          <t>Ropa</t>
        </is>
      </c>
      <c r="K79" s="156" t="inlineStr">
        <is>
          <t>Camisas</t>
        </is>
      </c>
      <c r="L79" s="156" t="n"/>
      <c r="M79" s="156" t="n"/>
      <c r="N79" s="156" t="n"/>
      <c r="O79" s="156" t="n"/>
      <c r="P79" s="156" t="inlineStr">
        <is>
          <t>Varios</t>
        </is>
      </c>
      <c r="Q79" s="156" t="n"/>
      <c r="R79" s="156" t="n"/>
      <c r="S79" s="156" t="n"/>
      <c r="T79" s="156" t="n"/>
      <c r="U79" s="156" t="n"/>
      <c r="V79" s="156" t="inlineStr">
        <is>
          <t>PZS</t>
        </is>
      </c>
      <c r="W79" s="51" t="inlineStr">
        <is>
          <t>53101602</t>
        </is>
      </c>
      <c r="X79" s="156" t="n"/>
      <c r="Y79" s="54" t="n">
        <v>22.55</v>
      </c>
      <c r="Z79" s="54" t="n">
        <v>629</v>
      </c>
      <c r="AA79" s="55">
        <f>IF(AND(A79="", B79="", E79=""), "", IF(AB79="", "Válido", IF((LEN(AB79)-LEN(SUBSTITUTE(AB79,"; ","")))/2+1&gt;(LEN(AB79)-LEN(SUBSTITUTE(AB79,"[Aviso]","")))/7, "Con Incidencias", "Válido")))</f>
        <v/>
      </c>
      <c r="AB79" s="56">
        <f>IF(AND(A79="", B79="", E79=""), "", TEXTJOIN("; ", TRUE, IF(OR(TRIM(A79&amp;"")="", ISNUMBER(SEARCH("FALTA", A79))), "UPC faltante/inválido", ""), IF(AND(A79&lt;&gt;"", IFERROR(_xlfn.XMATCH(A79,$A$2:$A$285,0,1)&lt;&gt;_xlfn.XMATCH(A79,$A$2:$A$285,0,-1),FALSE)), "Código de barras duplicado", ""), IF(AND(E79&lt;&gt;"", COUNTIF($E$2:$E$285, E79)&gt;1), "SKU duplicado", ""), IF(OR(J79="", J79=""), "[Aviso] División no capturada ()", IF(ISNA(MATCH(J79, Criterios!$A$123:$A$126, 0)), "División no válida", "")), IF(OR(K79="", K79=""), "[Aviso] Categoría no capturada ()", IF(ISNA(MATCH(K79, Criterios!$A$81:$A$120, 0)), "Categoría no válida", IF(AND(J79&lt;&gt;"", J79&lt;&gt;"", J79&lt;&gt;VLOOKUP(K79, Criterios!$A$81:$B$120, 2, FALSE)), "División no coincide con Categoría", ""))), IF(OR(L79="", L79=""), "[Aviso] Género no capturado ()", IF(ISNA(MATCH(L79, Criterios!$B$123:$B$127, 0)), "Género no válido", "")), IF(OR(N79="", N79=""), "[Aviso] Temporada no capturada ()", IF(ISNA(MATCH(N79, Criterios!$C$123:$C$128, 0)), "Temporada no válida", "")), IF(OR(O79="", O79=""), "[Aviso] Ciclo de vida no capturado ()", IF(ISNA(MATCH(O79, Criterios!$D$123:$D$124, 0)), "Ciclo de vida no válido", ""))))</f>
        <v/>
      </c>
      <c r="AC79" s="56" t="n"/>
      <c r="AD79" s="51" t="n"/>
      <c r="AE79" s="156" t="n"/>
      <c r="AF79" s="51" t="n"/>
      <c r="AG79" s="156" t="inlineStr">
        <is>
          <t>Nuevo – Odoo Universal Unique Brands 01/10/2026</t>
        </is>
      </c>
      <c r="AH79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(multi) | Homologación G1522 06/10/2026: WB N.º de estilo: «» → «01-050-0101-7000» (Completado por regla)</t>
        </is>
      </c>
      <c r="AI79" s="156" t="n"/>
      <c r="AJ79" s="156" t="n"/>
      <c r="AK79" s="155" t="inlineStr">
        <is>
          <t>Odoo: producto 20980 / plantilla 26983</t>
        </is>
      </c>
      <c r="AL79" s="58" t="n"/>
      <c r="AM79" s="58" t="n"/>
      <c r="AN79" s="155" t="inlineStr">
        <is>
          <t>Odoo Universal Unique Brands</t>
        </is>
      </c>
      <c r="AO79" s="59" t="n"/>
      <c r="AP79" s="59" t="n"/>
      <c r="AQ79" s="59" t="n">
        <v>2</v>
      </c>
      <c r="AR79" s="155" t="inlineStr">
        <is>
          <t>Odoo Universal Unique Brands › Bodega 25 › Bodega 25/General: 2</t>
        </is>
      </c>
    </row>
    <row r="80">
      <c r="A80" s="50" t="inlineStr">
        <is>
          <t>199168044855</t>
        </is>
      </c>
      <c r="B80" s="51" t="n"/>
      <c r="C80" s="156" t="inlineStr">
        <is>
          <t>Roper</t>
        </is>
      </c>
      <c r="D80" s="156" t="inlineStr">
        <is>
          <t>01-050-0101-7000</t>
        </is>
      </c>
      <c r="E80" s="156" t="inlineStr">
        <is>
          <t>01-050-0101-7000 BU-S</t>
        </is>
      </c>
      <c r="F80" s="156" t="inlineStr">
        <is>
          <t>S</t>
        </is>
      </c>
      <c r="G80" s="156" t="inlineStr">
        <is>
          <t>S</t>
        </is>
      </c>
      <c r="H80" s="156" t="inlineStr">
        <is>
          <t>Roper</t>
        </is>
      </c>
      <c r="I80" s="156" t="inlineStr">
        <is>
          <t>ROPER Shirt Multi Blue Paid W/Lurex</t>
        </is>
      </c>
      <c r="J80" s="156" t="inlineStr">
        <is>
          <t>Ropa</t>
        </is>
      </c>
      <c r="K80" s="156" t="inlineStr">
        <is>
          <t>Camisas</t>
        </is>
      </c>
      <c r="L80" s="156" t="n"/>
      <c r="M80" s="156" t="n"/>
      <c r="N80" s="156" t="n"/>
      <c r="O80" s="156" t="n"/>
      <c r="P80" s="156" t="inlineStr">
        <is>
          <t>Varios</t>
        </is>
      </c>
      <c r="Q80" s="156" t="n"/>
      <c r="R80" s="156" t="n"/>
      <c r="S80" s="156" t="n"/>
      <c r="T80" s="156" t="n"/>
      <c r="U80" s="156" t="n"/>
      <c r="V80" s="156" t="inlineStr">
        <is>
          <t>PZS</t>
        </is>
      </c>
      <c r="W80" s="51" t="inlineStr">
        <is>
          <t>53101602</t>
        </is>
      </c>
      <c r="X80" s="156" t="n"/>
      <c r="Y80" s="54" t="n">
        <v>22.55</v>
      </c>
      <c r="Z80" s="54" t="n">
        <v>629</v>
      </c>
      <c r="AA80" s="55">
        <f>IF(AND(A80="", B80="", E80=""), "", IF(AB80="", "Válido", IF((LEN(AB80)-LEN(SUBSTITUTE(AB80,"; ","")))/2+1&gt;(LEN(AB80)-LEN(SUBSTITUTE(AB80,"[Aviso]","")))/7, "Con Incidencias", "Válido")))</f>
        <v/>
      </c>
      <c r="AB80" s="56">
        <f>IF(AND(A80="", B80="", E80=""), "", TEXTJOIN("; ", TRUE, IF(OR(TRIM(A80&amp;"")="", ISNUMBER(SEARCH("FALTA", A80))), "UPC faltante/inválido", ""), IF(AND(A80&lt;&gt;"", IFERROR(_xlfn.XMATCH(A80,$A$2:$A$285,0,1)&lt;&gt;_xlfn.XMATCH(A80,$A$2:$A$285,0,-1),FALSE)), "Código de barras duplicado", ""), IF(AND(E80&lt;&gt;"", COUNTIF($E$2:$E$285, E80)&gt;1), "SKU duplicado", ""), IF(OR(J80="", J80=""), "[Aviso] División no capturada ()", IF(ISNA(MATCH(J80, Criterios!$A$123:$A$126, 0)), "División no válida", "")), IF(OR(K80="", K80=""), "[Aviso] Categoría no capturada ()", IF(ISNA(MATCH(K80, Criterios!$A$81:$A$120, 0)), "Categoría no válida", IF(AND(J80&lt;&gt;"", J80&lt;&gt;"", J80&lt;&gt;VLOOKUP(K80, Criterios!$A$81:$B$120, 2, FALSE)), "División no coincide con Categoría", ""))), IF(OR(L80="", L80=""), "[Aviso] Género no capturado ()", IF(ISNA(MATCH(L80, Criterios!$B$123:$B$127, 0)), "Género no válido", "")), IF(OR(N80="", N80=""), "[Aviso] Temporada no capturada ()", IF(ISNA(MATCH(N80, Criterios!$C$123:$C$128, 0)), "Temporada no válida", "")), IF(OR(O80="", O80=""), "[Aviso] Ciclo de vida no capturado ()", IF(ISNA(MATCH(O80, Criterios!$D$123:$D$124, 0)), "Ciclo de vida no válido", ""))))</f>
        <v/>
      </c>
      <c r="AC80" s="56" t="n"/>
      <c r="AD80" s="51" t="n"/>
      <c r="AE80" s="156" t="n"/>
      <c r="AF80" s="51" t="n"/>
      <c r="AG80" s="156" t="inlineStr">
        <is>
          <t>Nuevo – Odoo Universal Unique Brands 01/10/2026</t>
        </is>
      </c>
      <c r="AH80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(multi) | Homologación G1522 06/10/2026: WB N.º de estilo: «» → «01-050-0101-7000» (Completado por regla)</t>
        </is>
      </c>
      <c r="AI80" s="156" t="n"/>
      <c r="AJ80" s="156" t="n"/>
      <c r="AK80" s="155" t="inlineStr">
        <is>
          <t>Odoo: producto 20979 / plantilla 26982</t>
        </is>
      </c>
      <c r="AL80" s="58" t="n"/>
      <c r="AM80" s="58" t="n"/>
      <c r="AN80" s="155" t="inlineStr">
        <is>
          <t>Odoo Universal Unique Brands</t>
        </is>
      </c>
      <c r="AO80" s="59" t="n"/>
      <c r="AP80" s="59" t="n"/>
      <c r="AQ80" s="59" t="n">
        <v>1</v>
      </c>
      <c r="AR80" s="155" t="inlineStr">
        <is>
          <t>Odoo Universal Unique Brands › Bodega 25 › Bodega 25/General: 1</t>
        </is>
      </c>
    </row>
    <row r="81">
      <c r="A81" s="50" t="inlineStr">
        <is>
          <t>199168044862</t>
        </is>
      </c>
      <c r="B81" s="51" t="n"/>
      <c r="C81" s="156" t="inlineStr">
        <is>
          <t>Roper</t>
        </is>
      </c>
      <c r="D81" s="156" t="inlineStr">
        <is>
          <t>01-050-0101-7000</t>
        </is>
      </c>
      <c r="E81" s="156" t="inlineStr">
        <is>
          <t>01-050-0101-7000 BU-XL</t>
        </is>
      </c>
      <c r="F81" s="156" t="inlineStr">
        <is>
          <t>XL</t>
        </is>
      </c>
      <c r="G81" s="156" t="inlineStr">
        <is>
          <t>XL</t>
        </is>
      </c>
      <c r="H81" s="156" t="inlineStr">
        <is>
          <t>Roper</t>
        </is>
      </c>
      <c r="I81" s="156" t="inlineStr">
        <is>
          <t>ROPER Shirt Multi Blue Paid W/Lurex</t>
        </is>
      </c>
      <c r="J81" s="156" t="inlineStr">
        <is>
          <t>Ropa</t>
        </is>
      </c>
      <c r="K81" s="156" t="inlineStr">
        <is>
          <t>Camisas</t>
        </is>
      </c>
      <c r="L81" s="156" t="n"/>
      <c r="M81" s="156" t="n"/>
      <c r="N81" s="156" t="n"/>
      <c r="O81" s="156" t="n"/>
      <c r="P81" s="156" t="inlineStr">
        <is>
          <t>Varios</t>
        </is>
      </c>
      <c r="Q81" s="156" t="n"/>
      <c r="R81" s="156" t="n"/>
      <c r="S81" s="156" t="n"/>
      <c r="T81" s="156" t="n"/>
      <c r="U81" s="156" t="n"/>
      <c r="V81" s="156" t="inlineStr">
        <is>
          <t>PZS</t>
        </is>
      </c>
      <c r="W81" s="51" t="inlineStr">
        <is>
          <t>53101602</t>
        </is>
      </c>
      <c r="X81" s="156" t="n"/>
      <c r="Y81" s="54" t="n">
        <v>22.55</v>
      </c>
      <c r="Z81" s="54" t="n">
        <v>629</v>
      </c>
      <c r="AA81" s="55">
        <f>IF(AND(A81="", B81="", E81=""), "", IF(AB81="", "Válido", IF((LEN(AB81)-LEN(SUBSTITUTE(AB81,"; ","")))/2+1&gt;(LEN(AB81)-LEN(SUBSTITUTE(AB81,"[Aviso]","")))/7, "Con Incidencias", "Válido")))</f>
        <v/>
      </c>
      <c r="AB81" s="56">
        <f>IF(AND(A81="", B81="", E81=""), "", TEXTJOIN("; ", TRUE, IF(OR(TRIM(A81&amp;"")="", ISNUMBER(SEARCH("FALTA", A81))), "UPC faltante/inválido", ""), IF(AND(A81&lt;&gt;"", IFERROR(_xlfn.XMATCH(A81,$A$2:$A$285,0,1)&lt;&gt;_xlfn.XMATCH(A81,$A$2:$A$285,0,-1),FALSE)), "Código de barras duplicado", ""), IF(AND(E81&lt;&gt;"", COUNTIF($E$2:$E$285, E81)&gt;1), "SKU duplicado", ""), IF(OR(J81="", J81=""), "[Aviso] División no capturada ()", IF(ISNA(MATCH(J81, Criterios!$A$123:$A$126, 0)), "División no válida", "")), IF(OR(K81="", K81=""), "[Aviso] Categoría no capturada ()", IF(ISNA(MATCH(K81, Criterios!$A$81:$A$120, 0)), "Categoría no válida", IF(AND(J81&lt;&gt;"", J81&lt;&gt;"", J81&lt;&gt;VLOOKUP(K81, Criterios!$A$81:$B$120, 2, FALSE)), "División no coincide con Categoría", ""))), IF(OR(L81="", L81=""), "[Aviso] Género no capturado ()", IF(ISNA(MATCH(L81, Criterios!$B$123:$B$127, 0)), "Género no válido", "")), IF(OR(N81="", N81=""), "[Aviso] Temporada no capturada ()", IF(ISNA(MATCH(N81, Criterios!$C$123:$C$128, 0)), "Temporada no válida", "")), IF(OR(O81="", O81=""), "[Aviso] Ciclo de vida no capturado ()", IF(ISNA(MATCH(O81, Criterios!$D$123:$D$124, 0)), "Ciclo de vida no válido", ""))))</f>
        <v/>
      </c>
      <c r="AC81" s="56" t="n"/>
      <c r="AD81" s="51" t="n"/>
      <c r="AE81" s="156" t="n"/>
      <c r="AF81" s="51" t="n"/>
      <c r="AG81" s="156" t="inlineStr">
        <is>
          <t>Nuevo – Odoo Universal Unique Brands 01/10/2026</t>
        </is>
      </c>
      <c r="AH81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(multi) | Homologación G1522 06/10/2026: WB N.º de estilo: «» → «01-050-0101-7000» (Completado por regla)</t>
        </is>
      </c>
      <c r="AI81" s="156" t="n"/>
      <c r="AJ81" s="156" t="n"/>
      <c r="AK81" s="155" t="inlineStr">
        <is>
          <t>Odoo: producto 20982 / plantilla 26985</t>
        </is>
      </c>
      <c r="AL81" s="58" t="n"/>
      <c r="AM81" s="58" t="n"/>
      <c r="AN81" s="155" t="inlineStr">
        <is>
          <t>Odoo Universal Unique Brands</t>
        </is>
      </c>
      <c r="AO81" s="59" t="n"/>
      <c r="AP81" s="59" t="n"/>
      <c r="AQ81" s="59" t="n">
        <v>2</v>
      </c>
      <c r="AR81" s="155" t="inlineStr">
        <is>
          <t>Odoo Universal Unique Brands › Bodega 25 › Bodega 25/General: 2</t>
        </is>
      </c>
    </row>
    <row r="82">
      <c r="A82" s="50" t="inlineStr">
        <is>
          <t>199168045616</t>
        </is>
      </c>
      <c r="B82" s="51" t="n"/>
      <c r="C82" s="156" t="inlineStr">
        <is>
          <t>Roper</t>
        </is>
      </c>
      <c r="D82" s="156" t="inlineStr">
        <is>
          <t>03-001-0040-6002</t>
        </is>
      </c>
      <c r="E82" s="156" t="inlineStr">
        <is>
          <t>03-001-0040-6002 BL-2XL</t>
        </is>
      </c>
      <c r="F82" s="156" t="inlineStr">
        <is>
          <t>XXL</t>
        </is>
      </c>
      <c r="G82" s="156" t="inlineStr">
        <is>
          <t>XXL</t>
        </is>
      </c>
      <c r="H82" s="156" t="inlineStr">
        <is>
          <t>Roper</t>
        </is>
      </c>
      <c r="I82" s="156" t="inlineStr">
        <is>
          <t>ROPER Shirt Jet Black P/R Western</t>
        </is>
      </c>
      <c r="J82" s="156" t="inlineStr">
        <is>
          <t>Ropa</t>
        </is>
      </c>
      <c r="K82" s="156" t="inlineStr">
        <is>
          <t>Camisas</t>
        </is>
      </c>
      <c r="L82" s="156" t="n"/>
      <c r="M82" s="156" t="n"/>
      <c r="N82" s="156" t="n"/>
      <c r="O82" s="156" t="n"/>
      <c r="P82" s="156" t="inlineStr">
        <is>
          <t>Negro</t>
        </is>
      </c>
      <c r="Q82" s="156" t="n"/>
      <c r="R82" s="156" t="n"/>
      <c r="S82" s="156" t="n"/>
      <c r="T82" s="156" t="n"/>
      <c r="U82" s="156" t="n"/>
      <c r="V82" s="156" t="inlineStr">
        <is>
          <t>PZS</t>
        </is>
      </c>
      <c r="W82" s="51" t="inlineStr">
        <is>
          <t>53101602</t>
        </is>
      </c>
      <c r="X82" s="156" t="n"/>
      <c r="Y82" s="54" t="n">
        <v>53.48</v>
      </c>
      <c r="Z82" s="54" t="n">
        <v>1369</v>
      </c>
      <c r="AA82" s="55">
        <f>IF(AND(A82="", B82="", E82=""), "", IF(AB82="", "Válido", IF((LEN(AB82)-LEN(SUBSTITUTE(AB82,"; ","")))/2+1&gt;(LEN(AB82)-LEN(SUBSTITUTE(AB82,"[Aviso]","")))/7, "Con Incidencias", "Válido")))</f>
        <v/>
      </c>
      <c r="AB82" s="56">
        <f>IF(AND(A82="", B82="", E82=""), "", TEXTJOIN("; ", TRUE, IF(OR(TRIM(A82&amp;"")="", ISNUMBER(SEARCH("FALTA", A82))), "UPC faltante/inválido", ""), IF(AND(A82&lt;&gt;"", IFERROR(_xlfn.XMATCH(A82,$A$2:$A$285,0,1)&lt;&gt;_xlfn.XMATCH(A82,$A$2:$A$285,0,-1),FALSE)), "Código de barras duplicado", ""), IF(AND(E82&lt;&gt;"", COUNTIF($E$2:$E$285, E82)&gt;1), "SKU duplicado", ""), IF(OR(J82="", J82=""), "[Aviso] División no capturada ()", IF(ISNA(MATCH(J82, Criterios!$A$123:$A$126, 0)), "División no válida", "")), IF(OR(K82="", K82=""), "[Aviso] Categoría no capturada ()", IF(ISNA(MATCH(K82, Criterios!$A$81:$A$120, 0)), "Categoría no válida", IF(AND(J82&lt;&gt;"", J82&lt;&gt;"", J82&lt;&gt;VLOOKUP(K82, Criterios!$A$81:$B$120, 2, FALSE)), "División no coincide con Categoría", ""))), IF(OR(L82="", L82=""), "[Aviso] Género no capturado ()", IF(ISNA(MATCH(L82, Criterios!$B$123:$B$127, 0)), "Género no válido", "")), IF(OR(N82="", N82=""), "[Aviso] Temporada no capturada ()", IF(ISNA(MATCH(N82, Criterios!$C$123:$C$128, 0)), "Temporada no válida", "")), IF(OR(O82="", O82=""), "[Aviso] Ciclo de vida no capturado ()", IF(ISNA(MATCH(O82, Criterios!$D$123:$D$124, 0)), "Ciclo de vida no válido", ""))))</f>
        <v/>
      </c>
      <c r="AC82" s="56" t="n"/>
      <c r="AD82" s="51" t="n"/>
      <c r="AE82" s="156" t="n"/>
      <c r="AF82" s="51" t="n"/>
      <c r="AG82" s="156" t="inlineStr">
        <is>
          <t>Nuevo – Odoo Universal Unique Brands 01/10/2026</t>
        </is>
      </c>
      <c r="AH82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(black) | Homologación G1522 06/10/2026: WB N.º de estilo: «» → «03-001-0040-6002» (Completado por regla) · Validador Shopify: WB: precio con IVA no termina en 9</t>
        </is>
      </c>
      <c r="AI82" s="156" t="n"/>
      <c r="AJ82" s="156" t="n"/>
      <c r="AK82" s="155" t="inlineStr">
        <is>
          <t>Odoo: producto 21098 / plantilla 27101</t>
        </is>
      </c>
      <c r="AL82" s="58" t="n"/>
      <c r="AM82" s="58" t="n"/>
      <c r="AN82" s="155" t="inlineStr">
        <is>
          <t>Odoo Universal Unique Brands</t>
        </is>
      </c>
      <c r="AO82" s="59" t="n"/>
      <c r="AP82" s="59" t="n"/>
      <c r="AQ82" s="59" t="n">
        <v>4</v>
      </c>
      <c r="AR82" s="155" t="inlineStr">
        <is>
          <t>Odoo Universal Unique Brands › Bodega 25 › Bodega 25/General: 4</t>
        </is>
      </c>
    </row>
    <row r="83">
      <c r="A83" s="50" t="inlineStr">
        <is>
          <t>199168045579</t>
        </is>
      </c>
      <c r="B83" s="51" t="n"/>
      <c r="C83" s="156" t="inlineStr">
        <is>
          <t>Roper</t>
        </is>
      </c>
      <c r="D83" s="156" t="inlineStr">
        <is>
          <t>03-001-0040-6002</t>
        </is>
      </c>
      <c r="E83" s="156" t="inlineStr">
        <is>
          <t>03-001-0040-6002 BL-L</t>
        </is>
      </c>
      <c r="F83" s="156" t="inlineStr">
        <is>
          <t>L</t>
        </is>
      </c>
      <c r="G83" s="156" t="inlineStr">
        <is>
          <t>L</t>
        </is>
      </c>
      <c r="H83" s="156" t="inlineStr">
        <is>
          <t>Roper</t>
        </is>
      </c>
      <c r="I83" s="156" t="inlineStr">
        <is>
          <t>ROPER Shirt Jet Black P/R Western</t>
        </is>
      </c>
      <c r="J83" s="156" t="inlineStr">
        <is>
          <t>Ropa</t>
        </is>
      </c>
      <c r="K83" s="156" t="inlineStr">
        <is>
          <t>Camisas</t>
        </is>
      </c>
      <c r="L83" s="156" t="n"/>
      <c r="M83" s="156" t="n"/>
      <c r="N83" s="156" t="n"/>
      <c r="O83" s="156" t="n"/>
      <c r="P83" s="156" t="inlineStr">
        <is>
          <t>Negro</t>
        </is>
      </c>
      <c r="Q83" s="156" t="n"/>
      <c r="R83" s="156" t="n"/>
      <c r="S83" s="156" t="n"/>
      <c r="T83" s="156" t="n"/>
      <c r="U83" s="156" t="n"/>
      <c r="V83" s="156" t="inlineStr">
        <is>
          <t>PZS</t>
        </is>
      </c>
      <c r="W83" s="51" t="inlineStr">
        <is>
          <t>53101602</t>
        </is>
      </c>
      <c r="X83" s="156" t="n"/>
      <c r="Y83" s="54" t="n">
        <v>53.48</v>
      </c>
      <c r="Z83" s="54" t="n">
        <v>1369</v>
      </c>
      <c r="AA83" s="55">
        <f>IF(AND(A83="", B83="", E83=""), "", IF(AB83="", "Válido", IF((LEN(AB83)-LEN(SUBSTITUTE(AB83,"; ","")))/2+1&gt;(LEN(AB83)-LEN(SUBSTITUTE(AB83,"[Aviso]","")))/7, "Con Incidencias", "Válido")))</f>
        <v/>
      </c>
      <c r="AB83" s="56">
        <f>IF(AND(A83="", B83="", E83=""), "", TEXTJOIN("; ", TRUE, IF(OR(TRIM(A83&amp;"")="", ISNUMBER(SEARCH("FALTA", A83))), "UPC faltante/inválido", ""), IF(AND(A83&lt;&gt;"", IFERROR(_xlfn.XMATCH(A83,$A$2:$A$285,0,1)&lt;&gt;_xlfn.XMATCH(A83,$A$2:$A$285,0,-1),FALSE)), "Código de barras duplicado", ""), IF(AND(E83&lt;&gt;"", COUNTIF($E$2:$E$285, E83)&gt;1), "SKU duplicado", ""), IF(OR(J83="", J83=""), "[Aviso] División no capturada ()", IF(ISNA(MATCH(J83, Criterios!$A$123:$A$126, 0)), "División no válida", "")), IF(OR(K83="", K83=""), "[Aviso] Categoría no capturada ()", IF(ISNA(MATCH(K83, Criterios!$A$81:$A$120, 0)), "Categoría no válida", IF(AND(J83&lt;&gt;"", J83&lt;&gt;"", J83&lt;&gt;VLOOKUP(K83, Criterios!$A$81:$B$120, 2, FALSE)), "División no coincide con Categoría", ""))), IF(OR(L83="", L83=""), "[Aviso] Género no capturado ()", IF(ISNA(MATCH(L83, Criterios!$B$123:$B$127, 0)), "Género no válido", "")), IF(OR(N83="", N83=""), "[Aviso] Temporada no capturada ()", IF(ISNA(MATCH(N83, Criterios!$C$123:$C$128, 0)), "Temporada no válida", "")), IF(OR(O83="", O83=""), "[Aviso] Ciclo de vida no capturado ()", IF(ISNA(MATCH(O83, Criterios!$D$123:$D$124, 0)), "Ciclo de vida no válido", ""))))</f>
        <v/>
      </c>
      <c r="AC83" s="56" t="n"/>
      <c r="AD83" s="51" t="n"/>
      <c r="AE83" s="156" t="n"/>
      <c r="AF83" s="51" t="n"/>
      <c r="AG83" s="156" t="inlineStr">
        <is>
          <t>Nuevo – Odoo Universal Unique Brands 01/10/2026</t>
        </is>
      </c>
      <c r="AH83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(black) | Homologación G1522 06/10/2026: WB N.º de estilo: «» → «03-001-0040-6002» (Completado por regla) · Validador Shopify: WB: precio con IVA no termina en 9</t>
        </is>
      </c>
      <c r="AI83" s="156" t="n"/>
      <c r="AJ83" s="156" t="n"/>
      <c r="AK83" s="155" t="inlineStr">
        <is>
          <t>Odoo: producto 21096 / plantilla 27099</t>
        </is>
      </c>
      <c r="AL83" s="58" t="n"/>
      <c r="AM83" s="58" t="n"/>
      <c r="AN83" s="155" t="inlineStr">
        <is>
          <t>Odoo Universal Unique Brands</t>
        </is>
      </c>
      <c r="AO83" s="59" t="n"/>
      <c r="AP83" s="59" t="n"/>
      <c r="AQ83" s="59" t="n">
        <v>10</v>
      </c>
      <c r="AR83" s="155" t="inlineStr">
        <is>
          <t>Odoo Universal Unique Brands › Bodega 25 › Bodega 25/General: 10</t>
        </is>
      </c>
    </row>
    <row r="84">
      <c r="A84" s="50" t="inlineStr">
        <is>
          <t>199168045586</t>
        </is>
      </c>
      <c r="B84" s="51" t="n"/>
      <c r="C84" s="156" t="inlineStr">
        <is>
          <t>Roper</t>
        </is>
      </c>
      <c r="D84" s="156" t="inlineStr">
        <is>
          <t>03-001-0040-6002</t>
        </is>
      </c>
      <c r="E84" s="156" t="inlineStr">
        <is>
          <t>03-001-0040-6002 BL-M</t>
        </is>
      </c>
      <c r="F84" s="156" t="inlineStr">
        <is>
          <t>M</t>
        </is>
      </c>
      <c r="G84" s="156" t="inlineStr">
        <is>
          <t>M</t>
        </is>
      </c>
      <c r="H84" s="156" t="inlineStr">
        <is>
          <t>Roper</t>
        </is>
      </c>
      <c r="I84" s="156" t="inlineStr">
        <is>
          <t>ROPER Shirt Jet Black P/R Western</t>
        </is>
      </c>
      <c r="J84" s="156" t="inlineStr">
        <is>
          <t>Ropa</t>
        </is>
      </c>
      <c r="K84" s="156" t="inlineStr">
        <is>
          <t>Camisas</t>
        </is>
      </c>
      <c r="L84" s="156" t="n"/>
      <c r="M84" s="156" t="n"/>
      <c r="N84" s="156" t="n"/>
      <c r="O84" s="156" t="n"/>
      <c r="P84" s="156" t="inlineStr">
        <is>
          <t>Negro</t>
        </is>
      </c>
      <c r="Q84" s="156" t="n"/>
      <c r="R84" s="156" t="n"/>
      <c r="S84" s="156" t="n"/>
      <c r="T84" s="156" t="n"/>
      <c r="U84" s="156" t="n"/>
      <c r="V84" s="156" t="inlineStr">
        <is>
          <t>PZS</t>
        </is>
      </c>
      <c r="W84" s="51" t="inlineStr">
        <is>
          <t>53101602</t>
        </is>
      </c>
      <c r="X84" s="156" t="n"/>
      <c r="Y84" s="54" t="n">
        <v>53.48</v>
      </c>
      <c r="Z84" s="54" t="n">
        <v>1369</v>
      </c>
      <c r="AA84" s="55">
        <f>IF(AND(A84="", B84="", E84=""), "", IF(AB84="", "Válido", IF((LEN(AB84)-LEN(SUBSTITUTE(AB84,"; ","")))/2+1&gt;(LEN(AB84)-LEN(SUBSTITUTE(AB84,"[Aviso]","")))/7, "Con Incidencias", "Válido")))</f>
        <v/>
      </c>
      <c r="AB84" s="56">
        <f>IF(AND(A84="", B84="", E84=""), "", TEXTJOIN("; ", TRUE, IF(OR(TRIM(A84&amp;"")="", ISNUMBER(SEARCH("FALTA", A84))), "UPC faltante/inválido", ""), IF(AND(A84&lt;&gt;"", IFERROR(_xlfn.XMATCH(A84,$A$2:$A$285,0,1)&lt;&gt;_xlfn.XMATCH(A84,$A$2:$A$285,0,-1),FALSE)), "Código de barras duplicado", ""), IF(AND(E84&lt;&gt;"", COUNTIF($E$2:$E$285, E84)&gt;1), "SKU duplicado", ""), IF(OR(J84="", J84=""), "[Aviso] División no capturada ()", IF(ISNA(MATCH(J84, Criterios!$A$123:$A$126, 0)), "División no válida", "")), IF(OR(K84="", K84=""), "[Aviso] Categoría no capturada ()", IF(ISNA(MATCH(K84, Criterios!$A$81:$A$120, 0)), "Categoría no válida", IF(AND(J84&lt;&gt;"", J84&lt;&gt;"", J84&lt;&gt;VLOOKUP(K84, Criterios!$A$81:$B$120, 2, FALSE)), "División no coincide con Categoría", ""))), IF(OR(L84="", L84=""), "[Aviso] Género no capturado ()", IF(ISNA(MATCH(L84, Criterios!$B$123:$B$127, 0)), "Género no válido", "")), IF(OR(N84="", N84=""), "[Aviso] Temporada no capturada ()", IF(ISNA(MATCH(N84, Criterios!$C$123:$C$128, 0)), "Temporada no válida", "")), IF(OR(O84="", O84=""), "[Aviso] Ciclo de vida no capturado ()", IF(ISNA(MATCH(O84, Criterios!$D$123:$D$124, 0)), "Ciclo de vida no válido", ""))))</f>
        <v/>
      </c>
      <c r="AC84" s="56" t="n"/>
      <c r="AD84" s="51" t="n"/>
      <c r="AE84" s="156" t="n"/>
      <c r="AF84" s="51" t="n"/>
      <c r="AG84" s="156" t="inlineStr">
        <is>
          <t>Nuevo – Odoo Universal Unique Brands 01/10/2026</t>
        </is>
      </c>
      <c r="AH84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(black) | Homologación G1522 06/10/2026: WB N.º de estilo: «» → «03-001-0040-6002» (Completado por regla) · Validador Shopify: WB: precio con IVA no termina en 9</t>
        </is>
      </c>
      <c r="AI84" s="156" t="n"/>
      <c r="AJ84" s="156" t="n"/>
      <c r="AK84" s="155" t="inlineStr">
        <is>
          <t>Odoo: producto 21095 / plantilla 27098</t>
        </is>
      </c>
      <c r="AL84" s="58" t="n"/>
      <c r="AM84" s="58" t="n"/>
      <c r="AN84" s="155" t="inlineStr">
        <is>
          <t>Odoo Universal Unique Brands</t>
        </is>
      </c>
      <c r="AO84" s="59" t="n"/>
      <c r="AP84" s="59" t="n"/>
      <c r="AQ84" s="59" t="n">
        <v>10</v>
      </c>
      <c r="AR84" s="155" t="inlineStr">
        <is>
          <t>Odoo Universal Unique Brands › Bodega 25 › Bodega 25/General: 10</t>
        </is>
      </c>
    </row>
    <row r="85">
      <c r="A85" s="50" t="inlineStr">
        <is>
          <t>199168045593</t>
        </is>
      </c>
      <c r="B85" s="51" t="n"/>
      <c r="C85" s="156" t="inlineStr">
        <is>
          <t>Roper</t>
        </is>
      </c>
      <c r="D85" s="156" t="inlineStr">
        <is>
          <t>03-001-0040-6002</t>
        </is>
      </c>
      <c r="E85" s="156" t="inlineStr">
        <is>
          <t>03-001-0040-6002 BL-S</t>
        </is>
      </c>
      <c r="F85" s="156" t="inlineStr">
        <is>
          <t>S</t>
        </is>
      </c>
      <c r="G85" s="156" t="inlineStr">
        <is>
          <t>S</t>
        </is>
      </c>
      <c r="H85" s="156" t="inlineStr">
        <is>
          <t>Roper</t>
        </is>
      </c>
      <c r="I85" s="156" t="inlineStr">
        <is>
          <t>ROPER Shirt Jet Black P/R Western</t>
        </is>
      </c>
      <c r="J85" s="156" t="inlineStr">
        <is>
          <t>Ropa</t>
        </is>
      </c>
      <c r="K85" s="156" t="inlineStr">
        <is>
          <t>Camisas</t>
        </is>
      </c>
      <c r="L85" s="156" t="n"/>
      <c r="M85" s="156" t="n"/>
      <c r="N85" s="156" t="n"/>
      <c r="O85" s="156" t="n"/>
      <c r="P85" s="156" t="inlineStr">
        <is>
          <t>Negro</t>
        </is>
      </c>
      <c r="Q85" s="156" t="n"/>
      <c r="R85" s="156" t="n"/>
      <c r="S85" s="156" t="n"/>
      <c r="T85" s="156" t="n"/>
      <c r="U85" s="156" t="n"/>
      <c r="V85" s="156" t="inlineStr">
        <is>
          <t>PZS</t>
        </is>
      </c>
      <c r="W85" s="51" t="inlineStr">
        <is>
          <t>53101602</t>
        </is>
      </c>
      <c r="X85" s="156" t="n"/>
      <c r="Y85" s="54" t="n">
        <v>53.48</v>
      </c>
      <c r="Z85" s="54" t="n">
        <v>1369</v>
      </c>
      <c r="AA85" s="55">
        <f>IF(AND(A85="", B85="", E85=""), "", IF(AB85="", "Válido", IF((LEN(AB85)-LEN(SUBSTITUTE(AB85,"; ","")))/2+1&gt;(LEN(AB85)-LEN(SUBSTITUTE(AB85,"[Aviso]","")))/7, "Con Incidencias", "Válido")))</f>
        <v/>
      </c>
      <c r="AB85" s="56">
        <f>IF(AND(A85="", B85="", E85=""), "", TEXTJOIN("; ", TRUE, IF(OR(TRIM(A85&amp;"")="", ISNUMBER(SEARCH("FALTA", A85))), "UPC faltante/inválido", ""), IF(AND(A85&lt;&gt;"", IFERROR(_xlfn.XMATCH(A85,$A$2:$A$285,0,1)&lt;&gt;_xlfn.XMATCH(A85,$A$2:$A$285,0,-1),FALSE)), "Código de barras duplicado", ""), IF(AND(E85&lt;&gt;"", COUNTIF($E$2:$E$285, E85)&gt;1), "SKU duplicado", ""), IF(OR(J85="", J85=""), "[Aviso] División no capturada ()", IF(ISNA(MATCH(J85, Criterios!$A$123:$A$126, 0)), "División no válida", "")), IF(OR(K85="", K85=""), "[Aviso] Categoría no capturada ()", IF(ISNA(MATCH(K85, Criterios!$A$81:$A$120, 0)), "Categoría no válida", IF(AND(J85&lt;&gt;"", J85&lt;&gt;"", J85&lt;&gt;VLOOKUP(K85, Criterios!$A$81:$B$120, 2, FALSE)), "División no coincide con Categoría", ""))), IF(OR(L85="", L85=""), "[Aviso] Género no capturado ()", IF(ISNA(MATCH(L85, Criterios!$B$123:$B$127, 0)), "Género no válido", "")), IF(OR(N85="", N85=""), "[Aviso] Temporada no capturada ()", IF(ISNA(MATCH(N85, Criterios!$C$123:$C$128, 0)), "Temporada no válida", "")), IF(OR(O85="", O85=""), "[Aviso] Ciclo de vida no capturado ()", IF(ISNA(MATCH(O85, Criterios!$D$123:$D$124, 0)), "Ciclo de vida no válido", ""))))</f>
        <v/>
      </c>
      <c r="AC85" s="56" t="n"/>
      <c r="AD85" s="51" t="n"/>
      <c r="AE85" s="156" t="n"/>
      <c r="AF85" s="51" t="n"/>
      <c r="AG85" s="156" t="inlineStr">
        <is>
          <t>Nuevo – Odoo Universal Unique Brands 01/10/2026</t>
        </is>
      </c>
      <c r="AH85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(black) | Homologación G1522 06/10/2026: WB N.º de estilo: «» → «03-001-0040-6002» (Completado por regla) · Validador Shopify: WB: precio con IVA no termina en 9</t>
        </is>
      </c>
      <c r="AI85" s="156" t="n"/>
      <c r="AJ85" s="156" t="n"/>
      <c r="AK85" s="155" t="inlineStr">
        <is>
          <t>Odoo: producto 21094 / plantilla 27097</t>
        </is>
      </c>
      <c r="AL85" s="58" t="n"/>
      <c r="AM85" s="58" t="n"/>
      <c r="AN85" s="155" t="inlineStr">
        <is>
          <t>Odoo Universal Unique Brands</t>
        </is>
      </c>
      <c r="AO85" s="59" t="n"/>
      <c r="AP85" s="59" t="n"/>
      <c r="AQ85" s="59" t="n">
        <v>8</v>
      </c>
      <c r="AR85" s="155" t="inlineStr">
        <is>
          <t>Odoo Universal Unique Brands › Bodega 25 › Bodega 25/General: 8</t>
        </is>
      </c>
    </row>
    <row r="86">
      <c r="A86" s="50" t="inlineStr">
        <is>
          <t>199168045609</t>
        </is>
      </c>
      <c r="B86" s="51" t="n"/>
      <c r="C86" s="156" t="inlineStr">
        <is>
          <t>Roper</t>
        </is>
      </c>
      <c r="D86" s="156" t="inlineStr">
        <is>
          <t>03-001-0040-6002</t>
        </is>
      </c>
      <c r="E86" s="156" t="inlineStr">
        <is>
          <t>03-001-0040-6002 BL-XL</t>
        </is>
      </c>
      <c r="F86" s="156" t="inlineStr">
        <is>
          <t>XL</t>
        </is>
      </c>
      <c r="G86" s="156" t="inlineStr">
        <is>
          <t>XL</t>
        </is>
      </c>
      <c r="H86" s="156" t="inlineStr">
        <is>
          <t>Roper</t>
        </is>
      </c>
      <c r="I86" s="156" t="inlineStr">
        <is>
          <t>ROPER Shirt Jet Black P/R Western</t>
        </is>
      </c>
      <c r="J86" s="156" t="inlineStr">
        <is>
          <t>Ropa</t>
        </is>
      </c>
      <c r="K86" s="156" t="inlineStr">
        <is>
          <t>Camisas</t>
        </is>
      </c>
      <c r="L86" s="156" t="n"/>
      <c r="M86" s="156" t="n"/>
      <c r="N86" s="156" t="n"/>
      <c r="O86" s="156" t="n"/>
      <c r="P86" s="156" t="inlineStr">
        <is>
          <t>Negro</t>
        </is>
      </c>
      <c r="Q86" s="156" t="n"/>
      <c r="R86" s="156" t="n"/>
      <c r="S86" s="156" t="n"/>
      <c r="T86" s="156" t="n"/>
      <c r="U86" s="156" t="n"/>
      <c r="V86" s="156" t="inlineStr">
        <is>
          <t>PZS</t>
        </is>
      </c>
      <c r="W86" s="51" t="inlineStr">
        <is>
          <t>53101602</t>
        </is>
      </c>
      <c r="X86" s="156" t="n"/>
      <c r="Y86" s="54" t="n">
        <v>53.48</v>
      </c>
      <c r="Z86" s="54" t="n">
        <v>1369</v>
      </c>
      <c r="AA86" s="55">
        <f>IF(AND(A86="", B86="", E86=""), "", IF(AB86="", "Válido", IF((LEN(AB86)-LEN(SUBSTITUTE(AB86,"; ","")))/2+1&gt;(LEN(AB86)-LEN(SUBSTITUTE(AB86,"[Aviso]","")))/7, "Con Incidencias", "Válido")))</f>
        <v/>
      </c>
      <c r="AB86" s="56">
        <f>IF(AND(A86="", B86="", E86=""), "", TEXTJOIN("; ", TRUE, IF(OR(TRIM(A86&amp;"")="", ISNUMBER(SEARCH("FALTA", A86))), "UPC faltante/inválido", ""), IF(AND(A86&lt;&gt;"", IFERROR(_xlfn.XMATCH(A86,$A$2:$A$285,0,1)&lt;&gt;_xlfn.XMATCH(A86,$A$2:$A$285,0,-1),FALSE)), "Código de barras duplicado", ""), IF(AND(E86&lt;&gt;"", COUNTIF($E$2:$E$285, E86)&gt;1), "SKU duplicado", ""), IF(OR(J86="", J86=""), "[Aviso] División no capturada ()", IF(ISNA(MATCH(J86, Criterios!$A$123:$A$126, 0)), "División no válida", "")), IF(OR(K86="", K86=""), "[Aviso] Categoría no capturada ()", IF(ISNA(MATCH(K86, Criterios!$A$81:$A$120, 0)), "Categoría no válida", IF(AND(J86&lt;&gt;"", J86&lt;&gt;"", J86&lt;&gt;VLOOKUP(K86, Criterios!$A$81:$B$120, 2, FALSE)), "División no coincide con Categoría", ""))), IF(OR(L86="", L86=""), "[Aviso] Género no capturado ()", IF(ISNA(MATCH(L86, Criterios!$B$123:$B$127, 0)), "Género no válido", "")), IF(OR(N86="", N86=""), "[Aviso] Temporada no capturada ()", IF(ISNA(MATCH(N86, Criterios!$C$123:$C$128, 0)), "Temporada no válida", "")), IF(OR(O86="", O86=""), "[Aviso] Ciclo de vida no capturado ()", IF(ISNA(MATCH(O86, Criterios!$D$123:$D$124, 0)), "Ciclo de vida no válido", ""))))</f>
        <v/>
      </c>
      <c r="AC86" s="56" t="n"/>
      <c r="AD86" s="51" t="n"/>
      <c r="AE86" s="156" t="n"/>
      <c r="AF86" s="51" t="n"/>
      <c r="AG86" s="156" t="inlineStr">
        <is>
          <t>Nuevo – Odoo Universal Unique Brands 01/10/2026</t>
        </is>
      </c>
      <c r="AH86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(black) | Homologación G1522 06/10/2026: WB N.º de estilo: «» → «03-001-0040-6002» (Completado por regla) · Validador Shopify: WB: precio con IVA no termina en 9</t>
        </is>
      </c>
      <c r="AI86" s="156" t="n"/>
      <c r="AJ86" s="156" t="n"/>
      <c r="AK86" s="155" t="inlineStr">
        <is>
          <t>Odoo: producto 21097 / plantilla 27100</t>
        </is>
      </c>
      <c r="AL86" s="58" t="n"/>
      <c r="AM86" s="58" t="n"/>
      <c r="AN86" s="155" t="inlineStr">
        <is>
          <t>Odoo Universal Unique Brands</t>
        </is>
      </c>
      <c r="AO86" s="59" t="n"/>
      <c r="AP86" s="59" t="n"/>
      <c r="AQ86" s="59" t="n">
        <v>10</v>
      </c>
      <c r="AR86" s="155" t="inlineStr">
        <is>
          <t>Odoo Universal Unique Brands › Bodega 25 › Bodega 25/General: 10</t>
        </is>
      </c>
    </row>
    <row r="87">
      <c r="A87" s="50" t="inlineStr">
        <is>
          <t>199168045630</t>
        </is>
      </c>
      <c r="B87" s="51" t="n"/>
      <c r="C87" s="156" t="inlineStr">
        <is>
          <t>Roper</t>
        </is>
      </c>
      <c r="D87" s="156" t="inlineStr">
        <is>
          <t>03-001-0040-6003</t>
        </is>
      </c>
      <c r="E87" s="156" t="inlineStr">
        <is>
          <t>03-001-0040-6003 BR-L</t>
        </is>
      </c>
      <c r="F87" s="156" t="inlineStr">
        <is>
          <t>L</t>
        </is>
      </c>
      <c r="G87" s="156" t="inlineStr">
        <is>
          <t>L</t>
        </is>
      </c>
      <c r="H87" s="156" t="inlineStr">
        <is>
          <t>Roper</t>
        </is>
      </c>
      <c r="I87" s="156" t="inlineStr">
        <is>
          <t>ROPER Shirt Chocolate Brown</t>
        </is>
      </c>
      <c r="J87" s="156" t="inlineStr">
        <is>
          <t>Ropa</t>
        </is>
      </c>
      <c r="K87" s="156" t="inlineStr">
        <is>
          <t>Camisas</t>
        </is>
      </c>
      <c r="L87" s="156" t="n"/>
      <c r="M87" s="156" t="n"/>
      <c r="N87" s="156" t="n"/>
      <c r="O87" s="156" t="n"/>
      <c r="P87" s="156" t="inlineStr">
        <is>
          <t>Cafe</t>
        </is>
      </c>
      <c r="Q87" s="156" t="n"/>
      <c r="R87" s="156" t="n"/>
      <c r="S87" s="156" t="n"/>
      <c r="T87" s="156" t="n"/>
      <c r="U87" s="156" t="n"/>
      <c r="V87" s="156" t="inlineStr">
        <is>
          <t>PZS</t>
        </is>
      </c>
      <c r="W87" s="51" t="inlineStr">
        <is>
          <t>53101602</t>
        </is>
      </c>
      <c r="X87" s="156" t="n"/>
      <c r="Y87" s="54" t="n">
        <v>53.48</v>
      </c>
      <c r="Z87" s="54" t="n">
        <v>1369</v>
      </c>
      <c r="AA87" s="55">
        <f>IF(AND(A87="", B87="", E87=""), "", IF(AB87="", "Válido", IF((LEN(AB87)-LEN(SUBSTITUTE(AB87,"; ","")))/2+1&gt;(LEN(AB87)-LEN(SUBSTITUTE(AB87,"[Aviso]","")))/7, "Con Incidencias", "Válido")))</f>
        <v/>
      </c>
      <c r="AB87" s="56">
        <f>IF(AND(A87="", B87="", E87=""), "", TEXTJOIN("; ", TRUE, IF(OR(TRIM(A87&amp;"")="", ISNUMBER(SEARCH("FALTA", A87))), "UPC faltante/inválido", ""), IF(AND(A87&lt;&gt;"", IFERROR(_xlfn.XMATCH(A87,$A$2:$A$285,0,1)&lt;&gt;_xlfn.XMATCH(A87,$A$2:$A$285,0,-1),FALSE)), "Código de barras duplicado", ""), IF(AND(E87&lt;&gt;"", COUNTIF($E$2:$E$285, E87)&gt;1), "SKU duplicado", ""), IF(OR(J87="", J87=""), "[Aviso] División no capturada ()", IF(ISNA(MATCH(J87, Criterios!$A$123:$A$126, 0)), "División no válida", "")), IF(OR(K87="", K87=""), "[Aviso] Categoría no capturada ()", IF(ISNA(MATCH(K87, Criterios!$A$81:$A$120, 0)), "Categoría no válida", IF(AND(J87&lt;&gt;"", J87&lt;&gt;"", J87&lt;&gt;VLOOKUP(K87, Criterios!$A$81:$B$120, 2, FALSE)), "División no coincide con Categoría", ""))), IF(OR(L87="", L87=""), "[Aviso] Género no capturado ()", IF(ISNA(MATCH(L87, Criterios!$B$123:$B$127, 0)), "Género no válido", "")), IF(OR(N87="", N87=""), "[Aviso] Temporada no capturada ()", IF(ISNA(MATCH(N87, Criterios!$C$123:$C$128, 0)), "Temporada no válida", "")), IF(OR(O87="", O87=""), "[Aviso] Ciclo de vida no capturado ()", IF(ISNA(MATCH(O87, Criterios!$D$123:$D$124, 0)), "Ciclo de vida no válido", ""))))</f>
        <v/>
      </c>
      <c r="AC87" s="56" t="n"/>
      <c r="AD87" s="51" t="n"/>
      <c r="AE87" s="156" t="n"/>
      <c r="AF87" s="51" t="n"/>
      <c r="AG87" s="156" t="inlineStr">
        <is>
          <t>Nuevo – Odoo Universal Unique Brands 01/10/2026</t>
        </is>
      </c>
      <c r="AH87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(chocolate) | Homologación G1522 06/10/2026: WB N.º de estilo: «» → «03-001-0040-6003» (Completado por regla) · Validador Shopify: WB: precio con IVA no termina en 9</t>
        </is>
      </c>
      <c r="AI87" s="156" t="n"/>
      <c r="AJ87" s="156" t="n"/>
      <c r="AK87" s="155" t="inlineStr">
        <is>
          <t>Odoo: producto 20917 / plantilla 26920</t>
        </is>
      </c>
      <c r="AL87" s="58" t="n"/>
      <c r="AM87" s="58" t="n"/>
      <c r="AN87" s="155" t="inlineStr">
        <is>
          <t>Odoo Universal Unique Brands</t>
        </is>
      </c>
      <c r="AO87" s="59" t="n"/>
      <c r="AP87" s="59" t="n"/>
      <c r="AQ87" s="59" t="n">
        <v>14</v>
      </c>
      <c r="AR87" s="155" t="inlineStr">
        <is>
          <t>Odoo Universal Unique Brands › Bodega 25 › Bodega 25/General: 14</t>
        </is>
      </c>
    </row>
    <row r="88">
      <c r="A88" s="50" t="inlineStr">
        <is>
          <t>199168045647</t>
        </is>
      </c>
      <c r="B88" s="51" t="n"/>
      <c r="C88" s="156" t="inlineStr">
        <is>
          <t>Roper</t>
        </is>
      </c>
      <c r="D88" s="156" t="inlineStr">
        <is>
          <t>03-001-0040-6003</t>
        </is>
      </c>
      <c r="E88" s="156" t="inlineStr">
        <is>
          <t>03-001-0040-6003 BR-M</t>
        </is>
      </c>
      <c r="F88" s="156" t="inlineStr">
        <is>
          <t>M</t>
        </is>
      </c>
      <c r="G88" s="156" t="inlineStr">
        <is>
          <t>M</t>
        </is>
      </c>
      <c r="H88" s="156" t="inlineStr">
        <is>
          <t>Roper</t>
        </is>
      </c>
      <c r="I88" s="156" t="inlineStr">
        <is>
          <t>ROPER Shirt Chocolate Brown</t>
        </is>
      </c>
      <c r="J88" s="156" t="inlineStr">
        <is>
          <t>Ropa</t>
        </is>
      </c>
      <c r="K88" s="156" t="inlineStr">
        <is>
          <t>Camisas</t>
        </is>
      </c>
      <c r="L88" s="156" t="n"/>
      <c r="M88" s="156" t="n"/>
      <c r="N88" s="156" t="n"/>
      <c r="O88" s="156" t="n"/>
      <c r="P88" s="156" t="inlineStr">
        <is>
          <t>Cafe</t>
        </is>
      </c>
      <c r="Q88" s="156" t="n"/>
      <c r="R88" s="156" t="n"/>
      <c r="S88" s="156" t="n"/>
      <c r="T88" s="156" t="n"/>
      <c r="U88" s="156" t="n"/>
      <c r="V88" s="156" t="inlineStr">
        <is>
          <t>PZS</t>
        </is>
      </c>
      <c r="W88" s="51" t="inlineStr">
        <is>
          <t>53101602</t>
        </is>
      </c>
      <c r="X88" s="156" t="n"/>
      <c r="Y88" s="54" t="n">
        <v>53.48</v>
      </c>
      <c r="Z88" s="54" t="n">
        <v>1369</v>
      </c>
      <c r="AA88" s="55">
        <f>IF(AND(A88="", B88="", E88=""), "", IF(AB88="", "Válido", IF((LEN(AB88)-LEN(SUBSTITUTE(AB88,"; ","")))/2+1&gt;(LEN(AB88)-LEN(SUBSTITUTE(AB88,"[Aviso]","")))/7, "Con Incidencias", "Válido")))</f>
        <v/>
      </c>
      <c r="AB88" s="56">
        <f>IF(AND(A88="", B88="", E88=""), "", TEXTJOIN("; ", TRUE, IF(OR(TRIM(A88&amp;"")="", ISNUMBER(SEARCH("FALTA", A88))), "UPC faltante/inválido", ""), IF(AND(A88&lt;&gt;"", IFERROR(_xlfn.XMATCH(A88,$A$2:$A$285,0,1)&lt;&gt;_xlfn.XMATCH(A88,$A$2:$A$285,0,-1),FALSE)), "Código de barras duplicado", ""), IF(AND(E88&lt;&gt;"", COUNTIF($E$2:$E$285, E88)&gt;1), "SKU duplicado", ""), IF(OR(J88="", J88=""), "[Aviso] División no capturada ()", IF(ISNA(MATCH(J88, Criterios!$A$123:$A$126, 0)), "División no válida", "")), IF(OR(K88="", K88=""), "[Aviso] Categoría no capturada ()", IF(ISNA(MATCH(K88, Criterios!$A$81:$A$120, 0)), "Categoría no válida", IF(AND(J88&lt;&gt;"", J88&lt;&gt;"", J88&lt;&gt;VLOOKUP(K88, Criterios!$A$81:$B$120, 2, FALSE)), "División no coincide con Categoría", ""))), IF(OR(L88="", L88=""), "[Aviso] Género no capturado ()", IF(ISNA(MATCH(L88, Criterios!$B$123:$B$127, 0)), "Género no válido", "")), IF(OR(N88="", N88=""), "[Aviso] Temporada no capturada ()", IF(ISNA(MATCH(N88, Criterios!$C$123:$C$128, 0)), "Temporada no válida", "")), IF(OR(O88="", O88=""), "[Aviso] Ciclo de vida no capturado ()", IF(ISNA(MATCH(O88, Criterios!$D$123:$D$124, 0)), "Ciclo de vida no válido", ""))))</f>
        <v/>
      </c>
      <c r="AC88" s="56" t="n"/>
      <c r="AD88" s="51" t="n"/>
      <c r="AE88" s="156" t="n"/>
      <c r="AF88" s="51" t="n"/>
      <c r="AG88" s="156" t="inlineStr">
        <is>
          <t>Nuevo – Odoo Universal Unique Brands 01/10/2026</t>
        </is>
      </c>
      <c r="AH88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(chocolate) | Homologación G1522 06/10/2026: WB N.º de estilo: «» → «03-001-0040-6003» (Completado por regla) · Validador Shopify: WB: precio con IVA no termina en 9</t>
        </is>
      </c>
      <c r="AI88" s="156" t="n"/>
      <c r="AJ88" s="156" t="n"/>
      <c r="AK88" s="155" t="inlineStr">
        <is>
          <t>Odoo: producto 20916 / plantilla 26919</t>
        </is>
      </c>
      <c r="AL88" s="58" t="n"/>
      <c r="AM88" s="58" t="n"/>
      <c r="AN88" s="155" t="inlineStr">
        <is>
          <t>Odoo Universal Unique Brands</t>
        </is>
      </c>
      <c r="AO88" s="59" t="n"/>
      <c r="AP88" s="59" t="n"/>
      <c r="AQ88" s="59" t="n">
        <v>15</v>
      </c>
      <c r="AR88" s="155" t="inlineStr">
        <is>
          <t>Odoo Universal Unique Brands › Bodega 25 › Bodega 25/General: 15</t>
        </is>
      </c>
    </row>
    <row r="89">
      <c r="A89" s="50" t="inlineStr">
        <is>
          <t>199168045654</t>
        </is>
      </c>
      <c r="B89" s="51" t="n"/>
      <c r="C89" s="156" t="inlineStr">
        <is>
          <t>Roper</t>
        </is>
      </c>
      <c r="D89" s="156" t="inlineStr">
        <is>
          <t>03-001-0040-6003</t>
        </is>
      </c>
      <c r="E89" s="156" t="inlineStr">
        <is>
          <t>03-001-0040-6003 BR-S</t>
        </is>
      </c>
      <c r="F89" s="156" t="inlineStr">
        <is>
          <t>S</t>
        </is>
      </c>
      <c r="G89" s="156" t="inlineStr">
        <is>
          <t>S</t>
        </is>
      </c>
      <c r="H89" s="156" t="inlineStr">
        <is>
          <t>Roper</t>
        </is>
      </c>
      <c r="I89" s="156" t="inlineStr">
        <is>
          <t>ROPER Shirt Chocolate Brown</t>
        </is>
      </c>
      <c r="J89" s="156" t="inlineStr">
        <is>
          <t>Ropa</t>
        </is>
      </c>
      <c r="K89" s="156" t="inlineStr">
        <is>
          <t>Camisas</t>
        </is>
      </c>
      <c r="L89" s="156" t="n"/>
      <c r="M89" s="156" t="n"/>
      <c r="N89" s="156" t="n"/>
      <c r="O89" s="156" t="n"/>
      <c r="P89" s="156" t="inlineStr">
        <is>
          <t>Cafe</t>
        </is>
      </c>
      <c r="Q89" s="156" t="n"/>
      <c r="R89" s="156" t="n"/>
      <c r="S89" s="156" t="n"/>
      <c r="T89" s="156" t="n"/>
      <c r="U89" s="156" t="n"/>
      <c r="V89" s="156" t="inlineStr">
        <is>
          <t>PZS</t>
        </is>
      </c>
      <c r="W89" s="51" t="inlineStr">
        <is>
          <t>53101602</t>
        </is>
      </c>
      <c r="X89" s="156" t="n"/>
      <c r="Y89" s="54" t="n">
        <v>53.48</v>
      </c>
      <c r="Z89" s="54" t="n">
        <v>1369</v>
      </c>
      <c r="AA89" s="55">
        <f>IF(AND(A89="", B89="", E89=""), "", IF(AB89="", "Válido", IF((LEN(AB89)-LEN(SUBSTITUTE(AB89,"; ","")))/2+1&gt;(LEN(AB89)-LEN(SUBSTITUTE(AB89,"[Aviso]","")))/7, "Con Incidencias", "Válido")))</f>
        <v/>
      </c>
      <c r="AB89" s="56">
        <f>IF(AND(A89="", B89="", E89=""), "", TEXTJOIN("; ", TRUE, IF(OR(TRIM(A89&amp;"")="", ISNUMBER(SEARCH("FALTA", A89))), "UPC faltante/inválido", ""), IF(AND(A89&lt;&gt;"", IFERROR(_xlfn.XMATCH(A89,$A$2:$A$285,0,1)&lt;&gt;_xlfn.XMATCH(A89,$A$2:$A$285,0,-1),FALSE)), "Código de barras duplicado", ""), IF(AND(E89&lt;&gt;"", COUNTIF($E$2:$E$285, E89)&gt;1), "SKU duplicado", ""), IF(OR(J89="", J89=""), "[Aviso] División no capturada ()", IF(ISNA(MATCH(J89, Criterios!$A$123:$A$126, 0)), "División no válida", "")), IF(OR(K89="", K89=""), "[Aviso] Categoría no capturada ()", IF(ISNA(MATCH(K89, Criterios!$A$81:$A$120, 0)), "Categoría no válida", IF(AND(J89&lt;&gt;"", J89&lt;&gt;"", J89&lt;&gt;VLOOKUP(K89, Criterios!$A$81:$B$120, 2, FALSE)), "División no coincide con Categoría", ""))), IF(OR(L89="", L89=""), "[Aviso] Género no capturado ()", IF(ISNA(MATCH(L89, Criterios!$B$123:$B$127, 0)), "Género no válido", "")), IF(OR(N89="", N89=""), "[Aviso] Temporada no capturada ()", IF(ISNA(MATCH(N89, Criterios!$C$123:$C$128, 0)), "Temporada no válida", "")), IF(OR(O89="", O89=""), "[Aviso] Ciclo de vida no capturado ()", IF(ISNA(MATCH(O89, Criterios!$D$123:$D$124, 0)), "Ciclo de vida no válido", ""))))</f>
        <v/>
      </c>
      <c r="AC89" s="56" t="n"/>
      <c r="AD89" s="51" t="n"/>
      <c r="AE89" s="156" t="n"/>
      <c r="AF89" s="51" t="n"/>
      <c r="AG89" s="156" t="inlineStr">
        <is>
          <t>Nuevo – Odoo Universal Unique Brands 01/10/2026</t>
        </is>
      </c>
      <c r="AH89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(chocolate) | Homologación G1522 06/10/2026: WB N.º de estilo: «» → «03-001-0040-6003» (Completado por regla) · Validador Shopify: WB: precio con IVA no termina en 9</t>
        </is>
      </c>
      <c r="AI89" s="156" t="n"/>
      <c r="AJ89" s="156" t="n"/>
      <c r="AK89" s="155" t="inlineStr">
        <is>
          <t>Odoo: producto 20915 / plantilla 26918</t>
        </is>
      </c>
      <c r="AL89" s="58" t="n"/>
      <c r="AM89" s="58" t="n"/>
      <c r="AN89" s="155" t="inlineStr">
        <is>
          <t>Odoo Universal Unique Brands</t>
        </is>
      </c>
      <c r="AO89" s="59" t="n"/>
      <c r="AP89" s="59" t="n"/>
      <c r="AQ89" s="59" t="n">
        <v>12</v>
      </c>
      <c r="AR89" s="155" t="inlineStr">
        <is>
          <t>Odoo Universal Unique Brands › Bodega 25 › Bodega 25/General: 12</t>
        </is>
      </c>
    </row>
    <row r="90">
      <c r="A90" s="50" t="inlineStr">
        <is>
          <t>199168045661</t>
        </is>
      </c>
      <c r="B90" s="51" t="n"/>
      <c r="C90" s="156" t="inlineStr">
        <is>
          <t>Roper</t>
        </is>
      </c>
      <c r="D90" s="156" t="inlineStr">
        <is>
          <t>03-001-0040-6003</t>
        </is>
      </c>
      <c r="E90" s="156" t="inlineStr">
        <is>
          <t>03-001-0040-6003 BR-XL</t>
        </is>
      </c>
      <c r="F90" s="156" t="inlineStr">
        <is>
          <t>XL</t>
        </is>
      </c>
      <c r="G90" s="156" t="inlineStr">
        <is>
          <t>XL</t>
        </is>
      </c>
      <c r="H90" s="156" t="inlineStr">
        <is>
          <t>Roper</t>
        </is>
      </c>
      <c r="I90" s="156" t="inlineStr">
        <is>
          <t>ROPER Shirt Chocolate Brown</t>
        </is>
      </c>
      <c r="J90" s="156" t="inlineStr">
        <is>
          <t>Ropa</t>
        </is>
      </c>
      <c r="K90" s="156" t="inlineStr">
        <is>
          <t>Camisas</t>
        </is>
      </c>
      <c r="L90" s="156" t="n"/>
      <c r="M90" s="156" t="n"/>
      <c r="N90" s="156" t="n"/>
      <c r="O90" s="156" t="n"/>
      <c r="P90" s="156" t="inlineStr">
        <is>
          <t>Cafe</t>
        </is>
      </c>
      <c r="Q90" s="156" t="n"/>
      <c r="R90" s="156" t="n"/>
      <c r="S90" s="156" t="n"/>
      <c r="T90" s="156" t="n"/>
      <c r="U90" s="156" t="n"/>
      <c r="V90" s="156" t="inlineStr">
        <is>
          <t>PZS</t>
        </is>
      </c>
      <c r="W90" s="51" t="inlineStr">
        <is>
          <t>53101602</t>
        </is>
      </c>
      <c r="X90" s="156" t="n"/>
      <c r="Y90" s="54" t="n">
        <v>53.48</v>
      </c>
      <c r="Z90" s="54" t="n">
        <v>1369</v>
      </c>
      <c r="AA90" s="55">
        <f>IF(AND(A90="", B90="", E90=""), "", IF(AB90="", "Válido", IF((LEN(AB90)-LEN(SUBSTITUTE(AB90,"; ","")))/2+1&gt;(LEN(AB90)-LEN(SUBSTITUTE(AB90,"[Aviso]","")))/7, "Con Incidencias", "Válido")))</f>
        <v/>
      </c>
      <c r="AB90" s="56">
        <f>IF(AND(A90="", B90="", E90=""), "", TEXTJOIN("; ", TRUE, IF(OR(TRIM(A90&amp;"")="", ISNUMBER(SEARCH("FALTA", A90))), "UPC faltante/inválido", ""), IF(AND(A90&lt;&gt;"", IFERROR(_xlfn.XMATCH(A90,$A$2:$A$285,0,1)&lt;&gt;_xlfn.XMATCH(A90,$A$2:$A$285,0,-1),FALSE)), "Código de barras duplicado", ""), IF(AND(E90&lt;&gt;"", COUNTIF($E$2:$E$285, E90)&gt;1), "SKU duplicado", ""), IF(OR(J90="", J90=""), "[Aviso] División no capturada ()", IF(ISNA(MATCH(J90, Criterios!$A$123:$A$126, 0)), "División no válida", "")), IF(OR(K90="", K90=""), "[Aviso] Categoría no capturada ()", IF(ISNA(MATCH(K90, Criterios!$A$81:$A$120, 0)), "Categoría no válida", IF(AND(J90&lt;&gt;"", J90&lt;&gt;"", J90&lt;&gt;VLOOKUP(K90, Criterios!$A$81:$B$120, 2, FALSE)), "División no coincide con Categoría", ""))), IF(OR(L90="", L90=""), "[Aviso] Género no capturado ()", IF(ISNA(MATCH(L90, Criterios!$B$123:$B$127, 0)), "Género no válido", "")), IF(OR(N90="", N90=""), "[Aviso] Temporada no capturada ()", IF(ISNA(MATCH(N90, Criterios!$C$123:$C$128, 0)), "Temporada no válida", "")), IF(OR(O90="", O90=""), "[Aviso] Ciclo de vida no capturado ()", IF(ISNA(MATCH(O90, Criterios!$D$123:$D$124, 0)), "Ciclo de vida no válido", ""))))</f>
        <v/>
      </c>
      <c r="AC90" s="56" t="n"/>
      <c r="AD90" s="51" t="n"/>
      <c r="AE90" s="156" t="n"/>
      <c r="AF90" s="51" t="n"/>
      <c r="AG90" s="156" t="inlineStr">
        <is>
          <t>Nuevo – Odoo Universal Unique Brands 01/10/2026</t>
        </is>
      </c>
      <c r="AH90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(chocolate) | Homologación G1522 06/10/2026: WB N.º de estilo: «» → «03-001-0040-6003» (Completado por regla) · Validador Shopify: WB: precio con IVA no termina en 9</t>
        </is>
      </c>
      <c r="AI90" s="156" t="n"/>
      <c r="AJ90" s="156" t="n"/>
      <c r="AK90" s="155" t="inlineStr">
        <is>
          <t>Odoo: producto 20918 / plantilla 26921</t>
        </is>
      </c>
      <c r="AL90" s="58" t="n"/>
      <c r="AM90" s="58" t="n"/>
      <c r="AN90" s="155" t="inlineStr">
        <is>
          <t>Odoo Universal Unique Brands</t>
        </is>
      </c>
      <c r="AO90" s="59" t="n"/>
      <c r="AP90" s="59" t="n"/>
      <c r="AQ90" s="59" t="n">
        <v>11</v>
      </c>
      <c r="AR90" s="155" t="inlineStr">
        <is>
          <t>Odoo Universal Unique Brands › Bodega 25 › Bodega 25/General: 11</t>
        </is>
      </c>
    </row>
    <row r="91">
      <c r="A91" s="50" t="inlineStr">
        <is>
          <t>199168045739</t>
        </is>
      </c>
      <c r="B91" s="51" t="n"/>
      <c r="C91" s="156" t="inlineStr">
        <is>
          <t>Roper</t>
        </is>
      </c>
      <c r="D91" s="156" t="inlineStr">
        <is>
          <t>03-001-0040-6004</t>
        </is>
      </c>
      <c r="E91" s="156" t="inlineStr">
        <is>
          <t>03-001-0040-6004 BU-2XL</t>
        </is>
      </c>
      <c r="F91" s="156" t="inlineStr">
        <is>
          <t>XXL</t>
        </is>
      </c>
      <c r="G91" s="156" t="inlineStr">
        <is>
          <t>XXL</t>
        </is>
      </c>
      <c r="H91" s="156" t="inlineStr">
        <is>
          <t>Roper</t>
        </is>
      </c>
      <c r="I91" s="156" t="inlineStr">
        <is>
          <t>ROPER Shirt Wash Denim Shirt</t>
        </is>
      </c>
      <c r="J91" s="156" t="inlineStr">
        <is>
          <t>Ropa</t>
        </is>
      </c>
      <c r="K91" s="156" t="inlineStr">
        <is>
          <t>Camisas</t>
        </is>
      </c>
      <c r="L91" s="156" t="n"/>
      <c r="M91" s="156" t="n"/>
      <c r="N91" s="156" t="n"/>
      <c r="O91" s="156" t="n"/>
      <c r="P91" s="156" t="inlineStr">
        <is>
          <t>Azul</t>
        </is>
      </c>
      <c r="Q91" s="156" t="n"/>
      <c r="R91" s="156" t="n"/>
      <c r="S91" s="156" t="n"/>
      <c r="T91" s="156" t="n"/>
      <c r="U91" s="156" t="n"/>
      <c r="V91" s="156" t="inlineStr">
        <is>
          <t>PZS</t>
        </is>
      </c>
      <c r="W91" s="51" t="inlineStr">
        <is>
          <t>53101602</t>
        </is>
      </c>
      <c r="X91" s="156" t="n"/>
      <c r="Y91" s="54" t="n">
        <v>58.12</v>
      </c>
      <c r="Z91" s="54" t="n">
        <v>1469</v>
      </c>
      <c r="AA91" s="55">
        <f>IF(AND(A91="", B91="", E91=""), "", IF(AB91="", "Válido", IF((LEN(AB91)-LEN(SUBSTITUTE(AB91,"; ","")))/2+1&gt;(LEN(AB91)-LEN(SUBSTITUTE(AB91,"[Aviso]","")))/7, "Con Incidencias", "Válido")))</f>
        <v/>
      </c>
      <c r="AB91" s="56">
        <f>IF(AND(A91="", B91="", E91=""), "", TEXTJOIN("; ", TRUE, IF(OR(TRIM(A91&amp;"")="", ISNUMBER(SEARCH("FALTA", A91))), "UPC faltante/inválido", ""), IF(AND(A91&lt;&gt;"", IFERROR(_xlfn.XMATCH(A91,$A$2:$A$285,0,1)&lt;&gt;_xlfn.XMATCH(A91,$A$2:$A$285,0,-1),FALSE)), "Código de barras duplicado", ""), IF(AND(E91&lt;&gt;"", COUNTIF($E$2:$E$285, E91)&gt;1), "SKU duplicado", ""), IF(OR(J91="", J91=""), "[Aviso] División no capturada ()", IF(ISNA(MATCH(J91, Criterios!$A$123:$A$126, 0)), "División no válida", "")), IF(OR(K91="", K91=""), "[Aviso] Categoría no capturada ()", IF(ISNA(MATCH(K91, Criterios!$A$81:$A$120, 0)), "Categoría no válida", IF(AND(J91&lt;&gt;"", J91&lt;&gt;"", J91&lt;&gt;VLOOKUP(K91, Criterios!$A$81:$B$120, 2, FALSE)), "División no coincide con Categoría", ""))), IF(OR(L91="", L91=""), "[Aviso] Género no capturado ()", IF(ISNA(MATCH(L91, Criterios!$B$123:$B$127, 0)), "Género no válido", "")), IF(OR(N91="", N91=""), "[Aviso] Temporada no capturada ()", IF(ISNA(MATCH(N91, Criterios!$C$123:$C$128, 0)), "Temporada no válida", "")), IF(OR(O91="", O91=""), "[Aviso] Ciclo de vida no capturado ()", IF(ISNA(MATCH(O91, Criterios!$D$123:$D$124, 0)), "Ciclo de vida no válido", ""))))</f>
        <v/>
      </c>
      <c r="AC91" s="56" t="n"/>
      <c r="AD91" s="51" t="n"/>
      <c r="AE91" s="156" t="n"/>
      <c r="AF91" s="51" t="n"/>
      <c r="AG91" s="156" t="inlineStr">
        <is>
          <t>Nuevo – Odoo Universal Unique Brands 01/10/2026</t>
        </is>
      </c>
      <c r="AH91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(denim) | Homologación G1522 06/10/2026: WB N.º de estilo: «» → «03-001-0040-6004» (Completado por regla) · Validador Shopify: WB: precio con IVA no termina en 9</t>
        </is>
      </c>
      <c r="AI91" s="156" t="n"/>
      <c r="AJ91" s="156" t="n"/>
      <c r="AK91" s="155" t="inlineStr">
        <is>
          <t>Odoo: producto 20910 / plantilla 26913</t>
        </is>
      </c>
      <c r="AL91" s="58" t="n"/>
      <c r="AM91" s="58" t="n"/>
      <c r="AN91" s="155" t="inlineStr">
        <is>
          <t>Odoo Universal Unique Brands</t>
        </is>
      </c>
      <c r="AO91" s="59" t="n"/>
      <c r="AP91" s="59" t="n"/>
      <c r="AQ91" s="59" t="n">
        <v>5</v>
      </c>
      <c r="AR91" s="155" t="inlineStr">
        <is>
          <t>Odoo Universal Unique Brands › Bodega 25 › Bodega 25/General: 5</t>
        </is>
      </c>
    </row>
    <row r="92">
      <c r="A92" s="50" t="inlineStr">
        <is>
          <t>199168045692</t>
        </is>
      </c>
      <c r="B92" s="51" t="n"/>
      <c r="C92" s="156" t="inlineStr">
        <is>
          <t>Roper</t>
        </is>
      </c>
      <c r="D92" s="156" t="inlineStr">
        <is>
          <t>03-001-0040-6004</t>
        </is>
      </c>
      <c r="E92" s="156" t="inlineStr">
        <is>
          <t>03-001-0040-6004 BU-L</t>
        </is>
      </c>
      <c r="F92" s="156" t="inlineStr">
        <is>
          <t>L</t>
        </is>
      </c>
      <c r="G92" s="156" t="inlineStr">
        <is>
          <t>L</t>
        </is>
      </c>
      <c r="H92" s="156" t="inlineStr">
        <is>
          <t>Roper</t>
        </is>
      </c>
      <c r="I92" s="156" t="inlineStr">
        <is>
          <t>ROPER Shirt Wash Denim Shirt</t>
        </is>
      </c>
      <c r="J92" s="156" t="inlineStr">
        <is>
          <t>Ropa</t>
        </is>
      </c>
      <c r="K92" s="156" t="inlineStr">
        <is>
          <t>Camisas</t>
        </is>
      </c>
      <c r="L92" s="156" t="n"/>
      <c r="M92" s="156" t="n"/>
      <c r="N92" s="156" t="n"/>
      <c r="O92" s="156" t="n"/>
      <c r="P92" s="156" t="inlineStr">
        <is>
          <t>Azul</t>
        </is>
      </c>
      <c r="Q92" s="156" t="n"/>
      <c r="R92" s="156" t="n"/>
      <c r="S92" s="156" t="n"/>
      <c r="T92" s="156" t="n"/>
      <c r="U92" s="156" t="n"/>
      <c r="V92" s="156" t="inlineStr">
        <is>
          <t>PZS</t>
        </is>
      </c>
      <c r="W92" s="51" t="inlineStr">
        <is>
          <t>53101602</t>
        </is>
      </c>
      <c r="X92" s="156" t="n"/>
      <c r="Y92" s="54" t="n">
        <v>58.12</v>
      </c>
      <c r="Z92" s="54" t="n">
        <v>1469</v>
      </c>
      <c r="AA92" s="55">
        <f>IF(AND(A92="", B92="", E92=""), "", IF(AB92="", "Válido", IF((LEN(AB92)-LEN(SUBSTITUTE(AB92,"; ","")))/2+1&gt;(LEN(AB92)-LEN(SUBSTITUTE(AB92,"[Aviso]","")))/7, "Con Incidencias", "Válido")))</f>
        <v/>
      </c>
      <c r="AB92" s="56">
        <f>IF(AND(A92="", B92="", E92=""), "", TEXTJOIN("; ", TRUE, IF(OR(TRIM(A92&amp;"")="", ISNUMBER(SEARCH("FALTA", A92))), "UPC faltante/inválido", ""), IF(AND(A92&lt;&gt;"", IFERROR(_xlfn.XMATCH(A92,$A$2:$A$285,0,1)&lt;&gt;_xlfn.XMATCH(A92,$A$2:$A$285,0,-1),FALSE)), "Código de barras duplicado", ""), IF(AND(E92&lt;&gt;"", COUNTIF($E$2:$E$285, E92)&gt;1), "SKU duplicado", ""), IF(OR(J92="", J92=""), "[Aviso] División no capturada ()", IF(ISNA(MATCH(J92, Criterios!$A$123:$A$126, 0)), "División no válida", "")), IF(OR(K92="", K92=""), "[Aviso] Categoría no capturada ()", IF(ISNA(MATCH(K92, Criterios!$A$81:$A$120, 0)), "Categoría no válida", IF(AND(J92&lt;&gt;"", J92&lt;&gt;"", J92&lt;&gt;VLOOKUP(K92, Criterios!$A$81:$B$120, 2, FALSE)), "División no coincide con Categoría", ""))), IF(OR(L92="", L92=""), "[Aviso] Género no capturado ()", IF(ISNA(MATCH(L92, Criterios!$B$123:$B$127, 0)), "Género no válido", "")), IF(OR(N92="", N92=""), "[Aviso] Temporada no capturada ()", IF(ISNA(MATCH(N92, Criterios!$C$123:$C$128, 0)), "Temporada no válida", "")), IF(OR(O92="", O92=""), "[Aviso] Ciclo de vida no capturado ()", IF(ISNA(MATCH(O92, Criterios!$D$123:$D$124, 0)), "Ciclo de vida no válido", ""))))</f>
        <v/>
      </c>
      <c r="AC92" s="56" t="n"/>
      <c r="AD92" s="51" t="n"/>
      <c r="AE92" s="156" t="n"/>
      <c r="AF92" s="51" t="n"/>
      <c r="AG92" s="156" t="inlineStr">
        <is>
          <t>Nuevo – Odoo Universal Unique Brands 01/10/2026</t>
        </is>
      </c>
      <c r="AH92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(denim) | Homologación G1522 06/10/2026: WB N.º de estilo: «» → «03-001-0040-6004» (Completado por regla) · Validador Shopify: WB: precio con IVA no termina en 9</t>
        </is>
      </c>
      <c r="AI92" s="156" t="n"/>
      <c r="AJ92" s="156" t="n"/>
      <c r="AK92" s="155" t="inlineStr">
        <is>
          <t>Odoo: producto 20908 / plantilla 26911</t>
        </is>
      </c>
      <c r="AL92" s="58" t="n"/>
      <c r="AM92" s="58" t="n"/>
      <c r="AN92" s="155" t="inlineStr">
        <is>
          <t>Odoo Universal Unique Brands</t>
        </is>
      </c>
      <c r="AO92" s="59" t="n"/>
      <c r="AP92" s="59" t="n"/>
      <c r="AQ92" s="59" t="n">
        <v>10</v>
      </c>
      <c r="AR92" s="155" t="inlineStr">
        <is>
          <t>Odoo Universal Unique Brands › Bodega 25 › Bodega 25/General: 10</t>
        </is>
      </c>
    </row>
    <row r="93">
      <c r="A93" s="50" t="inlineStr">
        <is>
          <t>199168045708</t>
        </is>
      </c>
      <c r="B93" s="51" t="n"/>
      <c r="C93" s="156" t="inlineStr">
        <is>
          <t>Roper</t>
        </is>
      </c>
      <c r="D93" s="156" t="inlineStr">
        <is>
          <t>03-001-0040-6004</t>
        </is>
      </c>
      <c r="E93" s="156" t="inlineStr">
        <is>
          <t>03-001-0040-6004 BU-M</t>
        </is>
      </c>
      <c r="F93" s="156" t="inlineStr">
        <is>
          <t>M</t>
        </is>
      </c>
      <c r="G93" s="156" t="inlineStr">
        <is>
          <t>M</t>
        </is>
      </c>
      <c r="H93" s="156" t="inlineStr">
        <is>
          <t>Roper</t>
        </is>
      </c>
      <c r="I93" s="156" t="inlineStr">
        <is>
          <t>ROPER Shirt Wash Denim Shirt</t>
        </is>
      </c>
      <c r="J93" s="156" t="inlineStr">
        <is>
          <t>Ropa</t>
        </is>
      </c>
      <c r="K93" s="156" t="inlineStr">
        <is>
          <t>Camisas</t>
        </is>
      </c>
      <c r="L93" s="156" t="n"/>
      <c r="M93" s="156" t="n"/>
      <c r="N93" s="156" t="n"/>
      <c r="O93" s="156" t="n"/>
      <c r="P93" s="156" t="inlineStr">
        <is>
          <t>Azul</t>
        </is>
      </c>
      <c r="Q93" s="156" t="n"/>
      <c r="R93" s="156" t="n"/>
      <c r="S93" s="156" t="n"/>
      <c r="T93" s="156" t="n"/>
      <c r="U93" s="156" t="n"/>
      <c r="V93" s="156" t="inlineStr">
        <is>
          <t>PZS</t>
        </is>
      </c>
      <c r="W93" s="51" t="inlineStr">
        <is>
          <t>53101602</t>
        </is>
      </c>
      <c r="X93" s="156" t="n"/>
      <c r="Y93" s="54" t="n">
        <v>58.12</v>
      </c>
      <c r="Z93" s="54" t="n">
        <v>1469</v>
      </c>
      <c r="AA93" s="55">
        <f>IF(AND(A93="", B93="", E93=""), "", IF(AB93="", "Válido", IF((LEN(AB93)-LEN(SUBSTITUTE(AB93,"; ","")))/2+1&gt;(LEN(AB93)-LEN(SUBSTITUTE(AB93,"[Aviso]","")))/7, "Con Incidencias", "Válido")))</f>
        <v/>
      </c>
      <c r="AB93" s="56">
        <f>IF(AND(A93="", B93="", E93=""), "", TEXTJOIN("; ", TRUE, IF(OR(TRIM(A93&amp;"")="", ISNUMBER(SEARCH("FALTA", A93))), "UPC faltante/inválido", ""), IF(AND(A93&lt;&gt;"", IFERROR(_xlfn.XMATCH(A93,$A$2:$A$285,0,1)&lt;&gt;_xlfn.XMATCH(A93,$A$2:$A$285,0,-1),FALSE)), "Código de barras duplicado", ""), IF(AND(E93&lt;&gt;"", COUNTIF($E$2:$E$285, E93)&gt;1), "SKU duplicado", ""), IF(OR(J93="", J93=""), "[Aviso] División no capturada ()", IF(ISNA(MATCH(J93, Criterios!$A$123:$A$126, 0)), "División no válida", "")), IF(OR(K93="", K93=""), "[Aviso] Categoría no capturada ()", IF(ISNA(MATCH(K93, Criterios!$A$81:$A$120, 0)), "Categoría no válida", IF(AND(J93&lt;&gt;"", J93&lt;&gt;"", J93&lt;&gt;VLOOKUP(K93, Criterios!$A$81:$B$120, 2, FALSE)), "División no coincide con Categoría", ""))), IF(OR(L93="", L93=""), "[Aviso] Género no capturado ()", IF(ISNA(MATCH(L93, Criterios!$B$123:$B$127, 0)), "Género no válido", "")), IF(OR(N93="", N93=""), "[Aviso] Temporada no capturada ()", IF(ISNA(MATCH(N93, Criterios!$C$123:$C$128, 0)), "Temporada no válida", "")), IF(OR(O93="", O93=""), "[Aviso] Ciclo de vida no capturado ()", IF(ISNA(MATCH(O93, Criterios!$D$123:$D$124, 0)), "Ciclo de vida no válido", ""))))</f>
        <v/>
      </c>
      <c r="AC93" s="56" t="n"/>
      <c r="AD93" s="51" t="n"/>
      <c r="AE93" s="156" t="n"/>
      <c r="AF93" s="51" t="n"/>
      <c r="AG93" s="156" t="inlineStr">
        <is>
          <t>Nuevo – Odoo Universal Unique Brands 01/10/2026</t>
        </is>
      </c>
      <c r="AH93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(denim) | Homologación G1522 06/10/2026: WB N.º de estilo: «» → «03-001-0040-6004» (Completado por regla) · Validador Shopify: WB: precio con IVA no termina en 9</t>
        </is>
      </c>
      <c r="AI93" s="156" t="n"/>
      <c r="AJ93" s="156" t="n"/>
      <c r="AK93" s="155" t="inlineStr">
        <is>
          <t>Odoo: producto 20907 / plantilla 26910</t>
        </is>
      </c>
      <c r="AL93" s="58" t="n"/>
      <c r="AM93" s="58" t="n"/>
      <c r="AN93" s="155" t="inlineStr">
        <is>
          <t>Odoo Universal Unique Brands</t>
        </is>
      </c>
      <c r="AO93" s="59" t="n"/>
      <c r="AP93" s="59" t="n"/>
      <c r="AQ93" s="59" t="n">
        <v>10</v>
      </c>
      <c r="AR93" s="155" t="inlineStr">
        <is>
          <t>Odoo Universal Unique Brands › Bodega 25 › Bodega 25/General: 10</t>
        </is>
      </c>
    </row>
    <row r="94">
      <c r="A94" s="50" t="inlineStr">
        <is>
          <t>199168045715</t>
        </is>
      </c>
      <c r="B94" s="51" t="n"/>
      <c r="C94" s="156" t="inlineStr">
        <is>
          <t>Roper</t>
        </is>
      </c>
      <c r="D94" s="156" t="inlineStr">
        <is>
          <t>03-001-0040-6004</t>
        </is>
      </c>
      <c r="E94" s="156" t="inlineStr">
        <is>
          <t>03-001-0040-6004 BU-S</t>
        </is>
      </c>
      <c r="F94" s="156" t="inlineStr">
        <is>
          <t>S</t>
        </is>
      </c>
      <c r="G94" s="156" t="inlineStr">
        <is>
          <t>S</t>
        </is>
      </c>
      <c r="H94" s="156" t="inlineStr">
        <is>
          <t>Roper</t>
        </is>
      </c>
      <c r="I94" s="156" t="inlineStr">
        <is>
          <t>ROPER Shirt Wash Denim Shirt</t>
        </is>
      </c>
      <c r="J94" s="156" t="inlineStr">
        <is>
          <t>Ropa</t>
        </is>
      </c>
      <c r="K94" s="156" t="inlineStr">
        <is>
          <t>Camisas</t>
        </is>
      </c>
      <c r="L94" s="156" t="n"/>
      <c r="M94" s="156" t="n"/>
      <c r="N94" s="156" t="n"/>
      <c r="O94" s="156" t="n"/>
      <c r="P94" s="156" t="inlineStr">
        <is>
          <t>Azul</t>
        </is>
      </c>
      <c r="Q94" s="156" t="n"/>
      <c r="R94" s="156" t="n"/>
      <c r="S94" s="156" t="n"/>
      <c r="T94" s="156" t="n"/>
      <c r="U94" s="156" t="n"/>
      <c r="V94" s="156" t="inlineStr">
        <is>
          <t>PZS</t>
        </is>
      </c>
      <c r="W94" s="51" t="inlineStr">
        <is>
          <t>53101602</t>
        </is>
      </c>
      <c r="X94" s="156" t="n"/>
      <c r="Y94" s="54" t="n">
        <v>58.12</v>
      </c>
      <c r="Z94" s="54" t="n">
        <v>1469</v>
      </c>
      <c r="AA94" s="55">
        <f>IF(AND(A94="", B94="", E94=""), "", IF(AB94="", "Válido", IF((LEN(AB94)-LEN(SUBSTITUTE(AB94,"; ","")))/2+1&gt;(LEN(AB94)-LEN(SUBSTITUTE(AB94,"[Aviso]","")))/7, "Con Incidencias", "Válido")))</f>
        <v/>
      </c>
      <c r="AB94" s="56">
        <f>IF(AND(A94="", B94="", E94=""), "", TEXTJOIN("; ", TRUE, IF(OR(TRIM(A94&amp;"")="", ISNUMBER(SEARCH("FALTA", A94))), "UPC faltante/inválido", ""), IF(AND(A94&lt;&gt;"", IFERROR(_xlfn.XMATCH(A94,$A$2:$A$285,0,1)&lt;&gt;_xlfn.XMATCH(A94,$A$2:$A$285,0,-1),FALSE)), "Código de barras duplicado", ""), IF(AND(E94&lt;&gt;"", COUNTIF($E$2:$E$285, E94)&gt;1), "SKU duplicado", ""), IF(OR(J94="", J94=""), "[Aviso] División no capturada ()", IF(ISNA(MATCH(J94, Criterios!$A$123:$A$126, 0)), "División no válida", "")), IF(OR(K94="", K94=""), "[Aviso] Categoría no capturada ()", IF(ISNA(MATCH(K94, Criterios!$A$81:$A$120, 0)), "Categoría no válida", IF(AND(J94&lt;&gt;"", J94&lt;&gt;"", J94&lt;&gt;VLOOKUP(K94, Criterios!$A$81:$B$120, 2, FALSE)), "División no coincide con Categoría", ""))), IF(OR(L94="", L94=""), "[Aviso] Género no capturado ()", IF(ISNA(MATCH(L94, Criterios!$B$123:$B$127, 0)), "Género no válido", "")), IF(OR(N94="", N94=""), "[Aviso] Temporada no capturada ()", IF(ISNA(MATCH(N94, Criterios!$C$123:$C$128, 0)), "Temporada no válida", "")), IF(OR(O94="", O94=""), "[Aviso] Ciclo de vida no capturado ()", IF(ISNA(MATCH(O94, Criterios!$D$123:$D$124, 0)), "Ciclo de vida no válido", ""))))</f>
        <v/>
      </c>
      <c r="AC94" s="56" t="n"/>
      <c r="AD94" s="51" t="n"/>
      <c r="AE94" s="156" t="n"/>
      <c r="AF94" s="51" t="n"/>
      <c r="AG94" s="156" t="inlineStr">
        <is>
          <t>Nuevo – Odoo Universal Unique Brands 01/10/2026</t>
        </is>
      </c>
      <c r="AH94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(denim) | Homologación G1522 06/10/2026: WB N.º de estilo: «» → «03-001-0040-6004» (Completado por regla) · Validador Shopify: WB: precio con IVA no termina en 9</t>
        </is>
      </c>
      <c r="AI94" s="156" t="n"/>
      <c r="AJ94" s="156" t="n"/>
      <c r="AK94" s="155" t="inlineStr">
        <is>
          <t>Odoo: producto 20906 / plantilla 26909</t>
        </is>
      </c>
      <c r="AL94" s="58" t="n"/>
      <c r="AM94" s="58" t="n"/>
      <c r="AN94" s="155" t="inlineStr">
        <is>
          <t>Odoo Universal Unique Brands</t>
        </is>
      </c>
      <c r="AO94" s="59" t="n"/>
      <c r="AP94" s="59" t="n"/>
      <c r="AQ94" s="59" t="n">
        <v>10</v>
      </c>
      <c r="AR94" s="155" t="inlineStr">
        <is>
          <t>Odoo Universal Unique Brands › Bodega 25 › Bodega 25/General: 10</t>
        </is>
      </c>
    </row>
    <row r="95">
      <c r="A95" s="50" t="inlineStr">
        <is>
          <t>199168045722</t>
        </is>
      </c>
      <c r="B95" s="51" t="n"/>
      <c r="C95" s="156" t="inlineStr">
        <is>
          <t>Roper</t>
        </is>
      </c>
      <c r="D95" s="156" t="inlineStr">
        <is>
          <t>03-001-0040-6004</t>
        </is>
      </c>
      <c r="E95" s="156" t="inlineStr">
        <is>
          <t>03-001-0040-6004 BU-XL</t>
        </is>
      </c>
      <c r="F95" s="156" t="inlineStr">
        <is>
          <t>XL</t>
        </is>
      </c>
      <c r="G95" s="156" t="inlineStr">
        <is>
          <t>XL</t>
        </is>
      </c>
      <c r="H95" s="156" t="inlineStr">
        <is>
          <t>Roper</t>
        </is>
      </c>
      <c r="I95" s="156" t="inlineStr">
        <is>
          <t>ROPER Shirt Wash Denim Shirt</t>
        </is>
      </c>
      <c r="J95" s="156" t="inlineStr">
        <is>
          <t>Ropa</t>
        </is>
      </c>
      <c r="K95" s="156" t="inlineStr">
        <is>
          <t>Camisas</t>
        </is>
      </c>
      <c r="L95" s="156" t="n"/>
      <c r="M95" s="156" t="n"/>
      <c r="N95" s="156" t="n"/>
      <c r="O95" s="156" t="n"/>
      <c r="P95" s="156" t="inlineStr">
        <is>
          <t>Azul</t>
        </is>
      </c>
      <c r="Q95" s="156" t="n"/>
      <c r="R95" s="156" t="n"/>
      <c r="S95" s="156" t="n"/>
      <c r="T95" s="156" t="n"/>
      <c r="U95" s="156" t="n"/>
      <c r="V95" s="156" t="inlineStr">
        <is>
          <t>PZS</t>
        </is>
      </c>
      <c r="W95" s="51" t="inlineStr">
        <is>
          <t>53101602</t>
        </is>
      </c>
      <c r="X95" s="156" t="n"/>
      <c r="Y95" s="54" t="n">
        <v>58.12</v>
      </c>
      <c r="Z95" s="54" t="n">
        <v>1469</v>
      </c>
      <c r="AA95" s="55">
        <f>IF(AND(A95="", B95="", E95=""), "", IF(AB95="", "Válido", IF((LEN(AB95)-LEN(SUBSTITUTE(AB95,"; ","")))/2+1&gt;(LEN(AB95)-LEN(SUBSTITUTE(AB95,"[Aviso]","")))/7, "Con Incidencias", "Válido")))</f>
        <v/>
      </c>
      <c r="AB95" s="56">
        <f>IF(AND(A95="", B95="", E95=""), "", TEXTJOIN("; ", TRUE, IF(OR(TRIM(A95&amp;"")="", ISNUMBER(SEARCH("FALTA", A95))), "UPC faltante/inválido", ""), IF(AND(A95&lt;&gt;"", IFERROR(_xlfn.XMATCH(A95,$A$2:$A$285,0,1)&lt;&gt;_xlfn.XMATCH(A95,$A$2:$A$285,0,-1),FALSE)), "Código de barras duplicado", ""), IF(AND(E95&lt;&gt;"", COUNTIF($E$2:$E$285, E95)&gt;1), "SKU duplicado", ""), IF(OR(J95="", J95=""), "[Aviso] División no capturada ()", IF(ISNA(MATCH(J95, Criterios!$A$123:$A$126, 0)), "División no válida", "")), IF(OR(K95="", K95=""), "[Aviso] Categoría no capturada ()", IF(ISNA(MATCH(K95, Criterios!$A$81:$A$120, 0)), "Categoría no válida", IF(AND(J95&lt;&gt;"", J95&lt;&gt;"", J95&lt;&gt;VLOOKUP(K95, Criterios!$A$81:$B$120, 2, FALSE)), "División no coincide con Categoría", ""))), IF(OR(L95="", L95=""), "[Aviso] Género no capturado ()", IF(ISNA(MATCH(L95, Criterios!$B$123:$B$127, 0)), "Género no válido", "")), IF(OR(N95="", N95=""), "[Aviso] Temporada no capturada ()", IF(ISNA(MATCH(N95, Criterios!$C$123:$C$128, 0)), "Temporada no válida", "")), IF(OR(O95="", O95=""), "[Aviso] Ciclo de vida no capturado ()", IF(ISNA(MATCH(O95, Criterios!$D$123:$D$124, 0)), "Ciclo de vida no válido", ""))))</f>
        <v/>
      </c>
      <c r="AC95" s="56" t="n"/>
      <c r="AD95" s="51" t="n"/>
      <c r="AE95" s="156" t="n"/>
      <c r="AF95" s="51" t="n"/>
      <c r="AG95" s="156" t="inlineStr">
        <is>
          <t>Nuevo – Odoo Universal Unique Brands 01/10/2026</t>
        </is>
      </c>
      <c r="AH95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(denim) | Homologación G1522 06/10/2026: WB N.º de estilo: «» → «03-001-0040-6004» (Completado por regla) · Validador Shopify: WB: precio con IVA no termina en 9</t>
        </is>
      </c>
      <c r="AI95" s="156" t="n"/>
      <c r="AJ95" s="156" t="n"/>
      <c r="AK95" s="155" t="inlineStr">
        <is>
          <t>Odoo: producto 20909 / plantilla 26912</t>
        </is>
      </c>
      <c r="AL95" s="58" t="n"/>
      <c r="AM95" s="58" t="n"/>
      <c r="AN95" s="155" t="inlineStr">
        <is>
          <t>Odoo Universal Unique Brands</t>
        </is>
      </c>
      <c r="AO95" s="59" t="n"/>
      <c r="AP95" s="59" t="n"/>
      <c r="AQ95" s="59" t="n">
        <v>10</v>
      </c>
      <c r="AR95" s="155" t="inlineStr">
        <is>
          <t>Odoo Universal Unique Brands › Bodega 25 › Bodega 25/General: 10</t>
        </is>
      </c>
    </row>
    <row r="96">
      <c r="A96" s="50" t="inlineStr">
        <is>
          <t>199168045791</t>
        </is>
      </c>
      <c r="B96" s="51" t="n"/>
      <c r="C96" s="156" t="inlineStr">
        <is>
          <t>Roper</t>
        </is>
      </c>
      <c r="D96" s="156" t="inlineStr">
        <is>
          <t>03-001-0060-0712</t>
        </is>
      </c>
      <c r="E96" s="156" t="inlineStr">
        <is>
          <t>03-001-0060-0712 BL-2XL</t>
        </is>
      </c>
      <c r="F96" s="156" t="inlineStr">
        <is>
          <t>XXL</t>
        </is>
      </c>
      <c r="G96" s="156" t="inlineStr">
        <is>
          <t>XXL</t>
        </is>
      </c>
      <c r="H96" s="156" t="inlineStr">
        <is>
          <t>Roper</t>
        </is>
      </c>
      <c r="I96" s="156" t="inlineStr">
        <is>
          <t>ROPER Shirt Solid Poplin - Black</t>
        </is>
      </c>
      <c r="J96" s="156" t="inlineStr">
        <is>
          <t>Ropa</t>
        </is>
      </c>
      <c r="K96" s="156" t="inlineStr">
        <is>
          <t>Camisas</t>
        </is>
      </c>
      <c r="L96" s="156" t="n"/>
      <c r="M96" s="156" t="n"/>
      <c r="N96" s="156" t="n"/>
      <c r="O96" s="156" t="n"/>
      <c r="P96" s="156" t="inlineStr">
        <is>
          <t>Negro</t>
        </is>
      </c>
      <c r="Q96" s="156" t="n"/>
      <c r="R96" s="156" t="n"/>
      <c r="S96" s="156" t="n"/>
      <c r="T96" s="156" t="n"/>
      <c r="U96" s="156" t="n"/>
      <c r="V96" s="156" t="inlineStr">
        <is>
          <t>PZS</t>
        </is>
      </c>
      <c r="W96" s="51" t="inlineStr">
        <is>
          <t>53101602</t>
        </is>
      </c>
      <c r="X96" s="156" t="n"/>
      <c r="Y96" s="54" t="n">
        <v>23.72</v>
      </c>
      <c r="Z96" s="54" t="n">
        <v>659</v>
      </c>
      <c r="AA96" s="55">
        <f>IF(AND(A96="", B96="", E96=""), "", IF(AB96="", "Válido", IF((LEN(AB96)-LEN(SUBSTITUTE(AB96,"; ","")))/2+1&gt;(LEN(AB96)-LEN(SUBSTITUTE(AB96,"[Aviso]","")))/7, "Con Incidencias", "Válido")))</f>
        <v/>
      </c>
      <c r="AB96" s="56">
        <f>IF(AND(A96="", B96="", E96=""), "", TEXTJOIN("; ", TRUE, IF(OR(TRIM(A96&amp;"")="", ISNUMBER(SEARCH("FALTA", A96))), "UPC faltante/inválido", ""), IF(AND(A96&lt;&gt;"", IFERROR(_xlfn.XMATCH(A96,$A$2:$A$285,0,1)&lt;&gt;_xlfn.XMATCH(A96,$A$2:$A$285,0,-1),FALSE)), "Código de barras duplicado", ""), IF(AND(E96&lt;&gt;"", COUNTIF($E$2:$E$285, E96)&gt;1), "SKU duplicado", ""), IF(OR(J96="", J96=""), "[Aviso] División no capturada ()", IF(ISNA(MATCH(J96, Criterios!$A$123:$A$126, 0)), "División no válida", "")), IF(OR(K96="", K96=""), "[Aviso] Categoría no capturada ()", IF(ISNA(MATCH(K96, Criterios!$A$81:$A$120, 0)), "Categoría no válida", IF(AND(J96&lt;&gt;"", J96&lt;&gt;"", J96&lt;&gt;VLOOKUP(K96, Criterios!$A$81:$B$120, 2, FALSE)), "División no coincide con Categoría", ""))), IF(OR(L96="", L96=""), "[Aviso] Género no capturado ()", IF(ISNA(MATCH(L96, Criterios!$B$123:$B$127, 0)), "Género no válido", "")), IF(OR(N96="", N96=""), "[Aviso] Temporada no capturada ()", IF(ISNA(MATCH(N96, Criterios!$C$123:$C$128, 0)), "Temporada no válida", "")), IF(OR(O96="", O96=""), "[Aviso] Ciclo de vida no capturado ()", IF(ISNA(MATCH(O96, Criterios!$D$123:$D$124, 0)), "Ciclo de vida no válido", ""))))</f>
        <v/>
      </c>
      <c r="AC96" s="56" t="n"/>
      <c r="AD96" s="51" t="n"/>
      <c r="AE96" s="156" t="n"/>
      <c r="AF96" s="51" t="n"/>
      <c r="AG96" s="156" t="inlineStr">
        <is>
          <t>Nuevo – Odoo Universal Unique Brands 01/10/2026</t>
        </is>
      </c>
      <c r="AH96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(black) | Homologación G1522 06/10/2026: WB N.º de estilo: «» → «03-001-0060-0712» (Completado por regla) · Validador Shopify: WB: precio con IVA no termina en 9</t>
        </is>
      </c>
      <c r="AI96" s="156" t="n"/>
      <c r="AJ96" s="156" t="n"/>
      <c r="AK96" s="155" t="inlineStr">
        <is>
          <t>Odoo: producto 21065 / plantilla 27068</t>
        </is>
      </c>
      <c r="AL96" s="58" t="n"/>
      <c r="AM96" s="58" t="n"/>
      <c r="AN96" s="155" t="inlineStr">
        <is>
          <t>Odoo Universal Unique Brands</t>
        </is>
      </c>
      <c r="AO96" s="59" t="n"/>
      <c r="AP96" s="59" t="n"/>
      <c r="AQ96" s="59" t="n">
        <v>2</v>
      </c>
      <c r="AR96" s="155" t="inlineStr">
        <is>
          <t>Odoo Universal Unique Brands › Bodega 25 › Bodega 25/General: 2</t>
        </is>
      </c>
    </row>
    <row r="97">
      <c r="A97" s="50" t="inlineStr">
        <is>
          <t>199168045753</t>
        </is>
      </c>
      <c r="B97" s="51" t="n"/>
      <c r="C97" s="156" t="inlineStr">
        <is>
          <t>Roper</t>
        </is>
      </c>
      <c r="D97" s="156" t="inlineStr">
        <is>
          <t>03-001-0060-0712</t>
        </is>
      </c>
      <c r="E97" s="156" t="inlineStr">
        <is>
          <t>03-001-0060-0712 BL-L</t>
        </is>
      </c>
      <c r="F97" s="156" t="inlineStr">
        <is>
          <t>L</t>
        </is>
      </c>
      <c r="G97" s="156" t="inlineStr">
        <is>
          <t>L</t>
        </is>
      </c>
      <c r="H97" s="156" t="inlineStr">
        <is>
          <t>Roper</t>
        </is>
      </c>
      <c r="I97" s="156" t="inlineStr">
        <is>
          <t>ROPER Shirt Solid Poplin - Black</t>
        </is>
      </c>
      <c r="J97" s="156" t="inlineStr">
        <is>
          <t>Ropa</t>
        </is>
      </c>
      <c r="K97" s="156" t="inlineStr">
        <is>
          <t>Camisas</t>
        </is>
      </c>
      <c r="L97" s="156" t="n"/>
      <c r="M97" s="156" t="n"/>
      <c r="N97" s="156" t="n"/>
      <c r="O97" s="156" t="n"/>
      <c r="P97" s="156" t="inlineStr">
        <is>
          <t>Negro</t>
        </is>
      </c>
      <c r="Q97" s="156" t="n"/>
      <c r="R97" s="156" t="n"/>
      <c r="S97" s="156" t="n"/>
      <c r="T97" s="156" t="n"/>
      <c r="U97" s="156" t="n"/>
      <c r="V97" s="156" t="inlineStr">
        <is>
          <t>PZS</t>
        </is>
      </c>
      <c r="W97" s="51" t="inlineStr">
        <is>
          <t>53101602</t>
        </is>
      </c>
      <c r="X97" s="156" t="n"/>
      <c r="Y97" s="54" t="n">
        <v>23.72</v>
      </c>
      <c r="Z97" s="54" t="n">
        <v>659</v>
      </c>
      <c r="AA97" s="55">
        <f>IF(AND(A97="", B97="", E97=""), "", IF(AB97="", "Válido", IF((LEN(AB97)-LEN(SUBSTITUTE(AB97,"; ","")))/2+1&gt;(LEN(AB97)-LEN(SUBSTITUTE(AB97,"[Aviso]","")))/7, "Con Incidencias", "Válido")))</f>
        <v/>
      </c>
      <c r="AB97" s="56">
        <f>IF(AND(A97="", B97="", E97=""), "", TEXTJOIN("; ", TRUE, IF(OR(TRIM(A97&amp;"")="", ISNUMBER(SEARCH("FALTA", A97))), "UPC faltante/inválido", ""), IF(AND(A97&lt;&gt;"", IFERROR(_xlfn.XMATCH(A97,$A$2:$A$285,0,1)&lt;&gt;_xlfn.XMATCH(A97,$A$2:$A$285,0,-1),FALSE)), "Código de barras duplicado", ""), IF(AND(E97&lt;&gt;"", COUNTIF($E$2:$E$285, E97)&gt;1), "SKU duplicado", ""), IF(OR(J97="", J97=""), "[Aviso] División no capturada ()", IF(ISNA(MATCH(J97, Criterios!$A$123:$A$126, 0)), "División no válida", "")), IF(OR(K97="", K97=""), "[Aviso] Categoría no capturada ()", IF(ISNA(MATCH(K97, Criterios!$A$81:$A$120, 0)), "Categoría no válida", IF(AND(J97&lt;&gt;"", J97&lt;&gt;"", J97&lt;&gt;VLOOKUP(K97, Criterios!$A$81:$B$120, 2, FALSE)), "División no coincide con Categoría", ""))), IF(OR(L97="", L97=""), "[Aviso] Género no capturado ()", IF(ISNA(MATCH(L97, Criterios!$B$123:$B$127, 0)), "Género no válido", "")), IF(OR(N97="", N97=""), "[Aviso] Temporada no capturada ()", IF(ISNA(MATCH(N97, Criterios!$C$123:$C$128, 0)), "Temporada no válida", "")), IF(OR(O97="", O97=""), "[Aviso] Ciclo de vida no capturado ()", IF(ISNA(MATCH(O97, Criterios!$D$123:$D$124, 0)), "Ciclo de vida no válido", ""))))</f>
        <v/>
      </c>
      <c r="AC97" s="56" t="n"/>
      <c r="AD97" s="51" t="n"/>
      <c r="AE97" s="156" t="n"/>
      <c r="AF97" s="51" t="n"/>
      <c r="AG97" s="156" t="inlineStr">
        <is>
          <t>Nuevo – Odoo Universal Unique Brands 01/10/2026</t>
        </is>
      </c>
      <c r="AH97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(black) | Homologación G1522 06/10/2026: WB N.º de estilo: «» → «03-001-0060-0712» (Completado por regla) · Validador Shopify: WB: precio con IVA no termina en 9</t>
        </is>
      </c>
      <c r="AI97" s="156" t="n"/>
      <c r="AJ97" s="156" t="n"/>
      <c r="AK97" s="155" t="inlineStr">
        <is>
          <t>Odoo: producto 21063 / plantilla 27066</t>
        </is>
      </c>
      <c r="AL97" s="58" t="n"/>
      <c r="AM97" s="58" t="n"/>
      <c r="AN97" s="155" t="inlineStr">
        <is>
          <t>Odoo Universal Unique Brands</t>
        </is>
      </c>
      <c r="AO97" s="59" t="n"/>
      <c r="AP97" s="59" t="n"/>
      <c r="AQ97" s="59" t="n">
        <v>6</v>
      </c>
      <c r="AR97" s="155" t="inlineStr">
        <is>
          <t>Odoo Universal Unique Brands › Bodega 25 › Bodega 25/General: 6</t>
        </is>
      </c>
    </row>
    <row r="98">
      <c r="A98" s="50" t="inlineStr">
        <is>
          <t>199168045760</t>
        </is>
      </c>
      <c r="B98" s="51" t="n"/>
      <c r="C98" s="156" t="inlineStr">
        <is>
          <t>Roper</t>
        </is>
      </c>
      <c r="D98" s="156" t="inlineStr">
        <is>
          <t>03-001-0060-0712</t>
        </is>
      </c>
      <c r="E98" s="156" t="inlineStr">
        <is>
          <t>03-001-0060-0712 BL-M</t>
        </is>
      </c>
      <c r="F98" s="156" t="inlineStr">
        <is>
          <t>M</t>
        </is>
      </c>
      <c r="G98" s="156" t="inlineStr">
        <is>
          <t>M</t>
        </is>
      </c>
      <c r="H98" s="156" t="inlineStr">
        <is>
          <t>Roper</t>
        </is>
      </c>
      <c r="I98" s="156" t="inlineStr">
        <is>
          <t>ROPER Shirt Solid Poplin - Black</t>
        </is>
      </c>
      <c r="J98" s="156" t="inlineStr">
        <is>
          <t>Ropa</t>
        </is>
      </c>
      <c r="K98" s="156" t="inlineStr">
        <is>
          <t>Camisas</t>
        </is>
      </c>
      <c r="L98" s="156" t="n"/>
      <c r="M98" s="156" t="n"/>
      <c r="N98" s="156" t="n"/>
      <c r="O98" s="156" t="n"/>
      <c r="P98" s="156" t="inlineStr">
        <is>
          <t>Negro</t>
        </is>
      </c>
      <c r="Q98" s="156" t="n"/>
      <c r="R98" s="156" t="n"/>
      <c r="S98" s="156" t="n"/>
      <c r="T98" s="156" t="n"/>
      <c r="U98" s="156" t="n"/>
      <c r="V98" s="156" t="inlineStr">
        <is>
          <t>PZS</t>
        </is>
      </c>
      <c r="W98" s="51" t="inlineStr">
        <is>
          <t>53101602</t>
        </is>
      </c>
      <c r="X98" s="156" t="n"/>
      <c r="Y98" s="54" t="n">
        <v>23.72</v>
      </c>
      <c r="Z98" s="54" t="n">
        <v>659</v>
      </c>
      <c r="AA98" s="55">
        <f>IF(AND(A98="", B98="", E98=""), "", IF(AB98="", "Válido", IF((LEN(AB98)-LEN(SUBSTITUTE(AB98,"; ","")))/2+1&gt;(LEN(AB98)-LEN(SUBSTITUTE(AB98,"[Aviso]","")))/7, "Con Incidencias", "Válido")))</f>
        <v/>
      </c>
      <c r="AB98" s="56">
        <f>IF(AND(A98="", B98="", E98=""), "", TEXTJOIN("; ", TRUE, IF(OR(TRIM(A98&amp;"")="", ISNUMBER(SEARCH("FALTA", A98))), "UPC faltante/inválido", ""), IF(AND(A98&lt;&gt;"", IFERROR(_xlfn.XMATCH(A98,$A$2:$A$285,0,1)&lt;&gt;_xlfn.XMATCH(A98,$A$2:$A$285,0,-1),FALSE)), "Código de barras duplicado", ""), IF(AND(E98&lt;&gt;"", COUNTIF($E$2:$E$285, E98)&gt;1), "SKU duplicado", ""), IF(OR(J98="", J98=""), "[Aviso] División no capturada ()", IF(ISNA(MATCH(J98, Criterios!$A$123:$A$126, 0)), "División no válida", "")), IF(OR(K98="", K98=""), "[Aviso] Categoría no capturada ()", IF(ISNA(MATCH(K98, Criterios!$A$81:$A$120, 0)), "Categoría no válida", IF(AND(J98&lt;&gt;"", J98&lt;&gt;"", J98&lt;&gt;VLOOKUP(K98, Criterios!$A$81:$B$120, 2, FALSE)), "División no coincide con Categoría", ""))), IF(OR(L98="", L98=""), "[Aviso] Género no capturado ()", IF(ISNA(MATCH(L98, Criterios!$B$123:$B$127, 0)), "Género no válido", "")), IF(OR(N98="", N98=""), "[Aviso] Temporada no capturada ()", IF(ISNA(MATCH(N98, Criterios!$C$123:$C$128, 0)), "Temporada no válida", "")), IF(OR(O98="", O98=""), "[Aviso] Ciclo de vida no capturado ()", IF(ISNA(MATCH(O98, Criterios!$D$123:$D$124, 0)), "Ciclo de vida no válido", ""))))</f>
        <v/>
      </c>
      <c r="AC98" s="56" t="n"/>
      <c r="AD98" s="51" t="n"/>
      <c r="AE98" s="156" t="n"/>
      <c r="AF98" s="51" t="n"/>
      <c r="AG98" s="156" t="inlineStr">
        <is>
          <t>Nuevo – Odoo Universal Unique Brands 01/10/2026</t>
        </is>
      </c>
      <c r="AH98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(black) | Homologación G1522 06/10/2026: WB N.º de estilo: «» → «03-001-0060-0712» (Completado por regla) · Validador Shopify: WB: precio con IVA no termina en 9</t>
        </is>
      </c>
      <c r="AI98" s="156" t="n"/>
      <c r="AJ98" s="156" t="n"/>
      <c r="AK98" s="155" t="inlineStr">
        <is>
          <t>Odoo: producto 21062 / plantilla 27065</t>
        </is>
      </c>
      <c r="AL98" s="58" t="n"/>
      <c r="AM98" s="58" t="n"/>
      <c r="AN98" s="155" t="inlineStr">
        <is>
          <t>Odoo Universal Unique Brands</t>
        </is>
      </c>
      <c r="AO98" s="59" t="n"/>
      <c r="AP98" s="59" t="n"/>
      <c r="AQ98" s="59" t="n">
        <v>7</v>
      </c>
      <c r="AR98" s="155" t="inlineStr">
        <is>
          <t>Odoo Universal Unique Brands › Bodega 25 › Bodega 25/General: 7</t>
        </is>
      </c>
    </row>
    <row r="99">
      <c r="A99" s="50" t="inlineStr">
        <is>
          <t>199168045777</t>
        </is>
      </c>
      <c r="B99" s="51" t="n"/>
      <c r="C99" s="156" t="inlineStr">
        <is>
          <t>Roper</t>
        </is>
      </c>
      <c r="D99" s="156" t="inlineStr">
        <is>
          <t>03-001-0060-0712</t>
        </is>
      </c>
      <c r="E99" s="156" t="inlineStr">
        <is>
          <t>03-001-0060-0712 BL-S</t>
        </is>
      </c>
      <c r="F99" s="156" t="inlineStr">
        <is>
          <t>S</t>
        </is>
      </c>
      <c r="G99" s="156" t="inlineStr">
        <is>
          <t>S</t>
        </is>
      </c>
      <c r="H99" s="156" t="inlineStr">
        <is>
          <t>Roper</t>
        </is>
      </c>
      <c r="I99" s="156" t="inlineStr">
        <is>
          <t>ROPER Shirt Solid Poplin - Black</t>
        </is>
      </c>
      <c r="J99" s="156" t="inlineStr">
        <is>
          <t>Ropa</t>
        </is>
      </c>
      <c r="K99" s="156" t="inlineStr">
        <is>
          <t>Camisas</t>
        </is>
      </c>
      <c r="L99" s="156" t="n"/>
      <c r="M99" s="156" t="n"/>
      <c r="N99" s="156" t="n"/>
      <c r="O99" s="156" t="n"/>
      <c r="P99" s="156" t="inlineStr">
        <is>
          <t>Negro</t>
        </is>
      </c>
      <c r="Q99" s="156" t="n"/>
      <c r="R99" s="156" t="n"/>
      <c r="S99" s="156" t="n"/>
      <c r="T99" s="156" t="n"/>
      <c r="U99" s="156" t="n"/>
      <c r="V99" s="156" t="inlineStr">
        <is>
          <t>PZS</t>
        </is>
      </c>
      <c r="W99" s="51" t="inlineStr">
        <is>
          <t>53101602</t>
        </is>
      </c>
      <c r="X99" s="156" t="n"/>
      <c r="Y99" s="54" t="n">
        <v>23.72</v>
      </c>
      <c r="Z99" s="54" t="n">
        <v>659</v>
      </c>
      <c r="AA99" s="55">
        <f>IF(AND(A99="", B99="", E99=""), "", IF(AB99="", "Válido", IF((LEN(AB99)-LEN(SUBSTITUTE(AB99,"; ","")))/2+1&gt;(LEN(AB99)-LEN(SUBSTITUTE(AB99,"[Aviso]","")))/7, "Con Incidencias", "Válido")))</f>
        <v/>
      </c>
      <c r="AB99" s="56">
        <f>IF(AND(A99="", B99="", E99=""), "", TEXTJOIN("; ", TRUE, IF(OR(TRIM(A99&amp;"")="", ISNUMBER(SEARCH("FALTA", A99))), "UPC faltante/inválido", ""), IF(AND(A99&lt;&gt;"", IFERROR(_xlfn.XMATCH(A99,$A$2:$A$285,0,1)&lt;&gt;_xlfn.XMATCH(A99,$A$2:$A$285,0,-1),FALSE)), "Código de barras duplicado", ""), IF(AND(E99&lt;&gt;"", COUNTIF($E$2:$E$285, E99)&gt;1), "SKU duplicado", ""), IF(OR(J99="", J99=""), "[Aviso] División no capturada ()", IF(ISNA(MATCH(J99, Criterios!$A$123:$A$126, 0)), "División no válida", "")), IF(OR(K99="", K99=""), "[Aviso] Categoría no capturada ()", IF(ISNA(MATCH(K99, Criterios!$A$81:$A$120, 0)), "Categoría no válida", IF(AND(J99&lt;&gt;"", J99&lt;&gt;"", J99&lt;&gt;VLOOKUP(K99, Criterios!$A$81:$B$120, 2, FALSE)), "División no coincide con Categoría", ""))), IF(OR(L99="", L99=""), "[Aviso] Género no capturado ()", IF(ISNA(MATCH(L99, Criterios!$B$123:$B$127, 0)), "Género no válido", "")), IF(OR(N99="", N99=""), "[Aviso] Temporada no capturada ()", IF(ISNA(MATCH(N99, Criterios!$C$123:$C$128, 0)), "Temporada no válida", "")), IF(OR(O99="", O99=""), "[Aviso] Ciclo de vida no capturado ()", IF(ISNA(MATCH(O99, Criterios!$D$123:$D$124, 0)), "Ciclo de vida no válido", ""))))</f>
        <v/>
      </c>
      <c r="AC99" s="56" t="n"/>
      <c r="AD99" s="51" t="n"/>
      <c r="AE99" s="156" t="n"/>
      <c r="AF99" s="51" t="n"/>
      <c r="AG99" s="156" t="inlineStr">
        <is>
          <t>Nuevo – Odoo Universal Unique Brands 01/10/2026</t>
        </is>
      </c>
      <c r="AH99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(black) | Homologación G1522 06/10/2026: WB N.º de estilo: «» → «03-001-0060-0712» (Completado por regla) · Validador Shopify: WB: precio con IVA no termina en 9</t>
        </is>
      </c>
      <c r="AI99" s="156" t="n"/>
      <c r="AJ99" s="156" t="n"/>
      <c r="AK99" s="155" t="inlineStr">
        <is>
          <t>Odoo: producto 21061 / plantilla 27064</t>
        </is>
      </c>
      <c r="AL99" s="58" t="n"/>
      <c r="AM99" s="58" t="n"/>
      <c r="AN99" s="155" t="inlineStr">
        <is>
          <t>Odoo Universal Unique Brands</t>
        </is>
      </c>
      <c r="AO99" s="59" t="n"/>
      <c r="AP99" s="59" t="n"/>
      <c r="AQ99" s="59" t="n">
        <v>8</v>
      </c>
      <c r="AR99" s="155" t="inlineStr">
        <is>
          <t>Odoo Universal Unique Brands › Bodega 25 › Bodega 25/General: 8</t>
        </is>
      </c>
    </row>
    <row r="100">
      <c r="A100" s="50" t="inlineStr">
        <is>
          <t>199168045784</t>
        </is>
      </c>
      <c r="B100" s="51" t="n"/>
      <c r="C100" s="156" t="inlineStr">
        <is>
          <t>Roper</t>
        </is>
      </c>
      <c r="D100" s="156" t="inlineStr">
        <is>
          <t>03-001-0060-0712</t>
        </is>
      </c>
      <c r="E100" s="156" t="inlineStr">
        <is>
          <t>03-001-0060-0712 BL-XL</t>
        </is>
      </c>
      <c r="F100" s="156" t="inlineStr">
        <is>
          <t>XL</t>
        </is>
      </c>
      <c r="G100" s="156" t="inlineStr">
        <is>
          <t>XL</t>
        </is>
      </c>
      <c r="H100" s="156" t="inlineStr">
        <is>
          <t>Roper</t>
        </is>
      </c>
      <c r="I100" s="156" t="inlineStr">
        <is>
          <t>ROPER Shirt Solid Poplin - Black</t>
        </is>
      </c>
      <c r="J100" s="156" t="inlineStr">
        <is>
          <t>Ropa</t>
        </is>
      </c>
      <c r="K100" s="156" t="inlineStr">
        <is>
          <t>Camisas</t>
        </is>
      </c>
      <c r="L100" s="156" t="n"/>
      <c r="M100" s="156" t="n"/>
      <c r="N100" s="156" t="n"/>
      <c r="O100" s="156" t="n"/>
      <c r="P100" s="156" t="inlineStr">
        <is>
          <t>Negro</t>
        </is>
      </c>
      <c r="Q100" s="156" t="n"/>
      <c r="R100" s="156" t="n"/>
      <c r="S100" s="156" t="n"/>
      <c r="T100" s="156" t="n"/>
      <c r="U100" s="156" t="n"/>
      <c r="V100" s="156" t="inlineStr">
        <is>
          <t>PZS</t>
        </is>
      </c>
      <c r="W100" s="51" t="inlineStr">
        <is>
          <t>53101602</t>
        </is>
      </c>
      <c r="X100" s="156" t="n"/>
      <c r="Y100" s="54" t="n">
        <v>23.72</v>
      </c>
      <c r="Z100" s="54" t="n">
        <v>659</v>
      </c>
      <c r="AA100" s="55">
        <f>IF(AND(A100="", B100="", E100=""), "", IF(AB100="", "Válido", IF((LEN(AB100)-LEN(SUBSTITUTE(AB100,"; ","")))/2+1&gt;(LEN(AB100)-LEN(SUBSTITUTE(AB100,"[Aviso]","")))/7, "Con Incidencias", "Válido")))</f>
        <v/>
      </c>
      <c r="AB100" s="56">
        <f>IF(AND(A100="", B100="", E100=""), "", TEXTJOIN("; ", TRUE, IF(OR(TRIM(A100&amp;"")="", ISNUMBER(SEARCH("FALTA", A100))), "UPC faltante/inválido", ""), IF(AND(A100&lt;&gt;"", IFERROR(_xlfn.XMATCH(A100,$A$2:$A$285,0,1)&lt;&gt;_xlfn.XMATCH(A100,$A$2:$A$285,0,-1),FALSE)), "Código de barras duplicado", ""), IF(AND(E100&lt;&gt;"", COUNTIF($E$2:$E$285, E100)&gt;1), "SKU duplicado", ""), IF(OR(J100="", J100=""), "[Aviso] División no capturada ()", IF(ISNA(MATCH(J100, Criterios!$A$123:$A$126, 0)), "División no válida", "")), IF(OR(K100="", K100=""), "[Aviso] Categoría no capturada ()", IF(ISNA(MATCH(K100, Criterios!$A$81:$A$120, 0)), "Categoría no válida", IF(AND(J100&lt;&gt;"", J100&lt;&gt;"", J100&lt;&gt;VLOOKUP(K100, Criterios!$A$81:$B$120, 2, FALSE)), "División no coincide con Categoría", ""))), IF(OR(L100="", L100=""), "[Aviso] Género no capturado ()", IF(ISNA(MATCH(L100, Criterios!$B$123:$B$127, 0)), "Género no válido", "")), IF(OR(N100="", N100=""), "[Aviso] Temporada no capturada ()", IF(ISNA(MATCH(N100, Criterios!$C$123:$C$128, 0)), "Temporada no válida", "")), IF(OR(O100="", O100=""), "[Aviso] Ciclo de vida no capturado ()", IF(ISNA(MATCH(O100, Criterios!$D$123:$D$124, 0)), "Ciclo de vida no válido", ""))))</f>
        <v/>
      </c>
      <c r="AC100" s="56" t="n"/>
      <c r="AD100" s="51" t="n"/>
      <c r="AE100" s="156" t="n"/>
      <c r="AF100" s="51" t="n"/>
      <c r="AG100" s="156" t="inlineStr">
        <is>
          <t>Nuevo – Odoo Universal Unique Brands 01/10/2026</t>
        </is>
      </c>
      <c r="AH100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(black) | Homologación G1522 06/10/2026: WB N.º de estilo: «» → «03-001-0060-0712» (Completado por regla) · Validador Shopify: WB: precio con IVA no termina en 9</t>
        </is>
      </c>
      <c r="AI100" s="156" t="n"/>
      <c r="AJ100" s="156" t="n"/>
      <c r="AK100" s="155" t="inlineStr">
        <is>
          <t>Odoo: producto 21064 / plantilla 27067</t>
        </is>
      </c>
      <c r="AL100" s="58" t="n"/>
      <c r="AM100" s="58" t="n"/>
      <c r="AN100" s="155" t="inlineStr">
        <is>
          <t>Odoo Universal Unique Brands</t>
        </is>
      </c>
      <c r="AO100" s="59" t="n"/>
      <c r="AP100" s="59" t="n"/>
      <c r="AQ100" s="59" t="n">
        <v>7</v>
      </c>
      <c r="AR100" s="155" t="inlineStr">
        <is>
          <t>Odoo Universal Unique Brands › Bodega 25 › Bodega 25/General: 7</t>
        </is>
      </c>
    </row>
    <row r="101">
      <c r="A101" s="50" t="inlineStr">
        <is>
          <t>199168045852</t>
        </is>
      </c>
      <c r="B101" s="51" t="n"/>
      <c r="C101" s="156" t="inlineStr">
        <is>
          <t>Roper</t>
        </is>
      </c>
      <c r="D101" s="156" t="inlineStr">
        <is>
          <t>03-001-0060-0713</t>
        </is>
      </c>
      <c r="E101" s="156" t="inlineStr">
        <is>
          <t>03-001-0060-0713 WI-2XL</t>
        </is>
      </c>
      <c r="F101" s="156" t="inlineStr">
        <is>
          <t>XXL</t>
        </is>
      </c>
      <c r="G101" s="156" t="inlineStr">
        <is>
          <t>XXL</t>
        </is>
      </c>
      <c r="H101" s="156" t="inlineStr">
        <is>
          <t>Roper</t>
        </is>
      </c>
      <c r="I101" s="156" t="inlineStr">
        <is>
          <t>ROPER Shirt Solid Poplin - Wine</t>
        </is>
      </c>
      <c r="J101" s="156" t="inlineStr">
        <is>
          <t>Ropa</t>
        </is>
      </c>
      <c r="K101" s="156" t="inlineStr">
        <is>
          <t>Camisas</t>
        </is>
      </c>
      <c r="L101" s="156" t="n"/>
      <c r="M101" s="156" t="n"/>
      <c r="N101" s="156" t="n"/>
      <c r="O101" s="156" t="n"/>
      <c r="P101" s="156" t="n"/>
      <c r="Q101" s="156" t="n"/>
      <c r="R101" s="156" t="n"/>
      <c r="S101" s="156" t="n"/>
      <c r="T101" s="156" t="n"/>
      <c r="U101" s="156" t="n"/>
      <c r="V101" s="156" t="inlineStr">
        <is>
          <t>PZS</t>
        </is>
      </c>
      <c r="W101" s="51" t="inlineStr">
        <is>
          <t>53101602</t>
        </is>
      </c>
      <c r="X101" s="156" t="n"/>
      <c r="Y101" s="54" t="n">
        <v>23.72</v>
      </c>
      <c r="Z101" s="54" t="n">
        <v>659</v>
      </c>
      <c r="AA101" s="55">
        <f>IF(AND(A101="", B101="", E101=""), "", IF(AB101="", "Válido", IF((LEN(AB101)-LEN(SUBSTITUTE(AB101,"; ","")))/2+1&gt;(LEN(AB101)-LEN(SUBSTITUTE(AB101,"[Aviso]","")))/7, "Con Incidencias", "Válido")))</f>
        <v/>
      </c>
      <c r="AB101" s="56">
        <f>IF(AND(A101="", B101="", E101=""), "", TEXTJOIN("; ", TRUE, IF(OR(TRIM(A101&amp;"")="", ISNUMBER(SEARCH("FALTA", A101))), "UPC faltante/inválido", ""), IF(AND(A101&lt;&gt;"", IFERROR(_xlfn.XMATCH(A101,$A$2:$A$285,0,1)&lt;&gt;_xlfn.XMATCH(A101,$A$2:$A$285,0,-1),FALSE)), "Código de barras duplicado", ""), IF(AND(E101&lt;&gt;"", COUNTIF($E$2:$E$285, E101)&gt;1), "SKU duplicado", ""), IF(OR(J101="", J101=""), "[Aviso] División no capturada ()", IF(ISNA(MATCH(J101, Criterios!$A$123:$A$126, 0)), "División no válida", "")), IF(OR(K101="", K101=""), "[Aviso] Categoría no capturada ()", IF(ISNA(MATCH(K101, Criterios!$A$81:$A$120, 0)), "Categoría no válida", IF(AND(J101&lt;&gt;"", J101&lt;&gt;"", J101&lt;&gt;VLOOKUP(K101, Criterios!$A$81:$B$120, 2, FALSE)), "División no coincide con Categoría", ""))), IF(OR(L101="", L101=""), "[Aviso] Género no capturado ()", IF(ISNA(MATCH(L101, Criterios!$B$123:$B$127, 0)), "Género no válido", "")), IF(OR(N101="", N101=""), "[Aviso] Temporada no capturada ()", IF(ISNA(MATCH(N101, Criterios!$C$123:$C$128, 0)), "Temporada no válida", "")), IF(OR(O101="", O101=""), "[Aviso] Ciclo de vida no capturado ()", IF(ISNA(MATCH(O101, Criterios!$D$123:$D$124, 0)), "Ciclo de vida no válido", ""))))</f>
        <v/>
      </c>
      <c r="AC101" s="56" t="n"/>
      <c r="AD101" s="51" t="n"/>
      <c r="AE101" s="156" t="n"/>
      <c r="AF101" s="51" t="n"/>
      <c r="AG101" s="156" t="inlineStr">
        <is>
          <t>Nuevo – Odoo Universal Unique Brands 01/10/2026</t>
        </is>
      </c>
      <c r="AH101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«03-001-0060-0713» (Completado por regla) · Validador Shopify: WB: precio con IVA no termina en 9</t>
        </is>
      </c>
      <c r="AI101" s="156" t="n"/>
      <c r="AJ101" s="156" t="n"/>
      <c r="AK101" s="155" t="inlineStr">
        <is>
          <t>Odoo: producto 20936 / plantilla 26939</t>
        </is>
      </c>
      <c r="AL101" s="58" t="n"/>
      <c r="AM101" s="58" t="n"/>
      <c r="AN101" s="155" t="inlineStr">
        <is>
          <t>Odoo Universal Unique Brands</t>
        </is>
      </c>
      <c r="AO101" s="59" t="n"/>
      <c r="AP101" s="59" t="n"/>
      <c r="AQ101" s="59" t="n">
        <v>2</v>
      </c>
      <c r="AR101" s="155" t="inlineStr">
        <is>
          <t>Odoo Universal Unique Brands › Bodega 25 › Bodega 25/General: 2</t>
        </is>
      </c>
    </row>
    <row r="102">
      <c r="A102" s="50" t="inlineStr">
        <is>
          <t>199168045814</t>
        </is>
      </c>
      <c r="B102" s="51" t="n"/>
      <c r="C102" s="156" t="inlineStr">
        <is>
          <t>Roper</t>
        </is>
      </c>
      <c r="D102" s="156" t="inlineStr">
        <is>
          <t>03-001-0060-0713</t>
        </is>
      </c>
      <c r="E102" s="156" t="inlineStr">
        <is>
          <t>03-001-0060-0713 WI-L</t>
        </is>
      </c>
      <c r="F102" s="156" t="inlineStr">
        <is>
          <t>L</t>
        </is>
      </c>
      <c r="G102" s="156" t="inlineStr">
        <is>
          <t>L</t>
        </is>
      </c>
      <c r="H102" s="156" t="inlineStr">
        <is>
          <t>Roper</t>
        </is>
      </c>
      <c r="I102" s="156" t="inlineStr">
        <is>
          <t>ROPER Shirt Solid Poplin - Wine</t>
        </is>
      </c>
      <c r="J102" s="156" t="inlineStr">
        <is>
          <t>Ropa</t>
        </is>
      </c>
      <c r="K102" s="156" t="inlineStr">
        <is>
          <t>Camisas</t>
        </is>
      </c>
      <c r="L102" s="156" t="n"/>
      <c r="M102" s="156" t="n"/>
      <c r="N102" s="156" t="n"/>
      <c r="O102" s="156" t="n"/>
      <c r="P102" s="156" t="n"/>
      <c r="Q102" s="156" t="n"/>
      <c r="R102" s="156" t="n"/>
      <c r="S102" s="156" t="n"/>
      <c r="T102" s="156" t="n"/>
      <c r="U102" s="156" t="n"/>
      <c r="V102" s="156" t="inlineStr">
        <is>
          <t>PZS</t>
        </is>
      </c>
      <c r="W102" s="51" t="inlineStr">
        <is>
          <t>53101602</t>
        </is>
      </c>
      <c r="X102" s="156" t="n"/>
      <c r="Y102" s="54" t="n">
        <v>23.72</v>
      </c>
      <c r="Z102" s="54" t="n">
        <v>659</v>
      </c>
      <c r="AA102" s="55">
        <f>IF(AND(A102="", B102="", E102=""), "", IF(AB102="", "Válido", IF((LEN(AB102)-LEN(SUBSTITUTE(AB102,"; ","")))/2+1&gt;(LEN(AB102)-LEN(SUBSTITUTE(AB102,"[Aviso]","")))/7, "Con Incidencias", "Válido")))</f>
        <v/>
      </c>
      <c r="AB102" s="56">
        <f>IF(AND(A102="", B102="", E102=""), "", TEXTJOIN("; ", TRUE, IF(OR(TRIM(A102&amp;"")="", ISNUMBER(SEARCH("FALTA", A102))), "UPC faltante/inválido", ""), IF(AND(A102&lt;&gt;"", IFERROR(_xlfn.XMATCH(A102,$A$2:$A$285,0,1)&lt;&gt;_xlfn.XMATCH(A102,$A$2:$A$285,0,-1),FALSE)), "Código de barras duplicado", ""), IF(AND(E102&lt;&gt;"", COUNTIF($E$2:$E$285, E102)&gt;1), "SKU duplicado", ""), IF(OR(J102="", J102=""), "[Aviso] División no capturada ()", IF(ISNA(MATCH(J102, Criterios!$A$123:$A$126, 0)), "División no válida", "")), IF(OR(K102="", K102=""), "[Aviso] Categoría no capturada ()", IF(ISNA(MATCH(K102, Criterios!$A$81:$A$120, 0)), "Categoría no válida", IF(AND(J102&lt;&gt;"", J102&lt;&gt;"", J102&lt;&gt;VLOOKUP(K102, Criterios!$A$81:$B$120, 2, FALSE)), "División no coincide con Categoría", ""))), IF(OR(L102="", L102=""), "[Aviso] Género no capturado ()", IF(ISNA(MATCH(L102, Criterios!$B$123:$B$127, 0)), "Género no válido", "")), IF(OR(N102="", N102=""), "[Aviso] Temporada no capturada ()", IF(ISNA(MATCH(N102, Criterios!$C$123:$C$128, 0)), "Temporada no válida", "")), IF(OR(O102="", O102=""), "[Aviso] Ciclo de vida no capturado ()", IF(ISNA(MATCH(O102, Criterios!$D$123:$D$124, 0)), "Ciclo de vida no válido", ""))))</f>
        <v/>
      </c>
      <c r="AC102" s="56" t="n"/>
      <c r="AD102" s="51" t="n"/>
      <c r="AE102" s="156" t="n"/>
      <c r="AF102" s="51" t="n"/>
      <c r="AG102" s="156" t="inlineStr">
        <is>
          <t>Nuevo – Odoo Universal Unique Brands 01/10/2026</t>
        </is>
      </c>
      <c r="AH102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«03-001-0060-0713» (Completado por regla) · Validador Shopify: WB: precio con IVA no termina en 9</t>
        </is>
      </c>
      <c r="AI102" s="156" t="n"/>
      <c r="AJ102" s="156" t="n"/>
      <c r="AK102" s="155" t="inlineStr">
        <is>
          <t>Odoo: producto 20934 / plantilla 26937</t>
        </is>
      </c>
      <c r="AL102" s="58" t="n"/>
      <c r="AM102" s="58" t="n"/>
      <c r="AN102" s="155" t="inlineStr">
        <is>
          <t>Odoo Universal Unique Brands</t>
        </is>
      </c>
      <c r="AO102" s="59" t="n"/>
      <c r="AP102" s="59" t="n"/>
      <c r="AQ102" s="59" t="n">
        <v>10</v>
      </c>
      <c r="AR102" s="155" t="inlineStr">
        <is>
          <t>Odoo Universal Unique Brands › Bodega 25 › Bodega 25/General: 10</t>
        </is>
      </c>
    </row>
    <row r="103">
      <c r="A103" s="50" t="inlineStr">
        <is>
          <t>199168045821</t>
        </is>
      </c>
      <c r="B103" s="51" t="n"/>
      <c r="C103" s="156" t="inlineStr">
        <is>
          <t>Roper</t>
        </is>
      </c>
      <c r="D103" s="156" t="inlineStr">
        <is>
          <t>03-001-0060-0713</t>
        </is>
      </c>
      <c r="E103" s="156" t="inlineStr">
        <is>
          <t>03-001-0060-0713 WI-M</t>
        </is>
      </c>
      <c r="F103" s="156" t="inlineStr">
        <is>
          <t>M</t>
        </is>
      </c>
      <c r="G103" s="156" t="inlineStr">
        <is>
          <t>M</t>
        </is>
      </c>
      <c r="H103" s="156" t="inlineStr">
        <is>
          <t>Roper</t>
        </is>
      </c>
      <c r="I103" s="156" t="inlineStr">
        <is>
          <t>ROPER Shirt Solid Poplin - Wine</t>
        </is>
      </c>
      <c r="J103" s="156" t="inlineStr">
        <is>
          <t>Ropa</t>
        </is>
      </c>
      <c r="K103" s="156" t="inlineStr">
        <is>
          <t>Camisas</t>
        </is>
      </c>
      <c r="L103" s="156" t="n"/>
      <c r="M103" s="156" t="n"/>
      <c r="N103" s="156" t="n"/>
      <c r="O103" s="156" t="n"/>
      <c r="P103" s="156" t="n"/>
      <c r="Q103" s="156" t="n"/>
      <c r="R103" s="156" t="n"/>
      <c r="S103" s="156" t="n"/>
      <c r="T103" s="156" t="n"/>
      <c r="U103" s="156" t="n"/>
      <c r="V103" s="156" t="inlineStr">
        <is>
          <t>PZS</t>
        </is>
      </c>
      <c r="W103" s="51" t="inlineStr">
        <is>
          <t>53101602</t>
        </is>
      </c>
      <c r="X103" s="156" t="n"/>
      <c r="Y103" s="54" t="n">
        <v>23.72</v>
      </c>
      <c r="Z103" s="54" t="n">
        <v>659</v>
      </c>
      <c r="AA103" s="55">
        <f>IF(AND(A103="", B103="", E103=""), "", IF(AB103="", "Válido", IF((LEN(AB103)-LEN(SUBSTITUTE(AB103,"; ","")))/2+1&gt;(LEN(AB103)-LEN(SUBSTITUTE(AB103,"[Aviso]","")))/7, "Con Incidencias", "Válido")))</f>
        <v/>
      </c>
      <c r="AB103" s="56">
        <f>IF(AND(A103="", B103="", E103=""), "", TEXTJOIN("; ", TRUE, IF(OR(TRIM(A103&amp;"")="", ISNUMBER(SEARCH("FALTA", A103))), "UPC faltante/inválido", ""), IF(AND(A103&lt;&gt;"", IFERROR(_xlfn.XMATCH(A103,$A$2:$A$285,0,1)&lt;&gt;_xlfn.XMATCH(A103,$A$2:$A$285,0,-1),FALSE)), "Código de barras duplicado", ""), IF(AND(E103&lt;&gt;"", COUNTIF($E$2:$E$285, E103)&gt;1), "SKU duplicado", ""), IF(OR(J103="", J103=""), "[Aviso] División no capturada ()", IF(ISNA(MATCH(J103, Criterios!$A$123:$A$126, 0)), "División no válida", "")), IF(OR(K103="", K103=""), "[Aviso] Categoría no capturada ()", IF(ISNA(MATCH(K103, Criterios!$A$81:$A$120, 0)), "Categoría no válida", IF(AND(J103&lt;&gt;"", J103&lt;&gt;"", J103&lt;&gt;VLOOKUP(K103, Criterios!$A$81:$B$120, 2, FALSE)), "División no coincide con Categoría", ""))), IF(OR(L103="", L103=""), "[Aviso] Género no capturado ()", IF(ISNA(MATCH(L103, Criterios!$B$123:$B$127, 0)), "Género no válido", "")), IF(OR(N103="", N103=""), "[Aviso] Temporada no capturada ()", IF(ISNA(MATCH(N103, Criterios!$C$123:$C$128, 0)), "Temporada no válida", "")), IF(OR(O103="", O103=""), "[Aviso] Ciclo de vida no capturado ()", IF(ISNA(MATCH(O103, Criterios!$D$123:$D$124, 0)), "Ciclo de vida no válido", ""))))</f>
        <v/>
      </c>
      <c r="AC103" s="56" t="n"/>
      <c r="AD103" s="51" t="n"/>
      <c r="AE103" s="156" t="n"/>
      <c r="AF103" s="51" t="n"/>
      <c r="AG103" s="156" t="inlineStr">
        <is>
          <t>Nuevo – Odoo Universal Unique Brands 01/10/2026</t>
        </is>
      </c>
      <c r="AH103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«03-001-0060-0713» (Completado por regla) · Validador Shopify: WB: precio con IVA no termina en 9</t>
        </is>
      </c>
      <c r="AI103" s="156" t="n"/>
      <c r="AJ103" s="156" t="n"/>
      <c r="AK103" s="155" t="inlineStr">
        <is>
          <t>Odoo: producto 20933 / plantilla 26936</t>
        </is>
      </c>
      <c r="AL103" s="58" t="n"/>
      <c r="AM103" s="58" t="n"/>
      <c r="AN103" s="155" t="inlineStr">
        <is>
          <t>Odoo Universal Unique Brands</t>
        </is>
      </c>
      <c r="AO103" s="59" t="n"/>
      <c r="AP103" s="59" t="n"/>
      <c r="AQ103" s="59" t="n">
        <v>12</v>
      </c>
      <c r="AR103" s="155" t="inlineStr">
        <is>
          <t>Odoo Universal Unique Brands › Bodega 25 › Bodega 25/General: 12</t>
        </is>
      </c>
    </row>
    <row r="104">
      <c r="A104" s="50" t="inlineStr">
        <is>
          <t>199168045838</t>
        </is>
      </c>
      <c r="B104" s="51" t="n"/>
      <c r="C104" s="156" t="inlineStr">
        <is>
          <t>Roper</t>
        </is>
      </c>
      <c r="D104" s="156" t="inlineStr">
        <is>
          <t>03-001-0060-0713</t>
        </is>
      </c>
      <c r="E104" s="156" t="inlineStr">
        <is>
          <t>03-001-0060-0713 WI-S</t>
        </is>
      </c>
      <c r="F104" s="156" t="inlineStr">
        <is>
          <t>S</t>
        </is>
      </c>
      <c r="G104" s="156" t="inlineStr">
        <is>
          <t>S</t>
        </is>
      </c>
      <c r="H104" s="156" t="inlineStr">
        <is>
          <t>Roper</t>
        </is>
      </c>
      <c r="I104" s="156" t="inlineStr">
        <is>
          <t>ROPER Shirt Solid Poplin - Wine</t>
        </is>
      </c>
      <c r="J104" s="156" t="inlineStr">
        <is>
          <t>Ropa</t>
        </is>
      </c>
      <c r="K104" s="156" t="inlineStr">
        <is>
          <t>Camisas</t>
        </is>
      </c>
      <c r="L104" s="156" t="n"/>
      <c r="M104" s="156" t="n"/>
      <c r="N104" s="156" t="n"/>
      <c r="O104" s="156" t="n"/>
      <c r="P104" s="156" t="n"/>
      <c r="Q104" s="156" t="n"/>
      <c r="R104" s="156" t="n"/>
      <c r="S104" s="156" t="n"/>
      <c r="T104" s="156" t="n"/>
      <c r="U104" s="156" t="n"/>
      <c r="V104" s="156" t="inlineStr">
        <is>
          <t>PZS</t>
        </is>
      </c>
      <c r="W104" s="51" t="inlineStr">
        <is>
          <t>53101602</t>
        </is>
      </c>
      <c r="X104" s="156" t="n"/>
      <c r="Y104" s="54" t="n">
        <v>23.72</v>
      </c>
      <c r="Z104" s="54" t="n">
        <v>659</v>
      </c>
      <c r="AA104" s="55">
        <f>IF(AND(A104="", B104="", E104=""), "", IF(AB104="", "Válido", IF((LEN(AB104)-LEN(SUBSTITUTE(AB104,"; ","")))/2+1&gt;(LEN(AB104)-LEN(SUBSTITUTE(AB104,"[Aviso]","")))/7, "Con Incidencias", "Válido")))</f>
        <v/>
      </c>
      <c r="AB104" s="56">
        <f>IF(AND(A104="", B104="", E104=""), "", TEXTJOIN("; ", TRUE, IF(OR(TRIM(A104&amp;"")="", ISNUMBER(SEARCH("FALTA", A104))), "UPC faltante/inválido", ""), IF(AND(A104&lt;&gt;"", IFERROR(_xlfn.XMATCH(A104,$A$2:$A$285,0,1)&lt;&gt;_xlfn.XMATCH(A104,$A$2:$A$285,0,-1),FALSE)), "Código de barras duplicado", ""), IF(AND(E104&lt;&gt;"", COUNTIF($E$2:$E$285, E104)&gt;1), "SKU duplicado", ""), IF(OR(J104="", J104=""), "[Aviso] División no capturada ()", IF(ISNA(MATCH(J104, Criterios!$A$123:$A$126, 0)), "División no válida", "")), IF(OR(K104="", K104=""), "[Aviso] Categoría no capturada ()", IF(ISNA(MATCH(K104, Criterios!$A$81:$A$120, 0)), "Categoría no válida", IF(AND(J104&lt;&gt;"", J104&lt;&gt;"", J104&lt;&gt;VLOOKUP(K104, Criterios!$A$81:$B$120, 2, FALSE)), "División no coincide con Categoría", ""))), IF(OR(L104="", L104=""), "[Aviso] Género no capturado ()", IF(ISNA(MATCH(L104, Criterios!$B$123:$B$127, 0)), "Género no válido", "")), IF(OR(N104="", N104=""), "[Aviso] Temporada no capturada ()", IF(ISNA(MATCH(N104, Criterios!$C$123:$C$128, 0)), "Temporada no válida", "")), IF(OR(O104="", O104=""), "[Aviso] Ciclo de vida no capturado ()", IF(ISNA(MATCH(O104, Criterios!$D$123:$D$124, 0)), "Ciclo de vida no válido", ""))))</f>
        <v/>
      </c>
      <c r="AC104" s="56" t="n"/>
      <c r="AD104" s="51" t="n"/>
      <c r="AE104" s="156" t="n"/>
      <c r="AF104" s="51" t="n"/>
      <c r="AG104" s="156" t="inlineStr">
        <is>
          <t>Nuevo – Odoo Universal Unique Brands 01/10/2026</t>
        </is>
      </c>
      <c r="AH104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«03-001-0060-0713» (Completado por regla) · Validador Shopify: WB: precio con IVA no termina en 9</t>
        </is>
      </c>
      <c r="AI104" s="156" t="n"/>
      <c r="AJ104" s="156" t="n"/>
      <c r="AK104" s="155" t="inlineStr">
        <is>
          <t>Odoo: producto 20932 / plantilla 26935</t>
        </is>
      </c>
      <c r="AL104" s="58" t="n"/>
      <c r="AM104" s="58" t="n"/>
      <c r="AN104" s="155" t="inlineStr">
        <is>
          <t>Odoo Universal Unique Brands</t>
        </is>
      </c>
      <c r="AO104" s="59" t="n"/>
      <c r="AP104" s="59" t="n"/>
      <c r="AQ104" s="59" t="n">
        <v>13</v>
      </c>
      <c r="AR104" s="155" t="inlineStr">
        <is>
          <t>Odoo Universal Unique Brands › Bodega 25 › Bodega 25/General: 13</t>
        </is>
      </c>
    </row>
    <row r="105">
      <c r="A105" s="50" t="inlineStr">
        <is>
          <t>199168045845</t>
        </is>
      </c>
      <c r="B105" s="51" t="n"/>
      <c r="C105" s="156" t="inlineStr">
        <is>
          <t>Roper</t>
        </is>
      </c>
      <c r="D105" s="156" t="inlineStr">
        <is>
          <t>03-001-0060-0713</t>
        </is>
      </c>
      <c r="E105" s="156" t="inlineStr">
        <is>
          <t>03-001-0060-0713 WI-XL</t>
        </is>
      </c>
      <c r="F105" s="156" t="inlineStr">
        <is>
          <t>XL</t>
        </is>
      </c>
      <c r="G105" s="156" t="inlineStr">
        <is>
          <t>XL</t>
        </is>
      </c>
      <c r="H105" s="156" t="inlineStr">
        <is>
          <t>Roper</t>
        </is>
      </c>
      <c r="I105" s="156" t="inlineStr">
        <is>
          <t>ROPER Shirt Solid Poplin - Wine</t>
        </is>
      </c>
      <c r="J105" s="156" t="inlineStr">
        <is>
          <t>Ropa</t>
        </is>
      </c>
      <c r="K105" s="156" t="inlineStr">
        <is>
          <t>Camisas</t>
        </is>
      </c>
      <c r="L105" s="156" t="n"/>
      <c r="M105" s="156" t="n"/>
      <c r="N105" s="156" t="n"/>
      <c r="O105" s="156" t="n"/>
      <c r="P105" s="156" t="n"/>
      <c r="Q105" s="156" t="n"/>
      <c r="R105" s="156" t="n"/>
      <c r="S105" s="156" t="n"/>
      <c r="T105" s="156" t="n"/>
      <c r="U105" s="156" t="n"/>
      <c r="V105" s="156" t="inlineStr">
        <is>
          <t>PZS</t>
        </is>
      </c>
      <c r="W105" s="51" t="inlineStr">
        <is>
          <t>53101602</t>
        </is>
      </c>
      <c r="X105" s="156" t="n"/>
      <c r="Y105" s="54" t="n">
        <v>23.72</v>
      </c>
      <c r="Z105" s="54" t="n">
        <v>659</v>
      </c>
      <c r="AA105" s="55">
        <f>IF(AND(A105="", B105="", E105=""), "", IF(AB105="", "Válido", IF((LEN(AB105)-LEN(SUBSTITUTE(AB105,"; ","")))/2+1&gt;(LEN(AB105)-LEN(SUBSTITUTE(AB105,"[Aviso]","")))/7, "Con Incidencias", "Válido")))</f>
        <v/>
      </c>
      <c r="AB105" s="56">
        <f>IF(AND(A105="", B105="", E105=""), "", TEXTJOIN("; ", TRUE, IF(OR(TRIM(A105&amp;"")="", ISNUMBER(SEARCH("FALTA", A105))), "UPC faltante/inválido", ""), IF(AND(A105&lt;&gt;"", IFERROR(_xlfn.XMATCH(A105,$A$2:$A$285,0,1)&lt;&gt;_xlfn.XMATCH(A105,$A$2:$A$285,0,-1),FALSE)), "Código de barras duplicado", ""), IF(AND(E105&lt;&gt;"", COUNTIF($E$2:$E$285, E105)&gt;1), "SKU duplicado", ""), IF(OR(J105="", J105=""), "[Aviso] División no capturada ()", IF(ISNA(MATCH(J105, Criterios!$A$123:$A$126, 0)), "División no válida", "")), IF(OR(K105="", K105=""), "[Aviso] Categoría no capturada ()", IF(ISNA(MATCH(K105, Criterios!$A$81:$A$120, 0)), "Categoría no válida", IF(AND(J105&lt;&gt;"", J105&lt;&gt;"", J105&lt;&gt;VLOOKUP(K105, Criterios!$A$81:$B$120, 2, FALSE)), "División no coincide con Categoría", ""))), IF(OR(L105="", L105=""), "[Aviso] Género no capturado ()", IF(ISNA(MATCH(L105, Criterios!$B$123:$B$127, 0)), "Género no válido", "")), IF(OR(N105="", N105=""), "[Aviso] Temporada no capturada ()", IF(ISNA(MATCH(N105, Criterios!$C$123:$C$128, 0)), "Temporada no válida", "")), IF(OR(O105="", O105=""), "[Aviso] Ciclo de vida no capturado ()", IF(ISNA(MATCH(O105, Criterios!$D$123:$D$124, 0)), "Ciclo de vida no válido", ""))))</f>
        <v/>
      </c>
      <c r="AC105" s="56" t="n"/>
      <c r="AD105" s="51" t="n"/>
      <c r="AE105" s="156" t="n"/>
      <c r="AF105" s="51" t="n"/>
      <c r="AG105" s="156" t="inlineStr">
        <is>
          <t>Nuevo – Odoo Universal Unique Brands 01/10/2026</t>
        </is>
      </c>
      <c r="AH105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«03-001-0060-0713» (Completado por regla) · Validador Shopify: WB: precio con IVA no termina en 9</t>
        </is>
      </c>
      <c r="AI105" s="156" t="n"/>
      <c r="AJ105" s="156" t="n"/>
      <c r="AK105" s="155" t="inlineStr">
        <is>
          <t>Odoo: producto 20935 / plantilla 26938</t>
        </is>
      </c>
      <c r="AL105" s="58" t="n"/>
      <c r="AM105" s="58" t="n"/>
      <c r="AN105" s="155" t="inlineStr">
        <is>
          <t>Odoo Universal Unique Brands</t>
        </is>
      </c>
      <c r="AO105" s="59" t="n"/>
      <c r="AP105" s="59" t="n"/>
      <c r="AQ105" s="59" t="n">
        <v>12</v>
      </c>
      <c r="AR105" s="155" t="inlineStr">
        <is>
          <t>Odoo Universal Unique Brands › Bodega 25 › Bodega 25/General: 12</t>
        </is>
      </c>
    </row>
    <row r="106">
      <c r="A106" s="50" t="inlineStr">
        <is>
          <t>199168045876</t>
        </is>
      </c>
      <c r="B106" s="51" t="n"/>
      <c r="C106" s="156" t="inlineStr">
        <is>
          <t>Roper</t>
        </is>
      </c>
      <c r="D106" s="156" t="inlineStr">
        <is>
          <t>03-001-0062-0709</t>
        </is>
      </c>
      <c r="E106" s="156" t="inlineStr">
        <is>
          <t>03-001-0062-0709 BR-L</t>
        </is>
      </c>
      <c r="F106" s="156" t="inlineStr">
        <is>
          <t>L</t>
        </is>
      </c>
      <c r="G106" s="156" t="inlineStr">
        <is>
          <t>L</t>
        </is>
      </c>
      <c r="H106" s="156" t="inlineStr">
        <is>
          <t>Roper</t>
        </is>
      </c>
      <c r="I106" s="156" t="inlineStr">
        <is>
          <t>ROPER Shirt Arrow Dobby</t>
        </is>
      </c>
      <c r="J106" s="156" t="inlineStr">
        <is>
          <t>Ropa</t>
        </is>
      </c>
      <c r="K106" s="156" t="inlineStr">
        <is>
          <t>Camisas</t>
        </is>
      </c>
      <c r="L106" s="156" t="inlineStr">
        <is>
          <t>Hombre</t>
        </is>
      </c>
      <c r="M106" s="156" t="n"/>
      <c r="N106" s="156" t="n"/>
      <c r="O106" s="156" t="n"/>
      <c r="P106" s="156" t="n"/>
      <c r="Q106" s="156" t="n"/>
      <c r="R106" s="156" t="n"/>
      <c r="S106" s="156" t="n"/>
      <c r="T106" s="156" t="n"/>
      <c r="U106" s="156" t="n"/>
      <c r="V106" s="156" t="inlineStr">
        <is>
          <t>PZS</t>
        </is>
      </c>
      <c r="W106" s="51" t="inlineStr">
        <is>
          <t>53101602</t>
        </is>
      </c>
      <c r="X106" s="156" t="n"/>
      <c r="Y106" s="54" t="n">
        <v>23.72</v>
      </c>
      <c r="Z106" s="54" t="n">
        <v>659</v>
      </c>
      <c r="AA106" s="55">
        <f>IF(AND(A106="", B106="", E106=""), "", IF(AB106="", "Válido", IF((LEN(AB106)-LEN(SUBSTITUTE(AB106,"; ","")))/2+1&gt;(LEN(AB106)-LEN(SUBSTITUTE(AB106,"[Aviso]","")))/7, "Con Incidencias", "Válido")))</f>
        <v/>
      </c>
      <c r="AB106" s="56">
        <f>IF(AND(A106="", B106="", E106=""), "", TEXTJOIN("; ", TRUE, IF(OR(TRIM(A106&amp;"")="", ISNUMBER(SEARCH("FALTA", A106))), "UPC faltante/inválido", ""), IF(AND(A106&lt;&gt;"", IFERROR(_xlfn.XMATCH(A106,$A$2:$A$285,0,1)&lt;&gt;_xlfn.XMATCH(A106,$A$2:$A$285,0,-1),FALSE)), "Código de barras duplicado", ""), IF(AND(E106&lt;&gt;"", COUNTIF($E$2:$E$285, E106)&gt;1), "SKU duplicado", ""), IF(OR(J106="", J106=""), "[Aviso] División no capturada ()", IF(ISNA(MATCH(J106, Criterios!$A$123:$A$126, 0)), "División no válida", "")), IF(OR(K106="", K106=""), "[Aviso] Categoría no capturada ()", IF(ISNA(MATCH(K106, Criterios!$A$81:$A$120, 0)), "Categoría no válida", IF(AND(J106&lt;&gt;"", J106&lt;&gt;"", J106&lt;&gt;VLOOKUP(K106, Criterios!$A$81:$B$120, 2, FALSE)), "División no coincide con Categoría", ""))), IF(OR(L106="", L106=""), "[Aviso] Género no capturado ()", IF(ISNA(MATCH(L106, Criterios!$B$123:$B$127, 0)), "Género no válido", "")), IF(OR(N106="", N106=""), "[Aviso] Temporada no capturada ()", IF(ISNA(MATCH(N106, Criterios!$C$123:$C$128, 0)), "Temporada no válida", "")), IF(OR(O106="", O106=""), "[Aviso] Ciclo de vida no capturado ()", IF(ISNA(MATCH(O106, Criterios!$D$123:$D$124, 0)), "Ciclo de vida no válido", ""))))</f>
        <v/>
      </c>
      <c r="AC106" s="56" t="n"/>
      <c r="AD106" s="51" t="n"/>
      <c r="AE106" s="156" t="n"/>
      <c r="AF106" s="51" t="n"/>
      <c r="AG106" s="156" t="inlineStr">
        <is>
          <t>Nuevo – Odoo Universal Unique Brands 01/10/2026</t>
        </is>
      </c>
      <c r="AH106" s="156" t="inlineStr">
        <is>
          <t>01/10/2026: alta desde Odoo Universal Unique Brands (no existía en Productos por código de barras ni SKU) | Categoría: Palabra clave "Camisa" en tipo/categoría de la fuente (Ropa / Camisas); Género: campo de la fuente | Homologación G1522 06/10/2026: WB N.º de estilo: «» → «03-001-0062-0709» (Completado por regla) · Validador Shopify: WB: precio con IVA no termina en 9</t>
        </is>
      </c>
      <c r="AI106" s="156" t="n"/>
      <c r="AJ106" s="156" t="n"/>
      <c r="AK106" s="155" t="inlineStr">
        <is>
          <t>Odoo: producto 21087 / plantilla 27090</t>
        </is>
      </c>
      <c r="AL106" s="58" t="n"/>
      <c r="AM106" s="58" t="n"/>
      <c r="AN106" s="155" t="inlineStr">
        <is>
          <t>Odoo Universal Unique Brands</t>
        </is>
      </c>
      <c r="AO106" s="59" t="n"/>
      <c r="AP106" s="59" t="n"/>
      <c r="AQ106" s="59" t="n">
        <v>4</v>
      </c>
      <c r="AR106" s="155" t="inlineStr">
        <is>
          <t>Odoo Universal Unique Brands › Bodega 25 › Bodega 25/General: 4</t>
        </is>
      </c>
    </row>
    <row r="107">
      <c r="A107" s="50" t="inlineStr">
        <is>
          <t>199168045883</t>
        </is>
      </c>
      <c r="B107" s="51" t="n"/>
      <c r="C107" s="156" t="inlineStr">
        <is>
          <t>Roper</t>
        </is>
      </c>
      <c r="D107" s="156" t="inlineStr">
        <is>
          <t>03-001-0062-0709</t>
        </is>
      </c>
      <c r="E107" s="156" t="inlineStr">
        <is>
          <t>03-001-0062-0709 BR-M</t>
        </is>
      </c>
      <c r="F107" s="156" t="inlineStr">
        <is>
          <t>M</t>
        </is>
      </c>
      <c r="G107" s="156" t="inlineStr">
        <is>
          <t>M</t>
        </is>
      </c>
      <c r="H107" s="156" t="inlineStr">
        <is>
          <t>Roper</t>
        </is>
      </c>
      <c r="I107" s="156" t="inlineStr">
        <is>
          <t>ROPER Shirt Arrow Dobby</t>
        </is>
      </c>
      <c r="J107" s="156" t="inlineStr">
        <is>
          <t>Ropa</t>
        </is>
      </c>
      <c r="K107" s="156" t="inlineStr">
        <is>
          <t>Camisas</t>
        </is>
      </c>
      <c r="L107" s="156" t="inlineStr">
        <is>
          <t>Hombre</t>
        </is>
      </c>
      <c r="M107" s="156" t="n"/>
      <c r="N107" s="156" t="n"/>
      <c r="O107" s="156" t="n"/>
      <c r="P107" s="156" t="n"/>
      <c r="Q107" s="156" t="n"/>
      <c r="R107" s="156" t="n"/>
      <c r="S107" s="156" t="n"/>
      <c r="T107" s="156" t="n"/>
      <c r="U107" s="156" t="n"/>
      <c r="V107" s="156" t="inlineStr">
        <is>
          <t>PZS</t>
        </is>
      </c>
      <c r="W107" s="51" t="inlineStr">
        <is>
          <t>53101602</t>
        </is>
      </c>
      <c r="X107" s="156" t="n"/>
      <c r="Y107" s="54" t="n">
        <v>23.72</v>
      </c>
      <c r="Z107" s="54" t="n">
        <v>659</v>
      </c>
      <c r="AA107" s="55">
        <f>IF(AND(A107="", B107="", E107=""), "", IF(AB107="", "Válido", IF((LEN(AB107)-LEN(SUBSTITUTE(AB107,"; ","")))/2+1&gt;(LEN(AB107)-LEN(SUBSTITUTE(AB107,"[Aviso]","")))/7, "Con Incidencias", "Válido")))</f>
        <v/>
      </c>
      <c r="AB107" s="56">
        <f>IF(AND(A107="", B107="", E107=""), "", TEXTJOIN("; ", TRUE, IF(OR(TRIM(A107&amp;"")="", ISNUMBER(SEARCH("FALTA", A107))), "UPC faltante/inválido", ""), IF(AND(A107&lt;&gt;"", IFERROR(_xlfn.XMATCH(A107,$A$2:$A$285,0,1)&lt;&gt;_xlfn.XMATCH(A107,$A$2:$A$285,0,-1),FALSE)), "Código de barras duplicado", ""), IF(AND(E107&lt;&gt;"", COUNTIF($E$2:$E$285, E107)&gt;1), "SKU duplicado", ""), IF(OR(J107="", J107=""), "[Aviso] División no capturada ()", IF(ISNA(MATCH(J107, Criterios!$A$123:$A$126, 0)), "División no válida", "")), IF(OR(K107="", K107=""), "[Aviso] Categoría no capturada ()", IF(ISNA(MATCH(K107, Criterios!$A$81:$A$120, 0)), "Categoría no válida", IF(AND(J107&lt;&gt;"", J107&lt;&gt;"", J107&lt;&gt;VLOOKUP(K107, Criterios!$A$81:$B$120, 2, FALSE)), "División no coincide con Categoría", ""))), IF(OR(L107="", L107=""), "[Aviso] Género no capturado ()", IF(ISNA(MATCH(L107, Criterios!$B$123:$B$127, 0)), "Género no válido", "")), IF(OR(N107="", N107=""), "[Aviso] Temporada no capturada ()", IF(ISNA(MATCH(N107, Criterios!$C$123:$C$128, 0)), "Temporada no válida", "")), IF(OR(O107="", O107=""), "[Aviso] Ciclo de vida no capturado ()", IF(ISNA(MATCH(O107, Criterios!$D$123:$D$124, 0)), "Ciclo de vida no válido", ""))))</f>
        <v/>
      </c>
      <c r="AC107" s="56" t="n"/>
      <c r="AD107" s="51" t="n"/>
      <c r="AE107" s="156" t="n"/>
      <c r="AF107" s="51" t="n"/>
      <c r="AG107" s="156" t="inlineStr">
        <is>
          <t>Nuevo – Odoo Universal Unique Brands 01/10/2026</t>
        </is>
      </c>
      <c r="AH107" s="156" t="inlineStr">
        <is>
          <t>01/10/2026: alta desde Odoo Universal Unique Brands (no existía en Productos por código de barras ni SKU) | Categoría: Palabra clave "Camisa" en tipo/categoría de la fuente (Ropa / Camisas); Género: campo de la fuente | Homologación G1522 06/10/2026: WB N.º de estilo: «» → «03-001-0062-0709» (Completado por regla) · Validador Shopify: WB: precio con IVA no termina en 9</t>
        </is>
      </c>
      <c r="AI107" s="156" t="n"/>
      <c r="AJ107" s="156" t="n"/>
      <c r="AK107" s="155" t="inlineStr">
        <is>
          <t>Odoo: producto 21086 / plantilla 27089</t>
        </is>
      </c>
      <c r="AL107" s="58" t="n"/>
      <c r="AM107" s="58" t="n"/>
      <c r="AN107" s="155" t="inlineStr">
        <is>
          <t>Odoo Universal Unique Brands</t>
        </is>
      </c>
      <c r="AO107" s="59" t="n"/>
      <c r="AP107" s="59" t="n"/>
      <c r="AQ107" s="59" t="n">
        <v>8</v>
      </c>
      <c r="AR107" s="155" t="inlineStr">
        <is>
          <t>Odoo Universal Unique Brands › Bodega 25 › Bodega 25/General: 8</t>
        </is>
      </c>
    </row>
    <row r="108">
      <c r="A108" s="50" t="inlineStr">
        <is>
          <t>199168045890</t>
        </is>
      </c>
      <c r="B108" s="51" t="n"/>
      <c r="C108" s="156" t="inlineStr">
        <is>
          <t>Roper</t>
        </is>
      </c>
      <c r="D108" s="156" t="inlineStr">
        <is>
          <t>03-001-0062-0709</t>
        </is>
      </c>
      <c r="E108" s="156" t="inlineStr">
        <is>
          <t>03-001-0062-0709 BR-S</t>
        </is>
      </c>
      <c r="F108" s="156" t="inlineStr">
        <is>
          <t>S</t>
        </is>
      </c>
      <c r="G108" s="156" t="inlineStr">
        <is>
          <t>S</t>
        </is>
      </c>
      <c r="H108" s="156" t="inlineStr">
        <is>
          <t>Roper</t>
        </is>
      </c>
      <c r="I108" s="156" t="inlineStr">
        <is>
          <t>ROPER Shirt Arrow Dobby</t>
        </is>
      </c>
      <c r="J108" s="156" t="inlineStr">
        <is>
          <t>Ropa</t>
        </is>
      </c>
      <c r="K108" s="156" t="inlineStr">
        <is>
          <t>Camisas</t>
        </is>
      </c>
      <c r="L108" s="156" t="n"/>
      <c r="M108" s="156" t="n"/>
      <c r="N108" s="156" t="n"/>
      <c r="O108" s="156" t="n"/>
      <c r="P108" s="156" t="n"/>
      <c r="Q108" s="156" t="n"/>
      <c r="R108" s="156" t="n"/>
      <c r="S108" s="156" t="n"/>
      <c r="T108" s="156" t="n"/>
      <c r="U108" s="156" t="n"/>
      <c r="V108" s="156" t="inlineStr">
        <is>
          <t>PZS</t>
        </is>
      </c>
      <c r="W108" s="51" t="inlineStr">
        <is>
          <t>53101602</t>
        </is>
      </c>
      <c r="X108" s="156" t="n"/>
      <c r="Y108" s="54" t="n">
        <v>23.72</v>
      </c>
      <c r="Z108" s="54" t="n">
        <v>659</v>
      </c>
      <c r="AA108" s="55">
        <f>IF(AND(A108="", B108="", E108=""), "", IF(AB108="", "Válido", IF((LEN(AB108)-LEN(SUBSTITUTE(AB108,"; ","")))/2+1&gt;(LEN(AB108)-LEN(SUBSTITUTE(AB108,"[Aviso]","")))/7, "Con Incidencias", "Válido")))</f>
        <v/>
      </c>
      <c r="AB108" s="56">
        <f>IF(AND(A108="", B108="", E108=""), "", TEXTJOIN("; ", TRUE, IF(OR(TRIM(A108&amp;"")="", ISNUMBER(SEARCH("FALTA", A108))), "UPC faltante/inválido", ""), IF(AND(A108&lt;&gt;"", IFERROR(_xlfn.XMATCH(A108,$A$2:$A$285,0,1)&lt;&gt;_xlfn.XMATCH(A108,$A$2:$A$285,0,-1),FALSE)), "Código de barras duplicado", ""), IF(AND(E108&lt;&gt;"", COUNTIF($E$2:$E$285, E108)&gt;1), "SKU duplicado", ""), IF(OR(J108="", J108=""), "[Aviso] División no capturada ()", IF(ISNA(MATCH(J108, Criterios!$A$123:$A$126, 0)), "División no válida", "")), IF(OR(K108="", K108=""), "[Aviso] Categoría no capturada ()", IF(ISNA(MATCH(K108, Criterios!$A$81:$A$120, 0)), "Categoría no válida", IF(AND(J108&lt;&gt;"", J108&lt;&gt;"", J108&lt;&gt;VLOOKUP(K108, Criterios!$A$81:$B$120, 2, FALSE)), "División no coincide con Categoría", ""))), IF(OR(L108="", L108=""), "[Aviso] Género no capturado ()", IF(ISNA(MATCH(L108, Criterios!$B$123:$B$127, 0)), "Género no válido", "")), IF(OR(N108="", N108=""), "[Aviso] Temporada no capturada ()", IF(ISNA(MATCH(N108, Criterios!$C$123:$C$128, 0)), "Temporada no válida", "")), IF(OR(O108="", O108=""), "[Aviso] Ciclo de vida no capturado ()", IF(ISNA(MATCH(O108, Criterios!$D$123:$D$124, 0)), "Ciclo de vida no válido", ""))))</f>
        <v/>
      </c>
      <c r="AC108" s="56" t="n"/>
      <c r="AD108" s="51" t="n"/>
      <c r="AE108" s="156" t="n"/>
      <c r="AF108" s="51" t="n"/>
      <c r="AG108" s="156" t="inlineStr">
        <is>
          <t>Nuevo – Odoo Universal Unique Brands 01/10/2026</t>
        </is>
      </c>
      <c r="AH108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«03-001-0062-0709» (Completado por regla) · Validador Shopify: WB: precio con IVA no termina en 9</t>
        </is>
      </c>
      <c r="AI108" s="156" t="n"/>
      <c r="AJ108" s="156" t="n"/>
      <c r="AK108" s="155" t="inlineStr">
        <is>
          <t>Odoo: producto 21571 / plantilla 27582</t>
        </is>
      </c>
      <c r="AL108" s="58" t="n"/>
      <c r="AM108" s="58" t="n"/>
      <c r="AN108" s="155" t="inlineStr">
        <is>
          <t>Odoo Universal Unique Brands</t>
        </is>
      </c>
      <c r="AO108" s="59" t="n"/>
      <c r="AP108" s="59" t="n"/>
      <c r="AQ108" s="59" t="n">
        <v>5</v>
      </c>
      <c r="AR108" s="155" t="inlineStr">
        <is>
          <t>Odoo Universal Unique Brands › Bodega 25 › Bodega 25/General: 5</t>
        </is>
      </c>
    </row>
    <row r="109">
      <c r="A109" s="50" t="inlineStr">
        <is>
          <t>199168045906</t>
        </is>
      </c>
      <c r="B109" s="51" t="n"/>
      <c r="C109" s="156" t="inlineStr">
        <is>
          <t>Roper</t>
        </is>
      </c>
      <c r="D109" s="156" t="inlineStr">
        <is>
          <t>03-001-0062-0709</t>
        </is>
      </c>
      <c r="E109" s="156" t="inlineStr">
        <is>
          <t>03-001-0062-0709 BR-XL</t>
        </is>
      </c>
      <c r="F109" s="156" t="inlineStr">
        <is>
          <t>XL</t>
        </is>
      </c>
      <c r="G109" s="156" t="inlineStr">
        <is>
          <t>XL</t>
        </is>
      </c>
      <c r="H109" s="156" t="inlineStr">
        <is>
          <t>Roper</t>
        </is>
      </c>
      <c r="I109" s="156" t="inlineStr">
        <is>
          <t>ROPER Shirt Arrow Dobby</t>
        </is>
      </c>
      <c r="J109" s="156" t="inlineStr">
        <is>
          <t>Ropa</t>
        </is>
      </c>
      <c r="K109" s="156" t="inlineStr">
        <is>
          <t>Camisas</t>
        </is>
      </c>
      <c r="L109" s="156" t="inlineStr">
        <is>
          <t>Hombre</t>
        </is>
      </c>
      <c r="M109" s="156" t="n"/>
      <c r="N109" s="156" t="n"/>
      <c r="O109" s="156" t="n"/>
      <c r="P109" s="156" t="n"/>
      <c r="Q109" s="156" t="n"/>
      <c r="R109" s="156" t="n"/>
      <c r="S109" s="156" t="n"/>
      <c r="T109" s="156" t="n"/>
      <c r="U109" s="156" t="n"/>
      <c r="V109" s="156" t="inlineStr">
        <is>
          <t>PZS</t>
        </is>
      </c>
      <c r="W109" s="51" t="inlineStr">
        <is>
          <t>53101602</t>
        </is>
      </c>
      <c r="X109" s="156" t="n"/>
      <c r="Y109" s="54" t="n">
        <v>23.72</v>
      </c>
      <c r="Z109" s="54" t="n">
        <v>659</v>
      </c>
      <c r="AA109" s="55">
        <f>IF(AND(A109="", B109="", E109=""), "", IF(AB109="", "Válido", IF((LEN(AB109)-LEN(SUBSTITUTE(AB109,"; ","")))/2+1&gt;(LEN(AB109)-LEN(SUBSTITUTE(AB109,"[Aviso]","")))/7, "Con Incidencias", "Válido")))</f>
        <v/>
      </c>
      <c r="AB109" s="56">
        <f>IF(AND(A109="", B109="", E109=""), "", TEXTJOIN("; ", TRUE, IF(OR(TRIM(A109&amp;"")="", ISNUMBER(SEARCH("FALTA", A109))), "UPC faltante/inválido", ""), IF(AND(A109&lt;&gt;"", IFERROR(_xlfn.XMATCH(A109,$A$2:$A$285,0,1)&lt;&gt;_xlfn.XMATCH(A109,$A$2:$A$285,0,-1),FALSE)), "Código de barras duplicado", ""), IF(AND(E109&lt;&gt;"", COUNTIF($E$2:$E$285, E109)&gt;1), "SKU duplicado", ""), IF(OR(J109="", J109=""), "[Aviso] División no capturada ()", IF(ISNA(MATCH(J109, Criterios!$A$123:$A$126, 0)), "División no válida", "")), IF(OR(K109="", K109=""), "[Aviso] Categoría no capturada ()", IF(ISNA(MATCH(K109, Criterios!$A$81:$A$120, 0)), "Categoría no válida", IF(AND(J109&lt;&gt;"", J109&lt;&gt;"", J109&lt;&gt;VLOOKUP(K109, Criterios!$A$81:$B$120, 2, FALSE)), "División no coincide con Categoría", ""))), IF(OR(L109="", L109=""), "[Aviso] Género no capturado ()", IF(ISNA(MATCH(L109, Criterios!$B$123:$B$127, 0)), "Género no válido", "")), IF(OR(N109="", N109=""), "[Aviso] Temporada no capturada ()", IF(ISNA(MATCH(N109, Criterios!$C$123:$C$128, 0)), "Temporada no válida", "")), IF(OR(O109="", O109=""), "[Aviso] Ciclo de vida no capturado ()", IF(ISNA(MATCH(O109, Criterios!$D$123:$D$124, 0)), "Ciclo de vida no válido", ""))))</f>
        <v/>
      </c>
      <c r="AC109" s="56" t="n"/>
      <c r="AD109" s="51" t="n"/>
      <c r="AE109" s="156" t="n"/>
      <c r="AF109" s="51" t="n"/>
      <c r="AG109" s="156" t="inlineStr">
        <is>
          <t>Nuevo – Odoo Universal Unique Brands 01/10/2026</t>
        </is>
      </c>
      <c r="AH109" s="156" t="inlineStr">
        <is>
          <t>01/10/2026: alta desde Odoo Universal Unique Brands (no existía en Productos por código de barras ni SKU) | Categoría: Palabra clave "Camisa" en tipo/categoría de la fuente (Ropa / Camisas); Género: campo de la fuente | Homologación G1522 06/10/2026: WB N.º de estilo: «» → «03-001-0062-0709» (Completado por regla) · Validador Shopify: WB: precio con IVA no termina en 9</t>
        </is>
      </c>
      <c r="AI109" s="156" t="n"/>
      <c r="AJ109" s="156" t="n"/>
      <c r="AK109" s="155" t="inlineStr">
        <is>
          <t>Odoo: producto 21088 / plantilla 27091</t>
        </is>
      </c>
      <c r="AL109" s="58" t="n"/>
      <c r="AM109" s="58" t="n"/>
      <c r="AN109" s="155" t="inlineStr">
        <is>
          <t>Odoo Universal Unique Brands</t>
        </is>
      </c>
      <c r="AO109" s="59" t="n"/>
      <c r="AP109" s="59" t="n"/>
      <c r="AQ109" s="59" t="n">
        <v>7</v>
      </c>
      <c r="AR109" s="155" t="inlineStr">
        <is>
          <t>Odoo Universal Unique Brands › Bodega 25 › Bodega 25/General: 7</t>
        </is>
      </c>
    </row>
    <row r="110">
      <c r="A110" s="50" t="inlineStr">
        <is>
          <t>199168046033</t>
        </is>
      </c>
      <c r="B110" s="51" t="n"/>
      <c r="C110" s="156" t="inlineStr">
        <is>
          <t>Roper</t>
        </is>
      </c>
      <c r="D110" s="156" t="inlineStr">
        <is>
          <t>03-001-0062-0711</t>
        </is>
      </c>
      <c r="E110" s="156" t="inlineStr">
        <is>
          <t>03-001-0062-0711 GR-2XL</t>
        </is>
      </c>
      <c r="F110" s="156" t="inlineStr">
        <is>
          <t>XXL</t>
        </is>
      </c>
      <c r="G110" s="156" t="inlineStr">
        <is>
          <t>XXL</t>
        </is>
      </c>
      <c r="H110" s="156" t="inlineStr">
        <is>
          <t>Roper</t>
        </is>
      </c>
      <c r="I110" s="156" t="inlineStr">
        <is>
          <t>ROPER Shirt Aztec Dobby</t>
        </is>
      </c>
      <c r="J110" s="156" t="inlineStr">
        <is>
          <t>Ropa</t>
        </is>
      </c>
      <c r="K110" s="156" t="inlineStr">
        <is>
          <t>Camisas</t>
        </is>
      </c>
      <c r="L110" s="156" t="n"/>
      <c r="M110" s="156" t="n"/>
      <c r="N110" s="156" t="n"/>
      <c r="O110" s="156" t="n"/>
      <c r="P110" s="156" t="n"/>
      <c r="Q110" s="156" t="n"/>
      <c r="R110" s="156" t="n"/>
      <c r="S110" s="156" t="n"/>
      <c r="T110" s="156" t="n"/>
      <c r="U110" s="156" t="n"/>
      <c r="V110" s="156" t="inlineStr">
        <is>
          <t>PZS</t>
        </is>
      </c>
      <c r="W110" s="51" t="inlineStr">
        <is>
          <t>53101602</t>
        </is>
      </c>
      <c r="X110" s="156" t="n"/>
      <c r="Y110" s="54" t="n">
        <v>23.72</v>
      </c>
      <c r="Z110" s="54" t="n">
        <v>659</v>
      </c>
      <c r="AA110" s="55">
        <f>IF(AND(A110="", B110="", E110=""), "", IF(AB110="", "Válido", IF((LEN(AB110)-LEN(SUBSTITUTE(AB110,"; ","")))/2+1&gt;(LEN(AB110)-LEN(SUBSTITUTE(AB110,"[Aviso]","")))/7, "Con Incidencias", "Válido")))</f>
        <v/>
      </c>
      <c r="AB110" s="56">
        <f>IF(AND(A110="", B110="", E110=""), "", TEXTJOIN("; ", TRUE, IF(OR(TRIM(A110&amp;"")="", ISNUMBER(SEARCH("FALTA", A110))), "UPC faltante/inválido", ""), IF(AND(A110&lt;&gt;"", IFERROR(_xlfn.XMATCH(A110,$A$2:$A$285,0,1)&lt;&gt;_xlfn.XMATCH(A110,$A$2:$A$285,0,-1),FALSE)), "Código de barras duplicado", ""), IF(AND(E110&lt;&gt;"", COUNTIF($E$2:$E$285, E110)&gt;1), "SKU duplicado", ""), IF(OR(J110="", J110=""), "[Aviso] División no capturada ()", IF(ISNA(MATCH(J110, Criterios!$A$123:$A$126, 0)), "División no válida", "")), IF(OR(K110="", K110=""), "[Aviso] Categoría no capturada ()", IF(ISNA(MATCH(K110, Criterios!$A$81:$A$120, 0)), "Categoría no válida", IF(AND(J110&lt;&gt;"", J110&lt;&gt;"", J110&lt;&gt;VLOOKUP(K110, Criterios!$A$81:$B$120, 2, FALSE)), "División no coincide con Categoría", ""))), IF(OR(L110="", L110=""), "[Aviso] Género no capturado ()", IF(ISNA(MATCH(L110, Criterios!$B$123:$B$127, 0)), "Género no válido", "")), IF(OR(N110="", N110=""), "[Aviso] Temporada no capturada ()", IF(ISNA(MATCH(N110, Criterios!$C$123:$C$128, 0)), "Temporada no válida", "")), IF(OR(O110="", O110=""), "[Aviso] Ciclo de vida no capturado ()", IF(ISNA(MATCH(O110, Criterios!$D$123:$D$124, 0)), "Ciclo de vida no válido", ""))))</f>
        <v/>
      </c>
      <c r="AC110" s="56" t="n"/>
      <c r="AD110" s="51" t="n"/>
      <c r="AE110" s="156" t="n"/>
      <c r="AF110" s="51" t="n"/>
      <c r="AG110" s="156" t="inlineStr">
        <is>
          <t>Nuevo – Odoo Universal Unique Brands 01/10/2026</t>
        </is>
      </c>
      <c r="AH110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«03-001-0062-0711» (Completado por regla) · Validador Shopify: WB: precio con IVA no termina en 9</t>
        </is>
      </c>
      <c r="AI110" s="156" t="n"/>
      <c r="AJ110" s="156" t="n"/>
      <c r="AK110" s="155" t="inlineStr">
        <is>
          <t>Odoo: producto 21075 / plantilla 27078</t>
        </is>
      </c>
      <c r="AL110" s="58" t="n"/>
      <c r="AM110" s="58" t="n"/>
      <c r="AN110" s="155" t="inlineStr">
        <is>
          <t>Odoo Universal Unique Brands</t>
        </is>
      </c>
      <c r="AO110" s="59" t="n"/>
      <c r="AP110" s="59" t="n"/>
      <c r="AQ110" s="59" t="n">
        <v>4</v>
      </c>
      <c r="AR110" s="155" t="inlineStr">
        <is>
          <t>Odoo Universal Unique Brands › Bodega 25 › Bodega 25/General: 4</t>
        </is>
      </c>
    </row>
    <row r="111">
      <c r="A111" s="50" t="inlineStr">
        <is>
          <t>199168045999</t>
        </is>
      </c>
      <c r="B111" s="51" t="n"/>
      <c r="C111" s="156" t="inlineStr">
        <is>
          <t>Roper</t>
        </is>
      </c>
      <c r="D111" s="156" t="inlineStr">
        <is>
          <t>03-001-0062-0711</t>
        </is>
      </c>
      <c r="E111" s="156" t="inlineStr">
        <is>
          <t>03-001-0062-0711 GR-L</t>
        </is>
      </c>
      <c r="F111" s="156" t="inlineStr">
        <is>
          <t>L</t>
        </is>
      </c>
      <c r="G111" s="156" t="inlineStr">
        <is>
          <t>L</t>
        </is>
      </c>
      <c r="H111" s="156" t="inlineStr">
        <is>
          <t>Roper</t>
        </is>
      </c>
      <c r="I111" s="156" t="inlineStr">
        <is>
          <t>ROPER Shirt Aztec Dobby</t>
        </is>
      </c>
      <c r="J111" s="156" t="inlineStr">
        <is>
          <t>Ropa</t>
        </is>
      </c>
      <c r="K111" s="156" t="inlineStr">
        <is>
          <t>Camisas</t>
        </is>
      </c>
      <c r="L111" s="156" t="n"/>
      <c r="M111" s="156" t="n"/>
      <c r="N111" s="156" t="n"/>
      <c r="O111" s="156" t="n"/>
      <c r="P111" s="156" t="n"/>
      <c r="Q111" s="156" t="n"/>
      <c r="R111" s="156" t="n"/>
      <c r="S111" s="156" t="n"/>
      <c r="T111" s="156" t="n"/>
      <c r="U111" s="156" t="n"/>
      <c r="V111" s="156" t="inlineStr">
        <is>
          <t>PZS</t>
        </is>
      </c>
      <c r="W111" s="51" t="inlineStr">
        <is>
          <t>53101602</t>
        </is>
      </c>
      <c r="X111" s="156" t="n"/>
      <c r="Y111" s="54" t="n">
        <v>23.72</v>
      </c>
      <c r="Z111" s="54" t="n">
        <v>659</v>
      </c>
      <c r="AA111" s="55">
        <f>IF(AND(A111="", B111="", E111=""), "", IF(AB111="", "Válido", IF((LEN(AB111)-LEN(SUBSTITUTE(AB111,"; ","")))/2+1&gt;(LEN(AB111)-LEN(SUBSTITUTE(AB111,"[Aviso]","")))/7, "Con Incidencias", "Válido")))</f>
        <v/>
      </c>
      <c r="AB111" s="56">
        <f>IF(AND(A111="", B111="", E111=""), "", TEXTJOIN("; ", TRUE, IF(OR(TRIM(A111&amp;"")="", ISNUMBER(SEARCH("FALTA", A111))), "UPC faltante/inválido", ""), IF(AND(A111&lt;&gt;"", IFERROR(_xlfn.XMATCH(A111,$A$2:$A$285,0,1)&lt;&gt;_xlfn.XMATCH(A111,$A$2:$A$285,0,-1),FALSE)), "Código de barras duplicado", ""), IF(AND(E111&lt;&gt;"", COUNTIF($E$2:$E$285, E111)&gt;1), "SKU duplicado", ""), IF(OR(J111="", J111=""), "[Aviso] División no capturada ()", IF(ISNA(MATCH(J111, Criterios!$A$123:$A$126, 0)), "División no válida", "")), IF(OR(K111="", K111=""), "[Aviso] Categoría no capturada ()", IF(ISNA(MATCH(K111, Criterios!$A$81:$A$120, 0)), "Categoría no válida", IF(AND(J111&lt;&gt;"", J111&lt;&gt;"", J111&lt;&gt;VLOOKUP(K111, Criterios!$A$81:$B$120, 2, FALSE)), "División no coincide con Categoría", ""))), IF(OR(L111="", L111=""), "[Aviso] Género no capturado ()", IF(ISNA(MATCH(L111, Criterios!$B$123:$B$127, 0)), "Género no válido", "")), IF(OR(N111="", N111=""), "[Aviso] Temporada no capturada ()", IF(ISNA(MATCH(N111, Criterios!$C$123:$C$128, 0)), "Temporada no válida", "")), IF(OR(O111="", O111=""), "[Aviso] Ciclo de vida no capturado ()", IF(ISNA(MATCH(O111, Criterios!$D$123:$D$124, 0)), "Ciclo de vida no válido", ""))))</f>
        <v/>
      </c>
      <c r="AC111" s="56" t="n"/>
      <c r="AD111" s="51" t="n"/>
      <c r="AE111" s="156" t="n"/>
      <c r="AF111" s="51" t="n"/>
      <c r="AG111" s="156" t="inlineStr">
        <is>
          <t>Nuevo – Odoo Universal Unique Brands 01/10/2026</t>
        </is>
      </c>
      <c r="AH111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«03-001-0062-0711» (Completado por regla) · Validador Shopify: WB: precio con IVA no termina en 9</t>
        </is>
      </c>
      <c r="AI111" s="156" t="n"/>
      <c r="AJ111" s="156" t="n"/>
      <c r="AK111" s="155" t="inlineStr">
        <is>
          <t>Odoo: producto 21567 / plantilla 27578</t>
        </is>
      </c>
      <c r="AL111" s="58" t="n"/>
      <c r="AM111" s="58" t="n"/>
      <c r="AN111" s="155" t="inlineStr">
        <is>
          <t>Odoo Universal Unique Brands</t>
        </is>
      </c>
      <c r="AO111" s="59" t="n"/>
      <c r="AP111" s="59" t="n"/>
      <c r="AQ111" s="59" t="n">
        <v>4</v>
      </c>
      <c r="AR111" s="155" t="inlineStr">
        <is>
          <t>Odoo Universal Unique Brands › Bodega 25 › Bodega 25/General: 4</t>
        </is>
      </c>
    </row>
    <row r="112">
      <c r="A112" s="50" t="inlineStr">
        <is>
          <t>199168046002</t>
        </is>
      </c>
      <c r="B112" s="51" t="n"/>
      <c r="C112" s="156" t="inlineStr">
        <is>
          <t>Roper</t>
        </is>
      </c>
      <c r="D112" s="156" t="inlineStr">
        <is>
          <t>03-001-0062-0711</t>
        </is>
      </c>
      <c r="E112" s="156" t="inlineStr">
        <is>
          <t>03-001-0062-0711 GR-M</t>
        </is>
      </c>
      <c r="F112" s="156" t="inlineStr">
        <is>
          <t>M</t>
        </is>
      </c>
      <c r="G112" s="156" t="inlineStr">
        <is>
          <t>M</t>
        </is>
      </c>
      <c r="H112" s="156" t="inlineStr">
        <is>
          <t>Roper</t>
        </is>
      </c>
      <c r="I112" s="156" t="inlineStr">
        <is>
          <t>ROPER Shirt Aztec Dobby</t>
        </is>
      </c>
      <c r="J112" s="156" t="inlineStr">
        <is>
          <t>Ropa</t>
        </is>
      </c>
      <c r="K112" s="156" t="inlineStr">
        <is>
          <t>Camisas</t>
        </is>
      </c>
      <c r="L112" s="156" t="inlineStr">
        <is>
          <t>Hombre</t>
        </is>
      </c>
      <c r="M112" s="156" t="n"/>
      <c r="N112" s="156" t="n"/>
      <c r="O112" s="156" t="n"/>
      <c r="P112" s="156" t="n"/>
      <c r="Q112" s="156" t="n"/>
      <c r="R112" s="156" t="n"/>
      <c r="S112" s="156" t="n"/>
      <c r="T112" s="156" t="n"/>
      <c r="U112" s="156" t="n"/>
      <c r="V112" s="156" t="inlineStr">
        <is>
          <t>PZS</t>
        </is>
      </c>
      <c r="W112" s="51" t="inlineStr">
        <is>
          <t>53101602</t>
        </is>
      </c>
      <c r="X112" s="156" t="n"/>
      <c r="Y112" s="54" t="n">
        <v>23.72</v>
      </c>
      <c r="Z112" s="54" t="n">
        <v>659</v>
      </c>
      <c r="AA112" s="55">
        <f>IF(AND(A112="", B112="", E112=""), "", IF(AB112="", "Válido", IF((LEN(AB112)-LEN(SUBSTITUTE(AB112,"; ","")))/2+1&gt;(LEN(AB112)-LEN(SUBSTITUTE(AB112,"[Aviso]","")))/7, "Con Incidencias", "Válido")))</f>
        <v/>
      </c>
      <c r="AB112" s="56">
        <f>IF(AND(A112="", B112="", E112=""), "", TEXTJOIN("; ", TRUE, IF(OR(TRIM(A112&amp;"")="", ISNUMBER(SEARCH("FALTA", A112))), "UPC faltante/inválido", ""), IF(AND(A112&lt;&gt;"", IFERROR(_xlfn.XMATCH(A112,$A$2:$A$285,0,1)&lt;&gt;_xlfn.XMATCH(A112,$A$2:$A$285,0,-1),FALSE)), "Código de barras duplicado", ""), IF(AND(E112&lt;&gt;"", COUNTIF($E$2:$E$285, E112)&gt;1), "SKU duplicado", ""), IF(OR(J112="", J112=""), "[Aviso] División no capturada ()", IF(ISNA(MATCH(J112, Criterios!$A$123:$A$126, 0)), "División no válida", "")), IF(OR(K112="", K112=""), "[Aviso] Categoría no capturada ()", IF(ISNA(MATCH(K112, Criterios!$A$81:$A$120, 0)), "Categoría no válida", IF(AND(J112&lt;&gt;"", J112&lt;&gt;"", J112&lt;&gt;VLOOKUP(K112, Criterios!$A$81:$B$120, 2, FALSE)), "División no coincide con Categoría", ""))), IF(OR(L112="", L112=""), "[Aviso] Género no capturado ()", IF(ISNA(MATCH(L112, Criterios!$B$123:$B$127, 0)), "Género no válido", "")), IF(OR(N112="", N112=""), "[Aviso] Temporada no capturada ()", IF(ISNA(MATCH(N112, Criterios!$C$123:$C$128, 0)), "Temporada no válida", "")), IF(OR(O112="", O112=""), "[Aviso] Ciclo de vida no capturado ()", IF(ISNA(MATCH(O112, Criterios!$D$123:$D$124, 0)), "Ciclo de vida no válido", ""))))</f>
        <v/>
      </c>
      <c r="AC112" s="56" t="n"/>
      <c r="AD112" s="51" t="n"/>
      <c r="AE112" s="156" t="n"/>
      <c r="AF112" s="51" t="n"/>
      <c r="AG112" s="156" t="inlineStr">
        <is>
          <t>Nuevo – Odoo Universal Unique Brands 01/10/2026</t>
        </is>
      </c>
      <c r="AH112" s="156" t="inlineStr">
        <is>
          <t>01/10/2026: alta desde Odoo Universal Unique Brands (no existía en Productos por código de barras ni SKU) | Categoría: Palabra clave "Camisa" en tipo/categoría de la fuente (Ropa / Camisas); Género: campo de la fuente | Homologación G1522 06/10/2026: WB N.º de estilo: «» → «03-001-0062-0711» (Completado por regla) · Validador Shopify: WB: precio con IVA no termina en 9</t>
        </is>
      </c>
      <c r="AI112" s="156" t="n"/>
      <c r="AJ112" s="156" t="n"/>
      <c r="AK112" s="155" t="inlineStr">
        <is>
          <t>Odoo: producto 21072 / plantilla 27075</t>
        </is>
      </c>
      <c r="AL112" s="58" t="n"/>
      <c r="AM112" s="58" t="n"/>
      <c r="AN112" s="155" t="inlineStr">
        <is>
          <t>Odoo Universal Unique Brands</t>
        </is>
      </c>
      <c r="AO112" s="59" t="n"/>
      <c r="AP112" s="59" t="n"/>
      <c r="AQ112" s="59" t="n">
        <v>5</v>
      </c>
      <c r="AR112" s="155" t="inlineStr">
        <is>
          <t>Odoo Universal Unique Brands › Bodega 25 › Bodega 25/General: 5</t>
        </is>
      </c>
    </row>
    <row r="113">
      <c r="A113" s="50" t="inlineStr">
        <is>
          <t>199168046019</t>
        </is>
      </c>
      <c r="B113" s="51" t="n"/>
      <c r="C113" s="156" t="inlineStr">
        <is>
          <t>Roper</t>
        </is>
      </c>
      <c r="D113" s="156" t="inlineStr">
        <is>
          <t>03-001-0062-0711</t>
        </is>
      </c>
      <c r="E113" s="156" t="inlineStr">
        <is>
          <t>03-001-0062-0711 GR-S</t>
        </is>
      </c>
      <c r="F113" s="156" t="inlineStr">
        <is>
          <t>S</t>
        </is>
      </c>
      <c r="G113" s="156" t="inlineStr">
        <is>
          <t>S</t>
        </is>
      </c>
      <c r="H113" s="156" t="inlineStr">
        <is>
          <t>Roper</t>
        </is>
      </c>
      <c r="I113" s="156" t="inlineStr">
        <is>
          <t>ROPER Shirt Aztec Dobby</t>
        </is>
      </c>
      <c r="J113" s="156" t="inlineStr">
        <is>
          <t>Ropa</t>
        </is>
      </c>
      <c r="K113" s="156" t="inlineStr">
        <is>
          <t>Camisas</t>
        </is>
      </c>
      <c r="L113" s="156" t="n"/>
      <c r="M113" s="156" t="n"/>
      <c r="N113" s="156" t="n"/>
      <c r="O113" s="156" t="n"/>
      <c r="P113" s="156" t="n"/>
      <c r="Q113" s="156" t="n"/>
      <c r="R113" s="156" t="n"/>
      <c r="S113" s="156" t="n"/>
      <c r="T113" s="156" t="n"/>
      <c r="U113" s="156" t="n"/>
      <c r="V113" s="156" t="inlineStr">
        <is>
          <t>PZS</t>
        </is>
      </c>
      <c r="W113" s="51" t="inlineStr">
        <is>
          <t>53101602</t>
        </is>
      </c>
      <c r="X113" s="156" t="n"/>
      <c r="Y113" s="54" t="n">
        <v>23.72</v>
      </c>
      <c r="Z113" s="54" t="n">
        <v>659</v>
      </c>
      <c r="AA113" s="55">
        <f>IF(AND(A113="", B113="", E113=""), "", IF(AB113="", "Válido", IF((LEN(AB113)-LEN(SUBSTITUTE(AB113,"; ","")))/2+1&gt;(LEN(AB113)-LEN(SUBSTITUTE(AB113,"[Aviso]","")))/7, "Con Incidencias", "Válido")))</f>
        <v/>
      </c>
      <c r="AB113" s="56">
        <f>IF(AND(A113="", B113="", E113=""), "", TEXTJOIN("; ", TRUE, IF(OR(TRIM(A113&amp;"")="", ISNUMBER(SEARCH("FALTA", A113))), "UPC faltante/inválido", ""), IF(AND(A113&lt;&gt;"", IFERROR(_xlfn.XMATCH(A113,$A$2:$A$285,0,1)&lt;&gt;_xlfn.XMATCH(A113,$A$2:$A$285,0,-1),FALSE)), "Código de barras duplicado", ""), IF(AND(E113&lt;&gt;"", COUNTIF($E$2:$E$285, E113)&gt;1), "SKU duplicado", ""), IF(OR(J113="", J113=""), "[Aviso] División no capturada ()", IF(ISNA(MATCH(J113, Criterios!$A$123:$A$126, 0)), "División no válida", "")), IF(OR(K113="", K113=""), "[Aviso] Categoría no capturada ()", IF(ISNA(MATCH(K113, Criterios!$A$81:$A$120, 0)), "Categoría no válida", IF(AND(J113&lt;&gt;"", J113&lt;&gt;"", J113&lt;&gt;VLOOKUP(K113, Criterios!$A$81:$B$120, 2, FALSE)), "División no coincide con Categoría", ""))), IF(OR(L113="", L113=""), "[Aviso] Género no capturado ()", IF(ISNA(MATCH(L113, Criterios!$B$123:$B$127, 0)), "Género no válido", "")), IF(OR(N113="", N113=""), "[Aviso] Temporada no capturada ()", IF(ISNA(MATCH(N113, Criterios!$C$123:$C$128, 0)), "Temporada no válida", "")), IF(OR(O113="", O113=""), "[Aviso] Ciclo de vida no capturado ()", IF(ISNA(MATCH(O113, Criterios!$D$123:$D$124, 0)), "Ciclo de vida no válido", ""))))</f>
        <v/>
      </c>
      <c r="AC113" s="56" t="n"/>
      <c r="AD113" s="51" t="n"/>
      <c r="AE113" s="156" t="n"/>
      <c r="AF113" s="51" t="n"/>
      <c r="AG113" s="156" t="inlineStr">
        <is>
          <t>Nuevo – Odoo Universal Unique Brands 01/10/2026</t>
        </is>
      </c>
      <c r="AH113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«03-001-0062-0711» (Completado por regla) · Validador Shopify: WB: precio con IVA no termina en 9</t>
        </is>
      </c>
      <c r="AI113" s="156" t="n"/>
      <c r="AJ113" s="156" t="n"/>
      <c r="AK113" s="155" t="inlineStr">
        <is>
          <t>Odoo: producto 21566 / plantilla 27577</t>
        </is>
      </c>
      <c r="AL113" s="58" t="n"/>
      <c r="AM113" s="58" t="n"/>
      <c r="AN113" s="155" t="inlineStr">
        <is>
          <t>Odoo Universal Unique Brands</t>
        </is>
      </c>
      <c r="AO113" s="59" t="n"/>
      <c r="AP113" s="59" t="n"/>
      <c r="AQ113" s="59" t="n">
        <v>2</v>
      </c>
      <c r="AR113" s="155" t="inlineStr">
        <is>
          <t>Odoo Universal Unique Brands › Bodega 25 › Bodega 25/General: 2</t>
        </is>
      </c>
    </row>
    <row r="114">
      <c r="A114" s="50" t="inlineStr">
        <is>
          <t>199168046026</t>
        </is>
      </c>
      <c r="B114" s="51" t="n"/>
      <c r="C114" s="156" t="inlineStr">
        <is>
          <t>Roper</t>
        </is>
      </c>
      <c r="D114" s="156" t="inlineStr">
        <is>
          <t>03-001-0062-0711</t>
        </is>
      </c>
      <c r="E114" s="156" t="inlineStr">
        <is>
          <t>03-001-0062-0711 GR-XL</t>
        </is>
      </c>
      <c r="F114" s="156" t="inlineStr">
        <is>
          <t>XL</t>
        </is>
      </c>
      <c r="G114" s="156" t="inlineStr">
        <is>
          <t>XL</t>
        </is>
      </c>
      <c r="H114" s="156" t="inlineStr">
        <is>
          <t>Roper</t>
        </is>
      </c>
      <c r="I114" s="156" t="inlineStr">
        <is>
          <t>ROPER Shirt Aztec Dobby</t>
        </is>
      </c>
      <c r="J114" s="156" t="inlineStr">
        <is>
          <t>Ropa</t>
        </is>
      </c>
      <c r="K114" s="156" t="inlineStr">
        <is>
          <t>Camisas</t>
        </is>
      </c>
      <c r="L114" s="156" t="n"/>
      <c r="M114" s="156" t="n"/>
      <c r="N114" s="156" t="n"/>
      <c r="O114" s="156" t="n"/>
      <c r="P114" s="156" t="n"/>
      <c r="Q114" s="156" t="n"/>
      <c r="R114" s="156" t="n"/>
      <c r="S114" s="156" t="n"/>
      <c r="T114" s="156" t="n"/>
      <c r="U114" s="156" t="n"/>
      <c r="V114" s="156" t="inlineStr">
        <is>
          <t>PZS</t>
        </is>
      </c>
      <c r="W114" s="51" t="inlineStr">
        <is>
          <t>53101602</t>
        </is>
      </c>
      <c r="X114" s="156" t="n"/>
      <c r="Y114" s="54" t="n">
        <v>23.72</v>
      </c>
      <c r="Z114" s="54" t="n">
        <v>659</v>
      </c>
      <c r="AA114" s="55">
        <f>IF(AND(A114="", B114="", E114=""), "", IF(AB114="", "Válido", IF((LEN(AB114)-LEN(SUBSTITUTE(AB114,"; ","")))/2+1&gt;(LEN(AB114)-LEN(SUBSTITUTE(AB114,"[Aviso]","")))/7, "Con Incidencias", "Válido")))</f>
        <v/>
      </c>
      <c r="AB114" s="56">
        <f>IF(AND(A114="", B114="", E114=""), "", TEXTJOIN("; ", TRUE, IF(OR(TRIM(A114&amp;"")="", ISNUMBER(SEARCH("FALTA", A114))), "UPC faltante/inválido", ""), IF(AND(A114&lt;&gt;"", IFERROR(_xlfn.XMATCH(A114,$A$2:$A$285,0,1)&lt;&gt;_xlfn.XMATCH(A114,$A$2:$A$285,0,-1),FALSE)), "Código de barras duplicado", ""), IF(AND(E114&lt;&gt;"", COUNTIF($E$2:$E$285, E114)&gt;1), "SKU duplicado", ""), IF(OR(J114="", J114=""), "[Aviso] División no capturada ()", IF(ISNA(MATCH(J114, Criterios!$A$123:$A$126, 0)), "División no válida", "")), IF(OR(K114="", K114=""), "[Aviso] Categoría no capturada ()", IF(ISNA(MATCH(K114, Criterios!$A$81:$A$120, 0)), "Categoría no válida", IF(AND(J114&lt;&gt;"", J114&lt;&gt;"", J114&lt;&gt;VLOOKUP(K114, Criterios!$A$81:$B$120, 2, FALSE)), "División no coincide con Categoría", ""))), IF(OR(L114="", L114=""), "[Aviso] Género no capturado ()", IF(ISNA(MATCH(L114, Criterios!$B$123:$B$127, 0)), "Género no válido", "")), IF(OR(N114="", N114=""), "[Aviso] Temporada no capturada ()", IF(ISNA(MATCH(N114, Criterios!$C$123:$C$128, 0)), "Temporada no válida", "")), IF(OR(O114="", O114=""), "[Aviso] Ciclo de vida no capturado ()", IF(ISNA(MATCH(O114, Criterios!$D$123:$D$124, 0)), "Ciclo de vida no válido", ""))))</f>
        <v/>
      </c>
      <c r="AC114" s="56" t="n"/>
      <c r="AD114" s="51" t="n"/>
      <c r="AE114" s="156" t="n"/>
      <c r="AF114" s="51" t="n"/>
      <c r="AG114" s="156" t="inlineStr">
        <is>
          <t>Nuevo – Odoo Universal Unique Brands 01/10/2026</t>
        </is>
      </c>
      <c r="AH114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«03-001-0062-0711» (Completado por regla) · Validador Shopify: WB: precio con IVA no termina en 9</t>
        </is>
      </c>
      <c r="AI114" s="156" t="n"/>
      <c r="AJ114" s="156" t="n"/>
      <c r="AK114" s="155" t="inlineStr">
        <is>
          <t>Odoo: producto 21568 / plantilla 27579</t>
        </is>
      </c>
      <c r="AL114" s="58" t="n"/>
      <c r="AM114" s="58" t="n"/>
      <c r="AN114" s="155" t="inlineStr">
        <is>
          <t>Odoo Universal Unique Brands</t>
        </is>
      </c>
      <c r="AO114" s="59" t="n"/>
      <c r="AP114" s="59" t="n"/>
      <c r="AQ114" s="59" t="n">
        <v>5</v>
      </c>
      <c r="AR114" s="155" t="inlineStr">
        <is>
          <t>Odoo Universal Unique Brands › Bodega 25 › Bodega 25/General: 5</t>
        </is>
      </c>
    </row>
    <row r="115">
      <c r="A115" s="50" t="inlineStr">
        <is>
          <t>199168046231</t>
        </is>
      </c>
      <c r="B115" s="51" t="n"/>
      <c r="C115" s="156" t="inlineStr">
        <is>
          <t>Roper</t>
        </is>
      </c>
      <c r="D115" s="156" t="inlineStr">
        <is>
          <t>03-001-0064-0733</t>
        </is>
      </c>
      <c r="E115" s="156" t="inlineStr">
        <is>
          <t>03-001-0064-0733 BU-L</t>
        </is>
      </c>
      <c r="F115" s="156" t="inlineStr">
        <is>
          <t>L</t>
        </is>
      </c>
      <c r="G115" s="156" t="inlineStr">
        <is>
          <t>L</t>
        </is>
      </c>
      <c r="H115" s="156" t="inlineStr">
        <is>
          <t>Roper</t>
        </is>
      </c>
      <c r="I115" s="156" t="inlineStr">
        <is>
          <t>ROPER Shirt Ombre Aztecs</t>
        </is>
      </c>
      <c r="J115" s="156" t="inlineStr">
        <is>
          <t>Ropa</t>
        </is>
      </c>
      <c r="K115" s="156" t="inlineStr">
        <is>
          <t>Camisas</t>
        </is>
      </c>
      <c r="L115" s="156" t="n"/>
      <c r="M115" s="156" t="n"/>
      <c r="N115" s="156" t="n"/>
      <c r="O115" s="156" t="n"/>
      <c r="P115" s="156" t="n"/>
      <c r="Q115" s="156" t="n"/>
      <c r="R115" s="156" t="n"/>
      <c r="S115" s="156" t="n"/>
      <c r="T115" s="156" t="n"/>
      <c r="U115" s="156" t="n"/>
      <c r="V115" s="156" t="inlineStr">
        <is>
          <t>PZS</t>
        </is>
      </c>
      <c r="W115" s="51" t="inlineStr">
        <is>
          <t>53101602</t>
        </is>
      </c>
      <c r="X115" s="156" t="n"/>
      <c r="Y115" s="54" t="n">
        <v>25.58</v>
      </c>
      <c r="Z115" s="54" t="n">
        <v>700</v>
      </c>
      <c r="AA115" s="55">
        <f>IF(AND(A115="", B115="", E115=""), "", IF(AB115="", "Válido", IF((LEN(AB115)-LEN(SUBSTITUTE(AB115,"; ","")))/2+1&gt;(LEN(AB115)-LEN(SUBSTITUTE(AB115,"[Aviso]","")))/7, "Con Incidencias", "Válido")))</f>
        <v/>
      </c>
      <c r="AB115" s="56">
        <f>IF(AND(A115="", B115="", E115=""), "", TEXTJOIN("; ", TRUE, IF(OR(TRIM(A115&amp;"")="", ISNUMBER(SEARCH("FALTA", A115))), "UPC faltante/inválido", ""), IF(AND(A115&lt;&gt;"", IFERROR(_xlfn.XMATCH(A115,$A$2:$A$285,0,1)&lt;&gt;_xlfn.XMATCH(A115,$A$2:$A$285,0,-1),FALSE)), "Código de barras duplicado", ""), IF(AND(E115&lt;&gt;"", COUNTIF($E$2:$E$285, E115)&gt;1), "SKU duplicado", ""), IF(OR(J115="", J115=""), "[Aviso] División no capturada ()", IF(ISNA(MATCH(J115, Criterios!$A$123:$A$126, 0)), "División no válida", "")), IF(OR(K115="", K115=""), "[Aviso] Categoría no capturada ()", IF(ISNA(MATCH(K115, Criterios!$A$81:$A$120, 0)), "Categoría no válida", IF(AND(J115&lt;&gt;"", J115&lt;&gt;"", J115&lt;&gt;VLOOKUP(K115, Criterios!$A$81:$B$120, 2, FALSE)), "División no coincide con Categoría", ""))), IF(OR(L115="", L115=""), "[Aviso] Género no capturado ()", IF(ISNA(MATCH(L115, Criterios!$B$123:$B$127, 0)), "Género no válido", "")), IF(OR(N115="", N115=""), "[Aviso] Temporada no capturada ()", IF(ISNA(MATCH(N115, Criterios!$C$123:$C$128, 0)), "Temporada no válida", "")), IF(OR(O115="", O115=""), "[Aviso] Ciclo de vida no capturado ()", IF(ISNA(MATCH(O115, Criterios!$D$123:$D$124, 0)), "Ciclo de vida no válido", ""))))</f>
        <v/>
      </c>
      <c r="AC115" s="56" t="n"/>
      <c r="AD115" s="51" t="n"/>
      <c r="AE115" s="156" t="n"/>
      <c r="AF115" s="51" t="n"/>
      <c r="AG115" s="156" t="inlineStr">
        <is>
          <t>Nuevo – Odoo Universal Unique Brands 01/10/2026</t>
        </is>
      </c>
      <c r="AH115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«03-001-0064-0733» (Completado por regla) · Validador Shopify: WB: precio con IVA no termina en 9</t>
        </is>
      </c>
      <c r="AI115" s="156" t="n"/>
      <c r="AJ115" s="156" t="n"/>
      <c r="AK115" s="155" t="inlineStr">
        <is>
          <t>Odoo: producto 20930 / plantilla 26933</t>
        </is>
      </c>
      <c r="AL115" s="58" t="n"/>
      <c r="AM115" s="58" t="n"/>
      <c r="AN115" s="155" t="inlineStr">
        <is>
          <t>Odoo Universal Unique Brands</t>
        </is>
      </c>
      <c r="AO115" s="59" t="n"/>
      <c r="AP115" s="59" t="n"/>
      <c r="AQ115" s="59" t="n">
        <v>0</v>
      </c>
      <c r="AR115" s="155" t="n"/>
    </row>
    <row r="116">
      <c r="A116" s="50" t="inlineStr">
        <is>
          <t>199168046248</t>
        </is>
      </c>
      <c r="B116" s="51" t="n"/>
      <c r="C116" s="156" t="inlineStr">
        <is>
          <t>Roper</t>
        </is>
      </c>
      <c r="D116" s="156" t="inlineStr">
        <is>
          <t>03-001-0064-0733</t>
        </is>
      </c>
      <c r="E116" s="156" t="inlineStr">
        <is>
          <t>03-001-0064-0733 BU-M</t>
        </is>
      </c>
      <c r="F116" s="156" t="inlineStr">
        <is>
          <t>M</t>
        </is>
      </c>
      <c r="G116" s="156" t="inlineStr">
        <is>
          <t>M</t>
        </is>
      </c>
      <c r="H116" s="156" t="inlineStr">
        <is>
          <t>Roper</t>
        </is>
      </c>
      <c r="I116" s="156" t="inlineStr">
        <is>
          <t>ROPER Shirt Ombre Aztecs</t>
        </is>
      </c>
      <c r="J116" s="156" t="inlineStr">
        <is>
          <t>Ropa</t>
        </is>
      </c>
      <c r="K116" s="156" t="inlineStr">
        <is>
          <t>Camisas</t>
        </is>
      </c>
      <c r="L116" s="156" t="n"/>
      <c r="M116" s="156" t="n"/>
      <c r="N116" s="156" t="n"/>
      <c r="O116" s="156" t="n"/>
      <c r="P116" s="156" t="n"/>
      <c r="Q116" s="156" t="n"/>
      <c r="R116" s="156" t="n"/>
      <c r="S116" s="156" t="n"/>
      <c r="T116" s="156" t="n"/>
      <c r="U116" s="156" t="n"/>
      <c r="V116" s="156" t="inlineStr">
        <is>
          <t>PZS</t>
        </is>
      </c>
      <c r="W116" s="51" t="inlineStr">
        <is>
          <t>53101602</t>
        </is>
      </c>
      <c r="X116" s="156" t="n"/>
      <c r="Y116" s="54" t="n">
        <v>25.58</v>
      </c>
      <c r="Z116" s="54" t="n">
        <v>700</v>
      </c>
      <c r="AA116" s="55">
        <f>IF(AND(A116="", B116="", E116=""), "", IF(AB116="", "Válido", IF((LEN(AB116)-LEN(SUBSTITUTE(AB116,"; ","")))/2+1&gt;(LEN(AB116)-LEN(SUBSTITUTE(AB116,"[Aviso]","")))/7, "Con Incidencias", "Válido")))</f>
        <v/>
      </c>
      <c r="AB116" s="56">
        <f>IF(AND(A116="", B116="", E116=""), "", TEXTJOIN("; ", TRUE, IF(OR(TRIM(A116&amp;"")="", ISNUMBER(SEARCH("FALTA", A116))), "UPC faltante/inválido", ""), IF(AND(A116&lt;&gt;"", IFERROR(_xlfn.XMATCH(A116,$A$2:$A$285,0,1)&lt;&gt;_xlfn.XMATCH(A116,$A$2:$A$285,0,-1),FALSE)), "Código de barras duplicado", ""), IF(AND(E116&lt;&gt;"", COUNTIF($E$2:$E$285, E116)&gt;1), "SKU duplicado", ""), IF(OR(J116="", J116=""), "[Aviso] División no capturada ()", IF(ISNA(MATCH(J116, Criterios!$A$123:$A$126, 0)), "División no válida", "")), IF(OR(K116="", K116=""), "[Aviso] Categoría no capturada ()", IF(ISNA(MATCH(K116, Criterios!$A$81:$A$120, 0)), "Categoría no válida", IF(AND(J116&lt;&gt;"", J116&lt;&gt;"", J116&lt;&gt;VLOOKUP(K116, Criterios!$A$81:$B$120, 2, FALSE)), "División no coincide con Categoría", ""))), IF(OR(L116="", L116=""), "[Aviso] Género no capturado ()", IF(ISNA(MATCH(L116, Criterios!$B$123:$B$127, 0)), "Género no válido", "")), IF(OR(N116="", N116=""), "[Aviso] Temporada no capturada ()", IF(ISNA(MATCH(N116, Criterios!$C$123:$C$128, 0)), "Temporada no válida", "")), IF(OR(O116="", O116=""), "[Aviso] Ciclo de vida no capturado ()", IF(ISNA(MATCH(O116, Criterios!$D$123:$D$124, 0)), "Ciclo de vida no válido", ""))))</f>
        <v/>
      </c>
      <c r="AC116" s="56" t="n"/>
      <c r="AD116" s="51" t="n"/>
      <c r="AE116" s="156" t="n"/>
      <c r="AF116" s="51" t="n"/>
      <c r="AG116" s="156" t="inlineStr">
        <is>
          <t>Nuevo – Odoo Universal Unique Brands 01/10/2026</t>
        </is>
      </c>
      <c r="AH116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«03-001-0064-0733» (Completado por regla) · Validador Shopify: WB: precio con IVA no termina en 9</t>
        </is>
      </c>
      <c r="AI116" s="156" t="n"/>
      <c r="AJ116" s="156" t="n"/>
      <c r="AK116" s="155" t="inlineStr">
        <is>
          <t>Odoo: producto 20929 / plantilla 26932</t>
        </is>
      </c>
      <c r="AL116" s="58" t="n"/>
      <c r="AM116" s="58" t="n"/>
      <c r="AN116" s="155" t="inlineStr">
        <is>
          <t>Odoo Universal Unique Brands</t>
        </is>
      </c>
      <c r="AO116" s="59" t="n"/>
      <c r="AP116" s="59" t="n"/>
      <c r="AQ116" s="59" t="n">
        <v>1</v>
      </c>
      <c r="AR116" s="155" t="inlineStr">
        <is>
          <t>Odoo Universal Unique Brands › Bodega 25 › Bodega 25/General: 1</t>
        </is>
      </c>
    </row>
    <row r="117">
      <c r="A117" s="50" t="inlineStr">
        <is>
          <t>199168046255</t>
        </is>
      </c>
      <c r="B117" s="51" t="n"/>
      <c r="C117" s="156" t="inlineStr">
        <is>
          <t>Roper</t>
        </is>
      </c>
      <c r="D117" s="156" t="inlineStr">
        <is>
          <t>03-001-0064-0733</t>
        </is>
      </c>
      <c r="E117" s="156" t="inlineStr">
        <is>
          <t>03-001-0064-0733 BU-S</t>
        </is>
      </c>
      <c r="F117" s="156" t="inlineStr">
        <is>
          <t>S</t>
        </is>
      </c>
      <c r="G117" s="156" t="inlineStr">
        <is>
          <t>S</t>
        </is>
      </c>
      <c r="H117" s="156" t="inlineStr">
        <is>
          <t>Roper</t>
        </is>
      </c>
      <c r="I117" s="156" t="inlineStr">
        <is>
          <t>ROPER Shirt Ombre Aztecs</t>
        </is>
      </c>
      <c r="J117" s="156" t="inlineStr">
        <is>
          <t>Ropa</t>
        </is>
      </c>
      <c r="K117" s="156" t="inlineStr">
        <is>
          <t>Camisas</t>
        </is>
      </c>
      <c r="L117" s="156" t="n"/>
      <c r="M117" s="156" t="n"/>
      <c r="N117" s="156" t="n"/>
      <c r="O117" s="156" t="n"/>
      <c r="P117" s="156" t="n"/>
      <c r="Q117" s="156" t="n"/>
      <c r="R117" s="156" t="n"/>
      <c r="S117" s="156" t="n"/>
      <c r="T117" s="156" t="n"/>
      <c r="U117" s="156" t="n"/>
      <c r="V117" s="156" t="inlineStr">
        <is>
          <t>PZS</t>
        </is>
      </c>
      <c r="W117" s="51" t="inlineStr">
        <is>
          <t>53101602</t>
        </is>
      </c>
      <c r="X117" s="156" t="n"/>
      <c r="Y117" s="54" t="n">
        <v>25.58</v>
      </c>
      <c r="Z117" s="54" t="n">
        <v>700</v>
      </c>
      <c r="AA117" s="55">
        <f>IF(AND(A117="", B117="", E117=""), "", IF(AB117="", "Válido", IF((LEN(AB117)-LEN(SUBSTITUTE(AB117,"; ","")))/2+1&gt;(LEN(AB117)-LEN(SUBSTITUTE(AB117,"[Aviso]","")))/7, "Con Incidencias", "Válido")))</f>
        <v/>
      </c>
      <c r="AB117" s="56">
        <f>IF(AND(A117="", B117="", E117=""), "", TEXTJOIN("; ", TRUE, IF(OR(TRIM(A117&amp;"")="", ISNUMBER(SEARCH("FALTA", A117))), "UPC faltante/inválido", ""), IF(AND(A117&lt;&gt;"", IFERROR(_xlfn.XMATCH(A117,$A$2:$A$285,0,1)&lt;&gt;_xlfn.XMATCH(A117,$A$2:$A$285,0,-1),FALSE)), "Código de barras duplicado", ""), IF(AND(E117&lt;&gt;"", COUNTIF($E$2:$E$285, E117)&gt;1), "SKU duplicado", ""), IF(OR(J117="", J117=""), "[Aviso] División no capturada ()", IF(ISNA(MATCH(J117, Criterios!$A$123:$A$126, 0)), "División no válida", "")), IF(OR(K117="", K117=""), "[Aviso] Categoría no capturada ()", IF(ISNA(MATCH(K117, Criterios!$A$81:$A$120, 0)), "Categoría no válida", IF(AND(J117&lt;&gt;"", J117&lt;&gt;"", J117&lt;&gt;VLOOKUP(K117, Criterios!$A$81:$B$120, 2, FALSE)), "División no coincide con Categoría", ""))), IF(OR(L117="", L117=""), "[Aviso] Género no capturado ()", IF(ISNA(MATCH(L117, Criterios!$B$123:$B$127, 0)), "Género no válido", "")), IF(OR(N117="", N117=""), "[Aviso] Temporada no capturada ()", IF(ISNA(MATCH(N117, Criterios!$C$123:$C$128, 0)), "Temporada no válida", "")), IF(OR(O117="", O117=""), "[Aviso] Ciclo de vida no capturado ()", IF(ISNA(MATCH(O117, Criterios!$D$123:$D$124, 0)), "Ciclo de vida no válido", ""))))</f>
        <v/>
      </c>
      <c r="AC117" s="56" t="n"/>
      <c r="AD117" s="51" t="n"/>
      <c r="AE117" s="156" t="n"/>
      <c r="AF117" s="51" t="n"/>
      <c r="AG117" s="156" t="inlineStr">
        <is>
          <t>Nuevo – Odoo Universal Unique Brands 01/10/2026</t>
        </is>
      </c>
      <c r="AH117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«03-001-0064-0733» (Completado por regla) · Validador Shopify: WB: precio con IVA no termina en 9</t>
        </is>
      </c>
      <c r="AI117" s="156" t="n"/>
      <c r="AJ117" s="156" t="n"/>
      <c r="AK117" s="155" t="inlineStr">
        <is>
          <t>Odoo: producto 20928 / plantilla 26931</t>
        </is>
      </c>
      <c r="AL117" s="58" t="n"/>
      <c r="AM117" s="58" t="n"/>
      <c r="AN117" s="155" t="inlineStr">
        <is>
          <t>Odoo Universal Unique Brands</t>
        </is>
      </c>
      <c r="AO117" s="59" t="n"/>
      <c r="AP117" s="59" t="n"/>
      <c r="AQ117" s="59" t="n">
        <v>0</v>
      </c>
      <c r="AR117" s="155" t="n"/>
    </row>
    <row r="118">
      <c r="A118" s="50" t="inlineStr">
        <is>
          <t>199168046262</t>
        </is>
      </c>
      <c r="B118" s="51" t="n"/>
      <c r="C118" s="156" t="inlineStr">
        <is>
          <t>Roper</t>
        </is>
      </c>
      <c r="D118" s="156" t="inlineStr">
        <is>
          <t>03-001-0064-0733</t>
        </is>
      </c>
      <c r="E118" s="156" t="inlineStr">
        <is>
          <t>03-001-0064-0733 BU-XL</t>
        </is>
      </c>
      <c r="F118" s="156" t="inlineStr">
        <is>
          <t>XL</t>
        </is>
      </c>
      <c r="G118" s="156" t="inlineStr">
        <is>
          <t>XL</t>
        </is>
      </c>
      <c r="H118" s="156" t="inlineStr">
        <is>
          <t>Roper</t>
        </is>
      </c>
      <c r="I118" s="156" t="inlineStr">
        <is>
          <t>ROPER Shirt Ombre Aztecs</t>
        </is>
      </c>
      <c r="J118" s="156" t="inlineStr">
        <is>
          <t>Ropa</t>
        </is>
      </c>
      <c r="K118" s="156" t="inlineStr">
        <is>
          <t>Camisas</t>
        </is>
      </c>
      <c r="L118" s="156" t="n"/>
      <c r="M118" s="156" t="n"/>
      <c r="N118" s="156" t="n"/>
      <c r="O118" s="156" t="n"/>
      <c r="P118" s="156" t="n"/>
      <c r="Q118" s="156" t="n"/>
      <c r="R118" s="156" t="n"/>
      <c r="S118" s="156" t="n"/>
      <c r="T118" s="156" t="n"/>
      <c r="U118" s="156" t="n"/>
      <c r="V118" s="156" t="inlineStr">
        <is>
          <t>PZS</t>
        </is>
      </c>
      <c r="W118" s="51" t="inlineStr">
        <is>
          <t>53101602</t>
        </is>
      </c>
      <c r="X118" s="156" t="n"/>
      <c r="Y118" s="54" t="n">
        <v>25.58</v>
      </c>
      <c r="Z118" s="54" t="n">
        <v>700</v>
      </c>
      <c r="AA118" s="55">
        <f>IF(AND(A118="", B118="", E118=""), "", IF(AB118="", "Válido", IF((LEN(AB118)-LEN(SUBSTITUTE(AB118,"; ","")))/2+1&gt;(LEN(AB118)-LEN(SUBSTITUTE(AB118,"[Aviso]","")))/7, "Con Incidencias", "Válido")))</f>
        <v/>
      </c>
      <c r="AB118" s="56">
        <f>IF(AND(A118="", B118="", E118=""), "", TEXTJOIN("; ", TRUE, IF(OR(TRIM(A118&amp;"")="", ISNUMBER(SEARCH("FALTA", A118))), "UPC faltante/inválido", ""), IF(AND(A118&lt;&gt;"", IFERROR(_xlfn.XMATCH(A118,$A$2:$A$285,0,1)&lt;&gt;_xlfn.XMATCH(A118,$A$2:$A$285,0,-1),FALSE)), "Código de barras duplicado", ""), IF(AND(E118&lt;&gt;"", COUNTIF($E$2:$E$285, E118)&gt;1), "SKU duplicado", ""), IF(OR(J118="", J118=""), "[Aviso] División no capturada ()", IF(ISNA(MATCH(J118, Criterios!$A$123:$A$126, 0)), "División no válida", "")), IF(OR(K118="", K118=""), "[Aviso] Categoría no capturada ()", IF(ISNA(MATCH(K118, Criterios!$A$81:$A$120, 0)), "Categoría no válida", IF(AND(J118&lt;&gt;"", J118&lt;&gt;"", J118&lt;&gt;VLOOKUP(K118, Criterios!$A$81:$B$120, 2, FALSE)), "División no coincide con Categoría", ""))), IF(OR(L118="", L118=""), "[Aviso] Género no capturado ()", IF(ISNA(MATCH(L118, Criterios!$B$123:$B$127, 0)), "Género no válido", "")), IF(OR(N118="", N118=""), "[Aviso] Temporada no capturada ()", IF(ISNA(MATCH(N118, Criterios!$C$123:$C$128, 0)), "Temporada no válida", "")), IF(OR(O118="", O118=""), "[Aviso] Ciclo de vida no capturado ()", IF(ISNA(MATCH(O118, Criterios!$D$123:$D$124, 0)), "Ciclo de vida no válido", ""))))</f>
        <v/>
      </c>
      <c r="AC118" s="56" t="n"/>
      <c r="AD118" s="51" t="n"/>
      <c r="AE118" s="156" t="n"/>
      <c r="AF118" s="51" t="n"/>
      <c r="AG118" s="156" t="inlineStr">
        <is>
          <t>Nuevo – Odoo Universal Unique Brands 01/10/2026</t>
        </is>
      </c>
      <c r="AH118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«03-001-0064-0733» (Completado por regla) · Validador Shopify: WB: precio con IVA no termina en 9</t>
        </is>
      </c>
      <c r="AI118" s="156" t="n"/>
      <c r="AJ118" s="156" t="n"/>
      <c r="AK118" s="155" t="inlineStr">
        <is>
          <t>Odoo: producto 20931 / plantilla 26934</t>
        </is>
      </c>
      <c r="AL118" s="58" t="n"/>
      <c r="AM118" s="58" t="n"/>
      <c r="AN118" s="155" t="inlineStr">
        <is>
          <t>Odoo Universal Unique Brands</t>
        </is>
      </c>
      <c r="AO118" s="59" t="n"/>
      <c r="AP118" s="59" t="n"/>
      <c r="AQ118" s="59" t="n">
        <v>0</v>
      </c>
      <c r="AR118" s="155" t="n"/>
    </row>
    <row r="119">
      <c r="A119" s="50" t="inlineStr">
        <is>
          <t>199168046293</t>
        </is>
      </c>
      <c r="B119" s="51" t="n"/>
      <c r="C119" s="156" t="inlineStr">
        <is>
          <t>Roper</t>
        </is>
      </c>
      <c r="D119" s="156" t="inlineStr">
        <is>
          <t>03-001-0067-0740</t>
        </is>
      </c>
      <c r="E119" s="156" t="inlineStr">
        <is>
          <t>03-001-0067-0740 BU-L</t>
        </is>
      </c>
      <c r="F119" s="156" t="inlineStr">
        <is>
          <t>L</t>
        </is>
      </c>
      <c r="G119" s="156" t="inlineStr">
        <is>
          <t>L</t>
        </is>
      </c>
      <c r="H119" s="156" t="inlineStr">
        <is>
          <t>Roper</t>
        </is>
      </c>
      <c r="I119" s="156" t="inlineStr">
        <is>
          <t>ROPER Shirt Aztec Serape Print</t>
        </is>
      </c>
      <c r="J119" s="156" t="inlineStr">
        <is>
          <t>Ropa</t>
        </is>
      </c>
      <c r="K119" s="156" t="inlineStr">
        <is>
          <t>Camisas</t>
        </is>
      </c>
      <c r="L119" s="156" t="n"/>
      <c r="M119" s="156" t="n"/>
      <c r="N119" s="156" t="n"/>
      <c r="O119" s="156" t="n"/>
      <c r="P119" s="156" t="n"/>
      <c r="Q119" s="156" t="n"/>
      <c r="R119" s="156" t="n"/>
      <c r="S119" s="156" t="n"/>
      <c r="T119" s="156" t="n"/>
      <c r="U119" s="156" t="n"/>
      <c r="V119" s="156" t="inlineStr">
        <is>
          <t>PZS</t>
        </is>
      </c>
      <c r="W119" s="51" t="inlineStr">
        <is>
          <t>53101602</t>
        </is>
      </c>
      <c r="X119" s="156" t="n"/>
      <c r="Y119" s="54" t="n">
        <v>25.58</v>
      </c>
      <c r="Z119" s="54" t="n">
        <v>700</v>
      </c>
      <c r="AA119" s="55">
        <f>IF(AND(A119="", B119="", E119=""), "", IF(AB119="", "Válido", IF((LEN(AB119)-LEN(SUBSTITUTE(AB119,"; ","")))/2+1&gt;(LEN(AB119)-LEN(SUBSTITUTE(AB119,"[Aviso]","")))/7, "Con Incidencias", "Válido")))</f>
        <v/>
      </c>
      <c r="AB119" s="56">
        <f>IF(AND(A119="", B119="", E119=""), "", TEXTJOIN("; ", TRUE, IF(OR(TRIM(A119&amp;"")="", ISNUMBER(SEARCH("FALTA", A119))), "UPC faltante/inválido", ""), IF(AND(A119&lt;&gt;"", IFERROR(_xlfn.XMATCH(A119,$A$2:$A$285,0,1)&lt;&gt;_xlfn.XMATCH(A119,$A$2:$A$285,0,-1),FALSE)), "Código de barras duplicado", ""), IF(AND(E119&lt;&gt;"", COUNTIF($E$2:$E$285, E119)&gt;1), "SKU duplicado", ""), IF(OR(J119="", J119=""), "[Aviso] División no capturada ()", IF(ISNA(MATCH(J119, Criterios!$A$123:$A$126, 0)), "División no válida", "")), IF(OR(K119="", K119=""), "[Aviso] Categoría no capturada ()", IF(ISNA(MATCH(K119, Criterios!$A$81:$A$120, 0)), "Categoría no válida", IF(AND(J119&lt;&gt;"", J119&lt;&gt;"", J119&lt;&gt;VLOOKUP(K119, Criterios!$A$81:$B$120, 2, FALSE)), "División no coincide con Categoría", ""))), IF(OR(L119="", L119=""), "[Aviso] Género no capturado ()", IF(ISNA(MATCH(L119, Criterios!$B$123:$B$127, 0)), "Género no válido", "")), IF(OR(N119="", N119=""), "[Aviso] Temporada no capturada ()", IF(ISNA(MATCH(N119, Criterios!$C$123:$C$128, 0)), "Temporada no válida", "")), IF(OR(O119="", O119=""), "[Aviso] Ciclo de vida no capturado ()", IF(ISNA(MATCH(O119, Criterios!$D$123:$D$124, 0)), "Ciclo de vida no válido", ""))))</f>
        <v/>
      </c>
      <c r="AC119" s="56" t="n"/>
      <c r="AD119" s="51" t="n"/>
      <c r="AE119" s="156" t="n"/>
      <c r="AF119" s="51" t="n"/>
      <c r="AG119" s="156" t="inlineStr">
        <is>
          <t>Nuevo – Odoo Universal Unique Brands 01/10/2026</t>
        </is>
      </c>
      <c r="AH119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«03-001-0067-0740» (Completado por regla) · Validador Shopify: WB: precio con IVA no termina en 9</t>
        </is>
      </c>
      <c r="AI119" s="156" t="n"/>
      <c r="AJ119" s="156" t="n"/>
      <c r="AK119" s="155" t="inlineStr">
        <is>
          <t>Odoo: producto 21570 / plantilla 27581</t>
        </is>
      </c>
      <c r="AL119" s="58" t="n"/>
      <c r="AM119" s="58" t="n"/>
      <c r="AN119" s="155" t="inlineStr">
        <is>
          <t>Odoo Universal Unique Brands</t>
        </is>
      </c>
      <c r="AO119" s="59" t="n"/>
      <c r="AP119" s="59" t="n"/>
      <c r="AQ119" s="59" t="n">
        <v>5</v>
      </c>
      <c r="AR119" s="155" t="inlineStr">
        <is>
          <t>Odoo Universal Unique Brands › Bodega 25 › Bodega 25/General: 5</t>
        </is>
      </c>
    </row>
    <row r="120">
      <c r="A120" s="50" t="inlineStr">
        <is>
          <t>199168046309</t>
        </is>
      </c>
      <c r="B120" s="51" t="n"/>
      <c r="C120" s="156" t="inlineStr">
        <is>
          <t>Roper</t>
        </is>
      </c>
      <c r="D120" s="156" t="inlineStr">
        <is>
          <t>03-001-0067-0740</t>
        </is>
      </c>
      <c r="E120" s="156" t="inlineStr">
        <is>
          <t>03-001-0067-0740 BU-M</t>
        </is>
      </c>
      <c r="F120" s="156" t="inlineStr">
        <is>
          <t>M</t>
        </is>
      </c>
      <c r="G120" s="156" t="inlineStr">
        <is>
          <t>M</t>
        </is>
      </c>
      <c r="H120" s="156" t="inlineStr">
        <is>
          <t>Roper</t>
        </is>
      </c>
      <c r="I120" s="156" t="inlineStr">
        <is>
          <t>ROPER Shirt Aztec Serape Print</t>
        </is>
      </c>
      <c r="J120" s="156" t="inlineStr">
        <is>
          <t>Ropa</t>
        </is>
      </c>
      <c r="K120" s="156" t="inlineStr">
        <is>
          <t>Camisas</t>
        </is>
      </c>
      <c r="L120" s="156" t="n"/>
      <c r="M120" s="156" t="n"/>
      <c r="N120" s="156" t="n"/>
      <c r="O120" s="156" t="n"/>
      <c r="P120" s="156" t="n"/>
      <c r="Q120" s="156" t="n"/>
      <c r="R120" s="156" t="n"/>
      <c r="S120" s="156" t="n"/>
      <c r="T120" s="156" t="n"/>
      <c r="U120" s="156" t="n"/>
      <c r="V120" s="156" t="inlineStr">
        <is>
          <t>PZS</t>
        </is>
      </c>
      <c r="W120" s="51" t="inlineStr">
        <is>
          <t>53101602</t>
        </is>
      </c>
      <c r="X120" s="156" t="n"/>
      <c r="Y120" s="54" t="n">
        <v>25.58</v>
      </c>
      <c r="Z120" s="54" t="n">
        <v>700</v>
      </c>
      <c r="AA120" s="55">
        <f>IF(AND(A120="", B120="", E120=""), "", IF(AB120="", "Válido", IF((LEN(AB120)-LEN(SUBSTITUTE(AB120,"; ","")))/2+1&gt;(LEN(AB120)-LEN(SUBSTITUTE(AB120,"[Aviso]","")))/7, "Con Incidencias", "Válido")))</f>
        <v/>
      </c>
      <c r="AB120" s="56">
        <f>IF(AND(A120="", B120="", E120=""), "", TEXTJOIN("; ", TRUE, IF(OR(TRIM(A120&amp;"")="", ISNUMBER(SEARCH("FALTA", A120))), "UPC faltante/inválido", ""), IF(AND(A120&lt;&gt;"", IFERROR(_xlfn.XMATCH(A120,$A$2:$A$285,0,1)&lt;&gt;_xlfn.XMATCH(A120,$A$2:$A$285,0,-1),FALSE)), "Código de barras duplicado", ""), IF(AND(E120&lt;&gt;"", COUNTIF($E$2:$E$285, E120)&gt;1), "SKU duplicado", ""), IF(OR(J120="", J120=""), "[Aviso] División no capturada ()", IF(ISNA(MATCH(J120, Criterios!$A$123:$A$126, 0)), "División no válida", "")), IF(OR(K120="", K120=""), "[Aviso] Categoría no capturada ()", IF(ISNA(MATCH(K120, Criterios!$A$81:$A$120, 0)), "Categoría no válida", IF(AND(J120&lt;&gt;"", J120&lt;&gt;"", J120&lt;&gt;VLOOKUP(K120, Criterios!$A$81:$B$120, 2, FALSE)), "División no coincide con Categoría", ""))), IF(OR(L120="", L120=""), "[Aviso] Género no capturado ()", IF(ISNA(MATCH(L120, Criterios!$B$123:$B$127, 0)), "Género no válido", "")), IF(OR(N120="", N120=""), "[Aviso] Temporada no capturada ()", IF(ISNA(MATCH(N120, Criterios!$C$123:$C$128, 0)), "Temporada no válida", "")), IF(OR(O120="", O120=""), "[Aviso] Ciclo de vida no capturado ()", IF(ISNA(MATCH(O120, Criterios!$D$123:$D$124, 0)), "Ciclo de vida no válido", ""))))</f>
        <v/>
      </c>
      <c r="AC120" s="56" t="n"/>
      <c r="AD120" s="51" t="n"/>
      <c r="AE120" s="156" t="n"/>
      <c r="AF120" s="51" t="n"/>
      <c r="AG120" s="156" t="inlineStr">
        <is>
          <t>Nuevo – Odoo Universal Unique Brands 01/10/2026</t>
        </is>
      </c>
      <c r="AH120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«03-001-0067-0740» (Completado por regla) · Validador Shopify: WB: precio con IVA no termina en 9</t>
        </is>
      </c>
      <c r="AI120" s="156" t="n"/>
      <c r="AJ120" s="156" t="n"/>
      <c r="AK120" s="155" t="inlineStr">
        <is>
          <t>Odoo: producto 21569 / plantilla 27580</t>
        </is>
      </c>
      <c r="AL120" s="58" t="n"/>
      <c r="AM120" s="58" t="n"/>
      <c r="AN120" s="155" t="inlineStr">
        <is>
          <t>Odoo Universal Unique Brands</t>
        </is>
      </c>
      <c r="AO120" s="59" t="n"/>
      <c r="AP120" s="59" t="n"/>
      <c r="AQ120" s="59" t="n">
        <v>5</v>
      </c>
      <c r="AR120" s="155" t="inlineStr">
        <is>
          <t>Odoo Universal Unique Brands › Bodega 25 › Bodega 25/General: 5</t>
        </is>
      </c>
    </row>
    <row r="121">
      <c r="A121" s="50" t="inlineStr">
        <is>
          <t>199168046316</t>
        </is>
      </c>
      <c r="B121" s="51" t="n"/>
      <c r="C121" s="156" t="inlineStr">
        <is>
          <t>Roper</t>
        </is>
      </c>
      <c r="D121" s="156" t="inlineStr">
        <is>
          <t>03-001-0067-0740</t>
        </is>
      </c>
      <c r="E121" s="156" t="inlineStr">
        <is>
          <t>03-001-0067-0740 BU-S</t>
        </is>
      </c>
      <c r="F121" s="156" t="inlineStr">
        <is>
          <t>S</t>
        </is>
      </c>
      <c r="G121" s="156" t="inlineStr">
        <is>
          <t>S</t>
        </is>
      </c>
      <c r="H121" s="156" t="inlineStr">
        <is>
          <t>Roper</t>
        </is>
      </c>
      <c r="I121" s="156" t="inlineStr">
        <is>
          <t>ROPER Shirt Aztec Serape Print</t>
        </is>
      </c>
      <c r="J121" s="156" t="inlineStr">
        <is>
          <t>Ropa</t>
        </is>
      </c>
      <c r="K121" s="156" t="inlineStr">
        <is>
          <t>Camisas</t>
        </is>
      </c>
      <c r="L121" s="156" t="n"/>
      <c r="M121" s="156" t="n"/>
      <c r="N121" s="156" t="n"/>
      <c r="O121" s="156" t="n"/>
      <c r="P121" s="156" t="n"/>
      <c r="Q121" s="156" t="n"/>
      <c r="R121" s="156" t="n"/>
      <c r="S121" s="156" t="n"/>
      <c r="T121" s="156" t="n"/>
      <c r="U121" s="156" t="n"/>
      <c r="V121" s="156" t="inlineStr">
        <is>
          <t>PZS</t>
        </is>
      </c>
      <c r="W121" s="51" t="inlineStr">
        <is>
          <t>53101602</t>
        </is>
      </c>
      <c r="X121" s="156" t="n"/>
      <c r="Y121" s="54" t="n">
        <v>25.58</v>
      </c>
      <c r="Z121" s="54" t="n">
        <v>700</v>
      </c>
      <c r="AA121" s="55">
        <f>IF(AND(A121="", B121="", E121=""), "", IF(AB121="", "Válido", IF((LEN(AB121)-LEN(SUBSTITUTE(AB121,"; ","")))/2+1&gt;(LEN(AB121)-LEN(SUBSTITUTE(AB121,"[Aviso]","")))/7, "Con Incidencias", "Válido")))</f>
        <v/>
      </c>
      <c r="AB121" s="56">
        <f>IF(AND(A121="", B121="", E121=""), "", TEXTJOIN("; ", TRUE, IF(OR(TRIM(A121&amp;"")="", ISNUMBER(SEARCH("FALTA", A121))), "UPC faltante/inválido", ""), IF(AND(A121&lt;&gt;"", IFERROR(_xlfn.XMATCH(A121,$A$2:$A$285,0,1)&lt;&gt;_xlfn.XMATCH(A121,$A$2:$A$285,0,-1),FALSE)), "Código de barras duplicado", ""), IF(AND(E121&lt;&gt;"", COUNTIF($E$2:$E$285, E121)&gt;1), "SKU duplicado", ""), IF(OR(J121="", J121=""), "[Aviso] División no capturada ()", IF(ISNA(MATCH(J121, Criterios!$A$123:$A$126, 0)), "División no válida", "")), IF(OR(K121="", K121=""), "[Aviso] Categoría no capturada ()", IF(ISNA(MATCH(K121, Criterios!$A$81:$A$120, 0)), "Categoría no válida", IF(AND(J121&lt;&gt;"", J121&lt;&gt;"", J121&lt;&gt;VLOOKUP(K121, Criterios!$A$81:$B$120, 2, FALSE)), "División no coincide con Categoría", ""))), IF(OR(L121="", L121=""), "[Aviso] Género no capturado ()", IF(ISNA(MATCH(L121, Criterios!$B$123:$B$127, 0)), "Género no válido", "")), IF(OR(N121="", N121=""), "[Aviso] Temporada no capturada ()", IF(ISNA(MATCH(N121, Criterios!$C$123:$C$128, 0)), "Temporada no válida", "")), IF(OR(O121="", O121=""), "[Aviso] Ciclo de vida no capturado ()", IF(ISNA(MATCH(O121, Criterios!$D$123:$D$124, 0)), "Ciclo de vida no válido", ""))))</f>
        <v/>
      </c>
      <c r="AC121" s="56" t="n"/>
      <c r="AD121" s="51" t="n"/>
      <c r="AE121" s="156" t="n"/>
      <c r="AF121" s="51" t="n"/>
      <c r="AG121" s="156" t="inlineStr">
        <is>
          <t>Nuevo – Odoo Universal Unique Brands 01/10/2026</t>
        </is>
      </c>
      <c r="AH121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«03-001-0067-0740» (Completado por regla) · Validador Shopify: WB: precio con IVA no termina en 9</t>
        </is>
      </c>
      <c r="AI121" s="156" t="n"/>
      <c r="AJ121" s="156" t="n"/>
      <c r="AK121" s="155" t="inlineStr">
        <is>
          <t>Odoo: producto 21081 / plantilla 27084</t>
        </is>
      </c>
      <c r="AL121" s="58" t="n"/>
      <c r="AM121" s="58" t="n"/>
      <c r="AN121" s="155" t="inlineStr">
        <is>
          <t>Odoo Universal Unique Brands</t>
        </is>
      </c>
      <c r="AO121" s="59" t="n"/>
      <c r="AP121" s="59" t="n"/>
      <c r="AQ121" s="59" t="n">
        <v>5</v>
      </c>
      <c r="AR121" s="155" t="inlineStr">
        <is>
          <t>Odoo Universal Unique Brands › Bodega 25 › Bodega 25/General: 5</t>
        </is>
      </c>
    </row>
    <row r="122">
      <c r="A122" s="50" t="inlineStr">
        <is>
          <t>199168046323</t>
        </is>
      </c>
      <c r="B122" s="51" t="n"/>
      <c r="C122" s="156" t="inlineStr">
        <is>
          <t>Roper</t>
        </is>
      </c>
      <c r="D122" s="156" t="inlineStr">
        <is>
          <t>03-001-0067-0740</t>
        </is>
      </c>
      <c r="E122" s="156" t="inlineStr">
        <is>
          <t>03-001-0067-0740 BU-XL</t>
        </is>
      </c>
      <c r="F122" s="156" t="inlineStr">
        <is>
          <t>XL</t>
        </is>
      </c>
      <c r="G122" s="156" t="inlineStr">
        <is>
          <t>XL</t>
        </is>
      </c>
      <c r="H122" s="156" t="inlineStr">
        <is>
          <t>Roper</t>
        </is>
      </c>
      <c r="I122" s="156" t="inlineStr">
        <is>
          <t>ROPER Shirt Aztec Serape Print</t>
        </is>
      </c>
      <c r="J122" s="156" t="inlineStr">
        <is>
          <t>Ropa</t>
        </is>
      </c>
      <c r="K122" s="156" t="inlineStr">
        <is>
          <t>Camisas</t>
        </is>
      </c>
      <c r="L122" s="156" t="n"/>
      <c r="M122" s="156" t="n"/>
      <c r="N122" s="156" t="n"/>
      <c r="O122" s="156" t="n"/>
      <c r="P122" s="156" t="n"/>
      <c r="Q122" s="156" t="n"/>
      <c r="R122" s="156" t="n"/>
      <c r="S122" s="156" t="n"/>
      <c r="T122" s="156" t="n"/>
      <c r="U122" s="156" t="n"/>
      <c r="V122" s="156" t="inlineStr">
        <is>
          <t>PZS</t>
        </is>
      </c>
      <c r="W122" s="51" t="inlineStr">
        <is>
          <t>53101602</t>
        </is>
      </c>
      <c r="X122" s="156" t="n"/>
      <c r="Y122" s="54" t="n">
        <v>25.58</v>
      </c>
      <c r="Z122" s="54" t="n">
        <v>700</v>
      </c>
      <c r="AA122" s="55">
        <f>IF(AND(A122="", B122="", E122=""), "", IF(AB122="", "Válido", IF((LEN(AB122)-LEN(SUBSTITUTE(AB122,"; ","")))/2+1&gt;(LEN(AB122)-LEN(SUBSTITUTE(AB122,"[Aviso]","")))/7, "Con Incidencias", "Válido")))</f>
        <v/>
      </c>
      <c r="AB122" s="56">
        <f>IF(AND(A122="", B122="", E122=""), "", TEXTJOIN("; ", TRUE, IF(OR(TRIM(A122&amp;"")="", ISNUMBER(SEARCH("FALTA", A122))), "UPC faltante/inválido", ""), IF(AND(A122&lt;&gt;"", IFERROR(_xlfn.XMATCH(A122,$A$2:$A$285,0,1)&lt;&gt;_xlfn.XMATCH(A122,$A$2:$A$285,0,-1),FALSE)), "Código de barras duplicado", ""), IF(AND(E122&lt;&gt;"", COUNTIF($E$2:$E$285, E122)&gt;1), "SKU duplicado", ""), IF(OR(J122="", J122=""), "[Aviso] División no capturada ()", IF(ISNA(MATCH(J122, Criterios!$A$123:$A$126, 0)), "División no válida", "")), IF(OR(K122="", K122=""), "[Aviso] Categoría no capturada ()", IF(ISNA(MATCH(K122, Criterios!$A$81:$A$120, 0)), "Categoría no válida", IF(AND(J122&lt;&gt;"", J122&lt;&gt;"", J122&lt;&gt;VLOOKUP(K122, Criterios!$A$81:$B$120, 2, FALSE)), "División no coincide con Categoría", ""))), IF(OR(L122="", L122=""), "[Aviso] Género no capturado ()", IF(ISNA(MATCH(L122, Criterios!$B$123:$B$127, 0)), "Género no válido", "")), IF(OR(N122="", N122=""), "[Aviso] Temporada no capturada ()", IF(ISNA(MATCH(N122, Criterios!$C$123:$C$128, 0)), "Temporada no válida", "")), IF(OR(O122="", O122=""), "[Aviso] Ciclo de vida no capturado ()", IF(ISNA(MATCH(O122, Criterios!$D$123:$D$124, 0)), "Ciclo de vida no válido", ""))))</f>
        <v/>
      </c>
      <c r="AC122" s="56" t="n"/>
      <c r="AD122" s="51" t="n"/>
      <c r="AE122" s="156" t="n"/>
      <c r="AF122" s="51" t="n"/>
      <c r="AG122" s="156" t="inlineStr">
        <is>
          <t>Nuevo – Odoo Universal Unique Brands 01/10/2026</t>
        </is>
      </c>
      <c r="AH122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«03-001-0067-0740» (Completado por regla) · Validador Shopify: WB: precio con IVA no termina en 9</t>
        </is>
      </c>
      <c r="AI122" s="156" t="n"/>
      <c r="AJ122" s="156" t="n"/>
      <c r="AK122" s="155" t="inlineStr">
        <is>
          <t>Odoo: producto 21084 / plantilla 27087</t>
        </is>
      </c>
      <c r="AL122" s="58" t="n"/>
      <c r="AM122" s="58" t="n"/>
      <c r="AN122" s="155" t="inlineStr">
        <is>
          <t>Odoo Universal Unique Brands</t>
        </is>
      </c>
      <c r="AO122" s="59" t="n"/>
      <c r="AP122" s="59" t="n"/>
      <c r="AQ122" s="59" t="n">
        <v>5</v>
      </c>
      <c r="AR122" s="155" t="inlineStr">
        <is>
          <t>Odoo Universal Unique Brands › Bodega 25 › Bodega 25/General: 5</t>
        </is>
      </c>
    </row>
    <row r="123">
      <c r="A123" s="50" t="inlineStr">
        <is>
          <t>199168046415</t>
        </is>
      </c>
      <c r="B123" s="51" t="n"/>
      <c r="C123" s="156" t="inlineStr">
        <is>
          <t>Roper</t>
        </is>
      </c>
      <c r="D123" s="156" t="inlineStr">
        <is>
          <t>03-001-0067-0742</t>
        </is>
      </c>
      <c r="E123" s="156" t="inlineStr">
        <is>
          <t>03-001-0067-0742 BR-L</t>
        </is>
      </c>
      <c r="F123" s="156" t="inlineStr">
        <is>
          <t>L</t>
        </is>
      </c>
      <c r="G123" s="156" t="inlineStr">
        <is>
          <t>L</t>
        </is>
      </c>
      <c r="H123" s="156" t="inlineStr">
        <is>
          <t>Roper</t>
        </is>
      </c>
      <c r="I123" s="156" t="inlineStr">
        <is>
          <t>ROPER Shirt Distressed Aztec Print</t>
        </is>
      </c>
      <c r="J123" s="156" t="inlineStr">
        <is>
          <t>Ropa</t>
        </is>
      </c>
      <c r="K123" s="156" t="inlineStr">
        <is>
          <t>Camisas</t>
        </is>
      </c>
      <c r="L123" s="156" t="n"/>
      <c r="M123" s="156" t="n"/>
      <c r="N123" s="156" t="n"/>
      <c r="O123" s="156" t="n"/>
      <c r="P123" s="156" t="n"/>
      <c r="Q123" s="156" t="n"/>
      <c r="R123" s="156" t="n"/>
      <c r="S123" s="156" t="n"/>
      <c r="T123" s="156" t="n"/>
      <c r="U123" s="156" t="n"/>
      <c r="V123" s="156" t="inlineStr">
        <is>
          <t>PZS</t>
        </is>
      </c>
      <c r="W123" s="51" t="inlineStr">
        <is>
          <t>53101602</t>
        </is>
      </c>
      <c r="X123" s="156" t="n"/>
      <c r="Y123" s="54" t="n">
        <v>25.58</v>
      </c>
      <c r="Z123" s="54" t="n">
        <v>700</v>
      </c>
      <c r="AA123" s="55">
        <f>IF(AND(A123="", B123="", E123=""), "", IF(AB123="", "Válido", IF((LEN(AB123)-LEN(SUBSTITUTE(AB123,"; ","")))/2+1&gt;(LEN(AB123)-LEN(SUBSTITUTE(AB123,"[Aviso]","")))/7, "Con Incidencias", "Válido")))</f>
        <v/>
      </c>
      <c r="AB123" s="56">
        <f>IF(AND(A123="", B123="", E123=""), "", TEXTJOIN("; ", TRUE, IF(OR(TRIM(A123&amp;"")="", ISNUMBER(SEARCH("FALTA", A123))), "UPC faltante/inválido", ""), IF(AND(A123&lt;&gt;"", IFERROR(_xlfn.XMATCH(A123,$A$2:$A$285,0,1)&lt;&gt;_xlfn.XMATCH(A123,$A$2:$A$285,0,-1),FALSE)), "Código de barras duplicado", ""), IF(AND(E123&lt;&gt;"", COUNTIF($E$2:$E$285, E123)&gt;1), "SKU duplicado", ""), IF(OR(J123="", J123=""), "[Aviso] División no capturada ()", IF(ISNA(MATCH(J123, Criterios!$A$123:$A$126, 0)), "División no válida", "")), IF(OR(K123="", K123=""), "[Aviso] Categoría no capturada ()", IF(ISNA(MATCH(K123, Criterios!$A$81:$A$120, 0)), "Categoría no válida", IF(AND(J123&lt;&gt;"", J123&lt;&gt;"", J123&lt;&gt;VLOOKUP(K123, Criterios!$A$81:$B$120, 2, FALSE)), "División no coincide con Categoría", ""))), IF(OR(L123="", L123=""), "[Aviso] Género no capturado ()", IF(ISNA(MATCH(L123, Criterios!$B$123:$B$127, 0)), "Género no válido", "")), IF(OR(N123="", N123=""), "[Aviso] Temporada no capturada ()", IF(ISNA(MATCH(N123, Criterios!$C$123:$C$128, 0)), "Temporada no válida", "")), IF(OR(O123="", O123=""), "[Aviso] Ciclo de vida no capturado ()", IF(ISNA(MATCH(O123, Criterios!$D$123:$D$124, 0)), "Ciclo de vida no válido", ""))))</f>
        <v/>
      </c>
      <c r="AC123" s="56" t="n"/>
      <c r="AD123" s="51" t="n"/>
      <c r="AE123" s="156" t="n"/>
      <c r="AF123" s="51" t="n"/>
      <c r="AG123" s="156" t="inlineStr">
        <is>
          <t>Nuevo – Odoo Universal Unique Brands 01/10/2026</t>
        </is>
      </c>
      <c r="AH123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«03-001-0067-0742» (Completado por regla) · Validador Shopify: WB: precio con IVA no termina en 9</t>
        </is>
      </c>
      <c r="AI123" s="156" t="n"/>
      <c r="AJ123" s="156" t="n"/>
      <c r="AK123" s="155" t="inlineStr">
        <is>
          <t>Odoo: producto 20913 / plantilla 26916</t>
        </is>
      </c>
      <c r="AL123" s="58" t="n"/>
      <c r="AM123" s="58" t="n"/>
      <c r="AN123" s="155" t="inlineStr">
        <is>
          <t>Odoo Universal Unique Brands</t>
        </is>
      </c>
      <c r="AO123" s="59" t="n"/>
      <c r="AP123" s="59" t="n"/>
      <c r="AQ123" s="59" t="n">
        <v>20</v>
      </c>
      <c r="AR123" s="155" t="inlineStr">
        <is>
          <t>Odoo Universal Unique Brands › Bodega 25 › Bodega 25/General: 20</t>
        </is>
      </c>
    </row>
    <row r="124">
      <c r="A124" s="50" t="inlineStr">
        <is>
          <t>199168046422</t>
        </is>
      </c>
      <c r="B124" s="51" t="n"/>
      <c r="C124" s="156" t="inlineStr">
        <is>
          <t>Roper</t>
        </is>
      </c>
      <c r="D124" s="156" t="inlineStr">
        <is>
          <t>03-001-0067-0742</t>
        </is>
      </c>
      <c r="E124" s="156" t="inlineStr">
        <is>
          <t>03-001-0067-0742 BR-M</t>
        </is>
      </c>
      <c r="F124" s="156" t="inlineStr">
        <is>
          <t>M</t>
        </is>
      </c>
      <c r="G124" s="156" t="inlineStr">
        <is>
          <t>M</t>
        </is>
      </c>
      <c r="H124" s="156" t="inlineStr">
        <is>
          <t>Roper</t>
        </is>
      </c>
      <c r="I124" s="156" t="inlineStr">
        <is>
          <t>ROPER Shirt Distressed Aztec Print</t>
        </is>
      </c>
      <c r="J124" s="156" t="inlineStr">
        <is>
          <t>Ropa</t>
        </is>
      </c>
      <c r="K124" s="156" t="inlineStr">
        <is>
          <t>Camisas</t>
        </is>
      </c>
      <c r="L124" s="156" t="n"/>
      <c r="M124" s="156" t="n"/>
      <c r="N124" s="156" t="n"/>
      <c r="O124" s="156" t="n"/>
      <c r="P124" s="156" t="n"/>
      <c r="Q124" s="156" t="n"/>
      <c r="R124" s="156" t="n"/>
      <c r="S124" s="156" t="n"/>
      <c r="T124" s="156" t="n"/>
      <c r="U124" s="156" t="n"/>
      <c r="V124" s="156" t="inlineStr">
        <is>
          <t>PZS</t>
        </is>
      </c>
      <c r="W124" s="51" t="inlineStr">
        <is>
          <t>53101602</t>
        </is>
      </c>
      <c r="X124" s="156" t="n"/>
      <c r="Y124" s="54" t="n">
        <v>25.58</v>
      </c>
      <c r="Z124" s="54" t="n">
        <v>700</v>
      </c>
      <c r="AA124" s="55">
        <f>IF(AND(A124="", B124="", E124=""), "", IF(AB124="", "Válido", IF((LEN(AB124)-LEN(SUBSTITUTE(AB124,"; ","")))/2+1&gt;(LEN(AB124)-LEN(SUBSTITUTE(AB124,"[Aviso]","")))/7, "Con Incidencias", "Válido")))</f>
        <v/>
      </c>
      <c r="AB124" s="56">
        <f>IF(AND(A124="", B124="", E124=""), "", TEXTJOIN("; ", TRUE, IF(OR(TRIM(A124&amp;"")="", ISNUMBER(SEARCH("FALTA", A124))), "UPC faltante/inválido", ""), IF(AND(A124&lt;&gt;"", IFERROR(_xlfn.XMATCH(A124,$A$2:$A$285,0,1)&lt;&gt;_xlfn.XMATCH(A124,$A$2:$A$285,0,-1),FALSE)), "Código de barras duplicado", ""), IF(AND(E124&lt;&gt;"", COUNTIF($E$2:$E$285, E124)&gt;1), "SKU duplicado", ""), IF(OR(J124="", J124=""), "[Aviso] División no capturada ()", IF(ISNA(MATCH(J124, Criterios!$A$123:$A$126, 0)), "División no válida", "")), IF(OR(K124="", K124=""), "[Aviso] Categoría no capturada ()", IF(ISNA(MATCH(K124, Criterios!$A$81:$A$120, 0)), "Categoría no válida", IF(AND(J124&lt;&gt;"", J124&lt;&gt;"", J124&lt;&gt;VLOOKUP(K124, Criterios!$A$81:$B$120, 2, FALSE)), "División no coincide con Categoría", ""))), IF(OR(L124="", L124=""), "[Aviso] Género no capturado ()", IF(ISNA(MATCH(L124, Criterios!$B$123:$B$127, 0)), "Género no válido", "")), IF(OR(N124="", N124=""), "[Aviso] Temporada no capturada ()", IF(ISNA(MATCH(N124, Criterios!$C$123:$C$128, 0)), "Temporada no válida", "")), IF(OR(O124="", O124=""), "[Aviso] Ciclo de vida no capturado ()", IF(ISNA(MATCH(O124, Criterios!$D$123:$D$124, 0)), "Ciclo de vida no válido", ""))))</f>
        <v/>
      </c>
      <c r="AC124" s="56" t="n"/>
      <c r="AD124" s="51" t="n"/>
      <c r="AE124" s="156" t="n"/>
      <c r="AF124" s="51" t="n"/>
      <c r="AG124" s="156" t="inlineStr">
        <is>
          <t>Nuevo – Odoo Universal Unique Brands 01/10/2026</t>
        </is>
      </c>
      <c r="AH124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«03-001-0067-0742» (Completado por regla) · Validador Shopify: WB: precio con IVA no termina en 9</t>
        </is>
      </c>
      <c r="AI124" s="156" t="n"/>
      <c r="AJ124" s="156" t="n"/>
      <c r="AK124" s="155" t="inlineStr">
        <is>
          <t>Odoo: producto 20912 / plantilla 26915</t>
        </is>
      </c>
      <c r="AL124" s="58" t="n"/>
      <c r="AM124" s="58" t="n"/>
      <c r="AN124" s="155" t="inlineStr">
        <is>
          <t>Odoo Universal Unique Brands</t>
        </is>
      </c>
      <c r="AO124" s="59" t="n"/>
      <c r="AP124" s="59" t="n"/>
      <c r="AQ124" s="59" t="n">
        <v>17</v>
      </c>
      <c r="AR124" s="155" t="inlineStr">
        <is>
          <t>Odoo Universal Unique Brands › Bodega 25 › Bodega 25/General: 17</t>
        </is>
      </c>
    </row>
    <row r="125">
      <c r="A125" s="50" t="inlineStr">
        <is>
          <t>199168046439</t>
        </is>
      </c>
      <c r="B125" s="51" t="n"/>
      <c r="C125" s="156" t="inlineStr">
        <is>
          <t>Roper</t>
        </is>
      </c>
      <c r="D125" s="156" t="inlineStr">
        <is>
          <t>03-001-0067-0742</t>
        </is>
      </c>
      <c r="E125" s="156" t="inlineStr">
        <is>
          <t>03-001-0067-0742 BR-S</t>
        </is>
      </c>
      <c r="F125" s="156" t="inlineStr">
        <is>
          <t>S</t>
        </is>
      </c>
      <c r="G125" s="156" t="inlineStr">
        <is>
          <t>S</t>
        </is>
      </c>
      <c r="H125" s="156" t="inlineStr">
        <is>
          <t>Roper</t>
        </is>
      </c>
      <c r="I125" s="156" t="inlineStr">
        <is>
          <t>ROPER Shirt Distressed Aztec Print</t>
        </is>
      </c>
      <c r="J125" s="156" t="inlineStr">
        <is>
          <t>Ropa</t>
        </is>
      </c>
      <c r="K125" s="156" t="inlineStr">
        <is>
          <t>Camisas</t>
        </is>
      </c>
      <c r="L125" s="156" t="n"/>
      <c r="M125" s="156" t="n"/>
      <c r="N125" s="156" t="n"/>
      <c r="O125" s="156" t="n"/>
      <c r="P125" s="156" t="n"/>
      <c r="Q125" s="156" t="n"/>
      <c r="R125" s="156" t="n"/>
      <c r="S125" s="156" t="n"/>
      <c r="T125" s="156" t="n"/>
      <c r="U125" s="156" t="n"/>
      <c r="V125" s="156" t="inlineStr">
        <is>
          <t>PZS</t>
        </is>
      </c>
      <c r="W125" s="51" t="inlineStr">
        <is>
          <t>53101602</t>
        </is>
      </c>
      <c r="X125" s="156" t="n"/>
      <c r="Y125" s="54" t="n">
        <v>25.58</v>
      </c>
      <c r="Z125" s="54" t="n">
        <v>700</v>
      </c>
      <c r="AA125" s="55">
        <f>IF(AND(A125="", B125="", E125=""), "", IF(AB125="", "Válido", IF((LEN(AB125)-LEN(SUBSTITUTE(AB125,"; ","")))/2+1&gt;(LEN(AB125)-LEN(SUBSTITUTE(AB125,"[Aviso]","")))/7, "Con Incidencias", "Válido")))</f>
        <v/>
      </c>
      <c r="AB125" s="56">
        <f>IF(AND(A125="", B125="", E125=""), "", TEXTJOIN("; ", TRUE, IF(OR(TRIM(A125&amp;"")="", ISNUMBER(SEARCH("FALTA", A125))), "UPC faltante/inválido", ""), IF(AND(A125&lt;&gt;"", IFERROR(_xlfn.XMATCH(A125,$A$2:$A$285,0,1)&lt;&gt;_xlfn.XMATCH(A125,$A$2:$A$285,0,-1),FALSE)), "Código de barras duplicado", ""), IF(AND(E125&lt;&gt;"", COUNTIF($E$2:$E$285, E125)&gt;1), "SKU duplicado", ""), IF(OR(J125="", J125=""), "[Aviso] División no capturada ()", IF(ISNA(MATCH(J125, Criterios!$A$123:$A$126, 0)), "División no válida", "")), IF(OR(K125="", K125=""), "[Aviso] Categoría no capturada ()", IF(ISNA(MATCH(K125, Criterios!$A$81:$A$120, 0)), "Categoría no válida", IF(AND(J125&lt;&gt;"", J125&lt;&gt;"", J125&lt;&gt;VLOOKUP(K125, Criterios!$A$81:$B$120, 2, FALSE)), "División no coincide con Categoría", ""))), IF(OR(L125="", L125=""), "[Aviso] Género no capturado ()", IF(ISNA(MATCH(L125, Criterios!$B$123:$B$127, 0)), "Género no válido", "")), IF(OR(N125="", N125=""), "[Aviso] Temporada no capturada ()", IF(ISNA(MATCH(N125, Criterios!$C$123:$C$128, 0)), "Temporada no válida", "")), IF(OR(O125="", O125=""), "[Aviso] Ciclo de vida no capturado ()", IF(ISNA(MATCH(O125, Criterios!$D$123:$D$124, 0)), "Ciclo de vida no válido", ""))))</f>
        <v/>
      </c>
      <c r="AC125" s="56" t="n"/>
      <c r="AD125" s="51" t="n"/>
      <c r="AE125" s="156" t="n"/>
      <c r="AF125" s="51" t="n"/>
      <c r="AG125" s="156" t="inlineStr">
        <is>
          <t>Nuevo – Odoo Universal Unique Brands 01/10/2026</t>
        </is>
      </c>
      <c r="AH125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«03-001-0067-0742» (Completado por regla) · Validador Shopify: WB: precio con IVA no termina en 9</t>
        </is>
      </c>
      <c r="AI125" s="156" t="n"/>
      <c r="AJ125" s="156" t="n"/>
      <c r="AK125" s="155" t="inlineStr">
        <is>
          <t>Odoo: producto 20911 / plantilla 26914</t>
        </is>
      </c>
      <c r="AL125" s="58" t="n"/>
      <c r="AM125" s="58" t="n"/>
      <c r="AN125" s="155" t="inlineStr">
        <is>
          <t>Odoo Universal Unique Brands</t>
        </is>
      </c>
      <c r="AO125" s="59" t="n"/>
      <c r="AP125" s="59" t="n"/>
      <c r="AQ125" s="59" t="n">
        <v>14</v>
      </c>
      <c r="AR125" s="155" t="inlineStr">
        <is>
          <t>Odoo Universal Unique Brands › Bodega 25 › Bodega 25/General: 14</t>
        </is>
      </c>
    </row>
    <row r="126">
      <c r="A126" s="50" t="inlineStr">
        <is>
          <t>199168046446</t>
        </is>
      </c>
      <c r="B126" s="51" t="n"/>
      <c r="C126" s="156" t="inlineStr">
        <is>
          <t>Roper</t>
        </is>
      </c>
      <c r="D126" s="156" t="inlineStr">
        <is>
          <t>03-001-0067-0742</t>
        </is>
      </c>
      <c r="E126" s="156" t="inlineStr">
        <is>
          <t>03-001-0067-0742 BR-XL</t>
        </is>
      </c>
      <c r="F126" s="156" t="inlineStr">
        <is>
          <t>XL</t>
        </is>
      </c>
      <c r="G126" s="156" t="inlineStr">
        <is>
          <t>XL</t>
        </is>
      </c>
      <c r="H126" s="156" t="inlineStr">
        <is>
          <t>Roper</t>
        </is>
      </c>
      <c r="I126" s="156" t="inlineStr">
        <is>
          <t>ROPER Shirt Distressed Aztec Print</t>
        </is>
      </c>
      <c r="J126" s="156" t="inlineStr">
        <is>
          <t>Ropa</t>
        </is>
      </c>
      <c r="K126" s="156" t="inlineStr">
        <is>
          <t>Camisas</t>
        </is>
      </c>
      <c r="L126" s="156" t="n"/>
      <c r="M126" s="156" t="n"/>
      <c r="N126" s="156" t="n"/>
      <c r="O126" s="156" t="n"/>
      <c r="P126" s="156" t="n"/>
      <c r="Q126" s="156" t="n"/>
      <c r="R126" s="156" t="n"/>
      <c r="S126" s="156" t="n"/>
      <c r="T126" s="156" t="n"/>
      <c r="U126" s="156" t="n"/>
      <c r="V126" s="156" t="inlineStr">
        <is>
          <t>PZS</t>
        </is>
      </c>
      <c r="W126" s="51" t="inlineStr">
        <is>
          <t>53101602</t>
        </is>
      </c>
      <c r="X126" s="156" t="n"/>
      <c r="Y126" s="54" t="n">
        <v>25.58</v>
      </c>
      <c r="Z126" s="54" t="n">
        <v>700</v>
      </c>
      <c r="AA126" s="55">
        <f>IF(AND(A126="", B126="", E126=""), "", IF(AB126="", "Válido", IF((LEN(AB126)-LEN(SUBSTITUTE(AB126,"; ","")))/2+1&gt;(LEN(AB126)-LEN(SUBSTITUTE(AB126,"[Aviso]","")))/7, "Con Incidencias", "Válido")))</f>
        <v/>
      </c>
      <c r="AB126" s="56">
        <f>IF(AND(A126="", B126="", E126=""), "", TEXTJOIN("; ", TRUE, IF(OR(TRIM(A126&amp;"")="", ISNUMBER(SEARCH("FALTA", A126))), "UPC faltante/inválido", ""), IF(AND(A126&lt;&gt;"", IFERROR(_xlfn.XMATCH(A126,$A$2:$A$285,0,1)&lt;&gt;_xlfn.XMATCH(A126,$A$2:$A$285,0,-1),FALSE)), "Código de barras duplicado", ""), IF(AND(E126&lt;&gt;"", COUNTIF($E$2:$E$285, E126)&gt;1), "SKU duplicado", ""), IF(OR(J126="", J126=""), "[Aviso] División no capturada ()", IF(ISNA(MATCH(J126, Criterios!$A$123:$A$126, 0)), "División no válida", "")), IF(OR(K126="", K126=""), "[Aviso] Categoría no capturada ()", IF(ISNA(MATCH(K126, Criterios!$A$81:$A$120, 0)), "Categoría no válida", IF(AND(J126&lt;&gt;"", J126&lt;&gt;"", J126&lt;&gt;VLOOKUP(K126, Criterios!$A$81:$B$120, 2, FALSE)), "División no coincide con Categoría", ""))), IF(OR(L126="", L126=""), "[Aviso] Género no capturado ()", IF(ISNA(MATCH(L126, Criterios!$B$123:$B$127, 0)), "Género no válido", "")), IF(OR(N126="", N126=""), "[Aviso] Temporada no capturada ()", IF(ISNA(MATCH(N126, Criterios!$C$123:$C$128, 0)), "Temporada no válida", "")), IF(OR(O126="", O126=""), "[Aviso] Ciclo de vida no capturado ()", IF(ISNA(MATCH(O126, Criterios!$D$123:$D$124, 0)), "Ciclo de vida no válido", ""))))</f>
        <v/>
      </c>
      <c r="AC126" s="56" t="n"/>
      <c r="AD126" s="51" t="n"/>
      <c r="AE126" s="156" t="n"/>
      <c r="AF126" s="51" t="n"/>
      <c r="AG126" s="156" t="inlineStr">
        <is>
          <t>Nuevo – Odoo Universal Unique Brands 01/10/2026</t>
        </is>
      </c>
      <c r="AH126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«03-001-0067-0742» (Completado por regla) · Validador Shopify: WB: precio con IVA no termina en 9</t>
        </is>
      </c>
      <c r="AI126" s="156" t="n"/>
      <c r="AJ126" s="156" t="n"/>
      <c r="AK126" s="155" t="inlineStr">
        <is>
          <t>Odoo: producto 20914 / plantilla 26917</t>
        </is>
      </c>
      <c r="AL126" s="58" t="n"/>
      <c r="AM126" s="58" t="n"/>
      <c r="AN126" s="155" t="inlineStr">
        <is>
          <t>Odoo Universal Unique Brands</t>
        </is>
      </c>
      <c r="AO126" s="59" t="n"/>
      <c r="AP126" s="59" t="n"/>
      <c r="AQ126" s="59" t="n">
        <v>10</v>
      </c>
      <c r="AR126" s="155" t="inlineStr">
        <is>
          <t>Odoo Universal Unique Brands › Bodega 25 › Bodega 25/General: 10</t>
        </is>
      </c>
    </row>
    <row r="127">
      <c r="A127" s="50" t="inlineStr">
        <is>
          <t>199168089894</t>
        </is>
      </c>
      <c r="B127" s="51" t="n"/>
      <c r="C127" s="156" t="inlineStr">
        <is>
          <t>Roper</t>
        </is>
      </c>
      <c r="D127" s="156" t="inlineStr">
        <is>
          <t>03-001-0068-0157</t>
        </is>
      </c>
      <c r="E127" s="156" t="inlineStr">
        <is>
          <t>03-001-0068-0157 BU-2XL</t>
        </is>
      </c>
      <c r="F127" s="156" t="inlineStr">
        <is>
          <t>XXL</t>
        </is>
      </c>
      <c r="G127" s="156" t="inlineStr">
        <is>
          <t>XXL</t>
        </is>
      </c>
      <c r="H127" s="156" t="inlineStr">
        <is>
          <t>Roper</t>
        </is>
      </c>
      <c r="I127" s="156" t="inlineStr">
        <is>
          <t>ROPER Shirt Diamond Navajo Print</t>
        </is>
      </c>
      <c r="J127" s="156" t="inlineStr">
        <is>
          <t>Ropa</t>
        </is>
      </c>
      <c r="K127" s="156" t="inlineStr">
        <is>
          <t>Camisas</t>
        </is>
      </c>
      <c r="L127" s="156" t="n"/>
      <c r="M127" s="156" t="n"/>
      <c r="N127" s="156" t="n"/>
      <c r="O127" s="156" t="n"/>
      <c r="P127" s="156" t="n"/>
      <c r="Q127" s="156" t="n"/>
      <c r="R127" s="156" t="n"/>
      <c r="S127" s="156" t="n"/>
      <c r="T127" s="156" t="n"/>
      <c r="U127" s="156" t="n"/>
      <c r="V127" s="156" t="inlineStr">
        <is>
          <t>PZS</t>
        </is>
      </c>
      <c r="W127" s="51" t="inlineStr">
        <is>
          <t>53101602</t>
        </is>
      </c>
      <c r="X127" s="156" t="n"/>
      <c r="Y127" s="54" t="n">
        <v>30.5</v>
      </c>
      <c r="Z127" s="54" t="n">
        <v>819</v>
      </c>
      <c r="AA127" s="55">
        <f>IF(AND(A127="", B127="", E127=""), "", IF(AB127="", "Válido", IF((LEN(AB127)-LEN(SUBSTITUTE(AB127,"; ","")))/2+1&gt;(LEN(AB127)-LEN(SUBSTITUTE(AB127,"[Aviso]","")))/7, "Con Incidencias", "Válido")))</f>
        <v/>
      </c>
      <c r="AB127" s="56">
        <f>IF(AND(A127="", B127="", E127=""), "", TEXTJOIN("; ", TRUE, IF(OR(TRIM(A127&amp;"")="", ISNUMBER(SEARCH("FALTA", A127))), "UPC faltante/inválido", ""), IF(AND(A127&lt;&gt;"", IFERROR(_xlfn.XMATCH(A127,$A$2:$A$285,0,1)&lt;&gt;_xlfn.XMATCH(A127,$A$2:$A$285,0,-1),FALSE)), "Código de barras duplicado", ""), IF(AND(E127&lt;&gt;"", COUNTIF($E$2:$E$285, E127)&gt;1), "SKU duplicado", ""), IF(OR(J127="", J127=""), "[Aviso] División no capturada ()", IF(ISNA(MATCH(J127, Criterios!$A$123:$A$126, 0)), "División no válida", "")), IF(OR(K127="", K127=""), "[Aviso] Categoría no capturada ()", IF(ISNA(MATCH(K127, Criterios!$A$81:$A$120, 0)), "Categoría no válida", IF(AND(J127&lt;&gt;"", J127&lt;&gt;"", J127&lt;&gt;VLOOKUP(K127, Criterios!$A$81:$B$120, 2, FALSE)), "División no coincide con Categoría", ""))), IF(OR(L127="", L127=""), "[Aviso] Género no capturado ()", IF(ISNA(MATCH(L127, Criterios!$B$123:$B$127, 0)), "Género no válido", "")), IF(OR(N127="", N127=""), "[Aviso] Temporada no capturada ()", IF(ISNA(MATCH(N127, Criterios!$C$123:$C$128, 0)), "Temporada no válida", "")), IF(OR(O127="", O127=""), "[Aviso] Ciclo de vida no capturado ()", IF(ISNA(MATCH(O127, Criterios!$D$123:$D$124, 0)), "Ciclo de vida no válido", ""))))</f>
        <v/>
      </c>
      <c r="AC127" s="56" t="n"/>
      <c r="AD127" s="51" t="n"/>
      <c r="AE127" s="156" t="n"/>
      <c r="AF127" s="51" t="n"/>
      <c r="AG127" s="156" t="inlineStr">
        <is>
          <t>Nuevo – Odoo Universal Unique Brands 01/10/2026</t>
        </is>
      </c>
      <c r="AH12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«03-001-0068-0157» (Completado por regla) · Validador Shopify: WB: precio con IVA no termina en 9</t>
        </is>
      </c>
      <c r="AI127" s="156" t="n"/>
      <c r="AJ127" s="156" t="n"/>
      <c r="AK127" s="155" t="inlineStr">
        <is>
          <t>Odoo: producto 20886 / plantilla 26889</t>
        </is>
      </c>
      <c r="AL127" s="58" t="n"/>
      <c r="AM127" s="58" t="n"/>
      <c r="AN127" s="155" t="inlineStr">
        <is>
          <t>Odoo Universal Unique Brands</t>
        </is>
      </c>
      <c r="AO127" s="59" t="n"/>
      <c r="AP127" s="59" t="n"/>
      <c r="AQ127" s="59" t="n">
        <v>10</v>
      </c>
      <c r="AR127" s="155" t="inlineStr">
        <is>
          <t>Odoo Universal Unique Brands › Bodega 25 › Bodega 25/General: 10</t>
        </is>
      </c>
    </row>
    <row r="128">
      <c r="A128" s="50" t="inlineStr">
        <is>
          <t>199168089856</t>
        </is>
      </c>
      <c r="B128" s="51" t="n"/>
      <c r="C128" s="156" t="inlineStr">
        <is>
          <t>Roper</t>
        </is>
      </c>
      <c r="D128" s="156" t="inlineStr">
        <is>
          <t>03-001-0068-0157</t>
        </is>
      </c>
      <c r="E128" s="156" t="inlineStr">
        <is>
          <t>03-001-0068-0157 BU-L</t>
        </is>
      </c>
      <c r="F128" s="156" t="inlineStr">
        <is>
          <t>L</t>
        </is>
      </c>
      <c r="G128" s="156" t="inlineStr">
        <is>
          <t>L</t>
        </is>
      </c>
      <c r="H128" s="156" t="inlineStr">
        <is>
          <t>Roper</t>
        </is>
      </c>
      <c r="I128" s="156" t="inlineStr">
        <is>
          <t>ROPER Shirt Diamond Navajo Print</t>
        </is>
      </c>
      <c r="J128" s="156" t="inlineStr">
        <is>
          <t>Ropa</t>
        </is>
      </c>
      <c r="K128" s="156" t="inlineStr">
        <is>
          <t>Camisas</t>
        </is>
      </c>
      <c r="L128" s="156" t="n"/>
      <c r="M128" s="156" t="n"/>
      <c r="N128" s="156" t="n"/>
      <c r="O128" s="156" t="n"/>
      <c r="P128" s="156" t="n"/>
      <c r="Q128" s="156" t="n"/>
      <c r="R128" s="156" t="n"/>
      <c r="S128" s="156" t="n"/>
      <c r="T128" s="156" t="n"/>
      <c r="U128" s="156" t="n"/>
      <c r="V128" s="156" t="inlineStr">
        <is>
          <t>PZS</t>
        </is>
      </c>
      <c r="W128" s="51" t="inlineStr">
        <is>
          <t>53101602</t>
        </is>
      </c>
      <c r="X128" s="156" t="n"/>
      <c r="Y128" s="54" t="n">
        <v>30.5</v>
      </c>
      <c r="Z128" s="54" t="n">
        <v>819</v>
      </c>
      <c r="AA128" s="55">
        <f>IF(AND(A128="", B128="", E128=""), "", IF(AB128="", "Válido", IF((LEN(AB128)-LEN(SUBSTITUTE(AB128,"; ","")))/2+1&gt;(LEN(AB128)-LEN(SUBSTITUTE(AB128,"[Aviso]","")))/7, "Con Incidencias", "Válido")))</f>
        <v/>
      </c>
      <c r="AB128" s="56">
        <f>IF(AND(A128="", B128="", E128=""), "", TEXTJOIN("; ", TRUE, IF(OR(TRIM(A128&amp;"")="", ISNUMBER(SEARCH("FALTA", A128))), "UPC faltante/inválido", ""), IF(AND(A128&lt;&gt;"", IFERROR(_xlfn.XMATCH(A128,$A$2:$A$285,0,1)&lt;&gt;_xlfn.XMATCH(A128,$A$2:$A$285,0,-1),FALSE)), "Código de barras duplicado", ""), IF(AND(E128&lt;&gt;"", COUNTIF($E$2:$E$285, E128)&gt;1), "SKU duplicado", ""), IF(OR(J128="", J128=""), "[Aviso] División no capturada ()", IF(ISNA(MATCH(J128, Criterios!$A$123:$A$126, 0)), "División no válida", "")), IF(OR(K128="", K128=""), "[Aviso] Categoría no capturada ()", IF(ISNA(MATCH(K128, Criterios!$A$81:$A$120, 0)), "Categoría no válida", IF(AND(J128&lt;&gt;"", J128&lt;&gt;"", J128&lt;&gt;VLOOKUP(K128, Criterios!$A$81:$B$120, 2, FALSE)), "División no coincide con Categoría", ""))), IF(OR(L128="", L128=""), "[Aviso] Género no capturado ()", IF(ISNA(MATCH(L128, Criterios!$B$123:$B$127, 0)), "Género no válido", "")), IF(OR(N128="", N128=""), "[Aviso] Temporada no capturada ()", IF(ISNA(MATCH(N128, Criterios!$C$123:$C$128, 0)), "Temporada no válida", "")), IF(OR(O128="", O128=""), "[Aviso] Ciclo de vida no capturado ()", IF(ISNA(MATCH(O128, Criterios!$D$123:$D$124, 0)), "Ciclo de vida no válido", ""))))</f>
        <v/>
      </c>
      <c r="AC128" s="56" t="n"/>
      <c r="AD128" s="51" t="n"/>
      <c r="AE128" s="156" t="n"/>
      <c r="AF128" s="51" t="n"/>
      <c r="AG128" s="156" t="inlineStr">
        <is>
          <t>Nuevo – Odoo Universal Unique Brands 01/10/2026</t>
        </is>
      </c>
      <c r="AH128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«03-001-0068-0157» (Completado por regla) · Validador Shopify: WB: precio con IVA no termina en 9</t>
        </is>
      </c>
      <c r="AI128" s="156" t="n"/>
      <c r="AJ128" s="156" t="n"/>
      <c r="AK128" s="155" t="inlineStr">
        <is>
          <t>Odoo: producto 20884 / plantilla 26887</t>
        </is>
      </c>
      <c r="AL128" s="58" t="n"/>
      <c r="AM128" s="58" t="n"/>
      <c r="AN128" s="155" t="inlineStr">
        <is>
          <t>Odoo Universal Unique Brands</t>
        </is>
      </c>
      <c r="AO128" s="59" t="n"/>
      <c r="AP128" s="59" t="n"/>
      <c r="AQ128" s="59" t="n">
        <v>30</v>
      </c>
      <c r="AR128" s="155" t="inlineStr">
        <is>
          <t>Odoo Universal Unique Brands › Bodega 25 › Bodega 25/General: 30</t>
        </is>
      </c>
    </row>
    <row r="129">
      <c r="A129" s="50" t="inlineStr">
        <is>
          <t>199168089863</t>
        </is>
      </c>
      <c r="B129" s="51" t="n"/>
      <c r="C129" s="156" t="inlineStr">
        <is>
          <t>Roper</t>
        </is>
      </c>
      <c r="D129" s="156" t="inlineStr">
        <is>
          <t>03-001-0068-0157</t>
        </is>
      </c>
      <c r="E129" s="156" t="inlineStr">
        <is>
          <t>03-001-0068-0157 BU-M</t>
        </is>
      </c>
      <c r="F129" s="156" t="inlineStr">
        <is>
          <t>M</t>
        </is>
      </c>
      <c r="G129" s="156" t="inlineStr">
        <is>
          <t>M</t>
        </is>
      </c>
      <c r="H129" s="156" t="inlineStr">
        <is>
          <t>Roper</t>
        </is>
      </c>
      <c r="I129" s="156" t="inlineStr">
        <is>
          <t>ROPER Shirt Diamond Navajo Print</t>
        </is>
      </c>
      <c r="J129" s="156" t="inlineStr">
        <is>
          <t>Ropa</t>
        </is>
      </c>
      <c r="K129" s="156" t="inlineStr">
        <is>
          <t>Camisas</t>
        </is>
      </c>
      <c r="L129" s="156" t="n"/>
      <c r="M129" s="156" t="n"/>
      <c r="N129" s="156" t="n"/>
      <c r="O129" s="156" t="n"/>
      <c r="P129" s="156" t="n"/>
      <c r="Q129" s="156" t="n"/>
      <c r="R129" s="156" t="n"/>
      <c r="S129" s="156" t="n"/>
      <c r="T129" s="156" t="n"/>
      <c r="U129" s="156" t="n"/>
      <c r="V129" s="156" t="inlineStr">
        <is>
          <t>PZS</t>
        </is>
      </c>
      <c r="W129" s="51" t="inlineStr">
        <is>
          <t>53101602</t>
        </is>
      </c>
      <c r="X129" s="156" t="n"/>
      <c r="Y129" s="54" t="n">
        <v>30.5</v>
      </c>
      <c r="Z129" s="54" t="n">
        <v>819</v>
      </c>
      <c r="AA129" s="55">
        <f>IF(AND(A129="", B129="", E129=""), "", IF(AB129="", "Válido", IF((LEN(AB129)-LEN(SUBSTITUTE(AB129,"; ","")))/2+1&gt;(LEN(AB129)-LEN(SUBSTITUTE(AB129,"[Aviso]","")))/7, "Con Incidencias", "Válido")))</f>
        <v/>
      </c>
      <c r="AB129" s="56">
        <f>IF(AND(A129="", B129="", E129=""), "", TEXTJOIN("; ", TRUE, IF(OR(TRIM(A129&amp;"")="", ISNUMBER(SEARCH("FALTA", A129))), "UPC faltante/inválido", ""), IF(AND(A129&lt;&gt;"", IFERROR(_xlfn.XMATCH(A129,$A$2:$A$285,0,1)&lt;&gt;_xlfn.XMATCH(A129,$A$2:$A$285,0,-1),FALSE)), "Código de barras duplicado", ""), IF(AND(E129&lt;&gt;"", COUNTIF($E$2:$E$285, E129)&gt;1), "SKU duplicado", ""), IF(OR(J129="", J129=""), "[Aviso] División no capturada ()", IF(ISNA(MATCH(J129, Criterios!$A$123:$A$126, 0)), "División no válida", "")), IF(OR(K129="", K129=""), "[Aviso] Categoría no capturada ()", IF(ISNA(MATCH(K129, Criterios!$A$81:$A$120, 0)), "Categoría no válida", IF(AND(J129&lt;&gt;"", J129&lt;&gt;"", J129&lt;&gt;VLOOKUP(K129, Criterios!$A$81:$B$120, 2, FALSE)), "División no coincide con Categoría", ""))), IF(OR(L129="", L129=""), "[Aviso] Género no capturado ()", IF(ISNA(MATCH(L129, Criterios!$B$123:$B$127, 0)), "Género no válido", "")), IF(OR(N129="", N129=""), "[Aviso] Temporada no capturada ()", IF(ISNA(MATCH(N129, Criterios!$C$123:$C$128, 0)), "Temporada no válida", "")), IF(OR(O129="", O129=""), "[Aviso] Ciclo de vida no capturado ()", IF(ISNA(MATCH(O129, Criterios!$D$123:$D$124, 0)), "Ciclo de vida no válido", ""))))</f>
        <v/>
      </c>
      <c r="AC129" s="56" t="n"/>
      <c r="AD129" s="51" t="n"/>
      <c r="AE129" s="156" t="n"/>
      <c r="AF129" s="51" t="n"/>
      <c r="AG129" s="156" t="inlineStr">
        <is>
          <t>Nuevo – Odoo Universal Unique Brands 01/10/2026</t>
        </is>
      </c>
      <c r="AH129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«03-001-0068-0157» (Completado por regla) · Validador Shopify: WB: precio con IVA no termina en 9</t>
        </is>
      </c>
      <c r="AI129" s="156" t="n"/>
      <c r="AJ129" s="156" t="n"/>
      <c r="AK129" s="155" t="inlineStr">
        <is>
          <t>Odoo: producto 20883 / plantilla 26886</t>
        </is>
      </c>
      <c r="AL129" s="58" t="n"/>
      <c r="AM129" s="58" t="n"/>
      <c r="AN129" s="155" t="inlineStr">
        <is>
          <t>Odoo Universal Unique Brands</t>
        </is>
      </c>
      <c r="AO129" s="59" t="n"/>
      <c r="AP129" s="59" t="n"/>
      <c r="AQ129" s="59" t="n">
        <v>30</v>
      </c>
      <c r="AR129" s="155" t="inlineStr">
        <is>
          <t>Odoo Universal Unique Brands › Bodega 25 › Bodega 25/General: 30</t>
        </is>
      </c>
    </row>
    <row r="130">
      <c r="A130" s="50" t="inlineStr">
        <is>
          <t>199168089870</t>
        </is>
      </c>
      <c r="B130" s="51" t="n"/>
      <c r="C130" s="156" t="inlineStr">
        <is>
          <t>Roper</t>
        </is>
      </c>
      <c r="D130" s="156" t="inlineStr">
        <is>
          <t>03-001-0068-0157</t>
        </is>
      </c>
      <c r="E130" s="156" t="inlineStr">
        <is>
          <t>03-001-0068-0157 BU-S</t>
        </is>
      </c>
      <c r="F130" s="156" t="inlineStr">
        <is>
          <t>S</t>
        </is>
      </c>
      <c r="G130" s="156" t="inlineStr">
        <is>
          <t>S</t>
        </is>
      </c>
      <c r="H130" s="156" t="inlineStr">
        <is>
          <t>Roper</t>
        </is>
      </c>
      <c r="I130" s="156" t="inlineStr">
        <is>
          <t>ROPER Shirt Diamond Navajo Print</t>
        </is>
      </c>
      <c r="J130" s="156" t="inlineStr">
        <is>
          <t>Ropa</t>
        </is>
      </c>
      <c r="K130" s="156" t="inlineStr">
        <is>
          <t>Camisas</t>
        </is>
      </c>
      <c r="L130" s="156" t="n"/>
      <c r="M130" s="156" t="n"/>
      <c r="N130" s="156" t="n"/>
      <c r="O130" s="156" t="n"/>
      <c r="P130" s="156" t="n"/>
      <c r="Q130" s="156" t="n"/>
      <c r="R130" s="156" t="n"/>
      <c r="S130" s="156" t="n"/>
      <c r="T130" s="156" t="n"/>
      <c r="U130" s="156" t="n"/>
      <c r="V130" s="156" t="inlineStr">
        <is>
          <t>PZS</t>
        </is>
      </c>
      <c r="W130" s="51" t="inlineStr">
        <is>
          <t>53101602</t>
        </is>
      </c>
      <c r="X130" s="156" t="n"/>
      <c r="Y130" s="54" t="n">
        <v>30.5</v>
      </c>
      <c r="Z130" s="54" t="n">
        <v>819</v>
      </c>
      <c r="AA130" s="55">
        <f>IF(AND(A130="", B130="", E130=""), "", IF(AB130="", "Válido", IF((LEN(AB130)-LEN(SUBSTITUTE(AB130,"; ","")))/2+1&gt;(LEN(AB130)-LEN(SUBSTITUTE(AB130,"[Aviso]","")))/7, "Con Incidencias", "Válido")))</f>
        <v/>
      </c>
      <c r="AB130" s="56">
        <f>IF(AND(A130="", B130="", E130=""), "", TEXTJOIN("; ", TRUE, IF(OR(TRIM(A130&amp;"")="", ISNUMBER(SEARCH("FALTA", A130))), "UPC faltante/inválido", ""), IF(AND(A130&lt;&gt;"", IFERROR(_xlfn.XMATCH(A130,$A$2:$A$285,0,1)&lt;&gt;_xlfn.XMATCH(A130,$A$2:$A$285,0,-1),FALSE)), "Código de barras duplicado", ""), IF(AND(E130&lt;&gt;"", COUNTIF($E$2:$E$285, E130)&gt;1), "SKU duplicado", ""), IF(OR(J130="", J130=""), "[Aviso] División no capturada ()", IF(ISNA(MATCH(J130, Criterios!$A$123:$A$126, 0)), "División no válida", "")), IF(OR(K130="", K130=""), "[Aviso] Categoría no capturada ()", IF(ISNA(MATCH(K130, Criterios!$A$81:$A$120, 0)), "Categoría no válida", IF(AND(J130&lt;&gt;"", J130&lt;&gt;"", J130&lt;&gt;VLOOKUP(K130, Criterios!$A$81:$B$120, 2, FALSE)), "División no coincide con Categoría", ""))), IF(OR(L130="", L130=""), "[Aviso] Género no capturado ()", IF(ISNA(MATCH(L130, Criterios!$B$123:$B$127, 0)), "Género no válido", "")), IF(OR(N130="", N130=""), "[Aviso] Temporada no capturada ()", IF(ISNA(MATCH(N130, Criterios!$C$123:$C$128, 0)), "Temporada no válida", "")), IF(OR(O130="", O130=""), "[Aviso] Ciclo de vida no capturado ()", IF(ISNA(MATCH(O130, Criterios!$D$123:$D$124, 0)), "Ciclo de vida no válido", ""))))</f>
        <v/>
      </c>
      <c r="AC130" s="56" t="n"/>
      <c r="AD130" s="51" t="n"/>
      <c r="AE130" s="156" t="n"/>
      <c r="AF130" s="51" t="n"/>
      <c r="AG130" s="156" t="inlineStr">
        <is>
          <t>Nuevo – Odoo Universal Unique Brands 01/10/2026</t>
        </is>
      </c>
      <c r="AH130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«03-001-0068-0157» (Completado por regla) · Validador Shopify: WB: precio con IVA no termina en 9</t>
        </is>
      </c>
      <c r="AI130" s="156" t="n"/>
      <c r="AJ130" s="156" t="n"/>
      <c r="AK130" s="155" t="inlineStr">
        <is>
          <t>Odoo: producto 20882 / plantilla 26885</t>
        </is>
      </c>
      <c r="AL130" s="58" t="n"/>
      <c r="AM130" s="58" t="n"/>
      <c r="AN130" s="155" t="inlineStr">
        <is>
          <t>Odoo Universal Unique Brands</t>
        </is>
      </c>
      <c r="AO130" s="59" t="n"/>
      <c r="AP130" s="59" t="n"/>
      <c r="AQ130" s="59" t="n">
        <v>30</v>
      </c>
      <c r="AR130" s="155" t="inlineStr">
        <is>
          <t>Odoo Universal Unique Brands › Bodega 25 › Bodega 25/General: 30</t>
        </is>
      </c>
    </row>
    <row r="131">
      <c r="A131" s="50" t="inlineStr">
        <is>
          <t>199168089887</t>
        </is>
      </c>
      <c r="B131" s="51" t="n"/>
      <c r="C131" s="156" t="inlineStr">
        <is>
          <t>Roper</t>
        </is>
      </c>
      <c r="D131" s="156" t="inlineStr">
        <is>
          <t>03-001-0068-0157</t>
        </is>
      </c>
      <c r="E131" s="156" t="inlineStr">
        <is>
          <t>03-001-0068-0157 BU-XL</t>
        </is>
      </c>
      <c r="F131" s="156" t="inlineStr">
        <is>
          <t>XL</t>
        </is>
      </c>
      <c r="G131" s="156" t="inlineStr">
        <is>
          <t>XL</t>
        </is>
      </c>
      <c r="H131" s="156" t="inlineStr">
        <is>
          <t>Roper</t>
        </is>
      </c>
      <c r="I131" s="156" t="inlineStr">
        <is>
          <t>ROPER Shirt Diamond Navajo Print</t>
        </is>
      </c>
      <c r="J131" s="156" t="inlineStr">
        <is>
          <t>Ropa</t>
        </is>
      </c>
      <c r="K131" s="156" t="inlineStr">
        <is>
          <t>Camisas</t>
        </is>
      </c>
      <c r="L131" s="156" t="n"/>
      <c r="M131" s="156" t="n"/>
      <c r="N131" s="156" t="n"/>
      <c r="O131" s="156" t="n"/>
      <c r="P131" s="156" t="n"/>
      <c r="Q131" s="156" t="n"/>
      <c r="R131" s="156" t="n"/>
      <c r="S131" s="156" t="n"/>
      <c r="T131" s="156" t="n"/>
      <c r="U131" s="156" t="n"/>
      <c r="V131" s="156" t="inlineStr">
        <is>
          <t>PZS</t>
        </is>
      </c>
      <c r="W131" s="51" t="inlineStr">
        <is>
          <t>53101602</t>
        </is>
      </c>
      <c r="X131" s="156" t="n"/>
      <c r="Y131" s="54" t="n">
        <v>30.5</v>
      </c>
      <c r="Z131" s="54" t="n">
        <v>819</v>
      </c>
      <c r="AA131" s="55">
        <f>IF(AND(A131="", B131="", E131=""), "", IF(AB131="", "Válido", IF((LEN(AB131)-LEN(SUBSTITUTE(AB131,"; ","")))/2+1&gt;(LEN(AB131)-LEN(SUBSTITUTE(AB131,"[Aviso]","")))/7, "Con Incidencias", "Válido")))</f>
        <v/>
      </c>
      <c r="AB131" s="56">
        <f>IF(AND(A131="", B131="", E131=""), "", TEXTJOIN("; ", TRUE, IF(OR(TRIM(A131&amp;"")="", ISNUMBER(SEARCH("FALTA", A131))), "UPC faltante/inválido", ""), IF(AND(A131&lt;&gt;"", IFERROR(_xlfn.XMATCH(A131,$A$2:$A$285,0,1)&lt;&gt;_xlfn.XMATCH(A131,$A$2:$A$285,0,-1),FALSE)), "Código de barras duplicado", ""), IF(AND(E131&lt;&gt;"", COUNTIF($E$2:$E$285, E131)&gt;1), "SKU duplicado", ""), IF(OR(J131="", J131=""), "[Aviso] División no capturada ()", IF(ISNA(MATCH(J131, Criterios!$A$123:$A$126, 0)), "División no válida", "")), IF(OR(K131="", K131=""), "[Aviso] Categoría no capturada ()", IF(ISNA(MATCH(K131, Criterios!$A$81:$A$120, 0)), "Categoría no válida", IF(AND(J131&lt;&gt;"", J131&lt;&gt;"", J131&lt;&gt;VLOOKUP(K131, Criterios!$A$81:$B$120, 2, FALSE)), "División no coincide con Categoría", ""))), IF(OR(L131="", L131=""), "[Aviso] Género no capturado ()", IF(ISNA(MATCH(L131, Criterios!$B$123:$B$127, 0)), "Género no válido", "")), IF(OR(N131="", N131=""), "[Aviso] Temporada no capturada ()", IF(ISNA(MATCH(N131, Criterios!$C$123:$C$128, 0)), "Temporada no válida", "")), IF(OR(O131="", O131=""), "[Aviso] Ciclo de vida no capturado ()", IF(ISNA(MATCH(O131, Criterios!$D$123:$D$124, 0)), "Ciclo de vida no válido", ""))))</f>
        <v/>
      </c>
      <c r="AC131" s="56" t="n"/>
      <c r="AD131" s="51" t="n"/>
      <c r="AE131" s="156" t="n"/>
      <c r="AF131" s="51" t="n"/>
      <c r="AG131" s="156" t="inlineStr">
        <is>
          <t>Nuevo – Odoo Universal Unique Brands 01/10/2026</t>
        </is>
      </c>
      <c r="AH131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«03-001-0068-0157» (Completado por regla) · Validador Shopify: WB: precio con IVA no termina en 9</t>
        </is>
      </c>
      <c r="AI131" s="156" t="n"/>
      <c r="AJ131" s="156" t="n"/>
      <c r="AK131" s="155" t="inlineStr">
        <is>
          <t>Odoo: producto 20885 / plantilla 26888</t>
        </is>
      </c>
      <c r="AL131" s="58" t="n"/>
      <c r="AM131" s="58" t="n"/>
      <c r="AN131" s="155" t="inlineStr">
        <is>
          <t>Odoo Universal Unique Brands</t>
        </is>
      </c>
      <c r="AO131" s="59" t="n"/>
      <c r="AP131" s="59" t="n"/>
      <c r="AQ131" s="59" t="n">
        <v>20</v>
      </c>
      <c r="AR131" s="155" t="inlineStr">
        <is>
          <t>Odoo Universal Unique Brands › Bodega 25 › Bodega 25/General: 20</t>
        </is>
      </c>
    </row>
    <row r="132">
      <c r="A132" s="50" t="inlineStr">
        <is>
          <t>199168090739</t>
        </is>
      </c>
      <c r="B132" s="51" t="n"/>
      <c r="C132" s="156" t="inlineStr">
        <is>
          <t>Roper</t>
        </is>
      </c>
      <c r="D132" s="156" t="inlineStr">
        <is>
          <t>03-001-0278-1056</t>
        </is>
      </c>
      <c r="E132" s="156" t="inlineStr">
        <is>
          <t>03-001-0278-1056 BU-2XL</t>
        </is>
      </c>
      <c r="F132" s="156" t="inlineStr">
        <is>
          <t>XXL</t>
        </is>
      </c>
      <c r="G132" s="156" t="inlineStr">
        <is>
          <t>XXL</t>
        </is>
      </c>
      <c r="H132" s="156" t="inlineStr">
        <is>
          <t>Roper</t>
        </is>
      </c>
      <c r="I132" s="156" t="inlineStr">
        <is>
          <t>ROPER Shirt Midnight Plaid</t>
        </is>
      </c>
      <c r="J132" s="156" t="inlineStr">
        <is>
          <t>Ropa</t>
        </is>
      </c>
      <c r="K132" s="156" t="inlineStr">
        <is>
          <t>Camisas</t>
        </is>
      </c>
      <c r="L132" s="156" t="n"/>
      <c r="M132" s="156" t="n"/>
      <c r="N132" s="156" t="n"/>
      <c r="O132" s="156" t="n"/>
      <c r="P132" s="156" t="n"/>
      <c r="Q132" s="156" t="n"/>
      <c r="R132" s="156" t="n"/>
      <c r="S132" s="156" t="n"/>
      <c r="T132" s="156" t="n"/>
      <c r="U132" s="156" t="n"/>
      <c r="V132" s="156" t="inlineStr">
        <is>
          <t>PZS</t>
        </is>
      </c>
      <c r="W132" s="51" t="inlineStr">
        <is>
          <t>53101602</t>
        </is>
      </c>
      <c r="X132" s="156" t="n"/>
      <c r="Y132" s="54" t="n">
        <v>31.5</v>
      </c>
      <c r="Z132" s="54" t="n">
        <v>839</v>
      </c>
      <c r="AA132" s="55">
        <f>IF(AND(A132="", B132="", E132=""), "", IF(AB132="", "Válido", IF((LEN(AB132)-LEN(SUBSTITUTE(AB132,"; ","")))/2+1&gt;(LEN(AB132)-LEN(SUBSTITUTE(AB132,"[Aviso]","")))/7, "Con Incidencias", "Válido")))</f>
        <v/>
      </c>
      <c r="AB132" s="56">
        <f>IF(AND(A132="", B132="", E132=""), "", TEXTJOIN("; ", TRUE, IF(OR(TRIM(A132&amp;"")="", ISNUMBER(SEARCH("FALTA", A132))), "UPC faltante/inválido", ""), IF(AND(A132&lt;&gt;"", IFERROR(_xlfn.XMATCH(A132,$A$2:$A$285,0,1)&lt;&gt;_xlfn.XMATCH(A132,$A$2:$A$285,0,-1),FALSE)), "Código de barras duplicado", ""), IF(AND(E132&lt;&gt;"", COUNTIF($E$2:$E$285, E132)&gt;1), "SKU duplicado", ""), IF(OR(J132="", J132=""), "[Aviso] División no capturada ()", IF(ISNA(MATCH(J132, Criterios!$A$123:$A$126, 0)), "División no válida", "")), IF(OR(K132="", K132=""), "[Aviso] Categoría no capturada ()", IF(ISNA(MATCH(K132, Criterios!$A$81:$A$120, 0)), "Categoría no válida", IF(AND(J132&lt;&gt;"", J132&lt;&gt;"", J132&lt;&gt;VLOOKUP(K132, Criterios!$A$81:$B$120, 2, FALSE)), "División no coincide con Categoría", ""))), IF(OR(L132="", L132=""), "[Aviso] Género no capturado ()", IF(ISNA(MATCH(L132, Criterios!$B$123:$B$127, 0)), "Género no válido", "")), IF(OR(N132="", N132=""), "[Aviso] Temporada no capturada ()", IF(ISNA(MATCH(N132, Criterios!$C$123:$C$128, 0)), "Temporada no válida", "")), IF(OR(O132="", O132=""), "[Aviso] Ciclo de vida no capturado ()", IF(ISNA(MATCH(O132, Criterios!$D$123:$D$124, 0)), "Ciclo de vida no válido", ""))))</f>
        <v/>
      </c>
      <c r="AC132" s="56" t="n"/>
      <c r="AD132" s="51" t="n"/>
      <c r="AE132" s="156" t="n"/>
      <c r="AF132" s="51" t="n"/>
      <c r="AG132" s="156" t="inlineStr">
        <is>
          <t>Nuevo – Odoo Universal Unique Brands 01/10/2026</t>
        </is>
      </c>
      <c r="AH132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«03-001-0278-1056» (Completado por regla) · Validador Shopify: WB: precio con IVA no termina en 9</t>
        </is>
      </c>
      <c r="AI132" s="156" t="n"/>
      <c r="AJ132" s="156" t="n"/>
      <c r="AK132" s="155" t="inlineStr">
        <is>
          <t>Odoo: producto 20861 / plantilla 26864</t>
        </is>
      </c>
      <c r="AL132" s="58" t="n"/>
      <c r="AM132" s="58" t="n"/>
      <c r="AN132" s="155" t="inlineStr">
        <is>
          <t>Odoo Universal Unique Brands</t>
        </is>
      </c>
      <c r="AO132" s="59" t="n"/>
      <c r="AP132" s="59" t="n"/>
      <c r="AQ132" s="59" t="n">
        <v>8</v>
      </c>
      <c r="AR132" s="155" t="inlineStr">
        <is>
          <t>Odoo Universal Unique Brands › Bodega 25 › Bodega 25/General: 8</t>
        </is>
      </c>
    </row>
    <row r="133">
      <c r="A133" s="50" t="inlineStr">
        <is>
          <t>199168090692</t>
        </is>
      </c>
      <c r="B133" s="51" t="n"/>
      <c r="C133" s="156" t="inlineStr">
        <is>
          <t>Roper</t>
        </is>
      </c>
      <c r="D133" s="156" t="inlineStr">
        <is>
          <t>03-001-0278-1056</t>
        </is>
      </c>
      <c r="E133" s="156" t="inlineStr">
        <is>
          <t>03-001-0278-1056 BU-L</t>
        </is>
      </c>
      <c r="F133" s="156" t="inlineStr">
        <is>
          <t>L</t>
        </is>
      </c>
      <c r="G133" s="156" t="inlineStr">
        <is>
          <t>L</t>
        </is>
      </c>
      <c r="H133" s="156" t="inlineStr">
        <is>
          <t>Roper</t>
        </is>
      </c>
      <c r="I133" s="156" t="inlineStr">
        <is>
          <t>ROPER Shirt Midnight Plaid</t>
        </is>
      </c>
      <c r="J133" s="156" t="inlineStr">
        <is>
          <t>Ropa</t>
        </is>
      </c>
      <c r="K133" s="156" t="inlineStr">
        <is>
          <t>Camisas</t>
        </is>
      </c>
      <c r="L133" s="156" t="n"/>
      <c r="M133" s="156" t="n"/>
      <c r="N133" s="156" t="n"/>
      <c r="O133" s="156" t="n"/>
      <c r="P133" s="156" t="n"/>
      <c r="Q133" s="156" t="n"/>
      <c r="R133" s="156" t="n"/>
      <c r="S133" s="156" t="n"/>
      <c r="T133" s="156" t="n"/>
      <c r="U133" s="156" t="n"/>
      <c r="V133" s="156" t="inlineStr">
        <is>
          <t>PZS</t>
        </is>
      </c>
      <c r="W133" s="51" t="inlineStr">
        <is>
          <t>53101602</t>
        </is>
      </c>
      <c r="X133" s="156" t="n"/>
      <c r="Y133" s="54" t="n">
        <v>31.5</v>
      </c>
      <c r="Z133" s="54" t="n">
        <v>839</v>
      </c>
      <c r="AA133" s="55">
        <f>IF(AND(A133="", B133="", E133=""), "", IF(AB133="", "Válido", IF((LEN(AB133)-LEN(SUBSTITUTE(AB133,"; ","")))/2+1&gt;(LEN(AB133)-LEN(SUBSTITUTE(AB133,"[Aviso]","")))/7, "Con Incidencias", "Válido")))</f>
        <v/>
      </c>
      <c r="AB133" s="56">
        <f>IF(AND(A133="", B133="", E133=""), "", TEXTJOIN("; ", TRUE, IF(OR(TRIM(A133&amp;"")="", ISNUMBER(SEARCH("FALTA", A133))), "UPC faltante/inválido", ""), IF(AND(A133&lt;&gt;"", IFERROR(_xlfn.XMATCH(A133,$A$2:$A$285,0,1)&lt;&gt;_xlfn.XMATCH(A133,$A$2:$A$285,0,-1),FALSE)), "Código de barras duplicado", ""), IF(AND(E133&lt;&gt;"", COUNTIF($E$2:$E$285, E133)&gt;1), "SKU duplicado", ""), IF(OR(J133="", J133=""), "[Aviso] División no capturada ()", IF(ISNA(MATCH(J133, Criterios!$A$123:$A$126, 0)), "División no válida", "")), IF(OR(K133="", K133=""), "[Aviso] Categoría no capturada ()", IF(ISNA(MATCH(K133, Criterios!$A$81:$A$120, 0)), "Categoría no válida", IF(AND(J133&lt;&gt;"", J133&lt;&gt;"", J133&lt;&gt;VLOOKUP(K133, Criterios!$A$81:$B$120, 2, FALSE)), "División no coincide con Categoría", ""))), IF(OR(L133="", L133=""), "[Aviso] Género no capturado ()", IF(ISNA(MATCH(L133, Criterios!$B$123:$B$127, 0)), "Género no válido", "")), IF(OR(N133="", N133=""), "[Aviso] Temporada no capturada ()", IF(ISNA(MATCH(N133, Criterios!$C$123:$C$128, 0)), "Temporada no válida", "")), IF(OR(O133="", O133=""), "[Aviso] Ciclo de vida no capturado ()", IF(ISNA(MATCH(O133, Criterios!$D$123:$D$124, 0)), "Ciclo de vida no válido", ""))))</f>
        <v/>
      </c>
      <c r="AC133" s="56" t="n"/>
      <c r="AD133" s="51" t="n"/>
      <c r="AE133" s="156" t="n"/>
      <c r="AF133" s="51" t="n"/>
      <c r="AG133" s="156" t="inlineStr">
        <is>
          <t>Nuevo – Odoo Universal Unique Brands 01/10/2026</t>
        </is>
      </c>
      <c r="AH133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«03-001-0278-1056» (Completado por regla) · Validador Shopify: WB: precio con IVA no termina en 9</t>
        </is>
      </c>
      <c r="AI133" s="156" t="n"/>
      <c r="AJ133" s="156" t="n"/>
      <c r="AK133" s="155" t="inlineStr">
        <is>
          <t>Odoo: producto 20859 / plantilla 26862</t>
        </is>
      </c>
      <c r="AL133" s="58" t="n"/>
      <c r="AM133" s="58" t="n"/>
      <c r="AN133" s="155" t="inlineStr">
        <is>
          <t>Odoo Universal Unique Brands</t>
        </is>
      </c>
      <c r="AO133" s="59" t="n"/>
      <c r="AP133" s="59" t="n"/>
      <c r="AQ133" s="59" t="n">
        <v>30</v>
      </c>
      <c r="AR133" s="155" t="inlineStr">
        <is>
          <t>Odoo Universal Unique Brands › Bodega 25 › Bodega 25/General: 30</t>
        </is>
      </c>
    </row>
    <row r="134">
      <c r="A134" s="50" t="inlineStr">
        <is>
          <t>199168090708</t>
        </is>
      </c>
      <c r="B134" s="51" t="n"/>
      <c r="C134" s="156" t="inlineStr">
        <is>
          <t>Roper</t>
        </is>
      </c>
      <c r="D134" s="156" t="inlineStr">
        <is>
          <t>03-001-0278-1056</t>
        </is>
      </c>
      <c r="E134" s="156" t="inlineStr">
        <is>
          <t>03-001-0278-1056 BU-M</t>
        </is>
      </c>
      <c r="F134" s="156" t="inlineStr">
        <is>
          <t>M</t>
        </is>
      </c>
      <c r="G134" s="156" t="inlineStr">
        <is>
          <t>M</t>
        </is>
      </c>
      <c r="H134" s="156" t="inlineStr">
        <is>
          <t>Roper</t>
        </is>
      </c>
      <c r="I134" s="156" t="inlineStr">
        <is>
          <t>ROPER Shirt Midnight Plaid</t>
        </is>
      </c>
      <c r="J134" s="156" t="inlineStr">
        <is>
          <t>Ropa</t>
        </is>
      </c>
      <c r="K134" s="156" t="inlineStr">
        <is>
          <t>Camisas</t>
        </is>
      </c>
      <c r="L134" s="156" t="n"/>
      <c r="M134" s="156" t="n"/>
      <c r="N134" s="156" t="n"/>
      <c r="O134" s="156" t="n"/>
      <c r="P134" s="156" t="n"/>
      <c r="Q134" s="156" t="n"/>
      <c r="R134" s="156" t="n"/>
      <c r="S134" s="156" t="n"/>
      <c r="T134" s="156" t="n"/>
      <c r="U134" s="156" t="n"/>
      <c r="V134" s="156" t="inlineStr">
        <is>
          <t>PZS</t>
        </is>
      </c>
      <c r="W134" s="51" t="inlineStr">
        <is>
          <t>53101602</t>
        </is>
      </c>
      <c r="X134" s="156" t="n"/>
      <c r="Y134" s="54" t="n">
        <v>31.5</v>
      </c>
      <c r="Z134" s="54" t="n">
        <v>839</v>
      </c>
      <c r="AA134" s="55">
        <f>IF(AND(A134="", B134="", E134=""), "", IF(AB134="", "Válido", IF((LEN(AB134)-LEN(SUBSTITUTE(AB134,"; ","")))/2+1&gt;(LEN(AB134)-LEN(SUBSTITUTE(AB134,"[Aviso]","")))/7, "Con Incidencias", "Válido")))</f>
        <v/>
      </c>
      <c r="AB134" s="56">
        <f>IF(AND(A134="", B134="", E134=""), "", TEXTJOIN("; ", TRUE, IF(OR(TRIM(A134&amp;"")="", ISNUMBER(SEARCH("FALTA", A134))), "UPC faltante/inválido", ""), IF(AND(A134&lt;&gt;"", IFERROR(_xlfn.XMATCH(A134,$A$2:$A$285,0,1)&lt;&gt;_xlfn.XMATCH(A134,$A$2:$A$285,0,-1),FALSE)), "Código de barras duplicado", ""), IF(AND(E134&lt;&gt;"", COUNTIF($E$2:$E$285, E134)&gt;1), "SKU duplicado", ""), IF(OR(J134="", J134=""), "[Aviso] División no capturada ()", IF(ISNA(MATCH(J134, Criterios!$A$123:$A$126, 0)), "División no válida", "")), IF(OR(K134="", K134=""), "[Aviso] Categoría no capturada ()", IF(ISNA(MATCH(K134, Criterios!$A$81:$A$120, 0)), "Categoría no válida", IF(AND(J134&lt;&gt;"", J134&lt;&gt;"", J134&lt;&gt;VLOOKUP(K134, Criterios!$A$81:$B$120, 2, FALSE)), "División no coincide con Categoría", ""))), IF(OR(L134="", L134=""), "[Aviso] Género no capturado ()", IF(ISNA(MATCH(L134, Criterios!$B$123:$B$127, 0)), "Género no válido", "")), IF(OR(N134="", N134=""), "[Aviso] Temporada no capturada ()", IF(ISNA(MATCH(N134, Criterios!$C$123:$C$128, 0)), "Temporada no válida", "")), IF(OR(O134="", O134=""), "[Aviso] Ciclo de vida no capturado ()", IF(ISNA(MATCH(O134, Criterios!$D$123:$D$124, 0)), "Ciclo de vida no válido", ""))))</f>
        <v/>
      </c>
      <c r="AC134" s="56" t="n"/>
      <c r="AD134" s="51" t="n"/>
      <c r="AE134" s="156" t="n"/>
      <c r="AF134" s="51" t="n"/>
      <c r="AG134" s="156" t="inlineStr">
        <is>
          <t>Nuevo – Odoo Universal Unique Brands 01/10/2026</t>
        </is>
      </c>
      <c r="AH134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«03-001-0278-1056» (Completado por regla) · Validador Shopify: WB: precio con IVA no termina en 9</t>
        </is>
      </c>
      <c r="AI134" s="156" t="n"/>
      <c r="AJ134" s="156" t="n"/>
      <c r="AK134" s="155" t="inlineStr">
        <is>
          <t>Odoo: producto 20858 / plantilla 26861</t>
        </is>
      </c>
      <c r="AL134" s="58" t="n"/>
      <c r="AM134" s="58" t="n"/>
      <c r="AN134" s="155" t="inlineStr">
        <is>
          <t>Odoo Universal Unique Brands</t>
        </is>
      </c>
      <c r="AO134" s="59" t="n"/>
      <c r="AP134" s="59" t="n"/>
      <c r="AQ134" s="59" t="n">
        <v>30</v>
      </c>
      <c r="AR134" s="155" t="inlineStr">
        <is>
          <t>Odoo Universal Unique Brands › Bodega 25 › Bodega 25/General: 30</t>
        </is>
      </c>
    </row>
    <row r="135">
      <c r="A135" s="50" t="inlineStr">
        <is>
          <t>199168090715</t>
        </is>
      </c>
      <c r="B135" s="51" t="n"/>
      <c r="C135" s="156" t="inlineStr">
        <is>
          <t>Roper</t>
        </is>
      </c>
      <c r="D135" s="156" t="inlineStr">
        <is>
          <t>03-001-0278-1056</t>
        </is>
      </c>
      <c r="E135" s="156" t="inlineStr">
        <is>
          <t>03-001-0278-1056 BU-S</t>
        </is>
      </c>
      <c r="F135" s="156" t="inlineStr">
        <is>
          <t>S</t>
        </is>
      </c>
      <c r="G135" s="156" t="inlineStr">
        <is>
          <t>S</t>
        </is>
      </c>
      <c r="H135" s="156" t="inlineStr">
        <is>
          <t>Roper</t>
        </is>
      </c>
      <c r="I135" s="156" t="inlineStr">
        <is>
          <t>ROPER Shirt Midnight Plaid</t>
        </is>
      </c>
      <c r="J135" s="156" t="inlineStr">
        <is>
          <t>Ropa</t>
        </is>
      </c>
      <c r="K135" s="156" t="inlineStr">
        <is>
          <t>Camisas</t>
        </is>
      </c>
      <c r="L135" s="156" t="n"/>
      <c r="M135" s="156" t="n"/>
      <c r="N135" s="156" t="n"/>
      <c r="O135" s="156" t="n"/>
      <c r="P135" s="156" t="n"/>
      <c r="Q135" s="156" t="n"/>
      <c r="R135" s="156" t="n"/>
      <c r="S135" s="156" t="n"/>
      <c r="T135" s="156" t="n"/>
      <c r="U135" s="156" t="n"/>
      <c r="V135" s="156" t="inlineStr">
        <is>
          <t>PZS</t>
        </is>
      </c>
      <c r="W135" s="51" t="inlineStr">
        <is>
          <t>53101602</t>
        </is>
      </c>
      <c r="X135" s="156" t="n"/>
      <c r="Y135" s="54" t="n">
        <v>31.5</v>
      </c>
      <c r="Z135" s="54" t="n">
        <v>839</v>
      </c>
      <c r="AA135" s="55">
        <f>IF(AND(A135="", B135="", E135=""), "", IF(AB135="", "Válido", IF((LEN(AB135)-LEN(SUBSTITUTE(AB135,"; ","")))/2+1&gt;(LEN(AB135)-LEN(SUBSTITUTE(AB135,"[Aviso]","")))/7, "Con Incidencias", "Válido")))</f>
        <v/>
      </c>
      <c r="AB135" s="56">
        <f>IF(AND(A135="", B135="", E135=""), "", TEXTJOIN("; ", TRUE, IF(OR(TRIM(A135&amp;"")="", ISNUMBER(SEARCH("FALTA", A135))), "UPC faltante/inválido", ""), IF(AND(A135&lt;&gt;"", IFERROR(_xlfn.XMATCH(A135,$A$2:$A$285,0,1)&lt;&gt;_xlfn.XMATCH(A135,$A$2:$A$285,0,-1),FALSE)), "Código de barras duplicado", ""), IF(AND(E135&lt;&gt;"", COUNTIF($E$2:$E$285, E135)&gt;1), "SKU duplicado", ""), IF(OR(J135="", J135=""), "[Aviso] División no capturada ()", IF(ISNA(MATCH(J135, Criterios!$A$123:$A$126, 0)), "División no válida", "")), IF(OR(K135="", K135=""), "[Aviso] Categoría no capturada ()", IF(ISNA(MATCH(K135, Criterios!$A$81:$A$120, 0)), "Categoría no válida", IF(AND(J135&lt;&gt;"", J135&lt;&gt;"", J135&lt;&gt;VLOOKUP(K135, Criterios!$A$81:$B$120, 2, FALSE)), "División no coincide con Categoría", ""))), IF(OR(L135="", L135=""), "[Aviso] Género no capturado ()", IF(ISNA(MATCH(L135, Criterios!$B$123:$B$127, 0)), "Género no válido", "")), IF(OR(N135="", N135=""), "[Aviso] Temporada no capturada ()", IF(ISNA(MATCH(N135, Criterios!$C$123:$C$128, 0)), "Temporada no válida", "")), IF(OR(O135="", O135=""), "[Aviso] Ciclo de vida no capturado ()", IF(ISNA(MATCH(O135, Criterios!$D$123:$D$124, 0)), "Ciclo de vida no válido", ""))))</f>
        <v/>
      </c>
      <c r="AC135" s="56" t="n"/>
      <c r="AD135" s="51" t="n"/>
      <c r="AE135" s="156" t="n"/>
      <c r="AF135" s="51" t="n"/>
      <c r="AG135" s="156" t="inlineStr">
        <is>
          <t>Nuevo – Odoo Universal Unique Brands 01/10/2026</t>
        </is>
      </c>
      <c r="AH135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«03-001-0278-1056» (Completado por regla) · Validador Shopify: WB: precio con IVA no termina en 9</t>
        </is>
      </c>
      <c r="AI135" s="156" t="n"/>
      <c r="AJ135" s="156" t="n"/>
      <c r="AK135" s="155" t="inlineStr">
        <is>
          <t>Odoo: producto 20857 / plantilla 26860</t>
        </is>
      </c>
      <c r="AL135" s="58" t="n"/>
      <c r="AM135" s="58" t="n"/>
      <c r="AN135" s="155" t="inlineStr">
        <is>
          <t>Odoo Universal Unique Brands</t>
        </is>
      </c>
      <c r="AO135" s="59" t="n"/>
      <c r="AP135" s="59" t="n"/>
      <c r="AQ135" s="59" t="n">
        <v>30</v>
      </c>
      <c r="AR135" s="155" t="inlineStr">
        <is>
          <t>Odoo Universal Unique Brands › Bodega 25 › Bodega 25/General: 30</t>
        </is>
      </c>
    </row>
    <row r="136">
      <c r="A136" s="50" t="inlineStr">
        <is>
          <t>199168090722</t>
        </is>
      </c>
      <c r="B136" s="51" t="n"/>
      <c r="C136" s="156" t="inlineStr">
        <is>
          <t>Roper</t>
        </is>
      </c>
      <c r="D136" s="156" t="inlineStr">
        <is>
          <t>03-001-0278-1056</t>
        </is>
      </c>
      <c r="E136" s="156" t="inlineStr">
        <is>
          <t>03-001-0278-1056 BU-XL</t>
        </is>
      </c>
      <c r="F136" s="156" t="inlineStr">
        <is>
          <t>XL</t>
        </is>
      </c>
      <c r="G136" s="156" t="inlineStr">
        <is>
          <t>XL</t>
        </is>
      </c>
      <c r="H136" s="156" t="inlineStr">
        <is>
          <t>Roper</t>
        </is>
      </c>
      <c r="I136" s="156" t="inlineStr">
        <is>
          <t>ROPER Shirt Midnight Plaid</t>
        </is>
      </c>
      <c r="J136" s="156" t="inlineStr">
        <is>
          <t>Ropa</t>
        </is>
      </c>
      <c r="K136" s="156" t="inlineStr">
        <is>
          <t>Camisas</t>
        </is>
      </c>
      <c r="L136" s="156" t="n"/>
      <c r="M136" s="156" t="n"/>
      <c r="N136" s="156" t="n"/>
      <c r="O136" s="156" t="n"/>
      <c r="P136" s="156" t="n"/>
      <c r="Q136" s="156" t="n"/>
      <c r="R136" s="156" t="n"/>
      <c r="S136" s="156" t="n"/>
      <c r="T136" s="156" t="n"/>
      <c r="U136" s="156" t="n"/>
      <c r="V136" s="156" t="inlineStr">
        <is>
          <t>PZS</t>
        </is>
      </c>
      <c r="W136" s="51" t="inlineStr">
        <is>
          <t>53101602</t>
        </is>
      </c>
      <c r="X136" s="156" t="n"/>
      <c r="Y136" s="54" t="n">
        <v>31.5</v>
      </c>
      <c r="Z136" s="54" t="n">
        <v>839</v>
      </c>
      <c r="AA136" s="55">
        <f>IF(AND(A136="", B136="", E136=""), "", IF(AB136="", "Válido", IF((LEN(AB136)-LEN(SUBSTITUTE(AB136,"; ","")))/2+1&gt;(LEN(AB136)-LEN(SUBSTITUTE(AB136,"[Aviso]","")))/7, "Con Incidencias", "Válido")))</f>
        <v/>
      </c>
      <c r="AB136" s="56">
        <f>IF(AND(A136="", B136="", E136=""), "", TEXTJOIN("; ", TRUE, IF(OR(TRIM(A136&amp;"")="", ISNUMBER(SEARCH("FALTA", A136))), "UPC faltante/inválido", ""), IF(AND(A136&lt;&gt;"", IFERROR(_xlfn.XMATCH(A136,$A$2:$A$285,0,1)&lt;&gt;_xlfn.XMATCH(A136,$A$2:$A$285,0,-1),FALSE)), "Código de barras duplicado", ""), IF(AND(E136&lt;&gt;"", COUNTIF($E$2:$E$285, E136)&gt;1), "SKU duplicado", ""), IF(OR(J136="", J136=""), "[Aviso] División no capturada ()", IF(ISNA(MATCH(J136, Criterios!$A$123:$A$126, 0)), "División no válida", "")), IF(OR(K136="", K136=""), "[Aviso] Categoría no capturada ()", IF(ISNA(MATCH(K136, Criterios!$A$81:$A$120, 0)), "Categoría no válida", IF(AND(J136&lt;&gt;"", J136&lt;&gt;"", J136&lt;&gt;VLOOKUP(K136, Criterios!$A$81:$B$120, 2, FALSE)), "División no coincide con Categoría", ""))), IF(OR(L136="", L136=""), "[Aviso] Género no capturado ()", IF(ISNA(MATCH(L136, Criterios!$B$123:$B$127, 0)), "Género no válido", "")), IF(OR(N136="", N136=""), "[Aviso] Temporada no capturada ()", IF(ISNA(MATCH(N136, Criterios!$C$123:$C$128, 0)), "Temporada no válida", "")), IF(OR(O136="", O136=""), "[Aviso] Ciclo de vida no capturado ()", IF(ISNA(MATCH(O136, Criterios!$D$123:$D$124, 0)), "Ciclo de vida no válido", ""))))</f>
        <v/>
      </c>
      <c r="AC136" s="56" t="n"/>
      <c r="AD136" s="51" t="n"/>
      <c r="AE136" s="156" t="n"/>
      <c r="AF136" s="51" t="n"/>
      <c r="AG136" s="156" t="inlineStr">
        <is>
          <t>Nuevo – Odoo Universal Unique Brands 01/10/2026</t>
        </is>
      </c>
      <c r="AH136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«03-001-0278-1056» (Completado por regla) · Validador Shopify: WB: precio con IVA no termina en 9</t>
        </is>
      </c>
      <c r="AI136" s="156" t="n"/>
      <c r="AJ136" s="156" t="n"/>
      <c r="AK136" s="155" t="inlineStr">
        <is>
          <t>Odoo: producto 20860 / plantilla 26863</t>
        </is>
      </c>
      <c r="AL136" s="58" t="n"/>
      <c r="AM136" s="58" t="n"/>
      <c r="AN136" s="155" t="inlineStr">
        <is>
          <t>Odoo Universal Unique Brands</t>
        </is>
      </c>
      <c r="AO136" s="59" t="n"/>
      <c r="AP136" s="59" t="n"/>
      <c r="AQ136" s="59" t="n">
        <v>20</v>
      </c>
      <c r="AR136" s="155" t="inlineStr">
        <is>
          <t>Odoo Universal Unique Brands › Bodega 25 › Bodega 25/General: 20</t>
        </is>
      </c>
    </row>
    <row r="137">
      <c r="A137" s="50" t="inlineStr">
        <is>
          <t>199168047290</t>
        </is>
      </c>
      <c r="B137" s="51" t="n"/>
      <c r="C137" s="156" t="inlineStr">
        <is>
          <t>Roper</t>
        </is>
      </c>
      <c r="D137" s="156" t="inlineStr">
        <is>
          <t>03-001-0278-7038</t>
        </is>
      </c>
      <c r="E137" s="156" t="inlineStr">
        <is>
          <t>03-001-0278-7038 BU-2XL</t>
        </is>
      </c>
      <c r="F137" s="156" t="inlineStr">
        <is>
          <t>XXL</t>
        </is>
      </c>
      <c r="G137" s="156" t="inlineStr">
        <is>
          <t>XXL</t>
        </is>
      </c>
      <c r="H137" s="156" t="inlineStr">
        <is>
          <t>Roper</t>
        </is>
      </c>
      <c r="I137" s="156" t="inlineStr">
        <is>
          <t>ROPER Shirt Bluejay Plaid</t>
        </is>
      </c>
      <c r="J137" s="156" t="inlineStr">
        <is>
          <t>Ropa</t>
        </is>
      </c>
      <c r="K137" s="156" t="inlineStr">
        <is>
          <t>Camisas</t>
        </is>
      </c>
      <c r="L137" s="156" t="n"/>
      <c r="M137" s="156" t="n"/>
      <c r="N137" s="156" t="n"/>
      <c r="O137" s="156" t="n"/>
      <c r="P137" s="156" t="n"/>
      <c r="Q137" s="156" t="n"/>
      <c r="R137" s="156" t="n"/>
      <c r="S137" s="156" t="n"/>
      <c r="T137" s="156" t="n"/>
      <c r="U137" s="156" t="n"/>
      <c r="V137" s="156" t="inlineStr">
        <is>
          <t>PZS</t>
        </is>
      </c>
      <c r="W137" s="51" t="inlineStr">
        <is>
          <t>53101602</t>
        </is>
      </c>
      <c r="X137" s="156" t="n"/>
      <c r="Y137" s="54" t="n">
        <v>26.51</v>
      </c>
      <c r="Z137" s="54" t="n">
        <v>719</v>
      </c>
      <c r="AA137" s="55">
        <f>IF(AND(A137="", B137="", E137=""), "", IF(AB137="", "Válido", IF((LEN(AB137)-LEN(SUBSTITUTE(AB137,"; ","")))/2+1&gt;(LEN(AB137)-LEN(SUBSTITUTE(AB137,"[Aviso]","")))/7, "Con Incidencias", "Válido")))</f>
        <v/>
      </c>
      <c r="AB137" s="56">
        <f>IF(AND(A137="", B137="", E137=""), "", TEXTJOIN("; ", TRUE, IF(OR(TRIM(A137&amp;"")="", ISNUMBER(SEARCH("FALTA", A137))), "UPC faltante/inválido", ""), IF(AND(A137&lt;&gt;"", IFERROR(_xlfn.XMATCH(A137,$A$2:$A$285,0,1)&lt;&gt;_xlfn.XMATCH(A137,$A$2:$A$285,0,-1),FALSE)), "Código de barras duplicado", ""), IF(AND(E137&lt;&gt;"", COUNTIF($E$2:$E$285, E137)&gt;1), "SKU duplicado", ""), IF(OR(J137="", J137=""), "[Aviso] División no capturada ()", IF(ISNA(MATCH(J137, Criterios!$A$123:$A$126, 0)), "División no válida", "")), IF(OR(K137="", K137=""), "[Aviso] Categoría no capturada ()", IF(ISNA(MATCH(K137, Criterios!$A$81:$A$120, 0)), "Categoría no válida", IF(AND(J137&lt;&gt;"", J137&lt;&gt;"", J137&lt;&gt;VLOOKUP(K137, Criterios!$A$81:$B$120, 2, FALSE)), "División no coincide con Categoría", ""))), IF(OR(L137="", L137=""), "[Aviso] Género no capturado ()", IF(ISNA(MATCH(L137, Criterios!$B$123:$B$127, 0)), "Género no válido", "")), IF(OR(N137="", N137=""), "[Aviso] Temporada no capturada ()", IF(ISNA(MATCH(N137, Criterios!$C$123:$C$128, 0)), "Temporada no válida", "")), IF(OR(O137="", O137=""), "[Aviso] Ciclo de vida no capturado ()", IF(ISNA(MATCH(O137, Criterios!$D$123:$D$124, 0)), "Ciclo de vida no válido", ""))))</f>
        <v/>
      </c>
      <c r="AC137" s="56" t="n"/>
      <c r="AD137" s="51" t="n"/>
      <c r="AE137" s="156" t="n"/>
      <c r="AF137" s="51" t="n"/>
      <c r="AG137" s="156" t="inlineStr">
        <is>
          <t>Nuevo – Odoo Universal Unique Brands 01/10/2026</t>
        </is>
      </c>
      <c r="AH13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«03-001-0278-7038» (Completado por regla) · Validador Shopify: WB: precio con IVA no termina en 9</t>
        </is>
      </c>
      <c r="AI137" s="156" t="n"/>
      <c r="AJ137" s="156" t="n"/>
      <c r="AK137" s="155" t="inlineStr">
        <is>
          <t>Odoo: producto 20905 / plantilla 26908</t>
        </is>
      </c>
      <c r="AL137" s="58" t="n"/>
      <c r="AM137" s="58" t="n"/>
      <c r="AN137" s="155" t="inlineStr">
        <is>
          <t>Odoo Universal Unique Brands</t>
        </is>
      </c>
      <c r="AO137" s="59" t="n"/>
      <c r="AP137" s="59" t="n"/>
      <c r="AQ137" s="59" t="n">
        <v>1</v>
      </c>
      <c r="AR137" s="155" t="inlineStr">
        <is>
          <t>Odoo Universal Unique Brands › Bodega 25 › Bodega 25/General: 1</t>
        </is>
      </c>
    </row>
    <row r="138">
      <c r="A138" s="50" t="inlineStr">
        <is>
          <t>199168047252</t>
        </is>
      </c>
      <c r="B138" s="51" t="n"/>
      <c r="C138" s="156" t="inlineStr">
        <is>
          <t>Roper</t>
        </is>
      </c>
      <c r="D138" s="156" t="inlineStr">
        <is>
          <t>03-001-0278-7038</t>
        </is>
      </c>
      <c r="E138" s="156" t="inlineStr">
        <is>
          <t>03-001-0278-7038 BU-L</t>
        </is>
      </c>
      <c r="F138" s="156" t="inlineStr">
        <is>
          <t>L</t>
        </is>
      </c>
      <c r="G138" s="156" t="inlineStr">
        <is>
          <t>L</t>
        </is>
      </c>
      <c r="H138" s="156" t="inlineStr">
        <is>
          <t>Roper</t>
        </is>
      </c>
      <c r="I138" s="156" t="inlineStr">
        <is>
          <t>ROPER Shirt Bluejay Plaid</t>
        </is>
      </c>
      <c r="J138" s="156" t="inlineStr">
        <is>
          <t>Ropa</t>
        </is>
      </c>
      <c r="K138" s="156" t="inlineStr">
        <is>
          <t>Camisas</t>
        </is>
      </c>
      <c r="L138" s="156" t="inlineStr">
        <is>
          <t>Hombre</t>
        </is>
      </c>
      <c r="M138" s="156" t="n"/>
      <c r="N138" s="156" t="n"/>
      <c r="O138" s="156" t="n"/>
      <c r="P138" s="156" t="n"/>
      <c r="Q138" s="156" t="n"/>
      <c r="R138" s="156" t="n"/>
      <c r="S138" s="156" t="n"/>
      <c r="T138" s="156" t="n"/>
      <c r="U138" s="156" t="n"/>
      <c r="V138" s="156" t="inlineStr">
        <is>
          <t>PZS</t>
        </is>
      </c>
      <c r="W138" s="51" t="inlineStr">
        <is>
          <t>53101602</t>
        </is>
      </c>
      <c r="X138" s="156" t="n"/>
      <c r="Y138" s="54" t="n">
        <v>26.51</v>
      </c>
      <c r="Z138" s="54" t="n">
        <v>719</v>
      </c>
      <c r="AA138" s="55">
        <f>IF(AND(A138="", B138="", E138=""), "", IF(AB138="", "Válido", IF((LEN(AB138)-LEN(SUBSTITUTE(AB138,"; ","")))/2+1&gt;(LEN(AB138)-LEN(SUBSTITUTE(AB138,"[Aviso]","")))/7, "Con Incidencias", "Válido")))</f>
        <v/>
      </c>
      <c r="AB138" s="56">
        <f>IF(AND(A138="", B138="", E138=""), "", TEXTJOIN("; ", TRUE, IF(OR(TRIM(A138&amp;"")="", ISNUMBER(SEARCH("FALTA", A138))), "UPC faltante/inválido", ""), IF(AND(A138&lt;&gt;"", IFERROR(_xlfn.XMATCH(A138,$A$2:$A$285,0,1)&lt;&gt;_xlfn.XMATCH(A138,$A$2:$A$285,0,-1),FALSE)), "Código de barras duplicado", ""), IF(AND(E138&lt;&gt;"", COUNTIF($E$2:$E$285, E138)&gt;1), "SKU duplicado", ""), IF(OR(J138="", J138=""), "[Aviso] División no capturada ()", IF(ISNA(MATCH(J138, Criterios!$A$123:$A$126, 0)), "División no válida", "")), IF(OR(K138="", K138=""), "[Aviso] Categoría no capturada ()", IF(ISNA(MATCH(K138, Criterios!$A$81:$A$120, 0)), "Categoría no válida", IF(AND(J138&lt;&gt;"", J138&lt;&gt;"", J138&lt;&gt;VLOOKUP(K138, Criterios!$A$81:$B$120, 2, FALSE)), "División no coincide con Categoría", ""))), IF(OR(L138="", L138=""), "[Aviso] Género no capturado ()", IF(ISNA(MATCH(L138, Criterios!$B$123:$B$127, 0)), "Género no válido", "")), IF(OR(N138="", N138=""), "[Aviso] Temporada no capturada ()", IF(ISNA(MATCH(N138, Criterios!$C$123:$C$128, 0)), "Temporada no válida", "")), IF(OR(O138="", O138=""), "[Aviso] Ciclo de vida no capturado ()", IF(ISNA(MATCH(O138, Criterios!$D$123:$D$124, 0)), "Ciclo de vida no válido", ""))))</f>
        <v/>
      </c>
      <c r="AC138" s="56" t="n"/>
      <c r="AD138" s="51" t="n"/>
      <c r="AE138" s="156" t="n"/>
      <c r="AF138" s="51" t="n"/>
      <c r="AG138" s="156" t="inlineStr">
        <is>
          <t>Nuevo – Odoo Universal Unique Brands 01/10/2026</t>
        </is>
      </c>
      <c r="AH138" s="156" t="inlineStr">
        <is>
          <t>01/10/2026: alta desde Odoo Universal Unique Brands (no existía en Productos por código de barras ni SKU) | Categoría: Palabra clave "Camisa" en tipo/categoría de la fuente (Ropa / Camisas); Género: campo de la fuente | Homologación G1522 06/10/2026: WB N.º de estilo: «» → «03-001-0278-7038» (Completado por regla) · Validador Shopify: WB: precio con IVA no termina en 9</t>
        </is>
      </c>
      <c r="AI138" s="156" t="n"/>
      <c r="AJ138" s="156" t="n"/>
      <c r="AK138" s="155" t="inlineStr">
        <is>
          <t>Odoo: producto 20903 / plantilla 26906</t>
        </is>
      </c>
      <c r="AL138" s="58" t="n"/>
      <c r="AM138" s="58" t="n"/>
      <c r="AN138" s="155" t="inlineStr">
        <is>
          <t>Odoo Universal Unique Brands</t>
        </is>
      </c>
      <c r="AO138" s="59" t="n"/>
      <c r="AP138" s="59" t="n"/>
      <c r="AQ138" s="59" t="n">
        <v>6</v>
      </c>
      <c r="AR138" s="155" t="inlineStr">
        <is>
          <t>Odoo Universal Unique Brands › Bodega 25 › Bodega 25/General: 6</t>
        </is>
      </c>
    </row>
    <row r="139">
      <c r="A139" s="50" t="inlineStr">
        <is>
          <t>199168047269</t>
        </is>
      </c>
      <c r="B139" s="51" t="n"/>
      <c r="C139" s="156" t="inlineStr">
        <is>
          <t>Roper</t>
        </is>
      </c>
      <c r="D139" s="156" t="inlineStr">
        <is>
          <t>03-001-0278-7038</t>
        </is>
      </c>
      <c r="E139" s="156" t="inlineStr">
        <is>
          <t>03-001-0278-7038 BU-M</t>
        </is>
      </c>
      <c r="F139" s="156" t="inlineStr">
        <is>
          <t>M</t>
        </is>
      </c>
      <c r="G139" s="156" t="inlineStr">
        <is>
          <t>M</t>
        </is>
      </c>
      <c r="H139" s="156" t="inlineStr">
        <is>
          <t>Roper</t>
        </is>
      </c>
      <c r="I139" s="156" t="inlineStr">
        <is>
          <t>ROPER Shirt Bluejay Plaid</t>
        </is>
      </c>
      <c r="J139" s="156" t="inlineStr">
        <is>
          <t>Ropa</t>
        </is>
      </c>
      <c r="K139" s="156" t="inlineStr">
        <is>
          <t>Camisas</t>
        </is>
      </c>
      <c r="L139" s="156" t="n"/>
      <c r="M139" s="156" t="n"/>
      <c r="N139" s="156" t="n"/>
      <c r="O139" s="156" t="n"/>
      <c r="P139" s="156" t="n"/>
      <c r="Q139" s="156" t="n"/>
      <c r="R139" s="156" t="n"/>
      <c r="S139" s="156" t="n"/>
      <c r="T139" s="156" t="n"/>
      <c r="U139" s="156" t="n"/>
      <c r="V139" s="156" t="inlineStr">
        <is>
          <t>PZS</t>
        </is>
      </c>
      <c r="W139" s="51" t="inlineStr">
        <is>
          <t>53101602</t>
        </is>
      </c>
      <c r="X139" s="156" t="n"/>
      <c r="Y139" s="54" t="n">
        <v>26.51</v>
      </c>
      <c r="Z139" s="54" t="n">
        <v>719</v>
      </c>
      <c r="AA139" s="55">
        <f>IF(AND(A139="", B139="", E139=""), "", IF(AB139="", "Válido", IF((LEN(AB139)-LEN(SUBSTITUTE(AB139,"; ","")))/2+1&gt;(LEN(AB139)-LEN(SUBSTITUTE(AB139,"[Aviso]","")))/7, "Con Incidencias", "Válido")))</f>
        <v/>
      </c>
      <c r="AB139" s="56">
        <f>IF(AND(A139="", B139="", E139=""), "", TEXTJOIN("; ", TRUE, IF(OR(TRIM(A139&amp;"")="", ISNUMBER(SEARCH("FALTA", A139))), "UPC faltante/inválido", ""), IF(AND(A139&lt;&gt;"", IFERROR(_xlfn.XMATCH(A139,$A$2:$A$285,0,1)&lt;&gt;_xlfn.XMATCH(A139,$A$2:$A$285,0,-1),FALSE)), "Código de barras duplicado", ""), IF(AND(E139&lt;&gt;"", COUNTIF($E$2:$E$285, E139)&gt;1), "SKU duplicado", ""), IF(OR(J139="", J139=""), "[Aviso] División no capturada ()", IF(ISNA(MATCH(J139, Criterios!$A$123:$A$126, 0)), "División no válida", "")), IF(OR(K139="", K139=""), "[Aviso] Categoría no capturada ()", IF(ISNA(MATCH(K139, Criterios!$A$81:$A$120, 0)), "Categoría no válida", IF(AND(J139&lt;&gt;"", J139&lt;&gt;"", J139&lt;&gt;VLOOKUP(K139, Criterios!$A$81:$B$120, 2, FALSE)), "División no coincide con Categoría", ""))), IF(OR(L139="", L139=""), "[Aviso] Género no capturado ()", IF(ISNA(MATCH(L139, Criterios!$B$123:$B$127, 0)), "Género no válido", "")), IF(OR(N139="", N139=""), "[Aviso] Temporada no capturada ()", IF(ISNA(MATCH(N139, Criterios!$C$123:$C$128, 0)), "Temporada no válida", "")), IF(OR(O139="", O139=""), "[Aviso] Ciclo de vida no capturado ()", IF(ISNA(MATCH(O139, Criterios!$D$123:$D$124, 0)), "Ciclo de vida no válido", ""))))</f>
        <v/>
      </c>
      <c r="AC139" s="56" t="n"/>
      <c r="AD139" s="51" t="n"/>
      <c r="AE139" s="156" t="n"/>
      <c r="AF139" s="51" t="n"/>
      <c r="AG139" s="156" t="inlineStr">
        <is>
          <t>Nuevo – Odoo Universal Unique Brands 01/10/2026</t>
        </is>
      </c>
      <c r="AH139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«03-001-0278-7038» (Completado por regla) · Validador Shopify: WB: precio con IVA no termina en 9</t>
        </is>
      </c>
      <c r="AI139" s="156" t="n"/>
      <c r="AJ139" s="156" t="n"/>
      <c r="AK139" s="155" t="inlineStr">
        <is>
          <t>Odoo: producto 20902 / plantilla 26905</t>
        </is>
      </c>
      <c r="AL139" s="58" t="n"/>
      <c r="AM139" s="58" t="n"/>
      <c r="AN139" s="155" t="inlineStr">
        <is>
          <t>Odoo Universal Unique Brands</t>
        </is>
      </c>
      <c r="AO139" s="59" t="n"/>
      <c r="AP139" s="59" t="n"/>
      <c r="AQ139" s="59" t="n">
        <v>10</v>
      </c>
      <c r="AR139" s="155" t="inlineStr">
        <is>
          <t>Odoo Universal Unique Brands › Bodega 25 › Bodega 25/General: 10</t>
        </is>
      </c>
    </row>
    <row r="140">
      <c r="A140" s="50" t="inlineStr">
        <is>
          <t>199168047276</t>
        </is>
      </c>
      <c r="B140" s="51" t="n"/>
      <c r="C140" s="156" t="inlineStr">
        <is>
          <t>Roper</t>
        </is>
      </c>
      <c r="D140" s="156" t="inlineStr">
        <is>
          <t>03-001-0278-7038</t>
        </is>
      </c>
      <c r="E140" s="156" t="inlineStr">
        <is>
          <t>03-001-0278-7038 BU-S</t>
        </is>
      </c>
      <c r="F140" s="156" t="inlineStr">
        <is>
          <t>S</t>
        </is>
      </c>
      <c r="G140" s="156" t="inlineStr">
        <is>
          <t>S</t>
        </is>
      </c>
      <c r="H140" s="156" t="inlineStr">
        <is>
          <t>Roper</t>
        </is>
      </c>
      <c r="I140" s="156" t="inlineStr">
        <is>
          <t>ROPER Shirt Bluejay Plaid</t>
        </is>
      </c>
      <c r="J140" s="156" t="inlineStr">
        <is>
          <t>Ropa</t>
        </is>
      </c>
      <c r="K140" s="156" t="inlineStr">
        <is>
          <t>Camisas</t>
        </is>
      </c>
      <c r="L140" s="156" t="n"/>
      <c r="M140" s="156" t="n"/>
      <c r="N140" s="156" t="n"/>
      <c r="O140" s="156" t="n"/>
      <c r="P140" s="156" t="n"/>
      <c r="Q140" s="156" t="n"/>
      <c r="R140" s="156" t="n"/>
      <c r="S140" s="156" t="n"/>
      <c r="T140" s="156" t="n"/>
      <c r="U140" s="156" t="n"/>
      <c r="V140" s="156" t="inlineStr">
        <is>
          <t>PZS</t>
        </is>
      </c>
      <c r="W140" s="51" t="inlineStr">
        <is>
          <t>53101602</t>
        </is>
      </c>
      <c r="X140" s="156" t="n"/>
      <c r="Y140" s="54" t="n">
        <v>26.51</v>
      </c>
      <c r="Z140" s="54" t="n">
        <v>719</v>
      </c>
      <c r="AA140" s="55">
        <f>IF(AND(A140="", B140="", E140=""), "", IF(AB140="", "Válido", IF((LEN(AB140)-LEN(SUBSTITUTE(AB140,"; ","")))/2+1&gt;(LEN(AB140)-LEN(SUBSTITUTE(AB140,"[Aviso]","")))/7, "Con Incidencias", "Válido")))</f>
        <v/>
      </c>
      <c r="AB140" s="56">
        <f>IF(AND(A140="", B140="", E140=""), "", TEXTJOIN("; ", TRUE, IF(OR(TRIM(A140&amp;"")="", ISNUMBER(SEARCH("FALTA", A140))), "UPC faltante/inválido", ""), IF(AND(A140&lt;&gt;"", IFERROR(_xlfn.XMATCH(A140,$A$2:$A$285,0,1)&lt;&gt;_xlfn.XMATCH(A140,$A$2:$A$285,0,-1),FALSE)), "Código de barras duplicado", ""), IF(AND(E140&lt;&gt;"", COUNTIF($E$2:$E$285, E140)&gt;1), "SKU duplicado", ""), IF(OR(J140="", J140=""), "[Aviso] División no capturada ()", IF(ISNA(MATCH(J140, Criterios!$A$123:$A$126, 0)), "División no válida", "")), IF(OR(K140="", K140=""), "[Aviso] Categoría no capturada ()", IF(ISNA(MATCH(K140, Criterios!$A$81:$A$120, 0)), "Categoría no válida", IF(AND(J140&lt;&gt;"", J140&lt;&gt;"", J140&lt;&gt;VLOOKUP(K140, Criterios!$A$81:$B$120, 2, FALSE)), "División no coincide con Categoría", ""))), IF(OR(L140="", L140=""), "[Aviso] Género no capturado ()", IF(ISNA(MATCH(L140, Criterios!$B$123:$B$127, 0)), "Género no válido", "")), IF(OR(N140="", N140=""), "[Aviso] Temporada no capturada ()", IF(ISNA(MATCH(N140, Criterios!$C$123:$C$128, 0)), "Temporada no válida", "")), IF(OR(O140="", O140=""), "[Aviso] Ciclo de vida no capturado ()", IF(ISNA(MATCH(O140, Criterios!$D$123:$D$124, 0)), "Ciclo de vida no válido", ""))))</f>
        <v/>
      </c>
      <c r="AC140" s="56" t="n"/>
      <c r="AD140" s="51" t="n"/>
      <c r="AE140" s="156" t="n"/>
      <c r="AF140" s="51" t="n"/>
      <c r="AG140" s="156" t="inlineStr">
        <is>
          <t>Nuevo – Odoo Universal Unique Brands 01/10/2026</t>
        </is>
      </c>
      <c r="AH140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«03-001-0278-7038» (Completado por regla) · Validador Shopify: WB: precio con IVA no termina en 9</t>
        </is>
      </c>
      <c r="AI140" s="156" t="n"/>
      <c r="AJ140" s="156" t="n"/>
      <c r="AK140" s="155" t="inlineStr">
        <is>
          <t>Odoo: producto 20901 / plantilla 26904</t>
        </is>
      </c>
      <c r="AL140" s="58" t="n"/>
      <c r="AM140" s="58" t="n"/>
      <c r="AN140" s="155" t="inlineStr">
        <is>
          <t>Odoo Universal Unique Brands</t>
        </is>
      </c>
      <c r="AO140" s="59" t="n"/>
      <c r="AP140" s="59" t="n"/>
      <c r="AQ140" s="59" t="n">
        <v>10</v>
      </c>
      <c r="AR140" s="155" t="inlineStr">
        <is>
          <t>Odoo Universal Unique Brands › Bodega 25 › Bodega 25/General: 10</t>
        </is>
      </c>
    </row>
    <row r="141">
      <c r="A141" s="50" t="inlineStr">
        <is>
          <t>199168047283</t>
        </is>
      </c>
      <c r="B141" s="51" t="n"/>
      <c r="C141" s="156" t="inlineStr">
        <is>
          <t>Roper</t>
        </is>
      </c>
      <c r="D141" s="156" t="inlineStr">
        <is>
          <t>03-001-0278-7038</t>
        </is>
      </c>
      <c r="E141" s="156" t="inlineStr">
        <is>
          <t>03-001-0278-7038 BU-XL</t>
        </is>
      </c>
      <c r="F141" s="156" t="inlineStr">
        <is>
          <t>XL</t>
        </is>
      </c>
      <c r="G141" s="156" t="inlineStr">
        <is>
          <t>XL</t>
        </is>
      </c>
      <c r="H141" s="156" t="inlineStr">
        <is>
          <t>Roper</t>
        </is>
      </c>
      <c r="I141" s="156" t="inlineStr">
        <is>
          <t>ROPER Shirt Bluejay Plaid</t>
        </is>
      </c>
      <c r="J141" s="156" t="inlineStr">
        <is>
          <t>Ropa</t>
        </is>
      </c>
      <c r="K141" s="156" t="inlineStr">
        <is>
          <t>Camisas</t>
        </is>
      </c>
      <c r="L141" s="156" t="n"/>
      <c r="M141" s="156" t="n"/>
      <c r="N141" s="156" t="n"/>
      <c r="O141" s="156" t="n"/>
      <c r="P141" s="156" t="n"/>
      <c r="Q141" s="156" t="n"/>
      <c r="R141" s="156" t="n"/>
      <c r="S141" s="156" t="n"/>
      <c r="T141" s="156" t="n"/>
      <c r="U141" s="156" t="n"/>
      <c r="V141" s="156" t="inlineStr">
        <is>
          <t>PZS</t>
        </is>
      </c>
      <c r="W141" s="51" t="inlineStr">
        <is>
          <t>53101602</t>
        </is>
      </c>
      <c r="X141" s="156" t="n"/>
      <c r="Y141" s="54" t="n">
        <v>26.51</v>
      </c>
      <c r="Z141" s="54" t="n">
        <v>719</v>
      </c>
      <c r="AA141" s="55">
        <f>IF(AND(A141="", B141="", E141=""), "", IF(AB141="", "Válido", IF((LEN(AB141)-LEN(SUBSTITUTE(AB141,"; ","")))/2+1&gt;(LEN(AB141)-LEN(SUBSTITUTE(AB141,"[Aviso]","")))/7, "Con Incidencias", "Válido")))</f>
        <v/>
      </c>
      <c r="AB141" s="56">
        <f>IF(AND(A141="", B141="", E141=""), "", TEXTJOIN("; ", TRUE, IF(OR(TRIM(A141&amp;"")="", ISNUMBER(SEARCH("FALTA", A141))), "UPC faltante/inválido", ""), IF(AND(A141&lt;&gt;"", IFERROR(_xlfn.XMATCH(A141,$A$2:$A$285,0,1)&lt;&gt;_xlfn.XMATCH(A141,$A$2:$A$285,0,-1),FALSE)), "Código de barras duplicado", ""), IF(AND(E141&lt;&gt;"", COUNTIF($E$2:$E$285, E141)&gt;1), "SKU duplicado", ""), IF(OR(J141="", J141=""), "[Aviso] División no capturada ()", IF(ISNA(MATCH(J141, Criterios!$A$123:$A$126, 0)), "División no válida", "")), IF(OR(K141="", K141=""), "[Aviso] Categoría no capturada ()", IF(ISNA(MATCH(K141, Criterios!$A$81:$A$120, 0)), "Categoría no válida", IF(AND(J141&lt;&gt;"", J141&lt;&gt;"", J141&lt;&gt;VLOOKUP(K141, Criterios!$A$81:$B$120, 2, FALSE)), "División no coincide con Categoría", ""))), IF(OR(L141="", L141=""), "[Aviso] Género no capturado ()", IF(ISNA(MATCH(L141, Criterios!$B$123:$B$127, 0)), "Género no válido", "")), IF(OR(N141="", N141=""), "[Aviso] Temporada no capturada ()", IF(ISNA(MATCH(N141, Criterios!$C$123:$C$128, 0)), "Temporada no válida", "")), IF(OR(O141="", O141=""), "[Aviso] Ciclo de vida no capturado ()", IF(ISNA(MATCH(O141, Criterios!$D$123:$D$124, 0)), "Ciclo de vida no válido", ""))))</f>
        <v/>
      </c>
      <c r="AC141" s="56" t="n"/>
      <c r="AD141" s="51" t="n"/>
      <c r="AE141" s="156" t="n"/>
      <c r="AF141" s="51" t="n"/>
      <c r="AG141" s="156" t="inlineStr">
        <is>
          <t>Nuevo – Odoo Universal Unique Brands 01/10/2026</t>
        </is>
      </c>
      <c r="AH141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«03-001-0278-7038» (Completado por regla) · Validador Shopify: WB: precio con IVA no termina en 9</t>
        </is>
      </c>
      <c r="AI141" s="156" t="n"/>
      <c r="AJ141" s="156" t="n"/>
      <c r="AK141" s="155" t="inlineStr">
        <is>
          <t>Odoo: producto 20904 / plantilla 26907</t>
        </is>
      </c>
      <c r="AL141" s="58" t="n"/>
      <c r="AM141" s="58" t="n"/>
      <c r="AN141" s="155" t="inlineStr">
        <is>
          <t>Odoo Universal Unique Brands</t>
        </is>
      </c>
      <c r="AO141" s="59" t="n"/>
      <c r="AP141" s="59" t="n"/>
      <c r="AQ141" s="59" t="n">
        <v>5</v>
      </c>
      <c r="AR141" s="155" t="inlineStr">
        <is>
          <t>Odoo Universal Unique Brands › Bodega 25 › Bodega 25/General: 5</t>
        </is>
      </c>
    </row>
    <row r="142">
      <c r="A142" s="50" t="inlineStr">
        <is>
          <t>199168047375</t>
        </is>
      </c>
      <c r="B142" s="51" t="n"/>
      <c r="C142" s="156" t="inlineStr">
        <is>
          <t>Roper</t>
        </is>
      </c>
      <c r="D142" s="156" t="inlineStr">
        <is>
          <t>03-001-0278-7040</t>
        </is>
      </c>
      <c r="E142" s="156" t="inlineStr">
        <is>
          <t>03-001-0278-7040 GY-L</t>
        </is>
      </c>
      <c r="F142" s="156" t="inlineStr">
        <is>
          <t>L</t>
        </is>
      </c>
      <c r="G142" s="156" t="inlineStr">
        <is>
          <t>L</t>
        </is>
      </c>
      <c r="H142" s="156" t="inlineStr">
        <is>
          <t>Roper</t>
        </is>
      </c>
      <c r="I142" s="156" t="inlineStr">
        <is>
          <t>ROPER Shirt Silver Haze Plaid</t>
        </is>
      </c>
      <c r="J142" s="156" t="inlineStr">
        <is>
          <t>Ropa</t>
        </is>
      </c>
      <c r="K142" s="156" t="inlineStr">
        <is>
          <t>Camisas</t>
        </is>
      </c>
      <c r="L142" s="156" t="n"/>
      <c r="M142" s="156" t="n"/>
      <c r="N142" s="156" t="n"/>
      <c r="O142" s="156" t="n"/>
      <c r="P142" s="156" t="n"/>
      <c r="Q142" s="156" t="n"/>
      <c r="R142" s="156" t="n"/>
      <c r="S142" s="156" t="n"/>
      <c r="T142" s="156" t="n"/>
      <c r="U142" s="156" t="n"/>
      <c r="V142" s="156" t="inlineStr">
        <is>
          <t>PZS</t>
        </is>
      </c>
      <c r="W142" s="51" t="inlineStr">
        <is>
          <t>53101602</t>
        </is>
      </c>
      <c r="X142" s="156" t="n"/>
      <c r="Y142" s="54" t="n">
        <v>26.51</v>
      </c>
      <c r="Z142" s="54" t="n">
        <v>719</v>
      </c>
      <c r="AA142" s="55">
        <f>IF(AND(A142="", B142="", E142=""), "", IF(AB142="", "Válido", IF((LEN(AB142)-LEN(SUBSTITUTE(AB142,"; ","")))/2+1&gt;(LEN(AB142)-LEN(SUBSTITUTE(AB142,"[Aviso]","")))/7, "Con Incidencias", "Válido")))</f>
        <v/>
      </c>
      <c r="AB142" s="56">
        <f>IF(AND(A142="", B142="", E142=""), "", TEXTJOIN("; ", TRUE, IF(OR(TRIM(A142&amp;"")="", ISNUMBER(SEARCH("FALTA", A142))), "UPC faltante/inválido", ""), IF(AND(A142&lt;&gt;"", IFERROR(_xlfn.XMATCH(A142,$A$2:$A$285,0,1)&lt;&gt;_xlfn.XMATCH(A142,$A$2:$A$285,0,-1),FALSE)), "Código de barras duplicado", ""), IF(AND(E142&lt;&gt;"", COUNTIF($E$2:$E$285, E142)&gt;1), "SKU duplicado", ""), IF(OR(J142="", J142=""), "[Aviso] División no capturada ()", IF(ISNA(MATCH(J142, Criterios!$A$123:$A$126, 0)), "División no válida", "")), IF(OR(K142="", K142=""), "[Aviso] Categoría no capturada ()", IF(ISNA(MATCH(K142, Criterios!$A$81:$A$120, 0)), "Categoría no válida", IF(AND(J142&lt;&gt;"", J142&lt;&gt;"", J142&lt;&gt;VLOOKUP(K142, Criterios!$A$81:$B$120, 2, FALSE)), "División no coincide con Categoría", ""))), IF(OR(L142="", L142=""), "[Aviso] Género no capturado ()", IF(ISNA(MATCH(L142, Criterios!$B$123:$B$127, 0)), "Género no válido", "")), IF(OR(N142="", N142=""), "[Aviso] Temporada no capturada ()", IF(ISNA(MATCH(N142, Criterios!$C$123:$C$128, 0)), "Temporada no válida", "")), IF(OR(O142="", O142=""), "[Aviso] Ciclo de vida no capturado ()", IF(ISNA(MATCH(O142, Criterios!$D$123:$D$124, 0)), "Ciclo de vida no válido", ""))))</f>
        <v/>
      </c>
      <c r="AC142" s="56" t="n"/>
      <c r="AD142" s="51" t="n"/>
      <c r="AE142" s="156" t="n"/>
      <c r="AF142" s="51" t="n"/>
      <c r="AG142" s="156" t="inlineStr">
        <is>
          <t>Nuevo – Odoo Universal Unique Brands 01/10/2026</t>
        </is>
      </c>
      <c r="AH142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«03-001-0278-7040» (Completado por regla) · Validador Shopify: WB: precio con IVA no termina en 9</t>
        </is>
      </c>
      <c r="AI142" s="156" t="n"/>
      <c r="AJ142" s="156" t="n"/>
      <c r="AK142" s="155" t="inlineStr">
        <is>
          <t>Odoo: producto 20899 / plantilla 26902</t>
        </is>
      </c>
      <c r="AL142" s="58" t="n"/>
      <c r="AM142" s="58" t="n"/>
      <c r="AN142" s="155" t="inlineStr">
        <is>
          <t>Odoo Universal Unique Brands</t>
        </is>
      </c>
      <c r="AO142" s="59" t="n"/>
      <c r="AP142" s="59" t="n"/>
      <c r="AQ142" s="59" t="n">
        <v>0</v>
      </c>
      <c r="AR142" s="155" t="n"/>
    </row>
    <row r="143">
      <c r="A143" s="50" t="inlineStr">
        <is>
          <t>199168047382</t>
        </is>
      </c>
      <c r="B143" s="51" t="n"/>
      <c r="C143" s="156" t="inlineStr">
        <is>
          <t>Roper</t>
        </is>
      </c>
      <c r="D143" s="156" t="inlineStr">
        <is>
          <t>03-001-0278-7040</t>
        </is>
      </c>
      <c r="E143" s="156" t="inlineStr">
        <is>
          <t>03-001-0278-7040 GY-M</t>
        </is>
      </c>
      <c r="F143" s="156" t="inlineStr">
        <is>
          <t>M</t>
        </is>
      </c>
      <c r="G143" s="156" t="inlineStr">
        <is>
          <t>M</t>
        </is>
      </c>
      <c r="H143" s="156" t="inlineStr">
        <is>
          <t>Roper</t>
        </is>
      </c>
      <c r="I143" s="156" t="inlineStr">
        <is>
          <t>ROPER Shirt Silver Haze Plaid</t>
        </is>
      </c>
      <c r="J143" s="156" t="inlineStr">
        <is>
          <t>Ropa</t>
        </is>
      </c>
      <c r="K143" s="156" t="inlineStr">
        <is>
          <t>Camisas</t>
        </is>
      </c>
      <c r="L143" s="156" t="n"/>
      <c r="M143" s="156" t="n"/>
      <c r="N143" s="156" t="n"/>
      <c r="O143" s="156" t="n"/>
      <c r="P143" s="156" t="n"/>
      <c r="Q143" s="156" t="n"/>
      <c r="R143" s="156" t="n"/>
      <c r="S143" s="156" t="n"/>
      <c r="T143" s="156" t="n"/>
      <c r="U143" s="156" t="n"/>
      <c r="V143" s="156" t="inlineStr">
        <is>
          <t>PZS</t>
        </is>
      </c>
      <c r="W143" s="51" t="inlineStr">
        <is>
          <t>53101602</t>
        </is>
      </c>
      <c r="X143" s="156" t="n"/>
      <c r="Y143" s="54" t="n">
        <v>26.51</v>
      </c>
      <c r="Z143" s="54" t="n">
        <v>719</v>
      </c>
      <c r="AA143" s="55">
        <f>IF(AND(A143="", B143="", E143=""), "", IF(AB143="", "Válido", IF((LEN(AB143)-LEN(SUBSTITUTE(AB143,"; ","")))/2+1&gt;(LEN(AB143)-LEN(SUBSTITUTE(AB143,"[Aviso]","")))/7, "Con Incidencias", "Válido")))</f>
        <v/>
      </c>
      <c r="AB143" s="56">
        <f>IF(AND(A143="", B143="", E143=""), "", TEXTJOIN("; ", TRUE, IF(OR(TRIM(A143&amp;"")="", ISNUMBER(SEARCH("FALTA", A143))), "UPC faltante/inválido", ""), IF(AND(A143&lt;&gt;"", IFERROR(_xlfn.XMATCH(A143,$A$2:$A$285,0,1)&lt;&gt;_xlfn.XMATCH(A143,$A$2:$A$285,0,-1),FALSE)), "Código de barras duplicado", ""), IF(AND(E143&lt;&gt;"", COUNTIF($E$2:$E$285, E143)&gt;1), "SKU duplicado", ""), IF(OR(J143="", J143=""), "[Aviso] División no capturada ()", IF(ISNA(MATCH(J143, Criterios!$A$123:$A$126, 0)), "División no válida", "")), IF(OR(K143="", K143=""), "[Aviso] Categoría no capturada ()", IF(ISNA(MATCH(K143, Criterios!$A$81:$A$120, 0)), "Categoría no válida", IF(AND(J143&lt;&gt;"", J143&lt;&gt;"", J143&lt;&gt;VLOOKUP(K143, Criterios!$A$81:$B$120, 2, FALSE)), "División no coincide con Categoría", ""))), IF(OR(L143="", L143=""), "[Aviso] Género no capturado ()", IF(ISNA(MATCH(L143, Criterios!$B$123:$B$127, 0)), "Género no válido", "")), IF(OR(N143="", N143=""), "[Aviso] Temporada no capturada ()", IF(ISNA(MATCH(N143, Criterios!$C$123:$C$128, 0)), "Temporada no válida", "")), IF(OR(O143="", O143=""), "[Aviso] Ciclo de vida no capturado ()", IF(ISNA(MATCH(O143, Criterios!$D$123:$D$124, 0)), "Ciclo de vida no válido", ""))))</f>
        <v/>
      </c>
      <c r="AC143" s="56" t="n"/>
      <c r="AD143" s="51" t="n"/>
      <c r="AE143" s="156" t="n"/>
      <c r="AF143" s="51" t="n"/>
      <c r="AG143" s="156" t="inlineStr">
        <is>
          <t>Nuevo – Odoo Universal Unique Brands 01/10/2026</t>
        </is>
      </c>
      <c r="AH143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«03-001-0278-7040» (Completado por regla) · Validador Shopify: WB: precio con IVA no termina en 9</t>
        </is>
      </c>
      <c r="AI143" s="156" t="n"/>
      <c r="AJ143" s="156" t="n"/>
      <c r="AK143" s="155" t="inlineStr">
        <is>
          <t>Odoo: producto 20898 / plantilla 26901</t>
        </is>
      </c>
      <c r="AL143" s="58" t="n"/>
      <c r="AM143" s="58" t="n"/>
      <c r="AN143" s="155" t="inlineStr">
        <is>
          <t>Odoo Universal Unique Brands</t>
        </is>
      </c>
      <c r="AO143" s="59" t="n"/>
      <c r="AP143" s="59" t="n"/>
      <c r="AQ143" s="59" t="n">
        <v>0</v>
      </c>
      <c r="AR143" s="155" t="n"/>
    </row>
    <row r="144">
      <c r="A144" s="50" t="inlineStr">
        <is>
          <t>199168047399</t>
        </is>
      </c>
      <c r="B144" s="51" t="n"/>
      <c r="C144" s="156" t="inlineStr">
        <is>
          <t>Roper</t>
        </is>
      </c>
      <c r="D144" s="156" t="inlineStr">
        <is>
          <t>03-001-0278-7040</t>
        </is>
      </c>
      <c r="E144" s="156" t="inlineStr">
        <is>
          <t>03-001-0278-7040 GY-S</t>
        </is>
      </c>
      <c r="F144" s="156" t="inlineStr">
        <is>
          <t>S</t>
        </is>
      </c>
      <c r="G144" s="156" t="inlineStr">
        <is>
          <t>S</t>
        </is>
      </c>
      <c r="H144" s="156" t="inlineStr">
        <is>
          <t>Roper</t>
        </is>
      </c>
      <c r="I144" s="156" t="inlineStr">
        <is>
          <t>ROPER Shirt Silver Haze Plaid</t>
        </is>
      </c>
      <c r="J144" s="156" t="inlineStr">
        <is>
          <t>Ropa</t>
        </is>
      </c>
      <c r="K144" s="156" t="inlineStr">
        <is>
          <t>Camisas</t>
        </is>
      </c>
      <c r="L144" s="156" t="n"/>
      <c r="M144" s="156" t="n"/>
      <c r="N144" s="156" t="n"/>
      <c r="O144" s="156" t="n"/>
      <c r="P144" s="156" t="n"/>
      <c r="Q144" s="156" t="n"/>
      <c r="R144" s="156" t="n"/>
      <c r="S144" s="156" t="n"/>
      <c r="T144" s="156" t="n"/>
      <c r="U144" s="156" t="n"/>
      <c r="V144" s="156" t="inlineStr">
        <is>
          <t>PZS</t>
        </is>
      </c>
      <c r="W144" s="51" t="inlineStr">
        <is>
          <t>53101602</t>
        </is>
      </c>
      <c r="X144" s="156" t="n"/>
      <c r="Y144" s="54" t="n">
        <v>26.51</v>
      </c>
      <c r="Z144" s="54" t="n">
        <v>719</v>
      </c>
      <c r="AA144" s="55">
        <f>IF(AND(A144="", B144="", E144=""), "", IF(AB144="", "Válido", IF((LEN(AB144)-LEN(SUBSTITUTE(AB144,"; ","")))/2+1&gt;(LEN(AB144)-LEN(SUBSTITUTE(AB144,"[Aviso]","")))/7, "Con Incidencias", "Válido")))</f>
        <v/>
      </c>
      <c r="AB144" s="56">
        <f>IF(AND(A144="", B144="", E144=""), "", TEXTJOIN("; ", TRUE, IF(OR(TRIM(A144&amp;"")="", ISNUMBER(SEARCH("FALTA", A144))), "UPC faltante/inválido", ""), IF(AND(A144&lt;&gt;"", IFERROR(_xlfn.XMATCH(A144,$A$2:$A$285,0,1)&lt;&gt;_xlfn.XMATCH(A144,$A$2:$A$285,0,-1),FALSE)), "Código de barras duplicado", ""), IF(AND(E144&lt;&gt;"", COUNTIF($E$2:$E$285, E144)&gt;1), "SKU duplicado", ""), IF(OR(J144="", J144=""), "[Aviso] División no capturada ()", IF(ISNA(MATCH(J144, Criterios!$A$123:$A$126, 0)), "División no válida", "")), IF(OR(K144="", K144=""), "[Aviso] Categoría no capturada ()", IF(ISNA(MATCH(K144, Criterios!$A$81:$A$120, 0)), "Categoría no válida", IF(AND(J144&lt;&gt;"", J144&lt;&gt;"", J144&lt;&gt;VLOOKUP(K144, Criterios!$A$81:$B$120, 2, FALSE)), "División no coincide con Categoría", ""))), IF(OR(L144="", L144=""), "[Aviso] Género no capturado ()", IF(ISNA(MATCH(L144, Criterios!$B$123:$B$127, 0)), "Género no válido", "")), IF(OR(N144="", N144=""), "[Aviso] Temporada no capturada ()", IF(ISNA(MATCH(N144, Criterios!$C$123:$C$128, 0)), "Temporada no válida", "")), IF(OR(O144="", O144=""), "[Aviso] Ciclo de vida no capturado ()", IF(ISNA(MATCH(O144, Criterios!$D$123:$D$124, 0)), "Ciclo de vida no válido", ""))))</f>
        <v/>
      </c>
      <c r="AC144" s="56" t="n"/>
      <c r="AD144" s="51" t="n"/>
      <c r="AE144" s="156" t="n"/>
      <c r="AF144" s="51" t="n"/>
      <c r="AG144" s="156" t="inlineStr">
        <is>
          <t>Nuevo – Odoo Universal Unique Brands 01/10/2026</t>
        </is>
      </c>
      <c r="AH144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«03-001-0278-7040» (Completado por regla) · Validador Shopify: WB: precio con IVA no termina en 9</t>
        </is>
      </c>
      <c r="AI144" s="156" t="n"/>
      <c r="AJ144" s="156" t="n"/>
      <c r="AK144" s="155" t="inlineStr">
        <is>
          <t>Odoo: producto 20897 / plantilla 26900</t>
        </is>
      </c>
      <c r="AL144" s="58" t="n"/>
      <c r="AM144" s="58" t="n"/>
      <c r="AN144" s="155" t="inlineStr">
        <is>
          <t>Odoo Universal Unique Brands</t>
        </is>
      </c>
      <c r="AO144" s="59" t="n"/>
      <c r="AP144" s="59" t="n"/>
      <c r="AQ144" s="59" t="n">
        <v>0</v>
      </c>
      <c r="AR144" s="155" t="n"/>
    </row>
    <row r="145">
      <c r="A145" s="50" t="inlineStr">
        <is>
          <t>199168047405</t>
        </is>
      </c>
      <c r="B145" s="51" t="n"/>
      <c r="C145" s="156" t="inlineStr">
        <is>
          <t>Roper</t>
        </is>
      </c>
      <c r="D145" s="156" t="inlineStr">
        <is>
          <t>03-001-0278-7040</t>
        </is>
      </c>
      <c r="E145" s="156" t="inlineStr">
        <is>
          <t>03-001-0278-7040 GY-XL</t>
        </is>
      </c>
      <c r="F145" s="156" t="inlineStr">
        <is>
          <t>XL</t>
        </is>
      </c>
      <c r="G145" s="156" t="inlineStr">
        <is>
          <t>XL</t>
        </is>
      </c>
      <c r="H145" s="156" t="inlineStr">
        <is>
          <t>Roper</t>
        </is>
      </c>
      <c r="I145" s="156" t="inlineStr">
        <is>
          <t>ROPER Shirt Silver Haze Plaid</t>
        </is>
      </c>
      <c r="J145" s="156" t="inlineStr">
        <is>
          <t>Ropa</t>
        </is>
      </c>
      <c r="K145" s="156" t="inlineStr">
        <is>
          <t>Camisas</t>
        </is>
      </c>
      <c r="L145" s="156" t="n"/>
      <c r="M145" s="156" t="n"/>
      <c r="N145" s="156" t="n"/>
      <c r="O145" s="156" t="n"/>
      <c r="P145" s="156" t="n"/>
      <c r="Q145" s="156" t="n"/>
      <c r="R145" s="156" t="n"/>
      <c r="S145" s="156" t="n"/>
      <c r="T145" s="156" t="n"/>
      <c r="U145" s="156" t="n"/>
      <c r="V145" s="156" t="inlineStr">
        <is>
          <t>PZS</t>
        </is>
      </c>
      <c r="W145" s="51" t="inlineStr">
        <is>
          <t>53101602</t>
        </is>
      </c>
      <c r="X145" s="156" t="n"/>
      <c r="Y145" s="54" t="n">
        <v>26.51</v>
      </c>
      <c r="Z145" s="54" t="n">
        <v>719</v>
      </c>
      <c r="AA145" s="55">
        <f>IF(AND(A145="", B145="", E145=""), "", IF(AB145="", "Válido", IF((LEN(AB145)-LEN(SUBSTITUTE(AB145,"; ","")))/2+1&gt;(LEN(AB145)-LEN(SUBSTITUTE(AB145,"[Aviso]","")))/7, "Con Incidencias", "Válido")))</f>
        <v/>
      </c>
      <c r="AB145" s="56">
        <f>IF(AND(A145="", B145="", E145=""), "", TEXTJOIN("; ", TRUE, IF(OR(TRIM(A145&amp;"")="", ISNUMBER(SEARCH("FALTA", A145))), "UPC faltante/inválido", ""), IF(AND(A145&lt;&gt;"", IFERROR(_xlfn.XMATCH(A145,$A$2:$A$285,0,1)&lt;&gt;_xlfn.XMATCH(A145,$A$2:$A$285,0,-1),FALSE)), "Código de barras duplicado", ""), IF(AND(E145&lt;&gt;"", COUNTIF($E$2:$E$285, E145)&gt;1), "SKU duplicado", ""), IF(OR(J145="", J145=""), "[Aviso] División no capturada ()", IF(ISNA(MATCH(J145, Criterios!$A$123:$A$126, 0)), "División no válida", "")), IF(OR(K145="", K145=""), "[Aviso] Categoría no capturada ()", IF(ISNA(MATCH(K145, Criterios!$A$81:$A$120, 0)), "Categoría no válida", IF(AND(J145&lt;&gt;"", J145&lt;&gt;"", J145&lt;&gt;VLOOKUP(K145, Criterios!$A$81:$B$120, 2, FALSE)), "División no coincide con Categoría", ""))), IF(OR(L145="", L145=""), "[Aviso] Género no capturado ()", IF(ISNA(MATCH(L145, Criterios!$B$123:$B$127, 0)), "Género no válido", "")), IF(OR(N145="", N145=""), "[Aviso] Temporada no capturada ()", IF(ISNA(MATCH(N145, Criterios!$C$123:$C$128, 0)), "Temporada no válida", "")), IF(OR(O145="", O145=""), "[Aviso] Ciclo de vida no capturado ()", IF(ISNA(MATCH(O145, Criterios!$D$123:$D$124, 0)), "Ciclo de vida no válido", ""))))</f>
        <v/>
      </c>
      <c r="AC145" s="56" t="n"/>
      <c r="AD145" s="51" t="n"/>
      <c r="AE145" s="156" t="n"/>
      <c r="AF145" s="51" t="n"/>
      <c r="AG145" s="156" t="inlineStr">
        <is>
          <t>Nuevo – Odoo Universal Unique Brands 01/10/2026</t>
        </is>
      </c>
      <c r="AH145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«03-001-0278-7040» (Completado por regla) · Validador Shopify: WB: precio con IVA no termina en 9</t>
        </is>
      </c>
      <c r="AI145" s="156" t="n"/>
      <c r="AJ145" s="156" t="n"/>
      <c r="AK145" s="155" t="inlineStr">
        <is>
          <t>Odoo: producto 20900 / plantilla 26903</t>
        </is>
      </c>
      <c r="AL145" s="58" t="n"/>
      <c r="AM145" s="58" t="n"/>
      <c r="AN145" s="155" t="inlineStr">
        <is>
          <t>Odoo Universal Unique Brands</t>
        </is>
      </c>
      <c r="AO145" s="59" t="n"/>
      <c r="AP145" s="59" t="n"/>
      <c r="AQ145" s="59" t="n">
        <v>0</v>
      </c>
      <c r="AR145" s="155" t="n"/>
    </row>
    <row r="146">
      <c r="A146" s="50" t="inlineStr">
        <is>
          <t>199168048693</t>
        </is>
      </c>
      <c r="B146" s="51" t="n"/>
      <c r="C146" s="156" t="inlineStr">
        <is>
          <t>Roper</t>
        </is>
      </c>
      <c r="D146" s="156" t="inlineStr">
        <is>
          <t>03-001-0378-7040</t>
        </is>
      </c>
      <c r="E146" s="156" t="inlineStr">
        <is>
          <t>03-001-0378-7040 GY-L</t>
        </is>
      </c>
      <c r="F146" s="156" t="inlineStr">
        <is>
          <t>L</t>
        </is>
      </c>
      <c r="G146" s="156" t="inlineStr">
        <is>
          <t>L</t>
        </is>
      </c>
      <c r="H146" s="156" t="inlineStr">
        <is>
          <t>Roper</t>
        </is>
      </c>
      <c r="I146" s="156" t="inlineStr">
        <is>
          <t>ROPER Shirt Silver Haze Plaid</t>
        </is>
      </c>
      <c r="J146" s="156" t="inlineStr">
        <is>
          <t>Ropa</t>
        </is>
      </c>
      <c r="K146" s="156" t="inlineStr">
        <is>
          <t>Camisas</t>
        </is>
      </c>
      <c r="L146" s="156" t="n"/>
      <c r="M146" s="156" t="n"/>
      <c r="N146" s="156" t="n"/>
      <c r="O146" s="156" t="n"/>
      <c r="P146" s="156" t="n"/>
      <c r="Q146" s="156" t="n"/>
      <c r="R146" s="156" t="n"/>
      <c r="S146" s="156" t="n"/>
      <c r="T146" s="156" t="n"/>
      <c r="U146" s="156" t="n"/>
      <c r="V146" s="156" t="inlineStr">
        <is>
          <t>PZS</t>
        </is>
      </c>
      <c r="W146" s="51" t="inlineStr">
        <is>
          <t>53101602</t>
        </is>
      </c>
      <c r="X146" s="156" t="n"/>
      <c r="Y146" s="54" t="n">
        <v>26.51</v>
      </c>
      <c r="Z146" s="54" t="n">
        <v>719</v>
      </c>
      <c r="AA146" s="55">
        <f>IF(AND(A146="", B146="", E146=""), "", IF(AB146="", "Válido", IF((LEN(AB146)-LEN(SUBSTITUTE(AB146,"; ","")))/2+1&gt;(LEN(AB146)-LEN(SUBSTITUTE(AB146,"[Aviso]","")))/7, "Con Incidencias", "Válido")))</f>
        <v/>
      </c>
      <c r="AB146" s="56">
        <f>IF(AND(A146="", B146="", E146=""), "", TEXTJOIN("; ", TRUE, IF(OR(TRIM(A146&amp;"")="", ISNUMBER(SEARCH("FALTA", A146))), "UPC faltante/inválido", ""), IF(AND(A146&lt;&gt;"", IFERROR(_xlfn.XMATCH(A146,$A$2:$A$285,0,1)&lt;&gt;_xlfn.XMATCH(A146,$A$2:$A$285,0,-1),FALSE)), "Código de barras duplicado", ""), IF(AND(E146&lt;&gt;"", COUNTIF($E$2:$E$285, E146)&gt;1), "SKU duplicado", ""), IF(OR(J146="", J146=""), "[Aviso] División no capturada ()", IF(ISNA(MATCH(J146, Criterios!$A$123:$A$126, 0)), "División no válida", "")), IF(OR(K146="", K146=""), "[Aviso] Categoría no capturada ()", IF(ISNA(MATCH(K146, Criterios!$A$81:$A$120, 0)), "Categoría no válida", IF(AND(J146&lt;&gt;"", J146&lt;&gt;"", J146&lt;&gt;VLOOKUP(K146, Criterios!$A$81:$B$120, 2, FALSE)), "División no coincide con Categoría", ""))), IF(OR(L146="", L146=""), "[Aviso] Género no capturado ()", IF(ISNA(MATCH(L146, Criterios!$B$123:$B$127, 0)), "Género no válido", "")), IF(OR(N146="", N146=""), "[Aviso] Temporada no capturada ()", IF(ISNA(MATCH(N146, Criterios!$C$123:$C$128, 0)), "Temporada no válida", "")), IF(OR(O146="", O146=""), "[Aviso] Ciclo de vida no capturado ()", IF(ISNA(MATCH(O146, Criterios!$D$123:$D$124, 0)), "Ciclo de vida no válido", ""))))</f>
        <v/>
      </c>
      <c r="AC146" s="56" t="n"/>
      <c r="AD146" s="51" t="n"/>
      <c r="AE146" s="156" t="n"/>
      <c r="AF146" s="51" t="n"/>
      <c r="AG146" s="156" t="inlineStr">
        <is>
          <t>Nuevo – Odoo Universal Unique Brands 01/10/2026</t>
        </is>
      </c>
      <c r="AH146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«03-001-0378-7040» (Completado por regla) · Validador Shopify: WB: precio con IVA no termina en 9</t>
        </is>
      </c>
      <c r="AI146" s="156" t="n"/>
      <c r="AJ146" s="156" t="n"/>
      <c r="AK146" s="155" t="inlineStr">
        <is>
          <t>Odoo: producto 21059 / plantilla 27062</t>
        </is>
      </c>
      <c r="AL146" s="58" t="n"/>
      <c r="AM146" s="58" t="n"/>
      <c r="AN146" s="155" t="inlineStr">
        <is>
          <t>Odoo Universal Unique Brands</t>
        </is>
      </c>
      <c r="AO146" s="59" t="n"/>
      <c r="AP146" s="59" t="n"/>
      <c r="AQ146" s="59" t="n">
        <v>0</v>
      </c>
      <c r="AR146" s="155" t="n"/>
    </row>
    <row r="147">
      <c r="A147" s="50" t="inlineStr">
        <is>
          <t>199168048709</t>
        </is>
      </c>
      <c r="B147" s="51" t="n"/>
      <c r="C147" s="156" t="inlineStr">
        <is>
          <t>Roper</t>
        </is>
      </c>
      <c r="D147" s="156" t="inlineStr">
        <is>
          <t>03-001-0378-7040</t>
        </is>
      </c>
      <c r="E147" s="156" t="inlineStr">
        <is>
          <t>03-001-0378-7040 GY-M</t>
        </is>
      </c>
      <c r="F147" s="156" t="inlineStr">
        <is>
          <t>M</t>
        </is>
      </c>
      <c r="G147" s="156" t="inlineStr">
        <is>
          <t>M</t>
        </is>
      </c>
      <c r="H147" s="156" t="inlineStr">
        <is>
          <t>Roper</t>
        </is>
      </c>
      <c r="I147" s="156" t="inlineStr">
        <is>
          <t>ROPER Shirt Silver Haze Plaid</t>
        </is>
      </c>
      <c r="J147" s="156" t="inlineStr">
        <is>
          <t>Ropa</t>
        </is>
      </c>
      <c r="K147" s="156" t="inlineStr">
        <is>
          <t>Camisas</t>
        </is>
      </c>
      <c r="L147" s="156" t="n"/>
      <c r="M147" s="156" t="n"/>
      <c r="N147" s="156" t="n"/>
      <c r="O147" s="156" t="n"/>
      <c r="P147" s="156" t="n"/>
      <c r="Q147" s="156" t="n"/>
      <c r="R147" s="156" t="n"/>
      <c r="S147" s="156" t="n"/>
      <c r="T147" s="156" t="n"/>
      <c r="U147" s="156" t="n"/>
      <c r="V147" s="156" t="inlineStr">
        <is>
          <t>PZS</t>
        </is>
      </c>
      <c r="W147" s="51" t="inlineStr">
        <is>
          <t>53101602</t>
        </is>
      </c>
      <c r="X147" s="156" t="n"/>
      <c r="Y147" s="54" t="n">
        <v>26.51</v>
      </c>
      <c r="Z147" s="54" t="n">
        <v>719</v>
      </c>
      <c r="AA147" s="55">
        <f>IF(AND(A147="", B147="", E147=""), "", IF(AB147="", "Válido", IF((LEN(AB147)-LEN(SUBSTITUTE(AB147,"; ","")))/2+1&gt;(LEN(AB147)-LEN(SUBSTITUTE(AB147,"[Aviso]","")))/7, "Con Incidencias", "Válido")))</f>
        <v/>
      </c>
      <c r="AB147" s="56">
        <f>IF(AND(A147="", B147="", E147=""), "", TEXTJOIN("; ", TRUE, IF(OR(TRIM(A147&amp;"")="", ISNUMBER(SEARCH("FALTA", A147))), "UPC faltante/inválido", ""), IF(AND(A147&lt;&gt;"", IFERROR(_xlfn.XMATCH(A147,$A$2:$A$285,0,1)&lt;&gt;_xlfn.XMATCH(A147,$A$2:$A$285,0,-1),FALSE)), "Código de barras duplicado", ""), IF(AND(E147&lt;&gt;"", COUNTIF($E$2:$E$285, E147)&gt;1), "SKU duplicado", ""), IF(OR(J147="", J147=""), "[Aviso] División no capturada ()", IF(ISNA(MATCH(J147, Criterios!$A$123:$A$126, 0)), "División no válida", "")), IF(OR(K147="", K147=""), "[Aviso] Categoría no capturada ()", IF(ISNA(MATCH(K147, Criterios!$A$81:$A$120, 0)), "Categoría no válida", IF(AND(J147&lt;&gt;"", J147&lt;&gt;"", J147&lt;&gt;VLOOKUP(K147, Criterios!$A$81:$B$120, 2, FALSE)), "División no coincide con Categoría", ""))), IF(OR(L147="", L147=""), "[Aviso] Género no capturado ()", IF(ISNA(MATCH(L147, Criterios!$B$123:$B$127, 0)), "Género no válido", "")), IF(OR(N147="", N147=""), "[Aviso] Temporada no capturada ()", IF(ISNA(MATCH(N147, Criterios!$C$123:$C$128, 0)), "Temporada no válida", "")), IF(OR(O147="", O147=""), "[Aviso] Ciclo de vida no capturado ()", IF(ISNA(MATCH(O147, Criterios!$D$123:$D$124, 0)), "Ciclo de vida no válido", ""))))</f>
        <v/>
      </c>
      <c r="AC147" s="56" t="n"/>
      <c r="AD147" s="51" t="n"/>
      <c r="AE147" s="156" t="n"/>
      <c r="AF147" s="51" t="n"/>
      <c r="AG147" s="156" t="inlineStr">
        <is>
          <t>Nuevo – Odoo Universal Unique Brands 01/10/2026</t>
        </is>
      </c>
      <c r="AH147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«03-001-0378-7040» (Completado por regla) · Validador Shopify: WB: precio con IVA no termina en 9</t>
        </is>
      </c>
      <c r="AI147" s="156" t="n"/>
      <c r="AJ147" s="156" t="n"/>
      <c r="AK147" s="155" t="inlineStr">
        <is>
          <t>Odoo: producto 21058 / plantilla 27061</t>
        </is>
      </c>
      <c r="AL147" s="58" t="n"/>
      <c r="AM147" s="58" t="n"/>
      <c r="AN147" s="155" t="inlineStr">
        <is>
          <t>Odoo Universal Unique Brands</t>
        </is>
      </c>
      <c r="AO147" s="59" t="n"/>
      <c r="AP147" s="59" t="n"/>
      <c r="AQ147" s="59" t="n">
        <v>0</v>
      </c>
      <c r="AR147" s="155" t="n"/>
    </row>
    <row r="148">
      <c r="A148" s="50" t="inlineStr">
        <is>
          <t>199168048716</t>
        </is>
      </c>
      <c r="B148" s="51" t="n"/>
      <c r="C148" s="156" t="inlineStr">
        <is>
          <t>Roper</t>
        </is>
      </c>
      <c r="D148" s="156" t="inlineStr">
        <is>
          <t>03-001-0378-7040</t>
        </is>
      </c>
      <c r="E148" s="156" t="inlineStr">
        <is>
          <t>03-001-0378-7040 GY-S</t>
        </is>
      </c>
      <c r="F148" s="156" t="inlineStr">
        <is>
          <t>S</t>
        </is>
      </c>
      <c r="G148" s="156" t="inlineStr">
        <is>
          <t>S</t>
        </is>
      </c>
      <c r="H148" s="156" t="inlineStr">
        <is>
          <t>Roper</t>
        </is>
      </c>
      <c r="I148" s="156" t="inlineStr">
        <is>
          <t>ROPER Shirt Silver Haze Plaid</t>
        </is>
      </c>
      <c r="J148" s="156" t="inlineStr">
        <is>
          <t>Ropa</t>
        </is>
      </c>
      <c r="K148" s="156" t="inlineStr">
        <is>
          <t>Camisas</t>
        </is>
      </c>
      <c r="L148" s="156" t="n"/>
      <c r="M148" s="156" t="n"/>
      <c r="N148" s="156" t="n"/>
      <c r="O148" s="156" t="n"/>
      <c r="P148" s="156" t="n"/>
      <c r="Q148" s="156" t="n"/>
      <c r="R148" s="156" t="n"/>
      <c r="S148" s="156" t="n"/>
      <c r="T148" s="156" t="n"/>
      <c r="U148" s="156" t="n"/>
      <c r="V148" s="156" t="inlineStr">
        <is>
          <t>PZS</t>
        </is>
      </c>
      <c r="W148" s="51" t="inlineStr">
        <is>
          <t>53101602</t>
        </is>
      </c>
      <c r="X148" s="156" t="n"/>
      <c r="Y148" s="54" t="n">
        <v>26.51</v>
      </c>
      <c r="Z148" s="54" t="n">
        <v>719</v>
      </c>
      <c r="AA148" s="55">
        <f>IF(AND(A148="", B148="", E148=""), "", IF(AB148="", "Válido", IF((LEN(AB148)-LEN(SUBSTITUTE(AB148,"; ","")))/2+1&gt;(LEN(AB148)-LEN(SUBSTITUTE(AB148,"[Aviso]","")))/7, "Con Incidencias", "Válido")))</f>
        <v/>
      </c>
      <c r="AB148" s="56">
        <f>IF(AND(A148="", B148="", E148=""), "", TEXTJOIN("; ", TRUE, IF(OR(TRIM(A148&amp;"")="", ISNUMBER(SEARCH("FALTA", A148))), "UPC faltante/inválido", ""), IF(AND(A148&lt;&gt;"", IFERROR(_xlfn.XMATCH(A148,$A$2:$A$285,0,1)&lt;&gt;_xlfn.XMATCH(A148,$A$2:$A$285,0,-1),FALSE)), "Código de barras duplicado", ""), IF(AND(E148&lt;&gt;"", COUNTIF($E$2:$E$285, E148)&gt;1), "SKU duplicado", ""), IF(OR(J148="", J148=""), "[Aviso] División no capturada ()", IF(ISNA(MATCH(J148, Criterios!$A$123:$A$126, 0)), "División no válida", "")), IF(OR(K148="", K148=""), "[Aviso] Categoría no capturada ()", IF(ISNA(MATCH(K148, Criterios!$A$81:$A$120, 0)), "Categoría no válida", IF(AND(J148&lt;&gt;"", J148&lt;&gt;"", J148&lt;&gt;VLOOKUP(K148, Criterios!$A$81:$B$120, 2, FALSE)), "División no coincide con Categoría", ""))), IF(OR(L148="", L148=""), "[Aviso] Género no capturado ()", IF(ISNA(MATCH(L148, Criterios!$B$123:$B$127, 0)), "Género no válido", "")), IF(OR(N148="", N148=""), "[Aviso] Temporada no capturada ()", IF(ISNA(MATCH(N148, Criterios!$C$123:$C$128, 0)), "Temporada no válida", "")), IF(OR(O148="", O148=""), "[Aviso] Ciclo de vida no capturado ()", IF(ISNA(MATCH(O148, Criterios!$D$123:$D$124, 0)), "Ciclo de vida no válido", ""))))</f>
        <v/>
      </c>
      <c r="AC148" s="56" t="n"/>
      <c r="AD148" s="51" t="n"/>
      <c r="AE148" s="156" t="n"/>
      <c r="AF148" s="51" t="n"/>
      <c r="AG148" s="156" t="inlineStr">
        <is>
          <t>Nuevo – Odoo Universal Unique Brands 01/10/2026</t>
        </is>
      </c>
      <c r="AH148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«03-001-0378-7040» (Completado por regla) · Validador Shopify: WB: precio con IVA no termina en 9</t>
        </is>
      </c>
      <c r="AI148" s="156" t="n"/>
      <c r="AJ148" s="156" t="n"/>
      <c r="AK148" s="155" t="inlineStr">
        <is>
          <t>Odoo: producto 21057 / plantilla 27060</t>
        </is>
      </c>
      <c r="AL148" s="58" t="n"/>
      <c r="AM148" s="58" t="n"/>
      <c r="AN148" s="155" t="inlineStr">
        <is>
          <t>Odoo Universal Unique Brands</t>
        </is>
      </c>
      <c r="AO148" s="59" t="n"/>
      <c r="AP148" s="59" t="n"/>
      <c r="AQ148" s="59" t="n">
        <v>1</v>
      </c>
      <c r="AR148" s="155" t="inlineStr">
        <is>
          <t>Odoo Universal Unique Brands › Bodega 25 › Bodega 25/General: 1</t>
        </is>
      </c>
    </row>
    <row r="149">
      <c r="A149" s="50" t="inlineStr">
        <is>
          <t>199168048723</t>
        </is>
      </c>
      <c r="B149" s="51" t="n"/>
      <c r="C149" s="156" t="inlineStr">
        <is>
          <t>Roper</t>
        </is>
      </c>
      <c r="D149" s="156" t="inlineStr">
        <is>
          <t>03-001-0378-7040</t>
        </is>
      </c>
      <c r="E149" s="156" t="inlineStr">
        <is>
          <t>03-001-0378-7040 GY-XL</t>
        </is>
      </c>
      <c r="F149" s="156" t="inlineStr">
        <is>
          <t>XL</t>
        </is>
      </c>
      <c r="G149" s="156" t="inlineStr">
        <is>
          <t>XL</t>
        </is>
      </c>
      <c r="H149" s="156" t="inlineStr">
        <is>
          <t>Roper</t>
        </is>
      </c>
      <c r="I149" s="156" t="inlineStr">
        <is>
          <t>ROPER Shirt Silver Haze Plaid</t>
        </is>
      </c>
      <c r="J149" s="156" t="inlineStr">
        <is>
          <t>Ropa</t>
        </is>
      </c>
      <c r="K149" s="156" t="inlineStr">
        <is>
          <t>Camisas</t>
        </is>
      </c>
      <c r="L149" s="156" t="n"/>
      <c r="M149" s="156" t="n"/>
      <c r="N149" s="156" t="n"/>
      <c r="O149" s="156" t="n"/>
      <c r="P149" s="156" t="n"/>
      <c r="Q149" s="156" t="n"/>
      <c r="R149" s="156" t="n"/>
      <c r="S149" s="156" t="n"/>
      <c r="T149" s="156" t="n"/>
      <c r="U149" s="156" t="n"/>
      <c r="V149" s="156" t="inlineStr">
        <is>
          <t>PZS</t>
        </is>
      </c>
      <c r="W149" s="51" t="inlineStr">
        <is>
          <t>53101602</t>
        </is>
      </c>
      <c r="X149" s="156" t="n"/>
      <c r="Y149" s="54" t="n">
        <v>26.51</v>
      </c>
      <c r="Z149" s="54" t="n">
        <v>719</v>
      </c>
      <c r="AA149" s="55">
        <f>IF(AND(A149="", B149="", E149=""), "", IF(AB149="", "Válido", IF((LEN(AB149)-LEN(SUBSTITUTE(AB149,"; ","")))/2+1&gt;(LEN(AB149)-LEN(SUBSTITUTE(AB149,"[Aviso]","")))/7, "Con Incidencias", "Válido")))</f>
        <v/>
      </c>
      <c r="AB149" s="56">
        <f>IF(AND(A149="", B149="", E149=""), "", TEXTJOIN("; ", TRUE, IF(OR(TRIM(A149&amp;"")="", ISNUMBER(SEARCH("FALTA", A149))), "UPC faltante/inválido", ""), IF(AND(A149&lt;&gt;"", IFERROR(_xlfn.XMATCH(A149,$A$2:$A$285,0,1)&lt;&gt;_xlfn.XMATCH(A149,$A$2:$A$285,0,-1),FALSE)), "Código de barras duplicado", ""), IF(AND(E149&lt;&gt;"", COUNTIF($E$2:$E$285, E149)&gt;1), "SKU duplicado", ""), IF(OR(J149="", J149=""), "[Aviso] División no capturada ()", IF(ISNA(MATCH(J149, Criterios!$A$123:$A$126, 0)), "División no válida", "")), IF(OR(K149="", K149=""), "[Aviso] Categoría no capturada ()", IF(ISNA(MATCH(K149, Criterios!$A$81:$A$120, 0)), "Categoría no válida", IF(AND(J149&lt;&gt;"", J149&lt;&gt;"", J149&lt;&gt;VLOOKUP(K149, Criterios!$A$81:$B$120, 2, FALSE)), "División no coincide con Categoría", ""))), IF(OR(L149="", L149=""), "[Aviso] Género no capturado ()", IF(ISNA(MATCH(L149, Criterios!$B$123:$B$127, 0)), "Género no válido", "")), IF(OR(N149="", N149=""), "[Aviso] Temporada no capturada ()", IF(ISNA(MATCH(N149, Criterios!$C$123:$C$128, 0)), "Temporada no válida", "")), IF(OR(O149="", O149=""), "[Aviso] Ciclo de vida no capturado ()", IF(ISNA(MATCH(O149, Criterios!$D$123:$D$124, 0)), "Ciclo de vida no válido", ""))))</f>
        <v/>
      </c>
      <c r="AC149" s="56" t="n"/>
      <c r="AD149" s="51" t="n"/>
      <c r="AE149" s="156" t="n"/>
      <c r="AF149" s="51" t="n"/>
      <c r="AG149" s="156" t="inlineStr">
        <is>
          <t>Nuevo – Odoo Universal Unique Brands 01/10/2026</t>
        </is>
      </c>
      <c r="AH149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«03-001-0378-7040» (Completado por regla) · Validador Shopify: WB: precio con IVA no termina en 9</t>
        </is>
      </c>
      <c r="AI149" s="156" t="n"/>
      <c r="AJ149" s="156" t="n"/>
      <c r="AK149" s="155" t="inlineStr">
        <is>
          <t>Odoo: producto 21060 / plantilla 27063</t>
        </is>
      </c>
      <c r="AL149" s="58" t="n"/>
      <c r="AM149" s="58" t="n"/>
      <c r="AN149" s="155" t="inlineStr">
        <is>
          <t>Odoo Universal Unique Brands</t>
        </is>
      </c>
      <c r="AO149" s="59" t="n"/>
      <c r="AP149" s="59" t="n"/>
      <c r="AQ149" s="59" t="n">
        <v>0</v>
      </c>
      <c r="AR149" s="155" t="n"/>
    </row>
    <row r="150">
      <c r="A150" s="50" t="inlineStr">
        <is>
          <t>199168092054</t>
        </is>
      </c>
      <c r="B150" s="51" t="n"/>
      <c r="C150" s="156" t="inlineStr">
        <is>
          <t>Roper</t>
        </is>
      </c>
      <c r="D150" s="156" t="inlineStr">
        <is>
          <t>03-001-0421-0108</t>
        </is>
      </c>
      <c r="E150" s="156" t="inlineStr">
        <is>
          <t>03-001-0421-0108 BL-2XL</t>
        </is>
      </c>
      <c r="F150" s="156" t="inlineStr">
        <is>
          <t>XXL</t>
        </is>
      </c>
      <c r="G150" s="156" t="inlineStr">
        <is>
          <t>XXL</t>
        </is>
      </c>
      <c r="H150" s="156" t="inlineStr">
        <is>
          <t>Roper</t>
        </is>
      </c>
      <c r="I150" s="156" t="inlineStr">
        <is>
          <t>ROPER Shirt Painterly Rodeo Border Scen</t>
        </is>
      </c>
      <c r="J150" s="156" t="inlineStr">
        <is>
          <t>Ropa</t>
        </is>
      </c>
      <c r="K150" s="156" t="inlineStr">
        <is>
          <t>Camisas</t>
        </is>
      </c>
      <c r="L150" s="156" t="n"/>
      <c r="M150" s="156" t="n"/>
      <c r="N150" s="156" t="n"/>
      <c r="O150" s="156" t="n"/>
      <c r="P150" s="156" t="n"/>
      <c r="Q150" s="156" t="n"/>
      <c r="R150" s="156" t="n"/>
      <c r="S150" s="156" t="n"/>
      <c r="T150" s="156" t="n"/>
      <c r="U150" s="156" t="n"/>
      <c r="V150" s="156" t="inlineStr">
        <is>
          <t>PZS</t>
        </is>
      </c>
      <c r="W150" s="51" t="inlineStr">
        <is>
          <t>53101602</t>
        </is>
      </c>
      <c r="X150" s="156" t="n"/>
      <c r="Y150" s="54" t="n">
        <v>38</v>
      </c>
      <c r="Z150" s="54" t="n">
        <v>990</v>
      </c>
      <c r="AA150" s="55">
        <f>IF(AND(A150="", B150="", E150=""), "", IF(AB150="", "Válido", IF((LEN(AB150)-LEN(SUBSTITUTE(AB150,"; ","")))/2+1&gt;(LEN(AB150)-LEN(SUBSTITUTE(AB150,"[Aviso]","")))/7, "Con Incidencias", "Válido")))</f>
        <v/>
      </c>
      <c r="AB150" s="56">
        <f>IF(AND(A150="", B150="", E150=""), "", TEXTJOIN("; ", TRUE, IF(OR(TRIM(A150&amp;"")="", ISNUMBER(SEARCH("FALTA", A150))), "UPC faltante/inválido", ""), IF(AND(A150&lt;&gt;"", IFERROR(_xlfn.XMATCH(A150,$A$2:$A$285,0,1)&lt;&gt;_xlfn.XMATCH(A150,$A$2:$A$285,0,-1),FALSE)), "Código de barras duplicado", ""), IF(AND(E150&lt;&gt;"", COUNTIF($E$2:$E$285, E150)&gt;1), "SKU duplicado", ""), IF(OR(J150="", J150=""), "[Aviso] División no capturada ()", IF(ISNA(MATCH(J150, Criterios!$A$123:$A$126, 0)), "División no válida", "")), IF(OR(K150="", K150=""), "[Aviso] Categoría no capturada ()", IF(ISNA(MATCH(K150, Criterios!$A$81:$A$120, 0)), "Categoría no válida", IF(AND(J150&lt;&gt;"", J150&lt;&gt;"", J150&lt;&gt;VLOOKUP(K150, Criterios!$A$81:$B$120, 2, FALSE)), "División no coincide con Categoría", ""))), IF(OR(L150="", L150=""), "[Aviso] Género no capturado ()", IF(ISNA(MATCH(L150, Criterios!$B$123:$B$127, 0)), "Género no válido", "")), IF(OR(N150="", N150=""), "[Aviso] Temporada no capturada ()", IF(ISNA(MATCH(N150, Criterios!$C$123:$C$128, 0)), "Temporada no válida", "")), IF(OR(O150="", O150=""), "[Aviso] Ciclo de vida no capturado ()", IF(ISNA(MATCH(O150, Criterios!$D$123:$D$124, 0)), "Ciclo de vida no válido", ""))))</f>
        <v/>
      </c>
      <c r="AC150" s="56" t="n"/>
      <c r="AD150" s="51" t="n"/>
      <c r="AE150" s="156" t="n"/>
      <c r="AF150" s="51" t="n"/>
      <c r="AG150" s="156" t="inlineStr">
        <is>
          <t>Nuevo – Odoo Universal Unique Brands 01/10/2026</t>
        </is>
      </c>
      <c r="AH150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«03-001-0421-0108» (Completado por regla) · Validador Shopify: WB: precio con IVA no termina en 9</t>
        </is>
      </c>
      <c r="AI150" s="156" t="n"/>
      <c r="AJ150" s="156" t="n"/>
      <c r="AK150" s="155" t="inlineStr">
        <is>
          <t>Odoo: producto 20866 / plantilla 26869</t>
        </is>
      </c>
      <c r="AL150" s="58" t="n"/>
      <c r="AM150" s="58" t="n"/>
      <c r="AN150" s="155" t="inlineStr">
        <is>
          <t>Odoo Universal Unique Brands</t>
        </is>
      </c>
      <c r="AO150" s="59" t="n"/>
      <c r="AP150" s="59" t="n"/>
      <c r="AQ150" s="59" t="n">
        <v>10</v>
      </c>
      <c r="AR150" s="155" t="inlineStr">
        <is>
          <t>Odoo Universal Unique Brands › Bodega 25 › Bodega 25/General: 10</t>
        </is>
      </c>
    </row>
    <row r="151">
      <c r="A151" s="50" t="inlineStr">
        <is>
          <t>199168092016</t>
        </is>
      </c>
      <c r="B151" s="51" t="n"/>
      <c r="C151" s="156" t="inlineStr">
        <is>
          <t>Roper</t>
        </is>
      </c>
      <c r="D151" s="156" t="inlineStr">
        <is>
          <t>03-001-0421-0108</t>
        </is>
      </c>
      <c r="E151" s="156" t="inlineStr">
        <is>
          <t>03-001-0421-0108 BL-L</t>
        </is>
      </c>
      <c r="F151" s="156" t="inlineStr">
        <is>
          <t>L</t>
        </is>
      </c>
      <c r="G151" s="156" t="inlineStr">
        <is>
          <t>L</t>
        </is>
      </c>
      <c r="H151" s="156" t="inlineStr">
        <is>
          <t>Roper</t>
        </is>
      </c>
      <c r="I151" s="156" t="inlineStr">
        <is>
          <t>ROPER Shirt Painterly Rodeo Border Scen</t>
        </is>
      </c>
      <c r="J151" s="156" t="inlineStr">
        <is>
          <t>Ropa</t>
        </is>
      </c>
      <c r="K151" s="156" t="inlineStr">
        <is>
          <t>Camisas</t>
        </is>
      </c>
      <c r="L151" s="156" t="n"/>
      <c r="M151" s="156" t="n"/>
      <c r="N151" s="156" t="n"/>
      <c r="O151" s="156" t="n"/>
      <c r="P151" s="156" t="n"/>
      <c r="Q151" s="156" t="n"/>
      <c r="R151" s="156" t="n"/>
      <c r="S151" s="156" t="n"/>
      <c r="T151" s="156" t="n"/>
      <c r="U151" s="156" t="n"/>
      <c r="V151" s="156" t="inlineStr">
        <is>
          <t>PZS</t>
        </is>
      </c>
      <c r="W151" s="51" t="inlineStr">
        <is>
          <t>53101602</t>
        </is>
      </c>
      <c r="X151" s="156" t="n"/>
      <c r="Y151" s="54" t="n">
        <v>38</v>
      </c>
      <c r="Z151" s="54" t="n">
        <v>990</v>
      </c>
      <c r="AA151" s="55">
        <f>IF(AND(A151="", B151="", E151=""), "", IF(AB151="", "Válido", IF((LEN(AB151)-LEN(SUBSTITUTE(AB151,"; ","")))/2+1&gt;(LEN(AB151)-LEN(SUBSTITUTE(AB151,"[Aviso]","")))/7, "Con Incidencias", "Válido")))</f>
        <v/>
      </c>
      <c r="AB151" s="56">
        <f>IF(AND(A151="", B151="", E151=""), "", TEXTJOIN("; ", TRUE, IF(OR(TRIM(A151&amp;"")="", ISNUMBER(SEARCH("FALTA", A151))), "UPC faltante/inválido", ""), IF(AND(A151&lt;&gt;"", IFERROR(_xlfn.XMATCH(A151,$A$2:$A$285,0,1)&lt;&gt;_xlfn.XMATCH(A151,$A$2:$A$285,0,-1),FALSE)), "Código de barras duplicado", ""), IF(AND(E151&lt;&gt;"", COUNTIF($E$2:$E$285, E151)&gt;1), "SKU duplicado", ""), IF(OR(J151="", J151=""), "[Aviso] División no capturada ()", IF(ISNA(MATCH(J151, Criterios!$A$123:$A$126, 0)), "División no válida", "")), IF(OR(K151="", K151=""), "[Aviso] Categoría no capturada ()", IF(ISNA(MATCH(K151, Criterios!$A$81:$A$120, 0)), "Categoría no válida", IF(AND(J151&lt;&gt;"", J151&lt;&gt;"", J151&lt;&gt;VLOOKUP(K151, Criterios!$A$81:$B$120, 2, FALSE)), "División no coincide con Categoría", ""))), IF(OR(L151="", L151=""), "[Aviso] Género no capturado ()", IF(ISNA(MATCH(L151, Criterios!$B$123:$B$127, 0)), "Género no válido", "")), IF(OR(N151="", N151=""), "[Aviso] Temporada no capturada ()", IF(ISNA(MATCH(N151, Criterios!$C$123:$C$128, 0)), "Temporada no válida", "")), IF(OR(O151="", O151=""), "[Aviso] Ciclo de vida no capturado ()", IF(ISNA(MATCH(O151, Criterios!$D$123:$D$124, 0)), "Ciclo de vida no válido", ""))))</f>
        <v/>
      </c>
      <c r="AC151" s="56" t="n"/>
      <c r="AD151" s="51" t="n"/>
      <c r="AE151" s="156" t="n"/>
      <c r="AF151" s="51" t="n"/>
      <c r="AG151" s="156" t="inlineStr">
        <is>
          <t>Nuevo – Odoo Universal Unique Brands 01/10/2026</t>
        </is>
      </c>
      <c r="AH151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«03-001-0421-0108» (Completado por regla) · Validador Shopify: WB: precio con IVA no termina en 9</t>
        </is>
      </c>
      <c r="AI151" s="156" t="n"/>
      <c r="AJ151" s="156" t="n"/>
      <c r="AK151" s="155" t="inlineStr">
        <is>
          <t>Odoo: producto 20864 / plantilla 26867</t>
        </is>
      </c>
      <c r="AL151" s="58" t="n"/>
      <c r="AM151" s="58" t="n"/>
      <c r="AN151" s="155" t="inlineStr">
        <is>
          <t>Odoo Universal Unique Brands</t>
        </is>
      </c>
      <c r="AO151" s="59" t="n"/>
      <c r="AP151" s="59" t="n"/>
      <c r="AQ151" s="59" t="n">
        <v>30</v>
      </c>
      <c r="AR151" s="155" t="inlineStr">
        <is>
          <t>Odoo Universal Unique Brands › Bodega 25 › Bodega 25/General: 30</t>
        </is>
      </c>
    </row>
    <row r="152">
      <c r="A152" s="50" t="inlineStr">
        <is>
          <t>199168092023</t>
        </is>
      </c>
      <c r="B152" s="51" t="n"/>
      <c r="C152" s="156" t="inlineStr">
        <is>
          <t>Roper</t>
        </is>
      </c>
      <c r="D152" s="156" t="inlineStr">
        <is>
          <t>03-001-0421-0108</t>
        </is>
      </c>
      <c r="E152" s="156" t="inlineStr">
        <is>
          <t>03-001-0421-0108 BL-M</t>
        </is>
      </c>
      <c r="F152" s="156" t="inlineStr">
        <is>
          <t>M</t>
        </is>
      </c>
      <c r="G152" s="156" t="inlineStr">
        <is>
          <t>M</t>
        </is>
      </c>
      <c r="H152" s="156" t="inlineStr">
        <is>
          <t>Roper</t>
        </is>
      </c>
      <c r="I152" s="156" t="inlineStr">
        <is>
          <t>ROPER Shirt Painterly Rodeo Border Scen</t>
        </is>
      </c>
      <c r="J152" s="156" t="inlineStr">
        <is>
          <t>Ropa</t>
        </is>
      </c>
      <c r="K152" s="156" t="inlineStr">
        <is>
          <t>Camisas</t>
        </is>
      </c>
      <c r="L152" s="156" t="n"/>
      <c r="M152" s="156" t="n"/>
      <c r="N152" s="156" t="n"/>
      <c r="O152" s="156" t="n"/>
      <c r="P152" s="156" t="n"/>
      <c r="Q152" s="156" t="n"/>
      <c r="R152" s="156" t="n"/>
      <c r="S152" s="156" t="n"/>
      <c r="T152" s="156" t="n"/>
      <c r="U152" s="156" t="n"/>
      <c r="V152" s="156" t="inlineStr">
        <is>
          <t>PZS</t>
        </is>
      </c>
      <c r="W152" s="51" t="inlineStr">
        <is>
          <t>53101602</t>
        </is>
      </c>
      <c r="X152" s="156" t="n"/>
      <c r="Y152" s="54" t="n">
        <v>38</v>
      </c>
      <c r="Z152" s="54" t="n">
        <v>990</v>
      </c>
      <c r="AA152" s="55">
        <f>IF(AND(A152="", B152="", E152=""), "", IF(AB152="", "Válido", IF((LEN(AB152)-LEN(SUBSTITUTE(AB152,"; ","")))/2+1&gt;(LEN(AB152)-LEN(SUBSTITUTE(AB152,"[Aviso]","")))/7, "Con Incidencias", "Válido")))</f>
        <v/>
      </c>
      <c r="AB152" s="56">
        <f>IF(AND(A152="", B152="", E152=""), "", TEXTJOIN("; ", TRUE, IF(OR(TRIM(A152&amp;"")="", ISNUMBER(SEARCH("FALTA", A152))), "UPC faltante/inválido", ""), IF(AND(A152&lt;&gt;"", IFERROR(_xlfn.XMATCH(A152,$A$2:$A$285,0,1)&lt;&gt;_xlfn.XMATCH(A152,$A$2:$A$285,0,-1),FALSE)), "Código de barras duplicado", ""), IF(AND(E152&lt;&gt;"", COUNTIF($E$2:$E$285, E152)&gt;1), "SKU duplicado", ""), IF(OR(J152="", J152=""), "[Aviso] División no capturada ()", IF(ISNA(MATCH(J152, Criterios!$A$123:$A$126, 0)), "División no válida", "")), IF(OR(K152="", K152=""), "[Aviso] Categoría no capturada ()", IF(ISNA(MATCH(K152, Criterios!$A$81:$A$120, 0)), "Categoría no válida", IF(AND(J152&lt;&gt;"", J152&lt;&gt;"", J152&lt;&gt;VLOOKUP(K152, Criterios!$A$81:$B$120, 2, FALSE)), "División no coincide con Categoría", ""))), IF(OR(L152="", L152=""), "[Aviso] Género no capturado ()", IF(ISNA(MATCH(L152, Criterios!$B$123:$B$127, 0)), "Género no válido", "")), IF(OR(N152="", N152=""), "[Aviso] Temporada no capturada ()", IF(ISNA(MATCH(N152, Criterios!$C$123:$C$128, 0)), "Temporada no válida", "")), IF(OR(O152="", O152=""), "[Aviso] Ciclo de vida no capturado ()", IF(ISNA(MATCH(O152, Criterios!$D$123:$D$124, 0)), "Ciclo de vida no válido", ""))))</f>
        <v/>
      </c>
      <c r="AC152" s="56" t="n"/>
      <c r="AD152" s="51" t="n"/>
      <c r="AE152" s="156" t="n"/>
      <c r="AF152" s="51" t="n"/>
      <c r="AG152" s="156" t="inlineStr">
        <is>
          <t>Nuevo – Odoo Universal Unique Brands 01/10/2026</t>
        </is>
      </c>
      <c r="AH152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«03-001-0421-0108» (Completado por regla) · Validador Shopify: WB: precio con IVA no termina en 9</t>
        </is>
      </c>
      <c r="AI152" s="156" t="n"/>
      <c r="AJ152" s="156" t="n"/>
      <c r="AK152" s="155" t="inlineStr">
        <is>
          <t>Odoo: producto 20863 / plantilla 26866</t>
        </is>
      </c>
      <c r="AL152" s="58" t="n"/>
      <c r="AM152" s="58" t="n"/>
      <c r="AN152" s="155" t="inlineStr">
        <is>
          <t>Odoo Universal Unique Brands</t>
        </is>
      </c>
      <c r="AO152" s="59" t="n"/>
      <c r="AP152" s="59" t="n"/>
      <c r="AQ152" s="59" t="n">
        <v>30</v>
      </c>
      <c r="AR152" s="155" t="inlineStr">
        <is>
          <t>Odoo Universal Unique Brands › Bodega 25 › Bodega 25/General: 30</t>
        </is>
      </c>
    </row>
    <row r="153">
      <c r="A153" s="50" t="inlineStr">
        <is>
          <t>199168092030</t>
        </is>
      </c>
      <c r="B153" s="51" t="n"/>
      <c r="C153" s="156" t="inlineStr">
        <is>
          <t>Roper</t>
        </is>
      </c>
      <c r="D153" s="156" t="inlineStr">
        <is>
          <t>03-001-0421-0108</t>
        </is>
      </c>
      <c r="E153" s="156" t="inlineStr">
        <is>
          <t>03-001-0421-0108 BL-S</t>
        </is>
      </c>
      <c r="F153" s="156" t="inlineStr">
        <is>
          <t>S</t>
        </is>
      </c>
      <c r="G153" s="156" t="inlineStr">
        <is>
          <t>S</t>
        </is>
      </c>
      <c r="H153" s="156" t="inlineStr">
        <is>
          <t>Roper</t>
        </is>
      </c>
      <c r="I153" s="156" t="inlineStr">
        <is>
          <t>ROPER Shirt Painterly Rodeo Border Scen</t>
        </is>
      </c>
      <c r="J153" s="156" t="inlineStr">
        <is>
          <t>Ropa</t>
        </is>
      </c>
      <c r="K153" s="156" t="inlineStr">
        <is>
          <t>Camisas</t>
        </is>
      </c>
      <c r="L153" s="156" t="n"/>
      <c r="M153" s="156" t="n"/>
      <c r="N153" s="156" t="n"/>
      <c r="O153" s="156" t="n"/>
      <c r="P153" s="156" t="n"/>
      <c r="Q153" s="156" t="n"/>
      <c r="R153" s="156" t="n"/>
      <c r="S153" s="156" t="n"/>
      <c r="T153" s="156" t="n"/>
      <c r="U153" s="156" t="n"/>
      <c r="V153" s="156" t="inlineStr">
        <is>
          <t>PZS</t>
        </is>
      </c>
      <c r="W153" s="51" t="inlineStr">
        <is>
          <t>53101602</t>
        </is>
      </c>
      <c r="X153" s="156" t="n"/>
      <c r="Y153" s="54" t="n">
        <v>38</v>
      </c>
      <c r="Z153" s="54" t="n">
        <v>990</v>
      </c>
      <c r="AA153" s="55">
        <f>IF(AND(A153="", B153="", E153=""), "", IF(AB153="", "Válido", IF((LEN(AB153)-LEN(SUBSTITUTE(AB153,"; ","")))/2+1&gt;(LEN(AB153)-LEN(SUBSTITUTE(AB153,"[Aviso]","")))/7, "Con Incidencias", "Válido")))</f>
        <v/>
      </c>
      <c r="AB153" s="56">
        <f>IF(AND(A153="", B153="", E153=""), "", TEXTJOIN("; ", TRUE, IF(OR(TRIM(A153&amp;"")="", ISNUMBER(SEARCH("FALTA", A153))), "UPC faltante/inválido", ""), IF(AND(A153&lt;&gt;"", IFERROR(_xlfn.XMATCH(A153,$A$2:$A$285,0,1)&lt;&gt;_xlfn.XMATCH(A153,$A$2:$A$285,0,-1),FALSE)), "Código de barras duplicado", ""), IF(AND(E153&lt;&gt;"", COUNTIF($E$2:$E$285, E153)&gt;1), "SKU duplicado", ""), IF(OR(J153="", J153=""), "[Aviso] División no capturada ()", IF(ISNA(MATCH(J153, Criterios!$A$123:$A$126, 0)), "División no válida", "")), IF(OR(K153="", K153=""), "[Aviso] Categoría no capturada ()", IF(ISNA(MATCH(K153, Criterios!$A$81:$A$120, 0)), "Categoría no válida", IF(AND(J153&lt;&gt;"", J153&lt;&gt;"", J153&lt;&gt;VLOOKUP(K153, Criterios!$A$81:$B$120, 2, FALSE)), "División no coincide con Categoría", ""))), IF(OR(L153="", L153=""), "[Aviso] Género no capturado ()", IF(ISNA(MATCH(L153, Criterios!$B$123:$B$127, 0)), "Género no válido", "")), IF(OR(N153="", N153=""), "[Aviso] Temporada no capturada ()", IF(ISNA(MATCH(N153, Criterios!$C$123:$C$128, 0)), "Temporada no válida", "")), IF(OR(O153="", O153=""), "[Aviso] Ciclo de vida no capturado ()", IF(ISNA(MATCH(O153, Criterios!$D$123:$D$124, 0)), "Ciclo de vida no válido", ""))))</f>
        <v/>
      </c>
      <c r="AC153" s="56" t="n"/>
      <c r="AD153" s="51" t="n"/>
      <c r="AE153" s="156" t="n"/>
      <c r="AF153" s="51" t="n"/>
      <c r="AG153" s="156" t="inlineStr">
        <is>
          <t>Nuevo – Odoo Universal Unique Brands 01/10/2026</t>
        </is>
      </c>
      <c r="AH153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«03-001-0421-0108» (Completado por regla) · Validador Shopify: WB: precio con IVA no termina en 9</t>
        </is>
      </c>
      <c r="AI153" s="156" t="n"/>
      <c r="AJ153" s="156" t="n"/>
      <c r="AK153" s="155" t="inlineStr">
        <is>
          <t>Odoo: producto 20862 / plantilla 26865</t>
        </is>
      </c>
      <c r="AL153" s="58" t="n"/>
      <c r="AM153" s="58" t="n"/>
      <c r="AN153" s="155" t="inlineStr">
        <is>
          <t>Odoo Universal Unique Brands</t>
        </is>
      </c>
      <c r="AO153" s="59" t="n"/>
      <c r="AP153" s="59" t="n"/>
      <c r="AQ153" s="59" t="n">
        <v>30</v>
      </c>
      <c r="AR153" s="155" t="inlineStr">
        <is>
          <t>Odoo Universal Unique Brands › Bodega 25 › Bodega 25/General: 30</t>
        </is>
      </c>
    </row>
    <row r="154">
      <c r="A154" s="50" t="inlineStr">
        <is>
          <t>199168092047</t>
        </is>
      </c>
      <c r="B154" s="51" t="n"/>
      <c r="C154" s="156" t="inlineStr">
        <is>
          <t>Roper</t>
        </is>
      </c>
      <c r="D154" s="156" t="inlineStr">
        <is>
          <t>03-001-0421-0108</t>
        </is>
      </c>
      <c r="E154" s="156" t="inlineStr">
        <is>
          <t>03-001-0421-0108 BL-XL</t>
        </is>
      </c>
      <c r="F154" s="156" t="inlineStr">
        <is>
          <t>XL</t>
        </is>
      </c>
      <c r="G154" s="156" t="inlineStr">
        <is>
          <t>XL</t>
        </is>
      </c>
      <c r="H154" s="156" t="inlineStr">
        <is>
          <t>Roper</t>
        </is>
      </c>
      <c r="I154" s="156" t="inlineStr">
        <is>
          <t>ROPER Shirt Painterly Rodeo Border Scen</t>
        </is>
      </c>
      <c r="J154" s="156" t="inlineStr">
        <is>
          <t>Ropa</t>
        </is>
      </c>
      <c r="K154" s="156" t="inlineStr">
        <is>
          <t>Camisas</t>
        </is>
      </c>
      <c r="L154" s="156" t="n"/>
      <c r="M154" s="156" t="n"/>
      <c r="N154" s="156" t="n"/>
      <c r="O154" s="156" t="n"/>
      <c r="P154" s="156" t="n"/>
      <c r="Q154" s="156" t="n"/>
      <c r="R154" s="156" t="n"/>
      <c r="S154" s="156" t="n"/>
      <c r="T154" s="156" t="n"/>
      <c r="U154" s="156" t="n"/>
      <c r="V154" s="156" t="inlineStr">
        <is>
          <t>PZS</t>
        </is>
      </c>
      <c r="W154" s="51" t="inlineStr">
        <is>
          <t>53101602</t>
        </is>
      </c>
      <c r="X154" s="156" t="n"/>
      <c r="Y154" s="54" t="n">
        <v>38</v>
      </c>
      <c r="Z154" s="54" t="n">
        <v>990</v>
      </c>
      <c r="AA154" s="55">
        <f>IF(AND(A154="", B154="", E154=""), "", IF(AB154="", "Válido", IF((LEN(AB154)-LEN(SUBSTITUTE(AB154,"; ","")))/2+1&gt;(LEN(AB154)-LEN(SUBSTITUTE(AB154,"[Aviso]","")))/7, "Con Incidencias", "Válido")))</f>
        <v/>
      </c>
      <c r="AB154" s="56">
        <f>IF(AND(A154="", B154="", E154=""), "", TEXTJOIN("; ", TRUE, IF(OR(TRIM(A154&amp;"")="", ISNUMBER(SEARCH("FALTA", A154))), "UPC faltante/inválido", ""), IF(AND(A154&lt;&gt;"", IFERROR(_xlfn.XMATCH(A154,$A$2:$A$285,0,1)&lt;&gt;_xlfn.XMATCH(A154,$A$2:$A$285,0,-1),FALSE)), "Código de barras duplicado", ""), IF(AND(E154&lt;&gt;"", COUNTIF($E$2:$E$285, E154)&gt;1), "SKU duplicado", ""), IF(OR(J154="", J154=""), "[Aviso] División no capturada ()", IF(ISNA(MATCH(J154, Criterios!$A$123:$A$126, 0)), "División no válida", "")), IF(OR(K154="", K154=""), "[Aviso] Categoría no capturada ()", IF(ISNA(MATCH(K154, Criterios!$A$81:$A$120, 0)), "Categoría no válida", IF(AND(J154&lt;&gt;"", J154&lt;&gt;"", J154&lt;&gt;VLOOKUP(K154, Criterios!$A$81:$B$120, 2, FALSE)), "División no coincide con Categoría", ""))), IF(OR(L154="", L154=""), "[Aviso] Género no capturado ()", IF(ISNA(MATCH(L154, Criterios!$B$123:$B$127, 0)), "Género no válido", "")), IF(OR(N154="", N154=""), "[Aviso] Temporada no capturada ()", IF(ISNA(MATCH(N154, Criterios!$C$123:$C$128, 0)), "Temporada no válida", "")), IF(OR(O154="", O154=""), "[Aviso] Ciclo de vida no capturado ()", IF(ISNA(MATCH(O154, Criterios!$D$123:$D$124, 0)), "Ciclo de vida no válido", ""))))</f>
        <v/>
      </c>
      <c r="AC154" s="56" t="n"/>
      <c r="AD154" s="51" t="n"/>
      <c r="AE154" s="156" t="n"/>
      <c r="AF154" s="51" t="n"/>
      <c r="AG154" s="156" t="inlineStr">
        <is>
          <t>Nuevo – Odoo Universal Unique Brands 01/10/2026</t>
        </is>
      </c>
      <c r="AH154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«03-001-0421-0108» (Completado por regla) · Validador Shopify: WB: precio con IVA no termina en 9</t>
        </is>
      </c>
      <c r="AI154" s="156" t="n"/>
      <c r="AJ154" s="156" t="n"/>
      <c r="AK154" s="155" t="inlineStr">
        <is>
          <t>Odoo: producto 20865 / plantilla 26868</t>
        </is>
      </c>
      <c r="AL154" s="58" t="n"/>
      <c r="AM154" s="58" t="n"/>
      <c r="AN154" s="155" t="inlineStr">
        <is>
          <t>Odoo Universal Unique Brands</t>
        </is>
      </c>
      <c r="AO154" s="59" t="n"/>
      <c r="AP154" s="59" t="n"/>
      <c r="AQ154" s="59" t="n">
        <v>20</v>
      </c>
      <c r="AR154" s="155" t="inlineStr">
        <is>
          <t>Odoo Universal Unique Brands › Bodega 25 › Bodega 25/General: 20</t>
        </is>
      </c>
    </row>
    <row r="155">
      <c r="A155" s="50" t="inlineStr">
        <is>
          <t>199168049096</t>
        </is>
      </c>
      <c r="B155" s="51" t="n"/>
      <c r="C155" s="156" t="inlineStr">
        <is>
          <t>Roper</t>
        </is>
      </c>
      <c r="D155" s="156" t="inlineStr">
        <is>
          <t>03-001-0421-0700</t>
        </is>
      </c>
      <c r="E155" s="156" t="inlineStr">
        <is>
          <t>03-001-0421-0700 BR-2XL</t>
        </is>
      </c>
      <c r="F155" s="156" t="inlineStr">
        <is>
          <t>XXL</t>
        </is>
      </c>
      <c r="G155" s="156" t="inlineStr">
        <is>
          <t>XXL</t>
        </is>
      </c>
      <c r="H155" s="156" t="inlineStr">
        <is>
          <t>Roper</t>
        </is>
      </c>
      <c r="I155" s="156" t="inlineStr">
        <is>
          <t>ROPER Shirt Country Trails Scenic</t>
        </is>
      </c>
      <c r="J155" s="156" t="inlineStr">
        <is>
          <t>Ropa</t>
        </is>
      </c>
      <c r="K155" s="156" t="inlineStr">
        <is>
          <t>Camisas</t>
        </is>
      </c>
      <c r="L155" s="156" t="n"/>
      <c r="M155" s="156" t="n"/>
      <c r="N155" s="156" t="n"/>
      <c r="O155" s="156" t="n"/>
      <c r="P155" s="156" t="n"/>
      <c r="Q155" s="156" t="n"/>
      <c r="R155" s="156" t="n"/>
      <c r="S155" s="156" t="n"/>
      <c r="T155" s="156" t="n"/>
      <c r="U155" s="156" t="n"/>
      <c r="V155" s="156" t="inlineStr">
        <is>
          <t>PZS</t>
        </is>
      </c>
      <c r="W155" s="51" t="inlineStr">
        <is>
          <t>53101602</t>
        </is>
      </c>
      <c r="X155" s="156" t="n"/>
      <c r="Y155" s="54" t="n">
        <v>32.09</v>
      </c>
      <c r="Z155" s="54" t="n">
        <v>859</v>
      </c>
      <c r="AA155" s="55">
        <f>IF(AND(A155="", B155="", E155=""), "", IF(AB155="", "Válido", IF((LEN(AB155)-LEN(SUBSTITUTE(AB155,"; ","")))/2+1&gt;(LEN(AB155)-LEN(SUBSTITUTE(AB155,"[Aviso]","")))/7, "Con Incidencias", "Válido")))</f>
        <v/>
      </c>
      <c r="AB155" s="56">
        <f>IF(AND(A155="", B155="", E155=""), "", TEXTJOIN("; ", TRUE, IF(OR(TRIM(A155&amp;"")="", ISNUMBER(SEARCH("FALTA", A155))), "UPC faltante/inválido", ""), IF(AND(A155&lt;&gt;"", IFERROR(_xlfn.XMATCH(A155,$A$2:$A$285,0,1)&lt;&gt;_xlfn.XMATCH(A155,$A$2:$A$285,0,-1),FALSE)), "Código de barras duplicado", ""), IF(AND(E155&lt;&gt;"", COUNTIF($E$2:$E$285, E155)&gt;1), "SKU duplicado", ""), IF(OR(J155="", J155=""), "[Aviso] División no capturada ()", IF(ISNA(MATCH(J155, Criterios!$A$123:$A$126, 0)), "División no válida", "")), IF(OR(K155="", K155=""), "[Aviso] Categoría no capturada ()", IF(ISNA(MATCH(K155, Criterios!$A$81:$A$120, 0)), "Categoría no válida", IF(AND(J155&lt;&gt;"", J155&lt;&gt;"", J155&lt;&gt;VLOOKUP(K155, Criterios!$A$81:$B$120, 2, FALSE)), "División no coincide con Categoría", ""))), IF(OR(L155="", L155=""), "[Aviso] Género no capturado ()", IF(ISNA(MATCH(L155, Criterios!$B$123:$B$127, 0)), "Género no válido", "")), IF(OR(N155="", N155=""), "[Aviso] Temporada no capturada ()", IF(ISNA(MATCH(N155, Criterios!$C$123:$C$128, 0)), "Temporada no válida", "")), IF(OR(O155="", O155=""), "[Aviso] Ciclo de vida no capturado ()", IF(ISNA(MATCH(O155, Criterios!$D$123:$D$124, 0)), "Ciclo de vida no válido", ""))))</f>
        <v/>
      </c>
      <c r="AC155" s="56" t="n"/>
      <c r="AD155" s="51" t="n"/>
      <c r="AE155" s="156" t="n"/>
      <c r="AF155" s="51" t="n"/>
      <c r="AG155" s="156" t="inlineStr">
        <is>
          <t>Nuevo – Odoo Universal Unique Brands 01/10/2026</t>
        </is>
      </c>
      <c r="AH155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«03-001-0421-0700» (Completado por regla) · Validador Shopify: WB: precio con IVA no termina en 9</t>
        </is>
      </c>
      <c r="AI155" s="156" t="n"/>
      <c r="AJ155" s="156" t="n"/>
      <c r="AK155" s="155" t="inlineStr">
        <is>
          <t>Odoo: producto 21113 / plantilla 27116</t>
        </is>
      </c>
      <c r="AL155" s="58" t="n"/>
      <c r="AM155" s="58" t="n"/>
      <c r="AN155" s="155" t="inlineStr">
        <is>
          <t>Odoo Universal Unique Brands</t>
        </is>
      </c>
      <c r="AO155" s="59" t="n"/>
      <c r="AP155" s="59" t="n"/>
      <c r="AQ155" s="59" t="n">
        <v>1</v>
      </c>
      <c r="AR155" s="155" t="inlineStr">
        <is>
          <t>Odoo Universal Unique Brands › Bodega 25 › Bodega 25/General: 1</t>
        </is>
      </c>
    </row>
    <row r="156">
      <c r="A156" s="50" t="inlineStr">
        <is>
          <t>199168049058</t>
        </is>
      </c>
      <c r="B156" s="51" t="n"/>
      <c r="C156" s="156" t="inlineStr">
        <is>
          <t>Roper</t>
        </is>
      </c>
      <c r="D156" s="156" t="inlineStr">
        <is>
          <t>03-001-0421-0700</t>
        </is>
      </c>
      <c r="E156" s="156" t="inlineStr">
        <is>
          <t>03-001-0421-0700 BR-L</t>
        </is>
      </c>
      <c r="F156" s="156" t="inlineStr">
        <is>
          <t>L</t>
        </is>
      </c>
      <c r="G156" s="156" t="inlineStr">
        <is>
          <t>L</t>
        </is>
      </c>
      <c r="H156" s="156" t="inlineStr">
        <is>
          <t>Roper</t>
        </is>
      </c>
      <c r="I156" s="156" t="inlineStr">
        <is>
          <t>ROPER Shirt Country Trails Scenic</t>
        </is>
      </c>
      <c r="J156" s="156" t="inlineStr">
        <is>
          <t>Ropa</t>
        </is>
      </c>
      <c r="K156" s="156" t="inlineStr">
        <is>
          <t>Camisas</t>
        </is>
      </c>
      <c r="L156" s="156" t="n"/>
      <c r="M156" s="156" t="n"/>
      <c r="N156" s="156" t="n"/>
      <c r="O156" s="156" t="n"/>
      <c r="P156" s="156" t="n"/>
      <c r="Q156" s="156" t="n"/>
      <c r="R156" s="156" t="n"/>
      <c r="S156" s="156" t="n"/>
      <c r="T156" s="156" t="n"/>
      <c r="U156" s="156" t="n"/>
      <c r="V156" s="156" t="inlineStr">
        <is>
          <t>PZS</t>
        </is>
      </c>
      <c r="W156" s="51" t="inlineStr">
        <is>
          <t>53101602</t>
        </is>
      </c>
      <c r="X156" s="156" t="n"/>
      <c r="Y156" s="54" t="n">
        <v>32.09</v>
      </c>
      <c r="Z156" s="54" t="n">
        <v>859</v>
      </c>
      <c r="AA156" s="55">
        <f>IF(AND(A156="", B156="", E156=""), "", IF(AB156="", "Válido", IF((LEN(AB156)-LEN(SUBSTITUTE(AB156,"; ","")))/2+1&gt;(LEN(AB156)-LEN(SUBSTITUTE(AB156,"[Aviso]","")))/7, "Con Incidencias", "Válido")))</f>
        <v/>
      </c>
      <c r="AB156" s="56">
        <f>IF(AND(A156="", B156="", E156=""), "", TEXTJOIN("; ", TRUE, IF(OR(TRIM(A156&amp;"")="", ISNUMBER(SEARCH("FALTA", A156))), "UPC faltante/inválido", ""), IF(AND(A156&lt;&gt;"", IFERROR(_xlfn.XMATCH(A156,$A$2:$A$285,0,1)&lt;&gt;_xlfn.XMATCH(A156,$A$2:$A$285,0,-1),FALSE)), "Código de barras duplicado", ""), IF(AND(E156&lt;&gt;"", COUNTIF($E$2:$E$285, E156)&gt;1), "SKU duplicado", ""), IF(OR(J156="", J156=""), "[Aviso] División no capturada ()", IF(ISNA(MATCH(J156, Criterios!$A$123:$A$126, 0)), "División no válida", "")), IF(OR(K156="", K156=""), "[Aviso] Categoría no capturada ()", IF(ISNA(MATCH(K156, Criterios!$A$81:$A$120, 0)), "Categoría no válida", IF(AND(J156&lt;&gt;"", J156&lt;&gt;"", J156&lt;&gt;VLOOKUP(K156, Criterios!$A$81:$B$120, 2, FALSE)), "División no coincide con Categoría", ""))), IF(OR(L156="", L156=""), "[Aviso] Género no capturado ()", IF(ISNA(MATCH(L156, Criterios!$B$123:$B$127, 0)), "Género no válido", "")), IF(OR(N156="", N156=""), "[Aviso] Temporada no capturada ()", IF(ISNA(MATCH(N156, Criterios!$C$123:$C$128, 0)), "Temporada no válida", "")), IF(OR(O156="", O156=""), "[Aviso] Ciclo de vida no capturado ()", IF(ISNA(MATCH(O156, Criterios!$D$123:$D$124, 0)), "Ciclo de vida no válido", ""))))</f>
        <v/>
      </c>
      <c r="AC156" s="56" t="n"/>
      <c r="AD156" s="51" t="n"/>
      <c r="AE156" s="156" t="n"/>
      <c r="AF156" s="51" t="n"/>
      <c r="AG156" s="156" t="inlineStr">
        <is>
          <t>Nuevo – Odoo Universal Unique Brands 01/10/2026</t>
        </is>
      </c>
      <c r="AH156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«03-001-0421-0700» (Completado por regla) · Validador Shopify: WB: precio con IVA no termina en 9</t>
        </is>
      </c>
      <c r="AI156" s="156" t="n"/>
      <c r="AJ156" s="156" t="n"/>
      <c r="AK156" s="155" t="inlineStr">
        <is>
          <t>Odoo: producto 21111 / plantilla 27114</t>
        </is>
      </c>
      <c r="AL156" s="58" t="n"/>
      <c r="AM156" s="58" t="n"/>
      <c r="AN156" s="155" t="inlineStr">
        <is>
          <t>Odoo Universal Unique Brands</t>
        </is>
      </c>
      <c r="AO156" s="59" t="n"/>
      <c r="AP156" s="59" t="n"/>
      <c r="AQ156" s="59" t="n">
        <v>7</v>
      </c>
      <c r="AR156" s="155" t="inlineStr">
        <is>
          <t>Odoo Universal Unique Brands › Bodega 25 › Bodega 25/General: 7</t>
        </is>
      </c>
    </row>
    <row r="157">
      <c r="A157" s="50" t="inlineStr">
        <is>
          <t>199168049065</t>
        </is>
      </c>
      <c r="B157" s="51" t="n"/>
      <c r="C157" s="156" t="inlineStr">
        <is>
          <t>Roper</t>
        </is>
      </c>
      <c r="D157" s="156" t="inlineStr">
        <is>
          <t>03-001-0421-0700</t>
        </is>
      </c>
      <c r="E157" s="156" t="inlineStr">
        <is>
          <t>03-001-0421-0700 BR-M</t>
        </is>
      </c>
      <c r="F157" s="156" t="inlineStr">
        <is>
          <t>M</t>
        </is>
      </c>
      <c r="G157" s="156" t="inlineStr">
        <is>
          <t>M</t>
        </is>
      </c>
      <c r="H157" s="156" t="inlineStr">
        <is>
          <t>Roper</t>
        </is>
      </c>
      <c r="I157" s="156" t="inlineStr">
        <is>
          <t>ROPER Shirt Country Trails Scenic</t>
        </is>
      </c>
      <c r="J157" s="156" t="inlineStr">
        <is>
          <t>Ropa</t>
        </is>
      </c>
      <c r="K157" s="156" t="inlineStr">
        <is>
          <t>Camisas</t>
        </is>
      </c>
      <c r="L157" s="156" t="n"/>
      <c r="M157" s="156" t="n"/>
      <c r="N157" s="156" t="n"/>
      <c r="O157" s="156" t="n"/>
      <c r="P157" s="156" t="n"/>
      <c r="Q157" s="156" t="n"/>
      <c r="R157" s="156" t="n"/>
      <c r="S157" s="156" t="n"/>
      <c r="T157" s="156" t="n"/>
      <c r="U157" s="156" t="n"/>
      <c r="V157" s="156" t="inlineStr">
        <is>
          <t>PZS</t>
        </is>
      </c>
      <c r="W157" s="51" t="inlineStr">
        <is>
          <t>53101602</t>
        </is>
      </c>
      <c r="X157" s="156" t="n"/>
      <c r="Y157" s="54" t="n">
        <v>32.09</v>
      </c>
      <c r="Z157" s="54" t="n">
        <v>859</v>
      </c>
      <c r="AA157" s="55">
        <f>IF(AND(A157="", B157="", E157=""), "", IF(AB157="", "Válido", IF((LEN(AB157)-LEN(SUBSTITUTE(AB157,"; ","")))/2+1&gt;(LEN(AB157)-LEN(SUBSTITUTE(AB157,"[Aviso]","")))/7, "Con Incidencias", "Válido")))</f>
        <v/>
      </c>
      <c r="AB157" s="56">
        <f>IF(AND(A157="", B157="", E157=""), "", TEXTJOIN("; ", TRUE, IF(OR(TRIM(A157&amp;"")="", ISNUMBER(SEARCH("FALTA", A157))), "UPC faltante/inválido", ""), IF(AND(A157&lt;&gt;"", IFERROR(_xlfn.XMATCH(A157,$A$2:$A$285,0,1)&lt;&gt;_xlfn.XMATCH(A157,$A$2:$A$285,0,-1),FALSE)), "Código de barras duplicado", ""), IF(AND(E157&lt;&gt;"", COUNTIF($E$2:$E$285, E157)&gt;1), "SKU duplicado", ""), IF(OR(J157="", J157=""), "[Aviso] División no capturada ()", IF(ISNA(MATCH(J157, Criterios!$A$123:$A$126, 0)), "División no válida", "")), IF(OR(K157="", K157=""), "[Aviso] Categoría no capturada ()", IF(ISNA(MATCH(K157, Criterios!$A$81:$A$120, 0)), "Categoría no válida", IF(AND(J157&lt;&gt;"", J157&lt;&gt;"", J157&lt;&gt;VLOOKUP(K157, Criterios!$A$81:$B$120, 2, FALSE)), "División no coincide con Categoría", ""))), IF(OR(L157="", L157=""), "[Aviso] Género no capturado ()", IF(ISNA(MATCH(L157, Criterios!$B$123:$B$127, 0)), "Género no válido", "")), IF(OR(N157="", N157=""), "[Aviso] Temporada no capturada ()", IF(ISNA(MATCH(N157, Criterios!$C$123:$C$128, 0)), "Temporada no válida", "")), IF(OR(O157="", O157=""), "[Aviso] Ciclo de vida no capturado ()", IF(ISNA(MATCH(O157, Criterios!$D$123:$D$124, 0)), "Ciclo de vida no válido", ""))))</f>
        <v/>
      </c>
      <c r="AC157" s="56" t="n"/>
      <c r="AD157" s="51" t="n"/>
      <c r="AE157" s="156" t="n"/>
      <c r="AF157" s="51" t="n"/>
      <c r="AG157" s="156" t="inlineStr">
        <is>
          <t>Nuevo – Odoo Universal Unique Brands 01/10/2026</t>
        </is>
      </c>
      <c r="AH157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«03-001-0421-0700» (Completado por regla) · Validador Shopify: WB: precio con IVA no termina en 9</t>
        </is>
      </c>
      <c r="AI157" s="156" t="n"/>
      <c r="AJ157" s="156" t="n"/>
      <c r="AK157" s="155" t="inlineStr">
        <is>
          <t>Odoo: producto 21110 / plantilla 27113</t>
        </is>
      </c>
      <c r="AL157" s="58" t="n"/>
      <c r="AM157" s="58" t="n"/>
      <c r="AN157" s="155" t="inlineStr">
        <is>
          <t>Odoo Universal Unique Brands</t>
        </is>
      </c>
      <c r="AO157" s="59" t="n"/>
      <c r="AP157" s="59" t="n"/>
      <c r="AQ157" s="59" t="n">
        <v>8</v>
      </c>
      <c r="AR157" s="155" t="inlineStr">
        <is>
          <t>Odoo Universal Unique Brands › Bodega 25 › Bodega 25/General: 8</t>
        </is>
      </c>
    </row>
    <row r="158">
      <c r="A158" s="50" t="inlineStr">
        <is>
          <t>199168049072</t>
        </is>
      </c>
      <c r="B158" s="51" t="n"/>
      <c r="C158" s="156" t="inlineStr">
        <is>
          <t>Roper</t>
        </is>
      </c>
      <c r="D158" s="156" t="inlineStr">
        <is>
          <t>03-001-0421-0700</t>
        </is>
      </c>
      <c r="E158" s="156" t="inlineStr">
        <is>
          <t>03-001-0421-0700 BR-S</t>
        </is>
      </c>
      <c r="F158" s="156" t="inlineStr">
        <is>
          <t>S</t>
        </is>
      </c>
      <c r="G158" s="156" t="inlineStr">
        <is>
          <t>S</t>
        </is>
      </c>
      <c r="H158" s="156" t="inlineStr">
        <is>
          <t>Roper</t>
        </is>
      </c>
      <c r="I158" s="156" t="inlineStr">
        <is>
          <t>ROPER Shirt Country Trails Scenic</t>
        </is>
      </c>
      <c r="J158" s="156" t="inlineStr">
        <is>
          <t>Ropa</t>
        </is>
      </c>
      <c r="K158" s="156" t="inlineStr">
        <is>
          <t>Camisas</t>
        </is>
      </c>
      <c r="L158" s="156" t="n"/>
      <c r="M158" s="156" t="n"/>
      <c r="N158" s="156" t="n"/>
      <c r="O158" s="156" t="n"/>
      <c r="P158" s="156" t="n"/>
      <c r="Q158" s="156" t="n"/>
      <c r="R158" s="156" t="n"/>
      <c r="S158" s="156" t="n"/>
      <c r="T158" s="156" t="n"/>
      <c r="U158" s="156" t="n"/>
      <c r="V158" s="156" t="inlineStr">
        <is>
          <t>PZS</t>
        </is>
      </c>
      <c r="W158" s="51" t="inlineStr">
        <is>
          <t>53101602</t>
        </is>
      </c>
      <c r="X158" s="156" t="n"/>
      <c r="Y158" s="54" t="n">
        <v>32.09</v>
      </c>
      <c r="Z158" s="54" t="n">
        <v>859</v>
      </c>
      <c r="AA158" s="55">
        <f>IF(AND(A158="", B158="", E158=""), "", IF(AB158="", "Válido", IF((LEN(AB158)-LEN(SUBSTITUTE(AB158,"; ","")))/2+1&gt;(LEN(AB158)-LEN(SUBSTITUTE(AB158,"[Aviso]","")))/7, "Con Incidencias", "Válido")))</f>
        <v/>
      </c>
      <c r="AB158" s="56">
        <f>IF(AND(A158="", B158="", E158=""), "", TEXTJOIN("; ", TRUE, IF(OR(TRIM(A158&amp;"")="", ISNUMBER(SEARCH("FALTA", A158))), "UPC faltante/inválido", ""), IF(AND(A158&lt;&gt;"", IFERROR(_xlfn.XMATCH(A158,$A$2:$A$285,0,1)&lt;&gt;_xlfn.XMATCH(A158,$A$2:$A$285,0,-1),FALSE)), "Código de barras duplicado", ""), IF(AND(E158&lt;&gt;"", COUNTIF($E$2:$E$285, E158)&gt;1), "SKU duplicado", ""), IF(OR(J158="", J158=""), "[Aviso] División no capturada ()", IF(ISNA(MATCH(J158, Criterios!$A$123:$A$126, 0)), "División no válida", "")), IF(OR(K158="", K158=""), "[Aviso] Categoría no capturada ()", IF(ISNA(MATCH(K158, Criterios!$A$81:$A$120, 0)), "Categoría no válida", IF(AND(J158&lt;&gt;"", J158&lt;&gt;"", J158&lt;&gt;VLOOKUP(K158, Criterios!$A$81:$B$120, 2, FALSE)), "División no coincide con Categoría", ""))), IF(OR(L158="", L158=""), "[Aviso] Género no capturado ()", IF(ISNA(MATCH(L158, Criterios!$B$123:$B$127, 0)), "Género no válido", "")), IF(OR(N158="", N158=""), "[Aviso] Temporada no capturada ()", IF(ISNA(MATCH(N158, Criterios!$C$123:$C$128, 0)), "Temporada no válida", "")), IF(OR(O158="", O158=""), "[Aviso] Ciclo de vida no capturado ()", IF(ISNA(MATCH(O158, Criterios!$D$123:$D$124, 0)), "Ciclo de vida no válido", ""))))</f>
        <v/>
      </c>
      <c r="AC158" s="56" t="n"/>
      <c r="AD158" s="51" t="n"/>
      <c r="AE158" s="156" t="n"/>
      <c r="AF158" s="51" t="n"/>
      <c r="AG158" s="156" t="inlineStr">
        <is>
          <t>Nuevo – Odoo Universal Unique Brands 01/10/2026</t>
        </is>
      </c>
      <c r="AH158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«03-001-0421-0700» (Completado por regla) · Validador Shopify: WB: precio con IVA no termina en 9</t>
        </is>
      </c>
      <c r="AI158" s="156" t="n"/>
      <c r="AJ158" s="156" t="n"/>
      <c r="AK158" s="155" t="inlineStr">
        <is>
          <t>Odoo: producto 21109 / plantilla 27112</t>
        </is>
      </c>
      <c r="AL158" s="58" t="n"/>
      <c r="AM158" s="58" t="n"/>
      <c r="AN158" s="155" t="inlineStr">
        <is>
          <t>Odoo Universal Unique Brands</t>
        </is>
      </c>
      <c r="AO158" s="59" t="n"/>
      <c r="AP158" s="59" t="n"/>
      <c r="AQ158" s="59" t="n">
        <v>7</v>
      </c>
      <c r="AR158" s="155" t="inlineStr">
        <is>
          <t>Odoo Universal Unique Brands › Bodega 25 › Bodega 25/General: 7</t>
        </is>
      </c>
    </row>
    <row r="159">
      <c r="A159" s="50" t="inlineStr">
        <is>
          <t>199168049089</t>
        </is>
      </c>
      <c r="B159" s="51" t="n"/>
      <c r="C159" s="156" t="inlineStr">
        <is>
          <t>Roper</t>
        </is>
      </c>
      <c r="D159" s="156" t="inlineStr">
        <is>
          <t>03-001-0421-0700</t>
        </is>
      </c>
      <c r="E159" s="156" t="inlineStr">
        <is>
          <t>03-001-0421-0700 BR-XL</t>
        </is>
      </c>
      <c r="F159" s="156" t="inlineStr">
        <is>
          <t>XL</t>
        </is>
      </c>
      <c r="G159" s="156" t="inlineStr">
        <is>
          <t>XL</t>
        </is>
      </c>
      <c r="H159" s="156" t="inlineStr">
        <is>
          <t>Roper</t>
        </is>
      </c>
      <c r="I159" s="156" t="inlineStr">
        <is>
          <t>ROPER Shirt Country Trails Scenic</t>
        </is>
      </c>
      <c r="J159" s="156" t="inlineStr">
        <is>
          <t>Ropa</t>
        </is>
      </c>
      <c r="K159" s="156" t="inlineStr">
        <is>
          <t>Camisas</t>
        </is>
      </c>
      <c r="L159" s="156" t="n"/>
      <c r="M159" s="156" t="n"/>
      <c r="N159" s="156" t="n"/>
      <c r="O159" s="156" t="n"/>
      <c r="P159" s="156" t="n"/>
      <c r="Q159" s="156" t="n"/>
      <c r="R159" s="156" t="n"/>
      <c r="S159" s="156" t="n"/>
      <c r="T159" s="156" t="n"/>
      <c r="U159" s="156" t="n"/>
      <c r="V159" s="156" t="inlineStr">
        <is>
          <t>PZS</t>
        </is>
      </c>
      <c r="W159" s="51" t="inlineStr">
        <is>
          <t>53101602</t>
        </is>
      </c>
      <c r="X159" s="156" t="n"/>
      <c r="Y159" s="54" t="n">
        <v>32.09</v>
      </c>
      <c r="Z159" s="54" t="n">
        <v>859</v>
      </c>
      <c r="AA159" s="55">
        <f>IF(AND(A159="", B159="", E159=""), "", IF(AB159="", "Válido", IF((LEN(AB159)-LEN(SUBSTITUTE(AB159,"; ","")))/2+1&gt;(LEN(AB159)-LEN(SUBSTITUTE(AB159,"[Aviso]","")))/7, "Con Incidencias", "Válido")))</f>
        <v/>
      </c>
      <c r="AB159" s="56">
        <f>IF(AND(A159="", B159="", E159=""), "", TEXTJOIN("; ", TRUE, IF(OR(TRIM(A159&amp;"")="", ISNUMBER(SEARCH("FALTA", A159))), "UPC faltante/inválido", ""), IF(AND(A159&lt;&gt;"", IFERROR(_xlfn.XMATCH(A159,$A$2:$A$285,0,1)&lt;&gt;_xlfn.XMATCH(A159,$A$2:$A$285,0,-1),FALSE)), "Código de barras duplicado", ""), IF(AND(E159&lt;&gt;"", COUNTIF($E$2:$E$285, E159)&gt;1), "SKU duplicado", ""), IF(OR(J159="", J159=""), "[Aviso] División no capturada ()", IF(ISNA(MATCH(J159, Criterios!$A$123:$A$126, 0)), "División no válida", "")), IF(OR(K159="", K159=""), "[Aviso] Categoría no capturada ()", IF(ISNA(MATCH(K159, Criterios!$A$81:$A$120, 0)), "Categoría no válida", IF(AND(J159&lt;&gt;"", J159&lt;&gt;"", J159&lt;&gt;VLOOKUP(K159, Criterios!$A$81:$B$120, 2, FALSE)), "División no coincide con Categoría", ""))), IF(OR(L159="", L159=""), "[Aviso] Género no capturado ()", IF(ISNA(MATCH(L159, Criterios!$B$123:$B$127, 0)), "Género no válido", "")), IF(OR(N159="", N159=""), "[Aviso] Temporada no capturada ()", IF(ISNA(MATCH(N159, Criterios!$C$123:$C$128, 0)), "Temporada no válida", "")), IF(OR(O159="", O159=""), "[Aviso] Ciclo de vida no capturado ()", IF(ISNA(MATCH(O159, Criterios!$D$123:$D$124, 0)), "Ciclo de vida no válido", ""))))</f>
        <v/>
      </c>
      <c r="AC159" s="56" t="n"/>
      <c r="AD159" s="51" t="n"/>
      <c r="AE159" s="156" t="n"/>
      <c r="AF159" s="51" t="n"/>
      <c r="AG159" s="156" t="inlineStr">
        <is>
          <t>Nuevo – Odoo Universal Unique Brands 01/10/2026</t>
        </is>
      </c>
      <c r="AH159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«03-001-0421-0700» (Completado por regla) · Validador Shopify: WB: precio con IVA no termina en 9</t>
        </is>
      </c>
      <c r="AI159" s="156" t="n"/>
      <c r="AJ159" s="156" t="n"/>
      <c r="AK159" s="155" t="inlineStr">
        <is>
          <t>Odoo: producto 21112 / plantilla 27115</t>
        </is>
      </c>
      <c r="AL159" s="58" t="n"/>
      <c r="AM159" s="58" t="n"/>
      <c r="AN159" s="155" t="inlineStr">
        <is>
          <t>Odoo Universal Unique Brands</t>
        </is>
      </c>
      <c r="AO159" s="59" t="n"/>
      <c r="AP159" s="59" t="n"/>
      <c r="AQ159" s="59" t="n">
        <v>6</v>
      </c>
      <c r="AR159" s="155" t="inlineStr">
        <is>
          <t>Odoo Universal Unique Brands › Bodega 25 › Bodega 25/General: 6</t>
        </is>
      </c>
    </row>
    <row r="160">
      <c r="A160" s="50" t="inlineStr">
        <is>
          <t>199168092115</t>
        </is>
      </c>
      <c r="B160" s="51" t="n"/>
      <c r="C160" s="156" t="inlineStr">
        <is>
          <t>Roper</t>
        </is>
      </c>
      <c r="D160" s="156" t="inlineStr">
        <is>
          <t>03-001-0431-0109</t>
        </is>
      </c>
      <c r="E160" s="156" t="inlineStr">
        <is>
          <t>03-001-0431-0109 BU-2XL</t>
        </is>
      </c>
      <c r="F160" s="156" t="inlineStr">
        <is>
          <t>XXL</t>
        </is>
      </c>
      <c r="G160" s="156" t="inlineStr">
        <is>
          <t>XXL</t>
        </is>
      </c>
      <c r="H160" s="156" t="inlineStr">
        <is>
          <t>Roper</t>
        </is>
      </c>
      <c r="I160" s="156" t="inlineStr">
        <is>
          <t>ROPER Shirt Horizontal Aztec Ombre Bord</t>
        </is>
      </c>
      <c r="J160" s="156" t="inlineStr">
        <is>
          <t>Ropa</t>
        </is>
      </c>
      <c r="K160" s="156" t="inlineStr">
        <is>
          <t>Camisas</t>
        </is>
      </c>
      <c r="L160" s="156" t="n"/>
      <c r="M160" s="156" t="n"/>
      <c r="N160" s="156" t="n"/>
      <c r="O160" s="156" t="n"/>
      <c r="P160" s="156" t="n"/>
      <c r="Q160" s="156" t="n"/>
      <c r="R160" s="156" t="n"/>
      <c r="S160" s="156" t="n"/>
      <c r="T160" s="156" t="n"/>
      <c r="U160" s="156" t="n"/>
      <c r="V160" s="156" t="inlineStr">
        <is>
          <t>PZS</t>
        </is>
      </c>
      <c r="W160" s="51" t="inlineStr">
        <is>
          <t>53101602</t>
        </is>
      </c>
      <c r="X160" s="156" t="n"/>
      <c r="Y160" s="54" t="n">
        <v>38</v>
      </c>
      <c r="Z160" s="54" t="n">
        <v>990</v>
      </c>
      <c r="AA160" s="55">
        <f>IF(AND(A160="", B160="", E160=""), "", IF(AB160="", "Válido", IF((LEN(AB160)-LEN(SUBSTITUTE(AB160,"; ","")))/2+1&gt;(LEN(AB160)-LEN(SUBSTITUTE(AB160,"[Aviso]","")))/7, "Con Incidencias", "Válido")))</f>
        <v/>
      </c>
      <c r="AB160" s="56">
        <f>IF(AND(A160="", B160="", E160=""), "", TEXTJOIN("; ", TRUE, IF(OR(TRIM(A160&amp;"")="", ISNUMBER(SEARCH("FALTA", A160))), "UPC faltante/inválido", ""), IF(AND(A160&lt;&gt;"", IFERROR(_xlfn.XMATCH(A160,$A$2:$A$285,0,1)&lt;&gt;_xlfn.XMATCH(A160,$A$2:$A$285,0,-1),FALSE)), "Código de barras duplicado", ""), IF(AND(E160&lt;&gt;"", COUNTIF($E$2:$E$285, E160)&gt;1), "SKU duplicado", ""), IF(OR(J160="", J160=""), "[Aviso] División no capturada ()", IF(ISNA(MATCH(J160, Criterios!$A$123:$A$126, 0)), "División no válida", "")), IF(OR(K160="", K160=""), "[Aviso] Categoría no capturada ()", IF(ISNA(MATCH(K160, Criterios!$A$81:$A$120, 0)), "Categoría no válida", IF(AND(J160&lt;&gt;"", J160&lt;&gt;"", J160&lt;&gt;VLOOKUP(K160, Criterios!$A$81:$B$120, 2, FALSE)), "División no coincide con Categoría", ""))), IF(OR(L160="", L160=""), "[Aviso] Género no capturado ()", IF(ISNA(MATCH(L160, Criterios!$B$123:$B$127, 0)), "Género no válido", "")), IF(OR(N160="", N160=""), "[Aviso] Temporada no capturada ()", IF(ISNA(MATCH(N160, Criterios!$C$123:$C$128, 0)), "Temporada no válida", "")), IF(OR(O160="", O160=""), "[Aviso] Ciclo de vida no capturado ()", IF(ISNA(MATCH(O160, Criterios!$D$123:$D$124, 0)), "Ciclo de vida no válido", ""))))</f>
        <v/>
      </c>
      <c r="AC160" s="56" t="n"/>
      <c r="AD160" s="51" t="n"/>
      <c r="AE160" s="156" t="n"/>
      <c r="AF160" s="51" t="n"/>
      <c r="AG160" s="156" t="inlineStr">
        <is>
          <t>Nuevo – Odoo Universal Unique Brands 01/10/2026</t>
        </is>
      </c>
      <c r="AH160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«03-001-0431-0109» (Completado por regla) · Validador Shopify: WB: precio con IVA no termina en 9</t>
        </is>
      </c>
      <c r="AI160" s="156" t="n"/>
      <c r="AJ160" s="156" t="n"/>
      <c r="AK160" s="155" t="inlineStr">
        <is>
          <t>Odoo: producto 20876 / plantilla 26879</t>
        </is>
      </c>
      <c r="AL160" s="58" t="n"/>
      <c r="AM160" s="58" t="n"/>
      <c r="AN160" s="155" t="inlineStr">
        <is>
          <t>Odoo Universal Unique Brands</t>
        </is>
      </c>
      <c r="AO160" s="59" t="n"/>
      <c r="AP160" s="59" t="n"/>
      <c r="AQ160" s="59" t="n">
        <v>10</v>
      </c>
      <c r="AR160" s="155" t="inlineStr">
        <is>
          <t>Odoo Universal Unique Brands › Bodega 25 › Bodega 25/General: 10</t>
        </is>
      </c>
    </row>
    <row r="161">
      <c r="A161" s="50" t="inlineStr">
        <is>
          <t>199168092078</t>
        </is>
      </c>
      <c r="B161" s="51" t="n"/>
      <c r="C161" s="156" t="inlineStr">
        <is>
          <t>Roper</t>
        </is>
      </c>
      <c r="D161" s="156" t="inlineStr">
        <is>
          <t>03-001-0431-0109</t>
        </is>
      </c>
      <c r="E161" s="156" t="inlineStr">
        <is>
          <t>03-001-0431-0109 BU-L</t>
        </is>
      </c>
      <c r="F161" s="156" t="inlineStr">
        <is>
          <t>L</t>
        </is>
      </c>
      <c r="G161" s="156" t="inlineStr">
        <is>
          <t>L</t>
        </is>
      </c>
      <c r="H161" s="156" t="inlineStr">
        <is>
          <t>Roper</t>
        </is>
      </c>
      <c r="I161" s="156" t="inlineStr">
        <is>
          <t>ROPER Shirt Horizontal Aztec Ombre Bord</t>
        </is>
      </c>
      <c r="J161" s="156" t="inlineStr">
        <is>
          <t>Ropa</t>
        </is>
      </c>
      <c r="K161" s="156" t="inlineStr">
        <is>
          <t>Camisas</t>
        </is>
      </c>
      <c r="L161" s="156" t="n"/>
      <c r="M161" s="156" t="n"/>
      <c r="N161" s="156" t="n"/>
      <c r="O161" s="156" t="n"/>
      <c r="P161" s="156" t="n"/>
      <c r="Q161" s="156" t="n"/>
      <c r="R161" s="156" t="n"/>
      <c r="S161" s="156" t="n"/>
      <c r="T161" s="156" t="n"/>
      <c r="U161" s="156" t="n"/>
      <c r="V161" s="156" t="inlineStr">
        <is>
          <t>PZS</t>
        </is>
      </c>
      <c r="W161" s="51" t="inlineStr">
        <is>
          <t>53101602</t>
        </is>
      </c>
      <c r="X161" s="156" t="n"/>
      <c r="Y161" s="54" t="n">
        <v>38</v>
      </c>
      <c r="Z161" s="54" t="n">
        <v>990</v>
      </c>
      <c r="AA161" s="55">
        <f>IF(AND(A161="", B161="", E161=""), "", IF(AB161="", "Válido", IF((LEN(AB161)-LEN(SUBSTITUTE(AB161,"; ","")))/2+1&gt;(LEN(AB161)-LEN(SUBSTITUTE(AB161,"[Aviso]","")))/7, "Con Incidencias", "Válido")))</f>
        <v/>
      </c>
      <c r="AB161" s="56">
        <f>IF(AND(A161="", B161="", E161=""), "", TEXTJOIN("; ", TRUE, IF(OR(TRIM(A161&amp;"")="", ISNUMBER(SEARCH("FALTA", A161))), "UPC faltante/inválido", ""), IF(AND(A161&lt;&gt;"", IFERROR(_xlfn.XMATCH(A161,$A$2:$A$285,0,1)&lt;&gt;_xlfn.XMATCH(A161,$A$2:$A$285,0,-1),FALSE)), "Código de barras duplicado", ""), IF(AND(E161&lt;&gt;"", COUNTIF($E$2:$E$285, E161)&gt;1), "SKU duplicado", ""), IF(OR(J161="", J161=""), "[Aviso] División no capturada ()", IF(ISNA(MATCH(J161, Criterios!$A$123:$A$126, 0)), "División no válida", "")), IF(OR(K161="", K161=""), "[Aviso] Categoría no capturada ()", IF(ISNA(MATCH(K161, Criterios!$A$81:$A$120, 0)), "Categoría no válida", IF(AND(J161&lt;&gt;"", J161&lt;&gt;"", J161&lt;&gt;VLOOKUP(K161, Criterios!$A$81:$B$120, 2, FALSE)), "División no coincide con Categoría", ""))), IF(OR(L161="", L161=""), "[Aviso] Género no capturado ()", IF(ISNA(MATCH(L161, Criterios!$B$123:$B$127, 0)), "Género no válido", "")), IF(OR(N161="", N161=""), "[Aviso] Temporada no capturada ()", IF(ISNA(MATCH(N161, Criterios!$C$123:$C$128, 0)), "Temporada no válida", "")), IF(OR(O161="", O161=""), "[Aviso] Ciclo de vida no capturado ()", IF(ISNA(MATCH(O161, Criterios!$D$123:$D$124, 0)), "Ciclo de vida no válido", ""))))</f>
        <v/>
      </c>
      <c r="AC161" s="56" t="n"/>
      <c r="AD161" s="51" t="n"/>
      <c r="AE161" s="156" t="n"/>
      <c r="AF161" s="51" t="n"/>
      <c r="AG161" s="156" t="inlineStr">
        <is>
          <t>Nuevo – Odoo Universal Unique Brands 01/10/2026</t>
        </is>
      </c>
      <c r="AH161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«03-001-0431-0109» (Completado por regla) · Validador Shopify: WB: precio con IVA no termina en 9</t>
        </is>
      </c>
      <c r="AI161" s="156" t="n"/>
      <c r="AJ161" s="156" t="n"/>
      <c r="AK161" s="155" t="inlineStr">
        <is>
          <t>Odoo: producto 20874 / plantilla 26877</t>
        </is>
      </c>
      <c r="AL161" s="58" t="n"/>
      <c r="AM161" s="58" t="n"/>
      <c r="AN161" s="155" t="inlineStr">
        <is>
          <t>Odoo Universal Unique Brands</t>
        </is>
      </c>
      <c r="AO161" s="59" t="n"/>
      <c r="AP161" s="59" t="n"/>
      <c r="AQ161" s="59" t="n">
        <v>30</v>
      </c>
      <c r="AR161" s="155" t="inlineStr">
        <is>
          <t>Odoo Universal Unique Brands › Bodega 25 › Bodega 25/General: 30</t>
        </is>
      </c>
    </row>
    <row r="162">
      <c r="A162" s="50" t="inlineStr">
        <is>
          <t>199168092085</t>
        </is>
      </c>
      <c r="B162" s="51" t="n"/>
      <c r="C162" s="156" t="inlineStr">
        <is>
          <t>Roper</t>
        </is>
      </c>
      <c r="D162" s="156" t="inlineStr">
        <is>
          <t>03-001-0431-0109</t>
        </is>
      </c>
      <c r="E162" s="156" t="inlineStr">
        <is>
          <t>03-001-0431-0109 BU-M</t>
        </is>
      </c>
      <c r="F162" s="156" t="inlineStr">
        <is>
          <t>M</t>
        </is>
      </c>
      <c r="G162" s="156" t="inlineStr">
        <is>
          <t>M</t>
        </is>
      </c>
      <c r="H162" s="156" t="inlineStr">
        <is>
          <t>Roper</t>
        </is>
      </c>
      <c r="I162" s="156" t="inlineStr">
        <is>
          <t>ROPER Shirt Horizontal Aztec Ombre Bord</t>
        </is>
      </c>
      <c r="J162" s="156" t="inlineStr">
        <is>
          <t>Ropa</t>
        </is>
      </c>
      <c r="K162" s="156" t="inlineStr">
        <is>
          <t>Camisas</t>
        </is>
      </c>
      <c r="L162" s="156" t="n"/>
      <c r="M162" s="156" t="n"/>
      <c r="N162" s="156" t="n"/>
      <c r="O162" s="156" t="n"/>
      <c r="P162" s="156" t="n"/>
      <c r="Q162" s="156" t="n"/>
      <c r="R162" s="156" t="n"/>
      <c r="S162" s="156" t="n"/>
      <c r="T162" s="156" t="n"/>
      <c r="U162" s="156" t="n"/>
      <c r="V162" s="156" t="inlineStr">
        <is>
          <t>PZS</t>
        </is>
      </c>
      <c r="W162" s="51" t="inlineStr">
        <is>
          <t>53101602</t>
        </is>
      </c>
      <c r="X162" s="156" t="n"/>
      <c r="Y162" s="54" t="n">
        <v>38</v>
      </c>
      <c r="Z162" s="54" t="n">
        <v>990</v>
      </c>
      <c r="AA162" s="55">
        <f>IF(AND(A162="", B162="", E162=""), "", IF(AB162="", "Válido", IF((LEN(AB162)-LEN(SUBSTITUTE(AB162,"; ","")))/2+1&gt;(LEN(AB162)-LEN(SUBSTITUTE(AB162,"[Aviso]","")))/7, "Con Incidencias", "Válido")))</f>
        <v/>
      </c>
      <c r="AB162" s="56">
        <f>IF(AND(A162="", B162="", E162=""), "", TEXTJOIN("; ", TRUE, IF(OR(TRIM(A162&amp;"")="", ISNUMBER(SEARCH("FALTA", A162))), "UPC faltante/inválido", ""), IF(AND(A162&lt;&gt;"", IFERROR(_xlfn.XMATCH(A162,$A$2:$A$285,0,1)&lt;&gt;_xlfn.XMATCH(A162,$A$2:$A$285,0,-1),FALSE)), "Código de barras duplicado", ""), IF(AND(E162&lt;&gt;"", COUNTIF($E$2:$E$285, E162)&gt;1), "SKU duplicado", ""), IF(OR(J162="", J162=""), "[Aviso] División no capturada ()", IF(ISNA(MATCH(J162, Criterios!$A$123:$A$126, 0)), "División no válida", "")), IF(OR(K162="", K162=""), "[Aviso] Categoría no capturada ()", IF(ISNA(MATCH(K162, Criterios!$A$81:$A$120, 0)), "Categoría no válida", IF(AND(J162&lt;&gt;"", J162&lt;&gt;"", J162&lt;&gt;VLOOKUP(K162, Criterios!$A$81:$B$120, 2, FALSE)), "División no coincide con Categoría", ""))), IF(OR(L162="", L162=""), "[Aviso] Género no capturado ()", IF(ISNA(MATCH(L162, Criterios!$B$123:$B$127, 0)), "Género no válido", "")), IF(OR(N162="", N162=""), "[Aviso] Temporada no capturada ()", IF(ISNA(MATCH(N162, Criterios!$C$123:$C$128, 0)), "Temporada no válida", "")), IF(OR(O162="", O162=""), "[Aviso] Ciclo de vida no capturado ()", IF(ISNA(MATCH(O162, Criterios!$D$123:$D$124, 0)), "Ciclo de vida no válido", ""))))</f>
        <v/>
      </c>
      <c r="AC162" s="56" t="n"/>
      <c r="AD162" s="51" t="n"/>
      <c r="AE162" s="156" t="n"/>
      <c r="AF162" s="51" t="n"/>
      <c r="AG162" s="156" t="inlineStr">
        <is>
          <t>Nuevo – Odoo Universal Unique Brands 01/10/2026</t>
        </is>
      </c>
      <c r="AH162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«03-001-0431-0109» (Completado por regla) · Validador Shopify: WB: precio con IVA no termina en 9</t>
        </is>
      </c>
      <c r="AI162" s="156" t="n"/>
      <c r="AJ162" s="156" t="n"/>
      <c r="AK162" s="155" t="inlineStr">
        <is>
          <t>Odoo: producto 20873 / plantilla 26876</t>
        </is>
      </c>
      <c r="AL162" s="58" t="n"/>
      <c r="AM162" s="58" t="n"/>
      <c r="AN162" s="155" t="inlineStr">
        <is>
          <t>Odoo Universal Unique Brands</t>
        </is>
      </c>
      <c r="AO162" s="59" t="n"/>
      <c r="AP162" s="59" t="n"/>
      <c r="AQ162" s="59" t="n">
        <v>30</v>
      </c>
      <c r="AR162" s="155" t="inlineStr">
        <is>
          <t>Odoo Universal Unique Brands › Bodega 25 › Bodega 25/General: 30</t>
        </is>
      </c>
    </row>
    <row r="163">
      <c r="A163" s="50" t="inlineStr">
        <is>
          <t>199168092092</t>
        </is>
      </c>
      <c r="B163" s="51" t="n"/>
      <c r="C163" s="156" t="inlineStr">
        <is>
          <t>Roper</t>
        </is>
      </c>
      <c r="D163" s="156" t="inlineStr">
        <is>
          <t>03-001-0431-0109</t>
        </is>
      </c>
      <c r="E163" s="156" t="inlineStr">
        <is>
          <t>03-001-0431-0109 BU-S</t>
        </is>
      </c>
      <c r="F163" s="156" t="inlineStr">
        <is>
          <t>S</t>
        </is>
      </c>
      <c r="G163" s="156" t="inlineStr">
        <is>
          <t>S</t>
        </is>
      </c>
      <c r="H163" s="156" t="inlineStr">
        <is>
          <t>Roper</t>
        </is>
      </c>
      <c r="I163" s="156" t="inlineStr">
        <is>
          <t>ROPER Shirt Horizontal Aztec Ombre Bord</t>
        </is>
      </c>
      <c r="J163" s="156" t="inlineStr">
        <is>
          <t>Ropa</t>
        </is>
      </c>
      <c r="K163" s="156" t="inlineStr">
        <is>
          <t>Camisas</t>
        </is>
      </c>
      <c r="L163" s="156" t="n"/>
      <c r="M163" s="156" t="n"/>
      <c r="N163" s="156" t="n"/>
      <c r="O163" s="156" t="n"/>
      <c r="P163" s="156" t="n"/>
      <c r="Q163" s="156" t="n"/>
      <c r="R163" s="156" t="n"/>
      <c r="S163" s="156" t="n"/>
      <c r="T163" s="156" t="n"/>
      <c r="U163" s="156" t="n"/>
      <c r="V163" s="156" t="inlineStr">
        <is>
          <t>PZS</t>
        </is>
      </c>
      <c r="W163" s="51" t="inlineStr">
        <is>
          <t>53101602</t>
        </is>
      </c>
      <c r="X163" s="156" t="n"/>
      <c r="Y163" s="54" t="n">
        <v>38</v>
      </c>
      <c r="Z163" s="54" t="n">
        <v>990</v>
      </c>
      <c r="AA163" s="55">
        <f>IF(AND(A163="", B163="", E163=""), "", IF(AB163="", "Válido", IF((LEN(AB163)-LEN(SUBSTITUTE(AB163,"; ","")))/2+1&gt;(LEN(AB163)-LEN(SUBSTITUTE(AB163,"[Aviso]","")))/7, "Con Incidencias", "Válido")))</f>
        <v/>
      </c>
      <c r="AB163" s="56">
        <f>IF(AND(A163="", B163="", E163=""), "", TEXTJOIN("; ", TRUE, IF(OR(TRIM(A163&amp;"")="", ISNUMBER(SEARCH("FALTA", A163))), "UPC faltante/inválido", ""), IF(AND(A163&lt;&gt;"", IFERROR(_xlfn.XMATCH(A163,$A$2:$A$285,0,1)&lt;&gt;_xlfn.XMATCH(A163,$A$2:$A$285,0,-1),FALSE)), "Código de barras duplicado", ""), IF(AND(E163&lt;&gt;"", COUNTIF($E$2:$E$285, E163)&gt;1), "SKU duplicado", ""), IF(OR(J163="", J163=""), "[Aviso] División no capturada ()", IF(ISNA(MATCH(J163, Criterios!$A$123:$A$126, 0)), "División no válida", "")), IF(OR(K163="", K163=""), "[Aviso] Categoría no capturada ()", IF(ISNA(MATCH(K163, Criterios!$A$81:$A$120, 0)), "Categoría no válida", IF(AND(J163&lt;&gt;"", J163&lt;&gt;"", J163&lt;&gt;VLOOKUP(K163, Criterios!$A$81:$B$120, 2, FALSE)), "División no coincide con Categoría", ""))), IF(OR(L163="", L163=""), "[Aviso] Género no capturado ()", IF(ISNA(MATCH(L163, Criterios!$B$123:$B$127, 0)), "Género no válido", "")), IF(OR(N163="", N163=""), "[Aviso] Temporada no capturada ()", IF(ISNA(MATCH(N163, Criterios!$C$123:$C$128, 0)), "Temporada no válida", "")), IF(OR(O163="", O163=""), "[Aviso] Ciclo de vida no capturado ()", IF(ISNA(MATCH(O163, Criterios!$D$123:$D$124, 0)), "Ciclo de vida no válido", ""))))</f>
        <v/>
      </c>
      <c r="AC163" s="56" t="n"/>
      <c r="AD163" s="51" t="n"/>
      <c r="AE163" s="156" t="n"/>
      <c r="AF163" s="51" t="n"/>
      <c r="AG163" s="156" t="inlineStr">
        <is>
          <t>Nuevo – Odoo Universal Unique Brands 01/10/2026</t>
        </is>
      </c>
      <c r="AH163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«03-001-0431-0109» (Completado por regla) · Validador Shopify: WB: precio con IVA no termina en 9</t>
        </is>
      </c>
      <c r="AI163" s="156" t="n"/>
      <c r="AJ163" s="156" t="n"/>
      <c r="AK163" s="155" t="inlineStr">
        <is>
          <t>Odoo: producto 20872 / plantilla 26875</t>
        </is>
      </c>
      <c r="AL163" s="58" t="n"/>
      <c r="AM163" s="58" t="n"/>
      <c r="AN163" s="155" t="inlineStr">
        <is>
          <t>Odoo Universal Unique Brands</t>
        </is>
      </c>
      <c r="AO163" s="59" t="n"/>
      <c r="AP163" s="59" t="n"/>
      <c r="AQ163" s="59" t="n">
        <v>30</v>
      </c>
      <c r="AR163" s="155" t="inlineStr">
        <is>
          <t>Odoo Universal Unique Brands › Bodega 25 › Bodega 25/General: 30</t>
        </is>
      </c>
    </row>
    <row r="164">
      <c r="A164" s="50" t="inlineStr">
        <is>
          <t>199168092108</t>
        </is>
      </c>
      <c r="B164" s="51" t="n"/>
      <c r="C164" s="156" t="inlineStr">
        <is>
          <t>Roper</t>
        </is>
      </c>
      <c r="D164" s="156" t="inlineStr">
        <is>
          <t>03-001-0431-0109</t>
        </is>
      </c>
      <c r="E164" s="156" t="inlineStr">
        <is>
          <t>03-001-0431-0109 BU-XL</t>
        </is>
      </c>
      <c r="F164" s="156" t="inlineStr">
        <is>
          <t>XL</t>
        </is>
      </c>
      <c r="G164" s="156" t="inlineStr">
        <is>
          <t>XL</t>
        </is>
      </c>
      <c r="H164" s="156" t="inlineStr">
        <is>
          <t>Roper</t>
        </is>
      </c>
      <c r="I164" s="156" t="inlineStr">
        <is>
          <t>ROPER Shirt Horizontal Aztec Ombre Bord</t>
        </is>
      </c>
      <c r="J164" s="156" t="inlineStr">
        <is>
          <t>Ropa</t>
        </is>
      </c>
      <c r="K164" s="156" t="inlineStr">
        <is>
          <t>Camisas</t>
        </is>
      </c>
      <c r="L164" s="156" t="n"/>
      <c r="M164" s="156" t="n"/>
      <c r="N164" s="156" t="n"/>
      <c r="O164" s="156" t="n"/>
      <c r="P164" s="156" t="n"/>
      <c r="Q164" s="156" t="n"/>
      <c r="R164" s="156" t="n"/>
      <c r="S164" s="156" t="n"/>
      <c r="T164" s="156" t="n"/>
      <c r="U164" s="156" t="n"/>
      <c r="V164" s="156" t="inlineStr">
        <is>
          <t>PZS</t>
        </is>
      </c>
      <c r="W164" s="51" t="inlineStr">
        <is>
          <t>53101602</t>
        </is>
      </c>
      <c r="X164" s="156" t="n"/>
      <c r="Y164" s="54" t="n">
        <v>38</v>
      </c>
      <c r="Z164" s="54" t="n">
        <v>990</v>
      </c>
      <c r="AA164" s="55">
        <f>IF(AND(A164="", B164="", E164=""), "", IF(AB164="", "Válido", IF((LEN(AB164)-LEN(SUBSTITUTE(AB164,"; ","")))/2+1&gt;(LEN(AB164)-LEN(SUBSTITUTE(AB164,"[Aviso]","")))/7, "Con Incidencias", "Válido")))</f>
        <v/>
      </c>
      <c r="AB164" s="56">
        <f>IF(AND(A164="", B164="", E164=""), "", TEXTJOIN("; ", TRUE, IF(OR(TRIM(A164&amp;"")="", ISNUMBER(SEARCH("FALTA", A164))), "UPC faltante/inválido", ""), IF(AND(A164&lt;&gt;"", IFERROR(_xlfn.XMATCH(A164,$A$2:$A$285,0,1)&lt;&gt;_xlfn.XMATCH(A164,$A$2:$A$285,0,-1),FALSE)), "Código de barras duplicado", ""), IF(AND(E164&lt;&gt;"", COUNTIF($E$2:$E$285, E164)&gt;1), "SKU duplicado", ""), IF(OR(J164="", J164=""), "[Aviso] División no capturada ()", IF(ISNA(MATCH(J164, Criterios!$A$123:$A$126, 0)), "División no válida", "")), IF(OR(K164="", K164=""), "[Aviso] Categoría no capturada ()", IF(ISNA(MATCH(K164, Criterios!$A$81:$A$120, 0)), "Categoría no válida", IF(AND(J164&lt;&gt;"", J164&lt;&gt;"", J164&lt;&gt;VLOOKUP(K164, Criterios!$A$81:$B$120, 2, FALSE)), "División no coincide con Categoría", ""))), IF(OR(L164="", L164=""), "[Aviso] Género no capturado ()", IF(ISNA(MATCH(L164, Criterios!$B$123:$B$127, 0)), "Género no válido", "")), IF(OR(N164="", N164=""), "[Aviso] Temporada no capturada ()", IF(ISNA(MATCH(N164, Criterios!$C$123:$C$128, 0)), "Temporada no válida", "")), IF(OR(O164="", O164=""), "[Aviso] Ciclo de vida no capturado ()", IF(ISNA(MATCH(O164, Criterios!$D$123:$D$124, 0)), "Ciclo de vida no válido", ""))))</f>
        <v/>
      </c>
      <c r="AC164" s="56" t="n"/>
      <c r="AD164" s="51" t="n"/>
      <c r="AE164" s="156" t="n"/>
      <c r="AF164" s="51" t="n"/>
      <c r="AG164" s="156" t="inlineStr">
        <is>
          <t>Nuevo – Odoo Universal Unique Brands 01/10/2026</t>
        </is>
      </c>
      <c r="AH164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«03-001-0431-0109» (Completado por regla) · Validador Shopify: WB: precio con IVA no termina en 9</t>
        </is>
      </c>
      <c r="AI164" s="156" t="n"/>
      <c r="AJ164" s="156" t="n"/>
      <c r="AK164" s="155" t="inlineStr">
        <is>
          <t>Odoo: producto 20875 / plantilla 26878</t>
        </is>
      </c>
      <c r="AL164" s="58" t="n"/>
      <c r="AM164" s="58" t="n"/>
      <c r="AN164" s="155" t="inlineStr">
        <is>
          <t>Odoo Universal Unique Brands</t>
        </is>
      </c>
      <c r="AO164" s="59" t="n"/>
      <c r="AP164" s="59" t="n"/>
      <c r="AQ164" s="59" t="n">
        <v>20</v>
      </c>
      <c r="AR164" s="155" t="inlineStr">
        <is>
          <t>Odoo Universal Unique Brands › Bodega 25 › Bodega 25/General: 20</t>
        </is>
      </c>
    </row>
    <row r="165">
      <c r="A165" s="50" t="inlineStr">
        <is>
          <t>199168049256</t>
        </is>
      </c>
      <c r="B165" s="51" t="n"/>
      <c r="C165" s="156" t="inlineStr">
        <is>
          <t>Roper</t>
        </is>
      </c>
      <c r="D165" s="156" t="inlineStr">
        <is>
          <t>03-001-0431-0702</t>
        </is>
      </c>
      <c r="E165" s="156" t="inlineStr">
        <is>
          <t>03-001-0431-0702 BU-2XL</t>
        </is>
      </c>
      <c r="F165" s="156" t="inlineStr">
        <is>
          <t>XXL</t>
        </is>
      </c>
      <c r="G165" s="156" t="inlineStr">
        <is>
          <t>XXL</t>
        </is>
      </c>
      <c r="H165" s="156" t="inlineStr">
        <is>
          <t>Roper</t>
        </is>
      </c>
      <c r="I165" s="156" t="inlineStr">
        <is>
          <t>ROPER Shirt Ombre Border Print</t>
        </is>
      </c>
      <c r="J165" s="156" t="inlineStr">
        <is>
          <t>Ropa</t>
        </is>
      </c>
      <c r="K165" s="156" t="inlineStr">
        <is>
          <t>Camisas</t>
        </is>
      </c>
      <c r="L165" s="156" t="n"/>
      <c r="M165" s="156" t="n"/>
      <c r="N165" s="156" t="n"/>
      <c r="O165" s="156" t="n"/>
      <c r="P165" s="156" t="n"/>
      <c r="Q165" s="156" t="n"/>
      <c r="R165" s="156" t="n"/>
      <c r="S165" s="156" t="n"/>
      <c r="T165" s="156" t="n"/>
      <c r="U165" s="156" t="n"/>
      <c r="V165" s="156" t="inlineStr">
        <is>
          <t>PZS</t>
        </is>
      </c>
      <c r="W165" s="51" t="inlineStr">
        <is>
          <t>53101602</t>
        </is>
      </c>
      <c r="X165" s="156" t="n"/>
      <c r="Y165" s="54" t="n">
        <v>32.09</v>
      </c>
      <c r="Z165" s="54" t="n">
        <v>859</v>
      </c>
      <c r="AA165" s="55">
        <f>IF(AND(A165="", B165="", E165=""), "", IF(AB165="", "Válido", IF((LEN(AB165)-LEN(SUBSTITUTE(AB165,"; ","")))/2+1&gt;(LEN(AB165)-LEN(SUBSTITUTE(AB165,"[Aviso]","")))/7, "Con Incidencias", "Válido")))</f>
        <v/>
      </c>
      <c r="AB165" s="56">
        <f>IF(AND(A165="", B165="", E165=""), "", TEXTJOIN("; ", TRUE, IF(OR(TRIM(A165&amp;"")="", ISNUMBER(SEARCH("FALTA", A165))), "UPC faltante/inválido", ""), IF(AND(A165&lt;&gt;"", IFERROR(_xlfn.XMATCH(A165,$A$2:$A$285,0,1)&lt;&gt;_xlfn.XMATCH(A165,$A$2:$A$285,0,-1),FALSE)), "Código de barras duplicado", ""), IF(AND(E165&lt;&gt;"", COUNTIF($E$2:$E$285, E165)&gt;1), "SKU duplicado", ""), IF(OR(J165="", J165=""), "[Aviso] División no capturada ()", IF(ISNA(MATCH(J165, Criterios!$A$123:$A$126, 0)), "División no válida", "")), IF(OR(K165="", K165=""), "[Aviso] Categoría no capturada ()", IF(ISNA(MATCH(K165, Criterios!$A$81:$A$120, 0)), "Categoría no válida", IF(AND(J165&lt;&gt;"", J165&lt;&gt;"", J165&lt;&gt;VLOOKUP(K165, Criterios!$A$81:$B$120, 2, FALSE)), "División no coincide con Categoría", ""))), IF(OR(L165="", L165=""), "[Aviso] Género no capturado ()", IF(ISNA(MATCH(L165, Criterios!$B$123:$B$127, 0)), "Género no válido", "")), IF(OR(N165="", N165=""), "[Aviso] Temporada no capturada ()", IF(ISNA(MATCH(N165, Criterios!$C$123:$C$128, 0)), "Temporada no válida", "")), IF(OR(O165="", O165=""), "[Aviso] Ciclo de vida no capturado ()", IF(ISNA(MATCH(O165, Criterios!$D$123:$D$124, 0)), "Ciclo de vida no válido", ""))))</f>
        <v/>
      </c>
      <c r="AC165" s="56" t="n"/>
      <c r="AD165" s="51" t="n"/>
      <c r="AE165" s="156" t="n"/>
      <c r="AF165" s="51" t="n"/>
      <c r="AG165" s="156" t="inlineStr">
        <is>
          <t>Nuevo – Odoo Universal Unique Brands 01/10/2026</t>
        </is>
      </c>
      <c r="AH165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«03-001-0431-0702» (Completado por regla) · Validador Shopify: WB: precio con IVA no termina en 9</t>
        </is>
      </c>
      <c r="AI165" s="156" t="n"/>
      <c r="AJ165" s="156" t="n"/>
      <c r="AK165" s="155" t="inlineStr">
        <is>
          <t>Odoo: producto 21108 / plantilla 27111</t>
        </is>
      </c>
      <c r="AL165" s="58" t="n"/>
      <c r="AM165" s="58" t="n"/>
      <c r="AN165" s="155" t="inlineStr">
        <is>
          <t>Odoo Universal Unique Brands</t>
        </is>
      </c>
      <c r="AO165" s="59" t="n"/>
      <c r="AP165" s="59" t="n"/>
      <c r="AQ165" s="59" t="n">
        <v>3</v>
      </c>
      <c r="AR165" s="155" t="inlineStr">
        <is>
          <t>Odoo Universal Unique Brands › Bodega 25 › Bodega 25/General: 3</t>
        </is>
      </c>
    </row>
    <row r="166">
      <c r="A166" s="50" t="inlineStr">
        <is>
          <t>199168049218</t>
        </is>
      </c>
      <c r="B166" s="51" t="n"/>
      <c r="C166" s="156" t="inlineStr">
        <is>
          <t>Roper</t>
        </is>
      </c>
      <c r="D166" s="156" t="inlineStr">
        <is>
          <t>03-001-0431-0702</t>
        </is>
      </c>
      <c r="E166" s="156" t="inlineStr">
        <is>
          <t>03-001-0431-0702 BU-L</t>
        </is>
      </c>
      <c r="F166" s="156" t="inlineStr">
        <is>
          <t>L</t>
        </is>
      </c>
      <c r="G166" s="156" t="inlineStr">
        <is>
          <t>L</t>
        </is>
      </c>
      <c r="H166" s="156" t="inlineStr">
        <is>
          <t>Roper</t>
        </is>
      </c>
      <c r="I166" s="156" t="inlineStr">
        <is>
          <t>ROPER Shirt Ombre Border Print</t>
        </is>
      </c>
      <c r="J166" s="156" t="inlineStr">
        <is>
          <t>Ropa</t>
        </is>
      </c>
      <c r="K166" s="156" t="inlineStr">
        <is>
          <t>Camisas</t>
        </is>
      </c>
      <c r="L166" s="156" t="n"/>
      <c r="M166" s="156" t="n"/>
      <c r="N166" s="156" t="n"/>
      <c r="O166" s="156" t="n"/>
      <c r="P166" s="156" t="n"/>
      <c r="Q166" s="156" t="n"/>
      <c r="R166" s="156" t="n"/>
      <c r="S166" s="156" t="n"/>
      <c r="T166" s="156" t="n"/>
      <c r="U166" s="156" t="n"/>
      <c r="V166" s="156" t="inlineStr">
        <is>
          <t>PZS</t>
        </is>
      </c>
      <c r="W166" s="51" t="inlineStr">
        <is>
          <t>53101602</t>
        </is>
      </c>
      <c r="X166" s="156" t="n"/>
      <c r="Y166" s="54" t="n">
        <v>32.09</v>
      </c>
      <c r="Z166" s="54" t="n">
        <v>859</v>
      </c>
      <c r="AA166" s="55">
        <f>IF(AND(A166="", B166="", E166=""), "", IF(AB166="", "Válido", IF((LEN(AB166)-LEN(SUBSTITUTE(AB166,"; ","")))/2+1&gt;(LEN(AB166)-LEN(SUBSTITUTE(AB166,"[Aviso]","")))/7, "Con Incidencias", "Válido")))</f>
        <v/>
      </c>
      <c r="AB166" s="56">
        <f>IF(AND(A166="", B166="", E166=""), "", TEXTJOIN("; ", TRUE, IF(OR(TRIM(A166&amp;"")="", ISNUMBER(SEARCH("FALTA", A166))), "UPC faltante/inválido", ""), IF(AND(A166&lt;&gt;"", IFERROR(_xlfn.XMATCH(A166,$A$2:$A$285,0,1)&lt;&gt;_xlfn.XMATCH(A166,$A$2:$A$285,0,-1),FALSE)), "Código de barras duplicado", ""), IF(AND(E166&lt;&gt;"", COUNTIF($E$2:$E$285, E166)&gt;1), "SKU duplicado", ""), IF(OR(J166="", J166=""), "[Aviso] División no capturada ()", IF(ISNA(MATCH(J166, Criterios!$A$123:$A$126, 0)), "División no válida", "")), IF(OR(K166="", K166=""), "[Aviso] Categoría no capturada ()", IF(ISNA(MATCH(K166, Criterios!$A$81:$A$120, 0)), "Categoría no válida", IF(AND(J166&lt;&gt;"", J166&lt;&gt;"", J166&lt;&gt;VLOOKUP(K166, Criterios!$A$81:$B$120, 2, FALSE)), "División no coincide con Categoría", ""))), IF(OR(L166="", L166=""), "[Aviso] Género no capturado ()", IF(ISNA(MATCH(L166, Criterios!$B$123:$B$127, 0)), "Género no válido", "")), IF(OR(N166="", N166=""), "[Aviso] Temporada no capturada ()", IF(ISNA(MATCH(N166, Criterios!$C$123:$C$128, 0)), "Temporada no válida", "")), IF(OR(O166="", O166=""), "[Aviso] Ciclo de vida no capturado ()", IF(ISNA(MATCH(O166, Criterios!$D$123:$D$124, 0)), "Ciclo de vida no válido", ""))))</f>
        <v/>
      </c>
      <c r="AC166" s="56" t="n"/>
      <c r="AD166" s="51" t="n"/>
      <c r="AE166" s="156" t="n"/>
      <c r="AF166" s="51" t="n"/>
      <c r="AG166" s="156" t="inlineStr">
        <is>
          <t>Nuevo – Odoo Universal Unique Brands 01/10/2026</t>
        </is>
      </c>
      <c r="AH166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«03-001-0431-0702» (Completado por regla) · Validador Shopify: WB: precio con IVA no termina en 9</t>
        </is>
      </c>
      <c r="AI166" s="156" t="n"/>
      <c r="AJ166" s="156" t="n"/>
      <c r="AK166" s="155" t="inlineStr">
        <is>
          <t>Odoo: producto 21106 / plantilla 27109</t>
        </is>
      </c>
      <c r="AL166" s="58" t="n"/>
      <c r="AM166" s="58" t="n"/>
      <c r="AN166" s="155" t="inlineStr">
        <is>
          <t>Odoo Universal Unique Brands</t>
        </is>
      </c>
      <c r="AO166" s="59" t="n"/>
      <c r="AP166" s="59" t="n"/>
      <c r="AQ166" s="59" t="n">
        <v>10</v>
      </c>
      <c r="AR166" s="155" t="inlineStr">
        <is>
          <t>Odoo Universal Unique Brands › Bodega 25 › Bodega 25/General: 10</t>
        </is>
      </c>
    </row>
    <row r="167">
      <c r="A167" s="50" t="inlineStr">
        <is>
          <t>199168049225</t>
        </is>
      </c>
      <c r="B167" s="51" t="n"/>
      <c r="C167" s="156" t="inlineStr">
        <is>
          <t>Roper</t>
        </is>
      </c>
      <c r="D167" s="156" t="inlineStr">
        <is>
          <t>03-001-0431-0702</t>
        </is>
      </c>
      <c r="E167" s="156" t="inlineStr">
        <is>
          <t>03-001-0431-0702 BU-M</t>
        </is>
      </c>
      <c r="F167" s="156" t="inlineStr">
        <is>
          <t>M</t>
        </is>
      </c>
      <c r="G167" s="156" t="inlineStr">
        <is>
          <t>M</t>
        </is>
      </c>
      <c r="H167" s="156" t="inlineStr">
        <is>
          <t>Roper</t>
        </is>
      </c>
      <c r="I167" s="156" t="inlineStr">
        <is>
          <t>ROPER Shirt Ombre Border Print</t>
        </is>
      </c>
      <c r="J167" s="156" t="inlineStr">
        <is>
          <t>Ropa</t>
        </is>
      </c>
      <c r="K167" s="156" t="inlineStr">
        <is>
          <t>Camisas</t>
        </is>
      </c>
      <c r="L167" s="156" t="n"/>
      <c r="M167" s="156" t="n"/>
      <c r="N167" s="156" t="n"/>
      <c r="O167" s="156" t="n"/>
      <c r="P167" s="156" t="n"/>
      <c r="Q167" s="156" t="n"/>
      <c r="R167" s="156" t="n"/>
      <c r="S167" s="156" t="n"/>
      <c r="T167" s="156" t="n"/>
      <c r="U167" s="156" t="n"/>
      <c r="V167" s="156" t="inlineStr">
        <is>
          <t>PZS</t>
        </is>
      </c>
      <c r="W167" s="51" t="inlineStr">
        <is>
          <t>53101602</t>
        </is>
      </c>
      <c r="X167" s="156" t="n"/>
      <c r="Y167" s="54" t="n">
        <v>32.09</v>
      </c>
      <c r="Z167" s="54" t="n">
        <v>859</v>
      </c>
      <c r="AA167" s="55">
        <f>IF(AND(A167="", B167="", E167=""), "", IF(AB167="", "Válido", IF((LEN(AB167)-LEN(SUBSTITUTE(AB167,"; ","")))/2+1&gt;(LEN(AB167)-LEN(SUBSTITUTE(AB167,"[Aviso]","")))/7, "Con Incidencias", "Válido")))</f>
        <v/>
      </c>
      <c r="AB167" s="56">
        <f>IF(AND(A167="", B167="", E167=""), "", TEXTJOIN("; ", TRUE, IF(OR(TRIM(A167&amp;"")="", ISNUMBER(SEARCH("FALTA", A167))), "UPC faltante/inválido", ""), IF(AND(A167&lt;&gt;"", IFERROR(_xlfn.XMATCH(A167,$A$2:$A$285,0,1)&lt;&gt;_xlfn.XMATCH(A167,$A$2:$A$285,0,-1),FALSE)), "Código de barras duplicado", ""), IF(AND(E167&lt;&gt;"", COUNTIF($E$2:$E$285, E167)&gt;1), "SKU duplicado", ""), IF(OR(J167="", J167=""), "[Aviso] División no capturada ()", IF(ISNA(MATCH(J167, Criterios!$A$123:$A$126, 0)), "División no válida", "")), IF(OR(K167="", K167=""), "[Aviso] Categoría no capturada ()", IF(ISNA(MATCH(K167, Criterios!$A$81:$A$120, 0)), "Categoría no válida", IF(AND(J167&lt;&gt;"", J167&lt;&gt;"", J167&lt;&gt;VLOOKUP(K167, Criterios!$A$81:$B$120, 2, FALSE)), "División no coincide con Categoría", ""))), IF(OR(L167="", L167=""), "[Aviso] Género no capturado ()", IF(ISNA(MATCH(L167, Criterios!$B$123:$B$127, 0)), "Género no válido", "")), IF(OR(N167="", N167=""), "[Aviso] Temporada no capturada ()", IF(ISNA(MATCH(N167, Criterios!$C$123:$C$128, 0)), "Temporada no válida", "")), IF(OR(O167="", O167=""), "[Aviso] Ciclo de vida no capturado ()", IF(ISNA(MATCH(O167, Criterios!$D$123:$D$124, 0)), "Ciclo de vida no válido", ""))))</f>
        <v/>
      </c>
      <c r="AC167" s="56" t="n"/>
      <c r="AD167" s="51" t="n"/>
      <c r="AE167" s="156" t="n"/>
      <c r="AF167" s="51" t="n"/>
      <c r="AG167" s="156" t="inlineStr">
        <is>
          <t>Nuevo – Odoo Universal Unique Brands 01/10/2026</t>
        </is>
      </c>
      <c r="AH167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«03-001-0431-0702» (Completado por regla) · Validador Shopify: WB: precio con IVA no termina en 9</t>
        </is>
      </c>
      <c r="AI167" s="156" t="n"/>
      <c r="AJ167" s="156" t="n"/>
      <c r="AK167" s="155" t="inlineStr">
        <is>
          <t>Odoo: producto 21105 / plantilla 27108</t>
        </is>
      </c>
      <c r="AL167" s="58" t="n"/>
      <c r="AM167" s="58" t="n"/>
      <c r="AN167" s="155" t="inlineStr">
        <is>
          <t>Odoo Universal Unique Brands</t>
        </is>
      </c>
      <c r="AO167" s="59" t="n"/>
      <c r="AP167" s="59" t="n"/>
      <c r="AQ167" s="59" t="n">
        <v>10</v>
      </c>
      <c r="AR167" s="155" t="inlineStr">
        <is>
          <t>Odoo Universal Unique Brands › Bodega 25 › Bodega 25/General: 10</t>
        </is>
      </c>
    </row>
    <row r="168">
      <c r="A168" s="50" t="inlineStr">
        <is>
          <t>199168049232</t>
        </is>
      </c>
      <c r="B168" s="51" t="n"/>
      <c r="C168" s="156" t="inlineStr">
        <is>
          <t>Roper</t>
        </is>
      </c>
      <c r="D168" s="156" t="inlineStr">
        <is>
          <t>03-001-0431-0702</t>
        </is>
      </c>
      <c r="E168" s="156" t="inlineStr">
        <is>
          <t>03-001-0431-0702 BU-S</t>
        </is>
      </c>
      <c r="F168" s="156" t="inlineStr">
        <is>
          <t>S</t>
        </is>
      </c>
      <c r="G168" s="156" t="inlineStr">
        <is>
          <t>S</t>
        </is>
      </c>
      <c r="H168" s="156" t="inlineStr">
        <is>
          <t>Roper</t>
        </is>
      </c>
      <c r="I168" s="156" t="inlineStr">
        <is>
          <t>ROPER Shirt Ombre Border Print</t>
        </is>
      </c>
      <c r="J168" s="156" t="inlineStr">
        <is>
          <t>Ropa</t>
        </is>
      </c>
      <c r="K168" s="156" t="inlineStr">
        <is>
          <t>Camisas</t>
        </is>
      </c>
      <c r="L168" s="156" t="n"/>
      <c r="M168" s="156" t="n"/>
      <c r="N168" s="156" t="n"/>
      <c r="O168" s="156" t="n"/>
      <c r="P168" s="156" t="n"/>
      <c r="Q168" s="156" t="n"/>
      <c r="R168" s="156" t="n"/>
      <c r="S168" s="156" t="n"/>
      <c r="T168" s="156" t="n"/>
      <c r="U168" s="156" t="n"/>
      <c r="V168" s="156" t="inlineStr">
        <is>
          <t>PZS</t>
        </is>
      </c>
      <c r="W168" s="51" t="inlineStr">
        <is>
          <t>53101602</t>
        </is>
      </c>
      <c r="X168" s="156" t="n"/>
      <c r="Y168" s="54" t="n">
        <v>32.09</v>
      </c>
      <c r="Z168" s="54" t="n">
        <v>859</v>
      </c>
      <c r="AA168" s="55">
        <f>IF(AND(A168="", B168="", E168=""), "", IF(AB168="", "Válido", IF((LEN(AB168)-LEN(SUBSTITUTE(AB168,"; ","")))/2+1&gt;(LEN(AB168)-LEN(SUBSTITUTE(AB168,"[Aviso]","")))/7, "Con Incidencias", "Válido")))</f>
        <v/>
      </c>
      <c r="AB168" s="56">
        <f>IF(AND(A168="", B168="", E168=""), "", TEXTJOIN("; ", TRUE, IF(OR(TRIM(A168&amp;"")="", ISNUMBER(SEARCH("FALTA", A168))), "UPC faltante/inválido", ""), IF(AND(A168&lt;&gt;"", IFERROR(_xlfn.XMATCH(A168,$A$2:$A$285,0,1)&lt;&gt;_xlfn.XMATCH(A168,$A$2:$A$285,0,-1),FALSE)), "Código de barras duplicado", ""), IF(AND(E168&lt;&gt;"", COUNTIF($E$2:$E$285, E168)&gt;1), "SKU duplicado", ""), IF(OR(J168="", J168=""), "[Aviso] División no capturada ()", IF(ISNA(MATCH(J168, Criterios!$A$123:$A$126, 0)), "División no válida", "")), IF(OR(K168="", K168=""), "[Aviso] Categoría no capturada ()", IF(ISNA(MATCH(K168, Criterios!$A$81:$A$120, 0)), "Categoría no válida", IF(AND(J168&lt;&gt;"", J168&lt;&gt;"", J168&lt;&gt;VLOOKUP(K168, Criterios!$A$81:$B$120, 2, FALSE)), "División no coincide con Categoría", ""))), IF(OR(L168="", L168=""), "[Aviso] Género no capturado ()", IF(ISNA(MATCH(L168, Criterios!$B$123:$B$127, 0)), "Género no válido", "")), IF(OR(N168="", N168=""), "[Aviso] Temporada no capturada ()", IF(ISNA(MATCH(N168, Criterios!$C$123:$C$128, 0)), "Temporada no válida", "")), IF(OR(O168="", O168=""), "[Aviso] Ciclo de vida no capturado ()", IF(ISNA(MATCH(O168, Criterios!$D$123:$D$124, 0)), "Ciclo de vida no válido", ""))))</f>
        <v/>
      </c>
      <c r="AC168" s="56" t="n"/>
      <c r="AD168" s="51" t="n"/>
      <c r="AE168" s="156" t="n"/>
      <c r="AF168" s="51" t="n"/>
      <c r="AG168" s="156" t="inlineStr">
        <is>
          <t>Nuevo – Odoo Universal Unique Brands 01/10/2026</t>
        </is>
      </c>
      <c r="AH168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«03-001-0431-0702» (Completado por regla) · Validador Shopify: WB: precio con IVA no termina en 9</t>
        </is>
      </c>
      <c r="AI168" s="156" t="n"/>
      <c r="AJ168" s="156" t="n"/>
      <c r="AK168" s="155" t="inlineStr">
        <is>
          <t>Odoo: producto 21104 / plantilla 27107</t>
        </is>
      </c>
      <c r="AL168" s="58" t="n"/>
      <c r="AM168" s="58" t="n"/>
      <c r="AN168" s="155" t="inlineStr">
        <is>
          <t>Odoo Universal Unique Brands</t>
        </is>
      </c>
      <c r="AO168" s="59" t="n"/>
      <c r="AP168" s="59" t="n"/>
      <c r="AQ168" s="59" t="n">
        <v>10</v>
      </c>
      <c r="AR168" s="155" t="inlineStr">
        <is>
          <t>Odoo Universal Unique Brands › Bodega 25 › Bodega 25/General: 10</t>
        </is>
      </c>
    </row>
    <row r="169">
      <c r="A169" s="50" t="inlineStr">
        <is>
          <t>199168049249</t>
        </is>
      </c>
      <c r="B169" s="51" t="n"/>
      <c r="C169" s="156" t="inlineStr">
        <is>
          <t>Roper</t>
        </is>
      </c>
      <c r="D169" s="156" t="inlineStr">
        <is>
          <t>03-001-0431-0702</t>
        </is>
      </c>
      <c r="E169" s="156" t="inlineStr">
        <is>
          <t>03-001-0431-0702 BU-XL</t>
        </is>
      </c>
      <c r="F169" s="156" t="inlineStr">
        <is>
          <t>XL</t>
        </is>
      </c>
      <c r="G169" s="156" t="inlineStr">
        <is>
          <t>XL</t>
        </is>
      </c>
      <c r="H169" s="156" t="inlineStr">
        <is>
          <t>Roper</t>
        </is>
      </c>
      <c r="I169" s="156" t="inlineStr">
        <is>
          <t>ROPER Shirt Ombre Border Print</t>
        </is>
      </c>
      <c r="J169" s="156" t="inlineStr">
        <is>
          <t>Ropa</t>
        </is>
      </c>
      <c r="K169" s="156" t="inlineStr">
        <is>
          <t>Camisas</t>
        </is>
      </c>
      <c r="L169" s="156" t="n"/>
      <c r="M169" s="156" t="n"/>
      <c r="N169" s="156" t="n"/>
      <c r="O169" s="156" t="n"/>
      <c r="P169" s="156" t="n"/>
      <c r="Q169" s="156" t="n"/>
      <c r="R169" s="156" t="n"/>
      <c r="S169" s="156" t="n"/>
      <c r="T169" s="156" t="n"/>
      <c r="U169" s="156" t="n"/>
      <c r="V169" s="156" t="inlineStr">
        <is>
          <t>PZS</t>
        </is>
      </c>
      <c r="W169" s="51" t="inlineStr">
        <is>
          <t>53101602</t>
        </is>
      </c>
      <c r="X169" s="156" t="n"/>
      <c r="Y169" s="54" t="n">
        <v>32.09</v>
      </c>
      <c r="Z169" s="54" t="n">
        <v>859</v>
      </c>
      <c r="AA169" s="55">
        <f>IF(AND(A169="", B169="", E169=""), "", IF(AB169="", "Válido", IF((LEN(AB169)-LEN(SUBSTITUTE(AB169,"; ","")))/2+1&gt;(LEN(AB169)-LEN(SUBSTITUTE(AB169,"[Aviso]","")))/7, "Con Incidencias", "Válido")))</f>
        <v/>
      </c>
      <c r="AB169" s="56">
        <f>IF(AND(A169="", B169="", E169=""), "", TEXTJOIN("; ", TRUE, IF(OR(TRIM(A169&amp;"")="", ISNUMBER(SEARCH("FALTA", A169))), "UPC faltante/inválido", ""), IF(AND(A169&lt;&gt;"", IFERROR(_xlfn.XMATCH(A169,$A$2:$A$285,0,1)&lt;&gt;_xlfn.XMATCH(A169,$A$2:$A$285,0,-1),FALSE)), "Código de barras duplicado", ""), IF(AND(E169&lt;&gt;"", COUNTIF($E$2:$E$285, E169)&gt;1), "SKU duplicado", ""), IF(OR(J169="", J169=""), "[Aviso] División no capturada ()", IF(ISNA(MATCH(J169, Criterios!$A$123:$A$126, 0)), "División no válida", "")), IF(OR(K169="", K169=""), "[Aviso] Categoría no capturada ()", IF(ISNA(MATCH(K169, Criterios!$A$81:$A$120, 0)), "Categoría no válida", IF(AND(J169&lt;&gt;"", J169&lt;&gt;"", J169&lt;&gt;VLOOKUP(K169, Criterios!$A$81:$B$120, 2, FALSE)), "División no coincide con Categoría", ""))), IF(OR(L169="", L169=""), "[Aviso] Género no capturado ()", IF(ISNA(MATCH(L169, Criterios!$B$123:$B$127, 0)), "Género no válido", "")), IF(OR(N169="", N169=""), "[Aviso] Temporada no capturada ()", IF(ISNA(MATCH(N169, Criterios!$C$123:$C$128, 0)), "Temporada no válida", "")), IF(OR(O169="", O169=""), "[Aviso] Ciclo de vida no capturado ()", IF(ISNA(MATCH(O169, Criterios!$D$123:$D$124, 0)), "Ciclo de vida no válido", ""))))</f>
        <v/>
      </c>
      <c r="AC169" s="56" t="n"/>
      <c r="AD169" s="51" t="n"/>
      <c r="AE169" s="156" t="n"/>
      <c r="AF169" s="51" t="n"/>
      <c r="AG169" s="156" t="inlineStr">
        <is>
          <t>Nuevo – Odoo Universal Unique Brands 01/10/2026</t>
        </is>
      </c>
      <c r="AH169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«03-001-0431-0702» (Completado por regla) · Validador Shopify: WB: precio con IVA no termina en 9</t>
        </is>
      </c>
      <c r="AI169" s="156" t="n"/>
      <c r="AJ169" s="156" t="n"/>
      <c r="AK169" s="155" t="inlineStr">
        <is>
          <t>Odoo: producto 21107 / plantilla 27110</t>
        </is>
      </c>
      <c r="AL169" s="58" t="n"/>
      <c r="AM169" s="58" t="n"/>
      <c r="AN169" s="155" t="inlineStr">
        <is>
          <t>Odoo Universal Unique Brands</t>
        </is>
      </c>
      <c r="AO169" s="59" t="n"/>
      <c r="AP169" s="59" t="n"/>
      <c r="AQ169" s="59" t="n">
        <v>10</v>
      </c>
      <c r="AR169" s="155" t="inlineStr">
        <is>
          <t>Odoo Universal Unique Brands › Bodega 25 › Bodega 25/General: 10</t>
        </is>
      </c>
    </row>
    <row r="170">
      <c r="A170" s="50" t="inlineStr">
        <is>
          <t>199168053529</t>
        </is>
      </c>
      <c r="B170" s="51" t="n"/>
      <c r="C170" s="156" t="inlineStr">
        <is>
          <t>Roper</t>
        </is>
      </c>
      <c r="D170" s="156" t="inlineStr">
        <is>
          <t>03-050-0040-6001</t>
        </is>
      </c>
      <c r="E170" s="156" t="inlineStr">
        <is>
          <t>03-050-0040-6001 BL-L</t>
        </is>
      </c>
      <c r="F170" s="156" t="inlineStr">
        <is>
          <t>L</t>
        </is>
      </c>
      <c r="G170" s="156" t="inlineStr">
        <is>
          <t>L</t>
        </is>
      </c>
      <c r="H170" s="156" t="inlineStr">
        <is>
          <t>Roper</t>
        </is>
      </c>
      <c r="I170" s="156" t="inlineStr">
        <is>
          <t>ROPER Shirt Jet Black P/R Western</t>
        </is>
      </c>
      <c r="J170" s="156" t="inlineStr">
        <is>
          <t>Ropa</t>
        </is>
      </c>
      <c r="K170" s="156" t="inlineStr">
        <is>
          <t>Camisas</t>
        </is>
      </c>
      <c r="L170" s="156" t="n"/>
      <c r="M170" s="156" t="n"/>
      <c r="N170" s="156" t="n"/>
      <c r="O170" s="156" t="n"/>
      <c r="P170" s="156" t="inlineStr">
        <is>
          <t>Negro</t>
        </is>
      </c>
      <c r="Q170" s="156" t="n"/>
      <c r="R170" s="156" t="n"/>
      <c r="S170" s="156" t="n"/>
      <c r="T170" s="156" t="n"/>
      <c r="U170" s="156" t="n"/>
      <c r="V170" s="156" t="inlineStr">
        <is>
          <t>PZS</t>
        </is>
      </c>
      <c r="W170" s="51" t="inlineStr">
        <is>
          <t>53101602</t>
        </is>
      </c>
      <c r="X170" s="156" t="n"/>
      <c r="Y170" s="54" t="n">
        <v>53.48</v>
      </c>
      <c r="Z170" s="54" t="n">
        <v>1349</v>
      </c>
      <c r="AA170" s="55">
        <f>IF(AND(A170="", B170="", E170=""), "", IF(AB170="", "Válido", IF((LEN(AB170)-LEN(SUBSTITUTE(AB170,"; ","")))/2+1&gt;(LEN(AB170)-LEN(SUBSTITUTE(AB170,"[Aviso]","")))/7, "Con Incidencias", "Válido")))</f>
        <v/>
      </c>
      <c r="AB170" s="56">
        <f>IF(AND(A170="", B170="", E170=""), "", TEXTJOIN("; ", TRUE, IF(OR(TRIM(A170&amp;"")="", ISNUMBER(SEARCH("FALTA", A170))), "UPC faltante/inválido", ""), IF(AND(A170&lt;&gt;"", IFERROR(_xlfn.XMATCH(A170,$A$2:$A$285,0,1)&lt;&gt;_xlfn.XMATCH(A170,$A$2:$A$285,0,-1),FALSE)), "Código de barras duplicado", ""), IF(AND(E170&lt;&gt;"", COUNTIF($E$2:$E$285, E170)&gt;1), "SKU duplicado", ""), IF(OR(J170="", J170=""), "[Aviso] División no capturada ()", IF(ISNA(MATCH(J170, Criterios!$A$123:$A$126, 0)), "División no válida", "")), IF(OR(K170="", K170=""), "[Aviso] Categoría no capturada ()", IF(ISNA(MATCH(K170, Criterios!$A$81:$A$120, 0)), "Categoría no válida", IF(AND(J170&lt;&gt;"", J170&lt;&gt;"", J170&lt;&gt;VLOOKUP(K170, Criterios!$A$81:$B$120, 2, FALSE)), "División no coincide con Categoría", ""))), IF(OR(L170="", L170=""), "[Aviso] Género no capturado ()", IF(ISNA(MATCH(L170, Criterios!$B$123:$B$127, 0)), "Género no válido", "")), IF(OR(N170="", N170=""), "[Aviso] Temporada no capturada ()", IF(ISNA(MATCH(N170, Criterios!$C$123:$C$128, 0)), "Temporada no válida", "")), IF(OR(O170="", O170=""), "[Aviso] Ciclo de vida no capturado ()", IF(ISNA(MATCH(O170, Criterios!$D$123:$D$124, 0)), "Ciclo de vida no válido", ""))))</f>
        <v/>
      </c>
      <c r="AC170" s="56" t="n"/>
      <c r="AD170" s="51" t="n"/>
      <c r="AE170" s="156" t="n"/>
      <c r="AF170" s="51" t="n"/>
      <c r="AG170" s="156" t="inlineStr">
        <is>
          <t>Nuevo – Odoo Universal Unique Brands 01/10/2026</t>
        </is>
      </c>
      <c r="AH170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(black) | Homologación G1522 06/10/2026: WB N.º de estilo: «» → «03-050-0040-6001» (Completado por regla) · Validador Shopify: WB: precio con IVA no termina en 9</t>
        </is>
      </c>
      <c r="AI170" s="156" t="n"/>
      <c r="AJ170" s="156" t="n"/>
      <c r="AK170" s="155" t="inlineStr">
        <is>
          <t>Odoo: producto 20963 / plantilla 26966</t>
        </is>
      </c>
      <c r="AL170" s="58" t="n"/>
      <c r="AM170" s="58" t="n"/>
      <c r="AN170" s="155" t="inlineStr">
        <is>
          <t>Odoo Universal Unique Brands</t>
        </is>
      </c>
      <c r="AO170" s="59" t="n"/>
      <c r="AP170" s="59" t="n"/>
      <c r="AQ170" s="59" t="n">
        <v>11</v>
      </c>
      <c r="AR170" s="155" t="inlineStr">
        <is>
          <t>Odoo Universal Unique Brands › Bodega 25 › Bodega 25/General: 11</t>
        </is>
      </c>
    </row>
    <row r="171">
      <c r="A171" s="50" t="inlineStr">
        <is>
          <t>199168053536</t>
        </is>
      </c>
      <c r="B171" s="51" t="n"/>
      <c r="C171" s="156" t="inlineStr">
        <is>
          <t>Roper</t>
        </is>
      </c>
      <c r="D171" s="156" t="inlineStr">
        <is>
          <t>03-050-0040-6001</t>
        </is>
      </c>
      <c r="E171" s="156" t="inlineStr">
        <is>
          <t>03-050-0040-6001 BL-M</t>
        </is>
      </c>
      <c r="F171" s="156" t="inlineStr">
        <is>
          <t>M</t>
        </is>
      </c>
      <c r="G171" s="156" t="inlineStr">
        <is>
          <t>M</t>
        </is>
      </c>
      <c r="H171" s="156" t="inlineStr">
        <is>
          <t>Roper</t>
        </is>
      </c>
      <c r="I171" s="156" t="inlineStr">
        <is>
          <t>ROPER Shirt Jet Black P/R Western</t>
        </is>
      </c>
      <c r="J171" s="156" t="inlineStr">
        <is>
          <t>Ropa</t>
        </is>
      </c>
      <c r="K171" s="156" t="inlineStr">
        <is>
          <t>Camisas</t>
        </is>
      </c>
      <c r="L171" s="156" t="n"/>
      <c r="M171" s="156" t="n"/>
      <c r="N171" s="156" t="n"/>
      <c r="O171" s="156" t="n"/>
      <c r="P171" s="156" t="inlineStr">
        <is>
          <t>Negro</t>
        </is>
      </c>
      <c r="Q171" s="156" t="n"/>
      <c r="R171" s="156" t="n"/>
      <c r="S171" s="156" t="n"/>
      <c r="T171" s="156" t="n"/>
      <c r="U171" s="156" t="n"/>
      <c r="V171" s="156" t="inlineStr">
        <is>
          <t>PZS</t>
        </is>
      </c>
      <c r="W171" s="51" t="inlineStr">
        <is>
          <t>53101602</t>
        </is>
      </c>
      <c r="X171" s="156" t="n"/>
      <c r="Y171" s="54" t="n">
        <v>53.48</v>
      </c>
      <c r="Z171" s="54" t="n">
        <v>1349</v>
      </c>
      <c r="AA171" s="55">
        <f>IF(AND(A171="", B171="", E171=""), "", IF(AB171="", "Válido", IF((LEN(AB171)-LEN(SUBSTITUTE(AB171,"; ","")))/2+1&gt;(LEN(AB171)-LEN(SUBSTITUTE(AB171,"[Aviso]","")))/7, "Con Incidencias", "Válido")))</f>
        <v/>
      </c>
      <c r="AB171" s="56">
        <f>IF(AND(A171="", B171="", E171=""), "", TEXTJOIN("; ", TRUE, IF(OR(TRIM(A171&amp;"")="", ISNUMBER(SEARCH("FALTA", A171))), "UPC faltante/inválido", ""), IF(AND(A171&lt;&gt;"", IFERROR(_xlfn.XMATCH(A171,$A$2:$A$285,0,1)&lt;&gt;_xlfn.XMATCH(A171,$A$2:$A$285,0,-1),FALSE)), "Código de barras duplicado", ""), IF(AND(E171&lt;&gt;"", COUNTIF($E$2:$E$285, E171)&gt;1), "SKU duplicado", ""), IF(OR(J171="", J171=""), "[Aviso] División no capturada ()", IF(ISNA(MATCH(J171, Criterios!$A$123:$A$126, 0)), "División no válida", "")), IF(OR(K171="", K171=""), "[Aviso] Categoría no capturada ()", IF(ISNA(MATCH(K171, Criterios!$A$81:$A$120, 0)), "Categoría no válida", IF(AND(J171&lt;&gt;"", J171&lt;&gt;"", J171&lt;&gt;VLOOKUP(K171, Criterios!$A$81:$B$120, 2, FALSE)), "División no coincide con Categoría", ""))), IF(OR(L171="", L171=""), "[Aviso] Género no capturado ()", IF(ISNA(MATCH(L171, Criterios!$B$123:$B$127, 0)), "Género no válido", "")), IF(OR(N171="", N171=""), "[Aviso] Temporada no capturada ()", IF(ISNA(MATCH(N171, Criterios!$C$123:$C$128, 0)), "Temporada no válida", "")), IF(OR(O171="", O171=""), "[Aviso] Ciclo de vida no capturado ()", IF(ISNA(MATCH(O171, Criterios!$D$123:$D$124, 0)), "Ciclo de vida no válido", ""))))</f>
        <v/>
      </c>
      <c r="AC171" s="56" t="n"/>
      <c r="AD171" s="51" t="n"/>
      <c r="AE171" s="156" t="n"/>
      <c r="AF171" s="51" t="n"/>
      <c r="AG171" s="156" t="inlineStr">
        <is>
          <t>Nuevo – Odoo Universal Unique Brands 01/10/2026</t>
        </is>
      </c>
      <c r="AH171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(black) | Homologación G1522 06/10/2026: WB N.º de estilo: «» → «03-050-0040-6001» (Completado por regla) · Validador Shopify: WB: precio con IVA no termina en 9</t>
        </is>
      </c>
      <c r="AI171" s="156" t="n"/>
      <c r="AJ171" s="156" t="n"/>
      <c r="AK171" s="155" t="inlineStr">
        <is>
          <t>Odoo: producto 20962 / plantilla 26965</t>
        </is>
      </c>
      <c r="AL171" s="58" t="n"/>
      <c r="AM171" s="58" t="n"/>
      <c r="AN171" s="155" t="inlineStr">
        <is>
          <t>Odoo Universal Unique Brands</t>
        </is>
      </c>
      <c r="AO171" s="59" t="n"/>
      <c r="AP171" s="59" t="n"/>
      <c r="AQ171" s="59" t="n">
        <v>11</v>
      </c>
      <c r="AR171" s="155" t="inlineStr">
        <is>
          <t>Odoo Universal Unique Brands › Bodega 25 › Bodega 25/General: 11</t>
        </is>
      </c>
    </row>
    <row r="172">
      <c r="A172" s="50" t="inlineStr">
        <is>
          <t>199168053543</t>
        </is>
      </c>
      <c r="B172" s="51" t="n"/>
      <c r="C172" s="156" t="inlineStr">
        <is>
          <t>Roper</t>
        </is>
      </c>
      <c r="D172" s="156" t="inlineStr">
        <is>
          <t>03-050-0040-6001</t>
        </is>
      </c>
      <c r="E172" s="156" t="inlineStr">
        <is>
          <t>03-050-0040-6001 BL-S</t>
        </is>
      </c>
      <c r="F172" s="156" t="inlineStr">
        <is>
          <t>S</t>
        </is>
      </c>
      <c r="G172" s="156" t="inlineStr">
        <is>
          <t>S</t>
        </is>
      </c>
      <c r="H172" s="156" t="inlineStr">
        <is>
          <t>Roper</t>
        </is>
      </c>
      <c r="I172" s="156" t="inlineStr">
        <is>
          <t>ROPER Shirt Jet Black P/R Western</t>
        </is>
      </c>
      <c r="J172" s="156" t="inlineStr">
        <is>
          <t>Ropa</t>
        </is>
      </c>
      <c r="K172" s="156" t="inlineStr">
        <is>
          <t>Camisas</t>
        </is>
      </c>
      <c r="L172" s="156" t="n"/>
      <c r="M172" s="156" t="n"/>
      <c r="N172" s="156" t="n"/>
      <c r="O172" s="156" t="n"/>
      <c r="P172" s="156" t="inlineStr">
        <is>
          <t>Negro</t>
        </is>
      </c>
      <c r="Q172" s="156" t="n"/>
      <c r="R172" s="156" t="n"/>
      <c r="S172" s="156" t="n"/>
      <c r="T172" s="156" t="n"/>
      <c r="U172" s="156" t="n"/>
      <c r="V172" s="156" t="inlineStr">
        <is>
          <t>PZS</t>
        </is>
      </c>
      <c r="W172" s="51" t="inlineStr">
        <is>
          <t>53101602</t>
        </is>
      </c>
      <c r="X172" s="156" t="n"/>
      <c r="Y172" s="54" t="n">
        <v>53.48</v>
      </c>
      <c r="Z172" s="54" t="n">
        <v>1349</v>
      </c>
      <c r="AA172" s="55">
        <f>IF(AND(A172="", B172="", E172=""), "", IF(AB172="", "Válido", IF((LEN(AB172)-LEN(SUBSTITUTE(AB172,"; ","")))/2+1&gt;(LEN(AB172)-LEN(SUBSTITUTE(AB172,"[Aviso]","")))/7, "Con Incidencias", "Válido")))</f>
        <v/>
      </c>
      <c r="AB172" s="56">
        <f>IF(AND(A172="", B172="", E172=""), "", TEXTJOIN("; ", TRUE, IF(OR(TRIM(A172&amp;"")="", ISNUMBER(SEARCH("FALTA", A172))), "UPC faltante/inválido", ""), IF(AND(A172&lt;&gt;"", IFERROR(_xlfn.XMATCH(A172,$A$2:$A$285,0,1)&lt;&gt;_xlfn.XMATCH(A172,$A$2:$A$285,0,-1),FALSE)), "Código de barras duplicado", ""), IF(AND(E172&lt;&gt;"", COUNTIF($E$2:$E$285, E172)&gt;1), "SKU duplicado", ""), IF(OR(J172="", J172=""), "[Aviso] División no capturada ()", IF(ISNA(MATCH(J172, Criterios!$A$123:$A$126, 0)), "División no válida", "")), IF(OR(K172="", K172=""), "[Aviso] Categoría no capturada ()", IF(ISNA(MATCH(K172, Criterios!$A$81:$A$120, 0)), "Categoría no válida", IF(AND(J172&lt;&gt;"", J172&lt;&gt;"", J172&lt;&gt;VLOOKUP(K172, Criterios!$A$81:$B$120, 2, FALSE)), "División no coincide con Categoría", ""))), IF(OR(L172="", L172=""), "[Aviso] Género no capturado ()", IF(ISNA(MATCH(L172, Criterios!$B$123:$B$127, 0)), "Género no válido", "")), IF(OR(N172="", N172=""), "[Aviso] Temporada no capturada ()", IF(ISNA(MATCH(N172, Criterios!$C$123:$C$128, 0)), "Temporada no válida", "")), IF(OR(O172="", O172=""), "[Aviso] Ciclo de vida no capturado ()", IF(ISNA(MATCH(O172, Criterios!$D$123:$D$124, 0)), "Ciclo de vida no válido", ""))))</f>
        <v/>
      </c>
      <c r="AC172" s="56" t="n"/>
      <c r="AD172" s="51" t="n"/>
      <c r="AE172" s="156" t="n"/>
      <c r="AF172" s="51" t="n"/>
      <c r="AG172" s="156" t="inlineStr">
        <is>
          <t>Nuevo – Odoo Universal Unique Brands 01/10/2026</t>
        </is>
      </c>
      <c r="AH172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(black) | Homologación G1522 06/10/2026: WB N.º de estilo: «» → «03-050-0040-6001» (Completado por regla) · Validador Shopify: WB: precio con IVA no termina en 9</t>
        </is>
      </c>
      <c r="AI172" s="156" t="n"/>
      <c r="AJ172" s="156" t="n"/>
      <c r="AK172" s="155" t="inlineStr">
        <is>
          <t>Odoo: producto 20961 / plantilla 26964</t>
        </is>
      </c>
      <c r="AL172" s="58" t="n"/>
      <c r="AM172" s="58" t="n"/>
      <c r="AN172" s="155" t="inlineStr">
        <is>
          <t>Odoo Universal Unique Brands</t>
        </is>
      </c>
      <c r="AO172" s="59" t="n"/>
      <c r="AP172" s="59" t="n"/>
      <c r="AQ172" s="59" t="n">
        <v>10</v>
      </c>
      <c r="AR172" s="155" t="inlineStr">
        <is>
          <t>Odoo Universal Unique Brands › Bodega 25 › Bodega 25/General: 10</t>
        </is>
      </c>
    </row>
    <row r="173">
      <c r="A173" s="50" t="inlineStr">
        <is>
          <t>199168053550</t>
        </is>
      </c>
      <c r="B173" s="51" t="n"/>
      <c r="C173" s="156" t="inlineStr">
        <is>
          <t>Roper</t>
        </is>
      </c>
      <c r="D173" s="156" t="inlineStr">
        <is>
          <t>03-050-0040-6001</t>
        </is>
      </c>
      <c r="E173" s="156" t="inlineStr">
        <is>
          <t>03-050-0040-6001 BL-XL</t>
        </is>
      </c>
      <c r="F173" s="156" t="inlineStr">
        <is>
          <t>XL</t>
        </is>
      </c>
      <c r="G173" s="156" t="inlineStr">
        <is>
          <t>XL</t>
        </is>
      </c>
      <c r="H173" s="156" t="inlineStr">
        <is>
          <t>Roper</t>
        </is>
      </c>
      <c r="I173" s="156" t="inlineStr">
        <is>
          <t>ROPER Shirt Jet Black P/R Western</t>
        </is>
      </c>
      <c r="J173" s="156" t="inlineStr">
        <is>
          <t>Ropa</t>
        </is>
      </c>
      <c r="K173" s="156" t="inlineStr">
        <is>
          <t>Camisas</t>
        </is>
      </c>
      <c r="L173" s="156" t="n"/>
      <c r="M173" s="156" t="n"/>
      <c r="N173" s="156" t="n"/>
      <c r="O173" s="156" t="n"/>
      <c r="P173" s="156" t="inlineStr">
        <is>
          <t>Negro</t>
        </is>
      </c>
      <c r="Q173" s="156" t="n"/>
      <c r="R173" s="156" t="n"/>
      <c r="S173" s="156" t="n"/>
      <c r="T173" s="156" t="n"/>
      <c r="U173" s="156" t="n"/>
      <c r="V173" s="156" t="inlineStr">
        <is>
          <t>PZS</t>
        </is>
      </c>
      <c r="W173" s="51" t="inlineStr">
        <is>
          <t>53101602</t>
        </is>
      </c>
      <c r="X173" s="156" t="n"/>
      <c r="Y173" s="54" t="n">
        <v>53.48</v>
      </c>
      <c r="Z173" s="54" t="n">
        <v>1349</v>
      </c>
      <c r="AA173" s="55">
        <f>IF(AND(A173="", B173="", E173=""), "", IF(AB173="", "Válido", IF((LEN(AB173)-LEN(SUBSTITUTE(AB173,"; ","")))/2+1&gt;(LEN(AB173)-LEN(SUBSTITUTE(AB173,"[Aviso]","")))/7, "Con Incidencias", "Válido")))</f>
        <v/>
      </c>
      <c r="AB173" s="56">
        <f>IF(AND(A173="", B173="", E173=""), "", TEXTJOIN("; ", TRUE, IF(OR(TRIM(A173&amp;"")="", ISNUMBER(SEARCH("FALTA", A173))), "UPC faltante/inválido", ""), IF(AND(A173&lt;&gt;"", IFERROR(_xlfn.XMATCH(A173,$A$2:$A$285,0,1)&lt;&gt;_xlfn.XMATCH(A173,$A$2:$A$285,0,-1),FALSE)), "Código de barras duplicado", ""), IF(AND(E173&lt;&gt;"", COUNTIF($E$2:$E$285, E173)&gt;1), "SKU duplicado", ""), IF(OR(J173="", J173=""), "[Aviso] División no capturada ()", IF(ISNA(MATCH(J173, Criterios!$A$123:$A$126, 0)), "División no válida", "")), IF(OR(K173="", K173=""), "[Aviso] Categoría no capturada ()", IF(ISNA(MATCH(K173, Criterios!$A$81:$A$120, 0)), "Categoría no válida", IF(AND(J173&lt;&gt;"", J173&lt;&gt;"", J173&lt;&gt;VLOOKUP(K173, Criterios!$A$81:$B$120, 2, FALSE)), "División no coincide con Categoría", ""))), IF(OR(L173="", L173=""), "[Aviso] Género no capturado ()", IF(ISNA(MATCH(L173, Criterios!$B$123:$B$127, 0)), "Género no válido", "")), IF(OR(N173="", N173=""), "[Aviso] Temporada no capturada ()", IF(ISNA(MATCH(N173, Criterios!$C$123:$C$128, 0)), "Temporada no válida", "")), IF(OR(O173="", O173=""), "[Aviso] Ciclo de vida no capturado ()", IF(ISNA(MATCH(O173, Criterios!$D$123:$D$124, 0)), "Ciclo de vida no válido", ""))))</f>
        <v/>
      </c>
      <c r="AC173" s="56" t="n"/>
      <c r="AD173" s="51" t="n"/>
      <c r="AE173" s="156" t="n"/>
      <c r="AF173" s="51" t="n"/>
      <c r="AG173" s="156" t="inlineStr">
        <is>
          <t>Nuevo – Odoo Universal Unique Brands 01/10/2026</t>
        </is>
      </c>
      <c r="AH173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(black) | Homologación G1522 06/10/2026: WB N.º de estilo: «» → «03-050-0040-6001» (Completado por regla) · Validador Shopify: WB: precio con IVA no termina en 9</t>
        </is>
      </c>
      <c r="AI173" s="156" t="n"/>
      <c r="AJ173" s="156" t="n"/>
      <c r="AK173" s="155" t="inlineStr">
        <is>
          <t>Odoo: producto 20964 / plantilla 26967</t>
        </is>
      </c>
      <c r="AL173" s="58" t="n"/>
      <c r="AM173" s="58" t="n"/>
      <c r="AN173" s="155" t="inlineStr">
        <is>
          <t>Odoo Universal Unique Brands</t>
        </is>
      </c>
      <c r="AO173" s="59" t="n"/>
      <c r="AP173" s="59" t="n"/>
      <c r="AQ173" s="59" t="n">
        <v>12</v>
      </c>
      <c r="AR173" s="155" t="inlineStr">
        <is>
          <t>Odoo Universal Unique Brands › Bodega 25 › Bodega 25/General: 12</t>
        </is>
      </c>
    </row>
    <row r="174">
      <c r="A174" s="50" t="inlineStr">
        <is>
          <t>199168053574</t>
        </is>
      </c>
      <c r="B174" s="51" t="n"/>
      <c r="C174" s="156" t="inlineStr">
        <is>
          <t>Roper</t>
        </is>
      </c>
      <c r="D174" s="156" t="inlineStr">
        <is>
          <t>03-050-0040-6004</t>
        </is>
      </c>
      <c r="E174" s="156" t="inlineStr">
        <is>
          <t>03-050-0040-6004 BU-L</t>
        </is>
      </c>
      <c r="F174" s="156" t="inlineStr">
        <is>
          <t>L</t>
        </is>
      </c>
      <c r="G174" s="156" t="inlineStr">
        <is>
          <t>L</t>
        </is>
      </c>
      <c r="H174" s="156" t="inlineStr">
        <is>
          <t>Roper</t>
        </is>
      </c>
      <c r="I174" s="156" t="inlineStr">
        <is>
          <t>ROPER Shirt Wash Denim</t>
        </is>
      </c>
      <c r="J174" s="156" t="inlineStr">
        <is>
          <t>Ropa</t>
        </is>
      </c>
      <c r="K174" s="156" t="inlineStr">
        <is>
          <t>Camisas</t>
        </is>
      </c>
      <c r="L174" s="156" t="n"/>
      <c r="M174" s="156" t="n"/>
      <c r="N174" s="156" t="n"/>
      <c r="O174" s="156" t="n"/>
      <c r="P174" s="156" t="inlineStr">
        <is>
          <t>Azul</t>
        </is>
      </c>
      <c r="Q174" s="156" t="n"/>
      <c r="R174" s="156" t="n"/>
      <c r="S174" s="156" t="n"/>
      <c r="T174" s="156" t="n"/>
      <c r="U174" s="156" t="n"/>
      <c r="V174" s="156" t="inlineStr">
        <is>
          <t>PZS</t>
        </is>
      </c>
      <c r="W174" s="51" t="inlineStr">
        <is>
          <t>53101602</t>
        </is>
      </c>
      <c r="X174" s="156" t="n"/>
      <c r="Y174" s="54" t="n">
        <v>58.13</v>
      </c>
      <c r="Z174" s="54" t="n">
        <v>1469</v>
      </c>
      <c r="AA174" s="55">
        <f>IF(AND(A174="", B174="", E174=""), "", IF(AB174="", "Válido", IF((LEN(AB174)-LEN(SUBSTITUTE(AB174,"; ","")))/2+1&gt;(LEN(AB174)-LEN(SUBSTITUTE(AB174,"[Aviso]","")))/7, "Con Incidencias", "Válido")))</f>
        <v/>
      </c>
      <c r="AB174" s="56">
        <f>IF(AND(A174="", B174="", E174=""), "", TEXTJOIN("; ", TRUE, IF(OR(TRIM(A174&amp;"")="", ISNUMBER(SEARCH("FALTA", A174))), "UPC faltante/inválido", ""), IF(AND(A174&lt;&gt;"", IFERROR(_xlfn.XMATCH(A174,$A$2:$A$285,0,1)&lt;&gt;_xlfn.XMATCH(A174,$A$2:$A$285,0,-1),FALSE)), "Código de barras duplicado", ""), IF(AND(E174&lt;&gt;"", COUNTIF($E$2:$E$285, E174)&gt;1), "SKU duplicado", ""), IF(OR(J174="", J174=""), "[Aviso] División no capturada ()", IF(ISNA(MATCH(J174, Criterios!$A$123:$A$126, 0)), "División no válida", "")), IF(OR(K174="", K174=""), "[Aviso] Categoría no capturada ()", IF(ISNA(MATCH(K174, Criterios!$A$81:$A$120, 0)), "Categoría no válida", IF(AND(J174&lt;&gt;"", J174&lt;&gt;"", J174&lt;&gt;VLOOKUP(K174, Criterios!$A$81:$B$120, 2, FALSE)), "División no coincide con Categoría", ""))), IF(OR(L174="", L174=""), "[Aviso] Género no capturado ()", IF(ISNA(MATCH(L174, Criterios!$B$123:$B$127, 0)), "Género no válido", "")), IF(OR(N174="", N174=""), "[Aviso] Temporada no capturada ()", IF(ISNA(MATCH(N174, Criterios!$C$123:$C$128, 0)), "Temporada no válida", "")), IF(OR(O174="", O174=""), "[Aviso] Ciclo de vida no capturado ()", IF(ISNA(MATCH(O174, Criterios!$D$123:$D$124, 0)), "Ciclo de vida no válido", ""))))</f>
        <v/>
      </c>
      <c r="AC174" s="56" t="n"/>
      <c r="AD174" s="51" t="n"/>
      <c r="AE174" s="156" t="n"/>
      <c r="AF174" s="51" t="n"/>
      <c r="AG174" s="156" t="inlineStr">
        <is>
          <t>Nuevo – Odoo Universal Unique Brands 01/10/2026</t>
        </is>
      </c>
      <c r="AH174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Camisas); Color detectado en el nombre (denim) | Homologación G1522 06/10/2026: WB N.º de estilo: «» → «03-050-0040-6004» (Completado por regla) · Validador Shopify: WB: precio con IVA no termina en 9</t>
        </is>
      </c>
      <c r="AI174" s="156" t="n"/>
      <c r="AJ174" s="156" t="n"/>
      <c r="AK174" s="155" t="inlineStr">
        <is>
          <t>Odoo: producto 20991 / plantilla 26994</t>
        </is>
      </c>
      <c r="AL174" s="58" t="n"/>
      <c r="AM174" s="58" t="n"/>
      <c r="AN174" s="155" t="inlineStr">
        <is>
          <t>Odoo Universal Unique Brands</t>
        </is>
      </c>
      <c r="AO174" s="59" t="n"/>
      <c r="AP174" s="59" t="n"/>
      <c r="AQ174" s="59" t="n">
        <v>10</v>
      </c>
      <c r="AR174" s="155" t="inlineStr">
        <is>
          <t>Odoo Universal Unique Brands › Bodega 25 › Bodega 25/General: 10</t>
        </is>
      </c>
    </row>
    <row r="175">
      <c r="A175" s="50" t="inlineStr">
        <is>
          <t>199168053581</t>
        </is>
      </c>
      <c r="B175" s="51" t="n"/>
      <c r="C175" s="156" t="inlineStr">
        <is>
          <t>Roper</t>
        </is>
      </c>
      <c r="D175" s="156" t="inlineStr">
        <is>
          <t>03-050-0040-6004</t>
        </is>
      </c>
      <c r="E175" s="156" t="inlineStr">
        <is>
          <t>03-050-0040-6004 BU-M</t>
        </is>
      </c>
      <c r="F175" s="156" t="inlineStr">
        <is>
          <t>M</t>
        </is>
      </c>
      <c r="G175" s="156" t="inlineStr">
        <is>
          <t>M</t>
        </is>
      </c>
      <c r="H175" s="156" t="inlineStr">
        <is>
          <t>Roper</t>
        </is>
      </c>
      <c r="I175" s="156" t="inlineStr">
        <is>
          <t>ROPER Shirt Wash Denim</t>
        </is>
      </c>
      <c r="J175" s="156" t="inlineStr">
        <is>
          <t>Ropa</t>
        </is>
      </c>
      <c r="K175" s="156" t="inlineStr">
        <is>
          <t>Camisas</t>
        </is>
      </c>
      <c r="L175" s="156" t="n"/>
      <c r="M175" s="156" t="n"/>
      <c r="N175" s="156" t="n"/>
      <c r="O175" s="156" t="n"/>
      <c r="P175" s="156" t="inlineStr">
        <is>
          <t>Azul</t>
        </is>
      </c>
      <c r="Q175" s="156" t="n"/>
      <c r="R175" s="156" t="n"/>
      <c r="S175" s="156" t="n"/>
      <c r="T175" s="156" t="n"/>
      <c r="U175" s="156" t="n"/>
      <c r="V175" s="156" t="inlineStr">
        <is>
          <t>PZS</t>
        </is>
      </c>
      <c r="W175" s="51" t="inlineStr">
        <is>
          <t>53101602</t>
        </is>
      </c>
      <c r="X175" s="156" t="n"/>
      <c r="Y175" s="54" t="n">
        <v>58.13</v>
      </c>
      <c r="Z175" s="54" t="n">
        <v>1469</v>
      </c>
      <c r="AA175" s="55">
        <f>IF(AND(A175="", B175="", E175=""), "", IF(AB175="", "Válido", IF((LEN(AB175)-LEN(SUBSTITUTE(AB175,"; ","")))/2+1&gt;(LEN(AB175)-LEN(SUBSTITUTE(AB175,"[Aviso]","")))/7, "Con Incidencias", "Válido")))</f>
        <v/>
      </c>
      <c r="AB175" s="56">
        <f>IF(AND(A175="", B175="", E175=""), "", TEXTJOIN("; ", TRUE, IF(OR(TRIM(A175&amp;"")="", ISNUMBER(SEARCH("FALTA", A175))), "UPC faltante/inválido", ""), IF(AND(A175&lt;&gt;"", IFERROR(_xlfn.XMATCH(A175,$A$2:$A$285,0,1)&lt;&gt;_xlfn.XMATCH(A175,$A$2:$A$285,0,-1),FALSE)), "Código de barras duplicado", ""), IF(AND(E175&lt;&gt;"", COUNTIF($E$2:$E$285, E175)&gt;1), "SKU duplicado", ""), IF(OR(J175="", J175=""), "[Aviso] División no capturada ()", IF(ISNA(MATCH(J175, Criterios!$A$123:$A$126, 0)), "División no válida", "")), IF(OR(K175="", K175=""), "[Aviso] Categoría no capturada ()", IF(ISNA(MATCH(K175, Criterios!$A$81:$A$120, 0)), "Categoría no válida", IF(AND(J175&lt;&gt;"", J175&lt;&gt;"", J175&lt;&gt;VLOOKUP(K175, Criterios!$A$81:$B$120, 2, FALSE)), "División no coincide con Categoría", ""))), IF(OR(L175="", L175=""), "[Aviso] Género no capturado ()", IF(ISNA(MATCH(L175, Criterios!$B$123:$B$127, 0)), "Género no válido", "")), IF(OR(N175="", N175=""), "[Aviso] Temporada no capturada ()", IF(ISNA(MATCH(N175, Criterios!$C$123:$C$128, 0)), "Temporada no válida", "")), IF(OR(O175="", O175=""), "[Aviso] Ciclo de vida no capturado ()", IF(ISNA(MATCH(O175, Criterios!$D$123:$D$124, 0)), "Ciclo de vida no válido", ""))))</f>
        <v/>
      </c>
      <c r="AC175" s="56" t="n"/>
      <c r="AD175" s="51" t="n"/>
      <c r="AE175" s="156" t="n"/>
      <c r="AF175" s="51" t="n"/>
      <c r="AG175" s="156" t="inlineStr">
        <is>
          <t>Nuevo – Odoo Universal Unique Brands 01/10/2026</t>
        </is>
      </c>
      <c r="AH175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Camisas); Color detectado en el nombre (denim) | Homologación G1522 06/10/2026: WB N.º de estilo: «» → «03-050-0040-6004» (Completado por regla) · Validador Shopify: WB: precio con IVA no termina en 9</t>
        </is>
      </c>
      <c r="AI175" s="156" t="n"/>
      <c r="AJ175" s="156" t="n"/>
      <c r="AK175" s="155" t="inlineStr">
        <is>
          <t>Odoo: producto 20990 / plantilla 26993</t>
        </is>
      </c>
      <c r="AL175" s="58" t="n"/>
      <c r="AM175" s="58" t="n"/>
      <c r="AN175" s="155" t="inlineStr">
        <is>
          <t>Odoo Universal Unique Brands</t>
        </is>
      </c>
      <c r="AO175" s="59" t="n"/>
      <c r="AP175" s="59" t="n"/>
      <c r="AQ175" s="59" t="n">
        <v>9</v>
      </c>
      <c r="AR175" s="155" t="inlineStr">
        <is>
          <t>Odoo Universal Unique Brands › Bodega 25 › Bodega 25/General: 9</t>
        </is>
      </c>
    </row>
    <row r="176">
      <c r="A176" s="50" t="inlineStr">
        <is>
          <t>199168053598</t>
        </is>
      </c>
      <c r="B176" s="51" t="n"/>
      <c r="C176" s="156" t="inlineStr">
        <is>
          <t>Roper</t>
        </is>
      </c>
      <c r="D176" s="156" t="inlineStr">
        <is>
          <t>03-050-0040-6004</t>
        </is>
      </c>
      <c r="E176" s="156" t="inlineStr">
        <is>
          <t>03-050-0040-6004 BU-S</t>
        </is>
      </c>
      <c r="F176" s="156" t="inlineStr">
        <is>
          <t>S</t>
        </is>
      </c>
      <c r="G176" s="156" t="inlineStr">
        <is>
          <t>S</t>
        </is>
      </c>
      <c r="H176" s="156" t="inlineStr">
        <is>
          <t>Roper</t>
        </is>
      </c>
      <c r="I176" s="156" t="inlineStr">
        <is>
          <t>ROPER Shirt Wash Denim</t>
        </is>
      </c>
      <c r="J176" s="156" t="inlineStr">
        <is>
          <t>Ropa</t>
        </is>
      </c>
      <c r="K176" s="156" t="inlineStr">
        <is>
          <t>Camisas</t>
        </is>
      </c>
      <c r="L176" s="156" t="n"/>
      <c r="M176" s="156" t="n"/>
      <c r="N176" s="156" t="n"/>
      <c r="O176" s="156" t="n"/>
      <c r="P176" s="156" t="inlineStr">
        <is>
          <t>Azul</t>
        </is>
      </c>
      <c r="Q176" s="156" t="n"/>
      <c r="R176" s="156" t="n"/>
      <c r="S176" s="156" t="n"/>
      <c r="T176" s="156" t="n"/>
      <c r="U176" s="156" t="n"/>
      <c r="V176" s="156" t="inlineStr">
        <is>
          <t>PZS</t>
        </is>
      </c>
      <c r="W176" s="51" t="inlineStr">
        <is>
          <t>53101602</t>
        </is>
      </c>
      <c r="X176" s="156" t="n"/>
      <c r="Y176" s="54" t="n">
        <v>58.13</v>
      </c>
      <c r="Z176" s="54" t="n">
        <v>1469</v>
      </c>
      <c r="AA176" s="55">
        <f>IF(AND(A176="", B176="", E176=""), "", IF(AB176="", "Válido", IF((LEN(AB176)-LEN(SUBSTITUTE(AB176,"; ","")))/2+1&gt;(LEN(AB176)-LEN(SUBSTITUTE(AB176,"[Aviso]","")))/7, "Con Incidencias", "Válido")))</f>
        <v/>
      </c>
      <c r="AB176" s="56">
        <f>IF(AND(A176="", B176="", E176=""), "", TEXTJOIN("; ", TRUE, IF(OR(TRIM(A176&amp;"")="", ISNUMBER(SEARCH("FALTA", A176))), "UPC faltante/inválido", ""), IF(AND(A176&lt;&gt;"", IFERROR(_xlfn.XMATCH(A176,$A$2:$A$285,0,1)&lt;&gt;_xlfn.XMATCH(A176,$A$2:$A$285,0,-1),FALSE)), "Código de barras duplicado", ""), IF(AND(E176&lt;&gt;"", COUNTIF($E$2:$E$285, E176)&gt;1), "SKU duplicado", ""), IF(OR(J176="", J176=""), "[Aviso] División no capturada ()", IF(ISNA(MATCH(J176, Criterios!$A$123:$A$126, 0)), "División no válida", "")), IF(OR(K176="", K176=""), "[Aviso] Categoría no capturada ()", IF(ISNA(MATCH(K176, Criterios!$A$81:$A$120, 0)), "Categoría no válida", IF(AND(J176&lt;&gt;"", J176&lt;&gt;"", J176&lt;&gt;VLOOKUP(K176, Criterios!$A$81:$B$120, 2, FALSE)), "División no coincide con Categoría", ""))), IF(OR(L176="", L176=""), "[Aviso] Género no capturado ()", IF(ISNA(MATCH(L176, Criterios!$B$123:$B$127, 0)), "Género no válido", "")), IF(OR(N176="", N176=""), "[Aviso] Temporada no capturada ()", IF(ISNA(MATCH(N176, Criterios!$C$123:$C$128, 0)), "Temporada no válida", "")), IF(OR(O176="", O176=""), "[Aviso] Ciclo de vida no capturado ()", IF(ISNA(MATCH(O176, Criterios!$D$123:$D$124, 0)), "Ciclo de vida no válido", ""))))</f>
        <v/>
      </c>
      <c r="AC176" s="56" t="n"/>
      <c r="AD176" s="51" t="n"/>
      <c r="AE176" s="156" t="n"/>
      <c r="AF176" s="51" t="n"/>
      <c r="AG176" s="156" t="inlineStr">
        <is>
          <t>Nuevo – Odoo Universal Unique Brands 01/10/2026</t>
        </is>
      </c>
      <c r="AH176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Camisas); Color detectado en el nombre (denim) | Homologación G1522 06/10/2026: WB N.º de estilo: «» → «03-050-0040-6004» (Completado por regla) · Validador Shopify: WB: precio con IVA no termina en 9</t>
        </is>
      </c>
      <c r="AI176" s="156" t="n"/>
      <c r="AJ176" s="156" t="n"/>
      <c r="AK176" s="155" t="inlineStr">
        <is>
          <t>Odoo: producto 20989 / plantilla 26992</t>
        </is>
      </c>
      <c r="AL176" s="58" t="n"/>
      <c r="AM176" s="58" t="n"/>
      <c r="AN176" s="155" t="inlineStr">
        <is>
          <t>Odoo Universal Unique Brands</t>
        </is>
      </c>
      <c r="AO176" s="59" t="n"/>
      <c r="AP176" s="59" t="n"/>
      <c r="AQ176" s="59" t="n">
        <v>7</v>
      </c>
      <c r="AR176" s="155" t="inlineStr">
        <is>
          <t>Odoo Universal Unique Brands › Bodega 25 › Bodega 25/General: 7</t>
        </is>
      </c>
    </row>
    <row r="177">
      <c r="A177" s="50" t="inlineStr">
        <is>
          <t>199168053604</t>
        </is>
      </c>
      <c r="B177" s="51" t="n"/>
      <c r="C177" s="156" t="inlineStr">
        <is>
          <t>Roper</t>
        </is>
      </c>
      <c r="D177" s="156" t="inlineStr">
        <is>
          <t>03-050-0040-6004</t>
        </is>
      </c>
      <c r="E177" s="156" t="inlineStr">
        <is>
          <t>03-050-0040-6004 BU-XL</t>
        </is>
      </c>
      <c r="F177" s="156" t="inlineStr">
        <is>
          <t>XL</t>
        </is>
      </c>
      <c r="G177" s="156" t="inlineStr">
        <is>
          <t>XL</t>
        </is>
      </c>
      <c r="H177" s="156" t="inlineStr">
        <is>
          <t>Roper</t>
        </is>
      </c>
      <c r="I177" s="156" t="inlineStr">
        <is>
          <t>ROPER Shirt Wash Denim</t>
        </is>
      </c>
      <c r="J177" s="156" t="inlineStr">
        <is>
          <t>Ropa</t>
        </is>
      </c>
      <c r="K177" s="156" t="inlineStr">
        <is>
          <t>Camisas</t>
        </is>
      </c>
      <c r="L177" s="156" t="n"/>
      <c r="M177" s="156" t="n"/>
      <c r="N177" s="156" t="n"/>
      <c r="O177" s="156" t="n"/>
      <c r="P177" s="156" t="inlineStr">
        <is>
          <t>Azul</t>
        </is>
      </c>
      <c r="Q177" s="156" t="n"/>
      <c r="R177" s="156" t="n"/>
      <c r="S177" s="156" t="n"/>
      <c r="T177" s="156" t="n"/>
      <c r="U177" s="156" t="n"/>
      <c r="V177" s="156" t="inlineStr">
        <is>
          <t>PZS</t>
        </is>
      </c>
      <c r="W177" s="51" t="inlineStr">
        <is>
          <t>53101602</t>
        </is>
      </c>
      <c r="X177" s="156" t="n"/>
      <c r="Y177" s="54" t="n">
        <v>58.13</v>
      </c>
      <c r="Z177" s="54" t="n">
        <v>1469</v>
      </c>
      <c r="AA177" s="55">
        <f>IF(AND(A177="", B177="", E177=""), "", IF(AB177="", "Válido", IF((LEN(AB177)-LEN(SUBSTITUTE(AB177,"; ","")))/2+1&gt;(LEN(AB177)-LEN(SUBSTITUTE(AB177,"[Aviso]","")))/7, "Con Incidencias", "Válido")))</f>
        <v/>
      </c>
      <c r="AB177" s="56">
        <f>IF(AND(A177="", B177="", E177=""), "", TEXTJOIN("; ", TRUE, IF(OR(TRIM(A177&amp;"")="", ISNUMBER(SEARCH("FALTA", A177))), "UPC faltante/inválido", ""), IF(AND(A177&lt;&gt;"", IFERROR(_xlfn.XMATCH(A177,$A$2:$A$285,0,1)&lt;&gt;_xlfn.XMATCH(A177,$A$2:$A$285,0,-1),FALSE)), "Código de barras duplicado", ""), IF(AND(E177&lt;&gt;"", COUNTIF($E$2:$E$285, E177)&gt;1), "SKU duplicado", ""), IF(OR(J177="", J177=""), "[Aviso] División no capturada ()", IF(ISNA(MATCH(J177, Criterios!$A$123:$A$126, 0)), "División no válida", "")), IF(OR(K177="", K177=""), "[Aviso] Categoría no capturada ()", IF(ISNA(MATCH(K177, Criterios!$A$81:$A$120, 0)), "Categoría no válida", IF(AND(J177&lt;&gt;"", J177&lt;&gt;"", J177&lt;&gt;VLOOKUP(K177, Criterios!$A$81:$B$120, 2, FALSE)), "División no coincide con Categoría", ""))), IF(OR(L177="", L177=""), "[Aviso] Género no capturado ()", IF(ISNA(MATCH(L177, Criterios!$B$123:$B$127, 0)), "Género no válido", "")), IF(OR(N177="", N177=""), "[Aviso] Temporada no capturada ()", IF(ISNA(MATCH(N177, Criterios!$C$123:$C$128, 0)), "Temporada no válida", "")), IF(OR(O177="", O177=""), "[Aviso] Ciclo de vida no capturado ()", IF(ISNA(MATCH(O177, Criterios!$D$123:$D$124, 0)), "Ciclo de vida no válido", ""))))</f>
        <v/>
      </c>
      <c r="AC177" s="56" t="n"/>
      <c r="AD177" s="51" t="n"/>
      <c r="AE177" s="156" t="n"/>
      <c r="AF177" s="51" t="n"/>
      <c r="AG177" s="156" t="inlineStr">
        <is>
          <t>Nuevo – Odoo Universal Unique Brands 01/10/2026</t>
        </is>
      </c>
      <c r="AH177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Camisas); Color detectado en el nombre (denim) | Homologación G1522 06/10/2026: WB N.º de estilo: «» → «03-050-0040-6004» (Completado por regla) · Validador Shopify: WB: precio con IVA no termina en 9</t>
        </is>
      </c>
      <c r="AI177" s="156" t="n"/>
      <c r="AJ177" s="156" t="n"/>
      <c r="AK177" s="155" t="inlineStr">
        <is>
          <t>Odoo: producto 20992 / plantilla 26995</t>
        </is>
      </c>
      <c r="AL177" s="58" t="n"/>
      <c r="AM177" s="58" t="n"/>
      <c r="AN177" s="155" t="inlineStr">
        <is>
          <t>Odoo Universal Unique Brands</t>
        </is>
      </c>
      <c r="AO177" s="59" t="n"/>
      <c r="AP177" s="59" t="n"/>
      <c r="AQ177" s="59" t="n">
        <v>9</v>
      </c>
      <c r="AR177" s="155" t="inlineStr">
        <is>
          <t>Odoo Universal Unique Brands › Bodega 25 › Bodega 25/General: 9</t>
        </is>
      </c>
    </row>
    <row r="178">
      <c r="A178" s="50" t="inlineStr">
        <is>
          <t>199168053611</t>
        </is>
      </c>
      <c r="B178" s="51" t="n"/>
      <c r="C178" s="156" t="inlineStr">
        <is>
          <t>Roper</t>
        </is>
      </c>
      <c r="D178" s="156" t="inlineStr">
        <is>
          <t>03-050-0040-6004</t>
        </is>
      </c>
      <c r="E178" s="156" t="inlineStr">
        <is>
          <t>03-050-0040-6004 BU-XS</t>
        </is>
      </c>
      <c r="F178" s="156" t="inlineStr">
        <is>
          <t>XS</t>
        </is>
      </c>
      <c r="G178" s="156" t="inlineStr">
        <is>
          <t>XS</t>
        </is>
      </c>
      <c r="H178" s="156" t="inlineStr">
        <is>
          <t>Roper</t>
        </is>
      </c>
      <c r="I178" s="156" t="inlineStr">
        <is>
          <t>ROPER Shirt Wash Denim</t>
        </is>
      </c>
      <c r="J178" s="156" t="inlineStr">
        <is>
          <t>Ropa</t>
        </is>
      </c>
      <c r="K178" s="156" t="inlineStr">
        <is>
          <t>Camisas</t>
        </is>
      </c>
      <c r="L178" s="156" t="n"/>
      <c r="M178" s="156" t="n"/>
      <c r="N178" s="156" t="n"/>
      <c r="O178" s="156" t="n"/>
      <c r="P178" s="156" t="inlineStr">
        <is>
          <t>Azul</t>
        </is>
      </c>
      <c r="Q178" s="156" t="n"/>
      <c r="R178" s="156" t="n"/>
      <c r="S178" s="156" t="n"/>
      <c r="T178" s="156" t="n"/>
      <c r="U178" s="156" t="n"/>
      <c r="V178" s="156" t="inlineStr">
        <is>
          <t>PZS</t>
        </is>
      </c>
      <c r="W178" s="51" t="inlineStr">
        <is>
          <t>53101602</t>
        </is>
      </c>
      <c r="X178" s="156" t="n"/>
      <c r="Y178" s="54" t="n">
        <v>58.13</v>
      </c>
      <c r="Z178" s="54" t="n">
        <v>1469</v>
      </c>
      <c r="AA178" s="55">
        <f>IF(AND(A178="", B178="", E178=""), "", IF(AB178="", "Válido", IF((LEN(AB178)-LEN(SUBSTITUTE(AB178,"; ","")))/2+1&gt;(LEN(AB178)-LEN(SUBSTITUTE(AB178,"[Aviso]","")))/7, "Con Incidencias", "Válido")))</f>
        <v/>
      </c>
      <c r="AB178" s="56">
        <f>IF(AND(A178="", B178="", E178=""), "", TEXTJOIN("; ", TRUE, IF(OR(TRIM(A178&amp;"")="", ISNUMBER(SEARCH("FALTA", A178))), "UPC faltante/inválido", ""), IF(AND(A178&lt;&gt;"", IFERROR(_xlfn.XMATCH(A178,$A$2:$A$285,0,1)&lt;&gt;_xlfn.XMATCH(A178,$A$2:$A$285,0,-1),FALSE)), "Código de barras duplicado", ""), IF(AND(E178&lt;&gt;"", COUNTIF($E$2:$E$285, E178)&gt;1), "SKU duplicado", ""), IF(OR(J178="", J178=""), "[Aviso] División no capturada ()", IF(ISNA(MATCH(J178, Criterios!$A$123:$A$126, 0)), "División no válida", "")), IF(OR(K178="", K178=""), "[Aviso] Categoría no capturada ()", IF(ISNA(MATCH(K178, Criterios!$A$81:$A$120, 0)), "Categoría no válida", IF(AND(J178&lt;&gt;"", J178&lt;&gt;"", J178&lt;&gt;VLOOKUP(K178, Criterios!$A$81:$B$120, 2, FALSE)), "División no coincide con Categoría", ""))), IF(OR(L178="", L178=""), "[Aviso] Género no capturado ()", IF(ISNA(MATCH(L178, Criterios!$B$123:$B$127, 0)), "Género no válido", "")), IF(OR(N178="", N178=""), "[Aviso] Temporada no capturada ()", IF(ISNA(MATCH(N178, Criterios!$C$123:$C$128, 0)), "Temporada no válida", "")), IF(OR(O178="", O178=""), "[Aviso] Ciclo de vida no capturado ()", IF(ISNA(MATCH(O178, Criterios!$D$123:$D$124, 0)), "Ciclo de vida no válido", ""))))</f>
        <v/>
      </c>
      <c r="AC178" s="56" t="n"/>
      <c r="AD178" s="51" t="n"/>
      <c r="AE178" s="156" t="n"/>
      <c r="AF178" s="51" t="n"/>
      <c r="AG178" s="156" t="inlineStr">
        <is>
          <t>Nuevo – Odoo Universal Unique Brands 01/10/2026</t>
        </is>
      </c>
      <c r="AH178" s="156" t="inlineStr">
        <is>
          <t>01/10/2026: alta desde Odoo Universal Unique Brands (no existía en Productos por código de barras ni SKU) | Talla tomada del sufijo del SKU (XS); Categoría: Palabra clave "Camisa" en tipo/categoría de la fuente (Ropa / Camisas); Color detectado en el nombre (denim) | Homologación G1522 06/10/2026: WB N.º de estilo: «» → «03-050-0040-6004» (Completado por regla) · Validador Shopify: WB: precio con IVA no termina en 9</t>
        </is>
      </c>
      <c r="AI178" s="156" t="n"/>
      <c r="AJ178" s="156" t="n"/>
      <c r="AK178" s="155" t="inlineStr">
        <is>
          <t>Odoo: producto 20988 / plantilla 26991</t>
        </is>
      </c>
      <c r="AL178" s="58" t="n"/>
      <c r="AM178" s="58" t="n"/>
      <c r="AN178" s="155" t="inlineStr">
        <is>
          <t>Odoo Universal Unique Brands</t>
        </is>
      </c>
      <c r="AO178" s="59" t="n"/>
      <c r="AP178" s="59" t="n"/>
      <c r="AQ178" s="59" t="n">
        <v>5</v>
      </c>
      <c r="AR178" s="155" t="inlineStr">
        <is>
          <t>Odoo Universal Unique Brands › Bodega 25 › Bodega 25/General: 5</t>
        </is>
      </c>
    </row>
    <row r="179">
      <c r="A179" s="50" t="inlineStr">
        <is>
          <t>199168053772</t>
        </is>
      </c>
      <c r="B179" s="51" t="n"/>
      <c r="C179" s="156" t="inlineStr">
        <is>
          <t>Roper</t>
        </is>
      </c>
      <c r="D179" s="156" t="inlineStr">
        <is>
          <t>03-050-0060-0712</t>
        </is>
      </c>
      <c r="E179" s="156" t="inlineStr">
        <is>
          <t>03-050-0060-0712 BL-1XL</t>
        </is>
      </c>
      <c r="F179" s="156" t="inlineStr">
        <is>
          <t>XL</t>
        </is>
      </c>
      <c r="G179" s="156" t="inlineStr">
        <is>
          <t>XL</t>
        </is>
      </c>
      <c r="H179" s="156" t="inlineStr">
        <is>
          <t>Roper</t>
        </is>
      </c>
      <c r="I179" s="156" t="inlineStr">
        <is>
          <t>ROPER Shirt Solid Poplin - Black</t>
        </is>
      </c>
      <c r="J179" s="156" t="inlineStr">
        <is>
          <t>Ropa</t>
        </is>
      </c>
      <c r="K179" s="156" t="inlineStr">
        <is>
          <t>Camisas</t>
        </is>
      </c>
      <c r="L179" s="156" t="inlineStr">
        <is>
          <t>Mujer</t>
        </is>
      </c>
      <c r="M179" s="156" t="n"/>
      <c r="N179" s="156" t="n"/>
      <c r="O179" s="156" t="n"/>
      <c r="P179" s="156" t="inlineStr">
        <is>
          <t>Negro</t>
        </is>
      </c>
      <c r="Q179" s="156" t="n"/>
      <c r="R179" s="156" t="n"/>
      <c r="S179" s="156" t="n"/>
      <c r="T179" s="156" t="n"/>
      <c r="U179" s="156" t="n"/>
      <c r="V179" s="156" t="inlineStr">
        <is>
          <t>PZS</t>
        </is>
      </c>
      <c r="W179" s="51" t="inlineStr">
        <is>
          <t>53101604</t>
        </is>
      </c>
      <c r="X179" s="156" t="n"/>
      <c r="Y179" s="54" t="n">
        <v>23.72</v>
      </c>
      <c r="Z179" s="54" t="n">
        <v>659</v>
      </c>
      <c r="AA179" s="55">
        <f>IF(AND(A179="", B179="", E179=""), "", IF(AB179="", "Válido", IF((LEN(AB179)-LEN(SUBSTITUTE(AB179,"; ","")))/2+1&gt;(LEN(AB179)-LEN(SUBSTITUTE(AB179,"[Aviso]","")))/7, "Con Incidencias", "Válido")))</f>
        <v/>
      </c>
      <c r="AB179" s="56">
        <f>IF(AND(A179="", B179="", E179=""), "", TEXTJOIN("; ", TRUE, IF(OR(TRIM(A179&amp;"")="", ISNUMBER(SEARCH("FALTA", A179))), "UPC faltante/inválido", ""), IF(AND(A179&lt;&gt;"", IFERROR(_xlfn.XMATCH(A179,$A$2:$A$285,0,1)&lt;&gt;_xlfn.XMATCH(A179,$A$2:$A$285,0,-1),FALSE)), "Código de barras duplicado", ""), IF(AND(E179&lt;&gt;"", COUNTIF($E$2:$E$285, E179)&gt;1), "SKU duplicado", ""), IF(OR(J179="", J179=""), "[Aviso] División no capturada ()", IF(ISNA(MATCH(J179, Criterios!$A$123:$A$126, 0)), "División no válida", "")), IF(OR(K179="", K179=""), "[Aviso] Categoría no capturada ()", IF(ISNA(MATCH(K179, Criterios!$A$81:$A$120, 0)), "Categoría no válida", IF(AND(J179&lt;&gt;"", J179&lt;&gt;"", J179&lt;&gt;VLOOKUP(K179, Criterios!$A$81:$B$120, 2, FALSE)), "División no coincide con Categoría", ""))), IF(OR(L179="", L179=""), "[Aviso] Género no capturado ()", IF(ISNA(MATCH(L179, Criterios!$B$123:$B$127, 0)), "Género no válido", "")), IF(OR(N179="", N179=""), "[Aviso] Temporada no capturada ()", IF(ISNA(MATCH(N179, Criterios!$C$123:$C$128, 0)), "Temporada no válida", "")), IF(OR(O179="", O179=""), "[Aviso] Ciclo de vida no capturado ()", IF(ISNA(MATCH(O179, Criterios!$D$123:$D$124, 0)), "Ciclo de vida no válido", ""))))</f>
        <v/>
      </c>
      <c r="AC179" s="56" t="n"/>
      <c r="AD179" s="51" t="n"/>
      <c r="AE179" s="156" t="n"/>
      <c r="AF179" s="51" t="n"/>
      <c r="AG179" s="156" t="inlineStr">
        <is>
          <t>Nuevo – Odoo Universal Unique Brands 01/10/2026</t>
        </is>
      </c>
      <c r="AH179" s="156" t="inlineStr">
        <is>
          <t>01/10/2026: alta desde Odoo Universal Unique Brands (no existía en Productos por código de barras ni SKU) | Categoría: Palabra clave "Camisa" en tipo/categoría de la fuente (Ropa / Camisas); Género: campo de la fuente; Color detectado en el nombre (black) | Homologación G1522 06/10/2026: WB N.º de estilo: «» → «03-050-0060-0712» (Completado por regla) · Validador Shopify: WB: precio con IVA no termina en 9</t>
        </is>
      </c>
      <c r="AI179" s="156" t="n"/>
      <c r="AJ179" s="156" t="n"/>
      <c r="AK179" s="155" t="inlineStr">
        <is>
          <t>Odoo: producto 20945 / plantilla 26948</t>
        </is>
      </c>
      <c r="AL179" s="58" t="n"/>
      <c r="AM179" s="58" t="n"/>
      <c r="AN179" s="155" t="inlineStr">
        <is>
          <t>Odoo Universal Unique Brands</t>
        </is>
      </c>
      <c r="AO179" s="59" t="n"/>
      <c r="AP179" s="59" t="n"/>
      <c r="AQ179" s="59" t="n">
        <v>0</v>
      </c>
      <c r="AR179" s="155" t="n"/>
    </row>
    <row r="180">
      <c r="A180" s="50" t="inlineStr">
        <is>
          <t>199168094461</t>
        </is>
      </c>
      <c r="B180" s="51" t="n"/>
      <c r="C180" s="156" t="inlineStr">
        <is>
          <t>Roper</t>
        </is>
      </c>
      <c r="D180" s="156" t="inlineStr">
        <is>
          <t>03-050-0062-0160</t>
        </is>
      </c>
      <c r="E180" s="156" t="inlineStr">
        <is>
          <t>03-050-0062-0160 BU-L</t>
        </is>
      </c>
      <c r="F180" s="156" t="inlineStr">
        <is>
          <t>L</t>
        </is>
      </c>
      <c r="G180" s="156" t="inlineStr">
        <is>
          <t>L</t>
        </is>
      </c>
      <c r="H180" s="156" t="inlineStr">
        <is>
          <t>Roper</t>
        </is>
      </c>
      <c r="I180" s="156" t="inlineStr">
        <is>
          <t>ROPER Shirt Horseshoe Dobby Plaid</t>
        </is>
      </c>
      <c r="J180" s="156" t="inlineStr">
        <is>
          <t>Ropa</t>
        </is>
      </c>
      <c r="K180" s="156" t="inlineStr">
        <is>
          <t>Camisas</t>
        </is>
      </c>
      <c r="L180" s="156" t="n"/>
      <c r="M180" s="156" t="n"/>
      <c r="N180" s="156" t="n"/>
      <c r="O180" s="156" t="n"/>
      <c r="P180" s="156" t="n"/>
      <c r="Q180" s="156" t="n"/>
      <c r="R180" s="156" t="n"/>
      <c r="S180" s="156" t="n"/>
      <c r="T180" s="156" t="n"/>
      <c r="U180" s="156" t="n"/>
      <c r="V180" s="156" t="inlineStr">
        <is>
          <t>PZS</t>
        </is>
      </c>
      <c r="W180" s="51" t="inlineStr">
        <is>
          <t>53101602</t>
        </is>
      </c>
      <c r="X180" s="156" t="n"/>
      <c r="Y180" s="54" t="n">
        <v>28</v>
      </c>
      <c r="Z180" s="54" t="n">
        <v>759</v>
      </c>
      <c r="AA180" s="55">
        <f>IF(AND(A180="", B180="", E180=""), "", IF(AB180="", "Válido", IF((LEN(AB180)-LEN(SUBSTITUTE(AB180,"; ","")))/2+1&gt;(LEN(AB180)-LEN(SUBSTITUTE(AB180,"[Aviso]","")))/7, "Con Incidencias", "Válido")))</f>
        <v/>
      </c>
      <c r="AB180" s="56">
        <f>IF(AND(A180="", B180="", E180=""), "", TEXTJOIN("; ", TRUE, IF(OR(TRIM(A180&amp;"")="", ISNUMBER(SEARCH("FALTA", A180))), "UPC faltante/inválido", ""), IF(AND(A180&lt;&gt;"", IFERROR(_xlfn.XMATCH(A180,$A$2:$A$285,0,1)&lt;&gt;_xlfn.XMATCH(A180,$A$2:$A$285,0,-1),FALSE)), "Código de barras duplicado", ""), IF(AND(E180&lt;&gt;"", COUNTIF($E$2:$E$285, E180)&gt;1), "SKU duplicado", ""), IF(OR(J180="", J180=""), "[Aviso] División no capturada ()", IF(ISNA(MATCH(J180, Criterios!$A$123:$A$126, 0)), "División no válida", "")), IF(OR(K180="", K180=""), "[Aviso] Categoría no capturada ()", IF(ISNA(MATCH(K180, Criterios!$A$81:$A$120, 0)), "Categoría no válida", IF(AND(J180&lt;&gt;"", J180&lt;&gt;"", J180&lt;&gt;VLOOKUP(K180, Criterios!$A$81:$B$120, 2, FALSE)), "División no coincide con Categoría", ""))), IF(OR(L180="", L180=""), "[Aviso] Género no capturado ()", IF(ISNA(MATCH(L180, Criterios!$B$123:$B$127, 0)), "Género no válido", "")), IF(OR(N180="", N180=""), "[Aviso] Temporada no capturada ()", IF(ISNA(MATCH(N180, Criterios!$C$123:$C$128, 0)), "Temporada no válida", "")), IF(OR(O180="", O180=""), "[Aviso] Ciclo de vida no capturado ()", IF(ISNA(MATCH(O180, Criterios!$D$123:$D$124, 0)), "Ciclo de vida no válido", ""))))</f>
        <v/>
      </c>
      <c r="AC180" s="56" t="n"/>
      <c r="AD180" s="51" t="n"/>
      <c r="AE180" s="156" t="n"/>
      <c r="AF180" s="51" t="n"/>
      <c r="AG180" s="156" t="inlineStr">
        <is>
          <t>Nuevo – Odoo Universal Unique Brands 01/10/2026</t>
        </is>
      </c>
      <c r="AH180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«03-050-0062-0160» (Completado por regla) · Validador Shopify: WB: precio con IVA no termina en 9</t>
        </is>
      </c>
      <c r="AI180" s="156" t="n"/>
      <c r="AJ180" s="156" t="n"/>
      <c r="AK180" s="155" t="inlineStr">
        <is>
          <t>Odoo: producto 20895 / plantilla 26898</t>
        </is>
      </c>
      <c r="AL180" s="58" t="n"/>
      <c r="AM180" s="58" t="n"/>
      <c r="AN180" s="155" t="inlineStr">
        <is>
          <t>Odoo Universal Unique Brands</t>
        </is>
      </c>
      <c r="AO180" s="59" t="n"/>
      <c r="AP180" s="59" t="n"/>
      <c r="AQ180" s="59" t="n">
        <v>20</v>
      </c>
      <c r="AR180" s="155" t="inlineStr">
        <is>
          <t>Odoo Universal Unique Brands › Bodega 25 › Bodega 25/General: 20</t>
        </is>
      </c>
    </row>
    <row r="181">
      <c r="A181" s="50" t="inlineStr">
        <is>
          <t>199168094478</t>
        </is>
      </c>
      <c r="B181" s="51" t="n"/>
      <c r="C181" s="156" t="inlineStr">
        <is>
          <t>Roper</t>
        </is>
      </c>
      <c r="D181" s="156" t="inlineStr">
        <is>
          <t>03-050-0062-0160</t>
        </is>
      </c>
      <c r="E181" s="156" t="inlineStr">
        <is>
          <t>03-050-0062-0160 BU-M</t>
        </is>
      </c>
      <c r="F181" s="156" t="inlineStr">
        <is>
          <t>M</t>
        </is>
      </c>
      <c r="G181" s="156" t="inlineStr">
        <is>
          <t>M</t>
        </is>
      </c>
      <c r="H181" s="156" t="inlineStr">
        <is>
          <t>Roper</t>
        </is>
      </c>
      <c r="I181" s="156" t="inlineStr">
        <is>
          <t>ROPER Shirt Horseshoe Dobby Plaid</t>
        </is>
      </c>
      <c r="J181" s="156" t="inlineStr">
        <is>
          <t>Ropa</t>
        </is>
      </c>
      <c r="K181" s="156" t="inlineStr">
        <is>
          <t>Camisas</t>
        </is>
      </c>
      <c r="L181" s="156" t="n"/>
      <c r="M181" s="156" t="n"/>
      <c r="N181" s="156" t="n"/>
      <c r="O181" s="156" t="n"/>
      <c r="P181" s="156" t="n"/>
      <c r="Q181" s="156" t="n"/>
      <c r="R181" s="156" t="n"/>
      <c r="S181" s="156" t="n"/>
      <c r="T181" s="156" t="n"/>
      <c r="U181" s="156" t="n"/>
      <c r="V181" s="156" t="inlineStr">
        <is>
          <t>PZS</t>
        </is>
      </c>
      <c r="W181" s="51" t="inlineStr">
        <is>
          <t>53101602</t>
        </is>
      </c>
      <c r="X181" s="156" t="n"/>
      <c r="Y181" s="54" t="n">
        <v>28</v>
      </c>
      <c r="Z181" s="54" t="n">
        <v>759</v>
      </c>
      <c r="AA181" s="55">
        <f>IF(AND(A181="", B181="", E181=""), "", IF(AB181="", "Válido", IF((LEN(AB181)-LEN(SUBSTITUTE(AB181,"; ","")))/2+1&gt;(LEN(AB181)-LEN(SUBSTITUTE(AB181,"[Aviso]","")))/7, "Con Incidencias", "Válido")))</f>
        <v/>
      </c>
      <c r="AB181" s="56">
        <f>IF(AND(A181="", B181="", E181=""), "", TEXTJOIN("; ", TRUE, IF(OR(TRIM(A181&amp;"")="", ISNUMBER(SEARCH("FALTA", A181))), "UPC faltante/inválido", ""), IF(AND(A181&lt;&gt;"", IFERROR(_xlfn.XMATCH(A181,$A$2:$A$285,0,1)&lt;&gt;_xlfn.XMATCH(A181,$A$2:$A$285,0,-1),FALSE)), "Código de barras duplicado", ""), IF(AND(E181&lt;&gt;"", COUNTIF($E$2:$E$285, E181)&gt;1), "SKU duplicado", ""), IF(OR(J181="", J181=""), "[Aviso] División no capturada ()", IF(ISNA(MATCH(J181, Criterios!$A$123:$A$126, 0)), "División no válida", "")), IF(OR(K181="", K181=""), "[Aviso] Categoría no capturada ()", IF(ISNA(MATCH(K181, Criterios!$A$81:$A$120, 0)), "Categoría no válida", IF(AND(J181&lt;&gt;"", J181&lt;&gt;"", J181&lt;&gt;VLOOKUP(K181, Criterios!$A$81:$B$120, 2, FALSE)), "División no coincide con Categoría", ""))), IF(OR(L181="", L181=""), "[Aviso] Género no capturado ()", IF(ISNA(MATCH(L181, Criterios!$B$123:$B$127, 0)), "Género no válido", "")), IF(OR(N181="", N181=""), "[Aviso] Temporada no capturada ()", IF(ISNA(MATCH(N181, Criterios!$C$123:$C$128, 0)), "Temporada no válida", "")), IF(OR(O181="", O181=""), "[Aviso] Ciclo de vida no capturado ()", IF(ISNA(MATCH(O181, Criterios!$D$123:$D$124, 0)), "Ciclo de vida no válido", ""))))</f>
        <v/>
      </c>
      <c r="AC181" s="56" t="n"/>
      <c r="AD181" s="51" t="n"/>
      <c r="AE181" s="156" t="n"/>
      <c r="AF181" s="51" t="n"/>
      <c r="AG181" s="156" t="inlineStr">
        <is>
          <t>Nuevo – Odoo Universal Unique Brands 01/10/2026</t>
        </is>
      </c>
      <c r="AH181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«03-050-0062-0160» (Completado por regla) · Validador Shopify: WB: precio con IVA no termina en 9</t>
        </is>
      </c>
      <c r="AI181" s="156" t="n"/>
      <c r="AJ181" s="156" t="n"/>
      <c r="AK181" s="155" t="inlineStr">
        <is>
          <t>Odoo: producto 20894 / plantilla 26897</t>
        </is>
      </c>
      <c r="AL181" s="58" t="n"/>
      <c r="AM181" s="58" t="n"/>
      <c r="AN181" s="155" t="inlineStr">
        <is>
          <t>Odoo Universal Unique Brands</t>
        </is>
      </c>
      <c r="AO181" s="59" t="n"/>
      <c r="AP181" s="59" t="n"/>
      <c r="AQ181" s="59" t="n">
        <v>20</v>
      </c>
      <c r="AR181" s="155" t="inlineStr">
        <is>
          <t>Odoo Universal Unique Brands › Bodega 25 › Bodega 25/General: 20</t>
        </is>
      </c>
    </row>
    <row r="182">
      <c r="A182" s="50" t="inlineStr">
        <is>
          <t>199168094485</t>
        </is>
      </c>
      <c r="B182" s="51" t="n"/>
      <c r="C182" s="156" t="inlineStr">
        <is>
          <t>Roper</t>
        </is>
      </c>
      <c r="D182" s="156" t="inlineStr">
        <is>
          <t>03-050-0062-0160</t>
        </is>
      </c>
      <c r="E182" s="156" t="inlineStr">
        <is>
          <t>03-050-0062-0160 BU-S</t>
        </is>
      </c>
      <c r="F182" s="156" t="inlineStr">
        <is>
          <t>S</t>
        </is>
      </c>
      <c r="G182" s="156" t="inlineStr">
        <is>
          <t>S</t>
        </is>
      </c>
      <c r="H182" s="156" t="inlineStr">
        <is>
          <t>Roper</t>
        </is>
      </c>
      <c r="I182" s="156" t="inlineStr">
        <is>
          <t>ROPER Shirt Horseshoe Dobby Plaid</t>
        </is>
      </c>
      <c r="J182" s="156" t="inlineStr">
        <is>
          <t>Ropa</t>
        </is>
      </c>
      <c r="K182" s="156" t="inlineStr">
        <is>
          <t>Camisas</t>
        </is>
      </c>
      <c r="L182" s="156" t="n"/>
      <c r="M182" s="156" t="n"/>
      <c r="N182" s="156" t="n"/>
      <c r="O182" s="156" t="n"/>
      <c r="P182" s="156" t="n"/>
      <c r="Q182" s="156" t="n"/>
      <c r="R182" s="156" t="n"/>
      <c r="S182" s="156" t="n"/>
      <c r="T182" s="156" t="n"/>
      <c r="U182" s="156" t="n"/>
      <c r="V182" s="156" t="inlineStr">
        <is>
          <t>PZS</t>
        </is>
      </c>
      <c r="W182" s="51" t="inlineStr">
        <is>
          <t>53101602</t>
        </is>
      </c>
      <c r="X182" s="156" t="n"/>
      <c r="Y182" s="54" t="n">
        <v>28</v>
      </c>
      <c r="Z182" s="54" t="n">
        <v>759</v>
      </c>
      <c r="AA182" s="55">
        <f>IF(AND(A182="", B182="", E182=""), "", IF(AB182="", "Válido", IF((LEN(AB182)-LEN(SUBSTITUTE(AB182,"; ","")))/2+1&gt;(LEN(AB182)-LEN(SUBSTITUTE(AB182,"[Aviso]","")))/7, "Con Incidencias", "Válido")))</f>
        <v/>
      </c>
      <c r="AB182" s="56">
        <f>IF(AND(A182="", B182="", E182=""), "", TEXTJOIN("; ", TRUE, IF(OR(TRIM(A182&amp;"")="", ISNUMBER(SEARCH("FALTA", A182))), "UPC faltante/inválido", ""), IF(AND(A182&lt;&gt;"", IFERROR(_xlfn.XMATCH(A182,$A$2:$A$285,0,1)&lt;&gt;_xlfn.XMATCH(A182,$A$2:$A$285,0,-1),FALSE)), "Código de barras duplicado", ""), IF(AND(E182&lt;&gt;"", COUNTIF($E$2:$E$285, E182)&gt;1), "SKU duplicado", ""), IF(OR(J182="", J182=""), "[Aviso] División no capturada ()", IF(ISNA(MATCH(J182, Criterios!$A$123:$A$126, 0)), "División no válida", "")), IF(OR(K182="", K182=""), "[Aviso] Categoría no capturada ()", IF(ISNA(MATCH(K182, Criterios!$A$81:$A$120, 0)), "Categoría no válida", IF(AND(J182&lt;&gt;"", J182&lt;&gt;"", J182&lt;&gt;VLOOKUP(K182, Criterios!$A$81:$B$120, 2, FALSE)), "División no coincide con Categoría", ""))), IF(OR(L182="", L182=""), "[Aviso] Género no capturado ()", IF(ISNA(MATCH(L182, Criterios!$B$123:$B$127, 0)), "Género no válido", "")), IF(OR(N182="", N182=""), "[Aviso] Temporada no capturada ()", IF(ISNA(MATCH(N182, Criterios!$C$123:$C$128, 0)), "Temporada no válida", "")), IF(OR(O182="", O182=""), "[Aviso] Ciclo de vida no capturado ()", IF(ISNA(MATCH(O182, Criterios!$D$123:$D$124, 0)), "Ciclo de vida no válido", ""))))</f>
        <v/>
      </c>
      <c r="AC182" s="56" t="n"/>
      <c r="AD182" s="51" t="n"/>
      <c r="AE182" s="156" t="n"/>
      <c r="AF182" s="51" t="n"/>
      <c r="AG182" s="156" t="inlineStr">
        <is>
          <t>Nuevo – Odoo Universal Unique Brands 01/10/2026</t>
        </is>
      </c>
      <c r="AH182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«03-050-0062-0160» (Completado por regla) · Validador Shopify: WB: precio con IVA no termina en 9</t>
        </is>
      </c>
      <c r="AI182" s="156" t="n"/>
      <c r="AJ182" s="156" t="n"/>
      <c r="AK182" s="155" t="inlineStr">
        <is>
          <t>Odoo: producto 20893 / plantilla 26896</t>
        </is>
      </c>
      <c r="AL182" s="58" t="n"/>
      <c r="AM182" s="58" t="n"/>
      <c r="AN182" s="155" t="inlineStr">
        <is>
          <t>Odoo Universal Unique Brands</t>
        </is>
      </c>
      <c r="AO182" s="59" t="n"/>
      <c r="AP182" s="59" t="n"/>
      <c r="AQ182" s="59" t="n">
        <v>20</v>
      </c>
      <c r="AR182" s="155" t="inlineStr">
        <is>
          <t>Odoo Universal Unique Brands › Bodega 25 › Bodega 25/General: 20</t>
        </is>
      </c>
    </row>
    <row r="183">
      <c r="A183" s="50" t="inlineStr">
        <is>
          <t>199168094492</t>
        </is>
      </c>
      <c r="B183" s="51" t="n"/>
      <c r="C183" s="156" t="inlineStr">
        <is>
          <t>Roper</t>
        </is>
      </c>
      <c r="D183" s="156" t="inlineStr">
        <is>
          <t>03-050-0062-0160</t>
        </is>
      </c>
      <c r="E183" s="156" t="inlineStr">
        <is>
          <t>03-050-0062-0160 BU-XL</t>
        </is>
      </c>
      <c r="F183" s="156" t="inlineStr">
        <is>
          <t>XL</t>
        </is>
      </c>
      <c r="G183" s="156" t="inlineStr">
        <is>
          <t>XL</t>
        </is>
      </c>
      <c r="H183" s="156" t="inlineStr">
        <is>
          <t>Roper</t>
        </is>
      </c>
      <c r="I183" s="156" t="inlineStr">
        <is>
          <t>ROPER Shirt Horseshoe Dobby Plaid</t>
        </is>
      </c>
      <c r="J183" s="156" t="inlineStr">
        <is>
          <t>Ropa</t>
        </is>
      </c>
      <c r="K183" s="156" t="inlineStr">
        <is>
          <t>Camisas</t>
        </is>
      </c>
      <c r="L183" s="156" t="n"/>
      <c r="M183" s="156" t="n"/>
      <c r="N183" s="156" t="n"/>
      <c r="O183" s="156" t="n"/>
      <c r="P183" s="156" t="n"/>
      <c r="Q183" s="156" t="n"/>
      <c r="R183" s="156" t="n"/>
      <c r="S183" s="156" t="n"/>
      <c r="T183" s="156" t="n"/>
      <c r="U183" s="156" t="n"/>
      <c r="V183" s="156" t="inlineStr">
        <is>
          <t>PZS</t>
        </is>
      </c>
      <c r="W183" s="51" t="inlineStr">
        <is>
          <t>53101602</t>
        </is>
      </c>
      <c r="X183" s="156" t="n"/>
      <c r="Y183" s="54" t="n">
        <v>28</v>
      </c>
      <c r="Z183" s="54" t="n">
        <v>759</v>
      </c>
      <c r="AA183" s="55">
        <f>IF(AND(A183="", B183="", E183=""), "", IF(AB183="", "Válido", IF((LEN(AB183)-LEN(SUBSTITUTE(AB183,"; ","")))/2+1&gt;(LEN(AB183)-LEN(SUBSTITUTE(AB183,"[Aviso]","")))/7, "Con Incidencias", "Válido")))</f>
        <v/>
      </c>
      <c r="AB183" s="56">
        <f>IF(AND(A183="", B183="", E183=""), "", TEXTJOIN("; ", TRUE, IF(OR(TRIM(A183&amp;"")="", ISNUMBER(SEARCH("FALTA", A183))), "UPC faltante/inválido", ""), IF(AND(A183&lt;&gt;"", IFERROR(_xlfn.XMATCH(A183,$A$2:$A$285,0,1)&lt;&gt;_xlfn.XMATCH(A183,$A$2:$A$285,0,-1),FALSE)), "Código de barras duplicado", ""), IF(AND(E183&lt;&gt;"", COUNTIF($E$2:$E$285, E183)&gt;1), "SKU duplicado", ""), IF(OR(J183="", J183=""), "[Aviso] División no capturada ()", IF(ISNA(MATCH(J183, Criterios!$A$123:$A$126, 0)), "División no válida", "")), IF(OR(K183="", K183=""), "[Aviso] Categoría no capturada ()", IF(ISNA(MATCH(K183, Criterios!$A$81:$A$120, 0)), "Categoría no válida", IF(AND(J183&lt;&gt;"", J183&lt;&gt;"", J183&lt;&gt;VLOOKUP(K183, Criterios!$A$81:$B$120, 2, FALSE)), "División no coincide con Categoría", ""))), IF(OR(L183="", L183=""), "[Aviso] Género no capturado ()", IF(ISNA(MATCH(L183, Criterios!$B$123:$B$127, 0)), "Género no válido", "")), IF(OR(N183="", N183=""), "[Aviso] Temporada no capturada ()", IF(ISNA(MATCH(N183, Criterios!$C$123:$C$128, 0)), "Temporada no válida", "")), IF(OR(O183="", O183=""), "[Aviso] Ciclo de vida no capturado ()", IF(ISNA(MATCH(O183, Criterios!$D$123:$D$124, 0)), "Ciclo de vida no válido", ""))))</f>
        <v/>
      </c>
      <c r="AC183" s="56" t="n"/>
      <c r="AD183" s="51" t="n"/>
      <c r="AE183" s="156" t="n"/>
      <c r="AF183" s="51" t="n"/>
      <c r="AG183" s="156" t="inlineStr">
        <is>
          <t>Nuevo – Odoo Universal Unique Brands 01/10/2026</t>
        </is>
      </c>
      <c r="AH183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«03-050-0062-0160» (Completado por regla) · Validador Shopify: WB: precio con IVA no termina en 9</t>
        </is>
      </c>
      <c r="AI183" s="156" t="n"/>
      <c r="AJ183" s="156" t="n"/>
      <c r="AK183" s="155" t="inlineStr">
        <is>
          <t>Odoo: producto 20896 / plantilla 26899</t>
        </is>
      </c>
      <c r="AL183" s="58" t="n"/>
      <c r="AM183" s="58" t="n"/>
      <c r="AN183" s="155" t="inlineStr">
        <is>
          <t>Odoo Universal Unique Brands</t>
        </is>
      </c>
      <c r="AO183" s="59" t="n"/>
      <c r="AP183" s="59" t="n"/>
      <c r="AQ183" s="59" t="n">
        <v>10</v>
      </c>
      <c r="AR183" s="155" t="inlineStr">
        <is>
          <t>Odoo Universal Unique Brands › Bodega 25 › Bodega 25/General: 10</t>
        </is>
      </c>
    </row>
    <row r="184">
      <c r="A184" s="50" t="inlineStr">
        <is>
          <t>199168094508</t>
        </is>
      </c>
      <c r="B184" s="51" t="n"/>
      <c r="C184" s="156" t="inlineStr">
        <is>
          <t>Roper</t>
        </is>
      </c>
      <c r="D184" s="156" t="inlineStr">
        <is>
          <t>03-050-0062-0160</t>
        </is>
      </c>
      <c r="E184" s="156" t="inlineStr">
        <is>
          <t>03-050-0062-0160 BU-XS</t>
        </is>
      </c>
      <c r="F184" s="156" t="inlineStr">
        <is>
          <t>XS</t>
        </is>
      </c>
      <c r="G184" s="156" t="inlineStr">
        <is>
          <t>XS</t>
        </is>
      </c>
      <c r="H184" s="156" t="inlineStr">
        <is>
          <t>Roper</t>
        </is>
      </c>
      <c r="I184" s="156" t="inlineStr">
        <is>
          <t>ROPER Shirt Horseshoe Dobby Plaid</t>
        </is>
      </c>
      <c r="J184" s="156" t="inlineStr">
        <is>
          <t>Ropa</t>
        </is>
      </c>
      <c r="K184" s="156" t="inlineStr">
        <is>
          <t>Camisas</t>
        </is>
      </c>
      <c r="L184" s="156" t="n"/>
      <c r="M184" s="156" t="n"/>
      <c r="N184" s="156" t="n"/>
      <c r="O184" s="156" t="n"/>
      <c r="P184" s="156" t="n"/>
      <c r="Q184" s="156" t="n"/>
      <c r="R184" s="156" t="n"/>
      <c r="S184" s="156" t="n"/>
      <c r="T184" s="156" t="n"/>
      <c r="U184" s="156" t="n"/>
      <c r="V184" s="156" t="inlineStr">
        <is>
          <t>PZS</t>
        </is>
      </c>
      <c r="W184" s="51" t="inlineStr">
        <is>
          <t>53101602</t>
        </is>
      </c>
      <c r="X184" s="156" t="n"/>
      <c r="Y184" s="54" t="n">
        <v>28</v>
      </c>
      <c r="Z184" s="54" t="n">
        <v>759</v>
      </c>
      <c r="AA184" s="55">
        <f>IF(AND(A184="", B184="", E184=""), "", IF(AB184="", "Válido", IF((LEN(AB184)-LEN(SUBSTITUTE(AB184,"; ","")))/2+1&gt;(LEN(AB184)-LEN(SUBSTITUTE(AB184,"[Aviso]","")))/7, "Con Incidencias", "Válido")))</f>
        <v/>
      </c>
      <c r="AB184" s="56">
        <f>IF(AND(A184="", B184="", E184=""), "", TEXTJOIN("; ", TRUE, IF(OR(TRIM(A184&amp;"")="", ISNUMBER(SEARCH("FALTA", A184))), "UPC faltante/inválido", ""), IF(AND(A184&lt;&gt;"", IFERROR(_xlfn.XMATCH(A184,$A$2:$A$285,0,1)&lt;&gt;_xlfn.XMATCH(A184,$A$2:$A$285,0,-1),FALSE)), "Código de barras duplicado", ""), IF(AND(E184&lt;&gt;"", COUNTIF($E$2:$E$285, E184)&gt;1), "SKU duplicado", ""), IF(OR(J184="", J184=""), "[Aviso] División no capturada ()", IF(ISNA(MATCH(J184, Criterios!$A$123:$A$126, 0)), "División no válida", "")), IF(OR(K184="", K184=""), "[Aviso] Categoría no capturada ()", IF(ISNA(MATCH(K184, Criterios!$A$81:$A$120, 0)), "Categoría no válida", IF(AND(J184&lt;&gt;"", J184&lt;&gt;"", J184&lt;&gt;VLOOKUP(K184, Criterios!$A$81:$B$120, 2, FALSE)), "División no coincide con Categoría", ""))), IF(OR(L184="", L184=""), "[Aviso] Género no capturado ()", IF(ISNA(MATCH(L184, Criterios!$B$123:$B$127, 0)), "Género no válido", "")), IF(OR(N184="", N184=""), "[Aviso] Temporada no capturada ()", IF(ISNA(MATCH(N184, Criterios!$C$123:$C$128, 0)), "Temporada no válida", "")), IF(OR(O184="", O184=""), "[Aviso] Ciclo de vida no capturado ()", IF(ISNA(MATCH(O184, Criterios!$D$123:$D$124, 0)), "Ciclo de vida no válido", ""))))</f>
        <v/>
      </c>
      <c r="AC184" s="56" t="n"/>
      <c r="AD184" s="51" t="n"/>
      <c r="AE184" s="156" t="n"/>
      <c r="AF184" s="51" t="n"/>
      <c r="AG184" s="156" t="inlineStr">
        <is>
          <t>Nuevo – Odoo Universal Unique Brands 01/10/2026</t>
        </is>
      </c>
      <c r="AH184" s="156" t="inlineStr">
        <is>
          <t>01/10/2026: alta desde Odoo Universal Unique Brands (no existía en Productos por código de barras ni SKU) | Talla tomada del sufijo del SKU (XS); Categoría: Palabra clave "Camisa" en tipo/categoría de la fuente (Ropa / Camisas) | Homologación G1522 06/10/2026: WB N.º de estilo: «» → «03-050-0062-0160» (Completado por regla) · Validador Shopify: WB: precio con IVA no termina en 9</t>
        </is>
      </c>
      <c r="AI184" s="156" t="n"/>
      <c r="AJ184" s="156" t="n"/>
      <c r="AK184" s="155" t="inlineStr">
        <is>
          <t>Odoo: producto 20892 / plantilla 26895</t>
        </is>
      </c>
      <c r="AL184" s="58" t="n"/>
      <c r="AM184" s="58" t="n"/>
      <c r="AN184" s="155" t="inlineStr">
        <is>
          <t>Odoo Universal Unique Brands</t>
        </is>
      </c>
      <c r="AO184" s="59" t="n"/>
      <c r="AP184" s="59" t="n"/>
      <c r="AQ184" s="59" t="n">
        <v>10</v>
      </c>
      <c r="AR184" s="155" t="inlineStr">
        <is>
          <t>Odoo Universal Unique Brands › Bodega 25 › Bodega 25/General: 10</t>
        </is>
      </c>
    </row>
    <row r="185">
      <c r="A185" s="50" t="inlineStr">
        <is>
          <t>199168053888</t>
        </is>
      </c>
      <c r="B185" s="51" t="n"/>
      <c r="C185" s="156" t="inlineStr">
        <is>
          <t>Roper</t>
        </is>
      </c>
      <c r="D185" s="156" t="inlineStr">
        <is>
          <t>03-050-0062-0709</t>
        </is>
      </c>
      <c r="E185" s="156" t="inlineStr">
        <is>
          <t>03-050-0062-0709 BR-L</t>
        </is>
      </c>
      <c r="F185" s="156" t="inlineStr">
        <is>
          <t>L</t>
        </is>
      </c>
      <c r="G185" s="156" t="inlineStr">
        <is>
          <t>L</t>
        </is>
      </c>
      <c r="H185" s="156" t="inlineStr">
        <is>
          <t>Roper</t>
        </is>
      </c>
      <c r="I185" s="156" t="inlineStr">
        <is>
          <t>ROPER Shirt Arrow Dobby</t>
        </is>
      </c>
      <c r="J185" s="156" t="inlineStr">
        <is>
          <t>Ropa</t>
        </is>
      </c>
      <c r="K185" s="156" t="inlineStr">
        <is>
          <t>Camisas</t>
        </is>
      </c>
      <c r="L185" s="156" t="inlineStr">
        <is>
          <t>Mujer</t>
        </is>
      </c>
      <c r="M185" s="156" t="n"/>
      <c r="N185" s="156" t="n"/>
      <c r="O185" s="156" t="n"/>
      <c r="P185" s="156" t="n"/>
      <c r="Q185" s="156" t="n"/>
      <c r="R185" s="156" t="n"/>
      <c r="S185" s="156" t="n"/>
      <c r="T185" s="156" t="n"/>
      <c r="U185" s="156" t="n"/>
      <c r="V185" s="156" t="inlineStr">
        <is>
          <t>PZS</t>
        </is>
      </c>
      <c r="W185" s="51" t="inlineStr">
        <is>
          <t>53101602</t>
        </is>
      </c>
      <c r="X185" s="156" t="n"/>
      <c r="Y185" s="54" t="n">
        <v>23.72</v>
      </c>
      <c r="Z185" s="54" t="n">
        <v>659</v>
      </c>
      <c r="AA185" s="55">
        <f>IF(AND(A185="", B185="", E185=""), "", IF(AB185="", "Válido", IF((LEN(AB185)-LEN(SUBSTITUTE(AB185,"; ","")))/2+1&gt;(LEN(AB185)-LEN(SUBSTITUTE(AB185,"[Aviso]","")))/7, "Con Incidencias", "Válido")))</f>
        <v/>
      </c>
      <c r="AB185" s="56">
        <f>IF(AND(A185="", B185="", E185=""), "", TEXTJOIN("; ", TRUE, IF(OR(TRIM(A185&amp;"")="", ISNUMBER(SEARCH("FALTA", A185))), "UPC faltante/inválido", ""), IF(AND(A185&lt;&gt;"", IFERROR(_xlfn.XMATCH(A185,$A$2:$A$285,0,1)&lt;&gt;_xlfn.XMATCH(A185,$A$2:$A$285,0,-1),FALSE)), "Código de barras duplicado", ""), IF(AND(E185&lt;&gt;"", COUNTIF($E$2:$E$285, E185)&gt;1), "SKU duplicado", ""), IF(OR(J185="", J185=""), "[Aviso] División no capturada ()", IF(ISNA(MATCH(J185, Criterios!$A$123:$A$126, 0)), "División no válida", "")), IF(OR(K185="", K185=""), "[Aviso] Categoría no capturada ()", IF(ISNA(MATCH(K185, Criterios!$A$81:$A$120, 0)), "Categoría no válida", IF(AND(J185&lt;&gt;"", J185&lt;&gt;"", J185&lt;&gt;VLOOKUP(K185, Criterios!$A$81:$B$120, 2, FALSE)), "División no coincide con Categoría", ""))), IF(OR(L185="", L185=""), "[Aviso] Género no capturado ()", IF(ISNA(MATCH(L185, Criterios!$B$123:$B$127, 0)), "Género no válido", "")), IF(OR(N185="", N185=""), "[Aviso] Temporada no capturada ()", IF(ISNA(MATCH(N185, Criterios!$C$123:$C$128, 0)), "Temporada no válida", "")), IF(OR(O185="", O185=""), "[Aviso] Ciclo de vida no capturado ()", IF(ISNA(MATCH(O185, Criterios!$D$123:$D$124, 0)), "Ciclo de vida no válido", ""))))</f>
        <v/>
      </c>
      <c r="AC185" s="56" t="n"/>
      <c r="AD185" s="51" t="n"/>
      <c r="AE185" s="156" t="n"/>
      <c r="AF185" s="51" t="n"/>
      <c r="AG185" s="156" t="inlineStr">
        <is>
          <t>Nuevo – Odoo Universal Unique Brands 01/10/2026</t>
        </is>
      </c>
      <c r="AH185" s="156" t="inlineStr">
        <is>
          <t>01/10/2026: alta desde Odoo Universal Unique Brands (no existía en Productos por código de barras ni SKU) | Categoría: Palabra clave "Camisa" en tipo/categoría de la fuente (Ropa / Camisas); Género: campo de la fuente | Homologación G1522 06/10/2026: WB N.º de estilo: «» → «03-050-0062-0709» (Completado por regla) · Validador Shopify: WB: precio con IVA no termina en 9</t>
        </is>
      </c>
      <c r="AI185" s="156" t="n"/>
      <c r="AJ185" s="156" t="n"/>
      <c r="AK185" s="155" t="inlineStr">
        <is>
          <t>Odoo: producto 21002 / plantilla 27005</t>
        </is>
      </c>
      <c r="AL185" s="58" t="n"/>
      <c r="AM185" s="58" t="n"/>
      <c r="AN185" s="155" t="inlineStr">
        <is>
          <t>Odoo Universal Unique Brands</t>
        </is>
      </c>
      <c r="AO185" s="59" t="n"/>
      <c r="AP185" s="59" t="n"/>
      <c r="AQ185" s="59" t="n">
        <v>12</v>
      </c>
      <c r="AR185" s="155" t="inlineStr">
        <is>
          <t>Odoo Universal Unique Brands › Bodega 25 › Bodega 25/General: 12</t>
        </is>
      </c>
    </row>
    <row r="186">
      <c r="A186" s="50" t="inlineStr">
        <is>
          <t>199168053895</t>
        </is>
      </c>
      <c r="B186" s="51" t="n"/>
      <c r="C186" s="156" t="inlineStr">
        <is>
          <t>Roper</t>
        </is>
      </c>
      <c r="D186" s="156" t="inlineStr">
        <is>
          <t>03-050-0062-0709</t>
        </is>
      </c>
      <c r="E186" s="156" t="inlineStr">
        <is>
          <t>03-050-0062-0709 BR-M</t>
        </is>
      </c>
      <c r="F186" s="156" t="inlineStr">
        <is>
          <t>M</t>
        </is>
      </c>
      <c r="G186" s="156" t="inlineStr">
        <is>
          <t>M</t>
        </is>
      </c>
      <c r="H186" s="156" t="inlineStr">
        <is>
          <t>Roper</t>
        </is>
      </c>
      <c r="I186" s="156" t="inlineStr">
        <is>
          <t>ROPER Shirt Arrow Dobby</t>
        </is>
      </c>
      <c r="J186" s="156" t="inlineStr">
        <is>
          <t>Ropa</t>
        </is>
      </c>
      <c r="K186" s="156" t="inlineStr">
        <is>
          <t>Camisas</t>
        </is>
      </c>
      <c r="L186" s="156" t="n"/>
      <c r="M186" s="156" t="n"/>
      <c r="N186" s="156" t="n"/>
      <c r="O186" s="156" t="n"/>
      <c r="P186" s="156" t="n"/>
      <c r="Q186" s="156" t="n"/>
      <c r="R186" s="156" t="n"/>
      <c r="S186" s="156" t="n"/>
      <c r="T186" s="156" t="n"/>
      <c r="U186" s="156" t="n"/>
      <c r="V186" s="156" t="inlineStr">
        <is>
          <t>PZS</t>
        </is>
      </c>
      <c r="W186" s="51" t="inlineStr">
        <is>
          <t>53101602</t>
        </is>
      </c>
      <c r="X186" s="156" t="n"/>
      <c r="Y186" s="54" t="n">
        <v>23.72</v>
      </c>
      <c r="Z186" s="54" t="n">
        <v>659</v>
      </c>
      <c r="AA186" s="55">
        <f>IF(AND(A186="", B186="", E186=""), "", IF(AB186="", "Válido", IF((LEN(AB186)-LEN(SUBSTITUTE(AB186,"; ","")))/2+1&gt;(LEN(AB186)-LEN(SUBSTITUTE(AB186,"[Aviso]","")))/7, "Con Incidencias", "Válido")))</f>
        <v/>
      </c>
      <c r="AB186" s="56">
        <f>IF(AND(A186="", B186="", E186=""), "", TEXTJOIN("; ", TRUE, IF(OR(TRIM(A186&amp;"")="", ISNUMBER(SEARCH("FALTA", A186))), "UPC faltante/inválido", ""), IF(AND(A186&lt;&gt;"", IFERROR(_xlfn.XMATCH(A186,$A$2:$A$285,0,1)&lt;&gt;_xlfn.XMATCH(A186,$A$2:$A$285,0,-1),FALSE)), "Código de barras duplicado", ""), IF(AND(E186&lt;&gt;"", COUNTIF($E$2:$E$285, E186)&gt;1), "SKU duplicado", ""), IF(OR(J186="", J186=""), "[Aviso] División no capturada ()", IF(ISNA(MATCH(J186, Criterios!$A$123:$A$126, 0)), "División no válida", "")), IF(OR(K186="", K186=""), "[Aviso] Categoría no capturada ()", IF(ISNA(MATCH(K186, Criterios!$A$81:$A$120, 0)), "Categoría no válida", IF(AND(J186&lt;&gt;"", J186&lt;&gt;"", J186&lt;&gt;VLOOKUP(K186, Criterios!$A$81:$B$120, 2, FALSE)), "División no coincide con Categoría", ""))), IF(OR(L186="", L186=""), "[Aviso] Género no capturado ()", IF(ISNA(MATCH(L186, Criterios!$B$123:$B$127, 0)), "Género no válido", "")), IF(OR(N186="", N186=""), "[Aviso] Temporada no capturada ()", IF(ISNA(MATCH(N186, Criterios!$C$123:$C$128, 0)), "Temporada no válida", "")), IF(OR(O186="", O186=""), "[Aviso] Ciclo de vida no capturado ()", IF(ISNA(MATCH(O186, Criterios!$D$123:$D$124, 0)), "Ciclo de vida no válido", ""))))</f>
        <v/>
      </c>
      <c r="AC186" s="56" t="n"/>
      <c r="AD186" s="51" t="n"/>
      <c r="AE186" s="156" t="n"/>
      <c r="AF186" s="51" t="n"/>
      <c r="AG186" s="156" t="inlineStr">
        <is>
          <t>Nuevo – Odoo Universal Unique Brands 01/10/2026</t>
        </is>
      </c>
      <c r="AH186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«03-050-0062-0709» (Completado por regla) · Validador Shopify: WB: precio con IVA no termina en 9</t>
        </is>
      </c>
      <c r="AI186" s="156" t="n"/>
      <c r="AJ186" s="156" t="n"/>
      <c r="AK186" s="155" t="inlineStr">
        <is>
          <t>Odoo: producto 21001 / plantilla 27004</t>
        </is>
      </c>
      <c r="AL186" s="58" t="n"/>
      <c r="AM186" s="58" t="n"/>
      <c r="AN186" s="155" t="inlineStr">
        <is>
          <t>Odoo Universal Unique Brands</t>
        </is>
      </c>
      <c r="AO186" s="59" t="n"/>
      <c r="AP186" s="59" t="n"/>
      <c r="AQ186" s="59" t="n">
        <v>12</v>
      </c>
      <c r="AR186" s="155" t="inlineStr">
        <is>
          <t>Odoo Universal Unique Brands › Bodega 25 › Bodega 25/General: 12</t>
        </is>
      </c>
    </row>
    <row r="187">
      <c r="A187" s="50" t="inlineStr">
        <is>
          <t>199168053901</t>
        </is>
      </c>
      <c r="B187" s="51" t="n"/>
      <c r="C187" s="156" t="inlineStr">
        <is>
          <t>Roper</t>
        </is>
      </c>
      <c r="D187" s="156" t="inlineStr">
        <is>
          <t>03-050-0062-0709</t>
        </is>
      </c>
      <c r="E187" s="156" t="inlineStr">
        <is>
          <t>03-050-0062-0709 BR-S</t>
        </is>
      </c>
      <c r="F187" s="156" t="inlineStr">
        <is>
          <t>S</t>
        </is>
      </c>
      <c r="G187" s="156" t="inlineStr">
        <is>
          <t>S</t>
        </is>
      </c>
      <c r="H187" s="156" t="inlineStr">
        <is>
          <t>Roper</t>
        </is>
      </c>
      <c r="I187" s="156" t="inlineStr">
        <is>
          <t>ROPER Shirt Arrow Dobby</t>
        </is>
      </c>
      <c r="J187" s="156" t="inlineStr">
        <is>
          <t>Ropa</t>
        </is>
      </c>
      <c r="K187" s="156" t="inlineStr">
        <is>
          <t>Camisas</t>
        </is>
      </c>
      <c r="L187" s="156" t="n"/>
      <c r="M187" s="156" t="n"/>
      <c r="N187" s="156" t="n"/>
      <c r="O187" s="156" t="n"/>
      <c r="P187" s="156" t="n"/>
      <c r="Q187" s="156" t="n"/>
      <c r="R187" s="156" t="n"/>
      <c r="S187" s="156" t="n"/>
      <c r="T187" s="156" t="n"/>
      <c r="U187" s="156" t="n"/>
      <c r="V187" s="156" t="inlineStr">
        <is>
          <t>PZS</t>
        </is>
      </c>
      <c r="W187" s="51" t="inlineStr">
        <is>
          <t>53101602</t>
        </is>
      </c>
      <c r="X187" s="156" t="n"/>
      <c r="Y187" s="54" t="n">
        <v>23.72</v>
      </c>
      <c r="Z187" s="54" t="n">
        <v>659</v>
      </c>
      <c r="AA187" s="55">
        <f>IF(AND(A187="", B187="", E187=""), "", IF(AB187="", "Válido", IF((LEN(AB187)-LEN(SUBSTITUTE(AB187,"; ","")))/2+1&gt;(LEN(AB187)-LEN(SUBSTITUTE(AB187,"[Aviso]","")))/7, "Con Incidencias", "Válido")))</f>
        <v/>
      </c>
      <c r="AB187" s="56">
        <f>IF(AND(A187="", B187="", E187=""), "", TEXTJOIN("; ", TRUE, IF(OR(TRIM(A187&amp;"")="", ISNUMBER(SEARCH("FALTA", A187))), "UPC faltante/inválido", ""), IF(AND(A187&lt;&gt;"", IFERROR(_xlfn.XMATCH(A187,$A$2:$A$285,0,1)&lt;&gt;_xlfn.XMATCH(A187,$A$2:$A$285,0,-1),FALSE)), "Código de barras duplicado", ""), IF(AND(E187&lt;&gt;"", COUNTIF($E$2:$E$285, E187)&gt;1), "SKU duplicado", ""), IF(OR(J187="", J187=""), "[Aviso] División no capturada ()", IF(ISNA(MATCH(J187, Criterios!$A$123:$A$126, 0)), "División no válida", "")), IF(OR(K187="", K187=""), "[Aviso] Categoría no capturada ()", IF(ISNA(MATCH(K187, Criterios!$A$81:$A$120, 0)), "Categoría no válida", IF(AND(J187&lt;&gt;"", J187&lt;&gt;"", J187&lt;&gt;VLOOKUP(K187, Criterios!$A$81:$B$120, 2, FALSE)), "División no coincide con Categoría", ""))), IF(OR(L187="", L187=""), "[Aviso] Género no capturado ()", IF(ISNA(MATCH(L187, Criterios!$B$123:$B$127, 0)), "Género no válido", "")), IF(OR(N187="", N187=""), "[Aviso] Temporada no capturada ()", IF(ISNA(MATCH(N187, Criterios!$C$123:$C$128, 0)), "Temporada no válida", "")), IF(OR(O187="", O187=""), "[Aviso] Ciclo de vida no capturado ()", IF(ISNA(MATCH(O187, Criterios!$D$123:$D$124, 0)), "Ciclo de vida no válido", ""))))</f>
        <v/>
      </c>
      <c r="AC187" s="56" t="n"/>
      <c r="AD187" s="51" t="n"/>
      <c r="AE187" s="156" t="n"/>
      <c r="AF187" s="51" t="n"/>
      <c r="AG187" s="156" t="inlineStr">
        <is>
          <t>Nuevo – Odoo Universal Unique Brands 01/10/2026</t>
        </is>
      </c>
      <c r="AH187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«03-050-0062-0709» (Completado por regla) · Validador Shopify: WB: precio con IVA no termina en 9</t>
        </is>
      </c>
      <c r="AI187" s="156" t="n"/>
      <c r="AJ187" s="156" t="n"/>
      <c r="AK187" s="155" t="inlineStr">
        <is>
          <t>Odoo: producto 21000 / plantilla 27003</t>
        </is>
      </c>
      <c r="AL187" s="58" t="n"/>
      <c r="AM187" s="58" t="n"/>
      <c r="AN187" s="155" t="inlineStr">
        <is>
          <t>Odoo Universal Unique Brands</t>
        </is>
      </c>
      <c r="AO187" s="59" t="n"/>
      <c r="AP187" s="59" t="n"/>
      <c r="AQ187" s="59" t="n">
        <v>11</v>
      </c>
      <c r="AR187" s="155" t="inlineStr">
        <is>
          <t>Odoo Universal Unique Brands › Bodega 25 › Bodega 25/General: 11</t>
        </is>
      </c>
    </row>
    <row r="188">
      <c r="A188" s="50" t="inlineStr">
        <is>
          <t>199168053918</t>
        </is>
      </c>
      <c r="B188" s="51" t="n"/>
      <c r="C188" s="156" t="inlineStr">
        <is>
          <t>Roper</t>
        </is>
      </c>
      <c r="D188" s="156" t="inlineStr">
        <is>
          <t>03-050-0062-0709</t>
        </is>
      </c>
      <c r="E188" s="156" t="inlineStr">
        <is>
          <t>03-050-0062-0709 BR-XL</t>
        </is>
      </c>
      <c r="F188" s="156" t="inlineStr">
        <is>
          <t>XL</t>
        </is>
      </c>
      <c r="G188" s="156" t="inlineStr">
        <is>
          <t>XL</t>
        </is>
      </c>
      <c r="H188" s="156" t="inlineStr">
        <is>
          <t>Roper</t>
        </is>
      </c>
      <c r="I188" s="156" t="inlineStr">
        <is>
          <t>ROPER Shirt Arrow Dobby</t>
        </is>
      </c>
      <c r="J188" s="156" t="inlineStr">
        <is>
          <t>Ropa</t>
        </is>
      </c>
      <c r="K188" s="156" t="inlineStr">
        <is>
          <t>Camisas</t>
        </is>
      </c>
      <c r="L188" s="156" t="n"/>
      <c r="M188" s="156" t="n"/>
      <c r="N188" s="156" t="n"/>
      <c r="O188" s="156" t="n"/>
      <c r="P188" s="156" t="n"/>
      <c r="Q188" s="156" t="n"/>
      <c r="R188" s="156" t="n"/>
      <c r="S188" s="156" t="n"/>
      <c r="T188" s="156" t="n"/>
      <c r="U188" s="156" t="n"/>
      <c r="V188" s="156" t="inlineStr">
        <is>
          <t>PZS</t>
        </is>
      </c>
      <c r="W188" s="51" t="inlineStr">
        <is>
          <t>53101602</t>
        </is>
      </c>
      <c r="X188" s="156" t="n"/>
      <c r="Y188" s="54" t="n">
        <v>23.72</v>
      </c>
      <c r="Z188" s="54" t="n">
        <v>659</v>
      </c>
      <c r="AA188" s="55">
        <f>IF(AND(A188="", B188="", E188=""), "", IF(AB188="", "Válido", IF((LEN(AB188)-LEN(SUBSTITUTE(AB188,"; ","")))/2+1&gt;(LEN(AB188)-LEN(SUBSTITUTE(AB188,"[Aviso]","")))/7, "Con Incidencias", "Válido")))</f>
        <v/>
      </c>
      <c r="AB188" s="56">
        <f>IF(AND(A188="", B188="", E188=""), "", TEXTJOIN("; ", TRUE, IF(OR(TRIM(A188&amp;"")="", ISNUMBER(SEARCH("FALTA", A188))), "UPC faltante/inválido", ""), IF(AND(A188&lt;&gt;"", IFERROR(_xlfn.XMATCH(A188,$A$2:$A$285,0,1)&lt;&gt;_xlfn.XMATCH(A188,$A$2:$A$285,0,-1),FALSE)), "Código de barras duplicado", ""), IF(AND(E188&lt;&gt;"", COUNTIF($E$2:$E$285, E188)&gt;1), "SKU duplicado", ""), IF(OR(J188="", J188=""), "[Aviso] División no capturada ()", IF(ISNA(MATCH(J188, Criterios!$A$123:$A$126, 0)), "División no válida", "")), IF(OR(K188="", K188=""), "[Aviso] Categoría no capturada ()", IF(ISNA(MATCH(K188, Criterios!$A$81:$A$120, 0)), "Categoría no válida", IF(AND(J188&lt;&gt;"", J188&lt;&gt;"", J188&lt;&gt;VLOOKUP(K188, Criterios!$A$81:$B$120, 2, FALSE)), "División no coincide con Categoría", ""))), IF(OR(L188="", L188=""), "[Aviso] Género no capturado ()", IF(ISNA(MATCH(L188, Criterios!$B$123:$B$127, 0)), "Género no válido", "")), IF(OR(N188="", N188=""), "[Aviso] Temporada no capturada ()", IF(ISNA(MATCH(N188, Criterios!$C$123:$C$128, 0)), "Temporada no válida", "")), IF(OR(O188="", O188=""), "[Aviso] Ciclo de vida no capturado ()", IF(ISNA(MATCH(O188, Criterios!$D$123:$D$124, 0)), "Ciclo de vida no válido", ""))))</f>
        <v/>
      </c>
      <c r="AC188" s="56" t="n"/>
      <c r="AD188" s="51" t="n"/>
      <c r="AE188" s="156" t="n"/>
      <c r="AF188" s="51" t="n"/>
      <c r="AG188" s="156" t="inlineStr">
        <is>
          <t>Nuevo – Odoo Universal Unique Brands 01/10/2026</t>
        </is>
      </c>
      <c r="AH188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«03-050-0062-0709» (Completado por regla) · Validador Shopify: WB: precio con IVA no termina en 9</t>
        </is>
      </c>
      <c r="AI188" s="156" t="n"/>
      <c r="AJ188" s="156" t="n"/>
      <c r="AK188" s="155" t="inlineStr">
        <is>
          <t>Odoo: producto 21003 / plantilla 27006</t>
        </is>
      </c>
      <c r="AL188" s="58" t="n"/>
      <c r="AM188" s="58" t="n"/>
      <c r="AN188" s="155" t="inlineStr">
        <is>
          <t>Odoo Universal Unique Brands</t>
        </is>
      </c>
      <c r="AO188" s="59" t="n"/>
      <c r="AP188" s="59" t="n"/>
      <c r="AQ188" s="59" t="n">
        <v>11</v>
      </c>
      <c r="AR188" s="155" t="inlineStr">
        <is>
          <t>Odoo Universal Unique Brands › Bodega 25 › Bodega 25/General: 11</t>
        </is>
      </c>
    </row>
    <row r="189">
      <c r="A189" s="50" t="inlineStr">
        <is>
          <t>199168053932</t>
        </is>
      </c>
      <c r="B189" s="51" t="n"/>
      <c r="C189" s="156" t="inlineStr">
        <is>
          <t>Roper</t>
        </is>
      </c>
      <c r="D189" s="156" t="inlineStr">
        <is>
          <t>03-050-0062-0711</t>
        </is>
      </c>
      <c r="E189" s="156" t="inlineStr">
        <is>
          <t>03-050-0062-0711 GR-L</t>
        </is>
      </c>
      <c r="F189" s="156" t="inlineStr">
        <is>
          <t>L</t>
        </is>
      </c>
      <c r="G189" s="156" t="inlineStr">
        <is>
          <t>L</t>
        </is>
      </c>
      <c r="H189" s="156" t="inlineStr">
        <is>
          <t>Roper</t>
        </is>
      </c>
      <c r="I189" s="156" t="inlineStr">
        <is>
          <t>ROPER Shirt Aztec Dobby</t>
        </is>
      </c>
      <c r="J189" s="156" t="inlineStr">
        <is>
          <t>Ropa</t>
        </is>
      </c>
      <c r="K189" s="156" t="inlineStr">
        <is>
          <t>Camisas</t>
        </is>
      </c>
      <c r="L189" s="156" t="n"/>
      <c r="M189" s="156" t="n"/>
      <c r="N189" s="156" t="n"/>
      <c r="O189" s="156" t="n"/>
      <c r="P189" s="156" t="n"/>
      <c r="Q189" s="156" t="n"/>
      <c r="R189" s="156" t="n"/>
      <c r="S189" s="156" t="n"/>
      <c r="T189" s="156" t="n"/>
      <c r="U189" s="156" t="n"/>
      <c r="V189" s="156" t="inlineStr">
        <is>
          <t>PZS</t>
        </is>
      </c>
      <c r="W189" s="51" t="inlineStr">
        <is>
          <t>53101602</t>
        </is>
      </c>
      <c r="X189" s="156" t="n"/>
      <c r="Y189" s="54" t="n">
        <v>23.72</v>
      </c>
      <c r="Z189" s="54" t="n">
        <v>659</v>
      </c>
      <c r="AA189" s="55">
        <f>IF(AND(A189="", B189="", E189=""), "", IF(AB189="", "Válido", IF((LEN(AB189)-LEN(SUBSTITUTE(AB189,"; ","")))/2+1&gt;(LEN(AB189)-LEN(SUBSTITUTE(AB189,"[Aviso]","")))/7, "Con Incidencias", "Válido")))</f>
        <v/>
      </c>
      <c r="AB189" s="56">
        <f>IF(AND(A189="", B189="", E189=""), "", TEXTJOIN("; ", TRUE, IF(OR(TRIM(A189&amp;"")="", ISNUMBER(SEARCH("FALTA", A189))), "UPC faltante/inválido", ""), IF(AND(A189&lt;&gt;"", IFERROR(_xlfn.XMATCH(A189,$A$2:$A$285,0,1)&lt;&gt;_xlfn.XMATCH(A189,$A$2:$A$285,0,-1),FALSE)), "Código de barras duplicado", ""), IF(AND(E189&lt;&gt;"", COUNTIF($E$2:$E$285, E189)&gt;1), "SKU duplicado", ""), IF(OR(J189="", J189=""), "[Aviso] División no capturada ()", IF(ISNA(MATCH(J189, Criterios!$A$123:$A$126, 0)), "División no válida", "")), IF(OR(K189="", K189=""), "[Aviso] Categoría no capturada ()", IF(ISNA(MATCH(K189, Criterios!$A$81:$A$120, 0)), "Categoría no válida", IF(AND(J189&lt;&gt;"", J189&lt;&gt;"", J189&lt;&gt;VLOOKUP(K189, Criterios!$A$81:$B$120, 2, FALSE)), "División no coincide con Categoría", ""))), IF(OR(L189="", L189=""), "[Aviso] Género no capturado ()", IF(ISNA(MATCH(L189, Criterios!$B$123:$B$127, 0)), "Género no válido", "")), IF(OR(N189="", N189=""), "[Aviso] Temporada no capturada ()", IF(ISNA(MATCH(N189, Criterios!$C$123:$C$128, 0)), "Temporada no válida", "")), IF(OR(O189="", O189=""), "[Aviso] Ciclo de vida no capturado ()", IF(ISNA(MATCH(O189, Criterios!$D$123:$D$124, 0)), "Ciclo de vida no válido", ""))))</f>
        <v/>
      </c>
      <c r="AC189" s="56" t="n"/>
      <c r="AD189" s="51" t="n"/>
      <c r="AE189" s="156" t="n"/>
      <c r="AF189" s="51" t="n"/>
      <c r="AG189" s="156" t="inlineStr">
        <is>
          <t>Nuevo – Odoo Universal Unique Brands 01/10/2026</t>
        </is>
      </c>
      <c r="AH189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«03-050-0062-0711» (Completado por regla) · Validador Shopify: WB: precio con IVA no termina en 9</t>
        </is>
      </c>
      <c r="AI189" s="156" t="n"/>
      <c r="AJ189" s="156" t="n"/>
      <c r="AK189" s="155" t="inlineStr">
        <is>
          <t>Odoo: producto 20948 / plantilla 26951</t>
        </is>
      </c>
      <c r="AL189" s="58" t="n"/>
      <c r="AM189" s="58" t="n"/>
      <c r="AN189" s="155" t="inlineStr">
        <is>
          <t>Odoo Universal Unique Brands</t>
        </is>
      </c>
      <c r="AO189" s="59" t="n"/>
      <c r="AP189" s="59" t="n"/>
      <c r="AQ189" s="59" t="n">
        <v>5</v>
      </c>
      <c r="AR189" s="155" t="inlineStr">
        <is>
          <t>Odoo Universal Unique Brands › Bodega 25 › Bodega 25/General: 5</t>
        </is>
      </c>
    </row>
    <row r="190">
      <c r="A190" s="50" t="inlineStr">
        <is>
          <t>199168053949</t>
        </is>
      </c>
      <c r="B190" s="51" t="n"/>
      <c r="C190" s="156" t="inlineStr">
        <is>
          <t>Roper</t>
        </is>
      </c>
      <c r="D190" s="156" t="inlineStr">
        <is>
          <t>03-050-0062-0711</t>
        </is>
      </c>
      <c r="E190" s="156" t="inlineStr">
        <is>
          <t>03-050-0062-0711 GR-M</t>
        </is>
      </c>
      <c r="F190" s="156" t="inlineStr">
        <is>
          <t>M</t>
        </is>
      </c>
      <c r="G190" s="156" t="inlineStr">
        <is>
          <t>M</t>
        </is>
      </c>
      <c r="H190" s="156" t="inlineStr">
        <is>
          <t>Roper</t>
        </is>
      </c>
      <c r="I190" s="156" t="inlineStr">
        <is>
          <t>ROPER Shirt Aztec Dobby</t>
        </is>
      </c>
      <c r="J190" s="156" t="inlineStr">
        <is>
          <t>Ropa</t>
        </is>
      </c>
      <c r="K190" s="156" t="inlineStr">
        <is>
          <t>Camisas</t>
        </is>
      </c>
      <c r="L190" s="156" t="n"/>
      <c r="M190" s="156" t="n"/>
      <c r="N190" s="156" t="n"/>
      <c r="O190" s="156" t="n"/>
      <c r="P190" s="156" t="n"/>
      <c r="Q190" s="156" t="n"/>
      <c r="R190" s="156" t="n"/>
      <c r="S190" s="156" t="n"/>
      <c r="T190" s="156" t="n"/>
      <c r="U190" s="156" t="n"/>
      <c r="V190" s="156" t="inlineStr">
        <is>
          <t>PZS</t>
        </is>
      </c>
      <c r="W190" s="51" t="inlineStr">
        <is>
          <t>53101602</t>
        </is>
      </c>
      <c r="X190" s="156" t="n"/>
      <c r="Y190" s="54" t="n">
        <v>23.72</v>
      </c>
      <c r="Z190" s="54" t="n">
        <v>659</v>
      </c>
      <c r="AA190" s="55">
        <f>IF(AND(A190="", B190="", E190=""), "", IF(AB190="", "Válido", IF((LEN(AB190)-LEN(SUBSTITUTE(AB190,"; ","")))/2+1&gt;(LEN(AB190)-LEN(SUBSTITUTE(AB190,"[Aviso]","")))/7, "Con Incidencias", "Válido")))</f>
        <v/>
      </c>
      <c r="AB190" s="56">
        <f>IF(AND(A190="", B190="", E190=""), "", TEXTJOIN("; ", TRUE, IF(OR(TRIM(A190&amp;"")="", ISNUMBER(SEARCH("FALTA", A190))), "UPC faltante/inválido", ""), IF(AND(A190&lt;&gt;"", IFERROR(_xlfn.XMATCH(A190,$A$2:$A$285,0,1)&lt;&gt;_xlfn.XMATCH(A190,$A$2:$A$285,0,-1),FALSE)), "Código de barras duplicado", ""), IF(AND(E190&lt;&gt;"", COUNTIF($E$2:$E$285, E190)&gt;1), "SKU duplicado", ""), IF(OR(J190="", J190=""), "[Aviso] División no capturada ()", IF(ISNA(MATCH(J190, Criterios!$A$123:$A$126, 0)), "División no válida", "")), IF(OR(K190="", K190=""), "[Aviso] Categoría no capturada ()", IF(ISNA(MATCH(K190, Criterios!$A$81:$A$120, 0)), "Categoría no válida", IF(AND(J190&lt;&gt;"", J190&lt;&gt;"", J190&lt;&gt;VLOOKUP(K190, Criterios!$A$81:$B$120, 2, FALSE)), "División no coincide con Categoría", ""))), IF(OR(L190="", L190=""), "[Aviso] Género no capturado ()", IF(ISNA(MATCH(L190, Criterios!$B$123:$B$127, 0)), "Género no válido", "")), IF(OR(N190="", N190=""), "[Aviso] Temporada no capturada ()", IF(ISNA(MATCH(N190, Criterios!$C$123:$C$128, 0)), "Temporada no válida", "")), IF(OR(O190="", O190=""), "[Aviso] Ciclo de vida no capturado ()", IF(ISNA(MATCH(O190, Criterios!$D$123:$D$124, 0)), "Ciclo de vida no válido", ""))))</f>
        <v/>
      </c>
      <c r="AC190" s="56" t="n"/>
      <c r="AD190" s="51" t="n"/>
      <c r="AE190" s="156" t="n"/>
      <c r="AF190" s="51" t="n"/>
      <c r="AG190" s="156" t="inlineStr">
        <is>
          <t>Nuevo – Odoo Universal Unique Brands 01/10/2026</t>
        </is>
      </c>
      <c r="AH190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«03-050-0062-0711» (Completado por regla) · Validador Shopify: WB: precio con IVA no termina en 9</t>
        </is>
      </c>
      <c r="AI190" s="156" t="n"/>
      <c r="AJ190" s="156" t="n"/>
      <c r="AK190" s="155" t="inlineStr">
        <is>
          <t>Odoo: producto 20947 / plantilla 26950</t>
        </is>
      </c>
      <c r="AL190" s="58" t="n"/>
      <c r="AM190" s="58" t="n"/>
      <c r="AN190" s="155" t="inlineStr">
        <is>
          <t>Odoo Universal Unique Brands</t>
        </is>
      </c>
      <c r="AO190" s="59" t="n"/>
      <c r="AP190" s="59" t="n"/>
      <c r="AQ190" s="59" t="n">
        <v>5</v>
      </c>
      <c r="AR190" s="155" t="inlineStr">
        <is>
          <t>Odoo Universal Unique Brands › Bodega 25 › Bodega 25/General: 5</t>
        </is>
      </c>
    </row>
    <row r="191">
      <c r="A191" s="50" t="inlineStr">
        <is>
          <t>199168053956</t>
        </is>
      </c>
      <c r="B191" s="51" t="n"/>
      <c r="C191" s="156" t="inlineStr">
        <is>
          <t>Roper</t>
        </is>
      </c>
      <c r="D191" s="156" t="inlineStr">
        <is>
          <t>03-050-0062-0711</t>
        </is>
      </c>
      <c r="E191" s="156" t="inlineStr">
        <is>
          <t>03-050-0062-0711 GR-S</t>
        </is>
      </c>
      <c r="F191" s="156" t="inlineStr">
        <is>
          <t>S</t>
        </is>
      </c>
      <c r="G191" s="156" t="inlineStr">
        <is>
          <t>S</t>
        </is>
      </c>
      <c r="H191" s="156" t="inlineStr">
        <is>
          <t>Roper</t>
        </is>
      </c>
      <c r="I191" s="156" t="inlineStr">
        <is>
          <t>ROPER Shirt Aztec Dobby</t>
        </is>
      </c>
      <c r="J191" s="156" t="inlineStr">
        <is>
          <t>Ropa</t>
        </is>
      </c>
      <c r="K191" s="156" t="inlineStr">
        <is>
          <t>Camisas</t>
        </is>
      </c>
      <c r="L191" s="156" t="n"/>
      <c r="M191" s="156" t="n"/>
      <c r="N191" s="156" t="n"/>
      <c r="O191" s="156" t="n"/>
      <c r="P191" s="156" t="n"/>
      <c r="Q191" s="156" t="n"/>
      <c r="R191" s="156" t="n"/>
      <c r="S191" s="156" t="n"/>
      <c r="T191" s="156" t="n"/>
      <c r="U191" s="156" t="n"/>
      <c r="V191" s="156" t="inlineStr">
        <is>
          <t>PZS</t>
        </is>
      </c>
      <c r="W191" s="51" t="inlineStr">
        <is>
          <t>53101602</t>
        </is>
      </c>
      <c r="X191" s="156" t="n"/>
      <c r="Y191" s="54" t="n">
        <v>23.72</v>
      </c>
      <c r="Z191" s="54" t="n">
        <v>659</v>
      </c>
      <c r="AA191" s="55">
        <f>IF(AND(A191="", B191="", E191=""), "", IF(AB191="", "Válido", IF((LEN(AB191)-LEN(SUBSTITUTE(AB191,"; ","")))/2+1&gt;(LEN(AB191)-LEN(SUBSTITUTE(AB191,"[Aviso]","")))/7, "Con Incidencias", "Válido")))</f>
        <v/>
      </c>
      <c r="AB191" s="56">
        <f>IF(AND(A191="", B191="", E191=""), "", TEXTJOIN("; ", TRUE, IF(OR(TRIM(A191&amp;"")="", ISNUMBER(SEARCH("FALTA", A191))), "UPC faltante/inválido", ""), IF(AND(A191&lt;&gt;"", IFERROR(_xlfn.XMATCH(A191,$A$2:$A$285,0,1)&lt;&gt;_xlfn.XMATCH(A191,$A$2:$A$285,0,-1),FALSE)), "Código de barras duplicado", ""), IF(AND(E191&lt;&gt;"", COUNTIF($E$2:$E$285, E191)&gt;1), "SKU duplicado", ""), IF(OR(J191="", J191=""), "[Aviso] División no capturada ()", IF(ISNA(MATCH(J191, Criterios!$A$123:$A$126, 0)), "División no válida", "")), IF(OR(K191="", K191=""), "[Aviso] Categoría no capturada ()", IF(ISNA(MATCH(K191, Criterios!$A$81:$A$120, 0)), "Categoría no válida", IF(AND(J191&lt;&gt;"", J191&lt;&gt;"", J191&lt;&gt;VLOOKUP(K191, Criterios!$A$81:$B$120, 2, FALSE)), "División no coincide con Categoría", ""))), IF(OR(L191="", L191=""), "[Aviso] Género no capturado ()", IF(ISNA(MATCH(L191, Criterios!$B$123:$B$127, 0)), "Género no válido", "")), IF(OR(N191="", N191=""), "[Aviso] Temporada no capturada ()", IF(ISNA(MATCH(N191, Criterios!$C$123:$C$128, 0)), "Temporada no válida", "")), IF(OR(O191="", O191=""), "[Aviso] Ciclo de vida no capturado ()", IF(ISNA(MATCH(O191, Criterios!$D$123:$D$124, 0)), "Ciclo de vida no válido", ""))))</f>
        <v/>
      </c>
      <c r="AC191" s="56" t="n"/>
      <c r="AD191" s="51" t="n"/>
      <c r="AE191" s="156" t="n"/>
      <c r="AF191" s="51" t="n"/>
      <c r="AG191" s="156" t="inlineStr">
        <is>
          <t>Nuevo – Odoo Universal Unique Brands 01/10/2026</t>
        </is>
      </c>
      <c r="AH191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«03-050-0062-0711» (Completado por regla) · Validador Shopify: WB: precio con IVA no termina en 9</t>
        </is>
      </c>
      <c r="AI191" s="156" t="n"/>
      <c r="AJ191" s="156" t="n"/>
      <c r="AK191" s="155" t="inlineStr">
        <is>
          <t>Odoo: producto 20946 / plantilla 26949</t>
        </is>
      </c>
      <c r="AL191" s="58" t="n"/>
      <c r="AM191" s="58" t="n"/>
      <c r="AN191" s="155" t="inlineStr">
        <is>
          <t>Odoo Universal Unique Brands</t>
        </is>
      </c>
      <c r="AO191" s="59" t="n"/>
      <c r="AP191" s="59" t="n"/>
      <c r="AQ191" s="59" t="n">
        <v>5</v>
      </c>
      <c r="AR191" s="155" t="inlineStr">
        <is>
          <t>Odoo Universal Unique Brands › Bodega 25 › Bodega 25/General: 5</t>
        </is>
      </c>
    </row>
    <row r="192">
      <c r="A192" s="50" t="inlineStr">
        <is>
          <t>199168053963</t>
        </is>
      </c>
      <c r="B192" s="51" t="n"/>
      <c r="C192" s="156" t="inlineStr">
        <is>
          <t>Roper</t>
        </is>
      </c>
      <c r="D192" s="156" t="inlineStr">
        <is>
          <t>03-050-0062-0711</t>
        </is>
      </c>
      <c r="E192" s="156" t="inlineStr">
        <is>
          <t>03-050-0062-0711 GR-XL</t>
        </is>
      </c>
      <c r="F192" s="156" t="inlineStr">
        <is>
          <t>XL</t>
        </is>
      </c>
      <c r="G192" s="156" t="inlineStr">
        <is>
          <t>XL</t>
        </is>
      </c>
      <c r="H192" s="156" t="inlineStr">
        <is>
          <t>Roper</t>
        </is>
      </c>
      <c r="I192" s="156" t="inlineStr">
        <is>
          <t>ROPER Shirt Aztec Dobby</t>
        </is>
      </c>
      <c r="J192" s="156" t="inlineStr">
        <is>
          <t>Ropa</t>
        </is>
      </c>
      <c r="K192" s="156" t="inlineStr">
        <is>
          <t>Camisas</t>
        </is>
      </c>
      <c r="L192" s="156" t="n"/>
      <c r="M192" s="156" t="n"/>
      <c r="N192" s="156" t="n"/>
      <c r="O192" s="156" t="n"/>
      <c r="P192" s="156" t="n"/>
      <c r="Q192" s="156" t="n"/>
      <c r="R192" s="156" t="n"/>
      <c r="S192" s="156" t="n"/>
      <c r="T192" s="156" t="n"/>
      <c r="U192" s="156" t="n"/>
      <c r="V192" s="156" t="inlineStr">
        <is>
          <t>PZS</t>
        </is>
      </c>
      <c r="W192" s="51" t="inlineStr">
        <is>
          <t>53101602</t>
        </is>
      </c>
      <c r="X192" s="156" t="n"/>
      <c r="Y192" s="54" t="n">
        <v>23.72</v>
      </c>
      <c r="Z192" s="54" t="n">
        <v>659</v>
      </c>
      <c r="AA192" s="55">
        <f>IF(AND(A192="", B192="", E192=""), "", IF(AB192="", "Válido", IF((LEN(AB192)-LEN(SUBSTITUTE(AB192,"; ","")))/2+1&gt;(LEN(AB192)-LEN(SUBSTITUTE(AB192,"[Aviso]","")))/7, "Con Incidencias", "Válido")))</f>
        <v/>
      </c>
      <c r="AB192" s="56">
        <f>IF(AND(A192="", B192="", E192=""), "", TEXTJOIN("; ", TRUE, IF(OR(TRIM(A192&amp;"")="", ISNUMBER(SEARCH("FALTA", A192))), "UPC faltante/inválido", ""), IF(AND(A192&lt;&gt;"", IFERROR(_xlfn.XMATCH(A192,$A$2:$A$285,0,1)&lt;&gt;_xlfn.XMATCH(A192,$A$2:$A$285,0,-1),FALSE)), "Código de barras duplicado", ""), IF(AND(E192&lt;&gt;"", COUNTIF($E$2:$E$285, E192)&gt;1), "SKU duplicado", ""), IF(OR(J192="", J192=""), "[Aviso] División no capturada ()", IF(ISNA(MATCH(J192, Criterios!$A$123:$A$126, 0)), "División no válida", "")), IF(OR(K192="", K192=""), "[Aviso] Categoría no capturada ()", IF(ISNA(MATCH(K192, Criterios!$A$81:$A$120, 0)), "Categoría no válida", IF(AND(J192&lt;&gt;"", J192&lt;&gt;"", J192&lt;&gt;VLOOKUP(K192, Criterios!$A$81:$B$120, 2, FALSE)), "División no coincide con Categoría", ""))), IF(OR(L192="", L192=""), "[Aviso] Género no capturado ()", IF(ISNA(MATCH(L192, Criterios!$B$123:$B$127, 0)), "Género no válido", "")), IF(OR(N192="", N192=""), "[Aviso] Temporada no capturada ()", IF(ISNA(MATCH(N192, Criterios!$C$123:$C$128, 0)), "Temporada no válida", "")), IF(OR(O192="", O192=""), "[Aviso] Ciclo de vida no capturado ()", IF(ISNA(MATCH(O192, Criterios!$D$123:$D$124, 0)), "Ciclo de vida no válido", ""))))</f>
        <v/>
      </c>
      <c r="AC192" s="56" t="n"/>
      <c r="AD192" s="51" t="n"/>
      <c r="AE192" s="156" t="n"/>
      <c r="AF192" s="51" t="n"/>
      <c r="AG192" s="156" t="inlineStr">
        <is>
          <t>Nuevo – Odoo Universal Unique Brands 01/10/2026</t>
        </is>
      </c>
      <c r="AH192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«03-050-0062-0711» (Completado por regla) · Validador Shopify: WB: precio con IVA no termina en 9</t>
        </is>
      </c>
      <c r="AI192" s="156" t="n"/>
      <c r="AJ192" s="156" t="n"/>
      <c r="AK192" s="155" t="inlineStr">
        <is>
          <t>Odoo: producto 20949 / plantilla 26952</t>
        </is>
      </c>
      <c r="AL192" s="58" t="n"/>
      <c r="AM192" s="58" t="n"/>
      <c r="AN192" s="155" t="inlineStr">
        <is>
          <t>Odoo Universal Unique Brands</t>
        </is>
      </c>
      <c r="AO192" s="59" t="n"/>
      <c r="AP192" s="59" t="n"/>
      <c r="AQ192" s="59" t="n">
        <v>5</v>
      </c>
      <c r="AR192" s="155" t="inlineStr">
        <is>
          <t>Odoo Universal Unique Brands › Bodega 25 › Bodega 25/General: 5</t>
        </is>
      </c>
    </row>
    <row r="193">
      <c r="A193" s="50" t="inlineStr">
        <is>
          <t>199168054069</t>
        </is>
      </c>
      <c r="B193" s="51" t="n"/>
      <c r="C193" s="156" t="inlineStr">
        <is>
          <t>Roper</t>
        </is>
      </c>
      <c r="D193" s="156" t="inlineStr">
        <is>
          <t>03-050-0064-0730</t>
        </is>
      </c>
      <c r="E193" s="156" t="inlineStr">
        <is>
          <t>03-050-0064-0730 BL-1XL</t>
        </is>
      </c>
      <c r="F193" s="156" t="n"/>
      <c r="G193" s="156" t="n"/>
      <c r="H193" s="156" t="inlineStr">
        <is>
          <t>Roper</t>
        </is>
      </c>
      <c r="I193" s="156" t="inlineStr">
        <is>
          <t>ROPER Shirt Paisley Stamps</t>
        </is>
      </c>
      <c r="J193" s="156" t="inlineStr">
        <is>
          <t>Ropa</t>
        </is>
      </c>
      <c r="K193" s="156" t="inlineStr">
        <is>
          <t>Camisas</t>
        </is>
      </c>
      <c r="L193" s="156" t="n"/>
      <c r="M193" s="156" t="n"/>
      <c r="N193" s="156" t="n"/>
      <c r="O193" s="156" t="n"/>
      <c r="P193" s="156" t="n"/>
      <c r="Q193" s="156" t="n"/>
      <c r="R193" s="156" t="n"/>
      <c r="S193" s="156" t="n"/>
      <c r="T193" s="156" t="n"/>
      <c r="U193" s="156" t="n"/>
      <c r="V193" s="156" t="inlineStr">
        <is>
          <t>PZS</t>
        </is>
      </c>
      <c r="W193" s="51" t="inlineStr">
        <is>
          <t>53101602</t>
        </is>
      </c>
      <c r="X193" s="156" t="n"/>
      <c r="Y193" s="54" t="n">
        <v>23.72</v>
      </c>
      <c r="Z193" s="54" t="n">
        <v>659</v>
      </c>
      <c r="AA193" s="55">
        <f>IF(AND(A193="", B193="", E193=""), "", IF(AB193="", "Válido", IF((LEN(AB193)-LEN(SUBSTITUTE(AB193,"; ","")))/2+1&gt;(LEN(AB193)-LEN(SUBSTITUTE(AB193,"[Aviso]","")))/7, "Con Incidencias", "Válido")))</f>
        <v/>
      </c>
      <c r="AB193" s="56">
        <f>IF(AND(A193="", B193="", E193=""), "", TEXTJOIN("; ", TRUE, IF(OR(TRIM(A193&amp;"")="", ISNUMBER(SEARCH("FALTA", A193))), "UPC faltante/inválido", ""), IF(AND(A193&lt;&gt;"", IFERROR(_xlfn.XMATCH(A193,$A$2:$A$285,0,1)&lt;&gt;_xlfn.XMATCH(A193,$A$2:$A$285,0,-1),FALSE)), "Código de barras duplicado", ""), IF(AND(E193&lt;&gt;"", COUNTIF($E$2:$E$285, E193)&gt;1), "SKU duplicado", ""), IF(OR(J193="", J193=""), "[Aviso] División no capturada ()", IF(ISNA(MATCH(J193, Criterios!$A$123:$A$126, 0)), "División no válida", "")), IF(OR(K193="", K193=""), "[Aviso] Categoría no capturada ()", IF(ISNA(MATCH(K193, Criterios!$A$81:$A$120, 0)), "Categoría no válida", IF(AND(J193&lt;&gt;"", J193&lt;&gt;"", J193&lt;&gt;VLOOKUP(K193, Criterios!$A$81:$B$120, 2, FALSE)), "División no coincide con Categoría", ""))), IF(OR(L193="", L193=""), "[Aviso] Género no capturado ()", IF(ISNA(MATCH(L193, Criterios!$B$123:$B$127, 0)), "Género no válido", "")), IF(OR(N193="", N193=""), "[Aviso] Temporada no capturada ()", IF(ISNA(MATCH(N193, Criterios!$C$123:$C$128, 0)), "Temporada no válida", "")), IF(OR(O193="", O193=""), "[Aviso] Ciclo de vida no capturado ()", IF(ISNA(MATCH(O193, Criterios!$D$123:$D$124, 0)), "Ciclo de vida no válido", ""))))</f>
        <v/>
      </c>
      <c r="AC193" s="56" t="n"/>
      <c r="AD193" s="51" t="n"/>
      <c r="AE193" s="156" t="n"/>
      <c r="AF193" s="51" t="n"/>
      <c r="AG193" s="156" t="inlineStr">
        <is>
          <t>Nuevo – Odoo Universal Unique Brands 01/10/2026</t>
        </is>
      </c>
      <c r="AH193" s="156" t="inlineStr">
        <is>
          <t>01/10/2026: alta desde Odoo Universal Unique Brands (no existía en Productos por código de barras ni SKU) | Categoría: Palabra clave "Camisa" en tipo/categoría de la fuente (Ropa / Camisas) | Homologación G1522 06/10/2026: WB N.º de estilo: «» → «03-050-0064-0730» (Completado por regla) · Validador NetSuite / Odoo: N2: talla cero o vacía · Validador Shopify: WB: precio con IVA no termina en 9</t>
        </is>
      </c>
      <c r="AI193" s="156" t="n"/>
      <c r="AJ193" s="156" t="n"/>
      <c r="AK193" s="155" t="inlineStr">
        <is>
          <t>Odoo: producto 20969 / plantilla 26972</t>
        </is>
      </c>
      <c r="AL193" s="58" t="n"/>
      <c r="AM193" s="58" t="n"/>
      <c r="AN193" s="155" t="inlineStr">
        <is>
          <t>Odoo Universal Unique Brands</t>
        </is>
      </c>
      <c r="AO193" s="59" t="n"/>
      <c r="AP193" s="59" t="n"/>
      <c r="AQ193" s="59" t="n">
        <v>4</v>
      </c>
      <c r="AR193" s="155" t="inlineStr">
        <is>
          <t>Odoo Universal Unique Brands › Bodega 25 › Bodega 25/General: 4</t>
        </is>
      </c>
    </row>
    <row r="194">
      <c r="A194" s="50" t="inlineStr">
        <is>
          <t>199168054014</t>
        </is>
      </c>
      <c r="B194" s="51" t="n"/>
      <c r="C194" s="156" t="inlineStr">
        <is>
          <t>Roper</t>
        </is>
      </c>
      <c r="D194" s="156" t="inlineStr">
        <is>
          <t>03-050-0064-0730</t>
        </is>
      </c>
      <c r="E194" s="156" t="inlineStr">
        <is>
          <t>03-050-0064-0730 BL-L</t>
        </is>
      </c>
      <c r="F194" s="156" t="inlineStr">
        <is>
          <t>L</t>
        </is>
      </c>
      <c r="G194" s="156" t="inlineStr">
        <is>
          <t>L</t>
        </is>
      </c>
      <c r="H194" s="156" t="inlineStr">
        <is>
          <t>Roper</t>
        </is>
      </c>
      <c r="I194" s="156" t="inlineStr">
        <is>
          <t>ROPER Shirt Paisley Stamps</t>
        </is>
      </c>
      <c r="J194" s="156" t="inlineStr">
        <is>
          <t>Ropa</t>
        </is>
      </c>
      <c r="K194" s="156" t="inlineStr">
        <is>
          <t>Camisas</t>
        </is>
      </c>
      <c r="L194" s="156" t="n"/>
      <c r="M194" s="156" t="n"/>
      <c r="N194" s="156" t="n"/>
      <c r="O194" s="156" t="n"/>
      <c r="P194" s="156" t="n"/>
      <c r="Q194" s="156" t="n"/>
      <c r="R194" s="156" t="n"/>
      <c r="S194" s="156" t="n"/>
      <c r="T194" s="156" t="n"/>
      <c r="U194" s="156" t="n"/>
      <c r="V194" s="156" t="inlineStr">
        <is>
          <t>PZS</t>
        </is>
      </c>
      <c r="W194" s="51" t="inlineStr">
        <is>
          <t>53101602</t>
        </is>
      </c>
      <c r="X194" s="156" t="n"/>
      <c r="Y194" s="54" t="n">
        <v>23.72</v>
      </c>
      <c r="Z194" s="54" t="n">
        <v>659</v>
      </c>
      <c r="AA194" s="55">
        <f>IF(AND(A194="", B194="", E194=""), "", IF(AB194="", "Válido", IF((LEN(AB194)-LEN(SUBSTITUTE(AB194,"; ","")))/2+1&gt;(LEN(AB194)-LEN(SUBSTITUTE(AB194,"[Aviso]","")))/7, "Con Incidencias", "Válido")))</f>
        <v/>
      </c>
      <c r="AB194" s="56">
        <f>IF(AND(A194="", B194="", E194=""), "", TEXTJOIN("; ", TRUE, IF(OR(TRIM(A194&amp;"")="", ISNUMBER(SEARCH("FALTA", A194))), "UPC faltante/inválido", ""), IF(AND(A194&lt;&gt;"", IFERROR(_xlfn.XMATCH(A194,$A$2:$A$285,0,1)&lt;&gt;_xlfn.XMATCH(A194,$A$2:$A$285,0,-1),FALSE)), "Código de barras duplicado", ""), IF(AND(E194&lt;&gt;"", COUNTIF($E$2:$E$285, E194)&gt;1), "SKU duplicado", ""), IF(OR(J194="", J194=""), "[Aviso] División no capturada ()", IF(ISNA(MATCH(J194, Criterios!$A$123:$A$126, 0)), "División no válida", "")), IF(OR(K194="", K194=""), "[Aviso] Categoría no capturada ()", IF(ISNA(MATCH(K194, Criterios!$A$81:$A$120, 0)), "Categoría no válida", IF(AND(J194&lt;&gt;"", J194&lt;&gt;"", J194&lt;&gt;VLOOKUP(K194, Criterios!$A$81:$B$120, 2, FALSE)), "División no coincide con Categoría", ""))), IF(OR(L194="", L194=""), "[Aviso] Género no capturado ()", IF(ISNA(MATCH(L194, Criterios!$B$123:$B$127, 0)), "Género no válido", "")), IF(OR(N194="", N194=""), "[Aviso] Temporada no capturada ()", IF(ISNA(MATCH(N194, Criterios!$C$123:$C$128, 0)), "Temporada no válida", "")), IF(OR(O194="", O194=""), "[Aviso] Ciclo de vida no capturado ()", IF(ISNA(MATCH(O194, Criterios!$D$123:$D$124, 0)), "Ciclo de vida no válido", ""))))</f>
        <v/>
      </c>
      <c r="AC194" s="56" t="n"/>
      <c r="AD194" s="51" t="n"/>
      <c r="AE194" s="156" t="n"/>
      <c r="AF194" s="51" t="n"/>
      <c r="AG194" s="156" t="inlineStr">
        <is>
          <t>Nuevo – Odoo Universal Unique Brands 01/10/2026</t>
        </is>
      </c>
      <c r="AH194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«03-050-0064-0730» (Completado por regla) · Validador Shopify: WB: precio con IVA no termina en 9</t>
        </is>
      </c>
      <c r="AI194" s="156" t="n"/>
      <c r="AJ194" s="156" t="n"/>
      <c r="AK194" s="155" t="inlineStr">
        <is>
          <t>Odoo: producto 20967 / plantilla 26970</t>
        </is>
      </c>
      <c r="AL194" s="58" t="n"/>
      <c r="AM194" s="58" t="n"/>
      <c r="AN194" s="155" t="inlineStr">
        <is>
          <t>Odoo Universal Unique Brands</t>
        </is>
      </c>
      <c r="AO194" s="59" t="n"/>
      <c r="AP194" s="59" t="n"/>
      <c r="AQ194" s="59" t="n">
        <v>10</v>
      </c>
      <c r="AR194" s="155" t="inlineStr">
        <is>
          <t>Odoo Universal Unique Brands › Bodega 25 › Bodega 25/General: 10</t>
        </is>
      </c>
    </row>
    <row r="195">
      <c r="A195" s="50" t="inlineStr">
        <is>
          <t>199168054021</t>
        </is>
      </c>
      <c r="B195" s="51" t="n"/>
      <c r="C195" s="156" t="inlineStr">
        <is>
          <t>Roper</t>
        </is>
      </c>
      <c r="D195" s="156" t="inlineStr">
        <is>
          <t>03-050-0064-0730</t>
        </is>
      </c>
      <c r="E195" s="156" t="inlineStr">
        <is>
          <t>03-050-0064-0730 BL-M</t>
        </is>
      </c>
      <c r="F195" s="156" t="inlineStr">
        <is>
          <t>M</t>
        </is>
      </c>
      <c r="G195" s="156" t="inlineStr">
        <is>
          <t>M</t>
        </is>
      </c>
      <c r="H195" s="156" t="inlineStr">
        <is>
          <t>Roper</t>
        </is>
      </c>
      <c r="I195" s="156" t="inlineStr">
        <is>
          <t>ROPER Shirt Paisley Stamps</t>
        </is>
      </c>
      <c r="J195" s="156" t="inlineStr">
        <is>
          <t>Ropa</t>
        </is>
      </c>
      <c r="K195" s="156" t="inlineStr">
        <is>
          <t>Camisas</t>
        </is>
      </c>
      <c r="L195" s="156" t="n"/>
      <c r="M195" s="156" t="n"/>
      <c r="N195" s="156" t="n"/>
      <c r="O195" s="156" t="n"/>
      <c r="P195" s="156" t="n"/>
      <c r="Q195" s="156" t="n"/>
      <c r="R195" s="156" t="n"/>
      <c r="S195" s="156" t="n"/>
      <c r="T195" s="156" t="n"/>
      <c r="U195" s="156" t="n"/>
      <c r="V195" s="156" t="inlineStr">
        <is>
          <t>PZS</t>
        </is>
      </c>
      <c r="W195" s="51" t="inlineStr">
        <is>
          <t>53101602</t>
        </is>
      </c>
      <c r="X195" s="156" t="n"/>
      <c r="Y195" s="54" t="n">
        <v>23.72</v>
      </c>
      <c r="Z195" s="54" t="n">
        <v>659</v>
      </c>
      <c r="AA195" s="55">
        <f>IF(AND(A195="", B195="", E195=""), "", IF(AB195="", "Válido", IF((LEN(AB195)-LEN(SUBSTITUTE(AB195,"; ","")))/2+1&gt;(LEN(AB195)-LEN(SUBSTITUTE(AB195,"[Aviso]","")))/7, "Con Incidencias", "Válido")))</f>
        <v/>
      </c>
      <c r="AB195" s="56">
        <f>IF(AND(A195="", B195="", E195=""), "", TEXTJOIN("; ", TRUE, IF(OR(TRIM(A195&amp;"")="", ISNUMBER(SEARCH("FALTA", A195))), "UPC faltante/inválido", ""), IF(AND(A195&lt;&gt;"", IFERROR(_xlfn.XMATCH(A195,$A$2:$A$285,0,1)&lt;&gt;_xlfn.XMATCH(A195,$A$2:$A$285,0,-1),FALSE)), "Código de barras duplicado", ""), IF(AND(E195&lt;&gt;"", COUNTIF($E$2:$E$285, E195)&gt;1), "SKU duplicado", ""), IF(OR(J195="", J195=""), "[Aviso] División no capturada ()", IF(ISNA(MATCH(J195, Criterios!$A$123:$A$126, 0)), "División no válida", "")), IF(OR(K195="", K195=""), "[Aviso] Categoría no capturada ()", IF(ISNA(MATCH(K195, Criterios!$A$81:$A$120, 0)), "Categoría no válida", IF(AND(J195&lt;&gt;"", J195&lt;&gt;"", J195&lt;&gt;VLOOKUP(K195, Criterios!$A$81:$B$120, 2, FALSE)), "División no coincide con Categoría", ""))), IF(OR(L195="", L195=""), "[Aviso] Género no capturado ()", IF(ISNA(MATCH(L195, Criterios!$B$123:$B$127, 0)), "Género no válido", "")), IF(OR(N195="", N195=""), "[Aviso] Temporada no capturada ()", IF(ISNA(MATCH(N195, Criterios!$C$123:$C$128, 0)), "Temporada no válida", "")), IF(OR(O195="", O195=""), "[Aviso] Ciclo de vida no capturado ()", IF(ISNA(MATCH(O195, Criterios!$D$123:$D$124, 0)), "Ciclo de vida no válido", ""))))</f>
        <v/>
      </c>
      <c r="AC195" s="56" t="n"/>
      <c r="AD195" s="51" t="n"/>
      <c r="AE195" s="156" t="n"/>
      <c r="AF195" s="51" t="n"/>
      <c r="AG195" s="156" t="inlineStr">
        <is>
          <t>Nuevo – Odoo Universal Unique Brands 01/10/2026</t>
        </is>
      </c>
      <c r="AH195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«03-050-0064-0730» (Completado por regla) · Validador Shopify: WB: precio con IVA no termina en 9</t>
        </is>
      </c>
      <c r="AI195" s="156" t="n"/>
      <c r="AJ195" s="156" t="n"/>
      <c r="AK195" s="155" t="inlineStr">
        <is>
          <t>Odoo: producto 20966 / plantilla 26969</t>
        </is>
      </c>
      <c r="AL195" s="58" t="n"/>
      <c r="AM195" s="58" t="n"/>
      <c r="AN195" s="155" t="inlineStr">
        <is>
          <t>Odoo Universal Unique Brands</t>
        </is>
      </c>
      <c r="AO195" s="59" t="n"/>
      <c r="AP195" s="59" t="n"/>
      <c r="AQ195" s="59" t="n">
        <v>10</v>
      </c>
      <c r="AR195" s="155" t="inlineStr">
        <is>
          <t>Odoo Universal Unique Brands › Bodega 25 › Bodega 25/General: 10</t>
        </is>
      </c>
    </row>
    <row r="196">
      <c r="A196" s="50" t="inlineStr">
        <is>
          <t>199168054038</t>
        </is>
      </c>
      <c r="B196" s="51" t="n"/>
      <c r="C196" s="156" t="inlineStr">
        <is>
          <t>Roper</t>
        </is>
      </c>
      <c r="D196" s="156" t="inlineStr">
        <is>
          <t>03-050-0064-0730</t>
        </is>
      </c>
      <c r="E196" s="156" t="inlineStr">
        <is>
          <t>03-050-0064-0730 BL-S</t>
        </is>
      </c>
      <c r="F196" s="156" t="inlineStr">
        <is>
          <t>S</t>
        </is>
      </c>
      <c r="G196" s="156" t="inlineStr">
        <is>
          <t>S</t>
        </is>
      </c>
      <c r="H196" s="156" t="inlineStr">
        <is>
          <t>Roper</t>
        </is>
      </c>
      <c r="I196" s="156" t="inlineStr">
        <is>
          <t>ROPER Shirt Paisley Stamps</t>
        </is>
      </c>
      <c r="J196" s="156" t="inlineStr">
        <is>
          <t>Ropa</t>
        </is>
      </c>
      <c r="K196" s="156" t="inlineStr">
        <is>
          <t>Camisas</t>
        </is>
      </c>
      <c r="L196" s="156" t="n"/>
      <c r="M196" s="156" t="n"/>
      <c r="N196" s="156" t="n"/>
      <c r="O196" s="156" t="n"/>
      <c r="P196" s="156" t="n"/>
      <c r="Q196" s="156" t="n"/>
      <c r="R196" s="156" t="n"/>
      <c r="S196" s="156" t="n"/>
      <c r="T196" s="156" t="n"/>
      <c r="U196" s="156" t="n"/>
      <c r="V196" s="156" t="inlineStr">
        <is>
          <t>PZS</t>
        </is>
      </c>
      <c r="W196" s="51" t="inlineStr">
        <is>
          <t>53101602</t>
        </is>
      </c>
      <c r="X196" s="156" t="n"/>
      <c r="Y196" s="54" t="n">
        <v>23.72</v>
      </c>
      <c r="Z196" s="54" t="n">
        <v>659</v>
      </c>
      <c r="AA196" s="55">
        <f>IF(AND(A196="", B196="", E196=""), "", IF(AB196="", "Válido", IF((LEN(AB196)-LEN(SUBSTITUTE(AB196,"; ","")))/2+1&gt;(LEN(AB196)-LEN(SUBSTITUTE(AB196,"[Aviso]","")))/7, "Con Incidencias", "Válido")))</f>
        <v/>
      </c>
      <c r="AB196" s="56">
        <f>IF(AND(A196="", B196="", E196=""), "", TEXTJOIN("; ", TRUE, IF(OR(TRIM(A196&amp;"")="", ISNUMBER(SEARCH("FALTA", A196))), "UPC faltante/inválido", ""), IF(AND(A196&lt;&gt;"", IFERROR(_xlfn.XMATCH(A196,$A$2:$A$285,0,1)&lt;&gt;_xlfn.XMATCH(A196,$A$2:$A$285,0,-1),FALSE)), "Código de barras duplicado", ""), IF(AND(E196&lt;&gt;"", COUNTIF($E$2:$E$285, E196)&gt;1), "SKU duplicado", ""), IF(OR(J196="", J196=""), "[Aviso] División no capturada ()", IF(ISNA(MATCH(J196, Criterios!$A$123:$A$126, 0)), "División no válida", "")), IF(OR(K196="", K196=""), "[Aviso] Categoría no capturada ()", IF(ISNA(MATCH(K196, Criterios!$A$81:$A$120, 0)), "Categoría no válida", IF(AND(J196&lt;&gt;"", J196&lt;&gt;"", J196&lt;&gt;VLOOKUP(K196, Criterios!$A$81:$B$120, 2, FALSE)), "División no coincide con Categoría", ""))), IF(OR(L196="", L196=""), "[Aviso] Género no capturado ()", IF(ISNA(MATCH(L196, Criterios!$B$123:$B$127, 0)), "Género no válido", "")), IF(OR(N196="", N196=""), "[Aviso] Temporada no capturada ()", IF(ISNA(MATCH(N196, Criterios!$C$123:$C$128, 0)), "Temporada no válida", "")), IF(OR(O196="", O196=""), "[Aviso] Ciclo de vida no capturado ()", IF(ISNA(MATCH(O196, Criterios!$D$123:$D$124, 0)), "Ciclo de vida no válido", ""))))</f>
        <v/>
      </c>
      <c r="AC196" s="56" t="n"/>
      <c r="AD196" s="51" t="n"/>
      <c r="AE196" s="156" t="n"/>
      <c r="AF196" s="51" t="n"/>
      <c r="AG196" s="156" t="inlineStr">
        <is>
          <t>Nuevo – Odoo Universal Unique Brands 01/10/2026</t>
        </is>
      </c>
      <c r="AH196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«03-050-0064-0730» (Completado por regla) · Validador Shopify: WB: precio con IVA no termina en 9</t>
        </is>
      </c>
      <c r="AI196" s="156" t="n"/>
      <c r="AJ196" s="156" t="n"/>
      <c r="AK196" s="155" t="inlineStr">
        <is>
          <t>Odoo: producto 20965 / plantilla 26968</t>
        </is>
      </c>
      <c r="AL196" s="58" t="n"/>
      <c r="AM196" s="58" t="n"/>
      <c r="AN196" s="155" t="inlineStr">
        <is>
          <t>Odoo Universal Unique Brands</t>
        </is>
      </c>
      <c r="AO196" s="59" t="n"/>
      <c r="AP196" s="59" t="n"/>
      <c r="AQ196" s="59" t="n">
        <v>9</v>
      </c>
      <c r="AR196" s="155" t="inlineStr">
        <is>
          <t>Odoo Universal Unique Brands › Bodega 25 › Bodega 25/General: 9</t>
        </is>
      </c>
    </row>
    <row r="197">
      <c r="A197" s="50" t="inlineStr">
        <is>
          <t>199168054045</t>
        </is>
      </c>
      <c r="B197" s="51" t="n"/>
      <c r="C197" s="156" t="inlineStr">
        <is>
          <t>Roper</t>
        </is>
      </c>
      <c r="D197" s="156" t="inlineStr">
        <is>
          <t>03-050-0064-0730</t>
        </is>
      </c>
      <c r="E197" s="156" t="inlineStr">
        <is>
          <t>03-050-0064-0730 BL-XL</t>
        </is>
      </c>
      <c r="F197" s="156" t="inlineStr">
        <is>
          <t>XL</t>
        </is>
      </c>
      <c r="G197" s="156" t="inlineStr">
        <is>
          <t>XL</t>
        </is>
      </c>
      <c r="H197" s="156" t="inlineStr">
        <is>
          <t>Roper</t>
        </is>
      </c>
      <c r="I197" s="156" t="inlineStr">
        <is>
          <t>ROPER Shirt Paisley Stamps</t>
        </is>
      </c>
      <c r="J197" s="156" t="inlineStr">
        <is>
          <t>Ropa</t>
        </is>
      </c>
      <c r="K197" s="156" t="inlineStr">
        <is>
          <t>Camisas</t>
        </is>
      </c>
      <c r="L197" s="156" t="n"/>
      <c r="M197" s="156" t="n"/>
      <c r="N197" s="156" t="n"/>
      <c r="O197" s="156" t="n"/>
      <c r="P197" s="156" t="n"/>
      <c r="Q197" s="156" t="n"/>
      <c r="R197" s="156" t="n"/>
      <c r="S197" s="156" t="n"/>
      <c r="T197" s="156" t="n"/>
      <c r="U197" s="156" t="n"/>
      <c r="V197" s="156" t="inlineStr">
        <is>
          <t>PZS</t>
        </is>
      </c>
      <c r="W197" s="51" t="inlineStr">
        <is>
          <t>53101602</t>
        </is>
      </c>
      <c r="X197" s="156" t="n"/>
      <c r="Y197" s="54" t="n">
        <v>23.72</v>
      </c>
      <c r="Z197" s="54" t="n">
        <v>659</v>
      </c>
      <c r="AA197" s="55">
        <f>IF(AND(A197="", B197="", E197=""), "", IF(AB197="", "Válido", IF((LEN(AB197)-LEN(SUBSTITUTE(AB197,"; ","")))/2+1&gt;(LEN(AB197)-LEN(SUBSTITUTE(AB197,"[Aviso]","")))/7, "Con Incidencias", "Válido")))</f>
        <v/>
      </c>
      <c r="AB197" s="56">
        <f>IF(AND(A197="", B197="", E197=""), "", TEXTJOIN("; ", TRUE, IF(OR(TRIM(A197&amp;"")="", ISNUMBER(SEARCH("FALTA", A197))), "UPC faltante/inválido", ""), IF(AND(A197&lt;&gt;"", IFERROR(_xlfn.XMATCH(A197,$A$2:$A$285,0,1)&lt;&gt;_xlfn.XMATCH(A197,$A$2:$A$285,0,-1),FALSE)), "Código de barras duplicado", ""), IF(AND(E197&lt;&gt;"", COUNTIF($E$2:$E$285, E197)&gt;1), "SKU duplicado", ""), IF(OR(J197="", J197=""), "[Aviso] División no capturada ()", IF(ISNA(MATCH(J197, Criterios!$A$123:$A$126, 0)), "División no válida", "")), IF(OR(K197="", K197=""), "[Aviso] Categoría no capturada ()", IF(ISNA(MATCH(K197, Criterios!$A$81:$A$120, 0)), "Categoría no válida", IF(AND(J197&lt;&gt;"", J197&lt;&gt;"", J197&lt;&gt;VLOOKUP(K197, Criterios!$A$81:$B$120, 2, FALSE)), "División no coincide con Categoría", ""))), IF(OR(L197="", L197=""), "[Aviso] Género no capturado ()", IF(ISNA(MATCH(L197, Criterios!$B$123:$B$127, 0)), "Género no válido", "")), IF(OR(N197="", N197=""), "[Aviso] Temporada no capturada ()", IF(ISNA(MATCH(N197, Criterios!$C$123:$C$128, 0)), "Temporada no válida", "")), IF(OR(O197="", O197=""), "[Aviso] Ciclo de vida no capturado ()", IF(ISNA(MATCH(O197, Criterios!$D$123:$D$124, 0)), "Ciclo de vida no válido", ""))))</f>
        <v/>
      </c>
      <c r="AC197" s="56" t="n"/>
      <c r="AD197" s="51" t="n"/>
      <c r="AE197" s="156" t="n"/>
      <c r="AF197" s="51" t="n"/>
      <c r="AG197" s="156" t="inlineStr">
        <is>
          <t>Nuevo – Odoo Universal Unique Brands 01/10/2026</t>
        </is>
      </c>
      <c r="AH197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«03-050-0064-0730» (Completado por regla) · Validador Shopify: WB: precio con IVA no termina en 9</t>
        </is>
      </c>
      <c r="AI197" s="156" t="n"/>
      <c r="AJ197" s="156" t="n"/>
      <c r="AK197" s="155" t="inlineStr">
        <is>
          <t>Odoo: producto 20968 / plantilla 26971</t>
        </is>
      </c>
      <c r="AL197" s="58" t="n"/>
      <c r="AM197" s="58" t="n"/>
      <c r="AN197" s="155" t="inlineStr">
        <is>
          <t>Odoo Universal Unique Brands</t>
        </is>
      </c>
      <c r="AO197" s="59" t="n"/>
      <c r="AP197" s="59" t="n"/>
      <c r="AQ197" s="59" t="n">
        <v>10</v>
      </c>
      <c r="AR197" s="155" t="inlineStr">
        <is>
          <t>Odoo Universal Unique Brands › Bodega 25 › Bodega 25/General: 10</t>
        </is>
      </c>
    </row>
    <row r="198">
      <c r="A198" s="50" t="inlineStr">
        <is>
          <t>199168054090</t>
        </is>
      </c>
      <c r="B198" s="51" t="n"/>
      <c r="C198" s="156" t="inlineStr">
        <is>
          <t>Roper</t>
        </is>
      </c>
      <c r="D198" s="156" t="inlineStr">
        <is>
          <t>03-050-0064-0731</t>
        </is>
      </c>
      <c r="E198" s="156" t="inlineStr">
        <is>
          <t>03-050-0064-0731 BU-L</t>
        </is>
      </c>
      <c r="F198" s="156" t="inlineStr">
        <is>
          <t>L</t>
        </is>
      </c>
      <c r="G198" s="156" t="inlineStr">
        <is>
          <t>L</t>
        </is>
      </c>
      <c r="H198" s="156" t="inlineStr">
        <is>
          <t>Roper</t>
        </is>
      </c>
      <c r="I198" s="156" t="inlineStr">
        <is>
          <t>ROPER Shirt Brilliant Paisley Print</t>
        </is>
      </c>
      <c r="J198" s="156" t="inlineStr">
        <is>
          <t>Ropa</t>
        </is>
      </c>
      <c r="K198" s="156" t="inlineStr">
        <is>
          <t>Camisas</t>
        </is>
      </c>
      <c r="L198" s="156" t="n"/>
      <c r="M198" s="156" t="n"/>
      <c r="N198" s="156" t="n"/>
      <c r="O198" s="156" t="n"/>
      <c r="P198" s="156" t="n"/>
      <c r="Q198" s="156" t="n"/>
      <c r="R198" s="156" t="n"/>
      <c r="S198" s="156" t="n"/>
      <c r="T198" s="156" t="n"/>
      <c r="U198" s="156" t="n"/>
      <c r="V198" s="156" t="inlineStr">
        <is>
          <t>PZS</t>
        </is>
      </c>
      <c r="W198" s="51" t="inlineStr">
        <is>
          <t>53101602</t>
        </is>
      </c>
      <c r="X198" s="156" t="n"/>
      <c r="Y198" s="54" t="n">
        <v>23.72</v>
      </c>
      <c r="Z198" s="54" t="n">
        <v>659</v>
      </c>
      <c r="AA198" s="55">
        <f>IF(AND(A198="", B198="", E198=""), "", IF(AB198="", "Válido", IF((LEN(AB198)-LEN(SUBSTITUTE(AB198,"; ","")))/2+1&gt;(LEN(AB198)-LEN(SUBSTITUTE(AB198,"[Aviso]","")))/7, "Con Incidencias", "Válido")))</f>
        <v/>
      </c>
      <c r="AB198" s="56">
        <f>IF(AND(A198="", B198="", E198=""), "", TEXTJOIN("; ", TRUE, IF(OR(TRIM(A198&amp;"")="", ISNUMBER(SEARCH("FALTA", A198))), "UPC faltante/inválido", ""), IF(AND(A198&lt;&gt;"", IFERROR(_xlfn.XMATCH(A198,$A$2:$A$285,0,1)&lt;&gt;_xlfn.XMATCH(A198,$A$2:$A$285,0,-1),FALSE)), "Código de barras duplicado", ""), IF(AND(E198&lt;&gt;"", COUNTIF($E$2:$E$285, E198)&gt;1), "SKU duplicado", ""), IF(OR(J198="", J198=""), "[Aviso] División no capturada ()", IF(ISNA(MATCH(J198, Criterios!$A$123:$A$126, 0)), "División no válida", "")), IF(OR(K198="", K198=""), "[Aviso] Categoría no capturada ()", IF(ISNA(MATCH(K198, Criterios!$A$81:$A$120, 0)), "Categoría no válida", IF(AND(J198&lt;&gt;"", J198&lt;&gt;"", J198&lt;&gt;VLOOKUP(K198, Criterios!$A$81:$B$120, 2, FALSE)), "División no coincide con Categoría", ""))), IF(OR(L198="", L198=""), "[Aviso] Género no capturado ()", IF(ISNA(MATCH(L198, Criterios!$B$123:$B$127, 0)), "Género no válido", "")), IF(OR(N198="", N198=""), "[Aviso] Temporada no capturada ()", IF(ISNA(MATCH(N198, Criterios!$C$123:$C$128, 0)), "Temporada no válida", "")), IF(OR(O198="", O198=""), "[Aviso] Ciclo de vida no capturado ()", IF(ISNA(MATCH(O198, Criterios!$D$123:$D$124, 0)), "Ciclo de vida no válido", ""))))</f>
        <v/>
      </c>
      <c r="AC198" s="56" t="n"/>
      <c r="AD198" s="51" t="n"/>
      <c r="AE198" s="156" t="n"/>
      <c r="AF198" s="51" t="n"/>
      <c r="AG198" s="156" t="inlineStr">
        <is>
          <t>Nuevo – Odoo Universal Unique Brands 01/10/2026</t>
        </is>
      </c>
      <c r="AH198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«03-050-0064-0731» (Completado por regla) · Validador Shopify: WB: precio con IVA no termina en 9</t>
        </is>
      </c>
      <c r="AI198" s="156" t="n"/>
      <c r="AJ198" s="156" t="n"/>
      <c r="AK198" s="155" t="inlineStr">
        <is>
          <t>Odoo: producto 20995 / plantilla 26998</t>
        </is>
      </c>
      <c r="AL198" s="58" t="n"/>
      <c r="AM198" s="58" t="n"/>
      <c r="AN198" s="155" t="inlineStr">
        <is>
          <t>Odoo Universal Unique Brands</t>
        </is>
      </c>
      <c r="AO198" s="59" t="n"/>
      <c r="AP198" s="59" t="n"/>
      <c r="AQ198" s="59" t="n">
        <v>7</v>
      </c>
      <c r="AR198" s="155" t="inlineStr">
        <is>
          <t>Odoo Universal Unique Brands › Bodega 25 › Bodega 25/General: 7</t>
        </is>
      </c>
    </row>
    <row r="199">
      <c r="A199" s="50" t="inlineStr">
        <is>
          <t>199168054106</t>
        </is>
      </c>
      <c r="B199" s="51" t="n"/>
      <c r="C199" s="156" t="inlineStr">
        <is>
          <t>Roper</t>
        </is>
      </c>
      <c r="D199" s="156" t="inlineStr">
        <is>
          <t>03-050-0064-0731</t>
        </is>
      </c>
      <c r="E199" s="156" t="inlineStr">
        <is>
          <t>03-050-0064-0731 BU-M</t>
        </is>
      </c>
      <c r="F199" s="156" t="inlineStr">
        <is>
          <t>M</t>
        </is>
      </c>
      <c r="G199" s="156" t="inlineStr">
        <is>
          <t>M</t>
        </is>
      </c>
      <c r="H199" s="156" t="inlineStr">
        <is>
          <t>Roper</t>
        </is>
      </c>
      <c r="I199" s="156" t="inlineStr">
        <is>
          <t>ROPER Shirt Brilliant Paisley Print</t>
        </is>
      </c>
      <c r="J199" s="156" t="inlineStr">
        <is>
          <t>Ropa</t>
        </is>
      </c>
      <c r="K199" s="156" t="inlineStr">
        <is>
          <t>Camisas</t>
        </is>
      </c>
      <c r="L199" s="156" t="n"/>
      <c r="M199" s="156" t="n"/>
      <c r="N199" s="156" t="n"/>
      <c r="O199" s="156" t="n"/>
      <c r="P199" s="156" t="n"/>
      <c r="Q199" s="156" t="n"/>
      <c r="R199" s="156" t="n"/>
      <c r="S199" s="156" t="n"/>
      <c r="T199" s="156" t="n"/>
      <c r="U199" s="156" t="n"/>
      <c r="V199" s="156" t="inlineStr">
        <is>
          <t>PZS</t>
        </is>
      </c>
      <c r="W199" s="51" t="inlineStr">
        <is>
          <t>53101602</t>
        </is>
      </c>
      <c r="X199" s="156" t="n"/>
      <c r="Y199" s="54" t="n">
        <v>23.72</v>
      </c>
      <c r="Z199" s="54" t="n">
        <v>659</v>
      </c>
      <c r="AA199" s="55">
        <f>IF(AND(A199="", B199="", E199=""), "", IF(AB199="", "Válido", IF((LEN(AB199)-LEN(SUBSTITUTE(AB199,"; ","")))/2+1&gt;(LEN(AB199)-LEN(SUBSTITUTE(AB199,"[Aviso]","")))/7, "Con Incidencias", "Válido")))</f>
        <v/>
      </c>
      <c r="AB199" s="56">
        <f>IF(AND(A199="", B199="", E199=""), "", TEXTJOIN("; ", TRUE, IF(OR(TRIM(A199&amp;"")="", ISNUMBER(SEARCH("FALTA", A199))), "UPC faltante/inválido", ""), IF(AND(A199&lt;&gt;"", IFERROR(_xlfn.XMATCH(A199,$A$2:$A$285,0,1)&lt;&gt;_xlfn.XMATCH(A199,$A$2:$A$285,0,-1),FALSE)), "Código de barras duplicado", ""), IF(AND(E199&lt;&gt;"", COUNTIF($E$2:$E$285, E199)&gt;1), "SKU duplicado", ""), IF(OR(J199="", J199=""), "[Aviso] División no capturada ()", IF(ISNA(MATCH(J199, Criterios!$A$123:$A$126, 0)), "División no válida", "")), IF(OR(K199="", K199=""), "[Aviso] Categoría no capturada ()", IF(ISNA(MATCH(K199, Criterios!$A$81:$A$120, 0)), "Categoría no válida", IF(AND(J199&lt;&gt;"", J199&lt;&gt;"", J199&lt;&gt;VLOOKUP(K199, Criterios!$A$81:$B$120, 2, FALSE)), "División no coincide con Categoría", ""))), IF(OR(L199="", L199=""), "[Aviso] Género no capturado ()", IF(ISNA(MATCH(L199, Criterios!$B$123:$B$127, 0)), "Género no válido", "")), IF(OR(N199="", N199=""), "[Aviso] Temporada no capturada ()", IF(ISNA(MATCH(N199, Criterios!$C$123:$C$128, 0)), "Temporada no válida", "")), IF(OR(O199="", O199=""), "[Aviso] Ciclo de vida no capturado ()", IF(ISNA(MATCH(O199, Criterios!$D$123:$D$124, 0)), "Ciclo de vida no válido", ""))))</f>
        <v/>
      </c>
      <c r="AC199" s="56" t="n"/>
      <c r="AD199" s="51" t="n"/>
      <c r="AE199" s="156" t="n"/>
      <c r="AF199" s="51" t="n"/>
      <c r="AG199" s="156" t="inlineStr">
        <is>
          <t>Nuevo – Odoo Universal Unique Brands 01/10/2026</t>
        </is>
      </c>
      <c r="AH199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«03-050-0064-0731» (Completado por regla) · Validador Shopify: WB: precio con IVA no termina en 9</t>
        </is>
      </c>
      <c r="AI199" s="156" t="n"/>
      <c r="AJ199" s="156" t="n"/>
      <c r="AK199" s="155" t="inlineStr">
        <is>
          <t>Odoo: producto 20994 / plantilla 26997</t>
        </is>
      </c>
      <c r="AL199" s="58" t="n"/>
      <c r="AM199" s="58" t="n"/>
      <c r="AN199" s="155" t="inlineStr">
        <is>
          <t>Odoo Universal Unique Brands</t>
        </is>
      </c>
      <c r="AO199" s="59" t="n"/>
      <c r="AP199" s="59" t="n"/>
      <c r="AQ199" s="59" t="n">
        <v>7</v>
      </c>
      <c r="AR199" s="155" t="inlineStr">
        <is>
          <t>Odoo Universal Unique Brands › Bodega 25 › Bodega 25/General: 7</t>
        </is>
      </c>
    </row>
    <row r="200">
      <c r="A200" s="50" t="inlineStr">
        <is>
          <t>199168054113</t>
        </is>
      </c>
      <c r="B200" s="51" t="n"/>
      <c r="C200" s="156" t="inlineStr">
        <is>
          <t>Roper</t>
        </is>
      </c>
      <c r="D200" s="156" t="inlineStr">
        <is>
          <t>03-050-0064-0731</t>
        </is>
      </c>
      <c r="E200" s="156" t="inlineStr">
        <is>
          <t>03-050-0064-0731 BU-S</t>
        </is>
      </c>
      <c r="F200" s="156" t="inlineStr">
        <is>
          <t>S</t>
        </is>
      </c>
      <c r="G200" s="156" t="inlineStr">
        <is>
          <t>S</t>
        </is>
      </c>
      <c r="H200" s="156" t="inlineStr">
        <is>
          <t>Roper</t>
        </is>
      </c>
      <c r="I200" s="156" t="inlineStr">
        <is>
          <t>ROPER Shirt Brilliant Paisley Print</t>
        </is>
      </c>
      <c r="J200" s="156" t="inlineStr">
        <is>
          <t>Ropa</t>
        </is>
      </c>
      <c r="K200" s="156" t="inlineStr">
        <is>
          <t>Camisas</t>
        </is>
      </c>
      <c r="L200" s="156" t="n"/>
      <c r="M200" s="156" t="n"/>
      <c r="N200" s="156" t="n"/>
      <c r="O200" s="156" t="n"/>
      <c r="P200" s="156" t="n"/>
      <c r="Q200" s="156" t="n"/>
      <c r="R200" s="156" t="n"/>
      <c r="S200" s="156" t="n"/>
      <c r="T200" s="156" t="n"/>
      <c r="U200" s="156" t="n"/>
      <c r="V200" s="156" t="inlineStr">
        <is>
          <t>PZS</t>
        </is>
      </c>
      <c r="W200" s="51" t="inlineStr">
        <is>
          <t>53101602</t>
        </is>
      </c>
      <c r="X200" s="156" t="n"/>
      <c r="Y200" s="54" t="n">
        <v>23.72</v>
      </c>
      <c r="Z200" s="54" t="n">
        <v>659</v>
      </c>
      <c r="AA200" s="55">
        <f>IF(AND(A200="", B200="", E200=""), "", IF(AB200="", "Válido", IF((LEN(AB200)-LEN(SUBSTITUTE(AB200,"; ","")))/2+1&gt;(LEN(AB200)-LEN(SUBSTITUTE(AB200,"[Aviso]","")))/7, "Con Incidencias", "Válido")))</f>
        <v/>
      </c>
      <c r="AB200" s="56">
        <f>IF(AND(A200="", B200="", E200=""), "", TEXTJOIN("; ", TRUE, IF(OR(TRIM(A200&amp;"")="", ISNUMBER(SEARCH("FALTA", A200))), "UPC faltante/inválido", ""), IF(AND(A200&lt;&gt;"", IFERROR(_xlfn.XMATCH(A200,$A$2:$A$285,0,1)&lt;&gt;_xlfn.XMATCH(A200,$A$2:$A$285,0,-1),FALSE)), "Código de barras duplicado", ""), IF(AND(E200&lt;&gt;"", COUNTIF($E$2:$E$285, E200)&gt;1), "SKU duplicado", ""), IF(OR(J200="", J200=""), "[Aviso] División no capturada ()", IF(ISNA(MATCH(J200, Criterios!$A$123:$A$126, 0)), "División no válida", "")), IF(OR(K200="", K200=""), "[Aviso] Categoría no capturada ()", IF(ISNA(MATCH(K200, Criterios!$A$81:$A$120, 0)), "Categoría no válida", IF(AND(J200&lt;&gt;"", J200&lt;&gt;"", J200&lt;&gt;VLOOKUP(K200, Criterios!$A$81:$B$120, 2, FALSE)), "División no coincide con Categoría", ""))), IF(OR(L200="", L200=""), "[Aviso] Género no capturado ()", IF(ISNA(MATCH(L200, Criterios!$B$123:$B$127, 0)), "Género no válido", "")), IF(OR(N200="", N200=""), "[Aviso] Temporada no capturada ()", IF(ISNA(MATCH(N200, Criterios!$C$123:$C$128, 0)), "Temporada no válida", "")), IF(OR(O200="", O200=""), "[Aviso] Ciclo de vida no capturado ()", IF(ISNA(MATCH(O200, Criterios!$D$123:$D$124, 0)), "Ciclo de vida no válido", ""))))</f>
        <v/>
      </c>
      <c r="AC200" s="56" t="n"/>
      <c r="AD200" s="51" t="n"/>
      <c r="AE200" s="156" t="n"/>
      <c r="AF200" s="51" t="n"/>
      <c r="AG200" s="156" t="inlineStr">
        <is>
          <t>Nuevo – Odoo Universal Unique Brands 01/10/2026</t>
        </is>
      </c>
      <c r="AH200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«03-050-0064-0731» (Completado por regla) · Validador Shopify: WB: precio con IVA no termina en 9</t>
        </is>
      </c>
      <c r="AI200" s="156" t="n"/>
      <c r="AJ200" s="156" t="n"/>
      <c r="AK200" s="155" t="inlineStr">
        <is>
          <t>Odoo: producto 20993 / plantilla 26996</t>
        </is>
      </c>
      <c r="AL200" s="58" t="n"/>
      <c r="AM200" s="58" t="n"/>
      <c r="AN200" s="155" t="inlineStr">
        <is>
          <t>Odoo Universal Unique Brands</t>
        </is>
      </c>
      <c r="AO200" s="59" t="n"/>
      <c r="AP200" s="59" t="n"/>
      <c r="AQ200" s="59" t="n">
        <v>5</v>
      </c>
      <c r="AR200" s="155" t="inlineStr">
        <is>
          <t>Odoo Universal Unique Brands › Bodega 25 › Bodega 25/General: 5</t>
        </is>
      </c>
    </row>
    <row r="201">
      <c r="A201" s="50" t="inlineStr">
        <is>
          <t>199168054120</t>
        </is>
      </c>
      <c r="B201" s="51" t="n"/>
      <c r="C201" s="156" t="inlineStr">
        <is>
          <t>Roper</t>
        </is>
      </c>
      <c r="D201" s="156" t="inlineStr">
        <is>
          <t>03-050-0064-0731</t>
        </is>
      </c>
      <c r="E201" s="156" t="inlineStr">
        <is>
          <t>03-050-0064-0731 BU-XL</t>
        </is>
      </c>
      <c r="F201" s="156" t="inlineStr">
        <is>
          <t>XL</t>
        </is>
      </c>
      <c r="G201" s="156" t="inlineStr">
        <is>
          <t>XL</t>
        </is>
      </c>
      <c r="H201" s="156" t="inlineStr">
        <is>
          <t>Roper</t>
        </is>
      </c>
      <c r="I201" s="156" t="inlineStr">
        <is>
          <t>ROPER Shirt Brilliant Paisley Print</t>
        </is>
      </c>
      <c r="J201" s="156" t="inlineStr">
        <is>
          <t>Ropa</t>
        </is>
      </c>
      <c r="K201" s="156" t="inlineStr">
        <is>
          <t>Camisas</t>
        </is>
      </c>
      <c r="L201" s="156" t="n"/>
      <c r="M201" s="156" t="n"/>
      <c r="N201" s="156" t="n"/>
      <c r="O201" s="156" t="n"/>
      <c r="P201" s="156" t="n"/>
      <c r="Q201" s="156" t="n"/>
      <c r="R201" s="156" t="n"/>
      <c r="S201" s="156" t="n"/>
      <c r="T201" s="156" t="n"/>
      <c r="U201" s="156" t="n"/>
      <c r="V201" s="156" t="inlineStr">
        <is>
          <t>PZS</t>
        </is>
      </c>
      <c r="W201" s="51" t="inlineStr">
        <is>
          <t>53101602</t>
        </is>
      </c>
      <c r="X201" s="156" t="n"/>
      <c r="Y201" s="54" t="n">
        <v>23.72</v>
      </c>
      <c r="Z201" s="54" t="n">
        <v>659</v>
      </c>
      <c r="AA201" s="55">
        <f>IF(AND(A201="", B201="", E201=""), "", IF(AB201="", "Válido", IF((LEN(AB201)-LEN(SUBSTITUTE(AB201,"; ","")))/2+1&gt;(LEN(AB201)-LEN(SUBSTITUTE(AB201,"[Aviso]","")))/7, "Con Incidencias", "Válido")))</f>
        <v/>
      </c>
      <c r="AB201" s="56">
        <f>IF(AND(A201="", B201="", E201=""), "", TEXTJOIN("; ", TRUE, IF(OR(TRIM(A201&amp;"")="", ISNUMBER(SEARCH("FALTA", A201))), "UPC faltante/inválido", ""), IF(AND(A201&lt;&gt;"", IFERROR(_xlfn.XMATCH(A201,$A$2:$A$285,0,1)&lt;&gt;_xlfn.XMATCH(A201,$A$2:$A$285,0,-1),FALSE)), "Código de barras duplicado", ""), IF(AND(E201&lt;&gt;"", COUNTIF($E$2:$E$285, E201)&gt;1), "SKU duplicado", ""), IF(OR(J201="", J201=""), "[Aviso] División no capturada ()", IF(ISNA(MATCH(J201, Criterios!$A$123:$A$126, 0)), "División no válida", "")), IF(OR(K201="", K201=""), "[Aviso] Categoría no capturada ()", IF(ISNA(MATCH(K201, Criterios!$A$81:$A$120, 0)), "Categoría no válida", IF(AND(J201&lt;&gt;"", J201&lt;&gt;"", J201&lt;&gt;VLOOKUP(K201, Criterios!$A$81:$B$120, 2, FALSE)), "División no coincide con Categoría", ""))), IF(OR(L201="", L201=""), "[Aviso] Género no capturado ()", IF(ISNA(MATCH(L201, Criterios!$B$123:$B$127, 0)), "Género no válido", "")), IF(OR(N201="", N201=""), "[Aviso] Temporada no capturada ()", IF(ISNA(MATCH(N201, Criterios!$C$123:$C$128, 0)), "Temporada no válida", "")), IF(OR(O201="", O201=""), "[Aviso] Ciclo de vida no capturado ()", IF(ISNA(MATCH(O201, Criterios!$D$123:$D$124, 0)), "Ciclo de vida no válido", ""))))</f>
        <v/>
      </c>
      <c r="AC201" s="56" t="n"/>
      <c r="AD201" s="51" t="n"/>
      <c r="AE201" s="156" t="n"/>
      <c r="AF201" s="51" t="n"/>
      <c r="AG201" s="156" t="inlineStr">
        <is>
          <t>Nuevo – Odoo Universal Unique Brands 01/10/2026</t>
        </is>
      </c>
      <c r="AH201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«03-050-0064-0731» (Completado por regla) · Validador Shopify: WB: precio con IVA no termina en 9</t>
        </is>
      </c>
      <c r="AI201" s="156" t="n"/>
      <c r="AJ201" s="156" t="n"/>
      <c r="AK201" s="155" t="inlineStr">
        <is>
          <t>Odoo: producto 20996 / plantilla 26999</t>
        </is>
      </c>
      <c r="AL201" s="58" t="n"/>
      <c r="AM201" s="58" t="n"/>
      <c r="AN201" s="155" t="inlineStr">
        <is>
          <t>Odoo Universal Unique Brands</t>
        </is>
      </c>
      <c r="AO201" s="59" t="n"/>
      <c r="AP201" s="59" t="n"/>
      <c r="AQ201" s="59" t="n">
        <v>5</v>
      </c>
      <c r="AR201" s="155" t="inlineStr">
        <is>
          <t>Odoo Universal Unique Brands › Bodega 25 › Bodega 25/General: 5</t>
        </is>
      </c>
    </row>
    <row r="202">
      <c r="A202" s="50" t="inlineStr">
        <is>
          <t>199168054328</t>
        </is>
      </c>
      <c r="B202" s="51" t="n"/>
      <c r="C202" s="156" t="inlineStr">
        <is>
          <t>Roper</t>
        </is>
      </c>
      <c r="D202" s="156" t="inlineStr">
        <is>
          <t>03-050-0067-0740</t>
        </is>
      </c>
      <c r="E202" s="156" t="inlineStr">
        <is>
          <t>03-050-0067-0740 BU-1XL</t>
        </is>
      </c>
      <c r="F202" s="156" t="n"/>
      <c r="G202" s="156" t="n"/>
      <c r="H202" s="156" t="inlineStr">
        <is>
          <t>Roper</t>
        </is>
      </c>
      <c r="I202" s="156" t="inlineStr">
        <is>
          <t>ROPER Shirt Aztec Serape Print</t>
        </is>
      </c>
      <c r="J202" s="156" t="inlineStr">
        <is>
          <t>Ropa</t>
        </is>
      </c>
      <c r="K202" s="156" t="inlineStr">
        <is>
          <t>Camisas</t>
        </is>
      </c>
      <c r="L202" s="156" t="n"/>
      <c r="M202" s="156" t="n"/>
      <c r="N202" s="156" t="n"/>
      <c r="O202" s="156" t="n"/>
      <c r="P202" s="156" t="n"/>
      <c r="Q202" s="156" t="n"/>
      <c r="R202" s="156" t="n"/>
      <c r="S202" s="156" t="n"/>
      <c r="T202" s="156" t="n"/>
      <c r="U202" s="156" t="n"/>
      <c r="V202" s="156" t="inlineStr">
        <is>
          <t>PZS</t>
        </is>
      </c>
      <c r="W202" s="51" t="inlineStr">
        <is>
          <t>53101602</t>
        </is>
      </c>
      <c r="X202" s="156" t="n"/>
      <c r="Y202" s="54" t="n">
        <v>25.58</v>
      </c>
      <c r="Z202" s="54" t="n">
        <v>700</v>
      </c>
      <c r="AA202" s="55">
        <f>IF(AND(A202="", B202="", E202=""), "", IF(AB202="", "Válido", IF((LEN(AB202)-LEN(SUBSTITUTE(AB202,"; ","")))/2+1&gt;(LEN(AB202)-LEN(SUBSTITUTE(AB202,"[Aviso]","")))/7, "Con Incidencias", "Válido")))</f>
        <v/>
      </c>
      <c r="AB202" s="56">
        <f>IF(AND(A202="", B202="", E202=""), "", TEXTJOIN("; ", TRUE, IF(OR(TRIM(A202&amp;"")="", ISNUMBER(SEARCH("FALTA", A202))), "UPC faltante/inválido", ""), IF(AND(A202&lt;&gt;"", IFERROR(_xlfn.XMATCH(A202,$A$2:$A$285,0,1)&lt;&gt;_xlfn.XMATCH(A202,$A$2:$A$285,0,-1),FALSE)), "Código de barras duplicado", ""), IF(AND(E202&lt;&gt;"", COUNTIF($E$2:$E$285, E202)&gt;1), "SKU duplicado", ""), IF(OR(J202="", J202=""), "[Aviso] División no capturada ()", IF(ISNA(MATCH(J202, Criterios!$A$123:$A$126, 0)), "División no válida", "")), IF(OR(K202="", K202=""), "[Aviso] Categoría no capturada ()", IF(ISNA(MATCH(K202, Criterios!$A$81:$A$120, 0)), "Categoría no válida", IF(AND(J202&lt;&gt;"", J202&lt;&gt;"", J202&lt;&gt;VLOOKUP(K202, Criterios!$A$81:$B$120, 2, FALSE)), "División no coincide con Categoría", ""))), IF(OR(L202="", L202=""), "[Aviso] Género no capturado ()", IF(ISNA(MATCH(L202, Criterios!$B$123:$B$127, 0)), "Género no válido", "")), IF(OR(N202="", N202=""), "[Aviso] Temporada no capturada ()", IF(ISNA(MATCH(N202, Criterios!$C$123:$C$128, 0)), "Temporada no válida", "")), IF(OR(O202="", O202=""), "[Aviso] Ciclo de vida no capturado ()", IF(ISNA(MATCH(O202, Criterios!$D$123:$D$124, 0)), "Ciclo de vida no válido", ""))))</f>
        <v/>
      </c>
      <c r="AC202" s="56" t="n"/>
      <c r="AD202" s="51" t="n"/>
      <c r="AE202" s="156" t="n"/>
      <c r="AF202" s="51" t="n"/>
      <c r="AG202" s="156" t="inlineStr">
        <is>
          <t>Nuevo – Odoo Universal Unique Brands 01/10/2026</t>
        </is>
      </c>
      <c r="AH202" s="156" t="inlineStr">
        <is>
          <t>01/10/2026: alta desde Odoo Universal Unique Brands (no existía en Productos por código de barras ni SKU) | Categoría: Palabra clave "Camisa" en tipo/categoría de la fuente (Ropa / Camisas) | Homologación G1522 06/10/2026: WB N.º de estilo: «» → «03-050-0067-0740» (Completado por regla) · Validador NetSuite / Odoo: N2: talla cero o vacía · Validador Shopify: WB: precio con IVA no termina en 9</t>
        </is>
      </c>
      <c r="AI202" s="156" t="n"/>
      <c r="AJ202" s="156" t="n"/>
      <c r="AK202" s="155" t="inlineStr">
        <is>
          <t>Odoo: producto 20987 / plantilla 26990</t>
        </is>
      </c>
      <c r="AL202" s="58" t="n"/>
      <c r="AM202" s="58" t="n"/>
      <c r="AN202" s="155" t="inlineStr">
        <is>
          <t>Odoo Universal Unique Brands</t>
        </is>
      </c>
      <c r="AO202" s="59" t="n"/>
      <c r="AP202" s="59" t="n"/>
      <c r="AQ202" s="59" t="n">
        <v>4</v>
      </c>
      <c r="AR202" s="155" t="inlineStr">
        <is>
          <t>Odoo Universal Unique Brands › Bodega 25 › Bodega 25/General: 4</t>
        </is>
      </c>
    </row>
    <row r="203">
      <c r="A203" s="50" t="inlineStr">
        <is>
          <t>199168054274</t>
        </is>
      </c>
      <c r="B203" s="51" t="n"/>
      <c r="C203" s="156" t="inlineStr">
        <is>
          <t>Roper</t>
        </is>
      </c>
      <c r="D203" s="156" t="inlineStr">
        <is>
          <t>03-050-0067-0740</t>
        </is>
      </c>
      <c r="E203" s="156" t="inlineStr">
        <is>
          <t>03-050-0067-0740 BU-L</t>
        </is>
      </c>
      <c r="F203" s="156" t="inlineStr">
        <is>
          <t>L</t>
        </is>
      </c>
      <c r="G203" s="156" t="inlineStr">
        <is>
          <t>L</t>
        </is>
      </c>
      <c r="H203" s="156" t="inlineStr">
        <is>
          <t>Roper</t>
        </is>
      </c>
      <c r="I203" s="156" t="inlineStr">
        <is>
          <t>ROPER Shirt Aztec Serape Print</t>
        </is>
      </c>
      <c r="J203" s="156" t="inlineStr">
        <is>
          <t>Ropa</t>
        </is>
      </c>
      <c r="K203" s="156" t="inlineStr">
        <is>
          <t>Camisas</t>
        </is>
      </c>
      <c r="L203" s="156" t="n"/>
      <c r="M203" s="156" t="n"/>
      <c r="N203" s="156" t="n"/>
      <c r="O203" s="156" t="n"/>
      <c r="P203" s="156" t="n"/>
      <c r="Q203" s="156" t="n"/>
      <c r="R203" s="156" t="n"/>
      <c r="S203" s="156" t="n"/>
      <c r="T203" s="156" t="n"/>
      <c r="U203" s="156" t="n"/>
      <c r="V203" s="156" t="inlineStr">
        <is>
          <t>PZS</t>
        </is>
      </c>
      <c r="W203" s="51" t="inlineStr">
        <is>
          <t>53101602</t>
        </is>
      </c>
      <c r="X203" s="156" t="n"/>
      <c r="Y203" s="54" t="n">
        <v>25.58</v>
      </c>
      <c r="Z203" s="54" t="n">
        <v>700</v>
      </c>
      <c r="AA203" s="55">
        <f>IF(AND(A203="", B203="", E203=""), "", IF(AB203="", "Válido", IF((LEN(AB203)-LEN(SUBSTITUTE(AB203,"; ","")))/2+1&gt;(LEN(AB203)-LEN(SUBSTITUTE(AB203,"[Aviso]","")))/7, "Con Incidencias", "Válido")))</f>
        <v/>
      </c>
      <c r="AB203" s="56">
        <f>IF(AND(A203="", B203="", E203=""), "", TEXTJOIN("; ", TRUE, IF(OR(TRIM(A203&amp;"")="", ISNUMBER(SEARCH("FALTA", A203))), "UPC faltante/inválido", ""), IF(AND(A203&lt;&gt;"", IFERROR(_xlfn.XMATCH(A203,$A$2:$A$285,0,1)&lt;&gt;_xlfn.XMATCH(A203,$A$2:$A$285,0,-1),FALSE)), "Código de barras duplicado", ""), IF(AND(E203&lt;&gt;"", COUNTIF($E$2:$E$285, E203)&gt;1), "SKU duplicado", ""), IF(OR(J203="", J203=""), "[Aviso] División no capturada ()", IF(ISNA(MATCH(J203, Criterios!$A$123:$A$126, 0)), "División no válida", "")), IF(OR(K203="", K203=""), "[Aviso] Categoría no capturada ()", IF(ISNA(MATCH(K203, Criterios!$A$81:$A$120, 0)), "Categoría no válida", IF(AND(J203&lt;&gt;"", J203&lt;&gt;"", J203&lt;&gt;VLOOKUP(K203, Criterios!$A$81:$B$120, 2, FALSE)), "División no coincide con Categoría", ""))), IF(OR(L203="", L203=""), "[Aviso] Género no capturado ()", IF(ISNA(MATCH(L203, Criterios!$B$123:$B$127, 0)), "Género no válido", "")), IF(OR(N203="", N203=""), "[Aviso] Temporada no capturada ()", IF(ISNA(MATCH(N203, Criterios!$C$123:$C$128, 0)), "Temporada no válida", "")), IF(OR(O203="", O203=""), "[Aviso] Ciclo de vida no capturado ()", IF(ISNA(MATCH(O203, Criterios!$D$123:$D$124, 0)), "Ciclo de vida no válido", ""))))</f>
        <v/>
      </c>
      <c r="AC203" s="56" t="n"/>
      <c r="AD203" s="51" t="n"/>
      <c r="AE203" s="156" t="n"/>
      <c r="AF203" s="51" t="n"/>
      <c r="AG203" s="156" t="inlineStr">
        <is>
          <t>Nuevo – Odoo Universal Unique Brands 01/10/2026</t>
        </is>
      </c>
      <c r="AH203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«03-050-0067-0740» (Completado por regla) · Validador Shopify: WB: precio con IVA no termina en 9</t>
        </is>
      </c>
      <c r="AI203" s="156" t="n"/>
      <c r="AJ203" s="156" t="n"/>
      <c r="AK203" s="155" t="inlineStr">
        <is>
          <t>Odoo: producto 20985 / plantilla 26988</t>
        </is>
      </c>
      <c r="AL203" s="58" t="n"/>
      <c r="AM203" s="58" t="n"/>
      <c r="AN203" s="155" t="inlineStr">
        <is>
          <t>Odoo Universal Unique Brands</t>
        </is>
      </c>
      <c r="AO203" s="59" t="n"/>
      <c r="AP203" s="59" t="n"/>
      <c r="AQ203" s="59" t="n">
        <v>8</v>
      </c>
      <c r="AR203" s="155" t="inlineStr">
        <is>
          <t>Odoo Universal Unique Brands › Bodega 25 › Bodega 25/General: 8</t>
        </is>
      </c>
    </row>
    <row r="204">
      <c r="A204" s="50" t="inlineStr">
        <is>
          <t>199168054281</t>
        </is>
      </c>
      <c r="B204" s="51" t="n"/>
      <c r="C204" s="156" t="inlineStr">
        <is>
          <t>Roper</t>
        </is>
      </c>
      <c r="D204" s="156" t="inlineStr">
        <is>
          <t>03-050-0067-0740</t>
        </is>
      </c>
      <c r="E204" s="156" t="inlineStr">
        <is>
          <t>03-050-0067-0740 BU-M</t>
        </is>
      </c>
      <c r="F204" s="156" t="inlineStr">
        <is>
          <t>M</t>
        </is>
      </c>
      <c r="G204" s="156" t="inlineStr">
        <is>
          <t>M</t>
        </is>
      </c>
      <c r="H204" s="156" t="inlineStr">
        <is>
          <t>Roper</t>
        </is>
      </c>
      <c r="I204" s="156" t="inlineStr">
        <is>
          <t>ROPER Shirt Aztec Serape Print</t>
        </is>
      </c>
      <c r="J204" s="156" t="inlineStr">
        <is>
          <t>Ropa</t>
        </is>
      </c>
      <c r="K204" s="156" t="inlineStr">
        <is>
          <t>Camisas</t>
        </is>
      </c>
      <c r="L204" s="156" t="n"/>
      <c r="M204" s="156" t="n"/>
      <c r="N204" s="156" t="n"/>
      <c r="O204" s="156" t="n"/>
      <c r="P204" s="156" t="n"/>
      <c r="Q204" s="156" t="n"/>
      <c r="R204" s="156" t="n"/>
      <c r="S204" s="156" t="n"/>
      <c r="T204" s="156" t="n"/>
      <c r="U204" s="156" t="n"/>
      <c r="V204" s="156" t="inlineStr">
        <is>
          <t>PZS</t>
        </is>
      </c>
      <c r="W204" s="51" t="inlineStr">
        <is>
          <t>53101602</t>
        </is>
      </c>
      <c r="X204" s="156" t="n"/>
      <c r="Y204" s="54" t="n">
        <v>25.58</v>
      </c>
      <c r="Z204" s="54" t="n">
        <v>700</v>
      </c>
      <c r="AA204" s="55">
        <f>IF(AND(A204="", B204="", E204=""), "", IF(AB204="", "Válido", IF((LEN(AB204)-LEN(SUBSTITUTE(AB204,"; ","")))/2+1&gt;(LEN(AB204)-LEN(SUBSTITUTE(AB204,"[Aviso]","")))/7, "Con Incidencias", "Válido")))</f>
        <v/>
      </c>
      <c r="AB204" s="56">
        <f>IF(AND(A204="", B204="", E204=""), "", TEXTJOIN("; ", TRUE, IF(OR(TRIM(A204&amp;"")="", ISNUMBER(SEARCH("FALTA", A204))), "UPC faltante/inválido", ""), IF(AND(A204&lt;&gt;"", IFERROR(_xlfn.XMATCH(A204,$A$2:$A$285,0,1)&lt;&gt;_xlfn.XMATCH(A204,$A$2:$A$285,0,-1),FALSE)), "Código de barras duplicado", ""), IF(AND(E204&lt;&gt;"", COUNTIF($E$2:$E$285, E204)&gt;1), "SKU duplicado", ""), IF(OR(J204="", J204=""), "[Aviso] División no capturada ()", IF(ISNA(MATCH(J204, Criterios!$A$123:$A$126, 0)), "División no válida", "")), IF(OR(K204="", K204=""), "[Aviso] Categoría no capturada ()", IF(ISNA(MATCH(K204, Criterios!$A$81:$A$120, 0)), "Categoría no válida", IF(AND(J204&lt;&gt;"", J204&lt;&gt;"", J204&lt;&gt;VLOOKUP(K204, Criterios!$A$81:$B$120, 2, FALSE)), "División no coincide con Categoría", ""))), IF(OR(L204="", L204=""), "[Aviso] Género no capturado ()", IF(ISNA(MATCH(L204, Criterios!$B$123:$B$127, 0)), "Género no válido", "")), IF(OR(N204="", N204=""), "[Aviso] Temporada no capturada ()", IF(ISNA(MATCH(N204, Criterios!$C$123:$C$128, 0)), "Temporada no válida", "")), IF(OR(O204="", O204=""), "[Aviso] Ciclo de vida no capturado ()", IF(ISNA(MATCH(O204, Criterios!$D$123:$D$124, 0)), "Ciclo de vida no válido", ""))))</f>
        <v/>
      </c>
      <c r="AC204" s="56" t="n"/>
      <c r="AD204" s="51" t="n"/>
      <c r="AE204" s="156" t="n"/>
      <c r="AF204" s="51" t="n"/>
      <c r="AG204" s="156" t="inlineStr">
        <is>
          <t>Nuevo – Odoo Universal Unique Brands 01/10/2026</t>
        </is>
      </c>
      <c r="AH204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«03-050-0067-0740» (Completado por regla) · Validador Shopify: WB: precio con IVA no termina en 9</t>
        </is>
      </c>
      <c r="AI204" s="156" t="n"/>
      <c r="AJ204" s="156" t="n"/>
      <c r="AK204" s="155" t="inlineStr">
        <is>
          <t>Odoo: producto 20984 / plantilla 26987</t>
        </is>
      </c>
      <c r="AL204" s="58" t="n"/>
      <c r="AM204" s="58" t="n"/>
      <c r="AN204" s="155" t="inlineStr">
        <is>
          <t>Odoo Universal Unique Brands</t>
        </is>
      </c>
      <c r="AO204" s="59" t="n"/>
      <c r="AP204" s="59" t="n"/>
      <c r="AQ204" s="59" t="n">
        <v>8</v>
      </c>
      <c r="AR204" s="155" t="inlineStr">
        <is>
          <t>Odoo Universal Unique Brands › Bodega 25 › Bodega 25/General: 8</t>
        </is>
      </c>
    </row>
    <row r="205">
      <c r="A205" s="50" t="inlineStr">
        <is>
          <t>199168054298</t>
        </is>
      </c>
      <c r="B205" s="51" t="n"/>
      <c r="C205" s="156" t="inlineStr">
        <is>
          <t>Roper</t>
        </is>
      </c>
      <c r="D205" s="156" t="inlineStr">
        <is>
          <t>03-050-0067-0740</t>
        </is>
      </c>
      <c r="E205" s="156" t="inlineStr">
        <is>
          <t>03-050-0067-0740 BU-S</t>
        </is>
      </c>
      <c r="F205" s="156" t="inlineStr">
        <is>
          <t>S</t>
        </is>
      </c>
      <c r="G205" s="156" t="inlineStr">
        <is>
          <t>S</t>
        </is>
      </c>
      <c r="H205" s="156" t="inlineStr">
        <is>
          <t>Roper</t>
        </is>
      </c>
      <c r="I205" s="156" t="inlineStr">
        <is>
          <t>ROPER Shirt Aztec Serape Print</t>
        </is>
      </c>
      <c r="J205" s="156" t="inlineStr">
        <is>
          <t>Ropa</t>
        </is>
      </c>
      <c r="K205" s="156" t="inlineStr">
        <is>
          <t>Camisas</t>
        </is>
      </c>
      <c r="L205" s="156" t="n"/>
      <c r="M205" s="156" t="n"/>
      <c r="N205" s="156" t="n"/>
      <c r="O205" s="156" t="n"/>
      <c r="P205" s="156" t="n"/>
      <c r="Q205" s="156" t="n"/>
      <c r="R205" s="156" t="n"/>
      <c r="S205" s="156" t="n"/>
      <c r="T205" s="156" t="n"/>
      <c r="U205" s="156" t="n"/>
      <c r="V205" s="156" t="inlineStr">
        <is>
          <t>PZS</t>
        </is>
      </c>
      <c r="W205" s="51" t="inlineStr">
        <is>
          <t>53101602</t>
        </is>
      </c>
      <c r="X205" s="156" t="n"/>
      <c r="Y205" s="54" t="n">
        <v>25.58</v>
      </c>
      <c r="Z205" s="54" t="n">
        <v>700</v>
      </c>
      <c r="AA205" s="55">
        <f>IF(AND(A205="", B205="", E205=""), "", IF(AB205="", "Válido", IF((LEN(AB205)-LEN(SUBSTITUTE(AB205,"; ","")))/2+1&gt;(LEN(AB205)-LEN(SUBSTITUTE(AB205,"[Aviso]","")))/7, "Con Incidencias", "Válido")))</f>
        <v/>
      </c>
      <c r="AB205" s="56">
        <f>IF(AND(A205="", B205="", E205=""), "", TEXTJOIN("; ", TRUE, IF(OR(TRIM(A205&amp;"")="", ISNUMBER(SEARCH("FALTA", A205))), "UPC faltante/inválido", ""), IF(AND(A205&lt;&gt;"", IFERROR(_xlfn.XMATCH(A205,$A$2:$A$285,0,1)&lt;&gt;_xlfn.XMATCH(A205,$A$2:$A$285,0,-1),FALSE)), "Código de barras duplicado", ""), IF(AND(E205&lt;&gt;"", COUNTIF($E$2:$E$285, E205)&gt;1), "SKU duplicado", ""), IF(OR(J205="", J205=""), "[Aviso] División no capturada ()", IF(ISNA(MATCH(J205, Criterios!$A$123:$A$126, 0)), "División no válida", "")), IF(OR(K205="", K205=""), "[Aviso] Categoría no capturada ()", IF(ISNA(MATCH(K205, Criterios!$A$81:$A$120, 0)), "Categoría no válida", IF(AND(J205&lt;&gt;"", J205&lt;&gt;"", J205&lt;&gt;VLOOKUP(K205, Criterios!$A$81:$B$120, 2, FALSE)), "División no coincide con Categoría", ""))), IF(OR(L205="", L205=""), "[Aviso] Género no capturado ()", IF(ISNA(MATCH(L205, Criterios!$B$123:$B$127, 0)), "Género no válido", "")), IF(OR(N205="", N205=""), "[Aviso] Temporada no capturada ()", IF(ISNA(MATCH(N205, Criterios!$C$123:$C$128, 0)), "Temporada no válida", "")), IF(OR(O205="", O205=""), "[Aviso] Ciclo de vida no capturado ()", IF(ISNA(MATCH(O205, Criterios!$D$123:$D$124, 0)), "Ciclo de vida no válido", ""))))</f>
        <v/>
      </c>
      <c r="AC205" s="56" t="n"/>
      <c r="AD205" s="51" t="n"/>
      <c r="AE205" s="156" t="n"/>
      <c r="AF205" s="51" t="n"/>
      <c r="AG205" s="156" t="inlineStr">
        <is>
          <t>Nuevo – Odoo Universal Unique Brands 01/10/2026</t>
        </is>
      </c>
      <c r="AH205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«03-050-0067-0740» (Completado por regla) · Validador Shopify: WB: precio con IVA no termina en 9</t>
        </is>
      </c>
      <c r="AI205" s="156" t="n"/>
      <c r="AJ205" s="156" t="n"/>
      <c r="AK205" s="155" t="inlineStr">
        <is>
          <t>Odoo: producto 20983 / plantilla 26986</t>
        </is>
      </c>
      <c r="AL205" s="58" t="n"/>
      <c r="AM205" s="58" t="n"/>
      <c r="AN205" s="155" t="inlineStr">
        <is>
          <t>Odoo Universal Unique Brands</t>
        </is>
      </c>
      <c r="AO205" s="59" t="n"/>
      <c r="AP205" s="59" t="n"/>
      <c r="AQ205" s="59" t="n">
        <v>6</v>
      </c>
      <c r="AR205" s="155" t="inlineStr">
        <is>
          <t>Odoo Universal Unique Brands › Bodega 25 › Bodega 25/General: 6</t>
        </is>
      </c>
    </row>
    <row r="206">
      <c r="A206" s="50" t="inlineStr">
        <is>
          <t>199168054304</t>
        </is>
      </c>
      <c r="B206" s="51" t="n"/>
      <c r="C206" s="156" t="inlineStr">
        <is>
          <t>Roper</t>
        </is>
      </c>
      <c r="D206" s="156" t="inlineStr">
        <is>
          <t>03-050-0067-0740</t>
        </is>
      </c>
      <c r="E206" s="156" t="inlineStr">
        <is>
          <t>03-050-0067-0740 BU-XL</t>
        </is>
      </c>
      <c r="F206" s="156" t="inlineStr">
        <is>
          <t>XL</t>
        </is>
      </c>
      <c r="G206" s="156" t="inlineStr">
        <is>
          <t>XL</t>
        </is>
      </c>
      <c r="H206" s="156" t="inlineStr">
        <is>
          <t>Roper</t>
        </is>
      </c>
      <c r="I206" s="156" t="inlineStr">
        <is>
          <t>ROPER Shirt Aztec Serape Print</t>
        </is>
      </c>
      <c r="J206" s="156" t="inlineStr">
        <is>
          <t>Ropa</t>
        </is>
      </c>
      <c r="K206" s="156" t="inlineStr">
        <is>
          <t>Camisas</t>
        </is>
      </c>
      <c r="L206" s="156" t="n"/>
      <c r="M206" s="156" t="n"/>
      <c r="N206" s="156" t="n"/>
      <c r="O206" s="156" t="n"/>
      <c r="P206" s="156" t="n"/>
      <c r="Q206" s="156" t="n"/>
      <c r="R206" s="156" t="n"/>
      <c r="S206" s="156" t="n"/>
      <c r="T206" s="156" t="n"/>
      <c r="U206" s="156" t="n"/>
      <c r="V206" s="156" t="inlineStr">
        <is>
          <t>PZS</t>
        </is>
      </c>
      <c r="W206" s="51" t="inlineStr">
        <is>
          <t>53101602</t>
        </is>
      </c>
      <c r="X206" s="156" t="n"/>
      <c r="Y206" s="54" t="n">
        <v>25.58</v>
      </c>
      <c r="Z206" s="54" t="n">
        <v>700</v>
      </c>
      <c r="AA206" s="55">
        <f>IF(AND(A206="", B206="", E206=""), "", IF(AB206="", "Válido", IF((LEN(AB206)-LEN(SUBSTITUTE(AB206,"; ","")))/2+1&gt;(LEN(AB206)-LEN(SUBSTITUTE(AB206,"[Aviso]","")))/7, "Con Incidencias", "Válido")))</f>
        <v/>
      </c>
      <c r="AB206" s="56">
        <f>IF(AND(A206="", B206="", E206=""), "", TEXTJOIN("; ", TRUE, IF(OR(TRIM(A206&amp;"")="", ISNUMBER(SEARCH("FALTA", A206))), "UPC faltante/inválido", ""), IF(AND(A206&lt;&gt;"", IFERROR(_xlfn.XMATCH(A206,$A$2:$A$285,0,1)&lt;&gt;_xlfn.XMATCH(A206,$A$2:$A$285,0,-1),FALSE)), "Código de barras duplicado", ""), IF(AND(E206&lt;&gt;"", COUNTIF($E$2:$E$285, E206)&gt;1), "SKU duplicado", ""), IF(OR(J206="", J206=""), "[Aviso] División no capturada ()", IF(ISNA(MATCH(J206, Criterios!$A$123:$A$126, 0)), "División no válida", "")), IF(OR(K206="", K206=""), "[Aviso] Categoría no capturada ()", IF(ISNA(MATCH(K206, Criterios!$A$81:$A$120, 0)), "Categoría no válida", IF(AND(J206&lt;&gt;"", J206&lt;&gt;"", J206&lt;&gt;VLOOKUP(K206, Criterios!$A$81:$B$120, 2, FALSE)), "División no coincide con Categoría", ""))), IF(OR(L206="", L206=""), "[Aviso] Género no capturado ()", IF(ISNA(MATCH(L206, Criterios!$B$123:$B$127, 0)), "Género no válido", "")), IF(OR(N206="", N206=""), "[Aviso] Temporada no capturada ()", IF(ISNA(MATCH(N206, Criterios!$C$123:$C$128, 0)), "Temporada no válida", "")), IF(OR(O206="", O206=""), "[Aviso] Ciclo de vida no capturado ()", IF(ISNA(MATCH(O206, Criterios!$D$123:$D$124, 0)), "Ciclo de vida no válido", ""))))</f>
        <v/>
      </c>
      <c r="AC206" s="56" t="n"/>
      <c r="AD206" s="51" t="n"/>
      <c r="AE206" s="156" t="n"/>
      <c r="AF206" s="51" t="n"/>
      <c r="AG206" s="156" t="inlineStr">
        <is>
          <t>Nuevo – Odoo Universal Unique Brands 01/10/2026</t>
        </is>
      </c>
      <c r="AH206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«03-050-0067-0740» (Completado por regla) · Validador Shopify: WB: precio con IVA no termina en 9</t>
        </is>
      </c>
      <c r="AI206" s="156" t="n"/>
      <c r="AJ206" s="156" t="n"/>
      <c r="AK206" s="155" t="inlineStr">
        <is>
          <t>Odoo: producto 20986 / plantilla 26989</t>
        </is>
      </c>
      <c r="AL206" s="58" t="n"/>
      <c r="AM206" s="58" t="n"/>
      <c r="AN206" s="155" t="inlineStr">
        <is>
          <t>Odoo Universal Unique Brands</t>
        </is>
      </c>
      <c r="AO206" s="59" t="n"/>
      <c r="AP206" s="59" t="n"/>
      <c r="AQ206" s="59" t="n">
        <v>8</v>
      </c>
      <c r="AR206" s="155" t="inlineStr">
        <is>
          <t>Odoo Universal Unique Brands › Bodega 25 › Bodega 25/General: 8</t>
        </is>
      </c>
    </row>
    <row r="207">
      <c r="A207" s="50" t="inlineStr">
        <is>
          <t>199168054403</t>
        </is>
      </c>
      <c r="B207" s="51" t="n"/>
      <c r="C207" s="156" t="inlineStr">
        <is>
          <t>Roper</t>
        </is>
      </c>
      <c r="D207" s="156" t="inlineStr">
        <is>
          <t>03-050-0067-0742</t>
        </is>
      </c>
      <c r="E207" s="156" t="inlineStr">
        <is>
          <t>03-050-0067-0742 BR-L</t>
        </is>
      </c>
      <c r="F207" s="156" t="inlineStr">
        <is>
          <t>L</t>
        </is>
      </c>
      <c r="G207" s="156" t="inlineStr">
        <is>
          <t>L</t>
        </is>
      </c>
      <c r="H207" s="156" t="inlineStr">
        <is>
          <t>Roper</t>
        </is>
      </c>
      <c r="I207" s="156" t="inlineStr">
        <is>
          <t>ROPER Shirt Distressed Aztec Print</t>
        </is>
      </c>
      <c r="J207" s="156" t="inlineStr">
        <is>
          <t>Ropa</t>
        </is>
      </c>
      <c r="K207" s="156" t="inlineStr">
        <is>
          <t>Camisas</t>
        </is>
      </c>
      <c r="L207" s="156" t="n"/>
      <c r="M207" s="156" t="n"/>
      <c r="N207" s="156" t="n"/>
      <c r="O207" s="156" t="n"/>
      <c r="P207" s="156" t="n"/>
      <c r="Q207" s="156" t="n"/>
      <c r="R207" s="156" t="n"/>
      <c r="S207" s="156" t="n"/>
      <c r="T207" s="156" t="n"/>
      <c r="U207" s="156" t="n"/>
      <c r="V207" s="156" t="inlineStr">
        <is>
          <t>PZS</t>
        </is>
      </c>
      <c r="W207" s="51" t="inlineStr">
        <is>
          <t>53101602</t>
        </is>
      </c>
      <c r="X207" s="156" t="n"/>
      <c r="Y207" s="54" t="n">
        <v>25.58</v>
      </c>
      <c r="Z207" s="54" t="n">
        <v>700</v>
      </c>
      <c r="AA207" s="55">
        <f>IF(AND(A207="", B207="", E207=""), "", IF(AB207="", "Válido", IF((LEN(AB207)-LEN(SUBSTITUTE(AB207,"; ","")))/2+1&gt;(LEN(AB207)-LEN(SUBSTITUTE(AB207,"[Aviso]","")))/7, "Con Incidencias", "Válido")))</f>
        <v/>
      </c>
      <c r="AB207" s="56">
        <f>IF(AND(A207="", B207="", E207=""), "", TEXTJOIN("; ", TRUE, IF(OR(TRIM(A207&amp;"")="", ISNUMBER(SEARCH("FALTA", A207))), "UPC faltante/inválido", ""), IF(AND(A207&lt;&gt;"", IFERROR(_xlfn.XMATCH(A207,$A$2:$A$285,0,1)&lt;&gt;_xlfn.XMATCH(A207,$A$2:$A$285,0,-1),FALSE)), "Código de barras duplicado", ""), IF(AND(E207&lt;&gt;"", COUNTIF($E$2:$E$285, E207)&gt;1), "SKU duplicado", ""), IF(OR(J207="", J207=""), "[Aviso] División no capturada ()", IF(ISNA(MATCH(J207, Criterios!$A$123:$A$126, 0)), "División no válida", "")), IF(OR(K207="", K207=""), "[Aviso] Categoría no capturada ()", IF(ISNA(MATCH(K207, Criterios!$A$81:$A$120, 0)), "Categoría no válida", IF(AND(J207&lt;&gt;"", J207&lt;&gt;"", J207&lt;&gt;VLOOKUP(K207, Criterios!$A$81:$B$120, 2, FALSE)), "División no coincide con Categoría", ""))), IF(OR(L207="", L207=""), "[Aviso] Género no capturado ()", IF(ISNA(MATCH(L207, Criterios!$B$123:$B$127, 0)), "Género no válido", "")), IF(OR(N207="", N207=""), "[Aviso] Temporada no capturada ()", IF(ISNA(MATCH(N207, Criterios!$C$123:$C$128, 0)), "Temporada no válida", "")), IF(OR(O207="", O207=""), "[Aviso] Ciclo de vida no capturado ()", IF(ISNA(MATCH(O207, Criterios!$D$123:$D$124, 0)), "Ciclo de vida no válido", ""))))</f>
        <v/>
      </c>
      <c r="AC207" s="56" t="n"/>
      <c r="AD207" s="51" t="n"/>
      <c r="AE207" s="156" t="n"/>
      <c r="AF207" s="51" t="n"/>
      <c r="AG207" s="156" t="inlineStr">
        <is>
          <t>Nuevo – Odoo Universal Unique Brands 01/10/2026</t>
        </is>
      </c>
      <c r="AH207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«03-050-0067-0742» (Completado por regla) · Validador Shopify: WB: precio con IVA no termina en 9</t>
        </is>
      </c>
      <c r="AI207" s="156" t="n"/>
      <c r="AJ207" s="156" t="n"/>
      <c r="AK207" s="155" t="inlineStr">
        <is>
          <t>Odoo: producto 20939 / plantilla 26942</t>
        </is>
      </c>
      <c r="AL207" s="58" t="n"/>
      <c r="AM207" s="58" t="n"/>
      <c r="AN207" s="155" t="inlineStr">
        <is>
          <t>Odoo Universal Unique Brands</t>
        </is>
      </c>
      <c r="AO207" s="59" t="n"/>
      <c r="AP207" s="59" t="n"/>
      <c r="AQ207" s="59" t="n">
        <v>5</v>
      </c>
      <c r="AR207" s="155" t="inlineStr">
        <is>
          <t>Odoo Universal Unique Brands › Bodega 25 › Bodega 25/General: 5</t>
        </is>
      </c>
    </row>
    <row r="208">
      <c r="A208" s="50" t="inlineStr">
        <is>
          <t>199168054410</t>
        </is>
      </c>
      <c r="B208" s="51" t="n"/>
      <c r="C208" s="156" t="inlineStr">
        <is>
          <t>Roper</t>
        </is>
      </c>
      <c r="D208" s="156" t="inlineStr">
        <is>
          <t>03-050-0067-0742</t>
        </is>
      </c>
      <c r="E208" s="156" t="inlineStr">
        <is>
          <t>03-050-0067-0742 BR-M</t>
        </is>
      </c>
      <c r="F208" s="156" t="inlineStr">
        <is>
          <t>M</t>
        </is>
      </c>
      <c r="G208" s="156" t="inlineStr">
        <is>
          <t>M</t>
        </is>
      </c>
      <c r="H208" s="156" t="inlineStr">
        <is>
          <t>Roper</t>
        </is>
      </c>
      <c r="I208" s="156" t="inlineStr">
        <is>
          <t>ROPER Shirt Distressed Aztec Print</t>
        </is>
      </c>
      <c r="J208" s="156" t="inlineStr">
        <is>
          <t>Ropa</t>
        </is>
      </c>
      <c r="K208" s="156" t="inlineStr">
        <is>
          <t>Camisas</t>
        </is>
      </c>
      <c r="L208" s="156" t="n"/>
      <c r="M208" s="156" t="n"/>
      <c r="N208" s="156" t="n"/>
      <c r="O208" s="156" t="n"/>
      <c r="P208" s="156" t="n"/>
      <c r="Q208" s="156" t="n"/>
      <c r="R208" s="156" t="n"/>
      <c r="S208" s="156" t="n"/>
      <c r="T208" s="156" t="n"/>
      <c r="U208" s="156" t="n"/>
      <c r="V208" s="156" t="inlineStr">
        <is>
          <t>PZS</t>
        </is>
      </c>
      <c r="W208" s="51" t="inlineStr">
        <is>
          <t>53101602</t>
        </is>
      </c>
      <c r="X208" s="156" t="n"/>
      <c r="Y208" s="54" t="n">
        <v>25.58</v>
      </c>
      <c r="Z208" s="54" t="n">
        <v>700</v>
      </c>
      <c r="AA208" s="55">
        <f>IF(AND(A208="", B208="", E208=""), "", IF(AB208="", "Válido", IF((LEN(AB208)-LEN(SUBSTITUTE(AB208,"; ","")))/2+1&gt;(LEN(AB208)-LEN(SUBSTITUTE(AB208,"[Aviso]","")))/7, "Con Incidencias", "Válido")))</f>
        <v/>
      </c>
      <c r="AB208" s="56">
        <f>IF(AND(A208="", B208="", E208=""), "", TEXTJOIN("; ", TRUE, IF(OR(TRIM(A208&amp;"")="", ISNUMBER(SEARCH("FALTA", A208))), "UPC faltante/inválido", ""), IF(AND(A208&lt;&gt;"", IFERROR(_xlfn.XMATCH(A208,$A$2:$A$285,0,1)&lt;&gt;_xlfn.XMATCH(A208,$A$2:$A$285,0,-1),FALSE)), "Código de barras duplicado", ""), IF(AND(E208&lt;&gt;"", COUNTIF($E$2:$E$285, E208)&gt;1), "SKU duplicado", ""), IF(OR(J208="", J208=""), "[Aviso] División no capturada ()", IF(ISNA(MATCH(J208, Criterios!$A$123:$A$126, 0)), "División no válida", "")), IF(OR(K208="", K208=""), "[Aviso] Categoría no capturada ()", IF(ISNA(MATCH(K208, Criterios!$A$81:$A$120, 0)), "Categoría no válida", IF(AND(J208&lt;&gt;"", J208&lt;&gt;"", J208&lt;&gt;VLOOKUP(K208, Criterios!$A$81:$B$120, 2, FALSE)), "División no coincide con Categoría", ""))), IF(OR(L208="", L208=""), "[Aviso] Género no capturado ()", IF(ISNA(MATCH(L208, Criterios!$B$123:$B$127, 0)), "Género no válido", "")), IF(OR(N208="", N208=""), "[Aviso] Temporada no capturada ()", IF(ISNA(MATCH(N208, Criterios!$C$123:$C$128, 0)), "Temporada no válida", "")), IF(OR(O208="", O208=""), "[Aviso] Ciclo de vida no capturado ()", IF(ISNA(MATCH(O208, Criterios!$D$123:$D$124, 0)), "Ciclo de vida no válido", ""))))</f>
        <v/>
      </c>
      <c r="AC208" s="56" t="n"/>
      <c r="AD208" s="51" t="n"/>
      <c r="AE208" s="156" t="n"/>
      <c r="AF208" s="51" t="n"/>
      <c r="AG208" s="156" t="inlineStr">
        <is>
          <t>Nuevo – Odoo Universal Unique Brands 01/10/2026</t>
        </is>
      </c>
      <c r="AH208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«03-050-0067-0742» (Completado por regla) · Validador Shopify: WB: precio con IVA no termina en 9</t>
        </is>
      </c>
      <c r="AI208" s="156" t="n"/>
      <c r="AJ208" s="156" t="n"/>
      <c r="AK208" s="155" t="inlineStr">
        <is>
          <t>Odoo: producto 20938 / plantilla 26941</t>
        </is>
      </c>
      <c r="AL208" s="58" t="n"/>
      <c r="AM208" s="58" t="n"/>
      <c r="AN208" s="155" t="inlineStr">
        <is>
          <t>Odoo Universal Unique Brands</t>
        </is>
      </c>
      <c r="AO208" s="59" t="n"/>
      <c r="AP208" s="59" t="n"/>
      <c r="AQ208" s="59" t="n">
        <v>5</v>
      </c>
      <c r="AR208" s="155" t="inlineStr">
        <is>
          <t>Odoo Universal Unique Brands › Bodega 25 › Bodega 25/General: 5</t>
        </is>
      </c>
    </row>
    <row r="209">
      <c r="A209" s="50" t="inlineStr">
        <is>
          <t>199168054427</t>
        </is>
      </c>
      <c r="B209" s="51" t="n"/>
      <c r="C209" s="156" t="inlineStr">
        <is>
          <t>Roper</t>
        </is>
      </c>
      <c r="D209" s="156" t="inlineStr">
        <is>
          <t>03-050-0067-0742</t>
        </is>
      </c>
      <c r="E209" s="156" t="inlineStr">
        <is>
          <t>03-050-0067-0742 BR-S</t>
        </is>
      </c>
      <c r="F209" s="156" t="inlineStr">
        <is>
          <t>S</t>
        </is>
      </c>
      <c r="G209" s="156" t="inlineStr">
        <is>
          <t>S</t>
        </is>
      </c>
      <c r="H209" s="156" t="inlineStr">
        <is>
          <t>Roper</t>
        </is>
      </c>
      <c r="I209" s="156" t="inlineStr">
        <is>
          <t>ROPER Shirt Distressed Aztec Print</t>
        </is>
      </c>
      <c r="J209" s="156" t="inlineStr">
        <is>
          <t>Ropa</t>
        </is>
      </c>
      <c r="K209" s="156" t="inlineStr">
        <is>
          <t>Camisas</t>
        </is>
      </c>
      <c r="L209" s="156" t="n"/>
      <c r="M209" s="156" t="n"/>
      <c r="N209" s="156" t="n"/>
      <c r="O209" s="156" t="n"/>
      <c r="P209" s="156" t="n"/>
      <c r="Q209" s="156" t="n"/>
      <c r="R209" s="156" t="n"/>
      <c r="S209" s="156" t="n"/>
      <c r="T209" s="156" t="n"/>
      <c r="U209" s="156" t="n"/>
      <c r="V209" s="156" t="inlineStr">
        <is>
          <t>PZS</t>
        </is>
      </c>
      <c r="W209" s="51" t="inlineStr">
        <is>
          <t>53101602</t>
        </is>
      </c>
      <c r="X209" s="156" t="n"/>
      <c r="Y209" s="54" t="n">
        <v>25.58</v>
      </c>
      <c r="Z209" s="54" t="n">
        <v>700</v>
      </c>
      <c r="AA209" s="55">
        <f>IF(AND(A209="", B209="", E209=""), "", IF(AB209="", "Válido", IF((LEN(AB209)-LEN(SUBSTITUTE(AB209,"; ","")))/2+1&gt;(LEN(AB209)-LEN(SUBSTITUTE(AB209,"[Aviso]","")))/7, "Con Incidencias", "Válido")))</f>
        <v/>
      </c>
      <c r="AB209" s="56">
        <f>IF(AND(A209="", B209="", E209=""), "", TEXTJOIN("; ", TRUE, IF(OR(TRIM(A209&amp;"")="", ISNUMBER(SEARCH("FALTA", A209))), "UPC faltante/inválido", ""), IF(AND(A209&lt;&gt;"", IFERROR(_xlfn.XMATCH(A209,$A$2:$A$285,0,1)&lt;&gt;_xlfn.XMATCH(A209,$A$2:$A$285,0,-1),FALSE)), "Código de barras duplicado", ""), IF(AND(E209&lt;&gt;"", COUNTIF($E$2:$E$285, E209)&gt;1), "SKU duplicado", ""), IF(OR(J209="", J209=""), "[Aviso] División no capturada ()", IF(ISNA(MATCH(J209, Criterios!$A$123:$A$126, 0)), "División no válida", "")), IF(OR(K209="", K209=""), "[Aviso] Categoría no capturada ()", IF(ISNA(MATCH(K209, Criterios!$A$81:$A$120, 0)), "Categoría no válida", IF(AND(J209&lt;&gt;"", J209&lt;&gt;"", J209&lt;&gt;VLOOKUP(K209, Criterios!$A$81:$B$120, 2, FALSE)), "División no coincide con Categoría", ""))), IF(OR(L209="", L209=""), "[Aviso] Género no capturado ()", IF(ISNA(MATCH(L209, Criterios!$B$123:$B$127, 0)), "Género no válido", "")), IF(OR(N209="", N209=""), "[Aviso] Temporada no capturada ()", IF(ISNA(MATCH(N209, Criterios!$C$123:$C$128, 0)), "Temporada no válida", "")), IF(OR(O209="", O209=""), "[Aviso] Ciclo de vida no capturado ()", IF(ISNA(MATCH(O209, Criterios!$D$123:$D$124, 0)), "Ciclo de vida no válido", ""))))</f>
        <v/>
      </c>
      <c r="AC209" s="56" t="n"/>
      <c r="AD209" s="51" t="n"/>
      <c r="AE209" s="156" t="n"/>
      <c r="AF209" s="51" t="n"/>
      <c r="AG209" s="156" t="inlineStr">
        <is>
          <t>Nuevo – Odoo Universal Unique Brands 01/10/2026</t>
        </is>
      </c>
      <c r="AH209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«03-050-0067-0742» (Completado por regla) · Validador Shopify: WB: precio con IVA no termina en 9</t>
        </is>
      </c>
      <c r="AI209" s="156" t="n"/>
      <c r="AJ209" s="156" t="n"/>
      <c r="AK209" s="155" t="inlineStr">
        <is>
          <t>Odoo: producto 20937 / plantilla 26940</t>
        </is>
      </c>
      <c r="AL209" s="58" t="n"/>
      <c r="AM209" s="58" t="n"/>
      <c r="AN209" s="155" t="inlineStr">
        <is>
          <t>Odoo Universal Unique Brands</t>
        </is>
      </c>
      <c r="AO209" s="59" t="n"/>
      <c r="AP209" s="59" t="n"/>
      <c r="AQ209" s="59" t="n">
        <v>5</v>
      </c>
      <c r="AR209" s="155" t="inlineStr">
        <is>
          <t>Odoo Universal Unique Brands › Bodega 25 › Bodega 25/General: 5</t>
        </is>
      </c>
    </row>
    <row r="210">
      <c r="A210" s="50" t="inlineStr">
        <is>
          <t>199168054434</t>
        </is>
      </c>
      <c r="B210" s="51" t="n"/>
      <c r="C210" s="156" t="inlineStr">
        <is>
          <t>Roper</t>
        </is>
      </c>
      <c r="D210" s="156" t="inlineStr">
        <is>
          <t>03-050-0067-0742</t>
        </is>
      </c>
      <c r="E210" s="156" t="inlineStr">
        <is>
          <t>03-050-0067-0742 BR-XL</t>
        </is>
      </c>
      <c r="F210" s="156" t="inlineStr">
        <is>
          <t>XL</t>
        </is>
      </c>
      <c r="G210" s="156" t="inlineStr">
        <is>
          <t>XL</t>
        </is>
      </c>
      <c r="H210" s="156" t="inlineStr">
        <is>
          <t>Roper</t>
        </is>
      </c>
      <c r="I210" s="156" t="inlineStr">
        <is>
          <t>ROPER Shirt Distressed Aztec Print</t>
        </is>
      </c>
      <c r="J210" s="156" t="inlineStr">
        <is>
          <t>Ropa</t>
        </is>
      </c>
      <c r="K210" s="156" t="inlineStr">
        <is>
          <t>Camisas</t>
        </is>
      </c>
      <c r="L210" s="156" t="n"/>
      <c r="M210" s="156" t="n"/>
      <c r="N210" s="156" t="n"/>
      <c r="O210" s="156" t="n"/>
      <c r="P210" s="156" t="n"/>
      <c r="Q210" s="156" t="n"/>
      <c r="R210" s="156" t="n"/>
      <c r="S210" s="156" t="n"/>
      <c r="T210" s="156" t="n"/>
      <c r="U210" s="156" t="n"/>
      <c r="V210" s="156" t="inlineStr">
        <is>
          <t>PZS</t>
        </is>
      </c>
      <c r="W210" s="51" t="inlineStr">
        <is>
          <t>53101602</t>
        </is>
      </c>
      <c r="X210" s="156" t="n"/>
      <c r="Y210" s="54" t="n">
        <v>25.58</v>
      </c>
      <c r="Z210" s="54" t="n">
        <v>700</v>
      </c>
      <c r="AA210" s="55">
        <f>IF(AND(A210="", B210="", E210=""), "", IF(AB210="", "Válido", IF((LEN(AB210)-LEN(SUBSTITUTE(AB210,"; ","")))/2+1&gt;(LEN(AB210)-LEN(SUBSTITUTE(AB210,"[Aviso]","")))/7, "Con Incidencias", "Válido")))</f>
        <v/>
      </c>
      <c r="AB210" s="56">
        <f>IF(AND(A210="", B210="", E210=""), "", TEXTJOIN("; ", TRUE, IF(OR(TRIM(A210&amp;"")="", ISNUMBER(SEARCH("FALTA", A210))), "UPC faltante/inválido", ""), IF(AND(A210&lt;&gt;"", IFERROR(_xlfn.XMATCH(A210,$A$2:$A$285,0,1)&lt;&gt;_xlfn.XMATCH(A210,$A$2:$A$285,0,-1),FALSE)), "Código de barras duplicado", ""), IF(AND(E210&lt;&gt;"", COUNTIF($E$2:$E$285, E210)&gt;1), "SKU duplicado", ""), IF(OR(J210="", J210=""), "[Aviso] División no capturada ()", IF(ISNA(MATCH(J210, Criterios!$A$123:$A$126, 0)), "División no válida", "")), IF(OR(K210="", K210=""), "[Aviso] Categoría no capturada ()", IF(ISNA(MATCH(K210, Criterios!$A$81:$A$120, 0)), "Categoría no válida", IF(AND(J210&lt;&gt;"", J210&lt;&gt;"", J210&lt;&gt;VLOOKUP(K210, Criterios!$A$81:$B$120, 2, FALSE)), "División no coincide con Categoría", ""))), IF(OR(L210="", L210=""), "[Aviso] Género no capturado ()", IF(ISNA(MATCH(L210, Criterios!$B$123:$B$127, 0)), "Género no válido", "")), IF(OR(N210="", N210=""), "[Aviso] Temporada no capturada ()", IF(ISNA(MATCH(N210, Criterios!$C$123:$C$128, 0)), "Temporada no válida", "")), IF(OR(O210="", O210=""), "[Aviso] Ciclo de vida no capturado ()", IF(ISNA(MATCH(O210, Criterios!$D$123:$D$124, 0)), "Ciclo de vida no válido", ""))))</f>
        <v/>
      </c>
      <c r="AC210" s="56" t="n"/>
      <c r="AD210" s="51" t="n"/>
      <c r="AE210" s="156" t="n"/>
      <c r="AF210" s="51" t="n"/>
      <c r="AG210" s="156" t="inlineStr">
        <is>
          <t>Nuevo – Odoo Universal Unique Brands 01/10/2026</t>
        </is>
      </c>
      <c r="AH210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«03-050-0067-0742» (Completado por regla) · Validador Shopify: WB: precio con IVA no termina en 9</t>
        </is>
      </c>
      <c r="AI210" s="156" t="n"/>
      <c r="AJ210" s="156" t="n"/>
      <c r="AK210" s="155" t="inlineStr">
        <is>
          <t>Odoo: producto 20940 / plantilla 26943</t>
        </is>
      </c>
      <c r="AL210" s="58" t="n"/>
      <c r="AM210" s="58" t="n"/>
      <c r="AN210" s="155" t="inlineStr">
        <is>
          <t>Odoo Universal Unique Brands</t>
        </is>
      </c>
      <c r="AO210" s="59" t="n"/>
      <c r="AP210" s="59" t="n"/>
      <c r="AQ210" s="59" t="n">
        <v>5</v>
      </c>
      <c r="AR210" s="155" t="inlineStr">
        <is>
          <t>Odoo Universal Unique Brands › Bodega 25 › Bodega 25/General: 5</t>
        </is>
      </c>
    </row>
    <row r="211">
      <c r="A211" s="50" t="inlineStr">
        <is>
          <t>199168095222</t>
        </is>
      </c>
      <c r="B211" s="51" t="n"/>
      <c r="C211" s="156" t="inlineStr">
        <is>
          <t>Roper</t>
        </is>
      </c>
      <c r="D211" s="156" t="inlineStr">
        <is>
          <t>03-050-0421-0108</t>
        </is>
      </c>
      <c r="E211" s="156" t="inlineStr">
        <is>
          <t>03-050-0421-0108 BL-L</t>
        </is>
      </c>
      <c r="F211" s="156" t="inlineStr">
        <is>
          <t>L</t>
        </is>
      </c>
      <c r="G211" s="156" t="inlineStr">
        <is>
          <t>L</t>
        </is>
      </c>
      <c r="H211" s="156" t="inlineStr">
        <is>
          <t>Roper</t>
        </is>
      </c>
      <c r="I211" s="156" t="inlineStr">
        <is>
          <t>ROPER Shirt Painterly Rodeo Border Scen</t>
        </is>
      </c>
      <c r="J211" s="156" t="inlineStr">
        <is>
          <t>Ropa</t>
        </is>
      </c>
      <c r="K211" s="156" t="inlineStr">
        <is>
          <t>Camisas</t>
        </is>
      </c>
      <c r="L211" s="156" t="n"/>
      <c r="M211" s="156" t="n"/>
      <c r="N211" s="156" t="n"/>
      <c r="O211" s="156" t="n"/>
      <c r="P211" s="156" t="n"/>
      <c r="Q211" s="156" t="n"/>
      <c r="R211" s="156" t="n"/>
      <c r="S211" s="156" t="n"/>
      <c r="T211" s="156" t="n"/>
      <c r="U211" s="156" t="n"/>
      <c r="V211" s="156" t="inlineStr">
        <is>
          <t>PZS</t>
        </is>
      </c>
      <c r="W211" s="51" t="inlineStr">
        <is>
          <t>53101604</t>
        </is>
      </c>
      <c r="X211" s="156" t="n"/>
      <c r="Y211" s="54" t="n">
        <v>38</v>
      </c>
      <c r="Z211" s="54" t="n">
        <v>990</v>
      </c>
      <c r="AA211" s="55">
        <f>IF(AND(A211="", B211="", E211=""), "", IF(AB211="", "Válido", IF((LEN(AB211)-LEN(SUBSTITUTE(AB211,"; ","")))/2+1&gt;(LEN(AB211)-LEN(SUBSTITUTE(AB211,"[Aviso]","")))/7, "Con Incidencias", "Válido")))</f>
        <v/>
      </c>
      <c r="AB211" s="56">
        <f>IF(AND(A211="", B211="", E211=""), "", TEXTJOIN("; ", TRUE, IF(OR(TRIM(A211&amp;"")="", ISNUMBER(SEARCH("FALTA", A211))), "UPC faltante/inválido", ""), IF(AND(A211&lt;&gt;"", IFERROR(_xlfn.XMATCH(A211,$A$2:$A$285,0,1)&lt;&gt;_xlfn.XMATCH(A211,$A$2:$A$285,0,-1),FALSE)), "Código de barras duplicado", ""), IF(AND(E211&lt;&gt;"", COUNTIF($E$2:$E$285, E211)&gt;1), "SKU duplicado", ""), IF(OR(J211="", J211=""), "[Aviso] División no capturada ()", IF(ISNA(MATCH(J211, Criterios!$A$123:$A$126, 0)), "División no válida", "")), IF(OR(K211="", K211=""), "[Aviso] Categoría no capturada ()", IF(ISNA(MATCH(K211, Criterios!$A$81:$A$120, 0)), "Categoría no válida", IF(AND(J211&lt;&gt;"", J211&lt;&gt;"", J211&lt;&gt;VLOOKUP(K211, Criterios!$A$81:$B$120, 2, FALSE)), "División no coincide con Categoría", ""))), IF(OR(L211="", L211=""), "[Aviso] Género no capturado ()", IF(ISNA(MATCH(L211, Criterios!$B$123:$B$127, 0)), "Género no válido", "")), IF(OR(N211="", N211=""), "[Aviso] Temporada no capturada ()", IF(ISNA(MATCH(N211, Criterios!$C$123:$C$128, 0)), "Temporada no válida", "")), IF(OR(O211="", O211=""), "[Aviso] Ciclo de vida no capturado ()", IF(ISNA(MATCH(O211, Criterios!$D$123:$D$124, 0)), "Ciclo de vida no válido", ""))))</f>
        <v/>
      </c>
      <c r="AC211" s="56" t="n"/>
      <c r="AD211" s="51" t="n"/>
      <c r="AE211" s="156" t="n"/>
      <c r="AF211" s="51" t="n"/>
      <c r="AG211" s="156" t="inlineStr">
        <is>
          <t>Nuevo – Odoo Universal Unique Brands 01/10/2026</t>
        </is>
      </c>
      <c r="AH211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«03-050-0421-0108» (Completado por regla) · Validador Shopify: WB: precio con IVA no termina en 9</t>
        </is>
      </c>
      <c r="AI211" s="156" t="n"/>
      <c r="AJ211" s="156" t="n"/>
      <c r="AK211" s="155" t="inlineStr">
        <is>
          <t>Odoo: producto 20870 / plantilla 26873</t>
        </is>
      </c>
      <c r="AL211" s="58" t="n"/>
      <c r="AM211" s="58" t="n"/>
      <c r="AN211" s="155" t="inlineStr">
        <is>
          <t>Odoo Universal Unique Brands</t>
        </is>
      </c>
      <c r="AO211" s="59" t="n"/>
      <c r="AP211" s="59" t="n"/>
      <c r="AQ211" s="59" t="n">
        <v>20</v>
      </c>
      <c r="AR211" s="155" t="inlineStr">
        <is>
          <t>Odoo Universal Unique Brands › Bodega 25 › Bodega 25/General: 20</t>
        </is>
      </c>
    </row>
    <row r="212">
      <c r="A212" s="50" t="inlineStr">
        <is>
          <t>199168095239</t>
        </is>
      </c>
      <c r="B212" s="51" t="n"/>
      <c r="C212" s="156" t="inlineStr">
        <is>
          <t>Roper</t>
        </is>
      </c>
      <c r="D212" s="156" t="inlineStr">
        <is>
          <t>03-050-0421-0108</t>
        </is>
      </c>
      <c r="E212" s="156" t="inlineStr">
        <is>
          <t>03-050-0421-0108 BL-M</t>
        </is>
      </c>
      <c r="F212" s="156" t="inlineStr">
        <is>
          <t>M</t>
        </is>
      </c>
      <c r="G212" s="156" t="inlineStr">
        <is>
          <t>M</t>
        </is>
      </c>
      <c r="H212" s="156" t="inlineStr">
        <is>
          <t>Roper</t>
        </is>
      </c>
      <c r="I212" s="156" t="inlineStr">
        <is>
          <t>ROPER Shirt Painterly Rodeo Border Scen</t>
        </is>
      </c>
      <c r="J212" s="156" t="inlineStr">
        <is>
          <t>Ropa</t>
        </is>
      </c>
      <c r="K212" s="156" t="inlineStr">
        <is>
          <t>Camisas</t>
        </is>
      </c>
      <c r="L212" s="156" t="n"/>
      <c r="M212" s="156" t="n"/>
      <c r="N212" s="156" t="n"/>
      <c r="O212" s="156" t="n"/>
      <c r="P212" s="156" t="n"/>
      <c r="Q212" s="156" t="n"/>
      <c r="R212" s="156" t="n"/>
      <c r="S212" s="156" t="n"/>
      <c r="T212" s="156" t="n"/>
      <c r="U212" s="156" t="n"/>
      <c r="V212" s="156" t="inlineStr">
        <is>
          <t>PZS</t>
        </is>
      </c>
      <c r="W212" s="51" t="inlineStr">
        <is>
          <t>53101604</t>
        </is>
      </c>
      <c r="X212" s="156" t="n"/>
      <c r="Y212" s="54" t="n">
        <v>38</v>
      </c>
      <c r="Z212" s="54" t="n">
        <v>990</v>
      </c>
      <c r="AA212" s="55">
        <f>IF(AND(A212="", B212="", E212=""), "", IF(AB212="", "Válido", IF((LEN(AB212)-LEN(SUBSTITUTE(AB212,"; ","")))/2+1&gt;(LEN(AB212)-LEN(SUBSTITUTE(AB212,"[Aviso]","")))/7, "Con Incidencias", "Válido")))</f>
        <v/>
      </c>
      <c r="AB212" s="56">
        <f>IF(AND(A212="", B212="", E212=""), "", TEXTJOIN("; ", TRUE, IF(OR(TRIM(A212&amp;"")="", ISNUMBER(SEARCH("FALTA", A212))), "UPC faltante/inválido", ""), IF(AND(A212&lt;&gt;"", IFERROR(_xlfn.XMATCH(A212,$A$2:$A$285,0,1)&lt;&gt;_xlfn.XMATCH(A212,$A$2:$A$285,0,-1),FALSE)), "Código de barras duplicado", ""), IF(AND(E212&lt;&gt;"", COUNTIF($E$2:$E$285, E212)&gt;1), "SKU duplicado", ""), IF(OR(J212="", J212=""), "[Aviso] División no capturada ()", IF(ISNA(MATCH(J212, Criterios!$A$123:$A$126, 0)), "División no válida", "")), IF(OR(K212="", K212=""), "[Aviso] Categoría no capturada ()", IF(ISNA(MATCH(K212, Criterios!$A$81:$A$120, 0)), "Categoría no válida", IF(AND(J212&lt;&gt;"", J212&lt;&gt;"", J212&lt;&gt;VLOOKUP(K212, Criterios!$A$81:$B$120, 2, FALSE)), "División no coincide con Categoría", ""))), IF(OR(L212="", L212=""), "[Aviso] Género no capturado ()", IF(ISNA(MATCH(L212, Criterios!$B$123:$B$127, 0)), "Género no válido", "")), IF(OR(N212="", N212=""), "[Aviso] Temporada no capturada ()", IF(ISNA(MATCH(N212, Criterios!$C$123:$C$128, 0)), "Temporada no válida", "")), IF(OR(O212="", O212=""), "[Aviso] Ciclo de vida no capturado ()", IF(ISNA(MATCH(O212, Criterios!$D$123:$D$124, 0)), "Ciclo de vida no válido", ""))))</f>
        <v/>
      </c>
      <c r="AC212" s="56" t="n"/>
      <c r="AD212" s="51" t="n"/>
      <c r="AE212" s="156" t="n"/>
      <c r="AF212" s="51" t="n"/>
      <c r="AG212" s="156" t="inlineStr">
        <is>
          <t>Nuevo – Odoo Universal Unique Brands 01/10/2026</t>
        </is>
      </c>
      <c r="AH212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«03-050-0421-0108» (Completado por regla) · Validador Shopify: WB: precio con IVA no termina en 9</t>
        </is>
      </c>
      <c r="AI212" s="156" t="n"/>
      <c r="AJ212" s="156" t="n"/>
      <c r="AK212" s="155" t="inlineStr">
        <is>
          <t>Odoo: producto 20869 / plantilla 26872</t>
        </is>
      </c>
      <c r="AL212" s="58" t="n"/>
      <c r="AM212" s="58" t="n"/>
      <c r="AN212" s="155" t="inlineStr">
        <is>
          <t>Odoo Universal Unique Brands</t>
        </is>
      </c>
      <c r="AO212" s="59" t="n"/>
      <c r="AP212" s="59" t="n"/>
      <c r="AQ212" s="59" t="n">
        <v>20</v>
      </c>
      <c r="AR212" s="155" t="inlineStr">
        <is>
          <t>Odoo Universal Unique Brands › Bodega 25 › Bodega 25/General: 20</t>
        </is>
      </c>
    </row>
    <row r="213">
      <c r="A213" s="50" t="inlineStr">
        <is>
          <t>199168095246</t>
        </is>
      </c>
      <c r="B213" s="51" t="n"/>
      <c r="C213" s="156" t="inlineStr">
        <is>
          <t>Roper</t>
        </is>
      </c>
      <c r="D213" s="156" t="inlineStr">
        <is>
          <t>03-050-0421-0108</t>
        </is>
      </c>
      <c r="E213" s="156" t="inlineStr">
        <is>
          <t>03-050-0421-0108 BL-S</t>
        </is>
      </c>
      <c r="F213" s="156" t="inlineStr">
        <is>
          <t>S</t>
        </is>
      </c>
      <c r="G213" s="156" t="inlineStr">
        <is>
          <t>S</t>
        </is>
      </c>
      <c r="H213" s="156" t="inlineStr">
        <is>
          <t>Roper</t>
        </is>
      </c>
      <c r="I213" s="156" t="inlineStr">
        <is>
          <t>ROPER Shirt Painterly Rodeo Border Scen</t>
        </is>
      </c>
      <c r="J213" s="156" t="inlineStr">
        <is>
          <t>Ropa</t>
        </is>
      </c>
      <c r="K213" s="156" t="inlineStr">
        <is>
          <t>Camisas</t>
        </is>
      </c>
      <c r="L213" s="156" t="n"/>
      <c r="M213" s="156" t="n"/>
      <c r="N213" s="156" t="n"/>
      <c r="O213" s="156" t="n"/>
      <c r="P213" s="156" t="n"/>
      <c r="Q213" s="156" t="n"/>
      <c r="R213" s="156" t="n"/>
      <c r="S213" s="156" t="n"/>
      <c r="T213" s="156" t="n"/>
      <c r="U213" s="156" t="n"/>
      <c r="V213" s="156" t="inlineStr">
        <is>
          <t>PZS</t>
        </is>
      </c>
      <c r="W213" s="51" t="inlineStr">
        <is>
          <t>53101604</t>
        </is>
      </c>
      <c r="X213" s="156" t="n"/>
      <c r="Y213" s="54" t="n">
        <v>38</v>
      </c>
      <c r="Z213" s="54" t="n">
        <v>990</v>
      </c>
      <c r="AA213" s="55">
        <f>IF(AND(A213="", B213="", E213=""), "", IF(AB213="", "Válido", IF((LEN(AB213)-LEN(SUBSTITUTE(AB213,"; ","")))/2+1&gt;(LEN(AB213)-LEN(SUBSTITUTE(AB213,"[Aviso]","")))/7, "Con Incidencias", "Válido")))</f>
        <v/>
      </c>
      <c r="AB213" s="56">
        <f>IF(AND(A213="", B213="", E213=""), "", TEXTJOIN("; ", TRUE, IF(OR(TRIM(A213&amp;"")="", ISNUMBER(SEARCH("FALTA", A213))), "UPC faltante/inválido", ""), IF(AND(A213&lt;&gt;"", IFERROR(_xlfn.XMATCH(A213,$A$2:$A$285,0,1)&lt;&gt;_xlfn.XMATCH(A213,$A$2:$A$285,0,-1),FALSE)), "Código de barras duplicado", ""), IF(AND(E213&lt;&gt;"", COUNTIF($E$2:$E$285, E213)&gt;1), "SKU duplicado", ""), IF(OR(J213="", J213=""), "[Aviso] División no capturada ()", IF(ISNA(MATCH(J213, Criterios!$A$123:$A$126, 0)), "División no válida", "")), IF(OR(K213="", K213=""), "[Aviso] Categoría no capturada ()", IF(ISNA(MATCH(K213, Criterios!$A$81:$A$120, 0)), "Categoría no válida", IF(AND(J213&lt;&gt;"", J213&lt;&gt;"", J213&lt;&gt;VLOOKUP(K213, Criterios!$A$81:$B$120, 2, FALSE)), "División no coincide con Categoría", ""))), IF(OR(L213="", L213=""), "[Aviso] Género no capturado ()", IF(ISNA(MATCH(L213, Criterios!$B$123:$B$127, 0)), "Género no válido", "")), IF(OR(N213="", N213=""), "[Aviso] Temporada no capturada ()", IF(ISNA(MATCH(N213, Criterios!$C$123:$C$128, 0)), "Temporada no válida", "")), IF(OR(O213="", O213=""), "[Aviso] Ciclo de vida no capturado ()", IF(ISNA(MATCH(O213, Criterios!$D$123:$D$124, 0)), "Ciclo de vida no válido", ""))))</f>
        <v/>
      </c>
      <c r="AC213" s="56" t="n"/>
      <c r="AD213" s="51" t="n"/>
      <c r="AE213" s="156" t="n"/>
      <c r="AF213" s="51" t="n"/>
      <c r="AG213" s="156" t="inlineStr">
        <is>
          <t>Nuevo – Odoo Universal Unique Brands 01/10/2026</t>
        </is>
      </c>
      <c r="AH213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«03-050-0421-0108» (Completado por regla) · Validador Shopify: WB: precio con IVA no termina en 9</t>
        </is>
      </c>
      <c r="AI213" s="156" t="n"/>
      <c r="AJ213" s="156" t="n"/>
      <c r="AK213" s="155" t="inlineStr">
        <is>
          <t>Odoo: producto 20868 / plantilla 26871</t>
        </is>
      </c>
      <c r="AL213" s="58" t="n"/>
      <c r="AM213" s="58" t="n"/>
      <c r="AN213" s="155" t="inlineStr">
        <is>
          <t>Odoo Universal Unique Brands</t>
        </is>
      </c>
      <c r="AO213" s="59" t="n"/>
      <c r="AP213" s="59" t="n"/>
      <c r="AQ213" s="59" t="n">
        <v>20</v>
      </c>
      <c r="AR213" s="155" t="inlineStr">
        <is>
          <t>Odoo Universal Unique Brands › Bodega 25 › Bodega 25/General: 20</t>
        </is>
      </c>
    </row>
    <row r="214">
      <c r="A214" s="50" t="inlineStr">
        <is>
          <t>199168095253</t>
        </is>
      </c>
      <c r="B214" s="51" t="n"/>
      <c r="C214" s="156" t="inlineStr">
        <is>
          <t>Roper</t>
        </is>
      </c>
      <c r="D214" s="156" t="inlineStr">
        <is>
          <t>03-050-0421-0108</t>
        </is>
      </c>
      <c r="E214" s="156" t="inlineStr">
        <is>
          <t>03-050-0421-0108 BL-XL</t>
        </is>
      </c>
      <c r="F214" s="156" t="inlineStr">
        <is>
          <t>XL</t>
        </is>
      </c>
      <c r="G214" s="156" t="inlineStr">
        <is>
          <t>XL</t>
        </is>
      </c>
      <c r="H214" s="156" t="inlineStr">
        <is>
          <t>Roper</t>
        </is>
      </c>
      <c r="I214" s="156" t="inlineStr">
        <is>
          <t>ROPER Shirt Painterly Rodeo Border Scen</t>
        </is>
      </c>
      <c r="J214" s="156" t="inlineStr">
        <is>
          <t>Ropa</t>
        </is>
      </c>
      <c r="K214" s="156" t="inlineStr">
        <is>
          <t>Camisas</t>
        </is>
      </c>
      <c r="L214" s="156" t="n"/>
      <c r="M214" s="156" t="n"/>
      <c r="N214" s="156" t="n"/>
      <c r="O214" s="156" t="n"/>
      <c r="P214" s="156" t="n"/>
      <c r="Q214" s="156" t="n"/>
      <c r="R214" s="156" t="n"/>
      <c r="S214" s="156" t="n"/>
      <c r="T214" s="156" t="n"/>
      <c r="U214" s="156" t="n"/>
      <c r="V214" s="156" t="inlineStr">
        <is>
          <t>PZS</t>
        </is>
      </c>
      <c r="W214" s="51" t="inlineStr">
        <is>
          <t>53101604</t>
        </is>
      </c>
      <c r="X214" s="156" t="n"/>
      <c r="Y214" s="54" t="n">
        <v>38</v>
      </c>
      <c r="Z214" s="54" t="n">
        <v>990</v>
      </c>
      <c r="AA214" s="55">
        <f>IF(AND(A214="", B214="", E214=""), "", IF(AB214="", "Válido", IF((LEN(AB214)-LEN(SUBSTITUTE(AB214,"; ","")))/2+1&gt;(LEN(AB214)-LEN(SUBSTITUTE(AB214,"[Aviso]","")))/7, "Con Incidencias", "Válido")))</f>
        <v/>
      </c>
      <c r="AB214" s="56">
        <f>IF(AND(A214="", B214="", E214=""), "", TEXTJOIN("; ", TRUE, IF(OR(TRIM(A214&amp;"")="", ISNUMBER(SEARCH("FALTA", A214))), "UPC faltante/inválido", ""), IF(AND(A214&lt;&gt;"", IFERROR(_xlfn.XMATCH(A214,$A$2:$A$285,0,1)&lt;&gt;_xlfn.XMATCH(A214,$A$2:$A$285,0,-1),FALSE)), "Código de barras duplicado", ""), IF(AND(E214&lt;&gt;"", COUNTIF($E$2:$E$285, E214)&gt;1), "SKU duplicado", ""), IF(OR(J214="", J214=""), "[Aviso] División no capturada ()", IF(ISNA(MATCH(J214, Criterios!$A$123:$A$126, 0)), "División no válida", "")), IF(OR(K214="", K214=""), "[Aviso] Categoría no capturada ()", IF(ISNA(MATCH(K214, Criterios!$A$81:$A$120, 0)), "Categoría no válida", IF(AND(J214&lt;&gt;"", J214&lt;&gt;"", J214&lt;&gt;VLOOKUP(K214, Criterios!$A$81:$B$120, 2, FALSE)), "División no coincide con Categoría", ""))), IF(OR(L214="", L214=""), "[Aviso] Género no capturado ()", IF(ISNA(MATCH(L214, Criterios!$B$123:$B$127, 0)), "Género no válido", "")), IF(OR(N214="", N214=""), "[Aviso] Temporada no capturada ()", IF(ISNA(MATCH(N214, Criterios!$C$123:$C$128, 0)), "Temporada no válida", "")), IF(OR(O214="", O214=""), "[Aviso] Ciclo de vida no capturado ()", IF(ISNA(MATCH(O214, Criterios!$D$123:$D$124, 0)), "Ciclo de vida no válido", ""))))</f>
        <v/>
      </c>
      <c r="AC214" s="56" t="n"/>
      <c r="AD214" s="51" t="n"/>
      <c r="AE214" s="156" t="n"/>
      <c r="AF214" s="51" t="n"/>
      <c r="AG214" s="156" t="inlineStr">
        <is>
          <t>Nuevo – Odoo Universal Unique Brands 01/10/2026</t>
        </is>
      </c>
      <c r="AH214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«03-050-0421-0108» (Completado por regla) · Validador Shopify: WB: precio con IVA no termina en 9</t>
        </is>
      </c>
      <c r="AI214" s="156" t="n"/>
      <c r="AJ214" s="156" t="n"/>
      <c r="AK214" s="155" t="inlineStr">
        <is>
          <t>Odoo: producto 20871 / plantilla 26874</t>
        </is>
      </c>
      <c r="AL214" s="58" t="n"/>
      <c r="AM214" s="58" t="n"/>
      <c r="AN214" s="155" t="inlineStr">
        <is>
          <t>Odoo Universal Unique Brands</t>
        </is>
      </c>
      <c r="AO214" s="59" t="n"/>
      <c r="AP214" s="59" t="n"/>
      <c r="AQ214" s="59" t="n">
        <v>5</v>
      </c>
      <c r="AR214" s="155" t="inlineStr">
        <is>
          <t>Odoo Universal Unique Brands › Bodega 25 › Bodega 25/General: 5</t>
        </is>
      </c>
    </row>
    <row r="215">
      <c r="A215" s="50" t="inlineStr">
        <is>
          <t>199168095260</t>
        </is>
      </c>
      <c r="B215" s="51" t="n"/>
      <c r="C215" s="156" t="inlineStr">
        <is>
          <t>Roper</t>
        </is>
      </c>
      <c r="D215" s="156" t="inlineStr">
        <is>
          <t>03-050-0421-0108</t>
        </is>
      </c>
      <c r="E215" s="156" t="inlineStr">
        <is>
          <t>03-050-0421-0108 BL-XS</t>
        </is>
      </c>
      <c r="F215" s="156" t="inlineStr">
        <is>
          <t>XS</t>
        </is>
      </c>
      <c r="G215" s="156" t="inlineStr">
        <is>
          <t>XS</t>
        </is>
      </c>
      <c r="H215" s="156" t="inlineStr">
        <is>
          <t>Roper</t>
        </is>
      </c>
      <c r="I215" s="156" t="inlineStr">
        <is>
          <t>ROPER Shirt Painterly Rodeo Border Scen</t>
        </is>
      </c>
      <c r="J215" s="156" t="inlineStr">
        <is>
          <t>Ropa</t>
        </is>
      </c>
      <c r="K215" s="156" t="inlineStr">
        <is>
          <t>Camisas</t>
        </is>
      </c>
      <c r="L215" s="156" t="n"/>
      <c r="M215" s="156" t="n"/>
      <c r="N215" s="156" t="n"/>
      <c r="O215" s="156" t="n"/>
      <c r="P215" s="156" t="n"/>
      <c r="Q215" s="156" t="n"/>
      <c r="R215" s="156" t="n"/>
      <c r="S215" s="156" t="n"/>
      <c r="T215" s="156" t="n"/>
      <c r="U215" s="156" t="n"/>
      <c r="V215" s="156" t="inlineStr">
        <is>
          <t>PZS</t>
        </is>
      </c>
      <c r="W215" s="51" t="inlineStr">
        <is>
          <t>53101604</t>
        </is>
      </c>
      <c r="X215" s="156" t="n"/>
      <c r="Y215" s="54" t="n">
        <v>38</v>
      </c>
      <c r="Z215" s="54" t="n">
        <v>990</v>
      </c>
      <c r="AA215" s="55">
        <f>IF(AND(A215="", B215="", E215=""), "", IF(AB215="", "Válido", IF((LEN(AB215)-LEN(SUBSTITUTE(AB215,"; ","")))/2+1&gt;(LEN(AB215)-LEN(SUBSTITUTE(AB215,"[Aviso]","")))/7, "Con Incidencias", "Válido")))</f>
        <v/>
      </c>
      <c r="AB215" s="56">
        <f>IF(AND(A215="", B215="", E215=""), "", TEXTJOIN("; ", TRUE, IF(OR(TRIM(A215&amp;"")="", ISNUMBER(SEARCH("FALTA", A215))), "UPC faltante/inválido", ""), IF(AND(A215&lt;&gt;"", IFERROR(_xlfn.XMATCH(A215,$A$2:$A$285,0,1)&lt;&gt;_xlfn.XMATCH(A215,$A$2:$A$285,0,-1),FALSE)), "Código de barras duplicado", ""), IF(AND(E215&lt;&gt;"", COUNTIF($E$2:$E$285, E215)&gt;1), "SKU duplicado", ""), IF(OR(J215="", J215=""), "[Aviso] División no capturada ()", IF(ISNA(MATCH(J215, Criterios!$A$123:$A$126, 0)), "División no válida", "")), IF(OR(K215="", K215=""), "[Aviso] Categoría no capturada ()", IF(ISNA(MATCH(K215, Criterios!$A$81:$A$120, 0)), "Categoría no válida", IF(AND(J215&lt;&gt;"", J215&lt;&gt;"", J215&lt;&gt;VLOOKUP(K215, Criterios!$A$81:$B$120, 2, FALSE)), "División no coincide con Categoría", ""))), IF(OR(L215="", L215=""), "[Aviso] Género no capturado ()", IF(ISNA(MATCH(L215, Criterios!$B$123:$B$127, 0)), "Género no válido", "")), IF(OR(N215="", N215=""), "[Aviso] Temporada no capturada ()", IF(ISNA(MATCH(N215, Criterios!$C$123:$C$128, 0)), "Temporada no válida", "")), IF(OR(O215="", O215=""), "[Aviso] Ciclo de vida no capturado ()", IF(ISNA(MATCH(O215, Criterios!$D$123:$D$124, 0)), "Ciclo de vida no válido", ""))))</f>
        <v/>
      </c>
      <c r="AC215" s="56" t="n"/>
      <c r="AD215" s="51" t="n"/>
      <c r="AE215" s="156" t="n"/>
      <c r="AF215" s="51" t="n"/>
      <c r="AG215" s="156" t="inlineStr">
        <is>
          <t>Nuevo – Odoo Universal Unique Brands 01/10/2026</t>
        </is>
      </c>
      <c r="AH215" s="156" t="inlineStr">
        <is>
          <t>01/10/2026: alta desde Odoo Universal Unique Brands (no existía en Productos por código de barras ni SKU) | Talla tomada del sufijo del SKU (XS); Categoría: Palabra clave "Camisa" en tipo/categoría de la fuente (Ropa / Camisas) | Homologación G1522 06/10/2026: WB N.º de estilo: «» → «03-050-0421-0108» (Completado por regla) · Validador Shopify: WB: precio con IVA no termina en 9</t>
        </is>
      </c>
      <c r="AI215" s="156" t="n"/>
      <c r="AJ215" s="156" t="n"/>
      <c r="AK215" s="155" t="inlineStr">
        <is>
          <t>Odoo: producto 20867 / plantilla 26870</t>
        </is>
      </c>
      <c r="AL215" s="58" t="n"/>
      <c r="AM215" s="58" t="n"/>
      <c r="AN215" s="155" t="inlineStr">
        <is>
          <t>Odoo Universal Unique Brands</t>
        </is>
      </c>
      <c r="AO215" s="59" t="n"/>
      <c r="AP215" s="59" t="n"/>
      <c r="AQ215" s="59" t="n">
        <v>10</v>
      </c>
      <c r="AR215" s="155" t="inlineStr">
        <is>
          <t>Odoo Universal Unique Brands › Bodega 25 › Bodega 25/General: 10</t>
        </is>
      </c>
    </row>
    <row r="216">
      <c r="A216" s="50" t="inlineStr">
        <is>
          <t>199168095277</t>
        </is>
      </c>
      <c r="B216" s="51" t="n"/>
      <c r="C216" s="156" t="inlineStr">
        <is>
          <t>Roper</t>
        </is>
      </c>
      <c r="D216" s="156" t="inlineStr">
        <is>
          <t>03-050-0431-0109</t>
        </is>
      </c>
      <c r="E216" s="156" t="inlineStr">
        <is>
          <t>03-050-0431-0109 BU-L</t>
        </is>
      </c>
      <c r="F216" s="156" t="inlineStr">
        <is>
          <t>L</t>
        </is>
      </c>
      <c r="G216" s="156" t="inlineStr">
        <is>
          <t>L</t>
        </is>
      </c>
      <c r="H216" s="156" t="inlineStr">
        <is>
          <t>Roper</t>
        </is>
      </c>
      <c r="I216" s="156" t="inlineStr">
        <is>
          <t>ROPER Shirt Horizontal Aztec Ombre Bord</t>
        </is>
      </c>
      <c r="J216" s="156" t="inlineStr">
        <is>
          <t>Ropa</t>
        </is>
      </c>
      <c r="K216" s="156" t="inlineStr">
        <is>
          <t>Camisas</t>
        </is>
      </c>
      <c r="L216" s="156" t="n"/>
      <c r="M216" s="156" t="n"/>
      <c r="N216" s="156" t="n"/>
      <c r="O216" s="156" t="n"/>
      <c r="P216" s="156" t="n"/>
      <c r="Q216" s="156" t="n"/>
      <c r="R216" s="156" t="n"/>
      <c r="S216" s="156" t="n"/>
      <c r="T216" s="156" t="n"/>
      <c r="U216" s="156" t="n"/>
      <c r="V216" s="156" t="inlineStr">
        <is>
          <t>PZS</t>
        </is>
      </c>
      <c r="W216" s="51" t="inlineStr">
        <is>
          <t>53101604</t>
        </is>
      </c>
      <c r="X216" s="156" t="n"/>
      <c r="Y216" s="54" t="n">
        <v>38</v>
      </c>
      <c r="Z216" s="54" t="n">
        <v>990</v>
      </c>
      <c r="AA216" s="55">
        <f>IF(AND(A216="", B216="", E216=""), "", IF(AB216="", "Válido", IF((LEN(AB216)-LEN(SUBSTITUTE(AB216,"; ","")))/2+1&gt;(LEN(AB216)-LEN(SUBSTITUTE(AB216,"[Aviso]","")))/7, "Con Incidencias", "Válido")))</f>
        <v/>
      </c>
      <c r="AB216" s="56">
        <f>IF(AND(A216="", B216="", E216=""), "", TEXTJOIN("; ", TRUE, IF(OR(TRIM(A216&amp;"")="", ISNUMBER(SEARCH("FALTA", A216))), "UPC faltante/inválido", ""), IF(AND(A216&lt;&gt;"", IFERROR(_xlfn.XMATCH(A216,$A$2:$A$285,0,1)&lt;&gt;_xlfn.XMATCH(A216,$A$2:$A$285,0,-1),FALSE)), "Código de barras duplicado", ""), IF(AND(E216&lt;&gt;"", COUNTIF($E$2:$E$285, E216)&gt;1), "SKU duplicado", ""), IF(OR(J216="", J216=""), "[Aviso] División no capturada ()", IF(ISNA(MATCH(J216, Criterios!$A$123:$A$126, 0)), "División no válida", "")), IF(OR(K216="", K216=""), "[Aviso] Categoría no capturada ()", IF(ISNA(MATCH(K216, Criterios!$A$81:$A$120, 0)), "Categoría no válida", IF(AND(J216&lt;&gt;"", J216&lt;&gt;"", J216&lt;&gt;VLOOKUP(K216, Criterios!$A$81:$B$120, 2, FALSE)), "División no coincide con Categoría", ""))), IF(OR(L216="", L216=""), "[Aviso] Género no capturado ()", IF(ISNA(MATCH(L216, Criterios!$B$123:$B$127, 0)), "Género no válido", "")), IF(OR(N216="", N216=""), "[Aviso] Temporada no capturada ()", IF(ISNA(MATCH(N216, Criterios!$C$123:$C$128, 0)), "Temporada no válida", "")), IF(OR(O216="", O216=""), "[Aviso] Ciclo de vida no capturado ()", IF(ISNA(MATCH(O216, Criterios!$D$123:$D$124, 0)), "Ciclo de vida no válido", ""))))</f>
        <v/>
      </c>
      <c r="AC216" s="56" t="n"/>
      <c r="AD216" s="51" t="n"/>
      <c r="AE216" s="156" t="n"/>
      <c r="AF216" s="51" t="n"/>
      <c r="AG216" s="156" t="inlineStr">
        <is>
          <t>Nuevo – Odoo Universal Unique Brands 01/10/2026</t>
        </is>
      </c>
      <c r="AH216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«03-050-0431-0109» (Completado por regla) · Validador Shopify: WB: precio con IVA no termina en 9</t>
        </is>
      </c>
      <c r="AI216" s="156" t="n"/>
      <c r="AJ216" s="156" t="n"/>
      <c r="AK216" s="155" t="inlineStr">
        <is>
          <t>Odoo: producto 20880 / plantilla 26883</t>
        </is>
      </c>
      <c r="AL216" s="58" t="n"/>
      <c r="AM216" s="58" t="n"/>
      <c r="AN216" s="155" t="inlineStr">
        <is>
          <t>Odoo Universal Unique Brands</t>
        </is>
      </c>
      <c r="AO216" s="59" t="n"/>
      <c r="AP216" s="59" t="n"/>
      <c r="AQ216" s="59" t="n">
        <v>20</v>
      </c>
      <c r="AR216" s="155" t="inlineStr">
        <is>
          <t>Odoo Universal Unique Brands › Bodega 25 › Bodega 25/General: 20</t>
        </is>
      </c>
    </row>
    <row r="217">
      <c r="A217" s="50" t="inlineStr">
        <is>
          <t>199168095284</t>
        </is>
      </c>
      <c r="B217" s="51" t="n"/>
      <c r="C217" s="156" t="inlineStr">
        <is>
          <t>Roper</t>
        </is>
      </c>
      <c r="D217" s="156" t="inlineStr">
        <is>
          <t>03-050-0431-0109</t>
        </is>
      </c>
      <c r="E217" s="156" t="inlineStr">
        <is>
          <t>03-050-0431-0109 BU-M</t>
        </is>
      </c>
      <c r="F217" s="156" t="inlineStr">
        <is>
          <t>M</t>
        </is>
      </c>
      <c r="G217" s="156" t="inlineStr">
        <is>
          <t>M</t>
        </is>
      </c>
      <c r="H217" s="156" t="inlineStr">
        <is>
          <t>Roper</t>
        </is>
      </c>
      <c r="I217" s="156" t="inlineStr">
        <is>
          <t>ROPER Shirt Horizontal Aztec Ombre Bord</t>
        </is>
      </c>
      <c r="J217" s="156" t="inlineStr">
        <is>
          <t>Ropa</t>
        </is>
      </c>
      <c r="K217" s="156" t="inlineStr">
        <is>
          <t>Camisas</t>
        </is>
      </c>
      <c r="L217" s="156" t="n"/>
      <c r="M217" s="156" t="n"/>
      <c r="N217" s="156" t="n"/>
      <c r="O217" s="156" t="n"/>
      <c r="P217" s="156" t="n"/>
      <c r="Q217" s="156" t="n"/>
      <c r="R217" s="156" t="n"/>
      <c r="S217" s="156" t="n"/>
      <c r="T217" s="156" t="n"/>
      <c r="U217" s="156" t="n"/>
      <c r="V217" s="156" t="inlineStr">
        <is>
          <t>PZS</t>
        </is>
      </c>
      <c r="W217" s="51" t="inlineStr">
        <is>
          <t>53101604</t>
        </is>
      </c>
      <c r="X217" s="156" t="n"/>
      <c r="Y217" s="54" t="n">
        <v>38</v>
      </c>
      <c r="Z217" s="54" t="n">
        <v>990</v>
      </c>
      <c r="AA217" s="55">
        <f>IF(AND(A217="", B217="", E217=""), "", IF(AB217="", "Válido", IF((LEN(AB217)-LEN(SUBSTITUTE(AB217,"; ","")))/2+1&gt;(LEN(AB217)-LEN(SUBSTITUTE(AB217,"[Aviso]","")))/7, "Con Incidencias", "Válido")))</f>
        <v/>
      </c>
      <c r="AB217" s="56">
        <f>IF(AND(A217="", B217="", E217=""), "", TEXTJOIN("; ", TRUE, IF(OR(TRIM(A217&amp;"")="", ISNUMBER(SEARCH("FALTA", A217))), "UPC faltante/inválido", ""), IF(AND(A217&lt;&gt;"", IFERROR(_xlfn.XMATCH(A217,$A$2:$A$285,0,1)&lt;&gt;_xlfn.XMATCH(A217,$A$2:$A$285,0,-1),FALSE)), "Código de barras duplicado", ""), IF(AND(E217&lt;&gt;"", COUNTIF($E$2:$E$285, E217)&gt;1), "SKU duplicado", ""), IF(OR(J217="", J217=""), "[Aviso] División no capturada ()", IF(ISNA(MATCH(J217, Criterios!$A$123:$A$126, 0)), "División no válida", "")), IF(OR(K217="", K217=""), "[Aviso] Categoría no capturada ()", IF(ISNA(MATCH(K217, Criterios!$A$81:$A$120, 0)), "Categoría no válida", IF(AND(J217&lt;&gt;"", J217&lt;&gt;"", J217&lt;&gt;VLOOKUP(K217, Criterios!$A$81:$B$120, 2, FALSE)), "División no coincide con Categoría", ""))), IF(OR(L217="", L217=""), "[Aviso] Género no capturado ()", IF(ISNA(MATCH(L217, Criterios!$B$123:$B$127, 0)), "Género no válido", "")), IF(OR(N217="", N217=""), "[Aviso] Temporada no capturada ()", IF(ISNA(MATCH(N217, Criterios!$C$123:$C$128, 0)), "Temporada no válida", "")), IF(OR(O217="", O217=""), "[Aviso] Ciclo de vida no capturado ()", IF(ISNA(MATCH(O217, Criterios!$D$123:$D$124, 0)), "Ciclo de vida no válido", ""))))</f>
        <v/>
      </c>
      <c r="AC217" s="56" t="n"/>
      <c r="AD217" s="51" t="n"/>
      <c r="AE217" s="156" t="n"/>
      <c r="AF217" s="51" t="n"/>
      <c r="AG217" s="156" t="inlineStr">
        <is>
          <t>Nuevo – Odoo Universal Unique Brands 01/10/2026</t>
        </is>
      </c>
      <c r="AH217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«03-050-0431-0109» (Completado por regla) · Validador Shopify: WB: precio con IVA no termina en 9</t>
        </is>
      </c>
      <c r="AI217" s="156" t="n"/>
      <c r="AJ217" s="156" t="n"/>
      <c r="AK217" s="155" t="inlineStr">
        <is>
          <t>Odoo: producto 20879 / plantilla 26882</t>
        </is>
      </c>
      <c r="AL217" s="58" t="n"/>
      <c r="AM217" s="58" t="n"/>
      <c r="AN217" s="155" t="inlineStr">
        <is>
          <t>Odoo Universal Unique Brands</t>
        </is>
      </c>
      <c r="AO217" s="59" t="n"/>
      <c r="AP217" s="59" t="n"/>
      <c r="AQ217" s="59" t="n">
        <v>20</v>
      </c>
      <c r="AR217" s="155" t="inlineStr">
        <is>
          <t>Odoo Universal Unique Brands › Bodega 25 › Bodega 25/General: 20</t>
        </is>
      </c>
    </row>
    <row r="218">
      <c r="A218" s="50" t="inlineStr">
        <is>
          <t>199168095291</t>
        </is>
      </c>
      <c r="B218" s="51" t="n"/>
      <c r="C218" s="156" t="inlineStr">
        <is>
          <t>Roper</t>
        </is>
      </c>
      <c r="D218" s="156" t="inlineStr">
        <is>
          <t>03-050-0431-0109</t>
        </is>
      </c>
      <c r="E218" s="156" t="inlineStr">
        <is>
          <t>03-050-0431-0109 BU-S</t>
        </is>
      </c>
      <c r="F218" s="156" t="inlineStr">
        <is>
          <t>S</t>
        </is>
      </c>
      <c r="G218" s="156" t="inlineStr">
        <is>
          <t>S</t>
        </is>
      </c>
      <c r="H218" s="156" t="inlineStr">
        <is>
          <t>Roper</t>
        </is>
      </c>
      <c r="I218" s="156" t="inlineStr">
        <is>
          <t>ROPER Shirt Horizontal Aztec Ombre Bord</t>
        </is>
      </c>
      <c r="J218" s="156" t="inlineStr">
        <is>
          <t>Ropa</t>
        </is>
      </c>
      <c r="K218" s="156" t="inlineStr">
        <is>
          <t>Camisas</t>
        </is>
      </c>
      <c r="L218" s="156" t="n"/>
      <c r="M218" s="156" t="n"/>
      <c r="N218" s="156" t="n"/>
      <c r="O218" s="156" t="n"/>
      <c r="P218" s="156" t="n"/>
      <c r="Q218" s="156" t="n"/>
      <c r="R218" s="156" t="n"/>
      <c r="S218" s="156" t="n"/>
      <c r="T218" s="156" t="n"/>
      <c r="U218" s="156" t="n"/>
      <c r="V218" s="156" t="inlineStr">
        <is>
          <t>PZS</t>
        </is>
      </c>
      <c r="W218" s="51" t="inlineStr">
        <is>
          <t>53101604</t>
        </is>
      </c>
      <c r="X218" s="156" t="n"/>
      <c r="Y218" s="54" t="n">
        <v>38</v>
      </c>
      <c r="Z218" s="54" t="n">
        <v>990</v>
      </c>
      <c r="AA218" s="55">
        <f>IF(AND(A218="", B218="", E218=""), "", IF(AB218="", "Válido", IF((LEN(AB218)-LEN(SUBSTITUTE(AB218,"; ","")))/2+1&gt;(LEN(AB218)-LEN(SUBSTITUTE(AB218,"[Aviso]","")))/7, "Con Incidencias", "Válido")))</f>
        <v/>
      </c>
      <c r="AB218" s="56">
        <f>IF(AND(A218="", B218="", E218=""), "", TEXTJOIN("; ", TRUE, IF(OR(TRIM(A218&amp;"")="", ISNUMBER(SEARCH("FALTA", A218))), "UPC faltante/inválido", ""), IF(AND(A218&lt;&gt;"", IFERROR(_xlfn.XMATCH(A218,$A$2:$A$285,0,1)&lt;&gt;_xlfn.XMATCH(A218,$A$2:$A$285,0,-1),FALSE)), "Código de barras duplicado", ""), IF(AND(E218&lt;&gt;"", COUNTIF($E$2:$E$285, E218)&gt;1), "SKU duplicado", ""), IF(OR(J218="", J218=""), "[Aviso] División no capturada ()", IF(ISNA(MATCH(J218, Criterios!$A$123:$A$126, 0)), "División no válida", "")), IF(OR(K218="", K218=""), "[Aviso] Categoría no capturada ()", IF(ISNA(MATCH(K218, Criterios!$A$81:$A$120, 0)), "Categoría no válida", IF(AND(J218&lt;&gt;"", J218&lt;&gt;"", J218&lt;&gt;VLOOKUP(K218, Criterios!$A$81:$B$120, 2, FALSE)), "División no coincide con Categoría", ""))), IF(OR(L218="", L218=""), "[Aviso] Género no capturado ()", IF(ISNA(MATCH(L218, Criterios!$B$123:$B$127, 0)), "Género no válido", "")), IF(OR(N218="", N218=""), "[Aviso] Temporada no capturada ()", IF(ISNA(MATCH(N218, Criterios!$C$123:$C$128, 0)), "Temporada no válida", "")), IF(OR(O218="", O218=""), "[Aviso] Ciclo de vida no capturado ()", IF(ISNA(MATCH(O218, Criterios!$D$123:$D$124, 0)), "Ciclo de vida no válido", ""))))</f>
        <v/>
      </c>
      <c r="AC218" s="56" t="n"/>
      <c r="AD218" s="51" t="n"/>
      <c r="AE218" s="156" t="n"/>
      <c r="AF218" s="51" t="n"/>
      <c r="AG218" s="156" t="inlineStr">
        <is>
          <t>Nuevo – Odoo Universal Unique Brands 01/10/2026</t>
        </is>
      </c>
      <c r="AH218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«03-050-0431-0109» (Completado por regla) · Validador Shopify: WB: precio con IVA no termina en 9</t>
        </is>
      </c>
      <c r="AI218" s="156" t="n"/>
      <c r="AJ218" s="156" t="n"/>
      <c r="AK218" s="155" t="inlineStr">
        <is>
          <t>Odoo: producto 20878 / plantilla 26881</t>
        </is>
      </c>
      <c r="AL218" s="58" t="n"/>
      <c r="AM218" s="58" t="n"/>
      <c r="AN218" s="155" t="inlineStr">
        <is>
          <t>Odoo Universal Unique Brands</t>
        </is>
      </c>
      <c r="AO218" s="59" t="n"/>
      <c r="AP218" s="59" t="n"/>
      <c r="AQ218" s="59" t="n">
        <v>20</v>
      </c>
      <c r="AR218" s="155" t="inlineStr">
        <is>
          <t>Odoo Universal Unique Brands › Bodega 25 › Bodega 25/General: 20</t>
        </is>
      </c>
    </row>
    <row r="219">
      <c r="A219" s="50" t="inlineStr">
        <is>
          <t>199168095307</t>
        </is>
      </c>
      <c r="B219" s="51" t="n"/>
      <c r="C219" s="156" t="inlineStr">
        <is>
          <t>Roper</t>
        </is>
      </c>
      <c r="D219" s="156" t="inlineStr">
        <is>
          <t>03-050-0431-0109</t>
        </is>
      </c>
      <c r="E219" s="156" t="inlineStr">
        <is>
          <t>03-050-0431-0109 BU-XL</t>
        </is>
      </c>
      <c r="F219" s="156" t="inlineStr">
        <is>
          <t>XL</t>
        </is>
      </c>
      <c r="G219" s="156" t="inlineStr">
        <is>
          <t>XL</t>
        </is>
      </c>
      <c r="H219" s="156" t="inlineStr">
        <is>
          <t>Roper</t>
        </is>
      </c>
      <c r="I219" s="156" t="inlineStr">
        <is>
          <t>ROPER Shirt Horizontal Aztec Ombre Bord</t>
        </is>
      </c>
      <c r="J219" s="156" t="inlineStr">
        <is>
          <t>Ropa</t>
        </is>
      </c>
      <c r="K219" s="156" t="inlineStr">
        <is>
          <t>Camisas</t>
        </is>
      </c>
      <c r="L219" s="156" t="n"/>
      <c r="M219" s="156" t="n"/>
      <c r="N219" s="156" t="n"/>
      <c r="O219" s="156" t="n"/>
      <c r="P219" s="156" t="n"/>
      <c r="Q219" s="156" t="n"/>
      <c r="R219" s="156" t="n"/>
      <c r="S219" s="156" t="n"/>
      <c r="T219" s="156" t="n"/>
      <c r="U219" s="156" t="n"/>
      <c r="V219" s="156" t="inlineStr">
        <is>
          <t>PZS</t>
        </is>
      </c>
      <c r="W219" s="51" t="inlineStr">
        <is>
          <t>53101604</t>
        </is>
      </c>
      <c r="X219" s="156" t="n"/>
      <c r="Y219" s="54" t="n">
        <v>38</v>
      </c>
      <c r="Z219" s="54" t="n">
        <v>990</v>
      </c>
      <c r="AA219" s="55">
        <f>IF(AND(A219="", B219="", E219=""), "", IF(AB219="", "Válido", IF((LEN(AB219)-LEN(SUBSTITUTE(AB219,"; ","")))/2+1&gt;(LEN(AB219)-LEN(SUBSTITUTE(AB219,"[Aviso]","")))/7, "Con Incidencias", "Válido")))</f>
        <v/>
      </c>
      <c r="AB219" s="56">
        <f>IF(AND(A219="", B219="", E219=""), "", TEXTJOIN("; ", TRUE, IF(OR(TRIM(A219&amp;"")="", ISNUMBER(SEARCH("FALTA", A219))), "UPC faltante/inválido", ""), IF(AND(A219&lt;&gt;"", IFERROR(_xlfn.XMATCH(A219,$A$2:$A$285,0,1)&lt;&gt;_xlfn.XMATCH(A219,$A$2:$A$285,0,-1),FALSE)), "Código de barras duplicado", ""), IF(AND(E219&lt;&gt;"", COUNTIF($E$2:$E$285, E219)&gt;1), "SKU duplicado", ""), IF(OR(J219="", J219=""), "[Aviso] División no capturada ()", IF(ISNA(MATCH(J219, Criterios!$A$123:$A$126, 0)), "División no válida", "")), IF(OR(K219="", K219=""), "[Aviso] Categoría no capturada ()", IF(ISNA(MATCH(K219, Criterios!$A$81:$A$120, 0)), "Categoría no válida", IF(AND(J219&lt;&gt;"", J219&lt;&gt;"", J219&lt;&gt;VLOOKUP(K219, Criterios!$A$81:$B$120, 2, FALSE)), "División no coincide con Categoría", ""))), IF(OR(L219="", L219=""), "[Aviso] Género no capturado ()", IF(ISNA(MATCH(L219, Criterios!$B$123:$B$127, 0)), "Género no válido", "")), IF(OR(N219="", N219=""), "[Aviso] Temporada no capturada ()", IF(ISNA(MATCH(N219, Criterios!$C$123:$C$128, 0)), "Temporada no válida", "")), IF(OR(O219="", O219=""), "[Aviso] Ciclo de vida no capturado ()", IF(ISNA(MATCH(O219, Criterios!$D$123:$D$124, 0)), "Ciclo de vida no válido", ""))))</f>
        <v/>
      </c>
      <c r="AC219" s="56" t="n"/>
      <c r="AD219" s="51" t="n"/>
      <c r="AE219" s="156" t="n"/>
      <c r="AF219" s="51" t="n"/>
      <c r="AG219" s="156" t="inlineStr">
        <is>
          <t>Nuevo – Odoo Universal Unique Brands 01/10/2026</t>
        </is>
      </c>
      <c r="AH219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«03-050-0431-0109» (Completado por regla) · Validador Shopify: WB: precio con IVA no termina en 9</t>
        </is>
      </c>
      <c r="AI219" s="156" t="n"/>
      <c r="AJ219" s="156" t="n"/>
      <c r="AK219" s="155" t="inlineStr">
        <is>
          <t>Odoo: producto 20881 / plantilla 26884</t>
        </is>
      </c>
      <c r="AL219" s="58" t="n"/>
      <c r="AM219" s="58" t="n"/>
      <c r="AN219" s="155" t="inlineStr">
        <is>
          <t>Odoo Universal Unique Brands</t>
        </is>
      </c>
      <c r="AO219" s="59" t="n"/>
      <c r="AP219" s="59" t="n"/>
      <c r="AQ219" s="59" t="n">
        <v>5</v>
      </c>
      <c r="AR219" s="155" t="inlineStr">
        <is>
          <t>Odoo Universal Unique Brands › Bodega 25 › Bodega 25/General: 5</t>
        </is>
      </c>
    </row>
    <row r="220">
      <c r="A220" s="50" t="inlineStr">
        <is>
          <t>199168095314</t>
        </is>
      </c>
      <c r="B220" s="51" t="n"/>
      <c r="C220" s="156" t="inlineStr">
        <is>
          <t>Roper</t>
        </is>
      </c>
      <c r="D220" s="156" t="inlineStr">
        <is>
          <t>03-050-0431-0109</t>
        </is>
      </c>
      <c r="E220" s="156" t="inlineStr">
        <is>
          <t>03-050-0431-0109 BU-XS</t>
        </is>
      </c>
      <c r="F220" s="156" t="inlineStr">
        <is>
          <t>XS</t>
        </is>
      </c>
      <c r="G220" s="156" t="inlineStr">
        <is>
          <t>XS</t>
        </is>
      </c>
      <c r="H220" s="156" t="inlineStr">
        <is>
          <t>Roper</t>
        </is>
      </c>
      <c r="I220" s="156" t="inlineStr">
        <is>
          <t>ROPER Shirt Horizontal Aztec Ombre Bord</t>
        </is>
      </c>
      <c r="J220" s="156" t="inlineStr">
        <is>
          <t>Ropa</t>
        </is>
      </c>
      <c r="K220" s="156" t="inlineStr">
        <is>
          <t>Camisas</t>
        </is>
      </c>
      <c r="L220" s="156" t="n"/>
      <c r="M220" s="156" t="n"/>
      <c r="N220" s="156" t="n"/>
      <c r="O220" s="156" t="n"/>
      <c r="P220" s="156" t="n"/>
      <c r="Q220" s="156" t="n"/>
      <c r="R220" s="156" t="n"/>
      <c r="S220" s="156" t="n"/>
      <c r="T220" s="156" t="n"/>
      <c r="U220" s="156" t="n"/>
      <c r="V220" s="156" t="inlineStr">
        <is>
          <t>PZS</t>
        </is>
      </c>
      <c r="W220" s="51" t="inlineStr">
        <is>
          <t>53101604</t>
        </is>
      </c>
      <c r="X220" s="156" t="n"/>
      <c r="Y220" s="54" t="n">
        <v>38</v>
      </c>
      <c r="Z220" s="54" t="n">
        <v>990</v>
      </c>
      <c r="AA220" s="55">
        <f>IF(AND(A220="", B220="", E220=""), "", IF(AB220="", "Válido", IF((LEN(AB220)-LEN(SUBSTITUTE(AB220,"; ","")))/2+1&gt;(LEN(AB220)-LEN(SUBSTITUTE(AB220,"[Aviso]","")))/7, "Con Incidencias", "Válido")))</f>
        <v/>
      </c>
      <c r="AB220" s="56">
        <f>IF(AND(A220="", B220="", E220=""), "", TEXTJOIN("; ", TRUE, IF(OR(TRIM(A220&amp;"")="", ISNUMBER(SEARCH("FALTA", A220))), "UPC faltante/inválido", ""), IF(AND(A220&lt;&gt;"", IFERROR(_xlfn.XMATCH(A220,$A$2:$A$285,0,1)&lt;&gt;_xlfn.XMATCH(A220,$A$2:$A$285,0,-1),FALSE)), "Código de barras duplicado", ""), IF(AND(E220&lt;&gt;"", COUNTIF($E$2:$E$285, E220)&gt;1), "SKU duplicado", ""), IF(OR(J220="", J220=""), "[Aviso] División no capturada ()", IF(ISNA(MATCH(J220, Criterios!$A$123:$A$126, 0)), "División no válida", "")), IF(OR(K220="", K220=""), "[Aviso] Categoría no capturada ()", IF(ISNA(MATCH(K220, Criterios!$A$81:$A$120, 0)), "Categoría no válida", IF(AND(J220&lt;&gt;"", J220&lt;&gt;"", J220&lt;&gt;VLOOKUP(K220, Criterios!$A$81:$B$120, 2, FALSE)), "División no coincide con Categoría", ""))), IF(OR(L220="", L220=""), "[Aviso] Género no capturado ()", IF(ISNA(MATCH(L220, Criterios!$B$123:$B$127, 0)), "Género no válido", "")), IF(OR(N220="", N220=""), "[Aviso] Temporada no capturada ()", IF(ISNA(MATCH(N220, Criterios!$C$123:$C$128, 0)), "Temporada no válida", "")), IF(OR(O220="", O220=""), "[Aviso] Ciclo de vida no capturado ()", IF(ISNA(MATCH(O220, Criterios!$D$123:$D$124, 0)), "Ciclo de vida no válido", ""))))</f>
        <v/>
      </c>
      <c r="AC220" s="56" t="n"/>
      <c r="AD220" s="51" t="n"/>
      <c r="AE220" s="156" t="n"/>
      <c r="AF220" s="51" t="n"/>
      <c r="AG220" s="156" t="inlineStr">
        <is>
          <t>Nuevo – Odoo Universal Unique Brands 01/10/2026</t>
        </is>
      </c>
      <c r="AH220" s="156" t="inlineStr">
        <is>
          <t>01/10/2026: alta desde Odoo Universal Unique Brands (no existía en Productos por código de barras ni SKU) | Talla tomada del sufijo del SKU (XS); Categoría: Palabra clave "Camisa" en tipo/categoría de la fuente (Ropa / Camisas) | Homologación G1522 06/10/2026: WB N.º de estilo: «» → «03-050-0431-0109» (Completado por regla) · Validador Shopify: WB: precio con IVA no termina en 9</t>
        </is>
      </c>
      <c r="AI220" s="156" t="n"/>
      <c r="AJ220" s="156" t="n"/>
      <c r="AK220" s="155" t="inlineStr">
        <is>
          <t>Odoo: producto 20877 / plantilla 26880</t>
        </is>
      </c>
      <c r="AL220" s="58" t="n"/>
      <c r="AM220" s="58" t="n"/>
      <c r="AN220" s="155" t="inlineStr">
        <is>
          <t>Odoo Universal Unique Brands</t>
        </is>
      </c>
      <c r="AO220" s="59" t="n"/>
      <c r="AP220" s="59" t="n"/>
      <c r="AQ220" s="59" t="n">
        <v>10</v>
      </c>
      <c r="AR220" s="155" t="inlineStr">
        <is>
          <t>Odoo Universal Unique Brands › Bodega 25 › Bodega 25/General: 10</t>
        </is>
      </c>
    </row>
    <row r="221">
      <c r="A221" s="50" t="inlineStr">
        <is>
          <t>199168056193</t>
        </is>
      </c>
      <c r="B221" s="51" t="n"/>
      <c r="C221" s="156" t="inlineStr">
        <is>
          <t>Roper</t>
        </is>
      </c>
      <c r="D221" s="156" t="inlineStr">
        <is>
          <t>03-050-0590-7065</t>
        </is>
      </c>
      <c r="E221" s="156" t="inlineStr">
        <is>
          <t>03-050-0590-7065 BL-L</t>
        </is>
      </c>
      <c r="F221" s="156" t="inlineStr">
        <is>
          <t>L</t>
        </is>
      </c>
      <c r="G221" s="156" t="inlineStr">
        <is>
          <t>L</t>
        </is>
      </c>
      <c r="H221" s="156" t="inlineStr">
        <is>
          <t>Roper</t>
        </is>
      </c>
      <c r="I221" s="156" t="inlineStr">
        <is>
          <t>ROPER Shirt Poly Aztec Brights Print</t>
        </is>
      </c>
      <c r="J221" s="156" t="inlineStr">
        <is>
          <t>Ropa</t>
        </is>
      </c>
      <c r="K221" s="156" t="inlineStr">
        <is>
          <t>Camisas</t>
        </is>
      </c>
      <c r="L221" s="156" t="n"/>
      <c r="M221" s="156" t="n"/>
      <c r="N221" s="156" t="n"/>
      <c r="O221" s="156" t="n"/>
      <c r="P221" s="156" t="n"/>
      <c r="Q221" s="156" t="n"/>
      <c r="R221" s="156" t="n"/>
      <c r="S221" s="156" t="n"/>
      <c r="T221" s="156" t="n"/>
      <c r="U221" s="156" t="n"/>
      <c r="V221" s="156" t="inlineStr">
        <is>
          <t>PZS</t>
        </is>
      </c>
      <c r="W221" s="51" t="inlineStr">
        <is>
          <t>53101602</t>
        </is>
      </c>
      <c r="X221" s="156" t="n"/>
      <c r="Y221" s="54" t="n">
        <v>19.53</v>
      </c>
      <c r="Z221" s="54" t="n">
        <v>559</v>
      </c>
      <c r="AA221" s="55">
        <f>IF(AND(A221="", B221="", E221=""), "", IF(AB221="", "Válido", IF((LEN(AB221)-LEN(SUBSTITUTE(AB221,"; ","")))/2+1&gt;(LEN(AB221)-LEN(SUBSTITUTE(AB221,"[Aviso]","")))/7, "Con Incidencias", "Válido")))</f>
        <v/>
      </c>
      <c r="AB221" s="56">
        <f>IF(AND(A221="", B221="", E221=""), "", TEXTJOIN("; ", TRUE, IF(OR(TRIM(A221&amp;"")="", ISNUMBER(SEARCH("FALTA", A221))), "UPC faltante/inválido", ""), IF(AND(A221&lt;&gt;"", IFERROR(_xlfn.XMATCH(A221,$A$2:$A$285,0,1)&lt;&gt;_xlfn.XMATCH(A221,$A$2:$A$285,0,-1),FALSE)), "Código de barras duplicado", ""), IF(AND(E221&lt;&gt;"", COUNTIF($E$2:$E$285, E221)&gt;1), "SKU duplicado", ""), IF(OR(J221="", J221=""), "[Aviso] División no capturada ()", IF(ISNA(MATCH(J221, Criterios!$A$123:$A$126, 0)), "División no válida", "")), IF(OR(K221="", K221=""), "[Aviso] Categoría no capturada ()", IF(ISNA(MATCH(K221, Criterios!$A$81:$A$120, 0)), "Categoría no válida", IF(AND(J221&lt;&gt;"", J221&lt;&gt;"", J221&lt;&gt;VLOOKUP(K221, Criterios!$A$81:$B$120, 2, FALSE)), "División no coincide con Categoría", ""))), IF(OR(L221="", L221=""), "[Aviso] Género no capturado ()", IF(ISNA(MATCH(L221, Criterios!$B$123:$B$127, 0)), "Género no válido", "")), IF(OR(N221="", N221=""), "[Aviso] Temporada no capturada ()", IF(ISNA(MATCH(N221, Criterios!$C$123:$C$128, 0)), "Temporada no válida", "")), IF(OR(O221="", O221=""), "[Aviso] Ciclo de vida no capturado ()", IF(ISNA(MATCH(O221, Criterios!$D$123:$D$124, 0)), "Ciclo de vida no válido", ""))))</f>
        <v/>
      </c>
      <c r="AC221" s="56" t="n"/>
      <c r="AD221" s="51" t="n"/>
      <c r="AE221" s="156" t="n"/>
      <c r="AF221" s="51" t="n"/>
      <c r="AG221" s="156" t="inlineStr">
        <is>
          <t>Nuevo – Odoo Universal Unique Brands 01/10/2026</t>
        </is>
      </c>
      <c r="AH221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«03-050-0590-7065» (Completado por regla) · Validación G1522: [Aviso] Precio de compra posiblemente en USD · Validador Shopify: WB: precio con IVA no termina en 9</t>
        </is>
      </c>
      <c r="AI221" s="156" t="n"/>
      <c r="AJ221" s="156" t="n"/>
      <c r="AK221" s="155" t="inlineStr">
        <is>
          <t>Odoo: producto 20952 / plantilla 26955</t>
        </is>
      </c>
      <c r="AL221" s="58" t="n"/>
      <c r="AM221" s="58" t="n"/>
      <c r="AN221" s="155" t="inlineStr">
        <is>
          <t>Odoo Universal Unique Brands</t>
        </is>
      </c>
      <c r="AO221" s="59" t="n"/>
      <c r="AP221" s="59" t="n"/>
      <c r="AQ221" s="59" t="n">
        <v>12</v>
      </c>
      <c r="AR221" s="155" t="inlineStr">
        <is>
          <t>Odoo Universal Unique Brands › Bodega 25 › Bodega 25/General: 12</t>
        </is>
      </c>
    </row>
    <row r="222">
      <c r="A222" s="50" t="inlineStr">
        <is>
          <t>199168056209</t>
        </is>
      </c>
      <c r="B222" s="51" t="n"/>
      <c r="C222" s="156" t="inlineStr">
        <is>
          <t>Roper</t>
        </is>
      </c>
      <c r="D222" s="156" t="inlineStr">
        <is>
          <t>03-050-0590-7065</t>
        </is>
      </c>
      <c r="E222" s="156" t="inlineStr">
        <is>
          <t>03-050-0590-7065 BL-M</t>
        </is>
      </c>
      <c r="F222" s="156" t="inlineStr">
        <is>
          <t>M</t>
        </is>
      </c>
      <c r="G222" s="156" t="inlineStr">
        <is>
          <t>M</t>
        </is>
      </c>
      <c r="H222" s="156" t="inlineStr">
        <is>
          <t>Roper</t>
        </is>
      </c>
      <c r="I222" s="156" t="inlineStr">
        <is>
          <t>ROPER Shirt Poly Aztec Brights Print</t>
        </is>
      </c>
      <c r="J222" s="156" t="inlineStr">
        <is>
          <t>Ropa</t>
        </is>
      </c>
      <c r="K222" s="156" t="inlineStr">
        <is>
          <t>Camisas</t>
        </is>
      </c>
      <c r="L222" s="156" t="n"/>
      <c r="M222" s="156" t="n"/>
      <c r="N222" s="156" t="n"/>
      <c r="O222" s="156" t="n"/>
      <c r="P222" s="156" t="n"/>
      <c r="Q222" s="156" t="n"/>
      <c r="R222" s="156" t="n"/>
      <c r="S222" s="156" t="n"/>
      <c r="T222" s="156" t="n"/>
      <c r="U222" s="156" t="n"/>
      <c r="V222" s="156" t="inlineStr">
        <is>
          <t>PZS</t>
        </is>
      </c>
      <c r="W222" s="51" t="inlineStr">
        <is>
          <t>53101602</t>
        </is>
      </c>
      <c r="X222" s="156" t="n"/>
      <c r="Y222" s="54" t="n">
        <v>19.53</v>
      </c>
      <c r="Z222" s="54" t="n">
        <v>559</v>
      </c>
      <c r="AA222" s="55">
        <f>IF(AND(A222="", B222="", E222=""), "", IF(AB222="", "Válido", IF((LEN(AB222)-LEN(SUBSTITUTE(AB222,"; ","")))/2+1&gt;(LEN(AB222)-LEN(SUBSTITUTE(AB222,"[Aviso]","")))/7, "Con Incidencias", "Válido")))</f>
        <v/>
      </c>
      <c r="AB222" s="56">
        <f>IF(AND(A222="", B222="", E222=""), "", TEXTJOIN("; ", TRUE, IF(OR(TRIM(A222&amp;"")="", ISNUMBER(SEARCH("FALTA", A222))), "UPC faltante/inválido", ""), IF(AND(A222&lt;&gt;"", IFERROR(_xlfn.XMATCH(A222,$A$2:$A$285,0,1)&lt;&gt;_xlfn.XMATCH(A222,$A$2:$A$285,0,-1),FALSE)), "Código de barras duplicado", ""), IF(AND(E222&lt;&gt;"", COUNTIF($E$2:$E$285, E222)&gt;1), "SKU duplicado", ""), IF(OR(J222="", J222=""), "[Aviso] División no capturada ()", IF(ISNA(MATCH(J222, Criterios!$A$123:$A$126, 0)), "División no válida", "")), IF(OR(K222="", K222=""), "[Aviso] Categoría no capturada ()", IF(ISNA(MATCH(K222, Criterios!$A$81:$A$120, 0)), "Categoría no válida", IF(AND(J222&lt;&gt;"", J222&lt;&gt;"", J222&lt;&gt;VLOOKUP(K222, Criterios!$A$81:$B$120, 2, FALSE)), "División no coincide con Categoría", ""))), IF(OR(L222="", L222=""), "[Aviso] Género no capturado ()", IF(ISNA(MATCH(L222, Criterios!$B$123:$B$127, 0)), "Género no válido", "")), IF(OR(N222="", N222=""), "[Aviso] Temporada no capturada ()", IF(ISNA(MATCH(N222, Criterios!$C$123:$C$128, 0)), "Temporada no válida", "")), IF(OR(O222="", O222=""), "[Aviso] Ciclo de vida no capturado ()", IF(ISNA(MATCH(O222, Criterios!$D$123:$D$124, 0)), "Ciclo de vida no válido", ""))))</f>
        <v/>
      </c>
      <c r="AC222" s="56" t="n"/>
      <c r="AD222" s="51" t="n"/>
      <c r="AE222" s="156" t="n"/>
      <c r="AF222" s="51" t="n"/>
      <c r="AG222" s="156" t="inlineStr">
        <is>
          <t>Nuevo – Odoo Universal Unique Brands 01/10/2026</t>
        </is>
      </c>
      <c r="AH222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«03-050-0590-7065» (Completado por regla) · Validación G1522: [Aviso] Precio de compra posiblemente en USD · Validador Shopify: WB: precio con IVA no termina en 9</t>
        </is>
      </c>
      <c r="AI222" s="156" t="n"/>
      <c r="AJ222" s="156" t="n"/>
      <c r="AK222" s="155" t="inlineStr">
        <is>
          <t>Odoo: producto 20951 / plantilla 26954</t>
        </is>
      </c>
      <c r="AL222" s="58" t="n"/>
      <c r="AM222" s="58" t="n"/>
      <c r="AN222" s="155" t="inlineStr">
        <is>
          <t>Odoo Universal Unique Brands</t>
        </is>
      </c>
      <c r="AO222" s="59" t="n"/>
      <c r="AP222" s="59" t="n"/>
      <c r="AQ222" s="59" t="n">
        <v>12</v>
      </c>
      <c r="AR222" s="155" t="inlineStr">
        <is>
          <t>Odoo Universal Unique Brands › Bodega 25 › Bodega 25/General: 12</t>
        </is>
      </c>
    </row>
    <row r="223">
      <c r="A223" s="50" t="inlineStr">
        <is>
          <t>199168056216</t>
        </is>
      </c>
      <c r="B223" s="51" t="n"/>
      <c r="C223" s="156" t="inlineStr">
        <is>
          <t>Roper</t>
        </is>
      </c>
      <c r="D223" s="156" t="inlineStr">
        <is>
          <t>03-050-0590-7065</t>
        </is>
      </c>
      <c r="E223" s="156" t="inlineStr">
        <is>
          <t>03-050-0590-7065 BL-S</t>
        </is>
      </c>
      <c r="F223" s="156" t="inlineStr">
        <is>
          <t>S</t>
        </is>
      </c>
      <c r="G223" s="156" t="inlineStr">
        <is>
          <t>S</t>
        </is>
      </c>
      <c r="H223" s="156" t="inlineStr">
        <is>
          <t>Roper</t>
        </is>
      </c>
      <c r="I223" s="156" t="inlineStr">
        <is>
          <t>ROPER Shirt Poly Aztec Brights Print</t>
        </is>
      </c>
      <c r="J223" s="156" t="inlineStr">
        <is>
          <t>Ropa</t>
        </is>
      </c>
      <c r="K223" s="156" t="inlineStr">
        <is>
          <t>Camisas</t>
        </is>
      </c>
      <c r="L223" s="156" t="n"/>
      <c r="M223" s="156" t="n"/>
      <c r="N223" s="156" t="n"/>
      <c r="O223" s="156" t="n"/>
      <c r="P223" s="156" t="n"/>
      <c r="Q223" s="156" t="n"/>
      <c r="R223" s="156" t="n"/>
      <c r="S223" s="156" t="n"/>
      <c r="T223" s="156" t="n"/>
      <c r="U223" s="156" t="n"/>
      <c r="V223" s="156" t="inlineStr">
        <is>
          <t>PZS</t>
        </is>
      </c>
      <c r="W223" s="51" t="inlineStr">
        <is>
          <t>53101602</t>
        </is>
      </c>
      <c r="X223" s="156" t="n"/>
      <c r="Y223" s="54" t="n">
        <v>19.53</v>
      </c>
      <c r="Z223" s="54" t="n">
        <v>559</v>
      </c>
      <c r="AA223" s="55">
        <f>IF(AND(A223="", B223="", E223=""), "", IF(AB223="", "Válido", IF((LEN(AB223)-LEN(SUBSTITUTE(AB223,"; ","")))/2+1&gt;(LEN(AB223)-LEN(SUBSTITUTE(AB223,"[Aviso]","")))/7, "Con Incidencias", "Válido")))</f>
        <v/>
      </c>
      <c r="AB223" s="56">
        <f>IF(AND(A223="", B223="", E223=""), "", TEXTJOIN("; ", TRUE, IF(OR(TRIM(A223&amp;"")="", ISNUMBER(SEARCH("FALTA", A223))), "UPC faltante/inválido", ""), IF(AND(A223&lt;&gt;"", IFERROR(_xlfn.XMATCH(A223,$A$2:$A$285,0,1)&lt;&gt;_xlfn.XMATCH(A223,$A$2:$A$285,0,-1),FALSE)), "Código de barras duplicado", ""), IF(AND(E223&lt;&gt;"", COUNTIF($E$2:$E$285, E223)&gt;1), "SKU duplicado", ""), IF(OR(J223="", J223=""), "[Aviso] División no capturada ()", IF(ISNA(MATCH(J223, Criterios!$A$123:$A$126, 0)), "División no válida", "")), IF(OR(K223="", K223=""), "[Aviso] Categoría no capturada ()", IF(ISNA(MATCH(K223, Criterios!$A$81:$A$120, 0)), "Categoría no válida", IF(AND(J223&lt;&gt;"", J223&lt;&gt;"", J223&lt;&gt;VLOOKUP(K223, Criterios!$A$81:$B$120, 2, FALSE)), "División no coincide con Categoría", ""))), IF(OR(L223="", L223=""), "[Aviso] Género no capturado ()", IF(ISNA(MATCH(L223, Criterios!$B$123:$B$127, 0)), "Género no válido", "")), IF(OR(N223="", N223=""), "[Aviso] Temporada no capturada ()", IF(ISNA(MATCH(N223, Criterios!$C$123:$C$128, 0)), "Temporada no válida", "")), IF(OR(O223="", O223=""), "[Aviso] Ciclo de vida no capturado ()", IF(ISNA(MATCH(O223, Criterios!$D$123:$D$124, 0)), "Ciclo de vida no válido", ""))))</f>
        <v/>
      </c>
      <c r="AC223" s="56" t="n"/>
      <c r="AD223" s="51" t="n"/>
      <c r="AE223" s="156" t="n"/>
      <c r="AF223" s="51" t="n"/>
      <c r="AG223" s="156" t="inlineStr">
        <is>
          <t>Nuevo – Odoo Universal Unique Brands 01/10/2026</t>
        </is>
      </c>
      <c r="AH223" s="156" t="inlineStr">
        <is>
          <t>01/10/2026: alta desde Odoo Universal Unique Brands (no existía en Productos por código de barras ni SKU) | Talla tomada del sufijo del SKU (S); Categoría: Palabra clave "Camisa" en tipo/categoría de la fuente (Ropa / Camisas) | Homologación G1522 06/10/2026: WB N.º de estilo: «» → «03-050-0590-7065» (Completado por regla) · Validación G1522: [Aviso] Precio de compra posiblemente en USD · Validador Shopify: WB: precio con IVA no termina en 9</t>
        </is>
      </c>
      <c r="AI223" s="156" t="n"/>
      <c r="AJ223" s="156" t="n"/>
      <c r="AK223" s="155" t="inlineStr">
        <is>
          <t>Odoo: producto 20950 / plantilla 26953</t>
        </is>
      </c>
      <c r="AL223" s="58" t="n"/>
      <c r="AM223" s="58" t="n"/>
      <c r="AN223" s="155" t="inlineStr">
        <is>
          <t>Odoo Universal Unique Brands</t>
        </is>
      </c>
      <c r="AO223" s="59" t="n"/>
      <c r="AP223" s="59" t="n"/>
      <c r="AQ223" s="59" t="n">
        <v>11</v>
      </c>
      <c r="AR223" s="155" t="inlineStr">
        <is>
          <t>Odoo Universal Unique Brands › Bodega 25 › Bodega 25/General: 11</t>
        </is>
      </c>
    </row>
    <row r="224">
      <c r="A224" s="50" t="inlineStr">
        <is>
          <t>199168056223</t>
        </is>
      </c>
      <c r="B224" s="51" t="n"/>
      <c r="C224" s="156" t="inlineStr">
        <is>
          <t>Roper</t>
        </is>
      </c>
      <c r="D224" s="156" t="inlineStr">
        <is>
          <t>03-050-0590-7065</t>
        </is>
      </c>
      <c r="E224" s="156" t="inlineStr">
        <is>
          <t>03-050-0590-7065 BL-XL</t>
        </is>
      </c>
      <c r="F224" s="156" t="inlineStr">
        <is>
          <t>XL</t>
        </is>
      </c>
      <c r="G224" s="156" t="inlineStr">
        <is>
          <t>XL</t>
        </is>
      </c>
      <c r="H224" s="156" t="inlineStr">
        <is>
          <t>Roper</t>
        </is>
      </c>
      <c r="I224" s="156" t="inlineStr">
        <is>
          <t>ROPER Shirt Poly Aztec Brights Print</t>
        </is>
      </c>
      <c r="J224" s="156" t="inlineStr">
        <is>
          <t>Ropa</t>
        </is>
      </c>
      <c r="K224" s="156" t="inlineStr">
        <is>
          <t>Camisas</t>
        </is>
      </c>
      <c r="L224" s="156" t="n"/>
      <c r="M224" s="156" t="n"/>
      <c r="N224" s="156" t="n"/>
      <c r="O224" s="156" t="n"/>
      <c r="P224" s="156" t="n"/>
      <c r="Q224" s="156" t="n"/>
      <c r="R224" s="156" t="n"/>
      <c r="S224" s="156" t="n"/>
      <c r="T224" s="156" t="n"/>
      <c r="U224" s="156" t="n"/>
      <c r="V224" s="156" t="inlineStr">
        <is>
          <t>PZS</t>
        </is>
      </c>
      <c r="W224" s="51" t="inlineStr">
        <is>
          <t>53101602</t>
        </is>
      </c>
      <c r="X224" s="156" t="n"/>
      <c r="Y224" s="54" t="n">
        <v>19.53</v>
      </c>
      <c r="Z224" s="54" t="n">
        <v>559</v>
      </c>
      <c r="AA224" s="55">
        <f>IF(AND(A224="", B224="", E224=""), "", IF(AB224="", "Válido", IF((LEN(AB224)-LEN(SUBSTITUTE(AB224,"; ","")))/2+1&gt;(LEN(AB224)-LEN(SUBSTITUTE(AB224,"[Aviso]","")))/7, "Con Incidencias", "Válido")))</f>
        <v/>
      </c>
      <c r="AB224" s="56">
        <f>IF(AND(A224="", B224="", E224=""), "", TEXTJOIN("; ", TRUE, IF(OR(TRIM(A224&amp;"")="", ISNUMBER(SEARCH("FALTA", A224))), "UPC faltante/inválido", ""), IF(AND(A224&lt;&gt;"", IFERROR(_xlfn.XMATCH(A224,$A$2:$A$285,0,1)&lt;&gt;_xlfn.XMATCH(A224,$A$2:$A$285,0,-1),FALSE)), "Código de barras duplicado", ""), IF(AND(E224&lt;&gt;"", COUNTIF($E$2:$E$285, E224)&gt;1), "SKU duplicado", ""), IF(OR(J224="", J224=""), "[Aviso] División no capturada ()", IF(ISNA(MATCH(J224, Criterios!$A$123:$A$126, 0)), "División no válida", "")), IF(OR(K224="", K224=""), "[Aviso] Categoría no capturada ()", IF(ISNA(MATCH(K224, Criterios!$A$81:$A$120, 0)), "Categoría no válida", IF(AND(J224&lt;&gt;"", J224&lt;&gt;"", J224&lt;&gt;VLOOKUP(K224, Criterios!$A$81:$B$120, 2, FALSE)), "División no coincide con Categoría", ""))), IF(OR(L224="", L224=""), "[Aviso] Género no capturado ()", IF(ISNA(MATCH(L224, Criterios!$B$123:$B$127, 0)), "Género no válido", "")), IF(OR(N224="", N224=""), "[Aviso] Temporada no capturada ()", IF(ISNA(MATCH(N224, Criterios!$C$123:$C$128, 0)), "Temporada no válida", "")), IF(OR(O224="", O224=""), "[Aviso] Ciclo de vida no capturado ()", IF(ISNA(MATCH(O224, Criterios!$D$123:$D$124, 0)), "Ciclo de vida no válido", ""))))</f>
        <v/>
      </c>
      <c r="AC224" s="56" t="n"/>
      <c r="AD224" s="51" t="n"/>
      <c r="AE224" s="156" t="n"/>
      <c r="AF224" s="51" t="n"/>
      <c r="AG224" s="156" t="inlineStr">
        <is>
          <t>Nuevo – Odoo Universal Unique Brands 01/10/2026</t>
        </is>
      </c>
      <c r="AH224" s="156" t="inlineStr">
        <is>
          <t>01/10/2026: alta desde Odoo Universal Unique Brands (no existía en Productos por código de barras ni SKU) | Talla tomada del sufijo del SKU (XL); Categoría: Palabra clave "Camisa" en tipo/categoría de la fuente (Ropa / Camisas) | Homologación G1522 06/10/2026: WB N.º de estilo: «» → «03-050-0590-7065» (Completado por regla) · Validación G1522: [Aviso] Precio de compra posiblemente en USD · Validador Shopify: WB: precio con IVA no termina en 9</t>
        </is>
      </c>
      <c r="AI224" s="156" t="n"/>
      <c r="AJ224" s="156" t="n"/>
      <c r="AK224" s="155" t="inlineStr">
        <is>
          <t>Odoo: producto 20953 / plantilla 26956</t>
        </is>
      </c>
      <c r="AL224" s="58" t="n"/>
      <c r="AM224" s="58" t="n"/>
      <c r="AN224" s="155" t="inlineStr">
        <is>
          <t>Odoo Universal Unique Brands</t>
        </is>
      </c>
      <c r="AO224" s="59" t="n"/>
      <c r="AP224" s="59" t="n"/>
      <c r="AQ224" s="59" t="n">
        <v>12</v>
      </c>
      <c r="AR224" s="155" t="inlineStr">
        <is>
          <t>Odoo Universal Unique Brands › Bodega 25 › Bodega 25/General: 12</t>
        </is>
      </c>
    </row>
    <row r="225">
      <c r="A225" s="50" t="inlineStr">
        <is>
          <t>199168056827</t>
        </is>
      </c>
      <c r="B225" s="51" t="n"/>
      <c r="C225" s="156" t="inlineStr">
        <is>
          <t>Roper</t>
        </is>
      </c>
      <c r="D225" s="156" t="inlineStr">
        <is>
          <t>03-057-0040-6004</t>
        </is>
      </c>
      <c r="E225" s="156" t="inlineStr">
        <is>
          <t>03-057-0040-6004 BL-L</t>
        </is>
      </c>
      <c r="F225" s="156" t="inlineStr">
        <is>
          <t>L</t>
        </is>
      </c>
      <c r="G225" s="156" t="inlineStr">
        <is>
          <t>L</t>
        </is>
      </c>
      <c r="H225" s="156" t="inlineStr">
        <is>
          <t>Roper</t>
        </is>
      </c>
      <c r="I225" s="156" t="inlineStr">
        <is>
          <t>ROPER Dress Poly Spandex Retro</t>
        </is>
      </c>
      <c r="J225" s="156" t="inlineStr">
        <is>
          <t>Ropa</t>
        </is>
      </c>
      <c r="K225" s="156" t="inlineStr">
        <is>
          <t>Vestidos</t>
        </is>
      </c>
      <c r="L225" s="156" t="inlineStr">
        <is>
          <t>Mujer</t>
        </is>
      </c>
      <c r="M225" s="156" t="n"/>
      <c r="N225" s="156" t="n"/>
      <c r="O225" s="156" t="n"/>
      <c r="P225" s="156" t="n"/>
      <c r="Q225" s="156" t="n"/>
      <c r="R225" s="156" t="n"/>
      <c r="S225" s="156" t="n"/>
      <c r="T225" s="156" t="n"/>
      <c r="U225" s="156" t="n"/>
      <c r="V225" s="156" t="inlineStr">
        <is>
          <t>PZS</t>
        </is>
      </c>
      <c r="W225" s="51" t="inlineStr">
        <is>
          <t>53102002</t>
        </is>
      </c>
      <c r="X225" s="156" t="n"/>
      <c r="Y225" s="54" t="n">
        <v>53.48</v>
      </c>
      <c r="Z225" s="54" t="n">
        <v>1359</v>
      </c>
      <c r="AA225" s="55">
        <f>IF(AND(A225="", B225="", E225=""), "", IF(AB225="", "Válido", IF((LEN(AB225)-LEN(SUBSTITUTE(AB225,"; ","")))/2+1&gt;(LEN(AB225)-LEN(SUBSTITUTE(AB225,"[Aviso]","")))/7, "Con Incidencias", "Válido")))</f>
        <v/>
      </c>
      <c r="AB225" s="56">
        <f>IF(AND(A225="", B225="", E225=""), "", TEXTJOIN("; ", TRUE, IF(OR(TRIM(A225&amp;"")="", ISNUMBER(SEARCH("FALTA", A225))), "UPC faltante/inválido", ""), IF(AND(A225&lt;&gt;"", IFERROR(_xlfn.XMATCH(A225,$A$2:$A$285,0,1)&lt;&gt;_xlfn.XMATCH(A225,$A$2:$A$285,0,-1),FALSE)), "Código de barras duplicado", ""), IF(AND(E225&lt;&gt;"", COUNTIF($E$2:$E$285, E225)&gt;1), "SKU duplicado", ""), IF(OR(J225="", J225=""), "[Aviso] División no capturada ()", IF(ISNA(MATCH(J225, Criterios!$A$123:$A$126, 0)), "División no válida", "")), IF(OR(K225="", K225=""), "[Aviso] Categoría no capturada ()", IF(ISNA(MATCH(K225, Criterios!$A$81:$A$120, 0)), "Categoría no válida", IF(AND(J225&lt;&gt;"", J225&lt;&gt;"", J225&lt;&gt;VLOOKUP(K225, Criterios!$A$81:$B$120, 2, FALSE)), "División no coincide con Categoría", ""))), IF(OR(L225="", L225=""), "[Aviso] Género no capturado ()", IF(ISNA(MATCH(L225, Criterios!$B$123:$B$127, 0)), "Género no válido", "")), IF(OR(N225="", N225=""), "[Aviso] Temporada no capturada ()", IF(ISNA(MATCH(N225, Criterios!$C$123:$C$128, 0)), "Temporada no válida", "")), IF(OR(O225="", O225=""), "[Aviso] Ciclo de vida no capturado ()", IF(ISNA(MATCH(O225, Criterios!$D$123:$D$124, 0)), "Ciclo de vida no válido", ""))))</f>
        <v/>
      </c>
      <c r="AC225" s="56" t="n"/>
      <c r="AD225" s="51" t="n"/>
      <c r="AE225" s="156" t="n"/>
      <c r="AF225" s="51" t="n"/>
      <c r="AG225" s="156" t="inlineStr">
        <is>
          <t>Nuevo – Odoo Universal Unique Brands 01/10/2026</t>
        </is>
      </c>
      <c r="AH225" s="156" t="inlineStr">
        <is>
          <t>01/10/2026: alta desde Odoo Universal Unique Brands (no existía en Productos por código de barras ni SKU) | Talla tomada del sufijo del SKU (L); Categoría: Palabra clave "Vestido" en tipo/categoría de la fuente (Ropa / Vestidos); Género: prenda exclusivamente de dama (vestido/falda/blusa) | Homologación G1522 06/10/2026: WB N.º de estilo: «» → «03-057-0040-6004» (Completado por regla) · Validador Shopify: WB: precio con IVA no termina en 9</t>
        </is>
      </c>
      <c r="AI225" s="156" t="n"/>
      <c r="AJ225" s="156" t="n"/>
      <c r="AK225" s="155" t="inlineStr">
        <is>
          <t>Odoo: producto 21015 / plantilla 27018</t>
        </is>
      </c>
      <c r="AL225" s="58" t="n"/>
      <c r="AM225" s="58" t="n"/>
      <c r="AN225" s="155" t="inlineStr">
        <is>
          <t>Odoo Universal Unique Brands</t>
        </is>
      </c>
      <c r="AO225" s="59" t="n"/>
      <c r="AP225" s="59" t="n"/>
      <c r="AQ225" s="59" t="n">
        <v>18</v>
      </c>
      <c r="AR225" s="155" t="inlineStr">
        <is>
          <t>Odoo Universal Unique Brands › Bodega 25 › Bodega 25/General: 18</t>
        </is>
      </c>
    </row>
    <row r="226">
      <c r="A226" s="50" t="inlineStr">
        <is>
          <t>199168056834</t>
        </is>
      </c>
      <c r="B226" s="51" t="n"/>
      <c r="C226" s="156" t="inlineStr">
        <is>
          <t>Roper</t>
        </is>
      </c>
      <c r="D226" s="156" t="inlineStr">
        <is>
          <t>03-057-0040-6004</t>
        </is>
      </c>
      <c r="E226" s="156" t="inlineStr">
        <is>
          <t>03-057-0040-6004 BL-M</t>
        </is>
      </c>
      <c r="F226" s="156" t="inlineStr">
        <is>
          <t>M</t>
        </is>
      </c>
      <c r="G226" s="156" t="inlineStr">
        <is>
          <t>M</t>
        </is>
      </c>
      <c r="H226" s="156" t="inlineStr">
        <is>
          <t>Roper</t>
        </is>
      </c>
      <c r="I226" s="156" t="inlineStr">
        <is>
          <t>ROPER Dress Poly Spandex Retro</t>
        </is>
      </c>
      <c r="J226" s="156" t="inlineStr">
        <is>
          <t>Ropa</t>
        </is>
      </c>
      <c r="K226" s="156" t="inlineStr">
        <is>
          <t>Vestidos</t>
        </is>
      </c>
      <c r="L226" s="156" t="inlineStr">
        <is>
          <t>Mujer</t>
        </is>
      </c>
      <c r="M226" s="156" t="n"/>
      <c r="N226" s="156" t="n"/>
      <c r="O226" s="156" t="n"/>
      <c r="P226" s="156" t="n"/>
      <c r="Q226" s="156" t="n"/>
      <c r="R226" s="156" t="n"/>
      <c r="S226" s="156" t="n"/>
      <c r="T226" s="156" t="n"/>
      <c r="U226" s="156" t="n"/>
      <c r="V226" s="156" t="inlineStr">
        <is>
          <t>PZS</t>
        </is>
      </c>
      <c r="W226" s="51" t="inlineStr">
        <is>
          <t>53102002</t>
        </is>
      </c>
      <c r="X226" s="156" t="n"/>
      <c r="Y226" s="54" t="n">
        <v>53.48</v>
      </c>
      <c r="Z226" s="54" t="n">
        <v>1359</v>
      </c>
      <c r="AA226" s="55">
        <f>IF(AND(A226="", B226="", E226=""), "", IF(AB226="", "Válido", IF((LEN(AB226)-LEN(SUBSTITUTE(AB226,"; ","")))/2+1&gt;(LEN(AB226)-LEN(SUBSTITUTE(AB226,"[Aviso]","")))/7, "Con Incidencias", "Válido")))</f>
        <v/>
      </c>
      <c r="AB226" s="56">
        <f>IF(AND(A226="", B226="", E226=""), "", TEXTJOIN("; ", TRUE, IF(OR(TRIM(A226&amp;"")="", ISNUMBER(SEARCH("FALTA", A226))), "UPC faltante/inválido", ""), IF(AND(A226&lt;&gt;"", IFERROR(_xlfn.XMATCH(A226,$A$2:$A$285,0,1)&lt;&gt;_xlfn.XMATCH(A226,$A$2:$A$285,0,-1),FALSE)), "Código de barras duplicado", ""), IF(AND(E226&lt;&gt;"", COUNTIF($E$2:$E$285, E226)&gt;1), "SKU duplicado", ""), IF(OR(J226="", J226=""), "[Aviso] División no capturada ()", IF(ISNA(MATCH(J226, Criterios!$A$123:$A$126, 0)), "División no válida", "")), IF(OR(K226="", K226=""), "[Aviso] Categoría no capturada ()", IF(ISNA(MATCH(K226, Criterios!$A$81:$A$120, 0)), "Categoría no válida", IF(AND(J226&lt;&gt;"", J226&lt;&gt;"", J226&lt;&gt;VLOOKUP(K226, Criterios!$A$81:$B$120, 2, FALSE)), "División no coincide con Categoría", ""))), IF(OR(L226="", L226=""), "[Aviso] Género no capturado ()", IF(ISNA(MATCH(L226, Criterios!$B$123:$B$127, 0)), "Género no válido", "")), IF(OR(N226="", N226=""), "[Aviso] Temporada no capturada ()", IF(ISNA(MATCH(N226, Criterios!$C$123:$C$128, 0)), "Temporada no válida", "")), IF(OR(O226="", O226=""), "[Aviso] Ciclo de vida no capturado ()", IF(ISNA(MATCH(O226, Criterios!$D$123:$D$124, 0)), "Ciclo de vida no válido", ""))))</f>
        <v/>
      </c>
      <c r="AC226" s="56" t="n"/>
      <c r="AD226" s="51" t="n"/>
      <c r="AE226" s="156" t="n"/>
      <c r="AF226" s="51" t="n"/>
      <c r="AG226" s="156" t="inlineStr">
        <is>
          <t>Nuevo – Odoo Universal Unique Brands 01/10/2026</t>
        </is>
      </c>
      <c r="AH226" s="156" t="inlineStr">
        <is>
          <t>01/10/2026: alta desde Odoo Universal Unique Brands (no existía en Productos por código de barras ni SKU) | Talla tomada del sufijo del SKU (M); Categoría: Palabra clave "Vestido" en tipo/categoría de la fuente (Ropa / Vestidos); Género: prenda exclusivamente de dama (vestido/falda/blusa) | Homologación G1522 06/10/2026: WB N.º de estilo: «» → «03-057-0040-6004» (Completado por regla) · Validador Shopify: WB: precio con IVA no termina en 9</t>
        </is>
      </c>
      <c r="AI226" s="156" t="n"/>
      <c r="AJ226" s="156" t="n"/>
      <c r="AK226" s="155" t="inlineStr">
        <is>
          <t>Odoo: producto 21014 / plantilla 27017</t>
        </is>
      </c>
      <c r="AL226" s="58" t="n"/>
      <c r="AM226" s="58" t="n"/>
      <c r="AN226" s="155" t="inlineStr">
        <is>
          <t>Odoo Universal Unique Brands</t>
        </is>
      </c>
      <c r="AO226" s="59" t="n"/>
      <c r="AP226" s="59" t="n"/>
      <c r="AQ226" s="59" t="n">
        <v>18</v>
      </c>
      <c r="AR226" s="155" t="inlineStr">
        <is>
          <t>Odoo Universal Unique Brands › Bodega 25 › Bodega 25/General: 18</t>
        </is>
      </c>
    </row>
    <row r="227">
      <c r="A227" s="50" t="inlineStr">
        <is>
          <t>199168056841</t>
        </is>
      </c>
      <c r="B227" s="51" t="n"/>
      <c r="C227" s="156" t="inlineStr">
        <is>
          <t>Roper</t>
        </is>
      </c>
      <c r="D227" s="156" t="inlineStr">
        <is>
          <t>03-057-0040-6004</t>
        </is>
      </c>
      <c r="E227" s="156" t="inlineStr">
        <is>
          <t>03-057-0040-6004 BL-S</t>
        </is>
      </c>
      <c r="F227" s="156" t="inlineStr">
        <is>
          <t>S</t>
        </is>
      </c>
      <c r="G227" s="156" t="inlineStr">
        <is>
          <t>S</t>
        </is>
      </c>
      <c r="H227" s="156" t="inlineStr">
        <is>
          <t>Roper</t>
        </is>
      </c>
      <c r="I227" s="156" t="inlineStr">
        <is>
          <t>ROPER Dress Poly Spandex Retro</t>
        </is>
      </c>
      <c r="J227" s="156" t="inlineStr">
        <is>
          <t>Ropa</t>
        </is>
      </c>
      <c r="K227" s="156" t="inlineStr">
        <is>
          <t>Vestidos</t>
        </is>
      </c>
      <c r="L227" s="156" t="inlineStr">
        <is>
          <t>Mujer</t>
        </is>
      </c>
      <c r="M227" s="156" t="n"/>
      <c r="N227" s="156" t="n"/>
      <c r="O227" s="156" t="n"/>
      <c r="P227" s="156" t="n"/>
      <c r="Q227" s="156" t="n"/>
      <c r="R227" s="156" t="n"/>
      <c r="S227" s="156" t="n"/>
      <c r="T227" s="156" t="n"/>
      <c r="U227" s="156" t="n"/>
      <c r="V227" s="156" t="inlineStr">
        <is>
          <t>PZS</t>
        </is>
      </c>
      <c r="W227" s="51" t="inlineStr">
        <is>
          <t>53102002</t>
        </is>
      </c>
      <c r="X227" s="156" t="n"/>
      <c r="Y227" s="54" t="n">
        <v>53.48</v>
      </c>
      <c r="Z227" s="54" t="n">
        <v>1359</v>
      </c>
      <c r="AA227" s="55">
        <f>IF(AND(A227="", B227="", E227=""), "", IF(AB227="", "Válido", IF((LEN(AB227)-LEN(SUBSTITUTE(AB227,"; ","")))/2+1&gt;(LEN(AB227)-LEN(SUBSTITUTE(AB227,"[Aviso]","")))/7, "Con Incidencias", "Válido")))</f>
        <v/>
      </c>
      <c r="AB227" s="56">
        <f>IF(AND(A227="", B227="", E227=""), "", TEXTJOIN("; ", TRUE, IF(OR(TRIM(A227&amp;"")="", ISNUMBER(SEARCH("FALTA", A227))), "UPC faltante/inválido", ""), IF(AND(A227&lt;&gt;"", IFERROR(_xlfn.XMATCH(A227,$A$2:$A$285,0,1)&lt;&gt;_xlfn.XMATCH(A227,$A$2:$A$285,0,-1),FALSE)), "Código de barras duplicado", ""), IF(AND(E227&lt;&gt;"", COUNTIF($E$2:$E$285, E227)&gt;1), "SKU duplicado", ""), IF(OR(J227="", J227=""), "[Aviso] División no capturada ()", IF(ISNA(MATCH(J227, Criterios!$A$123:$A$126, 0)), "División no válida", "")), IF(OR(K227="", K227=""), "[Aviso] Categoría no capturada ()", IF(ISNA(MATCH(K227, Criterios!$A$81:$A$120, 0)), "Categoría no válida", IF(AND(J227&lt;&gt;"", J227&lt;&gt;"", J227&lt;&gt;VLOOKUP(K227, Criterios!$A$81:$B$120, 2, FALSE)), "División no coincide con Categoría", ""))), IF(OR(L227="", L227=""), "[Aviso] Género no capturado ()", IF(ISNA(MATCH(L227, Criterios!$B$123:$B$127, 0)), "Género no válido", "")), IF(OR(N227="", N227=""), "[Aviso] Temporada no capturada ()", IF(ISNA(MATCH(N227, Criterios!$C$123:$C$128, 0)), "Temporada no válida", "")), IF(OR(O227="", O227=""), "[Aviso] Ciclo de vida no capturado ()", IF(ISNA(MATCH(O227, Criterios!$D$123:$D$124, 0)), "Ciclo de vida no válido", ""))))</f>
        <v/>
      </c>
      <c r="AC227" s="56" t="n"/>
      <c r="AD227" s="51" t="n"/>
      <c r="AE227" s="156" t="n"/>
      <c r="AF227" s="51" t="n"/>
      <c r="AG227" s="156" t="inlineStr">
        <is>
          <t>Nuevo – Odoo Universal Unique Brands 01/10/2026</t>
        </is>
      </c>
      <c r="AH227" s="156" t="inlineStr">
        <is>
          <t>01/10/2026: alta desde Odoo Universal Unique Brands (no existía en Productos por código de barras ni SKU) | Talla tomada del sufijo del SKU (S); Categoría: Palabra clave "Vestido" en tipo/categoría de la fuente (Ropa / Vestidos); Género: prenda exclusivamente de dama (vestido/falda/blusa) | Homologación G1522 06/10/2026: WB N.º de estilo: «» → «03-057-0040-6004» (Completado por regla) · Validador Shopify: WB: precio con IVA no termina en 9</t>
        </is>
      </c>
      <c r="AI227" s="156" t="n"/>
      <c r="AJ227" s="156" t="n"/>
      <c r="AK227" s="155" t="inlineStr">
        <is>
          <t>Odoo: producto 21013 / plantilla 27016</t>
        </is>
      </c>
      <c r="AL227" s="58" t="n"/>
      <c r="AM227" s="58" t="n"/>
      <c r="AN227" s="155" t="inlineStr">
        <is>
          <t>Odoo Universal Unique Brands</t>
        </is>
      </c>
      <c r="AO227" s="59" t="n"/>
      <c r="AP227" s="59" t="n"/>
      <c r="AQ227" s="59" t="n">
        <v>14</v>
      </c>
      <c r="AR227" s="155" t="inlineStr">
        <is>
          <t>Odoo Universal Unique Brands › Bodega 25 › Bodega 25/General: 14</t>
        </is>
      </c>
    </row>
    <row r="228">
      <c r="A228" s="50" t="inlineStr">
        <is>
          <t>199168056858</t>
        </is>
      </c>
      <c r="B228" s="51" t="n"/>
      <c r="C228" s="156" t="inlineStr">
        <is>
          <t>Roper</t>
        </is>
      </c>
      <c r="D228" s="156" t="inlineStr">
        <is>
          <t>03-057-0040-6004</t>
        </is>
      </c>
      <c r="E228" s="156" t="inlineStr">
        <is>
          <t>03-057-0040-6004 BL-XL</t>
        </is>
      </c>
      <c r="F228" s="156" t="inlineStr">
        <is>
          <t>XL</t>
        </is>
      </c>
      <c r="G228" s="156" t="inlineStr">
        <is>
          <t>XL</t>
        </is>
      </c>
      <c r="H228" s="156" t="inlineStr">
        <is>
          <t>Roper</t>
        </is>
      </c>
      <c r="I228" s="156" t="inlineStr">
        <is>
          <t>ROPER Dress Poly Spandex Retro</t>
        </is>
      </c>
      <c r="J228" s="156" t="inlineStr">
        <is>
          <t>Ropa</t>
        </is>
      </c>
      <c r="K228" s="156" t="inlineStr">
        <is>
          <t>Vestidos</t>
        </is>
      </c>
      <c r="L228" s="156" t="inlineStr">
        <is>
          <t>Mujer</t>
        </is>
      </c>
      <c r="M228" s="156" t="n"/>
      <c r="N228" s="156" t="n"/>
      <c r="O228" s="156" t="n"/>
      <c r="P228" s="156" t="n"/>
      <c r="Q228" s="156" t="n"/>
      <c r="R228" s="156" t="n"/>
      <c r="S228" s="156" t="n"/>
      <c r="T228" s="156" t="n"/>
      <c r="U228" s="156" t="n"/>
      <c r="V228" s="156" t="inlineStr">
        <is>
          <t>PZS</t>
        </is>
      </c>
      <c r="W228" s="51" t="inlineStr">
        <is>
          <t>53102002</t>
        </is>
      </c>
      <c r="X228" s="156" t="n"/>
      <c r="Y228" s="54" t="n">
        <v>53.48</v>
      </c>
      <c r="Z228" s="54" t="n">
        <v>1359</v>
      </c>
      <c r="AA228" s="55">
        <f>IF(AND(A228="", B228="", E228=""), "", IF(AB228="", "Válido", IF((LEN(AB228)-LEN(SUBSTITUTE(AB228,"; ","")))/2+1&gt;(LEN(AB228)-LEN(SUBSTITUTE(AB228,"[Aviso]","")))/7, "Con Incidencias", "Válido")))</f>
        <v/>
      </c>
      <c r="AB228" s="56">
        <f>IF(AND(A228="", B228="", E228=""), "", TEXTJOIN("; ", TRUE, IF(OR(TRIM(A228&amp;"")="", ISNUMBER(SEARCH("FALTA", A228))), "UPC faltante/inválido", ""), IF(AND(A228&lt;&gt;"", IFERROR(_xlfn.XMATCH(A228,$A$2:$A$285,0,1)&lt;&gt;_xlfn.XMATCH(A228,$A$2:$A$285,0,-1),FALSE)), "Código de barras duplicado", ""), IF(AND(E228&lt;&gt;"", COUNTIF($E$2:$E$285, E228)&gt;1), "SKU duplicado", ""), IF(OR(J228="", J228=""), "[Aviso] División no capturada ()", IF(ISNA(MATCH(J228, Criterios!$A$123:$A$126, 0)), "División no válida", "")), IF(OR(K228="", K228=""), "[Aviso] Categoría no capturada ()", IF(ISNA(MATCH(K228, Criterios!$A$81:$A$120, 0)), "Categoría no válida", IF(AND(J228&lt;&gt;"", J228&lt;&gt;"", J228&lt;&gt;VLOOKUP(K228, Criterios!$A$81:$B$120, 2, FALSE)), "División no coincide con Categoría", ""))), IF(OR(L228="", L228=""), "[Aviso] Género no capturado ()", IF(ISNA(MATCH(L228, Criterios!$B$123:$B$127, 0)), "Género no válido", "")), IF(OR(N228="", N228=""), "[Aviso] Temporada no capturada ()", IF(ISNA(MATCH(N228, Criterios!$C$123:$C$128, 0)), "Temporada no válida", "")), IF(OR(O228="", O228=""), "[Aviso] Ciclo de vida no capturado ()", IF(ISNA(MATCH(O228, Criterios!$D$123:$D$124, 0)), "Ciclo de vida no válido", ""))))</f>
        <v/>
      </c>
      <c r="AC228" s="56" t="n"/>
      <c r="AD228" s="51" t="n"/>
      <c r="AE228" s="156" t="n"/>
      <c r="AF228" s="51" t="n"/>
      <c r="AG228" s="156" t="inlineStr">
        <is>
          <t>Nuevo – Odoo Universal Unique Brands 01/10/2026</t>
        </is>
      </c>
      <c r="AH228" s="156" t="inlineStr">
        <is>
          <t>01/10/2026: alta desde Odoo Universal Unique Brands (no existía en Productos por código de barras ni SKU) | Talla tomada del sufijo del SKU (XL); Categoría: Palabra clave "Vestido" en tipo/categoría de la fuente (Ropa / Vestidos); Género: prenda exclusivamente de dama (vestido/falda/blusa) | Homologación G1522 06/10/2026: WB N.º de estilo: «» → «03-057-0040-6004» (Completado por regla) · Validador Shopify: WB: precio con IVA no termina en 9</t>
        </is>
      </c>
      <c r="AI228" s="156" t="n"/>
      <c r="AJ228" s="156" t="n"/>
      <c r="AK228" s="155" t="inlineStr">
        <is>
          <t>Odoo: producto 21016 / plantilla 27019</t>
        </is>
      </c>
      <c r="AL228" s="58" t="n"/>
      <c r="AM228" s="58" t="n"/>
      <c r="AN228" s="155" t="inlineStr">
        <is>
          <t>Odoo Universal Unique Brands</t>
        </is>
      </c>
      <c r="AO228" s="59" t="n"/>
      <c r="AP228" s="59" t="n"/>
      <c r="AQ228" s="59" t="n">
        <v>16</v>
      </c>
      <c r="AR228" s="155" t="inlineStr">
        <is>
          <t>Odoo Universal Unique Brands › Bodega 25 › Bodega 25/General: 16</t>
        </is>
      </c>
    </row>
    <row r="229">
      <c r="A229" s="50" t="inlineStr">
        <is>
          <t>199168056872</t>
        </is>
      </c>
      <c r="B229" s="51" t="n"/>
      <c r="C229" s="156" t="inlineStr">
        <is>
          <t>Roper</t>
        </is>
      </c>
      <c r="D229" s="156" t="inlineStr">
        <is>
          <t>03-057-0040-6007</t>
        </is>
      </c>
      <c r="E229" s="156" t="inlineStr">
        <is>
          <t>03-057-0040-6007 RE-L</t>
        </is>
      </c>
      <c r="F229" s="156" t="inlineStr">
        <is>
          <t>L</t>
        </is>
      </c>
      <c r="G229" s="156" t="inlineStr">
        <is>
          <t>L</t>
        </is>
      </c>
      <c r="H229" s="156" t="inlineStr">
        <is>
          <t>Roper</t>
        </is>
      </c>
      <c r="I229" s="156" t="inlineStr">
        <is>
          <t>ROPER Dress Poly Spandex Retro</t>
        </is>
      </c>
      <c r="J229" s="156" t="inlineStr">
        <is>
          <t>Ropa</t>
        </is>
      </c>
      <c r="K229" s="156" t="inlineStr">
        <is>
          <t>Vestidos</t>
        </is>
      </c>
      <c r="L229" s="156" t="inlineStr">
        <is>
          <t>Mujer</t>
        </is>
      </c>
      <c r="M229" s="156" t="n"/>
      <c r="N229" s="156" t="n"/>
      <c r="O229" s="156" t="n"/>
      <c r="P229" s="156" t="n"/>
      <c r="Q229" s="156" t="n"/>
      <c r="R229" s="156" t="n"/>
      <c r="S229" s="156" t="n"/>
      <c r="T229" s="156" t="n"/>
      <c r="U229" s="156" t="n"/>
      <c r="V229" s="156" t="inlineStr">
        <is>
          <t>PZS</t>
        </is>
      </c>
      <c r="W229" s="51" t="inlineStr">
        <is>
          <t>53102002</t>
        </is>
      </c>
      <c r="X229" s="156" t="n"/>
      <c r="Y229" s="54" t="n">
        <v>53.48</v>
      </c>
      <c r="Z229" s="54" t="n">
        <v>1349</v>
      </c>
      <c r="AA229" s="55">
        <f>IF(AND(A229="", B229="", E229=""), "", IF(AB229="", "Válido", IF((LEN(AB229)-LEN(SUBSTITUTE(AB229,"; ","")))/2+1&gt;(LEN(AB229)-LEN(SUBSTITUTE(AB229,"[Aviso]","")))/7, "Con Incidencias", "Válido")))</f>
        <v/>
      </c>
      <c r="AB229" s="56">
        <f>IF(AND(A229="", B229="", E229=""), "", TEXTJOIN("; ", TRUE, IF(OR(TRIM(A229&amp;"")="", ISNUMBER(SEARCH("FALTA", A229))), "UPC faltante/inválido", ""), IF(AND(A229&lt;&gt;"", IFERROR(_xlfn.XMATCH(A229,$A$2:$A$285,0,1)&lt;&gt;_xlfn.XMATCH(A229,$A$2:$A$285,0,-1),FALSE)), "Código de barras duplicado", ""), IF(AND(E229&lt;&gt;"", COUNTIF($E$2:$E$285, E229)&gt;1), "SKU duplicado", ""), IF(OR(J229="", J229=""), "[Aviso] División no capturada ()", IF(ISNA(MATCH(J229, Criterios!$A$123:$A$126, 0)), "División no válida", "")), IF(OR(K229="", K229=""), "[Aviso] Categoría no capturada ()", IF(ISNA(MATCH(K229, Criterios!$A$81:$A$120, 0)), "Categoría no válida", IF(AND(J229&lt;&gt;"", J229&lt;&gt;"", J229&lt;&gt;VLOOKUP(K229, Criterios!$A$81:$B$120, 2, FALSE)), "División no coincide con Categoría", ""))), IF(OR(L229="", L229=""), "[Aviso] Género no capturado ()", IF(ISNA(MATCH(L229, Criterios!$B$123:$B$127, 0)), "Género no válido", "")), IF(OR(N229="", N229=""), "[Aviso] Temporada no capturada ()", IF(ISNA(MATCH(N229, Criterios!$C$123:$C$128, 0)), "Temporada no válida", "")), IF(OR(O229="", O229=""), "[Aviso] Ciclo de vida no capturado ()", IF(ISNA(MATCH(O229, Criterios!$D$123:$D$124, 0)), "Ciclo de vida no válido", ""))))</f>
        <v/>
      </c>
      <c r="AC229" s="56" t="n"/>
      <c r="AD229" s="51" t="n"/>
      <c r="AE229" s="156" t="n"/>
      <c r="AF229" s="51" t="n"/>
      <c r="AG229" s="156" t="inlineStr">
        <is>
          <t>Nuevo – Odoo Universal Unique Brands 01/10/2026</t>
        </is>
      </c>
      <c r="AH229" s="156" t="inlineStr">
        <is>
          <t>01/10/2026: alta desde Odoo Universal Unique Brands (no existía en Productos por código de barras ni SKU) | Talla tomada del sufijo del SKU (L); Categoría: Palabra clave "Vestido" en tipo/categoría de la fuente (Ropa / Vestidos); Género: prenda exclusivamente de dama (vestido/falda/blusa) | Homologación G1522 06/10/2026: WB N.º de estilo: «» → «03-057-0040-6007» (Completado por regla) · Validador Shopify: WB: precio con IVA no termina en 9</t>
        </is>
      </c>
      <c r="AI229" s="156" t="n"/>
      <c r="AJ229" s="156" t="n"/>
      <c r="AK229" s="155" t="inlineStr">
        <is>
          <t>Odoo: producto 20959 / plantilla 26962</t>
        </is>
      </c>
      <c r="AL229" s="58" t="n"/>
      <c r="AM229" s="58" t="n"/>
      <c r="AN229" s="155" t="inlineStr">
        <is>
          <t>Odoo Universal Unique Brands</t>
        </is>
      </c>
      <c r="AO229" s="59" t="n"/>
      <c r="AP229" s="59" t="n"/>
      <c r="AQ229" s="59" t="n">
        <v>11</v>
      </c>
      <c r="AR229" s="155" t="inlineStr">
        <is>
          <t>Odoo Universal Unique Brands › Bodega 25 › Bodega 25/General: 11</t>
        </is>
      </c>
    </row>
    <row r="230">
      <c r="A230" s="50" t="inlineStr">
        <is>
          <t>199168056889</t>
        </is>
      </c>
      <c r="B230" s="51" t="n"/>
      <c r="C230" s="156" t="inlineStr">
        <is>
          <t>Roper</t>
        </is>
      </c>
      <c r="D230" s="156" t="inlineStr">
        <is>
          <t>03-057-0040-6007</t>
        </is>
      </c>
      <c r="E230" s="156" t="inlineStr">
        <is>
          <t>03-057-0040-6007 RE-M</t>
        </is>
      </c>
      <c r="F230" s="156" t="inlineStr">
        <is>
          <t>M</t>
        </is>
      </c>
      <c r="G230" s="156" t="inlineStr">
        <is>
          <t>M</t>
        </is>
      </c>
      <c r="H230" s="156" t="inlineStr">
        <is>
          <t>Roper</t>
        </is>
      </c>
      <c r="I230" s="156" t="inlineStr">
        <is>
          <t>ROPER Dress Poly Spandex Retro</t>
        </is>
      </c>
      <c r="J230" s="156" t="inlineStr">
        <is>
          <t>Ropa</t>
        </is>
      </c>
      <c r="K230" s="156" t="inlineStr">
        <is>
          <t>Vestidos</t>
        </is>
      </c>
      <c r="L230" s="156" t="inlineStr">
        <is>
          <t>Mujer</t>
        </is>
      </c>
      <c r="M230" s="156" t="n"/>
      <c r="N230" s="156" t="n"/>
      <c r="O230" s="156" t="n"/>
      <c r="P230" s="156" t="n"/>
      <c r="Q230" s="156" t="n"/>
      <c r="R230" s="156" t="n"/>
      <c r="S230" s="156" t="n"/>
      <c r="T230" s="156" t="n"/>
      <c r="U230" s="156" t="n"/>
      <c r="V230" s="156" t="inlineStr">
        <is>
          <t>PZS</t>
        </is>
      </c>
      <c r="W230" s="51" t="inlineStr">
        <is>
          <t>53102002</t>
        </is>
      </c>
      <c r="X230" s="156" t="n"/>
      <c r="Y230" s="54" t="n">
        <v>53.48</v>
      </c>
      <c r="Z230" s="54" t="n">
        <v>1349</v>
      </c>
      <c r="AA230" s="55">
        <f>IF(AND(A230="", B230="", E230=""), "", IF(AB230="", "Válido", IF((LEN(AB230)-LEN(SUBSTITUTE(AB230,"; ","")))/2+1&gt;(LEN(AB230)-LEN(SUBSTITUTE(AB230,"[Aviso]","")))/7, "Con Incidencias", "Válido")))</f>
        <v/>
      </c>
      <c r="AB230" s="56">
        <f>IF(AND(A230="", B230="", E230=""), "", TEXTJOIN("; ", TRUE, IF(OR(TRIM(A230&amp;"")="", ISNUMBER(SEARCH("FALTA", A230))), "UPC faltante/inválido", ""), IF(AND(A230&lt;&gt;"", IFERROR(_xlfn.XMATCH(A230,$A$2:$A$285,0,1)&lt;&gt;_xlfn.XMATCH(A230,$A$2:$A$285,0,-1),FALSE)), "Código de barras duplicado", ""), IF(AND(E230&lt;&gt;"", COUNTIF($E$2:$E$285, E230)&gt;1), "SKU duplicado", ""), IF(OR(J230="", J230=""), "[Aviso] División no capturada ()", IF(ISNA(MATCH(J230, Criterios!$A$123:$A$126, 0)), "División no válida", "")), IF(OR(K230="", K230=""), "[Aviso] Categoría no capturada ()", IF(ISNA(MATCH(K230, Criterios!$A$81:$A$120, 0)), "Categoría no válida", IF(AND(J230&lt;&gt;"", J230&lt;&gt;"", J230&lt;&gt;VLOOKUP(K230, Criterios!$A$81:$B$120, 2, FALSE)), "División no coincide con Categoría", ""))), IF(OR(L230="", L230=""), "[Aviso] Género no capturado ()", IF(ISNA(MATCH(L230, Criterios!$B$123:$B$127, 0)), "Género no válido", "")), IF(OR(N230="", N230=""), "[Aviso] Temporada no capturada ()", IF(ISNA(MATCH(N230, Criterios!$C$123:$C$128, 0)), "Temporada no válida", "")), IF(OR(O230="", O230=""), "[Aviso] Ciclo de vida no capturado ()", IF(ISNA(MATCH(O230, Criterios!$D$123:$D$124, 0)), "Ciclo de vida no válido", ""))))</f>
        <v/>
      </c>
      <c r="AC230" s="56" t="n"/>
      <c r="AD230" s="51" t="n"/>
      <c r="AE230" s="156" t="n"/>
      <c r="AF230" s="51" t="n"/>
      <c r="AG230" s="156" t="inlineStr">
        <is>
          <t>Nuevo – Odoo Universal Unique Brands 01/10/2026</t>
        </is>
      </c>
      <c r="AH230" s="156" t="inlineStr">
        <is>
          <t>01/10/2026: alta desde Odoo Universal Unique Brands (no existía en Productos por código de barras ni SKU) | Talla tomada del sufijo del SKU (M); Categoría: Palabra clave "Vestido" en tipo/categoría de la fuente (Ropa / Vestidos); Género: prenda exclusivamente de dama (vestido/falda/blusa) | Homologación G1522 06/10/2026: WB N.º de estilo: «» → «03-057-0040-6007» (Completado por regla) · Validador Shopify: WB: precio con IVA no termina en 9</t>
        </is>
      </c>
      <c r="AI230" s="156" t="n"/>
      <c r="AJ230" s="156" t="n"/>
      <c r="AK230" s="155" t="inlineStr">
        <is>
          <t>Odoo: producto 20958 / plantilla 26961</t>
        </is>
      </c>
      <c r="AL230" s="58" t="n"/>
      <c r="AM230" s="58" t="n"/>
      <c r="AN230" s="155" t="inlineStr">
        <is>
          <t>Odoo Universal Unique Brands</t>
        </is>
      </c>
      <c r="AO230" s="59" t="n"/>
      <c r="AP230" s="59" t="n"/>
      <c r="AQ230" s="59" t="n">
        <v>11</v>
      </c>
      <c r="AR230" s="155" t="inlineStr">
        <is>
          <t>Odoo Universal Unique Brands › Bodega 25 › Bodega 25/General: 11</t>
        </is>
      </c>
    </row>
    <row r="231">
      <c r="A231" s="50" t="inlineStr">
        <is>
          <t>199168056896</t>
        </is>
      </c>
      <c r="B231" s="51" t="n"/>
      <c r="C231" s="156" t="inlineStr">
        <is>
          <t>Roper</t>
        </is>
      </c>
      <c r="D231" s="156" t="inlineStr">
        <is>
          <t>03-057-0040-6007</t>
        </is>
      </c>
      <c r="E231" s="156" t="inlineStr">
        <is>
          <t>03-057-0040-6007 RE-S</t>
        </is>
      </c>
      <c r="F231" s="156" t="inlineStr">
        <is>
          <t>S</t>
        </is>
      </c>
      <c r="G231" s="156" t="inlineStr">
        <is>
          <t>S</t>
        </is>
      </c>
      <c r="H231" s="156" t="inlineStr">
        <is>
          <t>Roper</t>
        </is>
      </c>
      <c r="I231" s="156" t="inlineStr">
        <is>
          <t>ROPER Dress Poly Spandex Retro</t>
        </is>
      </c>
      <c r="J231" s="156" t="inlineStr">
        <is>
          <t>Ropa</t>
        </is>
      </c>
      <c r="K231" s="156" t="inlineStr">
        <is>
          <t>Vestidos</t>
        </is>
      </c>
      <c r="L231" s="156" t="inlineStr">
        <is>
          <t>Mujer</t>
        </is>
      </c>
      <c r="M231" s="156" t="n"/>
      <c r="N231" s="156" t="n"/>
      <c r="O231" s="156" t="n"/>
      <c r="P231" s="156" t="n"/>
      <c r="Q231" s="156" t="n"/>
      <c r="R231" s="156" t="n"/>
      <c r="S231" s="156" t="n"/>
      <c r="T231" s="156" t="n"/>
      <c r="U231" s="156" t="n"/>
      <c r="V231" s="156" t="inlineStr">
        <is>
          <t>PZS</t>
        </is>
      </c>
      <c r="W231" s="51" t="inlineStr">
        <is>
          <t>53102002</t>
        </is>
      </c>
      <c r="X231" s="156" t="n"/>
      <c r="Y231" s="54" t="n">
        <v>53.48</v>
      </c>
      <c r="Z231" s="54" t="n">
        <v>1349</v>
      </c>
      <c r="AA231" s="55">
        <f>IF(AND(A231="", B231="", E231=""), "", IF(AB231="", "Válido", IF((LEN(AB231)-LEN(SUBSTITUTE(AB231,"; ","")))/2+1&gt;(LEN(AB231)-LEN(SUBSTITUTE(AB231,"[Aviso]","")))/7, "Con Incidencias", "Válido")))</f>
        <v/>
      </c>
      <c r="AB231" s="56">
        <f>IF(AND(A231="", B231="", E231=""), "", TEXTJOIN("; ", TRUE, IF(OR(TRIM(A231&amp;"")="", ISNUMBER(SEARCH("FALTA", A231))), "UPC faltante/inválido", ""), IF(AND(A231&lt;&gt;"", IFERROR(_xlfn.XMATCH(A231,$A$2:$A$285,0,1)&lt;&gt;_xlfn.XMATCH(A231,$A$2:$A$285,0,-1),FALSE)), "Código de barras duplicado", ""), IF(AND(E231&lt;&gt;"", COUNTIF($E$2:$E$285, E231)&gt;1), "SKU duplicado", ""), IF(OR(J231="", J231=""), "[Aviso] División no capturada ()", IF(ISNA(MATCH(J231, Criterios!$A$123:$A$126, 0)), "División no válida", "")), IF(OR(K231="", K231=""), "[Aviso] Categoría no capturada ()", IF(ISNA(MATCH(K231, Criterios!$A$81:$A$120, 0)), "Categoría no válida", IF(AND(J231&lt;&gt;"", J231&lt;&gt;"", J231&lt;&gt;VLOOKUP(K231, Criterios!$A$81:$B$120, 2, FALSE)), "División no coincide con Categoría", ""))), IF(OR(L231="", L231=""), "[Aviso] Género no capturado ()", IF(ISNA(MATCH(L231, Criterios!$B$123:$B$127, 0)), "Género no válido", "")), IF(OR(N231="", N231=""), "[Aviso] Temporada no capturada ()", IF(ISNA(MATCH(N231, Criterios!$C$123:$C$128, 0)), "Temporada no válida", "")), IF(OR(O231="", O231=""), "[Aviso] Ciclo de vida no capturado ()", IF(ISNA(MATCH(O231, Criterios!$D$123:$D$124, 0)), "Ciclo de vida no válido", ""))))</f>
        <v/>
      </c>
      <c r="AC231" s="56" t="n"/>
      <c r="AD231" s="51" t="n"/>
      <c r="AE231" s="156" t="n"/>
      <c r="AF231" s="51" t="n"/>
      <c r="AG231" s="156" t="inlineStr">
        <is>
          <t>Nuevo – Odoo Universal Unique Brands 01/10/2026</t>
        </is>
      </c>
      <c r="AH231" s="156" t="inlineStr">
        <is>
          <t>01/10/2026: alta desde Odoo Universal Unique Brands (no existía en Productos por código de barras ni SKU) | Talla tomada del sufijo del SKU (S); Categoría: Palabra clave "Vestido" en tipo/categoría de la fuente (Ropa / Vestidos); Género: prenda exclusivamente de dama (vestido/falda/blusa) | Homologación G1522 06/10/2026: WB N.º de estilo: «» → «03-057-0040-6007» (Completado por regla) · Validador Shopify: WB: precio con IVA no termina en 9</t>
        </is>
      </c>
      <c r="AI231" s="156" t="n"/>
      <c r="AJ231" s="156" t="n"/>
      <c r="AK231" s="155" t="inlineStr">
        <is>
          <t>Odoo: producto 20957 / plantilla 26960</t>
        </is>
      </c>
      <c r="AL231" s="58" t="n"/>
      <c r="AM231" s="58" t="n"/>
      <c r="AN231" s="155" t="inlineStr">
        <is>
          <t>Odoo Universal Unique Brands</t>
        </is>
      </c>
      <c r="AO231" s="59" t="n"/>
      <c r="AP231" s="59" t="n"/>
      <c r="AQ231" s="59" t="n">
        <v>7</v>
      </c>
      <c r="AR231" s="155" t="inlineStr">
        <is>
          <t>Odoo Universal Unique Brands › Bodega 25 › Bodega 25/General: 7</t>
        </is>
      </c>
    </row>
    <row r="232">
      <c r="A232" s="50" t="inlineStr">
        <is>
          <t>199168056902</t>
        </is>
      </c>
      <c r="B232" s="51" t="n"/>
      <c r="C232" s="156" t="inlineStr">
        <is>
          <t>Roper</t>
        </is>
      </c>
      <c r="D232" s="156" t="inlineStr">
        <is>
          <t>03-057-0040-6007</t>
        </is>
      </c>
      <c r="E232" s="156" t="inlineStr">
        <is>
          <t>03-057-0040-6007 RE-XL</t>
        </is>
      </c>
      <c r="F232" s="156" t="inlineStr">
        <is>
          <t>XL</t>
        </is>
      </c>
      <c r="G232" s="156" t="inlineStr">
        <is>
          <t>XL</t>
        </is>
      </c>
      <c r="H232" s="156" t="inlineStr">
        <is>
          <t>Roper</t>
        </is>
      </c>
      <c r="I232" s="156" t="inlineStr">
        <is>
          <t>ROPER Dress Poly Spandex Retro</t>
        </is>
      </c>
      <c r="J232" s="156" t="inlineStr">
        <is>
          <t>Ropa</t>
        </is>
      </c>
      <c r="K232" s="156" t="inlineStr">
        <is>
          <t>Vestidos</t>
        </is>
      </c>
      <c r="L232" s="156" t="inlineStr">
        <is>
          <t>Mujer</t>
        </is>
      </c>
      <c r="M232" s="156" t="n"/>
      <c r="N232" s="156" t="n"/>
      <c r="O232" s="156" t="n"/>
      <c r="P232" s="156" t="n"/>
      <c r="Q232" s="156" t="n"/>
      <c r="R232" s="156" t="n"/>
      <c r="S232" s="156" t="n"/>
      <c r="T232" s="156" t="n"/>
      <c r="U232" s="156" t="n"/>
      <c r="V232" s="156" t="inlineStr">
        <is>
          <t>PZS</t>
        </is>
      </c>
      <c r="W232" s="51" t="inlineStr">
        <is>
          <t>53102002</t>
        </is>
      </c>
      <c r="X232" s="156" t="n"/>
      <c r="Y232" s="54" t="n">
        <v>53.48</v>
      </c>
      <c r="Z232" s="54" t="n">
        <v>1349</v>
      </c>
      <c r="AA232" s="55">
        <f>IF(AND(A232="", B232="", E232=""), "", IF(AB232="", "Válido", IF((LEN(AB232)-LEN(SUBSTITUTE(AB232,"; ","")))/2+1&gt;(LEN(AB232)-LEN(SUBSTITUTE(AB232,"[Aviso]","")))/7, "Con Incidencias", "Válido")))</f>
        <v/>
      </c>
      <c r="AB232" s="56">
        <f>IF(AND(A232="", B232="", E232=""), "", TEXTJOIN("; ", TRUE, IF(OR(TRIM(A232&amp;"")="", ISNUMBER(SEARCH("FALTA", A232))), "UPC faltante/inválido", ""), IF(AND(A232&lt;&gt;"", IFERROR(_xlfn.XMATCH(A232,$A$2:$A$285,0,1)&lt;&gt;_xlfn.XMATCH(A232,$A$2:$A$285,0,-1),FALSE)), "Código de barras duplicado", ""), IF(AND(E232&lt;&gt;"", COUNTIF($E$2:$E$285, E232)&gt;1), "SKU duplicado", ""), IF(OR(J232="", J232=""), "[Aviso] División no capturada ()", IF(ISNA(MATCH(J232, Criterios!$A$123:$A$126, 0)), "División no válida", "")), IF(OR(K232="", K232=""), "[Aviso] Categoría no capturada ()", IF(ISNA(MATCH(K232, Criterios!$A$81:$A$120, 0)), "Categoría no válida", IF(AND(J232&lt;&gt;"", J232&lt;&gt;"", J232&lt;&gt;VLOOKUP(K232, Criterios!$A$81:$B$120, 2, FALSE)), "División no coincide con Categoría", ""))), IF(OR(L232="", L232=""), "[Aviso] Género no capturado ()", IF(ISNA(MATCH(L232, Criterios!$B$123:$B$127, 0)), "Género no válido", "")), IF(OR(N232="", N232=""), "[Aviso] Temporada no capturada ()", IF(ISNA(MATCH(N232, Criterios!$C$123:$C$128, 0)), "Temporada no válida", "")), IF(OR(O232="", O232=""), "[Aviso] Ciclo de vida no capturado ()", IF(ISNA(MATCH(O232, Criterios!$D$123:$D$124, 0)), "Ciclo de vida no válido", ""))))</f>
        <v/>
      </c>
      <c r="AC232" s="56" t="n"/>
      <c r="AD232" s="51" t="n"/>
      <c r="AE232" s="156" t="n"/>
      <c r="AF232" s="51" t="n"/>
      <c r="AG232" s="156" t="inlineStr">
        <is>
          <t>Nuevo – Odoo Universal Unique Brands 01/10/2026</t>
        </is>
      </c>
      <c r="AH232" s="156" t="inlineStr">
        <is>
          <t>01/10/2026: alta desde Odoo Universal Unique Brands (no existía en Productos por código de barras ni SKU) | Talla tomada del sufijo del SKU (XL); Categoría: Palabra clave "Vestido" en tipo/categoría de la fuente (Ropa / Vestidos); Género: prenda exclusivamente de dama (vestido/falda/blusa) | Homologación G1522 06/10/2026: WB N.º de estilo: «» → «03-057-0040-6007» (Completado por regla) · Validador Shopify: WB: precio con IVA no termina en 9</t>
        </is>
      </c>
      <c r="AI232" s="156" t="n"/>
      <c r="AJ232" s="156" t="n"/>
      <c r="AK232" s="155" t="inlineStr">
        <is>
          <t>Odoo: producto 20960 / plantilla 26963</t>
        </is>
      </c>
      <c r="AL232" s="58" t="n"/>
      <c r="AM232" s="58" t="n"/>
      <c r="AN232" s="155" t="inlineStr">
        <is>
          <t>Odoo Universal Unique Brands</t>
        </is>
      </c>
      <c r="AO232" s="59" t="n"/>
      <c r="AP232" s="59" t="n"/>
      <c r="AQ232" s="59" t="n">
        <v>12</v>
      </c>
      <c r="AR232" s="155" t="inlineStr">
        <is>
          <t>Odoo Universal Unique Brands › Bodega 25 › Bodega 25/General: 12</t>
        </is>
      </c>
    </row>
    <row r="233">
      <c r="A233" s="50" t="inlineStr">
        <is>
          <t>199168096052</t>
        </is>
      </c>
      <c r="B233" s="51" t="n"/>
      <c r="C233" s="156" t="inlineStr">
        <is>
          <t>Roper</t>
        </is>
      </c>
      <c r="D233" s="156" t="inlineStr">
        <is>
          <t>03-057-0590-1200</t>
        </is>
      </c>
      <c r="E233" s="156" t="inlineStr">
        <is>
          <t>03-057-0590-1200 BL-L</t>
        </is>
      </c>
      <c r="F233" s="156" t="inlineStr">
        <is>
          <t>L</t>
        </is>
      </c>
      <c r="G233" s="156" t="inlineStr">
        <is>
          <t>L</t>
        </is>
      </c>
      <c r="H233" s="156" t="inlineStr">
        <is>
          <t>Roper</t>
        </is>
      </c>
      <c r="I233" s="156" t="inlineStr">
        <is>
          <t>ROPER Dress Boot Printed Rayon Babydoll</t>
        </is>
      </c>
      <c r="J233" s="156" t="inlineStr">
        <is>
          <t>Ropa</t>
        </is>
      </c>
      <c r="K233" s="156" t="inlineStr">
        <is>
          <t>Vestidos</t>
        </is>
      </c>
      <c r="L233" s="156" t="inlineStr">
        <is>
          <t>Mujer</t>
        </is>
      </c>
      <c r="M233" s="156" t="n"/>
      <c r="N233" s="156" t="n"/>
      <c r="O233" s="156" t="n"/>
      <c r="P233" s="156" t="n"/>
      <c r="Q233" s="156" t="n"/>
      <c r="R233" s="156" t="n"/>
      <c r="S233" s="156" t="n"/>
      <c r="T233" s="156" t="n"/>
      <c r="U233" s="156" t="n"/>
      <c r="V233" s="156" t="inlineStr">
        <is>
          <t>PZS</t>
        </is>
      </c>
      <c r="W233" s="51" t="inlineStr">
        <is>
          <t>53102002</t>
        </is>
      </c>
      <c r="X233" s="156" t="n"/>
      <c r="Y233" s="54" t="n">
        <v>24.5</v>
      </c>
      <c r="Z233" s="54" t="n">
        <v>679</v>
      </c>
      <c r="AA233" s="55">
        <f>IF(AND(A233="", B233="", E233=""), "", IF(AB233="", "Válido", IF((LEN(AB233)-LEN(SUBSTITUTE(AB233,"; ","")))/2+1&gt;(LEN(AB233)-LEN(SUBSTITUTE(AB233,"[Aviso]","")))/7, "Con Incidencias", "Válido")))</f>
        <v/>
      </c>
      <c r="AB233" s="56">
        <f>IF(AND(A233="", B233="", E233=""), "", TEXTJOIN("; ", TRUE, IF(OR(TRIM(A233&amp;"")="", ISNUMBER(SEARCH("FALTA", A233))), "UPC faltante/inválido", ""), IF(AND(A233&lt;&gt;"", IFERROR(_xlfn.XMATCH(A233,$A$2:$A$285,0,1)&lt;&gt;_xlfn.XMATCH(A233,$A$2:$A$285,0,-1),FALSE)), "Código de barras duplicado", ""), IF(AND(E233&lt;&gt;"", COUNTIF($E$2:$E$285, E233)&gt;1), "SKU duplicado", ""), IF(OR(J233="", J233=""), "[Aviso] División no capturada ()", IF(ISNA(MATCH(J233, Criterios!$A$123:$A$126, 0)), "División no válida", "")), IF(OR(K233="", K233=""), "[Aviso] Categoría no capturada ()", IF(ISNA(MATCH(K233, Criterios!$A$81:$A$120, 0)), "Categoría no válida", IF(AND(J233&lt;&gt;"", J233&lt;&gt;"", J233&lt;&gt;VLOOKUP(K233, Criterios!$A$81:$B$120, 2, FALSE)), "División no coincide con Categoría", ""))), IF(OR(L233="", L233=""), "[Aviso] Género no capturado ()", IF(ISNA(MATCH(L233, Criterios!$B$123:$B$127, 0)), "Género no válido", "")), IF(OR(N233="", N233=""), "[Aviso] Temporada no capturada ()", IF(ISNA(MATCH(N233, Criterios!$C$123:$C$128, 0)), "Temporada no válida", "")), IF(OR(O233="", O233=""), "[Aviso] Ciclo de vida no capturado ()", IF(ISNA(MATCH(O233, Criterios!$D$123:$D$124, 0)), "Ciclo de vida no válido", ""))))</f>
        <v/>
      </c>
      <c r="AC233" s="56" t="n"/>
      <c r="AD233" s="51" t="n"/>
      <c r="AE233" s="156" t="n"/>
      <c r="AF233" s="51" t="n"/>
      <c r="AG233" s="156" t="inlineStr">
        <is>
          <t>Nuevo – Odoo Universal Unique Brands 01/10/2026</t>
        </is>
      </c>
      <c r="AH233" s="156" t="inlineStr">
        <is>
          <t>01/10/2026: alta desde Odoo Universal Unique Brands (no existía en Productos por código de barras ni SKU) | Talla tomada del sufijo del SKU (L); Categoría: Palabra clave "Vestido" en tipo/categoría de la fuente (Ropa / Vestidos); Género: prenda exclusivamente de dama (vestido/falda/blusa) | Homologación G1522 06/10/2026: WB N.º de estilo: «» → «03-057-0590-1200» (Completado por regla) · Validador Shopify: WB: precio con IVA no termina en 9</t>
        </is>
      </c>
      <c r="AI233" s="156" t="n"/>
      <c r="AJ233" s="156" t="n"/>
      <c r="AK233" s="155" t="inlineStr">
        <is>
          <t>Odoo: producto 20890 / plantilla 26893</t>
        </is>
      </c>
      <c r="AL233" s="58" t="n"/>
      <c r="AM233" s="58" t="n"/>
      <c r="AN233" s="155" t="inlineStr">
        <is>
          <t>Odoo Universal Unique Brands</t>
        </is>
      </c>
      <c r="AO233" s="59" t="n"/>
      <c r="AP233" s="59" t="n"/>
      <c r="AQ233" s="59" t="n">
        <v>30</v>
      </c>
      <c r="AR233" s="155" t="inlineStr">
        <is>
          <t>Odoo Universal Unique Brands › Bodega 25 › Bodega 25/General: 30</t>
        </is>
      </c>
    </row>
    <row r="234">
      <c r="A234" s="50" t="inlineStr">
        <is>
          <t>199168096069</t>
        </is>
      </c>
      <c r="B234" s="51" t="n"/>
      <c r="C234" s="156" t="inlineStr">
        <is>
          <t>Roper</t>
        </is>
      </c>
      <c r="D234" s="156" t="inlineStr">
        <is>
          <t>03-057-0590-1200</t>
        </is>
      </c>
      <c r="E234" s="156" t="inlineStr">
        <is>
          <t>03-057-0590-1200 BL-M</t>
        </is>
      </c>
      <c r="F234" s="156" t="inlineStr">
        <is>
          <t>M</t>
        </is>
      </c>
      <c r="G234" s="156" t="inlineStr">
        <is>
          <t>M</t>
        </is>
      </c>
      <c r="H234" s="156" t="inlineStr">
        <is>
          <t>Roper</t>
        </is>
      </c>
      <c r="I234" s="156" t="inlineStr">
        <is>
          <t>ROPER Dress Boot Printed Rayon Babydoll</t>
        </is>
      </c>
      <c r="J234" s="156" t="inlineStr">
        <is>
          <t>Ropa</t>
        </is>
      </c>
      <c r="K234" s="156" t="inlineStr">
        <is>
          <t>Vestidos</t>
        </is>
      </c>
      <c r="L234" s="156" t="inlineStr">
        <is>
          <t>Mujer</t>
        </is>
      </c>
      <c r="M234" s="156" t="n"/>
      <c r="N234" s="156" t="n"/>
      <c r="O234" s="156" t="n"/>
      <c r="P234" s="156" t="n"/>
      <c r="Q234" s="156" t="n"/>
      <c r="R234" s="156" t="n"/>
      <c r="S234" s="156" t="n"/>
      <c r="T234" s="156" t="n"/>
      <c r="U234" s="156" t="n"/>
      <c r="V234" s="156" t="inlineStr">
        <is>
          <t>PZS</t>
        </is>
      </c>
      <c r="W234" s="51" t="inlineStr">
        <is>
          <t>53102002</t>
        </is>
      </c>
      <c r="X234" s="156" t="n"/>
      <c r="Y234" s="54" t="n">
        <v>24.5</v>
      </c>
      <c r="Z234" s="54" t="n">
        <v>679</v>
      </c>
      <c r="AA234" s="55">
        <f>IF(AND(A234="", B234="", E234=""), "", IF(AB234="", "Válido", IF((LEN(AB234)-LEN(SUBSTITUTE(AB234,"; ","")))/2+1&gt;(LEN(AB234)-LEN(SUBSTITUTE(AB234,"[Aviso]","")))/7, "Con Incidencias", "Válido")))</f>
        <v/>
      </c>
      <c r="AB234" s="56">
        <f>IF(AND(A234="", B234="", E234=""), "", TEXTJOIN("; ", TRUE, IF(OR(TRIM(A234&amp;"")="", ISNUMBER(SEARCH("FALTA", A234))), "UPC faltante/inválido", ""), IF(AND(A234&lt;&gt;"", IFERROR(_xlfn.XMATCH(A234,$A$2:$A$285,0,1)&lt;&gt;_xlfn.XMATCH(A234,$A$2:$A$285,0,-1),FALSE)), "Código de barras duplicado", ""), IF(AND(E234&lt;&gt;"", COUNTIF($E$2:$E$285, E234)&gt;1), "SKU duplicado", ""), IF(OR(J234="", J234=""), "[Aviso] División no capturada ()", IF(ISNA(MATCH(J234, Criterios!$A$123:$A$126, 0)), "División no válida", "")), IF(OR(K234="", K234=""), "[Aviso] Categoría no capturada ()", IF(ISNA(MATCH(K234, Criterios!$A$81:$A$120, 0)), "Categoría no válida", IF(AND(J234&lt;&gt;"", J234&lt;&gt;"", J234&lt;&gt;VLOOKUP(K234, Criterios!$A$81:$B$120, 2, FALSE)), "División no coincide con Categoría", ""))), IF(OR(L234="", L234=""), "[Aviso] Género no capturado ()", IF(ISNA(MATCH(L234, Criterios!$B$123:$B$127, 0)), "Género no válido", "")), IF(OR(N234="", N234=""), "[Aviso] Temporada no capturada ()", IF(ISNA(MATCH(N234, Criterios!$C$123:$C$128, 0)), "Temporada no válida", "")), IF(OR(O234="", O234=""), "[Aviso] Ciclo de vida no capturado ()", IF(ISNA(MATCH(O234, Criterios!$D$123:$D$124, 0)), "Ciclo de vida no válido", ""))))</f>
        <v/>
      </c>
      <c r="AC234" s="56" t="n"/>
      <c r="AD234" s="51" t="n"/>
      <c r="AE234" s="156" t="n"/>
      <c r="AF234" s="51" t="n"/>
      <c r="AG234" s="156" t="inlineStr">
        <is>
          <t>Nuevo – Odoo Universal Unique Brands 01/10/2026</t>
        </is>
      </c>
      <c r="AH234" s="156" t="inlineStr">
        <is>
          <t>01/10/2026: alta desde Odoo Universal Unique Brands (no existía en Productos por código de barras ni SKU) | Talla tomada del sufijo del SKU (M); Categoría: Palabra clave "Vestido" en tipo/categoría de la fuente (Ropa / Vestidos); Género: prenda exclusivamente de dama (vestido/falda/blusa) | Homologación G1522 06/10/2026: WB N.º de estilo: «» → «03-057-0590-1200» (Completado por regla) · Validador Shopify: WB: precio con IVA no termina en 9</t>
        </is>
      </c>
      <c r="AI234" s="156" t="n"/>
      <c r="AJ234" s="156" t="n"/>
      <c r="AK234" s="155" t="inlineStr">
        <is>
          <t>Odoo: producto 20889 / plantilla 26892</t>
        </is>
      </c>
      <c r="AL234" s="58" t="n"/>
      <c r="AM234" s="58" t="n"/>
      <c r="AN234" s="155" t="inlineStr">
        <is>
          <t>Odoo Universal Unique Brands</t>
        </is>
      </c>
      <c r="AO234" s="59" t="n"/>
      <c r="AP234" s="59" t="n"/>
      <c r="AQ234" s="59" t="n">
        <v>29</v>
      </c>
      <c r="AR234" s="155" t="inlineStr">
        <is>
          <t>Odoo Universal Unique Brands › Bodega 25 › Bodega 25/General: 29</t>
        </is>
      </c>
    </row>
    <row r="235">
      <c r="A235" s="50" t="inlineStr">
        <is>
          <t>199168096076</t>
        </is>
      </c>
      <c r="B235" s="51" t="n"/>
      <c r="C235" s="156" t="inlineStr">
        <is>
          <t>Roper</t>
        </is>
      </c>
      <c r="D235" s="156" t="inlineStr">
        <is>
          <t>03-057-0590-1200</t>
        </is>
      </c>
      <c r="E235" s="156" t="inlineStr">
        <is>
          <t>03-057-0590-1200 BL-S</t>
        </is>
      </c>
      <c r="F235" s="156" t="inlineStr">
        <is>
          <t>S</t>
        </is>
      </c>
      <c r="G235" s="156" t="inlineStr">
        <is>
          <t>S</t>
        </is>
      </c>
      <c r="H235" s="156" t="inlineStr">
        <is>
          <t>Roper</t>
        </is>
      </c>
      <c r="I235" s="156" t="inlineStr">
        <is>
          <t>ROPER Dress Boot Printed Rayon Babydoll</t>
        </is>
      </c>
      <c r="J235" s="156" t="inlineStr">
        <is>
          <t>Ropa</t>
        </is>
      </c>
      <c r="K235" s="156" t="inlineStr">
        <is>
          <t>Vestidos</t>
        </is>
      </c>
      <c r="L235" s="156" t="inlineStr">
        <is>
          <t>Mujer</t>
        </is>
      </c>
      <c r="M235" s="156" t="n"/>
      <c r="N235" s="156" t="n"/>
      <c r="O235" s="156" t="n"/>
      <c r="P235" s="156" t="n"/>
      <c r="Q235" s="156" t="n"/>
      <c r="R235" s="156" t="n"/>
      <c r="S235" s="156" t="n"/>
      <c r="T235" s="156" t="n"/>
      <c r="U235" s="156" t="n"/>
      <c r="V235" s="156" t="inlineStr">
        <is>
          <t>PZS</t>
        </is>
      </c>
      <c r="W235" s="51" t="inlineStr">
        <is>
          <t>53102002</t>
        </is>
      </c>
      <c r="X235" s="156" t="n"/>
      <c r="Y235" s="54" t="n">
        <v>24.5</v>
      </c>
      <c r="Z235" s="54" t="n">
        <v>679</v>
      </c>
      <c r="AA235" s="55">
        <f>IF(AND(A235="", B235="", E235=""), "", IF(AB235="", "Válido", IF((LEN(AB235)-LEN(SUBSTITUTE(AB235,"; ","")))/2+1&gt;(LEN(AB235)-LEN(SUBSTITUTE(AB235,"[Aviso]","")))/7, "Con Incidencias", "Válido")))</f>
        <v/>
      </c>
      <c r="AB235" s="56">
        <f>IF(AND(A235="", B235="", E235=""), "", TEXTJOIN("; ", TRUE, IF(OR(TRIM(A235&amp;"")="", ISNUMBER(SEARCH("FALTA", A235))), "UPC faltante/inválido", ""), IF(AND(A235&lt;&gt;"", IFERROR(_xlfn.XMATCH(A235,$A$2:$A$285,0,1)&lt;&gt;_xlfn.XMATCH(A235,$A$2:$A$285,0,-1),FALSE)), "Código de barras duplicado", ""), IF(AND(E235&lt;&gt;"", COUNTIF($E$2:$E$285, E235)&gt;1), "SKU duplicado", ""), IF(OR(J235="", J235=""), "[Aviso] División no capturada ()", IF(ISNA(MATCH(J235, Criterios!$A$123:$A$126, 0)), "División no válida", "")), IF(OR(K235="", K235=""), "[Aviso] Categoría no capturada ()", IF(ISNA(MATCH(K235, Criterios!$A$81:$A$120, 0)), "Categoría no válida", IF(AND(J235&lt;&gt;"", J235&lt;&gt;"", J235&lt;&gt;VLOOKUP(K235, Criterios!$A$81:$B$120, 2, FALSE)), "División no coincide con Categoría", ""))), IF(OR(L235="", L235=""), "[Aviso] Género no capturado ()", IF(ISNA(MATCH(L235, Criterios!$B$123:$B$127, 0)), "Género no válido", "")), IF(OR(N235="", N235=""), "[Aviso] Temporada no capturada ()", IF(ISNA(MATCH(N235, Criterios!$C$123:$C$128, 0)), "Temporada no válida", "")), IF(OR(O235="", O235=""), "[Aviso] Ciclo de vida no capturado ()", IF(ISNA(MATCH(O235, Criterios!$D$123:$D$124, 0)), "Ciclo de vida no válido", ""))))</f>
        <v/>
      </c>
      <c r="AC235" s="56" t="n"/>
      <c r="AD235" s="51" t="n"/>
      <c r="AE235" s="156" t="n"/>
      <c r="AF235" s="51" t="n"/>
      <c r="AG235" s="156" t="inlineStr">
        <is>
          <t>Nuevo – Odoo Universal Unique Brands 01/10/2026</t>
        </is>
      </c>
      <c r="AH235" s="156" t="inlineStr">
        <is>
          <t>01/10/2026: alta desde Odoo Universal Unique Brands (no existía en Productos por código de barras ni SKU) | Talla tomada del sufijo del SKU (S); Categoría: Palabra clave "Vestido" en tipo/categoría de la fuente (Ropa / Vestidos); Género: prenda exclusivamente de dama (vestido/falda/blusa) | Homologación G1522 06/10/2026: WB N.º de estilo: «» → «03-057-0590-1200» (Completado por regla) · Validador Shopify: WB: precio con IVA no termina en 9</t>
        </is>
      </c>
      <c r="AI235" s="156" t="n"/>
      <c r="AJ235" s="156" t="n"/>
      <c r="AK235" s="155" t="inlineStr">
        <is>
          <t>Odoo: producto 20888 / plantilla 26891</t>
        </is>
      </c>
      <c r="AL235" s="58" t="n"/>
      <c r="AM235" s="58" t="n"/>
      <c r="AN235" s="155" t="inlineStr">
        <is>
          <t>Odoo Universal Unique Brands</t>
        </is>
      </c>
      <c r="AO235" s="59" t="n"/>
      <c r="AP235" s="59" t="n"/>
      <c r="AQ235" s="59" t="n">
        <v>30</v>
      </c>
      <c r="AR235" s="155" t="inlineStr">
        <is>
          <t>Odoo Universal Unique Brands › Bodega 25 › Bodega 25/General: 30</t>
        </is>
      </c>
    </row>
    <row r="236">
      <c r="A236" s="50" t="inlineStr">
        <is>
          <t>199168096083</t>
        </is>
      </c>
      <c r="B236" s="51" t="n"/>
      <c r="C236" s="156" t="inlineStr">
        <is>
          <t>Roper</t>
        </is>
      </c>
      <c r="D236" s="156" t="inlineStr">
        <is>
          <t>03-057-0590-1200</t>
        </is>
      </c>
      <c r="E236" s="156" t="inlineStr">
        <is>
          <t>03-057-0590-1200 BL-XL</t>
        </is>
      </c>
      <c r="F236" s="156" t="inlineStr">
        <is>
          <t>S</t>
        </is>
      </c>
      <c r="G236" s="156" t="inlineStr">
        <is>
          <t>S</t>
        </is>
      </c>
      <c r="H236" s="156" t="inlineStr">
        <is>
          <t>Roper</t>
        </is>
      </c>
      <c r="I236" s="156" t="inlineStr">
        <is>
          <t>ROPER Dress Boot Printed Rayon Babydoll</t>
        </is>
      </c>
      <c r="J236" s="156" t="inlineStr">
        <is>
          <t>Ropa</t>
        </is>
      </c>
      <c r="K236" s="156" t="inlineStr">
        <is>
          <t>Vestidos</t>
        </is>
      </c>
      <c r="L236" s="156" t="inlineStr">
        <is>
          <t>Hombre</t>
        </is>
      </c>
      <c r="M236" s="156" t="n"/>
      <c r="N236" s="156" t="n"/>
      <c r="O236" s="156" t="n"/>
      <c r="P236" s="156" t="n"/>
      <c r="Q236" s="156" t="n"/>
      <c r="R236" s="156" t="n"/>
      <c r="S236" s="156" t="n"/>
      <c r="T236" s="156" t="n"/>
      <c r="U236" s="156" t="n"/>
      <c r="V236" s="156" t="inlineStr">
        <is>
          <t>PZS</t>
        </is>
      </c>
      <c r="W236" s="51" t="inlineStr">
        <is>
          <t>53101602</t>
        </is>
      </c>
      <c r="X236" s="156" t="n"/>
      <c r="Y236" s="54" t="n">
        <v>24.5</v>
      </c>
      <c r="Z236" s="54" t="n">
        <v>679</v>
      </c>
      <c r="AA236" s="55">
        <f>IF(AND(A236="", B236="", E236=""), "", IF(AB236="", "Válido", IF((LEN(AB236)-LEN(SUBSTITUTE(AB236,"; ","")))/2+1&gt;(LEN(AB236)-LEN(SUBSTITUTE(AB236,"[Aviso]","")))/7, "Con Incidencias", "Válido")))</f>
        <v/>
      </c>
      <c r="AB236" s="56">
        <f>IF(AND(A236="", B236="", E236=""), "", TEXTJOIN("; ", TRUE, IF(OR(TRIM(A236&amp;"")="", ISNUMBER(SEARCH("FALTA", A236))), "UPC faltante/inválido", ""), IF(AND(A236&lt;&gt;"", IFERROR(_xlfn.XMATCH(A236,$A$2:$A$285,0,1)&lt;&gt;_xlfn.XMATCH(A236,$A$2:$A$285,0,-1),FALSE)), "Código de barras duplicado", ""), IF(AND(E236&lt;&gt;"", COUNTIF($E$2:$E$285, E236)&gt;1), "SKU duplicado", ""), IF(OR(J236="", J236=""), "[Aviso] División no capturada ()", IF(ISNA(MATCH(J236, Criterios!$A$123:$A$126, 0)), "División no válida", "")), IF(OR(K236="", K236=""), "[Aviso] Categoría no capturada ()", IF(ISNA(MATCH(K236, Criterios!$A$81:$A$120, 0)), "Categoría no válida", IF(AND(J236&lt;&gt;"", J236&lt;&gt;"", J236&lt;&gt;VLOOKUP(K236, Criterios!$A$81:$B$120, 2, FALSE)), "División no coincide con Categoría", ""))), IF(OR(L236="", L236=""), "[Aviso] Género no capturado ()", IF(ISNA(MATCH(L236, Criterios!$B$123:$B$127, 0)), "Género no válido", "")), IF(OR(N236="", N236=""), "[Aviso] Temporada no capturada ()", IF(ISNA(MATCH(N236, Criterios!$C$123:$C$128, 0)), "Temporada no válida", "")), IF(OR(O236="", O236=""), "[Aviso] Ciclo de vida no capturado ()", IF(ISNA(MATCH(O236, Criterios!$D$123:$D$124, 0)), "Ciclo de vida no válido", ""))))</f>
        <v/>
      </c>
      <c r="AC236" s="56" t="n"/>
      <c r="AD236" s="51" t="n"/>
      <c r="AE236" s="156" t="n"/>
      <c r="AF236" s="51" t="n"/>
      <c r="AG236" s="156" t="inlineStr">
        <is>
          <t>Nuevo – Odoo Universal Unique Brands 01/10/2026</t>
        </is>
      </c>
      <c r="AH236" s="156" t="inlineStr">
        <is>
          <t>01/10/2026: alta desde Odoo Universal Unique Brands (no existía en Productos por código de barras ni SKU) | Categoría: Palabra clave "Vestido" en tipo/categoría de la fuente (Ropa / Vestidos); Género: campo de la fuente | Homologación G1522 06/10/2026: WB N.º de estilo: «» → «03-057-0590-1200» (Completado por regla) · Validador Shopify: WB: precio con IVA no termina en 9</t>
        </is>
      </c>
      <c r="AI236" s="156" t="n"/>
      <c r="AJ236" s="156" t="n"/>
      <c r="AK236" s="155" t="inlineStr">
        <is>
          <t>Odoo: producto 21085 / plantilla 27088</t>
        </is>
      </c>
      <c r="AL236" s="58" t="n"/>
      <c r="AM236" s="58" t="n"/>
      <c r="AN236" s="155" t="inlineStr">
        <is>
          <t>Odoo Universal Unique Brands</t>
        </is>
      </c>
      <c r="AO236" s="59" t="n"/>
      <c r="AP236" s="59" t="n"/>
      <c r="AQ236" s="59" t="n">
        <v>20</v>
      </c>
      <c r="AR236" s="155" t="inlineStr">
        <is>
          <t>Odoo Universal Unique Brands › Bodega 25 › Bodega 25/General: 20</t>
        </is>
      </c>
    </row>
    <row r="237">
      <c r="A237" s="50" t="inlineStr">
        <is>
          <t>199168096090</t>
        </is>
      </c>
      <c r="B237" s="51" t="n"/>
      <c r="C237" s="156" t="inlineStr">
        <is>
          <t>Roper</t>
        </is>
      </c>
      <c r="D237" s="156" t="inlineStr">
        <is>
          <t>03-057-0590-1200</t>
        </is>
      </c>
      <c r="E237" s="156" t="inlineStr">
        <is>
          <t>03-057-0590-1200 BL-XS</t>
        </is>
      </c>
      <c r="F237" s="156" t="inlineStr">
        <is>
          <t>XS</t>
        </is>
      </c>
      <c r="G237" s="156" t="inlineStr">
        <is>
          <t>XS</t>
        </is>
      </c>
      <c r="H237" s="156" t="inlineStr">
        <is>
          <t>Roper</t>
        </is>
      </c>
      <c r="I237" s="156" t="inlineStr">
        <is>
          <t>ROPER Dress Boot Printed Rayon Babydoll</t>
        </is>
      </c>
      <c r="J237" s="156" t="inlineStr">
        <is>
          <t>Ropa</t>
        </is>
      </c>
      <c r="K237" s="156" t="inlineStr">
        <is>
          <t>Vestidos</t>
        </is>
      </c>
      <c r="L237" s="156" t="inlineStr">
        <is>
          <t>Mujer</t>
        </is>
      </c>
      <c r="M237" s="156" t="n"/>
      <c r="N237" s="156" t="n"/>
      <c r="O237" s="156" t="n"/>
      <c r="P237" s="156" t="n"/>
      <c r="Q237" s="156" t="n"/>
      <c r="R237" s="156" t="n"/>
      <c r="S237" s="156" t="n"/>
      <c r="T237" s="156" t="n"/>
      <c r="U237" s="156" t="n"/>
      <c r="V237" s="156" t="inlineStr">
        <is>
          <t>PZS</t>
        </is>
      </c>
      <c r="W237" s="51" t="inlineStr">
        <is>
          <t>53102002</t>
        </is>
      </c>
      <c r="X237" s="156" t="n"/>
      <c r="Y237" s="54" t="n">
        <v>24.5</v>
      </c>
      <c r="Z237" s="54" t="n">
        <v>679</v>
      </c>
      <c r="AA237" s="55">
        <f>IF(AND(A237="", B237="", E237=""), "", IF(AB237="", "Válido", IF((LEN(AB237)-LEN(SUBSTITUTE(AB237,"; ","")))/2+1&gt;(LEN(AB237)-LEN(SUBSTITUTE(AB237,"[Aviso]","")))/7, "Con Incidencias", "Válido")))</f>
        <v/>
      </c>
      <c r="AB237" s="56">
        <f>IF(AND(A237="", B237="", E237=""), "", TEXTJOIN("; ", TRUE, IF(OR(TRIM(A237&amp;"")="", ISNUMBER(SEARCH("FALTA", A237))), "UPC faltante/inválido", ""), IF(AND(A237&lt;&gt;"", IFERROR(_xlfn.XMATCH(A237,$A$2:$A$285,0,1)&lt;&gt;_xlfn.XMATCH(A237,$A$2:$A$285,0,-1),FALSE)), "Código de barras duplicado", ""), IF(AND(E237&lt;&gt;"", COUNTIF($E$2:$E$285, E237)&gt;1), "SKU duplicado", ""), IF(OR(J237="", J237=""), "[Aviso] División no capturada ()", IF(ISNA(MATCH(J237, Criterios!$A$123:$A$126, 0)), "División no válida", "")), IF(OR(K237="", K237=""), "[Aviso] Categoría no capturada ()", IF(ISNA(MATCH(K237, Criterios!$A$81:$A$120, 0)), "Categoría no válida", IF(AND(J237&lt;&gt;"", J237&lt;&gt;"", J237&lt;&gt;VLOOKUP(K237, Criterios!$A$81:$B$120, 2, FALSE)), "División no coincide con Categoría", ""))), IF(OR(L237="", L237=""), "[Aviso] Género no capturado ()", IF(ISNA(MATCH(L237, Criterios!$B$123:$B$127, 0)), "Género no válido", "")), IF(OR(N237="", N237=""), "[Aviso] Temporada no capturada ()", IF(ISNA(MATCH(N237, Criterios!$C$123:$C$128, 0)), "Temporada no válida", "")), IF(OR(O237="", O237=""), "[Aviso] Ciclo de vida no capturado ()", IF(ISNA(MATCH(O237, Criterios!$D$123:$D$124, 0)), "Ciclo de vida no válido", ""))))</f>
        <v/>
      </c>
      <c r="AC237" s="56" t="n"/>
      <c r="AD237" s="51" t="n"/>
      <c r="AE237" s="156" t="n"/>
      <c r="AF237" s="51" t="n"/>
      <c r="AG237" s="156" t="inlineStr">
        <is>
          <t>Nuevo – Odoo Universal Unique Brands 01/10/2026</t>
        </is>
      </c>
      <c r="AH237" s="156" t="inlineStr">
        <is>
          <t>01/10/2026: alta desde Odoo Universal Unique Brands (no existía en Productos por código de barras ni SKU) | Talla tomada del sufijo del SKU (XS); Categoría: Palabra clave "Vestido" en tipo/categoría de la fuente (Ropa / Vestidos); Género: prenda exclusivamente de dama (vestido/falda/blusa) | Homologación G1522 06/10/2026: WB N.º de estilo: «» → «03-057-0590-1200» (Completado por regla) · Validador Shopify: WB: precio con IVA no termina en 9</t>
        </is>
      </c>
      <c r="AI237" s="156" t="n"/>
      <c r="AJ237" s="156" t="n"/>
      <c r="AK237" s="155" t="inlineStr">
        <is>
          <t>Odoo: producto 20887 / plantilla 26890</t>
        </is>
      </c>
      <c r="AL237" s="58" t="n"/>
      <c r="AM237" s="58" t="n"/>
      <c r="AN237" s="155" t="inlineStr">
        <is>
          <t>Odoo Universal Unique Brands</t>
        </is>
      </c>
      <c r="AO237" s="59" t="n"/>
      <c r="AP237" s="59" t="n"/>
      <c r="AQ237" s="59" t="n">
        <v>10</v>
      </c>
      <c r="AR237" s="155" t="inlineStr">
        <is>
          <t>Odoo Universal Unique Brands › Bodega 25 › Bodega 25/General: 10</t>
        </is>
      </c>
    </row>
    <row r="238">
      <c r="A238" s="50" t="inlineStr">
        <is>
          <t>199168058746</t>
        </is>
      </c>
      <c r="B238" s="51" t="n"/>
      <c r="C238" s="156" t="inlineStr">
        <is>
          <t>Roper</t>
        </is>
      </c>
      <c r="D238" s="156" t="inlineStr">
        <is>
          <t>03-097-0409-6220</t>
        </is>
      </c>
      <c r="E238" s="156" t="inlineStr">
        <is>
          <t>03-097-0409-6220 BR-L</t>
        </is>
      </c>
      <c r="F238" s="156" t="inlineStr">
        <is>
          <t>L</t>
        </is>
      </c>
      <c r="G238" s="156" t="inlineStr">
        <is>
          <t>L</t>
        </is>
      </c>
      <c r="H238" s="156" t="inlineStr">
        <is>
          <t>Roper</t>
        </is>
      </c>
      <c r="I238" s="156" t="inlineStr">
        <is>
          <t>ROPER Outerwear Canvas Zip Front Jacket</t>
        </is>
      </c>
      <c r="J238" s="156" t="inlineStr">
        <is>
          <t>Ropa</t>
        </is>
      </c>
      <c r="K238" s="156" t="inlineStr">
        <is>
          <t>Chamarras</t>
        </is>
      </c>
      <c r="L238" s="156" t="n"/>
      <c r="M238" s="156" t="n"/>
      <c r="N238" s="156" t="n"/>
      <c r="O238" s="156" t="n"/>
      <c r="P238" s="156" t="n"/>
      <c r="Q238" s="156" t="n"/>
      <c r="R238" s="156" t="n"/>
      <c r="S238" s="156" t="n"/>
      <c r="T238" s="156" t="n"/>
      <c r="U238" s="156" t="n"/>
      <c r="V238" s="156" t="inlineStr">
        <is>
          <t>PZS</t>
        </is>
      </c>
      <c r="W238" s="51" t="inlineStr">
        <is>
          <t>53101802</t>
        </is>
      </c>
      <c r="X238" s="156" t="n"/>
      <c r="Y238" s="54" t="n">
        <v>44.18</v>
      </c>
      <c r="Z238" s="54" t="n">
        <v>1149</v>
      </c>
      <c r="AA238" s="55">
        <f>IF(AND(A238="", B238="", E238=""), "", IF(AB238="", "Válido", IF((LEN(AB238)-LEN(SUBSTITUTE(AB238,"; ","")))/2+1&gt;(LEN(AB238)-LEN(SUBSTITUTE(AB238,"[Aviso]","")))/7, "Con Incidencias", "Válido")))</f>
        <v/>
      </c>
      <c r="AB238" s="56">
        <f>IF(AND(A238="", B238="", E238=""), "", TEXTJOIN("; ", TRUE, IF(OR(TRIM(A238&amp;"")="", ISNUMBER(SEARCH("FALTA", A238))), "UPC faltante/inválido", ""), IF(AND(A238&lt;&gt;"", IFERROR(_xlfn.XMATCH(A238,$A$2:$A$285,0,1)&lt;&gt;_xlfn.XMATCH(A238,$A$2:$A$285,0,-1),FALSE)), "Código de barras duplicado", ""), IF(AND(E238&lt;&gt;"", COUNTIF($E$2:$E$285, E238)&gt;1), "SKU duplicado", ""), IF(OR(J238="", J238=""), "[Aviso] División no capturada ()", IF(ISNA(MATCH(J238, Criterios!$A$123:$A$126, 0)), "División no válida", "")), IF(OR(K238="", K238=""), "[Aviso] Categoría no capturada ()", IF(ISNA(MATCH(K238, Criterios!$A$81:$A$120, 0)), "Categoría no válida", IF(AND(J238&lt;&gt;"", J238&lt;&gt;"", J238&lt;&gt;VLOOKUP(K238, Criterios!$A$81:$B$120, 2, FALSE)), "División no coincide con Categoría", ""))), IF(OR(L238="", L238=""), "[Aviso] Género no capturado ()", IF(ISNA(MATCH(L238, Criterios!$B$123:$B$127, 0)), "Género no válido", "")), IF(OR(N238="", N238=""), "[Aviso] Temporada no capturada ()", IF(ISNA(MATCH(N238, Criterios!$C$123:$C$128, 0)), "Temporada no válida", "")), IF(OR(O238="", O238=""), "[Aviso] Ciclo de vida no capturado ()", IF(ISNA(MATCH(O238, Criterios!$D$123:$D$124, 0)), "Ciclo de vida no válido", ""))))</f>
        <v/>
      </c>
      <c r="AC238" s="56" t="n"/>
      <c r="AD238" s="51" t="n"/>
      <c r="AE238" s="156" t="n"/>
      <c r="AF238" s="51" t="n"/>
      <c r="AG238" s="156" t="inlineStr">
        <is>
          <t>Nuevo – Odoo Universal Unique Brands 01/10/2026</t>
        </is>
      </c>
      <c r="AH238" s="156" t="inlineStr">
        <is>
          <t>01/10/2026: alta desde Odoo Universal Unique Brands (no existía en Productos por código de barras ni SKU) | Talla tomada del sufijo del SKU (L); Categoría: Palabra clave "Chamarra" en tipo/categoría de la fuente (Ropa / Chamarra) | Homologación G1522 06/10/2026: WB N.º de estilo: «» → «03-097-0409-6220» (Completado por regla) · Validador Shopify: WB: precio con IVA no termina en 9</t>
        </is>
      </c>
      <c r="AI238" s="156" t="n"/>
      <c r="AJ238" s="156" t="n"/>
      <c r="AK238" s="155" t="inlineStr">
        <is>
          <t>Odoo: producto 21028 / plantilla 27031</t>
        </is>
      </c>
      <c r="AL238" s="58" t="n"/>
      <c r="AM238" s="58" t="n"/>
      <c r="AN238" s="155" t="inlineStr">
        <is>
          <t>Odoo Universal Unique Brands</t>
        </is>
      </c>
      <c r="AO238" s="59" t="n"/>
      <c r="AP238" s="59" t="n"/>
      <c r="AQ238" s="59" t="n">
        <v>0</v>
      </c>
      <c r="AR238" s="155" t="n"/>
    </row>
    <row r="239">
      <c r="A239" s="50" t="inlineStr">
        <is>
          <t>199168058753</t>
        </is>
      </c>
      <c r="B239" s="51" t="n"/>
      <c r="C239" s="156" t="inlineStr">
        <is>
          <t>Roper</t>
        </is>
      </c>
      <c r="D239" s="156" t="inlineStr">
        <is>
          <t>03-097-0409-6220</t>
        </is>
      </c>
      <c r="E239" s="156" t="inlineStr">
        <is>
          <t>03-097-0409-6220 BR-M</t>
        </is>
      </c>
      <c r="F239" s="156" t="inlineStr">
        <is>
          <t>M</t>
        </is>
      </c>
      <c r="G239" s="156" t="inlineStr">
        <is>
          <t>M</t>
        </is>
      </c>
      <c r="H239" s="156" t="inlineStr">
        <is>
          <t>Roper</t>
        </is>
      </c>
      <c r="I239" s="156" t="inlineStr">
        <is>
          <t>ROPER Outerwear Canvas Zip Front Jacket</t>
        </is>
      </c>
      <c r="J239" s="156" t="inlineStr">
        <is>
          <t>Ropa</t>
        </is>
      </c>
      <c r="K239" s="156" t="inlineStr">
        <is>
          <t>Chamarras</t>
        </is>
      </c>
      <c r="L239" s="156" t="n"/>
      <c r="M239" s="156" t="n"/>
      <c r="N239" s="156" t="n"/>
      <c r="O239" s="156" t="n"/>
      <c r="P239" s="156" t="n"/>
      <c r="Q239" s="156" t="n"/>
      <c r="R239" s="156" t="n"/>
      <c r="S239" s="156" t="n"/>
      <c r="T239" s="156" t="n"/>
      <c r="U239" s="156" t="n"/>
      <c r="V239" s="156" t="inlineStr">
        <is>
          <t>PZS</t>
        </is>
      </c>
      <c r="W239" s="51" t="inlineStr">
        <is>
          <t>53101802</t>
        </is>
      </c>
      <c r="X239" s="156" t="n"/>
      <c r="Y239" s="54" t="n">
        <v>44.18</v>
      </c>
      <c r="Z239" s="54" t="n">
        <v>1149</v>
      </c>
      <c r="AA239" s="55">
        <f>IF(AND(A239="", B239="", E239=""), "", IF(AB239="", "Válido", IF((LEN(AB239)-LEN(SUBSTITUTE(AB239,"; ","")))/2+1&gt;(LEN(AB239)-LEN(SUBSTITUTE(AB239,"[Aviso]","")))/7, "Con Incidencias", "Válido")))</f>
        <v/>
      </c>
      <c r="AB239" s="56">
        <f>IF(AND(A239="", B239="", E239=""), "", TEXTJOIN("; ", TRUE, IF(OR(TRIM(A239&amp;"")="", ISNUMBER(SEARCH("FALTA", A239))), "UPC faltante/inválido", ""), IF(AND(A239&lt;&gt;"", IFERROR(_xlfn.XMATCH(A239,$A$2:$A$285,0,1)&lt;&gt;_xlfn.XMATCH(A239,$A$2:$A$285,0,-1),FALSE)), "Código de barras duplicado", ""), IF(AND(E239&lt;&gt;"", COUNTIF($E$2:$E$285, E239)&gt;1), "SKU duplicado", ""), IF(OR(J239="", J239=""), "[Aviso] División no capturada ()", IF(ISNA(MATCH(J239, Criterios!$A$123:$A$126, 0)), "División no válida", "")), IF(OR(K239="", K239=""), "[Aviso] Categoría no capturada ()", IF(ISNA(MATCH(K239, Criterios!$A$81:$A$120, 0)), "Categoría no válida", IF(AND(J239&lt;&gt;"", J239&lt;&gt;"", J239&lt;&gt;VLOOKUP(K239, Criterios!$A$81:$B$120, 2, FALSE)), "División no coincide con Categoría", ""))), IF(OR(L239="", L239=""), "[Aviso] Género no capturado ()", IF(ISNA(MATCH(L239, Criterios!$B$123:$B$127, 0)), "Género no válido", "")), IF(OR(N239="", N239=""), "[Aviso] Temporada no capturada ()", IF(ISNA(MATCH(N239, Criterios!$C$123:$C$128, 0)), "Temporada no válida", "")), IF(OR(O239="", O239=""), "[Aviso] Ciclo de vida no capturado ()", IF(ISNA(MATCH(O239, Criterios!$D$123:$D$124, 0)), "Ciclo de vida no válido", ""))))</f>
        <v/>
      </c>
      <c r="AC239" s="56" t="n"/>
      <c r="AD239" s="51" t="n"/>
      <c r="AE239" s="156" t="n"/>
      <c r="AF239" s="51" t="n"/>
      <c r="AG239" s="156" t="inlineStr">
        <is>
          <t>Nuevo – Odoo Universal Unique Brands 01/10/2026</t>
        </is>
      </c>
      <c r="AH239" s="156" t="inlineStr">
        <is>
          <t>01/10/2026: alta desde Odoo Universal Unique Brands (no existía en Productos por código de barras ni SKU) | Talla tomada del sufijo del SKU (M); Categoría: Palabra clave "Chamarra" en tipo/categoría de la fuente (Ropa / Chamarra) | Homologación G1522 06/10/2026: WB N.º de estilo: «» → «03-097-0409-6220» (Completado por regla) · Validador Shopify: WB: precio con IVA no termina en 9</t>
        </is>
      </c>
      <c r="AI239" s="156" t="n"/>
      <c r="AJ239" s="156" t="n"/>
      <c r="AK239" s="155" t="inlineStr">
        <is>
          <t>Odoo: producto 21027 / plantilla 27030</t>
        </is>
      </c>
      <c r="AL239" s="58" t="n"/>
      <c r="AM239" s="58" t="n"/>
      <c r="AN239" s="155" t="inlineStr">
        <is>
          <t>Odoo Universal Unique Brands</t>
        </is>
      </c>
      <c r="AO239" s="59" t="n"/>
      <c r="AP239" s="59" t="n"/>
      <c r="AQ239" s="59" t="n">
        <v>0</v>
      </c>
      <c r="AR239" s="155" t="n"/>
    </row>
    <row r="240">
      <c r="A240" s="50" t="inlineStr">
        <is>
          <t>199168058760</t>
        </is>
      </c>
      <c r="B240" s="51" t="n"/>
      <c r="C240" s="156" t="inlineStr">
        <is>
          <t>Roper</t>
        </is>
      </c>
      <c r="D240" s="156" t="inlineStr">
        <is>
          <t>03-097-0409-6220</t>
        </is>
      </c>
      <c r="E240" s="156" t="inlineStr">
        <is>
          <t>03-097-0409-6220 BR-S</t>
        </is>
      </c>
      <c r="F240" s="156" t="inlineStr">
        <is>
          <t>S</t>
        </is>
      </c>
      <c r="G240" s="156" t="inlineStr">
        <is>
          <t>S</t>
        </is>
      </c>
      <c r="H240" s="156" t="inlineStr">
        <is>
          <t>Roper</t>
        </is>
      </c>
      <c r="I240" s="156" t="inlineStr">
        <is>
          <t>ROPER Outerwear Canvas Zip Front Jacket</t>
        </is>
      </c>
      <c r="J240" s="156" t="inlineStr">
        <is>
          <t>Ropa</t>
        </is>
      </c>
      <c r="K240" s="156" t="inlineStr">
        <is>
          <t>Chamarras</t>
        </is>
      </c>
      <c r="L240" s="156" t="n"/>
      <c r="M240" s="156" t="n"/>
      <c r="N240" s="156" t="n"/>
      <c r="O240" s="156" t="n"/>
      <c r="P240" s="156" t="n"/>
      <c r="Q240" s="156" t="n"/>
      <c r="R240" s="156" t="n"/>
      <c r="S240" s="156" t="n"/>
      <c r="T240" s="156" t="n"/>
      <c r="U240" s="156" t="n"/>
      <c r="V240" s="156" t="inlineStr">
        <is>
          <t>PZS</t>
        </is>
      </c>
      <c r="W240" s="51" t="inlineStr">
        <is>
          <t>53101802</t>
        </is>
      </c>
      <c r="X240" s="156" t="n"/>
      <c r="Y240" s="54" t="n">
        <v>44.18</v>
      </c>
      <c r="Z240" s="54" t="n">
        <v>1149</v>
      </c>
      <c r="AA240" s="55">
        <f>IF(AND(A240="", B240="", E240=""), "", IF(AB240="", "Válido", IF((LEN(AB240)-LEN(SUBSTITUTE(AB240,"; ","")))/2+1&gt;(LEN(AB240)-LEN(SUBSTITUTE(AB240,"[Aviso]","")))/7, "Con Incidencias", "Válido")))</f>
        <v/>
      </c>
      <c r="AB240" s="56">
        <f>IF(AND(A240="", B240="", E240=""), "", TEXTJOIN("; ", TRUE, IF(OR(TRIM(A240&amp;"")="", ISNUMBER(SEARCH("FALTA", A240))), "UPC faltante/inválido", ""), IF(AND(A240&lt;&gt;"", IFERROR(_xlfn.XMATCH(A240,$A$2:$A$285,0,1)&lt;&gt;_xlfn.XMATCH(A240,$A$2:$A$285,0,-1),FALSE)), "Código de barras duplicado", ""), IF(AND(E240&lt;&gt;"", COUNTIF($E$2:$E$285, E240)&gt;1), "SKU duplicado", ""), IF(OR(J240="", J240=""), "[Aviso] División no capturada ()", IF(ISNA(MATCH(J240, Criterios!$A$123:$A$126, 0)), "División no válida", "")), IF(OR(K240="", K240=""), "[Aviso] Categoría no capturada ()", IF(ISNA(MATCH(K240, Criterios!$A$81:$A$120, 0)), "Categoría no válida", IF(AND(J240&lt;&gt;"", J240&lt;&gt;"", J240&lt;&gt;VLOOKUP(K240, Criterios!$A$81:$B$120, 2, FALSE)), "División no coincide con Categoría", ""))), IF(OR(L240="", L240=""), "[Aviso] Género no capturado ()", IF(ISNA(MATCH(L240, Criterios!$B$123:$B$127, 0)), "Género no válido", "")), IF(OR(N240="", N240=""), "[Aviso] Temporada no capturada ()", IF(ISNA(MATCH(N240, Criterios!$C$123:$C$128, 0)), "Temporada no válida", "")), IF(OR(O240="", O240=""), "[Aviso] Ciclo de vida no capturado ()", IF(ISNA(MATCH(O240, Criterios!$D$123:$D$124, 0)), "Ciclo de vida no válido", ""))))</f>
        <v/>
      </c>
      <c r="AC240" s="56" t="n"/>
      <c r="AD240" s="51" t="n"/>
      <c r="AE240" s="156" t="n"/>
      <c r="AF240" s="51" t="n"/>
      <c r="AG240" s="156" t="inlineStr">
        <is>
          <t>Nuevo – Odoo Universal Unique Brands 01/10/2026</t>
        </is>
      </c>
      <c r="AH240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«03-097-0409-6220» (Completado por regla) · Validador Shopify: WB: precio con IVA no termina en 9</t>
        </is>
      </c>
      <c r="AI240" s="156" t="n"/>
      <c r="AJ240" s="156" t="n"/>
      <c r="AK240" s="155" t="inlineStr">
        <is>
          <t>Odoo: producto 21026 / plantilla 27029</t>
        </is>
      </c>
      <c r="AL240" s="58" t="n"/>
      <c r="AM240" s="58" t="n"/>
      <c r="AN240" s="155" t="inlineStr">
        <is>
          <t>Odoo Universal Unique Brands</t>
        </is>
      </c>
      <c r="AO240" s="59" t="n"/>
      <c r="AP240" s="59" t="n"/>
      <c r="AQ240" s="59" t="n">
        <v>0</v>
      </c>
      <c r="AR240" s="155" t="n"/>
    </row>
    <row r="241">
      <c r="A241" s="50" t="inlineStr">
        <is>
          <t>199168058777</t>
        </is>
      </c>
      <c r="B241" s="51" t="n"/>
      <c r="C241" s="156" t="inlineStr">
        <is>
          <t>Roper</t>
        </is>
      </c>
      <c r="D241" s="156" t="inlineStr">
        <is>
          <t>03-097-0409-6220</t>
        </is>
      </c>
      <c r="E241" s="156" t="inlineStr">
        <is>
          <t>03-097-0409-6220 BR-XL</t>
        </is>
      </c>
      <c r="F241" s="156" t="inlineStr">
        <is>
          <t>XL</t>
        </is>
      </c>
      <c r="G241" s="156" t="inlineStr">
        <is>
          <t>XL</t>
        </is>
      </c>
      <c r="H241" s="156" t="inlineStr">
        <is>
          <t>Roper</t>
        </is>
      </c>
      <c r="I241" s="156" t="inlineStr">
        <is>
          <t>ROPER Outerwear Canvas Zip Front Jacket</t>
        </is>
      </c>
      <c r="J241" s="156" t="inlineStr">
        <is>
          <t>Ropa</t>
        </is>
      </c>
      <c r="K241" s="156" t="inlineStr">
        <is>
          <t>Chamarras</t>
        </is>
      </c>
      <c r="L241" s="156" t="n"/>
      <c r="M241" s="156" t="n"/>
      <c r="N241" s="156" t="n"/>
      <c r="O241" s="156" t="n"/>
      <c r="P241" s="156" t="n"/>
      <c r="Q241" s="156" t="n"/>
      <c r="R241" s="156" t="n"/>
      <c r="S241" s="156" t="n"/>
      <c r="T241" s="156" t="n"/>
      <c r="U241" s="156" t="n"/>
      <c r="V241" s="156" t="inlineStr">
        <is>
          <t>PZS</t>
        </is>
      </c>
      <c r="W241" s="51" t="inlineStr">
        <is>
          <t>53101802</t>
        </is>
      </c>
      <c r="X241" s="156" t="n"/>
      <c r="Y241" s="54" t="n">
        <v>44.18</v>
      </c>
      <c r="Z241" s="54" t="n">
        <v>1149</v>
      </c>
      <c r="AA241" s="55">
        <f>IF(AND(A241="", B241="", E241=""), "", IF(AB241="", "Válido", IF((LEN(AB241)-LEN(SUBSTITUTE(AB241,"; ","")))/2+1&gt;(LEN(AB241)-LEN(SUBSTITUTE(AB241,"[Aviso]","")))/7, "Con Incidencias", "Válido")))</f>
        <v/>
      </c>
      <c r="AB241" s="56">
        <f>IF(AND(A241="", B241="", E241=""), "", TEXTJOIN("; ", TRUE, IF(OR(TRIM(A241&amp;"")="", ISNUMBER(SEARCH("FALTA", A241))), "UPC faltante/inválido", ""), IF(AND(A241&lt;&gt;"", IFERROR(_xlfn.XMATCH(A241,$A$2:$A$285,0,1)&lt;&gt;_xlfn.XMATCH(A241,$A$2:$A$285,0,-1),FALSE)), "Código de barras duplicado", ""), IF(AND(E241&lt;&gt;"", COUNTIF($E$2:$E$285, E241)&gt;1), "SKU duplicado", ""), IF(OR(J241="", J241=""), "[Aviso] División no capturada ()", IF(ISNA(MATCH(J241, Criterios!$A$123:$A$126, 0)), "División no válida", "")), IF(OR(K241="", K241=""), "[Aviso] Categoría no capturada ()", IF(ISNA(MATCH(K241, Criterios!$A$81:$A$120, 0)), "Categoría no válida", IF(AND(J241&lt;&gt;"", J241&lt;&gt;"", J241&lt;&gt;VLOOKUP(K241, Criterios!$A$81:$B$120, 2, FALSE)), "División no coincide con Categoría", ""))), IF(OR(L241="", L241=""), "[Aviso] Género no capturado ()", IF(ISNA(MATCH(L241, Criterios!$B$123:$B$127, 0)), "Género no válido", "")), IF(OR(N241="", N241=""), "[Aviso] Temporada no capturada ()", IF(ISNA(MATCH(N241, Criterios!$C$123:$C$128, 0)), "Temporada no válida", "")), IF(OR(O241="", O241=""), "[Aviso] Ciclo de vida no capturado ()", IF(ISNA(MATCH(O241, Criterios!$D$123:$D$124, 0)), "Ciclo de vida no válido", ""))))</f>
        <v/>
      </c>
      <c r="AC241" s="56" t="n"/>
      <c r="AD241" s="51" t="n"/>
      <c r="AE241" s="156" t="n"/>
      <c r="AF241" s="51" t="n"/>
      <c r="AG241" s="156" t="inlineStr">
        <is>
          <t>Nuevo – Odoo Universal Unique Brands 01/10/2026</t>
        </is>
      </c>
      <c r="AH241" s="156" t="inlineStr">
        <is>
          <t>01/10/2026: alta desde Odoo Universal Unique Brands (no existía en Productos por código de barras ni SKU) | Talla tomada del sufijo del SKU (XL); Categoría: Palabra clave "Chamarra" en tipo/categoría de la fuente (Ropa / Chamarra) | Homologación G1522 06/10/2026: WB N.º de estilo: «» → «03-097-0409-6220» (Completado por regla) · Validador Shopify: WB: precio con IVA no termina en 9</t>
        </is>
      </c>
      <c r="AI241" s="156" t="n"/>
      <c r="AJ241" s="156" t="n"/>
      <c r="AK241" s="155" t="inlineStr">
        <is>
          <t>Odoo: producto 21029 / plantilla 27032</t>
        </is>
      </c>
      <c r="AL241" s="58" t="n"/>
      <c r="AM241" s="58" t="n"/>
      <c r="AN241" s="155" t="inlineStr">
        <is>
          <t>Odoo Universal Unique Brands</t>
        </is>
      </c>
      <c r="AO241" s="59" t="n"/>
      <c r="AP241" s="59" t="n"/>
      <c r="AQ241" s="59" t="n">
        <v>0</v>
      </c>
      <c r="AR241" s="155" t="n"/>
    </row>
    <row r="242">
      <c r="A242" s="50" t="inlineStr">
        <is>
          <t>199168059026</t>
        </is>
      </c>
      <c r="B242" s="51" t="n"/>
      <c r="C242" s="156" t="inlineStr">
        <is>
          <t>Roper</t>
        </is>
      </c>
      <c r="D242" s="156" t="inlineStr">
        <is>
          <t>03-097-0616-6222</t>
        </is>
      </c>
      <c r="E242" s="156" t="inlineStr">
        <is>
          <t>03-097-0616-6222 GR-2XL</t>
        </is>
      </c>
      <c r="F242" s="156" t="inlineStr">
        <is>
          <t>XXL</t>
        </is>
      </c>
      <c r="G242" s="156" t="inlineStr">
        <is>
          <t>XXL</t>
        </is>
      </c>
      <c r="H242" s="156" t="inlineStr">
        <is>
          <t>Roper</t>
        </is>
      </c>
      <c r="I242" s="156" t="inlineStr">
        <is>
          <t>ROPER Outerwear Perf Canvas Quilted</t>
        </is>
      </c>
      <c r="J242" s="156" t="inlineStr">
        <is>
          <t>Ropa</t>
        </is>
      </c>
      <c r="K242" s="156" t="inlineStr">
        <is>
          <t>Camisas</t>
        </is>
      </c>
      <c r="L242" s="156" t="n"/>
      <c r="M242" s="156" t="n"/>
      <c r="N242" s="156" t="n"/>
      <c r="O242" s="156" t="n"/>
      <c r="P242" s="156" t="n"/>
      <c r="Q242" s="156" t="n"/>
      <c r="R242" s="156" t="n"/>
      <c r="S242" s="156" t="n"/>
      <c r="T242" s="156" t="n"/>
      <c r="U242" s="156" t="n"/>
      <c r="V242" s="156" t="inlineStr">
        <is>
          <t>PZS</t>
        </is>
      </c>
      <c r="W242" s="51" t="inlineStr">
        <is>
          <t>53101802</t>
        </is>
      </c>
      <c r="X242" s="156" t="n"/>
      <c r="Y242" s="54" t="n">
        <v>39.53</v>
      </c>
      <c r="Z242" s="54" t="n">
        <v>1029</v>
      </c>
      <c r="AA242" s="55">
        <f>IF(AND(A242="", B242="", E242=""), "", IF(AB242="", "Válido", IF((LEN(AB242)-LEN(SUBSTITUTE(AB242,"; ","")))/2+1&gt;(LEN(AB242)-LEN(SUBSTITUTE(AB242,"[Aviso]","")))/7, "Con Incidencias", "Válido")))</f>
        <v/>
      </c>
      <c r="AB242" s="56">
        <f>IF(AND(A242="", B242="", E242=""), "", TEXTJOIN("; ", TRUE, IF(OR(TRIM(A242&amp;"")="", ISNUMBER(SEARCH("FALTA", A242))), "UPC faltante/inválido", ""), IF(AND(A242&lt;&gt;"", IFERROR(_xlfn.XMATCH(A242,$A$2:$A$285,0,1)&lt;&gt;_xlfn.XMATCH(A242,$A$2:$A$285,0,-1),FALSE)), "Código de barras duplicado", ""), IF(AND(E242&lt;&gt;"", COUNTIF($E$2:$E$285, E242)&gt;1), "SKU duplicado", ""), IF(OR(J242="", J242=""), "[Aviso] División no capturada ()", IF(ISNA(MATCH(J242, Criterios!$A$123:$A$126, 0)), "División no válida", "")), IF(OR(K242="", K242=""), "[Aviso] Categoría no capturada ()", IF(ISNA(MATCH(K242, Criterios!$A$81:$A$120, 0)), "Categoría no válida", IF(AND(J242&lt;&gt;"", J242&lt;&gt;"", J242&lt;&gt;VLOOKUP(K242, Criterios!$A$81:$B$120, 2, FALSE)), "División no coincide con Categoría", ""))), IF(OR(L242="", L242=""), "[Aviso] Género no capturado ()", IF(ISNA(MATCH(L242, Criterios!$B$123:$B$127, 0)), "Género no válido", "")), IF(OR(N242="", N242=""), "[Aviso] Temporada no capturada ()", IF(ISNA(MATCH(N242, Criterios!$C$123:$C$128, 0)), "Temporada no válida", "")), IF(OR(O242="", O242=""), "[Aviso] Ciclo de vida no capturado ()", IF(ISNA(MATCH(O242, Criterios!$D$123:$D$124, 0)), "Ciclo de vida no válido", ""))))</f>
        <v/>
      </c>
      <c r="AC242" s="56" t="n"/>
      <c r="AD242" s="51" t="n"/>
      <c r="AE242" s="156" t="n"/>
      <c r="AF242" s="51" t="n"/>
      <c r="AG242" s="156" t="inlineStr">
        <is>
          <t>Nuevo – Odoo Universal Unique Brands 01/10/2026</t>
        </is>
      </c>
      <c r="AH242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«03-097-0616-6222» (Completado por regla) · Validador Shopify: WB: precio con IVA no termina en 9</t>
        </is>
      </c>
      <c r="AI242" s="156" t="n"/>
      <c r="AJ242" s="156" t="n"/>
      <c r="AK242" s="155" t="inlineStr">
        <is>
          <t>Odoo: producto 21051 / plantilla 27054</t>
        </is>
      </c>
      <c r="AL242" s="58" t="n"/>
      <c r="AM242" s="58" t="n"/>
      <c r="AN242" s="155" t="inlineStr">
        <is>
          <t>Odoo Universal Unique Brands</t>
        </is>
      </c>
      <c r="AO242" s="59" t="n"/>
      <c r="AP242" s="59" t="n"/>
      <c r="AQ242" s="59" t="n">
        <v>6</v>
      </c>
      <c r="AR242" s="155" t="inlineStr">
        <is>
          <t>Odoo Universal Unique Brands › Bodega 25 › Bodega 25/General: 6</t>
        </is>
      </c>
    </row>
    <row r="243">
      <c r="A243" s="50" t="inlineStr">
        <is>
          <t>199168058982</t>
        </is>
      </c>
      <c r="B243" s="51" t="n"/>
      <c r="C243" s="156" t="inlineStr">
        <is>
          <t>Roper</t>
        </is>
      </c>
      <c r="D243" s="156" t="inlineStr">
        <is>
          <t>03-097-0616-6222</t>
        </is>
      </c>
      <c r="E243" s="156" t="inlineStr">
        <is>
          <t>03-097-0616-6222 GR-L</t>
        </is>
      </c>
      <c r="F243" s="156" t="inlineStr">
        <is>
          <t>L</t>
        </is>
      </c>
      <c r="G243" s="156" t="inlineStr">
        <is>
          <t>L</t>
        </is>
      </c>
      <c r="H243" s="156" t="inlineStr">
        <is>
          <t>Roper</t>
        </is>
      </c>
      <c r="I243" s="156" t="inlineStr">
        <is>
          <t>ROPER Outerwear Perf Canvas Quilted</t>
        </is>
      </c>
      <c r="J243" s="156" t="inlineStr">
        <is>
          <t>Ropa</t>
        </is>
      </c>
      <c r="K243" s="156" t="inlineStr">
        <is>
          <t>Chamarras</t>
        </is>
      </c>
      <c r="L243" s="156" t="n"/>
      <c r="M243" s="156" t="n"/>
      <c r="N243" s="156" t="n"/>
      <c r="O243" s="156" t="n"/>
      <c r="P243" s="156" t="n"/>
      <c r="Q243" s="156" t="n"/>
      <c r="R243" s="156" t="n"/>
      <c r="S243" s="156" t="n"/>
      <c r="T243" s="156" t="n"/>
      <c r="U243" s="156" t="n"/>
      <c r="V243" s="156" t="inlineStr">
        <is>
          <t>PZS</t>
        </is>
      </c>
      <c r="W243" s="51" t="inlineStr">
        <is>
          <t>53101802</t>
        </is>
      </c>
      <c r="X243" s="156" t="n"/>
      <c r="Y243" s="54" t="n">
        <v>39.53</v>
      </c>
      <c r="Z243" s="54" t="n">
        <v>1029</v>
      </c>
      <c r="AA243" s="55">
        <f>IF(AND(A243="", B243="", E243=""), "", IF(AB243="", "Válido", IF((LEN(AB243)-LEN(SUBSTITUTE(AB243,"; ","")))/2+1&gt;(LEN(AB243)-LEN(SUBSTITUTE(AB243,"[Aviso]","")))/7, "Con Incidencias", "Válido")))</f>
        <v/>
      </c>
      <c r="AB243" s="56">
        <f>IF(AND(A243="", B243="", E243=""), "", TEXTJOIN("; ", TRUE, IF(OR(TRIM(A243&amp;"")="", ISNUMBER(SEARCH("FALTA", A243))), "UPC faltante/inválido", ""), IF(AND(A243&lt;&gt;"", IFERROR(_xlfn.XMATCH(A243,$A$2:$A$285,0,1)&lt;&gt;_xlfn.XMATCH(A243,$A$2:$A$285,0,-1),FALSE)), "Código de barras duplicado", ""), IF(AND(E243&lt;&gt;"", COUNTIF($E$2:$E$285, E243)&gt;1), "SKU duplicado", ""), IF(OR(J243="", J243=""), "[Aviso] División no capturada ()", IF(ISNA(MATCH(J243, Criterios!$A$123:$A$126, 0)), "División no válida", "")), IF(OR(K243="", K243=""), "[Aviso] Categoría no capturada ()", IF(ISNA(MATCH(K243, Criterios!$A$81:$A$120, 0)), "Categoría no válida", IF(AND(J243&lt;&gt;"", J243&lt;&gt;"", J243&lt;&gt;VLOOKUP(K243, Criterios!$A$81:$B$120, 2, FALSE)), "División no coincide con Categoría", ""))), IF(OR(L243="", L243=""), "[Aviso] Género no capturado ()", IF(ISNA(MATCH(L243, Criterios!$B$123:$B$127, 0)), "Género no válido", "")), IF(OR(N243="", N243=""), "[Aviso] Temporada no capturada ()", IF(ISNA(MATCH(N243, Criterios!$C$123:$C$128, 0)), "Temporada no válida", "")), IF(OR(O243="", O243=""), "[Aviso] Ciclo de vida no capturado ()", IF(ISNA(MATCH(O243, Criterios!$D$123:$D$124, 0)), "Ciclo de vida no válido", ""))))</f>
        <v/>
      </c>
      <c r="AC243" s="56" t="n"/>
      <c r="AD243" s="51" t="n"/>
      <c r="AE243" s="156" t="n"/>
      <c r="AF243" s="51" t="n"/>
      <c r="AG243" s="156" t="inlineStr">
        <is>
          <t>Nuevo – Odoo Universal Unique Brands 01/10/2026</t>
        </is>
      </c>
      <c r="AH243" s="156" t="inlineStr">
        <is>
          <t>01/10/2026: alta desde Odoo Universal Unique Brands (no existía en Productos por código de barras ni SKU) | Talla tomada del sufijo del SKU (L); Categoría: Palabra clave "Chamarra" en tipo/categoría de la fuente (Ropa / Chamarra) | Homologación G1522 06/10/2026: WB N.º de estilo: «» → «03-097-0616-6222» (Completado por regla) · Validador Shopify: WB: precio con IVA no termina en 9</t>
        </is>
      </c>
      <c r="AI243" s="156" t="n"/>
      <c r="AJ243" s="156" t="n"/>
      <c r="AK243" s="155" t="inlineStr">
        <is>
          <t>Odoo: producto 21049 / plantilla 27052</t>
        </is>
      </c>
      <c r="AL243" s="58" t="n"/>
      <c r="AM243" s="58" t="n"/>
      <c r="AN243" s="155" t="inlineStr">
        <is>
          <t>Odoo Universal Unique Brands</t>
        </is>
      </c>
      <c r="AO243" s="59" t="n"/>
      <c r="AP243" s="59" t="n"/>
      <c r="AQ243" s="59" t="n">
        <v>1</v>
      </c>
      <c r="AR243" s="155" t="inlineStr">
        <is>
          <t>Odoo Universal Unique Brands › Bodega 25 › Bodega 25/General: 1</t>
        </is>
      </c>
    </row>
    <row r="244">
      <c r="A244" s="50" t="inlineStr">
        <is>
          <t>199168058999</t>
        </is>
      </c>
      <c r="B244" s="51" t="n"/>
      <c r="C244" s="156" t="inlineStr">
        <is>
          <t>Roper</t>
        </is>
      </c>
      <c r="D244" s="156" t="inlineStr">
        <is>
          <t>03-097-0616-6222</t>
        </is>
      </c>
      <c r="E244" s="156" t="inlineStr">
        <is>
          <t>03-097-0616-6222 GR-M</t>
        </is>
      </c>
      <c r="F244" s="156" t="inlineStr">
        <is>
          <t>M</t>
        </is>
      </c>
      <c r="G244" s="156" t="inlineStr">
        <is>
          <t>M</t>
        </is>
      </c>
      <c r="H244" s="156" t="inlineStr">
        <is>
          <t>Roper</t>
        </is>
      </c>
      <c r="I244" s="156" t="inlineStr">
        <is>
          <t>ROPER Outerwear Perf Canvas Quilted</t>
        </is>
      </c>
      <c r="J244" s="156" t="inlineStr">
        <is>
          <t>Ropa</t>
        </is>
      </c>
      <c r="K244" s="156" t="inlineStr">
        <is>
          <t>Chamarras</t>
        </is>
      </c>
      <c r="L244" s="156" t="n"/>
      <c r="M244" s="156" t="n"/>
      <c r="N244" s="156" t="n"/>
      <c r="O244" s="156" t="n"/>
      <c r="P244" s="156" t="n"/>
      <c r="Q244" s="156" t="n"/>
      <c r="R244" s="156" t="n"/>
      <c r="S244" s="156" t="n"/>
      <c r="T244" s="156" t="n"/>
      <c r="U244" s="156" t="n"/>
      <c r="V244" s="156" t="inlineStr">
        <is>
          <t>PZS</t>
        </is>
      </c>
      <c r="W244" s="51" t="inlineStr">
        <is>
          <t>53101802</t>
        </is>
      </c>
      <c r="X244" s="156" t="n"/>
      <c r="Y244" s="54" t="n">
        <v>39.53</v>
      </c>
      <c r="Z244" s="54" t="n">
        <v>1029</v>
      </c>
      <c r="AA244" s="55">
        <f>IF(AND(A244="", B244="", E244=""), "", IF(AB244="", "Válido", IF((LEN(AB244)-LEN(SUBSTITUTE(AB244,"; ","")))/2+1&gt;(LEN(AB244)-LEN(SUBSTITUTE(AB244,"[Aviso]","")))/7, "Con Incidencias", "Válido")))</f>
        <v/>
      </c>
      <c r="AB244" s="56">
        <f>IF(AND(A244="", B244="", E244=""), "", TEXTJOIN("; ", TRUE, IF(OR(TRIM(A244&amp;"")="", ISNUMBER(SEARCH("FALTA", A244))), "UPC faltante/inválido", ""), IF(AND(A244&lt;&gt;"", IFERROR(_xlfn.XMATCH(A244,$A$2:$A$285,0,1)&lt;&gt;_xlfn.XMATCH(A244,$A$2:$A$285,0,-1),FALSE)), "Código de barras duplicado", ""), IF(AND(E244&lt;&gt;"", COUNTIF($E$2:$E$285, E244)&gt;1), "SKU duplicado", ""), IF(OR(J244="", J244=""), "[Aviso] División no capturada ()", IF(ISNA(MATCH(J244, Criterios!$A$123:$A$126, 0)), "División no válida", "")), IF(OR(K244="", K244=""), "[Aviso] Categoría no capturada ()", IF(ISNA(MATCH(K244, Criterios!$A$81:$A$120, 0)), "Categoría no válida", IF(AND(J244&lt;&gt;"", J244&lt;&gt;"", J244&lt;&gt;VLOOKUP(K244, Criterios!$A$81:$B$120, 2, FALSE)), "División no coincide con Categoría", ""))), IF(OR(L244="", L244=""), "[Aviso] Género no capturado ()", IF(ISNA(MATCH(L244, Criterios!$B$123:$B$127, 0)), "Género no válido", "")), IF(OR(N244="", N244=""), "[Aviso] Temporada no capturada ()", IF(ISNA(MATCH(N244, Criterios!$C$123:$C$128, 0)), "Temporada no válida", "")), IF(OR(O244="", O244=""), "[Aviso] Ciclo de vida no capturado ()", IF(ISNA(MATCH(O244, Criterios!$D$123:$D$124, 0)), "Ciclo de vida no válido", ""))))</f>
        <v/>
      </c>
      <c r="AC244" s="56" t="n"/>
      <c r="AD244" s="51" t="n"/>
      <c r="AE244" s="156" t="n"/>
      <c r="AF244" s="51" t="n"/>
      <c r="AG244" s="156" t="inlineStr">
        <is>
          <t>Nuevo – Odoo Universal Unique Brands 01/10/2026</t>
        </is>
      </c>
      <c r="AH244" s="156" t="inlineStr">
        <is>
          <t>01/10/2026: alta desde Odoo Universal Unique Brands (no existía en Productos por código de barras ni SKU) | Talla tomada del sufijo del SKU (M); Categoría: Palabra clave "Chamarra" en tipo/categoría de la fuente (Ropa / Chamarra) | Homologación G1522 06/10/2026: WB N.º de estilo: «» → «03-097-0616-6222» (Completado por regla) · Validador Shopify: WB: precio con IVA no termina en 9</t>
        </is>
      </c>
      <c r="AI244" s="156" t="n"/>
      <c r="AJ244" s="156" t="n"/>
      <c r="AK244" s="155" t="inlineStr">
        <is>
          <t>Odoo: producto 21048 / plantilla 27051</t>
        </is>
      </c>
      <c r="AL244" s="58" t="n"/>
      <c r="AM244" s="58" t="n"/>
      <c r="AN244" s="155" t="inlineStr">
        <is>
          <t>Odoo Universal Unique Brands</t>
        </is>
      </c>
      <c r="AO244" s="59" t="n"/>
      <c r="AP244" s="59" t="n"/>
      <c r="AQ244" s="59" t="n">
        <v>2</v>
      </c>
      <c r="AR244" s="155" t="inlineStr">
        <is>
          <t>Odoo Universal Unique Brands › Bodega 25 › Bodega 25/General: 2</t>
        </is>
      </c>
    </row>
    <row r="245">
      <c r="A245" s="50" t="inlineStr">
        <is>
          <t>199168059002</t>
        </is>
      </c>
      <c r="B245" s="51" t="n"/>
      <c r="C245" s="156" t="inlineStr">
        <is>
          <t>Roper</t>
        </is>
      </c>
      <c r="D245" s="156" t="inlineStr">
        <is>
          <t>03-097-0616-6222</t>
        </is>
      </c>
      <c r="E245" s="156" t="inlineStr">
        <is>
          <t>03-097-0616-6222 GR-S</t>
        </is>
      </c>
      <c r="F245" s="156" t="inlineStr">
        <is>
          <t>S</t>
        </is>
      </c>
      <c r="G245" s="156" t="inlineStr">
        <is>
          <t>S</t>
        </is>
      </c>
      <c r="H245" s="156" t="inlineStr">
        <is>
          <t>Roper</t>
        </is>
      </c>
      <c r="I245" s="156" t="inlineStr">
        <is>
          <t>ROPER Outerwear Perf Canvas Quilted</t>
        </is>
      </c>
      <c r="J245" s="156" t="inlineStr">
        <is>
          <t>Ropa</t>
        </is>
      </c>
      <c r="K245" s="156" t="inlineStr">
        <is>
          <t>Chamarras</t>
        </is>
      </c>
      <c r="L245" s="156" t="n"/>
      <c r="M245" s="156" t="n"/>
      <c r="N245" s="156" t="n"/>
      <c r="O245" s="156" t="n"/>
      <c r="P245" s="156" t="n"/>
      <c r="Q245" s="156" t="n"/>
      <c r="R245" s="156" t="n"/>
      <c r="S245" s="156" t="n"/>
      <c r="T245" s="156" t="n"/>
      <c r="U245" s="156" t="n"/>
      <c r="V245" s="156" t="inlineStr">
        <is>
          <t>PZS</t>
        </is>
      </c>
      <c r="W245" s="51" t="inlineStr">
        <is>
          <t>53101802</t>
        </is>
      </c>
      <c r="X245" s="156" t="n"/>
      <c r="Y245" s="54" t="n">
        <v>39.53</v>
      </c>
      <c r="Z245" s="54" t="n">
        <v>1029</v>
      </c>
      <c r="AA245" s="55">
        <f>IF(AND(A245="", B245="", E245=""), "", IF(AB245="", "Válido", IF((LEN(AB245)-LEN(SUBSTITUTE(AB245,"; ","")))/2+1&gt;(LEN(AB245)-LEN(SUBSTITUTE(AB245,"[Aviso]","")))/7, "Con Incidencias", "Válido")))</f>
        <v/>
      </c>
      <c r="AB245" s="56">
        <f>IF(AND(A245="", B245="", E245=""), "", TEXTJOIN("; ", TRUE, IF(OR(TRIM(A245&amp;"")="", ISNUMBER(SEARCH("FALTA", A245))), "UPC faltante/inválido", ""), IF(AND(A245&lt;&gt;"", IFERROR(_xlfn.XMATCH(A245,$A$2:$A$285,0,1)&lt;&gt;_xlfn.XMATCH(A245,$A$2:$A$285,0,-1),FALSE)), "Código de barras duplicado", ""), IF(AND(E245&lt;&gt;"", COUNTIF($E$2:$E$285, E245)&gt;1), "SKU duplicado", ""), IF(OR(J245="", J245=""), "[Aviso] División no capturada ()", IF(ISNA(MATCH(J245, Criterios!$A$123:$A$126, 0)), "División no válida", "")), IF(OR(K245="", K245=""), "[Aviso] Categoría no capturada ()", IF(ISNA(MATCH(K245, Criterios!$A$81:$A$120, 0)), "Categoría no válida", IF(AND(J245&lt;&gt;"", J245&lt;&gt;"", J245&lt;&gt;VLOOKUP(K245, Criterios!$A$81:$B$120, 2, FALSE)), "División no coincide con Categoría", ""))), IF(OR(L245="", L245=""), "[Aviso] Género no capturado ()", IF(ISNA(MATCH(L245, Criterios!$B$123:$B$127, 0)), "Género no válido", "")), IF(OR(N245="", N245=""), "[Aviso] Temporada no capturada ()", IF(ISNA(MATCH(N245, Criterios!$C$123:$C$128, 0)), "Temporada no válida", "")), IF(OR(O245="", O245=""), "[Aviso] Ciclo de vida no capturado ()", IF(ISNA(MATCH(O245, Criterios!$D$123:$D$124, 0)), "Ciclo de vida no válido", ""))))</f>
        <v/>
      </c>
      <c r="AC245" s="56" t="n"/>
      <c r="AD245" s="51" t="n"/>
      <c r="AE245" s="156" t="n"/>
      <c r="AF245" s="51" t="n"/>
      <c r="AG245" s="156" t="inlineStr">
        <is>
          <t>Nuevo – Odoo Universal Unique Brands 01/10/2026</t>
        </is>
      </c>
      <c r="AH245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«03-097-0616-6222» (Completado por regla) · Validador Shopify: WB: precio con IVA no termina en 9</t>
        </is>
      </c>
      <c r="AI245" s="156" t="n"/>
      <c r="AJ245" s="156" t="n"/>
      <c r="AK245" s="155" t="inlineStr">
        <is>
          <t>Odoo: producto 21047 / plantilla 27050</t>
        </is>
      </c>
      <c r="AL245" s="58" t="n"/>
      <c r="AM245" s="58" t="n"/>
      <c r="AN245" s="155" t="inlineStr">
        <is>
          <t>Odoo Universal Unique Brands</t>
        </is>
      </c>
      <c r="AO245" s="59" t="n"/>
      <c r="AP245" s="59" t="n"/>
      <c r="AQ245" s="59" t="n">
        <v>3</v>
      </c>
      <c r="AR245" s="155" t="inlineStr">
        <is>
          <t>Odoo Universal Unique Brands › Bodega 25 › Bodega 25/General: 3</t>
        </is>
      </c>
    </row>
    <row r="246">
      <c r="A246" s="50" t="inlineStr">
        <is>
          <t>199168059019</t>
        </is>
      </c>
      <c r="B246" s="51" t="n"/>
      <c r="C246" s="156" t="inlineStr">
        <is>
          <t>Roper</t>
        </is>
      </c>
      <c r="D246" s="156" t="inlineStr">
        <is>
          <t>03-097-0616-6222</t>
        </is>
      </c>
      <c r="E246" s="156" t="inlineStr">
        <is>
          <t>03-097-0616-6222 GR-XL</t>
        </is>
      </c>
      <c r="F246" s="156" t="inlineStr">
        <is>
          <t>XL</t>
        </is>
      </c>
      <c r="G246" s="156" t="inlineStr">
        <is>
          <t>XL</t>
        </is>
      </c>
      <c r="H246" s="156" t="inlineStr">
        <is>
          <t>Roper</t>
        </is>
      </c>
      <c r="I246" s="156" t="inlineStr">
        <is>
          <t>ROPER Outerwear Perf Canvas Quilted</t>
        </is>
      </c>
      <c r="J246" s="156" t="inlineStr">
        <is>
          <t>Ropa</t>
        </is>
      </c>
      <c r="K246" s="156" t="inlineStr">
        <is>
          <t>Chamarras</t>
        </is>
      </c>
      <c r="L246" s="156" t="n"/>
      <c r="M246" s="156" t="n"/>
      <c r="N246" s="156" t="n"/>
      <c r="O246" s="156" t="n"/>
      <c r="P246" s="156" t="n"/>
      <c r="Q246" s="156" t="n"/>
      <c r="R246" s="156" t="n"/>
      <c r="S246" s="156" t="n"/>
      <c r="T246" s="156" t="n"/>
      <c r="U246" s="156" t="n"/>
      <c r="V246" s="156" t="inlineStr">
        <is>
          <t>PZS</t>
        </is>
      </c>
      <c r="W246" s="51" t="inlineStr">
        <is>
          <t>53101802</t>
        </is>
      </c>
      <c r="X246" s="156" t="n"/>
      <c r="Y246" s="54" t="n">
        <v>39.53</v>
      </c>
      <c r="Z246" s="54" t="n">
        <v>1029</v>
      </c>
      <c r="AA246" s="55">
        <f>IF(AND(A246="", B246="", E246=""), "", IF(AB246="", "Válido", IF((LEN(AB246)-LEN(SUBSTITUTE(AB246,"; ","")))/2+1&gt;(LEN(AB246)-LEN(SUBSTITUTE(AB246,"[Aviso]","")))/7, "Con Incidencias", "Válido")))</f>
        <v/>
      </c>
      <c r="AB246" s="56">
        <f>IF(AND(A246="", B246="", E246=""), "", TEXTJOIN("; ", TRUE, IF(OR(TRIM(A246&amp;"")="", ISNUMBER(SEARCH("FALTA", A246))), "UPC faltante/inválido", ""), IF(AND(A246&lt;&gt;"", IFERROR(_xlfn.XMATCH(A246,$A$2:$A$285,0,1)&lt;&gt;_xlfn.XMATCH(A246,$A$2:$A$285,0,-1),FALSE)), "Código de barras duplicado", ""), IF(AND(E246&lt;&gt;"", COUNTIF($E$2:$E$285, E246)&gt;1), "SKU duplicado", ""), IF(OR(J246="", J246=""), "[Aviso] División no capturada ()", IF(ISNA(MATCH(J246, Criterios!$A$123:$A$126, 0)), "División no válida", "")), IF(OR(K246="", K246=""), "[Aviso] Categoría no capturada ()", IF(ISNA(MATCH(K246, Criterios!$A$81:$A$120, 0)), "Categoría no válida", IF(AND(J246&lt;&gt;"", J246&lt;&gt;"", J246&lt;&gt;VLOOKUP(K246, Criterios!$A$81:$B$120, 2, FALSE)), "División no coincide con Categoría", ""))), IF(OR(L246="", L246=""), "[Aviso] Género no capturado ()", IF(ISNA(MATCH(L246, Criterios!$B$123:$B$127, 0)), "Género no válido", "")), IF(OR(N246="", N246=""), "[Aviso] Temporada no capturada ()", IF(ISNA(MATCH(N246, Criterios!$C$123:$C$128, 0)), "Temporada no válida", "")), IF(OR(O246="", O246=""), "[Aviso] Ciclo de vida no capturado ()", IF(ISNA(MATCH(O246, Criterios!$D$123:$D$124, 0)), "Ciclo de vida no válido", ""))))</f>
        <v/>
      </c>
      <c r="AC246" s="56" t="n"/>
      <c r="AD246" s="51" t="n"/>
      <c r="AE246" s="156" t="n"/>
      <c r="AF246" s="51" t="n"/>
      <c r="AG246" s="156" t="inlineStr">
        <is>
          <t>Nuevo – Odoo Universal Unique Brands 01/10/2026</t>
        </is>
      </c>
      <c r="AH246" s="156" t="inlineStr">
        <is>
          <t>01/10/2026: alta desde Odoo Universal Unique Brands (no existía en Productos por código de barras ni SKU) | Talla tomada del sufijo del SKU (XL); Categoría: Palabra clave "Chamarra" en tipo/categoría de la fuente (Ropa / Chamarra) | Homologación G1522 06/10/2026: WB N.º de estilo: «» → «03-097-0616-6222» (Completado por regla) · Validador Shopify: WB: precio con IVA no termina en 9</t>
        </is>
      </c>
      <c r="AI246" s="156" t="n"/>
      <c r="AJ246" s="156" t="n"/>
      <c r="AK246" s="155" t="inlineStr">
        <is>
          <t>Odoo: producto 21050 / plantilla 27053</t>
        </is>
      </c>
      <c r="AL246" s="58" t="n"/>
      <c r="AM246" s="58" t="n"/>
      <c r="AN246" s="155" t="inlineStr">
        <is>
          <t>Odoo Universal Unique Brands</t>
        </is>
      </c>
      <c r="AO246" s="59" t="n"/>
      <c r="AP246" s="59" t="n"/>
      <c r="AQ246" s="59" t="n">
        <v>2</v>
      </c>
      <c r="AR246" s="155" t="inlineStr">
        <is>
          <t>Odoo Universal Unique Brands › Bodega 25 › Bodega 25/General: 2</t>
        </is>
      </c>
    </row>
    <row r="247">
      <c r="A247" s="50" t="inlineStr">
        <is>
          <t>199168059088</t>
        </is>
      </c>
      <c r="B247" s="51" t="n"/>
      <c r="C247" s="156" t="inlineStr">
        <is>
          <t>Roper</t>
        </is>
      </c>
      <c r="D247" s="156" t="inlineStr">
        <is>
          <t>03-097-0616-6223</t>
        </is>
      </c>
      <c r="E247" s="156" t="inlineStr">
        <is>
          <t>03-097-0616-6223 BR-2XL</t>
        </is>
      </c>
      <c r="F247" s="156" t="inlineStr">
        <is>
          <t>XXL</t>
        </is>
      </c>
      <c r="G247" s="156" t="inlineStr">
        <is>
          <t>XXL</t>
        </is>
      </c>
      <c r="H247" s="156" t="inlineStr">
        <is>
          <t>Roper</t>
        </is>
      </c>
      <c r="I247" s="156" t="inlineStr">
        <is>
          <t>ROPER Outerwear Perf Canvas Quilted</t>
        </is>
      </c>
      <c r="J247" s="156" t="inlineStr">
        <is>
          <t>Ropa</t>
        </is>
      </c>
      <c r="K247" s="156" t="inlineStr">
        <is>
          <t>Camisas</t>
        </is>
      </c>
      <c r="L247" s="156" t="n"/>
      <c r="M247" s="156" t="n"/>
      <c r="N247" s="156" t="n"/>
      <c r="O247" s="156" t="n"/>
      <c r="P247" s="156" t="n"/>
      <c r="Q247" s="156" t="n"/>
      <c r="R247" s="156" t="n"/>
      <c r="S247" s="156" t="n"/>
      <c r="T247" s="156" t="n"/>
      <c r="U247" s="156" t="n"/>
      <c r="V247" s="156" t="inlineStr">
        <is>
          <t>PZS</t>
        </is>
      </c>
      <c r="W247" s="51" t="inlineStr">
        <is>
          <t>53101802</t>
        </is>
      </c>
      <c r="X247" s="156" t="n"/>
      <c r="Y247" s="54" t="n">
        <v>39.53</v>
      </c>
      <c r="Z247" s="54" t="n">
        <v>1029</v>
      </c>
      <c r="AA247" s="55">
        <f>IF(AND(A247="", B247="", E247=""), "", IF(AB247="", "Válido", IF((LEN(AB247)-LEN(SUBSTITUTE(AB247,"; ","")))/2+1&gt;(LEN(AB247)-LEN(SUBSTITUTE(AB247,"[Aviso]","")))/7, "Con Incidencias", "Válido")))</f>
        <v/>
      </c>
      <c r="AB247" s="56">
        <f>IF(AND(A247="", B247="", E247=""), "", TEXTJOIN("; ", TRUE, IF(OR(TRIM(A247&amp;"")="", ISNUMBER(SEARCH("FALTA", A247))), "UPC faltante/inválido", ""), IF(AND(A247&lt;&gt;"", IFERROR(_xlfn.XMATCH(A247,$A$2:$A$285,0,1)&lt;&gt;_xlfn.XMATCH(A247,$A$2:$A$285,0,-1),FALSE)), "Código de barras duplicado", ""), IF(AND(E247&lt;&gt;"", COUNTIF($E$2:$E$285, E247)&gt;1), "SKU duplicado", ""), IF(OR(J247="", J247=""), "[Aviso] División no capturada ()", IF(ISNA(MATCH(J247, Criterios!$A$123:$A$126, 0)), "División no válida", "")), IF(OR(K247="", K247=""), "[Aviso] Categoría no capturada ()", IF(ISNA(MATCH(K247, Criterios!$A$81:$A$120, 0)), "Categoría no válida", IF(AND(J247&lt;&gt;"", J247&lt;&gt;"", J247&lt;&gt;VLOOKUP(K247, Criterios!$A$81:$B$120, 2, FALSE)), "División no coincide con Categoría", ""))), IF(OR(L247="", L247=""), "[Aviso] Género no capturado ()", IF(ISNA(MATCH(L247, Criterios!$B$123:$B$127, 0)), "Género no válido", "")), IF(OR(N247="", N247=""), "[Aviso] Temporada no capturada ()", IF(ISNA(MATCH(N247, Criterios!$C$123:$C$128, 0)), "Temporada no válida", "")), IF(OR(O247="", O247=""), "[Aviso] Ciclo de vida no capturado ()", IF(ISNA(MATCH(O247, Criterios!$D$123:$D$124, 0)), "Ciclo de vida no válido", ""))))</f>
        <v/>
      </c>
      <c r="AC247" s="56" t="n"/>
      <c r="AD247" s="51" t="n"/>
      <c r="AE247" s="156" t="n"/>
      <c r="AF247" s="51" t="n"/>
      <c r="AG247" s="156" t="inlineStr">
        <is>
          <t>Nuevo – Odoo Universal Unique Brands 01/10/2026</t>
        </is>
      </c>
      <c r="AH24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«03-097-0616-6223» (Completado por regla) · Validador Shopify: WB: precio con IVA no termina en 9</t>
        </is>
      </c>
      <c r="AI247" s="156" t="n"/>
      <c r="AJ247" s="156" t="n"/>
      <c r="AK247" s="155" t="inlineStr">
        <is>
          <t>Odoo: producto 21046 / plantilla 27049</t>
        </is>
      </c>
      <c r="AL247" s="58" t="n"/>
      <c r="AM247" s="58" t="n"/>
      <c r="AN247" s="155" t="inlineStr">
        <is>
          <t>Odoo Universal Unique Brands</t>
        </is>
      </c>
      <c r="AO247" s="59" t="n"/>
      <c r="AP247" s="59" t="n"/>
      <c r="AQ247" s="59" t="n">
        <v>6</v>
      </c>
      <c r="AR247" s="155" t="inlineStr">
        <is>
          <t>Odoo Universal Unique Brands › Bodega 25 › Bodega 25/General: 6</t>
        </is>
      </c>
    </row>
    <row r="248">
      <c r="A248" s="50" t="inlineStr">
        <is>
          <t>199168059040</t>
        </is>
      </c>
      <c r="B248" s="51" t="n"/>
      <c r="C248" s="156" t="inlineStr">
        <is>
          <t>Roper</t>
        </is>
      </c>
      <c r="D248" s="156" t="inlineStr">
        <is>
          <t>03-097-0616-6223</t>
        </is>
      </c>
      <c r="E248" s="156" t="inlineStr">
        <is>
          <t>03-097-0616-6223 BR-L</t>
        </is>
      </c>
      <c r="F248" s="156" t="inlineStr">
        <is>
          <t>L</t>
        </is>
      </c>
      <c r="G248" s="156" t="inlineStr">
        <is>
          <t>L</t>
        </is>
      </c>
      <c r="H248" s="156" t="inlineStr">
        <is>
          <t>Roper</t>
        </is>
      </c>
      <c r="I248" s="156" t="inlineStr">
        <is>
          <t>ROPER Outerwear Perf Canvas Quilted</t>
        </is>
      </c>
      <c r="J248" s="156" t="inlineStr">
        <is>
          <t>Ropa</t>
        </is>
      </c>
      <c r="K248" s="156" t="inlineStr">
        <is>
          <t>Chamarras</t>
        </is>
      </c>
      <c r="L248" s="156" t="n"/>
      <c r="M248" s="156" t="n"/>
      <c r="N248" s="156" t="n"/>
      <c r="O248" s="156" t="n"/>
      <c r="P248" s="156" t="n"/>
      <c r="Q248" s="156" t="n"/>
      <c r="R248" s="156" t="n"/>
      <c r="S248" s="156" t="n"/>
      <c r="T248" s="156" t="n"/>
      <c r="U248" s="156" t="n"/>
      <c r="V248" s="156" t="inlineStr">
        <is>
          <t>PZS</t>
        </is>
      </c>
      <c r="W248" s="51" t="inlineStr">
        <is>
          <t>53101802</t>
        </is>
      </c>
      <c r="X248" s="156" t="n"/>
      <c r="Y248" s="54" t="n">
        <v>39.53</v>
      </c>
      <c r="Z248" s="54" t="n">
        <v>1029</v>
      </c>
      <c r="AA248" s="55">
        <f>IF(AND(A248="", B248="", E248=""), "", IF(AB248="", "Válido", IF((LEN(AB248)-LEN(SUBSTITUTE(AB248,"; ","")))/2+1&gt;(LEN(AB248)-LEN(SUBSTITUTE(AB248,"[Aviso]","")))/7, "Con Incidencias", "Válido")))</f>
        <v/>
      </c>
      <c r="AB248" s="56">
        <f>IF(AND(A248="", B248="", E248=""), "", TEXTJOIN("; ", TRUE, IF(OR(TRIM(A248&amp;"")="", ISNUMBER(SEARCH("FALTA", A248))), "UPC faltante/inválido", ""), IF(AND(A248&lt;&gt;"", IFERROR(_xlfn.XMATCH(A248,$A$2:$A$285,0,1)&lt;&gt;_xlfn.XMATCH(A248,$A$2:$A$285,0,-1),FALSE)), "Código de barras duplicado", ""), IF(AND(E248&lt;&gt;"", COUNTIF($E$2:$E$285, E248)&gt;1), "SKU duplicado", ""), IF(OR(J248="", J248=""), "[Aviso] División no capturada ()", IF(ISNA(MATCH(J248, Criterios!$A$123:$A$126, 0)), "División no válida", "")), IF(OR(K248="", K248=""), "[Aviso] Categoría no capturada ()", IF(ISNA(MATCH(K248, Criterios!$A$81:$A$120, 0)), "Categoría no válida", IF(AND(J248&lt;&gt;"", J248&lt;&gt;"", J248&lt;&gt;VLOOKUP(K248, Criterios!$A$81:$B$120, 2, FALSE)), "División no coincide con Categoría", ""))), IF(OR(L248="", L248=""), "[Aviso] Género no capturado ()", IF(ISNA(MATCH(L248, Criterios!$B$123:$B$127, 0)), "Género no válido", "")), IF(OR(N248="", N248=""), "[Aviso] Temporada no capturada ()", IF(ISNA(MATCH(N248, Criterios!$C$123:$C$128, 0)), "Temporada no válida", "")), IF(OR(O248="", O248=""), "[Aviso] Ciclo de vida no capturado ()", IF(ISNA(MATCH(O248, Criterios!$D$123:$D$124, 0)), "Ciclo de vida no válido", ""))))</f>
        <v/>
      </c>
      <c r="AC248" s="56" t="n"/>
      <c r="AD248" s="51" t="n"/>
      <c r="AE248" s="156" t="n"/>
      <c r="AF248" s="51" t="n"/>
      <c r="AG248" s="156" t="inlineStr">
        <is>
          <t>Nuevo – Odoo Universal Unique Brands 01/10/2026</t>
        </is>
      </c>
      <c r="AH248" s="156" t="inlineStr">
        <is>
          <t>01/10/2026: alta desde Odoo Universal Unique Brands (no existía en Productos por código de barras ni SKU) | Talla tomada del sufijo del SKU (L); Categoría: Palabra clave "Chamarra" en tipo/categoría de la fuente (Ropa / Chamarra) | Homologación G1522 06/10/2026: WB N.º de estilo: «» → «03-097-0616-6223» (Completado por regla) · Validador Shopify: WB: precio con IVA no termina en 9</t>
        </is>
      </c>
      <c r="AI248" s="156" t="n"/>
      <c r="AJ248" s="156" t="n"/>
      <c r="AK248" s="155" t="inlineStr">
        <is>
          <t>Odoo: producto 21044 / plantilla 27047</t>
        </is>
      </c>
      <c r="AL248" s="58" t="n"/>
      <c r="AM248" s="58" t="n"/>
      <c r="AN248" s="155" t="inlineStr">
        <is>
          <t>Odoo Universal Unique Brands</t>
        </is>
      </c>
      <c r="AO248" s="59" t="n"/>
      <c r="AP248" s="59" t="n"/>
      <c r="AQ248" s="59" t="n">
        <v>1</v>
      </c>
      <c r="AR248" s="155" t="inlineStr">
        <is>
          <t>Odoo Universal Unique Brands › Bodega 25 › Bodega 25/General: 1</t>
        </is>
      </c>
    </row>
    <row r="249">
      <c r="A249" s="50" t="inlineStr">
        <is>
          <t>199168059057</t>
        </is>
      </c>
      <c r="B249" s="51" t="n"/>
      <c r="C249" s="156" t="inlineStr">
        <is>
          <t>Roper</t>
        </is>
      </c>
      <c r="D249" s="156" t="inlineStr">
        <is>
          <t>03-097-0616-6223</t>
        </is>
      </c>
      <c r="E249" s="156" t="inlineStr">
        <is>
          <t>03-097-0616-6223 BR-M</t>
        </is>
      </c>
      <c r="F249" s="156" t="inlineStr">
        <is>
          <t>M</t>
        </is>
      </c>
      <c r="G249" s="156" t="inlineStr">
        <is>
          <t>M</t>
        </is>
      </c>
      <c r="H249" s="156" t="inlineStr">
        <is>
          <t>Roper</t>
        </is>
      </c>
      <c r="I249" s="156" t="inlineStr">
        <is>
          <t>ROPER Outerwear Perf Canvas Quilted</t>
        </is>
      </c>
      <c r="J249" s="156" t="inlineStr">
        <is>
          <t>Ropa</t>
        </is>
      </c>
      <c r="K249" s="156" t="inlineStr">
        <is>
          <t>Chamarras</t>
        </is>
      </c>
      <c r="L249" s="156" t="n"/>
      <c r="M249" s="156" t="n"/>
      <c r="N249" s="156" t="n"/>
      <c r="O249" s="156" t="n"/>
      <c r="P249" s="156" t="n"/>
      <c r="Q249" s="156" t="n"/>
      <c r="R249" s="156" t="n"/>
      <c r="S249" s="156" t="n"/>
      <c r="T249" s="156" t="n"/>
      <c r="U249" s="156" t="n"/>
      <c r="V249" s="156" t="inlineStr">
        <is>
          <t>PZS</t>
        </is>
      </c>
      <c r="W249" s="51" t="inlineStr">
        <is>
          <t>53101802</t>
        </is>
      </c>
      <c r="X249" s="156" t="n"/>
      <c r="Y249" s="54" t="n">
        <v>39.53</v>
      </c>
      <c r="Z249" s="54" t="n">
        <v>1029</v>
      </c>
      <c r="AA249" s="55">
        <f>IF(AND(A249="", B249="", E249=""), "", IF(AB249="", "Válido", IF((LEN(AB249)-LEN(SUBSTITUTE(AB249,"; ","")))/2+1&gt;(LEN(AB249)-LEN(SUBSTITUTE(AB249,"[Aviso]","")))/7, "Con Incidencias", "Válido")))</f>
        <v/>
      </c>
      <c r="AB249" s="56">
        <f>IF(AND(A249="", B249="", E249=""), "", TEXTJOIN("; ", TRUE, IF(OR(TRIM(A249&amp;"")="", ISNUMBER(SEARCH("FALTA", A249))), "UPC faltante/inválido", ""), IF(AND(A249&lt;&gt;"", IFERROR(_xlfn.XMATCH(A249,$A$2:$A$285,0,1)&lt;&gt;_xlfn.XMATCH(A249,$A$2:$A$285,0,-1),FALSE)), "Código de barras duplicado", ""), IF(AND(E249&lt;&gt;"", COUNTIF($E$2:$E$285, E249)&gt;1), "SKU duplicado", ""), IF(OR(J249="", J249=""), "[Aviso] División no capturada ()", IF(ISNA(MATCH(J249, Criterios!$A$123:$A$126, 0)), "División no válida", "")), IF(OR(K249="", K249=""), "[Aviso] Categoría no capturada ()", IF(ISNA(MATCH(K249, Criterios!$A$81:$A$120, 0)), "Categoría no válida", IF(AND(J249&lt;&gt;"", J249&lt;&gt;"", J249&lt;&gt;VLOOKUP(K249, Criterios!$A$81:$B$120, 2, FALSE)), "División no coincide con Categoría", ""))), IF(OR(L249="", L249=""), "[Aviso] Género no capturado ()", IF(ISNA(MATCH(L249, Criterios!$B$123:$B$127, 0)), "Género no válido", "")), IF(OR(N249="", N249=""), "[Aviso] Temporada no capturada ()", IF(ISNA(MATCH(N249, Criterios!$C$123:$C$128, 0)), "Temporada no válida", "")), IF(OR(O249="", O249=""), "[Aviso] Ciclo de vida no capturado ()", IF(ISNA(MATCH(O249, Criterios!$D$123:$D$124, 0)), "Ciclo de vida no válido", ""))))</f>
        <v/>
      </c>
      <c r="AC249" s="56" t="n"/>
      <c r="AD249" s="51" t="n"/>
      <c r="AE249" s="156" t="n"/>
      <c r="AF249" s="51" t="n"/>
      <c r="AG249" s="156" t="inlineStr">
        <is>
          <t>Nuevo – Odoo Universal Unique Brands 01/10/2026</t>
        </is>
      </c>
      <c r="AH249" s="156" t="inlineStr">
        <is>
          <t>01/10/2026: alta desde Odoo Universal Unique Brands (no existía en Productos por código de barras ni SKU) | Talla tomada del sufijo del SKU (M); Categoría: Palabra clave "Chamarra" en tipo/categoría de la fuente (Ropa / Chamarra) | Homologación G1522 06/10/2026: WB N.º de estilo: «» → «03-097-0616-6223» (Completado por regla) · Validador Shopify: WB: precio con IVA no termina en 9</t>
        </is>
      </c>
      <c r="AI249" s="156" t="n"/>
      <c r="AJ249" s="156" t="n"/>
      <c r="AK249" s="155" t="inlineStr">
        <is>
          <t>Odoo: producto 21043 / plantilla 27046</t>
        </is>
      </c>
      <c r="AL249" s="58" t="n"/>
      <c r="AM249" s="58" t="n"/>
      <c r="AN249" s="155" t="inlineStr">
        <is>
          <t>Odoo Universal Unique Brands</t>
        </is>
      </c>
      <c r="AO249" s="59" t="n"/>
      <c r="AP249" s="59" t="n"/>
      <c r="AQ249" s="59" t="n">
        <v>1</v>
      </c>
      <c r="AR249" s="155" t="inlineStr">
        <is>
          <t>Odoo Universal Unique Brands › Bodega 25 › Bodega 25/General: 1</t>
        </is>
      </c>
    </row>
    <row r="250">
      <c r="A250" s="50" t="inlineStr">
        <is>
          <t>199168059064</t>
        </is>
      </c>
      <c r="B250" s="51" t="n"/>
      <c r="C250" s="156" t="inlineStr">
        <is>
          <t>Roper</t>
        </is>
      </c>
      <c r="D250" s="156" t="inlineStr">
        <is>
          <t>03-097-0616-6223</t>
        </is>
      </c>
      <c r="E250" s="156" t="inlineStr">
        <is>
          <t>03-097-0616-6223 BR-S</t>
        </is>
      </c>
      <c r="F250" s="156" t="inlineStr">
        <is>
          <t>S</t>
        </is>
      </c>
      <c r="G250" s="156" t="inlineStr">
        <is>
          <t>S</t>
        </is>
      </c>
      <c r="H250" s="156" t="inlineStr">
        <is>
          <t>Roper</t>
        </is>
      </c>
      <c r="I250" s="156" t="inlineStr">
        <is>
          <t>ROPER Outerwear Perf Canvas Quilted</t>
        </is>
      </c>
      <c r="J250" s="156" t="inlineStr">
        <is>
          <t>Ropa</t>
        </is>
      </c>
      <c r="K250" s="156" t="inlineStr">
        <is>
          <t>Chamarras</t>
        </is>
      </c>
      <c r="L250" s="156" t="n"/>
      <c r="M250" s="156" t="n"/>
      <c r="N250" s="156" t="n"/>
      <c r="O250" s="156" t="n"/>
      <c r="P250" s="156" t="n"/>
      <c r="Q250" s="156" t="n"/>
      <c r="R250" s="156" t="n"/>
      <c r="S250" s="156" t="n"/>
      <c r="T250" s="156" t="n"/>
      <c r="U250" s="156" t="n"/>
      <c r="V250" s="156" t="inlineStr">
        <is>
          <t>PZS</t>
        </is>
      </c>
      <c r="W250" s="51" t="inlineStr">
        <is>
          <t>53101802</t>
        </is>
      </c>
      <c r="X250" s="156" t="n"/>
      <c r="Y250" s="54" t="n">
        <v>39.53</v>
      </c>
      <c r="Z250" s="54" t="n">
        <v>1029</v>
      </c>
      <c r="AA250" s="55">
        <f>IF(AND(A250="", B250="", E250=""), "", IF(AB250="", "Válido", IF((LEN(AB250)-LEN(SUBSTITUTE(AB250,"; ","")))/2+1&gt;(LEN(AB250)-LEN(SUBSTITUTE(AB250,"[Aviso]","")))/7, "Con Incidencias", "Válido")))</f>
        <v/>
      </c>
      <c r="AB250" s="56">
        <f>IF(AND(A250="", B250="", E250=""), "", TEXTJOIN("; ", TRUE, IF(OR(TRIM(A250&amp;"")="", ISNUMBER(SEARCH("FALTA", A250))), "UPC faltante/inválido", ""), IF(AND(A250&lt;&gt;"", IFERROR(_xlfn.XMATCH(A250,$A$2:$A$285,0,1)&lt;&gt;_xlfn.XMATCH(A250,$A$2:$A$285,0,-1),FALSE)), "Código de barras duplicado", ""), IF(AND(E250&lt;&gt;"", COUNTIF($E$2:$E$285, E250)&gt;1), "SKU duplicado", ""), IF(OR(J250="", J250=""), "[Aviso] División no capturada ()", IF(ISNA(MATCH(J250, Criterios!$A$123:$A$126, 0)), "División no válida", "")), IF(OR(K250="", K250=""), "[Aviso] Categoría no capturada ()", IF(ISNA(MATCH(K250, Criterios!$A$81:$A$120, 0)), "Categoría no válida", IF(AND(J250&lt;&gt;"", J250&lt;&gt;"", J250&lt;&gt;VLOOKUP(K250, Criterios!$A$81:$B$120, 2, FALSE)), "División no coincide con Categoría", ""))), IF(OR(L250="", L250=""), "[Aviso] Género no capturado ()", IF(ISNA(MATCH(L250, Criterios!$B$123:$B$127, 0)), "Género no válido", "")), IF(OR(N250="", N250=""), "[Aviso] Temporada no capturada ()", IF(ISNA(MATCH(N250, Criterios!$C$123:$C$128, 0)), "Temporada no válida", "")), IF(OR(O250="", O250=""), "[Aviso] Ciclo de vida no capturado ()", IF(ISNA(MATCH(O250, Criterios!$D$123:$D$124, 0)), "Ciclo de vida no válido", ""))))</f>
        <v/>
      </c>
      <c r="AC250" s="56" t="n"/>
      <c r="AD250" s="51" t="n"/>
      <c r="AE250" s="156" t="n"/>
      <c r="AF250" s="51" t="n"/>
      <c r="AG250" s="156" t="inlineStr">
        <is>
          <t>Nuevo – Odoo Universal Unique Brands 01/10/2026</t>
        </is>
      </c>
      <c r="AH250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«03-097-0616-6223» (Completado por regla) · Validador Shopify: WB: precio con IVA no termina en 9</t>
        </is>
      </c>
      <c r="AI250" s="156" t="n"/>
      <c r="AJ250" s="156" t="n"/>
      <c r="AK250" s="155" t="inlineStr">
        <is>
          <t>Odoo: producto 21042 / plantilla 27045</t>
        </is>
      </c>
      <c r="AL250" s="58" t="n"/>
      <c r="AM250" s="58" t="n"/>
      <c r="AN250" s="155" t="inlineStr">
        <is>
          <t>Odoo Universal Unique Brands</t>
        </is>
      </c>
      <c r="AO250" s="59" t="n"/>
      <c r="AP250" s="59" t="n"/>
      <c r="AQ250" s="59" t="n">
        <v>3</v>
      </c>
      <c r="AR250" s="155" t="inlineStr">
        <is>
          <t>Odoo Universal Unique Brands › Bodega 25 › Bodega 25/General: 3</t>
        </is>
      </c>
    </row>
    <row r="251">
      <c r="A251" s="50" t="inlineStr">
        <is>
          <t>199168059071</t>
        </is>
      </c>
      <c r="B251" s="51" t="n"/>
      <c r="C251" s="156" t="inlineStr">
        <is>
          <t>Roper</t>
        </is>
      </c>
      <c r="D251" s="156" t="inlineStr">
        <is>
          <t>03-097-0616-6223</t>
        </is>
      </c>
      <c r="E251" s="156" t="inlineStr">
        <is>
          <t>03-097-0616-6223 BR-XL</t>
        </is>
      </c>
      <c r="F251" s="156" t="inlineStr">
        <is>
          <t>XL</t>
        </is>
      </c>
      <c r="G251" s="156" t="inlineStr">
        <is>
          <t>XL</t>
        </is>
      </c>
      <c r="H251" s="156" t="inlineStr">
        <is>
          <t>Roper</t>
        </is>
      </c>
      <c r="I251" s="156" t="inlineStr">
        <is>
          <t>ROPER Outerwear Perf Canvas Quilted</t>
        </is>
      </c>
      <c r="J251" s="156" t="inlineStr">
        <is>
          <t>Ropa</t>
        </is>
      </c>
      <c r="K251" s="156" t="inlineStr">
        <is>
          <t>Chamarras</t>
        </is>
      </c>
      <c r="L251" s="156" t="n"/>
      <c r="M251" s="156" t="n"/>
      <c r="N251" s="156" t="n"/>
      <c r="O251" s="156" t="n"/>
      <c r="P251" s="156" t="n"/>
      <c r="Q251" s="156" t="n"/>
      <c r="R251" s="156" t="n"/>
      <c r="S251" s="156" t="n"/>
      <c r="T251" s="156" t="n"/>
      <c r="U251" s="156" t="n"/>
      <c r="V251" s="156" t="inlineStr">
        <is>
          <t>PZS</t>
        </is>
      </c>
      <c r="W251" s="51" t="inlineStr">
        <is>
          <t>53101802</t>
        </is>
      </c>
      <c r="X251" s="156" t="n"/>
      <c r="Y251" s="54" t="n">
        <v>39.53</v>
      </c>
      <c r="Z251" s="54" t="n">
        <v>1029</v>
      </c>
      <c r="AA251" s="55">
        <f>IF(AND(A251="", B251="", E251=""), "", IF(AB251="", "Válido", IF((LEN(AB251)-LEN(SUBSTITUTE(AB251,"; ","")))/2+1&gt;(LEN(AB251)-LEN(SUBSTITUTE(AB251,"[Aviso]","")))/7, "Con Incidencias", "Válido")))</f>
        <v/>
      </c>
      <c r="AB251" s="56">
        <f>IF(AND(A251="", B251="", E251=""), "", TEXTJOIN("; ", TRUE, IF(OR(TRIM(A251&amp;"")="", ISNUMBER(SEARCH("FALTA", A251))), "UPC faltante/inválido", ""), IF(AND(A251&lt;&gt;"", IFERROR(_xlfn.XMATCH(A251,$A$2:$A$285,0,1)&lt;&gt;_xlfn.XMATCH(A251,$A$2:$A$285,0,-1),FALSE)), "Código de barras duplicado", ""), IF(AND(E251&lt;&gt;"", COUNTIF($E$2:$E$285, E251)&gt;1), "SKU duplicado", ""), IF(OR(J251="", J251=""), "[Aviso] División no capturada ()", IF(ISNA(MATCH(J251, Criterios!$A$123:$A$126, 0)), "División no válida", "")), IF(OR(K251="", K251=""), "[Aviso] Categoría no capturada ()", IF(ISNA(MATCH(K251, Criterios!$A$81:$A$120, 0)), "Categoría no válida", IF(AND(J251&lt;&gt;"", J251&lt;&gt;"", J251&lt;&gt;VLOOKUP(K251, Criterios!$A$81:$B$120, 2, FALSE)), "División no coincide con Categoría", ""))), IF(OR(L251="", L251=""), "[Aviso] Género no capturado ()", IF(ISNA(MATCH(L251, Criterios!$B$123:$B$127, 0)), "Género no válido", "")), IF(OR(N251="", N251=""), "[Aviso] Temporada no capturada ()", IF(ISNA(MATCH(N251, Criterios!$C$123:$C$128, 0)), "Temporada no válida", "")), IF(OR(O251="", O251=""), "[Aviso] Ciclo de vida no capturado ()", IF(ISNA(MATCH(O251, Criterios!$D$123:$D$124, 0)), "Ciclo de vida no válido", ""))))</f>
        <v/>
      </c>
      <c r="AC251" s="56" t="n"/>
      <c r="AD251" s="51" t="n"/>
      <c r="AE251" s="156" t="n"/>
      <c r="AF251" s="51" t="n"/>
      <c r="AG251" s="156" t="inlineStr">
        <is>
          <t>Nuevo – Odoo Universal Unique Brands 01/10/2026</t>
        </is>
      </c>
      <c r="AH251" s="156" t="inlineStr">
        <is>
          <t>01/10/2026: alta desde Odoo Universal Unique Brands (no existía en Productos por código de barras ni SKU) | Talla tomada del sufijo del SKU (XL); Categoría: Palabra clave "Chamarra" en tipo/categoría de la fuente (Ropa / Chamarra) | Homologación G1522 06/10/2026: WB N.º de estilo: «» → «03-097-0616-6223» (Completado por regla) · Validador Shopify: WB: precio con IVA no termina en 9</t>
        </is>
      </c>
      <c r="AI251" s="156" t="n"/>
      <c r="AJ251" s="156" t="n"/>
      <c r="AK251" s="155" t="inlineStr">
        <is>
          <t>Odoo: producto 21045 / plantilla 27048</t>
        </is>
      </c>
      <c r="AL251" s="58" t="n"/>
      <c r="AM251" s="58" t="n"/>
      <c r="AN251" s="155" t="inlineStr">
        <is>
          <t>Odoo Universal Unique Brands</t>
        </is>
      </c>
      <c r="AO251" s="59" t="n"/>
      <c r="AP251" s="59" t="n"/>
      <c r="AQ251" s="59" t="n">
        <v>2</v>
      </c>
      <c r="AR251" s="155" t="inlineStr">
        <is>
          <t>Odoo Universal Unique Brands › Bodega 25 › Bodega 25/General: 2</t>
        </is>
      </c>
    </row>
    <row r="252">
      <c r="A252" s="50" t="inlineStr">
        <is>
          <t>199168059149</t>
        </is>
      </c>
      <c r="B252" s="51" t="n"/>
      <c r="C252" s="156" t="inlineStr">
        <is>
          <t>Roper</t>
        </is>
      </c>
      <c r="D252" s="156" t="inlineStr">
        <is>
          <t>03-097-0617-6222</t>
        </is>
      </c>
      <c r="E252" s="156" t="inlineStr">
        <is>
          <t>03-097-0617-6222 GR-2XL</t>
        </is>
      </c>
      <c r="F252" s="156" t="inlineStr">
        <is>
          <t>XXL</t>
        </is>
      </c>
      <c r="G252" s="156" t="inlineStr">
        <is>
          <t>XXL</t>
        </is>
      </c>
      <c r="H252" s="156" t="inlineStr">
        <is>
          <t>Roper</t>
        </is>
      </c>
      <c r="I252" s="156" t="inlineStr">
        <is>
          <t>ROPER Outerwear Perf Canvas Quilted</t>
        </is>
      </c>
      <c r="J252" s="156" t="inlineStr">
        <is>
          <t>Ropa</t>
        </is>
      </c>
      <c r="K252" s="156" t="inlineStr">
        <is>
          <t>Camisas</t>
        </is>
      </c>
      <c r="L252" s="156" t="n"/>
      <c r="M252" s="156" t="n"/>
      <c r="N252" s="156" t="n"/>
      <c r="O252" s="156" t="n"/>
      <c r="P252" s="156" t="n"/>
      <c r="Q252" s="156" t="n"/>
      <c r="R252" s="156" t="n"/>
      <c r="S252" s="156" t="n"/>
      <c r="T252" s="156" t="n"/>
      <c r="U252" s="156" t="n"/>
      <c r="V252" s="156" t="inlineStr">
        <is>
          <t>PZS</t>
        </is>
      </c>
      <c r="W252" s="51" t="inlineStr">
        <is>
          <t>53101802</t>
        </is>
      </c>
      <c r="X252" s="156" t="n"/>
      <c r="Y252" s="54" t="n">
        <v>32.55</v>
      </c>
      <c r="Z252" s="54" t="n">
        <v>869</v>
      </c>
      <c r="AA252" s="55">
        <f>IF(AND(A252="", B252="", E252=""), "", IF(AB252="", "Válido", IF((LEN(AB252)-LEN(SUBSTITUTE(AB252,"; ","")))/2+1&gt;(LEN(AB252)-LEN(SUBSTITUTE(AB252,"[Aviso]","")))/7, "Con Incidencias", "Válido")))</f>
        <v/>
      </c>
      <c r="AB252" s="56">
        <f>IF(AND(A252="", B252="", E252=""), "", TEXTJOIN("; ", TRUE, IF(OR(TRIM(A252&amp;"")="", ISNUMBER(SEARCH("FALTA", A252))), "UPC faltante/inválido", ""), IF(AND(A252&lt;&gt;"", IFERROR(_xlfn.XMATCH(A252,$A$2:$A$285,0,1)&lt;&gt;_xlfn.XMATCH(A252,$A$2:$A$285,0,-1),FALSE)), "Código de barras duplicado", ""), IF(AND(E252&lt;&gt;"", COUNTIF($E$2:$E$285, E252)&gt;1), "SKU duplicado", ""), IF(OR(J252="", J252=""), "[Aviso] División no capturada ()", IF(ISNA(MATCH(J252, Criterios!$A$123:$A$126, 0)), "División no válida", "")), IF(OR(K252="", K252=""), "[Aviso] Categoría no capturada ()", IF(ISNA(MATCH(K252, Criterios!$A$81:$A$120, 0)), "Categoría no válida", IF(AND(J252&lt;&gt;"", J252&lt;&gt;"", J252&lt;&gt;VLOOKUP(K252, Criterios!$A$81:$B$120, 2, FALSE)), "División no coincide con Categoría", ""))), IF(OR(L252="", L252=""), "[Aviso] Género no capturado ()", IF(ISNA(MATCH(L252, Criterios!$B$123:$B$127, 0)), "Género no válido", "")), IF(OR(N252="", N252=""), "[Aviso] Temporada no capturada ()", IF(ISNA(MATCH(N252, Criterios!$C$123:$C$128, 0)), "Temporada no válida", "")), IF(OR(O252="", O252=""), "[Aviso] Ciclo de vida no capturado ()", IF(ISNA(MATCH(O252, Criterios!$D$123:$D$124, 0)), "Ciclo de vida no válido", ""))))</f>
        <v/>
      </c>
      <c r="AC252" s="56" t="n"/>
      <c r="AD252" s="51" t="n"/>
      <c r="AE252" s="156" t="n"/>
      <c r="AF252" s="51" t="n"/>
      <c r="AG252" s="156" t="inlineStr">
        <is>
          <t>Nuevo – Odoo Universal Unique Brands 01/10/2026</t>
        </is>
      </c>
      <c r="AH252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«03-097-0617-6222» (Completado por regla) · Validador Shopify: WB: precio con IVA no termina en 9</t>
        </is>
      </c>
      <c r="AI252" s="156" t="n"/>
      <c r="AJ252" s="156" t="n"/>
      <c r="AK252" s="155" t="inlineStr">
        <is>
          <t>Odoo: producto 21056 / plantilla 27059</t>
        </is>
      </c>
      <c r="AL252" s="58" t="n"/>
      <c r="AM252" s="58" t="n"/>
      <c r="AN252" s="155" t="inlineStr">
        <is>
          <t>Odoo Universal Unique Brands</t>
        </is>
      </c>
      <c r="AO252" s="59" t="n"/>
      <c r="AP252" s="59" t="n"/>
      <c r="AQ252" s="59" t="n">
        <v>7</v>
      </c>
      <c r="AR252" s="155" t="inlineStr">
        <is>
          <t>Odoo Universal Unique Brands › Bodega 25 › Bodega 25/General: 7</t>
        </is>
      </c>
    </row>
    <row r="253">
      <c r="A253" s="50" t="inlineStr">
        <is>
          <t>199168059101</t>
        </is>
      </c>
      <c r="B253" s="51" t="n"/>
      <c r="C253" s="156" t="inlineStr">
        <is>
          <t>Roper</t>
        </is>
      </c>
      <c r="D253" s="156" t="inlineStr">
        <is>
          <t>03-097-0617-6222</t>
        </is>
      </c>
      <c r="E253" s="156" t="inlineStr">
        <is>
          <t>03-097-0617-6222 GR-L</t>
        </is>
      </c>
      <c r="F253" s="156" t="inlineStr">
        <is>
          <t>L</t>
        </is>
      </c>
      <c r="G253" s="156" t="inlineStr">
        <is>
          <t>L</t>
        </is>
      </c>
      <c r="H253" s="156" t="inlineStr">
        <is>
          <t>Roper</t>
        </is>
      </c>
      <c r="I253" s="156" t="inlineStr">
        <is>
          <t>ROPER Outerwear Perf Canvas Quilted</t>
        </is>
      </c>
      <c r="J253" s="156" t="inlineStr">
        <is>
          <t>Ropa</t>
        </is>
      </c>
      <c r="K253" s="156" t="inlineStr">
        <is>
          <t>Chamarras</t>
        </is>
      </c>
      <c r="L253" s="156" t="n"/>
      <c r="M253" s="156" t="n"/>
      <c r="N253" s="156" t="n"/>
      <c r="O253" s="156" t="n"/>
      <c r="P253" s="156" t="n"/>
      <c r="Q253" s="156" t="n"/>
      <c r="R253" s="156" t="n"/>
      <c r="S253" s="156" t="n"/>
      <c r="T253" s="156" t="n"/>
      <c r="U253" s="156" t="n"/>
      <c r="V253" s="156" t="inlineStr">
        <is>
          <t>PZS</t>
        </is>
      </c>
      <c r="W253" s="51" t="inlineStr">
        <is>
          <t>53101802</t>
        </is>
      </c>
      <c r="X253" s="156" t="n"/>
      <c r="Y253" s="54" t="n">
        <v>32.55</v>
      </c>
      <c r="Z253" s="54" t="n">
        <v>869</v>
      </c>
      <c r="AA253" s="55">
        <f>IF(AND(A253="", B253="", E253=""), "", IF(AB253="", "Válido", IF((LEN(AB253)-LEN(SUBSTITUTE(AB253,"; ","")))/2+1&gt;(LEN(AB253)-LEN(SUBSTITUTE(AB253,"[Aviso]","")))/7, "Con Incidencias", "Válido")))</f>
        <v/>
      </c>
      <c r="AB253" s="56">
        <f>IF(AND(A253="", B253="", E253=""), "", TEXTJOIN("; ", TRUE, IF(OR(TRIM(A253&amp;"")="", ISNUMBER(SEARCH("FALTA", A253))), "UPC faltante/inválido", ""), IF(AND(A253&lt;&gt;"", IFERROR(_xlfn.XMATCH(A253,$A$2:$A$285,0,1)&lt;&gt;_xlfn.XMATCH(A253,$A$2:$A$285,0,-1),FALSE)), "Código de barras duplicado", ""), IF(AND(E253&lt;&gt;"", COUNTIF($E$2:$E$285, E253)&gt;1), "SKU duplicado", ""), IF(OR(J253="", J253=""), "[Aviso] División no capturada ()", IF(ISNA(MATCH(J253, Criterios!$A$123:$A$126, 0)), "División no válida", "")), IF(OR(K253="", K253=""), "[Aviso] Categoría no capturada ()", IF(ISNA(MATCH(K253, Criterios!$A$81:$A$120, 0)), "Categoría no válida", IF(AND(J253&lt;&gt;"", J253&lt;&gt;"", J253&lt;&gt;VLOOKUP(K253, Criterios!$A$81:$B$120, 2, FALSE)), "División no coincide con Categoría", ""))), IF(OR(L253="", L253=""), "[Aviso] Género no capturado ()", IF(ISNA(MATCH(L253, Criterios!$B$123:$B$127, 0)), "Género no válido", "")), IF(OR(N253="", N253=""), "[Aviso] Temporada no capturada ()", IF(ISNA(MATCH(N253, Criterios!$C$123:$C$128, 0)), "Temporada no válida", "")), IF(OR(O253="", O253=""), "[Aviso] Ciclo de vida no capturado ()", IF(ISNA(MATCH(O253, Criterios!$D$123:$D$124, 0)), "Ciclo de vida no válido", ""))))</f>
        <v/>
      </c>
      <c r="AC253" s="56" t="n"/>
      <c r="AD253" s="51" t="n"/>
      <c r="AE253" s="156" t="n"/>
      <c r="AF253" s="51" t="n"/>
      <c r="AG253" s="156" t="inlineStr">
        <is>
          <t>Nuevo – Odoo Universal Unique Brands 01/10/2026</t>
        </is>
      </c>
      <c r="AH253" s="156" t="inlineStr">
        <is>
          <t>01/10/2026: alta desde Odoo Universal Unique Brands (no existía en Productos por código de barras ni SKU) | Talla tomada del sufijo del SKU (L); Categoría: Palabra clave "Chamarra" en tipo/categoría de la fuente (Ropa / Chamarra) | Homologación G1522 06/10/2026: WB N.º de estilo: «» → «03-097-0617-6222» (Completado por regla) · Validador Shopify: WB: precio con IVA no termina en 9</t>
        </is>
      </c>
      <c r="AI253" s="156" t="n"/>
      <c r="AJ253" s="156" t="n"/>
      <c r="AK253" s="155" t="inlineStr">
        <is>
          <t>Odoo: producto 21054 / plantilla 27057</t>
        </is>
      </c>
      <c r="AL253" s="58" t="n"/>
      <c r="AM253" s="58" t="n"/>
      <c r="AN253" s="155" t="inlineStr">
        <is>
          <t>Odoo Universal Unique Brands</t>
        </is>
      </c>
      <c r="AO253" s="59" t="n"/>
      <c r="AP253" s="59" t="n"/>
      <c r="AQ253" s="59" t="n">
        <v>11</v>
      </c>
      <c r="AR253" s="155" t="inlineStr">
        <is>
          <t>Odoo Universal Unique Brands › Bodega 25 › Bodega 25/General: 11</t>
        </is>
      </c>
    </row>
    <row r="254">
      <c r="A254" s="50" t="inlineStr">
        <is>
          <t>199168059118</t>
        </is>
      </c>
      <c r="B254" s="51" t="n"/>
      <c r="C254" s="156" t="inlineStr">
        <is>
          <t>Roper</t>
        </is>
      </c>
      <c r="D254" s="156" t="inlineStr">
        <is>
          <t>03-097-0617-6222</t>
        </is>
      </c>
      <c r="E254" s="156" t="inlineStr">
        <is>
          <t>03-097-0617-6222 GR-M</t>
        </is>
      </c>
      <c r="F254" s="156" t="inlineStr">
        <is>
          <t>M</t>
        </is>
      </c>
      <c r="G254" s="156" t="inlineStr">
        <is>
          <t>M</t>
        </is>
      </c>
      <c r="H254" s="156" t="inlineStr">
        <is>
          <t>Roper</t>
        </is>
      </c>
      <c r="I254" s="156" t="inlineStr">
        <is>
          <t>ROPER Outerwear Perf Canvas Quilted</t>
        </is>
      </c>
      <c r="J254" s="156" t="inlineStr">
        <is>
          <t>Ropa</t>
        </is>
      </c>
      <c r="K254" s="156" t="inlineStr">
        <is>
          <t>Chamarras</t>
        </is>
      </c>
      <c r="L254" s="156" t="n"/>
      <c r="M254" s="156" t="n"/>
      <c r="N254" s="156" t="n"/>
      <c r="O254" s="156" t="n"/>
      <c r="P254" s="156" t="n"/>
      <c r="Q254" s="156" t="n"/>
      <c r="R254" s="156" t="n"/>
      <c r="S254" s="156" t="n"/>
      <c r="T254" s="156" t="n"/>
      <c r="U254" s="156" t="n"/>
      <c r="V254" s="156" t="inlineStr">
        <is>
          <t>PZS</t>
        </is>
      </c>
      <c r="W254" s="51" t="inlineStr">
        <is>
          <t>53101802</t>
        </is>
      </c>
      <c r="X254" s="156" t="n"/>
      <c r="Y254" s="54" t="n">
        <v>32.55</v>
      </c>
      <c r="Z254" s="54" t="n">
        <v>869</v>
      </c>
      <c r="AA254" s="55">
        <f>IF(AND(A254="", B254="", E254=""), "", IF(AB254="", "Válido", IF((LEN(AB254)-LEN(SUBSTITUTE(AB254,"; ","")))/2+1&gt;(LEN(AB254)-LEN(SUBSTITUTE(AB254,"[Aviso]","")))/7, "Con Incidencias", "Válido")))</f>
        <v/>
      </c>
      <c r="AB254" s="56">
        <f>IF(AND(A254="", B254="", E254=""), "", TEXTJOIN("; ", TRUE, IF(OR(TRIM(A254&amp;"")="", ISNUMBER(SEARCH("FALTA", A254))), "UPC faltante/inválido", ""), IF(AND(A254&lt;&gt;"", IFERROR(_xlfn.XMATCH(A254,$A$2:$A$285,0,1)&lt;&gt;_xlfn.XMATCH(A254,$A$2:$A$285,0,-1),FALSE)), "Código de barras duplicado", ""), IF(AND(E254&lt;&gt;"", COUNTIF($E$2:$E$285, E254)&gt;1), "SKU duplicado", ""), IF(OR(J254="", J254=""), "[Aviso] División no capturada ()", IF(ISNA(MATCH(J254, Criterios!$A$123:$A$126, 0)), "División no válida", "")), IF(OR(K254="", K254=""), "[Aviso] Categoría no capturada ()", IF(ISNA(MATCH(K254, Criterios!$A$81:$A$120, 0)), "Categoría no válida", IF(AND(J254&lt;&gt;"", J254&lt;&gt;"", J254&lt;&gt;VLOOKUP(K254, Criterios!$A$81:$B$120, 2, FALSE)), "División no coincide con Categoría", ""))), IF(OR(L254="", L254=""), "[Aviso] Género no capturado ()", IF(ISNA(MATCH(L254, Criterios!$B$123:$B$127, 0)), "Género no válido", "")), IF(OR(N254="", N254=""), "[Aviso] Temporada no capturada ()", IF(ISNA(MATCH(N254, Criterios!$C$123:$C$128, 0)), "Temporada no válida", "")), IF(OR(O254="", O254=""), "[Aviso] Ciclo de vida no capturado ()", IF(ISNA(MATCH(O254, Criterios!$D$123:$D$124, 0)), "Ciclo de vida no válido", ""))))</f>
        <v/>
      </c>
      <c r="AC254" s="56" t="n"/>
      <c r="AD254" s="51" t="n"/>
      <c r="AE254" s="156" t="n"/>
      <c r="AF254" s="51" t="n"/>
      <c r="AG254" s="156" t="inlineStr">
        <is>
          <t>Nuevo – Odoo Universal Unique Brands 01/10/2026</t>
        </is>
      </c>
      <c r="AH254" s="156" t="inlineStr">
        <is>
          <t>01/10/2026: alta desde Odoo Universal Unique Brands (no existía en Productos por código de barras ni SKU) | Talla tomada del sufijo del SKU (M); Categoría: Palabra clave "Chamarra" en tipo/categoría de la fuente (Ropa / Chamarra) | Homologación G1522 06/10/2026: WB N.º de estilo: «» → «03-097-0617-6222» (Completado por regla) · Validador Shopify: WB: precio con IVA no termina en 9</t>
        </is>
      </c>
      <c r="AI254" s="156" t="n"/>
      <c r="AJ254" s="156" t="n"/>
      <c r="AK254" s="155" t="inlineStr">
        <is>
          <t>Odoo: producto 21053 / plantilla 27056</t>
        </is>
      </c>
      <c r="AL254" s="58" t="n"/>
      <c r="AM254" s="58" t="n"/>
      <c r="AN254" s="155" t="inlineStr">
        <is>
          <t>Odoo Universal Unique Brands</t>
        </is>
      </c>
      <c r="AO254" s="59" t="n"/>
      <c r="AP254" s="59" t="n"/>
      <c r="AQ254" s="59" t="n">
        <v>5</v>
      </c>
      <c r="AR254" s="155" t="inlineStr">
        <is>
          <t>Odoo Universal Unique Brands › Bodega 25 › Bodega 25/General: 5</t>
        </is>
      </c>
    </row>
    <row r="255">
      <c r="A255" s="50" t="inlineStr">
        <is>
          <t>199168059125</t>
        </is>
      </c>
      <c r="B255" s="51" t="n"/>
      <c r="C255" s="156" t="inlineStr">
        <is>
          <t>Roper</t>
        </is>
      </c>
      <c r="D255" s="156" t="inlineStr">
        <is>
          <t>03-097-0617-6222</t>
        </is>
      </c>
      <c r="E255" s="156" t="inlineStr">
        <is>
          <t>03-097-0617-6222 GR-S</t>
        </is>
      </c>
      <c r="F255" s="156" t="inlineStr">
        <is>
          <t>S</t>
        </is>
      </c>
      <c r="G255" s="156" t="inlineStr">
        <is>
          <t>S</t>
        </is>
      </c>
      <c r="H255" s="156" t="inlineStr">
        <is>
          <t>Roper</t>
        </is>
      </c>
      <c r="I255" s="156" t="inlineStr">
        <is>
          <t>ROPER Outerwear Perf Canvas Quilted</t>
        </is>
      </c>
      <c r="J255" s="156" t="inlineStr">
        <is>
          <t>Ropa</t>
        </is>
      </c>
      <c r="K255" s="156" t="inlineStr">
        <is>
          <t>Chamarras</t>
        </is>
      </c>
      <c r="L255" s="156" t="n"/>
      <c r="M255" s="156" t="n"/>
      <c r="N255" s="156" t="n"/>
      <c r="O255" s="156" t="n"/>
      <c r="P255" s="156" t="n"/>
      <c r="Q255" s="156" t="n"/>
      <c r="R255" s="156" t="n"/>
      <c r="S255" s="156" t="n"/>
      <c r="T255" s="156" t="n"/>
      <c r="U255" s="156" t="n"/>
      <c r="V255" s="156" t="inlineStr">
        <is>
          <t>PZS</t>
        </is>
      </c>
      <c r="W255" s="51" t="inlineStr">
        <is>
          <t>53101802</t>
        </is>
      </c>
      <c r="X255" s="156" t="n"/>
      <c r="Y255" s="54" t="n">
        <v>32.55</v>
      </c>
      <c r="Z255" s="54" t="n">
        <v>869</v>
      </c>
      <c r="AA255" s="55">
        <f>IF(AND(A255="", B255="", E255=""), "", IF(AB255="", "Válido", IF((LEN(AB255)-LEN(SUBSTITUTE(AB255,"; ","")))/2+1&gt;(LEN(AB255)-LEN(SUBSTITUTE(AB255,"[Aviso]","")))/7, "Con Incidencias", "Válido")))</f>
        <v/>
      </c>
      <c r="AB255" s="56">
        <f>IF(AND(A255="", B255="", E255=""), "", TEXTJOIN("; ", TRUE, IF(OR(TRIM(A255&amp;"")="", ISNUMBER(SEARCH("FALTA", A255))), "UPC faltante/inválido", ""), IF(AND(A255&lt;&gt;"", IFERROR(_xlfn.XMATCH(A255,$A$2:$A$285,0,1)&lt;&gt;_xlfn.XMATCH(A255,$A$2:$A$285,0,-1),FALSE)), "Código de barras duplicado", ""), IF(AND(E255&lt;&gt;"", COUNTIF($E$2:$E$285, E255)&gt;1), "SKU duplicado", ""), IF(OR(J255="", J255=""), "[Aviso] División no capturada ()", IF(ISNA(MATCH(J255, Criterios!$A$123:$A$126, 0)), "División no válida", "")), IF(OR(K255="", K255=""), "[Aviso] Categoría no capturada ()", IF(ISNA(MATCH(K255, Criterios!$A$81:$A$120, 0)), "Categoría no válida", IF(AND(J255&lt;&gt;"", J255&lt;&gt;"", J255&lt;&gt;VLOOKUP(K255, Criterios!$A$81:$B$120, 2, FALSE)), "División no coincide con Categoría", ""))), IF(OR(L255="", L255=""), "[Aviso] Género no capturado ()", IF(ISNA(MATCH(L255, Criterios!$B$123:$B$127, 0)), "Género no válido", "")), IF(OR(N255="", N255=""), "[Aviso] Temporada no capturada ()", IF(ISNA(MATCH(N255, Criterios!$C$123:$C$128, 0)), "Temporada no válida", "")), IF(OR(O255="", O255=""), "[Aviso] Ciclo de vida no capturado ()", IF(ISNA(MATCH(O255, Criterios!$D$123:$D$124, 0)), "Ciclo de vida no válido", ""))))</f>
        <v/>
      </c>
      <c r="AC255" s="56" t="n"/>
      <c r="AD255" s="51" t="n"/>
      <c r="AE255" s="156" t="n"/>
      <c r="AF255" s="51" t="n"/>
      <c r="AG255" s="156" t="inlineStr">
        <is>
          <t>Nuevo – Odoo Universal Unique Brands 01/10/2026</t>
        </is>
      </c>
      <c r="AH255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«03-097-0617-6222» (Completado por regla) · Validador Shopify: WB: precio con IVA no termina en 9</t>
        </is>
      </c>
      <c r="AI255" s="156" t="n"/>
      <c r="AJ255" s="156" t="n"/>
      <c r="AK255" s="155" t="inlineStr">
        <is>
          <t>Odoo: producto 21052 / plantilla 27055</t>
        </is>
      </c>
      <c r="AL255" s="58" t="n"/>
      <c r="AM255" s="58" t="n"/>
      <c r="AN255" s="155" t="inlineStr">
        <is>
          <t>Odoo Universal Unique Brands</t>
        </is>
      </c>
      <c r="AO255" s="59" t="n"/>
      <c r="AP255" s="59" t="n"/>
      <c r="AQ255" s="59" t="n">
        <v>0</v>
      </c>
      <c r="AR255" s="155" t="n"/>
    </row>
    <row r="256">
      <c r="A256" s="50" t="inlineStr">
        <is>
          <t>199168059132</t>
        </is>
      </c>
      <c r="B256" s="51" t="n"/>
      <c r="C256" s="156" t="inlineStr">
        <is>
          <t>Roper</t>
        </is>
      </c>
      <c r="D256" s="156" t="inlineStr">
        <is>
          <t>03-097-0617-6222</t>
        </is>
      </c>
      <c r="E256" s="156" t="inlineStr">
        <is>
          <t>03-097-0617-6222 GR-XL</t>
        </is>
      </c>
      <c r="F256" s="156" t="inlineStr">
        <is>
          <t>XL</t>
        </is>
      </c>
      <c r="G256" s="156" t="inlineStr">
        <is>
          <t>XL</t>
        </is>
      </c>
      <c r="H256" s="156" t="inlineStr">
        <is>
          <t>Roper</t>
        </is>
      </c>
      <c r="I256" s="156" t="inlineStr">
        <is>
          <t>ROPER Outerwear Perf Canvas Quilted</t>
        </is>
      </c>
      <c r="J256" s="156" t="inlineStr">
        <is>
          <t>Ropa</t>
        </is>
      </c>
      <c r="K256" s="156" t="inlineStr">
        <is>
          <t>Chamarras</t>
        </is>
      </c>
      <c r="L256" s="156" t="n"/>
      <c r="M256" s="156" t="n"/>
      <c r="N256" s="156" t="n"/>
      <c r="O256" s="156" t="n"/>
      <c r="P256" s="156" t="n"/>
      <c r="Q256" s="156" t="n"/>
      <c r="R256" s="156" t="n"/>
      <c r="S256" s="156" t="n"/>
      <c r="T256" s="156" t="n"/>
      <c r="U256" s="156" t="n"/>
      <c r="V256" s="156" t="inlineStr">
        <is>
          <t>PZS</t>
        </is>
      </c>
      <c r="W256" s="51" t="inlineStr">
        <is>
          <t>53101802</t>
        </is>
      </c>
      <c r="X256" s="156" t="n"/>
      <c r="Y256" s="54" t="n">
        <v>32.55</v>
      </c>
      <c r="Z256" s="54" t="n">
        <v>869</v>
      </c>
      <c r="AA256" s="55">
        <f>IF(AND(A256="", B256="", E256=""), "", IF(AB256="", "Válido", IF((LEN(AB256)-LEN(SUBSTITUTE(AB256,"; ","")))/2+1&gt;(LEN(AB256)-LEN(SUBSTITUTE(AB256,"[Aviso]","")))/7, "Con Incidencias", "Válido")))</f>
        <v/>
      </c>
      <c r="AB256" s="56">
        <f>IF(AND(A256="", B256="", E256=""), "", TEXTJOIN("; ", TRUE, IF(OR(TRIM(A256&amp;"")="", ISNUMBER(SEARCH("FALTA", A256))), "UPC faltante/inválido", ""), IF(AND(A256&lt;&gt;"", IFERROR(_xlfn.XMATCH(A256,$A$2:$A$285,0,1)&lt;&gt;_xlfn.XMATCH(A256,$A$2:$A$285,0,-1),FALSE)), "Código de barras duplicado", ""), IF(AND(E256&lt;&gt;"", COUNTIF($E$2:$E$285, E256)&gt;1), "SKU duplicado", ""), IF(OR(J256="", J256=""), "[Aviso] División no capturada ()", IF(ISNA(MATCH(J256, Criterios!$A$123:$A$126, 0)), "División no válida", "")), IF(OR(K256="", K256=""), "[Aviso] Categoría no capturada ()", IF(ISNA(MATCH(K256, Criterios!$A$81:$A$120, 0)), "Categoría no válida", IF(AND(J256&lt;&gt;"", J256&lt;&gt;"", J256&lt;&gt;VLOOKUP(K256, Criterios!$A$81:$B$120, 2, FALSE)), "División no coincide con Categoría", ""))), IF(OR(L256="", L256=""), "[Aviso] Género no capturado ()", IF(ISNA(MATCH(L256, Criterios!$B$123:$B$127, 0)), "Género no válido", "")), IF(OR(N256="", N256=""), "[Aviso] Temporada no capturada ()", IF(ISNA(MATCH(N256, Criterios!$C$123:$C$128, 0)), "Temporada no válida", "")), IF(OR(O256="", O256=""), "[Aviso] Ciclo de vida no capturado ()", IF(ISNA(MATCH(O256, Criterios!$D$123:$D$124, 0)), "Ciclo de vida no válido", ""))))</f>
        <v/>
      </c>
      <c r="AC256" s="56" t="n"/>
      <c r="AD256" s="51" t="n"/>
      <c r="AE256" s="156" t="n"/>
      <c r="AF256" s="51" t="n"/>
      <c r="AG256" s="156" t="inlineStr">
        <is>
          <t>Nuevo – Odoo Universal Unique Brands 01/10/2026</t>
        </is>
      </c>
      <c r="AH256" s="156" t="inlineStr">
        <is>
          <t>01/10/2026: alta desde Odoo Universal Unique Brands (no existía en Productos por código de barras ni SKU) | Talla tomada del sufijo del SKU (XL); Categoría: Palabra clave "Chamarra" en tipo/categoría de la fuente (Ropa / Chamarra) | Homologación G1522 06/10/2026: WB N.º de estilo: «» → «03-097-0617-6222» (Completado por regla) · Validador Shopify: WB: precio con IVA no termina en 9</t>
        </is>
      </c>
      <c r="AI256" s="156" t="n"/>
      <c r="AJ256" s="156" t="n"/>
      <c r="AK256" s="155" t="inlineStr">
        <is>
          <t>Odoo: producto 21055 / plantilla 27058</t>
        </is>
      </c>
      <c r="AL256" s="58" t="n"/>
      <c r="AM256" s="58" t="n"/>
      <c r="AN256" s="155" t="inlineStr">
        <is>
          <t>Odoo Universal Unique Brands</t>
        </is>
      </c>
      <c r="AO256" s="59" t="n"/>
      <c r="AP256" s="59" t="n"/>
      <c r="AQ256" s="59" t="n">
        <v>15</v>
      </c>
      <c r="AR256" s="155" t="inlineStr">
        <is>
          <t>Odoo Universal Unique Brands › Bodega 25 › Bodega 25/General: 15</t>
        </is>
      </c>
    </row>
    <row r="257">
      <c r="A257" s="50" t="inlineStr">
        <is>
          <t>199168059200</t>
        </is>
      </c>
      <c r="B257" s="51" t="n"/>
      <c r="C257" s="156" t="inlineStr">
        <is>
          <t>Roper</t>
        </is>
      </c>
      <c r="D257" s="156" t="inlineStr">
        <is>
          <t>03-097-0617-6223</t>
        </is>
      </c>
      <c r="E257" s="156" t="inlineStr">
        <is>
          <t>03-097-0617-6223 BR-2XL</t>
        </is>
      </c>
      <c r="F257" s="156" t="inlineStr">
        <is>
          <t>XXL</t>
        </is>
      </c>
      <c r="G257" s="156" t="inlineStr">
        <is>
          <t>XXL</t>
        </is>
      </c>
      <c r="H257" s="156" t="inlineStr">
        <is>
          <t>Roper</t>
        </is>
      </c>
      <c r="I257" s="156" t="inlineStr">
        <is>
          <t>ROPER Outerwear Perf Canvas Quilted</t>
        </is>
      </c>
      <c r="J257" s="156" t="inlineStr">
        <is>
          <t>Ropa</t>
        </is>
      </c>
      <c r="K257" s="156" t="inlineStr">
        <is>
          <t>Camisas</t>
        </is>
      </c>
      <c r="L257" s="156" t="n"/>
      <c r="M257" s="156" t="n"/>
      <c r="N257" s="156" t="n"/>
      <c r="O257" s="156" t="n"/>
      <c r="P257" s="156" t="n"/>
      <c r="Q257" s="156" t="n"/>
      <c r="R257" s="156" t="n"/>
      <c r="S257" s="156" t="n"/>
      <c r="T257" s="156" t="n"/>
      <c r="U257" s="156" t="n"/>
      <c r="V257" s="156" t="inlineStr">
        <is>
          <t>PZS</t>
        </is>
      </c>
      <c r="W257" s="51" t="inlineStr">
        <is>
          <t>53101802</t>
        </is>
      </c>
      <c r="X257" s="156" t="n"/>
      <c r="Y257" s="54" t="n">
        <v>32.55</v>
      </c>
      <c r="Z257" s="54" t="n">
        <v>869</v>
      </c>
      <c r="AA257" s="55">
        <f>IF(AND(A257="", B257="", E257=""), "", IF(AB257="", "Válido", IF((LEN(AB257)-LEN(SUBSTITUTE(AB257,"; ","")))/2+1&gt;(LEN(AB257)-LEN(SUBSTITUTE(AB257,"[Aviso]","")))/7, "Con Incidencias", "Válido")))</f>
        <v/>
      </c>
      <c r="AB257" s="56">
        <f>IF(AND(A257="", B257="", E257=""), "", TEXTJOIN("; ", TRUE, IF(OR(TRIM(A257&amp;"")="", ISNUMBER(SEARCH("FALTA", A257))), "UPC faltante/inválido", ""), IF(AND(A257&lt;&gt;"", IFERROR(_xlfn.XMATCH(A257,$A$2:$A$285,0,1)&lt;&gt;_xlfn.XMATCH(A257,$A$2:$A$285,0,-1),FALSE)), "Código de barras duplicado", ""), IF(AND(E257&lt;&gt;"", COUNTIF($E$2:$E$285, E257)&gt;1), "SKU duplicado", ""), IF(OR(J257="", J257=""), "[Aviso] División no capturada ()", IF(ISNA(MATCH(J257, Criterios!$A$123:$A$126, 0)), "División no válida", "")), IF(OR(K257="", K257=""), "[Aviso] Categoría no capturada ()", IF(ISNA(MATCH(K257, Criterios!$A$81:$A$120, 0)), "Categoría no válida", IF(AND(J257&lt;&gt;"", J257&lt;&gt;"", J257&lt;&gt;VLOOKUP(K257, Criterios!$A$81:$B$120, 2, FALSE)), "División no coincide con Categoría", ""))), IF(OR(L257="", L257=""), "[Aviso] Género no capturado ()", IF(ISNA(MATCH(L257, Criterios!$B$123:$B$127, 0)), "Género no válido", "")), IF(OR(N257="", N257=""), "[Aviso] Temporada no capturada ()", IF(ISNA(MATCH(N257, Criterios!$C$123:$C$128, 0)), "Temporada no válida", "")), IF(OR(O257="", O257=""), "[Aviso] Ciclo de vida no capturado ()", IF(ISNA(MATCH(O257, Criterios!$D$123:$D$124, 0)), "Ciclo de vida no válido", ""))))</f>
        <v/>
      </c>
      <c r="AC257" s="56" t="n"/>
      <c r="AD257" s="51" t="n"/>
      <c r="AE257" s="156" t="n"/>
      <c r="AF257" s="51" t="n"/>
      <c r="AG257" s="156" t="inlineStr">
        <is>
          <t>Nuevo – Odoo Universal Unique Brands 01/10/2026</t>
        </is>
      </c>
      <c r="AH257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 | Homologación G1522 06/10/2026: WB N.º de estilo: «» → «03-097-0617-6223» (Completado por regla) · Validador Shopify: WB: precio con IVA no termina en 9</t>
        </is>
      </c>
      <c r="AI257" s="156" t="n"/>
      <c r="AJ257" s="156" t="n"/>
      <c r="AK257" s="155" t="inlineStr">
        <is>
          <t>Odoo: producto 21128 / plantilla 27131</t>
        </is>
      </c>
      <c r="AL257" s="58" t="n"/>
      <c r="AM257" s="58" t="n"/>
      <c r="AN257" s="155" t="inlineStr">
        <is>
          <t>Odoo Universal Unique Brands</t>
        </is>
      </c>
      <c r="AO257" s="59" t="n"/>
      <c r="AP257" s="59" t="n"/>
      <c r="AQ257" s="59" t="n">
        <v>7</v>
      </c>
      <c r="AR257" s="155" t="inlineStr">
        <is>
          <t>Odoo Universal Unique Brands › Bodega 25 › Bodega 25/General: 7</t>
        </is>
      </c>
    </row>
    <row r="258">
      <c r="A258" s="50" t="inlineStr">
        <is>
          <t>199168059163</t>
        </is>
      </c>
      <c r="B258" s="51" t="n"/>
      <c r="C258" s="156" t="inlineStr">
        <is>
          <t>Roper</t>
        </is>
      </c>
      <c r="D258" s="156" t="inlineStr">
        <is>
          <t>03-097-0617-6223</t>
        </is>
      </c>
      <c r="E258" s="156" t="inlineStr">
        <is>
          <t>03-097-0617-6223 BR-L</t>
        </is>
      </c>
      <c r="F258" s="156" t="inlineStr">
        <is>
          <t>L</t>
        </is>
      </c>
      <c r="G258" s="156" t="inlineStr">
        <is>
          <t>L</t>
        </is>
      </c>
      <c r="H258" s="156" t="inlineStr">
        <is>
          <t>Roper</t>
        </is>
      </c>
      <c r="I258" s="156" t="inlineStr">
        <is>
          <t>ROPER Outerwear Perf Canvas Quilted</t>
        </is>
      </c>
      <c r="J258" s="156" t="inlineStr">
        <is>
          <t>Ropa</t>
        </is>
      </c>
      <c r="K258" s="156" t="inlineStr">
        <is>
          <t>Chamarras</t>
        </is>
      </c>
      <c r="L258" s="156" t="n"/>
      <c r="M258" s="156" t="n"/>
      <c r="N258" s="156" t="n"/>
      <c r="O258" s="156" t="n"/>
      <c r="P258" s="156" t="n"/>
      <c r="Q258" s="156" t="n"/>
      <c r="R258" s="156" t="n"/>
      <c r="S258" s="156" t="n"/>
      <c r="T258" s="156" t="n"/>
      <c r="U258" s="156" t="n"/>
      <c r="V258" s="156" t="inlineStr">
        <is>
          <t>PZS</t>
        </is>
      </c>
      <c r="W258" s="51" t="inlineStr">
        <is>
          <t>53101802</t>
        </is>
      </c>
      <c r="X258" s="156" t="n"/>
      <c r="Y258" s="54" t="n">
        <v>32.55</v>
      </c>
      <c r="Z258" s="54" t="n">
        <v>869</v>
      </c>
      <c r="AA258" s="55">
        <f>IF(AND(A258="", B258="", E258=""), "", IF(AB258="", "Válido", IF((LEN(AB258)-LEN(SUBSTITUTE(AB258,"; ","")))/2+1&gt;(LEN(AB258)-LEN(SUBSTITUTE(AB258,"[Aviso]","")))/7, "Con Incidencias", "Válido")))</f>
        <v/>
      </c>
      <c r="AB258" s="56">
        <f>IF(AND(A258="", B258="", E258=""), "", TEXTJOIN("; ", TRUE, IF(OR(TRIM(A258&amp;"")="", ISNUMBER(SEARCH("FALTA", A258))), "UPC faltante/inválido", ""), IF(AND(A258&lt;&gt;"", IFERROR(_xlfn.XMATCH(A258,$A$2:$A$285,0,1)&lt;&gt;_xlfn.XMATCH(A258,$A$2:$A$285,0,-1),FALSE)), "Código de barras duplicado", ""), IF(AND(E258&lt;&gt;"", COUNTIF($E$2:$E$285, E258)&gt;1), "SKU duplicado", ""), IF(OR(J258="", J258=""), "[Aviso] División no capturada ()", IF(ISNA(MATCH(J258, Criterios!$A$123:$A$126, 0)), "División no válida", "")), IF(OR(K258="", K258=""), "[Aviso] Categoría no capturada ()", IF(ISNA(MATCH(K258, Criterios!$A$81:$A$120, 0)), "Categoría no válida", IF(AND(J258&lt;&gt;"", J258&lt;&gt;"", J258&lt;&gt;VLOOKUP(K258, Criterios!$A$81:$B$120, 2, FALSE)), "División no coincide con Categoría", ""))), IF(OR(L258="", L258=""), "[Aviso] Género no capturado ()", IF(ISNA(MATCH(L258, Criterios!$B$123:$B$127, 0)), "Género no válido", "")), IF(OR(N258="", N258=""), "[Aviso] Temporada no capturada ()", IF(ISNA(MATCH(N258, Criterios!$C$123:$C$128, 0)), "Temporada no válida", "")), IF(OR(O258="", O258=""), "[Aviso] Ciclo de vida no capturado ()", IF(ISNA(MATCH(O258, Criterios!$D$123:$D$124, 0)), "Ciclo de vida no válido", ""))))</f>
        <v/>
      </c>
      <c r="AC258" s="56" t="n"/>
      <c r="AD258" s="51" t="n"/>
      <c r="AE258" s="156" t="n"/>
      <c r="AF258" s="51" t="n"/>
      <c r="AG258" s="156" t="inlineStr">
        <is>
          <t>Nuevo – Odoo Universal Unique Brands 01/10/2026</t>
        </is>
      </c>
      <c r="AH258" s="156" t="inlineStr">
        <is>
          <t>01/10/2026: alta desde Odoo Universal Unique Brands (no existía en Productos por código de barras ni SKU) | Talla tomada del sufijo del SKU (L); Categoría: Palabra clave "Chamarra" en tipo/categoría de la fuente (Ropa / Chamarra) | Homologación G1522 06/10/2026: WB N.º de estilo: «» → «03-097-0617-6223» (Completado por regla) · Validador Shopify: WB: precio con IVA no termina en 9</t>
        </is>
      </c>
      <c r="AI258" s="156" t="n"/>
      <c r="AJ258" s="156" t="n"/>
      <c r="AK258" s="155" t="inlineStr">
        <is>
          <t>Odoo: producto 21126 / plantilla 27129</t>
        </is>
      </c>
      <c r="AL258" s="58" t="n"/>
      <c r="AM258" s="58" t="n"/>
      <c r="AN258" s="155" t="inlineStr">
        <is>
          <t>Odoo Universal Unique Brands</t>
        </is>
      </c>
      <c r="AO258" s="59" t="n"/>
      <c r="AP258" s="59" t="n"/>
      <c r="AQ258" s="59" t="n">
        <v>11</v>
      </c>
      <c r="AR258" s="155" t="inlineStr">
        <is>
          <t>Odoo Universal Unique Brands › Bodega 25 › Bodega 25/General: 11</t>
        </is>
      </c>
    </row>
    <row r="259">
      <c r="A259" s="50" t="inlineStr">
        <is>
          <t>199168059170</t>
        </is>
      </c>
      <c r="B259" s="51" t="n"/>
      <c r="C259" s="156" t="inlineStr">
        <is>
          <t>Roper</t>
        </is>
      </c>
      <c r="D259" s="156" t="inlineStr">
        <is>
          <t>03-097-0617-6223</t>
        </is>
      </c>
      <c r="E259" s="156" t="inlineStr">
        <is>
          <t>03-097-0617-6223 BR-M</t>
        </is>
      </c>
      <c r="F259" s="156" t="inlineStr">
        <is>
          <t>M</t>
        </is>
      </c>
      <c r="G259" s="156" t="inlineStr">
        <is>
          <t>M</t>
        </is>
      </c>
      <c r="H259" s="156" t="inlineStr">
        <is>
          <t>Roper</t>
        </is>
      </c>
      <c r="I259" s="156" t="inlineStr">
        <is>
          <t>ROPER Outerwear Perf Canvas Quilted</t>
        </is>
      </c>
      <c r="J259" s="156" t="inlineStr">
        <is>
          <t>Ropa</t>
        </is>
      </c>
      <c r="K259" s="156" t="inlineStr">
        <is>
          <t>Chamarras</t>
        </is>
      </c>
      <c r="L259" s="156" t="n"/>
      <c r="M259" s="156" t="n"/>
      <c r="N259" s="156" t="n"/>
      <c r="O259" s="156" t="n"/>
      <c r="P259" s="156" t="n"/>
      <c r="Q259" s="156" t="n"/>
      <c r="R259" s="156" t="n"/>
      <c r="S259" s="156" t="n"/>
      <c r="T259" s="156" t="n"/>
      <c r="U259" s="156" t="n"/>
      <c r="V259" s="156" t="inlineStr">
        <is>
          <t>PZS</t>
        </is>
      </c>
      <c r="W259" s="51" t="inlineStr">
        <is>
          <t>53101802</t>
        </is>
      </c>
      <c r="X259" s="156" t="n"/>
      <c r="Y259" s="54" t="n">
        <v>32.55</v>
      </c>
      <c r="Z259" s="54" t="n">
        <v>869</v>
      </c>
      <c r="AA259" s="55">
        <f>IF(AND(A259="", B259="", E259=""), "", IF(AB259="", "Válido", IF((LEN(AB259)-LEN(SUBSTITUTE(AB259,"; ","")))/2+1&gt;(LEN(AB259)-LEN(SUBSTITUTE(AB259,"[Aviso]","")))/7, "Con Incidencias", "Válido")))</f>
        <v/>
      </c>
      <c r="AB259" s="56">
        <f>IF(AND(A259="", B259="", E259=""), "", TEXTJOIN("; ", TRUE, IF(OR(TRIM(A259&amp;"")="", ISNUMBER(SEARCH("FALTA", A259))), "UPC faltante/inválido", ""), IF(AND(A259&lt;&gt;"", IFERROR(_xlfn.XMATCH(A259,$A$2:$A$285,0,1)&lt;&gt;_xlfn.XMATCH(A259,$A$2:$A$285,0,-1),FALSE)), "Código de barras duplicado", ""), IF(AND(E259&lt;&gt;"", COUNTIF($E$2:$E$285, E259)&gt;1), "SKU duplicado", ""), IF(OR(J259="", J259=""), "[Aviso] División no capturada ()", IF(ISNA(MATCH(J259, Criterios!$A$123:$A$126, 0)), "División no válida", "")), IF(OR(K259="", K259=""), "[Aviso] Categoría no capturada ()", IF(ISNA(MATCH(K259, Criterios!$A$81:$A$120, 0)), "Categoría no válida", IF(AND(J259&lt;&gt;"", J259&lt;&gt;"", J259&lt;&gt;VLOOKUP(K259, Criterios!$A$81:$B$120, 2, FALSE)), "División no coincide con Categoría", ""))), IF(OR(L259="", L259=""), "[Aviso] Género no capturado ()", IF(ISNA(MATCH(L259, Criterios!$B$123:$B$127, 0)), "Género no válido", "")), IF(OR(N259="", N259=""), "[Aviso] Temporada no capturada ()", IF(ISNA(MATCH(N259, Criterios!$C$123:$C$128, 0)), "Temporada no válida", "")), IF(OR(O259="", O259=""), "[Aviso] Ciclo de vida no capturado ()", IF(ISNA(MATCH(O259, Criterios!$D$123:$D$124, 0)), "Ciclo de vida no válido", ""))))</f>
        <v/>
      </c>
      <c r="AC259" s="56" t="n"/>
      <c r="AD259" s="51" t="n"/>
      <c r="AE259" s="156" t="n"/>
      <c r="AF259" s="51" t="n"/>
      <c r="AG259" s="156" t="inlineStr">
        <is>
          <t>Nuevo – Odoo Universal Unique Brands 01/10/2026</t>
        </is>
      </c>
      <c r="AH259" s="156" t="inlineStr">
        <is>
          <t>01/10/2026: alta desde Odoo Universal Unique Brands (no existía en Productos por código de barras ni SKU) | Talla tomada del sufijo del SKU (M); Categoría: Palabra clave "Chamarra" en tipo/categoría de la fuente (Ropa / Chamarra) | Homologación G1522 06/10/2026: WB N.º de estilo: «» → «03-097-0617-6223» (Completado por regla) · Validador Shopify: WB: precio con IVA no termina en 9</t>
        </is>
      </c>
      <c r="AI259" s="156" t="n"/>
      <c r="AJ259" s="156" t="n"/>
      <c r="AK259" s="155" t="inlineStr">
        <is>
          <t>Odoo: producto 21125 / plantilla 27128</t>
        </is>
      </c>
      <c r="AL259" s="58" t="n"/>
      <c r="AM259" s="58" t="n"/>
      <c r="AN259" s="155" t="inlineStr">
        <is>
          <t>Odoo Universal Unique Brands</t>
        </is>
      </c>
      <c r="AO259" s="59" t="n"/>
      <c r="AP259" s="59" t="n"/>
      <c r="AQ259" s="59" t="n">
        <v>8</v>
      </c>
      <c r="AR259" s="155" t="inlineStr">
        <is>
          <t>Odoo Universal Unique Brands › Bodega 25 › Bodega 25/General: 8</t>
        </is>
      </c>
    </row>
    <row r="260">
      <c r="A260" s="50" t="inlineStr">
        <is>
          <t>199168059187</t>
        </is>
      </c>
      <c r="B260" s="51" t="n"/>
      <c r="C260" s="156" t="inlineStr">
        <is>
          <t>Roper</t>
        </is>
      </c>
      <c r="D260" s="156" t="inlineStr">
        <is>
          <t>03-097-0617-6223</t>
        </is>
      </c>
      <c r="E260" s="156" t="inlineStr">
        <is>
          <t>03-097-0617-6223 BR-S</t>
        </is>
      </c>
      <c r="F260" s="156" t="inlineStr">
        <is>
          <t>S</t>
        </is>
      </c>
      <c r="G260" s="156" t="inlineStr">
        <is>
          <t>S</t>
        </is>
      </c>
      <c r="H260" s="156" t="inlineStr">
        <is>
          <t>Roper</t>
        </is>
      </c>
      <c r="I260" s="156" t="inlineStr">
        <is>
          <t>ROPER Outerwear Perf Canvas Quilted</t>
        </is>
      </c>
      <c r="J260" s="156" t="inlineStr">
        <is>
          <t>Ropa</t>
        </is>
      </c>
      <c r="K260" s="156" t="inlineStr">
        <is>
          <t>Chamarras</t>
        </is>
      </c>
      <c r="L260" s="156" t="n"/>
      <c r="M260" s="156" t="n"/>
      <c r="N260" s="156" t="n"/>
      <c r="O260" s="156" t="n"/>
      <c r="P260" s="156" t="n"/>
      <c r="Q260" s="156" t="n"/>
      <c r="R260" s="156" t="n"/>
      <c r="S260" s="156" t="n"/>
      <c r="T260" s="156" t="n"/>
      <c r="U260" s="156" t="n"/>
      <c r="V260" s="156" t="inlineStr">
        <is>
          <t>PZS</t>
        </is>
      </c>
      <c r="W260" s="51" t="inlineStr">
        <is>
          <t>53101802</t>
        </is>
      </c>
      <c r="X260" s="156" t="n"/>
      <c r="Y260" s="54" t="n">
        <v>32.55</v>
      </c>
      <c r="Z260" s="54" t="n">
        <v>869</v>
      </c>
      <c r="AA260" s="55">
        <f>IF(AND(A260="", B260="", E260=""), "", IF(AB260="", "Válido", IF((LEN(AB260)-LEN(SUBSTITUTE(AB260,"; ","")))/2+1&gt;(LEN(AB260)-LEN(SUBSTITUTE(AB260,"[Aviso]","")))/7, "Con Incidencias", "Válido")))</f>
        <v/>
      </c>
      <c r="AB260" s="56">
        <f>IF(AND(A260="", B260="", E260=""), "", TEXTJOIN("; ", TRUE, IF(OR(TRIM(A260&amp;"")="", ISNUMBER(SEARCH("FALTA", A260))), "UPC faltante/inválido", ""), IF(AND(A260&lt;&gt;"", IFERROR(_xlfn.XMATCH(A260,$A$2:$A$285,0,1)&lt;&gt;_xlfn.XMATCH(A260,$A$2:$A$285,0,-1),FALSE)), "Código de barras duplicado", ""), IF(AND(E260&lt;&gt;"", COUNTIF($E$2:$E$285, E260)&gt;1), "SKU duplicado", ""), IF(OR(J260="", J260=""), "[Aviso] División no capturada ()", IF(ISNA(MATCH(J260, Criterios!$A$123:$A$126, 0)), "División no válida", "")), IF(OR(K260="", K260=""), "[Aviso] Categoría no capturada ()", IF(ISNA(MATCH(K260, Criterios!$A$81:$A$120, 0)), "Categoría no válida", IF(AND(J260&lt;&gt;"", J260&lt;&gt;"", J260&lt;&gt;VLOOKUP(K260, Criterios!$A$81:$B$120, 2, FALSE)), "División no coincide con Categoría", ""))), IF(OR(L260="", L260=""), "[Aviso] Género no capturado ()", IF(ISNA(MATCH(L260, Criterios!$B$123:$B$127, 0)), "Género no válido", "")), IF(OR(N260="", N260=""), "[Aviso] Temporada no capturada ()", IF(ISNA(MATCH(N260, Criterios!$C$123:$C$128, 0)), "Temporada no válida", "")), IF(OR(O260="", O260=""), "[Aviso] Ciclo de vida no capturado ()", IF(ISNA(MATCH(O260, Criterios!$D$123:$D$124, 0)), "Ciclo de vida no válido", ""))))</f>
        <v/>
      </c>
      <c r="AC260" s="56" t="n"/>
      <c r="AD260" s="51" t="n"/>
      <c r="AE260" s="156" t="n"/>
      <c r="AF260" s="51" t="n"/>
      <c r="AG260" s="156" t="inlineStr">
        <is>
          <t>Nuevo – Odoo Universal Unique Brands 01/10/2026</t>
        </is>
      </c>
      <c r="AH260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«03-097-0617-6223» (Completado por regla) · Validador Shopify: WB: precio con IVA no termina en 9</t>
        </is>
      </c>
      <c r="AI260" s="156" t="n"/>
      <c r="AJ260" s="156" t="n"/>
      <c r="AK260" s="155" t="inlineStr">
        <is>
          <t>Odoo: producto 21124 / plantilla 27127</t>
        </is>
      </c>
      <c r="AL260" s="58" t="n"/>
      <c r="AM260" s="58" t="n"/>
      <c r="AN260" s="155" t="inlineStr">
        <is>
          <t>Odoo Universal Unique Brands</t>
        </is>
      </c>
      <c r="AO260" s="59" t="n"/>
      <c r="AP260" s="59" t="n"/>
      <c r="AQ260" s="59" t="n">
        <v>7</v>
      </c>
      <c r="AR260" s="155" t="inlineStr">
        <is>
          <t>Odoo Universal Unique Brands › Bodega 25 › Bodega 25/General: 7</t>
        </is>
      </c>
    </row>
    <row r="261">
      <c r="A261" s="50" t="inlineStr">
        <is>
          <t>199168059194</t>
        </is>
      </c>
      <c r="B261" s="51" t="n"/>
      <c r="C261" s="156" t="inlineStr">
        <is>
          <t>Roper</t>
        </is>
      </c>
      <c r="D261" s="156" t="inlineStr">
        <is>
          <t>03-097-0617-6223</t>
        </is>
      </c>
      <c r="E261" s="156" t="inlineStr">
        <is>
          <t>03-097-0617-6223 BR-XL</t>
        </is>
      </c>
      <c r="F261" s="156" t="inlineStr">
        <is>
          <t>XL</t>
        </is>
      </c>
      <c r="G261" s="156" t="inlineStr">
        <is>
          <t>XL</t>
        </is>
      </c>
      <c r="H261" s="156" t="inlineStr">
        <is>
          <t>Roper</t>
        </is>
      </c>
      <c r="I261" s="156" t="inlineStr">
        <is>
          <t>ROPER Outerwear Perf Canvas Quilted</t>
        </is>
      </c>
      <c r="J261" s="156" t="inlineStr">
        <is>
          <t>Ropa</t>
        </is>
      </c>
      <c r="K261" s="156" t="inlineStr">
        <is>
          <t>Chamarras</t>
        </is>
      </c>
      <c r="L261" s="156" t="n"/>
      <c r="M261" s="156" t="n"/>
      <c r="N261" s="156" t="n"/>
      <c r="O261" s="156" t="n"/>
      <c r="P261" s="156" t="n"/>
      <c r="Q261" s="156" t="n"/>
      <c r="R261" s="156" t="n"/>
      <c r="S261" s="156" t="n"/>
      <c r="T261" s="156" t="n"/>
      <c r="U261" s="156" t="n"/>
      <c r="V261" s="156" t="inlineStr">
        <is>
          <t>PZS</t>
        </is>
      </c>
      <c r="W261" s="51" t="inlineStr">
        <is>
          <t>53101802</t>
        </is>
      </c>
      <c r="X261" s="156" t="n"/>
      <c r="Y261" s="54" t="n">
        <v>32.55</v>
      </c>
      <c r="Z261" s="54" t="n">
        <v>869</v>
      </c>
      <c r="AA261" s="55">
        <f>IF(AND(A261="", B261="", E261=""), "", IF(AB261="", "Válido", IF((LEN(AB261)-LEN(SUBSTITUTE(AB261,"; ","")))/2+1&gt;(LEN(AB261)-LEN(SUBSTITUTE(AB261,"[Aviso]","")))/7, "Con Incidencias", "Válido")))</f>
        <v/>
      </c>
      <c r="AB261" s="56">
        <f>IF(AND(A261="", B261="", E261=""), "", TEXTJOIN("; ", TRUE, IF(OR(TRIM(A261&amp;"")="", ISNUMBER(SEARCH("FALTA", A261))), "UPC faltante/inválido", ""), IF(AND(A261&lt;&gt;"", IFERROR(_xlfn.XMATCH(A261,$A$2:$A$285,0,1)&lt;&gt;_xlfn.XMATCH(A261,$A$2:$A$285,0,-1),FALSE)), "Código de barras duplicado", ""), IF(AND(E261&lt;&gt;"", COUNTIF($E$2:$E$285, E261)&gt;1), "SKU duplicado", ""), IF(OR(J261="", J261=""), "[Aviso] División no capturada ()", IF(ISNA(MATCH(J261, Criterios!$A$123:$A$126, 0)), "División no válida", "")), IF(OR(K261="", K261=""), "[Aviso] Categoría no capturada ()", IF(ISNA(MATCH(K261, Criterios!$A$81:$A$120, 0)), "Categoría no válida", IF(AND(J261&lt;&gt;"", J261&lt;&gt;"", J261&lt;&gt;VLOOKUP(K261, Criterios!$A$81:$B$120, 2, FALSE)), "División no coincide con Categoría", ""))), IF(OR(L261="", L261=""), "[Aviso] Género no capturado ()", IF(ISNA(MATCH(L261, Criterios!$B$123:$B$127, 0)), "Género no válido", "")), IF(OR(N261="", N261=""), "[Aviso] Temporada no capturada ()", IF(ISNA(MATCH(N261, Criterios!$C$123:$C$128, 0)), "Temporada no válida", "")), IF(OR(O261="", O261=""), "[Aviso] Ciclo de vida no capturado ()", IF(ISNA(MATCH(O261, Criterios!$D$123:$D$124, 0)), "Ciclo de vida no válido", ""))))</f>
        <v/>
      </c>
      <c r="AC261" s="56" t="n"/>
      <c r="AD261" s="51" t="n"/>
      <c r="AE261" s="156" t="n"/>
      <c r="AF261" s="51" t="n"/>
      <c r="AG261" s="156" t="inlineStr">
        <is>
          <t>Nuevo – Odoo Universal Unique Brands 01/10/2026</t>
        </is>
      </c>
      <c r="AH261" s="156" t="inlineStr">
        <is>
          <t>01/10/2026: alta desde Odoo Universal Unique Brands (no existía en Productos por código de barras ni SKU) | Talla tomada del sufijo del SKU (XL); Categoría: Palabra clave "Chamarra" en tipo/categoría de la fuente (Ropa / Chamarra) | Homologación G1522 06/10/2026: WB N.º de estilo: «» → «03-097-0617-6223» (Completado por regla) · Validador Shopify: WB: precio con IVA no termina en 9</t>
        </is>
      </c>
      <c r="AI261" s="156" t="n"/>
      <c r="AJ261" s="156" t="n"/>
      <c r="AK261" s="155" t="inlineStr">
        <is>
          <t>Odoo: producto 21127 / plantilla 27130</t>
        </is>
      </c>
      <c r="AL261" s="58" t="n"/>
      <c r="AM261" s="58" t="n"/>
      <c r="AN261" s="155" t="inlineStr">
        <is>
          <t>Odoo Universal Unique Brands</t>
        </is>
      </c>
      <c r="AO261" s="59" t="n"/>
      <c r="AP261" s="59" t="n"/>
      <c r="AQ261" s="59" t="n">
        <v>7</v>
      </c>
      <c r="AR261" s="155" t="inlineStr">
        <is>
          <t>Odoo Universal Unique Brands › Bodega 25 › Bodega 25/General: 7</t>
        </is>
      </c>
    </row>
    <row r="262">
      <c r="A262" s="50" t="inlineStr">
        <is>
          <t>199168059408</t>
        </is>
      </c>
      <c r="B262" s="51" t="n"/>
      <c r="C262" s="156" t="inlineStr">
        <is>
          <t>Roper</t>
        </is>
      </c>
      <c r="D262" s="156" t="inlineStr">
        <is>
          <t>03-097-0692-6210</t>
        </is>
      </c>
      <c r="E262" s="156" t="inlineStr">
        <is>
          <t>03-097-0692-6210 BL-L</t>
        </is>
      </c>
      <c r="F262" s="156" t="inlineStr">
        <is>
          <t>L</t>
        </is>
      </c>
      <c r="G262" s="156" t="inlineStr">
        <is>
          <t>L</t>
        </is>
      </c>
      <c r="H262" s="156" t="inlineStr">
        <is>
          <t>Roper</t>
        </is>
      </c>
      <c r="I262" s="156" t="inlineStr">
        <is>
          <t>ROPER Outerwear Br/Bl Aztec Micro</t>
        </is>
      </c>
      <c r="J262" s="156" t="inlineStr">
        <is>
          <t>Ropa</t>
        </is>
      </c>
      <c r="K262" s="156" t="inlineStr">
        <is>
          <t>Chamarras</t>
        </is>
      </c>
      <c r="L262" s="156" t="inlineStr">
        <is>
          <t>Hombre</t>
        </is>
      </c>
      <c r="M262" s="156" t="n"/>
      <c r="N262" s="156" t="n"/>
      <c r="O262" s="156" t="n"/>
      <c r="P262" s="156" t="n"/>
      <c r="Q262" s="156" t="n"/>
      <c r="R262" s="156" t="n"/>
      <c r="S262" s="156" t="n"/>
      <c r="T262" s="156" t="n"/>
      <c r="U262" s="156" t="n"/>
      <c r="V262" s="156" t="inlineStr">
        <is>
          <t>PZS</t>
        </is>
      </c>
      <c r="W262" s="51" t="inlineStr">
        <is>
          <t>53101802</t>
        </is>
      </c>
      <c r="X262" s="156" t="n"/>
      <c r="Y262" s="54" t="n">
        <v>27.44</v>
      </c>
      <c r="Z262" s="54" t="n">
        <v>749</v>
      </c>
      <c r="AA262" s="55">
        <f>IF(AND(A262="", B262="", E262=""), "", IF(AB262="", "Válido", IF((LEN(AB262)-LEN(SUBSTITUTE(AB262,"; ","")))/2+1&gt;(LEN(AB262)-LEN(SUBSTITUTE(AB262,"[Aviso]","")))/7, "Con Incidencias", "Válido")))</f>
        <v/>
      </c>
      <c r="AB262" s="56">
        <f>IF(AND(A262="", B262="", E262=""), "", TEXTJOIN("; ", TRUE, IF(OR(TRIM(A262&amp;"")="", ISNUMBER(SEARCH("FALTA", A262))), "UPC faltante/inválido", ""), IF(AND(A262&lt;&gt;"", IFERROR(_xlfn.XMATCH(A262,$A$2:$A$285,0,1)&lt;&gt;_xlfn.XMATCH(A262,$A$2:$A$285,0,-1),FALSE)), "Código de barras duplicado", ""), IF(AND(E262&lt;&gt;"", COUNTIF($E$2:$E$285, E262)&gt;1), "SKU duplicado", ""), IF(OR(J262="", J262=""), "[Aviso] División no capturada ()", IF(ISNA(MATCH(J262, Criterios!$A$123:$A$126, 0)), "División no válida", "")), IF(OR(K262="", K262=""), "[Aviso] Categoría no capturada ()", IF(ISNA(MATCH(K262, Criterios!$A$81:$A$120, 0)), "Categoría no válida", IF(AND(J262&lt;&gt;"", J262&lt;&gt;"", J262&lt;&gt;VLOOKUP(K262, Criterios!$A$81:$B$120, 2, FALSE)), "División no coincide con Categoría", ""))), IF(OR(L262="", L262=""), "[Aviso] Género no capturado ()", IF(ISNA(MATCH(L262, Criterios!$B$123:$B$127, 0)), "Género no válido", "")), IF(OR(N262="", N262=""), "[Aviso] Temporada no capturada ()", IF(ISNA(MATCH(N262, Criterios!$C$123:$C$128, 0)), "Temporada no válida", "")), IF(OR(O262="", O262=""), "[Aviso] Ciclo de vida no capturado ()", IF(ISNA(MATCH(O262, Criterios!$D$123:$D$124, 0)), "Ciclo de vida no válido", ""))))</f>
        <v/>
      </c>
      <c r="AC262" s="56" t="n"/>
      <c r="AD262" s="51" t="n"/>
      <c r="AE262" s="156" t="n"/>
      <c r="AF262" s="51" t="n"/>
      <c r="AG262" s="156" t="inlineStr">
        <is>
          <t>Nuevo – Odoo Universal Unique Brands 01/10/2026</t>
        </is>
      </c>
      <c r="AH262" s="156" t="inlineStr">
        <is>
          <t>01/10/2026: alta desde Odoo Universal Unique Brands (no existía en Productos por código de barras ni SKU) | Categoría: Palabra clave "Chamarra" en tipo/categoría de la fuente (Ropa / Chamarra); Género: campo de la fuente | Homologación G1522 06/10/2026: WB N.º de estilo: «» → «03-097-0692-6210» (Completado por regla) · Validador Shopify: WB: precio con IVA no termina en 9</t>
        </is>
      </c>
      <c r="AI262" s="156" t="n"/>
      <c r="AJ262" s="156" t="n"/>
      <c r="AK262" s="155" t="inlineStr">
        <is>
          <t>Odoo: producto 21040 / plantilla 27043</t>
        </is>
      </c>
      <c r="AL262" s="58" t="n"/>
      <c r="AM262" s="58" t="n"/>
      <c r="AN262" s="155" t="inlineStr">
        <is>
          <t>Odoo Universal Unique Brands</t>
        </is>
      </c>
      <c r="AO262" s="59" t="n"/>
      <c r="AP262" s="59" t="n"/>
      <c r="AQ262" s="59" t="n">
        <v>1</v>
      </c>
      <c r="AR262" s="155" t="inlineStr">
        <is>
          <t>Odoo Universal Unique Brands › Bodega 25 › Bodega 25/General: 1</t>
        </is>
      </c>
    </row>
    <row r="263">
      <c r="A263" s="50" t="inlineStr">
        <is>
          <t>199168059415</t>
        </is>
      </c>
      <c r="B263" s="51" t="n"/>
      <c r="C263" s="156" t="inlineStr">
        <is>
          <t>Roper</t>
        </is>
      </c>
      <c r="D263" s="156" t="inlineStr">
        <is>
          <t>03-097-0692-6210</t>
        </is>
      </c>
      <c r="E263" s="156" t="inlineStr">
        <is>
          <t>03-097-0692-6210 BL-M</t>
        </is>
      </c>
      <c r="F263" s="156" t="inlineStr">
        <is>
          <t>M</t>
        </is>
      </c>
      <c r="G263" s="156" t="inlineStr">
        <is>
          <t>M</t>
        </is>
      </c>
      <c r="H263" s="156" t="inlineStr">
        <is>
          <t>Roper</t>
        </is>
      </c>
      <c r="I263" s="156" t="inlineStr">
        <is>
          <t>ROPER Outerwear Br/Bl Aztec Micro</t>
        </is>
      </c>
      <c r="J263" s="156" t="inlineStr">
        <is>
          <t>Ropa</t>
        </is>
      </c>
      <c r="K263" s="156" t="inlineStr">
        <is>
          <t>Chamarras</t>
        </is>
      </c>
      <c r="L263" s="156" t="inlineStr">
        <is>
          <t>Hombre</t>
        </is>
      </c>
      <c r="M263" s="156" t="n"/>
      <c r="N263" s="156" t="n"/>
      <c r="O263" s="156" t="n"/>
      <c r="P263" s="156" t="n"/>
      <c r="Q263" s="156" t="n"/>
      <c r="R263" s="156" t="n"/>
      <c r="S263" s="156" t="n"/>
      <c r="T263" s="156" t="n"/>
      <c r="U263" s="156" t="n"/>
      <c r="V263" s="156" t="inlineStr">
        <is>
          <t>PZS</t>
        </is>
      </c>
      <c r="W263" s="51" t="inlineStr">
        <is>
          <t>53101802</t>
        </is>
      </c>
      <c r="X263" s="156" t="n"/>
      <c r="Y263" s="54" t="n">
        <v>27.44</v>
      </c>
      <c r="Z263" s="54" t="n">
        <v>749</v>
      </c>
      <c r="AA263" s="55">
        <f>IF(AND(A263="", B263="", E263=""), "", IF(AB263="", "Válido", IF((LEN(AB263)-LEN(SUBSTITUTE(AB263,"; ","")))/2+1&gt;(LEN(AB263)-LEN(SUBSTITUTE(AB263,"[Aviso]","")))/7, "Con Incidencias", "Válido")))</f>
        <v/>
      </c>
      <c r="AB263" s="56">
        <f>IF(AND(A263="", B263="", E263=""), "", TEXTJOIN("; ", TRUE, IF(OR(TRIM(A263&amp;"")="", ISNUMBER(SEARCH("FALTA", A263))), "UPC faltante/inválido", ""), IF(AND(A263&lt;&gt;"", IFERROR(_xlfn.XMATCH(A263,$A$2:$A$285,0,1)&lt;&gt;_xlfn.XMATCH(A263,$A$2:$A$285,0,-1),FALSE)), "Código de barras duplicado", ""), IF(AND(E263&lt;&gt;"", COUNTIF($E$2:$E$285, E263)&gt;1), "SKU duplicado", ""), IF(OR(J263="", J263=""), "[Aviso] División no capturada ()", IF(ISNA(MATCH(J263, Criterios!$A$123:$A$126, 0)), "División no válida", "")), IF(OR(K263="", K263=""), "[Aviso] Categoría no capturada ()", IF(ISNA(MATCH(K263, Criterios!$A$81:$A$120, 0)), "Categoría no válida", IF(AND(J263&lt;&gt;"", J263&lt;&gt;"", J263&lt;&gt;VLOOKUP(K263, Criterios!$A$81:$B$120, 2, FALSE)), "División no coincide con Categoría", ""))), IF(OR(L263="", L263=""), "[Aviso] Género no capturado ()", IF(ISNA(MATCH(L263, Criterios!$B$123:$B$127, 0)), "Género no válido", "")), IF(OR(N263="", N263=""), "[Aviso] Temporada no capturada ()", IF(ISNA(MATCH(N263, Criterios!$C$123:$C$128, 0)), "Temporada no válida", "")), IF(OR(O263="", O263=""), "[Aviso] Ciclo de vida no capturado ()", IF(ISNA(MATCH(O263, Criterios!$D$123:$D$124, 0)), "Ciclo de vida no válido", ""))))</f>
        <v/>
      </c>
      <c r="AC263" s="56" t="n"/>
      <c r="AD263" s="51" t="n"/>
      <c r="AE263" s="156" t="n"/>
      <c r="AF263" s="51" t="n"/>
      <c r="AG263" s="156" t="inlineStr">
        <is>
          <t>Nuevo – Odoo Universal Unique Brands 01/10/2026</t>
        </is>
      </c>
      <c r="AH263" s="156" t="inlineStr">
        <is>
          <t>01/10/2026: alta desde Odoo Universal Unique Brands (no existía en Productos por código de barras ni SKU) | Categoría: Palabra clave "Chamarra" en tipo/categoría de la fuente (Ropa / Chamarra); Género: campo de la fuente | Homologación G1522 06/10/2026: WB N.º de estilo: «» → «03-097-0692-6210» (Completado por regla) · Validador Shopify: WB: precio con IVA no termina en 9</t>
        </is>
      </c>
      <c r="AI263" s="156" t="n"/>
      <c r="AJ263" s="156" t="n"/>
      <c r="AK263" s="155" t="inlineStr">
        <is>
          <t>Odoo: producto 21039 / plantilla 27042</t>
        </is>
      </c>
      <c r="AL263" s="58" t="n"/>
      <c r="AM263" s="58" t="n"/>
      <c r="AN263" s="155" t="inlineStr">
        <is>
          <t>Odoo Universal Unique Brands</t>
        </is>
      </c>
      <c r="AO263" s="59" t="n"/>
      <c r="AP263" s="59" t="n"/>
      <c r="AQ263" s="59" t="n">
        <v>0</v>
      </c>
      <c r="AR263" s="155" t="n"/>
    </row>
    <row r="264">
      <c r="A264" s="50" t="inlineStr">
        <is>
          <t>199168059422</t>
        </is>
      </c>
      <c r="B264" s="51" t="n"/>
      <c r="C264" s="156" t="inlineStr">
        <is>
          <t>Roper</t>
        </is>
      </c>
      <c r="D264" s="156" t="inlineStr">
        <is>
          <t>03-097-0692-6210</t>
        </is>
      </c>
      <c r="E264" s="156" t="inlineStr">
        <is>
          <t>03-097-0692-6210 BL-S</t>
        </is>
      </c>
      <c r="F264" s="156" t="inlineStr">
        <is>
          <t>S</t>
        </is>
      </c>
      <c r="G264" s="156" t="inlineStr">
        <is>
          <t>S</t>
        </is>
      </c>
      <c r="H264" s="156" t="inlineStr">
        <is>
          <t>Roper</t>
        </is>
      </c>
      <c r="I264" s="156" t="inlineStr">
        <is>
          <t>ROPER Outerwear Br/Bl Aztec Micro</t>
        </is>
      </c>
      <c r="J264" s="156" t="inlineStr">
        <is>
          <t>Ropa</t>
        </is>
      </c>
      <c r="K264" s="156" t="inlineStr">
        <is>
          <t>Chamarras</t>
        </is>
      </c>
      <c r="L264" s="156" t="n"/>
      <c r="M264" s="156" t="n"/>
      <c r="N264" s="156" t="n"/>
      <c r="O264" s="156" t="n"/>
      <c r="P264" s="156" t="n"/>
      <c r="Q264" s="156" t="n"/>
      <c r="R264" s="156" t="n"/>
      <c r="S264" s="156" t="n"/>
      <c r="T264" s="156" t="n"/>
      <c r="U264" s="156" t="n"/>
      <c r="V264" s="156" t="inlineStr">
        <is>
          <t>PZS</t>
        </is>
      </c>
      <c r="W264" s="51" t="inlineStr">
        <is>
          <t>53101802</t>
        </is>
      </c>
      <c r="X264" s="156" t="n"/>
      <c r="Y264" s="54" t="n">
        <v>27.44</v>
      </c>
      <c r="Z264" s="54" t="n">
        <v>749</v>
      </c>
      <c r="AA264" s="55">
        <f>IF(AND(A264="", B264="", E264=""), "", IF(AB264="", "Válido", IF((LEN(AB264)-LEN(SUBSTITUTE(AB264,"; ","")))/2+1&gt;(LEN(AB264)-LEN(SUBSTITUTE(AB264,"[Aviso]","")))/7, "Con Incidencias", "Válido")))</f>
        <v/>
      </c>
      <c r="AB264" s="56">
        <f>IF(AND(A264="", B264="", E264=""), "", TEXTJOIN("; ", TRUE, IF(OR(TRIM(A264&amp;"")="", ISNUMBER(SEARCH("FALTA", A264))), "UPC faltante/inválido", ""), IF(AND(A264&lt;&gt;"", IFERROR(_xlfn.XMATCH(A264,$A$2:$A$285,0,1)&lt;&gt;_xlfn.XMATCH(A264,$A$2:$A$285,0,-1),FALSE)), "Código de barras duplicado", ""), IF(AND(E264&lt;&gt;"", COUNTIF($E$2:$E$285, E264)&gt;1), "SKU duplicado", ""), IF(OR(J264="", J264=""), "[Aviso] División no capturada ()", IF(ISNA(MATCH(J264, Criterios!$A$123:$A$126, 0)), "División no válida", "")), IF(OR(K264="", K264=""), "[Aviso] Categoría no capturada ()", IF(ISNA(MATCH(K264, Criterios!$A$81:$A$120, 0)), "Categoría no válida", IF(AND(J264&lt;&gt;"", J264&lt;&gt;"", J264&lt;&gt;VLOOKUP(K264, Criterios!$A$81:$B$120, 2, FALSE)), "División no coincide con Categoría", ""))), IF(OR(L264="", L264=""), "[Aviso] Género no capturado ()", IF(ISNA(MATCH(L264, Criterios!$B$123:$B$127, 0)), "Género no válido", "")), IF(OR(N264="", N264=""), "[Aviso] Temporada no capturada ()", IF(ISNA(MATCH(N264, Criterios!$C$123:$C$128, 0)), "Temporada no válida", "")), IF(OR(O264="", O264=""), "[Aviso] Ciclo de vida no capturado ()", IF(ISNA(MATCH(O264, Criterios!$D$123:$D$124, 0)), "Ciclo de vida no válido", ""))))</f>
        <v/>
      </c>
      <c r="AC264" s="56" t="n"/>
      <c r="AD264" s="51" t="n"/>
      <c r="AE264" s="156" t="n"/>
      <c r="AF264" s="51" t="n"/>
      <c r="AG264" s="156" t="inlineStr">
        <is>
          <t>Nuevo – Odoo Universal Unique Brands 01/10/2026</t>
        </is>
      </c>
      <c r="AH264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«03-097-0692-6210» (Completado por regla) · Validador Shopify: WB: precio con IVA no termina en 9</t>
        </is>
      </c>
      <c r="AI264" s="156" t="n"/>
      <c r="AJ264" s="156" t="n"/>
      <c r="AK264" s="155" t="inlineStr">
        <is>
          <t>Odoo: producto 21038 / plantilla 27041</t>
        </is>
      </c>
      <c r="AL264" s="58" t="n"/>
      <c r="AM264" s="58" t="n"/>
      <c r="AN264" s="155" t="inlineStr">
        <is>
          <t>Odoo Universal Unique Brands</t>
        </is>
      </c>
      <c r="AO264" s="59" t="n"/>
      <c r="AP264" s="59" t="n"/>
      <c r="AQ264" s="59" t="n">
        <v>3</v>
      </c>
      <c r="AR264" s="155" t="inlineStr">
        <is>
          <t>Odoo Universal Unique Brands › Bodega 25 › Bodega 25/General: 3</t>
        </is>
      </c>
    </row>
    <row r="265">
      <c r="A265" s="50" t="inlineStr">
        <is>
          <t>199168059439</t>
        </is>
      </c>
      <c r="B265" s="51" t="n"/>
      <c r="C265" s="156" t="inlineStr">
        <is>
          <t>Roper</t>
        </is>
      </c>
      <c r="D265" s="156" t="inlineStr">
        <is>
          <t>03-097-0692-6210</t>
        </is>
      </c>
      <c r="E265" s="156" t="inlineStr">
        <is>
          <t>03-097-0692-6210 BL-XL</t>
        </is>
      </c>
      <c r="F265" s="156" t="inlineStr">
        <is>
          <t>XL</t>
        </is>
      </c>
      <c r="G265" s="156" t="inlineStr">
        <is>
          <t>XL</t>
        </is>
      </c>
      <c r="H265" s="156" t="inlineStr">
        <is>
          <t>Roper</t>
        </is>
      </c>
      <c r="I265" s="156" t="inlineStr">
        <is>
          <t>ROPER Outerwear Br/Bl Aztec Micro</t>
        </is>
      </c>
      <c r="J265" s="156" t="inlineStr">
        <is>
          <t>Ropa</t>
        </is>
      </c>
      <c r="K265" s="156" t="inlineStr">
        <is>
          <t>Chamarras</t>
        </is>
      </c>
      <c r="L265" s="156" t="inlineStr">
        <is>
          <t>Hombre</t>
        </is>
      </c>
      <c r="M265" s="156" t="n"/>
      <c r="N265" s="156" t="n"/>
      <c r="O265" s="156" t="n"/>
      <c r="P265" s="156" t="n"/>
      <c r="Q265" s="156" t="n"/>
      <c r="R265" s="156" t="n"/>
      <c r="S265" s="156" t="n"/>
      <c r="T265" s="156" t="n"/>
      <c r="U265" s="156" t="n"/>
      <c r="V265" s="156" t="inlineStr">
        <is>
          <t>PZS</t>
        </is>
      </c>
      <c r="W265" s="51" t="inlineStr">
        <is>
          <t>53101802</t>
        </is>
      </c>
      <c r="X265" s="156" t="n"/>
      <c r="Y265" s="54" t="n">
        <v>27.44</v>
      </c>
      <c r="Z265" s="54" t="n">
        <v>749</v>
      </c>
      <c r="AA265" s="55">
        <f>IF(AND(A265="", B265="", E265=""), "", IF(AB265="", "Válido", IF((LEN(AB265)-LEN(SUBSTITUTE(AB265,"; ","")))/2+1&gt;(LEN(AB265)-LEN(SUBSTITUTE(AB265,"[Aviso]","")))/7, "Con Incidencias", "Válido")))</f>
        <v/>
      </c>
      <c r="AB265" s="56">
        <f>IF(AND(A265="", B265="", E265=""), "", TEXTJOIN("; ", TRUE, IF(OR(TRIM(A265&amp;"")="", ISNUMBER(SEARCH("FALTA", A265))), "UPC faltante/inválido", ""), IF(AND(A265&lt;&gt;"", IFERROR(_xlfn.XMATCH(A265,$A$2:$A$285,0,1)&lt;&gt;_xlfn.XMATCH(A265,$A$2:$A$285,0,-1),FALSE)), "Código de barras duplicado", ""), IF(AND(E265&lt;&gt;"", COUNTIF($E$2:$E$285, E265)&gt;1), "SKU duplicado", ""), IF(OR(J265="", J265=""), "[Aviso] División no capturada ()", IF(ISNA(MATCH(J265, Criterios!$A$123:$A$126, 0)), "División no válida", "")), IF(OR(K265="", K265=""), "[Aviso] Categoría no capturada ()", IF(ISNA(MATCH(K265, Criterios!$A$81:$A$120, 0)), "Categoría no válida", IF(AND(J265&lt;&gt;"", J265&lt;&gt;"", J265&lt;&gt;VLOOKUP(K265, Criterios!$A$81:$B$120, 2, FALSE)), "División no coincide con Categoría", ""))), IF(OR(L265="", L265=""), "[Aviso] Género no capturado ()", IF(ISNA(MATCH(L265, Criterios!$B$123:$B$127, 0)), "Género no válido", "")), IF(OR(N265="", N265=""), "[Aviso] Temporada no capturada ()", IF(ISNA(MATCH(N265, Criterios!$C$123:$C$128, 0)), "Temporada no válida", "")), IF(OR(O265="", O265=""), "[Aviso] Ciclo de vida no capturado ()", IF(ISNA(MATCH(O265, Criterios!$D$123:$D$124, 0)), "Ciclo de vida no válido", ""))))</f>
        <v/>
      </c>
      <c r="AC265" s="56" t="n"/>
      <c r="AD265" s="51" t="n"/>
      <c r="AE265" s="156" t="n"/>
      <c r="AF265" s="51" t="n"/>
      <c r="AG265" s="156" t="inlineStr">
        <is>
          <t>Nuevo – Odoo Universal Unique Brands 01/10/2026</t>
        </is>
      </c>
      <c r="AH265" s="156" t="inlineStr">
        <is>
          <t>01/10/2026: alta desde Odoo Universal Unique Brands (no existía en Productos por código de barras ni SKU) | Categoría: Palabra clave "Chamarra" en tipo/categoría de la fuente (Ropa / Chamarra); Género: campo de la fuente | Homologación G1522 06/10/2026: WB N.º de estilo: «» → «03-097-0692-6210» (Completado por regla) · Validador Shopify: WB: precio con IVA no termina en 9</t>
        </is>
      </c>
      <c r="AI265" s="156" t="n"/>
      <c r="AJ265" s="156" t="n"/>
      <c r="AK265" s="155" t="inlineStr">
        <is>
          <t>Odoo: producto 21041 / plantilla 27044</t>
        </is>
      </c>
      <c r="AL265" s="58" t="n"/>
      <c r="AM265" s="58" t="n"/>
      <c r="AN265" s="155" t="inlineStr">
        <is>
          <t>Odoo Universal Unique Brands</t>
        </is>
      </c>
      <c r="AO265" s="59" t="n"/>
      <c r="AP265" s="59" t="n"/>
      <c r="AQ265" s="59" t="n">
        <v>2</v>
      </c>
      <c r="AR265" s="155" t="inlineStr">
        <is>
          <t>Odoo Universal Unique Brands › Bodega 25 › Bodega 25/General: 2</t>
        </is>
      </c>
    </row>
    <row r="266">
      <c r="A266" s="50" t="inlineStr">
        <is>
          <t>199168059460</t>
        </is>
      </c>
      <c r="B266" s="51" t="n"/>
      <c r="C266" s="156" t="inlineStr">
        <is>
          <t>Roper</t>
        </is>
      </c>
      <c r="D266" s="156" t="inlineStr">
        <is>
          <t>03-097-0692-6211</t>
        </is>
      </c>
      <c r="E266" s="156" t="inlineStr">
        <is>
          <t>03-097-0692-6211 BL-L</t>
        </is>
      </c>
      <c r="F266" s="156" t="inlineStr">
        <is>
          <t>L</t>
        </is>
      </c>
      <c r="G266" s="156" t="inlineStr">
        <is>
          <t>L</t>
        </is>
      </c>
      <c r="H266" s="156" t="inlineStr">
        <is>
          <t>Roper</t>
        </is>
      </c>
      <c r="I266" s="156" t="inlineStr">
        <is>
          <t>ROPER Outerwear Bl/Go/Rt Aztec Micro</t>
        </is>
      </c>
      <c r="J266" s="156" t="inlineStr">
        <is>
          <t>Ropa</t>
        </is>
      </c>
      <c r="K266" s="156" t="inlineStr">
        <is>
          <t>Camisas</t>
        </is>
      </c>
      <c r="L266" s="156" t="n"/>
      <c r="M266" s="156" t="n"/>
      <c r="N266" s="156" t="n"/>
      <c r="O266" s="156" t="n"/>
      <c r="P266" s="156" t="n"/>
      <c r="Q266" s="156" t="n"/>
      <c r="R266" s="156" t="n"/>
      <c r="S266" s="156" t="n"/>
      <c r="T266" s="156" t="n"/>
      <c r="U266" s="156" t="n"/>
      <c r="V266" s="156" t="inlineStr">
        <is>
          <t>PZS</t>
        </is>
      </c>
      <c r="W266" s="51" t="inlineStr">
        <is>
          <t>53101602</t>
        </is>
      </c>
      <c r="X266" s="156" t="n"/>
      <c r="Y266" s="54" t="n">
        <v>27.44</v>
      </c>
      <c r="Z266" s="54" t="n">
        <v>749</v>
      </c>
      <c r="AA266" s="55">
        <f>IF(AND(A266="", B266="", E266=""), "", IF(AB266="", "Válido", IF((LEN(AB266)-LEN(SUBSTITUTE(AB266,"; ","")))/2+1&gt;(LEN(AB266)-LEN(SUBSTITUTE(AB266,"[Aviso]","")))/7, "Con Incidencias", "Válido")))</f>
        <v/>
      </c>
      <c r="AB266" s="56">
        <f>IF(AND(A266="", B266="", E266=""), "", TEXTJOIN("; ", TRUE, IF(OR(TRIM(A266&amp;"")="", ISNUMBER(SEARCH("FALTA", A266))), "UPC faltante/inválido", ""), IF(AND(A266&lt;&gt;"", IFERROR(_xlfn.XMATCH(A266,$A$2:$A$285,0,1)&lt;&gt;_xlfn.XMATCH(A266,$A$2:$A$285,0,-1),FALSE)), "Código de barras duplicado", ""), IF(AND(E266&lt;&gt;"", COUNTIF($E$2:$E$285, E266)&gt;1), "SKU duplicado", ""), IF(OR(J266="", J266=""), "[Aviso] División no capturada ()", IF(ISNA(MATCH(J266, Criterios!$A$123:$A$126, 0)), "División no válida", "")), IF(OR(K266="", K266=""), "[Aviso] Categoría no capturada ()", IF(ISNA(MATCH(K266, Criterios!$A$81:$A$120, 0)), "Categoría no válida", IF(AND(J266&lt;&gt;"", J266&lt;&gt;"", J266&lt;&gt;VLOOKUP(K266, Criterios!$A$81:$B$120, 2, FALSE)), "División no coincide con Categoría", ""))), IF(OR(L266="", L266=""), "[Aviso] Género no capturado ()", IF(ISNA(MATCH(L266, Criterios!$B$123:$B$127, 0)), "Género no válido", "")), IF(OR(N266="", N266=""), "[Aviso] Temporada no capturada ()", IF(ISNA(MATCH(N266, Criterios!$C$123:$C$128, 0)), "Temporada no válida", "")), IF(OR(O266="", O266=""), "[Aviso] Ciclo de vida no capturado ()", IF(ISNA(MATCH(O266, Criterios!$D$123:$D$124, 0)), "Ciclo de vida no válido", ""))))</f>
        <v/>
      </c>
      <c r="AC266" s="56" t="n"/>
      <c r="AD266" s="51" t="n"/>
      <c r="AE266" s="156" t="n"/>
      <c r="AF266" s="51" t="n"/>
      <c r="AG266" s="156" t="inlineStr">
        <is>
          <t>Nuevo – Odoo Universal Unique Brands 01/10/2026</t>
        </is>
      </c>
      <c r="AH266" s="156" t="inlineStr">
        <is>
          <t>01/10/2026: alta desde Odoo Universal Unique Brands (no existía en Productos por código de barras ni SKU) | Talla tomada del sufijo del SKU (L); Categoría: Palabra clave "Camisa" en tipo/categoría de la fuente (Ropa / Camisas) | Homologación G1522 06/10/2026: WB N.º de estilo: «» → «03-097-0692-6211» (Completado por regla) · Validador Shopify: WB: precio con IVA no termina en 9</t>
        </is>
      </c>
      <c r="AI266" s="156" t="n"/>
      <c r="AJ266" s="156" t="n"/>
      <c r="AK266" s="155" t="inlineStr">
        <is>
          <t>Odoo: producto 21082 / plantilla 27085</t>
        </is>
      </c>
      <c r="AL266" s="58" t="n"/>
      <c r="AM266" s="58" t="n"/>
      <c r="AN266" s="155" t="inlineStr">
        <is>
          <t>Odoo Universal Unique Brands</t>
        </is>
      </c>
      <c r="AO266" s="59" t="n"/>
      <c r="AP266" s="59" t="n"/>
      <c r="AQ266" s="59" t="n">
        <v>1</v>
      </c>
      <c r="AR266" s="155" t="inlineStr">
        <is>
          <t>Odoo Universal Unique Brands › Bodega 25 › Bodega 25/General: 1</t>
        </is>
      </c>
    </row>
    <row r="267">
      <c r="A267" s="50" t="inlineStr">
        <is>
          <t>199168059477</t>
        </is>
      </c>
      <c r="B267" s="51" t="n"/>
      <c r="C267" s="156" t="inlineStr">
        <is>
          <t>Roper</t>
        </is>
      </c>
      <c r="D267" s="156" t="inlineStr">
        <is>
          <t>03-097-0692-6211</t>
        </is>
      </c>
      <c r="E267" s="156" t="inlineStr">
        <is>
          <t>03-097-0692-6211 BL-M</t>
        </is>
      </c>
      <c r="F267" s="156" t="inlineStr">
        <is>
          <t>M</t>
        </is>
      </c>
      <c r="G267" s="156" t="inlineStr">
        <is>
          <t>M</t>
        </is>
      </c>
      <c r="H267" s="156" t="inlineStr">
        <is>
          <t>Roper</t>
        </is>
      </c>
      <c r="I267" s="156" t="inlineStr">
        <is>
          <t>ROPER Outerwear Bl/Go/Rt Aztec Micro</t>
        </is>
      </c>
      <c r="J267" s="156" t="inlineStr">
        <is>
          <t>Ropa</t>
        </is>
      </c>
      <c r="K267" s="156" t="inlineStr">
        <is>
          <t>Camisas</t>
        </is>
      </c>
      <c r="L267" s="156" t="n"/>
      <c r="M267" s="156" t="n"/>
      <c r="N267" s="156" t="n"/>
      <c r="O267" s="156" t="n"/>
      <c r="P267" s="156" t="n"/>
      <c r="Q267" s="156" t="n"/>
      <c r="R267" s="156" t="n"/>
      <c r="S267" s="156" t="n"/>
      <c r="T267" s="156" t="n"/>
      <c r="U267" s="156" t="n"/>
      <c r="V267" s="156" t="inlineStr">
        <is>
          <t>PZS</t>
        </is>
      </c>
      <c r="W267" s="51" t="inlineStr">
        <is>
          <t>53101602</t>
        </is>
      </c>
      <c r="X267" s="156" t="n"/>
      <c r="Y267" s="54" t="n">
        <v>27.44</v>
      </c>
      <c r="Z267" s="54" t="n">
        <v>749</v>
      </c>
      <c r="AA267" s="55">
        <f>IF(AND(A267="", B267="", E267=""), "", IF(AB267="", "Válido", IF((LEN(AB267)-LEN(SUBSTITUTE(AB267,"; ","")))/2+1&gt;(LEN(AB267)-LEN(SUBSTITUTE(AB267,"[Aviso]","")))/7, "Con Incidencias", "Válido")))</f>
        <v/>
      </c>
      <c r="AB267" s="56">
        <f>IF(AND(A267="", B267="", E267=""), "", TEXTJOIN("; ", TRUE, IF(OR(TRIM(A267&amp;"")="", ISNUMBER(SEARCH("FALTA", A267))), "UPC faltante/inválido", ""), IF(AND(A267&lt;&gt;"", IFERROR(_xlfn.XMATCH(A267,$A$2:$A$285,0,1)&lt;&gt;_xlfn.XMATCH(A267,$A$2:$A$285,0,-1),FALSE)), "Código de barras duplicado", ""), IF(AND(E267&lt;&gt;"", COUNTIF($E$2:$E$285, E267)&gt;1), "SKU duplicado", ""), IF(OR(J267="", J267=""), "[Aviso] División no capturada ()", IF(ISNA(MATCH(J267, Criterios!$A$123:$A$126, 0)), "División no válida", "")), IF(OR(K267="", K267=""), "[Aviso] Categoría no capturada ()", IF(ISNA(MATCH(K267, Criterios!$A$81:$A$120, 0)), "Categoría no válida", IF(AND(J267&lt;&gt;"", J267&lt;&gt;"", J267&lt;&gt;VLOOKUP(K267, Criterios!$A$81:$B$120, 2, FALSE)), "División no coincide con Categoría", ""))), IF(OR(L267="", L267=""), "[Aviso] Género no capturado ()", IF(ISNA(MATCH(L267, Criterios!$B$123:$B$127, 0)), "Género no válido", "")), IF(OR(N267="", N267=""), "[Aviso] Temporada no capturada ()", IF(ISNA(MATCH(N267, Criterios!$C$123:$C$128, 0)), "Temporada no válida", "")), IF(OR(O267="", O267=""), "[Aviso] Ciclo de vida no capturado ()", IF(ISNA(MATCH(O267, Criterios!$D$123:$D$124, 0)), "Ciclo de vida no válido", ""))))</f>
        <v/>
      </c>
      <c r="AC267" s="56" t="n"/>
      <c r="AD267" s="51" t="n"/>
      <c r="AE267" s="156" t="n"/>
      <c r="AF267" s="51" t="n"/>
      <c r="AG267" s="156" t="inlineStr">
        <is>
          <t>Nuevo – Odoo Universal Unique Brands 01/10/2026</t>
        </is>
      </c>
      <c r="AH267" s="156" t="inlineStr">
        <is>
          <t>01/10/2026: alta desde Odoo Universal Unique Brands (no existía en Productos por código de barras ni SKU) | Talla tomada del sufijo del SKU (M); Categoría: Palabra clave "Camisa" en tipo/categoría de la fuente (Ropa / Camisas) | Homologación G1522 06/10/2026: WB N.º de estilo: «» → «03-097-0692-6211» (Completado por regla) · Validador Shopify: WB: precio con IVA no termina en 9</t>
        </is>
      </c>
      <c r="AI267" s="156" t="n"/>
      <c r="AJ267" s="156" t="n"/>
      <c r="AK267" s="155" t="inlineStr">
        <is>
          <t>Odoo: producto 21083 / plantilla 27086</t>
        </is>
      </c>
      <c r="AL267" s="58" t="n"/>
      <c r="AM267" s="58" t="n"/>
      <c r="AN267" s="155" t="inlineStr">
        <is>
          <t>Odoo Universal Unique Brands</t>
        </is>
      </c>
      <c r="AO267" s="59" t="n"/>
      <c r="AP267" s="59" t="n"/>
      <c r="AQ267" s="59" t="n">
        <v>0</v>
      </c>
      <c r="AR267" s="155" t="n"/>
    </row>
    <row r="268">
      <c r="A268" s="50" t="inlineStr">
        <is>
          <t>199168059484</t>
        </is>
      </c>
      <c r="B268" s="51" t="n"/>
      <c r="C268" s="156" t="inlineStr">
        <is>
          <t>Roper</t>
        </is>
      </c>
      <c r="D268" s="156" t="inlineStr">
        <is>
          <t>03-097-0692-6211</t>
        </is>
      </c>
      <c r="E268" s="156" t="inlineStr">
        <is>
          <t>03-097-0692-6211 BL-S</t>
        </is>
      </c>
      <c r="F268" s="156" t="inlineStr">
        <is>
          <t>S</t>
        </is>
      </c>
      <c r="G268" s="156" t="inlineStr">
        <is>
          <t>S</t>
        </is>
      </c>
      <c r="H268" s="156" t="inlineStr">
        <is>
          <t>Roper</t>
        </is>
      </c>
      <c r="I268" s="156" t="inlineStr">
        <is>
          <t>ROPER Outerwear Bl/Go/Rt Aztec Micro</t>
        </is>
      </c>
      <c r="J268" s="156" t="inlineStr">
        <is>
          <t>Ropa</t>
        </is>
      </c>
      <c r="K268" s="156" t="inlineStr">
        <is>
          <t>Chamarras</t>
        </is>
      </c>
      <c r="L268" s="156" t="n"/>
      <c r="M268" s="156" t="n"/>
      <c r="N268" s="156" t="n"/>
      <c r="O268" s="156" t="n"/>
      <c r="P268" s="156" t="n"/>
      <c r="Q268" s="156" t="n"/>
      <c r="R268" s="156" t="n"/>
      <c r="S268" s="156" t="n"/>
      <c r="T268" s="156" t="n"/>
      <c r="U268" s="156" t="n"/>
      <c r="V268" s="156" t="inlineStr">
        <is>
          <t>PZS</t>
        </is>
      </c>
      <c r="W268" s="51" t="inlineStr">
        <is>
          <t>53101802</t>
        </is>
      </c>
      <c r="X268" s="156" t="n"/>
      <c r="Y268" s="54" t="n">
        <v>27.44</v>
      </c>
      <c r="Z268" s="54" t="n">
        <v>749</v>
      </c>
      <c r="AA268" s="55">
        <f>IF(AND(A268="", B268="", E268=""), "", IF(AB268="", "Válido", IF((LEN(AB268)-LEN(SUBSTITUTE(AB268,"; ","")))/2+1&gt;(LEN(AB268)-LEN(SUBSTITUTE(AB268,"[Aviso]","")))/7, "Con Incidencias", "Válido")))</f>
        <v/>
      </c>
      <c r="AB268" s="56">
        <f>IF(AND(A268="", B268="", E268=""), "", TEXTJOIN("; ", TRUE, IF(OR(TRIM(A268&amp;"")="", ISNUMBER(SEARCH("FALTA", A268))), "UPC faltante/inválido", ""), IF(AND(A268&lt;&gt;"", IFERROR(_xlfn.XMATCH(A268,$A$2:$A$285,0,1)&lt;&gt;_xlfn.XMATCH(A268,$A$2:$A$285,0,-1),FALSE)), "Código de barras duplicado", ""), IF(AND(E268&lt;&gt;"", COUNTIF($E$2:$E$285, E268)&gt;1), "SKU duplicado", ""), IF(OR(J268="", J268=""), "[Aviso] División no capturada ()", IF(ISNA(MATCH(J268, Criterios!$A$123:$A$126, 0)), "División no válida", "")), IF(OR(K268="", K268=""), "[Aviso] Categoría no capturada ()", IF(ISNA(MATCH(K268, Criterios!$A$81:$A$120, 0)), "Categoría no válida", IF(AND(J268&lt;&gt;"", J268&lt;&gt;"", J268&lt;&gt;VLOOKUP(K268, Criterios!$A$81:$B$120, 2, FALSE)), "División no coincide con Categoría", ""))), IF(OR(L268="", L268=""), "[Aviso] Género no capturado ()", IF(ISNA(MATCH(L268, Criterios!$B$123:$B$127, 0)), "Género no válido", "")), IF(OR(N268="", N268=""), "[Aviso] Temporada no capturada ()", IF(ISNA(MATCH(N268, Criterios!$C$123:$C$128, 0)), "Temporada no válida", "")), IF(OR(O268="", O268=""), "[Aviso] Ciclo de vida no capturado ()", IF(ISNA(MATCH(O268, Criterios!$D$123:$D$124, 0)), "Ciclo de vida no válido", ""))))</f>
        <v/>
      </c>
      <c r="AC268" s="56" t="n"/>
      <c r="AD268" s="51" t="n"/>
      <c r="AE268" s="156" t="n"/>
      <c r="AF268" s="51" t="n"/>
      <c r="AG268" s="156" t="inlineStr">
        <is>
          <t>Nuevo – Odoo Universal Unique Brands 01/10/2026</t>
        </is>
      </c>
      <c r="AH268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«03-097-0692-6211» (Completado por regla) · Validador Shopify: WB: precio con IVA no termina en 9</t>
        </is>
      </c>
      <c r="AI268" s="156" t="n"/>
      <c r="AJ268" s="156" t="n"/>
      <c r="AK268" s="155" t="inlineStr">
        <is>
          <t>Odoo: producto 21030 / plantilla 27033</t>
        </is>
      </c>
      <c r="AL268" s="58" t="n"/>
      <c r="AM268" s="58" t="n"/>
      <c r="AN268" s="155" t="inlineStr">
        <is>
          <t>Odoo Universal Unique Brands</t>
        </is>
      </c>
      <c r="AO268" s="59" t="n"/>
      <c r="AP268" s="59" t="n"/>
      <c r="AQ268" s="59" t="n">
        <v>0</v>
      </c>
      <c r="AR268" s="155" t="n"/>
    </row>
    <row r="269">
      <c r="A269" s="50" t="inlineStr">
        <is>
          <t>199168059491</t>
        </is>
      </c>
      <c r="B269" s="51" t="n"/>
      <c r="C269" s="156" t="inlineStr">
        <is>
          <t>Roper</t>
        </is>
      </c>
      <c r="D269" s="156" t="inlineStr">
        <is>
          <t>03-097-0692-6211</t>
        </is>
      </c>
      <c r="E269" s="156" t="inlineStr">
        <is>
          <t>03-097-0692-6211 BL-XL</t>
        </is>
      </c>
      <c r="F269" s="156" t="inlineStr">
        <is>
          <t>L</t>
        </is>
      </c>
      <c r="G269" s="156" t="inlineStr">
        <is>
          <t>L</t>
        </is>
      </c>
      <c r="H269" s="156" t="inlineStr">
        <is>
          <t>Roper</t>
        </is>
      </c>
      <c r="I269" s="156" t="inlineStr">
        <is>
          <t>ROPER Outerwear Bl/Go/Rt Aztec Micro</t>
        </is>
      </c>
      <c r="J269" s="156" t="inlineStr">
        <is>
          <t>Ropa</t>
        </is>
      </c>
      <c r="K269" s="156" t="inlineStr">
        <is>
          <t>Camisas</t>
        </is>
      </c>
      <c r="L269" s="156" t="inlineStr">
        <is>
          <t>Hombre</t>
        </is>
      </c>
      <c r="M269" s="156" t="n"/>
      <c r="N269" s="156" t="n"/>
      <c r="O269" s="156" t="n"/>
      <c r="P269" s="156" t="n"/>
      <c r="Q269" s="156" t="n"/>
      <c r="R269" s="156" t="n"/>
      <c r="S269" s="156" t="n"/>
      <c r="T269" s="156" t="n"/>
      <c r="U269" s="156" t="n"/>
      <c r="V269" s="156" t="inlineStr">
        <is>
          <t>PZS</t>
        </is>
      </c>
      <c r="W269" s="51" t="inlineStr">
        <is>
          <t>53101602</t>
        </is>
      </c>
      <c r="X269" s="156" t="n"/>
      <c r="Y269" s="54" t="n">
        <v>27.44</v>
      </c>
      <c r="Z269" s="54" t="n">
        <v>749</v>
      </c>
      <c r="AA269" s="55">
        <f>IF(AND(A269="", B269="", E269=""), "", IF(AB269="", "Válido", IF((LEN(AB269)-LEN(SUBSTITUTE(AB269,"; ","")))/2+1&gt;(LEN(AB269)-LEN(SUBSTITUTE(AB269,"[Aviso]","")))/7, "Con Incidencias", "Válido")))</f>
        <v/>
      </c>
      <c r="AB269" s="56">
        <f>IF(AND(A269="", B269="", E269=""), "", TEXTJOIN("; ", TRUE, IF(OR(TRIM(A269&amp;"")="", ISNUMBER(SEARCH("FALTA", A269))), "UPC faltante/inválido", ""), IF(AND(A269&lt;&gt;"", IFERROR(_xlfn.XMATCH(A269,$A$2:$A$285,0,1)&lt;&gt;_xlfn.XMATCH(A269,$A$2:$A$285,0,-1),FALSE)), "Código de barras duplicado", ""), IF(AND(E269&lt;&gt;"", COUNTIF($E$2:$E$285, E269)&gt;1), "SKU duplicado", ""), IF(OR(J269="", J269=""), "[Aviso] División no capturada ()", IF(ISNA(MATCH(J269, Criterios!$A$123:$A$126, 0)), "División no válida", "")), IF(OR(K269="", K269=""), "[Aviso] Categoría no capturada ()", IF(ISNA(MATCH(K269, Criterios!$A$81:$A$120, 0)), "Categoría no válida", IF(AND(J269&lt;&gt;"", J269&lt;&gt;"", J269&lt;&gt;VLOOKUP(K269, Criterios!$A$81:$B$120, 2, FALSE)), "División no coincide con Categoría", ""))), IF(OR(L269="", L269=""), "[Aviso] Género no capturado ()", IF(ISNA(MATCH(L269, Criterios!$B$123:$B$127, 0)), "Género no válido", "")), IF(OR(N269="", N269=""), "[Aviso] Temporada no capturada ()", IF(ISNA(MATCH(N269, Criterios!$C$123:$C$128, 0)), "Temporada no válida", "")), IF(OR(O269="", O269=""), "[Aviso] Ciclo de vida no capturado ()", IF(ISNA(MATCH(O269, Criterios!$D$123:$D$124, 0)), "Ciclo de vida no válido", ""))))</f>
        <v/>
      </c>
      <c r="AC269" s="56" t="n"/>
      <c r="AD269" s="51" t="n"/>
      <c r="AE269" s="156" t="n"/>
      <c r="AF269" s="51" t="n"/>
      <c r="AG269" s="156" t="inlineStr">
        <is>
          <t>Nuevo – Odoo Universal Unique Brands 01/10/2026</t>
        </is>
      </c>
      <c r="AH269" s="156" t="inlineStr">
        <is>
          <t>01/10/2026: alta desde Odoo Universal Unique Brands (no existía en Productos por código de barras ni SKU) | Categoría: Palabra clave "Camisa" en tipo/categoría de la fuente (Ropa / Camisas); Género: campo de la fuente | Homologación G1522 06/10/2026: WB N.º de estilo: «» → «03-097-0692-6211» (Completado por regla) · Validador Shopify: WB: precio con IVA no termina en 9</t>
        </is>
      </c>
      <c r="AI269" s="156" t="n"/>
      <c r="AJ269" s="156" t="n"/>
      <c r="AK269" s="155" t="inlineStr">
        <is>
          <t>Odoo: producto 21068 / plantilla 27071</t>
        </is>
      </c>
      <c r="AL269" s="58" t="n"/>
      <c r="AM269" s="58" t="n"/>
      <c r="AN269" s="155" t="inlineStr">
        <is>
          <t>Odoo Universal Unique Brands</t>
        </is>
      </c>
      <c r="AO269" s="59" t="n"/>
      <c r="AP269" s="59" t="n"/>
      <c r="AQ269" s="59" t="n">
        <v>2</v>
      </c>
      <c r="AR269" s="155" t="inlineStr">
        <is>
          <t>Odoo Universal Unique Brands › Bodega 25 › Bodega 25/General: 2</t>
        </is>
      </c>
    </row>
    <row r="270">
      <c r="A270" s="50" t="inlineStr">
        <is>
          <t>199168059965</t>
        </is>
      </c>
      <c r="B270" s="51" t="n"/>
      <c r="C270" s="156" t="inlineStr">
        <is>
          <t>Roper</t>
        </is>
      </c>
      <c r="D270" s="156" t="inlineStr">
        <is>
          <t>03-097-0696-6204</t>
        </is>
      </c>
      <c r="E270" s="156" t="inlineStr">
        <is>
          <t>03-097-0696-6204 BR-L</t>
        </is>
      </c>
      <c r="F270" s="156" t="inlineStr">
        <is>
          <t>L</t>
        </is>
      </c>
      <c r="G270" s="156" t="inlineStr">
        <is>
          <t>L</t>
        </is>
      </c>
      <c r="H270" s="156" t="inlineStr">
        <is>
          <t>Roper</t>
        </is>
      </c>
      <c r="I270" s="156" t="inlineStr">
        <is>
          <t>ROPER Outerwear Poly/Faux Sherpa Vest</t>
        </is>
      </c>
      <c r="J270" s="156" t="inlineStr">
        <is>
          <t>Ropa</t>
        </is>
      </c>
      <c r="K270" s="156" t="inlineStr">
        <is>
          <t>Chamarras</t>
        </is>
      </c>
      <c r="L270" s="156" t="n"/>
      <c r="M270" s="156" t="n"/>
      <c r="N270" s="156" t="n"/>
      <c r="O270" s="156" t="n"/>
      <c r="P270" s="156" t="n"/>
      <c r="Q270" s="156" t="n"/>
      <c r="R270" s="156" t="n"/>
      <c r="S270" s="156" t="n"/>
      <c r="T270" s="156" t="n"/>
      <c r="U270" s="156" t="n"/>
      <c r="V270" s="156" t="inlineStr">
        <is>
          <t>PZS</t>
        </is>
      </c>
      <c r="W270" s="51" t="inlineStr">
        <is>
          <t>53101802</t>
        </is>
      </c>
      <c r="X270" s="156" t="n"/>
      <c r="Y270" s="54" t="n">
        <v>41.85</v>
      </c>
      <c r="Z270" s="54" t="n">
        <v>1089</v>
      </c>
      <c r="AA270" s="55">
        <f>IF(AND(A270="", B270="", E270=""), "", IF(AB270="", "Válido", IF((LEN(AB270)-LEN(SUBSTITUTE(AB270,"; ","")))/2+1&gt;(LEN(AB270)-LEN(SUBSTITUTE(AB270,"[Aviso]","")))/7, "Con Incidencias", "Válido")))</f>
        <v/>
      </c>
      <c r="AB270" s="56">
        <f>IF(AND(A270="", B270="", E270=""), "", TEXTJOIN("; ", TRUE, IF(OR(TRIM(A270&amp;"")="", ISNUMBER(SEARCH("FALTA", A270))), "UPC faltante/inválido", ""), IF(AND(A270&lt;&gt;"", IFERROR(_xlfn.XMATCH(A270,$A$2:$A$285,0,1)&lt;&gt;_xlfn.XMATCH(A270,$A$2:$A$285,0,-1),FALSE)), "Código de barras duplicado", ""), IF(AND(E270&lt;&gt;"", COUNTIF($E$2:$E$285, E270)&gt;1), "SKU duplicado", ""), IF(OR(J270="", J270=""), "[Aviso] División no capturada ()", IF(ISNA(MATCH(J270, Criterios!$A$123:$A$126, 0)), "División no válida", "")), IF(OR(K270="", K270=""), "[Aviso] Categoría no capturada ()", IF(ISNA(MATCH(K270, Criterios!$A$81:$A$120, 0)), "Categoría no válida", IF(AND(J270&lt;&gt;"", J270&lt;&gt;"", J270&lt;&gt;VLOOKUP(K270, Criterios!$A$81:$B$120, 2, FALSE)), "División no coincide con Categoría", ""))), IF(OR(L270="", L270=""), "[Aviso] Género no capturado ()", IF(ISNA(MATCH(L270, Criterios!$B$123:$B$127, 0)), "Género no válido", "")), IF(OR(N270="", N270=""), "[Aviso] Temporada no capturada ()", IF(ISNA(MATCH(N270, Criterios!$C$123:$C$128, 0)), "Temporada no válida", "")), IF(OR(O270="", O270=""), "[Aviso] Ciclo de vida no capturado ()", IF(ISNA(MATCH(O270, Criterios!$D$123:$D$124, 0)), "Ciclo de vida no válido", ""))))</f>
        <v/>
      </c>
      <c r="AC270" s="56" t="n"/>
      <c r="AD270" s="51" t="n"/>
      <c r="AE270" s="156" t="n"/>
      <c r="AF270" s="51" t="n"/>
      <c r="AG270" s="156" t="inlineStr">
        <is>
          <t>Nuevo – Odoo Universal Unique Brands 01/10/2026</t>
        </is>
      </c>
      <c r="AH270" s="156" t="inlineStr">
        <is>
          <t>01/10/2026: alta desde Odoo Universal Unique Brands (no existía en Productos por código de barras ni SKU) | Talla tomada del sufijo del SKU (L); Categoría: Palabra clave "Chamarra" en tipo/categoría de la fuente (Ropa / Chamarra) | Homologación G1522 06/10/2026: WB N.º de estilo: «» → «03-097-0696-6204» (Completado por regla) · Validador Shopify: WB: precio con IVA no termina en 9</t>
        </is>
      </c>
      <c r="AI270" s="156" t="n"/>
      <c r="AJ270" s="156" t="n"/>
      <c r="AK270" s="155" t="inlineStr">
        <is>
          <t>Odoo: producto 21036 / plantilla 27039</t>
        </is>
      </c>
      <c r="AL270" s="58" t="n"/>
      <c r="AM270" s="58" t="n"/>
      <c r="AN270" s="155" t="inlineStr">
        <is>
          <t>Odoo Universal Unique Brands</t>
        </is>
      </c>
      <c r="AO270" s="59" t="n"/>
      <c r="AP270" s="59" t="n"/>
      <c r="AQ270" s="59" t="n">
        <v>1</v>
      </c>
      <c r="AR270" s="155" t="inlineStr">
        <is>
          <t>Odoo Universal Unique Brands › Bodega 25 › Bodega 25/General: 1</t>
        </is>
      </c>
    </row>
    <row r="271">
      <c r="A271" s="50" t="inlineStr">
        <is>
          <t>199168059972</t>
        </is>
      </c>
      <c r="B271" s="51" t="n"/>
      <c r="C271" s="156" t="inlineStr">
        <is>
          <t>Roper</t>
        </is>
      </c>
      <c r="D271" s="156" t="inlineStr">
        <is>
          <t>03-097-0696-6204</t>
        </is>
      </c>
      <c r="E271" s="156" t="inlineStr">
        <is>
          <t>03-097-0696-6204 BR-M</t>
        </is>
      </c>
      <c r="F271" s="156" t="inlineStr">
        <is>
          <t>M</t>
        </is>
      </c>
      <c r="G271" s="156" t="inlineStr">
        <is>
          <t>M</t>
        </is>
      </c>
      <c r="H271" s="156" t="inlineStr">
        <is>
          <t>Roper</t>
        </is>
      </c>
      <c r="I271" s="156" t="inlineStr">
        <is>
          <t>ROPER Outerwear Poly/Faux Sherpa Vest</t>
        </is>
      </c>
      <c r="J271" s="156" t="inlineStr">
        <is>
          <t>Ropa</t>
        </is>
      </c>
      <c r="K271" s="156" t="inlineStr">
        <is>
          <t>Chamarras</t>
        </is>
      </c>
      <c r="L271" s="156" t="n"/>
      <c r="M271" s="156" t="n"/>
      <c r="N271" s="156" t="n"/>
      <c r="O271" s="156" t="n"/>
      <c r="P271" s="156" t="n"/>
      <c r="Q271" s="156" t="n"/>
      <c r="R271" s="156" t="n"/>
      <c r="S271" s="156" t="n"/>
      <c r="T271" s="156" t="n"/>
      <c r="U271" s="156" t="n"/>
      <c r="V271" s="156" t="inlineStr">
        <is>
          <t>PZS</t>
        </is>
      </c>
      <c r="W271" s="51" t="inlineStr">
        <is>
          <t>53101802</t>
        </is>
      </c>
      <c r="X271" s="156" t="n"/>
      <c r="Y271" s="54" t="n">
        <v>41.85</v>
      </c>
      <c r="Z271" s="54" t="n">
        <v>1089</v>
      </c>
      <c r="AA271" s="55">
        <f>IF(AND(A271="", B271="", E271=""), "", IF(AB271="", "Válido", IF((LEN(AB271)-LEN(SUBSTITUTE(AB271,"; ","")))/2+1&gt;(LEN(AB271)-LEN(SUBSTITUTE(AB271,"[Aviso]","")))/7, "Con Incidencias", "Válido")))</f>
        <v/>
      </c>
      <c r="AB271" s="56">
        <f>IF(AND(A271="", B271="", E271=""), "", TEXTJOIN("; ", TRUE, IF(OR(TRIM(A271&amp;"")="", ISNUMBER(SEARCH("FALTA", A271))), "UPC faltante/inválido", ""), IF(AND(A271&lt;&gt;"", IFERROR(_xlfn.XMATCH(A271,$A$2:$A$285,0,1)&lt;&gt;_xlfn.XMATCH(A271,$A$2:$A$285,0,-1),FALSE)), "Código de barras duplicado", ""), IF(AND(E271&lt;&gt;"", COUNTIF($E$2:$E$285, E271)&gt;1), "SKU duplicado", ""), IF(OR(J271="", J271=""), "[Aviso] División no capturada ()", IF(ISNA(MATCH(J271, Criterios!$A$123:$A$126, 0)), "División no válida", "")), IF(OR(K271="", K271=""), "[Aviso] Categoría no capturada ()", IF(ISNA(MATCH(K271, Criterios!$A$81:$A$120, 0)), "Categoría no válida", IF(AND(J271&lt;&gt;"", J271&lt;&gt;"", J271&lt;&gt;VLOOKUP(K271, Criterios!$A$81:$B$120, 2, FALSE)), "División no coincide con Categoría", ""))), IF(OR(L271="", L271=""), "[Aviso] Género no capturado ()", IF(ISNA(MATCH(L271, Criterios!$B$123:$B$127, 0)), "Género no válido", "")), IF(OR(N271="", N271=""), "[Aviso] Temporada no capturada ()", IF(ISNA(MATCH(N271, Criterios!$C$123:$C$128, 0)), "Temporada no válida", "")), IF(OR(O271="", O271=""), "[Aviso] Ciclo de vida no capturado ()", IF(ISNA(MATCH(O271, Criterios!$D$123:$D$124, 0)), "Ciclo de vida no válido", ""))))</f>
        <v/>
      </c>
      <c r="AC271" s="56" t="n"/>
      <c r="AD271" s="51" t="n"/>
      <c r="AE271" s="156" t="n"/>
      <c r="AF271" s="51" t="n"/>
      <c r="AG271" s="156" t="inlineStr">
        <is>
          <t>Nuevo – Odoo Universal Unique Brands 01/10/2026</t>
        </is>
      </c>
      <c r="AH271" s="156" t="inlineStr">
        <is>
          <t>01/10/2026: alta desde Odoo Universal Unique Brands (no existía en Productos por código de barras ni SKU) | Talla tomada del sufijo del SKU (M); Categoría: Palabra clave "Chamarra" en tipo/categoría de la fuente (Ropa / Chamarra) | Homologación G1522 06/10/2026: WB N.º de estilo: «» → «03-097-0696-6204» (Completado por regla) · Validador Shopify: WB: precio con IVA no termina en 9</t>
        </is>
      </c>
      <c r="AI271" s="156" t="n"/>
      <c r="AJ271" s="156" t="n"/>
      <c r="AK271" s="155" t="inlineStr">
        <is>
          <t>Odoo: producto 21035 / plantilla 27038</t>
        </is>
      </c>
      <c r="AL271" s="58" t="n"/>
      <c r="AM271" s="58" t="n"/>
      <c r="AN271" s="155" t="inlineStr">
        <is>
          <t>Odoo Universal Unique Brands</t>
        </is>
      </c>
      <c r="AO271" s="59" t="n"/>
      <c r="AP271" s="59" t="n"/>
      <c r="AQ271" s="59" t="n">
        <v>1</v>
      </c>
      <c r="AR271" s="155" t="inlineStr">
        <is>
          <t>Odoo Universal Unique Brands › Bodega 25 › Bodega 25/General: 1</t>
        </is>
      </c>
    </row>
    <row r="272">
      <c r="A272" s="50" t="inlineStr">
        <is>
          <t>199168059989</t>
        </is>
      </c>
      <c r="B272" s="51" t="n"/>
      <c r="C272" s="156" t="inlineStr">
        <is>
          <t>Roper</t>
        </is>
      </c>
      <c r="D272" s="156" t="inlineStr">
        <is>
          <t>03-097-0696-6204</t>
        </is>
      </c>
      <c r="E272" s="156" t="inlineStr">
        <is>
          <t>03-097-0696-6204 BR-S</t>
        </is>
      </c>
      <c r="F272" s="156" t="inlineStr">
        <is>
          <t>S</t>
        </is>
      </c>
      <c r="G272" s="156" t="inlineStr">
        <is>
          <t>S</t>
        </is>
      </c>
      <c r="H272" s="156" t="inlineStr">
        <is>
          <t>Roper</t>
        </is>
      </c>
      <c r="I272" s="156" t="inlineStr">
        <is>
          <t>ROPER Outerwear Poly/Faux Sherpa Vest</t>
        </is>
      </c>
      <c r="J272" s="156" t="inlineStr">
        <is>
          <t>Ropa</t>
        </is>
      </c>
      <c r="K272" s="156" t="inlineStr">
        <is>
          <t>Chamarras</t>
        </is>
      </c>
      <c r="L272" s="156" t="n"/>
      <c r="M272" s="156" t="n"/>
      <c r="N272" s="156" t="n"/>
      <c r="O272" s="156" t="n"/>
      <c r="P272" s="156" t="n"/>
      <c r="Q272" s="156" t="n"/>
      <c r="R272" s="156" t="n"/>
      <c r="S272" s="156" t="n"/>
      <c r="T272" s="156" t="n"/>
      <c r="U272" s="156" t="n"/>
      <c r="V272" s="156" t="inlineStr">
        <is>
          <t>PZS</t>
        </is>
      </c>
      <c r="W272" s="51" t="inlineStr">
        <is>
          <t>53101802</t>
        </is>
      </c>
      <c r="X272" s="156" t="n"/>
      <c r="Y272" s="54" t="n">
        <v>41.85</v>
      </c>
      <c r="Z272" s="54" t="n">
        <v>1089</v>
      </c>
      <c r="AA272" s="55">
        <f>IF(AND(A272="", B272="", E272=""), "", IF(AB272="", "Válido", IF((LEN(AB272)-LEN(SUBSTITUTE(AB272,"; ","")))/2+1&gt;(LEN(AB272)-LEN(SUBSTITUTE(AB272,"[Aviso]","")))/7, "Con Incidencias", "Válido")))</f>
        <v/>
      </c>
      <c r="AB272" s="56">
        <f>IF(AND(A272="", B272="", E272=""), "", TEXTJOIN("; ", TRUE, IF(OR(TRIM(A272&amp;"")="", ISNUMBER(SEARCH("FALTA", A272))), "UPC faltante/inválido", ""), IF(AND(A272&lt;&gt;"", IFERROR(_xlfn.XMATCH(A272,$A$2:$A$285,0,1)&lt;&gt;_xlfn.XMATCH(A272,$A$2:$A$285,0,-1),FALSE)), "Código de barras duplicado", ""), IF(AND(E272&lt;&gt;"", COUNTIF($E$2:$E$285, E272)&gt;1), "SKU duplicado", ""), IF(OR(J272="", J272=""), "[Aviso] División no capturada ()", IF(ISNA(MATCH(J272, Criterios!$A$123:$A$126, 0)), "División no válida", "")), IF(OR(K272="", K272=""), "[Aviso] Categoría no capturada ()", IF(ISNA(MATCH(K272, Criterios!$A$81:$A$120, 0)), "Categoría no válida", IF(AND(J272&lt;&gt;"", J272&lt;&gt;"", J272&lt;&gt;VLOOKUP(K272, Criterios!$A$81:$B$120, 2, FALSE)), "División no coincide con Categoría", ""))), IF(OR(L272="", L272=""), "[Aviso] Género no capturado ()", IF(ISNA(MATCH(L272, Criterios!$B$123:$B$127, 0)), "Género no válido", "")), IF(OR(N272="", N272=""), "[Aviso] Temporada no capturada ()", IF(ISNA(MATCH(N272, Criterios!$C$123:$C$128, 0)), "Temporada no válida", "")), IF(OR(O272="", O272=""), "[Aviso] Ciclo de vida no capturado ()", IF(ISNA(MATCH(O272, Criterios!$D$123:$D$124, 0)), "Ciclo de vida no válido", ""))))</f>
        <v/>
      </c>
      <c r="AC272" s="56" t="n"/>
      <c r="AD272" s="51" t="n"/>
      <c r="AE272" s="156" t="n"/>
      <c r="AF272" s="51" t="n"/>
      <c r="AG272" s="156" t="inlineStr">
        <is>
          <t>Nuevo – Odoo Universal Unique Brands 01/10/2026</t>
        </is>
      </c>
      <c r="AH272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«03-097-0696-6204» (Completado por regla) · Validador Shopify: WB: precio con IVA no termina en 9</t>
        </is>
      </c>
      <c r="AI272" s="156" t="n"/>
      <c r="AJ272" s="156" t="n"/>
      <c r="AK272" s="155" t="inlineStr">
        <is>
          <t>Odoo: producto 21034 / plantilla 27037</t>
        </is>
      </c>
      <c r="AL272" s="58" t="n"/>
      <c r="AM272" s="58" t="n"/>
      <c r="AN272" s="155" t="inlineStr">
        <is>
          <t>Odoo Universal Unique Brands</t>
        </is>
      </c>
      <c r="AO272" s="59" t="n"/>
      <c r="AP272" s="59" t="n"/>
      <c r="AQ272" s="59" t="n">
        <v>3</v>
      </c>
      <c r="AR272" s="155" t="inlineStr">
        <is>
          <t>Odoo Universal Unique Brands › Bodega 25 › Bodega 25/General: 3</t>
        </is>
      </c>
    </row>
    <row r="273">
      <c r="A273" s="50" t="inlineStr">
        <is>
          <t>199168059996</t>
        </is>
      </c>
      <c r="B273" s="51" t="n"/>
      <c r="C273" s="156" t="inlineStr">
        <is>
          <t>Roper</t>
        </is>
      </c>
      <c r="D273" s="156" t="inlineStr">
        <is>
          <t>03-097-0696-6204</t>
        </is>
      </c>
      <c r="E273" s="156" t="inlineStr">
        <is>
          <t>03-097-0696-6204 BR-XL</t>
        </is>
      </c>
      <c r="F273" s="156" t="inlineStr">
        <is>
          <t>XL</t>
        </is>
      </c>
      <c r="G273" s="156" t="inlineStr">
        <is>
          <t>XL</t>
        </is>
      </c>
      <c r="H273" s="156" t="inlineStr">
        <is>
          <t>Roper</t>
        </is>
      </c>
      <c r="I273" s="156" t="inlineStr">
        <is>
          <t>ROPER Outerwear Poly/Faux Sherpa Vest</t>
        </is>
      </c>
      <c r="J273" s="156" t="inlineStr">
        <is>
          <t>Ropa</t>
        </is>
      </c>
      <c r="K273" s="156" t="inlineStr">
        <is>
          <t>Chamarras</t>
        </is>
      </c>
      <c r="L273" s="156" t="n"/>
      <c r="M273" s="156" t="n"/>
      <c r="N273" s="156" t="n"/>
      <c r="O273" s="156" t="n"/>
      <c r="P273" s="156" t="n"/>
      <c r="Q273" s="156" t="n"/>
      <c r="R273" s="156" t="n"/>
      <c r="S273" s="156" t="n"/>
      <c r="T273" s="156" t="n"/>
      <c r="U273" s="156" t="n"/>
      <c r="V273" s="156" t="inlineStr">
        <is>
          <t>PZS</t>
        </is>
      </c>
      <c r="W273" s="51" t="inlineStr">
        <is>
          <t>53101802</t>
        </is>
      </c>
      <c r="X273" s="156" t="n"/>
      <c r="Y273" s="54" t="n">
        <v>41.85</v>
      </c>
      <c r="Z273" s="54" t="n">
        <v>1089</v>
      </c>
      <c r="AA273" s="55">
        <f>IF(AND(A273="", B273="", E273=""), "", IF(AB273="", "Válido", IF((LEN(AB273)-LEN(SUBSTITUTE(AB273,"; ","")))/2+1&gt;(LEN(AB273)-LEN(SUBSTITUTE(AB273,"[Aviso]","")))/7, "Con Incidencias", "Válido")))</f>
        <v/>
      </c>
      <c r="AB273" s="56">
        <f>IF(AND(A273="", B273="", E273=""), "", TEXTJOIN("; ", TRUE, IF(OR(TRIM(A273&amp;"")="", ISNUMBER(SEARCH("FALTA", A273))), "UPC faltante/inválido", ""), IF(AND(A273&lt;&gt;"", IFERROR(_xlfn.XMATCH(A273,$A$2:$A$285,0,1)&lt;&gt;_xlfn.XMATCH(A273,$A$2:$A$285,0,-1),FALSE)), "Código de barras duplicado", ""), IF(AND(E273&lt;&gt;"", COUNTIF($E$2:$E$285, E273)&gt;1), "SKU duplicado", ""), IF(OR(J273="", J273=""), "[Aviso] División no capturada ()", IF(ISNA(MATCH(J273, Criterios!$A$123:$A$126, 0)), "División no válida", "")), IF(OR(K273="", K273=""), "[Aviso] Categoría no capturada ()", IF(ISNA(MATCH(K273, Criterios!$A$81:$A$120, 0)), "Categoría no válida", IF(AND(J273&lt;&gt;"", J273&lt;&gt;"", J273&lt;&gt;VLOOKUP(K273, Criterios!$A$81:$B$120, 2, FALSE)), "División no coincide con Categoría", ""))), IF(OR(L273="", L273=""), "[Aviso] Género no capturado ()", IF(ISNA(MATCH(L273, Criterios!$B$123:$B$127, 0)), "Género no válido", "")), IF(OR(N273="", N273=""), "[Aviso] Temporada no capturada ()", IF(ISNA(MATCH(N273, Criterios!$C$123:$C$128, 0)), "Temporada no válida", "")), IF(OR(O273="", O273=""), "[Aviso] Ciclo de vida no capturado ()", IF(ISNA(MATCH(O273, Criterios!$D$123:$D$124, 0)), "Ciclo de vida no válido", ""))))</f>
        <v/>
      </c>
      <c r="AC273" s="56" t="n"/>
      <c r="AD273" s="51" t="n"/>
      <c r="AE273" s="156" t="n"/>
      <c r="AF273" s="51" t="n"/>
      <c r="AG273" s="156" t="inlineStr">
        <is>
          <t>Nuevo – Odoo Universal Unique Brands 01/10/2026</t>
        </is>
      </c>
      <c r="AH273" s="156" t="inlineStr">
        <is>
          <t>01/10/2026: alta desde Odoo Universal Unique Brands (no existía en Productos por código de barras ni SKU) | Talla tomada del sufijo del SKU (XL); Categoría: Palabra clave "Chamarra" en tipo/categoría de la fuente (Ropa / Chamarra) | Homologación G1522 06/10/2026: WB N.º de estilo: «» → «03-097-0696-6204» (Completado por regla) · Validador Shopify: WB: precio con IVA no termina en 9</t>
        </is>
      </c>
      <c r="AI273" s="156" t="n"/>
      <c r="AJ273" s="156" t="n"/>
      <c r="AK273" s="155" t="inlineStr">
        <is>
          <t>Odoo: producto 21037 / plantilla 27040</t>
        </is>
      </c>
      <c r="AL273" s="58" t="n"/>
      <c r="AM273" s="58" t="n"/>
      <c r="AN273" s="155" t="inlineStr">
        <is>
          <t>Odoo Universal Unique Brands</t>
        </is>
      </c>
      <c r="AO273" s="59" t="n"/>
      <c r="AP273" s="59" t="n"/>
      <c r="AQ273" s="59" t="n">
        <v>2</v>
      </c>
      <c r="AR273" s="155" t="inlineStr">
        <is>
          <t>Odoo Universal Unique Brands › Bodega 25 › Bodega 25/General: 2</t>
        </is>
      </c>
    </row>
    <row r="274">
      <c r="A274" s="50" t="inlineStr">
        <is>
          <t>199168060107</t>
        </is>
      </c>
      <c r="B274" s="51" t="n"/>
      <c r="C274" s="156" t="inlineStr">
        <is>
          <t>Roper</t>
        </is>
      </c>
      <c r="D274" s="156" t="inlineStr">
        <is>
          <t>03-097-0780-6017</t>
        </is>
      </c>
      <c r="E274" s="156" t="inlineStr">
        <is>
          <t>03-097-0780-6017 BL-2XL</t>
        </is>
      </c>
      <c r="F274" s="156" t="inlineStr">
        <is>
          <t>XXL</t>
        </is>
      </c>
      <c r="G274" s="156" t="inlineStr">
        <is>
          <t>XXL</t>
        </is>
      </c>
      <c r="H274" s="156" t="inlineStr">
        <is>
          <t>Roper</t>
        </is>
      </c>
      <c r="I274" s="156" t="inlineStr">
        <is>
          <t>ROPER Outerwear Charcoal/Black Aztec</t>
        </is>
      </c>
      <c r="J274" s="156" t="inlineStr">
        <is>
          <t>Ropa</t>
        </is>
      </c>
      <c r="K274" s="156" t="inlineStr">
        <is>
          <t>Camisas</t>
        </is>
      </c>
      <c r="L274" s="156" t="n"/>
      <c r="M274" s="156" t="n"/>
      <c r="N274" s="156" t="n"/>
      <c r="O274" s="156" t="n"/>
      <c r="P274" s="156" t="inlineStr">
        <is>
          <t>Gris</t>
        </is>
      </c>
      <c r="Q274" s="156" t="n"/>
      <c r="R274" s="156" t="n"/>
      <c r="S274" s="156" t="n"/>
      <c r="T274" s="156" t="n"/>
      <c r="U274" s="156" t="n"/>
      <c r="V274" s="156" t="inlineStr">
        <is>
          <t>PZS</t>
        </is>
      </c>
      <c r="W274" s="51" t="inlineStr">
        <is>
          <t>53101802</t>
        </is>
      </c>
      <c r="X274" s="156" t="n"/>
      <c r="Y274" s="54" t="n">
        <v>46.04</v>
      </c>
      <c r="Z274" s="54" t="n">
        <v>1189</v>
      </c>
      <c r="AA274" s="55">
        <f>IF(AND(A274="", B274="", E274=""), "", IF(AB274="", "Válido", IF((LEN(AB274)-LEN(SUBSTITUTE(AB274,"; ","")))/2+1&gt;(LEN(AB274)-LEN(SUBSTITUTE(AB274,"[Aviso]","")))/7, "Con Incidencias", "Válido")))</f>
        <v/>
      </c>
      <c r="AB274" s="56">
        <f>IF(AND(A274="", B274="", E274=""), "", TEXTJOIN("; ", TRUE, IF(OR(TRIM(A274&amp;"")="", ISNUMBER(SEARCH("FALTA", A274))), "UPC faltante/inválido", ""), IF(AND(A274&lt;&gt;"", IFERROR(_xlfn.XMATCH(A274,$A$2:$A$285,0,1)&lt;&gt;_xlfn.XMATCH(A274,$A$2:$A$285,0,-1),FALSE)), "Código de barras duplicado", ""), IF(AND(E274&lt;&gt;"", COUNTIF($E$2:$E$285, E274)&gt;1), "SKU duplicado", ""), IF(OR(J274="", J274=""), "[Aviso] División no capturada ()", IF(ISNA(MATCH(J274, Criterios!$A$123:$A$126, 0)), "División no válida", "")), IF(OR(K274="", K274=""), "[Aviso] Categoría no capturada ()", IF(ISNA(MATCH(K274, Criterios!$A$81:$A$120, 0)), "Categoría no válida", IF(AND(J274&lt;&gt;"", J274&lt;&gt;"", J274&lt;&gt;VLOOKUP(K274, Criterios!$A$81:$B$120, 2, FALSE)), "División no coincide con Categoría", ""))), IF(OR(L274="", L274=""), "[Aviso] Género no capturado ()", IF(ISNA(MATCH(L274, Criterios!$B$123:$B$127, 0)), "Género no válido", "")), IF(OR(N274="", N274=""), "[Aviso] Temporada no capturada ()", IF(ISNA(MATCH(N274, Criterios!$C$123:$C$128, 0)), "Temporada no válida", "")), IF(OR(O274="", O274=""), "[Aviso] Ciclo de vida no capturado ()", IF(ISNA(MATCH(O274, Criterios!$D$123:$D$124, 0)), "Ciclo de vida no válido", ""))))</f>
        <v/>
      </c>
      <c r="AC274" s="56" t="n"/>
      <c r="AD274" s="51" t="n"/>
      <c r="AE274" s="156" t="n"/>
      <c r="AF274" s="51" t="n"/>
      <c r="AG274" s="156" t="inlineStr">
        <is>
          <t>Nuevo – Odoo Universal Unique Brands 01/10/2026</t>
        </is>
      </c>
      <c r="AH274" s="156" t="inlineStr">
        <is>
          <t>01/10/2026: alta desde Odoo Universal Unique Brands (no existía en Productos por código de barras ni SKU) | Talla tomada del sufijo del SKU (2XL); Categoría: Palabra clave "Camisa" en tipo/categoría de la fuente (Ropa / Camisas); Talla: 2XL→XXL; Color detectado en el nombre (charcoal) | Homologación G1522 06/10/2026: WB N.º de estilo: «» → «03-097-0780-6017» (Completado por regla)</t>
        </is>
      </c>
      <c r="AI274" s="156" t="n"/>
      <c r="AJ274" s="156" t="n"/>
      <c r="AK274" s="155" t="inlineStr">
        <is>
          <t>Odoo: producto 21025 / plantilla 27028</t>
        </is>
      </c>
      <c r="AL274" s="58" t="n"/>
      <c r="AM274" s="58" t="n"/>
      <c r="AN274" s="155" t="inlineStr">
        <is>
          <t>Odoo Universal Unique Brands</t>
        </is>
      </c>
      <c r="AO274" s="59" t="n"/>
      <c r="AP274" s="59" t="n"/>
      <c r="AQ274" s="59" t="n">
        <v>6</v>
      </c>
      <c r="AR274" s="155" t="inlineStr">
        <is>
          <t>Odoo Universal Unique Brands › Bodega 25 › Bodega 25/General: 6</t>
        </is>
      </c>
    </row>
    <row r="275">
      <c r="A275" s="50" t="inlineStr">
        <is>
          <t>199168060060</t>
        </is>
      </c>
      <c r="B275" s="51" t="n"/>
      <c r="C275" s="156" t="inlineStr">
        <is>
          <t>Roper</t>
        </is>
      </c>
      <c r="D275" s="156" t="inlineStr">
        <is>
          <t>03-097-0780-6017</t>
        </is>
      </c>
      <c r="E275" s="156" t="inlineStr">
        <is>
          <t>03-097-0780-6017 BL-L</t>
        </is>
      </c>
      <c r="F275" s="156" t="inlineStr">
        <is>
          <t>L</t>
        </is>
      </c>
      <c r="G275" s="156" t="inlineStr">
        <is>
          <t>L</t>
        </is>
      </c>
      <c r="H275" s="156" t="inlineStr">
        <is>
          <t>Roper</t>
        </is>
      </c>
      <c r="I275" s="156" t="inlineStr">
        <is>
          <t>ROPER Outerwear Charcoal/Black Aztec</t>
        </is>
      </c>
      <c r="J275" s="156" t="inlineStr">
        <is>
          <t>Ropa</t>
        </is>
      </c>
      <c r="K275" s="156" t="inlineStr">
        <is>
          <t>Chamarras</t>
        </is>
      </c>
      <c r="L275" s="156" t="n"/>
      <c r="M275" s="156" t="n"/>
      <c r="N275" s="156" t="n"/>
      <c r="O275" s="156" t="n"/>
      <c r="P275" s="156" t="inlineStr">
        <is>
          <t>Gris</t>
        </is>
      </c>
      <c r="Q275" s="156" t="n"/>
      <c r="R275" s="156" t="n"/>
      <c r="S275" s="156" t="n"/>
      <c r="T275" s="156" t="n"/>
      <c r="U275" s="156" t="n"/>
      <c r="V275" s="156" t="inlineStr">
        <is>
          <t>PZS</t>
        </is>
      </c>
      <c r="W275" s="51" t="inlineStr">
        <is>
          <t>53101802</t>
        </is>
      </c>
      <c r="X275" s="156" t="n"/>
      <c r="Y275" s="54" t="n">
        <v>46.04</v>
      </c>
      <c r="Z275" s="54" t="n">
        <v>1189</v>
      </c>
      <c r="AA275" s="55">
        <f>IF(AND(A275="", B275="", E275=""), "", IF(AB275="", "Válido", IF((LEN(AB275)-LEN(SUBSTITUTE(AB275,"; ","")))/2+1&gt;(LEN(AB275)-LEN(SUBSTITUTE(AB275,"[Aviso]","")))/7, "Con Incidencias", "Válido")))</f>
        <v/>
      </c>
      <c r="AB275" s="56">
        <f>IF(AND(A275="", B275="", E275=""), "", TEXTJOIN("; ", TRUE, IF(OR(TRIM(A275&amp;"")="", ISNUMBER(SEARCH("FALTA", A275))), "UPC faltante/inválido", ""), IF(AND(A275&lt;&gt;"", IFERROR(_xlfn.XMATCH(A275,$A$2:$A$285,0,1)&lt;&gt;_xlfn.XMATCH(A275,$A$2:$A$285,0,-1),FALSE)), "Código de barras duplicado", ""), IF(AND(E275&lt;&gt;"", COUNTIF($E$2:$E$285, E275)&gt;1), "SKU duplicado", ""), IF(OR(J275="", J275=""), "[Aviso] División no capturada ()", IF(ISNA(MATCH(J275, Criterios!$A$123:$A$126, 0)), "División no válida", "")), IF(OR(K275="", K275=""), "[Aviso] Categoría no capturada ()", IF(ISNA(MATCH(K275, Criterios!$A$81:$A$120, 0)), "Categoría no válida", IF(AND(J275&lt;&gt;"", J275&lt;&gt;"", J275&lt;&gt;VLOOKUP(K275, Criterios!$A$81:$B$120, 2, FALSE)), "División no coincide con Categoría", ""))), IF(OR(L275="", L275=""), "[Aviso] Género no capturado ()", IF(ISNA(MATCH(L275, Criterios!$B$123:$B$127, 0)), "Género no válido", "")), IF(OR(N275="", N275=""), "[Aviso] Temporada no capturada ()", IF(ISNA(MATCH(N275, Criterios!$C$123:$C$128, 0)), "Temporada no válida", "")), IF(OR(O275="", O275=""), "[Aviso] Ciclo de vida no capturado ()", IF(ISNA(MATCH(O275, Criterios!$D$123:$D$124, 0)), "Ciclo de vida no válido", ""))))</f>
        <v/>
      </c>
      <c r="AC275" s="56" t="n"/>
      <c r="AD275" s="51" t="n"/>
      <c r="AE275" s="156" t="n"/>
      <c r="AF275" s="51" t="n"/>
      <c r="AG275" s="156" t="inlineStr">
        <is>
          <t>Nuevo – Odoo Universal Unique Brands 01/10/2026</t>
        </is>
      </c>
      <c r="AH275" s="156" t="inlineStr">
        <is>
          <t>01/10/2026: alta desde Odoo Universal Unique Brands (no existía en Productos por código de barras ni SKU) | Talla tomada del sufijo del SKU (L); Categoría: Palabra clave "Chamarra" en tipo/categoría de la fuente (Ropa / Chamarra); Color detectado en el nombre (charcoal) | Homologación G1522 06/10/2026: WB N.º de estilo: «» → «03-097-0780-6017» (Completado por regla)</t>
        </is>
      </c>
      <c r="AI275" s="156" t="n"/>
      <c r="AJ275" s="156" t="n"/>
      <c r="AK275" s="155" t="inlineStr">
        <is>
          <t>Odoo: producto 21023 / plantilla 27026</t>
        </is>
      </c>
      <c r="AL275" s="58" t="n"/>
      <c r="AM275" s="58" t="n"/>
      <c r="AN275" s="155" t="inlineStr">
        <is>
          <t>Odoo Universal Unique Brands</t>
        </is>
      </c>
      <c r="AO275" s="59" t="n"/>
      <c r="AP275" s="59" t="n"/>
      <c r="AQ275" s="59" t="n">
        <v>0</v>
      </c>
      <c r="AR275" s="155" t="n"/>
    </row>
    <row r="276">
      <c r="A276" s="50" t="inlineStr">
        <is>
          <t>199168060077</t>
        </is>
      </c>
      <c r="B276" s="51" t="n"/>
      <c r="C276" s="156" t="inlineStr">
        <is>
          <t>Roper</t>
        </is>
      </c>
      <c r="D276" s="156" t="inlineStr">
        <is>
          <t>03-097-0780-6017</t>
        </is>
      </c>
      <c r="E276" s="156" t="inlineStr">
        <is>
          <t>03-097-0780-6017 BL-M</t>
        </is>
      </c>
      <c r="F276" s="156" t="inlineStr">
        <is>
          <t>M</t>
        </is>
      </c>
      <c r="G276" s="156" t="inlineStr">
        <is>
          <t>M</t>
        </is>
      </c>
      <c r="H276" s="156" t="inlineStr">
        <is>
          <t>Roper</t>
        </is>
      </c>
      <c r="I276" s="156" t="inlineStr">
        <is>
          <t>ROPER Outerwear Charcoal/Black Aztec</t>
        </is>
      </c>
      <c r="J276" s="156" t="inlineStr">
        <is>
          <t>Ropa</t>
        </is>
      </c>
      <c r="K276" s="156" t="inlineStr">
        <is>
          <t>Chamarras</t>
        </is>
      </c>
      <c r="L276" s="156" t="n"/>
      <c r="M276" s="156" t="n"/>
      <c r="N276" s="156" t="n"/>
      <c r="O276" s="156" t="n"/>
      <c r="P276" s="156" t="inlineStr">
        <is>
          <t>Gris</t>
        </is>
      </c>
      <c r="Q276" s="156" t="n"/>
      <c r="R276" s="156" t="n"/>
      <c r="S276" s="156" t="n"/>
      <c r="T276" s="156" t="n"/>
      <c r="U276" s="156" t="n"/>
      <c r="V276" s="156" t="inlineStr">
        <is>
          <t>PZS</t>
        </is>
      </c>
      <c r="W276" s="51" t="inlineStr">
        <is>
          <t>53101802</t>
        </is>
      </c>
      <c r="X276" s="156" t="n"/>
      <c r="Y276" s="54" t="n">
        <v>46.04</v>
      </c>
      <c r="Z276" s="54" t="n">
        <v>1189</v>
      </c>
      <c r="AA276" s="55">
        <f>IF(AND(A276="", B276="", E276=""), "", IF(AB276="", "Válido", IF((LEN(AB276)-LEN(SUBSTITUTE(AB276,"; ","")))/2+1&gt;(LEN(AB276)-LEN(SUBSTITUTE(AB276,"[Aviso]","")))/7, "Con Incidencias", "Válido")))</f>
        <v/>
      </c>
      <c r="AB276" s="56">
        <f>IF(AND(A276="", B276="", E276=""), "", TEXTJOIN("; ", TRUE, IF(OR(TRIM(A276&amp;"")="", ISNUMBER(SEARCH("FALTA", A276))), "UPC faltante/inválido", ""), IF(AND(A276&lt;&gt;"", IFERROR(_xlfn.XMATCH(A276,$A$2:$A$285,0,1)&lt;&gt;_xlfn.XMATCH(A276,$A$2:$A$285,0,-1),FALSE)), "Código de barras duplicado", ""), IF(AND(E276&lt;&gt;"", COUNTIF($E$2:$E$285, E276)&gt;1), "SKU duplicado", ""), IF(OR(J276="", J276=""), "[Aviso] División no capturada ()", IF(ISNA(MATCH(J276, Criterios!$A$123:$A$126, 0)), "División no válida", "")), IF(OR(K276="", K276=""), "[Aviso] Categoría no capturada ()", IF(ISNA(MATCH(K276, Criterios!$A$81:$A$120, 0)), "Categoría no válida", IF(AND(J276&lt;&gt;"", J276&lt;&gt;"", J276&lt;&gt;VLOOKUP(K276, Criterios!$A$81:$B$120, 2, FALSE)), "División no coincide con Categoría", ""))), IF(OR(L276="", L276=""), "[Aviso] Género no capturado ()", IF(ISNA(MATCH(L276, Criterios!$B$123:$B$127, 0)), "Género no válido", "")), IF(OR(N276="", N276=""), "[Aviso] Temporada no capturada ()", IF(ISNA(MATCH(N276, Criterios!$C$123:$C$128, 0)), "Temporada no válida", "")), IF(OR(O276="", O276=""), "[Aviso] Ciclo de vida no capturado ()", IF(ISNA(MATCH(O276, Criterios!$D$123:$D$124, 0)), "Ciclo de vida no válido", ""))))</f>
        <v/>
      </c>
      <c r="AC276" s="56" t="n"/>
      <c r="AD276" s="51" t="n"/>
      <c r="AE276" s="156" t="n"/>
      <c r="AF276" s="51" t="n"/>
      <c r="AG276" s="156" t="inlineStr">
        <is>
          <t>Nuevo – Odoo Universal Unique Brands 01/10/2026</t>
        </is>
      </c>
      <c r="AH276" s="156" t="inlineStr">
        <is>
          <t>01/10/2026: alta desde Odoo Universal Unique Brands (no existía en Productos por código de barras ni SKU) | Talla tomada del sufijo del SKU (M); Categoría: Palabra clave "Chamarra" en tipo/categoría de la fuente (Ropa / Chamarra); Color detectado en el nombre (charcoal) | Homologación G1522 06/10/2026: WB N.º de estilo: «» → «03-097-0780-6017» (Completado por regla)</t>
        </is>
      </c>
      <c r="AI276" s="156" t="n"/>
      <c r="AJ276" s="156" t="n"/>
      <c r="AK276" s="155" t="inlineStr">
        <is>
          <t>Odoo: producto 21022 / plantilla 27025</t>
        </is>
      </c>
      <c r="AL276" s="58" t="n"/>
      <c r="AM276" s="58" t="n"/>
      <c r="AN276" s="155" t="inlineStr">
        <is>
          <t>Odoo Universal Unique Brands</t>
        </is>
      </c>
      <c r="AO276" s="59" t="n"/>
      <c r="AP276" s="59" t="n"/>
      <c r="AQ276" s="59" t="n">
        <v>1</v>
      </c>
      <c r="AR276" s="155" t="inlineStr">
        <is>
          <t>Odoo Universal Unique Brands › Bodega 25 › Bodega 25/General: 1</t>
        </is>
      </c>
    </row>
    <row r="277">
      <c r="A277" s="50" t="inlineStr">
        <is>
          <t>199168060084</t>
        </is>
      </c>
      <c r="B277" s="51" t="n"/>
      <c r="C277" s="156" t="inlineStr">
        <is>
          <t>Roper</t>
        </is>
      </c>
      <c r="D277" s="156" t="inlineStr">
        <is>
          <t>03-097-0780-6017</t>
        </is>
      </c>
      <c r="E277" s="156" t="inlineStr">
        <is>
          <t>03-097-0780-6017 BL-S</t>
        </is>
      </c>
      <c r="F277" s="156" t="inlineStr">
        <is>
          <t>S</t>
        </is>
      </c>
      <c r="G277" s="156" t="inlineStr">
        <is>
          <t>S</t>
        </is>
      </c>
      <c r="H277" s="156" t="inlineStr">
        <is>
          <t>Roper</t>
        </is>
      </c>
      <c r="I277" s="156" t="inlineStr">
        <is>
          <t>ROPER Outerwear Charcoal/Black Aztec</t>
        </is>
      </c>
      <c r="J277" s="156" t="inlineStr">
        <is>
          <t>Ropa</t>
        </is>
      </c>
      <c r="K277" s="156" t="inlineStr">
        <is>
          <t>Chamarras</t>
        </is>
      </c>
      <c r="L277" s="156" t="n"/>
      <c r="M277" s="156" t="n"/>
      <c r="N277" s="156" t="n"/>
      <c r="O277" s="156" t="n"/>
      <c r="P277" s="156" t="inlineStr">
        <is>
          <t>Gris</t>
        </is>
      </c>
      <c r="Q277" s="156" t="n"/>
      <c r="R277" s="156" t="n"/>
      <c r="S277" s="156" t="n"/>
      <c r="T277" s="156" t="n"/>
      <c r="U277" s="156" t="n"/>
      <c r="V277" s="156" t="inlineStr">
        <is>
          <t>PZS</t>
        </is>
      </c>
      <c r="W277" s="51" t="inlineStr">
        <is>
          <t>53101802</t>
        </is>
      </c>
      <c r="X277" s="156" t="n"/>
      <c r="Y277" s="54" t="n">
        <v>46.04</v>
      </c>
      <c r="Z277" s="54" t="n">
        <v>1189</v>
      </c>
      <c r="AA277" s="55">
        <f>IF(AND(A277="", B277="", E277=""), "", IF(AB277="", "Válido", IF((LEN(AB277)-LEN(SUBSTITUTE(AB277,"; ","")))/2+1&gt;(LEN(AB277)-LEN(SUBSTITUTE(AB277,"[Aviso]","")))/7, "Con Incidencias", "Válido")))</f>
        <v/>
      </c>
      <c r="AB277" s="56">
        <f>IF(AND(A277="", B277="", E277=""), "", TEXTJOIN("; ", TRUE, IF(OR(TRIM(A277&amp;"")="", ISNUMBER(SEARCH("FALTA", A277))), "UPC faltante/inválido", ""), IF(AND(A277&lt;&gt;"", IFERROR(_xlfn.XMATCH(A277,$A$2:$A$285,0,1)&lt;&gt;_xlfn.XMATCH(A277,$A$2:$A$285,0,-1),FALSE)), "Código de barras duplicado", ""), IF(AND(E277&lt;&gt;"", COUNTIF($E$2:$E$285, E277)&gt;1), "SKU duplicado", ""), IF(OR(J277="", J277=""), "[Aviso] División no capturada ()", IF(ISNA(MATCH(J277, Criterios!$A$123:$A$126, 0)), "División no válida", "")), IF(OR(K277="", K277=""), "[Aviso] Categoría no capturada ()", IF(ISNA(MATCH(K277, Criterios!$A$81:$A$120, 0)), "Categoría no válida", IF(AND(J277&lt;&gt;"", J277&lt;&gt;"", J277&lt;&gt;VLOOKUP(K277, Criterios!$A$81:$B$120, 2, FALSE)), "División no coincide con Categoría", ""))), IF(OR(L277="", L277=""), "[Aviso] Género no capturado ()", IF(ISNA(MATCH(L277, Criterios!$B$123:$B$127, 0)), "Género no válido", "")), IF(OR(N277="", N277=""), "[Aviso] Temporada no capturada ()", IF(ISNA(MATCH(N277, Criterios!$C$123:$C$128, 0)), "Temporada no válida", "")), IF(OR(O277="", O277=""), "[Aviso] Ciclo de vida no capturado ()", IF(ISNA(MATCH(O277, Criterios!$D$123:$D$124, 0)), "Ciclo de vida no válido", ""))))</f>
        <v/>
      </c>
      <c r="AC277" s="56" t="n"/>
      <c r="AD277" s="51" t="n"/>
      <c r="AE277" s="156" t="n"/>
      <c r="AF277" s="51" t="n"/>
      <c r="AG277" s="156" t="inlineStr">
        <is>
          <t>Nuevo – Odoo Universal Unique Brands 01/10/2026</t>
        </is>
      </c>
      <c r="AH277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Chamarra); Color detectado en el nombre (charcoal) | Homologación G1522 06/10/2026: WB N.º de estilo: «» → «03-097-0780-6017» (Completado por regla)</t>
        </is>
      </c>
      <c r="AI277" s="156" t="n"/>
      <c r="AJ277" s="156" t="n"/>
      <c r="AK277" s="155" t="inlineStr">
        <is>
          <t>Odoo: producto 21021 / plantilla 27024</t>
        </is>
      </c>
      <c r="AL277" s="58" t="n"/>
      <c r="AM277" s="58" t="n"/>
      <c r="AN277" s="155" t="inlineStr">
        <is>
          <t>Odoo Universal Unique Brands</t>
        </is>
      </c>
      <c r="AO277" s="59" t="n"/>
      <c r="AP277" s="59" t="n"/>
      <c r="AQ277" s="59" t="n">
        <v>3</v>
      </c>
      <c r="AR277" s="155" t="inlineStr">
        <is>
          <t>Odoo Universal Unique Brands › Bodega 25 › Bodega 25/General: 3</t>
        </is>
      </c>
    </row>
    <row r="278">
      <c r="A278" s="50" t="inlineStr">
        <is>
          <t>199168060091</t>
        </is>
      </c>
      <c r="B278" s="51" t="n"/>
      <c r="C278" s="156" t="inlineStr">
        <is>
          <t>Roper</t>
        </is>
      </c>
      <c r="D278" s="156" t="inlineStr">
        <is>
          <t>03-097-0780-6017</t>
        </is>
      </c>
      <c r="E278" s="156" t="inlineStr">
        <is>
          <t>03-097-0780-6017 BL-XL</t>
        </is>
      </c>
      <c r="F278" s="156" t="inlineStr">
        <is>
          <t>XL</t>
        </is>
      </c>
      <c r="G278" s="156" t="inlineStr">
        <is>
          <t>XL</t>
        </is>
      </c>
      <c r="H278" s="156" t="inlineStr">
        <is>
          <t>Roper</t>
        </is>
      </c>
      <c r="I278" s="156" t="inlineStr">
        <is>
          <t>ROPER Outerwear Charcoal/Black Aztec</t>
        </is>
      </c>
      <c r="J278" s="156" t="inlineStr">
        <is>
          <t>Ropa</t>
        </is>
      </c>
      <c r="K278" s="156" t="inlineStr">
        <is>
          <t>Chamarras</t>
        </is>
      </c>
      <c r="L278" s="156" t="n"/>
      <c r="M278" s="156" t="n"/>
      <c r="N278" s="156" t="n"/>
      <c r="O278" s="156" t="n"/>
      <c r="P278" s="156" t="inlineStr">
        <is>
          <t>Gris</t>
        </is>
      </c>
      <c r="Q278" s="156" t="n"/>
      <c r="R278" s="156" t="n"/>
      <c r="S278" s="156" t="n"/>
      <c r="T278" s="156" t="n"/>
      <c r="U278" s="156" t="n"/>
      <c r="V278" s="156" t="inlineStr">
        <is>
          <t>PZS</t>
        </is>
      </c>
      <c r="W278" s="51" t="inlineStr">
        <is>
          <t>53101802</t>
        </is>
      </c>
      <c r="X278" s="156" t="n"/>
      <c r="Y278" s="54" t="n">
        <v>46.04</v>
      </c>
      <c r="Z278" s="54" t="n">
        <v>1189</v>
      </c>
      <c r="AA278" s="55">
        <f>IF(AND(A278="", B278="", E278=""), "", IF(AB278="", "Válido", IF((LEN(AB278)-LEN(SUBSTITUTE(AB278,"; ","")))/2+1&gt;(LEN(AB278)-LEN(SUBSTITUTE(AB278,"[Aviso]","")))/7, "Con Incidencias", "Válido")))</f>
        <v/>
      </c>
      <c r="AB278" s="56">
        <f>IF(AND(A278="", B278="", E278=""), "", TEXTJOIN("; ", TRUE, IF(OR(TRIM(A278&amp;"")="", ISNUMBER(SEARCH("FALTA", A278))), "UPC faltante/inválido", ""), IF(AND(A278&lt;&gt;"", IFERROR(_xlfn.XMATCH(A278,$A$2:$A$285,0,1)&lt;&gt;_xlfn.XMATCH(A278,$A$2:$A$285,0,-1),FALSE)), "Código de barras duplicado", ""), IF(AND(E278&lt;&gt;"", COUNTIF($E$2:$E$285, E278)&gt;1), "SKU duplicado", ""), IF(OR(J278="", J278=""), "[Aviso] División no capturada ()", IF(ISNA(MATCH(J278, Criterios!$A$123:$A$126, 0)), "División no válida", "")), IF(OR(K278="", K278=""), "[Aviso] Categoría no capturada ()", IF(ISNA(MATCH(K278, Criterios!$A$81:$A$120, 0)), "Categoría no válida", IF(AND(J278&lt;&gt;"", J278&lt;&gt;"", J278&lt;&gt;VLOOKUP(K278, Criterios!$A$81:$B$120, 2, FALSE)), "División no coincide con Categoría", ""))), IF(OR(L278="", L278=""), "[Aviso] Género no capturado ()", IF(ISNA(MATCH(L278, Criterios!$B$123:$B$127, 0)), "Género no válido", "")), IF(OR(N278="", N278=""), "[Aviso] Temporada no capturada ()", IF(ISNA(MATCH(N278, Criterios!$C$123:$C$128, 0)), "Temporada no válida", "")), IF(OR(O278="", O278=""), "[Aviso] Ciclo de vida no capturado ()", IF(ISNA(MATCH(O278, Criterios!$D$123:$D$124, 0)), "Ciclo de vida no válido", ""))))</f>
        <v/>
      </c>
      <c r="AC278" s="56" t="n"/>
      <c r="AD278" s="51" t="n"/>
      <c r="AE278" s="156" t="n"/>
      <c r="AF278" s="51" t="n"/>
      <c r="AG278" s="156" t="inlineStr">
        <is>
          <t>Nuevo – Odoo Universal Unique Brands 01/10/2026</t>
        </is>
      </c>
      <c r="AH278" s="156" t="inlineStr">
        <is>
          <t>01/10/2026: alta desde Odoo Universal Unique Brands (no existía en Productos por código de barras ni SKU) | Talla tomada del sufijo del SKU (XL); Categoría: Palabra clave "Chamarra" en tipo/categoría de la fuente (Ropa / Chamarra); Color detectado en el nombre (charcoal) | Homologación G1522 06/10/2026: WB N.º de estilo: «» → «03-097-0780-6017» (Completado por regla)</t>
        </is>
      </c>
      <c r="AI278" s="156" t="n"/>
      <c r="AJ278" s="156" t="n"/>
      <c r="AK278" s="155" t="inlineStr">
        <is>
          <t>Odoo: producto 21024 / plantilla 27027</t>
        </is>
      </c>
      <c r="AL278" s="58" t="n"/>
      <c r="AM278" s="58" t="n"/>
      <c r="AN278" s="155" t="inlineStr">
        <is>
          <t>Odoo Universal Unique Brands</t>
        </is>
      </c>
      <c r="AO278" s="59" t="n"/>
      <c r="AP278" s="59" t="n"/>
      <c r="AQ278" s="59" t="n">
        <v>4</v>
      </c>
      <c r="AR278" s="155" t="inlineStr">
        <is>
          <t>Odoo Universal Unique Brands › Bodega 25 › Bodega 25/General: 4</t>
        </is>
      </c>
    </row>
    <row r="279">
      <c r="A279" s="50" t="inlineStr">
        <is>
          <t>199168062170</t>
        </is>
      </c>
      <c r="B279" s="51" t="n"/>
      <c r="C279" s="156" t="inlineStr">
        <is>
          <t>Roper</t>
        </is>
      </c>
      <c r="D279" s="156" t="inlineStr">
        <is>
          <t>03-098-0693-6212</t>
        </is>
      </c>
      <c r="E279" s="156" t="inlineStr">
        <is>
          <t>03-098-0693-6212 BL-L</t>
        </is>
      </c>
      <c r="F279" s="156" t="inlineStr">
        <is>
          <t>L</t>
        </is>
      </c>
      <c r="G279" s="156" t="inlineStr">
        <is>
          <t>L</t>
        </is>
      </c>
      <c r="H279" s="156" t="inlineStr">
        <is>
          <t>Roper</t>
        </is>
      </c>
      <c r="I279" s="156" t="inlineStr">
        <is>
          <t>ROPER Outerwear Nylon Coated Jacket</t>
        </is>
      </c>
      <c r="J279" s="156" t="inlineStr">
        <is>
          <t>Ropa</t>
        </is>
      </c>
      <c r="K279" s="156" t="inlineStr">
        <is>
          <t>Chamarras</t>
        </is>
      </c>
      <c r="L279" s="156" t="n"/>
      <c r="M279" s="156" t="n"/>
      <c r="N279" s="156" t="n"/>
      <c r="O279" s="156" t="n"/>
      <c r="P279" s="156" t="n"/>
      <c r="Q279" s="156" t="n"/>
      <c r="R279" s="156" t="n"/>
      <c r="S279" s="156" t="n"/>
      <c r="T279" s="156" t="n"/>
      <c r="U279" s="156" t="n"/>
      <c r="V279" s="156" t="inlineStr">
        <is>
          <t>PZS</t>
        </is>
      </c>
      <c r="W279" s="51" t="inlineStr">
        <is>
          <t>53101802</t>
        </is>
      </c>
      <c r="X279" s="156" t="n"/>
      <c r="Y279" s="54" t="n">
        <v>60.45</v>
      </c>
      <c r="Z279" s="54" t="n">
        <v>1529</v>
      </c>
      <c r="AA279" s="55">
        <f>IF(AND(A279="", B279="", E279=""), "", IF(AB279="", "Válido", IF((LEN(AB279)-LEN(SUBSTITUTE(AB279,"; ","")))/2+1&gt;(LEN(AB279)-LEN(SUBSTITUTE(AB279,"[Aviso]","")))/7, "Con Incidencias", "Válido")))</f>
        <v/>
      </c>
      <c r="AB279" s="56">
        <f>IF(AND(A279="", B279="", E279=""), "", TEXTJOIN("; ", TRUE, IF(OR(TRIM(A279&amp;"")="", ISNUMBER(SEARCH("FALTA", A279))), "UPC faltante/inválido", ""), IF(AND(A279&lt;&gt;"", IFERROR(_xlfn.XMATCH(A279,$A$2:$A$285,0,1)&lt;&gt;_xlfn.XMATCH(A279,$A$2:$A$285,0,-1),FALSE)), "Código de barras duplicado", ""), IF(AND(E279&lt;&gt;"", COUNTIF($E$2:$E$285, E279)&gt;1), "SKU duplicado", ""), IF(OR(J279="", J279=""), "[Aviso] División no capturada ()", IF(ISNA(MATCH(J279, Criterios!$A$123:$A$126, 0)), "División no válida", "")), IF(OR(K279="", K279=""), "[Aviso] Categoría no capturada ()", IF(ISNA(MATCH(K279, Criterios!$A$81:$A$120, 0)), "Categoría no válida", IF(AND(J279&lt;&gt;"", J279&lt;&gt;"", J279&lt;&gt;VLOOKUP(K279, Criterios!$A$81:$B$120, 2, FALSE)), "División no coincide con Categoría", ""))), IF(OR(L279="", L279=""), "[Aviso] Género no capturado ()", IF(ISNA(MATCH(L279, Criterios!$B$123:$B$127, 0)), "Género no válido", "")), IF(OR(N279="", N279=""), "[Aviso] Temporada no capturada ()", IF(ISNA(MATCH(N279, Criterios!$C$123:$C$128, 0)), "Temporada no válida", "")), IF(OR(O279="", O279=""), "[Aviso] Ciclo de vida no capturado ()", IF(ISNA(MATCH(O279, Criterios!$D$123:$D$124, 0)), "Ciclo de vida no válido", ""))))</f>
        <v/>
      </c>
      <c r="AC279" s="56" t="n"/>
      <c r="AD279" s="51" t="n"/>
      <c r="AE279" s="156" t="n"/>
      <c r="AF279" s="51" t="n"/>
      <c r="AG279" s="156" t="inlineStr">
        <is>
          <t>Nuevo – Odoo Universal Unique Brands 01/10/2026</t>
        </is>
      </c>
      <c r="AH279" s="156" t="inlineStr">
        <is>
          <t>01/10/2026: alta desde Odoo Universal Unique Brands (no existía en Productos por código de barras ni SKU) | Talla tomada del sufijo del SKU (L); Categoría: Palabra clave "Chamarra" en tipo/categoría de la fuente (Ropa / Chamarra) | Homologación G1522 06/10/2026: WB N.º de estilo: «» → «03-098-0693-6212» (Completado por regla) · Validador Shopify: WB: precio con IVA no termina en 9</t>
        </is>
      </c>
      <c r="AI279" s="156" t="n"/>
      <c r="AJ279" s="156" t="n"/>
      <c r="AK279" s="155" t="inlineStr">
        <is>
          <t>Odoo: producto 21131 / plantilla 27134</t>
        </is>
      </c>
      <c r="AL279" s="58" t="n"/>
      <c r="AM279" s="58" t="n"/>
      <c r="AN279" s="155" t="inlineStr">
        <is>
          <t>Odoo Universal Unique Brands</t>
        </is>
      </c>
      <c r="AO279" s="59" t="n"/>
      <c r="AP279" s="59" t="n"/>
      <c r="AQ279" s="59" t="n">
        <v>10</v>
      </c>
      <c r="AR279" s="155" t="inlineStr">
        <is>
          <t>Odoo Universal Unique Brands › Bodega 25 › Bodega 25/General: 10</t>
        </is>
      </c>
    </row>
    <row r="280">
      <c r="A280" s="50" t="inlineStr">
        <is>
          <t>199168062187</t>
        </is>
      </c>
      <c r="B280" s="51" t="n"/>
      <c r="C280" s="156" t="inlineStr">
        <is>
          <t>Roper</t>
        </is>
      </c>
      <c r="D280" s="156" t="inlineStr">
        <is>
          <t>03-098-0693-6212</t>
        </is>
      </c>
      <c r="E280" s="156" t="inlineStr">
        <is>
          <t>03-098-0693-6212 BL-M</t>
        </is>
      </c>
      <c r="F280" s="156" t="inlineStr">
        <is>
          <t>M</t>
        </is>
      </c>
      <c r="G280" s="156" t="inlineStr">
        <is>
          <t>M</t>
        </is>
      </c>
      <c r="H280" s="156" t="inlineStr">
        <is>
          <t>Roper</t>
        </is>
      </c>
      <c r="I280" s="156" t="inlineStr">
        <is>
          <t>ROPER Outerwear Nylon Coated Jacket</t>
        </is>
      </c>
      <c r="J280" s="156" t="inlineStr">
        <is>
          <t>Ropa</t>
        </is>
      </c>
      <c r="K280" s="156" t="inlineStr">
        <is>
          <t>Chamarras</t>
        </is>
      </c>
      <c r="L280" s="156" t="n"/>
      <c r="M280" s="156" t="n"/>
      <c r="N280" s="156" t="n"/>
      <c r="O280" s="156" t="n"/>
      <c r="P280" s="156" t="n"/>
      <c r="Q280" s="156" t="n"/>
      <c r="R280" s="156" t="n"/>
      <c r="S280" s="156" t="n"/>
      <c r="T280" s="156" t="n"/>
      <c r="U280" s="156" t="n"/>
      <c r="V280" s="156" t="inlineStr">
        <is>
          <t>PZS</t>
        </is>
      </c>
      <c r="W280" s="51" t="inlineStr">
        <is>
          <t>53101802</t>
        </is>
      </c>
      <c r="X280" s="156" t="n"/>
      <c r="Y280" s="54" t="n">
        <v>60.45</v>
      </c>
      <c r="Z280" s="54" t="n">
        <v>1529</v>
      </c>
      <c r="AA280" s="55">
        <f>IF(AND(A280="", B280="", E280=""), "", IF(AB280="", "Válido", IF((LEN(AB280)-LEN(SUBSTITUTE(AB280,"; ","")))/2+1&gt;(LEN(AB280)-LEN(SUBSTITUTE(AB280,"[Aviso]","")))/7, "Con Incidencias", "Válido")))</f>
        <v/>
      </c>
      <c r="AB280" s="56">
        <f>IF(AND(A280="", B280="", E280=""), "", TEXTJOIN("; ", TRUE, IF(OR(TRIM(A280&amp;"")="", ISNUMBER(SEARCH("FALTA", A280))), "UPC faltante/inválido", ""), IF(AND(A280&lt;&gt;"", IFERROR(_xlfn.XMATCH(A280,$A$2:$A$285,0,1)&lt;&gt;_xlfn.XMATCH(A280,$A$2:$A$285,0,-1),FALSE)), "Código de barras duplicado", ""), IF(AND(E280&lt;&gt;"", COUNTIF($E$2:$E$285, E280)&gt;1), "SKU duplicado", ""), IF(OR(J280="", J280=""), "[Aviso] División no capturada ()", IF(ISNA(MATCH(J280, Criterios!$A$123:$A$126, 0)), "División no válida", "")), IF(OR(K280="", K280=""), "[Aviso] Categoría no capturada ()", IF(ISNA(MATCH(K280, Criterios!$A$81:$A$120, 0)), "Categoría no válida", IF(AND(J280&lt;&gt;"", J280&lt;&gt;"", J280&lt;&gt;VLOOKUP(K280, Criterios!$A$81:$B$120, 2, FALSE)), "División no coincide con Categoría", ""))), IF(OR(L280="", L280=""), "[Aviso] Género no capturado ()", IF(ISNA(MATCH(L280, Criterios!$B$123:$B$127, 0)), "Género no válido", "")), IF(OR(N280="", N280=""), "[Aviso] Temporada no capturada ()", IF(ISNA(MATCH(N280, Criterios!$C$123:$C$128, 0)), "Temporada no válida", "")), IF(OR(O280="", O280=""), "[Aviso] Ciclo de vida no capturado ()", IF(ISNA(MATCH(O280, Criterios!$D$123:$D$124, 0)), "Ciclo de vida no válido", ""))))</f>
        <v/>
      </c>
      <c r="AC280" s="56" t="n"/>
      <c r="AD280" s="51" t="n"/>
      <c r="AE280" s="156" t="n"/>
      <c r="AF280" s="51" t="n"/>
      <c r="AG280" s="156" t="inlineStr">
        <is>
          <t>Nuevo – Odoo Universal Unique Brands 01/10/2026</t>
        </is>
      </c>
      <c r="AH280" s="156" t="inlineStr">
        <is>
          <t>01/10/2026: alta desde Odoo Universal Unique Brands (no existía en Productos por código de barras ni SKU) | Talla tomada del sufijo del SKU (M); Categoría: Palabra clave "Chamarra" en tipo/categoría de la fuente (Ropa / Chamarra) | Homologación G1522 06/10/2026: WB N.º de estilo: «» → «03-098-0693-6212» (Completado por regla) · Validador Shopify: WB: precio con IVA no termina en 9</t>
        </is>
      </c>
      <c r="AI280" s="156" t="n"/>
      <c r="AJ280" s="156" t="n"/>
      <c r="AK280" s="155" t="inlineStr">
        <is>
          <t>Odoo: producto 21130 / plantilla 27133</t>
        </is>
      </c>
      <c r="AL280" s="58" t="n"/>
      <c r="AM280" s="58" t="n"/>
      <c r="AN280" s="155" t="inlineStr">
        <is>
          <t>Odoo Universal Unique Brands</t>
        </is>
      </c>
      <c r="AO280" s="59" t="n"/>
      <c r="AP280" s="59" t="n"/>
      <c r="AQ280" s="59" t="n">
        <v>10</v>
      </c>
      <c r="AR280" s="155" t="inlineStr">
        <is>
          <t>Odoo Universal Unique Brands › Bodega 25 › Bodega 25/General: 10</t>
        </is>
      </c>
    </row>
    <row r="281">
      <c r="A281" s="50" t="inlineStr">
        <is>
          <t>199168062194</t>
        </is>
      </c>
      <c r="B281" s="51" t="n"/>
      <c r="C281" s="156" t="inlineStr">
        <is>
          <t>Roper</t>
        </is>
      </c>
      <c r="D281" s="156" t="inlineStr">
        <is>
          <t>03-098-0693-6212</t>
        </is>
      </c>
      <c r="E281" s="156" t="inlineStr">
        <is>
          <t>03-098-0693-6212 BL-S</t>
        </is>
      </c>
      <c r="F281" s="156" t="inlineStr">
        <is>
          <t>S</t>
        </is>
      </c>
      <c r="G281" s="156" t="inlineStr">
        <is>
          <t>S</t>
        </is>
      </c>
      <c r="H281" s="156" t="inlineStr">
        <is>
          <t>Roper</t>
        </is>
      </c>
      <c r="I281" s="156" t="inlineStr">
        <is>
          <t>ROPER Outerwear Nylon Coated Jacket</t>
        </is>
      </c>
      <c r="J281" s="156" t="inlineStr">
        <is>
          <t>Ropa</t>
        </is>
      </c>
      <c r="K281" s="156" t="inlineStr">
        <is>
          <t>Chamarras</t>
        </is>
      </c>
      <c r="L281" s="156" t="n"/>
      <c r="M281" s="156" t="n"/>
      <c r="N281" s="156" t="n"/>
      <c r="O281" s="156" t="n"/>
      <c r="P281" s="156" t="n"/>
      <c r="Q281" s="156" t="n"/>
      <c r="R281" s="156" t="n"/>
      <c r="S281" s="156" t="n"/>
      <c r="T281" s="156" t="n"/>
      <c r="U281" s="156" t="n"/>
      <c r="V281" s="156" t="inlineStr">
        <is>
          <t>PZS</t>
        </is>
      </c>
      <c r="W281" s="51" t="inlineStr">
        <is>
          <t>53101802</t>
        </is>
      </c>
      <c r="X281" s="156" t="n"/>
      <c r="Y281" s="54" t="n">
        <v>60.45</v>
      </c>
      <c r="Z281" s="54" t="n">
        <v>1529</v>
      </c>
      <c r="AA281" s="55">
        <f>IF(AND(A281="", B281="", E281=""), "", IF(AB281="", "Válido", IF((LEN(AB281)-LEN(SUBSTITUTE(AB281,"; ","")))/2+1&gt;(LEN(AB281)-LEN(SUBSTITUTE(AB281,"[Aviso]","")))/7, "Con Incidencias", "Válido")))</f>
        <v/>
      </c>
      <c r="AB281" s="56">
        <f>IF(AND(A281="", B281="", E281=""), "", TEXTJOIN("; ", TRUE, IF(OR(TRIM(A281&amp;"")="", ISNUMBER(SEARCH("FALTA", A281))), "UPC faltante/inválido", ""), IF(AND(A281&lt;&gt;"", IFERROR(_xlfn.XMATCH(A281,$A$2:$A$285,0,1)&lt;&gt;_xlfn.XMATCH(A281,$A$2:$A$285,0,-1),FALSE)), "Código de barras duplicado", ""), IF(AND(E281&lt;&gt;"", COUNTIF($E$2:$E$285, E281)&gt;1), "SKU duplicado", ""), IF(OR(J281="", J281=""), "[Aviso] División no capturada ()", IF(ISNA(MATCH(J281, Criterios!$A$123:$A$126, 0)), "División no válida", "")), IF(OR(K281="", K281=""), "[Aviso] Categoría no capturada ()", IF(ISNA(MATCH(K281, Criterios!$A$81:$A$120, 0)), "Categoría no válida", IF(AND(J281&lt;&gt;"", J281&lt;&gt;"", J281&lt;&gt;VLOOKUP(K281, Criterios!$A$81:$B$120, 2, FALSE)), "División no coincide con Categoría", ""))), IF(OR(L281="", L281=""), "[Aviso] Género no capturado ()", IF(ISNA(MATCH(L281, Criterios!$B$123:$B$127, 0)), "Género no válido", "")), IF(OR(N281="", N281=""), "[Aviso] Temporada no capturada ()", IF(ISNA(MATCH(N281, Criterios!$C$123:$C$128, 0)), "Temporada no válida", "")), IF(OR(O281="", O281=""), "[Aviso] Ciclo de vida no capturado ()", IF(ISNA(MATCH(O281, Criterios!$D$123:$D$124, 0)), "Ciclo de vida no válido", ""))))</f>
        <v/>
      </c>
      <c r="AC281" s="56" t="n"/>
      <c r="AD281" s="51" t="n"/>
      <c r="AE281" s="156" t="n"/>
      <c r="AF281" s="51" t="n"/>
      <c r="AG281" s="156" t="inlineStr">
        <is>
          <t>Nuevo – Odoo Universal Unique Brands 01/10/2026</t>
        </is>
      </c>
      <c r="AH281" s="156" t="inlineStr">
        <is>
          <t>01/10/2026: alta desde Odoo Universal Unique Brands (no existía en Productos por código de barras ni SKU) | Talla tomada del sufijo del SKU (S); Categoría: Palabra clave "Chamarra" en tipo/categoría de la fuente (Ropa / Chamarra) | Homologación G1522 06/10/2026: WB N.º de estilo: «» → «03-098-0693-6212» (Completado por regla) · Validador Shopify: WB: precio con IVA no termina en 9</t>
        </is>
      </c>
      <c r="AI281" s="156" t="n"/>
      <c r="AJ281" s="156" t="n"/>
      <c r="AK281" s="155" t="inlineStr">
        <is>
          <t>Odoo: producto 21129 / plantilla 27132</t>
        </is>
      </c>
      <c r="AL281" s="58" t="n"/>
      <c r="AM281" s="58" t="n"/>
      <c r="AN281" s="155" t="inlineStr">
        <is>
          <t>Odoo Universal Unique Brands</t>
        </is>
      </c>
      <c r="AO281" s="59" t="n"/>
      <c r="AP281" s="59" t="n"/>
      <c r="AQ281" s="59" t="n">
        <v>10</v>
      </c>
      <c r="AR281" s="155" t="inlineStr">
        <is>
          <t>Odoo Universal Unique Brands › Bodega 25 › Bodega 25/General: 10</t>
        </is>
      </c>
    </row>
    <row r="282">
      <c r="A282" s="50" t="inlineStr">
        <is>
          <t>199168062200</t>
        </is>
      </c>
      <c r="B282" s="51" t="n"/>
      <c r="C282" s="156" t="inlineStr">
        <is>
          <t>Roper</t>
        </is>
      </c>
      <c r="D282" s="156" t="inlineStr">
        <is>
          <t>03-098-0693-6212</t>
        </is>
      </c>
      <c r="E282" s="156" t="inlineStr">
        <is>
          <t>03-098-0693-6212 BL-XL</t>
        </is>
      </c>
      <c r="F282" s="156" t="inlineStr">
        <is>
          <t>XL</t>
        </is>
      </c>
      <c r="G282" s="156" t="inlineStr">
        <is>
          <t>XL</t>
        </is>
      </c>
      <c r="H282" s="156" t="inlineStr">
        <is>
          <t>Roper</t>
        </is>
      </c>
      <c r="I282" s="156" t="inlineStr">
        <is>
          <t>ROPER Outerwear Nylon Coated Jacket</t>
        </is>
      </c>
      <c r="J282" s="156" t="inlineStr">
        <is>
          <t>Ropa</t>
        </is>
      </c>
      <c r="K282" s="156" t="inlineStr">
        <is>
          <t>Chamarras</t>
        </is>
      </c>
      <c r="L282" s="156" t="n"/>
      <c r="M282" s="156" t="n"/>
      <c r="N282" s="156" t="n"/>
      <c r="O282" s="156" t="n"/>
      <c r="P282" s="156" t="n"/>
      <c r="Q282" s="156" t="n"/>
      <c r="R282" s="156" t="n"/>
      <c r="S282" s="156" t="n"/>
      <c r="T282" s="156" t="n"/>
      <c r="U282" s="156" t="n"/>
      <c r="V282" s="156" t="inlineStr">
        <is>
          <t>PZS</t>
        </is>
      </c>
      <c r="W282" s="51" t="inlineStr">
        <is>
          <t>53101802</t>
        </is>
      </c>
      <c r="X282" s="156" t="n"/>
      <c r="Y282" s="54" t="n">
        <v>60.45</v>
      </c>
      <c r="Z282" s="54" t="n">
        <v>1529</v>
      </c>
      <c r="AA282" s="55">
        <f>IF(AND(A282="", B282="", E282=""), "", IF(AB282="", "Válido", IF((LEN(AB282)-LEN(SUBSTITUTE(AB282,"; ","")))/2+1&gt;(LEN(AB282)-LEN(SUBSTITUTE(AB282,"[Aviso]","")))/7, "Con Incidencias", "Válido")))</f>
        <v/>
      </c>
      <c r="AB282" s="56">
        <f>IF(AND(A282="", B282="", E282=""), "", TEXTJOIN("; ", TRUE, IF(OR(TRIM(A282&amp;"")="", ISNUMBER(SEARCH("FALTA", A282))), "UPC faltante/inválido", ""), IF(AND(A282&lt;&gt;"", IFERROR(_xlfn.XMATCH(A282,$A$2:$A$285,0,1)&lt;&gt;_xlfn.XMATCH(A282,$A$2:$A$285,0,-1),FALSE)), "Código de barras duplicado", ""), IF(AND(E282&lt;&gt;"", COUNTIF($E$2:$E$285, E282)&gt;1), "SKU duplicado", ""), IF(OR(J282="", J282=""), "[Aviso] División no capturada ()", IF(ISNA(MATCH(J282, Criterios!$A$123:$A$126, 0)), "División no válida", "")), IF(OR(K282="", K282=""), "[Aviso] Categoría no capturada ()", IF(ISNA(MATCH(K282, Criterios!$A$81:$A$120, 0)), "Categoría no válida", IF(AND(J282&lt;&gt;"", J282&lt;&gt;"", J282&lt;&gt;VLOOKUP(K282, Criterios!$A$81:$B$120, 2, FALSE)), "División no coincide con Categoría", ""))), IF(OR(L282="", L282=""), "[Aviso] Género no capturado ()", IF(ISNA(MATCH(L282, Criterios!$B$123:$B$127, 0)), "Género no válido", "")), IF(OR(N282="", N282=""), "[Aviso] Temporada no capturada ()", IF(ISNA(MATCH(N282, Criterios!$C$123:$C$128, 0)), "Temporada no válida", "")), IF(OR(O282="", O282=""), "[Aviso] Ciclo de vida no capturado ()", IF(ISNA(MATCH(O282, Criterios!$D$123:$D$124, 0)), "Ciclo de vida no válido", ""))))</f>
        <v/>
      </c>
      <c r="AC282" s="56" t="n"/>
      <c r="AD282" s="51" t="n"/>
      <c r="AE282" s="156" t="n"/>
      <c r="AF282" s="51" t="n"/>
      <c r="AG282" s="156" t="inlineStr">
        <is>
          <t>Nuevo – Odoo Universal Unique Brands 01/10/2026</t>
        </is>
      </c>
      <c r="AH282" s="156" t="inlineStr">
        <is>
          <t>01/10/2026: alta desde Odoo Universal Unique Brands (no existía en Productos por código de barras ni SKU) | Talla tomada del sufijo del SKU (XL); Categoría: Palabra clave "Chamarra" en tipo/categoría de la fuente (Ropa / Chamarra) | Homologación G1522 06/10/2026: WB N.º de estilo: «» → «03-098-0693-6212» (Completado por regla) · Validador Shopify: WB: precio con IVA no termina en 9</t>
        </is>
      </c>
      <c r="AI282" s="156" t="n"/>
      <c r="AJ282" s="156" t="n"/>
      <c r="AK282" s="155" t="inlineStr">
        <is>
          <t>Odoo: producto 21132 / plantilla 27135</t>
        </is>
      </c>
      <c r="AL282" s="58" t="n"/>
      <c r="AM282" s="58" t="n"/>
      <c r="AN282" s="155" t="inlineStr">
        <is>
          <t>Odoo Universal Unique Brands</t>
        </is>
      </c>
      <c r="AO282" s="59" t="n"/>
      <c r="AP282" s="59" t="n"/>
      <c r="AQ282" s="59" t="n">
        <v>10</v>
      </c>
      <c r="AR282" s="155" t="inlineStr">
        <is>
          <t>Odoo Universal Unique Brands › Bodega 25 › Bodega 25/General: 10</t>
        </is>
      </c>
    </row>
    <row r="283">
      <c r="A283" s="50" t="inlineStr">
        <is>
          <t>199168063047</t>
        </is>
      </c>
      <c r="B283" s="51" t="n"/>
      <c r="C283" s="156" t="inlineStr">
        <is>
          <t>Roper</t>
        </is>
      </c>
      <c r="D283" s="156" t="inlineStr">
        <is>
          <t>03-257-0594-6173</t>
        </is>
      </c>
      <c r="E283" s="156" t="inlineStr">
        <is>
          <t>03-257-0594-6173 BU-L</t>
        </is>
      </c>
      <c r="F283" s="156" t="inlineStr">
        <is>
          <t>XL</t>
        </is>
      </c>
      <c r="G283" s="156" t="inlineStr">
        <is>
          <t>XL</t>
        </is>
      </c>
      <c r="H283" s="156" t="inlineStr">
        <is>
          <t>Roper</t>
        </is>
      </c>
      <c r="I283" s="156" t="inlineStr">
        <is>
          <t>ROPER Dress Dk Blue Denim Tank</t>
        </is>
      </c>
      <c r="J283" s="156" t="inlineStr">
        <is>
          <t>Ropa</t>
        </is>
      </c>
      <c r="K283" s="156" t="inlineStr">
        <is>
          <t>Vestidos</t>
        </is>
      </c>
      <c r="L283" s="156" t="inlineStr">
        <is>
          <t>Hombre</t>
        </is>
      </c>
      <c r="M283" s="156" t="n"/>
      <c r="N283" s="156" t="n"/>
      <c r="O283" s="156" t="n"/>
      <c r="P283" s="156" t="inlineStr">
        <is>
          <t>Azul</t>
        </is>
      </c>
      <c r="Q283" s="156" t="n"/>
      <c r="R283" s="156" t="n"/>
      <c r="S283" s="156" t="n"/>
      <c r="T283" s="156" t="n"/>
      <c r="U283" s="156" t="n"/>
      <c r="V283" s="156" t="inlineStr">
        <is>
          <t>PZS</t>
        </is>
      </c>
      <c r="W283" s="51" t="inlineStr">
        <is>
          <t>53101602</t>
        </is>
      </c>
      <c r="X283" s="156" t="n"/>
      <c r="Y283" s="54" t="n">
        <v>20</v>
      </c>
      <c r="Z283" s="54" t="n">
        <v>569</v>
      </c>
      <c r="AA283" s="55">
        <f>IF(AND(A283="", B283="", E283=""), "", IF(AB283="", "Válido", IF((LEN(AB283)-LEN(SUBSTITUTE(AB283,"; ","")))/2+1&gt;(LEN(AB283)-LEN(SUBSTITUTE(AB283,"[Aviso]","")))/7, "Con Incidencias", "Válido")))</f>
        <v/>
      </c>
      <c r="AB283" s="56">
        <f>IF(AND(A283="", B283="", E283=""), "", TEXTJOIN("; ", TRUE, IF(OR(TRIM(A283&amp;"")="", ISNUMBER(SEARCH("FALTA", A283))), "UPC faltante/inválido", ""), IF(AND(A283&lt;&gt;"", IFERROR(_xlfn.XMATCH(A283,$A$2:$A$285,0,1)&lt;&gt;_xlfn.XMATCH(A283,$A$2:$A$285,0,-1),FALSE)), "Código de barras duplicado", ""), IF(AND(E283&lt;&gt;"", COUNTIF($E$2:$E$285, E283)&gt;1), "SKU duplicado", ""), IF(OR(J283="", J283=""), "[Aviso] División no capturada ()", IF(ISNA(MATCH(J283, Criterios!$A$123:$A$126, 0)), "División no válida", "")), IF(OR(K283="", K283=""), "[Aviso] Categoría no capturada ()", IF(ISNA(MATCH(K283, Criterios!$A$81:$A$120, 0)), "Categoría no válida", IF(AND(J283&lt;&gt;"", J283&lt;&gt;"", J283&lt;&gt;VLOOKUP(K283, Criterios!$A$81:$B$120, 2, FALSE)), "División no coincide con Categoría", ""))), IF(OR(L283="", L283=""), "[Aviso] Género no capturado ()", IF(ISNA(MATCH(L283, Criterios!$B$123:$B$127, 0)), "Género no válido", "")), IF(OR(N283="", N283=""), "[Aviso] Temporada no capturada ()", IF(ISNA(MATCH(N283, Criterios!$C$123:$C$128, 0)), "Temporada no válida", "")), IF(OR(O283="", O283=""), "[Aviso] Ciclo de vida no capturado ()", IF(ISNA(MATCH(O283, Criterios!$D$123:$D$124, 0)), "Ciclo de vida no válido", ""))))</f>
        <v/>
      </c>
      <c r="AC283" s="56" t="n"/>
      <c r="AD283" s="51" t="n"/>
      <c r="AE283" s="156" t="n"/>
      <c r="AF283" s="51" t="n"/>
      <c r="AG283" s="156" t="inlineStr">
        <is>
          <t>Nuevo – Odoo Universal Unique Brands 01/10/2026</t>
        </is>
      </c>
      <c r="AH283" s="156" t="inlineStr">
        <is>
          <t>01/10/2026: alta desde Odoo Universal Unique Brands (no existía en Productos por código de barras ni SKU) | Categoría: Palabra clave "Vestido" en tipo/categoría de la fuente (Ropa / Vestidos); Género: campo de la fuente; Color detectado en el nombre (blue) | Homologación G1522 06/10/2026: WB N.º de estilo: «» → «03-257-0594-6173» (Completado por regla) · Validador Shopify: WB: precio con IVA no termina en 9</t>
        </is>
      </c>
      <c r="AI283" s="156" t="n"/>
      <c r="AJ283" s="156" t="n"/>
      <c r="AK283" s="155" t="inlineStr">
        <is>
          <t>Odoo: producto 21074 / plantilla 27077</t>
        </is>
      </c>
      <c r="AL283" s="58" t="n"/>
      <c r="AM283" s="58" t="n"/>
      <c r="AN283" s="155" t="inlineStr">
        <is>
          <t>Odoo Universal Unique Brands</t>
        </is>
      </c>
      <c r="AO283" s="59" t="n"/>
      <c r="AP283" s="59" t="n"/>
      <c r="AQ283" s="59" t="n">
        <v>5</v>
      </c>
      <c r="AR283" s="155" t="inlineStr">
        <is>
          <t>Odoo Universal Unique Brands › Bodega 25 › Bodega 25/General: 5</t>
        </is>
      </c>
    </row>
    <row r="284">
      <c r="A284" s="50" t="inlineStr">
        <is>
          <t>199168063054</t>
        </is>
      </c>
      <c r="B284" s="51" t="n"/>
      <c r="C284" s="156" t="inlineStr">
        <is>
          <t>Roper</t>
        </is>
      </c>
      <c r="D284" s="156" t="inlineStr">
        <is>
          <t>03-257-0594-6173</t>
        </is>
      </c>
      <c r="E284" s="156" t="inlineStr">
        <is>
          <t>03-257-0594-6173 BU-M</t>
        </is>
      </c>
      <c r="F284" s="156" t="inlineStr">
        <is>
          <t>M</t>
        </is>
      </c>
      <c r="G284" s="156" t="inlineStr">
        <is>
          <t>M</t>
        </is>
      </c>
      <c r="H284" s="156" t="inlineStr">
        <is>
          <t>Roper</t>
        </is>
      </c>
      <c r="I284" s="156" t="inlineStr">
        <is>
          <t>ROPER Dress Dk Blue Denim Tank</t>
        </is>
      </c>
      <c r="J284" s="156" t="inlineStr">
        <is>
          <t>Ropa</t>
        </is>
      </c>
      <c r="K284" s="156" t="inlineStr">
        <is>
          <t>Vestidos</t>
        </is>
      </c>
      <c r="L284" s="156" t="inlineStr">
        <is>
          <t>Mujer</t>
        </is>
      </c>
      <c r="M284" s="156" t="n"/>
      <c r="N284" s="156" t="n"/>
      <c r="O284" s="156" t="n"/>
      <c r="P284" s="156" t="inlineStr">
        <is>
          <t>Azul</t>
        </is>
      </c>
      <c r="Q284" s="156" t="n"/>
      <c r="R284" s="156" t="n"/>
      <c r="S284" s="156" t="n"/>
      <c r="T284" s="156" t="n"/>
      <c r="U284" s="156" t="n"/>
      <c r="V284" s="156" t="inlineStr">
        <is>
          <t>PZS</t>
        </is>
      </c>
      <c r="W284" s="51" t="inlineStr">
        <is>
          <t>53102000</t>
        </is>
      </c>
      <c r="X284" s="156" t="n"/>
      <c r="Y284" s="54" t="n">
        <v>20</v>
      </c>
      <c r="Z284" s="54" t="n">
        <v>569</v>
      </c>
      <c r="AA284" s="55">
        <f>IF(AND(A284="", B284="", E284=""), "", IF(AB284="", "Válido", IF((LEN(AB284)-LEN(SUBSTITUTE(AB284,"; ","")))/2+1&gt;(LEN(AB284)-LEN(SUBSTITUTE(AB284,"[Aviso]","")))/7, "Con Incidencias", "Válido")))</f>
        <v/>
      </c>
      <c r="AB284" s="56">
        <f>IF(AND(A284="", B284="", E284=""), "", TEXTJOIN("; ", TRUE, IF(OR(TRIM(A284&amp;"")="", ISNUMBER(SEARCH("FALTA", A284))), "UPC faltante/inválido", ""), IF(AND(A284&lt;&gt;"", IFERROR(_xlfn.XMATCH(A284,$A$2:$A$285,0,1)&lt;&gt;_xlfn.XMATCH(A284,$A$2:$A$285,0,-1),FALSE)), "Código de barras duplicado", ""), IF(AND(E284&lt;&gt;"", COUNTIF($E$2:$E$285, E284)&gt;1), "SKU duplicado", ""), IF(OR(J284="", J284=""), "[Aviso] División no capturada ()", IF(ISNA(MATCH(J284, Criterios!$A$123:$A$126, 0)), "División no válida", "")), IF(OR(K284="", K284=""), "[Aviso] Categoría no capturada ()", IF(ISNA(MATCH(K284, Criterios!$A$81:$A$120, 0)), "Categoría no válida", IF(AND(J284&lt;&gt;"", J284&lt;&gt;"", J284&lt;&gt;VLOOKUP(K284, Criterios!$A$81:$B$120, 2, FALSE)), "División no coincide con Categoría", ""))), IF(OR(L284="", L284=""), "[Aviso] Género no capturado ()", IF(ISNA(MATCH(L284, Criterios!$B$123:$B$127, 0)), "Género no válido", "")), IF(OR(N284="", N284=""), "[Aviso] Temporada no capturada ()", IF(ISNA(MATCH(N284, Criterios!$C$123:$C$128, 0)), "Temporada no válida", "")), IF(OR(O284="", O284=""), "[Aviso] Ciclo de vida no capturado ()", IF(ISNA(MATCH(O284, Criterios!$D$123:$D$124, 0)), "Ciclo de vida no válido", ""))))</f>
        <v/>
      </c>
      <c r="AC284" s="56" t="n"/>
      <c r="AD284" s="51" t="n"/>
      <c r="AE284" s="156" t="n"/>
      <c r="AF284" s="51" t="n"/>
      <c r="AG284" s="156" t="inlineStr">
        <is>
          <t>Nuevo – Odoo Universal Unique Brands 01/10/2026</t>
        </is>
      </c>
      <c r="AH284" s="156" t="inlineStr">
        <is>
          <t>01/10/2026: alta desde Odoo Universal Unique Brands (no existía en Productos por código de barras ni SKU) | Talla tomada del sufijo del SKU (M); Categoría: Palabra clave "Vestido" en tipo/categoría de la fuente (Ropa / Vestidos); Género: prenda exclusivamente de dama (vestido/falda/blusa); Color detectado en el nombre (blue) | Homologación G1522 06/10/2026: WB N.º de estilo: «» → «03-257-0594-6173» (Completado por regla) · Validador Shopify: WB: precio con IVA no termina en 9</t>
        </is>
      </c>
      <c r="AI284" s="156" t="n"/>
      <c r="AJ284" s="156" t="n"/>
      <c r="AK284" s="155" t="inlineStr">
        <is>
          <t>Odoo: producto 20955 / plantilla 26958</t>
        </is>
      </c>
      <c r="AL284" s="58" t="n"/>
      <c r="AM284" s="58" t="n"/>
      <c r="AN284" s="155" t="inlineStr">
        <is>
          <t>Odoo Universal Unique Brands</t>
        </is>
      </c>
      <c r="AO284" s="59" t="n"/>
      <c r="AP284" s="59" t="n"/>
      <c r="AQ284" s="59" t="n">
        <v>5</v>
      </c>
      <c r="AR284" s="155" t="inlineStr">
        <is>
          <t>Odoo Universal Unique Brands › Bodega 25 › Bodega 25/General: 5</t>
        </is>
      </c>
    </row>
    <row r="285">
      <c r="A285" s="50" t="inlineStr">
        <is>
          <t>199168063061</t>
        </is>
      </c>
      <c r="B285" s="51" t="n"/>
      <c r="C285" s="156" t="inlineStr">
        <is>
          <t>Roper</t>
        </is>
      </c>
      <c r="D285" s="156" t="inlineStr">
        <is>
          <t>03-257-0594-6173</t>
        </is>
      </c>
      <c r="E285" s="156" t="inlineStr">
        <is>
          <t>03-257-0594-6173 BU-S</t>
        </is>
      </c>
      <c r="F285" s="156" t="inlineStr">
        <is>
          <t>S</t>
        </is>
      </c>
      <c r="G285" s="156" t="inlineStr">
        <is>
          <t>S</t>
        </is>
      </c>
      <c r="H285" s="156" t="inlineStr">
        <is>
          <t>Roper</t>
        </is>
      </c>
      <c r="I285" s="156" t="inlineStr">
        <is>
          <t>ROPER Dress Dk Blue Denim Tank</t>
        </is>
      </c>
      <c r="J285" s="156" t="inlineStr">
        <is>
          <t>Ropa</t>
        </is>
      </c>
      <c r="K285" s="156" t="inlineStr">
        <is>
          <t>Vestidos</t>
        </is>
      </c>
      <c r="L285" s="156" t="inlineStr">
        <is>
          <t>Hombre</t>
        </is>
      </c>
      <c r="M285" s="156" t="n"/>
      <c r="N285" s="156" t="n"/>
      <c r="O285" s="156" t="n"/>
      <c r="P285" s="156" t="inlineStr">
        <is>
          <t>Azul</t>
        </is>
      </c>
      <c r="Q285" s="156" t="n"/>
      <c r="R285" s="156" t="n"/>
      <c r="S285" s="156" t="n"/>
      <c r="T285" s="156" t="n"/>
      <c r="U285" s="156" t="n"/>
      <c r="V285" s="156" t="inlineStr">
        <is>
          <t>PZS</t>
        </is>
      </c>
      <c r="W285" s="51" t="inlineStr">
        <is>
          <t>53101602</t>
        </is>
      </c>
      <c r="X285" s="156" t="n"/>
      <c r="Y285" s="54" t="n">
        <v>20</v>
      </c>
      <c r="Z285" s="54" t="n">
        <v>569</v>
      </c>
      <c r="AA285" s="55">
        <f>IF(AND(A285="", B285="", E285=""), "", IF(AB285="", "Válido", IF((LEN(AB285)-LEN(SUBSTITUTE(AB285,"; ","")))/2+1&gt;(LEN(AB285)-LEN(SUBSTITUTE(AB285,"[Aviso]","")))/7, "Con Incidencias", "Válido")))</f>
        <v/>
      </c>
      <c r="AB285" s="56">
        <f>IF(AND(A285="", B285="", E285=""), "", TEXTJOIN("; ", TRUE, IF(OR(TRIM(A285&amp;"")="", ISNUMBER(SEARCH("FALTA", A285))), "UPC faltante/inválido", ""), IF(AND(A285&lt;&gt;"", IFERROR(_xlfn.XMATCH(A285,$A$2:$A$285,0,1)&lt;&gt;_xlfn.XMATCH(A285,$A$2:$A$285,0,-1),FALSE)), "Código de barras duplicado", ""), IF(AND(E285&lt;&gt;"", COUNTIF($E$2:$E$285, E285)&gt;1), "SKU duplicado", ""), IF(OR(J285="", J285=""), "[Aviso] División no capturada ()", IF(ISNA(MATCH(J285, Criterios!$A$123:$A$126, 0)), "División no válida", "")), IF(OR(K285="", K285=""), "[Aviso] Categoría no capturada ()", IF(ISNA(MATCH(K285, Criterios!$A$81:$A$120, 0)), "Categoría no válida", IF(AND(J285&lt;&gt;"", J285&lt;&gt;"", J285&lt;&gt;VLOOKUP(K285, Criterios!$A$81:$B$120, 2, FALSE)), "División no coincide con Categoría", ""))), IF(OR(L285="", L285=""), "[Aviso] Género no capturado ()", IF(ISNA(MATCH(L285, Criterios!$B$123:$B$127, 0)), "Género no válido", "")), IF(OR(N285="", N285=""), "[Aviso] Temporada no capturada ()", IF(ISNA(MATCH(N285, Criterios!$C$123:$C$128, 0)), "Temporada no válida", "")), IF(OR(O285="", O285=""), "[Aviso] Ciclo de vida no capturado ()", IF(ISNA(MATCH(O285, Criterios!$D$123:$D$124, 0)), "Ciclo de vida no válido", ""))))</f>
        <v/>
      </c>
      <c r="AC285" s="56" t="n"/>
      <c r="AD285" s="51" t="n"/>
      <c r="AE285" s="156" t="n"/>
      <c r="AF285" s="51" t="n"/>
      <c r="AG285" s="156" t="inlineStr">
        <is>
          <t>Nuevo – Odoo Universal Unique Brands 01/10/2026</t>
        </is>
      </c>
      <c r="AH285" s="156" t="inlineStr">
        <is>
          <t>01/10/2026: alta desde Odoo Universal Unique Brands (no existía en Productos por código de barras ni SKU) | Categoría: Palabra clave "Vestido" en tipo/categoría de la fuente (Ropa / Vestidos); Género: campo de la fuente; Color detectado en el nombre (blue) | Homologación G1522 06/10/2026: WB N.º de estilo: «» → «03-257-0594-6173» (Completado por regla) · Validador Shopify: WB: precio con IVA no termina en 9</t>
        </is>
      </c>
      <c r="AI285" s="156" t="n"/>
      <c r="AJ285" s="156" t="n"/>
      <c r="AK285" s="155" t="inlineStr">
        <is>
          <t>Odoo: producto 21071 / plantilla 27074</t>
        </is>
      </c>
      <c r="AL285" s="58" t="n"/>
      <c r="AM285" s="58" t="n"/>
      <c r="AN285" s="155" t="inlineStr">
        <is>
          <t>Odoo Universal Unique Brands</t>
        </is>
      </c>
      <c r="AO285" s="59" t="n"/>
      <c r="AP285" s="59" t="n"/>
      <c r="AQ285" s="59" t="n">
        <v>5</v>
      </c>
      <c r="AR285" s="155" t="inlineStr">
        <is>
          <t>Odoo Universal Unique Brands › Bodega 25 › Bodega 25/General: 5</t>
        </is>
      </c>
    </row>
  </sheetData>
  <autoFilter ref="A1:AR285"/>
  <conditionalFormatting sqref="AA2:AA285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285">
    <cfRule type="expression" priority="3" dxfId="18" stopIfTrue="1">
      <formula>AND(AB2&lt;&gt;"", AA2="Con Incidencias")</formula>
    </cfRule>
  </conditionalFormatting>
  <dataValidations count="11">
    <dataValidation sqref="O2:O285" showDropDown="0" showInputMessage="0" showErrorMessage="0" allowBlank="1" type="list">
      <formula1>"Seasonal,Core,No Aplica"</formula1>
    </dataValidation>
    <dataValidation sqref="C2:C285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285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285" showDropDown="0" showInputMessage="0" showErrorMessage="0" allowBlank="1" type="list">
      <formula1>"Rojo,Azul,Amarillo,Verde,Naranja,Morado,Rosa,Negro,Blanco,Gris,Beige,Cafe,Varios,No Aplica"</formula1>
    </dataValidation>
    <dataValidation sqref="R2:R285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285" showDropDown="0" showInputMessage="0" showErrorMessage="1" allowBlank="1" type="list">
      <formula1>Criterios!$A$81:$A$120</formula1>
    </dataValidation>
    <dataValidation sqref="N2:N285" showDropDown="0" showInputMessage="0" showErrorMessage="0" allowBlank="1" type="list">
      <formula1>"SS26,FW26,SS27,FW27,SS28,FW28,No Aplica"</formula1>
    </dataValidation>
    <dataValidation sqref="Q2:Q285" showDropDown="0" showInputMessage="0" showErrorMessage="0" allowBlank="1" type="list">
      <formula1>"Regular,Relajado,Slim,Clásico,Moderno,Recto,Bootcut"</formula1>
    </dataValidation>
    <dataValidation sqref="J2:J285" showDropDown="0" showInputMessage="0" showErrorMessage="0" allowBlank="1" type="list">
      <formula1>"Accesorios,Ropa,Denim,Calzado,No Aplica"</formula1>
    </dataValidation>
    <dataValidation sqref="L2:L285" showDropDown="0" showInputMessage="0" showErrorMessage="0" allowBlank="1" type="list">
      <formula1>"Hombre,Mujer,Niño,Niña,Unisex,No Aplica"</formula1>
    </dataValidation>
    <dataValidation sqref="V2:V285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285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284, 16)"),"052356088867")</f>
        <v/>
      </c>
      <c r="Q2">
        <f>IFERROR(__xludf.DUMMYFUNCTION("MAP(FILTER(A2:A285, (B2:B285&lt;&gt;"""")+(D2:D285&lt;&gt;"""")), FILTER(B2:B285, (B2:B285&lt;&gt;"""")+(D2:D285&lt;&gt;"""")),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IFERROR(__xludf.DUMMYFUNCTION("MAP(FILTER(A2:A285, (B2:B285&lt;&gt;"""")+(D2:D285&lt;&gt;"""")), FILTER(B2:B285, (B2:B285&lt;&gt;"""")+(D2:D285&lt;&gt;"""")), FILTER(Q2:Q285, (B2:B285&lt;&gt;"""")+(D2:D285&lt;&gt;"""")),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Odoo Universal Unique Brands › Bodega 25 › Bodega 25/General</t>
        </is>
      </c>
      <c r="B2" s="5">
        <f>IF($I2="","",INDEX(Productos!$A:$A,$I2))</f>
        <v/>
      </c>
      <c r="C2" s="134" t="inlineStr">
        <is>
          <t>01-001-0016-1076 BL-2XL</t>
        </is>
      </c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10</v>
      </c>
      <c r="H2" s="5">
        <f>IF($I2="","",INDEX(Productos!$AG:$AG,$I2))</f>
        <v/>
      </c>
      <c r="I2" s="136">
        <f>LET(_xlpm.r,Productos!$E$2:$E$285,_xlpm.m,IFERROR(_xlfn.XMATCH(C2,_xlpm.r),IFERROR(_xlfn.XMATCH(VALUE(C2),_xlpm.r),0)),IF(_xlpm.m=0,"",_xlpm.m+1))</f>
        <v/>
      </c>
      <c r="J2" s="137" t="inlineStr">
        <is>
          <t>Odoo</t>
        </is>
      </c>
    </row>
    <row r="3">
      <c r="A3" s="5" t="inlineStr">
        <is>
          <t>Odoo Universal Unique Brands › Bodega 25 › Bodega 25/General</t>
        </is>
      </c>
      <c r="B3" s="5">
        <f>IF($I2="","",INDEX(Productos!$A:$A,$I2))</f>
        <v/>
      </c>
      <c r="C3" s="134" t="inlineStr">
        <is>
          <t>01-001-0016-1076 BL-L</t>
        </is>
      </c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30</v>
      </c>
      <c r="H3" s="5">
        <f>IF($I2="","",INDEX(Productos!$AG:$AG,$I2))</f>
        <v/>
      </c>
      <c r="I3" s="136">
        <f>LET(_xlpm.r,Productos!$E$2:$E$285,_xlpm.m,IFERROR(_xlfn.XMATCH(C3,_xlpm.r),IFERROR(_xlfn.XMATCH(VALUE(C3),_xlpm.r),0)),IF(_xlpm.m=0,"",_xlpm.m+1))</f>
        <v/>
      </c>
      <c r="J3" s="137" t="inlineStr">
        <is>
          <t>Odoo</t>
        </is>
      </c>
    </row>
    <row r="4">
      <c r="A4" s="5" t="inlineStr">
        <is>
          <t>Odoo Universal Unique Brands › Bodega 25 › Bodega 25/General</t>
        </is>
      </c>
      <c r="B4" s="5">
        <f>IF($I2="","",INDEX(Productos!$A:$A,$I2))</f>
        <v/>
      </c>
      <c r="C4" s="134" t="inlineStr">
        <is>
          <t>01-001-0016-1076 BL-M</t>
        </is>
      </c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30</v>
      </c>
      <c r="H4" s="5">
        <f>IF($I2="","",INDEX(Productos!$AG:$AG,$I2))</f>
        <v/>
      </c>
      <c r="I4" s="136">
        <f>LET(_xlpm.r,Productos!$E$2:$E$285,_xlpm.m,IFERROR(_xlfn.XMATCH(C4,_xlpm.r),IFERROR(_xlfn.XMATCH(VALUE(C4),_xlpm.r),0)),IF(_xlpm.m=0,"",_xlpm.m+1))</f>
        <v/>
      </c>
      <c r="J4" s="137" t="inlineStr">
        <is>
          <t>Odoo</t>
        </is>
      </c>
    </row>
    <row r="5">
      <c r="A5" s="5" t="inlineStr">
        <is>
          <t>Odoo Universal Unique Brands › Bodega 25 › Bodega 25/General</t>
        </is>
      </c>
      <c r="B5" s="5">
        <f>IF($I2="","",INDEX(Productos!$A:$A,$I2))</f>
        <v/>
      </c>
      <c r="C5" s="134" t="inlineStr">
        <is>
          <t>01-001-0016-1076 BL-S</t>
        </is>
      </c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30</v>
      </c>
      <c r="H5" s="5">
        <f>IF($I2="","",INDEX(Productos!$AG:$AG,$I2))</f>
        <v/>
      </c>
      <c r="I5" s="136">
        <f>LET(_xlpm.r,Productos!$E$2:$E$285,_xlpm.m,IFERROR(_xlfn.XMATCH(C5,_xlpm.r),IFERROR(_xlfn.XMATCH(VALUE(C5),_xlpm.r),0)),IF(_xlpm.m=0,"",_xlpm.m+1))</f>
        <v/>
      </c>
      <c r="J5" s="137" t="inlineStr">
        <is>
          <t>Odoo</t>
        </is>
      </c>
    </row>
    <row r="6">
      <c r="A6" s="5" t="inlineStr">
        <is>
          <t>Odoo Universal Unique Brands › Bodega 25 › Bodega 25/General</t>
        </is>
      </c>
      <c r="B6" s="5">
        <f>IF($I2="","",INDEX(Productos!$A:$A,$I2))</f>
        <v/>
      </c>
      <c r="C6" s="134" t="inlineStr">
        <is>
          <t>01-001-0016-1076 BL-XL</t>
        </is>
      </c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20</v>
      </c>
      <c r="H6" s="5">
        <f>IF($I2="","",INDEX(Productos!$AG:$AG,$I2))</f>
        <v/>
      </c>
      <c r="I6" s="136">
        <f>LET(_xlpm.r,Productos!$E$2:$E$285,_xlpm.m,IFERROR(_xlfn.XMATCH(C6,_xlpm.r),IFERROR(_xlfn.XMATCH(VALUE(C6),_xlpm.r),0)),IF(_xlpm.m=0,"",_xlpm.m+1))</f>
        <v/>
      </c>
      <c r="J6" s="137" t="inlineStr">
        <is>
          <t>Odoo</t>
        </is>
      </c>
    </row>
    <row r="7">
      <c r="A7" s="5" t="inlineStr">
        <is>
          <t>Odoo Universal Unique Brands › Bodega 25 › Bodega 25/General</t>
        </is>
      </c>
      <c r="B7" s="5">
        <f>IF($I2="","",INDEX(Productos!$A:$A,$I2))</f>
        <v/>
      </c>
      <c r="C7" s="134" t="inlineStr">
        <is>
          <t>01-001-0016-7004 BL-2XL</t>
        </is>
      </c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2</v>
      </c>
      <c r="H7" s="5">
        <f>IF($I2="","",INDEX(Productos!$AG:$AG,$I2))</f>
        <v/>
      </c>
      <c r="I7" s="136">
        <f>LET(_xlpm.r,Productos!$E$2:$E$285,_xlpm.m,IFERROR(_xlfn.XMATCH(C7,_xlpm.r),IFERROR(_xlfn.XMATCH(VALUE(C7),_xlpm.r),0)),IF(_xlpm.m=0,"",_xlpm.m+1))</f>
        <v/>
      </c>
      <c r="J7" s="137" t="inlineStr">
        <is>
          <t>Odoo</t>
        </is>
      </c>
    </row>
    <row r="8">
      <c r="A8" s="5" t="inlineStr">
        <is>
          <t>Odoo Universal Unique Brands › Bodega 25 › Bodega 25/General</t>
        </is>
      </c>
      <c r="B8" s="5">
        <f>IF($I2="","",INDEX(Productos!$A:$A,$I2))</f>
        <v/>
      </c>
      <c r="C8" s="134" t="inlineStr">
        <is>
          <t>01-001-0016-7004 BL-3XL</t>
        </is>
      </c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1</v>
      </c>
      <c r="H8" s="5">
        <f>IF($I2="","",INDEX(Productos!$AG:$AG,$I2))</f>
        <v/>
      </c>
      <c r="I8" s="136">
        <f>LET(_xlpm.r,Productos!$E$2:$E$285,_xlpm.m,IFERROR(_xlfn.XMATCH(C8,_xlpm.r),IFERROR(_xlfn.XMATCH(VALUE(C8),_xlpm.r),0)),IF(_xlpm.m=0,"",_xlpm.m+1))</f>
        <v/>
      </c>
      <c r="J8" s="137" t="inlineStr">
        <is>
          <t>Odoo</t>
        </is>
      </c>
    </row>
    <row r="9">
      <c r="A9" s="5" t="inlineStr">
        <is>
          <t>Odoo Universal Unique Brands › Bodega 25 › Bodega 25/General</t>
        </is>
      </c>
      <c r="B9" s="5">
        <f>IF($I2="","",INDEX(Productos!$A:$A,$I2))</f>
        <v/>
      </c>
      <c r="C9" s="134" t="inlineStr">
        <is>
          <t>01-001-0016-7004 BL-L</t>
        </is>
      </c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10</v>
      </c>
      <c r="H9" s="5">
        <f>IF($I2="","",INDEX(Productos!$AG:$AG,$I2))</f>
        <v/>
      </c>
      <c r="I9" s="136">
        <f>LET(_xlpm.r,Productos!$E$2:$E$285,_xlpm.m,IFERROR(_xlfn.XMATCH(C9,_xlpm.r),IFERROR(_xlfn.XMATCH(VALUE(C9),_xlpm.r),0)),IF(_xlpm.m=0,"",_xlpm.m+1))</f>
        <v/>
      </c>
      <c r="J9" s="137" t="inlineStr">
        <is>
          <t>Odoo</t>
        </is>
      </c>
    </row>
    <row r="10">
      <c r="A10" s="5" t="inlineStr">
        <is>
          <t>Odoo Universal Unique Brands › Bodega 25 › Bodega 25/General</t>
        </is>
      </c>
      <c r="B10" s="5">
        <f>IF($I2="","",INDEX(Productos!$A:$A,$I2))</f>
        <v/>
      </c>
      <c r="C10" s="134" t="inlineStr">
        <is>
          <t>01-001-0016-7004 BL-M</t>
        </is>
      </c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10</v>
      </c>
      <c r="H10" s="5">
        <f>IF($I2="","",INDEX(Productos!$AG:$AG,$I2))</f>
        <v/>
      </c>
      <c r="I10" s="136">
        <f>LET(_xlpm.r,Productos!$E$2:$E$285,_xlpm.m,IFERROR(_xlfn.XMATCH(C10,_xlpm.r),IFERROR(_xlfn.XMATCH(VALUE(C10),_xlpm.r),0)),IF(_xlpm.m=0,"",_xlpm.m+1))</f>
        <v/>
      </c>
      <c r="J10" s="137" t="inlineStr">
        <is>
          <t>Odoo</t>
        </is>
      </c>
    </row>
    <row r="11">
      <c r="A11" s="5" t="inlineStr">
        <is>
          <t>Odoo Universal Unique Brands › Bodega 25 › Bodega 25/General</t>
        </is>
      </c>
      <c r="B11" s="5">
        <f>IF($I2="","",INDEX(Productos!$A:$A,$I2))</f>
        <v/>
      </c>
      <c r="C11" s="134" t="inlineStr">
        <is>
          <t>01-001-0016-7004 BL-S</t>
        </is>
      </c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10</v>
      </c>
      <c r="H11" s="5">
        <f>IF($I2="","",INDEX(Productos!$AG:$AG,$I2))</f>
        <v/>
      </c>
      <c r="I11" s="136">
        <f>LET(_xlpm.r,Productos!$E$2:$E$285,_xlpm.m,IFERROR(_xlfn.XMATCH(C11,_xlpm.r),IFERROR(_xlfn.XMATCH(VALUE(C11),_xlpm.r),0)),IF(_xlpm.m=0,"",_xlpm.m+1))</f>
        <v/>
      </c>
      <c r="J11" s="137" t="inlineStr">
        <is>
          <t>Odoo</t>
        </is>
      </c>
    </row>
    <row r="12">
      <c r="A12" s="5" t="inlineStr">
        <is>
          <t>Odoo Universal Unique Brands › Bodega 25 › Bodega 25/General</t>
        </is>
      </c>
      <c r="B12" s="5">
        <f>IF($I2="","",INDEX(Productos!$A:$A,$I2))</f>
        <v/>
      </c>
      <c r="C12" s="134" t="inlineStr">
        <is>
          <t>01-001-0016-7004 BL-XL</t>
        </is>
      </c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11</v>
      </c>
      <c r="H12" s="5">
        <f>IF($I2="","",INDEX(Productos!$AG:$AG,$I2))</f>
        <v/>
      </c>
      <c r="I12" s="136">
        <f>LET(_xlpm.r,Productos!$E$2:$E$285,_xlpm.m,IFERROR(_xlfn.XMATCH(C12,_xlpm.r),IFERROR(_xlfn.XMATCH(VALUE(C12),_xlpm.r),0)),IF(_xlpm.m=0,"",_xlpm.m+1))</f>
        <v/>
      </c>
      <c r="J12" s="137" t="inlineStr">
        <is>
          <t>Odoo</t>
        </is>
      </c>
    </row>
    <row r="13">
      <c r="A13" s="5" t="inlineStr">
        <is>
          <t>Odoo Universal Unique Brands › Bodega 25 › Bodega 25/General</t>
        </is>
      </c>
      <c r="B13" s="5">
        <f>IF($I2="","",INDEX(Productos!$A:$A,$I2))</f>
        <v/>
      </c>
      <c r="C13" s="134" t="inlineStr">
        <is>
          <t>01-001-0017-7018 BR-2XL</t>
        </is>
      </c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4</v>
      </c>
      <c r="H13" s="5">
        <f>IF($I2="","",INDEX(Productos!$AG:$AG,$I2))</f>
        <v/>
      </c>
      <c r="I13" s="136">
        <f>LET(_xlpm.r,Productos!$E$2:$E$285,_xlpm.m,IFERROR(_xlfn.XMATCH(C13,_xlpm.r),IFERROR(_xlfn.XMATCH(VALUE(C13),_xlpm.r),0)),IF(_xlpm.m=0,"",_xlpm.m+1))</f>
        <v/>
      </c>
      <c r="J13" s="137" t="inlineStr">
        <is>
          <t>Odoo</t>
        </is>
      </c>
    </row>
    <row r="14">
      <c r="A14" s="5" t="inlineStr">
        <is>
          <t>Odoo Universal Unique Brands › Bodega 25 › Bodega 25/General</t>
        </is>
      </c>
      <c r="B14" s="5">
        <f>IF($I2="","",INDEX(Productos!$A:$A,$I2))</f>
        <v/>
      </c>
      <c r="C14" s="134" t="inlineStr">
        <is>
          <t>01-001-0017-7018 BR-L</t>
        </is>
      </c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1</v>
      </c>
      <c r="H14" s="5">
        <f>IF($I2="","",INDEX(Productos!$AG:$AG,$I2))</f>
        <v/>
      </c>
      <c r="I14" s="136">
        <f>LET(_xlpm.r,Productos!$E$2:$E$285,_xlpm.m,IFERROR(_xlfn.XMATCH(C14,_xlpm.r),IFERROR(_xlfn.XMATCH(VALUE(C14),_xlpm.r),0)),IF(_xlpm.m=0,"",_xlpm.m+1))</f>
        <v/>
      </c>
      <c r="J14" s="137" t="inlineStr">
        <is>
          <t>Odoo</t>
        </is>
      </c>
    </row>
    <row r="15">
      <c r="A15" s="5" t="inlineStr">
        <is>
          <t>Odoo Universal Unique Brands › Bodega 25 › Bodega 25/General</t>
        </is>
      </c>
      <c r="B15" s="5">
        <f>IF($I2="","",INDEX(Productos!$A:$A,$I2))</f>
        <v/>
      </c>
      <c r="C15" s="134" t="inlineStr">
        <is>
          <t>01-001-0017-7018 BR-M</t>
        </is>
      </c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9</v>
      </c>
      <c r="H15" s="5">
        <f>IF($I2="","",INDEX(Productos!$AG:$AG,$I2))</f>
        <v/>
      </c>
      <c r="I15" s="136">
        <f>LET(_xlpm.r,Productos!$E$2:$E$285,_xlpm.m,IFERROR(_xlfn.XMATCH(C15,_xlpm.r),IFERROR(_xlfn.XMATCH(VALUE(C15),_xlpm.r),0)),IF(_xlpm.m=0,"",_xlpm.m+1))</f>
        <v/>
      </c>
      <c r="J15" s="137" t="inlineStr">
        <is>
          <t>Odoo</t>
        </is>
      </c>
    </row>
    <row r="16">
      <c r="A16" s="5" t="inlineStr">
        <is>
          <t>Odoo Universal Unique Brands › Bodega 25 › Bodega 25/General</t>
        </is>
      </c>
      <c r="B16" s="5">
        <f>IF($I2="","",INDEX(Productos!$A:$A,$I2))</f>
        <v/>
      </c>
      <c r="C16" s="134" t="inlineStr">
        <is>
          <t>01-001-0017-7018 BR-S</t>
        </is>
      </c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7</v>
      </c>
      <c r="H16" s="5">
        <f>IF($I2="","",INDEX(Productos!$AG:$AG,$I2))</f>
        <v/>
      </c>
      <c r="I16" s="136">
        <f>LET(_xlpm.r,Productos!$E$2:$E$285,_xlpm.m,IFERROR(_xlfn.XMATCH(C16,_xlpm.r),IFERROR(_xlfn.XMATCH(VALUE(C16),_xlpm.r),0)),IF(_xlpm.m=0,"",_xlpm.m+1))</f>
        <v/>
      </c>
      <c r="J16" s="137" t="inlineStr">
        <is>
          <t>Odoo</t>
        </is>
      </c>
    </row>
    <row r="17">
      <c r="A17" s="5" t="inlineStr">
        <is>
          <t>Odoo Universal Unique Brands › Bodega 25 › Bodega 25/General</t>
        </is>
      </c>
      <c r="B17" s="5">
        <f>IF($I2="","",INDEX(Productos!$A:$A,$I2))</f>
        <v/>
      </c>
      <c r="C17" s="134" t="inlineStr">
        <is>
          <t>01-001-0017-7018 BR-XL</t>
        </is>
      </c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9</v>
      </c>
      <c r="H17" s="5">
        <f>IF($I2="","",INDEX(Productos!$AG:$AG,$I2))</f>
        <v/>
      </c>
      <c r="I17" s="136">
        <f>LET(_xlpm.r,Productos!$E$2:$E$285,_xlpm.m,IFERROR(_xlfn.XMATCH(C17,_xlpm.r),IFERROR(_xlfn.XMATCH(VALUE(C17),_xlpm.r),0)),IF(_xlpm.m=0,"",_xlpm.m+1))</f>
        <v/>
      </c>
      <c r="J17" s="137" t="inlineStr">
        <is>
          <t>Odoo</t>
        </is>
      </c>
    </row>
    <row r="18">
      <c r="A18" s="5" t="inlineStr">
        <is>
          <t>Odoo Universal Unique Brands › Bodega 25 › Bodega 25/General</t>
        </is>
      </c>
      <c r="B18" s="5">
        <f>IF($I2="","",INDEX(Productos!$A:$A,$I2))</f>
        <v/>
      </c>
      <c r="C18" s="134" t="inlineStr">
        <is>
          <t>01-001-0019-7010 GR-2XL</t>
        </is>
      </c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3</v>
      </c>
      <c r="H18" s="5">
        <f>IF($I2="","",INDEX(Productos!$AG:$AG,$I2))</f>
        <v/>
      </c>
      <c r="I18" s="136">
        <f>LET(_xlpm.r,Productos!$E$2:$E$285,_xlpm.m,IFERROR(_xlfn.XMATCH(C18,_xlpm.r),IFERROR(_xlfn.XMATCH(VALUE(C18),_xlpm.r),0)),IF(_xlpm.m=0,"",_xlpm.m+1))</f>
        <v/>
      </c>
      <c r="J18" s="137" t="inlineStr">
        <is>
          <t>Odoo</t>
        </is>
      </c>
    </row>
    <row r="19">
      <c r="A19" s="5" t="inlineStr">
        <is>
          <t>Odoo Universal Unique Brands › Bodega 25 › Bodega 25/General</t>
        </is>
      </c>
      <c r="B19" s="5">
        <f>IF($I2="","",INDEX(Productos!$A:$A,$I2))</f>
        <v/>
      </c>
      <c r="C19" s="134" t="inlineStr">
        <is>
          <t>01-001-0019-7010 GR-L</t>
        </is>
      </c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8</v>
      </c>
      <c r="H19" s="5">
        <f>IF($I2="","",INDEX(Productos!$AG:$AG,$I2))</f>
        <v/>
      </c>
      <c r="I19" s="136">
        <f>LET(_xlpm.r,Productos!$E$2:$E$285,_xlpm.m,IFERROR(_xlfn.XMATCH(C19,_xlpm.r),IFERROR(_xlfn.XMATCH(VALUE(C19),_xlpm.r),0)),IF(_xlpm.m=0,"",_xlpm.m+1))</f>
        <v/>
      </c>
      <c r="J19" s="137" t="inlineStr">
        <is>
          <t>Odoo</t>
        </is>
      </c>
    </row>
    <row r="20">
      <c r="A20" s="5" t="inlineStr">
        <is>
          <t>Odoo Universal Unique Brands › Bodega 25 › Bodega 25/General</t>
        </is>
      </c>
      <c r="B20" s="5">
        <f>IF($I2="","",INDEX(Productos!$A:$A,$I2))</f>
        <v/>
      </c>
      <c r="C20" s="134" t="inlineStr">
        <is>
          <t>01-001-0019-7010 GR-M</t>
        </is>
      </c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8</v>
      </c>
      <c r="H20" s="5">
        <f>IF($I2="","",INDEX(Productos!$AG:$AG,$I2))</f>
        <v/>
      </c>
      <c r="I20" s="136">
        <f>LET(_xlpm.r,Productos!$E$2:$E$285,_xlpm.m,IFERROR(_xlfn.XMATCH(C20,_xlpm.r),IFERROR(_xlfn.XMATCH(VALUE(C20),_xlpm.r),0)),IF(_xlpm.m=0,"",_xlpm.m+1))</f>
        <v/>
      </c>
      <c r="J20" s="137" t="inlineStr">
        <is>
          <t>Odoo</t>
        </is>
      </c>
    </row>
    <row r="21">
      <c r="A21" s="5" t="inlineStr">
        <is>
          <t>Odoo Universal Unique Brands › Bodega 25 › Bodega 25/General</t>
        </is>
      </c>
      <c r="B21" s="5">
        <f>IF($I2="","",INDEX(Productos!$A:$A,$I2))</f>
        <v/>
      </c>
      <c r="C21" s="134" t="inlineStr">
        <is>
          <t>01-001-0019-7010 GR-S</t>
        </is>
      </c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6</v>
      </c>
      <c r="H21" s="5">
        <f>IF($I2="","",INDEX(Productos!$AG:$AG,$I2))</f>
        <v/>
      </c>
      <c r="I21" s="136">
        <f>LET(_xlpm.r,Productos!$E$2:$E$285,_xlpm.m,IFERROR(_xlfn.XMATCH(C21,_xlpm.r),IFERROR(_xlfn.XMATCH(VALUE(C21),_xlpm.r),0)),IF(_xlpm.m=0,"",_xlpm.m+1))</f>
        <v/>
      </c>
      <c r="J21" s="137" t="inlineStr">
        <is>
          <t>Odoo</t>
        </is>
      </c>
    </row>
    <row r="22">
      <c r="A22" s="5" t="inlineStr">
        <is>
          <t>Odoo Universal Unique Brands › Bodega 25 › Bodega 25/General</t>
        </is>
      </c>
      <c r="B22" s="5">
        <f>IF($I2="","",INDEX(Productos!$A:$A,$I2))</f>
        <v/>
      </c>
      <c r="C22" s="134" t="inlineStr">
        <is>
          <t>01-001-0019-7010 GR-XL</t>
        </is>
      </c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8</v>
      </c>
      <c r="H22" s="5">
        <f>IF($I2="","",INDEX(Productos!$AG:$AG,$I2))</f>
        <v/>
      </c>
      <c r="I22" s="136">
        <f>LET(_xlpm.r,Productos!$E$2:$E$285,_xlpm.m,IFERROR(_xlfn.XMATCH(C22,_xlpm.r),IFERROR(_xlfn.XMATCH(VALUE(C22),_xlpm.r),0)),IF(_xlpm.m=0,"",_xlpm.m+1))</f>
        <v/>
      </c>
      <c r="J22" s="137" t="inlineStr">
        <is>
          <t>Odoo</t>
        </is>
      </c>
    </row>
    <row r="23">
      <c r="A23" s="5" t="inlineStr">
        <is>
          <t>Odoo Universal Unique Brands › Bodega 25 › Bodega 25/General</t>
        </is>
      </c>
      <c r="B23" s="5">
        <f>IF($I2="","",INDEX(Productos!$A:$A,$I2))</f>
        <v/>
      </c>
      <c r="C23" s="134" t="inlineStr">
        <is>
          <t>01-001-0019-7011 BL-L</t>
        </is>
      </c>
      <c r="D23" s="5">
        <f>IF($I2="","",INDEX(Productos!$B:$B,$I2))</f>
        <v/>
      </c>
      <c r="E23" s="5">
        <f>IF($I2="","",INDEX(Productos!$H:$H,$I2))</f>
        <v/>
      </c>
      <c r="F23" s="5">
        <f>IF($I2="","",INDEX(Productos!$I:$I,$I2))</f>
        <v/>
      </c>
      <c r="G23" s="135" t="n">
        <v>14</v>
      </c>
      <c r="H23" s="5">
        <f>IF($I2="","",INDEX(Productos!$AG:$AG,$I2))</f>
        <v/>
      </c>
      <c r="I23" s="136">
        <f>LET(_xlpm.r,Productos!$E$2:$E$285,_xlpm.m,IFERROR(_xlfn.XMATCH(C23,_xlpm.r),IFERROR(_xlfn.XMATCH(VALUE(C23),_xlpm.r),0)),IF(_xlpm.m=0,"",_xlpm.m+1))</f>
        <v/>
      </c>
      <c r="J23" s="137" t="inlineStr">
        <is>
          <t>Odoo</t>
        </is>
      </c>
    </row>
    <row r="24">
      <c r="A24" s="5" t="inlineStr">
        <is>
          <t>Odoo Universal Unique Brands › Bodega 25 › Bodega 25/General</t>
        </is>
      </c>
      <c r="B24" s="5">
        <f>IF($I2="","",INDEX(Productos!$A:$A,$I2))</f>
        <v/>
      </c>
      <c r="C24" s="134" t="inlineStr">
        <is>
          <t>01-001-0019-7011 BL-M</t>
        </is>
      </c>
      <c r="D24" s="5">
        <f>IF($I2="","",INDEX(Productos!$B:$B,$I2))</f>
        <v/>
      </c>
      <c r="E24" s="5">
        <f>IF($I2="","",INDEX(Productos!$H:$H,$I2))</f>
        <v/>
      </c>
      <c r="F24" s="5">
        <f>IF($I2="","",INDEX(Productos!$I:$I,$I2))</f>
        <v/>
      </c>
      <c r="G24" s="135" t="n">
        <v>15</v>
      </c>
      <c r="H24" s="5">
        <f>IF($I2="","",INDEX(Productos!$AG:$AG,$I2))</f>
        <v/>
      </c>
      <c r="I24" s="136">
        <f>LET(_xlpm.r,Productos!$E$2:$E$285,_xlpm.m,IFERROR(_xlfn.XMATCH(C24,_xlpm.r),IFERROR(_xlfn.XMATCH(VALUE(C24),_xlpm.r),0)),IF(_xlpm.m=0,"",_xlpm.m+1))</f>
        <v/>
      </c>
      <c r="J24" s="137" t="inlineStr">
        <is>
          <t>Odoo</t>
        </is>
      </c>
    </row>
    <row r="25">
      <c r="A25" s="5" t="inlineStr">
        <is>
          <t>Odoo Universal Unique Brands › Bodega 25 › Bodega 25/General</t>
        </is>
      </c>
      <c r="B25" s="5">
        <f>IF($I2="","",INDEX(Productos!$A:$A,$I2))</f>
        <v/>
      </c>
      <c r="C25" s="134" t="inlineStr">
        <is>
          <t>01-001-0019-7011 BL-S</t>
        </is>
      </c>
      <c r="D25" s="5">
        <f>IF($I2="","",INDEX(Productos!$B:$B,$I2))</f>
        <v/>
      </c>
      <c r="E25" s="5">
        <f>IF($I2="","",INDEX(Productos!$H:$H,$I2))</f>
        <v/>
      </c>
      <c r="F25" s="5">
        <f>IF($I2="","",INDEX(Productos!$I:$I,$I2))</f>
        <v/>
      </c>
      <c r="G25" s="135" t="n">
        <v>12</v>
      </c>
      <c r="H25" s="5">
        <f>IF($I2="","",INDEX(Productos!$AG:$AG,$I2))</f>
        <v/>
      </c>
      <c r="I25" s="136">
        <f>LET(_xlpm.r,Productos!$E$2:$E$285,_xlpm.m,IFERROR(_xlfn.XMATCH(C25,_xlpm.r),IFERROR(_xlfn.XMATCH(VALUE(C25),_xlpm.r),0)),IF(_xlpm.m=0,"",_xlpm.m+1))</f>
        <v/>
      </c>
      <c r="J25" s="137" t="inlineStr">
        <is>
          <t>Odoo</t>
        </is>
      </c>
    </row>
    <row r="26">
      <c r="A26" s="5" t="inlineStr">
        <is>
          <t>Odoo Universal Unique Brands › Bodega 25 › Bodega 25/General</t>
        </is>
      </c>
      <c r="B26" s="5">
        <f>IF($I2="","",INDEX(Productos!$A:$A,$I2))</f>
        <v/>
      </c>
      <c r="C26" s="134" t="inlineStr">
        <is>
          <t>01-001-0019-7011 BL-XL</t>
        </is>
      </c>
      <c r="D26" s="5">
        <f>IF($I2="","",INDEX(Productos!$B:$B,$I2))</f>
        <v/>
      </c>
      <c r="E26" s="5">
        <f>IF($I2="","",INDEX(Productos!$H:$H,$I2))</f>
        <v/>
      </c>
      <c r="F26" s="5">
        <f>IF($I2="","",INDEX(Productos!$I:$I,$I2))</f>
        <v/>
      </c>
      <c r="G26" s="135" t="n">
        <v>11</v>
      </c>
      <c r="H26" s="5">
        <f>IF($I2="","",INDEX(Productos!$AG:$AG,$I2))</f>
        <v/>
      </c>
      <c r="I26" s="136">
        <f>LET(_xlpm.r,Productos!$E$2:$E$285,_xlpm.m,IFERROR(_xlfn.XMATCH(C26,_xlpm.r),IFERROR(_xlfn.XMATCH(VALUE(C26),_xlpm.r),0)),IF(_xlpm.m=0,"",_xlpm.m+1))</f>
        <v/>
      </c>
      <c r="J26" s="137" t="inlineStr">
        <is>
          <t>Odoo</t>
        </is>
      </c>
    </row>
    <row r="27">
      <c r="A27" s="5" t="inlineStr">
        <is>
          <t>Odoo Universal Unique Brands › Bodega 25 › Bodega 25/General</t>
        </is>
      </c>
      <c r="B27" s="5">
        <f>IF($I2="","",INDEX(Productos!$A:$A,$I2))</f>
        <v/>
      </c>
      <c r="C27" s="134" t="inlineStr">
        <is>
          <t>01-001-0024-7008 BL-2XL</t>
        </is>
      </c>
      <c r="D27" s="5">
        <f>IF($I2="","",INDEX(Productos!$B:$B,$I2))</f>
        <v/>
      </c>
      <c r="E27" s="5">
        <f>IF($I2="","",INDEX(Productos!$H:$H,$I2))</f>
        <v/>
      </c>
      <c r="F27" s="5">
        <f>IF($I2="","",INDEX(Productos!$I:$I,$I2))</f>
        <v/>
      </c>
      <c r="G27" s="135" t="n">
        <v>6</v>
      </c>
      <c r="H27" s="5">
        <f>IF($I2="","",INDEX(Productos!$AG:$AG,$I2))</f>
        <v/>
      </c>
      <c r="I27" s="136">
        <f>LET(_xlpm.r,Productos!$E$2:$E$285,_xlpm.m,IFERROR(_xlfn.XMATCH(C27,_xlpm.r),IFERROR(_xlfn.XMATCH(VALUE(C27),_xlpm.r),0)),IF(_xlpm.m=0,"",_xlpm.m+1))</f>
        <v/>
      </c>
      <c r="J27" s="137" t="inlineStr">
        <is>
          <t>Odoo</t>
        </is>
      </c>
    </row>
    <row r="28">
      <c r="A28" s="5" t="inlineStr">
        <is>
          <t>Odoo Universal Unique Brands › Bodega 25 › Bodega 25/General</t>
        </is>
      </c>
      <c r="B28" s="5">
        <f>IF($I2="","",INDEX(Productos!$A:$A,$I2))</f>
        <v/>
      </c>
      <c r="C28" s="134" t="inlineStr">
        <is>
          <t>01-001-0024-7008 BL-L</t>
        </is>
      </c>
      <c r="D28" s="5">
        <f>IF($I2="","",INDEX(Productos!$B:$B,$I2))</f>
        <v/>
      </c>
      <c r="E28" s="5">
        <f>IF($I2="","",INDEX(Productos!$H:$H,$I2))</f>
        <v/>
      </c>
      <c r="F28" s="5">
        <f>IF($I2="","",INDEX(Productos!$I:$I,$I2))</f>
        <v/>
      </c>
      <c r="G28" s="135" t="n">
        <v>9</v>
      </c>
      <c r="H28" s="5">
        <f>IF($I2="","",INDEX(Productos!$AG:$AG,$I2))</f>
        <v/>
      </c>
      <c r="I28" s="136">
        <f>LET(_xlpm.r,Productos!$E$2:$E$285,_xlpm.m,IFERROR(_xlfn.XMATCH(C28,_xlpm.r),IFERROR(_xlfn.XMATCH(VALUE(C28),_xlpm.r),0)),IF(_xlpm.m=0,"",_xlpm.m+1))</f>
        <v/>
      </c>
      <c r="J28" s="137" t="inlineStr">
        <is>
          <t>Odoo</t>
        </is>
      </c>
    </row>
    <row r="29">
      <c r="A29" s="5" t="inlineStr">
        <is>
          <t>Odoo Universal Unique Brands › Bodega 25 › Bodega 25/General</t>
        </is>
      </c>
      <c r="B29" s="5">
        <f>IF($I2="","",INDEX(Productos!$A:$A,$I2))</f>
        <v/>
      </c>
      <c r="C29" s="134" t="inlineStr">
        <is>
          <t>01-001-0024-7008 BL-M</t>
        </is>
      </c>
      <c r="D29" s="5">
        <f>IF($I2="","",INDEX(Productos!$B:$B,$I2))</f>
        <v/>
      </c>
      <c r="E29" s="5">
        <f>IF($I2="","",INDEX(Productos!$H:$H,$I2))</f>
        <v/>
      </c>
      <c r="F29" s="5">
        <f>IF($I2="","",INDEX(Productos!$I:$I,$I2))</f>
        <v/>
      </c>
      <c r="G29" s="135" t="n">
        <v>9</v>
      </c>
      <c r="H29" s="5">
        <f>IF($I2="","",INDEX(Productos!$AG:$AG,$I2))</f>
        <v/>
      </c>
      <c r="I29" s="136">
        <f>LET(_xlpm.r,Productos!$E$2:$E$285,_xlpm.m,IFERROR(_xlfn.XMATCH(C29,_xlpm.r),IFERROR(_xlfn.XMATCH(VALUE(C29),_xlpm.r),0)),IF(_xlpm.m=0,"",_xlpm.m+1))</f>
        <v/>
      </c>
      <c r="J29" s="137" t="inlineStr">
        <is>
          <t>Odoo</t>
        </is>
      </c>
    </row>
    <row r="30">
      <c r="A30" s="5" t="inlineStr">
        <is>
          <t>Odoo Universal Unique Brands › Bodega 25 › Bodega 25/General</t>
        </is>
      </c>
      <c r="B30" s="5">
        <f>IF($I2="","",INDEX(Productos!$A:$A,$I2))</f>
        <v/>
      </c>
      <c r="C30" s="134" t="inlineStr">
        <is>
          <t>01-001-0024-7008 BL-S</t>
        </is>
      </c>
      <c r="D30" s="5">
        <f>IF($I2="","",INDEX(Productos!$B:$B,$I2))</f>
        <v/>
      </c>
      <c r="E30" s="5">
        <f>IF($I2="","",INDEX(Productos!$H:$H,$I2))</f>
        <v/>
      </c>
      <c r="F30" s="5">
        <f>IF($I2="","",INDEX(Productos!$I:$I,$I2))</f>
        <v/>
      </c>
      <c r="G30" s="135" t="n">
        <v>6</v>
      </c>
      <c r="H30" s="5">
        <f>IF($I2="","",INDEX(Productos!$AG:$AG,$I2))</f>
        <v/>
      </c>
      <c r="I30" s="136">
        <f>LET(_xlpm.r,Productos!$E$2:$E$285,_xlpm.m,IFERROR(_xlfn.XMATCH(C30,_xlpm.r),IFERROR(_xlfn.XMATCH(VALUE(C30),_xlpm.r),0)),IF(_xlpm.m=0,"",_xlpm.m+1))</f>
        <v/>
      </c>
      <c r="J30" s="137" t="inlineStr">
        <is>
          <t>Odoo</t>
        </is>
      </c>
    </row>
    <row r="31">
      <c r="A31" s="5" t="inlineStr">
        <is>
          <t>Odoo Universal Unique Brands › Bodega 25 › Bodega 25/General</t>
        </is>
      </c>
      <c r="B31" s="5">
        <f>IF($I2="","",INDEX(Productos!$A:$A,$I2))</f>
        <v/>
      </c>
      <c r="C31" s="134" t="inlineStr">
        <is>
          <t>01-001-0024-7008 BL-XL</t>
        </is>
      </c>
      <c r="D31" s="5">
        <f>IF($I2="","",INDEX(Productos!$B:$B,$I2))</f>
        <v/>
      </c>
      <c r="E31" s="5">
        <f>IF($I2="","",INDEX(Productos!$H:$H,$I2))</f>
        <v/>
      </c>
      <c r="F31" s="5">
        <f>IF($I2="","",INDEX(Productos!$I:$I,$I2))</f>
        <v/>
      </c>
      <c r="G31" s="135" t="n">
        <v>9</v>
      </c>
      <c r="H31" s="5">
        <f>IF($I2="","",INDEX(Productos!$AG:$AG,$I2))</f>
        <v/>
      </c>
      <c r="I31" s="136">
        <f>LET(_xlpm.r,Productos!$E$2:$E$285,_xlpm.m,IFERROR(_xlfn.XMATCH(C31,_xlpm.r),IFERROR(_xlfn.XMATCH(VALUE(C31),_xlpm.r),0)),IF(_xlpm.m=0,"",_xlpm.m+1))</f>
        <v/>
      </c>
      <c r="J31" s="137" t="inlineStr">
        <is>
          <t>Odoo</t>
        </is>
      </c>
    </row>
    <row r="32">
      <c r="A32" s="5" t="inlineStr">
        <is>
          <t>Odoo Universal Unique Brands › Bodega 25 › Bodega 25/General</t>
        </is>
      </c>
      <c r="B32" s="5">
        <f>IF($I2="","",INDEX(Productos!$A:$A,$I2))</f>
        <v/>
      </c>
      <c r="C32" s="134" t="inlineStr">
        <is>
          <t>01-001-0044-1084 BR-2XL</t>
        </is>
      </c>
      <c r="D32" s="5">
        <f>IF($I2="","",INDEX(Productos!$B:$B,$I2))</f>
        <v/>
      </c>
      <c r="E32" s="5">
        <f>IF($I2="","",INDEX(Productos!$H:$H,$I2))</f>
        <v/>
      </c>
      <c r="F32" s="5">
        <f>IF($I2="","",INDEX(Productos!$I:$I,$I2))</f>
        <v/>
      </c>
      <c r="G32" s="135" t="n">
        <v>10</v>
      </c>
      <c r="H32" s="5">
        <f>IF($I2="","",INDEX(Productos!$AG:$AG,$I2))</f>
        <v/>
      </c>
      <c r="I32" s="136">
        <f>LET(_xlpm.r,Productos!$E$2:$E$285,_xlpm.m,IFERROR(_xlfn.XMATCH(C32,_xlpm.r),IFERROR(_xlfn.XMATCH(VALUE(C32),_xlpm.r),0)),IF(_xlpm.m=0,"",_xlpm.m+1))</f>
        <v/>
      </c>
      <c r="J32" s="137" t="inlineStr">
        <is>
          <t>Odoo</t>
        </is>
      </c>
    </row>
    <row r="33">
      <c r="A33" s="5" t="inlineStr">
        <is>
          <t>Odoo Universal Unique Brands › Bodega 25 › Bodega 25/General</t>
        </is>
      </c>
      <c r="B33" s="5">
        <f>IF($I2="","",INDEX(Productos!$A:$A,$I2))</f>
        <v/>
      </c>
      <c r="C33" s="134" t="inlineStr">
        <is>
          <t>01-001-0044-1084 BR-L</t>
        </is>
      </c>
      <c r="D33" s="5">
        <f>IF($I2="","",INDEX(Productos!$B:$B,$I2))</f>
        <v/>
      </c>
      <c r="E33" s="5">
        <f>IF($I2="","",INDEX(Productos!$H:$H,$I2))</f>
        <v/>
      </c>
      <c r="F33" s="5">
        <f>IF($I2="","",INDEX(Productos!$I:$I,$I2))</f>
        <v/>
      </c>
      <c r="G33" s="135" t="n">
        <v>30</v>
      </c>
      <c r="H33" s="5">
        <f>IF($I2="","",INDEX(Productos!$AG:$AG,$I2))</f>
        <v/>
      </c>
      <c r="I33" s="136">
        <f>LET(_xlpm.r,Productos!$E$2:$E$285,_xlpm.m,IFERROR(_xlfn.XMATCH(C33,_xlpm.r),IFERROR(_xlfn.XMATCH(VALUE(C33),_xlpm.r),0)),IF(_xlpm.m=0,"",_xlpm.m+1))</f>
        <v/>
      </c>
      <c r="J33" s="137" t="inlineStr">
        <is>
          <t>Odoo</t>
        </is>
      </c>
    </row>
    <row r="34">
      <c r="A34" s="5" t="inlineStr">
        <is>
          <t>Odoo Universal Unique Brands › Bodega 25 › Bodega 25/General</t>
        </is>
      </c>
      <c r="B34" s="5">
        <f>IF($I2="","",INDEX(Productos!$A:$A,$I2))</f>
        <v/>
      </c>
      <c r="C34" s="134" t="inlineStr">
        <is>
          <t>01-001-0044-1084 BR-M</t>
        </is>
      </c>
      <c r="D34" s="5">
        <f>IF($I2="","",INDEX(Productos!$B:$B,$I2))</f>
        <v/>
      </c>
      <c r="E34" s="5">
        <f>IF($I2="","",INDEX(Productos!$H:$H,$I2))</f>
        <v/>
      </c>
      <c r="F34" s="5">
        <f>IF($I2="","",INDEX(Productos!$I:$I,$I2))</f>
        <v/>
      </c>
      <c r="G34" s="135" t="n">
        <v>30</v>
      </c>
      <c r="H34" s="5">
        <f>IF($I2="","",INDEX(Productos!$AG:$AG,$I2))</f>
        <v/>
      </c>
      <c r="I34" s="136">
        <f>LET(_xlpm.r,Productos!$E$2:$E$285,_xlpm.m,IFERROR(_xlfn.XMATCH(C34,_xlpm.r),IFERROR(_xlfn.XMATCH(VALUE(C34),_xlpm.r),0)),IF(_xlpm.m=0,"",_xlpm.m+1))</f>
        <v/>
      </c>
      <c r="J34" s="137" t="inlineStr">
        <is>
          <t>Odoo</t>
        </is>
      </c>
    </row>
    <row r="35">
      <c r="A35" s="5" t="inlineStr">
        <is>
          <t>Odoo Universal Unique Brands › Bodega 25 › Bodega 25/General</t>
        </is>
      </c>
      <c r="B35" s="5">
        <f>IF($I2="","",INDEX(Productos!$A:$A,$I2))</f>
        <v/>
      </c>
      <c r="C35" s="134" t="inlineStr">
        <is>
          <t>01-001-0044-1084 BR-S</t>
        </is>
      </c>
      <c r="D35" s="5">
        <f>IF($I2="","",INDEX(Productos!$B:$B,$I2))</f>
        <v/>
      </c>
      <c r="E35" s="5">
        <f>IF($I2="","",INDEX(Productos!$H:$H,$I2))</f>
        <v/>
      </c>
      <c r="F35" s="5">
        <f>IF($I2="","",INDEX(Productos!$I:$I,$I2))</f>
        <v/>
      </c>
      <c r="G35" s="135" t="n">
        <v>30</v>
      </c>
      <c r="H35" s="5">
        <f>IF($I2="","",INDEX(Productos!$AG:$AG,$I2))</f>
        <v/>
      </c>
      <c r="I35" s="136">
        <f>LET(_xlpm.r,Productos!$E$2:$E$285,_xlpm.m,IFERROR(_xlfn.XMATCH(C35,_xlpm.r),IFERROR(_xlfn.XMATCH(VALUE(C35),_xlpm.r),0)),IF(_xlpm.m=0,"",_xlpm.m+1))</f>
        <v/>
      </c>
      <c r="J35" s="137" t="inlineStr">
        <is>
          <t>Odoo</t>
        </is>
      </c>
    </row>
    <row r="36">
      <c r="A36" s="5" t="inlineStr">
        <is>
          <t>Odoo Universal Unique Brands › Bodega 25 › Bodega 25/General</t>
        </is>
      </c>
      <c r="B36" s="5">
        <f>IF($I2="","",INDEX(Productos!$A:$A,$I2))</f>
        <v/>
      </c>
      <c r="C36" s="134" t="inlineStr">
        <is>
          <t>01-001-0044-1084 BR-XL</t>
        </is>
      </c>
      <c r="D36" s="5">
        <f>IF($I2="","",INDEX(Productos!$B:$B,$I2))</f>
        <v/>
      </c>
      <c r="E36" s="5">
        <f>IF($I2="","",INDEX(Productos!$H:$H,$I2))</f>
        <v/>
      </c>
      <c r="F36" s="5">
        <f>IF($I2="","",INDEX(Productos!$I:$I,$I2))</f>
        <v/>
      </c>
      <c r="G36" s="135" t="n">
        <v>20</v>
      </c>
      <c r="H36" s="5">
        <f>IF($I2="","",INDEX(Productos!$AG:$AG,$I2))</f>
        <v/>
      </c>
      <c r="I36" s="136">
        <f>LET(_xlpm.r,Productos!$E$2:$E$285,_xlpm.m,IFERROR(_xlfn.XMATCH(C36,_xlpm.r),IFERROR(_xlfn.XMATCH(VALUE(C36),_xlpm.r),0)),IF(_xlpm.m=0,"",_xlpm.m+1))</f>
        <v/>
      </c>
      <c r="J36" s="137" t="inlineStr">
        <is>
          <t>Odoo</t>
        </is>
      </c>
    </row>
    <row r="37">
      <c r="A37" s="5" t="inlineStr">
        <is>
          <t>Odoo Universal Unique Brands › Bodega 25 › Bodega 25/General</t>
        </is>
      </c>
      <c r="B37" s="5">
        <f>IF($I2="","",INDEX(Productos!$A:$A,$I2))</f>
        <v/>
      </c>
      <c r="C37" s="134" t="inlineStr">
        <is>
          <t>01-001-0086-7011 BL-2XL</t>
        </is>
      </c>
      <c r="D37" s="5">
        <f>IF($I2="","",INDEX(Productos!$B:$B,$I2))</f>
        <v/>
      </c>
      <c r="E37" s="5">
        <f>IF($I2="","",INDEX(Productos!$H:$H,$I2))</f>
        <v/>
      </c>
      <c r="F37" s="5">
        <f>IF($I2="","",INDEX(Productos!$I:$I,$I2))</f>
        <v/>
      </c>
      <c r="G37" s="135" t="n">
        <v>2</v>
      </c>
      <c r="H37" s="5">
        <f>IF($I2="","",INDEX(Productos!$AG:$AG,$I2))</f>
        <v/>
      </c>
      <c r="I37" s="136">
        <f>LET(_xlpm.r,Productos!$E$2:$E$285,_xlpm.m,IFERROR(_xlfn.XMATCH(C37,_xlpm.r),IFERROR(_xlfn.XMATCH(VALUE(C37),_xlpm.r),0)),IF(_xlpm.m=0,"",_xlpm.m+1))</f>
        <v/>
      </c>
      <c r="J37" s="137" t="inlineStr">
        <is>
          <t>Odoo</t>
        </is>
      </c>
    </row>
    <row r="38">
      <c r="A38" s="5" t="inlineStr">
        <is>
          <t>Odoo Universal Unique Brands › Bodega 25 › Bodega 25/General</t>
        </is>
      </c>
      <c r="B38" s="5">
        <f>IF($I2="","",INDEX(Productos!$A:$A,$I2))</f>
        <v/>
      </c>
      <c r="C38" s="134" t="inlineStr">
        <is>
          <t>01-001-0086-7011 BL-M</t>
        </is>
      </c>
      <c r="D38" s="5">
        <f>IF($I2="","",INDEX(Productos!$B:$B,$I2))</f>
        <v/>
      </c>
      <c r="E38" s="5">
        <f>IF($I2="","",INDEX(Productos!$H:$H,$I2))</f>
        <v/>
      </c>
      <c r="F38" s="5">
        <f>IF($I2="","",INDEX(Productos!$I:$I,$I2))</f>
        <v/>
      </c>
      <c r="G38" s="135" t="n">
        <v>1</v>
      </c>
      <c r="H38" s="5">
        <f>IF($I2="","",INDEX(Productos!$AG:$AG,$I2))</f>
        <v/>
      </c>
      <c r="I38" s="136">
        <f>LET(_xlpm.r,Productos!$E$2:$E$285,_xlpm.m,IFERROR(_xlfn.XMATCH(C38,_xlpm.r),IFERROR(_xlfn.XMATCH(VALUE(C38),_xlpm.r),0)),IF(_xlpm.m=0,"",_xlpm.m+1))</f>
        <v/>
      </c>
      <c r="J38" s="137" t="inlineStr">
        <is>
          <t>Odoo</t>
        </is>
      </c>
    </row>
    <row r="39">
      <c r="A39" s="5" t="inlineStr">
        <is>
          <t>Odoo Universal Unique Brands › Bodega 25 › Bodega 25/General</t>
        </is>
      </c>
      <c r="B39" s="5">
        <f>IF($I2="","",INDEX(Productos!$A:$A,$I2))</f>
        <v/>
      </c>
      <c r="C39" s="134" t="inlineStr">
        <is>
          <t>01-001-0086-7011 BL-S</t>
        </is>
      </c>
      <c r="D39" s="5">
        <f>IF($I2="","",INDEX(Productos!$B:$B,$I2))</f>
        <v/>
      </c>
      <c r="E39" s="5">
        <f>IF($I2="","",INDEX(Productos!$H:$H,$I2))</f>
        <v/>
      </c>
      <c r="F39" s="5">
        <f>IF($I2="","",INDEX(Productos!$I:$I,$I2))</f>
        <v/>
      </c>
      <c r="G39" s="135" t="n">
        <v>1</v>
      </c>
      <c r="H39" s="5">
        <f>IF($I2="","",INDEX(Productos!$AG:$AG,$I2))</f>
        <v/>
      </c>
      <c r="I39" s="136">
        <f>LET(_xlpm.r,Productos!$E$2:$E$285,_xlpm.m,IFERROR(_xlfn.XMATCH(C39,_xlpm.r),IFERROR(_xlfn.XMATCH(VALUE(C39),_xlpm.r),0)),IF(_xlpm.m=0,"",_xlpm.m+1))</f>
        <v/>
      </c>
      <c r="J39" s="137" t="inlineStr">
        <is>
          <t>Odoo</t>
        </is>
      </c>
    </row>
    <row r="40">
      <c r="A40" s="5" t="inlineStr">
        <is>
          <t>Odoo Universal Unique Brands › Bodega 25 › Bodega 25/General</t>
        </is>
      </c>
      <c r="B40" s="5">
        <f>IF($I2="","",INDEX(Productos!$A:$A,$I2))</f>
        <v/>
      </c>
      <c r="C40" s="134" t="inlineStr">
        <is>
          <t>01-001-0086-7011 BL-XL</t>
        </is>
      </c>
      <c r="D40" s="5">
        <f>IF($I2="","",INDEX(Productos!$B:$B,$I2))</f>
        <v/>
      </c>
      <c r="E40" s="5">
        <f>IF($I2="","",INDEX(Productos!$H:$H,$I2))</f>
        <v/>
      </c>
      <c r="F40" s="5">
        <f>IF($I2="","",INDEX(Productos!$I:$I,$I2))</f>
        <v/>
      </c>
      <c r="G40" s="135" t="n">
        <v>1</v>
      </c>
      <c r="H40" s="5">
        <f>IF($I2="","",INDEX(Productos!$AG:$AG,$I2))</f>
        <v/>
      </c>
      <c r="I40" s="136">
        <f>LET(_xlpm.r,Productos!$E$2:$E$285,_xlpm.m,IFERROR(_xlfn.XMATCH(C40,_xlpm.r),IFERROR(_xlfn.XMATCH(VALUE(C40),_xlpm.r),0)),IF(_xlpm.m=0,"",_xlpm.m+1))</f>
        <v/>
      </c>
      <c r="J40" s="137" t="inlineStr">
        <is>
          <t>Odoo</t>
        </is>
      </c>
    </row>
    <row r="41">
      <c r="A41" s="5" t="inlineStr">
        <is>
          <t>Odoo Universal Unique Brands › Bodega 25 › Bodega 25/General</t>
        </is>
      </c>
      <c r="B41" s="5">
        <f>IF($I2="","",INDEX(Productos!$A:$A,$I2))</f>
        <v/>
      </c>
      <c r="C41" s="134" t="inlineStr">
        <is>
          <t>01-001-0101-7003 BR-2XL</t>
        </is>
      </c>
      <c r="D41" s="5">
        <f>IF($I2="","",INDEX(Productos!$B:$B,$I2))</f>
        <v/>
      </c>
      <c r="E41" s="5">
        <f>IF($I2="","",INDEX(Productos!$H:$H,$I2))</f>
        <v/>
      </c>
      <c r="F41" s="5">
        <f>IF($I2="","",INDEX(Productos!$I:$I,$I2))</f>
        <v/>
      </c>
      <c r="G41" s="135" t="n">
        <v>2</v>
      </c>
      <c r="H41" s="5">
        <f>IF($I2="","",INDEX(Productos!$AG:$AG,$I2))</f>
        <v/>
      </c>
      <c r="I41" s="136">
        <f>LET(_xlpm.r,Productos!$E$2:$E$285,_xlpm.m,IFERROR(_xlfn.XMATCH(C41,_xlpm.r),IFERROR(_xlfn.XMATCH(VALUE(C41),_xlpm.r),0)),IF(_xlpm.m=0,"",_xlpm.m+1))</f>
        <v/>
      </c>
      <c r="J41" s="137" t="inlineStr">
        <is>
          <t>Odoo</t>
        </is>
      </c>
    </row>
    <row r="42">
      <c r="A42" s="5" t="inlineStr">
        <is>
          <t>Odoo Universal Unique Brands › Bodega 25 › Bodega 25/General</t>
        </is>
      </c>
      <c r="B42" s="5">
        <f>IF($I2="","",INDEX(Productos!$A:$A,$I2))</f>
        <v/>
      </c>
      <c r="C42" s="134" t="inlineStr">
        <is>
          <t>01-001-0101-7003 BR-L</t>
        </is>
      </c>
      <c r="D42" s="5">
        <f>IF($I2="","",INDEX(Productos!$B:$B,$I2))</f>
        <v/>
      </c>
      <c r="E42" s="5">
        <f>IF($I2="","",INDEX(Productos!$H:$H,$I2))</f>
        <v/>
      </c>
      <c r="F42" s="5">
        <f>IF($I2="","",INDEX(Productos!$I:$I,$I2))</f>
        <v/>
      </c>
      <c r="G42" s="135" t="n">
        <v>8</v>
      </c>
      <c r="H42" s="5">
        <f>IF($I2="","",INDEX(Productos!$AG:$AG,$I2))</f>
        <v/>
      </c>
      <c r="I42" s="136">
        <f>LET(_xlpm.r,Productos!$E$2:$E$285,_xlpm.m,IFERROR(_xlfn.XMATCH(C42,_xlpm.r),IFERROR(_xlfn.XMATCH(VALUE(C42),_xlpm.r),0)),IF(_xlpm.m=0,"",_xlpm.m+1))</f>
        <v/>
      </c>
      <c r="J42" s="137" t="inlineStr">
        <is>
          <t>Odoo</t>
        </is>
      </c>
    </row>
    <row r="43">
      <c r="A43" s="5" t="inlineStr">
        <is>
          <t>Odoo Universal Unique Brands › Bodega 25 › Bodega 25/General</t>
        </is>
      </c>
      <c r="B43" s="5">
        <f>IF($I2="","",INDEX(Productos!$A:$A,$I2))</f>
        <v/>
      </c>
      <c r="C43" s="134" t="inlineStr">
        <is>
          <t>01-001-0101-7003 BR-M</t>
        </is>
      </c>
      <c r="D43" s="5">
        <f>IF($I2="","",INDEX(Productos!$B:$B,$I2))</f>
        <v/>
      </c>
      <c r="E43" s="5">
        <f>IF($I2="","",INDEX(Productos!$H:$H,$I2))</f>
        <v/>
      </c>
      <c r="F43" s="5">
        <f>IF($I2="","",INDEX(Productos!$I:$I,$I2))</f>
        <v/>
      </c>
      <c r="G43" s="135" t="n">
        <v>8</v>
      </c>
      <c r="H43" s="5">
        <f>IF($I2="","",INDEX(Productos!$AG:$AG,$I2))</f>
        <v/>
      </c>
      <c r="I43" s="136">
        <f>LET(_xlpm.r,Productos!$E$2:$E$285,_xlpm.m,IFERROR(_xlfn.XMATCH(C43,_xlpm.r),IFERROR(_xlfn.XMATCH(VALUE(C43),_xlpm.r),0)),IF(_xlpm.m=0,"",_xlpm.m+1))</f>
        <v/>
      </c>
      <c r="J43" s="137" t="inlineStr">
        <is>
          <t>Odoo</t>
        </is>
      </c>
    </row>
    <row r="44">
      <c r="A44" s="5" t="inlineStr">
        <is>
          <t>Odoo Universal Unique Brands › Bodega 25 › Bodega 25/General</t>
        </is>
      </c>
      <c r="B44" s="5">
        <f>IF($I2="","",INDEX(Productos!$A:$A,$I2))</f>
        <v/>
      </c>
      <c r="C44" s="134" t="inlineStr">
        <is>
          <t>01-001-0101-7003 BR-S</t>
        </is>
      </c>
      <c r="D44" s="5">
        <f>IF($I2="","",INDEX(Productos!$B:$B,$I2))</f>
        <v/>
      </c>
      <c r="E44" s="5">
        <f>IF($I2="","",INDEX(Productos!$H:$H,$I2))</f>
        <v/>
      </c>
      <c r="F44" s="5">
        <f>IF($I2="","",INDEX(Productos!$I:$I,$I2))</f>
        <v/>
      </c>
      <c r="G44" s="135" t="n">
        <v>5</v>
      </c>
      <c r="H44" s="5">
        <f>IF($I2="","",INDEX(Productos!$AG:$AG,$I2))</f>
        <v/>
      </c>
      <c r="I44" s="136">
        <f>LET(_xlpm.r,Productos!$E$2:$E$285,_xlpm.m,IFERROR(_xlfn.XMATCH(C44,_xlpm.r),IFERROR(_xlfn.XMATCH(VALUE(C44),_xlpm.r),0)),IF(_xlpm.m=0,"",_xlpm.m+1))</f>
        <v/>
      </c>
      <c r="J44" s="137" t="inlineStr">
        <is>
          <t>Odoo</t>
        </is>
      </c>
    </row>
    <row r="45">
      <c r="A45" s="5" t="inlineStr">
        <is>
          <t>Odoo Universal Unique Brands › Bodega 25 › Bodega 25/General</t>
        </is>
      </c>
      <c r="B45" s="5">
        <f>IF($I2="","",INDEX(Productos!$A:$A,$I2))</f>
        <v/>
      </c>
      <c r="C45" s="134" t="inlineStr">
        <is>
          <t>01-001-0101-7003 BR-XL</t>
        </is>
      </c>
      <c r="D45" s="5">
        <f>IF($I2="","",INDEX(Productos!$B:$B,$I2))</f>
        <v/>
      </c>
      <c r="E45" s="5">
        <f>IF($I2="","",INDEX(Productos!$H:$H,$I2))</f>
        <v/>
      </c>
      <c r="F45" s="5">
        <f>IF($I2="","",INDEX(Productos!$I:$I,$I2))</f>
        <v/>
      </c>
      <c r="G45" s="135" t="n">
        <v>8</v>
      </c>
      <c r="H45" s="5">
        <f>IF($I2="","",INDEX(Productos!$AG:$AG,$I2))</f>
        <v/>
      </c>
      <c r="I45" s="136">
        <f>LET(_xlpm.r,Productos!$E$2:$E$285,_xlpm.m,IFERROR(_xlfn.XMATCH(C45,_xlpm.r),IFERROR(_xlfn.XMATCH(VALUE(C45),_xlpm.r),0)),IF(_xlpm.m=0,"",_xlpm.m+1))</f>
        <v/>
      </c>
      <c r="J45" s="137" t="inlineStr">
        <is>
          <t>Odoo</t>
        </is>
      </c>
    </row>
    <row r="46">
      <c r="A46" s="5" t="inlineStr">
        <is>
          <t>Odoo Universal Unique Brands › Bodega 25 › Bodega 25/General</t>
        </is>
      </c>
      <c r="B46" s="5">
        <f>IF($I2="","",INDEX(Productos!$A:$A,$I2))</f>
        <v/>
      </c>
      <c r="C46" s="134" t="inlineStr">
        <is>
          <t>01-001-0101-7007 BU-2XL</t>
        </is>
      </c>
      <c r="D46" s="5">
        <f>IF($I2="","",INDEX(Productos!$B:$B,$I2))</f>
        <v/>
      </c>
      <c r="E46" s="5">
        <f>IF($I2="","",INDEX(Productos!$H:$H,$I2))</f>
        <v/>
      </c>
      <c r="F46" s="5">
        <f>IF($I2="","",INDEX(Productos!$I:$I,$I2))</f>
        <v/>
      </c>
      <c r="G46" s="135" t="n">
        <v>6</v>
      </c>
      <c r="H46" s="5">
        <f>IF($I2="","",INDEX(Productos!$AG:$AG,$I2))</f>
        <v/>
      </c>
      <c r="I46" s="136">
        <f>LET(_xlpm.r,Productos!$E$2:$E$285,_xlpm.m,IFERROR(_xlfn.XMATCH(C46,_xlpm.r),IFERROR(_xlfn.XMATCH(VALUE(C46),_xlpm.r),0)),IF(_xlpm.m=0,"",_xlpm.m+1))</f>
        <v/>
      </c>
      <c r="J46" s="137" t="inlineStr">
        <is>
          <t>Odoo</t>
        </is>
      </c>
    </row>
    <row r="47">
      <c r="A47" s="5" t="inlineStr">
        <is>
          <t>Odoo Universal Unique Brands › Bodega 25 › Bodega 25/General</t>
        </is>
      </c>
      <c r="B47" s="5">
        <f>IF($I2="","",INDEX(Productos!$A:$A,$I2))</f>
        <v/>
      </c>
      <c r="C47" s="134" t="inlineStr">
        <is>
          <t>01-001-0101-7007 BU-L</t>
        </is>
      </c>
      <c r="D47" s="5">
        <f>IF($I2="","",INDEX(Productos!$B:$B,$I2))</f>
        <v/>
      </c>
      <c r="E47" s="5">
        <f>IF($I2="","",INDEX(Productos!$H:$H,$I2))</f>
        <v/>
      </c>
      <c r="F47" s="5">
        <f>IF($I2="","",INDEX(Productos!$I:$I,$I2))</f>
        <v/>
      </c>
      <c r="G47" s="135" t="n">
        <v>11</v>
      </c>
      <c r="H47" s="5">
        <f>IF($I2="","",INDEX(Productos!$AG:$AG,$I2))</f>
        <v/>
      </c>
      <c r="I47" s="136">
        <f>LET(_xlpm.r,Productos!$E$2:$E$285,_xlpm.m,IFERROR(_xlfn.XMATCH(C47,_xlpm.r),IFERROR(_xlfn.XMATCH(VALUE(C47),_xlpm.r),0)),IF(_xlpm.m=0,"",_xlpm.m+1))</f>
        <v/>
      </c>
      <c r="J47" s="137" t="inlineStr">
        <is>
          <t>Odoo</t>
        </is>
      </c>
    </row>
    <row r="48">
      <c r="A48" s="5" t="inlineStr">
        <is>
          <t>Odoo Universal Unique Brands › Bodega 25 › Bodega 25/General</t>
        </is>
      </c>
      <c r="B48" s="5">
        <f>IF($I2="","",INDEX(Productos!$A:$A,$I2))</f>
        <v/>
      </c>
      <c r="C48" s="134" t="inlineStr">
        <is>
          <t>01-001-0101-7007 BU-M</t>
        </is>
      </c>
      <c r="D48" s="5">
        <f>IF($I2="","",INDEX(Productos!$B:$B,$I2))</f>
        <v/>
      </c>
      <c r="E48" s="5">
        <f>IF($I2="","",INDEX(Productos!$H:$H,$I2))</f>
        <v/>
      </c>
      <c r="F48" s="5">
        <f>IF($I2="","",INDEX(Productos!$I:$I,$I2))</f>
        <v/>
      </c>
      <c r="G48" s="135" t="n">
        <v>12</v>
      </c>
      <c r="H48" s="5">
        <f>IF($I2="","",INDEX(Productos!$AG:$AG,$I2))</f>
        <v/>
      </c>
      <c r="I48" s="136">
        <f>LET(_xlpm.r,Productos!$E$2:$E$285,_xlpm.m,IFERROR(_xlfn.XMATCH(C48,_xlpm.r),IFERROR(_xlfn.XMATCH(VALUE(C48),_xlpm.r),0)),IF(_xlpm.m=0,"",_xlpm.m+1))</f>
        <v/>
      </c>
      <c r="J48" s="137" t="inlineStr">
        <is>
          <t>Odoo</t>
        </is>
      </c>
    </row>
    <row r="49">
      <c r="A49" s="5" t="inlineStr">
        <is>
          <t>Odoo Universal Unique Brands › Bodega 25 › Bodega 25/General</t>
        </is>
      </c>
      <c r="B49" s="5">
        <f>IF($I2="","",INDEX(Productos!$A:$A,$I2))</f>
        <v/>
      </c>
      <c r="C49" s="134" t="inlineStr">
        <is>
          <t>01-001-0101-7007 BU-S</t>
        </is>
      </c>
      <c r="D49" s="5">
        <f>IF($I2="","",INDEX(Productos!$B:$B,$I2))</f>
        <v/>
      </c>
      <c r="E49" s="5">
        <f>IF($I2="","",INDEX(Productos!$H:$H,$I2))</f>
        <v/>
      </c>
      <c r="F49" s="5">
        <f>IF($I2="","",INDEX(Productos!$I:$I,$I2))</f>
        <v/>
      </c>
      <c r="G49" s="135" t="n">
        <v>13</v>
      </c>
      <c r="H49" s="5">
        <f>IF($I2="","",INDEX(Productos!$AG:$AG,$I2))</f>
        <v/>
      </c>
      <c r="I49" s="136">
        <f>LET(_xlpm.r,Productos!$E$2:$E$285,_xlpm.m,IFERROR(_xlfn.XMATCH(C49,_xlpm.r),IFERROR(_xlfn.XMATCH(VALUE(C49),_xlpm.r),0)),IF(_xlpm.m=0,"",_xlpm.m+1))</f>
        <v/>
      </c>
      <c r="J49" s="137" t="inlineStr">
        <is>
          <t>Odoo</t>
        </is>
      </c>
    </row>
    <row r="50">
      <c r="A50" s="5" t="inlineStr">
        <is>
          <t>Odoo Universal Unique Brands › Bodega 25 › Bodega 25/General</t>
        </is>
      </c>
      <c r="B50" s="5">
        <f>IF($I2="","",INDEX(Productos!$A:$A,$I2))</f>
        <v/>
      </c>
      <c r="C50" s="134" t="inlineStr">
        <is>
          <t>01-001-0101-7007 BU-XL</t>
        </is>
      </c>
      <c r="D50" s="5">
        <f>IF($I2="","",INDEX(Productos!$B:$B,$I2))</f>
        <v/>
      </c>
      <c r="E50" s="5">
        <f>IF($I2="","",INDEX(Productos!$H:$H,$I2))</f>
        <v/>
      </c>
      <c r="F50" s="5">
        <f>IF($I2="","",INDEX(Productos!$I:$I,$I2))</f>
        <v/>
      </c>
      <c r="G50" s="135" t="n">
        <v>12</v>
      </c>
      <c r="H50" s="5">
        <f>IF($I2="","",INDEX(Productos!$AG:$AG,$I2))</f>
        <v/>
      </c>
      <c r="I50" s="136">
        <f>LET(_xlpm.r,Productos!$E$2:$E$285,_xlpm.m,IFERROR(_xlfn.XMATCH(C50,_xlpm.r),IFERROR(_xlfn.XMATCH(VALUE(C50),_xlpm.r),0)),IF(_xlpm.m=0,"",_xlpm.m+1))</f>
        <v/>
      </c>
      <c r="J50" s="137" t="inlineStr">
        <is>
          <t>Odoo</t>
        </is>
      </c>
    </row>
    <row r="51">
      <c r="A51" s="5" t="inlineStr">
        <is>
          <t>Odoo Universal Unique Brands › Bodega 25 › Bodega 25/General</t>
        </is>
      </c>
      <c r="B51" s="5">
        <f>IF($I2="","",INDEX(Productos!$A:$A,$I2))</f>
        <v/>
      </c>
      <c r="C51" s="134" t="inlineStr">
        <is>
          <t>01-050-0016-7004 BL-L</t>
        </is>
      </c>
      <c r="D51" s="5">
        <f>IF($I2="","",INDEX(Productos!$B:$B,$I2))</f>
        <v/>
      </c>
      <c r="E51" s="5">
        <f>IF($I2="","",INDEX(Productos!$H:$H,$I2))</f>
        <v/>
      </c>
      <c r="F51" s="5">
        <f>IF($I2="","",INDEX(Productos!$I:$I,$I2))</f>
        <v/>
      </c>
      <c r="G51" s="135" t="n">
        <v>13</v>
      </c>
      <c r="H51" s="5">
        <f>IF($I2="","",INDEX(Productos!$AG:$AG,$I2))</f>
        <v/>
      </c>
      <c r="I51" s="136">
        <f>LET(_xlpm.r,Productos!$E$2:$E$285,_xlpm.m,IFERROR(_xlfn.XMATCH(C51,_xlpm.r),IFERROR(_xlfn.XMATCH(VALUE(C51),_xlpm.r),0)),IF(_xlpm.m=0,"",_xlpm.m+1))</f>
        <v/>
      </c>
      <c r="J51" s="137" t="inlineStr">
        <is>
          <t>Odoo</t>
        </is>
      </c>
    </row>
    <row r="52">
      <c r="A52" s="5" t="inlineStr">
        <is>
          <t>Odoo Universal Unique Brands › Bodega 25 › Bodega 25/General</t>
        </is>
      </c>
      <c r="B52" s="5">
        <f>IF($I2="","",INDEX(Productos!$A:$A,$I2))</f>
        <v/>
      </c>
      <c r="C52" s="134" t="inlineStr">
        <is>
          <t>01-050-0016-7004 BL-M</t>
        </is>
      </c>
      <c r="D52" s="5">
        <f>IF($I2="","",INDEX(Productos!$B:$B,$I2))</f>
        <v/>
      </c>
      <c r="E52" s="5">
        <f>IF($I2="","",INDEX(Productos!$H:$H,$I2))</f>
        <v/>
      </c>
      <c r="F52" s="5">
        <f>IF($I2="","",INDEX(Productos!$I:$I,$I2))</f>
        <v/>
      </c>
      <c r="G52" s="135" t="n">
        <v>12</v>
      </c>
      <c r="H52" s="5">
        <f>IF($I2="","",INDEX(Productos!$AG:$AG,$I2))</f>
        <v/>
      </c>
      <c r="I52" s="136">
        <f>LET(_xlpm.r,Productos!$E$2:$E$285,_xlpm.m,IFERROR(_xlfn.XMATCH(C52,_xlpm.r),IFERROR(_xlfn.XMATCH(VALUE(C52),_xlpm.r),0)),IF(_xlpm.m=0,"",_xlpm.m+1))</f>
        <v/>
      </c>
      <c r="J52" s="137" t="inlineStr">
        <is>
          <t>Odoo</t>
        </is>
      </c>
    </row>
    <row r="53">
      <c r="A53" s="5" t="inlineStr">
        <is>
          <t>Odoo Universal Unique Brands › Bodega 25 › Bodega 25/General</t>
        </is>
      </c>
      <c r="B53" s="5">
        <f>IF($I2="","",INDEX(Productos!$A:$A,$I2))</f>
        <v/>
      </c>
      <c r="C53" s="134" t="inlineStr">
        <is>
          <t>01-050-0016-7004 BL-S</t>
        </is>
      </c>
      <c r="D53" s="5">
        <f>IF($I2="","",INDEX(Productos!$B:$B,$I2))</f>
        <v/>
      </c>
      <c r="E53" s="5">
        <f>IF($I2="","",INDEX(Productos!$H:$H,$I2))</f>
        <v/>
      </c>
      <c r="F53" s="5">
        <f>IF($I2="","",INDEX(Productos!$I:$I,$I2))</f>
        <v/>
      </c>
      <c r="G53" s="135" t="n">
        <v>10</v>
      </c>
      <c r="H53" s="5">
        <f>IF($I2="","",INDEX(Productos!$AG:$AG,$I2))</f>
        <v/>
      </c>
      <c r="I53" s="136">
        <f>LET(_xlpm.r,Productos!$E$2:$E$285,_xlpm.m,IFERROR(_xlfn.XMATCH(C53,_xlpm.r),IFERROR(_xlfn.XMATCH(VALUE(C53),_xlpm.r),0)),IF(_xlpm.m=0,"",_xlpm.m+1))</f>
        <v/>
      </c>
      <c r="J53" s="137" t="inlineStr">
        <is>
          <t>Odoo</t>
        </is>
      </c>
    </row>
    <row r="54">
      <c r="A54" s="5" t="inlineStr">
        <is>
          <t>Odoo Universal Unique Brands › Bodega 25 › Bodega 25/General</t>
        </is>
      </c>
      <c r="B54" s="5">
        <f>IF($I2="","",INDEX(Productos!$A:$A,$I2))</f>
        <v/>
      </c>
      <c r="C54" s="134" t="inlineStr">
        <is>
          <t>01-050-0016-7004 BL-XL</t>
        </is>
      </c>
      <c r="D54" s="5">
        <f>IF($I2="","",INDEX(Productos!$B:$B,$I2))</f>
        <v/>
      </c>
      <c r="E54" s="5">
        <f>IF($I2="","",INDEX(Productos!$H:$H,$I2))</f>
        <v/>
      </c>
      <c r="F54" s="5">
        <f>IF($I2="","",INDEX(Productos!$I:$I,$I2))</f>
        <v/>
      </c>
      <c r="G54" s="135" t="n">
        <v>17</v>
      </c>
      <c r="H54" s="5">
        <f>IF($I2="","",INDEX(Productos!$AG:$AG,$I2))</f>
        <v/>
      </c>
      <c r="I54" s="136">
        <f>LET(_xlpm.r,Productos!$E$2:$E$285,_xlpm.m,IFERROR(_xlfn.XMATCH(C54,_xlpm.r),IFERROR(_xlfn.XMATCH(VALUE(C54),_xlpm.r),0)),IF(_xlpm.m=0,"",_xlpm.m+1))</f>
        <v/>
      </c>
      <c r="J54" s="137" t="inlineStr">
        <is>
          <t>Odoo</t>
        </is>
      </c>
    </row>
    <row r="55">
      <c r="A55" s="5" t="inlineStr">
        <is>
          <t>Odoo Universal Unique Brands › Bodega 25 › Bodega 25/General</t>
        </is>
      </c>
      <c r="B55" s="5">
        <f>IF($I2="","",INDEX(Productos!$A:$A,$I2))</f>
        <v/>
      </c>
      <c r="C55" s="134" t="inlineStr">
        <is>
          <t>01-050-0016-7005 BR-1XL</t>
        </is>
      </c>
      <c r="D55" s="5">
        <f>IF($I2="","",INDEX(Productos!$B:$B,$I2))</f>
        <v/>
      </c>
      <c r="E55" s="5">
        <f>IF($I2="","",INDEX(Productos!$H:$H,$I2))</f>
        <v/>
      </c>
      <c r="F55" s="5">
        <f>IF($I2="","",INDEX(Productos!$I:$I,$I2))</f>
        <v/>
      </c>
      <c r="G55" s="135" t="n">
        <v>2</v>
      </c>
      <c r="H55" s="5">
        <f>IF($I2="","",INDEX(Productos!$AG:$AG,$I2))</f>
        <v/>
      </c>
      <c r="I55" s="136">
        <f>LET(_xlpm.r,Productos!$E$2:$E$285,_xlpm.m,IFERROR(_xlfn.XMATCH(C55,_xlpm.r),IFERROR(_xlfn.XMATCH(VALUE(C55),_xlpm.r),0)),IF(_xlpm.m=0,"",_xlpm.m+1))</f>
        <v/>
      </c>
      <c r="J55" s="137" t="inlineStr">
        <is>
          <t>Odoo</t>
        </is>
      </c>
    </row>
    <row r="56">
      <c r="A56" s="5" t="inlineStr">
        <is>
          <t>Odoo Universal Unique Brands › Bodega 25 › Bodega 25/General</t>
        </is>
      </c>
      <c r="B56" s="5">
        <f>IF($I2="","",INDEX(Productos!$A:$A,$I2))</f>
        <v/>
      </c>
      <c r="C56" s="134" t="inlineStr">
        <is>
          <t>01-050-0016-7005 BR-2XL</t>
        </is>
      </c>
      <c r="D56" s="5">
        <f>IF($I2="","",INDEX(Productos!$B:$B,$I2))</f>
        <v/>
      </c>
      <c r="E56" s="5">
        <f>IF($I2="","",INDEX(Productos!$H:$H,$I2))</f>
        <v/>
      </c>
      <c r="F56" s="5">
        <f>IF($I2="","",INDEX(Productos!$I:$I,$I2))</f>
        <v/>
      </c>
      <c r="G56" s="135" t="n">
        <v>1</v>
      </c>
      <c r="H56" s="5">
        <f>IF($I2="","",INDEX(Productos!$AG:$AG,$I2))</f>
        <v/>
      </c>
      <c r="I56" s="136">
        <f>LET(_xlpm.r,Productos!$E$2:$E$285,_xlpm.m,IFERROR(_xlfn.XMATCH(C56,_xlpm.r),IFERROR(_xlfn.XMATCH(VALUE(C56),_xlpm.r),0)),IF(_xlpm.m=0,"",_xlpm.m+1))</f>
        <v/>
      </c>
      <c r="J56" s="137" t="inlineStr">
        <is>
          <t>Odoo</t>
        </is>
      </c>
    </row>
    <row r="57">
      <c r="A57" s="5" t="inlineStr">
        <is>
          <t>Odoo Universal Unique Brands › Bodega 25 › Bodega 25/General</t>
        </is>
      </c>
      <c r="B57" s="5">
        <f>IF($I2="","",INDEX(Productos!$A:$A,$I2))</f>
        <v/>
      </c>
      <c r="C57" s="134" t="inlineStr">
        <is>
          <t>01-050-0016-7005 BR-L</t>
        </is>
      </c>
      <c r="D57" s="5">
        <f>IF($I2="","",INDEX(Productos!$B:$B,$I2))</f>
        <v/>
      </c>
      <c r="E57" s="5">
        <f>IF($I2="","",INDEX(Productos!$H:$H,$I2))</f>
        <v/>
      </c>
      <c r="F57" s="5">
        <f>IF($I2="","",INDEX(Productos!$I:$I,$I2))</f>
        <v/>
      </c>
      <c r="G57" s="135" t="n">
        <v>1</v>
      </c>
      <c r="H57" s="5">
        <f>IF($I2="","",INDEX(Productos!$AG:$AG,$I2))</f>
        <v/>
      </c>
      <c r="I57" s="136">
        <f>LET(_xlpm.r,Productos!$E$2:$E$285,_xlpm.m,IFERROR(_xlfn.XMATCH(C57,_xlpm.r),IFERROR(_xlfn.XMATCH(VALUE(C57),_xlpm.r),0)),IF(_xlpm.m=0,"",_xlpm.m+1))</f>
        <v/>
      </c>
      <c r="J57" s="137" t="inlineStr">
        <is>
          <t>Odoo</t>
        </is>
      </c>
    </row>
    <row r="58">
      <c r="A58" s="5" t="inlineStr">
        <is>
          <t>Odoo Universal Unique Brands › Bodega 25 › Bodega 25/General</t>
        </is>
      </c>
      <c r="B58" s="5">
        <f>IF($I2="","",INDEX(Productos!$A:$A,$I2))</f>
        <v/>
      </c>
      <c r="C58" s="134" t="inlineStr">
        <is>
          <t>01-050-0017-7018 BR-1XL</t>
        </is>
      </c>
      <c r="D58" s="5">
        <f>IF($I2="","",INDEX(Productos!$B:$B,$I2))</f>
        <v/>
      </c>
      <c r="E58" s="5">
        <f>IF($I2="","",INDEX(Productos!$H:$H,$I2))</f>
        <v/>
      </c>
      <c r="F58" s="5">
        <f>IF($I2="","",INDEX(Productos!$I:$I,$I2))</f>
        <v/>
      </c>
      <c r="G58" s="135" t="n">
        <v>3</v>
      </c>
      <c r="H58" s="5">
        <f>IF($I2="","",INDEX(Productos!$AG:$AG,$I2))</f>
        <v/>
      </c>
      <c r="I58" s="136">
        <f>LET(_xlpm.r,Productos!$E$2:$E$285,_xlpm.m,IFERROR(_xlfn.XMATCH(C58,_xlpm.r),IFERROR(_xlfn.XMATCH(VALUE(C58),_xlpm.r),0)),IF(_xlpm.m=0,"",_xlpm.m+1))</f>
        <v/>
      </c>
      <c r="J58" s="137" t="inlineStr">
        <is>
          <t>Odoo</t>
        </is>
      </c>
    </row>
    <row r="59">
      <c r="A59" s="5" t="inlineStr">
        <is>
          <t>Odoo Universal Unique Brands › Bodega 25 › Bodega 25/General</t>
        </is>
      </c>
      <c r="B59" s="5">
        <f>IF($I2="","",INDEX(Productos!$A:$A,$I2))</f>
        <v/>
      </c>
      <c r="C59" s="134" t="inlineStr">
        <is>
          <t>01-050-0017-7018 BR-L</t>
        </is>
      </c>
      <c r="D59" s="5">
        <f>IF($I2="","",INDEX(Productos!$B:$B,$I2))</f>
        <v/>
      </c>
      <c r="E59" s="5">
        <f>IF($I2="","",INDEX(Productos!$H:$H,$I2))</f>
        <v/>
      </c>
      <c r="F59" s="5">
        <f>IF($I2="","",INDEX(Productos!$I:$I,$I2))</f>
        <v/>
      </c>
      <c r="G59" s="135" t="n">
        <v>8</v>
      </c>
      <c r="H59" s="5">
        <f>IF($I2="","",INDEX(Productos!$AG:$AG,$I2))</f>
        <v/>
      </c>
      <c r="I59" s="136">
        <f>LET(_xlpm.r,Productos!$E$2:$E$285,_xlpm.m,IFERROR(_xlfn.XMATCH(C59,_xlpm.r),IFERROR(_xlfn.XMATCH(VALUE(C59),_xlpm.r),0)),IF(_xlpm.m=0,"",_xlpm.m+1))</f>
        <v/>
      </c>
      <c r="J59" s="137" t="inlineStr">
        <is>
          <t>Odoo</t>
        </is>
      </c>
    </row>
    <row r="60">
      <c r="A60" s="5" t="inlineStr">
        <is>
          <t>Odoo Universal Unique Brands › Bodega 25 › Bodega 25/General</t>
        </is>
      </c>
      <c r="B60" s="5">
        <f>IF($I2="","",INDEX(Productos!$A:$A,$I2))</f>
        <v/>
      </c>
      <c r="C60" s="134" t="inlineStr">
        <is>
          <t>01-050-0017-7018 BR-M</t>
        </is>
      </c>
      <c r="D60" s="5">
        <f>IF($I2="","",INDEX(Productos!$B:$B,$I2))</f>
        <v/>
      </c>
      <c r="E60" s="5">
        <f>IF($I2="","",INDEX(Productos!$H:$H,$I2))</f>
        <v/>
      </c>
      <c r="F60" s="5">
        <f>IF($I2="","",INDEX(Productos!$I:$I,$I2))</f>
        <v/>
      </c>
      <c r="G60" s="135" t="n">
        <v>8</v>
      </c>
      <c r="H60" s="5">
        <f>IF($I2="","",INDEX(Productos!$AG:$AG,$I2))</f>
        <v/>
      </c>
      <c r="I60" s="136">
        <f>LET(_xlpm.r,Productos!$E$2:$E$285,_xlpm.m,IFERROR(_xlfn.XMATCH(C60,_xlpm.r),IFERROR(_xlfn.XMATCH(VALUE(C60),_xlpm.r),0)),IF(_xlpm.m=0,"",_xlpm.m+1))</f>
        <v/>
      </c>
      <c r="J60" s="137" t="inlineStr">
        <is>
          <t>Odoo</t>
        </is>
      </c>
    </row>
    <row r="61">
      <c r="A61" s="5" t="inlineStr">
        <is>
          <t>Odoo Universal Unique Brands › Bodega 25 › Bodega 25/General</t>
        </is>
      </c>
      <c r="B61" s="5">
        <f>IF($I2="","",INDEX(Productos!$A:$A,$I2))</f>
        <v/>
      </c>
      <c r="C61" s="134" t="inlineStr">
        <is>
          <t>01-050-0017-7018 BR-S</t>
        </is>
      </c>
      <c r="D61" s="5">
        <f>IF($I2="","",INDEX(Productos!$B:$B,$I2))</f>
        <v/>
      </c>
      <c r="E61" s="5">
        <f>IF($I2="","",INDEX(Productos!$H:$H,$I2))</f>
        <v/>
      </c>
      <c r="F61" s="5">
        <f>IF($I2="","",INDEX(Productos!$I:$I,$I2))</f>
        <v/>
      </c>
      <c r="G61" s="135" t="n">
        <v>6</v>
      </c>
      <c r="H61" s="5">
        <f>IF($I2="","",INDEX(Productos!$AG:$AG,$I2))</f>
        <v/>
      </c>
      <c r="I61" s="136">
        <f>LET(_xlpm.r,Productos!$E$2:$E$285,_xlpm.m,IFERROR(_xlfn.XMATCH(C61,_xlpm.r),IFERROR(_xlfn.XMATCH(VALUE(C61),_xlpm.r),0)),IF(_xlpm.m=0,"",_xlpm.m+1))</f>
        <v/>
      </c>
      <c r="J61" s="137" t="inlineStr">
        <is>
          <t>Odoo</t>
        </is>
      </c>
    </row>
    <row r="62">
      <c r="A62" s="5" t="inlineStr">
        <is>
          <t>Odoo Universal Unique Brands › Bodega 25 › Bodega 25/General</t>
        </is>
      </c>
      <c r="B62" s="5">
        <f>IF($I2="","",INDEX(Productos!$A:$A,$I2))</f>
        <v/>
      </c>
      <c r="C62" s="134" t="inlineStr">
        <is>
          <t>01-050-0017-7018 BR-XL</t>
        </is>
      </c>
      <c r="D62" s="5">
        <f>IF($I2="","",INDEX(Productos!$B:$B,$I2))</f>
        <v/>
      </c>
      <c r="E62" s="5">
        <f>IF($I2="","",INDEX(Productos!$H:$H,$I2))</f>
        <v/>
      </c>
      <c r="F62" s="5">
        <f>IF($I2="","",INDEX(Productos!$I:$I,$I2))</f>
        <v/>
      </c>
      <c r="G62" s="135" t="n">
        <v>8</v>
      </c>
      <c r="H62" s="5">
        <f>IF($I2="","",INDEX(Productos!$AG:$AG,$I2))</f>
        <v/>
      </c>
      <c r="I62" s="136">
        <f>LET(_xlpm.r,Productos!$E$2:$E$285,_xlpm.m,IFERROR(_xlfn.XMATCH(C62,_xlpm.r),IFERROR(_xlfn.XMATCH(VALUE(C62),_xlpm.r),0)),IF(_xlpm.m=0,"",_xlpm.m+1))</f>
        <v/>
      </c>
      <c r="J62" s="137" t="inlineStr">
        <is>
          <t>Odoo</t>
        </is>
      </c>
    </row>
    <row r="63">
      <c r="A63" s="5" t="inlineStr">
        <is>
          <t>Odoo Universal Unique Brands › Bodega 25 › Bodega 25/General</t>
        </is>
      </c>
      <c r="B63" s="5">
        <f>IF($I2="","",INDEX(Productos!$A:$A,$I2))</f>
        <v/>
      </c>
      <c r="C63" s="134" t="inlineStr">
        <is>
          <t>01-050-0019-7011 BL-L</t>
        </is>
      </c>
      <c r="D63" s="5">
        <f>IF($I2="","",INDEX(Productos!$B:$B,$I2))</f>
        <v/>
      </c>
      <c r="E63" s="5">
        <f>IF($I2="","",INDEX(Productos!$H:$H,$I2))</f>
        <v/>
      </c>
      <c r="F63" s="5">
        <f>IF($I2="","",INDEX(Productos!$I:$I,$I2))</f>
        <v/>
      </c>
      <c r="G63" s="135" t="n">
        <v>7</v>
      </c>
      <c r="H63" s="5">
        <f>IF($I2="","",INDEX(Productos!$AG:$AG,$I2))</f>
        <v/>
      </c>
      <c r="I63" s="136">
        <f>LET(_xlpm.r,Productos!$E$2:$E$285,_xlpm.m,IFERROR(_xlfn.XMATCH(C63,_xlpm.r),IFERROR(_xlfn.XMATCH(VALUE(C63),_xlpm.r),0)),IF(_xlpm.m=0,"",_xlpm.m+1))</f>
        <v/>
      </c>
      <c r="J63" s="137" t="inlineStr">
        <is>
          <t>Odoo</t>
        </is>
      </c>
    </row>
    <row r="64">
      <c r="A64" s="5" t="inlineStr">
        <is>
          <t>Odoo Universal Unique Brands › Bodega 25 › Bodega 25/General</t>
        </is>
      </c>
      <c r="B64" s="5">
        <f>IF($I2="","",INDEX(Productos!$A:$A,$I2))</f>
        <v/>
      </c>
      <c r="C64" s="134" t="inlineStr">
        <is>
          <t>01-050-0019-7011 BL-M</t>
        </is>
      </c>
      <c r="D64" s="5">
        <f>IF($I2="","",INDEX(Productos!$B:$B,$I2))</f>
        <v/>
      </c>
      <c r="E64" s="5">
        <f>IF($I2="","",INDEX(Productos!$H:$H,$I2))</f>
        <v/>
      </c>
      <c r="F64" s="5">
        <f>IF($I2="","",INDEX(Productos!$I:$I,$I2))</f>
        <v/>
      </c>
      <c r="G64" s="135" t="n">
        <v>7</v>
      </c>
      <c r="H64" s="5">
        <f>IF($I2="","",INDEX(Productos!$AG:$AG,$I2))</f>
        <v/>
      </c>
      <c r="I64" s="136">
        <f>LET(_xlpm.r,Productos!$E$2:$E$285,_xlpm.m,IFERROR(_xlfn.XMATCH(C64,_xlpm.r),IFERROR(_xlfn.XMATCH(VALUE(C64),_xlpm.r),0)),IF(_xlpm.m=0,"",_xlpm.m+1))</f>
        <v/>
      </c>
      <c r="J64" s="137" t="inlineStr">
        <is>
          <t>Odoo</t>
        </is>
      </c>
    </row>
    <row r="65">
      <c r="A65" s="5" t="inlineStr">
        <is>
          <t>Odoo Universal Unique Brands › Bodega 25 › Bodega 25/General</t>
        </is>
      </c>
      <c r="B65" s="5">
        <f>IF($I2="","",INDEX(Productos!$A:$A,$I2))</f>
        <v/>
      </c>
      <c r="C65" s="134" t="inlineStr">
        <is>
          <t>01-050-0019-7011 BL-S</t>
        </is>
      </c>
      <c r="D65" s="5">
        <f>IF($I2="","",INDEX(Productos!$B:$B,$I2))</f>
        <v/>
      </c>
      <c r="E65" s="5">
        <f>IF($I2="","",INDEX(Productos!$H:$H,$I2))</f>
        <v/>
      </c>
      <c r="F65" s="5">
        <f>IF($I2="","",INDEX(Productos!$I:$I,$I2))</f>
        <v/>
      </c>
      <c r="G65" s="135" t="n">
        <v>6</v>
      </c>
      <c r="H65" s="5">
        <f>IF($I2="","",INDEX(Productos!$AG:$AG,$I2))</f>
        <v/>
      </c>
      <c r="I65" s="136">
        <f>LET(_xlpm.r,Productos!$E$2:$E$285,_xlpm.m,IFERROR(_xlfn.XMATCH(C65,_xlpm.r),IFERROR(_xlfn.XMATCH(VALUE(C65),_xlpm.r),0)),IF(_xlpm.m=0,"",_xlpm.m+1))</f>
        <v/>
      </c>
      <c r="J65" s="137" t="inlineStr">
        <is>
          <t>Odoo</t>
        </is>
      </c>
    </row>
    <row r="66">
      <c r="A66" s="5" t="inlineStr">
        <is>
          <t>Odoo Universal Unique Brands › Bodega 25 › Bodega 25/General</t>
        </is>
      </c>
      <c r="B66" s="5">
        <f>IF($I2="","",INDEX(Productos!$A:$A,$I2))</f>
        <v/>
      </c>
      <c r="C66" s="134" t="inlineStr">
        <is>
          <t>01-050-0019-7011 BL-XL</t>
        </is>
      </c>
      <c r="D66" s="5">
        <f>IF($I2="","",INDEX(Productos!$B:$B,$I2))</f>
        <v/>
      </c>
      <c r="E66" s="5">
        <f>IF($I2="","",INDEX(Productos!$H:$H,$I2))</f>
        <v/>
      </c>
      <c r="F66" s="5">
        <f>IF($I2="","",INDEX(Productos!$I:$I,$I2))</f>
        <v/>
      </c>
      <c r="G66" s="135" t="n">
        <v>7</v>
      </c>
      <c r="H66" s="5">
        <f>IF($I2="","",INDEX(Productos!$AG:$AG,$I2))</f>
        <v/>
      </c>
      <c r="I66" s="136">
        <f>LET(_xlpm.r,Productos!$E$2:$E$285,_xlpm.m,IFERROR(_xlfn.XMATCH(C66,_xlpm.r),IFERROR(_xlfn.XMATCH(VALUE(C66),_xlpm.r),0)),IF(_xlpm.m=0,"",_xlpm.m+1))</f>
        <v/>
      </c>
      <c r="J66" s="137" t="inlineStr">
        <is>
          <t>Odoo</t>
        </is>
      </c>
    </row>
    <row r="67">
      <c r="A67" s="5" t="inlineStr">
        <is>
          <t>Odoo Universal Unique Brands › Bodega 25 › Bodega 25/General</t>
        </is>
      </c>
      <c r="B67" s="5">
        <f>IF($I2="","",INDEX(Productos!$A:$A,$I2))</f>
        <v/>
      </c>
      <c r="C67" s="134" t="inlineStr">
        <is>
          <t>01-050-0024-7008 BL-L</t>
        </is>
      </c>
      <c r="D67" s="5">
        <f>IF($I2="","",INDEX(Productos!$B:$B,$I2))</f>
        <v/>
      </c>
      <c r="E67" s="5">
        <f>IF($I2="","",INDEX(Productos!$H:$H,$I2))</f>
        <v/>
      </c>
      <c r="F67" s="5">
        <f>IF($I2="","",INDEX(Productos!$I:$I,$I2))</f>
        <v/>
      </c>
      <c r="G67" s="135" t="n">
        <v>5</v>
      </c>
      <c r="H67" s="5">
        <f>IF($I2="","",INDEX(Productos!$AG:$AG,$I2))</f>
        <v/>
      </c>
      <c r="I67" s="136">
        <f>LET(_xlpm.r,Productos!$E$2:$E$285,_xlpm.m,IFERROR(_xlfn.XMATCH(C67,_xlpm.r),IFERROR(_xlfn.XMATCH(VALUE(C67),_xlpm.r),0)),IF(_xlpm.m=0,"",_xlpm.m+1))</f>
        <v/>
      </c>
      <c r="J67" s="137" t="inlineStr">
        <is>
          <t>Odoo</t>
        </is>
      </c>
    </row>
    <row r="68">
      <c r="A68" s="5" t="inlineStr">
        <is>
          <t>Odoo Universal Unique Brands › Bodega 25 › Bodega 25/General</t>
        </is>
      </c>
      <c r="B68" s="5">
        <f>IF($I2="","",INDEX(Productos!$A:$A,$I2))</f>
        <v/>
      </c>
      <c r="C68" s="134" t="inlineStr">
        <is>
          <t>01-050-0024-7008 BL-M</t>
        </is>
      </c>
      <c r="D68" s="5">
        <f>IF($I2="","",INDEX(Productos!$B:$B,$I2))</f>
        <v/>
      </c>
      <c r="E68" s="5">
        <f>IF($I2="","",INDEX(Productos!$H:$H,$I2))</f>
        <v/>
      </c>
      <c r="F68" s="5">
        <f>IF($I2="","",INDEX(Productos!$I:$I,$I2))</f>
        <v/>
      </c>
      <c r="G68" s="135" t="n">
        <v>5</v>
      </c>
      <c r="H68" s="5">
        <f>IF($I2="","",INDEX(Productos!$AG:$AG,$I2))</f>
        <v/>
      </c>
      <c r="I68" s="136">
        <f>LET(_xlpm.r,Productos!$E$2:$E$285,_xlpm.m,IFERROR(_xlfn.XMATCH(C68,_xlpm.r),IFERROR(_xlfn.XMATCH(VALUE(C68),_xlpm.r),0)),IF(_xlpm.m=0,"",_xlpm.m+1))</f>
        <v/>
      </c>
      <c r="J68" s="137" t="inlineStr">
        <is>
          <t>Odoo</t>
        </is>
      </c>
    </row>
    <row r="69">
      <c r="A69" s="5" t="inlineStr">
        <is>
          <t>Odoo Universal Unique Brands › Bodega 25 › Bodega 25/General</t>
        </is>
      </c>
      <c r="B69" s="5">
        <f>IF($I2="","",INDEX(Productos!$A:$A,$I2))</f>
        <v/>
      </c>
      <c r="C69" s="134" t="inlineStr">
        <is>
          <t>01-050-0024-7008 BL-S</t>
        </is>
      </c>
      <c r="D69" s="5">
        <f>IF($I2="","",INDEX(Productos!$B:$B,$I2))</f>
        <v/>
      </c>
      <c r="E69" s="5">
        <f>IF($I2="","",INDEX(Productos!$H:$H,$I2))</f>
        <v/>
      </c>
      <c r="F69" s="5">
        <f>IF($I2="","",INDEX(Productos!$I:$I,$I2))</f>
        <v/>
      </c>
      <c r="G69" s="135" t="n">
        <v>5</v>
      </c>
      <c r="H69" s="5">
        <f>IF($I2="","",INDEX(Productos!$AG:$AG,$I2))</f>
        <v/>
      </c>
      <c r="I69" s="136">
        <f>LET(_xlpm.r,Productos!$E$2:$E$285,_xlpm.m,IFERROR(_xlfn.XMATCH(C69,_xlpm.r),IFERROR(_xlfn.XMATCH(VALUE(C69),_xlpm.r),0)),IF(_xlpm.m=0,"",_xlpm.m+1))</f>
        <v/>
      </c>
      <c r="J69" s="137" t="inlineStr">
        <is>
          <t>Odoo</t>
        </is>
      </c>
    </row>
    <row r="70">
      <c r="A70" s="5" t="inlineStr">
        <is>
          <t>Odoo Universal Unique Brands › Bodega 25 › Bodega 25/General</t>
        </is>
      </c>
      <c r="B70" s="5">
        <f>IF($I2="","",INDEX(Productos!$A:$A,$I2))</f>
        <v/>
      </c>
      <c r="C70" s="134" t="inlineStr">
        <is>
          <t>01-050-0024-7008 BL-XL</t>
        </is>
      </c>
      <c r="D70" s="5">
        <f>IF($I2="","",INDEX(Productos!$B:$B,$I2))</f>
        <v/>
      </c>
      <c r="E70" s="5">
        <f>IF($I2="","",INDEX(Productos!$H:$H,$I2))</f>
        <v/>
      </c>
      <c r="F70" s="5">
        <f>IF($I2="","",INDEX(Productos!$I:$I,$I2))</f>
        <v/>
      </c>
      <c r="G70" s="135" t="n">
        <v>6</v>
      </c>
      <c r="H70" s="5">
        <f>IF($I2="","",INDEX(Productos!$AG:$AG,$I2))</f>
        <v/>
      </c>
      <c r="I70" s="136">
        <f>LET(_xlpm.r,Productos!$E$2:$E$285,_xlpm.m,IFERROR(_xlfn.XMATCH(C70,_xlpm.r),IFERROR(_xlfn.XMATCH(VALUE(C70),_xlpm.r),0)),IF(_xlpm.m=0,"",_xlpm.m+1))</f>
        <v/>
      </c>
      <c r="J70" s="137" t="inlineStr">
        <is>
          <t>Odoo</t>
        </is>
      </c>
    </row>
    <row r="71">
      <c r="A71" s="5" t="inlineStr">
        <is>
          <t>Odoo Universal Unique Brands › Bodega 25 › Bodega 25/General</t>
        </is>
      </c>
      <c r="B71" s="5">
        <f>IF($I2="","",INDEX(Productos!$A:$A,$I2))</f>
        <v/>
      </c>
      <c r="C71" s="134" t="inlineStr">
        <is>
          <t>01-050-0087-7007 BU-1XL</t>
        </is>
      </c>
      <c r="D71" s="5">
        <f>IF($I2="","",INDEX(Productos!$B:$B,$I2))</f>
        <v/>
      </c>
      <c r="E71" s="5">
        <f>IF($I2="","",INDEX(Productos!$H:$H,$I2))</f>
        <v/>
      </c>
      <c r="F71" s="5">
        <f>IF($I2="","",INDEX(Productos!$I:$I,$I2))</f>
        <v/>
      </c>
      <c r="G71" s="135" t="n">
        <v>6</v>
      </c>
      <c r="H71" s="5">
        <f>IF($I2="","",INDEX(Productos!$AG:$AG,$I2))</f>
        <v/>
      </c>
      <c r="I71" s="136">
        <f>LET(_xlpm.r,Productos!$E$2:$E$285,_xlpm.m,IFERROR(_xlfn.XMATCH(C71,_xlpm.r),IFERROR(_xlfn.XMATCH(VALUE(C71),_xlpm.r),0)),IF(_xlpm.m=0,"",_xlpm.m+1))</f>
        <v/>
      </c>
      <c r="J71" s="137" t="inlineStr">
        <is>
          <t>Odoo</t>
        </is>
      </c>
    </row>
    <row r="72">
      <c r="A72" s="5" t="inlineStr">
        <is>
          <t>Odoo Universal Unique Brands › Bodega 25 › Bodega 25/General</t>
        </is>
      </c>
      <c r="B72" s="5">
        <f>IF($I2="","",INDEX(Productos!$A:$A,$I2))</f>
        <v/>
      </c>
      <c r="C72" s="134" t="inlineStr">
        <is>
          <t>01-050-0087-7007 BU-L</t>
        </is>
      </c>
      <c r="D72" s="5">
        <f>IF($I2="","",INDEX(Productos!$B:$B,$I2))</f>
        <v/>
      </c>
      <c r="E72" s="5">
        <f>IF($I2="","",INDEX(Productos!$H:$H,$I2))</f>
        <v/>
      </c>
      <c r="F72" s="5">
        <f>IF($I2="","",INDEX(Productos!$I:$I,$I2))</f>
        <v/>
      </c>
      <c r="G72" s="135" t="n">
        <v>7</v>
      </c>
      <c r="H72" s="5">
        <f>IF($I2="","",INDEX(Productos!$AG:$AG,$I2))</f>
        <v/>
      </c>
      <c r="I72" s="136">
        <f>LET(_xlpm.r,Productos!$E$2:$E$285,_xlpm.m,IFERROR(_xlfn.XMATCH(C72,_xlpm.r),IFERROR(_xlfn.XMATCH(VALUE(C72),_xlpm.r),0)),IF(_xlpm.m=0,"",_xlpm.m+1))</f>
        <v/>
      </c>
      <c r="J72" s="137" t="inlineStr">
        <is>
          <t>Odoo</t>
        </is>
      </c>
    </row>
    <row r="73">
      <c r="A73" s="5" t="inlineStr">
        <is>
          <t>Odoo Universal Unique Brands › Bodega 25 › Bodega 25/General</t>
        </is>
      </c>
      <c r="B73" s="5">
        <f>IF($I2="","",INDEX(Productos!$A:$A,$I2))</f>
        <v/>
      </c>
      <c r="C73" s="134" t="inlineStr">
        <is>
          <t>01-050-0087-7007 BU-M</t>
        </is>
      </c>
      <c r="D73" s="5">
        <f>IF($I2="","",INDEX(Productos!$B:$B,$I2))</f>
        <v/>
      </c>
      <c r="E73" s="5">
        <f>IF($I2="","",INDEX(Productos!$H:$H,$I2))</f>
        <v/>
      </c>
      <c r="F73" s="5">
        <f>IF($I2="","",INDEX(Productos!$I:$I,$I2))</f>
        <v/>
      </c>
      <c r="G73" s="135" t="n">
        <v>7</v>
      </c>
      <c r="H73" s="5">
        <f>IF($I2="","",INDEX(Productos!$AG:$AG,$I2))</f>
        <v/>
      </c>
      <c r="I73" s="136">
        <f>LET(_xlpm.r,Productos!$E$2:$E$285,_xlpm.m,IFERROR(_xlfn.XMATCH(C73,_xlpm.r),IFERROR(_xlfn.XMATCH(VALUE(C73),_xlpm.r),0)),IF(_xlpm.m=0,"",_xlpm.m+1))</f>
        <v/>
      </c>
      <c r="J73" s="137" t="inlineStr">
        <is>
          <t>Odoo</t>
        </is>
      </c>
    </row>
    <row r="74">
      <c r="A74" s="5" t="inlineStr">
        <is>
          <t>Odoo Universal Unique Brands › Bodega 25 › Bodega 25/General</t>
        </is>
      </c>
      <c r="B74" s="5">
        <f>IF($I2="","",INDEX(Productos!$A:$A,$I2))</f>
        <v/>
      </c>
      <c r="C74" s="134" t="inlineStr">
        <is>
          <t>01-050-0087-7007 BU-S</t>
        </is>
      </c>
      <c r="D74" s="5">
        <f>IF($I2="","",INDEX(Productos!$B:$B,$I2))</f>
        <v/>
      </c>
      <c r="E74" s="5">
        <f>IF($I2="","",INDEX(Productos!$H:$H,$I2))</f>
        <v/>
      </c>
      <c r="F74" s="5">
        <f>IF($I2="","",INDEX(Productos!$I:$I,$I2))</f>
        <v/>
      </c>
      <c r="G74" s="135" t="n">
        <v>6</v>
      </c>
      <c r="H74" s="5">
        <f>IF($I2="","",INDEX(Productos!$AG:$AG,$I2))</f>
        <v/>
      </c>
      <c r="I74" s="136">
        <f>LET(_xlpm.r,Productos!$E$2:$E$285,_xlpm.m,IFERROR(_xlfn.XMATCH(C74,_xlpm.r),IFERROR(_xlfn.XMATCH(VALUE(C74),_xlpm.r),0)),IF(_xlpm.m=0,"",_xlpm.m+1))</f>
        <v/>
      </c>
      <c r="J74" s="137" t="inlineStr">
        <is>
          <t>Odoo</t>
        </is>
      </c>
    </row>
    <row r="75">
      <c r="A75" s="5" t="inlineStr">
        <is>
          <t>Odoo Universal Unique Brands › Bodega 25 › Bodega 25/General</t>
        </is>
      </c>
      <c r="B75" s="5">
        <f>IF($I2="","",INDEX(Productos!$A:$A,$I2))</f>
        <v/>
      </c>
      <c r="C75" s="134" t="inlineStr">
        <is>
          <t>01-050-0087-7007 BU-XL</t>
        </is>
      </c>
      <c r="D75" s="5">
        <f>IF($I2="","",INDEX(Productos!$B:$B,$I2))</f>
        <v/>
      </c>
      <c r="E75" s="5">
        <f>IF($I2="","",INDEX(Productos!$H:$H,$I2))</f>
        <v/>
      </c>
      <c r="F75" s="5">
        <f>IF($I2="","",INDEX(Productos!$I:$I,$I2))</f>
        <v/>
      </c>
      <c r="G75" s="135" t="n">
        <v>7</v>
      </c>
      <c r="H75" s="5">
        <f>IF($I2="","",INDEX(Productos!$AG:$AG,$I2))</f>
        <v/>
      </c>
      <c r="I75" s="136">
        <f>LET(_xlpm.r,Productos!$E$2:$E$285,_xlpm.m,IFERROR(_xlfn.XMATCH(C75,_xlpm.r),IFERROR(_xlfn.XMATCH(VALUE(C75),_xlpm.r),0)),IF(_xlpm.m=0,"",_xlpm.m+1))</f>
        <v/>
      </c>
      <c r="J75" s="137" t="inlineStr">
        <is>
          <t>Odoo</t>
        </is>
      </c>
    </row>
    <row r="76">
      <c r="A76" s="5" t="inlineStr">
        <is>
          <t>Odoo Universal Unique Brands › Bodega 25 › Bodega 25/General</t>
        </is>
      </c>
      <c r="B76" s="5">
        <f>IF($I2="","",INDEX(Productos!$A:$A,$I2))</f>
        <v/>
      </c>
      <c r="C76" s="134" t="inlineStr">
        <is>
          <t>01-050-0101-7000 BU-L</t>
        </is>
      </c>
      <c r="D76" s="5">
        <f>IF($I2="","",INDEX(Productos!$B:$B,$I2))</f>
        <v/>
      </c>
      <c r="E76" s="5">
        <f>IF($I2="","",INDEX(Productos!$H:$H,$I2))</f>
        <v/>
      </c>
      <c r="F76" s="5">
        <f>IF($I2="","",INDEX(Productos!$I:$I,$I2))</f>
        <v/>
      </c>
      <c r="G76" s="135" t="n">
        <v>2</v>
      </c>
      <c r="H76" s="5">
        <f>IF($I2="","",INDEX(Productos!$AG:$AG,$I2))</f>
        <v/>
      </c>
      <c r="I76" s="136">
        <f>LET(_xlpm.r,Productos!$E$2:$E$285,_xlpm.m,IFERROR(_xlfn.XMATCH(C76,_xlpm.r),IFERROR(_xlfn.XMATCH(VALUE(C76),_xlpm.r),0)),IF(_xlpm.m=0,"",_xlpm.m+1))</f>
        <v/>
      </c>
      <c r="J76" s="137" t="inlineStr">
        <is>
          <t>Odoo</t>
        </is>
      </c>
    </row>
    <row r="77">
      <c r="A77" s="5" t="inlineStr">
        <is>
          <t>Odoo Universal Unique Brands › Bodega 25 › Bodega 25/General</t>
        </is>
      </c>
      <c r="B77" s="5">
        <f>IF($I2="","",INDEX(Productos!$A:$A,$I2))</f>
        <v/>
      </c>
      <c r="C77" s="134" t="inlineStr">
        <is>
          <t>01-050-0101-7000 BU-M</t>
        </is>
      </c>
      <c r="D77" s="5">
        <f>IF($I2="","",INDEX(Productos!$B:$B,$I2))</f>
        <v/>
      </c>
      <c r="E77" s="5">
        <f>IF($I2="","",INDEX(Productos!$H:$H,$I2))</f>
        <v/>
      </c>
      <c r="F77" s="5">
        <f>IF($I2="","",INDEX(Productos!$I:$I,$I2))</f>
        <v/>
      </c>
      <c r="G77" s="135" t="n">
        <v>2</v>
      </c>
      <c r="H77" s="5">
        <f>IF($I2="","",INDEX(Productos!$AG:$AG,$I2))</f>
        <v/>
      </c>
      <c r="I77" s="136">
        <f>LET(_xlpm.r,Productos!$E$2:$E$285,_xlpm.m,IFERROR(_xlfn.XMATCH(C77,_xlpm.r),IFERROR(_xlfn.XMATCH(VALUE(C77),_xlpm.r),0)),IF(_xlpm.m=0,"",_xlpm.m+1))</f>
        <v/>
      </c>
      <c r="J77" s="137" t="inlineStr">
        <is>
          <t>Odoo</t>
        </is>
      </c>
    </row>
    <row r="78">
      <c r="A78" s="5" t="inlineStr">
        <is>
          <t>Odoo Universal Unique Brands › Bodega 25 › Bodega 25/General</t>
        </is>
      </c>
      <c r="B78" s="5">
        <f>IF($I2="","",INDEX(Productos!$A:$A,$I2))</f>
        <v/>
      </c>
      <c r="C78" s="134" t="inlineStr">
        <is>
          <t>01-050-0101-7000 BU-S</t>
        </is>
      </c>
      <c r="D78" s="5">
        <f>IF($I2="","",INDEX(Productos!$B:$B,$I2))</f>
        <v/>
      </c>
      <c r="E78" s="5">
        <f>IF($I2="","",INDEX(Productos!$H:$H,$I2))</f>
        <v/>
      </c>
      <c r="F78" s="5">
        <f>IF($I2="","",INDEX(Productos!$I:$I,$I2))</f>
        <v/>
      </c>
      <c r="G78" s="135" t="n">
        <v>1</v>
      </c>
      <c r="H78" s="5">
        <f>IF($I2="","",INDEX(Productos!$AG:$AG,$I2))</f>
        <v/>
      </c>
      <c r="I78" s="136">
        <f>LET(_xlpm.r,Productos!$E$2:$E$285,_xlpm.m,IFERROR(_xlfn.XMATCH(C78,_xlpm.r),IFERROR(_xlfn.XMATCH(VALUE(C78),_xlpm.r),0)),IF(_xlpm.m=0,"",_xlpm.m+1))</f>
        <v/>
      </c>
      <c r="J78" s="137" t="inlineStr">
        <is>
          <t>Odoo</t>
        </is>
      </c>
    </row>
    <row r="79">
      <c r="A79" s="5" t="inlineStr">
        <is>
          <t>Odoo Universal Unique Brands › Bodega 25 › Bodega 25/General</t>
        </is>
      </c>
      <c r="B79" s="5">
        <f>IF($I2="","",INDEX(Productos!$A:$A,$I2))</f>
        <v/>
      </c>
      <c r="C79" s="134" t="inlineStr">
        <is>
          <t>01-050-0101-7000 BU-XL</t>
        </is>
      </c>
      <c r="D79" s="5">
        <f>IF($I2="","",INDEX(Productos!$B:$B,$I2))</f>
        <v/>
      </c>
      <c r="E79" s="5">
        <f>IF($I2="","",INDEX(Productos!$H:$H,$I2))</f>
        <v/>
      </c>
      <c r="F79" s="5">
        <f>IF($I2="","",INDEX(Productos!$I:$I,$I2))</f>
        <v/>
      </c>
      <c r="G79" s="135" t="n">
        <v>2</v>
      </c>
      <c r="H79" s="5">
        <f>IF($I2="","",INDEX(Productos!$AG:$AG,$I2))</f>
        <v/>
      </c>
      <c r="I79" s="136">
        <f>LET(_xlpm.r,Productos!$E$2:$E$285,_xlpm.m,IFERROR(_xlfn.XMATCH(C79,_xlpm.r),IFERROR(_xlfn.XMATCH(VALUE(C79),_xlpm.r),0)),IF(_xlpm.m=0,"",_xlpm.m+1))</f>
        <v/>
      </c>
      <c r="J79" s="137" t="inlineStr">
        <is>
          <t>Odoo</t>
        </is>
      </c>
    </row>
    <row r="80">
      <c r="A80" s="5" t="inlineStr">
        <is>
          <t>Odoo Universal Unique Brands › Bodega 25 › Bodega 25/General</t>
        </is>
      </c>
      <c r="B80" s="5">
        <f>IF($I2="","",INDEX(Productos!$A:$A,$I2))</f>
        <v/>
      </c>
      <c r="C80" s="134" t="inlineStr">
        <is>
          <t>03-001-0040-6002 BL-2XL</t>
        </is>
      </c>
      <c r="D80" s="5">
        <f>IF($I2="","",INDEX(Productos!$B:$B,$I2))</f>
        <v/>
      </c>
      <c r="E80" s="5">
        <f>IF($I2="","",INDEX(Productos!$H:$H,$I2))</f>
        <v/>
      </c>
      <c r="F80" s="5">
        <f>IF($I2="","",INDEX(Productos!$I:$I,$I2))</f>
        <v/>
      </c>
      <c r="G80" s="135" t="n">
        <v>4</v>
      </c>
      <c r="H80" s="5">
        <f>IF($I2="","",INDEX(Productos!$AG:$AG,$I2))</f>
        <v/>
      </c>
      <c r="I80" s="136">
        <f>LET(_xlpm.r,Productos!$E$2:$E$285,_xlpm.m,IFERROR(_xlfn.XMATCH(C80,_xlpm.r),IFERROR(_xlfn.XMATCH(VALUE(C80),_xlpm.r),0)),IF(_xlpm.m=0,"",_xlpm.m+1))</f>
        <v/>
      </c>
      <c r="J80" s="137" t="inlineStr">
        <is>
          <t>Odoo</t>
        </is>
      </c>
    </row>
    <row r="81">
      <c r="A81" s="5" t="inlineStr">
        <is>
          <t>Odoo Universal Unique Brands › Bodega 25 › Bodega 25/General</t>
        </is>
      </c>
      <c r="B81" s="5">
        <f>IF($I2="","",INDEX(Productos!$A:$A,$I2))</f>
        <v/>
      </c>
      <c r="C81" s="134" t="inlineStr">
        <is>
          <t>03-001-0040-6002 BL-L</t>
        </is>
      </c>
      <c r="D81" s="5">
        <f>IF($I2="","",INDEX(Productos!$B:$B,$I2))</f>
        <v/>
      </c>
      <c r="E81" s="5">
        <f>IF($I2="","",INDEX(Productos!$H:$H,$I2))</f>
        <v/>
      </c>
      <c r="F81" s="5">
        <f>IF($I2="","",INDEX(Productos!$I:$I,$I2))</f>
        <v/>
      </c>
      <c r="G81" s="135" t="n">
        <v>10</v>
      </c>
      <c r="H81" s="5">
        <f>IF($I2="","",INDEX(Productos!$AG:$AG,$I2))</f>
        <v/>
      </c>
      <c r="I81" s="136">
        <f>LET(_xlpm.r,Productos!$E$2:$E$285,_xlpm.m,IFERROR(_xlfn.XMATCH(C81,_xlpm.r),IFERROR(_xlfn.XMATCH(VALUE(C81),_xlpm.r),0)),IF(_xlpm.m=0,"",_xlpm.m+1))</f>
        <v/>
      </c>
      <c r="J81" s="137" t="inlineStr">
        <is>
          <t>Odoo</t>
        </is>
      </c>
    </row>
    <row r="82">
      <c r="A82" s="5" t="inlineStr">
        <is>
          <t>Odoo Universal Unique Brands › Bodega 25 › Bodega 25/General</t>
        </is>
      </c>
      <c r="B82" s="5">
        <f>IF($I2="","",INDEX(Productos!$A:$A,$I2))</f>
        <v/>
      </c>
      <c r="C82" s="134" t="inlineStr">
        <is>
          <t>03-001-0040-6002 BL-M</t>
        </is>
      </c>
      <c r="D82" s="5">
        <f>IF($I2="","",INDEX(Productos!$B:$B,$I2))</f>
        <v/>
      </c>
      <c r="E82" s="5">
        <f>IF($I2="","",INDEX(Productos!$H:$H,$I2))</f>
        <v/>
      </c>
      <c r="F82" s="5">
        <f>IF($I2="","",INDEX(Productos!$I:$I,$I2))</f>
        <v/>
      </c>
      <c r="G82" s="135" t="n">
        <v>10</v>
      </c>
      <c r="H82" s="5">
        <f>IF($I2="","",INDEX(Productos!$AG:$AG,$I2))</f>
        <v/>
      </c>
      <c r="I82" s="136">
        <f>LET(_xlpm.r,Productos!$E$2:$E$285,_xlpm.m,IFERROR(_xlfn.XMATCH(C82,_xlpm.r),IFERROR(_xlfn.XMATCH(VALUE(C82),_xlpm.r),0)),IF(_xlpm.m=0,"",_xlpm.m+1))</f>
        <v/>
      </c>
      <c r="J82" s="137" t="inlineStr">
        <is>
          <t>Odoo</t>
        </is>
      </c>
    </row>
    <row r="83">
      <c r="A83" s="5" t="inlineStr">
        <is>
          <t>Odoo Universal Unique Brands › Bodega 25 › Bodega 25/General</t>
        </is>
      </c>
      <c r="B83" s="5">
        <f>IF($I2="","",INDEX(Productos!$A:$A,$I2))</f>
        <v/>
      </c>
      <c r="C83" s="134" t="inlineStr">
        <is>
          <t>03-001-0040-6002 BL-S</t>
        </is>
      </c>
      <c r="D83" s="5">
        <f>IF($I2="","",INDEX(Productos!$B:$B,$I2))</f>
        <v/>
      </c>
      <c r="E83" s="5">
        <f>IF($I2="","",INDEX(Productos!$H:$H,$I2))</f>
        <v/>
      </c>
      <c r="F83" s="5">
        <f>IF($I2="","",INDEX(Productos!$I:$I,$I2))</f>
        <v/>
      </c>
      <c r="G83" s="135" t="n">
        <v>8</v>
      </c>
      <c r="H83" s="5">
        <f>IF($I2="","",INDEX(Productos!$AG:$AG,$I2))</f>
        <v/>
      </c>
      <c r="I83" s="136">
        <f>LET(_xlpm.r,Productos!$E$2:$E$285,_xlpm.m,IFERROR(_xlfn.XMATCH(C83,_xlpm.r),IFERROR(_xlfn.XMATCH(VALUE(C83),_xlpm.r),0)),IF(_xlpm.m=0,"",_xlpm.m+1))</f>
        <v/>
      </c>
      <c r="J83" s="137" t="inlineStr">
        <is>
          <t>Odoo</t>
        </is>
      </c>
    </row>
    <row r="84">
      <c r="A84" s="5" t="inlineStr">
        <is>
          <t>Odoo Universal Unique Brands › Bodega 25 › Bodega 25/General</t>
        </is>
      </c>
      <c r="B84" s="5">
        <f>IF($I2="","",INDEX(Productos!$A:$A,$I2))</f>
        <v/>
      </c>
      <c r="C84" s="134" t="inlineStr">
        <is>
          <t>03-001-0040-6002 BL-XL</t>
        </is>
      </c>
      <c r="D84" s="5">
        <f>IF($I2="","",INDEX(Productos!$B:$B,$I2))</f>
        <v/>
      </c>
      <c r="E84" s="5">
        <f>IF($I2="","",INDEX(Productos!$H:$H,$I2))</f>
        <v/>
      </c>
      <c r="F84" s="5">
        <f>IF($I2="","",INDEX(Productos!$I:$I,$I2))</f>
        <v/>
      </c>
      <c r="G84" s="135" t="n">
        <v>10</v>
      </c>
      <c r="H84" s="5">
        <f>IF($I2="","",INDEX(Productos!$AG:$AG,$I2))</f>
        <v/>
      </c>
      <c r="I84" s="136">
        <f>LET(_xlpm.r,Productos!$E$2:$E$285,_xlpm.m,IFERROR(_xlfn.XMATCH(C84,_xlpm.r),IFERROR(_xlfn.XMATCH(VALUE(C84),_xlpm.r),0)),IF(_xlpm.m=0,"",_xlpm.m+1))</f>
        <v/>
      </c>
      <c r="J84" s="137" t="inlineStr">
        <is>
          <t>Odoo</t>
        </is>
      </c>
    </row>
    <row r="85">
      <c r="A85" s="5" t="inlineStr">
        <is>
          <t>Odoo Universal Unique Brands › Bodega 25 › Bodega 25/General</t>
        </is>
      </c>
      <c r="B85" s="5">
        <f>IF($I2="","",INDEX(Productos!$A:$A,$I2))</f>
        <v/>
      </c>
      <c r="C85" s="134" t="inlineStr">
        <is>
          <t>03-001-0040-6003 BR-L</t>
        </is>
      </c>
      <c r="D85" s="5">
        <f>IF($I2="","",INDEX(Productos!$B:$B,$I2))</f>
        <v/>
      </c>
      <c r="E85" s="5">
        <f>IF($I2="","",INDEX(Productos!$H:$H,$I2))</f>
        <v/>
      </c>
      <c r="F85" s="5">
        <f>IF($I2="","",INDEX(Productos!$I:$I,$I2))</f>
        <v/>
      </c>
      <c r="G85" s="135" t="n">
        <v>14</v>
      </c>
      <c r="H85" s="5">
        <f>IF($I2="","",INDEX(Productos!$AG:$AG,$I2))</f>
        <v/>
      </c>
      <c r="I85" s="136">
        <f>LET(_xlpm.r,Productos!$E$2:$E$285,_xlpm.m,IFERROR(_xlfn.XMATCH(C85,_xlpm.r),IFERROR(_xlfn.XMATCH(VALUE(C85),_xlpm.r),0)),IF(_xlpm.m=0,"",_xlpm.m+1))</f>
        <v/>
      </c>
      <c r="J85" s="137" t="inlineStr">
        <is>
          <t>Odoo</t>
        </is>
      </c>
    </row>
    <row r="86">
      <c r="A86" s="5" t="inlineStr">
        <is>
          <t>Odoo Universal Unique Brands › Bodega 25 › Bodega 25/General</t>
        </is>
      </c>
      <c r="B86" s="5">
        <f>IF($I2="","",INDEX(Productos!$A:$A,$I2))</f>
        <v/>
      </c>
      <c r="C86" s="134" t="inlineStr">
        <is>
          <t>03-001-0040-6003 BR-M</t>
        </is>
      </c>
      <c r="D86" s="5">
        <f>IF($I2="","",INDEX(Productos!$B:$B,$I2))</f>
        <v/>
      </c>
      <c r="E86" s="5">
        <f>IF($I2="","",INDEX(Productos!$H:$H,$I2))</f>
        <v/>
      </c>
      <c r="F86" s="5">
        <f>IF($I2="","",INDEX(Productos!$I:$I,$I2))</f>
        <v/>
      </c>
      <c r="G86" s="135" t="n">
        <v>15</v>
      </c>
      <c r="H86" s="5">
        <f>IF($I2="","",INDEX(Productos!$AG:$AG,$I2))</f>
        <v/>
      </c>
      <c r="I86" s="136">
        <f>LET(_xlpm.r,Productos!$E$2:$E$285,_xlpm.m,IFERROR(_xlfn.XMATCH(C86,_xlpm.r),IFERROR(_xlfn.XMATCH(VALUE(C86),_xlpm.r),0)),IF(_xlpm.m=0,"",_xlpm.m+1))</f>
        <v/>
      </c>
      <c r="J86" s="137" t="inlineStr">
        <is>
          <t>Odoo</t>
        </is>
      </c>
    </row>
    <row r="87">
      <c r="A87" s="5" t="inlineStr">
        <is>
          <t>Odoo Universal Unique Brands › Bodega 25 › Bodega 25/General</t>
        </is>
      </c>
      <c r="B87" s="5">
        <f>IF($I2="","",INDEX(Productos!$A:$A,$I2))</f>
        <v/>
      </c>
      <c r="C87" s="134" t="inlineStr">
        <is>
          <t>03-001-0040-6003 BR-S</t>
        </is>
      </c>
      <c r="D87" s="5">
        <f>IF($I2="","",INDEX(Productos!$B:$B,$I2))</f>
        <v/>
      </c>
      <c r="E87" s="5">
        <f>IF($I2="","",INDEX(Productos!$H:$H,$I2))</f>
        <v/>
      </c>
      <c r="F87" s="5">
        <f>IF($I2="","",INDEX(Productos!$I:$I,$I2))</f>
        <v/>
      </c>
      <c r="G87" s="135" t="n">
        <v>12</v>
      </c>
      <c r="H87" s="5">
        <f>IF($I2="","",INDEX(Productos!$AG:$AG,$I2))</f>
        <v/>
      </c>
      <c r="I87" s="136">
        <f>LET(_xlpm.r,Productos!$E$2:$E$285,_xlpm.m,IFERROR(_xlfn.XMATCH(C87,_xlpm.r),IFERROR(_xlfn.XMATCH(VALUE(C87),_xlpm.r),0)),IF(_xlpm.m=0,"",_xlpm.m+1))</f>
        <v/>
      </c>
      <c r="J87" s="137" t="inlineStr">
        <is>
          <t>Odoo</t>
        </is>
      </c>
    </row>
    <row r="88">
      <c r="A88" s="5" t="inlineStr">
        <is>
          <t>Odoo Universal Unique Brands › Bodega 25 › Bodega 25/General</t>
        </is>
      </c>
      <c r="B88" s="5">
        <f>IF($I2="","",INDEX(Productos!$A:$A,$I2))</f>
        <v/>
      </c>
      <c r="C88" s="134" t="inlineStr">
        <is>
          <t>03-001-0040-6003 BR-XL</t>
        </is>
      </c>
      <c r="D88" s="5">
        <f>IF($I2="","",INDEX(Productos!$B:$B,$I2))</f>
        <v/>
      </c>
      <c r="E88" s="5">
        <f>IF($I2="","",INDEX(Productos!$H:$H,$I2))</f>
        <v/>
      </c>
      <c r="F88" s="5">
        <f>IF($I2="","",INDEX(Productos!$I:$I,$I2))</f>
        <v/>
      </c>
      <c r="G88" s="135" t="n">
        <v>11</v>
      </c>
      <c r="H88" s="5">
        <f>IF($I2="","",INDEX(Productos!$AG:$AG,$I2))</f>
        <v/>
      </c>
      <c r="I88" s="136">
        <f>LET(_xlpm.r,Productos!$E$2:$E$285,_xlpm.m,IFERROR(_xlfn.XMATCH(C88,_xlpm.r),IFERROR(_xlfn.XMATCH(VALUE(C88),_xlpm.r),0)),IF(_xlpm.m=0,"",_xlpm.m+1))</f>
        <v/>
      </c>
      <c r="J88" s="137" t="inlineStr">
        <is>
          <t>Odoo</t>
        </is>
      </c>
    </row>
    <row r="89">
      <c r="A89" s="5" t="inlineStr">
        <is>
          <t>Odoo Universal Unique Brands › Bodega 25 › Bodega 25/General</t>
        </is>
      </c>
      <c r="B89" s="5">
        <f>IF($I2="","",INDEX(Productos!$A:$A,$I2))</f>
        <v/>
      </c>
      <c r="C89" s="134" t="inlineStr">
        <is>
          <t>03-001-0040-6004 BU-2XL</t>
        </is>
      </c>
      <c r="D89" s="5">
        <f>IF($I2="","",INDEX(Productos!$B:$B,$I2))</f>
        <v/>
      </c>
      <c r="E89" s="5">
        <f>IF($I2="","",INDEX(Productos!$H:$H,$I2))</f>
        <v/>
      </c>
      <c r="F89" s="5">
        <f>IF($I2="","",INDEX(Productos!$I:$I,$I2))</f>
        <v/>
      </c>
      <c r="G89" s="135" t="n">
        <v>5</v>
      </c>
      <c r="H89" s="5">
        <f>IF($I2="","",INDEX(Productos!$AG:$AG,$I2))</f>
        <v/>
      </c>
      <c r="I89" s="136">
        <f>LET(_xlpm.r,Productos!$E$2:$E$285,_xlpm.m,IFERROR(_xlfn.XMATCH(C89,_xlpm.r),IFERROR(_xlfn.XMATCH(VALUE(C89),_xlpm.r),0)),IF(_xlpm.m=0,"",_xlpm.m+1))</f>
        <v/>
      </c>
      <c r="J89" s="137" t="inlineStr">
        <is>
          <t>Odoo</t>
        </is>
      </c>
    </row>
    <row r="90">
      <c r="A90" s="5" t="inlineStr">
        <is>
          <t>Odoo Universal Unique Brands › Bodega 25 › Bodega 25/General</t>
        </is>
      </c>
      <c r="B90" s="5">
        <f>IF($I2="","",INDEX(Productos!$A:$A,$I2))</f>
        <v/>
      </c>
      <c r="C90" s="134" t="inlineStr">
        <is>
          <t>03-001-0040-6004 BU-L</t>
        </is>
      </c>
      <c r="D90" s="5">
        <f>IF($I2="","",INDEX(Productos!$B:$B,$I2))</f>
        <v/>
      </c>
      <c r="E90" s="5">
        <f>IF($I2="","",INDEX(Productos!$H:$H,$I2))</f>
        <v/>
      </c>
      <c r="F90" s="5">
        <f>IF($I2="","",INDEX(Productos!$I:$I,$I2))</f>
        <v/>
      </c>
      <c r="G90" s="135" t="n">
        <v>10</v>
      </c>
      <c r="H90" s="5">
        <f>IF($I2="","",INDEX(Productos!$AG:$AG,$I2))</f>
        <v/>
      </c>
      <c r="I90" s="136">
        <f>LET(_xlpm.r,Productos!$E$2:$E$285,_xlpm.m,IFERROR(_xlfn.XMATCH(C90,_xlpm.r),IFERROR(_xlfn.XMATCH(VALUE(C90),_xlpm.r),0)),IF(_xlpm.m=0,"",_xlpm.m+1))</f>
        <v/>
      </c>
      <c r="J90" s="137" t="inlineStr">
        <is>
          <t>Odoo</t>
        </is>
      </c>
    </row>
    <row r="91">
      <c r="A91" s="5" t="inlineStr">
        <is>
          <t>Odoo Universal Unique Brands › Bodega 25 › Bodega 25/General</t>
        </is>
      </c>
      <c r="B91" s="5">
        <f>IF($I2="","",INDEX(Productos!$A:$A,$I2))</f>
        <v/>
      </c>
      <c r="C91" s="134" t="inlineStr">
        <is>
          <t>03-001-0040-6004 BU-M</t>
        </is>
      </c>
      <c r="D91" s="5">
        <f>IF($I2="","",INDEX(Productos!$B:$B,$I2))</f>
        <v/>
      </c>
      <c r="E91" s="5">
        <f>IF($I2="","",INDEX(Productos!$H:$H,$I2))</f>
        <v/>
      </c>
      <c r="F91" s="5">
        <f>IF($I2="","",INDEX(Productos!$I:$I,$I2))</f>
        <v/>
      </c>
      <c r="G91" s="135" t="n">
        <v>10</v>
      </c>
      <c r="H91" s="5">
        <f>IF($I2="","",INDEX(Productos!$AG:$AG,$I2))</f>
        <v/>
      </c>
      <c r="I91" s="136">
        <f>LET(_xlpm.r,Productos!$E$2:$E$285,_xlpm.m,IFERROR(_xlfn.XMATCH(C91,_xlpm.r),IFERROR(_xlfn.XMATCH(VALUE(C91),_xlpm.r),0)),IF(_xlpm.m=0,"",_xlpm.m+1))</f>
        <v/>
      </c>
      <c r="J91" s="137" t="inlineStr">
        <is>
          <t>Odoo</t>
        </is>
      </c>
    </row>
    <row r="92">
      <c r="A92" s="5" t="inlineStr">
        <is>
          <t>Odoo Universal Unique Brands › Bodega 25 › Bodega 25/General</t>
        </is>
      </c>
      <c r="B92" s="5">
        <f>IF($I2="","",INDEX(Productos!$A:$A,$I2))</f>
        <v/>
      </c>
      <c r="C92" s="134" t="inlineStr">
        <is>
          <t>03-001-0040-6004 BU-S</t>
        </is>
      </c>
      <c r="D92" s="5">
        <f>IF($I2="","",INDEX(Productos!$B:$B,$I2))</f>
        <v/>
      </c>
      <c r="E92" s="5">
        <f>IF($I2="","",INDEX(Productos!$H:$H,$I2))</f>
        <v/>
      </c>
      <c r="F92" s="5">
        <f>IF($I2="","",INDEX(Productos!$I:$I,$I2))</f>
        <v/>
      </c>
      <c r="G92" s="135" t="n">
        <v>10</v>
      </c>
      <c r="H92" s="5">
        <f>IF($I2="","",INDEX(Productos!$AG:$AG,$I2))</f>
        <v/>
      </c>
      <c r="I92" s="136">
        <f>LET(_xlpm.r,Productos!$E$2:$E$285,_xlpm.m,IFERROR(_xlfn.XMATCH(C92,_xlpm.r),IFERROR(_xlfn.XMATCH(VALUE(C92),_xlpm.r),0)),IF(_xlpm.m=0,"",_xlpm.m+1))</f>
        <v/>
      </c>
      <c r="J92" s="137" t="inlineStr">
        <is>
          <t>Odoo</t>
        </is>
      </c>
    </row>
    <row r="93">
      <c r="A93" s="5" t="inlineStr">
        <is>
          <t>Odoo Universal Unique Brands › Bodega 25 › Bodega 25/General</t>
        </is>
      </c>
      <c r="B93" s="5">
        <f>IF($I2="","",INDEX(Productos!$A:$A,$I2))</f>
        <v/>
      </c>
      <c r="C93" s="134" t="inlineStr">
        <is>
          <t>03-001-0040-6004 BU-XL</t>
        </is>
      </c>
      <c r="D93" s="5">
        <f>IF($I2="","",INDEX(Productos!$B:$B,$I2))</f>
        <v/>
      </c>
      <c r="E93" s="5">
        <f>IF($I2="","",INDEX(Productos!$H:$H,$I2))</f>
        <v/>
      </c>
      <c r="F93" s="5">
        <f>IF($I2="","",INDEX(Productos!$I:$I,$I2))</f>
        <v/>
      </c>
      <c r="G93" s="135" t="n">
        <v>10</v>
      </c>
      <c r="H93" s="5">
        <f>IF($I2="","",INDEX(Productos!$AG:$AG,$I2))</f>
        <v/>
      </c>
      <c r="I93" s="136">
        <f>LET(_xlpm.r,Productos!$E$2:$E$285,_xlpm.m,IFERROR(_xlfn.XMATCH(C93,_xlpm.r),IFERROR(_xlfn.XMATCH(VALUE(C93),_xlpm.r),0)),IF(_xlpm.m=0,"",_xlpm.m+1))</f>
        <v/>
      </c>
      <c r="J93" s="137" t="inlineStr">
        <is>
          <t>Odoo</t>
        </is>
      </c>
    </row>
    <row r="94">
      <c r="A94" s="5" t="inlineStr">
        <is>
          <t>Odoo Universal Unique Brands › Bodega 25 › Bodega 25/General</t>
        </is>
      </c>
      <c r="B94" s="5">
        <f>IF($I2="","",INDEX(Productos!$A:$A,$I2))</f>
        <v/>
      </c>
      <c r="C94" s="134" t="inlineStr">
        <is>
          <t>03-001-0060-0712 BL-2XL</t>
        </is>
      </c>
      <c r="D94" s="5">
        <f>IF($I2="","",INDEX(Productos!$B:$B,$I2))</f>
        <v/>
      </c>
      <c r="E94" s="5">
        <f>IF($I2="","",INDEX(Productos!$H:$H,$I2))</f>
        <v/>
      </c>
      <c r="F94" s="5">
        <f>IF($I2="","",INDEX(Productos!$I:$I,$I2))</f>
        <v/>
      </c>
      <c r="G94" s="135" t="n">
        <v>2</v>
      </c>
      <c r="H94" s="5">
        <f>IF($I2="","",INDEX(Productos!$AG:$AG,$I2))</f>
        <v/>
      </c>
      <c r="I94" s="136">
        <f>LET(_xlpm.r,Productos!$E$2:$E$285,_xlpm.m,IFERROR(_xlfn.XMATCH(C94,_xlpm.r),IFERROR(_xlfn.XMATCH(VALUE(C94),_xlpm.r),0)),IF(_xlpm.m=0,"",_xlpm.m+1))</f>
        <v/>
      </c>
      <c r="J94" s="137" t="inlineStr">
        <is>
          <t>Odoo</t>
        </is>
      </c>
    </row>
    <row r="95">
      <c r="A95" s="5" t="inlineStr">
        <is>
          <t>Odoo Universal Unique Brands › Bodega 25 › Bodega 25/General</t>
        </is>
      </c>
      <c r="B95" s="5">
        <f>IF($I2="","",INDEX(Productos!$A:$A,$I2))</f>
        <v/>
      </c>
      <c r="C95" s="134" t="inlineStr">
        <is>
          <t>03-001-0060-0712 BL-L</t>
        </is>
      </c>
      <c r="D95" s="5">
        <f>IF($I2="","",INDEX(Productos!$B:$B,$I2))</f>
        <v/>
      </c>
      <c r="E95" s="5">
        <f>IF($I2="","",INDEX(Productos!$H:$H,$I2))</f>
        <v/>
      </c>
      <c r="F95" s="5">
        <f>IF($I2="","",INDEX(Productos!$I:$I,$I2))</f>
        <v/>
      </c>
      <c r="G95" s="135" t="n">
        <v>6</v>
      </c>
      <c r="H95" s="5">
        <f>IF($I2="","",INDEX(Productos!$AG:$AG,$I2))</f>
        <v/>
      </c>
      <c r="I95" s="136">
        <f>LET(_xlpm.r,Productos!$E$2:$E$285,_xlpm.m,IFERROR(_xlfn.XMATCH(C95,_xlpm.r),IFERROR(_xlfn.XMATCH(VALUE(C95),_xlpm.r),0)),IF(_xlpm.m=0,"",_xlpm.m+1))</f>
        <v/>
      </c>
      <c r="J95" s="137" t="inlineStr">
        <is>
          <t>Odoo</t>
        </is>
      </c>
    </row>
    <row r="96">
      <c r="A96" s="5" t="inlineStr">
        <is>
          <t>Odoo Universal Unique Brands › Bodega 25 › Bodega 25/General</t>
        </is>
      </c>
      <c r="B96" s="5">
        <f>IF($I2="","",INDEX(Productos!$A:$A,$I2))</f>
        <v/>
      </c>
      <c r="C96" s="134" t="inlineStr">
        <is>
          <t>03-001-0060-0712 BL-M</t>
        </is>
      </c>
      <c r="D96" s="5">
        <f>IF($I2="","",INDEX(Productos!$B:$B,$I2))</f>
        <v/>
      </c>
      <c r="E96" s="5">
        <f>IF($I2="","",INDEX(Productos!$H:$H,$I2))</f>
        <v/>
      </c>
      <c r="F96" s="5">
        <f>IF($I2="","",INDEX(Productos!$I:$I,$I2))</f>
        <v/>
      </c>
      <c r="G96" s="135" t="n">
        <v>7</v>
      </c>
      <c r="H96" s="5">
        <f>IF($I2="","",INDEX(Productos!$AG:$AG,$I2))</f>
        <v/>
      </c>
      <c r="I96" s="136">
        <f>LET(_xlpm.r,Productos!$E$2:$E$285,_xlpm.m,IFERROR(_xlfn.XMATCH(C96,_xlpm.r),IFERROR(_xlfn.XMATCH(VALUE(C96),_xlpm.r),0)),IF(_xlpm.m=0,"",_xlpm.m+1))</f>
        <v/>
      </c>
      <c r="J96" s="137" t="inlineStr">
        <is>
          <t>Odoo</t>
        </is>
      </c>
    </row>
    <row r="97">
      <c r="A97" s="5" t="inlineStr">
        <is>
          <t>Odoo Universal Unique Brands › Bodega 25 › Bodega 25/General</t>
        </is>
      </c>
      <c r="B97" s="5">
        <f>IF($I2="","",INDEX(Productos!$A:$A,$I2))</f>
        <v/>
      </c>
      <c r="C97" s="134" t="inlineStr">
        <is>
          <t>03-001-0060-0712 BL-S</t>
        </is>
      </c>
      <c r="D97" s="5">
        <f>IF($I2="","",INDEX(Productos!$B:$B,$I2))</f>
        <v/>
      </c>
      <c r="E97" s="5">
        <f>IF($I2="","",INDEX(Productos!$H:$H,$I2))</f>
        <v/>
      </c>
      <c r="F97" s="5">
        <f>IF($I2="","",INDEX(Productos!$I:$I,$I2))</f>
        <v/>
      </c>
      <c r="G97" s="135" t="n">
        <v>8</v>
      </c>
      <c r="H97" s="5">
        <f>IF($I2="","",INDEX(Productos!$AG:$AG,$I2))</f>
        <v/>
      </c>
      <c r="I97" s="136">
        <f>LET(_xlpm.r,Productos!$E$2:$E$285,_xlpm.m,IFERROR(_xlfn.XMATCH(C97,_xlpm.r),IFERROR(_xlfn.XMATCH(VALUE(C97),_xlpm.r),0)),IF(_xlpm.m=0,"",_xlpm.m+1))</f>
        <v/>
      </c>
      <c r="J97" s="137" t="inlineStr">
        <is>
          <t>Odoo</t>
        </is>
      </c>
    </row>
    <row r="98">
      <c r="A98" s="5" t="inlineStr">
        <is>
          <t>Odoo Universal Unique Brands › Bodega 25 › Bodega 25/General</t>
        </is>
      </c>
      <c r="B98" s="5">
        <f>IF($I2="","",INDEX(Productos!$A:$A,$I2))</f>
        <v/>
      </c>
      <c r="C98" s="134" t="inlineStr">
        <is>
          <t>03-001-0060-0712 BL-XL</t>
        </is>
      </c>
      <c r="D98" s="5">
        <f>IF($I2="","",INDEX(Productos!$B:$B,$I2))</f>
        <v/>
      </c>
      <c r="E98" s="5">
        <f>IF($I2="","",INDEX(Productos!$H:$H,$I2))</f>
        <v/>
      </c>
      <c r="F98" s="5">
        <f>IF($I2="","",INDEX(Productos!$I:$I,$I2))</f>
        <v/>
      </c>
      <c r="G98" s="135" t="n">
        <v>7</v>
      </c>
      <c r="H98" s="5">
        <f>IF($I2="","",INDEX(Productos!$AG:$AG,$I2))</f>
        <v/>
      </c>
      <c r="I98" s="136">
        <f>LET(_xlpm.r,Productos!$E$2:$E$285,_xlpm.m,IFERROR(_xlfn.XMATCH(C98,_xlpm.r),IFERROR(_xlfn.XMATCH(VALUE(C98),_xlpm.r),0)),IF(_xlpm.m=0,"",_xlpm.m+1))</f>
        <v/>
      </c>
      <c r="J98" s="137" t="inlineStr">
        <is>
          <t>Odoo</t>
        </is>
      </c>
    </row>
    <row r="99">
      <c r="A99" s="5" t="inlineStr">
        <is>
          <t>Odoo Universal Unique Brands › Bodega 25 › Bodega 25/General</t>
        </is>
      </c>
      <c r="B99" s="5">
        <f>IF($I2="","",INDEX(Productos!$A:$A,$I2))</f>
        <v/>
      </c>
      <c r="C99" s="134" t="inlineStr">
        <is>
          <t>03-001-0060-0713 WI-2XL</t>
        </is>
      </c>
      <c r="D99" s="5">
        <f>IF($I2="","",INDEX(Productos!$B:$B,$I2))</f>
        <v/>
      </c>
      <c r="E99" s="5">
        <f>IF($I2="","",INDEX(Productos!$H:$H,$I2))</f>
        <v/>
      </c>
      <c r="F99" s="5">
        <f>IF($I2="","",INDEX(Productos!$I:$I,$I2))</f>
        <v/>
      </c>
      <c r="G99" s="135" t="n">
        <v>2</v>
      </c>
      <c r="H99" s="5">
        <f>IF($I2="","",INDEX(Productos!$AG:$AG,$I2))</f>
        <v/>
      </c>
      <c r="I99" s="136">
        <f>LET(_xlpm.r,Productos!$E$2:$E$285,_xlpm.m,IFERROR(_xlfn.XMATCH(C99,_xlpm.r),IFERROR(_xlfn.XMATCH(VALUE(C99),_xlpm.r),0)),IF(_xlpm.m=0,"",_xlpm.m+1))</f>
        <v/>
      </c>
      <c r="J99" s="137" t="inlineStr">
        <is>
          <t>Odoo</t>
        </is>
      </c>
    </row>
    <row r="100">
      <c r="A100" s="5" t="inlineStr">
        <is>
          <t>Odoo Universal Unique Brands › Bodega 25 › Bodega 25/General</t>
        </is>
      </c>
      <c r="B100" s="5">
        <f>IF($I2="","",INDEX(Productos!$A:$A,$I2))</f>
        <v/>
      </c>
      <c r="C100" s="134" t="inlineStr">
        <is>
          <t>03-001-0060-0713 WI-L</t>
        </is>
      </c>
      <c r="D100" s="5">
        <f>IF($I2="","",INDEX(Productos!$B:$B,$I2))</f>
        <v/>
      </c>
      <c r="E100" s="5">
        <f>IF($I2="","",INDEX(Productos!$H:$H,$I2))</f>
        <v/>
      </c>
      <c r="F100" s="5">
        <f>IF($I2="","",INDEX(Productos!$I:$I,$I2))</f>
        <v/>
      </c>
      <c r="G100" s="135" t="n">
        <v>10</v>
      </c>
      <c r="H100" s="5">
        <f>IF($I2="","",INDEX(Productos!$AG:$AG,$I2))</f>
        <v/>
      </c>
      <c r="I100" s="136">
        <f>LET(_xlpm.r,Productos!$E$2:$E$285,_xlpm.m,IFERROR(_xlfn.XMATCH(C100,_xlpm.r),IFERROR(_xlfn.XMATCH(VALUE(C100),_xlpm.r),0)),IF(_xlpm.m=0,"",_xlpm.m+1))</f>
        <v/>
      </c>
      <c r="J100" s="137" t="inlineStr">
        <is>
          <t>Odoo</t>
        </is>
      </c>
    </row>
    <row r="101">
      <c r="A101" s="5" t="inlineStr">
        <is>
          <t>Odoo Universal Unique Brands › Bodega 25 › Bodega 25/General</t>
        </is>
      </c>
      <c r="B101" s="5">
        <f>IF($I2="","",INDEX(Productos!$A:$A,$I2))</f>
        <v/>
      </c>
      <c r="C101" s="134" t="inlineStr">
        <is>
          <t>03-001-0060-0713 WI-M</t>
        </is>
      </c>
      <c r="D101" s="5">
        <f>IF($I2="","",INDEX(Productos!$B:$B,$I2))</f>
        <v/>
      </c>
      <c r="E101" s="5">
        <f>IF($I2="","",INDEX(Productos!$H:$H,$I2))</f>
        <v/>
      </c>
      <c r="F101" s="5">
        <f>IF($I2="","",INDEX(Productos!$I:$I,$I2))</f>
        <v/>
      </c>
      <c r="G101" s="135" t="n">
        <v>12</v>
      </c>
      <c r="H101" s="5">
        <f>IF($I2="","",INDEX(Productos!$AG:$AG,$I2))</f>
        <v/>
      </c>
      <c r="I101" s="136">
        <f>LET(_xlpm.r,Productos!$E$2:$E$285,_xlpm.m,IFERROR(_xlfn.XMATCH(C101,_xlpm.r),IFERROR(_xlfn.XMATCH(VALUE(C101),_xlpm.r),0)),IF(_xlpm.m=0,"",_xlpm.m+1))</f>
        <v/>
      </c>
      <c r="J101" s="137" t="inlineStr">
        <is>
          <t>Odoo</t>
        </is>
      </c>
    </row>
    <row r="102">
      <c r="A102" s="5" t="inlineStr">
        <is>
          <t>Odoo Universal Unique Brands › Bodega 25 › Bodega 25/General</t>
        </is>
      </c>
      <c r="B102" s="5">
        <f>IF($I2="","",INDEX(Productos!$A:$A,$I2))</f>
        <v/>
      </c>
      <c r="C102" s="134" t="inlineStr">
        <is>
          <t>03-001-0060-0713 WI-S</t>
        </is>
      </c>
      <c r="D102" s="5">
        <f>IF($I2="","",INDEX(Productos!$B:$B,$I2))</f>
        <v/>
      </c>
      <c r="E102" s="5">
        <f>IF($I2="","",INDEX(Productos!$H:$H,$I2))</f>
        <v/>
      </c>
      <c r="F102" s="5">
        <f>IF($I2="","",INDEX(Productos!$I:$I,$I2))</f>
        <v/>
      </c>
      <c r="G102" s="135" t="n">
        <v>13</v>
      </c>
      <c r="H102" s="5">
        <f>IF($I2="","",INDEX(Productos!$AG:$AG,$I2))</f>
        <v/>
      </c>
      <c r="I102" s="136">
        <f>LET(_xlpm.r,Productos!$E$2:$E$285,_xlpm.m,IFERROR(_xlfn.XMATCH(C102,_xlpm.r),IFERROR(_xlfn.XMATCH(VALUE(C102),_xlpm.r),0)),IF(_xlpm.m=0,"",_xlpm.m+1))</f>
        <v/>
      </c>
      <c r="J102" s="137" t="inlineStr">
        <is>
          <t>Odoo</t>
        </is>
      </c>
    </row>
    <row r="103">
      <c r="A103" s="5" t="inlineStr">
        <is>
          <t>Odoo Universal Unique Brands › Bodega 25 › Bodega 25/General</t>
        </is>
      </c>
      <c r="B103" s="5">
        <f>IF($I2="","",INDEX(Productos!$A:$A,$I2))</f>
        <v/>
      </c>
      <c r="C103" s="134" t="inlineStr">
        <is>
          <t>03-001-0060-0713 WI-XL</t>
        </is>
      </c>
      <c r="D103" s="5">
        <f>IF($I2="","",INDEX(Productos!$B:$B,$I2))</f>
        <v/>
      </c>
      <c r="E103" s="5">
        <f>IF($I2="","",INDEX(Productos!$H:$H,$I2))</f>
        <v/>
      </c>
      <c r="F103" s="5">
        <f>IF($I2="","",INDEX(Productos!$I:$I,$I2))</f>
        <v/>
      </c>
      <c r="G103" s="135" t="n">
        <v>12</v>
      </c>
      <c r="H103" s="5">
        <f>IF($I2="","",INDEX(Productos!$AG:$AG,$I2))</f>
        <v/>
      </c>
      <c r="I103" s="136">
        <f>LET(_xlpm.r,Productos!$E$2:$E$285,_xlpm.m,IFERROR(_xlfn.XMATCH(C103,_xlpm.r),IFERROR(_xlfn.XMATCH(VALUE(C103),_xlpm.r),0)),IF(_xlpm.m=0,"",_xlpm.m+1))</f>
        <v/>
      </c>
      <c r="J103" s="137" t="inlineStr">
        <is>
          <t>Odoo</t>
        </is>
      </c>
    </row>
    <row r="104">
      <c r="A104" s="5" t="inlineStr">
        <is>
          <t>Odoo Universal Unique Brands › Bodega 25 › Bodega 25/General</t>
        </is>
      </c>
      <c r="B104" s="5">
        <f>IF($I2="","",INDEX(Productos!$A:$A,$I2))</f>
        <v/>
      </c>
      <c r="C104" s="134" t="inlineStr">
        <is>
          <t>03-001-0062-0709 BR-L</t>
        </is>
      </c>
      <c r="D104" s="5">
        <f>IF($I2="","",INDEX(Productos!$B:$B,$I2))</f>
        <v/>
      </c>
      <c r="E104" s="5">
        <f>IF($I2="","",INDEX(Productos!$H:$H,$I2))</f>
        <v/>
      </c>
      <c r="F104" s="5">
        <f>IF($I2="","",INDEX(Productos!$I:$I,$I2))</f>
        <v/>
      </c>
      <c r="G104" s="135" t="n">
        <v>4</v>
      </c>
      <c r="H104" s="5">
        <f>IF($I2="","",INDEX(Productos!$AG:$AG,$I2))</f>
        <v/>
      </c>
      <c r="I104" s="136">
        <f>LET(_xlpm.r,Productos!$E$2:$E$285,_xlpm.m,IFERROR(_xlfn.XMATCH(C104,_xlpm.r),IFERROR(_xlfn.XMATCH(VALUE(C104),_xlpm.r),0)),IF(_xlpm.m=0,"",_xlpm.m+1))</f>
        <v/>
      </c>
      <c r="J104" s="137" t="inlineStr">
        <is>
          <t>Odoo</t>
        </is>
      </c>
    </row>
    <row r="105">
      <c r="A105" s="5" t="inlineStr">
        <is>
          <t>Odoo Universal Unique Brands › Bodega 25 › Bodega 25/General</t>
        </is>
      </c>
      <c r="B105" s="5">
        <f>IF($I2="","",INDEX(Productos!$A:$A,$I2))</f>
        <v/>
      </c>
      <c r="C105" s="134" t="inlineStr">
        <is>
          <t>03-001-0062-0709 BR-M</t>
        </is>
      </c>
      <c r="D105" s="5">
        <f>IF($I2="","",INDEX(Productos!$B:$B,$I2))</f>
        <v/>
      </c>
      <c r="E105" s="5">
        <f>IF($I2="","",INDEX(Productos!$H:$H,$I2))</f>
        <v/>
      </c>
      <c r="F105" s="5">
        <f>IF($I2="","",INDEX(Productos!$I:$I,$I2))</f>
        <v/>
      </c>
      <c r="G105" s="135" t="n">
        <v>8</v>
      </c>
      <c r="H105" s="5">
        <f>IF($I2="","",INDEX(Productos!$AG:$AG,$I2))</f>
        <v/>
      </c>
      <c r="I105" s="136">
        <f>LET(_xlpm.r,Productos!$E$2:$E$285,_xlpm.m,IFERROR(_xlfn.XMATCH(C105,_xlpm.r),IFERROR(_xlfn.XMATCH(VALUE(C105),_xlpm.r),0)),IF(_xlpm.m=0,"",_xlpm.m+1))</f>
        <v/>
      </c>
      <c r="J105" s="137" t="inlineStr">
        <is>
          <t>Odoo</t>
        </is>
      </c>
    </row>
    <row r="106">
      <c r="A106" s="5" t="inlineStr">
        <is>
          <t>Odoo Universal Unique Brands › Bodega 25 › Bodega 25/General</t>
        </is>
      </c>
      <c r="B106" s="5">
        <f>IF($I2="","",INDEX(Productos!$A:$A,$I2))</f>
        <v/>
      </c>
      <c r="C106" s="134" t="inlineStr">
        <is>
          <t>03-001-0062-0709 BR-S</t>
        </is>
      </c>
      <c r="D106" s="5">
        <f>IF($I2="","",INDEX(Productos!$B:$B,$I2))</f>
        <v/>
      </c>
      <c r="E106" s="5">
        <f>IF($I2="","",INDEX(Productos!$H:$H,$I2))</f>
        <v/>
      </c>
      <c r="F106" s="5">
        <f>IF($I2="","",INDEX(Productos!$I:$I,$I2))</f>
        <v/>
      </c>
      <c r="G106" s="135" t="n">
        <v>5</v>
      </c>
      <c r="H106" s="5">
        <f>IF($I2="","",INDEX(Productos!$AG:$AG,$I2))</f>
        <v/>
      </c>
      <c r="I106" s="136">
        <f>LET(_xlpm.r,Productos!$E$2:$E$285,_xlpm.m,IFERROR(_xlfn.XMATCH(C106,_xlpm.r),IFERROR(_xlfn.XMATCH(VALUE(C106),_xlpm.r),0)),IF(_xlpm.m=0,"",_xlpm.m+1))</f>
        <v/>
      </c>
      <c r="J106" s="137" t="inlineStr">
        <is>
          <t>Odoo</t>
        </is>
      </c>
    </row>
    <row r="107">
      <c r="A107" s="5" t="inlineStr">
        <is>
          <t>Odoo Universal Unique Brands › Bodega 25 › Bodega 25/General</t>
        </is>
      </c>
      <c r="B107" s="5">
        <f>IF($I2="","",INDEX(Productos!$A:$A,$I2))</f>
        <v/>
      </c>
      <c r="C107" s="134" t="inlineStr">
        <is>
          <t>03-001-0062-0709 BR-XL</t>
        </is>
      </c>
      <c r="D107" s="5">
        <f>IF($I2="","",INDEX(Productos!$B:$B,$I2))</f>
        <v/>
      </c>
      <c r="E107" s="5">
        <f>IF($I2="","",INDEX(Productos!$H:$H,$I2))</f>
        <v/>
      </c>
      <c r="F107" s="5">
        <f>IF($I2="","",INDEX(Productos!$I:$I,$I2))</f>
        <v/>
      </c>
      <c r="G107" s="135" t="n">
        <v>7</v>
      </c>
      <c r="H107" s="5">
        <f>IF($I2="","",INDEX(Productos!$AG:$AG,$I2))</f>
        <v/>
      </c>
      <c r="I107" s="136">
        <f>LET(_xlpm.r,Productos!$E$2:$E$285,_xlpm.m,IFERROR(_xlfn.XMATCH(C107,_xlpm.r),IFERROR(_xlfn.XMATCH(VALUE(C107),_xlpm.r),0)),IF(_xlpm.m=0,"",_xlpm.m+1))</f>
        <v/>
      </c>
      <c r="J107" s="137" t="inlineStr">
        <is>
          <t>Odoo</t>
        </is>
      </c>
    </row>
    <row r="108">
      <c r="A108" s="5" t="inlineStr">
        <is>
          <t>Odoo Universal Unique Brands › Bodega 25 › Bodega 25/General</t>
        </is>
      </c>
      <c r="B108" s="5">
        <f>IF($I2="","",INDEX(Productos!$A:$A,$I2))</f>
        <v/>
      </c>
      <c r="C108" s="134" t="inlineStr">
        <is>
          <t>03-001-0062-0711 GR-2XL</t>
        </is>
      </c>
      <c r="D108" s="5">
        <f>IF($I2="","",INDEX(Productos!$B:$B,$I2))</f>
        <v/>
      </c>
      <c r="E108" s="5">
        <f>IF($I2="","",INDEX(Productos!$H:$H,$I2))</f>
        <v/>
      </c>
      <c r="F108" s="5">
        <f>IF($I2="","",INDEX(Productos!$I:$I,$I2))</f>
        <v/>
      </c>
      <c r="G108" s="135" t="n">
        <v>4</v>
      </c>
      <c r="H108" s="5">
        <f>IF($I2="","",INDEX(Productos!$AG:$AG,$I2))</f>
        <v/>
      </c>
      <c r="I108" s="136">
        <f>LET(_xlpm.r,Productos!$E$2:$E$285,_xlpm.m,IFERROR(_xlfn.XMATCH(C108,_xlpm.r),IFERROR(_xlfn.XMATCH(VALUE(C108),_xlpm.r),0)),IF(_xlpm.m=0,"",_xlpm.m+1))</f>
        <v/>
      </c>
      <c r="J108" s="137" t="inlineStr">
        <is>
          <t>Odoo</t>
        </is>
      </c>
    </row>
    <row r="109">
      <c r="A109" s="5" t="inlineStr">
        <is>
          <t>Odoo Universal Unique Brands › Bodega 25 › Bodega 25/General</t>
        </is>
      </c>
      <c r="B109" s="5">
        <f>IF($I2="","",INDEX(Productos!$A:$A,$I2))</f>
        <v/>
      </c>
      <c r="C109" s="134" t="inlineStr">
        <is>
          <t>03-001-0062-0711 GR-L</t>
        </is>
      </c>
      <c r="D109" s="5">
        <f>IF($I2="","",INDEX(Productos!$B:$B,$I2))</f>
        <v/>
      </c>
      <c r="E109" s="5">
        <f>IF($I2="","",INDEX(Productos!$H:$H,$I2))</f>
        <v/>
      </c>
      <c r="F109" s="5">
        <f>IF($I2="","",INDEX(Productos!$I:$I,$I2))</f>
        <v/>
      </c>
      <c r="G109" s="135" t="n">
        <v>4</v>
      </c>
      <c r="H109" s="5">
        <f>IF($I2="","",INDEX(Productos!$AG:$AG,$I2))</f>
        <v/>
      </c>
      <c r="I109" s="136">
        <f>LET(_xlpm.r,Productos!$E$2:$E$285,_xlpm.m,IFERROR(_xlfn.XMATCH(C109,_xlpm.r),IFERROR(_xlfn.XMATCH(VALUE(C109),_xlpm.r),0)),IF(_xlpm.m=0,"",_xlpm.m+1))</f>
        <v/>
      </c>
      <c r="J109" s="137" t="inlineStr">
        <is>
          <t>Odoo</t>
        </is>
      </c>
    </row>
    <row r="110">
      <c r="A110" s="5" t="inlineStr">
        <is>
          <t>Odoo Universal Unique Brands › Bodega 25 › Bodega 25/General</t>
        </is>
      </c>
      <c r="B110" s="5">
        <f>IF($I2="","",INDEX(Productos!$A:$A,$I2))</f>
        <v/>
      </c>
      <c r="C110" s="134" t="inlineStr">
        <is>
          <t>03-001-0062-0711 GR-M</t>
        </is>
      </c>
      <c r="D110" s="5">
        <f>IF($I2="","",INDEX(Productos!$B:$B,$I2))</f>
        <v/>
      </c>
      <c r="E110" s="5">
        <f>IF($I2="","",INDEX(Productos!$H:$H,$I2))</f>
        <v/>
      </c>
      <c r="F110" s="5">
        <f>IF($I2="","",INDEX(Productos!$I:$I,$I2))</f>
        <v/>
      </c>
      <c r="G110" s="135" t="n">
        <v>5</v>
      </c>
      <c r="H110" s="5">
        <f>IF($I2="","",INDEX(Productos!$AG:$AG,$I2))</f>
        <v/>
      </c>
      <c r="I110" s="136">
        <f>LET(_xlpm.r,Productos!$E$2:$E$285,_xlpm.m,IFERROR(_xlfn.XMATCH(C110,_xlpm.r),IFERROR(_xlfn.XMATCH(VALUE(C110),_xlpm.r),0)),IF(_xlpm.m=0,"",_xlpm.m+1))</f>
        <v/>
      </c>
      <c r="J110" s="137" t="inlineStr">
        <is>
          <t>Odoo</t>
        </is>
      </c>
    </row>
    <row r="111">
      <c r="A111" s="5" t="inlineStr">
        <is>
          <t>Odoo Universal Unique Brands › Bodega 25 › Bodega 25/General</t>
        </is>
      </c>
      <c r="B111" s="5">
        <f>IF($I2="","",INDEX(Productos!$A:$A,$I2))</f>
        <v/>
      </c>
      <c r="C111" s="134" t="inlineStr">
        <is>
          <t>03-001-0062-0711 GR-S</t>
        </is>
      </c>
      <c r="D111" s="5">
        <f>IF($I2="","",INDEX(Productos!$B:$B,$I2))</f>
        <v/>
      </c>
      <c r="E111" s="5">
        <f>IF($I2="","",INDEX(Productos!$H:$H,$I2))</f>
        <v/>
      </c>
      <c r="F111" s="5">
        <f>IF($I2="","",INDEX(Productos!$I:$I,$I2))</f>
        <v/>
      </c>
      <c r="G111" s="135" t="n">
        <v>2</v>
      </c>
      <c r="H111" s="5">
        <f>IF($I2="","",INDEX(Productos!$AG:$AG,$I2))</f>
        <v/>
      </c>
      <c r="I111" s="136">
        <f>LET(_xlpm.r,Productos!$E$2:$E$285,_xlpm.m,IFERROR(_xlfn.XMATCH(C111,_xlpm.r),IFERROR(_xlfn.XMATCH(VALUE(C111),_xlpm.r),0)),IF(_xlpm.m=0,"",_xlpm.m+1))</f>
        <v/>
      </c>
      <c r="J111" s="137" t="inlineStr">
        <is>
          <t>Odoo</t>
        </is>
      </c>
    </row>
    <row r="112">
      <c r="A112" s="5" t="inlineStr">
        <is>
          <t>Odoo Universal Unique Brands › Bodega 25 › Bodega 25/General</t>
        </is>
      </c>
      <c r="B112" s="5">
        <f>IF($I2="","",INDEX(Productos!$A:$A,$I2))</f>
        <v/>
      </c>
      <c r="C112" s="134" t="inlineStr">
        <is>
          <t>03-001-0062-0711 GR-XL</t>
        </is>
      </c>
      <c r="D112" s="5">
        <f>IF($I2="","",INDEX(Productos!$B:$B,$I2))</f>
        <v/>
      </c>
      <c r="E112" s="5">
        <f>IF($I2="","",INDEX(Productos!$H:$H,$I2))</f>
        <v/>
      </c>
      <c r="F112" s="5">
        <f>IF($I2="","",INDEX(Productos!$I:$I,$I2))</f>
        <v/>
      </c>
      <c r="G112" s="135" t="n">
        <v>5</v>
      </c>
      <c r="H112" s="5">
        <f>IF($I2="","",INDEX(Productos!$AG:$AG,$I2))</f>
        <v/>
      </c>
      <c r="I112" s="136">
        <f>LET(_xlpm.r,Productos!$E$2:$E$285,_xlpm.m,IFERROR(_xlfn.XMATCH(C112,_xlpm.r),IFERROR(_xlfn.XMATCH(VALUE(C112),_xlpm.r),0)),IF(_xlpm.m=0,"",_xlpm.m+1))</f>
        <v/>
      </c>
      <c r="J112" s="137" t="inlineStr">
        <is>
          <t>Odoo</t>
        </is>
      </c>
    </row>
    <row r="113">
      <c r="A113" s="5" t="inlineStr">
        <is>
          <t>Odoo Universal Unique Brands › Bodega 25 › Bodega 25/General</t>
        </is>
      </c>
      <c r="B113" s="5">
        <f>IF($I2="","",INDEX(Productos!$A:$A,$I2))</f>
        <v/>
      </c>
      <c r="C113" s="134" t="inlineStr">
        <is>
          <t>03-001-0064-0733 BU-M</t>
        </is>
      </c>
      <c r="D113" s="5">
        <f>IF($I2="","",INDEX(Productos!$B:$B,$I2))</f>
        <v/>
      </c>
      <c r="E113" s="5">
        <f>IF($I2="","",INDEX(Productos!$H:$H,$I2))</f>
        <v/>
      </c>
      <c r="F113" s="5">
        <f>IF($I2="","",INDEX(Productos!$I:$I,$I2))</f>
        <v/>
      </c>
      <c r="G113" s="135" t="n">
        <v>1</v>
      </c>
      <c r="H113" s="5">
        <f>IF($I2="","",INDEX(Productos!$AG:$AG,$I2))</f>
        <v/>
      </c>
      <c r="I113" s="136">
        <f>LET(_xlpm.r,Productos!$E$2:$E$285,_xlpm.m,IFERROR(_xlfn.XMATCH(C113,_xlpm.r),IFERROR(_xlfn.XMATCH(VALUE(C113),_xlpm.r),0)),IF(_xlpm.m=0,"",_xlpm.m+1))</f>
        <v/>
      </c>
      <c r="J113" s="137" t="inlineStr">
        <is>
          <t>Odoo</t>
        </is>
      </c>
    </row>
    <row r="114">
      <c r="A114" s="5" t="inlineStr">
        <is>
          <t>Odoo Universal Unique Brands › Bodega 25 › Bodega 25/General</t>
        </is>
      </c>
      <c r="B114" s="5">
        <f>IF($I2="","",INDEX(Productos!$A:$A,$I2))</f>
        <v/>
      </c>
      <c r="C114" s="134" t="inlineStr">
        <is>
          <t>03-001-0067-0740 BU-L</t>
        </is>
      </c>
      <c r="D114" s="5">
        <f>IF($I2="","",INDEX(Productos!$B:$B,$I2))</f>
        <v/>
      </c>
      <c r="E114" s="5">
        <f>IF($I2="","",INDEX(Productos!$H:$H,$I2))</f>
        <v/>
      </c>
      <c r="F114" s="5">
        <f>IF($I2="","",INDEX(Productos!$I:$I,$I2))</f>
        <v/>
      </c>
      <c r="G114" s="135" t="n">
        <v>5</v>
      </c>
      <c r="H114" s="5">
        <f>IF($I2="","",INDEX(Productos!$AG:$AG,$I2))</f>
        <v/>
      </c>
      <c r="I114" s="136">
        <f>LET(_xlpm.r,Productos!$E$2:$E$285,_xlpm.m,IFERROR(_xlfn.XMATCH(C114,_xlpm.r),IFERROR(_xlfn.XMATCH(VALUE(C114),_xlpm.r),0)),IF(_xlpm.m=0,"",_xlpm.m+1))</f>
        <v/>
      </c>
      <c r="J114" s="137" t="inlineStr">
        <is>
          <t>Odoo</t>
        </is>
      </c>
    </row>
    <row r="115">
      <c r="A115" s="5" t="inlineStr">
        <is>
          <t>Odoo Universal Unique Brands › Bodega 25 › Bodega 25/General</t>
        </is>
      </c>
      <c r="B115" s="5">
        <f>IF($I2="","",INDEX(Productos!$A:$A,$I2))</f>
        <v/>
      </c>
      <c r="C115" s="134" t="inlineStr">
        <is>
          <t>03-001-0067-0740 BU-M</t>
        </is>
      </c>
      <c r="D115" s="5">
        <f>IF($I2="","",INDEX(Productos!$B:$B,$I2))</f>
        <v/>
      </c>
      <c r="E115" s="5">
        <f>IF($I2="","",INDEX(Productos!$H:$H,$I2))</f>
        <v/>
      </c>
      <c r="F115" s="5">
        <f>IF($I2="","",INDEX(Productos!$I:$I,$I2))</f>
        <v/>
      </c>
      <c r="G115" s="135" t="n">
        <v>5</v>
      </c>
      <c r="H115" s="5">
        <f>IF($I2="","",INDEX(Productos!$AG:$AG,$I2))</f>
        <v/>
      </c>
      <c r="I115" s="136">
        <f>LET(_xlpm.r,Productos!$E$2:$E$285,_xlpm.m,IFERROR(_xlfn.XMATCH(C115,_xlpm.r),IFERROR(_xlfn.XMATCH(VALUE(C115),_xlpm.r),0)),IF(_xlpm.m=0,"",_xlpm.m+1))</f>
        <v/>
      </c>
      <c r="J115" s="137" t="inlineStr">
        <is>
          <t>Odoo</t>
        </is>
      </c>
    </row>
    <row r="116">
      <c r="A116" s="5" t="inlineStr">
        <is>
          <t>Odoo Universal Unique Brands › Bodega 25 › Bodega 25/General</t>
        </is>
      </c>
      <c r="B116" s="5">
        <f>IF($I2="","",INDEX(Productos!$A:$A,$I2))</f>
        <v/>
      </c>
      <c r="C116" s="134" t="inlineStr">
        <is>
          <t>03-001-0067-0740 BU-S</t>
        </is>
      </c>
      <c r="D116" s="5">
        <f>IF($I2="","",INDEX(Productos!$B:$B,$I2))</f>
        <v/>
      </c>
      <c r="E116" s="5">
        <f>IF($I2="","",INDEX(Productos!$H:$H,$I2))</f>
        <v/>
      </c>
      <c r="F116" s="5">
        <f>IF($I2="","",INDEX(Productos!$I:$I,$I2))</f>
        <v/>
      </c>
      <c r="G116" s="135" t="n">
        <v>5</v>
      </c>
      <c r="H116" s="5">
        <f>IF($I2="","",INDEX(Productos!$AG:$AG,$I2))</f>
        <v/>
      </c>
      <c r="I116" s="136">
        <f>LET(_xlpm.r,Productos!$E$2:$E$285,_xlpm.m,IFERROR(_xlfn.XMATCH(C116,_xlpm.r),IFERROR(_xlfn.XMATCH(VALUE(C116),_xlpm.r),0)),IF(_xlpm.m=0,"",_xlpm.m+1))</f>
        <v/>
      </c>
      <c r="J116" s="137" t="inlineStr">
        <is>
          <t>Odoo</t>
        </is>
      </c>
    </row>
    <row r="117">
      <c r="A117" s="5" t="inlineStr">
        <is>
          <t>Odoo Universal Unique Brands › Bodega 25 › Bodega 25/General</t>
        </is>
      </c>
      <c r="B117" s="5">
        <f>IF($I2="","",INDEX(Productos!$A:$A,$I2))</f>
        <v/>
      </c>
      <c r="C117" s="134" t="inlineStr">
        <is>
          <t>03-001-0067-0740 BU-XL</t>
        </is>
      </c>
      <c r="D117" s="5">
        <f>IF($I2="","",INDEX(Productos!$B:$B,$I2))</f>
        <v/>
      </c>
      <c r="E117" s="5">
        <f>IF($I2="","",INDEX(Productos!$H:$H,$I2))</f>
        <v/>
      </c>
      <c r="F117" s="5">
        <f>IF($I2="","",INDEX(Productos!$I:$I,$I2))</f>
        <v/>
      </c>
      <c r="G117" s="135" t="n">
        <v>5</v>
      </c>
      <c r="H117" s="5">
        <f>IF($I2="","",INDEX(Productos!$AG:$AG,$I2))</f>
        <v/>
      </c>
      <c r="I117" s="136">
        <f>LET(_xlpm.r,Productos!$E$2:$E$285,_xlpm.m,IFERROR(_xlfn.XMATCH(C117,_xlpm.r),IFERROR(_xlfn.XMATCH(VALUE(C117),_xlpm.r),0)),IF(_xlpm.m=0,"",_xlpm.m+1))</f>
        <v/>
      </c>
      <c r="J117" s="137" t="inlineStr">
        <is>
          <t>Odoo</t>
        </is>
      </c>
    </row>
    <row r="118">
      <c r="A118" s="5" t="inlineStr">
        <is>
          <t>Odoo Universal Unique Brands › Bodega 25 › Bodega 25/General</t>
        </is>
      </c>
      <c r="B118" s="5">
        <f>IF($I2="","",INDEX(Productos!$A:$A,$I2))</f>
        <v/>
      </c>
      <c r="C118" s="134" t="inlineStr">
        <is>
          <t>03-001-0067-0742 BR-L</t>
        </is>
      </c>
      <c r="D118" s="5">
        <f>IF($I2="","",INDEX(Productos!$B:$B,$I2))</f>
        <v/>
      </c>
      <c r="E118" s="5">
        <f>IF($I2="","",INDEX(Productos!$H:$H,$I2))</f>
        <v/>
      </c>
      <c r="F118" s="5">
        <f>IF($I2="","",INDEX(Productos!$I:$I,$I2))</f>
        <v/>
      </c>
      <c r="G118" s="135" t="n">
        <v>20</v>
      </c>
      <c r="H118" s="5">
        <f>IF($I2="","",INDEX(Productos!$AG:$AG,$I2))</f>
        <v/>
      </c>
      <c r="I118" s="136">
        <f>LET(_xlpm.r,Productos!$E$2:$E$285,_xlpm.m,IFERROR(_xlfn.XMATCH(C118,_xlpm.r),IFERROR(_xlfn.XMATCH(VALUE(C118),_xlpm.r),0)),IF(_xlpm.m=0,"",_xlpm.m+1))</f>
        <v/>
      </c>
      <c r="J118" s="137" t="inlineStr">
        <is>
          <t>Odoo</t>
        </is>
      </c>
    </row>
    <row r="119">
      <c r="A119" s="5" t="inlineStr">
        <is>
          <t>Odoo Universal Unique Brands › Bodega 25 › Bodega 25/General</t>
        </is>
      </c>
      <c r="B119" s="5">
        <f>IF($I2="","",INDEX(Productos!$A:$A,$I2))</f>
        <v/>
      </c>
      <c r="C119" s="134" t="inlineStr">
        <is>
          <t>03-001-0067-0742 BR-M</t>
        </is>
      </c>
      <c r="D119" s="5">
        <f>IF($I2="","",INDEX(Productos!$B:$B,$I2))</f>
        <v/>
      </c>
      <c r="E119" s="5">
        <f>IF($I2="","",INDEX(Productos!$H:$H,$I2))</f>
        <v/>
      </c>
      <c r="F119" s="5">
        <f>IF($I2="","",INDEX(Productos!$I:$I,$I2))</f>
        <v/>
      </c>
      <c r="G119" s="135" t="n">
        <v>17</v>
      </c>
      <c r="H119" s="5">
        <f>IF($I2="","",INDEX(Productos!$AG:$AG,$I2))</f>
        <v/>
      </c>
      <c r="I119" s="136">
        <f>LET(_xlpm.r,Productos!$E$2:$E$285,_xlpm.m,IFERROR(_xlfn.XMATCH(C119,_xlpm.r),IFERROR(_xlfn.XMATCH(VALUE(C119),_xlpm.r),0)),IF(_xlpm.m=0,"",_xlpm.m+1))</f>
        <v/>
      </c>
      <c r="J119" s="137" t="inlineStr">
        <is>
          <t>Odoo</t>
        </is>
      </c>
    </row>
    <row r="120">
      <c r="A120" s="5" t="inlineStr">
        <is>
          <t>Odoo Universal Unique Brands › Bodega 25 › Bodega 25/General</t>
        </is>
      </c>
      <c r="B120" s="5">
        <f>IF($I2="","",INDEX(Productos!$A:$A,$I2))</f>
        <v/>
      </c>
      <c r="C120" s="134" t="inlineStr">
        <is>
          <t>03-001-0067-0742 BR-S</t>
        </is>
      </c>
      <c r="D120" s="5">
        <f>IF($I2="","",INDEX(Productos!$B:$B,$I2))</f>
        <v/>
      </c>
      <c r="E120" s="5">
        <f>IF($I2="","",INDEX(Productos!$H:$H,$I2))</f>
        <v/>
      </c>
      <c r="F120" s="5">
        <f>IF($I2="","",INDEX(Productos!$I:$I,$I2))</f>
        <v/>
      </c>
      <c r="G120" s="135" t="n">
        <v>14</v>
      </c>
      <c r="H120" s="5">
        <f>IF($I2="","",INDEX(Productos!$AG:$AG,$I2))</f>
        <v/>
      </c>
      <c r="I120" s="136">
        <f>LET(_xlpm.r,Productos!$E$2:$E$285,_xlpm.m,IFERROR(_xlfn.XMATCH(C120,_xlpm.r),IFERROR(_xlfn.XMATCH(VALUE(C120),_xlpm.r),0)),IF(_xlpm.m=0,"",_xlpm.m+1))</f>
        <v/>
      </c>
      <c r="J120" s="137" t="inlineStr">
        <is>
          <t>Odoo</t>
        </is>
      </c>
    </row>
    <row r="121">
      <c r="A121" s="5" t="inlineStr">
        <is>
          <t>Odoo Universal Unique Brands › Bodega 25 › Bodega 25/General</t>
        </is>
      </c>
      <c r="B121" s="5">
        <f>IF($I2="","",INDEX(Productos!$A:$A,$I2))</f>
        <v/>
      </c>
      <c r="C121" s="134" t="inlineStr">
        <is>
          <t>03-001-0067-0742 BR-XL</t>
        </is>
      </c>
      <c r="D121" s="5">
        <f>IF($I2="","",INDEX(Productos!$B:$B,$I2))</f>
        <v/>
      </c>
      <c r="E121" s="5">
        <f>IF($I2="","",INDEX(Productos!$H:$H,$I2))</f>
        <v/>
      </c>
      <c r="F121" s="5">
        <f>IF($I2="","",INDEX(Productos!$I:$I,$I2))</f>
        <v/>
      </c>
      <c r="G121" s="135" t="n">
        <v>10</v>
      </c>
      <c r="H121" s="5">
        <f>IF($I2="","",INDEX(Productos!$AG:$AG,$I2))</f>
        <v/>
      </c>
      <c r="I121" s="136">
        <f>LET(_xlpm.r,Productos!$E$2:$E$285,_xlpm.m,IFERROR(_xlfn.XMATCH(C121,_xlpm.r),IFERROR(_xlfn.XMATCH(VALUE(C121),_xlpm.r),0)),IF(_xlpm.m=0,"",_xlpm.m+1))</f>
        <v/>
      </c>
      <c r="J121" s="137" t="inlineStr">
        <is>
          <t>Odoo</t>
        </is>
      </c>
    </row>
    <row r="122">
      <c r="A122" s="5" t="inlineStr">
        <is>
          <t>Odoo Universal Unique Brands › Bodega 25 › Bodega 25/General</t>
        </is>
      </c>
      <c r="B122" s="5">
        <f>IF($I2="","",INDEX(Productos!$A:$A,$I2))</f>
        <v/>
      </c>
      <c r="C122" s="134" t="inlineStr">
        <is>
          <t>03-001-0068-0157 BU-2XL</t>
        </is>
      </c>
      <c r="D122" s="5">
        <f>IF($I2="","",INDEX(Productos!$B:$B,$I2))</f>
        <v/>
      </c>
      <c r="E122" s="5">
        <f>IF($I2="","",INDEX(Productos!$H:$H,$I2))</f>
        <v/>
      </c>
      <c r="F122" s="5">
        <f>IF($I2="","",INDEX(Productos!$I:$I,$I2))</f>
        <v/>
      </c>
      <c r="G122" s="135" t="n">
        <v>10</v>
      </c>
      <c r="H122" s="5">
        <f>IF($I2="","",INDEX(Productos!$AG:$AG,$I2))</f>
        <v/>
      </c>
      <c r="I122" s="136">
        <f>LET(_xlpm.r,Productos!$E$2:$E$285,_xlpm.m,IFERROR(_xlfn.XMATCH(C122,_xlpm.r),IFERROR(_xlfn.XMATCH(VALUE(C122),_xlpm.r),0)),IF(_xlpm.m=0,"",_xlpm.m+1))</f>
        <v/>
      </c>
      <c r="J122" s="137" t="inlineStr">
        <is>
          <t>Odoo</t>
        </is>
      </c>
    </row>
    <row r="123">
      <c r="A123" s="5" t="inlineStr">
        <is>
          <t>Odoo Universal Unique Brands › Bodega 25 › Bodega 25/General</t>
        </is>
      </c>
      <c r="B123" s="5">
        <f>IF($I2="","",INDEX(Productos!$A:$A,$I2))</f>
        <v/>
      </c>
      <c r="C123" s="134" t="inlineStr">
        <is>
          <t>03-001-0068-0157 BU-L</t>
        </is>
      </c>
      <c r="D123" s="5">
        <f>IF($I2="","",INDEX(Productos!$B:$B,$I2))</f>
        <v/>
      </c>
      <c r="E123" s="5">
        <f>IF($I2="","",INDEX(Productos!$H:$H,$I2))</f>
        <v/>
      </c>
      <c r="F123" s="5">
        <f>IF($I2="","",INDEX(Productos!$I:$I,$I2))</f>
        <v/>
      </c>
      <c r="G123" s="135" t="n">
        <v>30</v>
      </c>
      <c r="H123" s="5">
        <f>IF($I2="","",INDEX(Productos!$AG:$AG,$I2))</f>
        <v/>
      </c>
      <c r="I123" s="136">
        <f>LET(_xlpm.r,Productos!$E$2:$E$285,_xlpm.m,IFERROR(_xlfn.XMATCH(C123,_xlpm.r),IFERROR(_xlfn.XMATCH(VALUE(C123),_xlpm.r),0)),IF(_xlpm.m=0,"",_xlpm.m+1))</f>
        <v/>
      </c>
      <c r="J123" s="137" t="inlineStr">
        <is>
          <t>Odoo</t>
        </is>
      </c>
    </row>
    <row r="124">
      <c r="A124" s="5" t="inlineStr">
        <is>
          <t>Odoo Universal Unique Brands › Bodega 25 › Bodega 25/General</t>
        </is>
      </c>
      <c r="B124" s="5">
        <f>IF($I2="","",INDEX(Productos!$A:$A,$I2))</f>
        <v/>
      </c>
      <c r="C124" s="134" t="inlineStr">
        <is>
          <t>03-001-0068-0157 BU-M</t>
        </is>
      </c>
      <c r="D124" s="5">
        <f>IF($I2="","",INDEX(Productos!$B:$B,$I2))</f>
        <v/>
      </c>
      <c r="E124" s="5">
        <f>IF($I2="","",INDEX(Productos!$H:$H,$I2))</f>
        <v/>
      </c>
      <c r="F124" s="5">
        <f>IF($I2="","",INDEX(Productos!$I:$I,$I2))</f>
        <v/>
      </c>
      <c r="G124" s="135" t="n">
        <v>30</v>
      </c>
      <c r="H124" s="5">
        <f>IF($I2="","",INDEX(Productos!$AG:$AG,$I2))</f>
        <v/>
      </c>
      <c r="I124" s="136">
        <f>LET(_xlpm.r,Productos!$E$2:$E$285,_xlpm.m,IFERROR(_xlfn.XMATCH(C124,_xlpm.r),IFERROR(_xlfn.XMATCH(VALUE(C124),_xlpm.r),0)),IF(_xlpm.m=0,"",_xlpm.m+1))</f>
        <v/>
      </c>
      <c r="J124" s="137" t="inlineStr">
        <is>
          <t>Odoo</t>
        </is>
      </c>
    </row>
    <row r="125">
      <c r="A125" s="5" t="inlineStr">
        <is>
          <t>Odoo Universal Unique Brands › Bodega 25 › Bodega 25/General</t>
        </is>
      </c>
      <c r="B125" s="5">
        <f>IF($I2="","",INDEX(Productos!$A:$A,$I2))</f>
        <v/>
      </c>
      <c r="C125" s="134" t="inlineStr">
        <is>
          <t>03-001-0068-0157 BU-S</t>
        </is>
      </c>
      <c r="D125" s="5">
        <f>IF($I2="","",INDEX(Productos!$B:$B,$I2))</f>
        <v/>
      </c>
      <c r="E125" s="5">
        <f>IF($I2="","",INDEX(Productos!$H:$H,$I2))</f>
        <v/>
      </c>
      <c r="F125" s="5">
        <f>IF($I2="","",INDEX(Productos!$I:$I,$I2))</f>
        <v/>
      </c>
      <c r="G125" s="135" t="n">
        <v>30</v>
      </c>
      <c r="H125" s="5">
        <f>IF($I2="","",INDEX(Productos!$AG:$AG,$I2))</f>
        <v/>
      </c>
      <c r="I125" s="136">
        <f>LET(_xlpm.r,Productos!$E$2:$E$285,_xlpm.m,IFERROR(_xlfn.XMATCH(C125,_xlpm.r),IFERROR(_xlfn.XMATCH(VALUE(C125),_xlpm.r),0)),IF(_xlpm.m=0,"",_xlpm.m+1))</f>
        <v/>
      </c>
      <c r="J125" s="137" t="inlineStr">
        <is>
          <t>Odoo</t>
        </is>
      </c>
    </row>
    <row r="126">
      <c r="A126" s="5" t="inlineStr">
        <is>
          <t>Odoo Universal Unique Brands › Bodega 25 › Bodega 25/General</t>
        </is>
      </c>
      <c r="B126" s="5">
        <f>IF($I2="","",INDEX(Productos!$A:$A,$I2))</f>
        <v/>
      </c>
      <c r="C126" s="134" t="inlineStr">
        <is>
          <t>03-001-0068-0157 BU-XL</t>
        </is>
      </c>
      <c r="D126" s="5">
        <f>IF($I2="","",INDEX(Productos!$B:$B,$I2))</f>
        <v/>
      </c>
      <c r="E126" s="5">
        <f>IF($I2="","",INDEX(Productos!$H:$H,$I2))</f>
        <v/>
      </c>
      <c r="F126" s="5">
        <f>IF($I2="","",INDEX(Productos!$I:$I,$I2))</f>
        <v/>
      </c>
      <c r="G126" s="135" t="n">
        <v>20</v>
      </c>
      <c r="H126" s="5">
        <f>IF($I2="","",INDEX(Productos!$AG:$AG,$I2))</f>
        <v/>
      </c>
      <c r="I126" s="136">
        <f>LET(_xlpm.r,Productos!$E$2:$E$285,_xlpm.m,IFERROR(_xlfn.XMATCH(C126,_xlpm.r),IFERROR(_xlfn.XMATCH(VALUE(C126),_xlpm.r),0)),IF(_xlpm.m=0,"",_xlpm.m+1))</f>
        <v/>
      </c>
      <c r="J126" s="137" t="inlineStr">
        <is>
          <t>Odoo</t>
        </is>
      </c>
    </row>
    <row r="127">
      <c r="A127" s="5" t="inlineStr">
        <is>
          <t>Odoo Universal Unique Brands › Bodega 25 › Bodega 25/General</t>
        </is>
      </c>
      <c r="B127" s="5">
        <f>IF($I2="","",INDEX(Productos!$A:$A,$I2))</f>
        <v/>
      </c>
      <c r="C127" s="134" t="inlineStr">
        <is>
          <t>03-001-0278-1056 BU-2XL</t>
        </is>
      </c>
      <c r="D127" s="5">
        <f>IF($I2="","",INDEX(Productos!$B:$B,$I2))</f>
        <v/>
      </c>
      <c r="E127" s="5">
        <f>IF($I2="","",INDEX(Productos!$H:$H,$I2))</f>
        <v/>
      </c>
      <c r="F127" s="5">
        <f>IF($I2="","",INDEX(Productos!$I:$I,$I2))</f>
        <v/>
      </c>
      <c r="G127" s="135" t="n">
        <v>8</v>
      </c>
      <c r="H127" s="5">
        <f>IF($I2="","",INDEX(Productos!$AG:$AG,$I2))</f>
        <v/>
      </c>
      <c r="I127" s="136">
        <f>LET(_xlpm.r,Productos!$E$2:$E$285,_xlpm.m,IFERROR(_xlfn.XMATCH(C127,_xlpm.r),IFERROR(_xlfn.XMATCH(VALUE(C127),_xlpm.r),0)),IF(_xlpm.m=0,"",_xlpm.m+1))</f>
        <v/>
      </c>
      <c r="J127" s="137" t="inlineStr">
        <is>
          <t>Odoo</t>
        </is>
      </c>
    </row>
    <row r="128">
      <c r="A128" s="5" t="inlineStr">
        <is>
          <t>Odoo Universal Unique Brands › Bodega 25 › Bodega 25/General</t>
        </is>
      </c>
      <c r="B128" s="5">
        <f>IF($I2="","",INDEX(Productos!$A:$A,$I2))</f>
        <v/>
      </c>
      <c r="C128" s="134" t="inlineStr">
        <is>
          <t>03-001-0278-1056 BU-L</t>
        </is>
      </c>
      <c r="D128" s="5">
        <f>IF($I2="","",INDEX(Productos!$B:$B,$I2))</f>
        <v/>
      </c>
      <c r="E128" s="5">
        <f>IF($I2="","",INDEX(Productos!$H:$H,$I2))</f>
        <v/>
      </c>
      <c r="F128" s="5">
        <f>IF($I2="","",INDEX(Productos!$I:$I,$I2))</f>
        <v/>
      </c>
      <c r="G128" s="135" t="n">
        <v>30</v>
      </c>
      <c r="H128" s="5">
        <f>IF($I2="","",INDEX(Productos!$AG:$AG,$I2))</f>
        <v/>
      </c>
      <c r="I128" s="136">
        <f>LET(_xlpm.r,Productos!$E$2:$E$285,_xlpm.m,IFERROR(_xlfn.XMATCH(C128,_xlpm.r),IFERROR(_xlfn.XMATCH(VALUE(C128),_xlpm.r),0)),IF(_xlpm.m=0,"",_xlpm.m+1))</f>
        <v/>
      </c>
      <c r="J128" s="137" t="inlineStr">
        <is>
          <t>Odoo</t>
        </is>
      </c>
    </row>
    <row r="129">
      <c r="A129" s="5" t="inlineStr">
        <is>
          <t>Odoo Universal Unique Brands › Bodega 25 › Bodega 25/General</t>
        </is>
      </c>
      <c r="B129" s="5">
        <f>IF($I2="","",INDEX(Productos!$A:$A,$I2))</f>
        <v/>
      </c>
      <c r="C129" s="134" t="inlineStr">
        <is>
          <t>03-001-0278-1056 BU-M</t>
        </is>
      </c>
      <c r="D129" s="5">
        <f>IF($I2="","",INDEX(Productos!$B:$B,$I2))</f>
        <v/>
      </c>
      <c r="E129" s="5">
        <f>IF($I2="","",INDEX(Productos!$H:$H,$I2))</f>
        <v/>
      </c>
      <c r="F129" s="5">
        <f>IF($I2="","",INDEX(Productos!$I:$I,$I2))</f>
        <v/>
      </c>
      <c r="G129" s="135" t="n">
        <v>30</v>
      </c>
      <c r="H129" s="5">
        <f>IF($I2="","",INDEX(Productos!$AG:$AG,$I2))</f>
        <v/>
      </c>
      <c r="I129" s="136">
        <f>LET(_xlpm.r,Productos!$E$2:$E$285,_xlpm.m,IFERROR(_xlfn.XMATCH(C129,_xlpm.r),IFERROR(_xlfn.XMATCH(VALUE(C129),_xlpm.r),0)),IF(_xlpm.m=0,"",_xlpm.m+1))</f>
        <v/>
      </c>
      <c r="J129" s="137" t="inlineStr">
        <is>
          <t>Odoo</t>
        </is>
      </c>
    </row>
    <row r="130">
      <c r="A130" s="5" t="inlineStr">
        <is>
          <t>Odoo Universal Unique Brands › Bodega 25 › Bodega 25/General</t>
        </is>
      </c>
      <c r="B130" s="5">
        <f>IF($I2="","",INDEX(Productos!$A:$A,$I2))</f>
        <v/>
      </c>
      <c r="C130" s="134" t="inlineStr">
        <is>
          <t>03-001-0278-1056 BU-S</t>
        </is>
      </c>
      <c r="D130" s="5">
        <f>IF($I2="","",INDEX(Productos!$B:$B,$I2))</f>
        <v/>
      </c>
      <c r="E130" s="5">
        <f>IF($I2="","",INDEX(Productos!$H:$H,$I2))</f>
        <v/>
      </c>
      <c r="F130" s="5">
        <f>IF($I2="","",INDEX(Productos!$I:$I,$I2))</f>
        <v/>
      </c>
      <c r="G130" s="135" t="n">
        <v>30</v>
      </c>
      <c r="H130" s="5">
        <f>IF($I2="","",INDEX(Productos!$AG:$AG,$I2))</f>
        <v/>
      </c>
      <c r="I130" s="136">
        <f>LET(_xlpm.r,Productos!$E$2:$E$285,_xlpm.m,IFERROR(_xlfn.XMATCH(C130,_xlpm.r),IFERROR(_xlfn.XMATCH(VALUE(C130),_xlpm.r),0)),IF(_xlpm.m=0,"",_xlpm.m+1))</f>
        <v/>
      </c>
      <c r="J130" s="137" t="inlineStr">
        <is>
          <t>Odoo</t>
        </is>
      </c>
    </row>
    <row r="131">
      <c r="A131" s="5" t="inlineStr">
        <is>
          <t>Odoo Universal Unique Brands › Bodega 25 › Bodega 25/General</t>
        </is>
      </c>
      <c r="B131" s="5">
        <f>IF($I2="","",INDEX(Productos!$A:$A,$I2))</f>
        <v/>
      </c>
      <c r="C131" s="134" t="inlineStr">
        <is>
          <t>03-001-0278-1056 BU-XL</t>
        </is>
      </c>
      <c r="D131" s="5">
        <f>IF($I2="","",INDEX(Productos!$B:$B,$I2))</f>
        <v/>
      </c>
      <c r="E131" s="5">
        <f>IF($I2="","",INDEX(Productos!$H:$H,$I2))</f>
        <v/>
      </c>
      <c r="F131" s="5">
        <f>IF($I2="","",INDEX(Productos!$I:$I,$I2))</f>
        <v/>
      </c>
      <c r="G131" s="135" t="n">
        <v>20</v>
      </c>
      <c r="H131" s="5">
        <f>IF($I2="","",INDEX(Productos!$AG:$AG,$I2))</f>
        <v/>
      </c>
      <c r="I131" s="136">
        <f>LET(_xlpm.r,Productos!$E$2:$E$285,_xlpm.m,IFERROR(_xlfn.XMATCH(C131,_xlpm.r),IFERROR(_xlfn.XMATCH(VALUE(C131),_xlpm.r),0)),IF(_xlpm.m=0,"",_xlpm.m+1))</f>
        <v/>
      </c>
      <c r="J131" s="137" t="inlineStr">
        <is>
          <t>Odoo</t>
        </is>
      </c>
    </row>
    <row r="132">
      <c r="A132" s="5" t="inlineStr">
        <is>
          <t>Odoo Universal Unique Brands › Bodega 25 › Bodega 25/General</t>
        </is>
      </c>
      <c r="B132" s="5">
        <f>IF($I2="","",INDEX(Productos!$A:$A,$I2))</f>
        <v/>
      </c>
      <c r="C132" s="134" t="inlineStr">
        <is>
          <t>03-001-0278-7038 BU-2XL</t>
        </is>
      </c>
      <c r="D132" s="5">
        <f>IF($I2="","",INDEX(Productos!$B:$B,$I2))</f>
        <v/>
      </c>
      <c r="E132" s="5">
        <f>IF($I2="","",INDEX(Productos!$H:$H,$I2))</f>
        <v/>
      </c>
      <c r="F132" s="5">
        <f>IF($I2="","",INDEX(Productos!$I:$I,$I2))</f>
        <v/>
      </c>
      <c r="G132" s="135" t="n">
        <v>1</v>
      </c>
      <c r="H132" s="5">
        <f>IF($I2="","",INDEX(Productos!$AG:$AG,$I2))</f>
        <v/>
      </c>
      <c r="I132" s="136">
        <f>LET(_xlpm.r,Productos!$E$2:$E$285,_xlpm.m,IFERROR(_xlfn.XMATCH(C132,_xlpm.r),IFERROR(_xlfn.XMATCH(VALUE(C132),_xlpm.r),0)),IF(_xlpm.m=0,"",_xlpm.m+1))</f>
        <v/>
      </c>
      <c r="J132" s="137" t="inlineStr">
        <is>
          <t>Odoo</t>
        </is>
      </c>
    </row>
    <row r="133">
      <c r="A133" s="5" t="inlineStr">
        <is>
          <t>Odoo Universal Unique Brands › Bodega 25 › Bodega 25/General</t>
        </is>
      </c>
      <c r="B133" s="5">
        <f>IF($I2="","",INDEX(Productos!$A:$A,$I2))</f>
        <v/>
      </c>
      <c r="C133" s="134" t="inlineStr">
        <is>
          <t>03-001-0278-7038 BU-L</t>
        </is>
      </c>
      <c r="D133" s="5">
        <f>IF($I2="","",INDEX(Productos!$B:$B,$I2))</f>
        <v/>
      </c>
      <c r="E133" s="5">
        <f>IF($I2="","",INDEX(Productos!$H:$H,$I2))</f>
        <v/>
      </c>
      <c r="F133" s="5">
        <f>IF($I2="","",INDEX(Productos!$I:$I,$I2))</f>
        <v/>
      </c>
      <c r="G133" s="135" t="n">
        <v>6</v>
      </c>
      <c r="H133" s="5">
        <f>IF($I2="","",INDEX(Productos!$AG:$AG,$I2))</f>
        <v/>
      </c>
      <c r="I133" s="136">
        <f>LET(_xlpm.r,Productos!$E$2:$E$285,_xlpm.m,IFERROR(_xlfn.XMATCH(C133,_xlpm.r),IFERROR(_xlfn.XMATCH(VALUE(C133),_xlpm.r),0)),IF(_xlpm.m=0,"",_xlpm.m+1))</f>
        <v/>
      </c>
      <c r="J133" s="137" t="inlineStr">
        <is>
          <t>Odoo</t>
        </is>
      </c>
    </row>
    <row r="134">
      <c r="A134" s="5" t="inlineStr">
        <is>
          <t>Odoo Universal Unique Brands › Bodega 25 › Bodega 25/General</t>
        </is>
      </c>
      <c r="B134" s="5">
        <f>IF($I2="","",INDEX(Productos!$A:$A,$I2))</f>
        <v/>
      </c>
      <c r="C134" s="134" t="inlineStr">
        <is>
          <t>03-001-0278-7038 BU-M</t>
        </is>
      </c>
      <c r="D134" s="5">
        <f>IF($I2="","",INDEX(Productos!$B:$B,$I2))</f>
        <v/>
      </c>
      <c r="E134" s="5">
        <f>IF($I2="","",INDEX(Productos!$H:$H,$I2))</f>
        <v/>
      </c>
      <c r="F134" s="5">
        <f>IF($I2="","",INDEX(Productos!$I:$I,$I2))</f>
        <v/>
      </c>
      <c r="G134" s="135" t="n">
        <v>10</v>
      </c>
      <c r="H134" s="5">
        <f>IF($I2="","",INDEX(Productos!$AG:$AG,$I2))</f>
        <v/>
      </c>
      <c r="I134" s="136">
        <f>LET(_xlpm.r,Productos!$E$2:$E$285,_xlpm.m,IFERROR(_xlfn.XMATCH(C134,_xlpm.r),IFERROR(_xlfn.XMATCH(VALUE(C134),_xlpm.r),0)),IF(_xlpm.m=0,"",_xlpm.m+1))</f>
        <v/>
      </c>
      <c r="J134" s="137" t="inlineStr">
        <is>
          <t>Odoo</t>
        </is>
      </c>
    </row>
    <row r="135">
      <c r="A135" s="5" t="inlineStr">
        <is>
          <t>Odoo Universal Unique Brands › Bodega 25 › Bodega 25/General</t>
        </is>
      </c>
      <c r="B135" s="5">
        <f>IF($I2="","",INDEX(Productos!$A:$A,$I2))</f>
        <v/>
      </c>
      <c r="C135" s="134" t="inlineStr">
        <is>
          <t>03-001-0278-7038 BU-S</t>
        </is>
      </c>
      <c r="D135" s="5">
        <f>IF($I2="","",INDEX(Productos!$B:$B,$I2))</f>
        <v/>
      </c>
      <c r="E135" s="5">
        <f>IF($I2="","",INDEX(Productos!$H:$H,$I2))</f>
        <v/>
      </c>
      <c r="F135" s="5">
        <f>IF($I2="","",INDEX(Productos!$I:$I,$I2))</f>
        <v/>
      </c>
      <c r="G135" s="135" t="n">
        <v>10</v>
      </c>
      <c r="H135" s="5">
        <f>IF($I2="","",INDEX(Productos!$AG:$AG,$I2))</f>
        <v/>
      </c>
      <c r="I135" s="136">
        <f>LET(_xlpm.r,Productos!$E$2:$E$285,_xlpm.m,IFERROR(_xlfn.XMATCH(C135,_xlpm.r),IFERROR(_xlfn.XMATCH(VALUE(C135),_xlpm.r),0)),IF(_xlpm.m=0,"",_xlpm.m+1))</f>
        <v/>
      </c>
      <c r="J135" s="137" t="inlineStr">
        <is>
          <t>Odoo</t>
        </is>
      </c>
    </row>
    <row r="136">
      <c r="A136" s="5" t="inlineStr">
        <is>
          <t>Odoo Universal Unique Brands › Bodega 25 › Bodega 25/General</t>
        </is>
      </c>
      <c r="B136" s="5">
        <f>IF($I2="","",INDEX(Productos!$A:$A,$I2))</f>
        <v/>
      </c>
      <c r="C136" s="134" t="inlineStr">
        <is>
          <t>03-001-0278-7038 BU-XL</t>
        </is>
      </c>
      <c r="D136" s="5">
        <f>IF($I2="","",INDEX(Productos!$B:$B,$I2))</f>
        <v/>
      </c>
      <c r="E136" s="5">
        <f>IF($I2="","",INDEX(Productos!$H:$H,$I2))</f>
        <v/>
      </c>
      <c r="F136" s="5">
        <f>IF($I2="","",INDEX(Productos!$I:$I,$I2))</f>
        <v/>
      </c>
      <c r="G136" s="135" t="n">
        <v>5</v>
      </c>
      <c r="H136" s="5">
        <f>IF($I2="","",INDEX(Productos!$AG:$AG,$I2))</f>
        <v/>
      </c>
      <c r="I136" s="136">
        <f>LET(_xlpm.r,Productos!$E$2:$E$285,_xlpm.m,IFERROR(_xlfn.XMATCH(C136,_xlpm.r),IFERROR(_xlfn.XMATCH(VALUE(C136),_xlpm.r),0)),IF(_xlpm.m=0,"",_xlpm.m+1))</f>
        <v/>
      </c>
      <c r="J136" s="137" t="inlineStr">
        <is>
          <t>Odoo</t>
        </is>
      </c>
    </row>
    <row r="137">
      <c r="A137" s="5" t="inlineStr">
        <is>
          <t>Odoo Universal Unique Brands › Bodega 25 › Bodega 25/General</t>
        </is>
      </c>
      <c r="B137" s="5">
        <f>IF($I2="","",INDEX(Productos!$A:$A,$I2))</f>
        <v/>
      </c>
      <c r="C137" s="134" t="inlineStr">
        <is>
          <t>03-001-0378-7040 GY-S</t>
        </is>
      </c>
      <c r="D137" s="5">
        <f>IF($I2="","",INDEX(Productos!$B:$B,$I2))</f>
        <v/>
      </c>
      <c r="E137" s="5">
        <f>IF($I2="","",INDEX(Productos!$H:$H,$I2))</f>
        <v/>
      </c>
      <c r="F137" s="5">
        <f>IF($I2="","",INDEX(Productos!$I:$I,$I2))</f>
        <v/>
      </c>
      <c r="G137" s="135" t="n">
        <v>1</v>
      </c>
      <c r="H137" s="5">
        <f>IF($I2="","",INDEX(Productos!$AG:$AG,$I2))</f>
        <v/>
      </c>
      <c r="I137" s="136">
        <f>LET(_xlpm.r,Productos!$E$2:$E$285,_xlpm.m,IFERROR(_xlfn.XMATCH(C137,_xlpm.r),IFERROR(_xlfn.XMATCH(VALUE(C137),_xlpm.r),0)),IF(_xlpm.m=0,"",_xlpm.m+1))</f>
        <v/>
      </c>
      <c r="J137" s="137" t="inlineStr">
        <is>
          <t>Odoo</t>
        </is>
      </c>
    </row>
    <row r="138">
      <c r="A138" s="5" t="inlineStr">
        <is>
          <t>Odoo Universal Unique Brands › Bodega 25 › Bodega 25/General</t>
        </is>
      </c>
      <c r="B138" s="5">
        <f>IF($I2="","",INDEX(Productos!$A:$A,$I2))</f>
        <v/>
      </c>
      <c r="C138" s="134" t="inlineStr">
        <is>
          <t>03-001-0421-0108 BL-2XL</t>
        </is>
      </c>
      <c r="D138" s="5">
        <f>IF($I2="","",INDEX(Productos!$B:$B,$I2))</f>
        <v/>
      </c>
      <c r="E138" s="5">
        <f>IF($I2="","",INDEX(Productos!$H:$H,$I2))</f>
        <v/>
      </c>
      <c r="F138" s="5">
        <f>IF($I2="","",INDEX(Productos!$I:$I,$I2))</f>
        <v/>
      </c>
      <c r="G138" s="135" t="n">
        <v>10</v>
      </c>
      <c r="H138" s="5">
        <f>IF($I2="","",INDEX(Productos!$AG:$AG,$I2))</f>
        <v/>
      </c>
      <c r="I138" s="136">
        <f>LET(_xlpm.r,Productos!$E$2:$E$285,_xlpm.m,IFERROR(_xlfn.XMATCH(C138,_xlpm.r),IFERROR(_xlfn.XMATCH(VALUE(C138),_xlpm.r),0)),IF(_xlpm.m=0,"",_xlpm.m+1))</f>
        <v/>
      </c>
      <c r="J138" s="137" t="inlineStr">
        <is>
          <t>Odoo</t>
        </is>
      </c>
    </row>
    <row r="139">
      <c r="A139" s="5" t="inlineStr">
        <is>
          <t>Odoo Universal Unique Brands › Bodega 25 › Bodega 25/General</t>
        </is>
      </c>
      <c r="B139" s="5">
        <f>IF($I2="","",INDEX(Productos!$A:$A,$I2))</f>
        <v/>
      </c>
      <c r="C139" s="134" t="inlineStr">
        <is>
          <t>03-001-0421-0108 BL-L</t>
        </is>
      </c>
      <c r="D139" s="5">
        <f>IF($I2="","",INDEX(Productos!$B:$B,$I2))</f>
        <v/>
      </c>
      <c r="E139" s="5">
        <f>IF($I2="","",INDEX(Productos!$H:$H,$I2))</f>
        <v/>
      </c>
      <c r="F139" s="5">
        <f>IF($I2="","",INDEX(Productos!$I:$I,$I2))</f>
        <v/>
      </c>
      <c r="G139" s="135" t="n">
        <v>30</v>
      </c>
      <c r="H139" s="5">
        <f>IF($I2="","",INDEX(Productos!$AG:$AG,$I2))</f>
        <v/>
      </c>
      <c r="I139" s="136">
        <f>LET(_xlpm.r,Productos!$E$2:$E$285,_xlpm.m,IFERROR(_xlfn.XMATCH(C139,_xlpm.r),IFERROR(_xlfn.XMATCH(VALUE(C139),_xlpm.r),0)),IF(_xlpm.m=0,"",_xlpm.m+1))</f>
        <v/>
      </c>
      <c r="J139" s="137" t="inlineStr">
        <is>
          <t>Odoo</t>
        </is>
      </c>
    </row>
    <row r="140">
      <c r="A140" s="5" t="inlineStr">
        <is>
          <t>Odoo Universal Unique Brands › Bodega 25 › Bodega 25/General</t>
        </is>
      </c>
      <c r="B140" s="5">
        <f>IF($I2="","",INDEX(Productos!$A:$A,$I2))</f>
        <v/>
      </c>
      <c r="C140" s="134" t="inlineStr">
        <is>
          <t>03-001-0421-0108 BL-M</t>
        </is>
      </c>
      <c r="D140" s="5">
        <f>IF($I2="","",INDEX(Productos!$B:$B,$I2))</f>
        <v/>
      </c>
      <c r="E140" s="5">
        <f>IF($I2="","",INDEX(Productos!$H:$H,$I2))</f>
        <v/>
      </c>
      <c r="F140" s="5">
        <f>IF($I2="","",INDEX(Productos!$I:$I,$I2))</f>
        <v/>
      </c>
      <c r="G140" s="135" t="n">
        <v>30</v>
      </c>
      <c r="H140" s="5">
        <f>IF($I2="","",INDEX(Productos!$AG:$AG,$I2))</f>
        <v/>
      </c>
      <c r="I140" s="136">
        <f>LET(_xlpm.r,Productos!$E$2:$E$285,_xlpm.m,IFERROR(_xlfn.XMATCH(C140,_xlpm.r),IFERROR(_xlfn.XMATCH(VALUE(C140),_xlpm.r),0)),IF(_xlpm.m=0,"",_xlpm.m+1))</f>
        <v/>
      </c>
      <c r="J140" s="137" t="inlineStr">
        <is>
          <t>Odoo</t>
        </is>
      </c>
    </row>
    <row r="141">
      <c r="A141" s="5" t="inlineStr">
        <is>
          <t>Odoo Universal Unique Brands › Bodega 25 › Bodega 25/General</t>
        </is>
      </c>
      <c r="B141" s="5">
        <f>IF($I2="","",INDEX(Productos!$A:$A,$I2))</f>
        <v/>
      </c>
      <c r="C141" s="134" t="inlineStr">
        <is>
          <t>03-001-0421-0108 BL-S</t>
        </is>
      </c>
      <c r="D141" s="5">
        <f>IF($I2="","",INDEX(Productos!$B:$B,$I2))</f>
        <v/>
      </c>
      <c r="E141" s="5">
        <f>IF($I2="","",INDEX(Productos!$H:$H,$I2))</f>
        <v/>
      </c>
      <c r="F141" s="5">
        <f>IF($I2="","",INDEX(Productos!$I:$I,$I2))</f>
        <v/>
      </c>
      <c r="G141" s="135" t="n">
        <v>30</v>
      </c>
      <c r="H141" s="5">
        <f>IF($I2="","",INDEX(Productos!$AG:$AG,$I2))</f>
        <v/>
      </c>
      <c r="I141" s="136">
        <f>LET(_xlpm.r,Productos!$E$2:$E$285,_xlpm.m,IFERROR(_xlfn.XMATCH(C141,_xlpm.r),IFERROR(_xlfn.XMATCH(VALUE(C141),_xlpm.r),0)),IF(_xlpm.m=0,"",_xlpm.m+1))</f>
        <v/>
      </c>
      <c r="J141" s="137" t="inlineStr">
        <is>
          <t>Odoo</t>
        </is>
      </c>
    </row>
    <row r="142">
      <c r="A142" s="5" t="inlineStr">
        <is>
          <t>Odoo Universal Unique Brands › Bodega 25 › Bodega 25/General</t>
        </is>
      </c>
      <c r="B142" s="5">
        <f>IF($I2="","",INDEX(Productos!$A:$A,$I2))</f>
        <v/>
      </c>
      <c r="C142" s="134" t="inlineStr">
        <is>
          <t>03-001-0421-0108 BL-XL</t>
        </is>
      </c>
      <c r="D142" s="5">
        <f>IF($I2="","",INDEX(Productos!$B:$B,$I2))</f>
        <v/>
      </c>
      <c r="E142" s="5">
        <f>IF($I2="","",INDEX(Productos!$H:$H,$I2))</f>
        <v/>
      </c>
      <c r="F142" s="5">
        <f>IF($I2="","",INDEX(Productos!$I:$I,$I2))</f>
        <v/>
      </c>
      <c r="G142" s="135" t="n">
        <v>20</v>
      </c>
      <c r="H142" s="5">
        <f>IF($I2="","",INDEX(Productos!$AG:$AG,$I2))</f>
        <v/>
      </c>
      <c r="I142" s="136">
        <f>LET(_xlpm.r,Productos!$E$2:$E$285,_xlpm.m,IFERROR(_xlfn.XMATCH(C142,_xlpm.r),IFERROR(_xlfn.XMATCH(VALUE(C142),_xlpm.r),0)),IF(_xlpm.m=0,"",_xlpm.m+1))</f>
        <v/>
      </c>
      <c r="J142" s="137" t="inlineStr">
        <is>
          <t>Odoo</t>
        </is>
      </c>
    </row>
    <row r="143">
      <c r="A143" s="5" t="inlineStr">
        <is>
          <t>Odoo Universal Unique Brands › Bodega 25 › Bodega 25/General</t>
        </is>
      </c>
      <c r="B143" s="5">
        <f>IF($I2="","",INDEX(Productos!$A:$A,$I2))</f>
        <v/>
      </c>
      <c r="C143" s="134" t="inlineStr">
        <is>
          <t>03-001-0421-0700 BR-2XL</t>
        </is>
      </c>
      <c r="D143" s="5">
        <f>IF($I2="","",INDEX(Productos!$B:$B,$I2))</f>
        <v/>
      </c>
      <c r="E143" s="5">
        <f>IF($I2="","",INDEX(Productos!$H:$H,$I2))</f>
        <v/>
      </c>
      <c r="F143" s="5">
        <f>IF($I2="","",INDEX(Productos!$I:$I,$I2))</f>
        <v/>
      </c>
      <c r="G143" s="135" t="n">
        <v>1</v>
      </c>
      <c r="H143" s="5">
        <f>IF($I2="","",INDEX(Productos!$AG:$AG,$I2))</f>
        <v/>
      </c>
      <c r="I143" s="136">
        <f>LET(_xlpm.r,Productos!$E$2:$E$285,_xlpm.m,IFERROR(_xlfn.XMATCH(C143,_xlpm.r),IFERROR(_xlfn.XMATCH(VALUE(C143),_xlpm.r),0)),IF(_xlpm.m=0,"",_xlpm.m+1))</f>
        <v/>
      </c>
      <c r="J143" s="137" t="inlineStr">
        <is>
          <t>Odoo</t>
        </is>
      </c>
    </row>
    <row r="144">
      <c r="A144" s="5" t="inlineStr">
        <is>
          <t>Odoo Universal Unique Brands › Bodega 25 › Bodega 25/General</t>
        </is>
      </c>
      <c r="B144" s="5">
        <f>IF($I2="","",INDEX(Productos!$A:$A,$I2))</f>
        <v/>
      </c>
      <c r="C144" s="134" t="inlineStr">
        <is>
          <t>03-001-0421-0700 BR-L</t>
        </is>
      </c>
      <c r="D144" s="5">
        <f>IF($I2="","",INDEX(Productos!$B:$B,$I2))</f>
        <v/>
      </c>
      <c r="E144" s="5">
        <f>IF($I2="","",INDEX(Productos!$H:$H,$I2))</f>
        <v/>
      </c>
      <c r="F144" s="5">
        <f>IF($I2="","",INDEX(Productos!$I:$I,$I2))</f>
        <v/>
      </c>
      <c r="G144" s="135" t="n">
        <v>7</v>
      </c>
      <c r="H144" s="5">
        <f>IF($I2="","",INDEX(Productos!$AG:$AG,$I2))</f>
        <v/>
      </c>
      <c r="I144" s="136">
        <f>LET(_xlpm.r,Productos!$E$2:$E$285,_xlpm.m,IFERROR(_xlfn.XMATCH(C144,_xlpm.r),IFERROR(_xlfn.XMATCH(VALUE(C144),_xlpm.r),0)),IF(_xlpm.m=0,"",_xlpm.m+1))</f>
        <v/>
      </c>
      <c r="J144" s="137" t="inlineStr">
        <is>
          <t>Odoo</t>
        </is>
      </c>
    </row>
    <row r="145">
      <c r="A145" s="5" t="inlineStr">
        <is>
          <t>Odoo Universal Unique Brands › Bodega 25 › Bodega 25/General</t>
        </is>
      </c>
      <c r="B145" s="5">
        <f>IF($I2="","",INDEX(Productos!$A:$A,$I2))</f>
        <v/>
      </c>
      <c r="C145" s="134" t="inlineStr">
        <is>
          <t>03-001-0421-0700 BR-M</t>
        </is>
      </c>
      <c r="D145" s="5">
        <f>IF($I2="","",INDEX(Productos!$B:$B,$I2))</f>
        <v/>
      </c>
      <c r="E145" s="5">
        <f>IF($I2="","",INDEX(Productos!$H:$H,$I2))</f>
        <v/>
      </c>
      <c r="F145" s="5">
        <f>IF($I2="","",INDEX(Productos!$I:$I,$I2))</f>
        <v/>
      </c>
      <c r="G145" s="135" t="n">
        <v>8</v>
      </c>
      <c r="H145" s="5">
        <f>IF($I2="","",INDEX(Productos!$AG:$AG,$I2))</f>
        <v/>
      </c>
      <c r="I145" s="136">
        <f>LET(_xlpm.r,Productos!$E$2:$E$285,_xlpm.m,IFERROR(_xlfn.XMATCH(C145,_xlpm.r),IFERROR(_xlfn.XMATCH(VALUE(C145),_xlpm.r),0)),IF(_xlpm.m=0,"",_xlpm.m+1))</f>
        <v/>
      </c>
      <c r="J145" s="137" t="inlineStr">
        <is>
          <t>Odoo</t>
        </is>
      </c>
    </row>
    <row r="146">
      <c r="A146" s="5" t="inlineStr">
        <is>
          <t>Odoo Universal Unique Brands › Bodega 25 › Bodega 25/General</t>
        </is>
      </c>
      <c r="B146" s="5">
        <f>IF($I2="","",INDEX(Productos!$A:$A,$I2))</f>
        <v/>
      </c>
      <c r="C146" s="134" t="inlineStr">
        <is>
          <t>03-001-0421-0700 BR-S</t>
        </is>
      </c>
      <c r="D146" s="5">
        <f>IF($I2="","",INDEX(Productos!$B:$B,$I2))</f>
        <v/>
      </c>
      <c r="E146" s="5">
        <f>IF($I2="","",INDEX(Productos!$H:$H,$I2))</f>
        <v/>
      </c>
      <c r="F146" s="5">
        <f>IF($I2="","",INDEX(Productos!$I:$I,$I2))</f>
        <v/>
      </c>
      <c r="G146" s="135" t="n">
        <v>7</v>
      </c>
      <c r="H146" s="5">
        <f>IF($I2="","",INDEX(Productos!$AG:$AG,$I2))</f>
        <v/>
      </c>
      <c r="I146" s="136">
        <f>LET(_xlpm.r,Productos!$E$2:$E$285,_xlpm.m,IFERROR(_xlfn.XMATCH(C146,_xlpm.r),IFERROR(_xlfn.XMATCH(VALUE(C146),_xlpm.r),0)),IF(_xlpm.m=0,"",_xlpm.m+1))</f>
        <v/>
      </c>
      <c r="J146" s="137" t="inlineStr">
        <is>
          <t>Odoo</t>
        </is>
      </c>
    </row>
    <row r="147">
      <c r="A147" s="5" t="inlineStr">
        <is>
          <t>Odoo Universal Unique Brands › Bodega 25 › Bodega 25/General</t>
        </is>
      </c>
      <c r="B147" s="5">
        <f>IF($I2="","",INDEX(Productos!$A:$A,$I2))</f>
        <v/>
      </c>
      <c r="C147" s="134" t="inlineStr">
        <is>
          <t>03-001-0421-0700 BR-XL</t>
        </is>
      </c>
      <c r="D147" s="5">
        <f>IF($I2="","",INDEX(Productos!$B:$B,$I2))</f>
        <v/>
      </c>
      <c r="E147" s="5">
        <f>IF($I2="","",INDEX(Productos!$H:$H,$I2))</f>
        <v/>
      </c>
      <c r="F147" s="5">
        <f>IF($I2="","",INDEX(Productos!$I:$I,$I2))</f>
        <v/>
      </c>
      <c r="G147" s="135" t="n">
        <v>6</v>
      </c>
      <c r="H147" s="5">
        <f>IF($I2="","",INDEX(Productos!$AG:$AG,$I2))</f>
        <v/>
      </c>
      <c r="I147" s="136">
        <f>LET(_xlpm.r,Productos!$E$2:$E$285,_xlpm.m,IFERROR(_xlfn.XMATCH(C147,_xlpm.r),IFERROR(_xlfn.XMATCH(VALUE(C147),_xlpm.r),0)),IF(_xlpm.m=0,"",_xlpm.m+1))</f>
        <v/>
      </c>
      <c r="J147" s="137" t="inlineStr">
        <is>
          <t>Odoo</t>
        </is>
      </c>
    </row>
    <row r="148">
      <c r="A148" s="5" t="inlineStr">
        <is>
          <t>Odoo Universal Unique Brands › Bodega 25 › Bodega 25/General</t>
        </is>
      </c>
      <c r="B148" s="5">
        <f>IF($I2="","",INDEX(Productos!$A:$A,$I2))</f>
        <v/>
      </c>
      <c r="C148" s="134" t="inlineStr">
        <is>
          <t>03-001-0431-0109 BU-2XL</t>
        </is>
      </c>
      <c r="D148" s="5">
        <f>IF($I2="","",INDEX(Productos!$B:$B,$I2))</f>
        <v/>
      </c>
      <c r="E148" s="5">
        <f>IF($I2="","",INDEX(Productos!$H:$H,$I2))</f>
        <v/>
      </c>
      <c r="F148" s="5">
        <f>IF($I2="","",INDEX(Productos!$I:$I,$I2))</f>
        <v/>
      </c>
      <c r="G148" s="135" t="n">
        <v>10</v>
      </c>
      <c r="H148" s="5">
        <f>IF($I2="","",INDEX(Productos!$AG:$AG,$I2))</f>
        <v/>
      </c>
      <c r="I148" s="136">
        <f>LET(_xlpm.r,Productos!$E$2:$E$285,_xlpm.m,IFERROR(_xlfn.XMATCH(C148,_xlpm.r),IFERROR(_xlfn.XMATCH(VALUE(C148),_xlpm.r),0)),IF(_xlpm.m=0,"",_xlpm.m+1))</f>
        <v/>
      </c>
      <c r="J148" s="137" t="inlineStr">
        <is>
          <t>Odoo</t>
        </is>
      </c>
    </row>
    <row r="149">
      <c r="A149" s="5" t="inlineStr">
        <is>
          <t>Odoo Universal Unique Brands › Bodega 25 › Bodega 25/General</t>
        </is>
      </c>
      <c r="B149" s="5">
        <f>IF($I2="","",INDEX(Productos!$A:$A,$I2))</f>
        <v/>
      </c>
      <c r="C149" s="134" t="inlineStr">
        <is>
          <t>03-001-0431-0109 BU-L</t>
        </is>
      </c>
      <c r="D149" s="5">
        <f>IF($I2="","",INDEX(Productos!$B:$B,$I2))</f>
        <v/>
      </c>
      <c r="E149" s="5">
        <f>IF($I2="","",INDEX(Productos!$H:$H,$I2))</f>
        <v/>
      </c>
      <c r="F149" s="5">
        <f>IF($I2="","",INDEX(Productos!$I:$I,$I2))</f>
        <v/>
      </c>
      <c r="G149" s="135" t="n">
        <v>30</v>
      </c>
      <c r="H149" s="5">
        <f>IF($I2="","",INDEX(Productos!$AG:$AG,$I2))</f>
        <v/>
      </c>
      <c r="I149" s="136">
        <f>LET(_xlpm.r,Productos!$E$2:$E$285,_xlpm.m,IFERROR(_xlfn.XMATCH(C149,_xlpm.r),IFERROR(_xlfn.XMATCH(VALUE(C149),_xlpm.r),0)),IF(_xlpm.m=0,"",_xlpm.m+1))</f>
        <v/>
      </c>
      <c r="J149" s="137" t="inlineStr">
        <is>
          <t>Odoo</t>
        </is>
      </c>
    </row>
    <row r="150">
      <c r="A150" s="5" t="inlineStr">
        <is>
          <t>Odoo Universal Unique Brands › Bodega 25 › Bodega 25/General</t>
        </is>
      </c>
      <c r="B150" s="5">
        <f>IF($I2="","",INDEX(Productos!$A:$A,$I2))</f>
        <v/>
      </c>
      <c r="C150" s="134" t="inlineStr">
        <is>
          <t>03-001-0431-0109 BU-M</t>
        </is>
      </c>
      <c r="D150" s="5">
        <f>IF($I2="","",INDEX(Productos!$B:$B,$I2))</f>
        <v/>
      </c>
      <c r="E150" s="5">
        <f>IF($I2="","",INDEX(Productos!$H:$H,$I2))</f>
        <v/>
      </c>
      <c r="F150" s="5">
        <f>IF($I2="","",INDEX(Productos!$I:$I,$I2))</f>
        <v/>
      </c>
      <c r="G150" s="135" t="n">
        <v>30</v>
      </c>
      <c r="H150" s="5">
        <f>IF($I2="","",INDEX(Productos!$AG:$AG,$I2))</f>
        <v/>
      </c>
      <c r="I150" s="136">
        <f>LET(_xlpm.r,Productos!$E$2:$E$285,_xlpm.m,IFERROR(_xlfn.XMATCH(C150,_xlpm.r),IFERROR(_xlfn.XMATCH(VALUE(C150),_xlpm.r),0)),IF(_xlpm.m=0,"",_xlpm.m+1))</f>
        <v/>
      </c>
      <c r="J150" s="137" t="inlineStr">
        <is>
          <t>Odoo</t>
        </is>
      </c>
    </row>
    <row r="151">
      <c r="A151" s="5" t="inlineStr">
        <is>
          <t>Odoo Universal Unique Brands › Bodega 25 › Bodega 25/General</t>
        </is>
      </c>
      <c r="B151" s="5">
        <f>IF($I2="","",INDEX(Productos!$A:$A,$I2))</f>
        <v/>
      </c>
      <c r="C151" s="134" t="inlineStr">
        <is>
          <t>03-001-0431-0109 BU-S</t>
        </is>
      </c>
      <c r="D151" s="5">
        <f>IF($I2="","",INDEX(Productos!$B:$B,$I2))</f>
        <v/>
      </c>
      <c r="E151" s="5">
        <f>IF($I2="","",INDEX(Productos!$H:$H,$I2))</f>
        <v/>
      </c>
      <c r="F151" s="5">
        <f>IF($I2="","",INDEX(Productos!$I:$I,$I2))</f>
        <v/>
      </c>
      <c r="G151" s="135" t="n">
        <v>30</v>
      </c>
      <c r="H151" s="5">
        <f>IF($I2="","",INDEX(Productos!$AG:$AG,$I2))</f>
        <v/>
      </c>
      <c r="I151" s="136">
        <f>LET(_xlpm.r,Productos!$E$2:$E$285,_xlpm.m,IFERROR(_xlfn.XMATCH(C151,_xlpm.r),IFERROR(_xlfn.XMATCH(VALUE(C151),_xlpm.r),0)),IF(_xlpm.m=0,"",_xlpm.m+1))</f>
        <v/>
      </c>
      <c r="J151" s="137" t="inlineStr">
        <is>
          <t>Odoo</t>
        </is>
      </c>
    </row>
    <row r="152">
      <c r="A152" s="5" t="inlineStr">
        <is>
          <t>Odoo Universal Unique Brands › Bodega 25 › Bodega 25/General</t>
        </is>
      </c>
      <c r="B152" s="5">
        <f>IF($I2="","",INDEX(Productos!$A:$A,$I2))</f>
        <v/>
      </c>
      <c r="C152" s="134" t="inlineStr">
        <is>
          <t>03-001-0431-0109 BU-XL</t>
        </is>
      </c>
      <c r="D152" s="5">
        <f>IF($I2="","",INDEX(Productos!$B:$B,$I2))</f>
        <v/>
      </c>
      <c r="E152" s="5">
        <f>IF($I2="","",INDEX(Productos!$H:$H,$I2))</f>
        <v/>
      </c>
      <c r="F152" s="5">
        <f>IF($I2="","",INDEX(Productos!$I:$I,$I2))</f>
        <v/>
      </c>
      <c r="G152" s="135" t="n">
        <v>20</v>
      </c>
      <c r="H152" s="5">
        <f>IF($I2="","",INDEX(Productos!$AG:$AG,$I2))</f>
        <v/>
      </c>
      <c r="I152" s="136">
        <f>LET(_xlpm.r,Productos!$E$2:$E$285,_xlpm.m,IFERROR(_xlfn.XMATCH(C152,_xlpm.r),IFERROR(_xlfn.XMATCH(VALUE(C152),_xlpm.r),0)),IF(_xlpm.m=0,"",_xlpm.m+1))</f>
        <v/>
      </c>
      <c r="J152" s="137" t="inlineStr">
        <is>
          <t>Odoo</t>
        </is>
      </c>
    </row>
    <row r="153">
      <c r="A153" s="5" t="inlineStr">
        <is>
          <t>Odoo Universal Unique Brands › Bodega 25 › Bodega 25/General</t>
        </is>
      </c>
      <c r="B153" s="5">
        <f>IF($I2="","",INDEX(Productos!$A:$A,$I2))</f>
        <v/>
      </c>
      <c r="C153" s="134" t="inlineStr">
        <is>
          <t>03-001-0431-0702 BU-2XL</t>
        </is>
      </c>
      <c r="D153" s="5">
        <f>IF($I2="","",INDEX(Productos!$B:$B,$I2))</f>
        <v/>
      </c>
      <c r="E153" s="5">
        <f>IF($I2="","",INDEX(Productos!$H:$H,$I2))</f>
        <v/>
      </c>
      <c r="F153" s="5">
        <f>IF($I2="","",INDEX(Productos!$I:$I,$I2))</f>
        <v/>
      </c>
      <c r="G153" s="135" t="n">
        <v>3</v>
      </c>
      <c r="H153" s="5">
        <f>IF($I2="","",INDEX(Productos!$AG:$AG,$I2))</f>
        <v/>
      </c>
      <c r="I153" s="136">
        <f>LET(_xlpm.r,Productos!$E$2:$E$285,_xlpm.m,IFERROR(_xlfn.XMATCH(C153,_xlpm.r),IFERROR(_xlfn.XMATCH(VALUE(C153),_xlpm.r),0)),IF(_xlpm.m=0,"",_xlpm.m+1))</f>
        <v/>
      </c>
      <c r="J153" s="137" t="inlineStr">
        <is>
          <t>Odoo</t>
        </is>
      </c>
    </row>
    <row r="154">
      <c r="A154" s="5" t="inlineStr">
        <is>
          <t>Odoo Universal Unique Brands › Bodega 25 › Bodega 25/General</t>
        </is>
      </c>
      <c r="B154" s="5">
        <f>IF($I2="","",INDEX(Productos!$A:$A,$I2))</f>
        <v/>
      </c>
      <c r="C154" s="134" t="inlineStr">
        <is>
          <t>03-001-0431-0702 BU-L</t>
        </is>
      </c>
      <c r="D154" s="5">
        <f>IF($I2="","",INDEX(Productos!$B:$B,$I2))</f>
        <v/>
      </c>
      <c r="E154" s="5">
        <f>IF($I2="","",INDEX(Productos!$H:$H,$I2))</f>
        <v/>
      </c>
      <c r="F154" s="5">
        <f>IF($I2="","",INDEX(Productos!$I:$I,$I2))</f>
        <v/>
      </c>
      <c r="G154" s="135" t="n">
        <v>10</v>
      </c>
      <c r="H154" s="5">
        <f>IF($I2="","",INDEX(Productos!$AG:$AG,$I2))</f>
        <v/>
      </c>
      <c r="I154" s="136">
        <f>LET(_xlpm.r,Productos!$E$2:$E$285,_xlpm.m,IFERROR(_xlfn.XMATCH(C154,_xlpm.r),IFERROR(_xlfn.XMATCH(VALUE(C154),_xlpm.r),0)),IF(_xlpm.m=0,"",_xlpm.m+1))</f>
        <v/>
      </c>
      <c r="J154" s="137" t="inlineStr">
        <is>
          <t>Odoo</t>
        </is>
      </c>
    </row>
    <row r="155">
      <c r="A155" s="5" t="inlineStr">
        <is>
          <t>Odoo Universal Unique Brands › Bodega 25 › Bodega 25/General</t>
        </is>
      </c>
      <c r="B155" s="5">
        <f>IF($I2="","",INDEX(Productos!$A:$A,$I2))</f>
        <v/>
      </c>
      <c r="C155" s="134" t="inlineStr">
        <is>
          <t>03-001-0431-0702 BU-M</t>
        </is>
      </c>
      <c r="D155" s="5">
        <f>IF($I2="","",INDEX(Productos!$B:$B,$I2))</f>
        <v/>
      </c>
      <c r="E155" s="5">
        <f>IF($I2="","",INDEX(Productos!$H:$H,$I2))</f>
        <v/>
      </c>
      <c r="F155" s="5">
        <f>IF($I2="","",INDEX(Productos!$I:$I,$I2))</f>
        <v/>
      </c>
      <c r="G155" s="135" t="n">
        <v>10</v>
      </c>
      <c r="H155" s="5">
        <f>IF($I2="","",INDEX(Productos!$AG:$AG,$I2))</f>
        <v/>
      </c>
      <c r="I155" s="136">
        <f>LET(_xlpm.r,Productos!$E$2:$E$285,_xlpm.m,IFERROR(_xlfn.XMATCH(C155,_xlpm.r),IFERROR(_xlfn.XMATCH(VALUE(C155),_xlpm.r),0)),IF(_xlpm.m=0,"",_xlpm.m+1))</f>
        <v/>
      </c>
      <c r="J155" s="137" t="inlineStr">
        <is>
          <t>Odoo</t>
        </is>
      </c>
    </row>
    <row r="156">
      <c r="A156" s="5" t="inlineStr">
        <is>
          <t>Odoo Universal Unique Brands › Bodega 25 › Bodega 25/General</t>
        </is>
      </c>
      <c r="B156" s="5">
        <f>IF($I2="","",INDEX(Productos!$A:$A,$I2))</f>
        <v/>
      </c>
      <c r="C156" s="134" t="inlineStr">
        <is>
          <t>03-001-0431-0702 BU-S</t>
        </is>
      </c>
      <c r="D156" s="5">
        <f>IF($I2="","",INDEX(Productos!$B:$B,$I2))</f>
        <v/>
      </c>
      <c r="E156" s="5">
        <f>IF($I2="","",INDEX(Productos!$H:$H,$I2))</f>
        <v/>
      </c>
      <c r="F156" s="5">
        <f>IF($I2="","",INDEX(Productos!$I:$I,$I2))</f>
        <v/>
      </c>
      <c r="G156" s="135" t="n">
        <v>10</v>
      </c>
      <c r="H156" s="5">
        <f>IF($I2="","",INDEX(Productos!$AG:$AG,$I2))</f>
        <v/>
      </c>
      <c r="I156" s="136">
        <f>LET(_xlpm.r,Productos!$E$2:$E$285,_xlpm.m,IFERROR(_xlfn.XMATCH(C156,_xlpm.r),IFERROR(_xlfn.XMATCH(VALUE(C156),_xlpm.r),0)),IF(_xlpm.m=0,"",_xlpm.m+1))</f>
        <v/>
      </c>
      <c r="J156" s="137" t="inlineStr">
        <is>
          <t>Odoo</t>
        </is>
      </c>
    </row>
    <row r="157">
      <c r="A157" s="5" t="inlineStr">
        <is>
          <t>Odoo Universal Unique Brands › Bodega 25 › Bodega 25/General</t>
        </is>
      </c>
      <c r="B157" s="5">
        <f>IF($I2="","",INDEX(Productos!$A:$A,$I2))</f>
        <v/>
      </c>
      <c r="C157" s="134" t="inlineStr">
        <is>
          <t>03-001-0431-0702 BU-XL</t>
        </is>
      </c>
      <c r="D157" s="5">
        <f>IF($I2="","",INDEX(Productos!$B:$B,$I2))</f>
        <v/>
      </c>
      <c r="E157" s="5">
        <f>IF($I2="","",INDEX(Productos!$H:$H,$I2))</f>
        <v/>
      </c>
      <c r="F157" s="5">
        <f>IF($I2="","",INDEX(Productos!$I:$I,$I2))</f>
        <v/>
      </c>
      <c r="G157" s="135" t="n">
        <v>10</v>
      </c>
      <c r="H157" s="5">
        <f>IF($I2="","",INDEX(Productos!$AG:$AG,$I2))</f>
        <v/>
      </c>
      <c r="I157" s="136">
        <f>LET(_xlpm.r,Productos!$E$2:$E$285,_xlpm.m,IFERROR(_xlfn.XMATCH(C157,_xlpm.r),IFERROR(_xlfn.XMATCH(VALUE(C157),_xlpm.r),0)),IF(_xlpm.m=0,"",_xlpm.m+1))</f>
        <v/>
      </c>
      <c r="J157" s="137" t="inlineStr">
        <is>
          <t>Odoo</t>
        </is>
      </c>
    </row>
    <row r="158">
      <c r="A158" s="5" t="inlineStr">
        <is>
          <t>Odoo Universal Unique Brands › Bodega 25 › Bodega 25/General</t>
        </is>
      </c>
      <c r="B158" s="5">
        <f>IF($I2="","",INDEX(Productos!$A:$A,$I2))</f>
        <v/>
      </c>
      <c r="C158" s="134" t="inlineStr">
        <is>
          <t>03-050-0040-6001 BL-L</t>
        </is>
      </c>
      <c r="D158" s="5">
        <f>IF($I2="","",INDEX(Productos!$B:$B,$I2))</f>
        <v/>
      </c>
      <c r="E158" s="5">
        <f>IF($I2="","",INDEX(Productos!$H:$H,$I2))</f>
        <v/>
      </c>
      <c r="F158" s="5">
        <f>IF($I2="","",INDEX(Productos!$I:$I,$I2))</f>
        <v/>
      </c>
      <c r="G158" s="135" t="n">
        <v>11</v>
      </c>
      <c r="H158" s="5">
        <f>IF($I2="","",INDEX(Productos!$AG:$AG,$I2))</f>
        <v/>
      </c>
      <c r="I158" s="136">
        <f>LET(_xlpm.r,Productos!$E$2:$E$285,_xlpm.m,IFERROR(_xlfn.XMATCH(C158,_xlpm.r),IFERROR(_xlfn.XMATCH(VALUE(C158),_xlpm.r),0)),IF(_xlpm.m=0,"",_xlpm.m+1))</f>
        <v/>
      </c>
      <c r="J158" s="137" t="inlineStr">
        <is>
          <t>Odoo</t>
        </is>
      </c>
    </row>
    <row r="159">
      <c r="A159" s="5" t="inlineStr">
        <is>
          <t>Odoo Universal Unique Brands › Bodega 25 › Bodega 25/General</t>
        </is>
      </c>
      <c r="B159" s="5">
        <f>IF($I2="","",INDEX(Productos!$A:$A,$I2))</f>
        <v/>
      </c>
      <c r="C159" s="134" t="inlineStr">
        <is>
          <t>03-050-0040-6001 BL-M</t>
        </is>
      </c>
      <c r="D159" s="5">
        <f>IF($I2="","",INDEX(Productos!$B:$B,$I2))</f>
        <v/>
      </c>
      <c r="E159" s="5">
        <f>IF($I2="","",INDEX(Productos!$H:$H,$I2))</f>
        <v/>
      </c>
      <c r="F159" s="5">
        <f>IF($I2="","",INDEX(Productos!$I:$I,$I2))</f>
        <v/>
      </c>
      <c r="G159" s="135" t="n">
        <v>11</v>
      </c>
      <c r="H159" s="5">
        <f>IF($I2="","",INDEX(Productos!$AG:$AG,$I2))</f>
        <v/>
      </c>
      <c r="I159" s="136">
        <f>LET(_xlpm.r,Productos!$E$2:$E$285,_xlpm.m,IFERROR(_xlfn.XMATCH(C159,_xlpm.r),IFERROR(_xlfn.XMATCH(VALUE(C159),_xlpm.r),0)),IF(_xlpm.m=0,"",_xlpm.m+1))</f>
        <v/>
      </c>
      <c r="J159" s="137" t="inlineStr">
        <is>
          <t>Odoo</t>
        </is>
      </c>
    </row>
    <row r="160">
      <c r="A160" s="5" t="inlineStr">
        <is>
          <t>Odoo Universal Unique Brands › Bodega 25 › Bodega 25/General</t>
        </is>
      </c>
      <c r="B160" s="5">
        <f>IF($I2="","",INDEX(Productos!$A:$A,$I2))</f>
        <v/>
      </c>
      <c r="C160" s="134" t="inlineStr">
        <is>
          <t>03-050-0040-6001 BL-S</t>
        </is>
      </c>
      <c r="D160" s="5">
        <f>IF($I2="","",INDEX(Productos!$B:$B,$I2))</f>
        <v/>
      </c>
      <c r="E160" s="5">
        <f>IF($I2="","",INDEX(Productos!$H:$H,$I2))</f>
        <v/>
      </c>
      <c r="F160" s="5">
        <f>IF($I2="","",INDEX(Productos!$I:$I,$I2))</f>
        <v/>
      </c>
      <c r="G160" s="135" t="n">
        <v>10</v>
      </c>
      <c r="H160" s="5">
        <f>IF($I2="","",INDEX(Productos!$AG:$AG,$I2))</f>
        <v/>
      </c>
      <c r="I160" s="136">
        <f>LET(_xlpm.r,Productos!$E$2:$E$285,_xlpm.m,IFERROR(_xlfn.XMATCH(C160,_xlpm.r),IFERROR(_xlfn.XMATCH(VALUE(C160),_xlpm.r),0)),IF(_xlpm.m=0,"",_xlpm.m+1))</f>
        <v/>
      </c>
      <c r="J160" s="137" t="inlineStr">
        <is>
          <t>Odoo</t>
        </is>
      </c>
    </row>
    <row r="161">
      <c r="A161" s="5" t="inlineStr">
        <is>
          <t>Odoo Universal Unique Brands › Bodega 25 › Bodega 25/General</t>
        </is>
      </c>
      <c r="B161" s="5">
        <f>IF($I2="","",INDEX(Productos!$A:$A,$I2))</f>
        <v/>
      </c>
      <c r="C161" s="134" t="inlineStr">
        <is>
          <t>03-050-0040-6001 BL-XL</t>
        </is>
      </c>
      <c r="D161" s="5">
        <f>IF($I2="","",INDEX(Productos!$B:$B,$I2))</f>
        <v/>
      </c>
      <c r="E161" s="5">
        <f>IF($I2="","",INDEX(Productos!$H:$H,$I2))</f>
        <v/>
      </c>
      <c r="F161" s="5">
        <f>IF($I2="","",INDEX(Productos!$I:$I,$I2))</f>
        <v/>
      </c>
      <c r="G161" s="135" t="n">
        <v>12</v>
      </c>
      <c r="H161" s="5">
        <f>IF($I2="","",INDEX(Productos!$AG:$AG,$I2))</f>
        <v/>
      </c>
      <c r="I161" s="136">
        <f>LET(_xlpm.r,Productos!$E$2:$E$285,_xlpm.m,IFERROR(_xlfn.XMATCH(C161,_xlpm.r),IFERROR(_xlfn.XMATCH(VALUE(C161),_xlpm.r),0)),IF(_xlpm.m=0,"",_xlpm.m+1))</f>
        <v/>
      </c>
      <c r="J161" s="137" t="inlineStr">
        <is>
          <t>Odoo</t>
        </is>
      </c>
    </row>
    <row r="162">
      <c r="A162" s="5" t="inlineStr">
        <is>
          <t>Odoo Universal Unique Brands › Bodega 25 › Bodega 25/General</t>
        </is>
      </c>
      <c r="B162" s="5">
        <f>IF($I2="","",INDEX(Productos!$A:$A,$I2))</f>
        <v/>
      </c>
      <c r="C162" s="134" t="inlineStr">
        <is>
          <t>03-050-0040-6004 BU-L</t>
        </is>
      </c>
      <c r="D162" s="5">
        <f>IF($I2="","",INDEX(Productos!$B:$B,$I2))</f>
        <v/>
      </c>
      <c r="E162" s="5">
        <f>IF($I2="","",INDEX(Productos!$H:$H,$I2))</f>
        <v/>
      </c>
      <c r="F162" s="5">
        <f>IF($I2="","",INDEX(Productos!$I:$I,$I2))</f>
        <v/>
      </c>
      <c r="G162" s="135" t="n">
        <v>10</v>
      </c>
      <c r="H162" s="5">
        <f>IF($I2="","",INDEX(Productos!$AG:$AG,$I2))</f>
        <v/>
      </c>
      <c r="I162" s="136">
        <f>LET(_xlpm.r,Productos!$E$2:$E$285,_xlpm.m,IFERROR(_xlfn.XMATCH(C162,_xlpm.r),IFERROR(_xlfn.XMATCH(VALUE(C162),_xlpm.r),0)),IF(_xlpm.m=0,"",_xlpm.m+1))</f>
        <v/>
      </c>
      <c r="J162" s="137" t="inlineStr">
        <is>
          <t>Odoo</t>
        </is>
      </c>
    </row>
    <row r="163">
      <c r="A163" s="5" t="inlineStr">
        <is>
          <t>Odoo Universal Unique Brands › Bodega 25 › Bodega 25/General</t>
        </is>
      </c>
      <c r="B163" s="5">
        <f>IF($I2="","",INDEX(Productos!$A:$A,$I2))</f>
        <v/>
      </c>
      <c r="C163" s="134" t="inlineStr">
        <is>
          <t>03-050-0040-6004 BU-M</t>
        </is>
      </c>
      <c r="D163" s="5">
        <f>IF($I2="","",INDEX(Productos!$B:$B,$I2))</f>
        <v/>
      </c>
      <c r="E163" s="5">
        <f>IF($I2="","",INDEX(Productos!$H:$H,$I2))</f>
        <v/>
      </c>
      <c r="F163" s="5">
        <f>IF($I2="","",INDEX(Productos!$I:$I,$I2))</f>
        <v/>
      </c>
      <c r="G163" s="135" t="n">
        <v>9</v>
      </c>
      <c r="H163" s="5">
        <f>IF($I2="","",INDEX(Productos!$AG:$AG,$I2))</f>
        <v/>
      </c>
      <c r="I163" s="136">
        <f>LET(_xlpm.r,Productos!$E$2:$E$285,_xlpm.m,IFERROR(_xlfn.XMATCH(C163,_xlpm.r),IFERROR(_xlfn.XMATCH(VALUE(C163),_xlpm.r),0)),IF(_xlpm.m=0,"",_xlpm.m+1))</f>
        <v/>
      </c>
      <c r="J163" s="137" t="inlineStr">
        <is>
          <t>Odoo</t>
        </is>
      </c>
    </row>
    <row r="164">
      <c r="A164" s="5" t="inlineStr">
        <is>
          <t>Odoo Universal Unique Brands › Bodega 25 › Bodega 25/General</t>
        </is>
      </c>
      <c r="B164" s="5">
        <f>IF($I2="","",INDEX(Productos!$A:$A,$I2))</f>
        <v/>
      </c>
      <c r="C164" s="134" t="inlineStr">
        <is>
          <t>03-050-0040-6004 BU-S</t>
        </is>
      </c>
      <c r="D164" s="5">
        <f>IF($I2="","",INDEX(Productos!$B:$B,$I2))</f>
        <v/>
      </c>
      <c r="E164" s="5">
        <f>IF($I2="","",INDEX(Productos!$H:$H,$I2))</f>
        <v/>
      </c>
      <c r="F164" s="5">
        <f>IF($I2="","",INDEX(Productos!$I:$I,$I2))</f>
        <v/>
      </c>
      <c r="G164" s="135" t="n">
        <v>7</v>
      </c>
      <c r="H164" s="5">
        <f>IF($I2="","",INDEX(Productos!$AG:$AG,$I2))</f>
        <v/>
      </c>
      <c r="I164" s="136">
        <f>LET(_xlpm.r,Productos!$E$2:$E$285,_xlpm.m,IFERROR(_xlfn.XMATCH(C164,_xlpm.r),IFERROR(_xlfn.XMATCH(VALUE(C164),_xlpm.r),0)),IF(_xlpm.m=0,"",_xlpm.m+1))</f>
        <v/>
      </c>
      <c r="J164" s="137" t="inlineStr">
        <is>
          <t>Odoo</t>
        </is>
      </c>
    </row>
    <row r="165">
      <c r="A165" s="5" t="inlineStr">
        <is>
          <t>Odoo Universal Unique Brands › Bodega 25 › Bodega 25/General</t>
        </is>
      </c>
      <c r="B165" s="5">
        <f>IF($I2="","",INDEX(Productos!$A:$A,$I2))</f>
        <v/>
      </c>
      <c r="C165" s="134" t="inlineStr">
        <is>
          <t>03-050-0040-6004 BU-XL</t>
        </is>
      </c>
      <c r="D165" s="5">
        <f>IF($I2="","",INDEX(Productos!$B:$B,$I2))</f>
        <v/>
      </c>
      <c r="E165" s="5">
        <f>IF($I2="","",INDEX(Productos!$H:$H,$I2))</f>
        <v/>
      </c>
      <c r="F165" s="5">
        <f>IF($I2="","",INDEX(Productos!$I:$I,$I2))</f>
        <v/>
      </c>
      <c r="G165" s="135" t="n">
        <v>9</v>
      </c>
      <c r="H165" s="5">
        <f>IF($I2="","",INDEX(Productos!$AG:$AG,$I2))</f>
        <v/>
      </c>
      <c r="I165" s="136">
        <f>LET(_xlpm.r,Productos!$E$2:$E$285,_xlpm.m,IFERROR(_xlfn.XMATCH(C165,_xlpm.r),IFERROR(_xlfn.XMATCH(VALUE(C165),_xlpm.r),0)),IF(_xlpm.m=0,"",_xlpm.m+1))</f>
        <v/>
      </c>
      <c r="J165" s="137" t="inlineStr">
        <is>
          <t>Odoo</t>
        </is>
      </c>
    </row>
    <row r="166">
      <c r="A166" s="5" t="inlineStr">
        <is>
          <t>Odoo Universal Unique Brands › Bodega 25 › Bodega 25/General</t>
        </is>
      </c>
      <c r="B166" s="5">
        <f>IF($I2="","",INDEX(Productos!$A:$A,$I2))</f>
        <v/>
      </c>
      <c r="C166" s="134" t="inlineStr">
        <is>
          <t>03-050-0040-6004 BU-XS</t>
        </is>
      </c>
      <c r="D166" s="5">
        <f>IF($I2="","",INDEX(Productos!$B:$B,$I2))</f>
        <v/>
      </c>
      <c r="E166" s="5">
        <f>IF($I2="","",INDEX(Productos!$H:$H,$I2))</f>
        <v/>
      </c>
      <c r="F166" s="5">
        <f>IF($I2="","",INDEX(Productos!$I:$I,$I2))</f>
        <v/>
      </c>
      <c r="G166" s="135" t="n">
        <v>5</v>
      </c>
      <c r="H166" s="5">
        <f>IF($I2="","",INDEX(Productos!$AG:$AG,$I2))</f>
        <v/>
      </c>
      <c r="I166" s="136">
        <f>LET(_xlpm.r,Productos!$E$2:$E$285,_xlpm.m,IFERROR(_xlfn.XMATCH(C166,_xlpm.r),IFERROR(_xlfn.XMATCH(VALUE(C166),_xlpm.r),0)),IF(_xlpm.m=0,"",_xlpm.m+1))</f>
        <v/>
      </c>
      <c r="J166" s="137" t="inlineStr">
        <is>
          <t>Odoo</t>
        </is>
      </c>
    </row>
    <row r="167">
      <c r="A167" s="5" t="inlineStr">
        <is>
          <t>Odoo Universal Unique Brands › Bodega 25 › Bodega 25/General</t>
        </is>
      </c>
      <c r="B167" s="5">
        <f>IF($I2="","",INDEX(Productos!$A:$A,$I2))</f>
        <v/>
      </c>
      <c r="C167" s="134" t="inlineStr">
        <is>
          <t>03-050-0062-0160 BU-L</t>
        </is>
      </c>
      <c r="D167" s="5">
        <f>IF($I2="","",INDEX(Productos!$B:$B,$I2))</f>
        <v/>
      </c>
      <c r="E167" s="5">
        <f>IF($I2="","",INDEX(Productos!$H:$H,$I2))</f>
        <v/>
      </c>
      <c r="F167" s="5">
        <f>IF($I2="","",INDEX(Productos!$I:$I,$I2))</f>
        <v/>
      </c>
      <c r="G167" s="135" t="n">
        <v>20</v>
      </c>
      <c r="H167" s="5">
        <f>IF($I2="","",INDEX(Productos!$AG:$AG,$I2))</f>
        <v/>
      </c>
      <c r="I167" s="136">
        <f>LET(_xlpm.r,Productos!$E$2:$E$285,_xlpm.m,IFERROR(_xlfn.XMATCH(C167,_xlpm.r),IFERROR(_xlfn.XMATCH(VALUE(C167),_xlpm.r),0)),IF(_xlpm.m=0,"",_xlpm.m+1))</f>
        <v/>
      </c>
      <c r="J167" s="137" t="inlineStr">
        <is>
          <t>Odoo</t>
        </is>
      </c>
    </row>
    <row r="168">
      <c r="A168" s="5" t="inlineStr">
        <is>
          <t>Odoo Universal Unique Brands › Bodega 25 › Bodega 25/General</t>
        </is>
      </c>
      <c r="B168" s="5">
        <f>IF($I2="","",INDEX(Productos!$A:$A,$I2))</f>
        <v/>
      </c>
      <c r="C168" s="134" t="inlineStr">
        <is>
          <t>03-050-0062-0160 BU-M</t>
        </is>
      </c>
      <c r="D168" s="5">
        <f>IF($I2="","",INDEX(Productos!$B:$B,$I2))</f>
        <v/>
      </c>
      <c r="E168" s="5">
        <f>IF($I2="","",INDEX(Productos!$H:$H,$I2))</f>
        <v/>
      </c>
      <c r="F168" s="5">
        <f>IF($I2="","",INDEX(Productos!$I:$I,$I2))</f>
        <v/>
      </c>
      <c r="G168" s="135" t="n">
        <v>20</v>
      </c>
      <c r="H168" s="5">
        <f>IF($I2="","",INDEX(Productos!$AG:$AG,$I2))</f>
        <v/>
      </c>
      <c r="I168" s="136">
        <f>LET(_xlpm.r,Productos!$E$2:$E$285,_xlpm.m,IFERROR(_xlfn.XMATCH(C168,_xlpm.r),IFERROR(_xlfn.XMATCH(VALUE(C168),_xlpm.r),0)),IF(_xlpm.m=0,"",_xlpm.m+1))</f>
        <v/>
      </c>
      <c r="J168" s="137" t="inlineStr">
        <is>
          <t>Odoo</t>
        </is>
      </c>
    </row>
    <row r="169">
      <c r="A169" s="5" t="inlineStr">
        <is>
          <t>Odoo Universal Unique Brands › Bodega 25 › Bodega 25/General</t>
        </is>
      </c>
      <c r="B169" s="5">
        <f>IF($I2="","",INDEX(Productos!$A:$A,$I2))</f>
        <v/>
      </c>
      <c r="C169" s="134" t="inlineStr">
        <is>
          <t>03-050-0062-0160 BU-S</t>
        </is>
      </c>
      <c r="D169" s="5">
        <f>IF($I2="","",INDEX(Productos!$B:$B,$I2))</f>
        <v/>
      </c>
      <c r="E169" s="5">
        <f>IF($I2="","",INDEX(Productos!$H:$H,$I2))</f>
        <v/>
      </c>
      <c r="F169" s="5">
        <f>IF($I2="","",INDEX(Productos!$I:$I,$I2))</f>
        <v/>
      </c>
      <c r="G169" s="135" t="n">
        <v>20</v>
      </c>
      <c r="H169" s="5">
        <f>IF($I2="","",INDEX(Productos!$AG:$AG,$I2))</f>
        <v/>
      </c>
      <c r="I169" s="136">
        <f>LET(_xlpm.r,Productos!$E$2:$E$285,_xlpm.m,IFERROR(_xlfn.XMATCH(C169,_xlpm.r),IFERROR(_xlfn.XMATCH(VALUE(C169),_xlpm.r),0)),IF(_xlpm.m=0,"",_xlpm.m+1))</f>
        <v/>
      </c>
      <c r="J169" s="137" t="inlineStr">
        <is>
          <t>Odoo</t>
        </is>
      </c>
    </row>
    <row r="170">
      <c r="A170" s="5" t="inlineStr">
        <is>
          <t>Odoo Universal Unique Brands › Bodega 25 › Bodega 25/General</t>
        </is>
      </c>
      <c r="B170" s="5">
        <f>IF($I2="","",INDEX(Productos!$A:$A,$I2))</f>
        <v/>
      </c>
      <c r="C170" s="134" t="inlineStr">
        <is>
          <t>03-050-0062-0160 BU-XL</t>
        </is>
      </c>
      <c r="D170" s="5">
        <f>IF($I2="","",INDEX(Productos!$B:$B,$I2))</f>
        <v/>
      </c>
      <c r="E170" s="5">
        <f>IF($I2="","",INDEX(Productos!$H:$H,$I2))</f>
        <v/>
      </c>
      <c r="F170" s="5">
        <f>IF($I2="","",INDEX(Productos!$I:$I,$I2))</f>
        <v/>
      </c>
      <c r="G170" s="135" t="n">
        <v>10</v>
      </c>
      <c r="H170" s="5">
        <f>IF($I2="","",INDEX(Productos!$AG:$AG,$I2))</f>
        <v/>
      </c>
      <c r="I170" s="136">
        <f>LET(_xlpm.r,Productos!$E$2:$E$285,_xlpm.m,IFERROR(_xlfn.XMATCH(C170,_xlpm.r),IFERROR(_xlfn.XMATCH(VALUE(C170),_xlpm.r),0)),IF(_xlpm.m=0,"",_xlpm.m+1))</f>
        <v/>
      </c>
      <c r="J170" s="137" t="inlineStr">
        <is>
          <t>Odoo</t>
        </is>
      </c>
    </row>
    <row r="171">
      <c r="A171" s="5" t="inlineStr">
        <is>
          <t>Odoo Universal Unique Brands › Bodega 25 › Bodega 25/General</t>
        </is>
      </c>
      <c r="B171" s="5">
        <f>IF($I2="","",INDEX(Productos!$A:$A,$I2))</f>
        <v/>
      </c>
      <c r="C171" s="134" t="inlineStr">
        <is>
          <t>03-050-0062-0160 BU-XS</t>
        </is>
      </c>
      <c r="D171" s="5">
        <f>IF($I2="","",INDEX(Productos!$B:$B,$I2))</f>
        <v/>
      </c>
      <c r="E171" s="5">
        <f>IF($I2="","",INDEX(Productos!$H:$H,$I2))</f>
        <v/>
      </c>
      <c r="F171" s="5">
        <f>IF($I2="","",INDEX(Productos!$I:$I,$I2))</f>
        <v/>
      </c>
      <c r="G171" s="135" t="n">
        <v>10</v>
      </c>
      <c r="H171" s="5">
        <f>IF($I2="","",INDEX(Productos!$AG:$AG,$I2))</f>
        <v/>
      </c>
      <c r="I171" s="136">
        <f>LET(_xlpm.r,Productos!$E$2:$E$285,_xlpm.m,IFERROR(_xlfn.XMATCH(C171,_xlpm.r),IFERROR(_xlfn.XMATCH(VALUE(C171),_xlpm.r),0)),IF(_xlpm.m=0,"",_xlpm.m+1))</f>
        <v/>
      </c>
      <c r="J171" s="137" t="inlineStr">
        <is>
          <t>Odoo</t>
        </is>
      </c>
    </row>
    <row r="172">
      <c r="A172" s="5" t="inlineStr">
        <is>
          <t>Odoo Universal Unique Brands › Bodega 25 › Bodega 25/General</t>
        </is>
      </c>
      <c r="B172" s="5">
        <f>IF($I2="","",INDEX(Productos!$A:$A,$I2))</f>
        <v/>
      </c>
      <c r="C172" s="134" t="inlineStr">
        <is>
          <t>03-050-0062-0709 BR-L</t>
        </is>
      </c>
      <c r="D172" s="5">
        <f>IF($I2="","",INDEX(Productos!$B:$B,$I2))</f>
        <v/>
      </c>
      <c r="E172" s="5">
        <f>IF($I2="","",INDEX(Productos!$H:$H,$I2))</f>
        <v/>
      </c>
      <c r="F172" s="5">
        <f>IF($I2="","",INDEX(Productos!$I:$I,$I2))</f>
        <v/>
      </c>
      <c r="G172" s="135" t="n">
        <v>12</v>
      </c>
      <c r="H172" s="5">
        <f>IF($I2="","",INDEX(Productos!$AG:$AG,$I2))</f>
        <v/>
      </c>
      <c r="I172" s="136">
        <f>LET(_xlpm.r,Productos!$E$2:$E$285,_xlpm.m,IFERROR(_xlfn.XMATCH(C172,_xlpm.r),IFERROR(_xlfn.XMATCH(VALUE(C172),_xlpm.r),0)),IF(_xlpm.m=0,"",_xlpm.m+1))</f>
        <v/>
      </c>
      <c r="J172" s="137" t="inlineStr">
        <is>
          <t>Odoo</t>
        </is>
      </c>
    </row>
    <row r="173">
      <c r="A173" s="5" t="inlineStr">
        <is>
          <t>Odoo Universal Unique Brands › Bodega 25 › Bodega 25/General</t>
        </is>
      </c>
      <c r="B173" s="5">
        <f>IF($I2="","",INDEX(Productos!$A:$A,$I2))</f>
        <v/>
      </c>
      <c r="C173" s="134" t="inlineStr">
        <is>
          <t>03-050-0062-0709 BR-M</t>
        </is>
      </c>
      <c r="D173" s="5">
        <f>IF($I2="","",INDEX(Productos!$B:$B,$I2))</f>
        <v/>
      </c>
      <c r="E173" s="5">
        <f>IF($I2="","",INDEX(Productos!$H:$H,$I2))</f>
        <v/>
      </c>
      <c r="F173" s="5">
        <f>IF($I2="","",INDEX(Productos!$I:$I,$I2))</f>
        <v/>
      </c>
      <c r="G173" s="135" t="n">
        <v>12</v>
      </c>
      <c r="H173" s="5">
        <f>IF($I2="","",INDEX(Productos!$AG:$AG,$I2))</f>
        <v/>
      </c>
      <c r="I173" s="136">
        <f>LET(_xlpm.r,Productos!$E$2:$E$285,_xlpm.m,IFERROR(_xlfn.XMATCH(C173,_xlpm.r),IFERROR(_xlfn.XMATCH(VALUE(C173),_xlpm.r),0)),IF(_xlpm.m=0,"",_xlpm.m+1))</f>
        <v/>
      </c>
      <c r="J173" s="137" t="inlineStr">
        <is>
          <t>Odoo</t>
        </is>
      </c>
    </row>
    <row r="174">
      <c r="A174" s="5" t="inlineStr">
        <is>
          <t>Odoo Universal Unique Brands › Bodega 25 › Bodega 25/General</t>
        </is>
      </c>
      <c r="B174" s="5">
        <f>IF($I2="","",INDEX(Productos!$A:$A,$I2))</f>
        <v/>
      </c>
      <c r="C174" s="134" t="inlineStr">
        <is>
          <t>03-050-0062-0709 BR-S</t>
        </is>
      </c>
      <c r="D174" s="5">
        <f>IF($I2="","",INDEX(Productos!$B:$B,$I2))</f>
        <v/>
      </c>
      <c r="E174" s="5">
        <f>IF($I2="","",INDEX(Productos!$H:$H,$I2))</f>
        <v/>
      </c>
      <c r="F174" s="5">
        <f>IF($I2="","",INDEX(Productos!$I:$I,$I2))</f>
        <v/>
      </c>
      <c r="G174" s="135" t="n">
        <v>11</v>
      </c>
      <c r="H174" s="5">
        <f>IF($I2="","",INDEX(Productos!$AG:$AG,$I2))</f>
        <v/>
      </c>
      <c r="I174" s="136">
        <f>LET(_xlpm.r,Productos!$E$2:$E$285,_xlpm.m,IFERROR(_xlfn.XMATCH(C174,_xlpm.r),IFERROR(_xlfn.XMATCH(VALUE(C174),_xlpm.r),0)),IF(_xlpm.m=0,"",_xlpm.m+1))</f>
        <v/>
      </c>
      <c r="J174" s="137" t="inlineStr">
        <is>
          <t>Odoo</t>
        </is>
      </c>
    </row>
    <row r="175">
      <c r="A175" s="5" t="inlineStr">
        <is>
          <t>Odoo Universal Unique Brands › Bodega 25 › Bodega 25/General</t>
        </is>
      </c>
      <c r="B175" s="5">
        <f>IF($I2="","",INDEX(Productos!$A:$A,$I2))</f>
        <v/>
      </c>
      <c r="C175" s="134" t="inlineStr">
        <is>
          <t>03-050-0062-0709 BR-XL</t>
        </is>
      </c>
      <c r="D175" s="5">
        <f>IF($I2="","",INDEX(Productos!$B:$B,$I2))</f>
        <v/>
      </c>
      <c r="E175" s="5">
        <f>IF($I2="","",INDEX(Productos!$H:$H,$I2))</f>
        <v/>
      </c>
      <c r="F175" s="5">
        <f>IF($I2="","",INDEX(Productos!$I:$I,$I2))</f>
        <v/>
      </c>
      <c r="G175" s="135" t="n">
        <v>11</v>
      </c>
      <c r="H175" s="5">
        <f>IF($I2="","",INDEX(Productos!$AG:$AG,$I2))</f>
        <v/>
      </c>
      <c r="I175" s="136">
        <f>LET(_xlpm.r,Productos!$E$2:$E$285,_xlpm.m,IFERROR(_xlfn.XMATCH(C175,_xlpm.r),IFERROR(_xlfn.XMATCH(VALUE(C175),_xlpm.r),0)),IF(_xlpm.m=0,"",_xlpm.m+1))</f>
        <v/>
      </c>
      <c r="J175" s="137" t="inlineStr">
        <is>
          <t>Odoo</t>
        </is>
      </c>
    </row>
    <row r="176">
      <c r="A176" s="5" t="inlineStr">
        <is>
          <t>Odoo Universal Unique Brands › Bodega 25 › Bodega 25/General</t>
        </is>
      </c>
      <c r="B176" s="5">
        <f>IF($I2="","",INDEX(Productos!$A:$A,$I2))</f>
        <v/>
      </c>
      <c r="C176" s="134" t="inlineStr">
        <is>
          <t>03-050-0062-0711 GR-L</t>
        </is>
      </c>
      <c r="D176" s="5">
        <f>IF($I2="","",INDEX(Productos!$B:$B,$I2))</f>
        <v/>
      </c>
      <c r="E176" s="5">
        <f>IF($I2="","",INDEX(Productos!$H:$H,$I2))</f>
        <v/>
      </c>
      <c r="F176" s="5">
        <f>IF($I2="","",INDEX(Productos!$I:$I,$I2))</f>
        <v/>
      </c>
      <c r="G176" s="135" t="n">
        <v>5</v>
      </c>
      <c r="H176" s="5">
        <f>IF($I2="","",INDEX(Productos!$AG:$AG,$I2))</f>
        <v/>
      </c>
      <c r="I176" s="136">
        <f>LET(_xlpm.r,Productos!$E$2:$E$285,_xlpm.m,IFERROR(_xlfn.XMATCH(C176,_xlpm.r),IFERROR(_xlfn.XMATCH(VALUE(C176),_xlpm.r),0)),IF(_xlpm.m=0,"",_xlpm.m+1))</f>
        <v/>
      </c>
      <c r="J176" s="137" t="inlineStr">
        <is>
          <t>Odoo</t>
        </is>
      </c>
    </row>
    <row r="177">
      <c r="A177" s="5" t="inlineStr">
        <is>
          <t>Odoo Universal Unique Brands › Bodega 25 › Bodega 25/General</t>
        </is>
      </c>
      <c r="B177" s="5">
        <f>IF($I2="","",INDEX(Productos!$A:$A,$I2))</f>
        <v/>
      </c>
      <c r="C177" s="134" t="inlineStr">
        <is>
          <t>03-050-0062-0711 GR-M</t>
        </is>
      </c>
      <c r="D177" s="5">
        <f>IF($I2="","",INDEX(Productos!$B:$B,$I2))</f>
        <v/>
      </c>
      <c r="E177" s="5">
        <f>IF($I2="","",INDEX(Productos!$H:$H,$I2))</f>
        <v/>
      </c>
      <c r="F177" s="5">
        <f>IF($I2="","",INDEX(Productos!$I:$I,$I2))</f>
        <v/>
      </c>
      <c r="G177" s="135" t="n">
        <v>5</v>
      </c>
      <c r="H177" s="5">
        <f>IF($I2="","",INDEX(Productos!$AG:$AG,$I2))</f>
        <v/>
      </c>
      <c r="I177" s="136">
        <f>LET(_xlpm.r,Productos!$E$2:$E$285,_xlpm.m,IFERROR(_xlfn.XMATCH(C177,_xlpm.r),IFERROR(_xlfn.XMATCH(VALUE(C177),_xlpm.r),0)),IF(_xlpm.m=0,"",_xlpm.m+1))</f>
        <v/>
      </c>
      <c r="J177" s="137" t="inlineStr">
        <is>
          <t>Odoo</t>
        </is>
      </c>
    </row>
    <row r="178">
      <c r="A178" s="5" t="inlineStr">
        <is>
          <t>Odoo Universal Unique Brands › Bodega 25 › Bodega 25/General</t>
        </is>
      </c>
      <c r="B178" s="5">
        <f>IF($I2="","",INDEX(Productos!$A:$A,$I2))</f>
        <v/>
      </c>
      <c r="C178" s="134" t="inlineStr">
        <is>
          <t>03-050-0062-0711 GR-S</t>
        </is>
      </c>
      <c r="D178" s="5">
        <f>IF($I2="","",INDEX(Productos!$B:$B,$I2))</f>
        <v/>
      </c>
      <c r="E178" s="5">
        <f>IF($I2="","",INDEX(Productos!$H:$H,$I2))</f>
        <v/>
      </c>
      <c r="F178" s="5">
        <f>IF($I2="","",INDEX(Productos!$I:$I,$I2))</f>
        <v/>
      </c>
      <c r="G178" s="135" t="n">
        <v>5</v>
      </c>
      <c r="H178" s="5">
        <f>IF($I2="","",INDEX(Productos!$AG:$AG,$I2))</f>
        <v/>
      </c>
      <c r="I178" s="136">
        <f>LET(_xlpm.r,Productos!$E$2:$E$285,_xlpm.m,IFERROR(_xlfn.XMATCH(C178,_xlpm.r),IFERROR(_xlfn.XMATCH(VALUE(C178),_xlpm.r),0)),IF(_xlpm.m=0,"",_xlpm.m+1))</f>
        <v/>
      </c>
      <c r="J178" s="137" t="inlineStr">
        <is>
          <t>Odoo</t>
        </is>
      </c>
    </row>
    <row r="179">
      <c r="A179" s="5" t="inlineStr">
        <is>
          <t>Odoo Universal Unique Brands › Bodega 25 › Bodega 25/General</t>
        </is>
      </c>
      <c r="B179" s="5">
        <f>IF($I2="","",INDEX(Productos!$A:$A,$I2))</f>
        <v/>
      </c>
      <c r="C179" s="134" t="inlineStr">
        <is>
          <t>03-050-0062-0711 GR-XL</t>
        </is>
      </c>
      <c r="D179" s="5">
        <f>IF($I2="","",INDEX(Productos!$B:$B,$I2))</f>
        <v/>
      </c>
      <c r="E179" s="5">
        <f>IF($I2="","",INDEX(Productos!$H:$H,$I2))</f>
        <v/>
      </c>
      <c r="F179" s="5">
        <f>IF($I2="","",INDEX(Productos!$I:$I,$I2))</f>
        <v/>
      </c>
      <c r="G179" s="135" t="n">
        <v>5</v>
      </c>
      <c r="H179" s="5">
        <f>IF($I2="","",INDEX(Productos!$AG:$AG,$I2))</f>
        <v/>
      </c>
      <c r="I179" s="136">
        <f>LET(_xlpm.r,Productos!$E$2:$E$285,_xlpm.m,IFERROR(_xlfn.XMATCH(C179,_xlpm.r),IFERROR(_xlfn.XMATCH(VALUE(C179),_xlpm.r),0)),IF(_xlpm.m=0,"",_xlpm.m+1))</f>
        <v/>
      </c>
      <c r="J179" s="137" t="inlineStr">
        <is>
          <t>Odoo</t>
        </is>
      </c>
    </row>
    <row r="180">
      <c r="A180" s="5" t="inlineStr">
        <is>
          <t>Odoo Universal Unique Brands › Bodega 25 › Bodega 25/General</t>
        </is>
      </c>
      <c r="B180" s="5">
        <f>IF($I2="","",INDEX(Productos!$A:$A,$I2))</f>
        <v/>
      </c>
      <c r="C180" s="134" t="inlineStr">
        <is>
          <t>03-050-0064-0730 BL-1XL</t>
        </is>
      </c>
      <c r="D180" s="5">
        <f>IF($I2="","",INDEX(Productos!$B:$B,$I2))</f>
        <v/>
      </c>
      <c r="E180" s="5">
        <f>IF($I2="","",INDEX(Productos!$H:$H,$I2))</f>
        <v/>
      </c>
      <c r="F180" s="5">
        <f>IF($I2="","",INDEX(Productos!$I:$I,$I2))</f>
        <v/>
      </c>
      <c r="G180" s="135" t="n">
        <v>4</v>
      </c>
      <c r="H180" s="5">
        <f>IF($I2="","",INDEX(Productos!$AG:$AG,$I2))</f>
        <v/>
      </c>
      <c r="I180" s="136">
        <f>LET(_xlpm.r,Productos!$E$2:$E$285,_xlpm.m,IFERROR(_xlfn.XMATCH(C180,_xlpm.r),IFERROR(_xlfn.XMATCH(VALUE(C180),_xlpm.r),0)),IF(_xlpm.m=0,"",_xlpm.m+1))</f>
        <v/>
      </c>
      <c r="J180" s="137" t="inlineStr">
        <is>
          <t>Odoo</t>
        </is>
      </c>
    </row>
    <row r="181">
      <c r="A181" s="5" t="inlineStr">
        <is>
          <t>Odoo Universal Unique Brands › Bodega 25 › Bodega 25/General</t>
        </is>
      </c>
      <c r="B181" s="5">
        <f>IF($I2="","",INDEX(Productos!$A:$A,$I2))</f>
        <v/>
      </c>
      <c r="C181" s="134" t="inlineStr">
        <is>
          <t>03-050-0064-0730 BL-L</t>
        </is>
      </c>
      <c r="D181" s="5">
        <f>IF($I2="","",INDEX(Productos!$B:$B,$I2))</f>
        <v/>
      </c>
      <c r="E181" s="5">
        <f>IF($I2="","",INDEX(Productos!$H:$H,$I2))</f>
        <v/>
      </c>
      <c r="F181" s="5">
        <f>IF($I2="","",INDEX(Productos!$I:$I,$I2))</f>
        <v/>
      </c>
      <c r="G181" s="135" t="n">
        <v>10</v>
      </c>
      <c r="H181" s="5">
        <f>IF($I2="","",INDEX(Productos!$AG:$AG,$I2))</f>
        <v/>
      </c>
      <c r="I181" s="136">
        <f>LET(_xlpm.r,Productos!$E$2:$E$285,_xlpm.m,IFERROR(_xlfn.XMATCH(C181,_xlpm.r),IFERROR(_xlfn.XMATCH(VALUE(C181),_xlpm.r),0)),IF(_xlpm.m=0,"",_xlpm.m+1))</f>
        <v/>
      </c>
      <c r="J181" s="137" t="inlineStr">
        <is>
          <t>Odoo</t>
        </is>
      </c>
    </row>
    <row r="182">
      <c r="A182" s="5" t="inlineStr">
        <is>
          <t>Odoo Universal Unique Brands › Bodega 25 › Bodega 25/General</t>
        </is>
      </c>
      <c r="B182" s="5">
        <f>IF($I2="","",INDEX(Productos!$A:$A,$I2))</f>
        <v/>
      </c>
      <c r="C182" s="134" t="inlineStr">
        <is>
          <t>03-050-0064-0730 BL-M</t>
        </is>
      </c>
      <c r="D182" s="5">
        <f>IF($I2="","",INDEX(Productos!$B:$B,$I2))</f>
        <v/>
      </c>
      <c r="E182" s="5">
        <f>IF($I2="","",INDEX(Productos!$H:$H,$I2))</f>
        <v/>
      </c>
      <c r="F182" s="5">
        <f>IF($I2="","",INDEX(Productos!$I:$I,$I2))</f>
        <v/>
      </c>
      <c r="G182" s="135" t="n">
        <v>10</v>
      </c>
      <c r="H182" s="5">
        <f>IF($I2="","",INDEX(Productos!$AG:$AG,$I2))</f>
        <v/>
      </c>
      <c r="I182" s="136">
        <f>LET(_xlpm.r,Productos!$E$2:$E$285,_xlpm.m,IFERROR(_xlfn.XMATCH(C182,_xlpm.r),IFERROR(_xlfn.XMATCH(VALUE(C182),_xlpm.r),0)),IF(_xlpm.m=0,"",_xlpm.m+1))</f>
        <v/>
      </c>
      <c r="J182" s="137" t="inlineStr">
        <is>
          <t>Odoo</t>
        </is>
      </c>
    </row>
    <row r="183">
      <c r="A183" s="5" t="inlineStr">
        <is>
          <t>Odoo Universal Unique Brands › Bodega 25 › Bodega 25/General</t>
        </is>
      </c>
      <c r="B183" s="5">
        <f>IF($I2="","",INDEX(Productos!$A:$A,$I2))</f>
        <v/>
      </c>
      <c r="C183" s="134" t="inlineStr">
        <is>
          <t>03-050-0064-0730 BL-S</t>
        </is>
      </c>
      <c r="D183" s="5">
        <f>IF($I2="","",INDEX(Productos!$B:$B,$I2))</f>
        <v/>
      </c>
      <c r="E183" s="5">
        <f>IF($I2="","",INDEX(Productos!$H:$H,$I2))</f>
        <v/>
      </c>
      <c r="F183" s="5">
        <f>IF($I2="","",INDEX(Productos!$I:$I,$I2))</f>
        <v/>
      </c>
      <c r="G183" s="135" t="n">
        <v>9</v>
      </c>
      <c r="H183" s="5">
        <f>IF($I2="","",INDEX(Productos!$AG:$AG,$I2))</f>
        <v/>
      </c>
      <c r="I183" s="136">
        <f>LET(_xlpm.r,Productos!$E$2:$E$285,_xlpm.m,IFERROR(_xlfn.XMATCH(C183,_xlpm.r),IFERROR(_xlfn.XMATCH(VALUE(C183),_xlpm.r),0)),IF(_xlpm.m=0,"",_xlpm.m+1))</f>
        <v/>
      </c>
      <c r="J183" s="137" t="inlineStr">
        <is>
          <t>Odoo</t>
        </is>
      </c>
    </row>
    <row r="184">
      <c r="A184" s="5" t="inlineStr">
        <is>
          <t>Odoo Universal Unique Brands › Bodega 25 › Bodega 25/General</t>
        </is>
      </c>
      <c r="B184" s="5">
        <f>IF($I2="","",INDEX(Productos!$A:$A,$I2))</f>
        <v/>
      </c>
      <c r="C184" s="134" t="inlineStr">
        <is>
          <t>03-050-0064-0730 BL-XL</t>
        </is>
      </c>
      <c r="D184" s="5">
        <f>IF($I2="","",INDEX(Productos!$B:$B,$I2))</f>
        <v/>
      </c>
      <c r="E184" s="5">
        <f>IF($I2="","",INDEX(Productos!$H:$H,$I2))</f>
        <v/>
      </c>
      <c r="F184" s="5">
        <f>IF($I2="","",INDEX(Productos!$I:$I,$I2))</f>
        <v/>
      </c>
      <c r="G184" s="135" t="n">
        <v>10</v>
      </c>
      <c r="H184" s="5">
        <f>IF($I2="","",INDEX(Productos!$AG:$AG,$I2))</f>
        <v/>
      </c>
      <c r="I184" s="136">
        <f>LET(_xlpm.r,Productos!$E$2:$E$285,_xlpm.m,IFERROR(_xlfn.XMATCH(C184,_xlpm.r),IFERROR(_xlfn.XMATCH(VALUE(C184),_xlpm.r),0)),IF(_xlpm.m=0,"",_xlpm.m+1))</f>
        <v/>
      </c>
      <c r="J184" s="137" t="inlineStr">
        <is>
          <t>Odoo</t>
        </is>
      </c>
    </row>
    <row r="185">
      <c r="A185" s="5" t="inlineStr">
        <is>
          <t>Odoo Universal Unique Brands › Bodega 25 › Bodega 25/General</t>
        </is>
      </c>
      <c r="B185" s="5">
        <f>IF($I2="","",INDEX(Productos!$A:$A,$I2))</f>
        <v/>
      </c>
      <c r="C185" s="134" t="inlineStr">
        <is>
          <t>03-050-0064-0731 BU-L</t>
        </is>
      </c>
      <c r="D185" s="5">
        <f>IF($I2="","",INDEX(Productos!$B:$B,$I2))</f>
        <v/>
      </c>
      <c r="E185" s="5">
        <f>IF($I2="","",INDEX(Productos!$H:$H,$I2))</f>
        <v/>
      </c>
      <c r="F185" s="5">
        <f>IF($I2="","",INDEX(Productos!$I:$I,$I2))</f>
        <v/>
      </c>
      <c r="G185" s="135" t="n">
        <v>7</v>
      </c>
      <c r="H185" s="5">
        <f>IF($I2="","",INDEX(Productos!$AG:$AG,$I2))</f>
        <v/>
      </c>
      <c r="I185" s="136">
        <f>LET(_xlpm.r,Productos!$E$2:$E$285,_xlpm.m,IFERROR(_xlfn.XMATCH(C185,_xlpm.r),IFERROR(_xlfn.XMATCH(VALUE(C185),_xlpm.r),0)),IF(_xlpm.m=0,"",_xlpm.m+1))</f>
        <v/>
      </c>
      <c r="J185" s="137" t="inlineStr">
        <is>
          <t>Odoo</t>
        </is>
      </c>
    </row>
    <row r="186">
      <c r="A186" s="5" t="inlineStr">
        <is>
          <t>Odoo Universal Unique Brands › Bodega 25 › Bodega 25/General</t>
        </is>
      </c>
      <c r="B186" s="5">
        <f>IF($I2="","",INDEX(Productos!$A:$A,$I2))</f>
        <v/>
      </c>
      <c r="C186" s="134" t="inlineStr">
        <is>
          <t>03-050-0064-0731 BU-M</t>
        </is>
      </c>
      <c r="D186" s="5">
        <f>IF($I2="","",INDEX(Productos!$B:$B,$I2))</f>
        <v/>
      </c>
      <c r="E186" s="5">
        <f>IF($I2="","",INDEX(Productos!$H:$H,$I2))</f>
        <v/>
      </c>
      <c r="F186" s="5">
        <f>IF($I2="","",INDEX(Productos!$I:$I,$I2))</f>
        <v/>
      </c>
      <c r="G186" s="135" t="n">
        <v>7</v>
      </c>
      <c r="H186" s="5">
        <f>IF($I2="","",INDEX(Productos!$AG:$AG,$I2))</f>
        <v/>
      </c>
      <c r="I186" s="136">
        <f>LET(_xlpm.r,Productos!$E$2:$E$285,_xlpm.m,IFERROR(_xlfn.XMATCH(C186,_xlpm.r),IFERROR(_xlfn.XMATCH(VALUE(C186),_xlpm.r),0)),IF(_xlpm.m=0,"",_xlpm.m+1))</f>
        <v/>
      </c>
      <c r="J186" s="137" t="inlineStr">
        <is>
          <t>Odoo</t>
        </is>
      </c>
    </row>
    <row r="187">
      <c r="A187" s="5" t="inlineStr">
        <is>
          <t>Odoo Universal Unique Brands › Bodega 25 › Bodega 25/General</t>
        </is>
      </c>
      <c r="B187" s="5">
        <f>IF($I2="","",INDEX(Productos!$A:$A,$I2))</f>
        <v/>
      </c>
      <c r="C187" s="134" t="inlineStr">
        <is>
          <t>03-050-0064-0731 BU-S</t>
        </is>
      </c>
      <c r="D187" s="5">
        <f>IF($I2="","",INDEX(Productos!$B:$B,$I2))</f>
        <v/>
      </c>
      <c r="E187" s="5">
        <f>IF($I2="","",INDEX(Productos!$H:$H,$I2))</f>
        <v/>
      </c>
      <c r="F187" s="5">
        <f>IF($I2="","",INDEX(Productos!$I:$I,$I2))</f>
        <v/>
      </c>
      <c r="G187" s="135" t="n">
        <v>5</v>
      </c>
      <c r="H187" s="5">
        <f>IF($I2="","",INDEX(Productos!$AG:$AG,$I2))</f>
        <v/>
      </c>
      <c r="I187" s="136">
        <f>LET(_xlpm.r,Productos!$E$2:$E$285,_xlpm.m,IFERROR(_xlfn.XMATCH(C187,_xlpm.r),IFERROR(_xlfn.XMATCH(VALUE(C187),_xlpm.r),0)),IF(_xlpm.m=0,"",_xlpm.m+1))</f>
        <v/>
      </c>
      <c r="J187" s="137" t="inlineStr">
        <is>
          <t>Odoo</t>
        </is>
      </c>
    </row>
    <row r="188">
      <c r="A188" s="5" t="inlineStr">
        <is>
          <t>Odoo Universal Unique Brands › Bodega 25 › Bodega 25/General</t>
        </is>
      </c>
      <c r="B188" s="5">
        <f>IF($I2="","",INDEX(Productos!$A:$A,$I2))</f>
        <v/>
      </c>
      <c r="C188" s="134" t="inlineStr">
        <is>
          <t>03-050-0064-0731 BU-XL</t>
        </is>
      </c>
      <c r="D188" s="5">
        <f>IF($I2="","",INDEX(Productos!$B:$B,$I2))</f>
        <v/>
      </c>
      <c r="E188" s="5">
        <f>IF($I2="","",INDEX(Productos!$H:$H,$I2))</f>
        <v/>
      </c>
      <c r="F188" s="5">
        <f>IF($I2="","",INDEX(Productos!$I:$I,$I2))</f>
        <v/>
      </c>
      <c r="G188" s="135" t="n">
        <v>5</v>
      </c>
      <c r="H188" s="5">
        <f>IF($I2="","",INDEX(Productos!$AG:$AG,$I2))</f>
        <v/>
      </c>
      <c r="I188" s="136">
        <f>LET(_xlpm.r,Productos!$E$2:$E$285,_xlpm.m,IFERROR(_xlfn.XMATCH(C188,_xlpm.r),IFERROR(_xlfn.XMATCH(VALUE(C188),_xlpm.r),0)),IF(_xlpm.m=0,"",_xlpm.m+1))</f>
        <v/>
      </c>
      <c r="J188" s="137" t="inlineStr">
        <is>
          <t>Odoo</t>
        </is>
      </c>
    </row>
    <row r="189">
      <c r="A189" s="5" t="inlineStr">
        <is>
          <t>Odoo Universal Unique Brands › Bodega 25 › Bodega 25/General</t>
        </is>
      </c>
      <c r="B189" s="5">
        <f>IF($I2="","",INDEX(Productos!$A:$A,$I2))</f>
        <v/>
      </c>
      <c r="C189" s="134" t="inlineStr">
        <is>
          <t>03-050-0067-0740 BU-1XL</t>
        </is>
      </c>
      <c r="D189" s="5">
        <f>IF($I2="","",INDEX(Productos!$B:$B,$I2))</f>
        <v/>
      </c>
      <c r="E189" s="5">
        <f>IF($I2="","",INDEX(Productos!$H:$H,$I2))</f>
        <v/>
      </c>
      <c r="F189" s="5">
        <f>IF($I2="","",INDEX(Productos!$I:$I,$I2))</f>
        <v/>
      </c>
      <c r="G189" s="135" t="n">
        <v>4</v>
      </c>
      <c r="H189" s="5">
        <f>IF($I2="","",INDEX(Productos!$AG:$AG,$I2))</f>
        <v/>
      </c>
      <c r="I189" s="136">
        <f>LET(_xlpm.r,Productos!$E$2:$E$285,_xlpm.m,IFERROR(_xlfn.XMATCH(C189,_xlpm.r),IFERROR(_xlfn.XMATCH(VALUE(C189),_xlpm.r),0)),IF(_xlpm.m=0,"",_xlpm.m+1))</f>
        <v/>
      </c>
      <c r="J189" s="137" t="inlineStr">
        <is>
          <t>Odoo</t>
        </is>
      </c>
    </row>
    <row r="190">
      <c r="A190" s="5" t="inlineStr">
        <is>
          <t>Odoo Universal Unique Brands › Bodega 25 › Bodega 25/General</t>
        </is>
      </c>
      <c r="B190" s="5">
        <f>IF($I2="","",INDEX(Productos!$A:$A,$I2))</f>
        <v/>
      </c>
      <c r="C190" s="134" t="inlineStr">
        <is>
          <t>03-050-0067-0740 BU-L</t>
        </is>
      </c>
      <c r="D190" s="5">
        <f>IF($I2="","",INDEX(Productos!$B:$B,$I2))</f>
        <v/>
      </c>
      <c r="E190" s="5">
        <f>IF($I2="","",INDEX(Productos!$H:$H,$I2))</f>
        <v/>
      </c>
      <c r="F190" s="5">
        <f>IF($I2="","",INDEX(Productos!$I:$I,$I2))</f>
        <v/>
      </c>
      <c r="G190" s="135" t="n">
        <v>8</v>
      </c>
      <c r="H190" s="5">
        <f>IF($I2="","",INDEX(Productos!$AG:$AG,$I2))</f>
        <v/>
      </c>
      <c r="I190" s="136">
        <f>LET(_xlpm.r,Productos!$E$2:$E$285,_xlpm.m,IFERROR(_xlfn.XMATCH(C190,_xlpm.r),IFERROR(_xlfn.XMATCH(VALUE(C190),_xlpm.r),0)),IF(_xlpm.m=0,"",_xlpm.m+1))</f>
        <v/>
      </c>
      <c r="J190" s="137" t="inlineStr">
        <is>
          <t>Odoo</t>
        </is>
      </c>
    </row>
    <row r="191">
      <c r="A191" s="5" t="inlineStr">
        <is>
          <t>Odoo Universal Unique Brands › Bodega 25 › Bodega 25/General</t>
        </is>
      </c>
      <c r="B191" s="5">
        <f>IF($I2="","",INDEX(Productos!$A:$A,$I2))</f>
        <v/>
      </c>
      <c r="C191" s="134" t="inlineStr">
        <is>
          <t>03-050-0067-0740 BU-M</t>
        </is>
      </c>
      <c r="D191" s="5">
        <f>IF($I2="","",INDEX(Productos!$B:$B,$I2))</f>
        <v/>
      </c>
      <c r="E191" s="5">
        <f>IF($I2="","",INDEX(Productos!$H:$H,$I2))</f>
        <v/>
      </c>
      <c r="F191" s="5">
        <f>IF($I2="","",INDEX(Productos!$I:$I,$I2))</f>
        <v/>
      </c>
      <c r="G191" s="135" t="n">
        <v>8</v>
      </c>
      <c r="H191" s="5">
        <f>IF($I2="","",INDEX(Productos!$AG:$AG,$I2))</f>
        <v/>
      </c>
      <c r="I191" s="136">
        <f>LET(_xlpm.r,Productos!$E$2:$E$285,_xlpm.m,IFERROR(_xlfn.XMATCH(C191,_xlpm.r),IFERROR(_xlfn.XMATCH(VALUE(C191),_xlpm.r),0)),IF(_xlpm.m=0,"",_xlpm.m+1))</f>
        <v/>
      </c>
      <c r="J191" s="137" t="inlineStr">
        <is>
          <t>Odoo</t>
        </is>
      </c>
    </row>
    <row r="192">
      <c r="A192" s="5" t="inlineStr">
        <is>
          <t>Odoo Universal Unique Brands › Bodega 25 › Bodega 25/General</t>
        </is>
      </c>
      <c r="B192" s="5">
        <f>IF($I2="","",INDEX(Productos!$A:$A,$I2))</f>
        <v/>
      </c>
      <c r="C192" s="134" t="inlineStr">
        <is>
          <t>03-050-0067-0740 BU-S</t>
        </is>
      </c>
      <c r="D192" s="5">
        <f>IF($I2="","",INDEX(Productos!$B:$B,$I2))</f>
        <v/>
      </c>
      <c r="E192" s="5">
        <f>IF($I2="","",INDEX(Productos!$H:$H,$I2))</f>
        <v/>
      </c>
      <c r="F192" s="5">
        <f>IF($I2="","",INDEX(Productos!$I:$I,$I2))</f>
        <v/>
      </c>
      <c r="G192" s="135" t="n">
        <v>6</v>
      </c>
      <c r="H192" s="5">
        <f>IF($I2="","",INDEX(Productos!$AG:$AG,$I2))</f>
        <v/>
      </c>
      <c r="I192" s="136">
        <f>LET(_xlpm.r,Productos!$E$2:$E$285,_xlpm.m,IFERROR(_xlfn.XMATCH(C192,_xlpm.r),IFERROR(_xlfn.XMATCH(VALUE(C192),_xlpm.r),0)),IF(_xlpm.m=0,"",_xlpm.m+1))</f>
        <v/>
      </c>
      <c r="J192" s="137" t="inlineStr">
        <is>
          <t>Odoo</t>
        </is>
      </c>
    </row>
    <row r="193">
      <c r="A193" s="5" t="inlineStr">
        <is>
          <t>Odoo Universal Unique Brands › Bodega 25 › Bodega 25/General</t>
        </is>
      </c>
      <c r="B193" s="5">
        <f>IF($I2="","",INDEX(Productos!$A:$A,$I2))</f>
        <v/>
      </c>
      <c r="C193" s="134" t="inlineStr">
        <is>
          <t>03-050-0067-0740 BU-XL</t>
        </is>
      </c>
      <c r="D193" s="5">
        <f>IF($I2="","",INDEX(Productos!$B:$B,$I2))</f>
        <v/>
      </c>
      <c r="E193" s="5">
        <f>IF($I2="","",INDEX(Productos!$H:$H,$I2))</f>
        <v/>
      </c>
      <c r="F193" s="5">
        <f>IF($I2="","",INDEX(Productos!$I:$I,$I2))</f>
        <v/>
      </c>
      <c r="G193" s="135" t="n">
        <v>8</v>
      </c>
      <c r="H193" s="5">
        <f>IF($I2="","",INDEX(Productos!$AG:$AG,$I2))</f>
        <v/>
      </c>
      <c r="I193" s="136">
        <f>LET(_xlpm.r,Productos!$E$2:$E$285,_xlpm.m,IFERROR(_xlfn.XMATCH(C193,_xlpm.r),IFERROR(_xlfn.XMATCH(VALUE(C193),_xlpm.r),0)),IF(_xlpm.m=0,"",_xlpm.m+1))</f>
        <v/>
      </c>
      <c r="J193" s="137" t="inlineStr">
        <is>
          <t>Odoo</t>
        </is>
      </c>
    </row>
    <row r="194">
      <c r="A194" s="5" t="inlineStr">
        <is>
          <t>Odoo Universal Unique Brands › Bodega 25 › Bodega 25/General</t>
        </is>
      </c>
      <c r="B194" s="5">
        <f>IF($I2="","",INDEX(Productos!$A:$A,$I2))</f>
        <v/>
      </c>
      <c r="C194" s="134" t="inlineStr">
        <is>
          <t>03-050-0067-0742 BR-L</t>
        </is>
      </c>
      <c r="D194" s="5">
        <f>IF($I2="","",INDEX(Productos!$B:$B,$I2))</f>
        <v/>
      </c>
      <c r="E194" s="5">
        <f>IF($I2="","",INDEX(Productos!$H:$H,$I2))</f>
        <v/>
      </c>
      <c r="F194" s="5">
        <f>IF($I2="","",INDEX(Productos!$I:$I,$I2))</f>
        <v/>
      </c>
      <c r="G194" s="135" t="n">
        <v>5</v>
      </c>
      <c r="H194" s="5">
        <f>IF($I2="","",INDEX(Productos!$AG:$AG,$I2))</f>
        <v/>
      </c>
      <c r="I194" s="136">
        <f>LET(_xlpm.r,Productos!$E$2:$E$285,_xlpm.m,IFERROR(_xlfn.XMATCH(C194,_xlpm.r),IFERROR(_xlfn.XMATCH(VALUE(C194),_xlpm.r),0)),IF(_xlpm.m=0,"",_xlpm.m+1))</f>
        <v/>
      </c>
      <c r="J194" s="137" t="inlineStr">
        <is>
          <t>Odoo</t>
        </is>
      </c>
    </row>
    <row r="195">
      <c r="A195" s="5" t="inlineStr">
        <is>
          <t>Odoo Universal Unique Brands › Bodega 25 › Bodega 25/General</t>
        </is>
      </c>
      <c r="B195" s="5">
        <f>IF($I2="","",INDEX(Productos!$A:$A,$I2))</f>
        <v/>
      </c>
      <c r="C195" s="134" t="inlineStr">
        <is>
          <t>03-050-0067-0742 BR-M</t>
        </is>
      </c>
      <c r="D195" s="5">
        <f>IF($I2="","",INDEX(Productos!$B:$B,$I2))</f>
        <v/>
      </c>
      <c r="E195" s="5">
        <f>IF($I2="","",INDEX(Productos!$H:$H,$I2))</f>
        <v/>
      </c>
      <c r="F195" s="5">
        <f>IF($I2="","",INDEX(Productos!$I:$I,$I2))</f>
        <v/>
      </c>
      <c r="G195" s="135" t="n">
        <v>5</v>
      </c>
      <c r="H195" s="5">
        <f>IF($I2="","",INDEX(Productos!$AG:$AG,$I2))</f>
        <v/>
      </c>
      <c r="I195" s="136">
        <f>LET(_xlpm.r,Productos!$E$2:$E$285,_xlpm.m,IFERROR(_xlfn.XMATCH(C195,_xlpm.r),IFERROR(_xlfn.XMATCH(VALUE(C195),_xlpm.r),0)),IF(_xlpm.m=0,"",_xlpm.m+1))</f>
        <v/>
      </c>
      <c r="J195" s="137" t="inlineStr">
        <is>
          <t>Odoo</t>
        </is>
      </c>
    </row>
    <row r="196">
      <c r="A196" s="5" t="inlineStr">
        <is>
          <t>Odoo Universal Unique Brands › Bodega 25 › Bodega 25/General</t>
        </is>
      </c>
      <c r="B196" s="5">
        <f>IF($I2="","",INDEX(Productos!$A:$A,$I2))</f>
        <v/>
      </c>
      <c r="C196" s="134" t="inlineStr">
        <is>
          <t>03-050-0067-0742 BR-S</t>
        </is>
      </c>
      <c r="D196" s="5">
        <f>IF($I2="","",INDEX(Productos!$B:$B,$I2))</f>
        <v/>
      </c>
      <c r="E196" s="5">
        <f>IF($I2="","",INDEX(Productos!$H:$H,$I2))</f>
        <v/>
      </c>
      <c r="F196" s="5">
        <f>IF($I2="","",INDEX(Productos!$I:$I,$I2))</f>
        <v/>
      </c>
      <c r="G196" s="135" t="n">
        <v>5</v>
      </c>
      <c r="H196" s="5">
        <f>IF($I2="","",INDEX(Productos!$AG:$AG,$I2))</f>
        <v/>
      </c>
      <c r="I196" s="136">
        <f>LET(_xlpm.r,Productos!$E$2:$E$285,_xlpm.m,IFERROR(_xlfn.XMATCH(C196,_xlpm.r),IFERROR(_xlfn.XMATCH(VALUE(C196),_xlpm.r),0)),IF(_xlpm.m=0,"",_xlpm.m+1))</f>
        <v/>
      </c>
      <c r="J196" s="137" t="inlineStr">
        <is>
          <t>Odoo</t>
        </is>
      </c>
    </row>
    <row r="197">
      <c r="A197" s="5" t="inlineStr">
        <is>
          <t>Odoo Universal Unique Brands › Bodega 25 › Bodega 25/General</t>
        </is>
      </c>
      <c r="B197" s="5">
        <f>IF($I2="","",INDEX(Productos!$A:$A,$I2))</f>
        <v/>
      </c>
      <c r="C197" s="134" t="inlineStr">
        <is>
          <t>03-050-0067-0742 BR-XL</t>
        </is>
      </c>
      <c r="D197" s="5">
        <f>IF($I2="","",INDEX(Productos!$B:$B,$I2))</f>
        <v/>
      </c>
      <c r="E197" s="5">
        <f>IF($I2="","",INDEX(Productos!$H:$H,$I2))</f>
        <v/>
      </c>
      <c r="F197" s="5">
        <f>IF($I2="","",INDEX(Productos!$I:$I,$I2))</f>
        <v/>
      </c>
      <c r="G197" s="135" t="n">
        <v>5</v>
      </c>
      <c r="H197" s="5">
        <f>IF($I2="","",INDEX(Productos!$AG:$AG,$I2))</f>
        <v/>
      </c>
      <c r="I197" s="136">
        <f>LET(_xlpm.r,Productos!$E$2:$E$285,_xlpm.m,IFERROR(_xlfn.XMATCH(C197,_xlpm.r),IFERROR(_xlfn.XMATCH(VALUE(C197),_xlpm.r),0)),IF(_xlpm.m=0,"",_xlpm.m+1))</f>
        <v/>
      </c>
      <c r="J197" s="137" t="inlineStr">
        <is>
          <t>Odoo</t>
        </is>
      </c>
    </row>
    <row r="198">
      <c r="A198" s="5" t="inlineStr">
        <is>
          <t>Odoo Universal Unique Brands › Bodega 25 › Bodega 25/General</t>
        </is>
      </c>
      <c r="B198" s="5">
        <f>IF($I2="","",INDEX(Productos!$A:$A,$I2))</f>
        <v/>
      </c>
      <c r="C198" s="134" t="inlineStr">
        <is>
          <t>03-050-0421-0108 BL-L</t>
        </is>
      </c>
      <c r="D198" s="5">
        <f>IF($I2="","",INDEX(Productos!$B:$B,$I2))</f>
        <v/>
      </c>
      <c r="E198" s="5">
        <f>IF($I2="","",INDEX(Productos!$H:$H,$I2))</f>
        <v/>
      </c>
      <c r="F198" s="5">
        <f>IF($I2="","",INDEX(Productos!$I:$I,$I2))</f>
        <v/>
      </c>
      <c r="G198" s="135" t="n">
        <v>20</v>
      </c>
      <c r="H198" s="5">
        <f>IF($I2="","",INDEX(Productos!$AG:$AG,$I2))</f>
        <v/>
      </c>
      <c r="I198" s="136">
        <f>LET(_xlpm.r,Productos!$E$2:$E$285,_xlpm.m,IFERROR(_xlfn.XMATCH(C198,_xlpm.r),IFERROR(_xlfn.XMATCH(VALUE(C198),_xlpm.r),0)),IF(_xlpm.m=0,"",_xlpm.m+1))</f>
        <v/>
      </c>
      <c r="J198" s="137" t="inlineStr">
        <is>
          <t>Odoo</t>
        </is>
      </c>
    </row>
    <row r="199">
      <c r="A199" s="5" t="inlineStr">
        <is>
          <t>Odoo Universal Unique Brands › Bodega 25 › Bodega 25/General</t>
        </is>
      </c>
      <c r="B199" s="5">
        <f>IF($I2="","",INDEX(Productos!$A:$A,$I2))</f>
        <v/>
      </c>
      <c r="C199" s="134" t="inlineStr">
        <is>
          <t>03-050-0421-0108 BL-M</t>
        </is>
      </c>
      <c r="D199" s="5">
        <f>IF($I2="","",INDEX(Productos!$B:$B,$I2))</f>
        <v/>
      </c>
      <c r="E199" s="5">
        <f>IF($I2="","",INDEX(Productos!$H:$H,$I2))</f>
        <v/>
      </c>
      <c r="F199" s="5">
        <f>IF($I2="","",INDEX(Productos!$I:$I,$I2))</f>
        <v/>
      </c>
      <c r="G199" s="135" t="n">
        <v>20</v>
      </c>
      <c r="H199" s="5">
        <f>IF($I2="","",INDEX(Productos!$AG:$AG,$I2))</f>
        <v/>
      </c>
      <c r="I199" s="136">
        <f>LET(_xlpm.r,Productos!$E$2:$E$285,_xlpm.m,IFERROR(_xlfn.XMATCH(C199,_xlpm.r),IFERROR(_xlfn.XMATCH(VALUE(C199),_xlpm.r),0)),IF(_xlpm.m=0,"",_xlpm.m+1))</f>
        <v/>
      </c>
      <c r="J199" s="137" t="inlineStr">
        <is>
          <t>Odoo</t>
        </is>
      </c>
    </row>
    <row r="200">
      <c r="A200" s="5" t="inlineStr">
        <is>
          <t>Odoo Universal Unique Brands › Bodega 25 › Bodega 25/General</t>
        </is>
      </c>
      <c r="B200" s="5">
        <f>IF($I2="","",INDEX(Productos!$A:$A,$I2))</f>
        <v/>
      </c>
      <c r="C200" s="134" t="inlineStr">
        <is>
          <t>03-050-0421-0108 BL-S</t>
        </is>
      </c>
      <c r="D200" s="5">
        <f>IF($I2="","",INDEX(Productos!$B:$B,$I2))</f>
        <v/>
      </c>
      <c r="E200" s="5">
        <f>IF($I2="","",INDEX(Productos!$H:$H,$I2))</f>
        <v/>
      </c>
      <c r="F200" s="5">
        <f>IF($I2="","",INDEX(Productos!$I:$I,$I2))</f>
        <v/>
      </c>
      <c r="G200" s="135" t="n">
        <v>20</v>
      </c>
      <c r="H200" s="5">
        <f>IF($I2="","",INDEX(Productos!$AG:$AG,$I2))</f>
        <v/>
      </c>
      <c r="I200" s="136">
        <f>LET(_xlpm.r,Productos!$E$2:$E$285,_xlpm.m,IFERROR(_xlfn.XMATCH(C200,_xlpm.r),IFERROR(_xlfn.XMATCH(VALUE(C200),_xlpm.r),0)),IF(_xlpm.m=0,"",_xlpm.m+1))</f>
        <v/>
      </c>
      <c r="J200" s="137" t="inlineStr">
        <is>
          <t>Odoo</t>
        </is>
      </c>
    </row>
    <row r="201">
      <c r="A201" s="5" t="inlineStr">
        <is>
          <t>Odoo Universal Unique Brands › Bodega 25 › Bodega 25/General</t>
        </is>
      </c>
      <c r="B201" s="5">
        <f>IF($I2="","",INDEX(Productos!$A:$A,$I2))</f>
        <v/>
      </c>
      <c r="C201" s="134" t="inlineStr">
        <is>
          <t>03-050-0421-0108 BL-XL</t>
        </is>
      </c>
      <c r="D201" s="5">
        <f>IF($I2="","",INDEX(Productos!$B:$B,$I2))</f>
        <v/>
      </c>
      <c r="E201" s="5">
        <f>IF($I2="","",INDEX(Productos!$H:$H,$I2))</f>
        <v/>
      </c>
      <c r="F201" s="5">
        <f>IF($I2="","",INDEX(Productos!$I:$I,$I2))</f>
        <v/>
      </c>
      <c r="G201" s="135" t="n">
        <v>5</v>
      </c>
      <c r="H201" s="5">
        <f>IF($I2="","",INDEX(Productos!$AG:$AG,$I2))</f>
        <v/>
      </c>
      <c r="I201" s="136">
        <f>LET(_xlpm.r,Productos!$E$2:$E$285,_xlpm.m,IFERROR(_xlfn.XMATCH(C201,_xlpm.r),IFERROR(_xlfn.XMATCH(VALUE(C201),_xlpm.r),0)),IF(_xlpm.m=0,"",_xlpm.m+1))</f>
        <v/>
      </c>
      <c r="J201" s="137" t="inlineStr">
        <is>
          <t>Odoo</t>
        </is>
      </c>
    </row>
    <row r="202">
      <c r="A202" s="5" t="inlineStr">
        <is>
          <t>Odoo Universal Unique Brands › Bodega 25 › Bodega 25/General</t>
        </is>
      </c>
      <c r="B202" s="5">
        <f>IF($I2="","",INDEX(Productos!$A:$A,$I2))</f>
        <v/>
      </c>
      <c r="C202" s="134" t="inlineStr">
        <is>
          <t>03-050-0421-0108 BL-XS</t>
        </is>
      </c>
      <c r="D202" s="5">
        <f>IF($I2="","",INDEX(Productos!$B:$B,$I2))</f>
        <v/>
      </c>
      <c r="E202" s="5">
        <f>IF($I2="","",INDEX(Productos!$H:$H,$I2))</f>
        <v/>
      </c>
      <c r="F202" s="5">
        <f>IF($I2="","",INDEX(Productos!$I:$I,$I2))</f>
        <v/>
      </c>
      <c r="G202" s="135" t="n">
        <v>10</v>
      </c>
      <c r="H202" s="5">
        <f>IF($I2="","",INDEX(Productos!$AG:$AG,$I2))</f>
        <v/>
      </c>
      <c r="I202" s="136">
        <f>LET(_xlpm.r,Productos!$E$2:$E$285,_xlpm.m,IFERROR(_xlfn.XMATCH(C202,_xlpm.r),IFERROR(_xlfn.XMATCH(VALUE(C202),_xlpm.r),0)),IF(_xlpm.m=0,"",_xlpm.m+1))</f>
        <v/>
      </c>
      <c r="J202" s="137" t="inlineStr">
        <is>
          <t>Odoo</t>
        </is>
      </c>
    </row>
    <row r="203">
      <c r="A203" s="5" t="inlineStr">
        <is>
          <t>Odoo Universal Unique Brands › Bodega 25 › Bodega 25/General</t>
        </is>
      </c>
      <c r="B203" s="5">
        <f>IF($I2="","",INDEX(Productos!$A:$A,$I2))</f>
        <v/>
      </c>
      <c r="C203" s="134" t="inlineStr">
        <is>
          <t>03-050-0431-0109 BU-L</t>
        </is>
      </c>
      <c r="D203" s="5">
        <f>IF($I2="","",INDEX(Productos!$B:$B,$I2))</f>
        <v/>
      </c>
      <c r="E203" s="5">
        <f>IF($I2="","",INDEX(Productos!$H:$H,$I2))</f>
        <v/>
      </c>
      <c r="F203" s="5">
        <f>IF($I2="","",INDEX(Productos!$I:$I,$I2))</f>
        <v/>
      </c>
      <c r="G203" s="135" t="n">
        <v>20</v>
      </c>
      <c r="H203" s="5">
        <f>IF($I2="","",INDEX(Productos!$AG:$AG,$I2))</f>
        <v/>
      </c>
      <c r="I203" s="136">
        <f>LET(_xlpm.r,Productos!$E$2:$E$285,_xlpm.m,IFERROR(_xlfn.XMATCH(C203,_xlpm.r),IFERROR(_xlfn.XMATCH(VALUE(C203),_xlpm.r),0)),IF(_xlpm.m=0,"",_xlpm.m+1))</f>
        <v/>
      </c>
      <c r="J203" s="137" t="inlineStr">
        <is>
          <t>Odoo</t>
        </is>
      </c>
    </row>
    <row r="204">
      <c r="A204" s="5" t="inlineStr">
        <is>
          <t>Odoo Universal Unique Brands › Bodega 25 › Bodega 25/General</t>
        </is>
      </c>
      <c r="B204" s="5">
        <f>IF($I2="","",INDEX(Productos!$A:$A,$I2))</f>
        <v/>
      </c>
      <c r="C204" s="134" t="inlineStr">
        <is>
          <t>03-050-0431-0109 BU-M</t>
        </is>
      </c>
      <c r="D204" s="5">
        <f>IF($I2="","",INDEX(Productos!$B:$B,$I2))</f>
        <v/>
      </c>
      <c r="E204" s="5">
        <f>IF($I2="","",INDEX(Productos!$H:$H,$I2))</f>
        <v/>
      </c>
      <c r="F204" s="5">
        <f>IF($I2="","",INDEX(Productos!$I:$I,$I2))</f>
        <v/>
      </c>
      <c r="G204" s="135" t="n">
        <v>20</v>
      </c>
      <c r="H204" s="5">
        <f>IF($I2="","",INDEX(Productos!$AG:$AG,$I2))</f>
        <v/>
      </c>
      <c r="I204" s="136">
        <f>LET(_xlpm.r,Productos!$E$2:$E$285,_xlpm.m,IFERROR(_xlfn.XMATCH(C204,_xlpm.r),IFERROR(_xlfn.XMATCH(VALUE(C204),_xlpm.r),0)),IF(_xlpm.m=0,"",_xlpm.m+1))</f>
        <v/>
      </c>
      <c r="J204" s="137" t="inlineStr">
        <is>
          <t>Odoo</t>
        </is>
      </c>
    </row>
    <row r="205">
      <c r="A205" s="5" t="inlineStr">
        <is>
          <t>Odoo Universal Unique Brands › Bodega 25 › Bodega 25/General</t>
        </is>
      </c>
      <c r="B205" s="5">
        <f>IF($I2="","",INDEX(Productos!$A:$A,$I2))</f>
        <v/>
      </c>
      <c r="C205" s="134" t="inlineStr">
        <is>
          <t>03-050-0431-0109 BU-S</t>
        </is>
      </c>
      <c r="D205" s="5">
        <f>IF($I2="","",INDEX(Productos!$B:$B,$I2))</f>
        <v/>
      </c>
      <c r="E205" s="5">
        <f>IF($I2="","",INDEX(Productos!$H:$H,$I2))</f>
        <v/>
      </c>
      <c r="F205" s="5">
        <f>IF($I2="","",INDEX(Productos!$I:$I,$I2))</f>
        <v/>
      </c>
      <c r="G205" s="135" t="n">
        <v>20</v>
      </c>
      <c r="H205" s="5">
        <f>IF($I2="","",INDEX(Productos!$AG:$AG,$I2))</f>
        <v/>
      </c>
      <c r="I205" s="136">
        <f>LET(_xlpm.r,Productos!$E$2:$E$285,_xlpm.m,IFERROR(_xlfn.XMATCH(C205,_xlpm.r),IFERROR(_xlfn.XMATCH(VALUE(C205),_xlpm.r),0)),IF(_xlpm.m=0,"",_xlpm.m+1))</f>
        <v/>
      </c>
      <c r="J205" s="137" t="inlineStr">
        <is>
          <t>Odoo</t>
        </is>
      </c>
    </row>
    <row r="206">
      <c r="A206" s="5" t="inlineStr">
        <is>
          <t>Odoo Universal Unique Brands › Bodega 25 › Bodega 25/General</t>
        </is>
      </c>
      <c r="B206" s="5">
        <f>IF($I2="","",INDEX(Productos!$A:$A,$I2))</f>
        <v/>
      </c>
      <c r="C206" s="134" t="inlineStr">
        <is>
          <t>03-050-0431-0109 BU-XL</t>
        </is>
      </c>
      <c r="D206" s="5">
        <f>IF($I2="","",INDEX(Productos!$B:$B,$I2))</f>
        <v/>
      </c>
      <c r="E206" s="5">
        <f>IF($I2="","",INDEX(Productos!$H:$H,$I2))</f>
        <v/>
      </c>
      <c r="F206" s="5">
        <f>IF($I2="","",INDEX(Productos!$I:$I,$I2))</f>
        <v/>
      </c>
      <c r="G206" s="135" t="n">
        <v>5</v>
      </c>
      <c r="H206" s="5">
        <f>IF($I2="","",INDEX(Productos!$AG:$AG,$I2))</f>
        <v/>
      </c>
      <c r="I206" s="136">
        <f>LET(_xlpm.r,Productos!$E$2:$E$285,_xlpm.m,IFERROR(_xlfn.XMATCH(C206,_xlpm.r),IFERROR(_xlfn.XMATCH(VALUE(C206),_xlpm.r),0)),IF(_xlpm.m=0,"",_xlpm.m+1))</f>
        <v/>
      </c>
      <c r="J206" s="137" t="inlineStr">
        <is>
          <t>Odoo</t>
        </is>
      </c>
    </row>
    <row r="207">
      <c r="A207" s="5" t="inlineStr">
        <is>
          <t>Odoo Universal Unique Brands › Bodega 25 › Bodega 25/General</t>
        </is>
      </c>
      <c r="B207" s="5">
        <f>IF($I2="","",INDEX(Productos!$A:$A,$I2))</f>
        <v/>
      </c>
      <c r="C207" s="134" t="inlineStr">
        <is>
          <t>03-050-0431-0109 BU-XS</t>
        </is>
      </c>
      <c r="D207" s="5">
        <f>IF($I2="","",INDEX(Productos!$B:$B,$I2))</f>
        <v/>
      </c>
      <c r="E207" s="5">
        <f>IF($I2="","",INDEX(Productos!$H:$H,$I2))</f>
        <v/>
      </c>
      <c r="F207" s="5">
        <f>IF($I2="","",INDEX(Productos!$I:$I,$I2))</f>
        <v/>
      </c>
      <c r="G207" s="135" t="n">
        <v>10</v>
      </c>
      <c r="H207" s="5">
        <f>IF($I2="","",INDEX(Productos!$AG:$AG,$I2))</f>
        <v/>
      </c>
      <c r="I207" s="136">
        <f>LET(_xlpm.r,Productos!$E$2:$E$285,_xlpm.m,IFERROR(_xlfn.XMATCH(C207,_xlpm.r),IFERROR(_xlfn.XMATCH(VALUE(C207),_xlpm.r),0)),IF(_xlpm.m=0,"",_xlpm.m+1))</f>
        <v/>
      </c>
      <c r="J207" s="137" t="inlineStr">
        <is>
          <t>Odoo</t>
        </is>
      </c>
    </row>
    <row r="208">
      <c r="A208" s="5" t="inlineStr">
        <is>
          <t>Odoo Universal Unique Brands › Bodega 25 › Bodega 25/General</t>
        </is>
      </c>
      <c r="B208" s="5">
        <f>IF($I2="","",INDEX(Productos!$A:$A,$I2))</f>
        <v/>
      </c>
      <c r="C208" s="134" t="inlineStr">
        <is>
          <t>03-050-0590-7065 BL-L</t>
        </is>
      </c>
      <c r="D208" s="5">
        <f>IF($I2="","",INDEX(Productos!$B:$B,$I2))</f>
        <v/>
      </c>
      <c r="E208" s="5">
        <f>IF($I2="","",INDEX(Productos!$H:$H,$I2))</f>
        <v/>
      </c>
      <c r="F208" s="5">
        <f>IF($I2="","",INDEX(Productos!$I:$I,$I2))</f>
        <v/>
      </c>
      <c r="G208" s="135" t="n">
        <v>12</v>
      </c>
      <c r="H208" s="5">
        <f>IF($I2="","",INDEX(Productos!$AG:$AG,$I2))</f>
        <v/>
      </c>
      <c r="I208" s="136">
        <f>LET(_xlpm.r,Productos!$E$2:$E$285,_xlpm.m,IFERROR(_xlfn.XMATCH(C208,_xlpm.r),IFERROR(_xlfn.XMATCH(VALUE(C208),_xlpm.r),0)),IF(_xlpm.m=0,"",_xlpm.m+1))</f>
        <v/>
      </c>
      <c r="J208" s="137" t="inlineStr">
        <is>
          <t>Odoo</t>
        </is>
      </c>
    </row>
    <row r="209">
      <c r="A209" s="5" t="inlineStr">
        <is>
          <t>Odoo Universal Unique Brands › Bodega 25 › Bodega 25/General</t>
        </is>
      </c>
      <c r="B209" s="5">
        <f>IF($I2="","",INDEX(Productos!$A:$A,$I2))</f>
        <v/>
      </c>
      <c r="C209" s="134" t="inlineStr">
        <is>
          <t>03-050-0590-7065 BL-M</t>
        </is>
      </c>
      <c r="D209" s="5">
        <f>IF($I2="","",INDEX(Productos!$B:$B,$I2))</f>
        <v/>
      </c>
      <c r="E209" s="5">
        <f>IF($I2="","",INDEX(Productos!$H:$H,$I2))</f>
        <v/>
      </c>
      <c r="F209" s="5">
        <f>IF($I2="","",INDEX(Productos!$I:$I,$I2))</f>
        <v/>
      </c>
      <c r="G209" s="135" t="n">
        <v>12</v>
      </c>
      <c r="H209" s="5">
        <f>IF($I2="","",INDEX(Productos!$AG:$AG,$I2))</f>
        <v/>
      </c>
      <c r="I209" s="136">
        <f>LET(_xlpm.r,Productos!$E$2:$E$285,_xlpm.m,IFERROR(_xlfn.XMATCH(C209,_xlpm.r),IFERROR(_xlfn.XMATCH(VALUE(C209),_xlpm.r),0)),IF(_xlpm.m=0,"",_xlpm.m+1))</f>
        <v/>
      </c>
      <c r="J209" s="137" t="inlineStr">
        <is>
          <t>Odoo</t>
        </is>
      </c>
    </row>
    <row r="210">
      <c r="A210" s="5" t="inlineStr">
        <is>
          <t>Odoo Universal Unique Brands › Bodega 25 › Bodega 25/General</t>
        </is>
      </c>
      <c r="B210" s="5">
        <f>IF($I2="","",INDEX(Productos!$A:$A,$I2))</f>
        <v/>
      </c>
      <c r="C210" s="134" t="inlineStr">
        <is>
          <t>03-050-0590-7065 BL-S</t>
        </is>
      </c>
      <c r="D210" s="5">
        <f>IF($I2="","",INDEX(Productos!$B:$B,$I2))</f>
        <v/>
      </c>
      <c r="E210" s="5">
        <f>IF($I2="","",INDEX(Productos!$H:$H,$I2))</f>
        <v/>
      </c>
      <c r="F210" s="5">
        <f>IF($I2="","",INDEX(Productos!$I:$I,$I2))</f>
        <v/>
      </c>
      <c r="G210" s="135" t="n">
        <v>11</v>
      </c>
      <c r="H210" s="5">
        <f>IF($I2="","",INDEX(Productos!$AG:$AG,$I2))</f>
        <v/>
      </c>
      <c r="I210" s="136">
        <f>LET(_xlpm.r,Productos!$E$2:$E$285,_xlpm.m,IFERROR(_xlfn.XMATCH(C210,_xlpm.r),IFERROR(_xlfn.XMATCH(VALUE(C210),_xlpm.r),0)),IF(_xlpm.m=0,"",_xlpm.m+1))</f>
        <v/>
      </c>
      <c r="J210" s="137" t="inlineStr">
        <is>
          <t>Odoo</t>
        </is>
      </c>
    </row>
    <row r="211">
      <c r="A211" s="5" t="inlineStr">
        <is>
          <t>Odoo Universal Unique Brands › Bodega 25 › Bodega 25/General</t>
        </is>
      </c>
      <c r="B211" s="5">
        <f>IF($I2="","",INDEX(Productos!$A:$A,$I2))</f>
        <v/>
      </c>
      <c r="C211" s="134" t="inlineStr">
        <is>
          <t>03-050-0590-7065 BL-XL</t>
        </is>
      </c>
      <c r="D211" s="5">
        <f>IF($I2="","",INDEX(Productos!$B:$B,$I2))</f>
        <v/>
      </c>
      <c r="E211" s="5">
        <f>IF($I2="","",INDEX(Productos!$H:$H,$I2))</f>
        <v/>
      </c>
      <c r="F211" s="5">
        <f>IF($I2="","",INDEX(Productos!$I:$I,$I2))</f>
        <v/>
      </c>
      <c r="G211" s="135" t="n">
        <v>12</v>
      </c>
      <c r="H211" s="5">
        <f>IF($I2="","",INDEX(Productos!$AG:$AG,$I2))</f>
        <v/>
      </c>
      <c r="I211" s="136">
        <f>LET(_xlpm.r,Productos!$E$2:$E$285,_xlpm.m,IFERROR(_xlfn.XMATCH(C211,_xlpm.r),IFERROR(_xlfn.XMATCH(VALUE(C211),_xlpm.r),0)),IF(_xlpm.m=0,"",_xlpm.m+1))</f>
        <v/>
      </c>
      <c r="J211" s="137" t="inlineStr">
        <is>
          <t>Odoo</t>
        </is>
      </c>
    </row>
    <row r="212">
      <c r="A212" s="5" t="inlineStr">
        <is>
          <t>Odoo Universal Unique Brands › Bodega 25 › Bodega 25/General</t>
        </is>
      </c>
      <c r="B212" s="5">
        <f>IF($I2="","",INDEX(Productos!$A:$A,$I2))</f>
        <v/>
      </c>
      <c r="C212" s="134" t="inlineStr">
        <is>
          <t>03-057-0040-6004 BL-L</t>
        </is>
      </c>
      <c r="D212" s="5">
        <f>IF($I2="","",INDEX(Productos!$B:$B,$I2))</f>
        <v/>
      </c>
      <c r="E212" s="5">
        <f>IF($I2="","",INDEX(Productos!$H:$H,$I2))</f>
        <v/>
      </c>
      <c r="F212" s="5">
        <f>IF($I2="","",INDEX(Productos!$I:$I,$I2))</f>
        <v/>
      </c>
      <c r="G212" s="135" t="n">
        <v>18</v>
      </c>
      <c r="H212" s="5">
        <f>IF($I2="","",INDEX(Productos!$AG:$AG,$I2))</f>
        <v/>
      </c>
      <c r="I212" s="136">
        <f>LET(_xlpm.r,Productos!$E$2:$E$285,_xlpm.m,IFERROR(_xlfn.XMATCH(C212,_xlpm.r),IFERROR(_xlfn.XMATCH(VALUE(C212),_xlpm.r),0)),IF(_xlpm.m=0,"",_xlpm.m+1))</f>
        <v/>
      </c>
      <c r="J212" s="137" t="inlineStr">
        <is>
          <t>Odoo</t>
        </is>
      </c>
    </row>
    <row r="213">
      <c r="A213" s="5" t="inlineStr">
        <is>
          <t>Odoo Universal Unique Brands › Bodega 25 › Bodega 25/General</t>
        </is>
      </c>
      <c r="B213" s="5">
        <f>IF($I2="","",INDEX(Productos!$A:$A,$I2))</f>
        <v/>
      </c>
      <c r="C213" s="134" t="inlineStr">
        <is>
          <t>03-057-0040-6004 BL-M</t>
        </is>
      </c>
      <c r="D213" s="5">
        <f>IF($I2="","",INDEX(Productos!$B:$B,$I2))</f>
        <v/>
      </c>
      <c r="E213" s="5">
        <f>IF($I2="","",INDEX(Productos!$H:$H,$I2))</f>
        <v/>
      </c>
      <c r="F213" s="5">
        <f>IF($I2="","",INDEX(Productos!$I:$I,$I2))</f>
        <v/>
      </c>
      <c r="G213" s="135" t="n">
        <v>18</v>
      </c>
      <c r="H213" s="5">
        <f>IF($I2="","",INDEX(Productos!$AG:$AG,$I2))</f>
        <v/>
      </c>
      <c r="I213" s="136">
        <f>LET(_xlpm.r,Productos!$E$2:$E$285,_xlpm.m,IFERROR(_xlfn.XMATCH(C213,_xlpm.r),IFERROR(_xlfn.XMATCH(VALUE(C213),_xlpm.r),0)),IF(_xlpm.m=0,"",_xlpm.m+1))</f>
        <v/>
      </c>
      <c r="J213" s="137" t="inlineStr">
        <is>
          <t>Odoo</t>
        </is>
      </c>
    </row>
    <row r="214">
      <c r="A214" s="5" t="inlineStr">
        <is>
          <t>Odoo Universal Unique Brands › Bodega 25 › Bodega 25/General</t>
        </is>
      </c>
      <c r="B214" s="5">
        <f>IF($I2="","",INDEX(Productos!$A:$A,$I2))</f>
        <v/>
      </c>
      <c r="C214" s="134" t="inlineStr">
        <is>
          <t>03-057-0040-6004 BL-S</t>
        </is>
      </c>
      <c r="D214" s="5">
        <f>IF($I2="","",INDEX(Productos!$B:$B,$I2))</f>
        <v/>
      </c>
      <c r="E214" s="5">
        <f>IF($I2="","",INDEX(Productos!$H:$H,$I2))</f>
        <v/>
      </c>
      <c r="F214" s="5">
        <f>IF($I2="","",INDEX(Productos!$I:$I,$I2))</f>
        <v/>
      </c>
      <c r="G214" s="135" t="n">
        <v>14</v>
      </c>
      <c r="H214" s="5">
        <f>IF($I2="","",INDEX(Productos!$AG:$AG,$I2))</f>
        <v/>
      </c>
      <c r="I214" s="136">
        <f>LET(_xlpm.r,Productos!$E$2:$E$285,_xlpm.m,IFERROR(_xlfn.XMATCH(C214,_xlpm.r),IFERROR(_xlfn.XMATCH(VALUE(C214),_xlpm.r),0)),IF(_xlpm.m=0,"",_xlpm.m+1))</f>
        <v/>
      </c>
      <c r="J214" s="137" t="inlineStr">
        <is>
          <t>Odoo</t>
        </is>
      </c>
    </row>
    <row r="215">
      <c r="A215" s="5" t="inlineStr">
        <is>
          <t>Odoo Universal Unique Brands › Bodega 25 › Bodega 25/General</t>
        </is>
      </c>
      <c r="B215" s="5">
        <f>IF($I2="","",INDEX(Productos!$A:$A,$I2))</f>
        <v/>
      </c>
      <c r="C215" s="134" t="inlineStr">
        <is>
          <t>03-057-0040-6004 BL-XL</t>
        </is>
      </c>
      <c r="D215" s="5">
        <f>IF($I2="","",INDEX(Productos!$B:$B,$I2))</f>
        <v/>
      </c>
      <c r="E215" s="5">
        <f>IF($I2="","",INDEX(Productos!$H:$H,$I2))</f>
        <v/>
      </c>
      <c r="F215" s="5">
        <f>IF($I2="","",INDEX(Productos!$I:$I,$I2))</f>
        <v/>
      </c>
      <c r="G215" s="135" t="n">
        <v>16</v>
      </c>
      <c r="H215" s="5">
        <f>IF($I2="","",INDEX(Productos!$AG:$AG,$I2))</f>
        <v/>
      </c>
      <c r="I215" s="136">
        <f>LET(_xlpm.r,Productos!$E$2:$E$285,_xlpm.m,IFERROR(_xlfn.XMATCH(C215,_xlpm.r),IFERROR(_xlfn.XMATCH(VALUE(C215),_xlpm.r),0)),IF(_xlpm.m=0,"",_xlpm.m+1))</f>
        <v/>
      </c>
      <c r="J215" s="137" t="inlineStr">
        <is>
          <t>Odoo</t>
        </is>
      </c>
    </row>
    <row r="216">
      <c r="A216" s="5" t="inlineStr">
        <is>
          <t>Odoo Universal Unique Brands › Bodega 25 › Bodega 25/General</t>
        </is>
      </c>
      <c r="B216" s="5">
        <f>IF($I2="","",INDEX(Productos!$A:$A,$I2))</f>
        <v/>
      </c>
      <c r="C216" s="134" t="inlineStr">
        <is>
          <t>03-057-0040-6007 RE-L</t>
        </is>
      </c>
      <c r="D216" s="5">
        <f>IF($I2="","",INDEX(Productos!$B:$B,$I2))</f>
        <v/>
      </c>
      <c r="E216" s="5">
        <f>IF($I2="","",INDEX(Productos!$H:$H,$I2))</f>
        <v/>
      </c>
      <c r="F216" s="5">
        <f>IF($I2="","",INDEX(Productos!$I:$I,$I2))</f>
        <v/>
      </c>
      <c r="G216" s="135" t="n">
        <v>11</v>
      </c>
      <c r="H216" s="5">
        <f>IF($I2="","",INDEX(Productos!$AG:$AG,$I2))</f>
        <v/>
      </c>
      <c r="I216" s="136">
        <f>LET(_xlpm.r,Productos!$E$2:$E$285,_xlpm.m,IFERROR(_xlfn.XMATCH(C216,_xlpm.r),IFERROR(_xlfn.XMATCH(VALUE(C216),_xlpm.r),0)),IF(_xlpm.m=0,"",_xlpm.m+1))</f>
        <v/>
      </c>
      <c r="J216" s="137" t="inlineStr">
        <is>
          <t>Odoo</t>
        </is>
      </c>
    </row>
    <row r="217">
      <c r="A217" s="5" t="inlineStr">
        <is>
          <t>Odoo Universal Unique Brands › Bodega 25 › Bodega 25/General</t>
        </is>
      </c>
      <c r="B217" s="5">
        <f>IF($I2="","",INDEX(Productos!$A:$A,$I2))</f>
        <v/>
      </c>
      <c r="C217" s="134" t="inlineStr">
        <is>
          <t>03-057-0040-6007 RE-M</t>
        </is>
      </c>
      <c r="D217" s="5">
        <f>IF($I2="","",INDEX(Productos!$B:$B,$I2))</f>
        <v/>
      </c>
      <c r="E217" s="5">
        <f>IF($I2="","",INDEX(Productos!$H:$H,$I2))</f>
        <v/>
      </c>
      <c r="F217" s="5">
        <f>IF($I2="","",INDEX(Productos!$I:$I,$I2))</f>
        <v/>
      </c>
      <c r="G217" s="135" t="n">
        <v>11</v>
      </c>
      <c r="H217" s="5">
        <f>IF($I2="","",INDEX(Productos!$AG:$AG,$I2))</f>
        <v/>
      </c>
      <c r="I217" s="136">
        <f>LET(_xlpm.r,Productos!$E$2:$E$285,_xlpm.m,IFERROR(_xlfn.XMATCH(C217,_xlpm.r),IFERROR(_xlfn.XMATCH(VALUE(C217),_xlpm.r),0)),IF(_xlpm.m=0,"",_xlpm.m+1))</f>
        <v/>
      </c>
      <c r="J217" s="137" t="inlineStr">
        <is>
          <t>Odoo</t>
        </is>
      </c>
    </row>
    <row r="218">
      <c r="A218" s="5" t="inlineStr">
        <is>
          <t>Odoo Universal Unique Brands › Bodega 25 › Bodega 25/General</t>
        </is>
      </c>
      <c r="B218" s="5">
        <f>IF($I2="","",INDEX(Productos!$A:$A,$I2))</f>
        <v/>
      </c>
      <c r="C218" s="134" t="inlineStr">
        <is>
          <t>03-057-0040-6007 RE-S</t>
        </is>
      </c>
      <c r="D218" s="5">
        <f>IF($I2="","",INDEX(Productos!$B:$B,$I2))</f>
        <v/>
      </c>
      <c r="E218" s="5">
        <f>IF($I2="","",INDEX(Productos!$H:$H,$I2))</f>
        <v/>
      </c>
      <c r="F218" s="5">
        <f>IF($I2="","",INDEX(Productos!$I:$I,$I2))</f>
        <v/>
      </c>
      <c r="G218" s="135" t="n">
        <v>7</v>
      </c>
      <c r="H218" s="5">
        <f>IF($I2="","",INDEX(Productos!$AG:$AG,$I2))</f>
        <v/>
      </c>
      <c r="I218" s="136">
        <f>LET(_xlpm.r,Productos!$E$2:$E$285,_xlpm.m,IFERROR(_xlfn.XMATCH(C218,_xlpm.r),IFERROR(_xlfn.XMATCH(VALUE(C218),_xlpm.r),0)),IF(_xlpm.m=0,"",_xlpm.m+1))</f>
        <v/>
      </c>
      <c r="J218" s="137" t="inlineStr">
        <is>
          <t>Odoo</t>
        </is>
      </c>
    </row>
    <row r="219">
      <c r="A219" s="5" t="inlineStr">
        <is>
          <t>Odoo Universal Unique Brands › Bodega 25 › Bodega 25/General</t>
        </is>
      </c>
      <c r="B219" s="5">
        <f>IF($I2="","",INDEX(Productos!$A:$A,$I2))</f>
        <v/>
      </c>
      <c r="C219" s="134" t="inlineStr">
        <is>
          <t>03-057-0040-6007 RE-XL</t>
        </is>
      </c>
      <c r="D219" s="5">
        <f>IF($I2="","",INDEX(Productos!$B:$B,$I2))</f>
        <v/>
      </c>
      <c r="E219" s="5">
        <f>IF($I2="","",INDEX(Productos!$H:$H,$I2))</f>
        <v/>
      </c>
      <c r="F219" s="5">
        <f>IF($I2="","",INDEX(Productos!$I:$I,$I2))</f>
        <v/>
      </c>
      <c r="G219" s="135" t="n">
        <v>12</v>
      </c>
      <c r="H219" s="5">
        <f>IF($I2="","",INDEX(Productos!$AG:$AG,$I2))</f>
        <v/>
      </c>
      <c r="I219" s="136">
        <f>LET(_xlpm.r,Productos!$E$2:$E$285,_xlpm.m,IFERROR(_xlfn.XMATCH(C219,_xlpm.r),IFERROR(_xlfn.XMATCH(VALUE(C219),_xlpm.r),0)),IF(_xlpm.m=0,"",_xlpm.m+1))</f>
        <v/>
      </c>
      <c r="J219" s="137" t="inlineStr">
        <is>
          <t>Odoo</t>
        </is>
      </c>
    </row>
    <row r="220">
      <c r="A220" s="5" t="inlineStr">
        <is>
          <t>Odoo Universal Unique Brands › Bodega 25 › Bodega 25/General</t>
        </is>
      </c>
      <c r="B220" s="5">
        <f>IF($I2="","",INDEX(Productos!$A:$A,$I2))</f>
        <v/>
      </c>
      <c r="C220" s="134" t="inlineStr">
        <is>
          <t>03-057-0590-1200 BL-L</t>
        </is>
      </c>
      <c r="D220" s="5">
        <f>IF($I2="","",INDEX(Productos!$B:$B,$I2))</f>
        <v/>
      </c>
      <c r="E220" s="5">
        <f>IF($I2="","",INDEX(Productos!$H:$H,$I2))</f>
        <v/>
      </c>
      <c r="F220" s="5">
        <f>IF($I2="","",INDEX(Productos!$I:$I,$I2))</f>
        <v/>
      </c>
      <c r="G220" s="135" t="n">
        <v>30</v>
      </c>
      <c r="H220" s="5">
        <f>IF($I2="","",INDEX(Productos!$AG:$AG,$I2))</f>
        <v/>
      </c>
      <c r="I220" s="136">
        <f>LET(_xlpm.r,Productos!$E$2:$E$285,_xlpm.m,IFERROR(_xlfn.XMATCH(C220,_xlpm.r),IFERROR(_xlfn.XMATCH(VALUE(C220),_xlpm.r),0)),IF(_xlpm.m=0,"",_xlpm.m+1))</f>
        <v/>
      </c>
      <c r="J220" s="137" t="inlineStr">
        <is>
          <t>Odoo</t>
        </is>
      </c>
    </row>
    <row r="221">
      <c r="A221" s="5" t="inlineStr">
        <is>
          <t>Odoo Universal Unique Brands › Bodega 25 › Bodega 25/General</t>
        </is>
      </c>
      <c r="B221" s="5">
        <f>IF($I2="","",INDEX(Productos!$A:$A,$I2))</f>
        <v/>
      </c>
      <c r="C221" s="134" t="inlineStr">
        <is>
          <t>03-057-0590-1200 BL-M</t>
        </is>
      </c>
      <c r="D221" s="5">
        <f>IF($I2="","",INDEX(Productos!$B:$B,$I2))</f>
        <v/>
      </c>
      <c r="E221" s="5">
        <f>IF($I2="","",INDEX(Productos!$H:$H,$I2))</f>
        <v/>
      </c>
      <c r="F221" s="5">
        <f>IF($I2="","",INDEX(Productos!$I:$I,$I2))</f>
        <v/>
      </c>
      <c r="G221" s="135" t="n">
        <v>29</v>
      </c>
      <c r="H221" s="5">
        <f>IF($I2="","",INDEX(Productos!$AG:$AG,$I2))</f>
        <v/>
      </c>
      <c r="I221" s="136">
        <f>LET(_xlpm.r,Productos!$E$2:$E$285,_xlpm.m,IFERROR(_xlfn.XMATCH(C221,_xlpm.r),IFERROR(_xlfn.XMATCH(VALUE(C221),_xlpm.r),0)),IF(_xlpm.m=0,"",_xlpm.m+1))</f>
        <v/>
      </c>
      <c r="J221" s="137" t="inlineStr">
        <is>
          <t>Odoo</t>
        </is>
      </c>
    </row>
    <row r="222">
      <c r="A222" s="5" t="inlineStr">
        <is>
          <t>Odoo Universal Unique Brands › Bodega 25 › Bodega 25/General</t>
        </is>
      </c>
      <c r="B222" s="5">
        <f>IF($I2="","",INDEX(Productos!$A:$A,$I2))</f>
        <v/>
      </c>
      <c r="C222" s="134" t="inlineStr">
        <is>
          <t>03-057-0590-1200 BL-S</t>
        </is>
      </c>
      <c r="D222" s="5">
        <f>IF($I2="","",INDEX(Productos!$B:$B,$I2))</f>
        <v/>
      </c>
      <c r="E222" s="5">
        <f>IF($I2="","",INDEX(Productos!$H:$H,$I2))</f>
        <v/>
      </c>
      <c r="F222" s="5">
        <f>IF($I2="","",INDEX(Productos!$I:$I,$I2))</f>
        <v/>
      </c>
      <c r="G222" s="135" t="n">
        <v>30</v>
      </c>
      <c r="H222" s="5">
        <f>IF($I2="","",INDEX(Productos!$AG:$AG,$I2))</f>
        <v/>
      </c>
      <c r="I222" s="136">
        <f>LET(_xlpm.r,Productos!$E$2:$E$285,_xlpm.m,IFERROR(_xlfn.XMATCH(C222,_xlpm.r),IFERROR(_xlfn.XMATCH(VALUE(C222),_xlpm.r),0)),IF(_xlpm.m=0,"",_xlpm.m+1))</f>
        <v/>
      </c>
      <c r="J222" s="137" t="inlineStr">
        <is>
          <t>Odoo</t>
        </is>
      </c>
    </row>
    <row r="223">
      <c r="A223" s="5" t="inlineStr">
        <is>
          <t>Odoo Universal Unique Brands › Bodega 25 › Bodega 25/General</t>
        </is>
      </c>
      <c r="B223" s="5">
        <f>IF($I2="","",INDEX(Productos!$A:$A,$I2))</f>
        <v/>
      </c>
      <c r="C223" s="134" t="inlineStr">
        <is>
          <t>03-057-0590-1200 BL-XL</t>
        </is>
      </c>
      <c r="D223" s="5">
        <f>IF($I2="","",INDEX(Productos!$B:$B,$I2))</f>
        <v/>
      </c>
      <c r="E223" s="5">
        <f>IF($I2="","",INDEX(Productos!$H:$H,$I2))</f>
        <v/>
      </c>
      <c r="F223" s="5">
        <f>IF($I2="","",INDEX(Productos!$I:$I,$I2))</f>
        <v/>
      </c>
      <c r="G223" s="135" t="n">
        <v>20</v>
      </c>
      <c r="H223" s="5">
        <f>IF($I2="","",INDEX(Productos!$AG:$AG,$I2))</f>
        <v/>
      </c>
      <c r="I223" s="136">
        <f>LET(_xlpm.r,Productos!$E$2:$E$285,_xlpm.m,IFERROR(_xlfn.XMATCH(C223,_xlpm.r),IFERROR(_xlfn.XMATCH(VALUE(C223),_xlpm.r),0)),IF(_xlpm.m=0,"",_xlpm.m+1))</f>
        <v/>
      </c>
      <c r="J223" s="137" t="inlineStr">
        <is>
          <t>Odoo</t>
        </is>
      </c>
    </row>
    <row r="224">
      <c r="A224" s="5" t="inlineStr">
        <is>
          <t>Odoo Universal Unique Brands › Bodega 25 › Bodega 25/General</t>
        </is>
      </c>
      <c r="B224" s="5">
        <f>IF($I2="","",INDEX(Productos!$A:$A,$I2))</f>
        <v/>
      </c>
      <c r="C224" s="134" t="inlineStr">
        <is>
          <t>03-057-0590-1200 BL-XS</t>
        </is>
      </c>
      <c r="D224" s="5">
        <f>IF($I2="","",INDEX(Productos!$B:$B,$I2))</f>
        <v/>
      </c>
      <c r="E224" s="5">
        <f>IF($I2="","",INDEX(Productos!$H:$H,$I2))</f>
        <v/>
      </c>
      <c r="F224" s="5">
        <f>IF($I2="","",INDEX(Productos!$I:$I,$I2))</f>
        <v/>
      </c>
      <c r="G224" s="135" t="n">
        <v>10</v>
      </c>
      <c r="H224" s="5">
        <f>IF($I2="","",INDEX(Productos!$AG:$AG,$I2))</f>
        <v/>
      </c>
      <c r="I224" s="136">
        <f>LET(_xlpm.r,Productos!$E$2:$E$285,_xlpm.m,IFERROR(_xlfn.XMATCH(C224,_xlpm.r),IFERROR(_xlfn.XMATCH(VALUE(C224),_xlpm.r),0)),IF(_xlpm.m=0,"",_xlpm.m+1))</f>
        <v/>
      </c>
      <c r="J224" s="137" t="inlineStr">
        <is>
          <t>Odoo</t>
        </is>
      </c>
    </row>
    <row r="225">
      <c r="A225" s="5" t="inlineStr">
        <is>
          <t>Odoo Universal Unique Brands › Bodega 25 › Bodega 25/General</t>
        </is>
      </c>
      <c r="B225" s="5">
        <f>IF($I2="","",INDEX(Productos!$A:$A,$I2))</f>
        <v/>
      </c>
      <c r="C225" s="134" t="inlineStr">
        <is>
          <t>03-097-0616-6222 GR-2XL</t>
        </is>
      </c>
      <c r="D225" s="5">
        <f>IF($I2="","",INDEX(Productos!$B:$B,$I2))</f>
        <v/>
      </c>
      <c r="E225" s="5">
        <f>IF($I2="","",INDEX(Productos!$H:$H,$I2))</f>
        <v/>
      </c>
      <c r="F225" s="5">
        <f>IF($I2="","",INDEX(Productos!$I:$I,$I2))</f>
        <v/>
      </c>
      <c r="G225" s="135" t="n">
        <v>6</v>
      </c>
      <c r="H225" s="5">
        <f>IF($I2="","",INDEX(Productos!$AG:$AG,$I2))</f>
        <v/>
      </c>
      <c r="I225" s="136">
        <f>LET(_xlpm.r,Productos!$E$2:$E$285,_xlpm.m,IFERROR(_xlfn.XMATCH(C225,_xlpm.r),IFERROR(_xlfn.XMATCH(VALUE(C225),_xlpm.r),0)),IF(_xlpm.m=0,"",_xlpm.m+1))</f>
        <v/>
      </c>
      <c r="J225" s="137" t="inlineStr">
        <is>
          <t>Odoo</t>
        </is>
      </c>
    </row>
    <row r="226">
      <c r="A226" s="5" t="inlineStr">
        <is>
          <t>Odoo Universal Unique Brands › Bodega 25 › Bodega 25/General</t>
        </is>
      </c>
      <c r="B226" s="5">
        <f>IF($I2="","",INDEX(Productos!$A:$A,$I2))</f>
        <v/>
      </c>
      <c r="C226" s="134" t="inlineStr">
        <is>
          <t>03-097-0616-6222 GR-L</t>
        </is>
      </c>
      <c r="D226" s="5">
        <f>IF($I2="","",INDEX(Productos!$B:$B,$I2))</f>
        <v/>
      </c>
      <c r="E226" s="5">
        <f>IF($I2="","",INDEX(Productos!$H:$H,$I2))</f>
        <v/>
      </c>
      <c r="F226" s="5">
        <f>IF($I2="","",INDEX(Productos!$I:$I,$I2))</f>
        <v/>
      </c>
      <c r="G226" s="135" t="n">
        <v>1</v>
      </c>
      <c r="H226" s="5">
        <f>IF($I2="","",INDEX(Productos!$AG:$AG,$I2))</f>
        <v/>
      </c>
      <c r="I226" s="136">
        <f>LET(_xlpm.r,Productos!$E$2:$E$285,_xlpm.m,IFERROR(_xlfn.XMATCH(C226,_xlpm.r),IFERROR(_xlfn.XMATCH(VALUE(C226),_xlpm.r),0)),IF(_xlpm.m=0,"",_xlpm.m+1))</f>
        <v/>
      </c>
      <c r="J226" s="137" t="inlineStr">
        <is>
          <t>Odoo</t>
        </is>
      </c>
    </row>
    <row r="227">
      <c r="A227" s="5" t="inlineStr">
        <is>
          <t>Odoo Universal Unique Brands › Bodega 25 › Bodega 25/General</t>
        </is>
      </c>
      <c r="B227" s="5">
        <f>IF($I2="","",INDEX(Productos!$A:$A,$I2))</f>
        <v/>
      </c>
      <c r="C227" s="134" t="inlineStr">
        <is>
          <t>03-097-0616-6222 GR-M</t>
        </is>
      </c>
      <c r="D227" s="5">
        <f>IF($I2="","",INDEX(Productos!$B:$B,$I2))</f>
        <v/>
      </c>
      <c r="E227" s="5">
        <f>IF($I2="","",INDEX(Productos!$H:$H,$I2))</f>
        <v/>
      </c>
      <c r="F227" s="5">
        <f>IF($I2="","",INDEX(Productos!$I:$I,$I2))</f>
        <v/>
      </c>
      <c r="G227" s="135" t="n">
        <v>2</v>
      </c>
      <c r="H227" s="5">
        <f>IF($I2="","",INDEX(Productos!$AG:$AG,$I2))</f>
        <v/>
      </c>
      <c r="I227" s="136">
        <f>LET(_xlpm.r,Productos!$E$2:$E$285,_xlpm.m,IFERROR(_xlfn.XMATCH(C227,_xlpm.r),IFERROR(_xlfn.XMATCH(VALUE(C227),_xlpm.r),0)),IF(_xlpm.m=0,"",_xlpm.m+1))</f>
        <v/>
      </c>
      <c r="J227" s="137" t="inlineStr">
        <is>
          <t>Odoo</t>
        </is>
      </c>
    </row>
    <row r="228">
      <c r="A228" s="5" t="inlineStr">
        <is>
          <t>Odoo Universal Unique Brands › Bodega 25 › Bodega 25/General</t>
        </is>
      </c>
      <c r="B228" s="5">
        <f>IF($I2="","",INDEX(Productos!$A:$A,$I2))</f>
        <v/>
      </c>
      <c r="C228" s="134" t="inlineStr">
        <is>
          <t>03-097-0616-6222 GR-S</t>
        </is>
      </c>
      <c r="D228" s="5">
        <f>IF($I2="","",INDEX(Productos!$B:$B,$I2))</f>
        <v/>
      </c>
      <c r="E228" s="5">
        <f>IF($I2="","",INDEX(Productos!$H:$H,$I2))</f>
        <v/>
      </c>
      <c r="F228" s="5">
        <f>IF($I2="","",INDEX(Productos!$I:$I,$I2))</f>
        <v/>
      </c>
      <c r="G228" s="135" t="n">
        <v>3</v>
      </c>
      <c r="H228" s="5">
        <f>IF($I2="","",INDEX(Productos!$AG:$AG,$I2))</f>
        <v/>
      </c>
      <c r="I228" s="136">
        <f>LET(_xlpm.r,Productos!$E$2:$E$285,_xlpm.m,IFERROR(_xlfn.XMATCH(C228,_xlpm.r),IFERROR(_xlfn.XMATCH(VALUE(C228),_xlpm.r),0)),IF(_xlpm.m=0,"",_xlpm.m+1))</f>
        <v/>
      </c>
      <c r="J228" s="137" t="inlineStr">
        <is>
          <t>Odoo</t>
        </is>
      </c>
    </row>
    <row r="229">
      <c r="A229" s="5" t="inlineStr">
        <is>
          <t>Odoo Universal Unique Brands › Bodega 25 › Bodega 25/General</t>
        </is>
      </c>
      <c r="B229" s="5">
        <f>IF($I2="","",INDEX(Productos!$A:$A,$I2))</f>
        <v/>
      </c>
      <c r="C229" s="134" t="inlineStr">
        <is>
          <t>03-097-0616-6222 GR-XL</t>
        </is>
      </c>
      <c r="D229" s="5">
        <f>IF($I2="","",INDEX(Productos!$B:$B,$I2))</f>
        <v/>
      </c>
      <c r="E229" s="5">
        <f>IF($I2="","",INDEX(Productos!$H:$H,$I2))</f>
        <v/>
      </c>
      <c r="F229" s="5">
        <f>IF($I2="","",INDEX(Productos!$I:$I,$I2))</f>
        <v/>
      </c>
      <c r="G229" s="135" t="n">
        <v>2</v>
      </c>
      <c r="H229" s="5">
        <f>IF($I2="","",INDEX(Productos!$AG:$AG,$I2))</f>
        <v/>
      </c>
      <c r="I229" s="136">
        <f>LET(_xlpm.r,Productos!$E$2:$E$285,_xlpm.m,IFERROR(_xlfn.XMATCH(C229,_xlpm.r),IFERROR(_xlfn.XMATCH(VALUE(C229),_xlpm.r),0)),IF(_xlpm.m=0,"",_xlpm.m+1))</f>
        <v/>
      </c>
      <c r="J229" s="137" t="inlineStr">
        <is>
          <t>Odoo</t>
        </is>
      </c>
    </row>
    <row r="230">
      <c r="A230" s="5" t="inlineStr">
        <is>
          <t>Odoo Universal Unique Brands › Bodega 25 › Bodega 25/General</t>
        </is>
      </c>
      <c r="B230" s="5">
        <f>IF($I2="","",INDEX(Productos!$A:$A,$I2))</f>
        <v/>
      </c>
      <c r="C230" s="134" t="inlineStr">
        <is>
          <t>03-097-0616-6223 BR-2XL</t>
        </is>
      </c>
      <c r="D230" s="5">
        <f>IF($I2="","",INDEX(Productos!$B:$B,$I2))</f>
        <v/>
      </c>
      <c r="E230" s="5">
        <f>IF($I2="","",INDEX(Productos!$H:$H,$I2))</f>
        <v/>
      </c>
      <c r="F230" s="5">
        <f>IF($I2="","",INDEX(Productos!$I:$I,$I2))</f>
        <v/>
      </c>
      <c r="G230" s="135" t="n">
        <v>6</v>
      </c>
      <c r="H230" s="5">
        <f>IF($I2="","",INDEX(Productos!$AG:$AG,$I2))</f>
        <v/>
      </c>
      <c r="I230" s="136">
        <f>LET(_xlpm.r,Productos!$E$2:$E$285,_xlpm.m,IFERROR(_xlfn.XMATCH(C230,_xlpm.r),IFERROR(_xlfn.XMATCH(VALUE(C230),_xlpm.r),0)),IF(_xlpm.m=0,"",_xlpm.m+1))</f>
        <v/>
      </c>
      <c r="J230" s="137" t="inlineStr">
        <is>
          <t>Odoo</t>
        </is>
      </c>
    </row>
    <row r="231">
      <c r="A231" s="5" t="inlineStr">
        <is>
          <t>Odoo Universal Unique Brands › Bodega 25 › Bodega 25/General</t>
        </is>
      </c>
      <c r="B231" s="5">
        <f>IF($I2="","",INDEX(Productos!$A:$A,$I2))</f>
        <v/>
      </c>
      <c r="C231" s="134" t="inlineStr">
        <is>
          <t>03-097-0616-6223 BR-L</t>
        </is>
      </c>
      <c r="D231" s="5">
        <f>IF($I2="","",INDEX(Productos!$B:$B,$I2))</f>
        <v/>
      </c>
      <c r="E231" s="5">
        <f>IF($I2="","",INDEX(Productos!$H:$H,$I2))</f>
        <v/>
      </c>
      <c r="F231" s="5">
        <f>IF($I2="","",INDEX(Productos!$I:$I,$I2))</f>
        <v/>
      </c>
      <c r="G231" s="135" t="n">
        <v>1</v>
      </c>
      <c r="H231" s="5">
        <f>IF($I2="","",INDEX(Productos!$AG:$AG,$I2))</f>
        <v/>
      </c>
      <c r="I231" s="136">
        <f>LET(_xlpm.r,Productos!$E$2:$E$285,_xlpm.m,IFERROR(_xlfn.XMATCH(C231,_xlpm.r),IFERROR(_xlfn.XMATCH(VALUE(C231),_xlpm.r),0)),IF(_xlpm.m=0,"",_xlpm.m+1))</f>
        <v/>
      </c>
      <c r="J231" s="137" t="inlineStr">
        <is>
          <t>Odoo</t>
        </is>
      </c>
    </row>
    <row r="232">
      <c r="A232" s="5" t="inlineStr">
        <is>
          <t>Odoo Universal Unique Brands › Bodega 25 › Bodega 25/General</t>
        </is>
      </c>
      <c r="B232" s="5">
        <f>IF($I2="","",INDEX(Productos!$A:$A,$I2))</f>
        <v/>
      </c>
      <c r="C232" s="134" t="inlineStr">
        <is>
          <t>03-097-0616-6223 BR-M</t>
        </is>
      </c>
      <c r="D232" s="5">
        <f>IF($I2="","",INDEX(Productos!$B:$B,$I2))</f>
        <v/>
      </c>
      <c r="E232" s="5">
        <f>IF($I2="","",INDEX(Productos!$H:$H,$I2))</f>
        <v/>
      </c>
      <c r="F232" s="5">
        <f>IF($I2="","",INDEX(Productos!$I:$I,$I2))</f>
        <v/>
      </c>
      <c r="G232" s="135" t="n">
        <v>1</v>
      </c>
      <c r="H232" s="5">
        <f>IF($I2="","",INDEX(Productos!$AG:$AG,$I2))</f>
        <v/>
      </c>
      <c r="I232" s="136">
        <f>LET(_xlpm.r,Productos!$E$2:$E$285,_xlpm.m,IFERROR(_xlfn.XMATCH(C232,_xlpm.r),IFERROR(_xlfn.XMATCH(VALUE(C232),_xlpm.r),0)),IF(_xlpm.m=0,"",_xlpm.m+1))</f>
        <v/>
      </c>
      <c r="J232" s="137" t="inlineStr">
        <is>
          <t>Odoo</t>
        </is>
      </c>
    </row>
    <row r="233">
      <c r="A233" s="5" t="inlineStr">
        <is>
          <t>Odoo Universal Unique Brands › Bodega 25 › Bodega 25/General</t>
        </is>
      </c>
      <c r="B233" s="5">
        <f>IF($I2="","",INDEX(Productos!$A:$A,$I2))</f>
        <v/>
      </c>
      <c r="C233" s="134" t="inlineStr">
        <is>
          <t>03-097-0616-6223 BR-S</t>
        </is>
      </c>
      <c r="D233" s="5">
        <f>IF($I2="","",INDEX(Productos!$B:$B,$I2))</f>
        <v/>
      </c>
      <c r="E233" s="5">
        <f>IF($I2="","",INDEX(Productos!$H:$H,$I2))</f>
        <v/>
      </c>
      <c r="F233" s="5">
        <f>IF($I2="","",INDEX(Productos!$I:$I,$I2))</f>
        <v/>
      </c>
      <c r="G233" s="135" t="n">
        <v>3</v>
      </c>
      <c r="H233" s="5">
        <f>IF($I2="","",INDEX(Productos!$AG:$AG,$I2))</f>
        <v/>
      </c>
      <c r="I233" s="136">
        <f>LET(_xlpm.r,Productos!$E$2:$E$285,_xlpm.m,IFERROR(_xlfn.XMATCH(C233,_xlpm.r),IFERROR(_xlfn.XMATCH(VALUE(C233),_xlpm.r),0)),IF(_xlpm.m=0,"",_xlpm.m+1))</f>
        <v/>
      </c>
      <c r="J233" s="137" t="inlineStr">
        <is>
          <t>Odoo</t>
        </is>
      </c>
    </row>
    <row r="234">
      <c r="A234" s="5" t="inlineStr">
        <is>
          <t>Odoo Universal Unique Brands › Bodega 25 › Bodega 25/General</t>
        </is>
      </c>
      <c r="B234" s="5">
        <f>IF($I2="","",INDEX(Productos!$A:$A,$I2))</f>
        <v/>
      </c>
      <c r="C234" s="134" t="inlineStr">
        <is>
          <t>03-097-0616-6223 BR-XL</t>
        </is>
      </c>
      <c r="D234" s="5">
        <f>IF($I2="","",INDEX(Productos!$B:$B,$I2))</f>
        <v/>
      </c>
      <c r="E234" s="5">
        <f>IF($I2="","",INDEX(Productos!$H:$H,$I2))</f>
        <v/>
      </c>
      <c r="F234" s="5">
        <f>IF($I2="","",INDEX(Productos!$I:$I,$I2))</f>
        <v/>
      </c>
      <c r="G234" s="135" t="n">
        <v>2</v>
      </c>
      <c r="H234" s="5">
        <f>IF($I2="","",INDEX(Productos!$AG:$AG,$I2))</f>
        <v/>
      </c>
      <c r="I234" s="136">
        <f>LET(_xlpm.r,Productos!$E$2:$E$285,_xlpm.m,IFERROR(_xlfn.XMATCH(C234,_xlpm.r),IFERROR(_xlfn.XMATCH(VALUE(C234),_xlpm.r),0)),IF(_xlpm.m=0,"",_xlpm.m+1))</f>
        <v/>
      </c>
      <c r="J234" s="137" t="inlineStr">
        <is>
          <t>Odoo</t>
        </is>
      </c>
    </row>
    <row r="235">
      <c r="A235" s="5" t="inlineStr">
        <is>
          <t>Odoo Universal Unique Brands › Bodega 25 › Bodega 25/General</t>
        </is>
      </c>
      <c r="B235" s="5">
        <f>IF($I2="","",INDEX(Productos!$A:$A,$I2))</f>
        <v/>
      </c>
      <c r="C235" s="134" t="inlineStr">
        <is>
          <t>03-097-0617-6222 GR-2XL</t>
        </is>
      </c>
      <c r="D235" s="5">
        <f>IF($I2="","",INDEX(Productos!$B:$B,$I2))</f>
        <v/>
      </c>
      <c r="E235" s="5">
        <f>IF($I2="","",INDEX(Productos!$H:$H,$I2))</f>
        <v/>
      </c>
      <c r="F235" s="5">
        <f>IF($I2="","",INDEX(Productos!$I:$I,$I2))</f>
        <v/>
      </c>
      <c r="G235" s="135" t="n">
        <v>7</v>
      </c>
      <c r="H235" s="5">
        <f>IF($I2="","",INDEX(Productos!$AG:$AG,$I2))</f>
        <v/>
      </c>
      <c r="I235" s="136">
        <f>LET(_xlpm.r,Productos!$E$2:$E$285,_xlpm.m,IFERROR(_xlfn.XMATCH(C235,_xlpm.r),IFERROR(_xlfn.XMATCH(VALUE(C235),_xlpm.r),0)),IF(_xlpm.m=0,"",_xlpm.m+1))</f>
        <v/>
      </c>
      <c r="J235" s="137" t="inlineStr">
        <is>
          <t>Odoo</t>
        </is>
      </c>
    </row>
    <row r="236">
      <c r="A236" s="5" t="inlineStr">
        <is>
          <t>Odoo Universal Unique Brands › Bodega 25 › Bodega 25/General</t>
        </is>
      </c>
      <c r="B236" s="5">
        <f>IF($I2="","",INDEX(Productos!$A:$A,$I2))</f>
        <v/>
      </c>
      <c r="C236" s="134" t="inlineStr">
        <is>
          <t>03-097-0617-6222 GR-L</t>
        </is>
      </c>
      <c r="D236" s="5">
        <f>IF($I2="","",INDEX(Productos!$B:$B,$I2))</f>
        <v/>
      </c>
      <c r="E236" s="5">
        <f>IF($I2="","",INDEX(Productos!$H:$H,$I2))</f>
        <v/>
      </c>
      <c r="F236" s="5">
        <f>IF($I2="","",INDEX(Productos!$I:$I,$I2))</f>
        <v/>
      </c>
      <c r="G236" s="135" t="n">
        <v>11</v>
      </c>
      <c r="H236" s="5">
        <f>IF($I2="","",INDEX(Productos!$AG:$AG,$I2))</f>
        <v/>
      </c>
      <c r="I236" s="136">
        <f>LET(_xlpm.r,Productos!$E$2:$E$285,_xlpm.m,IFERROR(_xlfn.XMATCH(C236,_xlpm.r),IFERROR(_xlfn.XMATCH(VALUE(C236),_xlpm.r),0)),IF(_xlpm.m=0,"",_xlpm.m+1))</f>
        <v/>
      </c>
      <c r="J236" s="137" t="inlineStr">
        <is>
          <t>Odoo</t>
        </is>
      </c>
    </row>
    <row r="237">
      <c r="A237" s="5" t="inlineStr">
        <is>
          <t>Odoo Universal Unique Brands › Bodega 25 › Bodega 25/General</t>
        </is>
      </c>
      <c r="B237" s="5">
        <f>IF($I2="","",INDEX(Productos!$A:$A,$I2))</f>
        <v/>
      </c>
      <c r="C237" s="134" t="inlineStr">
        <is>
          <t>03-097-0617-6222 GR-M</t>
        </is>
      </c>
      <c r="D237" s="5">
        <f>IF($I2="","",INDEX(Productos!$B:$B,$I2))</f>
        <v/>
      </c>
      <c r="E237" s="5">
        <f>IF($I2="","",INDEX(Productos!$H:$H,$I2))</f>
        <v/>
      </c>
      <c r="F237" s="5">
        <f>IF($I2="","",INDEX(Productos!$I:$I,$I2))</f>
        <v/>
      </c>
      <c r="G237" s="135" t="n">
        <v>5</v>
      </c>
      <c r="H237" s="5">
        <f>IF($I2="","",INDEX(Productos!$AG:$AG,$I2))</f>
        <v/>
      </c>
      <c r="I237" s="136">
        <f>LET(_xlpm.r,Productos!$E$2:$E$285,_xlpm.m,IFERROR(_xlfn.XMATCH(C237,_xlpm.r),IFERROR(_xlfn.XMATCH(VALUE(C237),_xlpm.r),0)),IF(_xlpm.m=0,"",_xlpm.m+1))</f>
        <v/>
      </c>
      <c r="J237" s="137" t="inlineStr">
        <is>
          <t>Odoo</t>
        </is>
      </c>
    </row>
    <row r="238">
      <c r="A238" s="5" t="inlineStr">
        <is>
          <t>Odoo Universal Unique Brands › Bodega 25 › Bodega 25/General</t>
        </is>
      </c>
      <c r="B238" s="5">
        <f>IF($I2="","",INDEX(Productos!$A:$A,$I2))</f>
        <v/>
      </c>
      <c r="C238" s="134" t="inlineStr">
        <is>
          <t>03-097-0617-6222 GR-XL</t>
        </is>
      </c>
      <c r="D238" s="5">
        <f>IF($I2="","",INDEX(Productos!$B:$B,$I2))</f>
        <v/>
      </c>
      <c r="E238" s="5">
        <f>IF($I2="","",INDEX(Productos!$H:$H,$I2))</f>
        <v/>
      </c>
      <c r="F238" s="5">
        <f>IF($I2="","",INDEX(Productos!$I:$I,$I2))</f>
        <v/>
      </c>
      <c r="G238" s="135" t="n">
        <v>15</v>
      </c>
      <c r="H238" s="5">
        <f>IF($I2="","",INDEX(Productos!$AG:$AG,$I2))</f>
        <v/>
      </c>
      <c r="I238" s="136">
        <f>LET(_xlpm.r,Productos!$E$2:$E$285,_xlpm.m,IFERROR(_xlfn.XMATCH(C238,_xlpm.r),IFERROR(_xlfn.XMATCH(VALUE(C238),_xlpm.r),0)),IF(_xlpm.m=0,"",_xlpm.m+1))</f>
        <v/>
      </c>
      <c r="J238" s="137" t="inlineStr">
        <is>
          <t>Odoo</t>
        </is>
      </c>
    </row>
    <row r="239">
      <c r="A239" s="5" t="inlineStr">
        <is>
          <t>Odoo Universal Unique Brands › Bodega 25 › Bodega 25/General</t>
        </is>
      </c>
      <c r="B239" s="5">
        <f>IF($I2="","",INDEX(Productos!$A:$A,$I2))</f>
        <v/>
      </c>
      <c r="C239" s="134" t="inlineStr">
        <is>
          <t>03-097-0617-6223 BR-2XL</t>
        </is>
      </c>
      <c r="D239" s="5">
        <f>IF($I2="","",INDEX(Productos!$B:$B,$I2))</f>
        <v/>
      </c>
      <c r="E239" s="5">
        <f>IF($I2="","",INDEX(Productos!$H:$H,$I2))</f>
        <v/>
      </c>
      <c r="F239" s="5">
        <f>IF($I2="","",INDEX(Productos!$I:$I,$I2))</f>
        <v/>
      </c>
      <c r="G239" s="135" t="n">
        <v>7</v>
      </c>
      <c r="H239" s="5">
        <f>IF($I2="","",INDEX(Productos!$AG:$AG,$I2))</f>
        <v/>
      </c>
      <c r="I239" s="136">
        <f>LET(_xlpm.r,Productos!$E$2:$E$285,_xlpm.m,IFERROR(_xlfn.XMATCH(C239,_xlpm.r),IFERROR(_xlfn.XMATCH(VALUE(C239),_xlpm.r),0)),IF(_xlpm.m=0,"",_xlpm.m+1))</f>
        <v/>
      </c>
      <c r="J239" s="137" t="inlineStr">
        <is>
          <t>Odoo</t>
        </is>
      </c>
    </row>
    <row r="240">
      <c r="A240" s="5" t="inlineStr">
        <is>
          <t>Odoo Universal Unique Brands › Bodega 25 › Bodega 25/General</t>
        </is>
      </c>
      <c r="B240" s="5">
        <f>IF($I2="","",INDEX(Productos!$A:$A,$I2))</f>
        <v/>
      </c>
      <c r="C240" s="134" t="inlineStr">
        <is>
          <t>03-097-0617-6223 BR-L</t>
        </is>
      </c>
      <c r="D240" s="5">
        <f>IF($I2="","",INDEX(Productos!$B:$B,$I2))</f>
        <v/>
      </c>
      <c r="E240" s="5">
        <f>IF($I2="","",INDEX(Productos!$H:$H,$I2))</f>
        <v/>
      </c>
      <c r="F240" s="5">
        <f>IF($I2="","",INDEX(Productos!$I:$I,$I2))</f>
        <v/>
      </c>
      <c r="G240" s="135" t="n">
        <v>11</v>
      </c>
      <c r="H240" s="5">
        <f>IF($I2="","",INDEX(Productos!$AG:$AG,$I2))</f>
        <v/>
      </c>
      <c r="I240" s="136">
        <f>LET(_xlpm.r,Productos!$E$2:$E$285,_xlpm.m,IFERROR(_xlfn.XMATCH(C240,_xlpm.r),IFERROR(_xlfn.XMATCH(VALUE(C240),_xlpm.r),0)),IF(_xlpm.m=0,"",_xlpm.m+1))</f>
        <v/>
      </c>
      <c r="J240" s="137" t="inlineStr">
        <is>
          <t>Odoo</t>
        </is>
      </c>
    </row>
    <row r="241">
      <c r="A241" s="5" t="inlineStr">
        <is>
          <t>Odoo Universal Unique Brands › Bodega 25 › Bodega 25/General</t>
        </is>
      </c>
      <c r="B241" s="5">
        <f>IF($I2="","",INDEX(Productos!$A:$A,$I2))</f>
        <v/>
      </c>
      <c r="C241" s="134" t="inlineStr">
        <is>
          <t>03-097-0617-6223 BR-M</t>
        </is>
      </c>
      <c r="D241" s="5">
        <f>IF($I2="","",INDEX(Productos!$B:$B,$I2))</f>
        <v/>
      </c>
      <c r="E241" s="5">
        <f>IF($I2="","",INDEX(Productos!$H:$H,$I2))</f>
        <v/>
      </c>
      <c r="F241" s="5">
        <f>IF($I2="","",INDEX(Productos!$I:$I,$I2))</f>
        <v/>
      </c>
      <c r="G241" s="135" t="n">
        <v>8</v>
      </c>
      <c r="H241" s="5">
        <f>IF($I2="","",INDEX(Productos!$AG:$AG,$I2))</f>
        <v/>
      </c>
      <c r="I241" s="136">
        <f>LET(_xlpm.r,Productos!$E$2:$E$285,_xlpm.m,IFERROR(_xlfn.XMATCH(C241,_xlpm.r),IFERROR(_xlfn.XMATCH(VALUE(C241),_xlpm.r),0)),IF(_xlpm.m=0,"",_xlpm.m+1))</f>
        <v/>
      </c>
      <c r="J241" s="137" t="inlineStr">
        <is>
          <t>Odoo</t>
        </is>
      </c>
    </row>
    <row r="242">
      <c r="A242" s="5" t="inlineStr">
        <is>
          <t>Odoo Universal Unique Brands › Bodega 25 › Bodega 25/General</t>
        </is>
      </c>
      <c r="B242" s="5">
        <f>IF($I2="","",INDEX(Productos!$A:$A,$I2))</f>
        <v/>
      </c>
      <c r="C242" s="134" t="inlineStr">
        <is>
          <t>03-097-0617-6223 BR-S</t>
        </is>
      </c>
      <c r="D242" s="5">
        <f>IF($I2="","",INDEX(Productos!$B:$B,$I2))</f>
        <v/>
      </c>
      <c r="E242" s="5">
        <f>IF($I2="","",INDEX(Productos!$H:$H,$I2))</f>
        <v/>
      </c>
      <c r="F242" s="5">
        <f>IF($I2="","",INDEX(Productos!$I:$I,$I2))</f>
        <v/>
      </c>
      <c r="G242" s="135" t="n">
        <v>7</v>
      </c>
      <c r="H242" s="5">
        <f>IF($I2="","",INDEX(Productos!$AG:$AG,$I2))</f>
        <v/>
      </c>
      <c r="I242" s="136">
        <f>LET(_xlpm.r,Productos!$E$2:$E$285,_xlpm.m,IFERROR(_xlfn.XMATCH(C242,_xlpm.r),IFERROR(_xlfn.XMATCH(VALUE(C242),_xlpm.r),0)),IF(_xlpm.m=0,"",_xlpm.m+1))</f>
        <v/>
      </c>
      <c r="J242" s="137" t="inlineStr">
        <is>
          <t>Odoo</t>
        </is>
      </c>
    </row>
    <row r="243">
      <c r="A243" s="5" t="inlineStr">
        <is>
          <t>Odoo Universal Unique Brands › Bodega 25 › Bodega 25/General</t>
        </is>
      </c>
      <c r="B243" s="5">
        <f>IF($I2="","",INDEX(Productos!$A:$A,$I2))</f>
        <v/>
      </c>
      <c r="C243" s="134" t="inlineStr">
        <is>
          <t>03-097-0617-6223 BR-XL</t>
        </is>
      </c>
      <c r="D243" s="5">
        <f>IF($I2="","",INDEX(Productos!$B:$B,$I2))</f>
        <v/>
      </c>
      <c r="E243" s="5">
        <f>IF($I2="","",INDEX(Productos!$H:$H,$I2))</f>
        <v/>
      </c>
      <c r="F243" s="5">
        <f>IF($I2="","",INDEX(Productos!$I:$I,$I2))</f>
        <v/>
      </c>
      <c r="G243" s="135" t="n">
        <v>7</v>
      </c>
      <c r="H243" s="5">
        <f>IF($I2="","",INDEX(Productos!$AG:$AG,$I2))</f>
        <v/>
      </c>
      <c r="I243" s="136">
        <f>LET(_xlpm.r,Productos!$E$2:$E$285,_xlpm.m,IFERROR(_xlfn.XMATCH(C243,_xlpm.r),IFERROR(_xlfn.XMATCH(VALUE(C243),_xlpm.r),0)),IF(_xlpm.m=0,"",_xlpm.m+1))</f>
        <v/>
      </c>
      <c r="J243" s="137" t="inlineStr">
        <is>
          <t>Odoo</t>
        </is>
      </c>
    </row>
    <row r="244">
      <c r="A244" s="5" t="inlineStr">
        <is>
          <t>Odoo Universal Unique Brands › Bodega 25 › Bodega 25/General</t>
        </is>
      </c>
      <c r="B244" s="5">
        <f>IF($I2="","",INDEX(Productos!$A:$A,$I2))</f>
        <v/>
      </c>
      <c r="C244" s="134" t="inlineStr">
        <is>
          <t>03-097-0692-6210 BL-L</t>
        </is>
      </c>
      <c r="D244" s="5">
        <f>IF($I2="","",INDEX(Productos!$B:$B,$I2))</f>
        <v/>
      </c>
      <c r="E244" s="5">
        <f>IF($I2="","",INDEX(Productos!$H:$H,$I2))</f>
        <v/>
      </c>
      <c r="F244" s="5">
        <f>IF($I2="","",INDEX(Productos!$I:$I,$I2))</f>
        <v/>
      </c>
      <c r="G244" s="135" t="n">
        <v>1</v>
      </c>
      <c r="H244" s="5">
        <f>IF($I2="","",INDEX(Productos!$AG:$AG,$I2))</f>
        <v/>
      </c>
      <c r="I244" s="136">
        <f>LET(_xlpm.r,Productos!$E$2:$E$285,_xlpm.m,IFERROR(_xlfn.XMATCH(C244,_xlpm.r),IFERROR(_xlfn.XMATCH(VALUE(C244),_xlpm.r),0)),IF(_xlpm.m=0,"",_xlpm.m+1))</f>
        <v/>
      </c>
      <c r="J244" s="137" t="inlineStr">
        <is>
          <t>Odoo</t>
        </is>
      </c>
    </row>
    <row r="245">
      <c r="A245" s="5" t="inlineStr">
        <is>
          <t>Odoo Universal Unique Brands › Bodega 25 › Bodega 25/General</t>
        </is>
      </c>
      <c r="B245" s="5">
        <f>IF($I2="","",INDEX(Productos!$A:$A,$I2))</f>
        <v/>
      </c>
      <c r="C245" s="134" t="inlineStr">
        <is>
          <t>03-097-0692-6210 BL-S</t>
        </is>
      </c>
      <c r="D245" s="5">
        <f>IF($I2="","",INDEX(Productos!$B:$B,$I2))</f>
        <v/>
      </c>
      <c r="E245" s="5">
        <f>IF($I2="","",INDEX(Productos!$H:$H,$I2))</f>
        <v/>
      </c>
      <c r="F245" s="5">
        <f>IF($I2="","",INDEX(Productos!$I:$I,$I2))</f>
        <v/>
      </c>
      <c r="G245" s="135" t="n">
        <v>3</v>
      </c>
      <c r="H245" s="5">
        <f>IF($I2="","",INDEX(Productos!$AG:$AG,$I2))</f>
        <v/>
      </c>
      <c r="I245" s="136">
        <f>LET(_xlpm.r,Productos!$E$2:$E$285,_xlpm.m,IFERROR(_xlfn.XMATCH(C245,_xlpm.r),IFERROR(_xlfn.XMATCH(VALUE(C245),_xlpm.r),0)),IF(_xlpm.m=0,"",_xlpm.m+1))</f>
        <v/>
      </c>
      <c r="J245" s="137" t="inlineStr">
        <is>
          <t>Odoo</t>
        </is>
      </c>
    </row>
    <row r="246">
      <c r="A246" s="5" t="inlineStr">
        <is>
          <t>Odoo Universal Unique Brands › Bodega 25 › Bodega 25/General</t>
        </is>
      </c>
      <c r="B246" s="5">
        <f>IF($I2="","",INDEX(Productos!$A:$A,$I2))</f>
        <v/>
      </c>
      <c r="C246" s="134" t="inlineStr">
        <is>
          <t>03-097-0692-6210 BL-XL</t>
        </is>
      </c>
      <c r="D246" s="5">
        <f>IF($I2="","",INDEX(Productos!$B:$B,$I2))</f>
        <v/>
      </c>
      <c r="E246" s="5">
        <f>IF($I2="","",INDEX(Productos!$H:$H,$I2))</f>
        <v/>
      </c>
      <c r="F246" s="5">
        <f>IF($I2="","",INDEX(Productos!$I:$I,$I2))</f>
        <v/>
      </c>
      <c r="G246" s="135" t="n">
        <v>2</v>
      </c>
      <c r="H246" s="5">
        <f>IF($I2="","",INDEX(Productos!$AG:$AG,$I2))</f>
        <v/>
      </c>
      <c r="I246" s="136">
        <f>LET(_xlpm.r,Productos!$E$2:$E$285,_xlpm.m,IFERROR(_xlfn.XMATCH(C246,_xlpm.r),IFERROR(_xlfn.XMATCH(VALUE(C246),_xlpm.r),0)),IF(_xlpm.m=0,"",_xlpm.m+1))</f>
        <v/>
      </c>
      <c r="J246" s="137" t="inlineStr">
        <is>
          <t>Odoo</t>
        </is>
      </c>
    </row>
    <row r="247">
      <c r="A247" s="5" t="inlineStr">
        <is>
          <t>Odoo Universal Unique Brands › Bodega 25 › Bodega 25/General</t>
        </is>
      </c>
      <c r="B247" s="5">
        <f>IF($I2="","",INDEX(Productos!$A:$A,$I2))</f>
        <v/>
      </c>
      <c r="C247" s="134" t="inlineStr">
        <is>
          <t>03-097-0692-6211 BL-L</t>
        </is>
      </c>
      <c r="D247" s="5">
        <f>IF($I2="","",INDEX(Productos!$B:$B,$I2))</f>
        <v/>
      </c>
      <c r="E247" s="5">
        <f>IF($I2="","",INDEX(Productos!$H:$H,$I2))</f>
        <v/>
      </c>
      <c r="F247" s="5">
        <f>IF($I2="","",INDEX(Productos!$I:$I,$I2))</f>
        <v/>
      </c>
      <c r="G247" s="135" t="n">
        <v>1</v>
      </c>
      <c r="H247" s="5">
        <f>IF($I2="","",INDEX(Productos!$AG:$AG,$I2))</f>
        <v/>
      </c>
      <c r="I247" s="136">
        <f>LET(_xlpm.r,Productos!$E$2:$E$285,_xlpm.m,IFERROR(_xlfn.XMATCH(C247,_xlpm.r),IFERROR(_xlfn.XMATCH(VALUE(C247),_xlpm.r),0)),IF(_xlpm.m=0,"",_xlpm.m+1))</f>
        <v/>
      </c>
      <c r="J247" s="137" t="inlineStr">
        <is>
          <t>Odoo</t>
        </is>
      </c>
    </row>
    <row r="248">
      <c r="A248" s="5" t="inlineStr">
        <is>
          <t>Odoo Universal Unique Brands › Bodega 25 › Bodega 25/General</t>
        </is>
      </c>
      <c r="B248" s="5">
        <f>IF($I2="","",INDEX(Productos!$A:$A,$I2))</f>
        <v/>
      </c>
      <c r="C248" s="134" t="inlineStr">
        <is>
          <t>03-097-0692-6211 BL-XL</t>
        </is>
      </c>
      <c r="D248" s="5">
        <f>IF($I2="","",INDEX(Productos!$B:$B,$I2))</f>
        <v/>
      </c>
      <c r="E248" s="5">
        <f>IF($I2="","",INDEX(Productos!$H:$H,$I2))</f>
        <v/>
      </c>
      <c r="F248" s="5">
        <f>IF($I2="","",INDEX(Productos!$I:$I,$I2))</f>
        <v/>
      </c>
      <c r="G248" s="135" t="n">
        <v>2</v>
      </c>
      <c r="H248" s="5">
        <f>IF($I2="","",INDEX(Productos!$AG:$AG,$I2))</f>
        <v/>
      </c>
      <c r="I248" s="136">
        <f>LET(_xlpm.r,Productos!$E$2:$E$285,_xlpm.m,IFERROR(_xlfn.XMATCH(C248,_xlpm.r),IFERROR(_xlfn.XMATCH(VALUE(C248),_xlpm.r),0)),IF(_xlpm.m=0,"",_xlpm.m+1))</f>
        <v/>
      </c>
      <c r="J248" s="137" t="inlineStr">
        <is>
          <t>Odoo</t>
        </is>
      </c>
    </row>
    <row r="249">
      <c r="A249" s="5" t="inlineStr">
        <is>
          <t>Odoo Universal Unique Brands › Bodega 25 › Bodega 25/General</t>
        </is>
      </c>
      <c r="B249" s="5">
        <f>IF($I2="","",INDEX(Productos!$A:$A,$I2))</f>
        <v/>
      </c>
      <c r="C249" s="134" t="inlineStr">
        <is>
          <t>03-097-0696-6204 BR-L</t>
        </is>
      </c>
      <c r="D249" s="5">
        <f>IF($I2="","",INDEX(Productos!$B:$B,$I2))</f>
        <v/>
      </c>
      <c r="E249" s="5">
        <f>IF($I2="","",INDEX(Productos!$H:$H,$I2))</f>
        <v/>
      </c>
      <c r="F249" s="5">
        <f>IF($I2="","",INDEX(Productos!$I:$I,$I2))</f>
        <v/>
      </c>
      <c r="G249" s="135" t="n">
        <v>1</v>
      </c>
      <c r="H249" s="5">
        <f>IF($I2="","",INDEX(Productos!$AG:$AG,$I2))</f>
        <v/>
      </c>
      <c r="I249" s="136">
        <f>LET(_xlpm.r,Productos!$E$2:$E$285,_xlpm.m,IFERROR(_xlfn.XMATCH(C249,_xlpm.r),IFERROR(_xlfn.XMATCH(VALUE(C249),_xlpm.r),0)),IF(_xlpm.m=0,"",_xlpm.m+1))</f>
        <v/>
      </c>
      <c r="J249" s="137" t="inlineStr">
        <is>
          <t>Odoo</t>
        </is>
      </c>
    </row>
    <row r="250">
      <c r="A250" s="5" t="inlineStr">
        <is>
          <t>Odoo Universal Unique Brands › Bodega 25 › Bodega 25/General</t>
        </is>
      </c>
      <c r="B250" s="5">
        <f>IF($I2="","",INDEX(Productos!$A:$A,$I2))</f>
        <v/>
      </c>
      <c r="C250" s="134" t="inlineStr">
        <is>
          <t>03-097-0696-6204 BR-M</t>
        </is>
      </c>
      <c r="D250" s="5">
        <f>IF($I2="","",INDEX(Productos!$B:$B,$I2))</f>
        <v/>
      </c>
      <c r="E250" s="5">
        <f>IF($I2="","",INDEX(Productos!$H:$H,$I2))</f>
        <v/>
      </c>
      <c r="F250" s="5">
        <f>IF($I2="","",INDEX(Productos!$I:$I,$I2))</f>
        <v/>
      </c>
      <c r="G250" s="135" t="n">
        <v>1</v>
      </c>
      <c r="H250" s="5">
        <f>IF($I2="","",INDEX(Productos!$AG:$AG,$I2))</f>
        <v/>
      </c>
      <c r="I250" s="136">
        <f>LET(_xlpm.r,Productos!$E$2:$E$285,_xlpm.m,IFERROR(_xlfn.XMATCH(C250,_xlpm.r),IFERROR(_xlfn.XMATCH(VALUE(C250),_xlpm.r),0)),IF(_xlpm.m=0,"",_xlpm.m+1))</f>
        <v/>
      </c>
      <c r="J250" s="137" t="inlineStr">
        <is>
          <t>Odoo</t>
        </is>
      </c>
    </row>
    <row r="251">
      <c r="A251" s="5" t="inlineStr">
        <is>
          <t>Odoo Universal Unique Brands › Bodega 25 › Bodega 25/General</t>
        </is>
      </c>
      <c r="B251" s="5">
        <f>IF($I2="","",INDEX(Productos!$A:$A,$I2))</f>
        <v/>
      </c>
      <c r="C251" s="134" t="inlineStr">
        <is>
          <t>03-097-0696-6204 BR-S</t>
        </is>
      </c>
      <c r="D251" s="5">
        <f>IF($I2="","",INDEX(Productos!$B:$B,$I2))</f>
        <v/>
      </c>
      <c r="E251" s="5">
        <f>IF($I2="","",INDEX(Productos!$H:$H,$I2))</f>
        <v/>
      </c>
      <c r="F251" s="5">
        <f>IF($I2="","",INDEX(Productos!$I:$I,$I2))</f>
        <v/>
      </c>
      <c r="G251" s="135" t="n">
        <v>3</v>
      </c>
      <c r="H251" s="5">
        <f>IF($I2="","",INDEX(Productos!$AG:$AG,$I2))</f>
        <v/>
      </c>
      <c r="I251" s="136">
        <f>LET(_xlpm.r,Productos!$E$2:$E$285,_xlpm.m,IFERROR(_xlfn.XMATCH(C251,_xlpm.r),IFERROR(_xlfn.XMATCH(VALUE(C251),_xlpm.r),0)),IF(_xlpm.m=0,"",_xlpm.m+1))</f>
        <v/>
      </c>
      <c r="J251" s="137" t="inlineStr">
        <is>
          <t>Odoo</t>
        </is>
      </c>
    </row>
    <row r="252">
      <c r="A252" s="5" t="inlineStr">
        <is>
          <t>Odoo Universal Unique Brands › Bodega 25 › Bodega 25/General</t>
        </is>
      </c>
      <c r="B252" s="5">
        <f>IF($I2="","",INDEX(Productos!$A:$A,$I2))</f>
        <v/>
      </c>
      <c r="C252" s="134" t="inlineStr">
        <is>
          <t>03-097-0696-6204 BR-XL</t>
        </is>
      </c>
      <c r="D252" s="5">
        <f>IF($I2="","",INDEX(Productos!$B:$B,$I2))</f>
        <v/>
      </c>
      <c r="E252" s="5">
        <f>IF($I2="","",INDEX(Productos!$H:$H,$I2))</f>
        <v/>
      </c>
      <c r="F252" s="5">
        <f>IF($I2="","",INDEX(Productos!$I:$I,$I2))</f>
        <v/>
      </c>
      <c r="G252" s="135" t="n">
        <v>2</v>
      </c>
      <c r="H252" s="5">
        <f>IF($I2="","",INDEX(Productos!$AG:$AG,$I2))</f>
        <v/>
      </c>
      <c r="I252" s="136">
        <f>LET(_xlpm.r,Productos!$E$2:$E$285,_xlpm.m,IFERROR(_xlfn.XMATCH(C252,_xlpm.r),IFERROR(_xlfn.XMATCH(VALUE(C252),_xlpm.r),0)),IF(_xlpm.m=0,"",_xlpm.m+1))</f>
        <v/>
      </c>
      <c r="J252" s="137" t="inlineStr">
        <is>
          <t>Odoo</t>
        </is>
      </c>
    </row>
    <row r="253">
      <c r="A253" s="5" t="inlineStr">
        <is>
          <t>Odoo Universal Unique Brands › Bodega 25 › Bodega 25/General</t>
        </is>
      </c>
      <c r="B253" s="5">
        <f>IF($I2="","",INDEX(Productos!$A:$A,$I2))</f>
        <v/>
      </c>
      <c r="C253" s="134" t="inlineStr">
        <is>
          <t>03-097-0780-6017 BL-2XL</t>
        </is>
      </c>
      <c r="D253" s="5">
        <f>IF($I2="","",INDEX(Productos!$B:$B,$I2))</f>
        <v/>
      </c>
      <c r="E253" s="5">
        <f>IF($I2="","",INDEX(Productos!$H:$H,$I2))</f>
        <v/>
      </c>
      <c r="F253" s="5">
        <f>IF($I2="","",INDEX(Productos!$I:$I,$I2))</f>
        <v/>
      </c>
      <c r="G253" s="135" t="n">
        <v>6</v>
      </c>
      <c r="H253" s="5">
        <f>IF($I2="","",INDEX(Productos!$AG:$AG,$I2))</f>
        <v/>
      </c>
      <c r="I253" s="136">
        <f>LET(_xlpm.r,Productos!$E$2:$E$285,_xlpm.m,IFERROR(_xlfn.XMATCH(C253,_xlpm.r),IFERROR(_xlfn.XMATCH(VALUE(C253),_xlpm.r),0)),IF(_xlpm.m=0,"",_xlpm.m+1))</f>
        <v/>
      </c>
      <c r="J253" s="137" t="inlineStr">
        <is>
          <t>Odoo</t>
        </is>
      </c>
    </row>
    <row r="254">
      <c r="A254" s="5" t="inlineStr">
        <is>
          <t>Odoo Universal Unique Brands › Bodega 25 › Bodega 25/General</t>
        </is>
      </c>
      <c r="B254" s="5">
        <f>IF($I2="","",INDEX(Productos!$A:$A,$I2))</f>
        <v/>
      </c>
      <c r="C254" s="134" t="inlineStr">
        <is>
          <t>03-097-0780-6017 BL-M</t>
        </is>
      </c>
      <c r="D254" s="5">
        <f>IF($I2="","",INDEX(Productos!$B:$B,$I2))</f>
        <v/>
      </c>
      <c r="E254" s="5">
        <f>IF($I2="","",INDEX(Productos!$H:$H,$I2))</f>
        <v/>
      </c>
      <c r="F254" s="5">
        <f>IF($I2="","",INDEX(Productos!$I:$I,$I2))</f>
        <v/>
      </c>
      <c r="G254" s="135" t="n">
        <v>1</v>
      </c>
      <c r="H254" s="5">
        <f>IF($I2="","",INDEX(Productos!$AG:$AG,$I2))</f>
        <v/>
      </c>
      <c r="I254" s="136">
        <f>LET(_xlpm.r,Productos!$E$2:$E$285,_xlpm.m,IFERROR(_xlfn.XMATCH(C254,_xlpm.r),IFERROR(_xlfn.XMATCH(VALUE(C254),_xlpm.r),0)),IF(_xlpm.m=0,"",_xlpm.m+1))</f>
        <v/>
      </c>
      <c r="J254" s="137" t="inlineStr">
        <is>
          <t>Odoo</t>
        </is>
      </c>
    </row>
    <row r="255">
      <c r="A255" s="5" t="inlineStr">
        <is>
          <t>Odoo Universal Unique Brands › Bodega 25 › Bodega 25/General</t>
        </is>
      </c>
      <c r="B255" s="5">
        <f>IF($I2="","",INDEX(Productos!$A:$A,$I2))</f>
        <v/>
      </c>
      <c r="C255" s="134" t="inlineStr">
        <is>
          <t>03-097-0780-6017 BL-S</t>
        </is>
      </c>
      <c r="D255" s="5">
        <f>IF($I2="","",INDEX(Productos!$B:$B,$I2))</f>
        <v/>
      </c>
      <c r="E255" s="5">
        <f>IF($I2="","",INDEX(Productos!$H:$H,$I2))</f>
        <v/>
      </c>
      <c r="F255" s="5">
        <f>IF($I2="","",INDEX(Productos!$I:$I,$I2))</f>
        <v/>
      </c>
      <c r="G255" s="135" t="n">
        <v>3</v>
      </c>
      <c r="H255" s="5">
        <f>IF($I2="","",INDEX(Productos!$AG:$AG,$I2))</f>
        <v/>
      </c>
      <c r="I255" s="136">
        <f>LET(_xlpm.r,Productos!$E$2:$E$285,_xlpm.m,IFERROR(_xlfn.XMATCH(C255,_xlpm.r),IFERROR(_xlfn.XMATCH(VALUE(C255),_xlpm.r),0)),IF(_xlpm.m=0,"",_xlpm.m+1))</f>
        <v/>
      </c>
      <c r="J255" s="137" t="inlineStr">
        <is>
          <t>Odoo</t>
        </is>
      </c>
    </row>
    <row r="256">
      <c r="A256" s="5" t="inlineStr">
        <is>
          <t>Odoo Universal Unique Brands › Bodega 25 › Bodega 25/General</t>
        </is>
      </c>
      <c r="B256" s="5">
        <f>IF($I2="","",INDEX(Productos!$A:$A,$I2))</f>
        <v/>
      </c>
      <c r="C256" s="134" t="inlineStr">
        <is>
          <t>03-097-0780-6017 BL-XL</t>
        </is>
      </c>
      <c r="D256" s="5">
        <f>IF($I2="","",INDEX(Productos!$B:$B,$I2))</f>
        <v/>
      </c>
      <c r="E256" s="5">
        <f>IF($I2="","",INDEX(Productos!$H:$H,$I2))</f>
        <v/>
      </c>
      <c r="F256" s="5">
        <f>IF($I2="","",INDEX(Productos!$I:$I,$I2))</f>
        <v/>
      </c>
      <c r="G256" s="135" t="n">
        <v>4</v>
      </c>
      <c r="H256" s="5">
        <f>IF($I2="","",INDEX(Productos!$AG:$AG,$I2))</f>
        <v/>
      </c>
      <c r="I256" s="136">
        <f>LET(_xlpm.r,Productos!$E$2:$E$285,_xlpm.m,IFERROR(_xlfn.XMATCH(C256,_xlpm.r),IFERROR(_xlfn.XMATCH(VALUE(C256),_xlpm.r),0)),IF(_xlpm.m=0,"",_xlpm.m+1))</f>
        <v/>
      </c>
      <c r="J256" s="137" t="inlineStr">
        <is>
          <t>Odoo</t>
        </is>
      </c>
    </row>
    <row r="257">
      <c r="A257" s="5" t="inlineStr">
        <is>
          <t>Odoo Universal Unique Brands › Bodega 25 › Bodega 25/General</t>
        </is>
      </c>
      <c r="B257" s="5">
        <f>IF($I2="","",INDEX(Productos!$A:$A,$I2))</f>
        <v/>
      </c>
      <c r="C257" s="134" t="inlineStr">
        <is>
          <t>03-098-0693-6212 BL-L</t>
        </is>
      </c>
      <c r="D257" s="5">
        <f>IF($I2="","",INDEX(Productos!$B:$B,$I2))</f>
        <v/>
      </c>
      <c r="E257" s="5">
        <f>IF($I2="","",INDEX(Productos!$H:$H,$I2))</f>
        <v/>
      </c>
      <c r="F257" s="5">
        <f>IF($I2="","",INDEX(Productos!$I:$I,$I2))</f>
        <v/>
      </c>
      <c r="G257" s="135" t="n">
        <v>10</v>
      </c>
      <c r="H257" s="5">
        <f>IF($I2="","",INDEX(Productos!$AG:$AG,$I2))</f>
        <v/>
      </c>
      <c r="I257" s="136">
        <f>LET(_xlpm.r,Productos!$E$2:$E$285,_xlpm.m,IFERROR(_xlfn.XMATCH(C257,_xlpm.r),IFERROR(_xlfn.XMATCH(VALUE(C257),_xlpm.r),0)),IF(_xlpm.m=0,"",_xlpm.m+1))</f>
        <v/>
      </c>
      <c r="J257" s="137" t="inlineStr">
        <is>
          <t>Odoo</t>
        </is>
      </c>
    </row>
    <row r="258">
      <c r="A258" s="5" t="inlineStr">
        <is>
          <t>Odoo Universal Unique Brands › Bodega 25 › Bodega 25/General</t>
        </is>
      </c>
      <c r="B258" s="5">
        <f>IF($I2="","",INDEX(Productos!$A:$A,$I2))</f>
        <v/>
      </c>
      <c r="C258" s="134" t="inlineStr">
        <is>
          <t>03-098-0693-6212 BL-M</t>
        </is>
      </c>
      <c r="D258" s="5">
        <f>IF($I2="","",INDEX(Productos!$B:$B,$I2))</f>
        <v/>
      </c>
      <c r="E258" s="5">
        <f>IF($I2="","",INDEX(Productos!$H:$H,$I2))</f>
        <v/>
      </c>
      <c r="F258" s="5">
        <f>IF($I2="","",INDEX(Productos!$I:$I,$I2))</f>
        <v/>
      </c>
      <c r="G258" s="135" t="n">
        <v>10</v>
      </c>
      <c r="H258" s="5">
        <f>IF($I2="","",INDEX(Productos!$AG:$AG,$I2))</f>
        <v/>
      </c>
      <c r="I258" s="136">
        <f>LET(_xlpm.r,Productos!$E$2:$E$285,_xlpm.m,IFERROR(_xlfn.XMATCH(C258,_xlpm.r),IFERROR(_xlfn.XMATCH(VALUE(C258),_xlpm.r),0)),IF(_xlpm.m=0,"",_xlpm.m+1))</f>
        <v/>
      </c>
      <c r="J258" s="137" t="inlineStr">
        <is>
          <t>Odoo</t>
        </is>
      </c>
    </row>
    <row r="259">
      <c r="A259" s="5" t="inlineStr">
        <is>
          <t>Odoo Universal Unique Brands › Bodega 25 › Bodega 25/General</t>
        </is>
      </c>
      <c r="B259" s="5">
        <f>IF($I2="","",INDEX(Productos!$A:$A,$I2))</f>
        <v/>
      </c>
      <c r="C259" s="134" t="inlineStr">
        <is>
          <t>03-098-0693-6212 BL-S</t>
        </is>
      </c>
      <c r="D259" s="5">
        <f>IF($I2="","",INDEX(Productos!$B:$B,$I2))</f>
        <v/>
      </c>
      <c r="E259" s="5">
        <f>IF($I2="","",INDEX(Productos!$H:$H,$I2))</f>
        <v/>
      </c>
      <c r="F259" s="5">
        <f>IF($I2="","",INDEX(Productos!$I:$I,$I2))</f>
        <v/>
      </c>
      <c r="G259" s="135" t="n">
        <v>10</v>
      </c>
      <c r="H259" s="5">
        <f>IF($I2="","",INDEX(Productos!$AG:$AG,$I2))</f>
        <v/>
      </c>
      <c r="I259" s="136">
        <f>LET(_xlpm.r,Productos!$E$2:$E$285,_xlpm.m,IFERROR(_xlfn.XMATCH(C259,_xlpm.r),IFERROR(_xlfn.XMATCH(VALUE(C259),_xlpm.r),0)),IF(_xlpm.m=0,"",_xlpm.m+1))</f>
        <v/>
      </c>
      <c r="J259" s="137" t="inlineStr">
        <is>
          <t>Odoo</t>
        </is>
      </c>
    </row>
    <row r="260">
      <c r="A260" s="5" t="inlineStr">
        <is>
          <t>Odoo Universal Unique Brands › Bodega 25 › Bodega 25/General</t>
        </is>
      </c>
      <c r="B260" s="5">
        <f>IF($I2="","",INDEX(Productos!$A:$A,$I2))</f>
        <v/>
      </c>
      <c r="C260" s="134" t="inlineStr">
        <is>
          <t>03-098-0693-6212 BL-XL</t>
        </is>
      </c>
      <c r="D260" s="5">
        <f>IF($I2="","",INDEX(Productos!$B:$B,$I2))</f>
        <v/>
      </c>
      <c r="E260" s="5">
        <f>IF($I2="","",INDEX(Productos!$H:$H,$I2))</f>
        <v/>
      </c>
      <c r="F260" s="5">
        <f>IF($I2="","",INDEX(Productos!$I:$I,$I2))</f>
        <v/>
      </c>
      <c r="G260" s="135" t="n">
        <v>10</v>
      </c>
      <c r="H260" s="5">
        <f>IF($I2="","",INDEX(Productos!$AG:$AG,$I2))</f>
        <v/>
      </c>
      <c r="I260" s="136">
        <f>LET(_xlpm.r,Productos!$E$2:$E$285,_xlpm.m,IFERROR(_xlfn.XMATCH(C260,_xlpm.r),IFERROR(_xlfn.XMATCH(VALUE(C260),_xlpm.r),0)),IF(_xlpm.m=0,"",_xlpm.m+1))</f>
        <v/>
      </c>
      <c r="J260" s="137" t="inlineStr">
        <is>
          <t>Odoo</t>
        </is>
      </c>
    </row>
    <row r="261">
      <c r="A261" s="5" t="inlineStr">
        <is>
          <t>Odoo Universal Unique Brands › Bodega 25 › Bodega 25/General</t>
        </is>
      </c>
      <c r="B261" s="5">
        <f>IF($I2="","",INDEX(Productos!$A:$A,$I2))</f>
        <v/>
      </c>
      <c r="C261" s="134" t="inlineStr">
        <is>
          <t>03-257-0594-6173 BU-L</t>
        </is>
      </c>
      <c r="D261" s="5">
        <f>IF($I2="","",INDEX(Productos!$B:$B,$I2))</f>
        <v/>
      </c>
      <c r="E261" s="5">
        <f>IF($I2="","",INDEX(Productos!$H:$H,$I2))</f>
        <v/>
      </c>
      <c r="F261" s="5">
        <f>IF($I2="","",INDEX(Productos!$I:$I,$I2))</f>
        <v/>
      </c>
      <c r="G261" s="135" t="n">
        <v>5</v>
      </c>
      <c r="H261" s="5">
        <f>IF($I2="","",INDEX(Productos!$AG:$AG,$I2))</f>
        <v/>
      </c>
      <c r="I261" s="136">
        <f>LET(_xlpm.r,Productos!$E$2:$E$285,_xlpm.m,IFERROR(_xlfn.XMATCH(C261,_xlpm.r),IFERROR(_xlfn.XMATCH(VALUE(C261),_xlpm.r),0)),IF(_xlpm.m=0,"",_xlpm.m+1))</f>
        <v/>
      </c>
      <c r="J261" s="137" t="inlineStr">
        <is>
          <t>Odoo</t>
        </is>
      </c>
    </row>
    <row r="262">
      <c r="A262" s="5" t="inlineStr">
        <is>
          <t>Odoo Universal Unique Brands › Bodega 25 › Bodega 25/General</t>
        </is>
      </c>
      <c r="B262" s="5">
        <f>IF($I2="","",INDEX(Productos!$A:$A,$I2))</f>
        <v/>
      </c>
      <c r="C262" s="134" t="inlineStr">
        <is>
          <t>03-257-0594-6173 BU-M</t>
        </is>
      </c>
      <c r="D262" s="5">
        <f>IF($I2="","",INDEX(Productos!$B:$B,$I2))</f>
        <v/>
      </c>
      <c r="E262" s="5">
        <f>IF($I2="","",INDEX(Productos!$H:$H,$I2))</f>
        <v/>
      </c>
      <c r="F262" s="5">
        <f>IF($I2="","",INDEX(Productos!$I:$I,$I2))</f>
        <v/>
      </c>
      <c r="G262" s="135" t="n">
        <v>5</v>
      </c>
      <c r="H262" s="5">
        <f>IF($I2="","",INDEX(Productos!$AG:$AG,$I2))</f>
        <v/>
      </c>
      <c r="I262" s="136">
        <f>LET(_xlpm.r,Productos!$E$2:$E$285,_xlpm.m,IFERROR(_xlfn.XMATCH(C262,_xlpm.r),IFERROR(_xlfn.XMATCH(VALUE(C262),_xlpm.r),0)),IF(_xlpm.m=0,"",_xlpm.m+1))</f>
        <v/>
      </c>
      <c r="J262" s="137" t="inlineStr">
        <is>
          <t>Odoo</t>
        </is>
      </c>
    </row>
    <row r="263">
      <c r="A263" s="5" t="inlineStr">
        <is>
          <t>Odoo Universal Unique Brands › Bodega 25 › Bodega 25/General</t>
        </is>
      </c>
      <c r="B263" s="5">
        <f>IF($I2="","",INDEX(Productos!$A:$A,$I2))</f>
        <v/>
      </c>
      <c r="C263" s="134" t="inlineStr">
        <is>
          <t>03-257-0594-6173 BU-S</t>
        </is>
      </c>
      <c r="D263" s="5">
        <f>IF($I2="","",INDEX(Productos!$B:$B,$I2))</f>
        <v/>
      </c>
      <c r="E263" s="5">
        <f>IF($I2="","",INDEX(Productos!$H:$H,$I2))</f>
        <v/>
      </c>
      <c r="F263" s="5">
        <f>IF($I2="","",INDEX(Productos!$I:$I,$I2))</f>
        <v/>
      </c>
      <c r="G263" s="135" t="n">
        <v>5</v>
      </c>
      <c r="H263" s="5">
        <f>IF($I2="","",INDEX(Productos!$AG:$AG,$I2))</f>
        <v/>
      </c>
      <c r="I263" s="136">
        <f>LET(_xlpm.r,Productos!$E$2:$E$285,_xlpm.m,IFERROR(_xlfn.XMATCH(C263,_xlpm.r),IFERROR(_xlfn.XMATCH(VALUE(C263),_xlpm.r),0)),IF(_xlpm.m=0,"",_xlpm.m+1))</f>
        <v/>
      </c>
      <c r="J263" s="137" t="inlineStr">
        <is>
          <t>Odoo</t>
        </is>
      </c>
    </row>
  </sheetData>
  <autoFilter ref="A1:J263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IF(ISNUMBER(I6),SUM(I6:I769),0)</f>
        <v/>
      </c>
      <c r="F3" s="145" t="inlineStr">
        <is>
          <t>Renglones:</t>
        </is>
      </c>
      <c r="G3" s="144">
        <f>IF(ISNUMBER(I6),COUNT(I6:I769),0)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43"",""""))))),pE,Productos!$E$2:$E$285,pA,Productos!$A$2:$A$285&amp;"""",s,'Stock por Ubicación'!$A$2:$J$263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$285,""""),sk,XLOOKUP(sk,pE,Produc"&amp;"tos!$B$2:$B$2502,""""),XLOOKUP(sk,pE,Productos!$H$2:$H$285,""""),XLOOKUP(sk,pE,Productos!$I$2:$I$285,""""),pz),IFERROR(FILTER(rw,pz&gt;0),""""))),todo,IF(INDEX(a,1,1)="""",b,IF(INDEX(b,1,1)="""",a,VSTACK(a,b))),IF(INDEX(todo,1,1)="""",""Sin existencias en "&amp;"esta bodega"",LET(tl,XLOOKUP(INDEX(todo,0,4),pE,Productos!$F$2:$F$285,"""")&amp;"""",o,HSTACK(CHOOSECOLS(todo,1,2,3,4,5,6,7),tl,CHOOSECOLS(todo,8)),x,SORT(o,1,TRUE,4,TRUE),IF(x="""","""",x)))))"),"B25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IF(ISNUMBER(I6),SUM(I6:I769),0)</f>
        <v/>
      </c>
      <c r="F3" s="145" t="inlineStr">
        <is>
          <t>Renglones:</t>
        </is>
      </c>
      <c r="G3" s="144">
        <f>IF(ISNUMBER(I6),COUNT(I6:I769),0)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43"",""""))))),pE,Productos!$E$2:$E$285,s,'Stock por Ubicación'!$A$2:$J$263,su,INDEX(s,0,1),sq,INDEX(s,0,7),selSis,(su&lt;&gt;"""")*ISNUMBER(sq)*(sq&gt;0)*(asig(su)=bod)&gt;0,a,IFERROR(FILTER(CHOOSECOLS(s,1,10,2,3,4,5,6,7),sel"&amp;"Sis),""""),tu,Table_2[Ubicación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$285,""""),sk,XLOOKUP(sk,pE,Productos!$B$2:$B$285"&amp;"02,""""),XLOOKUP(sk,pE,Productos!$H$2:$H$285,""""),XLOOKUP(sk,pE,Productos!$I$2:$I$285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$285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22" customWidth="1" style="176" min="2" max="2"/>
    <col width="22" customWidth="1" style="176" min="3" max="3"/>
    <col width="22" customWidth="1" style="176" min="4" max="4"/>
    <col width="22" customWidth="1" style="176" min="5" max="5"/>
    <col width="40" customWidth="1" style="176" min="6" max="6"/>
    <col width="22" customWidth="1" style="176" min="7" max="7"/>
    <col width="22" customWidth="1" style="176" min="8" max="8"/>
    <col width="22" customWidth="1" style="176" min="9" max="9"/>
    <col width="22" customWidth="1" style="176" min="10" max="10"/>
    <col width="22" customWidth="1" style="176" min="11" max="11"/>
    <col width="22" customWidth="1" style="176" min="12" max="12"/>
    <col width="14" customWidth="1" style="176" min="13" max="13"/>
    <col width="14" customWidth="1" style="176" min="14" max="14"/>
    <col width="14" customWidth="1" style="176" min="15" max="15"/>
    <col width="14" customWidth="1" style="176" min="16" max="16"/>
    <col width="14" customWidth="1" style="176" min="17" max="17"/>
    <col width="14" customWidth="1" style="176" min="18" max="18"/>
    <col width="14" customWidth="1" style="176" min="19" max="19"/>
    <col width="14" customWidth="1" style="176" min="20" max="20"/>
    <col width="14" customWidth="1" style="176" min="21" max="21"/>
    <col width="22" customWidth="1" style="176" min="22" max="22"/>
    <col width="14" customWidth="1" style="176" min="23" max="23"/>
    <col width="14" customWidth="1" style="176" min="24" max="24"/>
    <col width="14" customWidth="1" style="176" min="25" max="25"/>
    <col width="14" customWidth="1" style="176" min="26" max="26"/>
    <col width="22" customWidth="1" style="176" min="27" max="27"/>
    <col width="14" customWidth="1" style="176" min="28" max="28"/>
    <col width="14" customWidth="1" style="176" min="29" max="29"/>
    <col width="22" customWidth="1" style="176" min="30" max="30"/>
  </cols>
  <sheetData>
    <row r="1" ht="45" customHeight="1" s="176">
      <c r="A1" s="185" t="inlineStr">
        <is>
          <t>Código de barras</t>
        </is>
      </c>
      <c r="B1" s="185" t="inlineStr">
        <is>
          <t>Identificador interno</t>
        </is>
      </c>
      <c r="C1" s="185" t="inlineStr">
        <is>
          <t>WB SKU</t>
        </is>
      </c>
      <c r="D1" s="185" t="inlineStr">
        <is>
          <t>WB N.º de estilo</t>
        </is>
      </c>
      <c r="E1" s="185" t="inlineStr">
        <is>
          <t>WB Marca</t>
        </is>
      </c>
      <c r="F1" s="185" t="inlineStr">
        <is>
          <t>WB Descripcion</t>
        </is>
      </c>
      <c r="G1" s="185" t="inlineStr">
        <is>
          <t>WB Talla</t>
        </is>
      </c>
      <c r="H1" s="185" t="inlineStr">
        <is>
          <t>WB Color</t>
        </is>
      </c>
      <c r="I1" s="185" t="inlineStr">
        <is>
          <t>WB División</t>
        </is>
      </c>
      <c r="J1" s="185" t="inlineStr">
        <is>
          <t>WB Categoría</t>
        </is>
      </c>
      <c r="K1" s="185" t="inlineStr">
        <is>
          <t>WB Género</t>
        </is>
      </c>
      <c r="L1" s="185" t="inlineStr">
        <is>
          <t>Unidad</t>
        </is>
      </c>
      <c r="M1" s="185" t="inlineStr">
        <is>
          <t>Precio de compra</t>
        </is>
      </c>
      <c r="N1" s="185" t="inlineStr">
        <is>
          <t>Precio de venta</t>
        </is>
      </c>
      <c r="O1" s="185" t="inlineStr">
        <is>
          <t>En mano NetSuite</t>
        </is>
      </c>
      <c r="P1" s="185" t="inlineStr">
        <is>
          <t>Disponible NetSuite</t>
        </is>
      </c>
      <c r="Q1" s="185" t="inlineStr">
        <is>
          <t>Comprometido NetSuite</t>
        </is>
      </c>
      <c r="R1" s="185" t="inlineStr">
        <is>
          <t>En pedido NetSuite</t>
        </is>
      </c>
      <c r="S1" s="185" t="inlineStr">
        <is>
          <t>En tránsito NetSuite</t>
        </is>
      </c>
      <c r="T1" s="185" t="inlineStr">
        <is>
          <t>Pendiente por surtir NetSuite</t>
        </is>
      </c>
      <c r="U1" s="185" t="inlineStr">
        <is>
          <t>En mano en ubicaciones inactivas</t>
        </is>
      </c>
      <c r="V1" s="185" t="inlineStr">
        <is>
          <t>Ubicaciones en negativo</t>
        </is>
      </c>
      <c r="W1" s="185" t="inlineStr">
        <is>
          <t>En mano NetSuite 28/09/2026</t>
        </is>
      </c>
      <c r="X1" s="185" t="inlineStr">
        <is>
          <t>Variación neta</t>
        </is>
      </c>
      <c r="Y1" s="185" t="inlineStr">
        <is>
          <t>Odoo Universal Unique Brands</t>
        </is>
      </c>
      <c r="Z1" s="185" t="inlineStr">
        <is>
          <t>Piezas contadas (Escaneos)</t>
        </is>
      </c>
      <c r="AA1" s="185" t="inlineStr">
        <is>
          <t>Fecha del último conteo</t>
        </is>
      </c>
      <c r="AB1" s="185" t="inlineStr">
        <is>
          <t>Valor en mano a costo</t>
        </is>
      </c>
      <c r="AC1" s="185" t="inlineStr">
        <is>
          <t>Valor en mano a precio de venta</t>
        </is>
      </c>
      <c r="AD1" s="185" t="inlineStr">
        <is>
          <t>Estado del inventario</t>
        </is>
      </c>
    </row>
    <row r="2">
      <c r="A2" t="inlineStr">
        <is>
          <t>199168087470</t>
        </is>
      </c>
      <c r="C2" t="inlineStr">
        <is>
          <t>01-001-0016-1076 BL-L</t>
        </is>
      </c>
      <c r="D2" t="inlineStr">
        <is>
          <t>01-001-0016-1076</t>
        </is>
      </c>
      <c r="E2" t="inlineStr">
        <is>
          <t>Roper</t>
        </is>
      </c>
      <c r="F2" t="inlineStr">
        <is>
          <t>ROPER Shirt Black/GreyWhite /Plaid</t>
        </is>
      </c>
      <c r="G2" t="inlineStr">
        <is>
          <t>L</t>
        </is>
      </c>
      <c r="H2" t="inlineStr">
        <is>
          <t>Negro</t>
        </is>
      </c>
      <c r="I2" t="inlineStr">
        <is>
          <t>Ropa</t>
        </is>
      </c>
      <c r="J2" t="inlineStr">
        <is>
          <t>Camisas</t>
        </is>
      </c>
      <c r="K2" t="inlineStr">
        <is>
          <t>Hombre</t>
        </is>
      </c>
      <c r="L2" t="inlineStr">
        <is>
          <t>PZS</t>
        </is>
      </c>
      <c r="M2" s="186" t="n">
        <v>38</v>
      </c>
      <c r="N2" s="186" t="n">
        <v>990</v>
      </c>
      <c r="O2" t="n">
        <v>0</v>
      </c>
      <c r="X2">
        <f>O2-W2</f>
        <v/>
      </c>
      <c r="Y2" t="n">
        <v>30</v>
      </c>
      <c r="AB2" s="186">
        <f>IFERROR(O2*M2,0)</f>
        <v/>
      </c>
      <c r="AC2" s="186">
        <f>IFERROR(O2*N2,0)</f>
        <v/>
      </c>
      <c r="AD2" t="inlineStr">
        <is>
          <t>Solo en plataformas</t>
        </is>
      </c>
    </row>
    <row r="3">
      <c r="A3" t="inlineStr">
        <is>
          <t>199168087487</t>
        </is>
      </c>
      <c r="C3" t="inlineStr">
        <is>
          <t>01-001-0016-1076 BL-M</t>
        </is>
      </c>
      <c r="D3" t="inlineStr">
        <is>
          <t>01-001-0016-1076</t>
        </is>
      </c>
      <c r="E3" t="inlineStr">
        <is>
          <t>Roper</t>
        </is>
      </c>
      <c r="F3" t="inlineStr">
        <is>
          <t>ROPER Shirt Black/GreyWhite /Plaid</t>
        </is>
      </c>
      <c r="G3" t="inlineStr">
        <is>
          <t>M</t>
        </is>
      </c>
      <c r="H3" t="inlineStr">
        <is>
          <t>Negro</t>
        </is>
      </c>
      <c r="I3" t="inlineStr">
        <is>
          <t>Ropa</t>
        </is>
      </c>
      <c r="J3" t="inlineStr">
        <is>
          <t>Camisas</t>
        </is>
      </c>
      <c r="K3" t="inlineStr">
        <is>
          <t>Hombre</t>
        </is>
      </c>
      <c r="L3" t="inlineStr">
        <is>
          <t>PZS</t>
        </is>
      </c>
      <c r="M3" s="186" t="n">
        <v>38</v>
      </c>
      <c r="N3" s="186" t="n">
        <v>990</v>
      </c>
      <c r="O3" t="n">
        <v>0</v>
      </c>
      <c r="X3">
        <f>O3-W3</f>
        <v/>
      </c>
      <c r="Y3" t="n">
        <v>30</v>
      </c>
      <c r="AB3" s="186">
        <f>IFERROR(O3*M3,0)</f>
        <v/>
      </c>
      <c r="AC3" s="186">
        <f>IFERROR(O3*N3,0)</f>
        <v/>
      </c>
      <c r="AD3" t="inlineStr">
        <is>
          <t>Solo en plataformas</t>
        </is>
      </c>
    </row>
    <row r="4">
      <c r="A4" t="inlineStr">
        <is>
          <t>199168087494</t>
        </is>
      </c>
      <c r="C4" t="inlineStr">
        <is>
          <t>01-001-0016-1076 BL-S</t>
        </is>
      </c>
      <c r="D4" t="inlineStr">
        <is>
          <t>01-001-0016-1076</t>
        </is>
      </c>
      <c r="E4" t="inlineStr">
        <is>
          <t>Roper</t>
        </is>
      </c>
      <c r="F4" t="inlineStr">
        <is>
          <t>ROPER Shirt Black/GreyWhite /Plaid</t>
        </is>
      </c>
      <c r="G4" t="inlineStr">
        <is>
          <t>S</t>
        </is>
      </c>
      <c r="H4" t="inlineStr">
        <is>
          <t>Negro</t>
        </is>
      </c>
      <c r="I4" t="inlineStr">
        <is>
          <t>Ropa</t>
        </is>
      </c>
      <c r="J4" t="inlineStr">
        <is>
          <t>Camisas</t>
        </is>
      </c>
      <c r="L4" t="inlineStr">
        <is>
          <t>PZS</t>
        </is>
      </c>
      <c r="M4" s="186" t="n">
        <v>38</v>
      </c>
      <c r="N4" s="186" t="n">
        <v>990</v>
      </c>
      <c r="O4" t="n">
        <v>0</v>
      </c>
      <c r="X4">
        <f>O4-W4</f>
        <v/>
      </c>
      <c r="Y4" t="n">
        <v>30</v>
      </c>
      <c r="AB4" s="186">
        <f>IFERROR(O4*M4,0)</f>
        <v/>
      </c>
      <c r="AC4" s="186">
        <f>IFERROR(O4*N4,0)</f>
        <v/>
      </c>
      <c r="AD4" t="inlineStr">
        <is>
          <t>Solo en plataformas</t>
        </is>
      </c>
    </row>
    <row r="5">
      <c r="A5" t="inlineStr">
        <is>
          <t>199168087500</t>
        </is>
      </c>
      <c r="C5" t="inlineStr">
        <is>
          <t>01-001-0016-1076 BL-XL</t>
        </is>
      </c>
      <c r="D5" t="inlineStr">
        <is>
          <t>01-001-0016-1076</t>
        </is>
      </c>
      <c r="E5" t="inlineStr">
        <is>
          <t>Roper</t>
        </is>
      </c>
      <c r="F5" t="inlineStr">
        <is>
          <t>ROPER Shirt Black/GreyWhite /Plaid</t>
        </is>
      </c>
      <c r="G5" t="inlineStr">
        <is>
          <t>XL</t>
        </is>
      </c>
      <c r="H5" t="inlineStr">
        <is>
          <t>Negro</t>
        </is>
      </c>
      <c r="I5" t="inlineStr">
        <is>
          <t>Ropa</t>
        </is>
      </c>
      <c r="J5" t="inlineStr">
        <is>
          <t>Camisas</t>
        </is>
      </c>
      <c r="K5" t="inlineStr">
        <is>
          <t>Hombre</t>
        </is>
      </c>
      <c r="L5" t="inlineStr">
        <is>
          <t>PZS</t>
        </is>
      </c>
      <c r="M5" s="186" t="n">
        <v>38</v>
      </c>
      <c r="N5" s="186" t="n">
        <v>990</v>
      </c>
      <c r="O5" t="n">
        <v>0</v>
      </c>
      <c r="X5">
        <f>O5-W5</f>
        <v/>
      </c>
      <c r="Y5" t="n">
        <v>20</v>
      </c>
      <c r="AB5" s="186">
        <f>IFERROR(O5*M5,0)</f>
        <v/>
      </c>
      <c r="AC5" s="186">
        <f>IFERROR(O5*N5,0)</f>
        <v/>
      </c>
      <c r="AD5" t="inlineStr">
        <is>
          <t>Solo en plataformas</t>
        </is>
      </c>
    </row>
    <row r="6">
      <c r="A6" t="inlineStr">
        <is>
          <t>199168087517</t>
        </is>
      </c>
      <c r="C6" t="inlineStr">
        <is>
          <t>01-001-0016-1076 BL-2XL</t>
        </is>
      </c>
      <c r="D6" t="inlineStr">
        <is>
          <t>01-001-0016-1076</t>
        </is>
      </c>
      <c r="E6" t="inlineStr">
        <is>
          <t>Roper</t>
        </is>
      </c>
      <c r="F6" t="inlineStr">
        <is>
          <t>ROPER Shirt Black/GreyWhite /Plaid</t>
        </is>
      </c>
      <c r="G6" t="inlineStr">
        <is>
          <t>XXL</t>
        </is>
      </c>
      <c r="H6" t="inlineStr">
        <is>
          <t>Negro</t>
        </is>
      </c>
      <c r="I6" t="inlineStr">
        <is>
          <t>Ropa</t>
        </is>
      </c>
      <c r="J6" t="inlineStr">
        <is>
          <t>Camisas</t>
        </is>
      </c>
      <c r="K6" t="inlineStr">
        <is>
          <t>Hombre</t>
        </is>
      </c>
      <c r="L6" t="inlineStr">
        <is>
          <t>PZS</t>
        </is>
      </c>
      <c r="M6" s="186" t="n">
        <v>38</v>
      </c>
      <c r="N6" s="186" t="n">
        <v>990</v>
      </c>
      <c r="O6" t="n">
        <v>0</v>
      </c>
      <c r="X6">
        <f>O6-W6</f>
        <v/>
      </c>
      <c r="Y6" t="n">
        <v>10</v>
      </c>
      <c r="AB6" s="186">
        <f>IFERROR(O6*M6,0)</f>
        <v/>
      </c>
      <c r="AC6" s="186">
        <f>IFERROR(O6*N6,0)</f>
        <v/>
      </c>
      <c r="AD6" t="inlineStr">
        <is>
          <t>Solo en plataformas</t>
        </is>
      </c>
    </row>
    <row r="7">
      <c r="A7" t="inlineStr">
        <is>
          <t>199168041403</t>
        </is>
      </c>
      <c r="C7" t="inlineStr">
        <is>
          <t>01-001-0016-7004 BL-L</t>
        </is>
      </c>
      <c r="D7" t="inlineStr">
        <is>
          <t>01-001-0016-7004</t>
        </is>
      </c>
      <c r="E7" t="inlineStr">
        <is>
          <t>Roper</t>
        </is>
      </c>
      <c r="F7" t="inlineStr">
        <is>
          <t>ROPER Shirt Bl/Wh/Re Plaid</t>
        </is>
      </c>
      <c r="G7" t="inlineStr">
        <is>
          <t>L</t>
        </is>
      </c>
      <c r="I7" t="inlineStr">
        <is>
          <t>Ropa</t>
        </is>
      </c>
      <c r="J7" t="inlineStr">
        <is>
          <t>Camisas</t>
        </is>
      </c>
      <c r="L7" t="inlineStr">
        <is>
          <t>PZS</t>
        </is>
      </c>
      <c r="M7" s="186" t="n">
        <v>32.09</v>
      </c>
      <c r="N7" s="186" t="n">
        <v>859</v>
      </c>
      <c r="O7" t="n">
        <v>0</v>
      </c>
      <c r="X7">
        <f>O7-W7</f>
        <v/>
      </c>
      <c r="Y7" t="n">
        <v>10</v>
      </c>
      <c r="AB7" s="186">
        <f>IFERROR(O7*M7,0)</f>
        <v/>
      </c>
      <c r="AC7" s="186">
        <f>IFERROR(O7*N7,0)</f>
        <v/>
      </c>
      <c r="AD7" t="inlineStr">
        <is>
          <t>Solo en plataformas</t>
        </is>
      </c>
    </row>
    <row r="8">
      <c r="A8" t="inlineStr">
        <is>
          <t>199168041410</t>
        </is>
      </c>
      <c r="C8" t="inlineStr">
        <is>
          <t>01-001-0016-7004 BL-M</t>
        </is>
      </c>
      <c r="D8" t="inlineStr">
        <is>
          <t>01-001-0016-7004</t>
        </is>
      </c>
      <c r="E8" t="inlineStr">
        <is>
          <t>Roper</t>
        </is>
      </c>
      <c r="F8" t="inlineStr">
        <is>
          <t>ROPER Shirt Bl/Wh/Re Plaid</t>
        </is>
      </c>
      <c r="G8" t="inlineStr">
        <is>
          <t>M</t>
        </is>
      </c>
      <c r="I8" t="inlineStr">
        <is>
          <t>Ropa</t>
        </is>
      </c>
      <c r="J8" t="inlineStr">
        <is>
          <t>Camisas</t>
        </is>
      </c>
      <c r="L8" t="inlineStr">
        <is>
          <t>PZS</t>
        </is>
      </c>
      <c r="M8" s="186" t="n">
        <v>32.09</v>
      </c>
      <c r="N8" s="186" t="n">
        <v>859</v>
      </c>
      <c r="O8" t="n">
        <v>0</v>
      </c>
      <c r="X8">
        <f>O8-W8</f>
        <v/>
      </c>
      <c r="Y8" t="n">
        <v>10</v>
      </c>
      <c r="AB8" s="186">
        <f>IFERROR(O8*M8,0)</f>
        <v/>
      </c>
      <c r="AC8" s="186">
        <f>IFERROR(O8*N8,0)</f>
        <v/>
      </c>
      <c r="AD8" t="inlineStr">
        <is>
          <t>Solo en plataformas</t>
        </is>
      </c>
    </row>
    <row r="9">
      <c r="A9" t="inlineStr">
        <is>
          <t>199168041427</t>
        </is>
      </c>
      <c r="C9" t="inlineStr">
        <is>
          <t>01-001-0016-7004 BL-S</t>
        </is>
      </c>
      <c r="D9" t="inlineStr">
        <is>
          <t>01-001-0016-7004</t>
        </is>
      </c>
      <c r="E9" t="inlineStr">
        <is>
          <t>Roper</t>
        </is>
      </c>
      <c r="F9" t="inlineStr">
        <is>
          <t>ROPER Shirt Bl/Wh/Re Plaid</t>
        </is>
      </c>
      <c r="G9" t="inlineStr">
        <is>
          <t>S</t>
        </is>
      </c>
      <c r="I9" t="inlineStr">
        <is>
          <t>Ropa</t>
        </is>
      </c>
      <c r="J9" t="inlineStr">
        <is>
          <t>Camisas</t>
        </is>
      </c>
      <c r="L9" t="inlineStr">
        <is>
          <t>PZS</t>
        </is>
      </c>
      <c r="M9" s="186" t="n">
        <v>32.09</v>
      </c>
      <c r="N9" s="186" t="n">
        <v>859</v>
      </c>
      <c r="O9" t="n">
        <v>0</v>
      </c>
      <c r="X9">
        <f>O9-W9</f>
        <v/>
      </c>
      <c r="Y9" t="n">
        <v>10</v>
      </c>
      <c r="AB9" s="186">
        <f>IFERROR(O9*M9,0)</f>
        <v/>
      </c>
      <c r="AC9" s="186">
        <f>IFERROR(O9*N9,0)</f>
        <v/>
      </c>
      <c r="AD9" t="inlineStr">
        <is>
          <t>Solo en plataformas</t>
        </is>
      </c>
    </row>
    <row r="10">
      <c r="A10" t="inlineStr">
        <is>
          <t>199168041434</t>
        </is>
      </c>
      <c r="C10" t="inlineStr">
        <is>
          <t>01-001-0016-7004 BL-XL</t>
        </is>
      </c>
      <c r="D10" t="inlineStr">
        <is>
          <t>01-001-0016-7004</t>
        </is>
      </c>
      <c r="E10" t="inlineStr">
        <is>
          <t>Roper</t>
        </is>
      </c>
      <c r="F10" t="inlineStr">
        <is>
          <t>ROPER Shirt Bl/Wh/Re Plaid</t>
        </is>
      </c>
      <c r="G10" t="inlineStr">
        <is>
          <t>XL</t>
        </is>
      </c>
      <c r="I10" t="inlineStr">
        <is>
          <t>Ropa</t>
        </is>
      </c>
      <c r="J10" t="inlineStr">
        <is>
          <t>Camisas</t>
        </is>
      </c>
      <c r="L10" t="inlineStr">
        <is>
          <t>PZS</t>
        </is>
      </c>
      <c r="M10" s="186" t="n">
        <v>32.09</v>
      </c>
      <c r="N10" s="186" t="n">
        <v>859</v>
      </c>
      <c r="O10" t="n">
        <v>0</v>
      </c>
      <c r="X10">
        <f>O10-W10</f>
        <v/>
      </c>
      <c r="Y10" t="n">
        <v>11</v>
      </c>
      <c r="AB10" s="186">
        <f>IFERROR(O10*M10,0)</f>
        <v/>
      </c>
      <c r="AC10" s="186">
        <f>IFERROR(O10*N10,0)</f>
        <v/>
      </c>
      <c r="AD10" t="inlineStr">
        <is>
          <t>Solo en plataformas</t>
        </is>
      </c>
    </row>
    <row r="11">
      <c r="A11" t="inlineStr">
        <is>
          <t>199168041441</t>
        </is>
      </c>
      <c r="C11" t="inlineStr">
        <is>
          <t>01-001-0016-7004 BL-2XL</t>
        </is>
      </c>
      <c r="D11" t="inlineStr">
        <is>
          <t>01-001-0016-7004</t>
        </is>
      </c>
      <c r="E11" t="inlineStr">
        <is>
          <t>Roper</t>
        </is>
      </c>
      <c r="F11" t="inlineStr">
        <is>
          <t>ROPER Shirt Bl/Wh/Re Plaid</t>
        </is>
      </c>
      <c r="G11" t="inlineStr">
        <is>
          <t>XXL</t>
        </is>
      </c>
      <c r="I11" t="inlineStr">
        <is>
          <t>Ropa</t>
        </is>
      </c>
      <c r="J11" t="inlineStr">
        <is>
          <t>Camisas</t>
        </is>
      </c>
      <c r="L11" t="inlineStr">
        <is>
          <t>PZS</t>
        </is>
      </c>
      <c r="M11" s="186" t="n">
        <v>32.09</v>
      </c>
      <c r="N11" s="186" t="n">
        <v>859</v>
      </c>
      <c r="O11" t="n">
        <v>0</v>
      </c>
      <c r="X11">
        <f>O11-W11</f>
        <v/>
      </c>
      <c r="Y11" t="n">
        <v>2</v>
      </c>
      <c r="AB11" s="186">
        <f>IFERROR(O11*M11,0)</f>
        <v/>
      </c>
      <c r="AC11" s="186">
        <f>IFERROR(O11*N11,0)</f>
        <v/>
      </c>
      <c r="AD11" t="inlineStr">
        <is>
          <t>Solo en plataformas</t>
        </is>
      </c>
    </row>
    <row r="12">
      <c r="A12" t="inlineStr">
        <is>
          <t>199168041458</t>
        </is>
      </c>
      <c r="C12" t="inlineStr">
        <is>
          <t>01-001-0016-7004 BL-3XL</t>
        </is>
      </c>
      <c r="D12" t="inlineStr">
        <is>
          <t>01-001-0016-7004</t>
        </is>
      </c>
      <c r="E12" t="inlineStr">
        <is>
          <t>Roper</t>
        </is>
      </c>
      <c r="F12" t="inlineStr">
        <is>
          <t>ROPER Shirt Bl/Wh/Re Plaid</t>
        </is>
      </c>
      <c r="G12" t="inlineStr">
        <is>
          <t>XXXL</t>
        </is>
      </c>
      <c r="I12" t="inlineStr">
        <is>
          <t>Ropa</t>
        </is>
      </c>
      <c r="J12" t="inlineStr">
        <is>
          <t>Camisas</t>
        </is>
      </c>
      <c r="L12" t="inlineStr">
        <is>
          <t>PZS</t>
        </is>
      </c>
      <c r="M12" s="186" t="n">
        <v>32.09</v>
      </c>
      <c r="N12" s="186" t="n">
        <v>859</v>
      </c>
      <c r="O12" t="n">
        <v>0</v>
      </c>
      <c r="X12">
        <f>O12-W12</f>
        <v/>
      </c>
      <c r="Y12" t="n">
        <v>1</v>
      </c>
      <c r="AB12" s="186">
        <f>IFERROR(O12*M12,0)</f>
        <v/>
      </c>
      <c r="AC12" s="186">
        <f>IFERROR(O12*N12,0)</f>
        <v/>
      </c>
      <c r="AD12" t="inlineStr">
        <is>
          <t>Solo en plataformas</t>
        </is>
      </c>
    </row>
    <row r="13">
      <c r="A13" t="inlineStr">
        <is>
          <t>199168041588</t>
        </is>
      </c>
      <c r="C13" t="inlineStr">
        <is>
          <t>01-001-0017-7018 BR-L</t>
        </is>
      </c>
      <c r="D13" t="inlineStr">
        <is>
          <t>01-001-0017-7018</t>
        </is>
      </c>
      <c r="E13" t="inlineStr">
        <is>
          <t>Roper</t>
        </is>
      </c>
      <c r="F13" t="inlineStr">
        <is>
          <t>ROPER Shirt Chocolate Solid Poplin</t>
        </is>
      </c>
      <c r="G13" t="inlineStr">
        <is>
          <t>L</t>
        </is>
      </c>
      <c r="H13" t="inlineStr">
        <is>
          <t>Cafe</t>
        </is>
      </c>
      <c r="I13" t="inlineStr">
        <is>
          <t>Ropa</t>
        </is>
      </c>
      <c r="J13" t="inlineStr">
        <is>
          <t>Camisas</t>
        </is>
      </c>
      <c r="L13" t="inlineStr">
        <is>
          <t>PZS</t>
        </is>
      </c>
      <c r="M13" s="186" t="n">
        <v>33.02</v>
      </c>
      <c r="N13" s="186" t="n">
        <v>879</v>
      </c>
      <c r="O13" t="n">
        <v>0</v>
      </c>
      <c r="X13">
        <f>O13-W13</f>
        <v/>
      </c>
      <c r="Y13" t="n">
        <v>1</v>
      </c>
      <c r="AB13" s="186">
        <f>IFERROR(O13*M13,0)</f>
        <v/>
      </c>
      <c r="AC13" s="186">
        <f>IFERROR(O13*N13,0)</f>
        <v/>
      </c>
      <c r="AD13" t="inlineStr">
        <is>
          <t>Solo en plataformas</t>
        </is>
      </c>
    </row>
    <row r="14">
      <c r="A14" t="inlineStr">
        <is>
          <t>199168041595</t>
        </is>
      </c>
      <c r="C14" t="inlineStr">
        <is>
          <t>01-001-0017-7018 BR-M</t>
        </is>
      </c>
      <c r="D14" t="inlineStr">
        <is>
          <t>01-001-0017-7018</t>
        </is>
      </c>
      <c r="E14" t="inlineStr">
        <is>
          <t>Roper</t>
        </is>
      </c>
      <c r="F14" t="inlineStr">
        <is>
          <t>ROPER Shirt Chocolate Solid Poplin</t>
        </is>
      </c>
      <c r="G14" t="inlineStr">
        <is>
          <t>M</t>
        </is>
      </c>
      <c r="H14" t="inlineStr">
        <is>
          <t>Cafe</t>
        </is>
      </c>
      <c r="I14" t="inlineStr">
        <is>
          <t>Ropa</t>
        </is>
      </c>
      <c r="J14" t="inlineStr">
        <is>
          <t>Camisas</t>
        </is>
      </c>
      <c r="L14" t="inlineStr">
        <is>
          <t>PZS</t>
        </is>
      </c>
      <c r="M14" s="186" t="n">
        <v>33.02</v>
      </c>
      <c r="N14" s="186" t="n">
        <v>879</v>
      </c>
      <c r="O14" t="n">
        <v>0</v>
      </c>
      <c r="X14">
        <f>O14-W14</f>
        <v/>
      </c>
      <c r="Y14" t="n">
        <v>9</v>
      </c>
      <c r="AB14" s="186">
        <f>IFERROR(O14*M14,0)</f>
        <v/>
      </c>
      <c r="AC14" s="186">
        <f>IFERROR(O14*N14,0)</f>
        <v/>
      </c>
      <c r="AD14" t="inlineStr">
        <is>
          <t>Solo en plataformas</t>
        </is>
      </c>
    </row>
    <row r="15">
      <c r="A15" t="inlineStr">
        <is>
          <t>199168041601</t>
        </is>
      </c>
      <c r="C15" t="inlineStr">
        <is>
          <t>01-001-0017-7018 BR-S</t>
        </is>
      </c>
      <c r="D15" t="inlineStr">
        <is>
          <t>01-001-0017-7018</t>
        </is>
      </c>
      <c r="E15" t="inlineStr">
        <is>
          <t>Roper</t>
        </is>
      </c>
      <c r="F15" t="inlineStr">
        <is>
          <t>ROPER Shirt Chocolate Solid Poplin</t>
        </is>
      </c>
      <c r="G15" t="inlineStr">
        <is>
          <t>S</t>
        </is>
      </c>
      <c r="H15" t="inlineStr">
        <is>
          <t>Cafe</t>
        </is>
      </c>
      <c r="I15" t="inlineStr">
        <is>
          <t>Ropa</t>
        </is>
      </c>
      <c r="J15" t="inlineStr">
        <is>
          <t>Camisas</t>
        </is>
      </c>
      <c r="L15" t="inlineStr">
        <is>
          <t>PZS</t>
        </is>
      </c>
      <c r="M15" s="186" t="n">
        <v>33.02</v>
      </c>
      <c r="N15" s="186" t="n">
        <v>879</v>
      </c>
      <c r="O15" t="n">
        <v>0</v>
      </c>
      <c r="X15">
        <f>O15-W15</f>
        <v/>
      </c>
      <c r="Y15" t="n">
        <v>7</v>
      </c>
      <c r="AB15" s="186">
        <f>IFERROR(O15*M15,0)</f>
        <v/>
      </c>
      <c r="AC15" s="186">
        <f>IFERROR(O15*N15,0)</f>
        <v/>
      </c>
      <c r="AD15" t="inlineStr">
        <is>
          <t>Solo en plataformas</t>
        </is>
      </c>
    </row>
    <row r="16">
      <c r="A16" t="inlineStr">
        <is>
          <t>199168041618</t>
        </is>
      </c>
      <c r="C16" t="inlineStr">
        <is>
          <t>01-001-0017-7018 BR-XL</t>
        </is>
      </c>
      <c r="D16" t="inlineStr">
        <is>
          <t>01-001-0017-7018</t>
        </is>
      </c>
      <c r="E16" t="inlineStr">
        <is>
          <t>Roper</t>
        </is>
      </c>
      <c r="F16" t="inlineStr">
        <is>
          <t>ROPER Shirt Chocolate Solid Poplin</t>
        </is>
      </c>
      <c r="G16" t="inlineStr">
        <is>
          <t>XL</t>
        </is>
      </c>
      <c r="H16" t="inlineStr">
        <is>
          <t>Cafe</t>
        </is>
      </c>
      <c r="I16" t="inlineStr">
        <is>
          <t>Ropa</t>
        </is>
      </c>
      <c r="J16" t="inlineStr">
        <is>
          <t>Camisas</t>
        </is>
      </c>
      <c r="L16" t="inlineStr">
        <is>
          <t>PZS</t>
        </is>
      </c>
      <c r="M16" s="186" t="n">
        <v>33.02</v>
      </c>
      <c r="N16" s="186" t="n">
        <v>879</v>
      </c>
      <c r="O16" t="n">
        <v>0</v>
      </c>
      <c r="X16">
        <f>O16-W16</f>
        <v/>
      </c>
      <c r="Y16" t="n">
        <v>9</v>
      </c>
      <c r="AB16" s="186">
        <f>IFERROR(O16*M16,0)</f>
        <v/>
      </c>
      <c r="AC16" s="186">
        <f>IFERROR(O16*N16,0)</f>
        <v/>
      </c>
      <c r="AD16" t="inlineStr">
        <is>
          <t>Solo en plataformas</t>
        </is>
      </c>
    </row>
    <row r="17">
      <c r="A17" t="inlineStr">
        <is>
          <t>199168041625</t>
        </is>
      </c>
      <c r="C17" t="inlineStr">
        <is>
          <t>01-001-0017-7018 BR-2XL</t>
        </is>
      </c>
      <c r="D17" t="inlineStr">
        <is>
          <t>01-001-0017-7018</t>
        </is>
      </c>
      <c r="E17" t="inlineStr">
        <is>
          <t>Roper</t>
        </is>
      </c>
      <c r="F17" t="inlineStr">
        <is>
          <t>ROPER Shirt Chocolate Solid Poplin</t>
        </is>
      </c>
      <c r="G17" t="inlineStr">
        <is>
          <t>XXL</t>
        </is>
      </c>
      <c r="H17" t="inlineStr">
        <is>
          <t>Cafe</t>
        </is>
      </c>
      <c r="I17" t="inlineStr">
        <is>
          <t>Ropa</t>
        </is>
      </c>
      <c r="J17" t="inlineStr">
        <is>
          <t>Camisas</t>
        </is>
      </c>
      <c r="L17" t="inlineStr">
        <is>
          <t>PZS</t>
        </is>
      </c>
      <c r="M17" s="186" t="n">
        <v>33.02</v>
      </c>
      <c r="N17" s="186" t="n">
        <v>879</v>
      </c>
      <c r="O17" t="n">
        <v>0</v>
      </c>
      <c r="X17">
        <f>O17-W17</f>
        <v/>
      </c>
      <c r="Y17" t="n">
        <v>4</v>
      </c>
      <c r="AB17" s="186">
        <f>IFERROR(O17*M17,0)</f>
        <v/>
      </c>
      <c r="AC17" s="186">
        <f>IFERROR(O17*N17,0)</f>
        <v/>
      </c>
      <c r="AD17" t="inlineStr">
        <is>
          <t>Solo en plataformas</t>
        </is>
      </c>
    </row>
    <row r="18">
      <c r="A18" t="inlineStr">
        <is>
          <t>199168041700</t>
        </is>
      </c>
      <c r="C18" t="inlineStr">
        <is>
          <t>01-001-0019-7010 GR-L</t>
        </is>
      </c>
      <c r="D18" t="inlineStr">
        <is>
          <t>01-001-0019-7010</t>
        </is>
      </c>
      <c r="E18" t="inlineStr">
        <is>
          <t>Roper</t>
        </is>
      </c>
      <c r="F18" t="inlineStr">
        <is>
          <t>ROPER Shirt Olive Floral Print</t>
        </is>
      </c>
      <c r="G18" t="inlineStr">
        <is>
          <t>L</t>
        </is>
      </c>
      <c r="H18" t="inlineStr">
        <is>
          <t>Verde</t>
        </is>
      </c>
      <c r="I18" t="inlineStr">
        <is>
          <t>Ropa</t>
        </is>
      </c>
      <c r="J18" t="inlineStr">
        <is>
          <t>Camisas</t>
        </is>
      </c>
      <c r="L18" t="inlineStr">
        <is>
          <t>PZS</t>
        </is>
      </c>
      <c r="M18" s="186" t="n">
        <v>22.79</v>
      </c>
      <c r="N18" s="186" t="n">
        <v>629</v>
      </c>
      <c r="O18" t="n">
        <v>0</v>
      </c>
      <c r="X18">
        <f>O18-W18</f>
        <v/>
      </c>
      <c r="Y18" t="n">
        <v>8</v>
      </c>
      <c r="AB18" s="186">
        <f>IFERROR(O18*M18,0)</f>
        <v/>
      </c>
      <c r="AC18" s="186">
        <f>IFERROR(O18*N18,0)</f>
        <v/>
      </c>
      <c r="AD18" t="inlineStr">
        <is>
          <t>Solo en plataformas</t>
        </is>
      </c>
    </row>
    <row r="19">
      <c r="A19" t="inlineStr">
        <is>
          <t>199168041717</t>
        </is>
      </c>
      <c r="C19" t="inlineStr">
        <is>
          <t>01-001-0019-7010 GR-M</t>
        </is>
      </c>
      <c r="D19" t="inlineStr">
        <is>
          <t>01-001-0019-7010</t>
        </is>
      </c>
      <c r="E19" t="inlineStr">
        <is>
          <t>Roper</t>
        </is>
      </c>
      <c r="F19" t="inlineStr">
        <is>
          <t>ROPER Shirt Olive Floral Print</t>
        </is>
      </c>
      <c r="G19" t="inlineStr">
        <is>
          <t>M</t>
        </is>
      </c>
      <c r="H19" t="inlineStr">
        <is>
          <t>Verde</t>
        </is>
      </c>
      <c r="I19" t="inlineStr">
        <is>
          <t>Ropa</t>
        </is>
      </c>
      <c r="J19" t="inlineStr">
        <is>
          <t>Camisas</t>
        </is>
      </c>
      <c r="L19" t="inlineStr">
        <is>
          <t>PZS</t>
        </is>
      </c>
      <c r="M19" s="186" t="n">
        <v>22.79</v>
      </c>
      <c r="N19" s="186" t="n">
        <v>629</v>
      </c>
      <c r="O19" t="n">
        <v>0</v>
      </c>
      <c r="X19">
        <f>O19-W19</f>
        <v/>
      </c>
      <c r="Y19" t="n">
        <v>8</v>
      </c>
      <c r="AB19" s="186">
        <f>IFERROR(O19*M19,0)</f>
        <v/>
      </c>
      <c r="AC19" s="186">
        <f>IFERROR(O19*N19,0)</f>
        <v/>
      </c>
      <c r="AD19" t="inlineStr">
        <is>
          <t>Solo en plataformas</t>
        </is>
      </c>
    </row>
    <row r="20">
      <c r="A20" t="inlineStr">
        <is>
          <t>199168041724</t>
        </is>
      </c>
      <c r="C20" t="inlineStr">
        <is>
          <t>01-001-0019-7010 GR-S</t>
        </is>
      </c>
      <c r="D20" t="inlineStr">
        <is>
          <t>01-001-0019-7010</t>
        </is>
      </c>
      <c r="E20" t="inlineStr">
        <is>
          <t>Roper</t>
        </is>
      </c>
      <c r="F20" t="inlineStr">
        <is>
          <t>ROPER Shirt Olive Floral Print</t>
        </is>
      </c>
      <c r="G20" t="inlineStr">
        <is>
          <t>S</t>
        </is>
      </c>
      <c r="H20" t="inlineStr">
        <is>
          <t>Verde</t>
        </is>
      </c>
      <c r="I20" t="inlineStr">
        <is>
          <t>Ropa</t>
        </is>
      </c>
      <c r="J20" t="inlineStr">
        <is>
          <t>Camisas</t>
        </is>
      </c>
      <c r="L20" t="inlineStr">
        <is>
          <t>PZS</t>
        </is>
      </c>
      <c r="M20" s="186" t="n">
        <v>22.79</v>
      </c>
      <c r="N20" s="186" t="n">
        <v>629</v>
      </c>
      <c r="O20" t="n">
        <v>0</v>
      </c>
      <c r="X20">
        <f>O20-W20</f>
        <v/>
      </c>
      <c r="Y20" t="n">
        <v>6</v>
      </c>
      <c r="AB20" s="186">
        <f>IFERROR(O20*M20,0)</f>
        <v/>
      </c>
      <c r="AC20" s="186">
        <f>IFERROR(O20*N20,0)</f>
        <v/>
      </c>
      <c r="AD20" t="inlineStr">
        <is>
          <t>Solo en plataformas</t>
        </is>
      </c>
    </row>
    <row r="21">
      <c r="A21" t="inlineStr">
        <is>
          <t>199168041731</t>
        </is>
      </c>
      <c r="C21" t="inlineStr">
        <is>
          <t>01-001-0019-7010 GR-XL</t>
        </is>
      </c>
      <c r="D21" t="inlineStr">
        <is>
          <t>01-001-0019-7010</t>
        </is>
      </c>
      <c r="E21" t="inlineStr">
        <is>
          <t>Roper</t>
        </is>
      </c>
      <c r="F21" t="inlineStr">
        <is>
          <t>ROPER Shirt Olive Floral Print</t>
        </is>
      </c>
      <c r="G21" t="inlineStr">
        <is>
          <t>XL</t>
        </is>
      </c>
      <c r="H21" t="inlineStr">
        <is>
          <t>Verde</t>
        </is>
      </c>
      <c r="I21" t="inlineStr">
        <is>
          <t>Ropa</t>
        </is>
      </c>
      <c r="J21" t="inlineStr">
        <is>
          <t>Camisas</t>
        </is>
      </c>
      <c r="L21" t="inlineStr">
        <is>
          <t>PZS</t>
        </is>
      </c>
      <c r="M21" s="186" t="n">
        <v>22.79</v>
      </c>
      <c r="N21" s="186" t="n">
        <v>629</v>
      </c>
      <c r="O21" t="n">
        <v>0</v>
      </c>
      <c r="X21">
        <f>O21-W21</f>
        <v/>
      </c>
      <c r="Y21" t="n">
        <v>8</v>
      </c>
      <c r="AB21" s="186">
        <f>IFERROR(O21*M21,0)</f>
        <v/>
      </c>
      <c r="AC21" s="186">
        <f>IFERROR(O21*N21,0)</f>
        <v/>
      </c>
      <c r="AD21" t="inlineStr">
        <is>
          <t>Solo en plataformas</t>
        </is>
      </c>
    </row>
    <row r="22">
      <c r="A22" t="inlineStr">
        <is>
          <t>199168041748</t>
        </is>
      </c>
      <c r="C22" t="inlineStr">
        <is>
          <t>01-001-0019-7010 GR-2XL</t>
        </is>
      </c>
      <c r="D22" t="inlineStr">
        <is>
          <t>01-001-0019-7010</t>
        </is>
      </c>
      <c r="E22" t="inlineStr">
        <is>
          <t>Roper</t>
        </is>
      </c>
      <c r="F22" t="inlineStr">
        <is>
          <t>ROPER Shirt Olive Floral Print</t>
        </is>
      </c>
      <c r="G22" t="inlineStr">
        <is>
          <t>XXL</t>
        </is>
      </c>
      <c r="H22" t="inlineStr">
        <is>
          <t>Verde</t>
        </is>
      </c>
      <c r="I22" t="inlineStr">
        <is>
          <t>Ropa</t>
        </is>
      </c>
      <c r="J22" t="inlineStr">
        <is>
          <t>Camisas</t>
        </is>
      </c>
      <c r="L22" t="inlineStr">
        <is>
          <t>PZS</t>
        </is>
      </c>
      <c r="M22" s="186" t="n">
        <v>22.79</v>
      </c>
      <c r="N22" s="186" t="n">
        <v>629</v>
      </c>
      <c r="O22" t="n">
        <v>0</v>
      </c>
      <c r="X22">
        <f>O22-W22</f>
        <v/>
      </c>
      <c r="Y22" t="n">
        <v>3</v>
      </c>
      <c r="AB22" s="186">
        <f>IFERROR(O22*M22,0)</f>
        <v/>
      </c>
      <c r="AC22" s="186">
        <f>IFERROR(O22*N22,0)</f>
        <v/>
      </c>
      <c r="AD22" t="inlineStr">
        <is>
          <t>Solo en plataformas</t>
        </is>
      </c>
    </row>
    <row r="23">
      <c r="A23" t="inlineStr">
        <is>
          <t>199168041762</t>
        </is>
      </c>
      <c r="C23" t="inlineStr">
        <is>
          <t>01-001-0019-7011 BL-L</t>
        </is>
      </c>
      <c r="D23" t="inlineStr">
        <is>
          <t>01-001-0019-7011</t>
        </is>
      </c>
      <c r="E23" t="inlineStr">
        <is>
          <t>Roper</t>
        </is>
      </c>
      <c r="F23" t="inlineStr">
        <is>
          <t>ROPER Shirt Black &amp; Grey Floral Print</t>
        </is>
      </c>
      <c r="G23" t="inlineStr">
        <is>
          <t>L</t>
        </is>
      </c>
      <c r="H23" t="inlineStr">
        <is>
          <t>Negro</t>
        </is>
      </c>
      <c r="I23" t="inlineStr">
        <is>
          <t>Ropa</t>
        </is>
      </c>
      <c r="J23" t="inlineStr">
        <is>
          <t>Camisas</t>
        </is>
      </c>
      <c r="L23" t="inlineStr">
        <is>
          <t>PZS</t>
        </is>
      </c>
      <c r="M23" s="186" t="n">
        <v>22.79</v>
      </c>
      <c r="N23" s="186" t="n">
        <v>629</v>
      </c>
      <c r="O23" t="n">
        <v>0</v>
      </c>
      <c r="X23">
        <f>O23-W23</f>
        <v/>
      </c>
      <c r="Y23" t="n">
        <v>14</v>
      </c>
      <c r="AB23" s="186">
        <f>IFERROR(O23*M23,0)</f>
        <v/>
      </c>
      <c r="AC23" s="186">
        <f>IFERROR(O23*N23,0)</f>
        <v/>
      </c>
      <c r="AD23" t="inlineStr">
        <is>
          <t>Solo en plataformas</t>
        </is>
      </c>
    </row>
    <row r="24">
      <c r="A24" t="inlineStr">
        <is>
          <t>199168041779</t>
        </is>
      </c>
      <c r="C24" t="inlineStr">
        <is>
          <t>01-001-0019-7011 BL-M</t>
        </is>
      </c>
      <c r="D24" t="inlineStr">
        <is>
          <t>01-001-0019-7011</t>
        </is>
      </c>
      <c r="E24" t="inlineStr">
        <is>
          <t>Roper</t>
        </is>
      </c>
      <c r="F24" t="inlineStr">
        <is>
          <t>ROPER Shirt Black &amp; Grey Floral Print</t>
        </is>
      </c>
      <c r="G24" t="inlineStr">
        <is>
          <t>M</t>
        </is>
      </c>
      <c r="H24" t="inlineStr">
        <is>
          <t>Negro</t>
        </is>
      </c>
      <c r="I24" t="inlineStr">
        <is>
          <t>Ropa</t>
        </is>
      </c>
      <c r="J24" t="inlineStr">
        <is>
          <t>Camisas</t>
        </is>
      </c>
      <c r="L24" t="inlineStr">
        <is>
          <t>PZS</t>
        </is>
      </c>
      <c r="M24" s="186" t="n">
        <v>22.79</v>
      </c>
      <c r="N24" s="186" t="n">
        <v>629</v>
      </c>
      <c r="O24" t="n">
        <v>0</v>
      </c>
      <c r="X24">
        <f>O24-W24</f>
        <v/>
      </c>
      <c r="Y24" t="n">
        <v>15</v>
      </c>
      <c r="AB24" s="186">
        <f>IFERROR(O24*M24,0)</f>
        <v/>
      </c>
      <c r="AC24" s="186">
        <f>IFERROR(O24*N24,0)</f>
        <v/>
      </c>
      <c r="AD24" t="inlineStr">
        <is>
          <t>Solo en plataformas</t>
        </is>
      </c>
    </row>
    <row r="25">
      <c r="A25" t="inlineStr">
        <is>
          <t>199168041786</t>
        </is>
      </c>
      <c r="C25" t="inlineStr">
        <is>
          <t>01-001-0019-7011 BL-S</t>
        </is>
      </c>
      <c r="D25" t="inlineStr">
        <is>
          <t>01-001-0019-7011</t>
        </is>
      </c>
      <c r="E25" t="inlineStr">
        <is>
          <t>Roper</t>
        </is>
      </c>
      <c r="F25" t="inlineStr">
        <is>
          <t>ROPER Shirt Black &amp; Grey Floral Print</t>
        </is>
      </c>
      <c r="G25" t="inlineStr">
        <is>
          <t>S</t>
        </is>
      </c>
      <c r="H25" t="inlineStr">
        <is>
          <t>Negro</t>
        </is>
      </c>
      <c r="I25" t="inlineStr">
        <is>
          <t>Ropa</t>
        </is>
      </c>
      <c r="J25" t="inlineStr">
        <is>
          <t>Camisas</t>
        </is>
      </c>
      <c r="L25" t="inlineStr">
        <is>
          <t>PZS</t>
        </is>
      </c>
      <c r="M25" s="186" t="n">
        <v>22.79</v>
      </c>
      <c r="N25" s="186" t="n">
        <v>629</v>
      </c>
      <c r="O25" t="n">
        <v>0</v>
      </c>
      <c r="X25">
        <f>O25-W25</f>
        <v/>
      </c>
      <c r="Y25" t="n">
        <v>12</v>
      </c>
      <c r="AB25" s="186">
        <f>IFERROR(O25*M25,0)</f>
        <v/>
      </c>
      <c r="AC25" s="186">
        <f>IFERROR(O25*N25,0)</f>
        <v/>
      </c>
      <c r="AD25" t="inlineStr">
        <is>
          <t>Solo en plataformas</t>
        </is>
      </c>
    </row>
    <row r="26">
      <c r="A26" t="inlineStr">
        <is>
          <t>199168041793</t>
        </is>
      </c>
      <c r="C26" t="inlineStr">
        <is>
          <t>01-001-0019-7011 BL-XL</t>
        </is>
      </c>
      <c r="D26" t="inlineStr">
        <is>
          <t>01-001-0019-7011</t>
        </is>
      </c>
      <c r="E26" t="inlineStr">
        <is>
          <t>Roper</t>
        </is>
      </c>
      <c r="F26" t="inlineStr">
        <is>
          <t>ROPER Shirt Black &amp; Grey Floral Print</t>
        </is>
      </c>
      <c r="G26" t="inlineStr">
        <is>
          <t>XL</t>
        </is>
      </c>
      <c r="H26" t="inlineStr">
        <is>
          <t>Negro</t>
        </is>
      </c>
      <c r="I26" t="inlineStr">
        <is>
          <t>Ropa</t>
        </is>
      </c>
      <c r="J26" t="inlineStr">
        <is>
          <t>Camisas</t>
        </is>
      </c>
      <c r="L26" t="inlineStr">
        <is>
          <t>PZS</t>
        </is>
      </c>
      <c r="M26" s="186" t="n">
        <v>22.79</v>
      </c>
      <c r="N26" s="186" t="n">
        <v>629</v>
      </c>
      <c r="O26" t="n">
        <v>0</v>
      </c>
      <c r="X26">
        <f>O26-W26</f>
        <v/>
      </c>
      <c r="Y26" t="n">
        <v>11</v>
      </c>
      <c r="AB26" s="186">
        <f>IFERROR(O26*M26,0)</f>
        <v/>
      </c>
      <c r="AC26" s="186">
        <f>IFERROR(O26*N26,0)</f>
        <v/>
      </c>
      <c r="AD26" t="inlineStr">
        <is>
          <t>Solo en plataformas</t>
        </is>
      </c>
    </row>
    <row r="27">
      <c r="A27" t="inlineStr">
        <is>
          <t>199168041946</t>
        </is>
      </c>
      <c r="C27" t="inlineStr">
        <is>
          <t>01-001-0024-7008 BL-L</t>
        </is>
      </c>
      <c r="D27" t="inlineStr">
        <is>
          <t>01-001-0024-7008</t>
        </is>
      </c>
      <c r="E27" t="inlineStr">
        <is>
          <t>Roper</t>
        </is>
      </c>
      <c r="F27" t="inlineStr">
        <is>
          <t>ROPER Shirt Bl/Gy/Br Plaid</t>
        </is>
      </c>
      <c r="G27" t="inlineStr">
        <is>
          <t>L</t>
        </is>
      </c>
      <c r="I27" t="inlineStr">
        <is>
          <t>Ropa</t>
        </is>
      </c>
      <c r="J27" t="inlineStr">
        <is>
          <t>Camisas</t>
        </is>
      </c>
      <c r="L27" t="inlineStr">
        <is>
          <t>PZS</t>
        </is>
      </c>
      <c r="M27" s="186" t="n">
        <v>33.48</v>
      </c>
      <c r="N27" s="186" t="n">
        <v>889</v>
      </c>
      <c r="O27" t="n">
        <v>0</v>
      </c>
      <c r="X27">
        <f>O27-W27</f>
        <v/>
      </c>
      <c r="Y27" t="n">
        <v>9</v>
      </c>
      <c r="AB27" s="186">
        <f>IFERROR(O27*M27,0)</f>
        <v/>
      </c>
      <c r="AC27" s="186">
        <f>IFERROR(O27*N27,0)</f>
        <v/>
      </c>
      <c r="AD27" t="inlineStr">
        <is>
          <t>Solo en plataformas</t>
        </is>
      </c>
    </row>
    <row r="28">
      <c r="A28" t="inlineStr">
        <is>
          <t>199168041953</t>
        </is>
      </c>
      <c r="C28" t="inlineStr">
        <is>
          <t>01-001-0024-7008 BL-M</t>
        </is>
      </c>
      <c r="D28" t="inlineStr">
        <is>
          <t>01-001-0024-7008</t>
        </is>
      </c>
      <c r="E28" t="inlineStr">
        <is>
          <t>Roper</t>
        </is>
      </c>
      <c r="F28" t="inlineStr">
        <is>
          <t>ROPER Shirt Bl/Gy/Br Plaid</t>
        </is>
      </c>
      <c r="G28" t="inlineStr">
        <is>
          <t>M</t>
        </is>
      </c>
      <c r="I28" t="inlineStr">
        <is>
          <t>Ropa</t>
        </is>
      </c>
      <c r="J28" t="inlineStr">
        <is>
          <t>Camisas</t>
        </is>
      </c>
      <c r="L28" t="inlineStr">
        <is>
          <t>PZS</t>
        </is>
      </c>
      <c r="M28" s="186" t="n">
        <v>33.48</v>
      </c>
      <c r="N28" s="186" t="n">
        <v>889</v>
      </c>
      <c r="O28" t="n">
        <v>0</v>
      </c>
      <c r="X28">
        <f>O28-W28</f>
        <v/>
      </c>
      <c r="Y28" t="n">
        <v>9</v>
      </c>
      <c r="AB28" s="186">
        <f>IFERROR(O28*M28,0)</f>
        <v/>
      </c>
      <c r="AC28" s="186">
        <f>IFERROR(O28*N28,0)</f>
        <v/>
      </c>
      <c r="AD28" t="inlineStr">
        <is>
          <t>Solo en plataformas</t>
        </is>
      </c>
    </row>
    <row r="29">
      <c r="A29" t="inlineStr">
        <is>
          <t>199168041960</t>
        </is>
      </c>
      <c r="C29" t="inlineStr">
        <is>
          <t>01-001-0024-7008 BL-S</t>
        </is>
      </c>
      <c r="D29" t="inlineStr">
        <is>
          <t>01-001-0024-7008</t>
        </is>
      </c>
      <c r="E29" t="inlineStr">
        <is>
          <t>Roper</t>
        </is>
      </c>
      <c r="F29" t="inlineStr">
        <is>
          <t>ROPER Shirt Bl/Gy/Br Plaid</t>
        </is>
      </c>
      <c r="G29" t="inlineStr">
        <is>
          <t>S</t>
        </is>
      </c>
      <c r="I29" t="inlineStr">
        <is>
          <t>Ropa</t>
        </is>
      </c>
      <c r="J29" t="inlineStr">
        <is>
          <t>Camisas</t>
        </is>
      </c>
      <c r="L29" t="inlineStr">
        <is>
          <t>PZS</t>
        </is>
      </c>
      <c r="M29" s="186" t="n">
        <v>33.48</v>
      </c>
      <c r="N29" s="186" t="n">
        <v>889</v>
      </c>
      <c r="O29" t="n">
        <v>0</v>
      </c>
      <c r="X29">
        <f>O29-W29</f>
        <v/>
      </c>
      <c r="Y29" t="n">
        <v>6</v>
      </c>
      <c r="AB29" s="186">
        <f>IFERROR(O29*M29,0)</f>
        <v/>
      </c>
      <c r="AC29" s="186">
        <f>IFERROR(O29*N29,0)</f>
        <v/>
      </c>
      <c r="AD29" t="inlineStr">
        <is>
          <t>Solo en plataformas</t>
        </is>
      </c>
    </row>
    <row r="30">
      <c r="A30" t="inlineStr">
        <is>
          <t>199168041977</t>
        </is>
      </c>
      <c r="C30" t="inlineStr">
        <is>
          <t>01-001-0024-7008 BL-XL</t>
        </is>
      </c>
      <c r="D30" t="inlineStr">
        <is>
          <t>01-001-0024-7008</t>
        </is>
      </c>
      <c r="E30" t="inlineStr">
        <is>
          <t>Roper</t>
        </is>
      </c>
      <c r="F30" t="inlineStr">
        <is>
          <t>ROPER Shirt Bl/Gy/Br Plaid</t>
        </is>
      </c>
      <c r="G30" t="inlineStr">
        <is>
          <t>XL</t>
        </is>
      </c>
      <c r="I30" t="inlineStr">
        <is>
          <t>Ropa</t>
        </is>
      </c>
      <c r="J30" t="inlineStr">
        <is>
          <t>Camisas</t>
        </is>
      </c>
      <c r="L30" t="inlineStr">
        <is>
          <t>PZS</t>
        </is>
      </c>
      <c r="M30" s="186" t="n">
        <v>33.48</v>
      </c>
      <c r="N30" s="186" t="n">
        <v>889</v>
      </c>
      <c r="O30" t="n">
        <v>0</v>
      </c>
      <c r="X30">
        <f>O30-W30</f>
        <v/>
      </c>
      <c r="Y30" t="n">
        <v>9</v>
      </c>
      <c r="AB30" s="186">
        <f>IFERROR(O30*M30,0)</f>
        <v/>
      </c>
      <c r="AC30" s="186">
        <f>IFERROR(O30*N30,0)</f>
        <v/>
      </c>
      <c r="AD30" t="inlineStr">
        <is>
          <t>Solo en plataformas</t>
        </is>
      </c>
    </row>
    <row r="31">
      <c r="A31" t="inlineStr">
        <is>
          <t>199168041984</t>
        </is>
      </c>
      <c r="C31" t="inlineStr">
        <is>
          <t>01-001-0024-7008 BL-2XL</t>
        </is>
      </c>
      <c r="D31" t="inlineStr">
        <is>
          <t>01-001-0024-7008</t>
        </is>
      </c>
      <c r="E31" t="inlineStr">
        <is>
          <t>Roper</t>
        </is>
      </c>
      <c r="F31" t="inlineStr">
        <is>
          <t>ROPER Shirt Bl/Gy/Br Plaid</t>
        </is>
      </c>
      <c r="G31" t="inlineStr">
        <is>
          <t>XXL</t>
        </is>
      </c>
      <c r="I31" t="inlineStr">
        <is>
          <t>Ropa</t>
        </is>
      </c>
      <c r="J31" t="inlineStr">
        <is>
          <t>Camisas</t>
        </is>
      </c>
      <c r="L31" t="inlineStr">
        <is>
          <t>PZS</t>
        </is>
      </c>
      <c r="M31" s="186" t="n">
        <v>33.48</v>
      </c>
      <c r="N31" s="186" t="n">
        <v>889</v>
      </c>
      <c r="O31" t="n">
        <v>0</v>
      </c>
      <c r="X31">
        <f>O31-W31</f>
        <v/>
      </c>
      <c r="Y31" t="n">
        <v>6</v>
      </c>
      <c r="AB31" s="186">
        <f>IFERROR(O31*M31,0)</f>
        <v/>
      </c>
      <c r="AC31" s="186">
        <f>IFERROR(O31*N31,0)</f>
        <v/>
      </c>
      <c r="AD31" t="inlineStr">
        <is>
          <t>Solo en plataformas</t>
        </is>
      </c>
    </row>
    <row r="32">
      <c r="A32" t="inlineStr">
        <is>
          <t>199168087951</t>
        </is>
      </c>
      <c r="C32" t="inlineStr">
        <is>
          <t>01-001-0044-1084 BR-L</t>
        </is>
      </c>
      <c r="D32" t="inlineStr">
        <is>
          <t>01-001-0044-1084</t>
        </is>
      </c>
      <c r="E32" t="inlineStr">
        <is>
          <t>Roper</t>
        </is>
      </c>
      <c r="F32" t="inlineStr">
        <is>
          <t>ROPER Shirt Brown &amp; Blue Wide Stripe</t>
        </is>
      </c>
      <c r="G32" t="inlineStr">
        <is>
          <t>L</t>
        </is>
      </c>
      <c r="H32" t="inlineStr">
        <is>
          <t>Cafe</t>
        </is>
      </c>
      <c r="I32" t="inlineStr">
        <is>
          <t>Ropa</t>
        </is>
      </c>
      <c r="J32" t="inlineStr">
        <is>
          <t>Camisas</t>
        </is>
      </c>
      <c r="K32" t="inlineStr">
        <is>
          <t>Hombre</t>
        </is>
      </c>
      <c r="L32" t="inlineStr">
        <is>
          <t>PZS</t>
        </is>
      </c>
      <c r="M32" s="186" t="n">
        <v>27</v>
      </c>
      <c r="N32" s="186" t="n">
        <v>729</v>
      </c>
      <c r="O32" t="n">
        <v>0</v>
      </c>
      <c r="X32">
        <f>O32-W32</f>
        <v/>
      </c>
      <c r="Y32" t="n">
        <v>30</v>
      </c>
      <c r="AB32" s="186">
        <f>IFERROR(O32*M32,0)</f>
        <v/>
      </c>
      <c r="AC32" s="186">
        <f>IFERROR(O32*N32,0)</f>
        <v/>
      </c>
      <c r="AD32" t="inlineStr">
        <is>
          <t>Solo en plataformas</t>
        </is>
      </c>
    </row>
    <row r="33">
      <c r="A33" t="inlineStr">
        <is>
          <t>199168087968</t>
        </is>
      </c>
      <c r="C33" t="inlineStr">
        <is>
          <t>01-001-0044-1084 BR-M</t>
        </is>
      </c>
      <c r="D33" t="inlineStr">
        <is>
          <t>01-001-0044-1084</t>
        </is>
      </c>
      <c r="E33" t="inlineStr">
        <is>
          <t>Roper</t>
        </is>
      </c>
      <c r="F33" t="inlineStr">
        <is>
          <t>ROPER Shirt Brown &amp; Blue Wide Stripe</t>
        </is>
      </c>
      <c r="G33" t="inlineStr">
        <is>
          <t>M</t>
        </is>
      </c>
      <c r="H33" t="inlineStr">
        <is>
          <t>Cafe</t>
        </is>
      </c>
      <c r="I33" t="inlineStr">
        <is>
          <t>Ropa</t>
        </is>
      </c>
      <c r="J33" t="inlineStr">
        <is>
          <t>Camisas</t>
        </is>
      </c>
      <c r="K33" t="inlineStr">
        <is>
          <t>Hombre</t>
        </is>
      </c>
      <c r="L33" t="inlineStr">
        <is>
          <t>PZS</t>
        </is>
      </c>
      <c r="M33" s="186" t="n">
        <v>27</v>
      </c>
      <c r="N33" s="186" t="n">
        <v>729</v>
      </c>
      <c r="O33" t="n">
        <v>0</v>
      </c>
      <c r="X33">
        <f>O33-W33</f>
        <v/>
      </c>
      <c r="Y33" t="n">
        <v>30</v>
      </c>
      <c r="AB33" s="186">
        <f>IFERROR(O33*M33,0)</f>
        <v/>
      </c>
      <c r="AC33" s="186">
        <f>IFERROR(O33*N33,0)</f>
        <v/>
      </c>
      <c r="AD33" t="inlineStr">
        <is>
          <t>Solo en plataformas</t>
        </is>
      </c>
    </row>
    <row r="34">
      <c r="A34" t="inlineStr">
        <is>
          <t>199168087975</t>
        </is>
      </c>
      <c r="C34" t="inlineStr">
        <is>
          <t>01-001-0044-1084 BR-S</t>
        </is>
      </c>
      <c r="D34" t="inlineStr">
        <is>
          <t>01-001-0044-1084</t>
        </is>
      </c>
      <c r="E34" t="inlineStr">
        <is>
          <t>Roper</t>
        </is>
      </c>
      <c r="F34" t="inlineStr">
        <is>
          <t>ROPER Shirt Brown &amp; Blue Wide Stripe</t>
        </is>
      </c>
      <c r="G34" t="inlineStr">
        <is>
          <t>S</t>
        </is>
      </c>
      <c r="H34" t="inlineStr">
        <is>
          <t>Cafe</t>
        </is>
      </c>
      <c r="I34" t="inlineStr">
        <is>
          <t>Ropa</t>
        </is>
      </c>
      <c r="J34" t="inlineStr">
        <is>
          <t>Camisas</t>
        </is>
      </c>
      <c r="K34" t="inlineStr">
        <is>
          <t>Hombre</t>
        </is>
      </c>
      <c r="L34" t="inlineStr">
        <is>
          <t>PZS</t>
        </is>
      </c>
      <c r="M34" s="186" t="n">
        <v>27</v>
      </c>
      <c r="N34" s="186" t="n">
        <v>729</v>
      </c>
      <c r="O34" t="n">
        <v>0</v>
      </c>
      <c r="X34">
        <f>O34-W34</f>
        <v/>
      </c>
      <c r="Y34" t="n">
        <v>30</v>
      </c>
      <c r="AB34" s="186">
        <f>IFERROR(O34*M34,0)</f>
        <v/>
      </c>
      <c r="AC34" s="186">
        <f>IFERROR(O34*N34,0)</f>
        <v/>
      </c>
      <c r="AD34" t="inlineStr">
        <is>
          <t>Solo en plataformas</t>
        </is>
      </c>
    </row>
    <row r="35">
      <c r="A35" t="inlineStr">
        <is>
          <t>199168087982</t>
        </is>
      </c>
      <c r="C35" t="inlineStr">
        <is>
          <t>01-001-0044-1084 BR-XL</t>
        </is>
      </c>
      <c r="D35" t="inlineStr">
        <is>
          <t>01-001-0044-1084</t>
        </is>
      </c>
      <c r="E35" t="inlineStr">
        <is>
          <t>Roper</t>
        </is>
      </c>
      <c r="F35" t="inlineStr">
        <is>
          <t>ROPER Shirt Brown &amp; Blue Wide Stripe</t>
        </is>
      </c>
      <c r="G35" t="inlineStr">
        <is>
          <t>XL</t>
        </is>
      </c>
      <c r="H35" t="inlineStr">
        <is>
          <t>Cafe</t>
        </is>
      </c>
      <c r="I35" t="inlineStr">
        <is>
          <t>Ropa</t>
        </is>
      </c>
      <c r="J35" t="inlineStr">
        <is>
          <t>Camisas</t>
        </is>
      </c>
      <c r="K35" t="inlineStr">
        <is>
          <t>Hombre</t>
        </is>
      </c>
      <c r="L35" t="inlineStr">
        <is>
          <t>PZS</t>
        </is>
      </c>
      <c r="M35" s="186" t="n">
        <v>27</v>
      </c>
      <c r="N35" s="186" t="n">
        <v>729</v>
      </c>
      <c r="O35" t="n">
        <v>0</v>
      </c>
      <c r="X35">
        <f>O35-W35</f>
        <v/>
      </c>
      <c r="Y35" t="n">
        <v>20</v>
      </c>
      <c r="AB35" s="186">
        <f>IFERROR(O35*M35,0)</f>
        <v/>
      </c>
      <c r="AC35" s="186">
        <f>IFERROR(O35*N35,0)</f>
        <v/>
      </c>
      <c r="AD35" t="inlineStr">
        <is>
          <t>Solo en plataformas</t>
        </is>
      </c>
    </row>
    <row r="36">
      <c r="A36" t="inlineStr">
        <is>
          <t>199168087999</t>
        </is>
      </c>
      <c r="C36" t="inlineStr">
        <is>
          <t>01-001-0044-1084 BR-2XL</t>
        </is>
      </c>
      <c r="D36" t="inlineStr">
        <is>
          <t>01-001-0044-1084</t>
        </is>
      </c>
      <c r="E36" t="inlineStr">
        <is>
          <t>Roper</t>
        </is>
      </c>
      <c r="F36" t="inlineStr">
        <is>
          <t>ROPER Shirt Brown &amp; Blue Wide Stripe</t>
        </is>
      </c>
      <c r="G36" t="inlineStr">
        <is>
          <t>XXL</t>
        </is>
      </c>
      <c r="H36" t="inlineStr">
        <is>
          <t>Cafe</t>
        </is>
      </c>
      <c r="I36" t="inlineStr">
        <is>
          <t>Ropa</t>
        </is>
      </c>
      <c r="J36" t="inlineStr">
        <is>
          <t>Camisas</t>
        </is>
      </c>
      <c r="K36" t="inlineStr">
        <is>
          <t>Hombre</t>
        </is>
      </c>
      <c r="L36" t="inlineStr">
        <is>
          <t>PZS</t>
        </is>
      </c>
      <c r="M36" s="186" t="n">
        <v>27</v>
      </c>
      <c r="N36" s="186" t="n">
        <v>729</v>
      </c>
      <c r="O36" t="n">
        <v>0</v>
      </c>
      <c r="X36">
        <f>O36-W36</f>
        <v/>
      </c>
      <c r="Y36" t="n">
        <v>10</v>
      </c>
      <c r="AB36" s="186">
        <f>IFERROR(O36*M36,0)</f>
        <v/>
      </c>
      <c r="AC36" s="186">
        <f>IFERROR(O36*N36,0)</f>
        <v/>
      </c>
      <c r="AD36" t="inlineStr">
        <is>
          <t>Solo en plataformas</t>
        </is>
      </c>
    </row>
    <row r="37">
      <c r="A37" t="inlineStr">
        <is>
          <t>199168042257</t>
        </is>
      </c>
      <c r="C37" t="inlineStr">
        <is>
          <t>01-001-0086-7011 BL-M</t>
        </is>
      </c>
      <c r="D37" t="inlineStr">
        <is>
          <t>01-001-0086-7011</t>
        </is>
      </c>
      <c r="E37" t="inlineStr">
        <is>
          <t>Roper</t>
        </is>
      </c>
      <c r="F37" t="inlineStr">
        <is>
          <t>ROPER Shirt Black/Grey Floral</t>
        </is>
      </c>
      <c r="G37" t="inlineStr">
        <is>
          <t>M</t>
        </is>
      </c>
      <c r="H37" t="inlineStr">
        <is>
          <t>Negro</t>
        </is>
      </c>
      <c r="I37" t="inlineStr">
        <is>
          <t>Ropa</t>
        </is>
      </c>
      <c r="J37" t="inlineStr">
        <is>
          <t>Camisas</t>
        </is>
      </c>
      <c r="K37" t="inlineStr">
        <is>
          <t>Hombre</t>
        </is>
      </c>
      <c r="L37" t="inlineStr">
        <is>
          <t>PZS</t>
        </is>
      </c>
      <c r="M37" s="186" t="n">
        <v>28.13</v>
      </c>
      <c r="N37" s="186" t="n">
        <v>759</v>
      </c>
      <c r="O37" t="n">
        <v>0</v>
      </c>
      <c r="X37">
        <f>O37-W37</f>
        <v/>
      </c>
      <c r="Y37" t="n">
        <v>1</v>
      </c>
      <c r="AB37" s="186">
        <f>IFERROR(O37*M37,0)</f>
        <v/>
      </c>
      <c r="AC37" s="186">
        <f>IFERROR(O37*N37,0)</f>
        <v/>
      </c>
      <c r="AD37" t="inlineStr">
        <is>
          <t>Solo en plataformas</t>
        </is>
      </c>
    </row>
    <row r="38">
      <c r="A38" t="inlineStr">
        <is>
          <t>199168042264</t>
        </is>
      </c>
      <c r="C38" t="inlineStr">
        <is>
          <t>01-001-0086-7011 BL-S</t>
        </is>
      </c>
      <c r="D38" t="inlineStr">
        <is>
          <t>01-001-0086-7011</t>
        </is>
      </c>
      <c r="E38" t="inlineStr">
        <is>
          <t>Roper</t>
        </is>
      </c>
      <c r="F38" t="inlineStr">
        <is>
          <t>ROPER Shirt Black/Grey Floral</t>
        </is>
      </c>
      <c r="G38" t="inlineStr">
        <is>
          <t>S</t>
        </is>
      </c>
      <c r="H38" t="inlineStr">
        <is>
          <t>Negro</t>
        </is>
      </c>
      <c r="I38" t="inlineStr">
        <is>
          <t>Ropa</t>
        </is>
      </c>
      <c r="J38" t="inlineStr">
        <is>
          <t>Camisas</t>
        </is>
      </c>
      <c r="K38" t="inlineStr">
        <is>
          <t>Hombre</t>
        </is>
      </c>
      <c r="L38" t="inlineStr">
        <is>
          <t>PZS</t>
        </is>
      </c>
      <c r="M38" s="186" t="n">
        <v>28.13</v>
      </c>
      <c r="N38" s="186" t="n">
        <v>759</v>
      </c>
      <c r="O38" t="n">
        <v>0</v>
      </c>
      <c r="X38">
        <f>O38-W38</f>
        <v/>
      </c>
      <c r="Y38" t="n">
        <v>1</v>
      </c>
      <c r="AB38" s="186">
        <f>IFERROR(O38*M38,0)</f>
        <v/>
      </c>
      <c r="AC38" s="186">
        <f>IFERROR(O38*N38,0)</f>
        <v/>
      </c>
      <c r="AD38" t="inlineStr">
        <is>
          <t>Solo en plataformas</t>
        </is>
      </c>
    </row>
    <row r="39">
      <c r="A39" t="inlineStr">
        <is>
          <t>199168042271</t>
        </is>
      </c>
      <c r="C39" t="inlineStr">
        <is>
          <t>01-001-0086-7011 BL-XL</t>
        </is>
      </c>
      <c r="D39" t="inlineStr">
        <is>
          <t>01-001-0086-7011</t>
        </is>
      </c>
      <c r="E39" t="inlineStr">
        <is>
          <t>Roper</t>
        </is>
      </c>
      <c r="F39" t="inlineStr">
        <is>
          <t>ROPER Shirt Black/Grey Floral</t>
        </is>
      </c>
      <c r="G39" t="inlineStr">
        <is>
          <t>XL</t>
        </is>
      </c>
      <c r="H39" t="inlineStr">
        <is>
          <t>Negro</t>
        </is>
      </c>
      <c r="I39" t="inlineStr">
        <is>
          <t>Ropa</t>
        </is>
      </c>
      <c r="J39" t="inlineStr">
        <is>
          <t>Camisas</t>
        </is>
      </c>
      <c r="K39" t="inlineStr">
        <is>
          <t>Hombre</t>
        </is>
      </c>
      <c r="L39" t="inlineStr">
        <is>
          <t>PZS</t>
        </is>
      </c>
      <c r="M39" s="186" t="n">
        <v>28.13</v>
      </c>
      <c r="N39" s="186" t="n">
        <v>759</v>
      </c>
      <c r="O39" t="n">
        <v>0</v>
      </c>
      <c r="X39">
        <f>O39-W39</f>
        <v/>
      </c>
      <c r="Y39" t="n">
        <v>1</v>
      </c>
      <c r="AB39" s="186">
        <f>IFERROR(O39*M39,0)</f>
        <v/>
      </c>
      <c r="AC39" s="186">
        <f>IFERROR(O39*N39,0)</f>
        <v/>
      </c>
      <c r="AD39" t="inlineStr">
        <is>
          <t>Solo en plataformas</t>
        </is>
      </c>
    </row>
    <row r="40">
      <c r="A40" t="inlineStr">
        <is>
          <t>199168042288</t>
        </is>
      </c>
      <c r="C40" t="inlineStr">
        <is>
          <t>01-001-0086-7011 BL-2XL</t>
        </is>
      </c>
      <c r="D40" t="inlineStr">
        <is>
          <t>01-001-0086-7011</t>
        </is>
      </c>
      <c r="E40" t="inlineStr">
        <is>
          <t>Roper</t>
        </is>
      </c>
      <c r="F40" t="inlineStr">
        <is>
          <t>ROPER Shirt Black/Grey Floral</t>
        </is>
      </c>
      <c r="G40" t="inlineStr">
        <is>
          <t>XXL</t>
        </is>
      </c>
      <c r="H40" t="inlineStr">
        <is>
          <t>Negro</t>
        </is>
      </c>
      <c r="I40" t="inlineStr">
        <is>
          <t>Ropa</t>
        </is>
      </c>
      <c r="J40" t="inlineStr">
        <is>
          <t>Camisas</t>
        </is>
      </c>
      <c r="L40" t="inlineStr">
        <is>
          <t>PZS</t>
        </is>
      </c>
      <c r="M40" s="186" t="n">
        <v>28.13</v>
      </c>
      <c r="N40" s="186" t="n">
        <v>759</v>
      </c>
      <c r="O40" t="n">
        <v>0</v>
      </c>
      <c r="X40">
        <f>O40-W40</f>
        <v/>
      </c>
      <c r="Y40" t="n">
        <v>2</v>
      </c>
      <c r="AB40" s="186">
        <f>IFERROR(O40*M40,0)</f>
        <v/>
      </c>
      <c r="AC40" s="186">
        <f>IFERROR(O40*N40,0)</f>
        <v/>
      </c>
      <c r="AD40" t="inlineStr">
        <is>
          <t>Solo en plataformas</t>
        </is>
      </c>
    </row>
    <row r="41">
      <c r="A41" t="inlineStr">
        <is>
          <t>199168042660</t>
        </is>
      </c>
      <c r="C41" t="inlineStr">
        <is>
          <t>01-001-0101-7003 BR-L</t>
        </is>
      </c>
      <c r="D41" t="inlineStr">
        <is>
          <t>01-001-0101-7003</t>
        </is>
      </c>
      <c r="E41" t="inlineStr">
        <is>
          <t>Roper</t>
        </is>
      </c>
      <c r="F41" t="inlineStr">
        <is>
          <t>ROPER Shirt Brown/Black/Tan Plaid</t>
        </is>
      </c>
      <c r="G41" t="inlineStr">
        <is>
          <t>L</t>
        </is>
      </c>
      <c r="H41" t="inlineStr">
        <is>
          <t>Cafe</t>
        </is>
      </c>
      <c r="I41" t="inlineStr">
        <is>
          <t>Ropa</t>
        </is>
      </c>
      <c r="J41" t="inlineStr">
        <is>
          <t>Camisas</t>
        </is>
      </c>
      <c r="L41" t="inlineStr">
        <is>
          <t>PZS</t>
        </is>
      </c>
      <c r="M41" s="186" t="n">
        <v>22.55</v>
      </c>
      <c r="N41" s="186" t="n">
        <v>629</v>
      </c>
      <c r="O41" t="n">
        <v>0</v>
      </c>
      <c r="X41">
        <f>O41-W41</f>
        <v/>
      </c>
      <c r="Y41" t="n">
        <v>8</v>
      </c>
      <c r="AB41" s="186">
        <f>IFERROR(O41*M41,0)</f>
        <v/>
      </c>
      <c r="AC41" s="186">
        <f>IFERROR(O41*N41,0)</f>
        <v/>
      </c>
      <c r="AD41" t="inlineStr">
        <is>
          <t>Solo en plataformas</t>
        </is>
      </c>
    </row>
    <row r="42">
      <c r="A42" t="inlineStr">
        <is>
          <t>199168042677</t>
        </is>
      </c>
      <c r="C42" t="inlineStr">
        <is>
          <t>01-001-0101-7003 BR-M</t>
        </is>
      </c>
      <c r="D42" t="inlineStr">
        <is>
          <t>01-001-0101-7003</t>
        </is>
      </c>
      <c r="E42" t="inlineStr">
        <is>
          <t>Roper</t>
        </is>
      </c>
      <c r="F42" t="inlineStr">
        <is>
          <t>ROPER Shirt Brown/Black/Tan Plaid</t>
        </is>
      </c>
      <c r="G42" t="inlineStr">
        <is>
          <t>M</t>
        </is>
      </c>
      <c r="H42" t="inlineStr">
        <is>
          <t>Cafe</t>
        </is>
      </c>
      <c r="I42" t="inlineStr">
        <is>
          <t>Ropa</t>
        </is>
      </c>
      <c r="J42" t="inlineStr">
        <is>
          <t>Camisas</t>
        </is>
      </c>
      <c r="L42" t="inlineStr">
        <is>
          <t>PZS</t>
        </is>
      </c>
      <c r="M42" s="186" t="n">
        <v>22.55</v>
      </c>
      <c r="N42" s="186" t="n">
        <v>629</v>
      </c>
      <c r="O42" t="n">
        <v>0</v>
      </c>
      <c r="X42">
        <f>O42-W42</f>
        <v/>
      </c>
      <c r="Y42" t="n">
        <v>8</v>
      </c>
      <c r="AB42" s="186">
        <f>IFERROR(O42*M42,0)</f>
        <v/>
      </c>
      <c r="AC42" s="186">
        <f>IFERROR(O42*N42,0)</f>
        <v/>
      </c>
      <c r="AD42" t="inlineStr">
        <is>
          <t>Solo en plataformas</t>
        </is>
      </c>
    </row>
    <row r="43">
      <c r="A43" t="inlineStr">
        <is>
          <t>199168042684</t>
        </is>
      </c>
      <c r="C43" t="inlineStr">
        <is>
          <t>01-001-0101-7003 BR-S</t>
        </is>
      </c>
      <c r="D43" t="inlineStr">
        <is>
          <t>01-001-0101-7003</t>
        </is>
      </c>
      <c r="E43" t="inlineStr">
        <is>
          <t>Roper</t>
        </is>
      </c>
      <c r="F43" t="inlineStr">
        <is>
          <t>ROPER Shirt Brown/Black/Tan Plaid</t>
        </is>
      </c>
      <c r="G43" t="inlineStr">
        <is>
          <t>S</t>
        </is>
      </c>
      <c r="H43" t="inlineStr">
        <is>
          <t>Cafe</t>
        </is>
      </c>
      <c r="I43" t="inlineStr">
        <is>
          <t>Ropa</t>
        </is>
      </c>
      <c r="J43" t="inlineStr">
        <is>
          <t>Camisas</t>
        </is>
      </c>
      <c r="L43" t="inlineStr">
        <is>
          <t>PZS</t>
        </is>
      </c>
      <c r="M43" s="186" t="n">
        <v>22.55</v>
      </c>
      <c r="N43" s="186" t="n">
        <v>629</v>
      </c>
      <c r="O43" t="n">
        <v>0</v>
      </c>
      <c r="X43">
        <f>O43-W43</f>
        <v/>
      </c>
      <c r="Y43" t="n">
        <v>5</v>
      </c>
      <c r="AB43" s="186">
        <f>IFERROR(O43*M43,0)</f>
        <v/>
      </c>
      <c r="AC43" s="186">
        <f>IFERROR(O43*N43,0)</f>
        <v/>
      </c>
      <c r="AD43" t="inlineStr">
        <is>
          <t>Solo en plataformas</t>
        </is>
      </c>
    </row>
    <row r="44">
      <c r="A44" t="inlineStr">
        <is>
          <t>199168042691</t>
        </is>
      </c>
      <c r="C44" t="inlineStr">
        <is>
          <t>01-001-0101-7003 BR-XL</t>
        </is>
      </c>
      <c r="D44" t="inlineStr">
        <is>
          <t>01-001-0101-7003</t>
        </is>
      </c>
      <c r="E44" t="inlineStr">
        <is>
          <t>Roper</t>
        </is>
      </c>
      <c r="F44" t="inlineStr">
        <is>
          <t>ROPER Shirt Brown/Black/Tan Plaid</t>
        </is>
      </c>
      <c r="G44" t="inlineStr">
        <is>
          <t>XL</t>
        </is>
      </c>
      <c r="H44" t="inlineStr">
        <is>
          <t>Cafe</t>
        </is>
      </c>
      <c r="I44" t="inlineStr">
        <is>
          <t>Ropa</t>
        </is>
      </c>
      <c r="J44" t="inlineStr">
        <is>
          <t>Camisas</t>
        </is>
      </c>
      <c r="L44" t="inlineStr">
        <is>
          <t>PZS</t>
        </is>
      </c>
      <c r="M44" s="186" t="n">
        <v>22.55</v>
      </c>
      <c r="N44" s="186" t="n">
        <v>629</v>
      </c>
      <c r="O44" t="n">
        <v>0</v>
      </c>
      <c r="X44">
        <f>O44-W44</f>
        <v/>
      </c>
      <c r="Y44" t="n">
        <v>8</v>
      </c>
      <c r="AB44" s="186">
        <f>IFERROR(O44*M44,0)</f>
        <v/>
      </c>
      <c r="AC44" s="186">
        <f>IFERROR(O44*N44,0)</f>
        <v/>
      </c>
      <c r="AD44" t="inlineStr">
        <is>
          <t>Solo en plataformas</t>
        </is>
      </c>
    </row>
    <row r="45">
      <c r="A45" t="inlineStr">
        <is>
          <t>199168042707</t>
        </is>
      </c>
      <c r="C45" t="inlineStr">
        <is>
          <t>01-001-0101-7003 BR-2XL</t>
        </is>
      </c>
      <c r="D45" t="inlineStr">
        <is>
          <t>01-001-0101-7003</t>
        </is>
      </c>
      <c r="E45" t="inlineStr">
        <is>
          <t>Roper</t>
        </is>
      </c>
      <c r="F45" t="inlineStr">
        <is>
          <t>ROPER Shirt Brown/Black/Tan Plaid</t>
        </is>
      </c>
      <c r="G45" t="inlineStr">
        <is>
          <t>XXL</t>
        </is>
      </c>
      <c r="H45" t="inlineStr">
        <is>
          <t>Cafe</t>
        </is>
      </c>
      <c r="I45" t="inlineStr">
        <is>
          <t>Ropa</t>
        </is>
      </c>
      <c r="J45" t="inlineStr">
        <is>
          <t>Camisas</t>
        </is>
      </c>
      <c r="L45" t="inlineStr">
        <is>
          <t>PZS</t>
        </is>
      </c>
      <c r="M45" s="186" t="n">
        <v>22.55</v>
      </c>
      <c r="N45" s="186" t="n">
        <v>629</v>
      </c>
      <c r="O45" t="n">
        <v>0</v>
      </c>
      <c r="X45">
        <f>O45-W45</f>
        <v/>
      </c>
      <c r="Y45" t="n">
        <v>2</v>
      </c>
      <c r="AB45" s="186">
        <f>IFERROR(O45*M45,0)</f>
        <v/>
      </c>
      <c r="AC45" s="186">
        <f>IFERROR(O45*N45,0)</f>
        <v/>
      </c>
      <c r="AD45" t="inlineStr">
        <is>
          <t>Solo en plataformas</t>
        </is>
      </c>
    </row>
    <row r="46">
      <c r="A46" t="inlineStr">
        <is>
          <t>199168042905</t>
        </is>
      </c>
      <c r="C46" t="inlineStr">
        <is>
          <t>01-001-0101-7007 BU-L</t>
        </is>
      </c>
      <c r="D46" t="inlineStr">
        <is>
          <t>01-001-0101-7007</t>
        </is>
      </c>
      <c r="E46" t="inlineStr">
        <is>
          <t>Roper</t>
        </is>
      </c>
      <c r="F46" t="inlineStr">
        <is>
          <t>ROPER Shirt Tq/Cobalt/Chocolate Plaid</t>
        </is>
      </c>
      <c r="G46" t="inlineStr">
        <is>
          <t>L</t>
        </is>
      </c>
      <c r="H46" t="inlineStr">
        <is>
          <t>Cafe</t>
        </is>
      </c>
      <c r="I46" t="inlineStr">
        <is>
          <t>Ropa</t>
        </is>
      </c>
      <c r="J46" t="inlineStr">
        <is>
          <t>Camisas</t>
        </is>
      </c>
      <c r="L46" t="inlineStr">
        <is>
          <t>PZS</t>
        </is>
      </c>
      <c r="M46" s="186" t="n">
        <v>22.55</v>
      </c>
      <c r="N46" s="186" t="n">
        <v>629</v>
      </c>
      <c r="O46" t="n">
        <v>0</v>
      </c>
      <c r="X46">
        <f>O46-W46</f>
        <v/>
      </c>
      <c r="Y46" t="n">
        <v>11</v>
      </c>
      <c r="AB46" s="186">
        <f>IFERROR(O46*M46,0)</f>
        <v/>
      </c>
      <c r="AC46" s="186">
        <f>IFERROR(O46*N46,0)</f>
        <v/>
      </c>
      <c r="AD46" t="inlineStr">
        <is>
          <t>Solo en plataformas</t>
        </is>
      </c>
    </row>
    <row r="47">
      <c r="A47" t="inlineStr">
        <is>
          <t>199168042912</t>
        </is>
      </c>
      <c r="C47" t="inlineStr">
        <is>
          <t>01-001-0101-7007 BU-M</t>
        </is>
      </c>
      <c r="D47" t="inlineStr">
        <is>
          <t>01-001-0101-7007</t>
        </is>
      </c>
      <c r="E47" t="inlineStr">
        <is>
          <t>Roper</t>
        </is>
      </c>
      <c r="F47" t="inlineStr">
        <is>
          <t>ROPER Shirt Tq/Cobalt/Chocolate Plaid</t>
        </is>
      </c>
      <c r="G47" t="inlineStr">
        <is>
          <t>M</t>
        </is>
      </c>
      <c r="H47" t="inlineStr">
        <is>
          <t>Cafe</t>
        </is>
      </c>
      <c r="I47" t="inlineStr">
        <is>
          <t>Ropa</t>
        </is>
      </c>
      <c r="J47" t="inlineStr">
        <is>
          <t>Camisas</t>
        </is>
      </c>
      <c r="L47" t="inlineStr">
        <is>
          <t>PZS</t>
        </is>
      </c>
      <c r="M47" s="186" t="n">
        <v>22.55</v>
      </c>
      <c r="N47" s="186" t="n">
        <v>629</v>
      </c>
      <c r="O47" t="n">
        <v>0</v>
      </c>
      <c r="X47">
        <f>O47-W47</f>
        <v/>
      </c>
      <c r="Y47" t="n">
        <v>12</v>
      </c>
      <c r="AB47" s="186">
        <f>IFERROR(O47*M47,0)</f>
        <v/>
      </c>
      <c r="AC47" s="186">
        <f>IFERROR(O47*N47,0)</f>
        <v/>
      </c>
      <c r="AD47" t="inlineStr">
        <is>
          <t>Solo en plataformas</t>
        </is>
      </c>
    </row>
    <row r="48">
      <c r="A48" t="inlineStr">
        <is>
          <t>199168042929</t>
        </is>
      </c>
      <c r="C48" t="inlineStr">
        <is>
          <t>01-001-0101-7007 BU-S</t>
        </is>
      </c>
      <c r="D48" t="inlineStr">
        <is>
          <t>01-001-0101-7007</t>
        </is>
      </c>
      <c r="E48" t="inlineStr">
        <is>
          <t>Roper</t>
        </is>
      </c>
      <c r="F48" t="inlineStr">
        <is>
          <t>ROPER Shirt Tq/Cobalt/Chocolate Plaid</t>
        </is>
      </c>
      <c r="G48" t="inlineStr">
        <is>
          <t>S</t>
        </is>
      </c>
      <c r="H48" t="inlineStr">
        <is>
          <t>Cafe</t>
        </is>
      </c>
      <c r="I48" t="inlineStr">
        <is>
          <t>Ropa</t>
        </is>
      </c>
      <c r="J48" t="inlineStr">
        <is>
          <t>Camisas</t>
        </is>
      </c>
      <c r="L48" t="inlineStr">
        <is>
          <t>PZS</t>
        </is>
      </c>
      <c r="M48" s="186" t="n">
        <v>22.55</v>
      </c>
      <c r="N48" s="186" t="n">
        <v>629</v>
      </c>
      <c r="O48" t="n">
        <v>0</v>
      </c>
      <c r="X48">
        <f>O48-W48</f>
        <v/>
      </c>
      <c r="Y48" t="n">
        <v>13</v>
      </c>
      <c r="AB48" s="186">
        <f>IFERROR(O48*M48,0)</f>
        <v/>
      </c>
      <c r="AC48" s="186">
        <f>IFERROR(O48*N48,0)</f>
        <v/>
      </c>
      <c r="AD48" t="inlineStr">
        <is>
          <t>Solo en plataformas</t>
        </is>
      </c>
    </row>
    <row r="49">
      <c r="A49" t="inlineStr">
        <is>
          <t>199168042936</t>
        </is>
      </c>
      <c r="C49" t="inlineStr">
        <is>
          <t>01-001-0101-7007 BU-XL</t>
        </is>
      </c>
      <c r="D49" t="inlineStr">
        <is>
          <t>01-001-0101-7007</t>
        </is>
      </c>
      <c r="E49" t="inlineStr">
        <is>
          <t>Roper</t>
        </is>
      </c>
      <c r="F49" t="inlineStr">
        <is>
          <t>ROPER Shirt Tq/Cobalt/Chocolate Plaid</t>
        </is>
      </c>
      <c r="G49" t="inlineStr">
        <is>
          <t>XL</t>
        </is>
      </c>
      <c r="H49" t="inlineStr">
        <is>
          <t>Cafe</t>
        </is>
      </c>
      <c r="I49" t="inlineStr">
        <is>
          <t>Ropa</t>
        </is>
      </c>
      <c r="J49" t="inlineStr">
        <is>
          <t>Camisas</t>
        </is>
      </c>
      <c r="L49" t="inlineStr">
        <is>
          <t>PZS</t>
        </is>
      </c>
      <c r="M49" s="186" t="n">
        <v>22.55</v>
      </c>
      <c r="N49" s="186" t="n">
        <v>629</v>
      </c>
      <c r="O49" t="n">
        <v>0</v>
      </c>
      <c r="X49">
        <f>O49-W49</f>
        <v/>
      </c>
      <c r="Y49" t="n">
        <v>12</v>
      </c>
      <c r="AB49" s="186">
        <f>IFERROR(O49*M49,0)</f>
        <v/>
      </c>
      <c r="AC49" s="186">
        <f>IFERROR(O49*N49,0)</f>
        <v/>
      </c>
      <c r="AD49" t="inlineStr">
        <is>
          <t>Solo en plataformas</t>
        </is>
      </c>
    </row>
    <row r="50">
      <c r="A50" t="inlineStr">
        <is>
          <t>199168042943</t>
        </is>
      </c>
      <c r="C50" t="inlineStr">
        <is>
          <t>01-001-0101-7007 BU-2XL</t>
        </is>
      </c>
      <c r="D50" t="inlineStr">
        <is>
          <t>01-001-0101-7007</t>
        </is>
      </c>
      <c r="E50" t="inlineStr">
        <is>
          <t>Roper</t>
        </is>
      </c>
      <c r="F50" t="inlineStr">
        <is>
          <t>ROPER Shirt Tq/Cobalt/Chocolate Plaid</t>
        </is>
      </c>
      <c r="G50" t="inlineStr">
        <is>
          <t>XXL</t>
        </is>
      </c>
      <c r="H50" t="inlineStr">
        <is>
          <t>Cafe</t>
        </is>
      </c>
      <c r="I50" t="inlineStr">
        <is>
          <t>Ropa</t>
        </is>
      </c>
      <c r="J50" t="inlineStr">
        <is>
          <t>Camisas</t>
        </is>
      </c>
      <c r="L50" t="inlineStr">
        <is>
          <t>PZS</t>
        </is>
      </c>
      <c r="M50" s="186" t="n">
        <v>22.55</v>
      </c>
      <c r="N50" s="186" t="n">
        <v>629</v>
      </c>
      <c r="O50" t="n">
        <v>0</v>
      </c>
      <c r="X50">
        <f>O50-W50</f>
        <v/>
      </c>
      <c r="Y50" t="n">
        <v>6</v>
      </c>
      <c r="AB50" s="186">
        <f>IFERROR(O50*M50,0)</f>
        <v/>
      </c>
      <c r="AC50" s="186">
        <f>IFERROR(O50*N50,0)</f>
        <v/>
      </c>
      <c r="AD50" t="inlineStr">
        <is>
          <t>Solo en plataformas</t>
        </is>
      </c>
    </row>
    <row r="51">
      <c r="A51" t="inlineStr">
        <is>
          <t>199168044138</t>
        </is>
      </c>
      <c r="C51" t="inlineStr">
        <is>
          <t>01-050-0016-7004 BL-L</t>
        </is>
      </c>
      <c r="D51" t="inlineStr">
        <is>
          <t>01-050-0016-7004</t>
        </is>
      </c>
      <c r="E51" t="inlineStr">
        <is>
          <t>Roper</t>
        </is>
      </c>
      <c r="F51" t="inlineStr">
        <is>
          <t>ROPER Shirt Bl/Wh/Re Plaid</t>
        </is>
      </c>
      <c r="G51" t="inlineStr">
        <is>
          <t>L</t>
        </is>
      </c>
      <c r="I51" t="inlineStr">
        <is>
          <t>Ropa</t>
        </is>
      </c>
      <c r="J51" t="inlineStr">
        <is>
          <t>Camisas</t>
        </is>
      </c>
      <c r="L51" t="inlineStr">
        <is>
          <t>PZS</t>
        </is>
      </c>
      <c r="M51" s="186" t="n">
        <v>32.09</v>
      </c>
      <c r="N51" s="186" t="n">
        <v>859</v>
      </c>
      <c r="O51" t="n">
        <v>0</v>
      </c>
      <c r="X51">
        <f>O51-W51</f>
        <v/>
      </c>
      <c r="Y51" t="n">
        <v>13</v>
      </c>
      <c r="AB51" s="186">
        <f>IFERROR(O51*M51,0)</f>
        <v/>
      </c>
      <c r="AC51" s="186">
        <f>IFERROR(O51*N51,0)</f>
        <v/>
      </c>
      <c r="AD51" t="inlineStr">
        <is>
          <t>Solo en plataformas</t>
        </is>
      </c>
    </row>
    <row r="52">
      <c r="A52" t="inlineStr">
        <is>
          <t>199168044145</t>
        </is>
      </c>
      <c r="C52" t="inlineStr">
        <is>
          <t>01-050-0016-7004 BL-M</t>
        </is>
      </c>
      <c r="D52" t="inlineStr">
        <is>
          <t>01-050-0016-7004</t>
        </is>
      </c>
      <c r="E52" t="inlineStr">
        <is>
          <t>Roper</t>
        </is>
      </c>
      <c r="F52" t="inlineStr">
        <is>
          <t>ROPER Shirt Bl/Wh/Re Plaid</t>
        </is>
      </c>
      <c r="G52" t="inlineStr">
        <is>
          <t>M</t>
        </is>
      </c>
      <c r="I52" t="inlineStr">
        <is>
          <t>Ropa</t>
        </is>
      </c>
      <c r="J52" t="inlineStr">
        <is>
          <t>Camisas</t>
        </is>
      </c>
      <c r="L52" t="inlineStr">
        <is>
          <t>PZS</t>
        </is>
      </c>
      <c r="M52" s="186" t="n">
        <v>32.09</v>
      </c>
      <c r="N52" s="186" t="n">
        <v>859</v>
      </c>
      <c r="O52" t="n">
        <v>0</v>
      </c>
      <c r="X52">
        <f>O52-W52</f>
        <v/>
      </c>
      <c r="Y52" t="n">
        <v>12</v>
      </c>
      <c r="AB52" s="186">
        <f>IFERROR(O52*M52,0)</f>
        <v/>
      </c>
      <c r="AC52" s="186">
        <f>IFERROR(O52*N52,0)</f>
        <v/>
      </c>
      <c r="AD52" t="inlineStr">
        <is>
          <t>Solo en plataformas</t>
        </is>
      </c>
    </row>
    <row r="53">
      <c r="A53" t="inlineStr">
        <is>
          <t>199168044152</t>
        </is>
      </c>
      <c r="C53" t="inlineStr">
        <is>
          <t>01-050-0016-7004 BL-S</t>
        </is>
      </c>
      <c r="D53" t="inlineStr">
        <is>
          <t>01-050-0016-7004</t>
        </is>
      </c>
      <c r="E53" t="inlineStr">
        <is>
          <t>Roper</t>
        </is>
      </c>
      <c r="F53" t="inlineStr">
        <is>
          <t>ROPER Shirt Bl/Wh/Re Plaid</t>
        </is>
      </c>
      <c r="G53" t="inlineStr">
        <is>
          <t>S</t>
        </is>
      </c>
      <c r="I53" t="inlineStr">
        <is>
          <t>Ropa</t>
        </is>
      </c>
      <c r="J53" t="inlineStr">
        <is>
          <t>Camisas</t>
        </is>
      </c>
      <c r="L53" t="inlineStr">
        <is>
          <t>PZS</t>
        </is>
      </c>
      <c r="M53" s="186" t="n">
        <v>32.09</v>
      </c>
      <c r="N53" s="186" t="n">
        <v>859</v>
      </c>
      <c r="O53" t="n">
        <v>0</v>
      </c>
      <c r="X53">
        <f>O53-W53</f>
        <v/>
      </c>
      <c r="Y53" t="n">
        <v>10</v>
      </c>
      <c r="AB53" s="186">
        <f>IFERROR(O53*M53,0)</f>
        <v/>
      </c>
      <c r="AC53" s="186">
        <f>IFERROR(O53*N53,0)</f>
        <v/>
      </c>
      <c r="AD53" t="inlineStr">
        <is>
          <t>Solo en plataformas</t>
        </is>
      </c>
    </row>
    <row r="54">
      <c r="A54" t="inlineStr">
        <is>
          <t>199168044169</t>
        </is>
      </c>
      <c r="C54" t="inlineStr">
        <is>
          <t>01-050-0016-7004 BL-XL</t>
        </is>
      </c>
      <c r="D54" t="inlineStr">
        <is>
          <t>01-050-0016-7004</t>
        </is>
      </c>
      <c r="E54" t="inlineStr">
        <is>
          <t>Roper</t>
        </is>
      </c>
      <c r="F54" t="inlineStr">
        <is>
          <t>ROPER Shirt Bl/Wh/Re Plaid</t>
        </is>
      </c>
      <c r="G54" t="inlineStr">
        <is>
          <t>XL</t>
        </is>
      </c>
      <c r="I54" t="inlineStr">
        <is>
          <t>Ropa</t>
        </is>
      </c>
      <c r="J54" t="inlineStr">
        <is>
          <t>Camisas</t>
        </is>
      </c>
      <c r="L54" t="inlineStr">
        <is>
          <t>PZS</t>
        </is>
      </c>
      <c r="M54" s="186" t="n">
        <v>32.09</v>
      </c>
      <c r="N54" s="186" t="n">
        <v>859</v>
      </c>
      <c r="O54" t="n">
        <v>0</v>
      </c>
      <c r="X54">
        <f>O54-W54</f>
        <v/>
      </c>
      <c r="Y54" t="n">
        <v>17</v>
      </c>
      <c r="AB54" s="186">
        <f>IFERROR(O54*M54,0)</f>
        <v/>
      </c>
      <c r="AC54" s="186">
        <f>IFERROR(O54*N54,0)</f>
        <v/>
      </c>
      <c r="AD54" t="inlineStr">
        <is>
          <t>Solo en plataformas</t>
        </is>
      </c>
    </row>
    <row r="55">
      <c r="A55" t="inlineStr">
        <is>
          <t>199168044237</t>
        </is>
      </c>
      <c r="C55" t="inlineStr">
        <is>
          <t>01-050-0016-7005 BR-1XL</t>
        </is>
      </c>
      <c r="D55" t="inlineStr">
        <is>
          <t>01-050-0016-7005</t>
        </is>
      </c>
      <c r="E55" t="inlineStr">
        <is>
          <t>Roper</t>
        </is>
      </c>
      <c r="F55" t="inlineStr">
        <is>
          <t>ROPER Shirt BrGy//Peri Plaid</t>
        </is>
      </c>
      <c r="I55" t="inlineStr">
        <is>
          <t>Ropa</t>
        </is>
      </c>
      <c r="J55" t="inlineStr">
        <is>
          <t>Camisas</t>
        </is>
      </c>
      <c r="L55" t="inlineStr">
        <is>
          <t>PZS</t>
        </is>
      </c>
      <c r="M55" s="186" t="n">
        <v>32.09</v>
      </c>
      <c r="N55" s="186" t="n">
        <v>859</v>
      </c>
      <c r="O55" t="n">
        <v>0</v>
      </c>
      <c r="X55">
        <f>O55-W55</f>
        <v/>
      </c>
      <c r="Y55" t="n">
        <v>2</v>
      </c>
      <c r="AB55" s="186">
        <f>IFERROR(O55*M55,0)</f>
        <v/>
      </c>
      <c r="AC55" s="186">
        <f>IFERROR(O55*N55,0)</f>
        <v/>
      </c>
      <c r="AD55" t="inlineStr">
        <is>
          <t>Solo en plataformas</t>
        </is>
      </c>
    </row>
    <row r="56">
      <c r="A56" t="inlineStr">
        <is>
          <t>199168044183</t>
        </is>
      </c>
      <c r="C56" t="inlineStr">
        <is>
          <t>01-050-0016-7005 BR-L</t>
        </is>
      </c>
      <c r="D56" t="inlineStr">
        <is>
          <t>01-050-0016-7005</t>
        </is>
      </c>
      <c r="E56" t="inlineStr">
        <is>
          <t>Roper</t>
        </is>
      </c>
      <c r="F56" t="inlineStr">
        <is>
          <t>ROPER Shirt BrGy//Peri Plaid</t>
        </is>
      </c>
      <c r="G56" t="inlineStr">
        <is>
          <t>L</t>
        </is>
      </c>
      <c r="I56" t="inlineStr">
        <is>
          <t>Ropa</t>
        </is>
      </c>
      <c r="J56" t="inlineStr">
        <is>
          <t>Camisas</t>
        </is>
      </c>
      <c r="L56" t="inlineStr">
        <is>
          <t>PZS</t>
        </is>
      </c>
      <c r="M56" s="186" t="n">
        <v>32.09</v>
      </c>
      <c r="N56" s="186" t="n">
        <v>859</v>
      </c>
      <c r="O56" t="n">
        <v>0</v>
      </c>
      <c r="X56">
        <f>O56-W56</f>
        <v/>
      </c>
      <c r="Y56" t="n">
        <v>1</v>
      </c>
      <c r="AB56" s="186">
        <f>IFERROR(O56*M56,0)</f>
        <v/>
      </c>
      <c r="AC56" s="186">
        <f>IFERROR(O56*N56,0)</f>
        <v/>
      </c>
      <c r="AD56" t="inlineStr">
        <is>
          <t>Solo en plataformas</t>
        </is>
      </c>
    </row>
    <row r="57">
      <c r="C57" t="inlineStr">
        <is>
          <t>01-050-0016-7005 BR-2XL</t>
        </is>
      </c>
      <c r="D57" t="inlineStr">
        <is>
          <t>01-050-0016-7005</t>
        </is>
      </c>
      <c r="E57" t="inlineStr">
        <is>
          <t>Roper</t>
        </is>
      </c>
      <c r="F57" t="inlineStr">
        <is>
          <t>ROPER Shirt BrGy//Peri Plaid</t>
        </is>
      </c>
      <c r="G57" t="inlineStr">
        <is>
          <t>XXL</t>
        </is>
      </c>
      <c r="I57" t="inlineStr">
        <is>
          <t>Ropa</t>
        </is>
      </c>
      <c r="J57" t="inlineStr">
        <is>
          <t>Camisas</t>
        </is>
      </c>
      <c r="L57" t="inlineStr">
        <is>
          <t>PZS</t>
        </is>
      </c>
      <c r="M57" s="186" t="n">
        <v>32.09</v>
      </c>
      <c r="N57" s="186" t="n">
        <v>859</v>
      </c>
      <c r="O57" t="n">
        <v>0</v>
      </c>
      <c r="X57">
        <f>O57-W57</f>
        <v/>
      </c>
      <c r="Y57" t="n">
        <v>1</v>
      </c>
      <c r="AB57" s="186">
        <f>IFERROR(O57*M57,0)</f>
        <v/>
      </c>
      <c r="AC57" s="186">
        <f>IFERROR(O57*N57,0)</f>
        <v/>
      </c>
      <c r="AD57" t="inlineStr">
        <is>
          <t>Solo en plataformas</t>
        </is>
      </c>
    </row>
    <row r="58">
      <c r="A58" t="inlineStr">
        <is>
          <t>199168044312</t>
        </is>
      </c>
      <c r="C58" t="inlineStr">
        <is>
          <t>01-050-0017-7018 BR-1XL</t>
        </is>
      </c>
      <c r="D58" t="inlineStr">
        <is>
          <t>01-050-0017-7018</t>
        </is>
      </c>
      <c r="E58" t="inlineStr">
        <is>
          <t>Roper</t>
        </is>
      </c>
      <c r="F58" t="inlineStr">
        <is>
          <t>ROPER Chocolate Solid Poplin</t>
        </is>
      </c>
      <c r="H58" t="inlineStr">
        <is>
          <t>Cafe</t>
        </is>
      </c>
      <c r="I58" t="inlineStr">
        <is>
          <t>Ropa</t>
        </is>
      </c>
      <c r="J58" t="inlineStr">
        <is>
          <t>Camisas</t>
        </is>
      </c>
      <c r="L58" t="inlineStr">
        <is>
          <t>PZS</t>
        </is>
      </c>
      <c r="M58" s="186" t="n">
        <v>32.55</v>
      </c>
      <c r="N58" s="186" t="n">
        <v>869</v>
      </c>
      <c r="O58" t="n">
        <v>0</v>
      </c>
      <c r="X58">
        <f>O58-W58</f>
        <v/>
      </c>
      <c r="Y58" t="n">
        <v>3</v>
      </c>
      <c r="AB58" s="186">
        <f>IFERROR(O58*M58,0)</f>
        <v/>
      </c>
      <c r="AC58" s="186">
        <f>IFERROR(O58*N58,0)</f>
        <v/>
      </c>
      <c r="AD58" t="inlineStr">
        <is>
          <t>Solo en plataformas</t>
        </is>
      </c>
    </row>
    <row r="59">
      <c r="A59" t="inlineStr">
        <is>
          <t>199168044268</t>
        </is>
      </c>
      <c r="C59" t="inlineStr">
        <is>
          <t>01-050-0017-7018 BR-L</t>
        </is>
      </c>
      <c r="D59" t="inlineStr">
        <is>
          <t>01-050-0017-7018</t>
        </is>
      </c>
      <c r="E59" t="inlineStr">
        <is>
          <t>Roper</t>
        </is>
      </c>
      <c r="F59" t="inlineStr">
        <is>
          <t>ROPER Shirt Chocolate Solid Poplin</t>
        </is>
      </c>
      <c r="G59" t="inlineStr">
        <is>
          <t>L</t>
        </is>
      </c>
      <c r="H59" t="inlineStr">
        <is>
          <t>Cafe</t>
        </is>
      </c>
      <c r="I59" t="inlineStr">
        <is>
          <t>Ropa</t>
        </is>
      </c>
      <c r="J59" t="inlineStr">
        <is>
          <t>Camisas</t>
        </is>
      </c>
      <c r="L59" t="inlineStr">
        <is>
          <t>PZS</t>
        </is>
      </c>
      <c r="M59" s="186" t="n">
        <v>32.55</v>
      </c>
      <c r="N59" s="186" t="n">
        <v>869</v>
      </c>
      <c r="O59" t="n">
        <v>0</v>
      </c>
      <c r="X59">
        <f>O59-W59</f>
        <v/>
      </c>
      <c r="Y59" t="n">
        <v>8</v>
      </c>
      <c r="AB59" s="186">
        <f>IFERROR(O59*M59,0)</f>
        <v/>
      </c>
      <c r="AC59" s="186">
        <f>IFERROR(O59*N59,0)</f>
        <v/>
      </c>
      <c r="AD59" t="inlineStr">
        <is>
          <t>Solo en plataformas</t>
        </is>
      </c>
    </row>
    <row r="60">
      <c r="A60" t="inlineStr">
        <is>
          <t>199168044275</t>
        </is>
      </c>
      <c r="C60" t="inlineStr">
        <is>
          <t>01-050-0017-7018 BR-M</t>
        </is>
      </c>
      <c r="D60" t="inlineStr">
        <is>
          <t>01-050-0017-7018</t>
        </is>
      </c>
      <c r="E60" t="inlineStr">
        <is>
          <t>Roper</t>
        </is>
      </c>
      <c r="F60" t="inlineStr">
        <is>
          <t>ROPER Shirt Chocolate Solid Poplin</t>
        </is>
      </c>
      <c r="G60" t="inlineStr">
        <is>
          <t>M</t>
        </is>
      </c>
      <c r="H60" t="inlineStr">
        <is>
          <t>Cafe</t>
        </is>
      </c>
      <c r="I60" t="inlineStr">
        <is>
          <t>Ropa</t>
        </is>
      </c>
      <c r="J60" t="inlineStr">
        <is>
          <t>Camisas</t>
        </is>
      </c>
      <c r="L60" t="inlineStr">
        <is>
          <t>PZS</t>
        </is>
      </c>
      <c r="M60" s="186" t="n">
        <v>32.55</v>
      </c>
      <c r="N60" s="186" t="n">
        <v>869</v>
      </c>
      <c r="O60" t="n">
        <v>0</v>
      </c>
      <c r="X60">
        <f>O60-W60</f>
        <v/>
      </c>
      <c r="Y60" t="n">
        <v>8</v>
      </c>
      <c r="AB60" s="186">
        <f>IFERROR(O60*M60,0)</f>
        <v/>
      </c>
      <c r="AC60" s="186">
        <f>IFERROR(O60*N60,0)</f>
        <v/>
      </c>
      <c r="AD60" t="inlineStr">
        <is>
          <t>Solo en plataformas</t>
        </is>
      </c>
    </row>
    <row r="61">
      <c r="A61" t="inlineStr">
        <is>
          <t>199168044282</t>
        </is>
      </c>
      <c r="C61" t="inlineStr">
        <is>
          <t>01-050-0017-7018 BR-S</t>
        </is>
      </c>
      <c r="D61" t="inlineStr">
        <is>
          <t>01-050-0017-7018</t>
        </is>
      </c>
      <c r="E61" t="inlineStr">
        <is>
          <t>Roper</t>
        </is>
      </c>
      <c r="F61" t="inlineStr">
        <is>
          <t>ROPER Shirt Chocolate Solid Poplin</t>
        </is>
      </c>
      <c r="G61" t="inlineStr">
        <is>
          <t>S</t>
        </is>
      </c>
      <c r="H61" t="inlineStr">
        <is>
          <t>Cafe</t>
        </is>
      </c>
      <c r="I61" t="inlineStr">
        <is>
          <t>Ropa</t>
        </is>
      </c>
      <c r="J61" t="inlineStr">
        <is>
          <t>Camisas</t>
        </is>
      </c>
      <c r="L61" t="inlineStr">
        <is>
          <t>PZS</t>
        </is>
      </c>
      <c r="M61" s="186" t="n">
        <v>32.55</v>
      </c>
      <c r="N61" s="186" t="n">
        <v>869</v>
      </c>
      <c r="O61" t="n">
        <v>0</v>
      </c>
      <c r="X61">
        <f>O61-W61</f>
        <v/>
      </c>
      <c r="Y61" t="n">
        <v>6</v>
      </c>
      <c r="AB61" s="186">
        <f>IFERROR(O61*M61,0)</f>
        <v/>
      </c>
      <c r="AC61" s="186">
        <f>IFERROR(O61*N61,0)</f>
        <v/>
      </c>
      <c r="AD61" t="inlineStr">
        <is>
          <t>Solo en plataformas</t>
        </is>
      </c>
    </row>
    <row r="62">
      <c r="A62" t="inlineStr">
        <is>
          <t>199168044299</t>
        </is>
      </c>
      <c r="C62" t="inlineStr">
        <is>
          <t>01-050-0017-7018 BR-XL</t>
        </is>
      </c>
      <c r="D62" t="inlineStr">
        <is>
          <t>01-050-0017-7018</t>
        </is>
      </c>
      <c r="E62" t="inlineStr">
        <is>
          <t>Roper</t>
        </is>
      </c>
      <c r="F62" t="inlineStr">
        <is>
          <t>ROPER Shirt Chocolate Solid Poplin</t>
        </is>
      </c>
      <c r="G62" t="inlineStr">
        <is>
          <t>XL</t>
        </is>
      </c>
      <c r="H62" t="inlineStr">
        <is>
          <t>Cafe</t>
        </is>
      </c>
      <c r="I62" t="inlineStr">
        <is>
          <t>Ropa</t>
        </is>
      </c>
      <c r="J62" t="inlineStr">
        <is>
          <t>Camisas</t>
        </is>
      </c>
      <c r="L62" t="inlineStr">
        <is>
          <t>PZS</t>
        </is>
      </c>
      <c r="M62" s="186" t="n">
        <v>32.55</v>
      </c>
      <c r="N62" s="186" t="n">
        <v>869</v>
      </c>
      <c r="O62" t="n">
        <v>0</v>
      </c>
      <c r="X62">
        <f>O62-W62</f>
        <v/>
      </c>
      <c r="Y62" t="n">
        <v>8</v>
      </c>
      <c r="AB62" s="186">
        <f>IFERROR(O62*M62,0)</f>
        <v/>
      </c>
      <c r="AC62" s="186">
        <f>IFERROR(O62*N62,0)</f>
        <v/>
      </c>
      <c r="AD62" t="inlineStr">
        <is>
          <t>Solo en plataformas</t>
        </is>
      </c>
    </row>
    <row r="63">
      <c r="A63" t="inlineStr">
        <is>
          <t>199168044473</t>
        </is>
      </c>
      <c r="C63" t="inlineStr">
        <is>
          <t>01-050-0019-7011 BL-L</t>
        </is>
      </c>
      <c r="D63" t="inlineStr">
        <is>
          <t>01-050-0019-7011</t>
        </is>
      </c>
      <c r="E63" t="inlineStr">
        <is>
          <t>Roper</t>
        </is>
      </c>
      <c r="F63" t="inlineStr">
        <is>
          <t>ROPER Shirt Black &amp; Grey Floral</t>
        </is>
      </c>
      <c r="G63" t="inlineStr">
        <is>
          <t>L</t>
        </is>
      </c>
      <c r="H63" t="inlineStr">
        <is>
          <t>Negro</t>
        </is>
      </c>
      <c r="I63" t="inlineStr">
        <is>
          <t>Ropa</t>
        </is>
      </c>
      <c r="J63" t="inlineStr">
        <is>
          <t>Camisas</t>
        </is>
      </c>
      <c r="L63" t="inlineStr">
        <is>
          <t>PZS</t>
        </is>
      </c>
      <c r="M63" s="186" t="n">
        <v>22.55</v>
      </c>
      <c r="N63" s="186" t="n">
        <v>629</v>
      </c>
      <c r="O63" t="n">
        <v>0</v>
      </c>
      <c r="X63">
        <f>O63-W63</f>
        <v/>
      </c>
      <c r="Y63" t="n">
        <v>7</v>
      </c>
      <c r="AB63" s="186">
        <f>IFERROR(O63*M63,0)</f>
        <v/>
      </c>
      <c r="AC63" s="186">
        <f>IFERROR(O63*N63,0)</f>
        <v/>
      </c>
      <c r="AD63" t="inlineStr">
        <is>
          <t>Solo en plataformas</t>
        </is>
      </c>
    </row>
    <row r="64">
      <c r="A64" t="inlineStr">
        <is>
          <t>199168044480</t>
        </is>
      </c>
      <c r="C64" t="inlineStr">
        <is>
          <t>01-050-0019-7011 BL-M</t>
        </is>
      </c>
      <c r="D64" t="inlineStr">
        <is>
          <t>01-050-0019-7011</t>
        </is>
      </c>
      <c r="E64" t="inlineStr">
        <is>
          <t>Roper</t>
        </is>
      </c>
      <c r="F64" t="inlineStr">
        <is>
          <t>ROPER Shirt Black &amp; Grey Floral</t>
        </is>
      </c>
      <c r="G64" t="inlineStr">
        <is>
          <t>M</t>
        </is>
      </c>
      <c r="H64" t="inlineStr">
        <is>
          <t>Negro</t>
        </is>
      </c>
      <c r="I64" t="inlineStr">
        <is>
          <t>Ropa</t>
        </is>
      </c>
      <c r="J64" t="inlineStr">
        <is>
          <t>Camisas</t>
        </is>
      </c>
      <c r="L64" t="inlineStr">
        <is>
          <t>PZS</t>
        </is>
      </c>
      <c r="M64" s="186" t="n">
        <v>22.55</v>
      </c>
      <c r="N64" s="186" t="n">
        <v>629</v>
      </c>
      <c r="O64" t="n">
        <v>0</v>
      </c>
      <c r="X64">
        <f>O64-W64</f>
        <v/>
      </c>
      <c r="Y64" t="n">
        <v>7</v>
      </c>
      <c r="AB64" s="186">
        <f>IFERROR(O64*M64,0)</f>
        <v/>
      </c>
      <c r="AC64" s="186">
        <f>IFERROR(O64*N64,0)</f>
        <v/>
      </c>
      <c r="AD64" t="inlineStr">
        <is>
          <t>Solo en plataformas</t>
        </is>
      </c>
    </row>
    <row r="65">
      <c r="A65" t="inlineStr">
        <is>
          <t>199168044497</t>
        </is>
      </c>
      <c r="C65" t="inlineStr">
        <is>
          <t>01-050-0019-7011 BL-S</t>
        </is>
      </c>
      <c r="D65" t="inlineStr">
        <is>
          <t>01-050-0019-7011</t>
        </is>
      </c>
      <c r="E65" t="inlineStr">
        <is>
          <t>Roper</t>
        </is>
      </c>
      <c r="F65" t="inlineStr">
        <is>
          <t>ROPER Shirt Black &amp; Grey Floral</t>
        </is>
      </c>
      <c r="G65" t="inlineStr">
        <is>
          <t>S</t>
        </is>
      </c>
      <c r="H65" t="inlineStr">
        <is>
          <t>Negro</t>
        </is>
      </c>
      <c r="I65" t="inlineStr">
        <is>
          <t>Ropa</t>
        </is>
      </c>
      <c r="J65" t="inlineStr">
        <is>
          <t>Camisas</t>
        </is>
      </c>
      <c r="L65" t="inlineStr">
        <is>
          <t>PZS</t>
        </is>
      </c>
      <c r="M65" s="186" t="n">
        <v>22.55</v>
      </c>
      <c r="N65" s="186" t="n">
        <v>629</v>
      </c>
      <c r="O65" t="n">
        <v>0</v>
      </c>
      <c r="X65">
        <f>O65-W65</f>
        <v/>
      </c>
      <c r="Y65" t="n">
        <v>6</v>
      </c>
      <c r="AB65" s="186">
        <f>IFERROR(O65*M65,0)</f>
        <v/>
      </c>
      <c r="AC65" s="186">
        <f>IFERROR(O65*N65,0)</f>
        <v/>
      </c>
      <c r="AD65" t="inlineStr">
        <is>
          <t>Solo en plataformas</t>
        </is>
      </c>
    </row>
    <row r="66">
      <c r="A66" t="inlineStr">
        <is>
          <t>199168044503</t>
        </is>
      </c>
      <c r="C66" t="inlineStr">
        <is>
          <t>01-050-0019-7011 BL-XL</t>
        </is>
      </c>
      <c r="D66" t="inlineStr">
        <is>
          <t>01-050-0019-7011</t>
        </is>
      </c>
      <c r="E66" t="inlineStr">
        <is>
          <t>Roper</t>
        </is>
      </c>
      <c r="F66" t="inlineStr">
        <is>
          <t>ROPER Shirt Black &amp; Grey Floral</t>
        </is>
      </c>
      <c r="G66" t="inlineStr">
        <is>
          <t>XL</t>
        </is>
      </c>
      <c r="H66" t="inlineStr">
        <is>
          <t>Negro</t>
        </is>
      </c>
      <c r="I66" t="inlineStr">
        <is>
          <t>Ropa</t>
        </is>
      </c>
      <c r="J66" t="inlineStr">
        <is>
          <t>Camisas</t>
        </is>
      </c>
      <c r="L66" t="inlineStr">
        <is>
          <t>PZS</t>
        </is>
      </c>
      <c r="M66" s="186" t="n">
        <v>22.55</v>
      </c>
      <c r="N66" s="186" t="n">
        <v>629</v>
      </c>
      <c r="O66" t="n">
        <v>0</v>
      </c>
      <c r="X66">
        <f>O66-W66</f>
        <v/>
      </c>
      <c r="Y66" t="n">
        <v>7</v>
      </c>
      <c r="AB66" s="186">
        <f>IFERROR(O66*M66,0)</f>
        <v/>
      </c>
      <c r="AC66" s="186">
        <f>IFERROR(O66*N66,0)</f>
        <v/>
      </c>
      <c r="AD66" t="inlineStr">
        <is>
          <t>Solo en plataformas</t>
        </is>
      </c>
    </row>
    <row r="67">
      <c r="A67" t="inlineStr">
        <is>
          <t>199168044572</t>
        </is>
      </c>
      <c r="C67" t="inlineStr">
        <is>
          <t>01-050-0024-7008 BL-L</t>
        </is>
      </c>
      <c r="D67" t="inlineStr">
        <is>
          <t>01-050-0024-7008</t>
        </is>
      </c>
      <c r="E67" t="inlineStr">
        <is>
          <t>Roper</t>
        </is>
      </c>
      <c r="F67" t="inlineStr">
        <is>
          <t>ROPER Shirt Bl/Gy/Br Plaid</t>
        </is>
      </c>
      <c r="G67" t="inlineStr">
        <is>
          <t>L</t>
        </is>
      </c>
      <c r="I67" t="inlineStr">
        <is>
          <t>Ropa</t>
        </is>
      </c>
      <c r="J67" t="inlineStr">
        <is>
          <t>Camisas</t>
        </is>
      </c>
      <c r="L67" t="inlineStr">
        <is>
          <t>PZS</t>
        </is>
      </c>
      <c r="M67" s="186" t="n">
        <v>33.48</v>
      </c>
      <c r="N67" s="186" t="n">
        <v>889</v>
      </c>
      <c r="O67" t="n">
        <v>0</v>
      </c>
      <c r="X67">
        <f>O67-W67</f>
        <v/>
      </c>
      <c r="Y67" t="n">
        <v>5</v>
      </c>
      <c r="AB67" s="186">
        <f>IFERROR(O67*M67,0)</f>
        <v/>
      </c>
      <c r="AC67" s="186">
        <f>IFERROR(O67*N67,0)</f>
        <v/>
      </c>
      <c r="AD67" t="inlineStr">
        <is>
          <t>Solo en plataformas</t>
        </is>
      </c>
    </row>
    <row r="68">
      <c r="A68" t="inlineStr">
        <is>
          <t>199168044589</t>
        </is>
      </c>
      <c r="C68" t="inlineStr">
        <is>
          <t>01-050-0024-7008 BL-M</t>
        </is>
      </c>
      <c r="D68" t="inlineStr">
        <is>
          <t>01-050-0024-7008</t>
        </is>
      </c>
      <c r="E68" t="inlineStr">
        <is>
          <t>Roper</t>
        </is>
      </c>
      <c r="F68" t="inlineStr">
        <is>
          <t>ROPER Shirt Bl/Gy/Br Plaid</t>
        </is>
      </c>
      <c r="G68" t="inlineStr">
        <is>
          <t>M</t>
        </is>
      </c>
      <c r="I68" t="inlineStr">
        <is>
          <t>Ropa</t>
        </is>
      </c>
      <c r="J68" t="inlineStr">
        <is>
          <t>Camisas</t>
        </is>
      </c>
      <c r="L68" t="inlineStr">
        <is>
          <t>PZS</t>
        </is>
      </c>
      <c r="M68" s="186" t="n">
        <v>33.48</v>
      </c>
      <c r="N68" s="186" t="n">
        <v>889</v>
      </c>
      <c r="O68" t="n">
        <v>0</v>
      </c>
      <c r="X68">
        <f>O68-W68</f>
        <v/>
      </c>
      <c r="Y68" t="n">
        <v>5</v>
      </c>
      <c r="AB68" s="186">
        <f>IFERROR(O68*M68,0)</f>
        <v/>
      </c>
      <c r="AC68" s="186">
        <f>IFERROR(O68*N68,0)</f>
        <v/>
      </c>
      <c r="AD68" t="inlineStr">
        <is>
          <t>Solo en plataformas</t>
        </is>
      </c>
    </row>
    <row r="69">
      <c r="A69" t="inlineStr">
        <is>
          <t>199168044596</t>
        </is>
      </c>
      <c r="C69" t="inlineStr">
        <is>
          <t>01-050-0024-7008 BL-S</t>
        </is>
      </c>
      <c r="D69" t="inlineStr">
        <is>
          <t>01-050-0024-7008</t>
        </is>
      </c>
      <c r="E69" t="inlineStr">
        <is>
          <t>Roper</t>
        </is>
      </c>
      <c r="F69" t="inlineStr">
        <is>
          <t>ROPER Shirt Bl/Gy/Br Plaid</t>
        </is>
      </c>
      <c r="G69" t="inlineStr">
        <is>
          <t>S</t>
        </is>
      </c>
      <c r="I69" t="inlineStr">
        <is>
          <t>Ropa</t>
        </is>
      </c>
      <c r="J69" t="inlineStr">
        <is>
          <t>Camisas</t>
        </is>
      </c>
      <c r="L69" t="inlineStr">
        <is>
          <t>PZS</t>
        </is>
      </c>
      <c r="M69" s="186" t="n">
        <v>33.48</v>
      </c>
      <c r="N69" s="186" t="n">
        <v>889</v>
      </c>
      <c r="O69" t="n">
        <v>0</v>
      </c>
      <c r="X69">
        <f>O69-W69</f>
        <v/>
      </c>
      <c r="Y69" t="n">
        <v>5</v>
      </c>
      <c r="AB69" s="186">
        <f>IFERROR(O69*M69,0)</f>
        <v/>
      </c>
      <c r="AC69" s="186">
        <f>IFERROR(O69*N69,0)</f>
        <v/>
      </c>
      <c r="AD69" t="inlineStr">
        <is>
          <t>Solo en plataformas</t>
        </is>
      </c>
    </row>
    <row r="70">
      <c r="A70" t="inlineStr">
        <is>
          <t>199168044602</t>
        </is>
      </c>
      <c r="C70" t="inlineStr">
        <is>
          <t>01-050-0024-7008 BL-XL</t>
        </is>
      </c>
      <c r="D70" t="inlineStr">
        <is>
          <t>01-050-0024-7008</t>
        </is>
      </c>
      <c r="E70" t="inlineStr">
        <is>
          <t>Roper</t>
        </is>
      </c>
      <c r="F70" t="inlineStr">
        <is>
          <t>ROPER Shirt Bl/Gy/Br Plaid</t>
        </is>
      </c>
      <c r="G70" t="inlineStr">
        <is>
          <t>XL</t>
        </is>
      </c>
      <c r="I70" t="inlineStr">
        <is>
          <t>Ropa</t>
        </is>
      </c>
      <c r="J70" t="inlineStr">
        <is>
          <t>Camisas</t>
        </is>
      </c>
      <c r="L70" t="inlineStr">
        <is>
          <t>PZS</t>
        </is>
      </c>
      <c r="M70" s="186" t="n">
        <v>33.48</v>
      </c>
      <c r="N70" s="186" t="n">
        <v>889</v>
      </c>
      <c r="O70" t="n">
        <v>0</v>
      </c>
      <c r="X70">
        <f>O70-W70</f>
        <v/>
      </c>
      <c r="Y70" t="n">
        <v>6</v>
      </c>
      <c r="AB70" s="186">
        <f>IFERROR(O70*M70,0)</f>
        <v/>
      </c>
      <c r="AC70" s="186">
        <f>IFERROR(O70*N70,0)</f>
        <v/>
      </c>
      <c r="AD70" t="inlineStr">
        <is>
          <t>Solo en plataformas</t>
        </is>
      </c>
    </row>
    <row r="71">
      <c r="A71" t="inlineStr">
        <is>
          <t>199168044800</t>
        </is>
      </c>
      <c r="C71" t="inlineStr">
        <is>
          <t>01-050-0087-7007 BU-1XL</t>
        </is>
      </c>
      <c r="D71" t="inlineStr">
        <is>
          <t>01-050-0087-7007</t>
        </is>
      </c>
      <c r="E71" t="inlineStr">
        <is>
          <t>Roper</t>
        </is>
      </c>
      <c r="F71" t="inlineStr">
        <is>
          <t>ROPER Shirt Tq/Cobalt/Choc Plaid</t>
        </is>
      </c>
      <c r="I71" t="inlineStr">
        <is>
          <t>Ropa</t>
        </is>
      </c>
      <c r="J71" t="inlineStr">
        <is>
          <t>Camisas</t>
        </is>
      </c>
      <c r="L71" t="inlineStr">
        <is>
          <t>PZS</t>
        </is>
      </c>
      <c r="M71" s="186" t="n">
        <v>28.13</v>
      </c>
      <c r="N71" s="186" t="n">
        <v>759</v>
      </c>
      <c r="O71" t="n">
        <v>0</v>
      </c>
      <c r="X71">
        <f>O71-W71</f>
        <v/>
      </c>
      <c r="Y71" t="n">
        <v>6</v>
      </c>
      <c r="AB71" s="186">
        <f>IFERROR(O71*M71,0)</f>
        <v/>
      </c>
      <c r="AC71" s="186">
        <f>IFERROR(O71*N71,0)</f>
        <v/>
      </c>
      <c r="AD71" t="inlineStr">
        <is>
          <t>Solo en plataformas</t>
        </is>
      </c>
    </row>
    <row r="72">
      <c r="A72" t="inlineStr">
        <is>
          <t>199168044756</t>
        </is>
      </c>
      <c r="C72" t="inlineStr">
        <is>
          <t>01-050-0087-7007 BU-L</t>
        </is>
      </c>
      <c r="D72" t="inlineStr">
        <is>
          <t>01-050-0087-7007</t>
        </is>
      </c>
      <c r="E72" t="inlineStr">
        <is>
          <t>Roper</t>
        </is>
      </c>
      <c r="F72" t="inlineStr">
        <is>
          <t>ROPER Shirt Tq/Cobalt/Choc Plaid</t>
        </is>
      </c>
      <c r="G72" t="inlineStr">
        <is>
          <t>L</t>
        </is>
      </c>
      <c r="I72" t="inlineStr">
        <is>
          <t>Ropa</t>
        </is>
      </c>
      <c r="J72" t="inlineStr">
        <is>
          <t>Camisas</t>
        </is>
      </c>
      <c r="L72" t="inlineStr">
        <is>
          <t>PZS</t>
        </is>
      </c>
      <c r="M72" s="186" t="n">
        <v>28.13</v>
      </c>
      <c r="N72" s="186" t="n">
        <v>759</v>
      </c>
      <c r="O72" t="n">
        <v>0</v>
      </c>
      <c r="X72">
        <f>O72-W72</f>
        <v/>
      </c>
      <c r="Y72" t="n">
        <v>7</v>
      </c>
      <c r="AB72" s="186">
        <f>IFERROR(O72*M72,0)</f>
        <v/>
      </c>
      <c r="AC72" s="186">
        <f>IFERROR(O72*N72,0)</f>
        <v/>
      </c>
      <c r="AD72" t="inlineStr">
        <is>
          <t>Solo en plataformas</t>
        </is>
      </c>
    </row>
    <row r="73">
      <c r="A73" t="inlineStr">
        <is>
          <t>199168044763</t>
        </is>
      </c>
      <c r="C73" t="inlineStr">
        <is>
          <t>01-050-0087-7007 BU-M</t>
        </is>
      </c>
      <c r="D73" t="inlineStr">
        <is>
          <t>01-050-0087-7007</t>
        </is>
      </c>
      <c r="E73" t="inlineStr">
        <is>
          <t>Roper</t>
        </is>
      </c>
      <c r="F73" t="inlineStr">
        <is>
          <t>ROPER Shirt Tq/Cobalt/Choc Plaid</t>
        </is>
      </c>
      <c r="G73" t="inlineStr">
        <is>
          <t>M</t>
        </is>
      </c>
      <c r="I73" t="inlineStr">
        <is>
          <t>Ropa</t>
        </is>
      </c>
      <c r="J73" t="inlineStr">
        <is>
          <t>Camisas</t>
        </is>
      </c>
      <c r="L73" t="inlineStr">
        <is>
          <t>PZS</t>
        </is>
      </c>
      <c r="M73" s="186" t="n">
        <v>28.13</v>
      </c>
      <c r="N73" s="186" t="n">
        <v>759</v>
      </c>
      <c r="O73" t="n">
        <v>0</v>
      </c>
      <c r="X73">
        <f>O73-W73</f>
        <v/>
      </c>
      <c r="Y73" t="n">
        <v>7</v>
      </c>
      <c r="AB73" s="186">
        <f>IFERROR(O73*M73,0)</f>
        <v/>
      </c>
      <c r="AC73" s="186">
        <f>IFERROR(O73*N73,0)</f>
        <v/>
      </c>
      <c r="AD73" t="inlineStr">
        <is>
          <t>Solo en plataformas</t>
        </is>
      </c>
    </row>
    <row r="74">
      <c r="A74" t="inlineStr">
        <is>
          <t>199168044770</t>
        </is>
      </c>
      <c r="C74" t="inlineStr">
        <is>
          <t>01-050-0087-7007 BU-S</t>
        </is>
      </c>
      <c r="D74" t="inlineStr">
        <is>
          <t>01-050-0087-7007</t>
        </is>
      </c>
      <c r="E74" t="inlineStr">
        <is>
          <t>Roper</t>
        </is>
      </c>
      <c r="F74" t="inlineStr">
        <is>
          <t>ROPER Shirt Tq/Cobalt/Choc Plaid</t>
        </is>
      </c>
      <c r="G74" t="inlineStr">
        <is>
          <t>S</t>
        </is>
      </c>
      <c r="I74" t="inlineStr">
        <is>
          <t>Ropa</t>
        </is>
      </c>
      <c r="J74" t="inlineStr">
        <is>
          <t>Camisas</t>
        </is>
      </c>
      <c r="L74" t="inlineStr">
        <is>
          <t>PZS</t>
        </is>
      </c>
      <c r="M74" s="186" t="n">
        <v>28.13</v>
      </c>
      <c r="N74" s="186" t="n">
        <v>759</v>
      </c>
      <c r="O74" t="n">
        <v>0</v>
      </c>
      <c r="X74">
        <f>O74-W74</f>
        <v/>
      </c>
      <c r="Y74" t="n">
        <v>6</v>
      </c>
      <c r="AB74" s="186">
        <f>IFERROR(O74*M74,0)</f>
        <v/>
      </c>
      <c r="AC74" s="186">
        <f>IFERROR(O74*N74,0)</f>
        <v/>
      </c>
      <c r="AD74" t="inlineStr">
        <is>
          <t>Solo en plataformas</t>
        </is>
      </c>
    </row>
    <row r="75">
      <c r="A75" t="inlineStr">
        <is>
          <t>199168044787</t>
        </is>
      </c>
      <c r="C75" t="inlineStr">
        <is>
          <t>01-050-0087-7007 BU-XL</t>
        </is>
      </c>
      <c r="D75" t="inlineStr">
        <is>
          <t>01-050-0087-7007</t>
        </is>
      </c>
      <c r="E75" t="inlineStr">
        <is>
          <t>Roper</t>
        </is>
      </c>
      <c r="F75" t="inlineStr">
        <is>
          <t>ROPER Shirt Tq/Cobalt/Choc Plaid</t>
        </is>
      </c>
      <c r="G75" t="inlineStr">
        <is>
          <t>XL</t>
        </is>
      </c>
      <c r="I75" t="inlineStr">
        <is>
          <t>Ropa</t>
        </is>
      </c>
      <c r="J75" t="inlineStr">
        <is>
          <t>Camisas</t>
        </is>
      </c>
      <c r="L75" t="inlineStr">
        <is>
          <t>PZS</t>
        </is>
      </c>
      <c r="M75" s="186" t="n">
        <v>28.13</v>
      </c>
      <c r="N75" s="186" t="n">
        <v>759</v>
      </c>
      <c r="O75" t="n">
        <v>0</v>
      </c>
      <c r="X75">
        <f>O75-W75</f>
        <v/>
      </c>
      <c r="Y75" t="n">
        <v>7</v>
      </c>
      <c r="AB75" s="186">
        <f>IFERROR(O75*M75,0)</f>
        <v/>
      </c>
      <c r="AC75" s="186">
        <f>IFERROR(O75*N75,0)</f>
        <v/>
      </c>
      <c r="AD75" t="inlineStr">
        <is>
          <t>Solo en plataformas</t>
        </is>
      </c>
    </row>
    <row r="76">
      <c r="A76" t="inlineStr">
        <is>
          <t>199168044831</t>
        </is>
      </c>
      <c r="C76" t="inlineStr">
        <is>
          <t>01-050-0101-7000 BU-L</t>
        </is>
      </c>
      <c r="D76" t="inlineStr">
        <is>
          <t>01-050-0101-7000</t>
        </is>
      </c>
      <c r="E76" t="inlineStr">
        <is>
          <t>Roper</t>
        </is>
      </c>
      <c r="F76" t="inlineStr">
        <is>
          <t>ROPER Shirt Multi Blue Paid W/Lurex</t>
        </is>
      </c>
      <c r="G76" t="inlineStr">
        <is>
          <t>L</t>
        </is>
      </c>
      <c r="H76" t="inlineStr">
        <is>
          <t>Varios</t>
        </is>
      </c>
      <c r="I76" t="inlineStr">
        <is>
          <t>Ropa</t>
        </is>
      </c>
      <c r="J76" t="inlineStr">
        <is>
          <t>Camisas</t>
        </is>
      </c>
      <c r="L76" t="inlineStr">
        <is>
          <t>PZS</t>
        </is>
      </c>
      <c r="M76" s="186" t="n">
        <v>22.55</v>
      </c>
      <c r="N76" s="186" t="n">
        <v>629</v>
      </c>
      <c r="O76" t="n">
        <v>0</v>
      </c>
      <c r="X76">
        <f>O76-W76</f>
        <v/>
      </c>
      <c r="Y76" t="n">
        <v>2</v>
      </c>
      <c r="AB76" s="186">
        <f>IFERROR(O76*M76,0)</f>
        <v/>
      </c>
      <c r="AC76" s="186">
        <f>IFERROR(O76*N76,0)</f>
        <v/>
      </c>
      <c r="AD76" t="inlineStr">
        <is>
          <t>Solo en plataformas</t>
        </is>
      </c>
    </row>
    <row r="77">
      <c r="A77" t="inlineStr">
        <is>
          <t>199168044848</t>
        </is>
      </c>
      <c r="C77" t="inlineStr">
        <is>
          <t>01-050-0101-7000 BU-M</t>
        </is>
      </c>
      <c r="D77" t="inlineStr">
        <is>
          <t>01-050-0101-7000</t>
        </is>
      </c>
      <c r="E77" t="inlineStr">
        <is>
          <t>Roper</t>
        </is>
      </c>
      <c r="F77" t="inlineStr">
        <is>
          <t>ROPER Shirt Multi Blue Paid W/Lurex</t>
        </is>
      </c>
      <c r="G77" t="inlineStr">
        <is>
          <t>M</t>
        </is>
      </c>
      <c r="H77" t="inlineStr">
        <is>
          <t>Varios</t>
        </is>
      </c>
      <c r="I77" t="inlineStr">
        <is>
          <t>Ropa</t>
        </is>
      </c>
      <c r="J77" t="inlineStr">
        <is>
          <t>Camisas</t>
        </is>
      </c>
      <c r="L77" t="inlineStr">
        <is>
          <t>PZS</t>
        </is>
      </c>
      <c r="M77" s="186" t="n">
        <v>22.55</v>
      </c>
      <c r="N77" s="186" t="n">
        <v>629</v>
      </c>
      <c r="O77" t="n">
        <v>0</v>
      </c>
      <c r="X77">
        <f>O77-W77</f>
        <v/>
      </c>
      <c r="Y77" t="n">
        <v>2</v>
      </c>
      <c r="AB77" s="186">
        <f>IFERROR(O77*M77,0)</f>
        <v/>
      </c>
      <c r="AC77" s="186">
        <f>IFERROR(O77*N77,0)</f>
        <v/>
      </c>
      <c r="AD77" t="inlineStr">
        <is>
          <t>Solo en plataformas</t>
        </is>
      </c>
    </row>
    <row r="78">
      <c r="A78" t="inlineStr">
        <is>
          <t>199168044855</t>
        </is>
      </c>
      <c r="C78" t="inlineStr">
        <is>
          <t>01-050-0101-7000 BU-S</t>
        </is>
      </c>
      <c r="D78" t="inlineStr">
        <is>
          <t>01-050-0101-7000</t>
        </is>
      </c>
      <c r="E78" t="inlineStr">
        <is>
          <t>Roper</t>
        </is>
      </c>
      <c r="F78" t="inlineStr">
        <is>
          <t>ROPER Shirt Multi Blue Paid W/Lurex</t>
        </is>
      </c>
      <c r="G78" t="inlineStr">
        <is>
          <t>S</t>
        </is>
      </c>
      <c r="H78" t="inlineStr">
        <is>
          <t>Varios</t>
        </is>
      </c>
      <c r="I78" t="inlineStr">
        <is>
          <t>Ropa</t>
        </is>
      </c>
      <c r="J78" t="inlineStr">
        <is>
          <t>Camisas</t>
        </is>
      </c>
      <c r="L78" t="inlineStr">
        <is>
          <t>PZS</t>
        </is>
      </c>
      <c r="M78" s="186" t="n">
        <v>22.55</v>
      </c>
      <c r="N78" s="186" t="n">
        <v>629</v>
      </c>
      <c r="O78" t="n">
        <v>0</v>
      </c>
      <c r="X78">
        <f>O78-W78</f>
        <v/>
      </c>
      <c r="Y78" t="n">
        <v>1</v>
      </c>
      <c r="AB78" s="186">
        <f>IFERROR(O78*M78,0)</f>
        <v/>
      </c>
      <c r="AC78" s="186">
        <f>IFERROR(O78*N78,0)</f>
        <v/>
      </c>
      <c r="AD78" t="inlineStr">
        <is>
          <t>Solo en plataformas</t>
        </is>
      </c>
    </row>
    <row r="79">
      <c r="A79" t="inlineStr">
        <is>
          <t>199168044862</t>
        </is>
      </c>
      <c r="C79" t="inlineStr">
        <is>
          <t>01-050-0101-7000 BU-XL</t>
        </is>
      </c>
      <c r="D79" t="inlineStr">
        <is>
          <t>01-050-0101-7000</t>
        </is>
      </c>
      <c r="E79" t="inlineStr">
        <is>
          <t>Roper</t>
        </is>
      </c>
      <c r="F79" t="inlineStr">
        <is>
          <t>ROPER Shirt Multi Blue Paid W/Lurex</t>
        </is>
      </c>
      <c r="G79" t="inlineStr">
        <is>
          <t>XL</t>
        </is>
      </c>
      <c r="H79" t="inlineStr">
        <is>
          <t>Varios</t>
        </is>
      </c>
      <c r="I79" t="inlineStr">
        <is>
          <t>Ropa</t>
        </is>
      </c>
      <c r="J79" t="inlineStr">
        <is>
          <t>Camisas</t>
        </is>
      </c>
      <c r="L79" t="inlineStr">
        <is>
          <t>PZS</t>
        </is>
      </c>
      <c r="M79" s="186" t="n">
        <v>22.55</v>
      </c>
      <c r="N79" s="186" t="n">
        <v>629</v>
      </c>
      <c r="O79" t="n">
        <v>0</v>
      </c>
      <c r="X79">
        <f>O79-W79</f>
        <v/>
      </c>
      <c r="Y79" t="n">
        <v>2</v>
      </c>
      <c r="AB79" s="186">
        <f>IFERROR(O79*M79,0)</f>
        <v/>
      </c>
      <c r="AC79" s="186">
        <f>IFERROR(O79*N79,0)</f>
        <v/>
      </c>
      <c r="AD79" t="inlineStr">
        <is>
          <t>Solo en plataformas</t>
        </is>
      </c>
    </row>
    <row r="80">
      <c r="A80" t="inlineStr">
        <is>
          <t>199168045579</t>
        </is>
      </c>
      <c r="C80" t="inlineStr">
        <is>
          <t>03-001-0040-6002 BL-L</t>
        </is>
      </c>
      <c r="D80" t="inlineStr">
        <is>
          <t>03-001-0040-6002</t>
        </is>
      </c>
      <c r="E80" t="inlineStr">
        <is>
          <t>Roper</t>
        </is>
      </c>
      <c r="F80" t="inlineStr">
        <is>
          <t>ROPER Shirt Jet Black P/R Western</t>
        </is>
      </c>
      <c r="G80" t="inlineStr">
        <is>
          <t>L</t>
        </is>
      </c>
      <c r="H80" t="inlineStr">
        <is>
          <t>Negro</t>
        </is>
      </c>
      <c r="I80" t="inlineStr">
        <is>
          <t>Ropa</t>
        </is>
      </c>
      <c r="J80" t="inlineStr">
        <is>
          <t>Camisas</t>
        </is>
      </c>
      <c r="L80" t="inlineStr">
        <is>
          <t>PZS</t>
        </is>
      </c>
      <c r="M80" s="186" t="n">
        <v>53.48</v>
      </c>
      <c r="N80" s="186" t="n">
        <v>1369</v>
      </c>
      <c r="O80" t="n">
        <v>0</v>
      </c>
      <c r="X80">
        <f>O80-W80</f>
        <v/>
      </c>
      <c r="Y80" t="n">
        <v>10</v>
      </c>
      <c r="AB80" s="186">
        <f>IFERROR(O80*M80,0)</f>
        <v/>
      </c>
      <c r="AC80" s="186">
        <f>IFERROR(O80*N80,0)</f>
        <v/>
      </c>
      <c r="AD80" t="inlineStr">
        <is>
          <t>Solo en plataformas</t>
        </is>
      </c>
    </row>
    <row r="81">
      <c r="A81" t="inlineStr">
        <is>
          <t>199168045586</t>
        </is>
      </c>
      <c r="C81" t="inlineStr">
        <is>
          <t>03-001-0040-6002 BL-M</t>
        </is>
      </c>
      <c r="D81" t="inlineStr">
        <is>
          <t>03-001-0040-6002</t>
        </is>
      </c>
      <c r="E81" t="inlineStr">
        <is>
          <t>Roper</t>
        </is>
      </c>
      <c r="F81" t="inlineStr">
        <is>
          <t>ROPER Shirt Jet Black P/R Western</t>
        </is>
      </c>
      <c r="G81" t="inlineStr">
        <is>
          <t>M</t>
        </is>
      </c>
      <c r="H81" t="inlineStr">
        <is>
          <t>Negro</t>
        </is>
      </c>
      <c r="I81" t="inlineStr">
        <is>
          <t>Ropa</t>
        </is>
      </c>
      <c r="J81" t="inlineStr">
        <is>
          <t>Camisas</t>
        </is>
      </c>
      <c r="L81" t="inlineStr">
        <is>
          <t>PZS</t>
        </is>
      </c>
      <c r="M81" s="186" t="n">
        <v>53.48</v>
      </c>
      <c r="N81" s="186" t="n">
        <v>1369</v>
      </c>
      <c r="O81" t="n">
        <v>0</v>
      </c>
      <c r="X81">
        <f>O81-W81</f>
        <v/>
      </c>
      <c r="Y81" t="n">
        <v>10</v>
      </c>
      <c r="AB81" s="186">
        <f>IFERROR(O81*M81,0)</f>
        <v/>
      </c>
      <c r="AC81" s="186">
        <f>IFERROR(O81*N81,0)</f>
        <v/>
      </c>
      <c r="AD81" t="inlineStr">
        <is>
          <t>Solo en plataformas</t>
        </is>
      </c>
    </row>
    <row r="82">
      <c r="A82" t="inlineStr">
        <is>
          <t>199168045593</t>
        </is>
      </c>
      <c r="C82" t="inlineStr">
        <is>
          <t>03-001-0040-6002 BL-S</t>
        </is>
      </c>
      <c r="D82" t="inlineStr">
        <is>
          <t>03-001-0040-6002</t>
        </is>
      </c>
      <c r="E82" t="inlineStr">
        <is>
          <t>Roper</t>
        </is>
      </c>
      <c r="F82" t="inlineStr">
        <is>
          <t>ROPER Shirt Jet Black P/R Western</t>
        </is>
      </c>
      <c r="G82" t="inlineStr">
        <is>
          <t>S</t>
        </is>
      </c>
      <c r="H82" t="inlineStr">
        <is>
          <t>Negro</t>
        </is>
      </c>
      <c r="I82" t="inlineStr">
        <is>
          <t>Ropa</t>
        </is>
      </c>
      <c r="J82" t="inlineStr">
        <is>
          <t>Camisas</t>
        </is>
      </c>
      <c r="L82" t="inlineStr">
        <is>
          <t>PZS</t>
        </is>
      </c>
      <c r="M82" s="186" t="n">
        <v>53.48</v>
      </c>
      <c r="N82" s="186" t="n">
        <v>1369</v>
      </c>
      <c r="O82" t="n">
        <v>0</v>
      </c>
      <c r="X82">
        <f>O82-W82</f>
        <v/>
      </c>
      <c r="Y82" t="n">
        <v>8</v>
      </c>
      <c r="AB82" s="186">
        <f>IFERROR(O82*M82,0)</f>
        <v/>
      </c>
      <c r="AC82" s="186">
        <f>IFERROR(O82*N82,0)</f>
        <v/>
      </c>
      <c r="AD82" t="inlineStr">
        <is>
          <t>Solo en plataformas</t>
        </is>
      </c>
    </row>
    <row r="83">
      <c r="A83" t="inlineStr">
        <is>
          <t>199168045609</t>
        </is>
      </c>
      <c r="C83" t="inlineStr">
        <is>
          <t>03-001-0040-6002 BL-XL</t>
        </is>
      </c>
      <c r="D83" t="inlineStr">
        <is>
          <t>03-001-0040-6002</t>
        </is>
      </c>
      <c r="E83" t="inlineStr">
        <is>
          <t>Roper</t>
        </is>
      </c>
      <c r="F83" t="inlineStr">
        <is>
          <t>ROPER Shirt Jet Black P/R Western</t>
        </is>
      </c>
      <c r="G83" t="inlineStr">
        <is>
          <t>XL</t>
        </is>
      </c>
      <c r="H83" t="inlineStr">
        <is>
          <t>Negro</t>
        </is>
      </c>
      <c r="I83" t="inlineStr">
        <is>
          <t>Ropa</t>
        </is>
      </c>
      <c r="J83" t="inlineStr">
        <is>
          <t>Camisas</t>
        </is>
      </c>
      <c r="L83" t="inlineStr">
        <is>
          <t>PZS</t>
        </is>
      </c>
      <c r="M83" s="186" t="n">
        <v>53.48</v>
      </c>
      <c r="N83" s="186" t="n">
        <v>1369</v>
      </c>
      <c r="O83" t="n">
        <v>0</v>
      </c>
      <c r="X83">
        <f>O83-W83</f>
        <v/>
      </c>
      <c r="Y83" t="n">
        <v>10</v>
      </c>
      <c r="AB83" s="186">
        <f>IFERROR(O83*M83,0)</f>
        <v/>
      </c>
      <c r="AC83" s="186">
        <f>IFERROR(O83*N83,0)</f>
        <v/>
      </c>
      <c r="AD83" t="inlineStr">
        <is>
          <t>Solo en plataformas</t>
        </is>
      </c>
    </row>
    <row r="84">
      <c r="A84" t="inlineStr">
        <is>
          <t>199168045616</t>
        </is>
      </c>
      <c r="C84" t="inlineStr">
        <is>
          <t>03-001-0040-6002 BL-2XL</t>
        </is>
      </c>
      <c r="D84" t="inlineStr">
        <is>
          <t>03-001-0040-6002</t>
        </is>
      </c>
      <c r="E84" t="inlineStr">
        <is>
          <t>Roper</t>
        </is>
      </c>
      <c r="F84" t="inlineStr">
        <is>
          <t>ROPER Shirt Jet Black P/R Western</t>
        </is>
      </c>
      <c r="G84" t="inlineStr">
        <is>
          <t>XXL</t>
        </is>
      </c>
      <c r="H84" t="inlineStr">
        <is>
          <t>Negro</t>
        </is>
      </c>
      <c r="I84" t="inlineStr">
        <is>
          <t>Ropa</t>
        </is>
      </c>
      <c r="J84" t="inlineStr">
        <is>
          <t>Camisas</t>
        </is>
      </c>
      <c r="L84" t="inlineStr">
        <is>
          <t>PZS</t>
        </is>
      </c>
      <c r="M84" s="186" t="n">
        <v>53.48</v>
      </c>
      <c r="N84" s="186" t="n">
        <v>1369</v>
      </c>
      <c r="O84" t="n">
        <v>0</v>
      </c>
      <c r="X84">
        <f>O84-W84</f>
        <v/>
      </c>
      <c r="Y84" t="n">
        <v>4</v>
      </c>
      <c r="AB84" s="186">
        <f>IFERROR(O84*M84,0)</f>
        <v/>
      </c>
      <c r="AC84" s="186">
        <f>IFERROR(O84*N84,0)</f>
        <v/>
      </c>
      <c r="AD84" t="inlineStr">
        <is>
          <t>Solo en plataformas</t>
        </is>
      </c>
    </row>
    <row r="85">
      <c r="A85" t="inlineStr">
        <is>
          <t>199168045630</t>
        </is>
      </c>
      <c r="C85" t="inlineStr">
        <is>
          <t>03-001-0040-6003 BR-L</t>
        </is>
      </c>
      <c r="D85" t="inlineStr">
        <is>
          <t>03-001-0040-6003</t>
        </is>
      </c>
      <c r="E85" t="inlineStr">
        <is>
          <t>Roper</t>
        </is>
      </c>
      <c r="F85" t="inlineStr">
        <is>
          <t>ROPER Shirt Chocolate Brown</t>
        </is>
      </c>
      <c r="G85" t="inlineStr">
        <is>
          <t>L</t>
        </is>
      </c>
      <c r="H85" t="inlineStr">
        <is>
          <t>Cafe</t>
        </is>
      </c>
      <c r="I85" t="inlineStr">
        <is>
          <t>Ropa</t>
        </is>
      </c>
      <c r="J85" t="inlineStr">
        <is>
          <t>Camisas</t>
        </is>
      </c>
      <c r="L85" t="inlineStr">
        <is>
          <t>PZS</t>
        </is>
      </c>
      <c r="M85" s="186" t="n">
        <v>53.48</v>
      </c>
      <c r="N85" s="186" t="n">
        <v>1369</v>
      </c>
      <c r="O85" t="n">
        <v>0</v>
      </c>
      <c r="X85">
        <f>O85-W85</f>
        <v/>
      </c>
      <c r="Y85" t="n">
        <v>14</v>
      </c>
      <c r="AB85" s="186">
        <f>IFERROR(O85*M85,0)</f>
        <v/>
      </c>
      <c r="AC85" s="186">
        <f>IFERROR(O85*N85,0)</f>
        <v/>
      </c>
      <c r="AD85" t="inlineStr">
        <is>
          <t>Solo en plataformas</t>
        </is>
      </c>
    </row>
    <row r="86">
      <c r="A86" t="inlineStr">
        <is>
          <t>199168045647</t>
        </is>
      </c>
      <c r="C86" t="inlineStr">
        <is>
          <t>03-001-0040-6003 BR-M</t>
        </is>
      </c>
      <c r="D86" t="inlineStr">
        <is>
          <t>03-001-0040-6003</t>
        </is>
      </c>
      <c r="E86" t="inlineStr">
        <is>
          <t>Roper</t>
        </is>
      </c>
      <c r="F86" t="inlineStr">
        <is>
          <t>ROPER Shirt Chocolate Brown</t>
        </is>
      </c>
      <c r="G86" t="inlineStr">
        <is>
          <t>M</t>
        </is>
      </c>
      <c r="H86" t="inlineStr">
        <is>
          <t>Cafe</t>
        </is>
      </c>
      <c r="I86" t="inlineStr">
        <is>
          <t>Ropa</t>
        </is>
      </c>
      <c r="J86" t="inlineStr">
        <is>
          <t>Camisas</t>
        </is>
      </c>
      <c r="L86" t="inlineStr">
        <is>
          <t>PZS</t>
        </is>
      </c>
      <c r="M86" s="186" t="n">
        <v>53.48</v>
      </c>
      <c r="N86" s="186" t="n">
        <v>1369</v>
      </c>
      <c r="O86" t="n">
        <v>0</v>
      </c>
      <c r="X86">
        <f>O86-W86</f>
        <v/>
      </c>
      <c r="Y86" t="n">
        <v>15</v>
      </c>
      <c r="AB86" s="186">
        <f>IFERROR(O86*M86,0)</f>
        <v/>
      </c>
      <c r="AC86" s="186">
        <f>IFERROR(O86*N86,0)</f>
        <v/>
      </c>
      <c r="AD86" t="inlineStr">
        <is>
          <t>Solo en plataformas</t>
        </is>
      </c>
    </row>
    <row r="87">
      <c r="A87" t="inlineStr">
        <is>
          <t>199168045654</t>
        </is>
      </c>
      <c r="C87" t="inlineStr">
        <is>
          <t>03-001-0040-6003 BR-S</t>
        </is>
      </c>
      <c r="D87" t="inlineStr">
        <is>
          <t>03-001-0040-6003</t>
        </is>
      </c>
      <c r="E87" t="inlineStr">
        <is>
          <t>Roper</t>
        </is>
      </c>
      <c r="F87" t="inlineStr">
        <is>
          <t>ROPER Shirt Chocolate Brown</t>
        </is>
      </c>
      <c r="G87" t="inlineStr">
        <is>
          <t>S</t>
        </is>
      </c>
      <c r="H87" t="inlineStr">
        <is>
          <t>Cafe</t>
        </is>
      </c>
      <c r="I87" t="inlineStr">
        <is>
          <t>Ropa</t>
        </is>
      </c>
      <c r="J87" t="inlineStr">
        <is>
          <t>Camisas</t>
        </is>
      </c>
      <c r="L87" t="inlineStr">
        <is>
          <t>PZS</t>
        </is>
      </c>
      <c r="M87" s="186" t="n">
        <v>53.48</v>
      </c>
      <c r="N87" s="186" t="n">
        <v>1369</v>
      </c>
      <c r="O87" t="n">
        <v>0</v>
      </c>
      <c r="X87">
        <f>O87-W87</f>
        <v/>
      </c>
      <c r="Y87" t="n">
        <v>12</v>
      </c>
      <c r="AB87" s="186">
        <f>IFERROR(O87*M87,0)</f>
        <v/>
      </c>
      <c r="AC87" s="186">
        <f>IFERROR(O87*N87,0)</f>
        <v/>
      </c>
      <c r="AD87" t="inlineStr">
        <is>
          <t>Solo en plataformas</t>
        </is>
      </c>
    </row>
    <row r="88">
      <c r="A88" t="inlineStr">
        <is>
          <t>199168045661</t>
        </is>
      </c>
      <c r="C88" t="inlineStr">
        <is>
          <t>03-001-0040-6003 BR-XL</t>
        </is>
      </c>
      <c r="D88" t="inlineStr">
        <is>
          <t>03-001-0040-6003</t>
        </is>
      </c>
      <c r="E88" t="inlineStr">
        <is>
          <t>Roper</t>
        </is>
      </c>
      <c r="F88" t="inlineStr">
        <is>
          <t>ROPER Shirt Chocolate Brown</t>
        </is>
      </c>
      <c r="G88" t="inlineStr">
        <is>
          <t>XL</t>
        </is>
      </c>
      <c r="H88" t="inlineStr">
        <is>
          <t>Cafe</t>
        </is>
      </c>
      <c r="I88" t="inlineStr">
        <is>
          <t>Ropa</t>
        </is>
      </c>
      <c r="J88" t="inlineStr">
        <is>
          <t>Camisas</t>
        </is>
      </c>
      <c r="L88" t="inlineStr">
        <is>
          <t>PZS</t>
        </is>
      </c>
      <c r="M88" s="186" t="n">
        <v>53.48</v>
      </c>
      <c r="N88" s="186" t="n">
        <v>1369</v>
      </c>
      <c r="O88" t="n">
        <v>0</v>
      </c>
      <c r="X88">
        <f>O88-W88</f>
        <v/>
      </c>
      <c r="Y88" t="n">
        <v>11</v>
      </c>
      <c r="AB88" s="186">
        <f>IFERROR(O88*M88,0)</f>
        <v/>
      </c>
      <c r="AC88" s="186">
        <f>IFERROR(O88*N88,0)</f>
        <v/>
      </c>
      <c r="AD88" t="inlineStr">
        <is>
          <t>Solo en plataformas</t>
        </is>
      </c>
    </row>
    <row r="89">
      <c r="A89" t="inlineStr">
        <is>
          <t>199168045692</t>
        </is>
      </c>
      <c r="C89" t="inlineStr">
        <is>
          <t>03-001-0040-6004 BU-L</t>
        </is>
      </c>
      <c r="D89" t="inlineStr">
        <is>
          <t>03-001-0040-6004</t>
        </is>
      </c>
      <c r="E89" t="inlineStr">
        <is>
          <t>Roper</t>
        </is>
      </c>
      <c r="F89" t="inlineStr">
        <is>
          <t>ROPER Shirt Wash Denim Shirt</t>
        </is>
      </c>
      <c r="G89" t="inlineStr">
        <is>
          <t>L</t>
        </is>
      </c>
      <c r="H89" t="inlineStr">
        <is>
          <t>Azul</t>
        </is>
      </c>
      <c r="I89" t="inlineStr">
        <is>
          <t>Ropa</t>
        </is>
      </c>
      <c r="J89" t="inlineStr">
        <is>
          <t>Camisas</t>
        </is>
      </c>
      <c r="L89" t="inlineStr">
        <is>
          <t>PZS</t>
        </is>
      </c>
      <c r="M89" s="186" t="n">
        <v>58.12</v>
      </c>
      <c r="N89" s="186" t="n">
        <v>1469</v>
      </c>
      <c r="O89" t="n">
        <v>0</v>
      </c>
      <c r="X89">
        <f>O89-W89</f>
        <v/>
      </c>
      <c r="Y89" t="n">
        <v>10</v>
      </c>
      <c r="AB89" s="186">
        <f>IFERROR(O89*M89,0)</f>
        <v/>
      </c>
      <c r="AC89" s="186">
        <f>IFERROR(O89*N89,0)</f>
        <v/>
      </c>
      <c r="AD89" t="inlineStr">
        <is>
          <t>Solo en plataformas</t>
        </is>
      </c>
    </row>
    <row r="90">
      <c r="A90" t="inlineStr">
        <is>
          <t>199168045708</t>
        </is>
      </c>
      <c r="C90" t="inlineStr">
        <is>
          <t>03-001-0040-6004 BU-M</t>
        </is>
      </c>
      <c r="D90" t="inlineStr">
        <is>
          <t>03-001-0040-6004</t>
        </is>
      </c>
      <c r="E90" t="inlineStr">
        <is>
          <t>Roper</t>
        </is>
      </c>
      <c r="F90" t="inlineStr">
        <is>
          <t>ROPER Shirt Wash Denim Shirt</t>
        </is>
      </c>
      <c r="G90" t="inlineStr">
        <is>
          <t>M</t>
        </is>
      </c>
      <c r="H90" t="inlineStr">
        <is>
          <t>Azul</t>
        </is>
      </c>
      <c r="I90" t="inlineStr">
        <is>
          <t>Ropa</t>
        </is>
      </c>
      <c r="J90" t="inlineStr">
        <is>
          <t>Camisas</t>
        </is>
      </c>
      <c r="L90" t="inlineStr">
        <is>
          <t>PZS</t>
        </is>
      </c>
      <c r="M90" s="186" t="n">
        <v>58.12</v>
      </c>
      <c r="N90" s="186" t="n">
        <v>1469</v>
      </c>
      <c r="O90" t="n">
        <v>0</v>
      </c>
      <c r="X90">
        <f>O90-W90</f>
        <v/>
      </c>
      <c r="Y90" t="n">
        <v>10</v>
      </c>
      <c r="AB90" s="186">
        <f>IFERROR(O90*M90,0)</f>
        <v/>
      </c>
      <c r="AC90" s="186">
        <f>IFERROR(O90*N90,0)</f>
        <v/>
      </c>
      <c r="AD90" t="inlineStr">
        <is>
          <t>Solo en plataformas</t>
        </is>
      </c>
    </row>
    <row r="91">
      <c r="A91" t="inlineStr">
        <is>
          <t>199168045715</t>
        </is>
      </c>
      <c r="C91" t="inlineStr">
        <is>
          <t>03-001-0040-6004 BU-S</t>
        </is>
      </c>
      <c r="D91" t="inlineStr">
        <is>
          <t>03-001-0040-6004</t>
        </is>
      </c>
      <c r="E91" t="inlineStr">
        <is>
          <t>Roper</t>
        </is>
      </c>
      <c r="F91" t="inlineStr">
        <is>
          <t>ROPER Shirt Wash Denim Shirt</t>
        </is>
      </c>
      <c r="G91" t="inlineStr">
        <is>
          <t>S</t>
        </is>
      </c>
      <c r="H91" t="inlineStr">
        <is>
          <t>Azul</t>
        </is>
      </c>
      <c r="I91" t="inlineStr">
        <is>
          <t>Ropa</t>
        </is>
      </c>
      <c r="J91" t="inlineStr">
        <is>
          <t>Camisas</t>
        </is>
      </c>
      <c r="L91" t="inlineStr">
        <is>
          <t>PZS</t>
        </is>
      </c>
      <c r="M91" s="186" t="n">
        <v>58.12</v>
      </c>
      <c r="N91" s="186" t="n">
        <v>1469</v>
      </c>
      <c r="O91" t="n">
        <v>0</v>
      </c>
      <c r="X91">
        <f>O91-W91</f>
        <v/>
      </c>
      <c r="Y91" t="n">
        <v>10</v>
      </c>
      <c r="AB91" s="186">
        <f>IFERROR(O91*M91,0)</f>
        <v/>
      </c>
      <c r="AC91" s="186">
        <f>IFERROR(O91*N91,0)</f>
        <v/>
      </c>
      <c r="AD91" t="inlineStr">
        <is>
          <t>Solo en plataformas</t>
        </is>
      </c>
    </row>
    <row r="92">
      <c r="A92" t="inlineStr">
        <is>
          <t>199168045722</t>
        </is>
      </c>
      <c r="C92" t="inlineStr">
        <is>
          <t>03-001-0040-6004 BU-XL</t>
        </is>
      </c>
      <c r="D92" t="inlineStr">
        <is>
          <t>03-001-0040-6004</t>
        </is>
      </c>
      <c r="E92" t="inlineStr">
        <is>
          <t>Roper</t>
        </is>
      </c>
      <c r="F92" t="inlineStr">
        <is>
          <t>ROPER Shirt Wash Denim Shirt</t>
        </is>
      </c>
      <c r="G92" t="inlineStr">
        <is>
          <t>XL</t>
        </is>
      </c>
      <c r="H92" t="inlineStr">
        <is>
          <t>Azul</t>
        </is>
      </c>
      <c r="I92" t="inlineStr">
        <is>
          <t>Ropa</t>
        </is>
      </c>
      <c r="J92" t="inlineStr">
        <is>
          <t>Camisas</t>
        </is>
      </c>
      <c r="L92" t="inlineStr">
        <is>
          <t>PZS</t>
        </is>
      </c>
      <c r="M92" s="186" t="n">
        <v>58.12</v>
      </c>
      <c r="N92" s="186" t="n">
        <v>1469</v>
      </c>
      <c r="O92" t="n">
        <v>0</v>
      </c>
      <c r="X92">
        <f>O92-W92</f>
        <v/>
      </c>
      <c r="Y92" t="n">
        <v>10</v>
      </c>
      <c r="AB92" s="186">
        <f>IFERROR(O92*M92,0)</f>
        <v/>
      </c>
      <c r="AC92" s="186">
        <f>IFERROR(O92*N92,0)</f>
        <v/>
      </c>
      <c r="AD92" t="inlineStr">
        <is>
          <t>Solo en plataformas</t>
        </is>
      </c>
    </row>
    <row r="93">
      <c r="A93" t="inlineStr">
        <is>
          <t>199168045739</t>
        </is>
      </c>
      <c r="C93" t="inlineStr">
        <is>
          <t>03-001-0040-6004 BU-2XL</t>
        </is>
      </c>
      <c r="D93" t="inlineStr">
        <is>
          <t>03-001-0040-6004</t>
        </is>
      </c>
      <c r="E93" t="inlineStr">
        <is>
          <t>Roper</t>
        </is>
      </c>
      <c r="F93" t="inlineStr">
        <is>
          <t>ROPER Shirt Wash Denim Shirt</t>
        </is>
      </c>
      <c r="G93" t="inlineStr">
        <is>
          <t>XXL</t>
        </is>
      </c>
      <c r="H93" t="inlineStr">
        <is>
          <t>Azul</t>
        </is>
      </c>
      <c r="I93" t="inlineStr">
        <is>
          <t>Ropa</t>
        </is>
      </c>
      <c r="J93" t="inlineStr">
        <is>
          <t>Camisas</t>
        </is>
      </c>
      <c r="L93" t="inlineStr">
        <is>
          <t>PZS</t>
        </is>
      </c>
      <c r="M93" s="186" t="n">
        <v>58.12</v>
      </c>
      <c r="N93" s="186" t="n">
        <v>1469</v>
      </c>
      <c r="O93" t="n">
        <v>0</v>
      </c>
      <c r="X93">
        <f>O93-W93</f>
        <v/>
      </c>
      <c r="Y93" t="n">
        <v>5</v>
      </c>
      <c r="AB93" s="186">
        <f>IFERROR(O93*M93,0)</f>
        <v/>
      </c>
      <c r="AC93" s="186">
        <f>IFERROR(O93*N93,0)</f>
        <v/>
      </c>
      <c r="AD93" t="inlineStr">
        <is>
          <t>Solo en plataformas</t>
        </is>
      </c>
    </row>
    <row r="94">
      <c r="A94" t="inlineStr">
        <is>
          <t>199168045753</t>
        </is>
      </c>
      <c r="C94" t="inlineStr">
        <is>
          <t>03-001-0060-0712 BL-L</t>
        </is>
      </c>
      <c r="D94" t="inlineStr">
        <is>
          <t>03-001-0060-0712</t>
        </is>
      </c>
      <c r="E94" t="inlineStr">
        <is>
          <t>Roper</t>
        </is>
      </c>
      <c r="F94" t="inlineStr">
        <is>
          <t>ROPER Shirt Solid Poplin - Black</t>
        </is>
      </c>
      <c r="G94" t="inlineStr">
        <is>
          <t>L</t>
        </is>
      </c>
      <c r="H94" t="inlineStr">
        <is>
          <t>Negro</t>
        </is>
      </c>
      <c r="I94" t="inlineStr">
        <is>
          <t>Ropa</t>
        </is>
      </c>
      <c r="J94" t="inlineStr">
        <is>
          <t>Camisas</t>
        </is>
      </c>
      <c r="L94" t="inlineStr">
        <is>
          <t>PZS</t>
        </is>
      </c>
      <c r="M94" s="186" t="n">
        <v>23.72</v>
      </c>
      <c r="N94" s="186" t="n">
        <v>659</v>
      </c>
      <c r="O94" t="n">
        <v>0</v>
      </c>
      <c r="X94">
        <f>O94-W94</f>
        <v/>
      </c>
      <c r="Y94" t="n">
        <v>6</v>
      </c>
      <c r="AB94" s="186">
        <f>IFERROR(O94*M94,0)</f>
        <v/>
      </c>
      <c r="AC94" s="186">
        <f>IFERROR(O94*N94,0)</f>
        <v/>
      </c>
      <c r="AD94" t="inlineStr">
        <is>
          <t>Solo en plataformas</t>
        </is>
      </c>
    </row>
    <row r="95">
      <c r="A95" t="inlineStr">
        <is>
          <t>199168045760</t>
        </is>
      </c>
      <c r="C95" t="inlineStr">
        <is>
          <t>03-001-0060-0712 BL-M</t>
        </is>
      </c>
      <c r="D95" t="inlineStr">
        <is>
          <t>03-001-0060-0712</t>
        </is>
      </c>
      <c r="E95" t="inlineStr">
        <is>
          <t>Roper</t>
        </is>
      </c>
      <c r="F95" t="inlineStr">
        <is>
          <t>ROPER Shirt Solid Poplin - Black</t>
        </is>
      </c>
      <c r="G95" t="inlineStr">
        <is>
          <t>M</t>
        </is>
      </c>
      <c r="H95" t="inlineStr">
        <is>
          <t>Negro</t>
        </is>
      </c>
      <c r="I95" t="inlineStr">
        <is>
          <t>Ropa</t>
        </is>
      </c>
      <c r="J95" t="inlineStr">
        <is>
          <t>Camisas</t>
        </is>
      </c>
      <c r="L95" t="inlineStr">
        <is>
          <t>PZS</t>
        </is>
      </c>
      <c r="M95" s="186" t="n">
        <v>23.72</v>
      </c>
      <c r="N95" s="186" t="n">
        <v>659</v>
      </c>
      <c r="O95" t="n">
        <v>0</v>
      </c>
      <c r="X95">
        <f>O95-W95</f>
        <v/>
      </c>
      <c r="Y95" t="n">
        <v>7</v>
      </c>
      <c r="AB95" s="186">
        <f>IFERROR(O95*M95,0)</f>
        <v/>
      </c>
      <c r="AC95" s="186">
        <f>IFERROR(O95*N95,0)</f>
        <v/>
      </c>
      <c r="AD95" t="inlineStr">
        <is>
          <t>Solo en plataformas</t>
        </is>
      </c>
    </row>
    <row r="96">
      <c r="A96" t="inlineStr">
        <is>
          <t>199168045777</t>
        </is>
      </c>
      <c r="C96" t="inlineStr">
        <is>
          <t>03-001-0060-0712 BL-S</t>
        </is>
      </c>
      <c r="D96" t="inlineStr">
        <is>
          <t>03-001-0060-0712</t>
        </is>
      </c>
      <c r="E96" t="inlineStr">
        <is>
          <t>Roper</t>
        </is>
      </c>
      <c r="F96" t="inlineStr">
        <is>
          <t>ROPER Shirt Solid Poplin - Black</t>
        </is>
      </c>
      <c r="G96" t="inlineStr">
        <is>
          <t>S</t>
        </is>
      </c>
      <c r="H96" t="inlineStr">
        <is>
          <t>Negro</t>
        </is>
      </c>
      <c r="I96" t="inlineStr">
        <is>
          <t>Ropa</t>
        </is>
      </c>
      <c r="J96" t="inlineStr">
        <is>
          <t>Camisas</t>
        </is>
      </c>
      <c r="L96" t="inlineStr">
        <is>
          <t>PZS</t>
        </is>
      </c>
      <c r="M96" s="186" t="n">
        <v>23.72</v>
      </c>
      <c r="N96" s="186" t="n">
        <v>659</v>
      </c>
      <c r="O96" t="n">
        <v>0</v>
      </c>
      <c r="X96">
        <f>O96-W96</f>
        <v/>
      </c>
      <c r="Y96" t="n">
        <v>8</v>
      </c>
      <c r="AB96" s="186">
        <f>IFERROR(O96*M96,0)</f>
        <v/>
      </c>
      <c r="AC96" s="186">
        <f>IFERROR(O96*N96,0)</f>
        <v/>
      </c>
      <c r="AD96" t="inlineStr">
        <is>
          <t>Solo en plataformas</t>
        </is>
      </c>
    </row>
    <row r="97">
      <c r="A97" t="inlineStr">
        <is>
          <t>199168045784</t>
        </is>
      </c>
      <c r="C97" t="inlineStr">
        <is>
          <t>03-001-0060-0712 BL-XL</t>
        </is>
      </c>
      <c r="D97" t="inlineStr">
        <is>
          <t>03-001-0060-0712</t>
        </is>
      </c>
      <c r="E97" t="inlineStr">
        <is>
          <t>Roper</t>
        </is>
      </c>
      <c r="F97" t="inlineStr">
        <is>
          <t>ROPER Shirt Solid Poplin - Black</t>
        </is>
      </c>
      <c r="G97" t="inlineStr">
        <is>
          <t>XL</t>
        </is>
      </c>
      <c r="H97" t="inlineStr">
        <is>
          <t>Negro</t>
        </is>
      </c>
      <c r="I97" t="inlineStr">
        <is>
          <t>Ropa</t>
        </is>
      </c>
      <c r="J97" t="inlineStr">
        <is>
          <t>Camisas</t>
        </is>
      </c>
      <c r="L97" t="inlineStr">
        <is>
          <t>PZS</t>
        </is>
      </c>
      <c r="M97" s="186" t="n">
        <v>23.72</v>
      </c>
      <c r="N97" s="186" t="n">
        <v>659</v>
      </c>
      <c r="O97" t="n">
        <v>0</v>
      </c>
      <c r="X97">
        <f>O97-W97</f>
        <v/>
      </c>
      <c r="Y97" t="n">
        <v>7</v>
      </c>
      <c r="AB97" s="186">
        <f>IFERROR(O97*M97,0)</f>
        <v/>
      </c>
      <c r="AC97" s="186">
        <f>IFERROR(O97*N97,0)</f>
        <v/>
      </c>
      <c r="AD97" t="inlineStr">
        <is>
          <t>Solo en plataformas</t>
        </is>
      </c>
    </row>
    <row r="98">
      <c r="A98" t="inlineStr">
        <is>
          <t>199168045791</t>
        </is>
      </c>
      <c r="C98" t="inlineStr">
        <is>
          <t>03-001-0060-0712 BL-2XL</t>
        </is>
      </c>
      <c r="D98" t="inlineStr">
        <is>
          <t>03-001-0060-0712</t>
        </is>
      </c>
      <c r="E98" t="inlineStr">
        <is>
          <t>Roper</t>
        </is>
      </c>
      <c r="F98" t="inlineStr">
        <is>
          <t>ROPER Shirt Solid Poplin - Black</t>
        </is>
      </c>
      <c r="G98" t="inlineStr">
        <is>
          <t>XXL</t>
        </is>
      </c>
      <c r="H98" t="inlineStr">
        <is>
          <t>Negro</t>
        </is>
      </c>
      <c r="I98" t="inlineStr">
        <is>
          <t>Ropa</t>
        </is>
      </c>
      <c r="J98" t="inlineStr">
        <is>
          <t>Camisas</t>
        </is>
      </c>
      <c r="L98" t="inlineStr">
        <is>
          <t>PZS</t>
        </is>
      </c>
      <c r="M98" s="186" t="n">
        <v>23.72</v>
      </c>
      <c r="N98" s="186" t="n">
        <v>659</v>
      </c>
      <c r="O98" t="n">
        <v>0</v>
      </c>
      <c r="X98">
        <f>O98-W98</f>
        <v/>
      </c>
      <c r="Y98" t="n">
        <v>2</v>
      </c>
      <c r="AB98" s="186">
        <f>IFERROR(O98*M98,0)</f>
        <v/>
      </c>
      <c r="AC98" s="186">
        <f>IFERROR(O98*N98,0)</f>
        <v/>
      </c>
      <c r="AD98" t="inlineStr">
        <is>
          <t>Solo en plataformas</t>
        </is>
      </c>
    </row>
    <row r="99">
      <c r="A99" t="inlineStr">
        <is>
          <t>199168045814</t>
        </is>
      </c>
      <c r="C99" t="inlineStr">
        <is>
          <t>03-001-0060-0713 WI-L</t>
        </is>
      </c>
      <c r="D99" t="inlineStr">
        <is>
          <t>03-001-0060-0713</t>
        </is>
      </c>
      <c r="E99" t="inlineStr">
        <is>
          <t>Roper</t>
        </is>
      </c>
      <c r="F99" t="inlineStr">
        <is>
          <t>ROPER Shirt Solid Poplin - Wine</t>
        </is>
      </c>
      <c r="G99" t="inlineStr">
        <is>
          <t>L</t>
        </is>
      </c>
      <c r="I99" t="inlineStr">
        <is>
          <t>Ropa</t>
        </is>
      </c>
      <c r="J99" t="inlineStr">
        <is>
          <t>Camisas</t>
        </is>
      </c>
      <c r="L99" t="inlineStr">
        <is>
          <t>PZS</t>
        </is>
      </c>
      <c r="M99" s="186" t="n">
        <v>23.72</v>
      </c>
      <c r="N99" s="186" t="n">
        <v>659</v>
      </c>
      <c r="O99" t="n">
        <v>0</v>
      </c>
      <c r="X99">
        <f>O99-W99</f>
        <v/>
      </c>
      <c r="Y99" t="n">
        <v>10</v>
      </c>
      <c r="AB99" s="186">
        <f>IFERROR(O99*M99,0)</f>
        <v/>
      </c>
      <c r="AC99" s="186">
        <f>IFERROR(O99*N99,0)</f>
        <v/>
      </c>
      <c r="AD99" t="inlineStr">
        <is>
          <t>Solo en plataformas</t>
        </is>
      </c>
    </row>
    <row r="100">
      <c r="A100" t="inlineStr">
        <is>
          <t>199168045821</t>
        </is>
      </c>
      <c r="C100" t="inlineStr">
        <is>
          <t>03-001-0060-0713 WI-M</t>
        </is>
      </c>
      <c r="D100" t="inlineStr">
        <is>
          <t>03-001-0060-0713</t>
        </is>
      </c>
      <c r="E100" t="inlineStr">
        <is>
          <t>Roper</t>
        </is>
      </c>
      <c r="F100" t="inlineStr">
        <is>
          <t>ROPER Shirt Solid Poplin - Wine</t>
        </is>
      </c>
      <c r="G100" t="inlineStr">
        <is>
          <t>M</t>
        </is>
      </c>
      <c r="I100" t="inlineStr">
        <is>
          <t>Ropa</t>
        </is>
      </c>
      <c r="J100" t="inlineStr">
        <is>
          <t>Camisas</t>
        </is>
      </c>
      <c r="L100" t="inlineStr">
        <is>
          <t>PZS</t>
        </is>
      </c>
      <c r="M100" s="186" t="n">
        <v>23.72</v>
      </c>
      <c r="N100" s="186" t="n">
        <v>659</v>
      </c>
      <c r="O100" t="n">
        <v>0</v>
      </c>
      <c r="X100">
        <f>O100-W100</f>
        <v/>
      </c>
      <c r="Y100" t="n">
        <v>12</v>
      </c>
      <c r="AB100" s="186">
        <f>IFERROR(O100*M100,0)</f>
        <v/>
      </c>
      <c r="AC100" s="186">
        <f>IFERROR(O100*N100,0)</f>
        <v/>
      </c>
      <c r="AD100" t="inlineStr">
        <is>
          <t>Solo en plataformas</t>
        </is>
      </c>
    </row>
    <row r="101">
      <c r="A101" t="inlineStr">
        <is>
          <t>199168045838</t>
        </is>
      </c>
      <c r="C101" t="inlineStr">
        <is>
          <t>03-001-0060-0713 WI-S</t>
        </is>
      </c>
      <c r="D101" t="inlineStr">
        <is>
          <t>03-001-0060-0713</t>
        </is>
      </c>
      <c r="E101" t="inlineStr">
        <is>
          <t>Roper</t>
        </is>
      </c>
      <c r="F101" t="inlineStr">
        <is>
          <t>ROPER Shirt Solid Poplin - Wine</t>
        </is>
      </c>
      <c r="G101" t="inlineStr">
        <is>
          <t>S</t>
        </is>
      </c>
      <c r="I101" t="inlineStr">
        <is>
          <t>Ropa</t>
        </is>
      </c>
      <c r="J101" t="inlineStr">
        <is>
          <t>Camisas</t>
        </is>
      </c>
      <c r="L101" t="inlineStr">
        <is>
          <t>PZS</t>
        </is>
      </c>
      <c r="M101" s="186" t="n">
        <v>23.72</v>
      </c>
      <c r="N101" s="186" t="n">
        <v>659</v>
      </c>
      <c r="O101" t="n">
        <v>0</v>
      </c>
      <c r="X101">
        <f>O101-W101</f>
        <v/>
      </c>
      <c r="Y101" t="n">
        <v>13</v>
      </c>
      <c r="AB101" s="186">
        <f>IFERROR(O101*M101,0)</f>
        <v/>
      </c>
      <c r="AC101" s="186">
        <f>IFERROR(O101*N101,0)</f>
        <v/>
      </c>
      <c r="AD101" t="inlineStr">
        <is>
          <t>Solo en plataformas</t>
        </is>
      </c>
    </row>
    <row r="102">
      <c r="A102" t="inlineStr">
        <is>
          <t>199168045845</t>
        </is>
      </c>
      <c r="C102" t="inlineStr">
        <is>
          <t>03-001-0060-0713 WI-XL</t>
        </is>
      </c>
      <c r="D102" t="inlineStr">
        <is>
          <t>03-001-0060-0713</t>
        </is>
      </c>
      <c r="E102" t="inlineStr">
        <is>
          <t>Roper</t>
        </is>
      </c>
      <c r="F102" t="inlineStr">
        <is>
          <t>ROPER Shirt Solid Poplin - Wine</t>
        </is>
      </c>
      <c r="G102" t="inlineStr">
        <is>
          <t>XL</t>
        </is>
      </c>
      <c r="I102" t="inlineStr">
        <is>
          <t>Ropa</t>
        </is>
      </c>
      <c r="J102" t="inlineStr">
        <is>
          <t>Camisas</t>
        </is>
      </c>
      <c r="L102" t="inlineStr">
        <is>
          <t>PZS</t>
        </is>
      </c>
      <c r="M102" s="186" t="n">
        <v>23.72</v>
      </c>
      <c r="N102" s="186" t="n">
        <v>659</v>
      </c>
      <c r="O102" t="n">
        <v>0</v>
      </c>
      <c r="X102">
        <f>O102-W102</f>
        <v/>
      </c>
      <c r="Y102" t="n">
        <v>12</v>
      </c>
      <c r="AB102" s="186">
        <f>IFERROR(O102*M102,0)</f>
        <v/>
      </c>
      <c r="AC102" s="186">
        <f>IFERROR(O102*N102,0)</f>
        <v/>
      </c>
      <c r="AD102" t="inlineStr">
        <is>
          <t>Solo en plataformas</t>
        </is>
      </c>
    </row>
    <row r="103">
      <c r="A103" t="inlineStr">
        <is>
          <t>199168045852</t>
        </is>
      </c>
      <c r="C103" t="inlineStr">
        <is>
          <t>03-001-0060-0713 WI-2XL</t>
        </is>
      </c>
      <c r="D103" t="inlineStr">
        <is>
          <t>03-001-0060-0713</t>
        </is>
      </c>
      <c r="E103" t="inlineStr">
        <is>
          <t>Roper</t>
        </is>
      </c>
      <c r="F103" t="inlineStr">
        <is>
          <t>ROPER Shirt Solid Poplin - Wine</t>
        </is>
      </c>
      <c r="G103" t="inlineStr">
        <is>
          <t>XXL</t>
        </is>
      </c>
      <c r="I103" t="inlineStr">
        <is>
          <t>Ropa</t>
        </is>
      </c>
      <c r="J103" t="inlineStr">
        <is>
          <t>Camisas</t>
        </is>
      </c>
      <c r="L103" t="inlineStr">
        <is>
          <t>PZS</t>
        </is>
      </c>
      <c r="M103" s="186" t="n">
        <v>23.72</v>
      </c>
      <c r="N103" s="186" t="n">
        <v>659</v>
      </c>
      <c r="O103" t="n">
        <v>0</v>
      </c>
      <c r="X103">
        <f>O103-W103</f>
        <v/>
      </c>
      <c r="Y103" t="n">
        <v>2</v>
      </c>
      <c r="AB103" s="186">
        <f>IFERROR(O103*M103,0)</f>
        <v/>
      </c>
      <c r="AC103" s="186">
        <f>IFERROR(O103*N103,0)</f>
        <v/>
      </c>
      <c r="AD103" t="inlineStr">
        <is>
          <t>Solo en plataformas</t>
        </is>
      </c>
    </row>
    <row r="104">
      <c r="A104" t="inlineStr">
        <is>
          <t>199168045876</t>
        </is>
      </c>
      <c r="C104" t="inlineStr">
        <is>
          <t>03-001-0062-0709 BR-L</t>
        </is>
      </c>
      <c r="D104" t="inlineStr">
        <is>
          <t>03-001-0062-0709</t>
        </is>
      </c>
      <c r="E104" t="inlineStr">
        <is>
          <t>Roper</t>
        </is>
      </c>
      <c r="F104" t="inlineStr">
        <is>
          <t>ROPER Shirt Arrow Dobby</t>
        </is>
      </c>
      <c r="G104" t="inlineStr">
        <is>
          <t>L</t>
        </is>
      </c>
      <c r="I104" t="inlineStr">
        <is>
          <t>Ropa</t>
        </is>
      </c>
      <c r="J104" t="inlineStr">
        <is>
          <t>Camisas</t>
        </is>
      </c>
      <c r="K104" t="inlineStr">
        <is>
          <t>Hombre</t>
        </is>
      </c>
      <c r="L104" t="inlineStr">
        <is>
          <t>PZS</t>
        </is>
      </c>
      <c r="M104" s="186" t="n">
        <v>23.72</v>
      </c>
      <c r="N104" s="186" t="n">
        <v>659</v>
      </c>
      <c r="O104" t="n">
        <v>0</v>
      </c>
      <c r="X104">
        <f>O104-W104</f>
        <v/>
      </c>
      <c r="Y104" t="n">
        <v>4</v>
      </c>
      <c r="AB104" s="186">
        <f>IFERROR(O104*M104,0)</f>
        <v/>
      </c>
      <c r="AC104" s="186">
        <f>IFERROR(O104*N104,0)</f>
        <v/>
      </c>
      <c r="AD104" t="inlineStr">
        <is>
          <t>Solo en plataformas</t>
        </is>
      </c>
    </row>
    <row r="105">
      <c r="A105" t="inlineStr">
        <is>
          <t>199168045883</t>
        </is>
      </c>
      <c r="C105" t="inlineStr">
        <is>
          <t>03-001-0062-0709 BR-M</t>
        </is>
      </c>
      <c r="D105" t="inlineStr">
        <is>
          <t>03-001-0062-0709</t>
        </is>
      </c>
      <c r="E105" t="inlineStr">
        <is>
          <t>Roper</t>
        </is>
      </c>
      <c r="F105" t="inlineStr">
        <is>
          <t>ROPER Shirt Arrow Dobby</t>
        </is>
      </c>
      <c r="G105" t="inlineStr">
        <is>
          <t>M</t>
        </is>
      </c>
      <c r="I105" t="inlineStr">
        <is>
          <t>Ropa</t>
        </is>
      </c>
      <c r="J105" t="inlineStr">
        <is>
          <t>Camisas</t>
        </is>
      </c>
      <c r="K105" t="inlineStr">
        <is>
          <t>Hombre</t>
        </is>
      </c>
      <c r="L105" t="inlineStr">
        <is>
          <t>PZS</t>
        </is>
      </c>
      <c r="M105" s="186" t="n">
        <v>23.72</v>
      </c>
      <c r="N105" s="186" t="n">
        <v>659</v>
      </c>
      <c r="O105" t="n">
        <v>0</v>
      </c>
      <c r="X105">
        <f>O105-W105</f>
        <v/>
      </c>
      <c r="Y105" t="n">
        <v>8</v>
      </c>
      <c r="AB105" s="186">
        <f>IFERROR(O105*M105,0)</f>
        <v/>
      </c>
      <c r="AC105" s="186">
        <f>IFERROR(O105*N105,0)</f>
        <v/>
      </c>
      <c r="AD105" t="inlineStr">
        <is>
          <t>Solo en plataformas</t>
        </is>
      </c>
    </row>
    <row r="106">
      <c r="A106" t="inlineStr">
        <is>
          <t>199168045890</t>
        </is>
      </c>
      <c r="C106" t="inlineStr">
        <is>
          <t>03-001-0062-0709 BR-S</t>
        </is>
      </c>
      <c r="D106" t="inlineStr">
        <is>
          <t>03-001-0062-0709</t>
        </is>
      </c>
      <c r="E106" t="inlineStr">
        <is>
          <t>Roper</t>
        </is>
      </c>
      <c r="F106" t="inlineStr">
        <is>
          <t>ROPER Shirt Arrow Dobby</t>
        </is>
      </c>
      <c r="G106" t="inlineStr">
        <is>
          <t>S</t>
        </is>
      </c>
      <c r="I106" t="inlineStr">
        <is>
          <t>Ropa</t>
        </is>
      </c>
      <c r="J106" t="inlineStr">
        <is>
          <t>Camisas</t>
        </is>
      </c>
      <c r="L106" t="inlineStr">
        <is>
          <t>PZS</t>
        </is>
      </c>
      <c r="M106" s="186" t="n">
        <v>23.72</v>
      </c>
      <c r="N106" s="186" t="n">
        <v>659</v>
      </c>
      <c r="O106" t="n">
        <v>0</v>
      </c>
      <c r="X106">
        <f>O106-W106</f>
        <v/>
      </c>
      <c r="Y106" t="n">
        <v>5</v>
      </c>
      <c r="AB106" s="186">
        <f>IFERROR(O106*M106,0)</f>
        <v/>
      </c>
      <c r="AC106" s="186">
        <f>IFERROR(O106*N106,0)</f>
        <v/>
      </c>
      <c r="AD106" t="inlineStr">
        <is>
          <t>Solo en plataformas</t>
        </is>
      </c>
    </row>
    <row r="107">
      <c r="A107" t="inlineStr">
        <is>
          <t>199168045906</t>
        </is>
      </c>
      <c r="C107" t="inlineStr">
        <is>
          <t>03-001-0062-0709 BR-XL</t>
        </is>
      </c>
      <c r="D107" t="inlineStr">
        <is>
          <t>03-001-0062-0709</t>
        </is>
      </c>
      <c r="E107" t="inlineStr">
        <is>
          <t>Roper</t>
        </is>
      </c>
      <c r="F107" t="inlineStr">
        <is>
          <t>ROPER Shirt Arrow Dobby</t>
        </is>
      </c>
      <c r="G107" t="inlineStr">
        <is>
          <t>XL</t>
        </is>
      </c>
      <c r="I107" t="inlineStr">
        <is>
          <t>Ropa</t>
        </is>
      </c>
      <c r="J107" t="inlineStr">
        <is>
          <t>Camisas</t>
        </is>
      </c>
      <c r="K107" t="inlineStr">
        <is>
          <t>Hombre</t>
        </is>
      </c>
      <c r="L107" t="inlineStr">
        <is>
          <t>PZS</t>
        </is>
      </c>
      <c r="M107" s="186" t="n">
        <v>23.72</v>
      </c>
      <c r="N107" s="186" t="n">
        <v>659</v>
      </c>
      <c r="O107" t="n">
        <v>0</v>
      </c>
      <c r="X107">
        <f>O107-W107</f>
        <v/>
      </c>
      <c r="Y107" t="n">
        <v>7</v>
      </c>
      <c r="AB107" s="186">
        <f>IFERROR(O107*M107,0)</f>
        <v/>
      </c>
      <c r="AC107" s="186">
        <f>IFERROR(O107*N107,0)</f>
        <v/>
      </c>
      <c r="AD107" t="inlineStr">
        <is>
          <t>Solo en plataformas</t>
        </is>
      </c>
    </row>
    <row r="108">
      <c r="A108" t="inlineStr">
        <is>
          <t>199168045999</t>
        </is>
      </c>
      <c r="C108" t="inlineStr">
        <is>
          <t>03-001-0062-0711 GR-L</t>
        </is>
      </c>
      <c r="D108" t="inlineStr">
        <is>
          <t>03-001-0062-0711</t>
        </is>
      </c>
      <c r="E108" t="inlineStr">
        <is>
          <t>Roper</t>
        </is>
      </c>
      <c r="F108" t="inlineStr">
        <is>
          <t>ROPER Shirt Aztec Dobby</t>
        </is>
      </c>
      <c r="G108" t="inlineStr">
        <is>
          <t>L</t>
        </is>
      </c>
      <c r="I108" t="inlineStr">
        <is>
          <t>Ropa</t>
        </is>
      </c>
      <c r="J108" t="inlineStr">
        <is>
          <t>Camisas</t>
        </is>
      </c>
      <c r="L108" t="inlineStr">
        <is>
          <t>PZS</t>
        </is>
      </c>
      <c r="M108" s="186" t="n">
        <v>23.72</v>
      </c>
      <c r="N108" s="186" t="n">
        <v>659</v>
      </c>
      <c r="O108" t="n">
        <v>0</v>
      </c>
      <c r="X108">
        <f>O108-W108</f>
        <v/>
      </c>
      <c r="Y108" t="n">
        <v>4</v>
      </c>
      <c r="AB108" s="186">
        <f>IFERROR(O108*M108,0)</f>
        <v/>
      </c>
      <c r="AC108" s="186">
        <f>IFERROR(O108*N108,0)</f>
        <v/>
      </c>
      <c r="AD108" t="inlineStr">
        <is>
          <t>Solo en plataformas</t>
        </is>
      </c>
    </row>
    <row r="109">
      <c r="A109" t="inlineStr">
        <is>
          <t>199168046002</t>
        </is>
      </c>
      <c r="C109" t="inlineStr">
        <is>
          <t>03-001-0062-0711 GR-M</t>
        </is>
      </c>
      <c r="D109" t="inlineStr">
        <is>
          <t>03-001-0062-0711</t>
        </is>
      </c>
      <c r="E109" t="inlineStr">
        <is>
          <t>Roper</t>
        </is>
      </c>
      <c r="F109" t="inlineStr">
        <is>
          <t>ROPER Shirt Aztec Dobby</t>
        </is>
      </c>
      <c r="G109" t="inlineStr">
        <is>
          <t>M</t>
        </is>
      </c>
      <c r="I109" t="inlineStr">
        <is>
          <t>Ropa</t>
        </is>
      </c>
      <c r="J109" t="inlineStr">
        <is>
          <t>Camisas</t>
        </is>
      </c>
      <c r="K109" t="inlineStr">
        <is>
          <t>Hombre</t>
        </is>
      </c>
      <c r="L109" t="inlineStr">
        <is>
          <t>PZS</t>
        </is>
      </c>
      <c r="M109" s="186" t="n">
        <v>23.72</v>
      </c>
      <c r="N109" s="186" t="n">
        <v>659</v>
      </c>
      <c r="O109" t="n">
        <v>0</v>
      </c>
      <c r="X109">
        <f>O109-W109</f>
        <v/>
      </c>
      <c r="Y109" t="n">
        <v>5</v>
      </c>
      <c r="AB109" s="186">
        <f>IFERROR(O109*M109,0)</f>
        <v/>
      </c>
      <c r="AC109" s="186">
        <f>IFERROR(O109*N109,0)</f>
        <v/>
      </c>
      <c r="AD109" t="inlineStr">
        <is>
          <t>Solo en plataformas</t>
        </is>
      </c>
    </row>
    <row r="110">
      <c r="A110" t="inlineStr">
        <is>
          <t>199168046019</t>
        </is>
      </c>
      <c r="C110" t="inlineStr">
        <is>
          <t>03-001-0062-0711 GR-S</t>
        </is>
      </c>
      <c r="D110" t="inlineStr">
        <is>
          <t>03-001-0062-0711</t>
        </is>
      </c>
      <c r="E110" t="inlineStr">
        <is>
          <t>Roper</t>
        </is>
      </c>
      <c r="F110" t="inlineStr">
        <is>
          <t>ROPER Shirt Aztec Dobby</t>
        </is>
      </c>
      <c r="G110" t="inlineStr">
        <is>
          <t>S</t>
        </is>
      </c>
      <c r="I110" t="inlineStr">
        <is>
          <t>Ropa</t>
        </is>
      </c>
      <c r="J110" t="inlineStr">
        <is>
          <t>Camisas</t>
        </is>
      </c>
      <c r="L110" t="inlineStr">
        <is>
          <t>PZS</t>
        </is>
      </c>
      <c r="M110" s="186" t="n">
        <v>23.72</v>
      </c>
      <c r="N110" s="186" t="n">
        <v>659</v>
      </c>
      <c r="O110" t="n">
        <v>0</v>
      </c>
      <c r="X110">
        <f>O110-W110</f>
        <v/>
      </c>
      <c r="Y110" t="n">
        <v>2</v>
      </c>
      <c r="AB110" s="186">
        <f>IFERROR(O110*M110,0)</f>
        <v/>
      </c>
      <c r="AC110" s="186">
        <f>IFERROR(O110*N110,0)</f>
        <v/>
      </c>
      <c r="AD110" t="inlineStr">
        <is>
          <t>Solo en plataformas</t>
        </is>
      </c>
    </row>
    <row r="111">
      <c r="A111" t="inlineStr">
        <is>
          <t>199168046026</t>
        </is>
      </c>
      <c r="C111" t="inlineStr">
        <is>
          <t>03-001-0062-0711 GR-XL</t>
        </is>
      </c>
      <c r="D111" t="inlineStr">
        <is>
          <t>03-001-0062-0711</t>
        </is>
      </c>
      <c r="E111" t="inlineStr">
        <is>
          <t>Roper</t>
        </is>
      </c>
      <c r="F111" t="inlineStr">
        <is>
          <t>ROPER Shirt Aztec Dobby</t>
        </is>
      </c>
      <c r="G111" t="inlineStr">
        <is>
          <t>XL</t>
        </is>
      </c>
      <c r="I111" t="inlineStr">
        <is>
          <t>Ropa</t>
        </is>
      </c>
      <c r="J111" t="inlineStr">
        <is>
          <t>Camisas</t>
        </is>
      </c>
      <c r="L111" t="inlineStr">
        <is>
          <t>PZS</t>
        </is>
      </c>
      <c r="M111" s="186" t="n">
        <v>23.72</v>
      </c>
      <c r="N111" s="186" t="n">
        <v>659</v>
      </c>
      <c r="O111" t="n">
        <v>0</v>
      </c>
      <c r="X111">
        <f>O111-W111</f>
        <v/>
      </c>
      <c r="Y111" t="n">
        <v>5</v>
      </c>
      <c r="AB111" s="186">
        <f>IFERROR(O111*M111,0)</f>
        <v/>
      </c>
      <c r="AC111" s="186">
        <f>IFERROR(O111*N111,0)</f>
        <v/>
      </c>
      <c r="AD111" t="inlineStr">
        <is>
          <t>Solo en plataformas</t>
        </is>
      </c>
    </row>
    <row r="112">
      <c r="A112" t="inlineStr">
        <is>
          <t>199168046033</t>
        </is>
      </c>
      <c r="C112" t="inlineStr">
        <is>
          <t>03-001-0062-0711 GR-2XL</t>
        </is>
      </c>
      <c r="D112" t="inlineStr">
        <is>
          <t>03-001-0062-0711</t>
        </is>
      </c>
      <c r="E112" t="inlineStr">
        <is>
          <t>Roper</t>
        </is>
      </c>
      <c r="F112" t="inlineStr">
        <is>
          <t>ROPER Shirt Aztec Dobby</t>
        </is>
      </c>
      <c r="G112" t="inlineStr">
        <is>
          <t>XXL</t>
        </is>
      </c>
      <c r="I112" t="inlineStr">
        <is>
          <t>Ropa</t>
        </is>
      </c>
      <c r="J112" t="inlineStr">
        <is>
          <t>Camisas</t>
        </is>
      </c>
      <c r="L112" t="inlineStr">
        <is>
          <t>PZS</t>
        </is>
      </c>
      <c r="M112" s="186" t="n">
        <v>23.72</v>
      </c>
      <c r="N112" s="186" t="n">
        <v>659</v>
      </c>
      <c r="O112" t="n">
        <v>0</v>
      </c>
      <c r="X112">
        <f>O112-W112</f>
        <v/>
      </c>
      <c r="Y112" t="n">
        <v>4</v>
      </c>
      <c r="AB112" s="186">
        <f>IFERROR(O112*M112,0)</f>
        <v/>
      </c>
      <c r="AC112" s="186">
        <f>IFERROR(O112*N112,0)</f>
        <v/>
      </c>
      <c r="AD112" t="inlineStr">
        <is>
          <t>Solo en plataformas</t>
        </is>
      </c>
    </row>
    <row r="113">
      <c r="A113" t="inlineStr">
        <is>
          <t>199168046248</t>
        </is>
      </c>
      <c r="C113" t="inlineStr">
        <is>
          <t>03-001-0064-0733 BU-M</t>
        </is>
      </c>
      <c r="D113" t="inlineStr">
        <is>
          <t>03-001-0064-0733</t>
        </is>
      </c>
      <c r="E113" t="inlineStr">
        <is>
          <t>Roper</t>
        </is>
      </c>
      <c r="F113" t="inlineStr">
        <is>
          <t>ROPER Shirt Ombre Aztecs</t>
        </is>
      </c>
      <c r="G113" t="inlineStr">
        <is>
          <t>M</t>
        </is>
      </c>
      <c r="I113" t="inlineStr">
        <is>
          <t>Ropa</t>
        </is>
      </c>
      <c r="J113" t="inlineStr">
        <is>
          <t>Camisas</t>
        </is>
      </c>
      <c r="L113" t="inlineStr">
        <is>
          <t>PZS</t>
        </is>
      </c>
      <c r="M113" s="186" t="n">
        <v>25.58</v>
      </c>
      <c r="N113" s="186" t="n">
        <v>700</v>
      </c>
      <c r="O113" t="n">
        <v>0</v>
      </c>
      <c r="X113">
        <f>O113-W113</f>
        <v/>
      </c>
      <c r="Y113" t="n">
        <v>1</v>
      </c>
      <c r="AB113" s="186">
        <f>IFERROR(O113*M113,0)</f>
        <v/>
      </c>
      <c r="AC113" s="186">
        <f>IFERROR(O113*N113,0)</f>
        <v/>
      </c>
      <c r="AD113" t="inlineStr">
        <is>
          <t>Solo en plataformas</t>
        </is>
      </c>
    </row>
    <row r="114">
      <c r="A114" t="inlineStr">
        <is>
          <t>199168046293</t>
        </is>
      </c>
      <c r="C114" t="inlineStr">
        <is>
          <t>03-001-0067-0740 BU-L</t>
        </is>
      </c>
      <c r="D114" t="inlineStr">
        <is>
          <t>03-001-0067-0740</t>
        </is>
      </c>
      <c r="E114" t="inlineStr">
        <is>
          <t>Roper</t>
        </is>
      </c>
      <c r="F114" t="inlineStr">
        <is>
          <t>ROPER Shirt Aztec Serape Print</t>
        </is>
      </c>
      <c r="G114" t="inlineStr">
        <is>
          <t>L</t>
        </is>
      </c>
      <c r="I114" t="inlineStr">
        <is>
          <t>Ropa</t>
        </is>
      </c>
      <c r="J114" t="inlineStr">
        <is>
          <t>Camisas</t>
        </is>
      </c>
      <c r="L114" t="inlineStr">
        <is>
          <t>PZS</t>
        </is>
      </c>
      <c r="M114" s="186" t="n">
        <v>25.58</v>
      </c>
      <c r="N114" s="186" t="n">
        <v>700</v>
      </c>
      <c r="O114" t="n">
        <v>0</v>
      </c>
      <c r="X114">
        <f>O114-W114</f>
        <v/>
      </c>
      <c r="Y114" t="n">
        <v>5</v>
      </c>
      <c r="AB114" s="186">
        <f>IFERROR(O114*M114,0)</f>
        <v/>
      </c>
      <c r="AC114" s="186">
        <f>IFERROR(O114*N114,0)</f>
        <v/>
      </c>
      <c r="AD114" t="inlineStr">
        <is>
          <t>Solo en plataformas</t>
        </is>
      </c>
    </row>
    <row r="115">
      <c r="A115" t="inlineStr">
        <is>
          <t>199168046309</t>
        </is>
      </c>
      <c r="C115" t="inlineStr">
        <is>
          <t>03-001-0067-0740 BU-M</t>
        </is>
      </c>
      <c r="D115" t="inlineStr">
        <is>
          <t>03-001-0067-0740</t>
        </is>
      </c>
      <c r="E115" t="inlineStr">
        <is>
          <t>Roper</t>
        </is>
      </c>
      <c r="F115" t="inlineStr">
        <is>
          <t>ROPER Shirt Aztec Serape Print</t>
        </is>
      </c>
      <c r="G115" t="inlineStr">
        <is>
          <t>M</t>
        </is>
      </c>
      <c r="I115" t="inlineStr">
        <is>
          <t>Ropa</t>
        </is>
      </c>
      <c r="J115" t="inlineStr">
        <is>
          <t>Camisas</t>
        </is>
      </c>
      <c r="L115" t="inlineStr">
        <is>
          <t>PZS</t>
        </is>
      </c>
      <c r="M115" s="186" t="n">
        <v>25.58</v>
      </c>
      <c r="N115" s="186" t="n">
        <v>700</v>
      </c>
      <c r="O115" t="n">
        <v>0</v>
      </c>
      <c r="X115">
        <f>O115-W115</f>
        <v/>
      </c>
      <c r="Y115" t="n">
        <v>5</v>
      </c>
      <c r="AB115" s="186">
        <f>IFERROR(O115*M115,0)</f>
        <v/>
      </c>
      <c r="AC115" s="186">
        <f>IFERROR(O115*N115,0)</f>
        <v/>
      </c>
      <c r="AD115" t="inlineStr">
        <is>
          <t>Solo en plataformas</t>
        </is>
      </c>
    </row>
    <row r="116">
      <c r="A116" t="inlineStr">
        <is>
          <t>199168046316</t>
        </is>
      </c>
      <c r="C116" t="inlineStr">
        <is>
          <t>03-001-0067-0740 BU-S</t>
        </is>
      </c>
      <c r="D116" t="inlineStr">
        <is>
          <t>03-001-0067-0740</t>
        </is>
      </c>
      <c r="E116" t="inlineStr">
        <is>
          <t>Roper</t>
        </is>
      </c>
      <c r="F116" t="inlineStr">
        <is>
          <t>ROPER Shirt Aztec Serape Print</t>
        </is>
      </c>
      <c r="G116" t="inlineStr">
        <is>
          <t>S</t>
        </is>
      </c>
      <c r="I116" t="inlineStr">
        <is>
          <t>Ropa</t>
        </is>
      </c>
      <c r="J116" t="inlineStr">
        <is>
          <t>Camisas</t>
        </is>
      </c>
      <c r="L116" t="inlineStr">
        <is>
          <t>PZS</t>
        </is>
      </c>
      <c r="M116" s="186" t="n">
        <v>25.58</v>
      </c>
      <c r="N116" s="186" t="n">
        <v>700</v>
      </c>
      <c r="O116" t="n">
        <v>0</v>
      </c>
      <c r="X116">
        <f>O116-W116</f>
        <v/>
      </c>
      <c r="Y116" t="n">
        <v>5</v>
      </c>
      <c r="AB116" s="186">
        <f>IFERROR(O116*M116,0)</f>
        <v/>
      </c>
      <c r="AC116" s="186">
        <f>IFERROR(O116*N116,0)</f>
        <v/>
      </c>
      <c r="AD116" t="inlineStr">
        <is>
          <t>Solo en plataformas</t>
        </is>
      </c>
    </row>
    <row r="117">
      <c r="A117" t="inlineStr">
        <is>
          <t>199168046323</t>
        </is>
      </c>
      <c r="C117" t="inlineStr">
        <is>
          <t>03-001-0067-0740 BU-XL</t>
        </is>
      </c>
      <c r="D117" t="inlineStr">
        <is>
          <t>03-001-0067-0740</t>
        </is>
      </c>
      <c r="E117" t="inlineStr">
        <is>
          <t>Roper</t>
        </is>
      </c>
      <c r="F117" t="inlineStr">
        <is>
          <t>ROPER Shirt Aztec Serape Print</t>
        </is>
      </c>
      <c r="G117" t="inlineStr">
        <is>
          <t>XL</t>
        </is>
      </c>
      <c r="I117" t="inlineStr">
        <is>
          <t>Ropa</t>
        </is>
      </c>
      <c r="J117" t="inlineStr">
        <is>
          <t>Camisas</t>
        </is>
      </c>
      <c r="L117" t="inlineStr">
        <is>
          <t>PZS</t>
        </is>
      </c>
      <c r="M117" s="186" t="n">
        <v>25.58</v>
      </c>
      <c r="N117" s="186" t="n">
        <v>700</v>
      </c>
      <c r="O117" t="n">
        <v>0</v>
      </c>
      <c r="X117">
        <f>O117-W117</f>
        <v/>
      </c>
      <c r="Y117" t="n">
        <v>5</v>
      </c>
      <c r="AB117" s="186">
        <f>IFERROR(O117*M117,0)</f>
        <v/>
      </c>
      <c r="AC117" s="186">
        <f>IFERROR(O117*N117,0)</f>
        <v/>
      </c>
      <c r="AD117" t="inlineStr">
        <is>
          <t>Solo en plataformas</t>
        </is>
      </c>
    </row>
    <row r="118">
      <c r="A118" t="inlineStr">
        <is>
          <t>199168046415</t>
        </is>
      </c>
      <c r="C118" t="inlineStr">
        <is>
          <t>03-001-0067-0742 BR-L</t>
        </is>
      </c>
      <c r="D118" t="inlineStr">
        <is>
          <t>03-001-0067-0742</t>
        </is>
      </c>
      <c r="E118" t="inlineStr">
        <is>
          <t>Roper</t>
        </is>
      </c>
      <c r="F118" t="inlineStr">
        <is>
          <t>ROPER Shirt Distressed Aztec Print</t>
        </is>
      </c>
      <c r="G118" t="inlineStr">
        <is>
          <t>L</t>
        </is>
      </c>
      <c r="I118" t="inlineStr">
        <is>
          <t>Ropa</t>
        </is>
      </c>
      <c r="J118" t="inlineStr">
        <is>
          <t>Camisas</t>
        </is>
      </c>
      <c r="L118" t="inlineStr">
        <is>
          <t>PZS</t>
        </is>
      </c>
      <c r="M118" s="186" t="n">
        <v>25.58</v>
      </c>
      <c r="N118" s="186" t="n">
        <v>700</v>
      </c>
      <c r="O118" t="n">
        <v>0</v>
      </c>
      <c r="X118">
        <f>O118-W118</f>
        <v/>
      </c>
      <c r="Y118" t="n">
        <v>20</v>
      </c>
      <c r="AB118" s="186">
        <f>IFERROR(O118*M118,0)</f>
        <v/>
      </c>
      <c r="AC118" s="186">
        <f>IFERROR(O118*N118,0)</f>
        <v/>
      </c>
      <c r="AD118" t="inlineStr">
        <is>
          <t>Solo en plataformas</t>
        </is>
      </c>
    </row>
    <row r="119">
      <c r="A119" t="inlineStr">
        <is>
          <t>199168046422</t>
        </is>
      </c>
      <c r="C119" t="inlineStr">
        <is>
          <t>03-001-0067-0742 BR-M</t>
        </is>
      </c>
      <c r="D119" t="inlineStr">
        <is>
          <t>03-001-0067-0742</t>
        </is>
      </c>
      <c r="E119" t="inlineStr">
        <is>
          <t>Roper</t>
        </is>
      </c>
      <c r="F119" t="inlineStr">
        <is>
          <t>ROPER Shirt Distressed Aztec Print</t>
        </is>
      </c>
      <c r="G119" t="inlineStr">
        <is>
          <t>M</t>
        </is>
      </c>
      <c r="I119" t="inlineStr">
        <is>
          <t>Ropa</t>
        </is>
      </c>
      <c r="J119" t="inlineStr">
        <is>
          <t>Camisas</t>
        </is>
      </c>
      <c r="L119" t="inlineStr">
        <is>
          <t>PZS</t>
        </is>
      </c>
      <c r="M119" s="186" t="n">
        <v>25.58</v>
      </c>
      <c r="N119" s="186" t="n">
        <v>700</v>
      </c>
      <c r="O119" t="n">
        <v>0</v>
      </c>
      <c r="X119">
        <f>O119-W119</f>
        <v/>
      </c>
      <c r="Y119" t="n">
        <v>17</v>
      </c>
      <c r="AB119" s="186">
        <f>IFERROR(O119*M119,0)</f>
        <v/>
      </c>
      <c r="AC119" s="186">
        <f>IFERROR(O119*N119,0)</f>
        <v/>
      </c>
      <c r="AD119" t="inlineStr">
        <is>
          <t>Solo en plataformas</t>
        </is>
      </c>
    </row>
    <row r="120">
      <c r="A120" t="inlineStr">
        <is>
          <t>199168046439</t>
        </is>
      </c>
      <c r="C120" t="inlineStr">
        <is>
          <t>03-001-0067-0742 BR-S</t>
        </is>
      </c>
      <c r="D120" t="inlineStr">
        <is>
          <t>03-001-0067-0742</t>
        </is>
      </c>
      <c r="E120" t="inlineStr">
        <is>
          <t>Roper</t>
        </is>
      </c>
      <c r="F120" t="inlineStr">
        <is>
          <t>ROPER Shirt Distressed Aztec Print</t>
        </is>
      </c>
      <c r="G120" t="inlineStr">
        <is>
          <t>S</t>
        </is>
      </c>
      <c r="I120" t="inlineStr">
        <is>
          <t>Ropa</t>
        </is>
      </c>
      <c r="J120" t="inlineStr">
        <is>
          <t>Camisas</t>
        </is>
      </c>
      <c r="L120" t="inlineStr">
        <is>
          <t>PZS</t>
        </is>
      </c>
      <c r="M120" s="186" t="n">
        <v>25.58</v>
      </c>
      <c r="N120" s="186" t="n">
        <v>700</v>
      </c>
      <c r="O120" t="n">
        <v>0</v>
      </c>
      <c r="X120">
        <f>O120-W120</f>
        <v/>
      </c>
      <c r="Y120" t="n">
        <v>14</v>
      </c>
      <c r="AB120" s="186">
        <f>IFERROR(O120*M120,0)</f>
        <v/>
      </c>
      <c r="AC120" s="186">
        <f>IFERROR(O120*N120,0)</f>
        <v/>
      </c>
      <c r="AD120" t="inlineStr">
        <is>
          <t>Solo en plataformas</t>
        </is>
      </c>
    </row>
    <row r="121">
      <c r="A121" t="inlineStr">
        <is>
          <t>199168046446</t>
        </is>
      </c>
      <c r="C121" t="inlineStr">
        <is>
          <t>03-001-0067-0742 BR-XL</t>
        </is>
      </c>
      <c r="D121" t="inlineStr">
        <is>
          <t>03-001-0067-0742</t>
        </is>
      </c>
      <c r="E121" t="inlineStr">
        <is>
          <t>Roper</t>
        </is>
      </c>
      <c r="F121" t="inlineStr">
        <is>
          <t>ROPER Shirt Distressed Aztec Print</t>
        </is>
      </c>
      <c r="G121" t="inlineStr">
        <is>
          <t>XL</t>
        </is>
      </c>
      <c r="I121" t="inlineStr">
        <is>
          <t>Ropa</t>
        </is>
      </c>
      <c r="J121" t="inlineStr">
        <is>
          <t>Camisas</t>
        </is>
      </c>
      <c r="L121" t="inlineStr">
        <is>
          <t>PZS</t>
        </is>
      </c>
      <c r="M121" s="186" t="n">
        <v>25.58</v>
      </c>
      <c r="N121" s="186" t="n">
        <v>700</v>
      </c>
      <c r="O121" t="n">
        <v>0</v>
      </c>
      <c r="X121">
        <f>O121-W121</f>
        <v/>
      </c>
      <c r="Y121" t="n">
        <v>10</v>
      </c>
      <c r="AB121" s="186">
        <f>IFERROR(O121*M121,0)</f>
        <v/>
      </c>
      <c r="AC121" s="186">
        <f>IFERROR(O121*N121,0)</f>
        <v/>
      </c>
      <c r="AD121" t="inlineStr">
        <is>
          <t>Solo en plataformas</t>
        </is>
      </c>
    </row>
    <row r="122">
      <c r="A122" t="inlineStr">
        <is>
          <t>199168089856</t>
        </is>
      </c>
      <c r="C122" t="inlineStr">
        <is>
          <t>03-001-0068-0157 BU-L</t>
        </is>
      </c>
      <c r="D122" t="inlineStr">
        <is>
          <t>03-001-0068-0157</t>
        </is>
      </c>
      <c r="E122" t="inlineStr">
        <is>
          <t>Roper</t>
        </is>
      </c>
      <c r="F122" t="inlineStr">
        <is>
          <t>ROPER Shirt Diamond Navajo Print</t>
        </is>
      </c>
      <c r="G122" t="inlineStr">
        <is>
          <t>L</t>
        </is>
      </c>
      <c r="I122" t="inlineStr">
        <is>
          <t>Ropa</t>
        </is>
      </c>
      <c r="J122" t="inlineStr">
        <is>
          <t>Camisas</t>
        </is>
      </c>
      <c r="L122" t="inlineStr">
        <is>
          <t>PZS</t>
        </is>
      </c>
      <c r="M122" s="186" t="n">
        <v>30.5</v>
      </c>
      <c r="N122" s="186" t="n">
        <v>819</v>
      </c>
      <c r="O122" t="n">
        <v>0</v>
      </c>
      <c r="X122">
        <f>O122-W122</f>
        <v/>
      </c>
      <c r="Y122" t="n">
        <v>30</v>
      </c>
      <c r="AB122" s="186">
        <f>IFERROR(O122*M122,0)</f>
        <v/>
      </c>
      <c r="AC122" s="186">
        <f>IFERROR(O122*N122,0)</f>
        <v/>
      </c>
      <c r="AD122" t="inlineStr">
        <is>
          <t>Solo en plataformas</t>
        </is>
      </c>
    </row>
    <row r="123">
      <c r="A123" t="inlineStr">
        <is>
          <t>199168089863</t>
        </is>
      </c>
      <c r="C123" t="inlineStr">
        <is>
          <t>03-001-0068-0157 BU-M</t>
        </is>
      </c>
      <c r="D123" t="inlineStr">
        <is>
          <t>03-001-0068-0157</t>
        </is>
      </c>
      <c r="E123" t="inlineStr">
        <is>
          <t>Roper</t>
        </is>
      </c>
      <c r="F123" t="inlineStr">
        <is>
          <t>ROPER Shirt Diamond Navajo Print</t>
        </is>
      </c>
      <c r="G123" t="inlineStr">
        <is>
          <t>M</t>
        </is>
      </c>
      <c r="I123" t="inlineStr">
        <is>
          <t>Ropa</t>
        </is>
      </c>
      <c r="J123" t="inlineStr">
        <is>
          <t>Camisas</t>
        </is>
      </c>
      <c r="L123" t="inlineStr">
        <is>
          <t>PZS</t>
        </is>
      </c>
      <c r="M123" s="186" t="n">
        <v>30.5</v>
      </c>
      <c r="N123" s="186" t="n">
        <v>819</v>
      </c>
      <c r="O123" t="n">
        <v>0</v>
      </c>
      <c r="X123">
        <f>O123-W123</f>
        <v/>
      </c>
      <c r="Y123" t="n">
        <v>30</v>
      </c>
      <c r="AB123" s="186">
        <f>IFERROR(O123*M123,0)</f>
        <v/>
      </c>
      <c r="AC123" s="186">
        <f>IFERROR(O123*N123,0)</f>
        <v/>
      </c>
      <c r="AD123" t="inlineStr">
        <is>
          <t>Solo en plataformas</t>
        </is>
      </c>
    </row>
    <row r="124">
      <c r="A124" t="inlineStr">
        <is>
          <t>199168089870</t>
        </is>
      </c>
      <c r="C124" t="inlineStr">
        <is>
          <t>03-001-0068-0157 BU-S</t>
        </is>
      </c>
      <c r="D124" t="inlineStr">
        <is>
          <t>03-001-0068-0157</t>
        </is>
      </c>
      <c r="E124" t="inlineStr">
        <is>
          <t>Roper</t>
        </is>
      </c>
      <c r="F124" t="inlineStr">
        <is>
          <t>ROPER Shirt Diamond Navajo Print</t>
        </is>
      </c>
      <c r="G124" t="inlineStr">
        <is>
          <t>S</t>
        </is>
      </c>
      <c r="I124" t="inlineStr">
        <is>
          <t>Ropa</t>
        </is>
      </c>
      <c r="J124" t="inlineStr">
        <is>
          <t>Camisas</t>
        </is>
      </c>
      <c r="L124" t="inlineStr">
        <is>
          <t>PZS</t>
        </is>
      </c>
      <c r="M124" s="186" t="n">
        <v>30.5</v>
      </c>
      <c r="N124" s="186" t="n">
        <v>819</v>
      </c>
      <c r="O124" t="n">
        <v>0</v>
      </c>
      <c r="X124">
        <f>O124-W124</f>
        <v/>
      </c>
      <c r="Y124" t="n">
        <v>30</v>
      </c>
      <c r="AB124" s="186">
        <f>IFERROR(O124*M124,0)</f>
        <v/>
      </c>
      <c r="AC124" s="186">
        <f>IFERROR(O124*N124,0)</f>
        <v/>
      </c>
      <c r="AD124" t="inlineStr">
        <is>
          <t>Solo en plataformas</t>
        </is>
      </c>
    </row>
    <row r="125">
      <c r="A125" t="inlineStr">
        <is>
          <t>199168089887</t>
        </is>
      </c>
      <c r="C125" t="inlineStr">
        <is>
          <t>03-001-0068-0157 BU-XL</t>
        </is>
      </c>
      <c r="D125" t="inlineStr">
        <is>
          <t>03-001-0068-0157</t>
        </is>
      </c>
      <c r="E125" t="inlineStr">
        <is>
          <t>Roper</t>
        </is>
      </c>
      <c r="F125" t="inlineStr">
        <is>
          <t>ROPER Shirt Diamond Navajo Print</t>
        </is>
      </c>
      <c r="G125" t="inlineStr">
        <is>
          <t>XL</t>
        </is>
      </c>
      <c r="I125" t="inlineStr">
        <is>
          <t>Ropa</t>
        </is>
      </c>
      <c r="J125" t="inlineStr">
        <is>
          <t>Camisas</t>
        </is>
      </c>
      <c r="L125" t="inlineStr">
        <is>
          <t>PZS</t>
        </is>
      </c>
      <c r="M125" s="186" t="n">
        <v>30.5</v>
      </c>
      <c r="N125" s="186" t="n">
        <v>819</v>
      </c>
      <c r="O125" t="n">
        <v>0</v>
      </c>
      <c r="X125">
        <f>O125-W125</f>
        <v/>
      </c>
      <c r="Y125" t="n">
        <v>20</v>
      </c>
      <c r="AB125" s="186">
        <f>IFERROR(O125*M125,0)</f>
        <v/>
      </c>
      <c r="AC125" s="186">
        <f>IFERROR(O125*N125,0)</f>
        <v/>
      </c>
      <c r="AD125" t="inlineStr">
        <is>
          <t>Solo en plataformas</t>
        </is>
      </c>
    </row>
    <row r="126">
      <c r="A126" t="inlineStr">
        <is>
          <t>199168089894</t>
        </is>
      </c>
      <c r="C126" t="inlineStr">
        <is>
          <t>03-001-0068-0157 BU-2XL</t>
        </is>
      </c>
      <c r="D126" t="inlineStr">
        <is>
          <t>03-001-0068-0157</t>
        </is>
      </c>
      <c r="E126" t="inlineStr">
        <is>
          <t>Roper</t>
        </is>
      </c>
      <c r="F126" t="inlineStr">
        <is>
          <t>ROPER Shirt Diamond Navajo Print</t>
        </is>
      </c>
      <c r="G126" t="inlineStr">
        <is>
          <t>XXL</t>
        </is>
      </c>
      <c r="I126" t="inlineStr">
        <is>
          <t>Ropa</t>
        </is>
      </c>
      <c r="J126" t="inlineStr">
        <is>
          <t>Camisas</t>
        </is>
      </c>
      <c r="L126" t="inlineStr">
        <is>
          <t>PZS</t>
        </is>
      </c>
      <c r="M126" s="186" t="n">
        <v>30.5</v>
      </c>
      <c r="N126" s="186" t="n">
        <v>819</v>
      </c>
      <c r="O126" t="n">
        <v>0</v>
      </c>
      <c r="X126">
        <f>O126-W126</f>
        <v/>
      </c>
      <c r="Y126" t="n">
        <v>10</v>
      </c>
      <c r="AB126" s="186">
        <f>IFERROR(O126*M126,0)</f>
        <v/>
      </c>
      <c r="AC126" s="186">
        <f>IFERROR(O126*N126,0)</f>
        <v/>
      </c>
      <c r="AD126" t="inlineStr">
        <is>
          <t>Solo en plataformas</t>
        </is>
      </c>
    </row>
    <row r="127">
      <c r="A127" t="inlineStr">
        <is>
          <t>199168090692</t>
        </is>
      </c>
      <c r="C127" t="inlineStr">
        <is>
          <t>03-001-0278-1056 BU-L</t>
        </is>
      </c>
      <c r="D127" t="inlineStr">
        <is>
          <t>03-001-0278-1056</t>
        </is>
      </c>
      <c r="E127" t="inlineStr">
        <is>
          <t>Roper</t>
        </is>
      </c>
      <c r="F127" t="inlineStr">
        <is>
          <t>ROPER Shirt Midnight Plaid</t>
        </is>
      </c>
      <c r="G127" t="inlineStr">
        <is>
          <t>L</t>
        </is>
      </c>
      <c r="I127" t="inlineStr">
        <is>
          <t>Ropa</t>
        </is>
      </c>
      <c r="J127" t="inlineStr">
        <is>
          <t>Camisas</t>
        </is>
      </c>
      <c r="L127" t="inlineStr">
        <is>
          <t>PZS</t>
        </is>
      </c>
      <c r="M127" s="186" t="n">
        <v>31.5</v>
      </c>
      <c r="N127" s="186" t="n">
        <v>839</v>
      </c>
      <c r="O127" t="n">
        <v>0</v>
      </c>
      <c r="X127">
        <f>O127-W127</f>
        <v/>
      </c>
      <c r="Y127" t="n">
        <v>30</v>
      </c>
      <c r="AB127" s="186">
        <f>IFERROR(O127*M127,0)</f>
        <v/>
      </c>
      <c r="AC127" s="186">
        <f>IFERROR(O127*N127,0)</f>
        <v/>
      </c>
      <c r="AD127" t="inlineStr">
        <is>
          <t>Solo en plataformas</t>
        </is>
      </c>
    </row>
    <row r="128">
      <c r="A128" t="inlineStr">
        <is>
          <t>199168090708</t>
        </is>
      </c>
      <c r="C128" t="inlineStr">
        <is>
          <t>03-001-0278-1056 BU-M</t>
        </is>
      </c>
      <c r="D128" t="inlineStr">
        <is>
          <t>03-001-0278-1056</t>
        </is>
      </c>
      <c r="E128" t="inlineStr">
        <is>
          <t>Roper</t>
        </is>
      </c>
      <c r="F128" t="inlineStr">
        <is>
          <t>ROPER Shirt Midnight Plaid</t>
        </is>
      </c>
      <c r="G128" t="inlineStr">
        <is>
          <t>M</t>
        </is>
      </c>
      <c r="I128" t="inlineStr">
        <is>
          <t>Ropa</t>
        </is>
      </c>
      <c r="J128" t="inlineStr">
        <is>
          <t>Camisas</t>
        </is>
      </c>
      <c r="L128" t="inlineStr">
        <is>
          <t>PZS</t>
        </is>
      </c>
      <c r="M128" s="186" t="n">
        <v>31.5</v>
      </c>
      <c r="N128" s="186" t="n">
        <v>839</v>
      </c>
      <c r="O128" t="n">
        <v>0</v>
      </c>
      <c r="X128">
        <f>O128-W128</f>
        <v/>
      </c>
      <c r="Y128" t="n">
        <v>30</v>
      </c>
      <c r="AB128" s="186">
        <f>IFERROR(O128*M128,0)</f>
        <v/>
      </c>
      <c r="AC128" s="186">
        <f>IFERROR(O128*N128,0)</f>
        <v/>
      </c>
      <c r="AD128" t="inlineStr">
        <is>
          <t>Solo en plataformas</t>
        </is>
      </c>
    </row>
    <row r="129">
      <c r="A129" t="inlineStr">
        <is>
          <t>199168090715</t>
        </is>
      </c>
      <c r="C129" t="inlineStr">
        <is>
          <t>03-001-0278-1056 BU-S</t>
        </is>
      </c>
      <c r="D129" t="inlineStr">
        <is>
          <t>03-001-0278-1056</t>
        </is>
      </c>
      <c r="E129" t="inlineStr">
        <is>
          <t>Roper</t>
        </is>
      </c>
      <c r="F129" t="inlineStr">
        <is>
          <t>ROPER Shirt Midnight Plaid</t>
        </is>
      </c>
      <c r="G129" t="inlineStr">
        <is>
          <t>S</t>
        </is>
      </c>
      <c r="I129" t="inlineStr">
        <is>
          <t>Ropa</t>
        </is>
      </c>
      <c r="J129" t="inlineStr">
        <is>
          <t>Camisas</t>
        </is>
      </c>
      <c r="L129" t="inlineStr">
        <is>
          <t>PZS</t>
        </is>
      </c>
      <c r="M129" s="186" t="n">
        <v>31.5</v>
      </c>
      <c r="N129" s="186" t="n">
        <v>839</v>
      </c>
      <c r="O129" t="n">
        <v>0</v>
      </c>
      <c r="X129">
        <f>O129-W129</f>
        <v/>
      </c>
      <c r="Y129" t="n">
        <v>30</v>
      </c>
      <c r="AB129" s="186">
        <f>IFERROR(O129*M129,0)</f>
        <v/>
      </c>
      <c r="AC129" s="186">
        <f>IFERROR(O129*N129,0)</f>
        <v/>
      </c>
      <c r="AD129" t="inlineStr">
        <is>
          <t>Solo en plataformas</t>
        </is>
      </c>
    </row>
    <row r="130">
      <c r="A130" t="inlineStr">
        <is>
          <t>199168090722</t>
        </is>
      </c>
      <c r="C130" t="inlineStr">
        <is>
          <t>03-001-0278-1056 BU-XL</t>
        </is>
      </c>
      <c r="D130" t="inlineStr">
        <is>
          <t>03-001-0278-1056</t>
        </is>
      </c>
      <c r="E130" t="inlineStr">
        <is>
          <t>Roper</t>
        </is>
      </c>
      <c r="F130" t="inlineStr">
        <is>
          <t>ROPER Shirt Midnight Plaid</t>
        </is>
      </c>
      <c r="G130" t="inlineStr">
        <is>
          <t>XL</t>
        </is>
      </c>
      <c r="I130" t="inlineStr">
        <is>
          <t>Ropa</t>
        </is>
      </c>
      <c r="J130" t="inlineStr">
        <is>
          <t>Camisas</t>
        </is>
      </c>
      <c r="L130" t="inlineStr">
        <is>
          <t>PZS</t>
        </is>
      </c>
      <c r="M130" s="186" t="n">
        <v>31.5</v>
      </c>
      <c r="N130" s="186" t="n">
        <v>839</v>
      </c>
      <c r="O130" t="n">
        <v>0</v>
      </c>
      <c r="X130">
        <f>O130-W130</f>
        <v/>
      </c>
      <c r="Y130" t="n">
        <v>20</v>
      </c>
      <c r="AB130" s="186">
        <f>IFERROR(O130*M130,0)</f>
        <v/>
      </c>
      <c r="AC130" s="186">
        <f>IFERROR(O130*N130,0)</f>
        <v/>
      </c>
      <c r="AD130" t="inlineStr">
        <is>
          <t>Solo en plataformas</t>
        </is>
      </c>
    </row>
    <row r="131">
      <c r="A131" t="inlineStr">
        <is>
          <t>199168090739</t>
        </is>
      </c>
      <c r="C131" t="inlineStr">
        <is>
          <t>03-001-0278-1056 BU-2XL</t>
        </is>
      </c>
      <c r="D131" t="inlineStr">
        <is>
          <t>03-001-0278-1056</t>
        </is>
      </c>
      <c r="E131" t="inlineStr">
        <is>
          <t>Roper</t>
        </is>
      </c>
      <c r="F131" t="inlineStr">
        <is>
          <t>ROPER Shirt Midnight Plaid</t>
        </is>
      </c>
      <c r="G131" t="inlineStr">
        <is>
          <t>XXL</t>
        </is>
      </c>
      <c r="I131" t="inlineStr">
        <is>
          <t>Ropa</t>
        </is>
      </c>
      <c r="J131" t="inlineStr">
        <is>
          <t>Camisas</t>
        </is>
      </c>
      <c r="L131" t="inlineStr">
        <is>
          <t>PZS</t>
        </is>
      </c>
      <c r="M131" s="186" t="n">
        <v>31.5</v>
      </c>
      <c r="N131" s="186" t="n">
        <v>839</v>
      </c>
      <c r="O131" t="n">
        <v>0</v>
      </c>
      <c r="X131">
        <f>O131-W131</f>
        <v/>
      </c>
      <c r="Y131" t="n">
        <v>8</v>
      </c>
      <c r="AB131" s="186">
        <f>IFERROR(O131*M131,0)</f>
        <v/>
      </c>
      <c r="AC131" s="186">
        <f>IFERROR(O131*N131,0)</f>
        <v/>
      </c>
      <c r="AD131" t="inlineStr">
        <is>
          <t>Solo en plataformas</t>
        </is>
      </c>
    </row>
    <row r="132">
      <c r="A132" t="inlineStr">
        <is>
          <t>199168047252</t>
        </is>
      </c>
      <c r="C132" t="inlineStr">
        <is>
          <t>03-001-0278-7038 BU-L</t>
        </is>
      </c>
      <c r="D132" t="inlineStr">
        <is>
          <t>03-001-0278-7038</t>
        </is>
      </c>
      <c r="E132" t="inlineStr">
        <is>
          <t>Roper</t>
        </is>
      </c>
      <c r="F132" t="inlineStr">
        <is>
          <t>ROPER Shirt Bluejay Plaid</t>
        </is>
      </c>
      <c r="G132" t="inlineStr">
        <is>
          <t>L</t>
        </is>
      </c>
      <c r="I132" t="inlineStr">
        <is>
          <t>Ropa</t>
        </is>
      </c>
      <c r="J132" t="inlineStr">
        <is>
          <t>Camisas</t>
        </is>
      </c>
      <c r="K132" t="inlineStr">
        <is>
          <t>Hombre</t>
        </is>
      </c>
      <c r="L132" t="inlineStr">
        <is>
          <t>PZS</t>
        </is>
      </c>
      <c r="M132" s="186" t="n">
        <v>26.51</v>
      </c>
      <c r="N132" s="186" t="n">
        <v>719</v>
      </c>
      <c r="O132" t="n">
        <v>0</v>
      </c>
      <c r="X132">
        <f>O132-W132</f>
        <v/>
      </c>
      <c r="Y132" t="n">
        <v>6</v>
      </c>
      <c r="AB132" s="186">
        <f>IFERROR(O132*M132,0)</f>
        <v/>
      </c>
      <c r="AC132" s="186">
        <f>IFERROR(O132*N132,0)</f>
        <v/>
      </c>
      <c r="AD132" t="inlineStr">
        <is>
          <t>Solo en plataformas</t>
        </is>
      </c>
    </row>
    <row r="133">
      <c r="A133" t="inlineStr">
        <is>
          <t>199168047269</t>
        </is>
      </c>
      <c r="C133" t="inlineStr">
        <is>
          <t>03-001-0278-7038 BU-M</t>
        </is>
      </c>
      <c r="D133" t="inlineStr">
        <is>
          <t>03-001-0278-7038</t>
        </is>
      </c>
      <c r="E133" t="inlineStr">
        <is>
          <t>Roper</t>
        </is>
      </c>
      <c r="F133" t="inlineStr">
        <is>
          <t>ROPER Shirt Bluejay Plaid</t>
        </is>
      </c>
      <c r="G133" t="inlineStr">
        <is>
          <t>M</t>
        </is>
      </c>
      <c r="I133" t="inlineStr">
        <is>
          <t>Ropa</t>
        </is>
      </c>
      <c r="J133" t="inlineStr">
        <is>
          <t>Camisas</t>
        </is>
      </c>
      <c r="L133" t="inlineStr">
        <is>
          <t>PZS</t>
        </is>
      </c>
      <c r="M133" s="186" t="n">
        <v>26.51</v>
      </c>
      <c r="N133" s="186" t="n">
        <v>719</v>
      </c>
      <c r="O133" t="n">
        <v>0</v>
      </c>
      <c r="X133">
        <f>O133-W133</f>
        <v/>
      </c>
      <c r="Y133" t="n">
        <v>10</v>
      </c>
      <c r="AB133" s="186">
        <f>IFERROR(O133*M133,0)</f>
        <v/>
      </c>
      <c r="AC133" s="186">
        <f>IFERROR(O133*N133,0)</f>
        <v/>
      </c>
      <c r="AD133" t="inlineStr">
        <is>
          <t>Solo en plataformas</t>
        </is>
      </c>
    </row>
    <row r="134">
      <c r="A134" t="inlineStr">
        <is>
          <t>199168047276</t>
        </is>
      </c>
      <c r="C134" t="inlineStr">
        <is>
          <t>03-001-0278-7038 BU-S</t>
        </is>
      </c>
      <c r="D134" t="inlineStr">
        <is>
          <t>03-001-0278-7038</t>
        </is>
      </c>
      <c r="E134" t="inlineStr">
        <is>
          <t>Roper</t>
        </is>
      </c>
      <c r="F134" t="inlineStr">
        <is>
          <t>ROPER Shirt Bluejay Plaid</t>
        </is>
      </c>
      <c r="G134" t="inlineStr">
        <is>
          <t>S</t>
        </is>
      </c>
      <c r="I134" t="inlineStr">
        <is>
          <t>Ropa</t>
        </is>
      </c>
      <c r="J134" t="inlineStr">
        <is>
          <t>Camisas</t>
        </is>
      </c>
      <c r="L134" t="inlineStr">
        <is>
          <t>PZS</t>
        </is>
      </c>
      <c r="M134" s="186" t="n">
        <v>26.51</v>
      </c>
      <c r="N134" s="186" t="n">
        <v>719</v>
      </c>
      <c r="O134" t="n">
        <v>0</v>
      </c>
      <c r="X134">
        <f>O134-W134</f>
        <v/>
      </c>
      <c r="Y134" t="n">
        <v>10</v>
      </c>
      <c r="AB134" s="186">
        <f>IFERROR(O134*M134,0)</f>
        <v/>
      </c>
      <c r="AC134" s="186">
        <f>IFERROR(O134*N134,0)</f>
        <v/>
      </c>
      <c r="AD134" t="inlineStr">
        <is>
          <t>Solo en plataformas</t>
        </is>
      </c>
    </row>
    <row r="135">
      <c r="A135" t="inlineStr">
        <is>
          <t>199168047283</t>
        </is>
      </c>
      <c r="C135" t="inlineStr">
        <is>
          <t>03-001-0278-7038 BU-XL</t>
        </is>
      </c>
      <c r="D135" t="inlineStr">
        <is>
          <t>03-001-0278-7038</t>
        </is>
      </c>
      <c r="E135" t="inlineStr">
        <is>
          <t>Roper</t>
        </is>
      </c>
      <c r="F135" t="inlineStr">
        <is>
          <t>ROPER Shirt Bluejay Plaid</t>
        </is>
      </c>
      <c r="G135" t="inlineStr">
        <is>
          <t>XL</t>
        </is>
      </c>
      <c r="I135" t="inlineStr">
        <is>
          <t>Ropa</t>
        </is>
      </c>
      <c r="J135" t="inlineStr">
        <is>
          <t>Camisas</t>
        </is>
      </c>
      <c r="L135" t="inlineStr">
        <is>
          <t>PZS</t>
        </is>
      </c>
      <c r="M135" s="186" t="n">
        <v>26.51</v>
      </c>
      <c r="N135" s="186" t="n">
        <v>719</v>
      </c>
      <c r="O135" t="n">
        <v>0</v>
      </c>
      <c r="X135">
        <f>O135-W135</f>
        <v/>
      </c>
      <c r="Y135" t="n">
        <v>5</v>
      </c>
      <c r="AB135" s="186">
        <f>IFERROR(O135*M135,0)</f>
        <v/>
      </c>
      <c r="AC135" s="186">
        <f>IFERROR(O135*N135,0)</f>
        <v/>
      </c>
      <c r="AD135" t="inlineStr">
        <is>
          <t>Solo en plataformas</t>
        </is>
      </c>
    </row>
    <row r="136">
      <c r="A136" t="inlineStr">
        <is>
          <t>199168047290</t>
        </is>
      </c>
      <c r="C136" t="inlineStr">
        <is>
          <t>03-001-0278-7038 BU-2XL</t>
        </is>
      </c>
      <c r="D136" t="inlineStr">
        <is>
          <t>03-001-0278-7038</t>
        </is>
      </c>
      <c r="E136" t="inlineStr">
        <is>
          <t>Roper</t>
        </is>
      </c>
      <c r="F136" t="inlineStr">
        <is>
          <t>ROPER Shirt Bluejay Plaid</t>
        </is>
      </c>
      <c r="G136" t="inlineStr">
        <is>
          <t>XXL</t>
        </is>
      </c>
      <c r="I136" t="inlineStr">
        <is>
          <t>Ropa</t>
        </is>
      </c>
      <c r="J136" t="inlineStr">
        <is>
          <t>Camisas</t>
        </is>
      </c>
      <c r="L136" t="inlineStr">
        <is>
          <t>PZS</t>
        </is>
      </c>
      <c r="M136" s="186" t="n">
        <v>26.51</v>
      </c>
      <c r="N136" s="186" t="n">
        <v>719</v>
      </c>
      <c r="O136" t="n">
        <v>0</v>
      </c>
      <c r="X136">
        <f>O136-W136</f>
        <v/>
      </c>
      <c r="Y136" t="n">
        <v>1</v>
      </c>
      <c r="AB136" s="186">
        <f>IFERROR(O136*M136,0)</f>
        <v/>
      </c>
      <c r="AC136" s="186">
        <f>IFERROR(O136*N136,0)</f>
        <v/>
      </c>
      <c r="AD136" t="inlineStr">
        <is>
          <t>Solo en plataformas</t>
        </is>
      </c>
    </row>
    <row r="137">
      <c r="A137" t="inlineStr">
        <is>
          <t>199168048716</t>
        </is>
      </c>
      <c r="C137" t="inlineStr">
        <is>
          <t>03-001-0378-7040 GY-S</t>
        </is>
      </c>
      <c r="D137" t="inlineStr">
        <is>
          <t>03-001-0378-7040</t>
        </is>
      </c>
      <c r="E137" t="inlineStr">
        <is>
          <t>Roper</t>
        </is>
      </c>
      <c r="F137" t="inlineStr">
        <is>
          <t>ROPER Shirt Silver Haze Plaid</t>
        </is>
      </c>
      <c r="G137" t="inlineStr">
        <is>
          <t>S</t>
        </is>
      </c>
      <c r="I137" t="inlineStr">
        <is>
          <t>Ropa</t>
        </is>
      </c>
      <c r="J137" t="inlineStr">
        <is>
          <t>Camisas</t>
        </is>
      </c>
      <c r="L137" t="inlineStr">
        <is>
          <t>PZS</t>
        </is>
      </c>
      <c r="M137" s="186" t="n">
        <v>26.51</v>
      </c>
      <c r="N137" s="186" t="n">
        <v>719</v>
      </c>
      <c r="O137" t="n">
        <v>0</v>
      </c>
      <c r="X137">
        <f>O137-W137</f>
        <v/>
      </c>
      <c r="Y137" t="n">
        <v>1</v>
      </c>
      <c r="AB137" s="186">
        <f>IFERROR(O137*M137,0)</f>
        <v/>
      </c>
      <c r="AC137" s="186">
        <f>IFERROR(O137*N137,0)</f>
        <v/>
      </c>
      <c r="AD137" t="inlineStr">
        <is>
          <t>Solo en plataformas</t>
        </is>
      </c>
    </row>
    <row r="138">
      <c r="A138" t="inlineStr">
        <is>
          <t>199168092016</t>
        </is>
      </c>
      <c r="C138" t="inlineStr">
        <is>
          <t>03-001-0421-0108 BL-L</t>
        </is>
      </c>
      <c r="D138" t="inlineStr">
        <is>
          <t>03-001-0421-0108</t>
        </is>
      </c>
      <c r="E138" t="inlineStr">
        <is>
          <t>Roper</t>
        </is>
      </c>
      <c r="F138" t="inlineStr">
        <is>
          <t>ROPER Shirt Painterly Rodeo Border Scen</t>
        </is>
      </c>
      <c r="G138" t="inlineStr">
        <is>
          <t>L</t>
        </is>
      </c>
      <c r="I138" t="inlineStr">
        <is>
          <t>Ropa</t>
        </is>
      </c>
      <c r="J138" t="inlineStr">
        <is>
          <t>Camisas</t>
        </is>
      </c>
      <c r="L138" t="inlineStr">
        <is>
          <t>PZS</t>
        </is>
      </c>
      <c r="M138" s="186" t="n">
        <v>38</v>
      </c>
      <c r="N138" s="186" t="n">
        <v>990</v>
      </c>
      <c r="O138" t="n">
        <v>0</v>
      </c>
      <c r="X138">
        <f>O138-W138</f>
        <v/>
      </c>
      <c r="Y138" t="n">
        <v>30</v>
      </c>
      <c r="AB138" s="186">
        <f>IFERROR(O138*M138,0)</f>
        <v/>
      </c>
      <c r="AC138" s="186">
        <f>IFERROR(O138*N138,0)</f>
        <v/>
      </c>
      <c r="AD138" t="inlineStr">
        <is>
          <t>Solo en plataformas</t>
        </is>
      </c>
    </row>
    <row r="139">
      <c r="A139" t="inlineStr">
        <is>
          <t>199168092023</t>
        </is>
      </c>
      <c r="C139" t="inlineStr">
        <is>
          <t>03-001-0421-0108 BL-M</t>
        </is>
      </c>
      <c r="D139" t="inlineStr">
        <is>
          <t>03-001-0421-0108</t>
        </is>
      </c>
      <c r="E139" t="inlineStr">
        <is>
          <t>Roper</t>
        </is>
      </c>
      <c r="F139" t="inlineStr">
        <is>
          <t>ROPER Shirt Painterly Rodeo Border Scen</t>
        </is>
      </c>
      <c r="G139" t="inlineStr">
        <is>
          <t>M</t>
        </is>
      </c>
      <c r="I139" t="inlineStr">
        <is>
          <t>Ropa</t>
        </is>
      </c>
      <c r="J139" t="inlineStr">
        <is>
          <t>Camisas</t>
        </is>
      </c>
      <c r="L139" t="inlineStr">
        <is>
          <t>PZS</t>
        </is>
      </c>
      <c r="M139" s="186" t="n">
        <v>38</v>
      </c>
      <c r="N139" s="186" t="n">
        <v>990</v>
      </c>
      <c r="O139" t="n">
        <v>0</v>
      </c>
      <c r="X139">
        <f>O139-W139</f>
        <v/>
      </c>
      <c r="Y139" t="n">
        <v>30</v>
      </c>
      <c r="AB139" s="186">
        <f>IFERROR(O139*M139,0)</f>
        <v/>
      </c>
      <c r="AC139" s="186">
        <f>IFERROR(O139*N139,0)</f>
        <v/>
      </c>
      <c r="AD139" t="inlineStr">
        <is>
          <t>Solo en plataformas</t>
        </is>
      </c>
    </row>
    <row r="140">
      <c r="A140" t="inlineStr">
        <is>
          <t>199168092030</t>
        </is>
      </c>
      <c r="C140" t="inlineStr">
        <is>
          <t>03-001-0421-0108 BL-S</t>
        </is>
      </c>
      <c r="D140" t="inlineStr">
        <is>
          <t>03-001-0421-0108</t>
        </is>
      </c>
      <c r="E140" t="inlineStr">
        <is>
          <t>Roper</t>
        </is>
      </c>
      <c r="F140" t="inlineStr">
        <is>
          <t>ROPER Shirt Painterly Rodeo Border Scen</t>
        </is>
      </c>
      <c r="G140" t="inlineStr">
        <is>
          <t>S</t>
        </is>
      </c>
      <c r="I140" t="inlineStr">
        <is>
          <t>Ropa</t>
        </is>
      </c>
      <c r="J140" t="inlineStr">
        <is>
          <t>Camisas</t>
        </is>
      </c>
      <c r="L140" t="inlineStr">
        <is>
          <t>PZS</t>
        </is>
      </c>
      <c r="M140" s="186" t="n">
        <v>38</v>
      </c>
      <c r="N140" s="186" t="n">
        <v>990</v>
      </c>
      <c r="O140" t="n">
        <v>0</v>
      </c>
      <c r="X140">
        <f>O140-W140</f>
        <v/>
      </c>
      <c r="Y140" t="n">
        <v>30</v>
      </c>
      <c r="AB140" s="186">
        <f>IFERROR(O140*M140,0)</f>
        <v/>
      </c>
      <c r="AC140" s="186">
        <f>IFERROR(O140*N140,0)</f>
        <v/>
      </c>
      <c r="AD140" t="inlineStr">
        <is>
          <t>Solo en plataformas</t>
        </is>
      </c>
    </row>
    <row r="141">
      <c r="A141" t="inlineStr">
        <is>
          <t>199168092047</t>
        </is>
      </c>
      <c r="C141" t="inlineStr">
        <is>
          <t>03-001-0421-0108 BL-XL</t>
        </is>
      </c>
      <c r="D141" t="inlineStr">
        <is>
          <t>03-001-0421-0108</t>
        </is>
      </c>
      <c r="E141" t="inlineStr">
        <is>
          <t>Roper</t>
        </is>
      </c>
      <c r="F141" t="inlineStr">
        <is>
          <t>ROPER Shirt Painterly Rodeo Border Scen</t>
        </is>
      </c>
      <c r="G141" t="inlineStr">
        <is>
          <t>XL</t>
        </is>
      </c>
      <c r="I141" t="inlineStr">
        <is>
          <t>Ropa</t>
        </is>
      </c>
      <c r="J141" t="inlineStr">
        <is>
          <t>Camisas</t>
        </is>
      </c>
      <c r="L141" t="inlineStr">
        <is>
          <t>PZS</t>
        </is>
      </c>
      <c r="M141" s="186" t="n">
        <v>38</v>
      </c>
      <c r="N141" s="186" t="n">
        <v>990</v>
      </c>
      <c r="O141" t="n">
        <v>0</v>
      </c>
      <c r="X141">
        <f>O141-W141</f>
        <v/>
      </c>
      <c r="Y141" t="n">
        <v>20</v>
      </c>
      <c r="AB141" s="186">
        <f>IFERROR(O141*M141,0)</f>
        <v/>
      </c>
      <c r="AC141" s="186">
        <f>IFERROR(O141*N141,0)</f>
        <v/>
      </c>
      <c r="AD141" t="inlineStr">
        <is>
          <t>Solo en plataformas</t>
        </is>
      </c>
    </row>
    <row r="142">
      <c r="A142" t="inlineStr">
        <is>
          <t>199168092054</t>
        </is>
      </c>
      <c r="C142" t="inlineStr">
        <is>
          <t>03-001-0421-0108 BL-2XL</t>
        </is>
      </c>
      <c r="D142" t="inlineStr">
        <is>
          <t>03-001-0421-0108</t>
        </is>
      </c>
      <c r="E142" t="inlineStr">
        <is>
          <t>Roper</t>
        </is>
      </c>
      <c r="F142" t="inlineStr">
        <is>
          <t>ROPER Shirt Painterly Rodeo Border Scen</t>
        </is>
      </c>
      <c r="G142" t="inlineStr">
        <is>
          <t>XXL</t>
        </is>
      </c>
      <c r="I142" t="inlineStr">
        <is>
          <t>Ropa</t>
        </is>
      </c>
      <c r="J142" t="inlineStr">
        <is>
          <t>Camisas</t>
        </is>
      </c>
      <c r="L142" t="inlineStr">
        <is>
          <t>PZS</t>
        </is>
      </c>
      <c r="M142" s="186" t="n">
        <v>38</v>
      </c>
      <c r="N142" s="186" t="n">
        <v>990</v>
      </c>
      <c r="O142" t="n">
        <v>0</v>
      </c>
      <c r="X142">
        <f>O142-W142</f>
        <v/>
      </c>
      <c r="Y142" t="n">
        <v>10</v>
      </c>
      <c r="AB142" s="186">
        <f>IFERROR(O142*M142,0)</f>
        <v/>
      </c>
      <c r="AC142" s="186">
        <f>IFERROR(O142*N142,0)</f>
        <v/>
      </c>
      <c r="AD142" t="inlineStr">
        <is>
          <t>Solo en plataformas</t>
        </is>
      </c>
    </row>
    <row r="143">
      <c r="A143" t="inlineStr">
        <is>
          <t>199168049058</t>
        </is>
      </c>
      <c r="C143" t="inlineStr">
        <is>
          <t>03-001-0421-0700 BR-L</t>
        </is>
      </c>
      <c r="D143" t="inlineStr">
        <is>
          <t>03-001-0421-0700</t>
        </is>
      </c>
      <c r="E143" t="inlineStr">
        <is>
          <t>Roper</t>
        </is>
      </c>
      <c r="F143" t="inlineStr">
        <is>
          <t>ROPER Shirt Country Trails Scenic</t>
        </is>
      </c>
      <c r="G143" t="inlineStr">
        <is>
          <t>L</t>
        </is>
      </c>
      <c r="I143" t="inlineStr">
        <is>
          <t>Ropa</t>
        </is>
      </c>
      <c r="J143" t="inlineStr">
        <is>
          <t>Camisas</t>
        </is>
      </c>
      <c r="L143" t="inlineStr">
        <is>
          <t>PZS</t>
        </is>
      </c>
      <c r="M143" s="186" t="n">
        <v>32.09</v>
      </c>
      <c r="N143" s="186" t="n">
        <v>859</v>
      </c>
      <c r="O143" t="n">
        <v>0</v>
      </c>
      <c r="X143">
        <f>O143-W143</f>
        <v/>
      </c>
      <c r="Y143" t="n">
        <v>7</v>
      </c>
      <c r="AB143" s="186">
        <f>IFERROR(O143*M143,0)</f>
        <v/>
      </c>
      <c r="AC143" s="186">
        <f>IFERROR(O143*N143,0)</f>
        <v/>
      </c>
      <c r="AD143" t="inlineStr">
        <is>
          <t>Solo en plataformas</t>
        </is>
      </c>
    </row>
    <row r="144">
      <c r="A144" t="inlineStr">
        <is>
          <t>199168049065</t>
        </is>
      </c>
      <c r="C144" t="inlineStr">
        <is>
          <t>03-001-0421-0700 BR-M</t>
        </is>
      </c>
      <c r="D144" t="inlineStr">
        <is>
          <t>03-001-0421-0700</t>
        </is>
      </c>
      <c r="E144" t="inlineStr">
        <is>
          <t>Roper</t>
        </is>
      </c>
      <c r="F144" t="inlineStr">
        <is>
          <t>ROPER Shirt Country Trails Scenic</t>
        </is>
      </c>
      <c r="G144" t="inlineStr">
        <is>
          <t>M</t>
        </is>
      </c>
      <c r="I144" t="inlineStr">
        <is>
          <t>Ropa</t>
        </is>
      </c>
      <c r="J144" t="inlineStr">
        <is>
          <t>Camisas</t>
        </is>
      </c>
      <c r="L144" t="inlineStr">
        <is>
          <t>PZS</t>
        </is>
      </c>
      <c r="M144" s="186" t="n">
        <v>32.09</v>
      </c>
      <c r="N144" s="186" t="n">
        <v>859</v>
      </c>
      <c r="O144" t="n">
        <v>0</v>
      </c>
      <c r="X144">
        <f>O144-W144</f>
        <v/>
      </c>
      <c r="Y144" t="n">
        <v>8</v>
      </c>
      <c r="AB144" s="186">
        <f>IFERROR(O144*M144,0)</f>
        <v/>
      </c>
      <c r="AC144" s="186">
        <f>IFERROR(O144*N144,0)</f>
        <v/>
      </c>
      <c r="AD144" t="inlineStr">
        <is>
          <t>Solo en plataformas</t>
        </is>
      </c>
    </row>
    <row r="145">
      <c r="A145" t="inlineStr">
        <is>
          <t>199168049072</t>
        </is>
      </c>
      <c r="C145" t="inlineStr">
        <is>
          <t>03-001-0421-0700 BR-S</t>
        </is>
      </c>
      <c r="D145" t="inlineStr">
        <is>
          <t>03-001-0421-0700</t>
        </is>
      </c>
      <c r="E145" t="inlineStr">
        <is>
          <t>Roper</t>
        </is>
      </c>
      <c r="F145" t="inlineStr">
        <is>
          <t>ROPER Shirt Country Trails Scenic</t>
        </is>
      </c>
      <c r="G145" t="inlineStr">
        <is>
          <t>S</t>
        </is>
      </c>
      <c r="I145" t="inlineStr">
        <is>
          <t>Ropa</t>
        </is>
      </c>
      <c r="J145" t="inlineStr">
        <is>
          <t>Camisas</t>
        </is>
      </c>
      <c r="L145" t="inlineStr">
        <is>
          <t>PZS</t>
        </is>
      </c>
      <c r="M145" s="186" t="n">
        <v>32.09</v>
      </c>
      <c r="N145" s="186" t="n">
        <v>859</v>
      </c>
      <c r="O145" t="n">
        <v>0</v>
      </c>
      <c r="X145">
        <f>O145-W145</f>
        <v/>
      </c>
      <c r="Y145" t="n">
        <v>7</v>
      </c>
      <c r="AB145" s="186">
        <f>IFERROR(O145*M145,0)</f>
        <v/>
      </c>
      <c r="AC145" s="186">
        <f>IFERROR(O145*N145,0)</f>
        <v/>
      </c>
      <c r="AD145" t="inlineStr">
        <is>
          <t>Solo en plataformas</t>
        </is>
      </c>
    </row>
    <row r="146">
      <c r="A146" t="inlineStr">
        <is>
          <t>199168049089</t>
        </is>
      </c>
      <c r="C146" t="inlineStr">
        <is>
          <t>03-001-0421-0700 BR-XL</t>
        </is>
      </c>
      <c r="D146" t="inlineStr">
        <is>
          <t>03-001-0421-0700</t>
        </is>
      </c>
      <c r="E146" t="inlineStr">
        <is>
          <t>Roper</t>
        </is>
      </c>
      <c r="F146" t="inlineStr">
        <is>
          <t>ROPER Shirt Country Trails Scenic</t>
        </is>
      </c>
      <c r="G146" t="inlineStr">
        <is>
          <t>XL</t>
        </is>
      </c>
      <c r="I146" t="inlineStr">
        <is>
          <t>Ropa</t>
        </is>
      </c>
      <c r="J146" t="inlineStr">
        <is>
          <t>Camisas</t>
        </is>
      </c>
      <c r="L146" t="inlineStr">
        <is>
          <t>PZS</t>
        </is>
      </c>
      <c r="M146" s="186" t="n">
        <v>32.09</v>
      </c>
      <c r="N146" s="186" t="n">
        <v>859</v>
      </c>
      <c r="O146" t="n">
        <v>0</v>
      </c>
      <c r="X146">
        <f>O146-W146</f>
        <v/>
      </c>
      <c r="Y146" t="n">
        <v>6</v>
      </c>
      <c r="AB146" s="186">
        <f>IFERROR(O146*M146,0)</f>
        <v/>
      </c>
      <c r="AC146" s="186">
        <f>IFERROR(O146*N146,0)</f>
        <v/>
      </c>
      <c r="AD146" t="inlineStr">
        <is>
          <t>Solo en plataformas</t>
        </is>
      </c>
    </row>
    <row r="147">
      <c r="A147" t="inlineStr">
        <is>
          <t>199168049096</t>
        </is>
      </c>
      <c r="C147" t="inlineStr">
        <is>
          <t>03-001-0421-0700 BR-2XL</t>
        </is>
      </c>
      <c r="D147" t="inlineStr">
        <is>
          <t>03-001-0421-0700</t>
        </is>
      </c>
      <c r="E147" t="inlineStr">
        <is>
          <t>Roper</t>
        </is>
      </c>
      <c r="F147" t="inlineStr">
        <is>
          <t>ROPER Shirt Country Trails Scenic</t>
        </is>
      </c>
      <c r="G147" t="inlineStr">
        <is>
          <t>XXL</t>
        </is>
      </c>
      <c r="I147" t="inlineStr">
        <is>
          <t>Ropa</t>
        </is>
      </c>
      <c r="J147" t="inlineStr">
        <is>
          <t>Camisas</t>
        </is>
      </c>
      <c r="L147" t="inlineStr">
        <is>
          <t>PZS</t>
        </is>
      </c>
      <c r="M147" s="186" t="n">
        <v>32.09</v>
      </c>
      <c r="N147" s="186" t="n">
        <v>859</v>
      </c>
      <c r="O147" t="n">
        <v>0</v>
      </c>
      <c r="X147">
        <f>O147-W147</f>
        <v/>
      </c>
      <c r="Y147" t="n">
        <v>1</v>
      </c>
      <c r="AB147" s="186">
        <f>IFERROR(O147*M147,0)</f>
        <v/>
      </c>
      <c r="AC147" s="186">
        <f>IFERROR(O147*N147,0)</f>
        <v/>
      </c>
      <c r="AD147" t="inlineStr">
        <is>
          <t>Solo en plataformas</t>
        </is>
      </c>
    </row>
    <row r="148">
      <c r="A148" t="inlineStr">
        <is>
          <t>199168092078</t>
        </is>
      </c>
      <c r="C148" t="inlineStr">
        <is>
          <t>03-001-0431-0109 BU-L</t>
        </is>
      </c>
      <c r="D148" t="inlineStr">
        <is>
          <t>03-001-0431-0109</t>
        </is>
      </c>
      <c r="E148" t="inlineStr">
        <is>
          <t>Roper</t>
        </is>
      </c>
      <c r="F148" t="inlineStr">
        <is>
          <t>ROPER Shirt Horizontal Aztec Ombre Bord</t>
        </is>
      </c>
      <c r="G148" t="inlineStr">
        <is>
          <t>L</t>
        </is>
      </c>
      <c r="I148" t="inlineStr">
        <is>
          <t>Ropa</t>
        </is>
      </c>
      <c r="J148" t="inlineStr">
        <is>
          <t>Camisas</t>
        </is>
      </c>
      <c r="L148" t="inlineStr">
        <is>
          <t>PZS</t>
        </is>
      </c>
      <c r="M148" s="186" t="n">
        <v>38</v>
      </c>
      <c r="N148" s="186" t="n">
        <v>990</v>
      </c>
      <c r="O148" t="n">
        <v>0</v>
      </c>
      <c r="X148">
        <f>O148-W148</f>
        <v/>
      </c>
      <c r="Y148" t="n">
        <v>30</v>
      </c>
      <c r="AB148" s="186">
        <f>IFERROR(O148*M148,0)</f>
        <v/>
      </c>
      <c r="AC148" s="186">
        <f>IFERROR(O148*N148,0)</f>
        <v/>
      </c>
      <c r="AD148" t="inlineStr">
        <is>
          <t>Solo en plataformas</t>
        </is>
      </c>
    </row>
    <row r="149">
      <c r="A149" t="inlineStr">
        <is>
          <t>199168092085</t>
        </is>
      </c>
      <c r="C149" t="inlineStr">
        <is>
          <t>03-001-0431-0109 BU-M</t>
        </is>
      </c>
      <c r="D149" t="inlineStr">
        <is>
          <t>03-001-0431-0109</t>
        </is>
      </c>
      <c r="E149" t="inlineStr">
        <is>
          <t>Roper</t>
        </is>
      </c>
      <c r="F149" t="inlineStr">
        <is>
          <t>ROPER Shirt Horizontal Aztec Ombre Bord</t>
        </is>
      </c>
      <c r="G149" t="inlineStr">
        <is>
          <t>M</t>
        </is>
      </c>
      <c r="I149" t="inlineStr">
        <is>
          <t>Ropa</t>
        </is>
      </c>
      <c r="J149" t="inlineStr">
        <is>
          <t>Camisas</t>
        </is>
      </c>
      <c r="L149" t="inlineStr">
        <is>
          <t>PZS</t>
        </is>
      </c>
      <c r="M149" s="186" t="n">
        <v>38</v>
      </c>
      <c r="N149" s="186" t="n">
        <v>990</v>
      </c>
      <c r="O149" t="n">
        <v>0</v>
      </c>
      <c r="X149">
        <f>O149-W149</f>
        <v/>
      </c>
      <c r="Y149" t="n">
        <v>30</v>
      </c>
      <c r="AB149" s="186">
        <f>IFERROR(O149*M149,0)</f>
        <v/>
      </c>
      <c r="AC149" s="186">
        <f>IFERROR(O149*N149,0)</f>
        <v/>
      </c>
      <c r="AD149" t="inlineStr">
        <is>
          <t>Solo en plataformas</t>
        </is>
      </c>
    </row>
    <row r="150">
      <c r="A150" t="inlineStr">
        <is>
          <t>199168092092</t>
        </is>
      </c>
      <c r="C150" t="inlineStr">
        <is>
          <t>03-001-0431-0109 BU-S</t>
        </is>
      </c>
      <c r="D150" t="inlineStr">
        <is>
          <t>03-001-0431-0109</t>
        </is>
      </c>
      <c r="E150" t="inlineStr">
        <is>
          <t>Roper</t>
        </is>
      </c>
      <c r="F150" t="inlineStr">
        <is>
          <t>ROPER Shirt Horizontal Aztec Ombre Bord</t>
        </is>
      </c>
      <c r="G150" t="inlineStr">
        <is>
          <t>S</t>
        </is>
      </c>
      <c r="I150" t="inlineStr">
        <is>
          <t>Ropa</t>
        </is>
      </c>
      <c r="J150" t="inlineStr">
        <is>
          <t>Camisas</t>
        </is>
      </c>
      <c r="L150" t="inlineStr">
        <is>
          <t>PZS</t>
        </is>
      </c>
      <c r="M150" s="186" t="n">
        <v>38</v>
      </c>
      <c r="N150" s="186" t="n">
        <v>990</v>
      </c>
      <c r="O150" t="n">
        <v>0</v>
      </c>
      <c r="X150">
        <f>O150-W150</f>
        <v/>
      </c>
      <c r="Y150" t="n">
        <v>30</v>
      </c>
      <c r="AB150" s="186">
        <f>IFERROR(O150*M150,0)</f>
        <v/>
      </c>
      <c r="AC150" s="186">
        <f>IFERROR(O150*N150,0)</f>
        <v/>
      </c>
      <c r="AD150" t="inlineStr">
        <is>
          <t>Solo en plataformas</t>
        </is>
      </c>
    </row>
    <row r="151">
      <c r="A151" t="inlineStr">
        <is>
          <t>199168092108</t>
        </is>
      </c>
      <c r="C151" t="inlineStr">
        <is>
          <t>03-001-0431-0109 BU-XL</t>
        </is>
      </c>
      <c r="D151" t="inlineStr">
        <is>
          <t>03-001-0431-0109</t>
        </is>
      </c>
      <c r="E151" t="inlineStr">
        <is>
          <t>Roper</t>
        </is>
      </c>
      <c r="F151" t="inlineStr">
        <is>
          <t>ROPER Shirt Horizontal Aztec Ombre Bord</t>
        </is>
      </c>
      <c r="G151" t="inlineStr">
        <is>
          <t>XL</t>
        </is>
      </c>
      <c r="I151" t="inlineStr">
        <is>
          <t>Ropa</t>
        </is>
      </c>
      <c r="J151" t="inlineStr">
        <is>
          <t>Camisas</t>
        </is>
      </c>
      <c r="L151" t="inlineStr">
        <is>
          <t>PZS</t>
        </is>
      </c>
      <c r="M151" s="186" t="n">
        <v>38</v>
      </c>
      <c r="N151" s="186" t="n">
        <v>990</v>
      </c>
      <c r="O151" t="n">
        <v>0</v>
      </c>
      <c r="X151">
        <f>O151-W151</f>
        <v/>
      </c>
      <c r="Y151" t="n">
        <v>20</v>
      </c>
      <c r="AB151" s="186">
        <f>IFERROR(O151*M151,0)</f>
        <v/>
      </c>
      <c r="AC151" s="186">
        <f>IFERROR(O151*N151,0)</f>
        <v/>
      </c>
      <c r="AD151" t="inlineStr">
        <is>
          <t>Solo en plataformas</t>
        </is>
      </c>
    </row>
    <row r="152">
      <c r="A152" t="inlineStr">
        <is>
          <t>199168092115</t>
        </is>
      </c>
      <c r="C152" t="inlineStr">
        <is>
          <t>03-001-0431-0109 BU-2XL</t>
        </is>
      </c>
      <c r="D152" t="inlineStr">
        <is>
          <t>03-001-0431-0109</t>
        </is>
      </c>
      <c r="E152" t="inlineStr">
        <is>
          <t>Roper</t>
        </is>
      </c>
      <c r="F152" t="inlineStr">
        <is>
          <t>ROPER Shirt Horizontal Aztec Ombre Bord</t>
        </is>
      </c>
      <c r="G152" t="inlineStr">
        <is>
          <t>XXL</t>
        </is>
      </c>
      <c r="I152" t="inlineStr">
        <is>
          <t>Ropa</t>
        </is>
      </c>
      <c r="J152" t="inlineStr">
        <is>
          <t>Camisas</t>
        </is>
      </c>
      <c r="L152" t="inlineStr">
        <is>
          <t>PZS</t>
        </is>
      </c>
      <c r="M152" s="186" t="n">
        <v>38</v>
      </c>
      <c r="N152" s="186" t="n">
        <v>990</v>
      </c>
      <c r="O152" t="n">
        <v>0</v>
      </c>
      <c r="X152">
        <f>O152-W152</f>
        <v/>
      </c>
      <c r="Y152" t="n">
        <v>10</v>
      </c>
      <c r="AB152" s="186">
        <f>IFERROR(O152*M152,0)</f>
        <v/>
      </c>
      <c r="AC152" s="186">
        <f>IFERROR(O152*N152,0)</f>
        <v/>
      </c>
      <c r="AD152" t="inlineStr">
        <is>
          <t>Solo en plataformas</t>
        </is>
      </c>
    </row>
    <row r="153">
      <c r="A153" t="inlineStr">
        <is>
          <t>199168049218</t>
        </is>
      </c>
      <c r="C153" t="inlineStr">
        <is>
          <t>03-001-0431-0702 BU-L</t>
        </is>
      </c>
      <c r="D153" t="inlineStr">
        <is>
          <t>03-001-0431-0702</t>
        </is>
      </c>
      <c r="E153" t="inlineStr">
        <is>
          <t>Roper</t>
        </is>
      </c>
      <c r="F153" t="inlineStr">
        <is>
          <t>ROPER Shirt Ombre Border Print</t>
        </is>
      </c>
      <c r="G153" t="inlineStr">
        <is>
          <t>L</t>
        </is>
      </c>
      <c r="I153" t="inlineStr">
        <is>
          <t>Ropa</t>
        </is>
      </c>
      <c r="J153" t="inlineStr">
        <is>
          <t>Camisas</t>
        </is>
      </c>
      <c r="L153" t="inlineStr">
        <is>
          <t>PZS</t>
        </is>
      </c>
      <c r="M153" s="186" t="n">
        <v>32.09</v>
      </c>
      <c r="N153" s="186" t="n">
        <v>859</v>
      </c>
      <c r="O153" t="n">
        <v>0</v>
      </c>
      <c r="X153">
        <f>O153-W153</f>
        <v/>
      </c>
      <c r="Y153" t="n">
        <v>10</v>
      </c>
      <c r="AB153" s="186">
        <f>IFERROR(O153*M153,0)</f>
        <v/>
      </c>
      <c r="AC153" s="186">
        <f>IFERROR(O153*N153,0)</f>
        <v/>
      </c>
      <c r="AD153" t="inlineStr">
        <is>
          <t>Solo en plataformas</t>
        </is>
      </c>
    </row>
    <row r="154">
      <c r="A154" t="inlineStr">
        <is>
          <t>199168049225</t>
        </is>
      </c>
      <c r="C154" t="inlineStr">
        <is>
          <t>03-001-0431-0702 BU-M</t>
        </is>
      </c>
      <c r="D154" t="inlineStr">
        <is>
          <t>03-001-0431-0702</t>
        </is>
      </c>
      <c r="E154" t="inlineStr">
        <is>
          <t>Roper</t>
        </is>
      </c>
      <c r="F154" t="inlineStr">
        <is>
          <t>ROPER Shirt Ombre Border Print</t>
        </is>
      </c>
      <c r="G154" t="inlineStr">
        <is>
          <t>M</t>
        </is>
      </c>
      <c r="I154" t="inlineStr">
        <is>
          <t>Ropa</t>
        </is>
      </c>
      <c r="J154" t="inlineStr">
        <is>
          <t>Camisas</t>
        </is>
      </c>
      <c r="L154" t="inlineStr">
        <is>
          <t>PZS</t>
        </is>
      </c>
      <c r="M154" s="186" t="n">
        <v>32.09</v>
      </c>
      <c r="N154" s="186" t="n">
        <v>859</v>
      </c>
      <c r="O154" t="n">
        <v>0</v>
      </c>
      <c r="X154">
        <f>O154-W154</f>
        <v/>
      </c>
      <c r="Y154" t="n">
        <v>10</v>
      </c>
      <c r="AB154" s="186">
        <f>IFERROR(O154*M154,0)</f>
        <v/>
      </c>
      <c r="AC154" s="186">
        <f>IFERROR(O154*N154,0)</f>
        <v/>
      </c>
      <c r="AD154" t="inlineStr">
        <is>
          <t>Solo en plataformas</t>
        </is>
      </c>
    </row>
    <row r="155">
      <c r="A155" t="inlineStr">
        <is>
          <t>199168049232</t>
        </is>
      </c>
      <c r="C155" t="inlineStr">
        <is>
          <t>03-001-0431-0702 BU-S</t>
        </is>
      </c>
      <c r="D155" t="inlineStr">
        <is>
          <t>03-001-0431-0702</t>
        </is>
      </c>
      <c r="E155" t="inlineStr">
        <is>
          <t>Roper</t>
        </is>
      </c>
      <c r="F155" t="inlineStr">
        <is>
          <t>ROPER Shirt Ombre Border Print</t>
        </is>
      </c>
      <c r="G155" t="inlineStr">
        <is>
          <t>S</t>
        </is>
      </c>
      <c r="I155" t="inlineStr">
        <is>
          <t>Ropa</t>
        </is>
      </c>
      <c r="J155" t="inlineStr">
        <is>
          <t>Camisas</t>
        </is>
      </c>
      <c r="L155" t="inlineStr">
        <is>
          <t>PZS</t>
        </is>
      </c>
      <c r="M155" s="186" t="n">
        <v>32.09</v>
      </c>
      <c r="N155" s="186" t="n">
        <v>859</v>
      </c>
      <c r="O155" t="n">
        <v>0</v>
      </c>
      <c r="X155">
        <f>O155-W155</f>
        <v/>
      </c>
      <c r="Y155" t="n">
        <v>10</v>
      </c>
      <c r="AB155" s="186">
        <f>IFERROR(O155*M155,0)</f>
        <v/>
      </c>
      <c r="AC155" s="186">
        <f>IFERROR(O155*N155,0)</f>
        <v/>
      </c>
      <c r="AD155" t="inlineStr">
        <is>
          <t>Solo en plataformas</t>
        </is>
      </c>
    </row>
    <row r="156">
      <c r="A156" t="inlineStr">
        <is>
          <t>199168049249</t>
        </is>
      </c>
      <c r="C156" t="inlineStr">
        <is>
          <t>03-001-0431-0702 BU-XL</t>
        </is>
      </c>
      <c r="D156" t="inlineStr">
        <is>
          <t>03-001-0431-0702</t>
        </is>
      </c>
      <c r="E156" t="inlineStr">
        <is>
          <t>Roper</t>
        </is>
      </c>
      <c r="F156" t="inlineStr">
        <is>
          <t>ROPER Shirt Ombre Border Print</t>
        </is>
      </c>
      <c r="G156" t="inlineStr">
        <is>
          <t>XL</t>
        </is>
      </c>
      <c r="I156" t="inlineStr">
        <is>
          <t>Ropa</t>
        </is>
      </c>
      <c r="J156" t="inlineStr">
        <is>
          <t>Camisas</t>
        </is>
      </c>
      <c r="L156" t="inlineStr">
        <is>
          <t>PZS</t>
        </is>
      </c>
      <c r="M156" s="186" t="n">
        <v>32.09</v>
      </c>
      <c r="N156" s="186" t="n">
        <v>859</v>
      </c>
      <c r="O156" t="n">
        <v>0</v>
      </c>
      <c r="X156">
        <f>O156-W156</f>
        <v/>
      </c>
      <c r="Y156" t="n">
        <v>10</v>
      </c>
      <c r="AB156" s="186">
        <f>IFERROR(O156*M156,0)</f>
        <v/>
      </c>
      <c r="AC156" s="186">
        <f>IFERROR(O156*N156,0)</f>
        <v/>
      </c>
      <c r="AD156" t="inlineStr">
        <is>
          <t>Solo en plataformas</t>
        </is>
      </c>
    </row>
    <row r="157">
      <c r="A157" t="inlineStr">
        <is>
          <t>199168049256</t>
        </is>
      </c>
      <c r="C157" t="inlineStr">
        <is>
          <t>03-001-0431-0702 BU-2XL</t>
        </is>
      </c>
      <c r="D157" t="inlineStr">
        <is>
          <t>03-001-0431-0702</t>
        </is>
      </c>
      <c r="E157" t="inlineStr">
        <is>
          <t>Roper</t>
        </is>
      </c>
      <c r="F157" t="inlineStr">
        <is>
          <t>ROPER Shirt Ombre Border Print</t>
        </is>
      </c>
      <c r="G157" t="inlineStr">
        <is>
          <t>XXL</t>
        </is>
      </c>
      <c r="I157" t="inlineStr">
        <is>
          <t>Ropa</t>
        </is>
      </c>
      <c r="J157" t="inlineStr">
        <is>
          <t>Camisas</t>
        </is>
      </c>
      <c r="L157" t="inlineStr">
        <is>
          <t>PZS</t>
        </is>
      </c>
      <c r="M157" s="186" t="n">
        <v>32.09</v>
      </c>
      <c r="N157" s="186" t="n">
        <v>859</v>
      </c>
      <c r="O157" t="n">
        <v>0</v>
      </c>
      <c r="X157">
        <f>O157-W157</f>
        <v/>
      </c>
      <c r="Y157" t="n">
        <v>3</v>
      </c>
      <c r="AB157" s="186">
        <f>IFERROR(O157*M157,0)</f>
        <v/>
      </c>
      <c r="AC157" s="186">
        <f>IFERROR(O157*N157,0)</f>
        <v/>
      </c>
      <c r="AD157" t="inlineStr">
        <is>
          <t>Solo en plataformas</t>
        </is>
      </c>
    </row>
    <row r="158">
      <c r="A158" t="inlineStr">
        <is>
          <t>199168053529</t>
        </is>
      </c>
      <c r="C158" t="inlineStr">
        <is>
          <t>03-050-0040-6001 BL-L</t>
        </is>
      </c>
      <c r="D158" t="inlineStr">
        <is>
          <t>03-050-0040-6001</t>
        </is>
      </c>
      <c r="E158" t="inlineStr">
        <is>
          <t>Roper</t>
        </is>
      </c>
      <c r="F158" t="inlineStr">
        <is>
          <t>ROPER Shirt Jet Black P/R Western</t>
        </is>
      </c>
      <c r="G158" t="inlineStr">
        <is>
          <t>L</t>
        </is>
      </c>
      <c r="H158" t="inlineStr">
        <is>
          <t>Negro</t>
        </is>
      </c>
      <c r="I158" t="inlineStr">
        <is>
          <t>Ropa</t>
        </is>
      </c>
      <c r="J158" t="inlineStr">
        <is>
          <t>Camisas</t>
        </is>
      </c>
      <c r="L158" t="inlineStr">
        <is>
          <t>PZS</t>
        </is>
      </c>
      <c r="M158" s="186" t="n">
        <v>53.48</v>
      </c>
      <c r="N158" s="186" t="n">
        <v>1349</v>
      </c>
      <c r="O158" t="n">
        <v>0</v>
      </c>
      <c r="X158">
        <f>O158-W158</f>
        <v/>
      </c>
      <c r="Y158" t="n">
        <v>11</v>
      </c>
      <c r="AB158" s="186">
        <f>IFERROR(O158*M158,0)</f>
        <v/>
      </c>
      <c r="AC158" s="186">
        <f>IFERROR(O158*N158,0)</f>
        <v/>
      </c>
      <c r="AD158" t="inlineStr">
        <is>
          <t>Solo en plataformas</t>
        </is>
      </c>
    </row>
    <row r="159">
      <c r="A159" t="inlineStr">
        <is>
          <t>199168053536</t>
        </is>
      </c>
      <c r="C159" t="inlineStr">
        <is>
          <t>03-050-0040-6001 BL-M</t>
        </is>
      </c>
      <c r="D159" t="inlineStr">
        <is>
          <t>03-050-0040-6001</t>
        </is>
      </c>
      <c r="E159" t="inlineStr">
        <is>
          <t>Roper</t>
        </is>
      </c>
      <c r="F159" t="inlineStr">
        <is>
          <t>ROPER Shirt Jet Black P/R Western</t>
        </is>
      </c>
      <c r="G159" t="inlineStr">
        <is>
          <t>M</t>
        </is>
      </c>
      <c r="H159" t="inlineStr">
        <is>
          <t>Negro</t>
        </is>
      </c>
      <c r="I159" t="inlineStr">
        <is>
          <t>Ropa</t>
        </is>
      </c>
      <c r="J159" t="inlineStr">
        <is>
          <t>Camisas</t>
        </is>
      </c>
      <c r="L159" t="inlineStr">
        <is>
          <t>PZS</t>
        </is>
      </c>
      <c r="M159" s="186" t="n">
        <v>53.48</v>
      </c>
      <c r="N159" s="186" t="n">
        <v>1349</v>
      </c>
      <c r="O159" t="n">
        <v>0</v>
      </c>
      <c r="X159">
        <f>O159-W159</f>
        <v/>
      </c>
      <c r="Y159" t="n">
        <v>11</v>
      </c>
      <c r="AB159" s="186">
        <f>IFERROR(O159*M159,0)</f>
        <v/>
      </c>
      <c r="AC159" s="186">
        <f>IFERROR(O159*N159,0)</f>
        <v/>
      </c>
      <c r="AD159" t="inlineStr">
        <is>
          <t>Solo en plataformas</t>
        </is>
      </c>
    </row>
    <row r="160">
      <c r="A160" t="inlineStr">
        <is>
          <t>199168053543</t>
        </is>
      </c>
      <c r="C160" t="inlineStr">
        <is>
          <t>03-050-0040-6001 BL-S</t>
        </is>
      </c>
      <c r="D160" t="inlineStr">
        <is>
          <t>03-050-0040-6001</t>
        </is>
      </c>
      <c r="E160" t="inlineStr">
        <is>
          <t>Roper</t>
        </is>
      </c>
      <c r="F160" t="inlineStr">
        <is>
          <t>ROPER Shirt Jet Black P/R Western</t>
        </is>
      </c>
      <c r="G160" t="inlineStr">
        <is>
          <t>S</t>
        </is>
      </c>
      <c r="H160" t="inlineStr">
        <is>
          <t>Negro</t>
        </is>
      </c>
      <c r="I160" t="inlineStr">
        <is>
          <t>Ropa</t>
        </is>
      </c>
      <c r="J160" t="inlineStr">
        <is>
          <t>Camisas</t>
        </is>
      </c>
      <c r="L160" t="inlineStr">
        <is>
          <t>PZS</t>
        </is>
      </c>
      <c r="M160" s="186" t="n">
        <v>53.48</v>
      </c>
      <c r="N160" s="186" t="n">
        <v>1349</v>
      </c>
      <c r="O160" t="n">
        <v>0</v>
      </c>
      <c r="X160">
        <f>O160-W160</f>
        <v/>
      </c>
      <c r="Y160" t="n">
        <v>10</v>
      </c>
      <c r="AB160" s="186">
        <f>IFERROR(O160*M160,0)</f>
        <v/>
      </c>
      <c r="AC160" s="186">
        <f>IFERROR(O160*N160,0)</f>
        <v/>
      </c>
      <c r="AD160" t="inlineStr">
        <is>
          <t>Solo en plataformas</t>
        </is>
      </c>
    </row>
    <row r="161">
      <c r="A161" t="inlineStr">
        <is>
          <t>199168053550</t>
        </is>
      </c>
      <c r="C161" t="inlineStr">
        <is>
          <t>03-050-0040-6001 BL-XL</t>
        </is>
      </c>
      <c r="D161" t="inlineStr">
        <is>
          <t>03-050-0040-6001</t>
        </is>
      </c>
      <c r="E161" t="inlineStr">
        <is>
          <t>Roper</t>
        </is>
      </c>
      <c r="F161" t="inlineStr">
        <is>
          <t>ROPER Shirt Jet Black P/R Western</t>
        </is>
      </c>
      <c r="G161" t="inlineStr">
        <is>
          <t>XL</t>
        </is>
      </c>
      <c r="H161" t="inlineStr">
        <is>
          <t>Negro</t>
        </is>
      </c>
      <c r="I161" t="inlineStr">
        <is>
          <t>Ropa</t>
        </is>
      </c>
      <c r="J161" t="inlineStr">
        <is>
          <t>Camisas</t>
        </is>
      </c>
      <c r="L161" t="inlineStr">
        <is>
          <t>PZS</t>
        </is>
      </c>
      <c r="M161" s="186" t="n">
        <v>53.48</v>
      </c>
      <c r="N161" s="186" t="n">
        <v>1349</v>
      </c>
      <c r="O161" t="n">
        <v>0</v>
      </c>
      <c r="X161">
        <f>O161-W161</f>
        <v/>
      </c>
      <c r="Y161" t="n">
        <v>12</v>
      </c>
      <c r="AB161" s="186">
        <f>IFERROR(O161*M161,0)</f>
        <v/>
      </c>
      <c r="AC161" s="186">
        <f>IFERROR(O161*N161,0)</f>
        <v/>
      </c>
      <c r="AD161" t="inlineStr">
        <is>
          <t>Solo en plataformas</t>
        </is>
      </c>
    </row>
    <row r="162">
      <c r="A162" t="inlineStr">
        <is>
          <t>199168053574</t>
        </is>
      </c>
      <c r="C162" t="inlineStr">
        <is>
          <t>03-050-0040-6004 BU-L</t>
        </is>
      </c>
      <c r="D162" t="inlineStr">
        <is>
          <t>03-050-0040-6004</t>
        </is>
      </c>
      <c r="E162" t="inlineStr">
        <is>
          <t>Roper</t>
        </is>
      </c>
      <c r="F162" t="inlineStr">
        <is>
          <t>ROPER Shirt Wash Denim</t>
        </is>
      </c>
      <c r="G162" t="inlineStr">
        <is>
          <t>L</t>
        </is>
      </c>
      <c r="H162" t="inlineStr">
        <is>
          <t>Azul</t>
        </is>
      </c>
      <c r="I162" t="inlineStr">
        <is>
          <t>Ropa</t>
        </is>
      </c>
      <c r="J162" t="inlineStr">
        <is>
          <t>Camisas</t>
        </is>
      </c>
      <c r="L162" t="inlineStr">
        <is>
          <t>PZS</t>
        </is>
      </c>
      <c r="M162" s="186" t="n">
        <v>58.13</v>
      </c>
      <c r="N162" s="186" t="n">
        <v>1469</v>
      </c>
      <c r="O162" t="n">
        <v>0</v>
      </c>
      <c r="X162">
        <f>O162-W162</f>
        <v/>
      </c>
      <c r="Y162" t="n">
        <v>10</v>
      </c>
      <c r="AB162" s="186">
        <f>IFERROR(O162*M162,0)</f>
        <v/>
      </c>
      <c r="AC162" s="186">
        <f>IFERROR(O162*N162,0)</f>
        <v/>
      </c>
      <c r="AD162" t="inlineStr">
        <is>
          <t>Solo en plataformas</t>
        </is>
      </c>
    </row>
    <row r="163">
      <c r="A163" t="inlineStr">
        <is>
          <t>199168053581</t>
        </is>
      </c>
      <c r="C163" t="inlineStr">
        <is>
          <t>03-050-0040-6004 BU-M</t>
        </is>
      </c>
      <c r="D163" t="inlineStr">
        <is>
          <t>03-050-0040-6004</t>
        </is>
      </c>
      <c r="E163" t="inlineStr">
        <is>
          <t>Roper</t>
        </is>
      </c>
      <c r="F163" t="inlineStr">
        <is>
          <t>ROPER Shirt Wash Denim</t>
        </is>
      </c>
      <c r="G163" t="inlineStr">
        <is>
          <t>M</t>
        </is>
      </c>
      <c r="H163" t="inlineStr">
        <is>
          <t>Azul</t>
        </is>
      </c>
      <c r="I163" t="inlineStr">
        <is>
          <t>Ropa</t>
        </is>
      </c>
      <c r="J163" t="inlineStr">
        <is>
          <t>Camisas</t>
        </is>
      </c>
      <c r="L163" t="inlineStr">
        <is>
          <t>PZS</t>
        </is>
      </c>
      <c r="M163" s="186" t="n">
        <v>58.13</v>
      </c>
      <c r="N163" s="186" t="n">
        <v>1469</v>
      </c>
      <c r="O163" t="n">
        <v>0</v>
      </c>
      <c r="X163">
        <f>O163-W163</f>
        <v/>
      </c>
      <c r="Y163" t="n">
        <v>9</v>
      </c>
      <c r="AB163" s="186">
        <f>IFERROR(O163*M163,0)</f>
        <v/>
      </c>
      <c r="AC163" s="186">
        <f>IFERROR(O163*N163,0)</f>
        <v/>
      </c>
      <c r="AD163" t="inlineStr">
        <is>
          <t>Solo en plataformas</t>
        </is>
      </c>
    </row>
    <row r="164">
      <c r="A164" t="inlineStr">
        <is>
          <t>199168053598</t>
        </is>
      </c>
      <c r="C164" t="inlineStr">
        <is>
          <t>03-050-0040-6004 BU-S</t>
        </is>
      </c>
      <c r="D164" t="inlineStr">
        <is>
          <t>03-050-0040-6004</t>
        </is>
      </c>
      <c r="E164" t="inlineStr">
        <is>
          <t>Roper</t>
        </is>
      </c>
      <c r="F164" t="inlineStr">
        <is>
          <t>ROPER Shirt Wash Denim</t>
        </is>
      </c>
      <c r="G164" t="inlineStr">
        <is>
          <t>S</t>
        </is>
      </c>
      <c r="H164" t="inlineStr">
        <is>
          <t>Azul</t>
        </is>
      </c>
      <c r="I164" t="inlineStr">
        <is>
          <t>Ropa</t>
        </is>
      </c>
      <c r="J164" t="inlineStr">
        <is>
          <t>Camisas</t>
        </is>
      </c>
      <c r="L164" t="inlineStr">
        <is>
          <t>PZS</t>
        </is>
      </c>
      <c r="M164" s="186" t="n">
        <v>58.13</v>
      </c>
      <c r="N164" s="186" t="n">
        <v>1469</v>
      </c>
      <c r="O164" t="n">
        <v>0</v>
      </c>
      <c r="X164">
        <f>O164-W164</f>
        <v/>
      </c>
      <c r="Y164" t="n">
        <v>7</v>
      </c>
      <c r="AB164" s="186">
        <f>IFERROR(O164*M164,0)</f>
        <v/>
      </c>
      <c r="AC164" s="186">
        <f>IFERROR(O164*N164,0)</f>
        <v/>
      </c>
      <c r="AD164" t="inlineStr">
        <is>
          <t>Solo en plataformas</t>
        </is>
      </c>
    </row>
    <row r="165">
      <c r="A165" t="inlineStr">
        <is>
          <t>199168053604</t>
        </is>
      </c>
      <c r="C165" t="inlineStr">
        <is>
          <t>03-050-0040-6004 BU-XL</t>
        </is>
      </c>
      <c r="D165" t="inlineStr">
        <is>
          <t>03-050-0040-6004</t>
        </is>
      </c>
      <c r="E165" t="inlineStr">
        <is>
          <t>Roper</t>
        </is>
      </c>
      <c r="F165" t="inlineStr">
        <is>
          <t>ROPER Shirt Wash Denim</t>
        </is>
      </c>
      <c r="G165" t="inlineStr">
        <is>
          <t>XL</t>
        </is>
      </c>
      <c r="H165" t="inlineStr">
        <is>
          <t>Azul</t>
        </is>
      </c>
      <c r="I165" t="inlineStr">
        <is>
          <t>Ropa</t>
        </is>
      </c>
      <c r="J165" t="inlineStr">
        <is>
          <t>Camisas</t>
        </is>
      </c>
      <c r="L165" t="inlineStr">
        <is>
          <t>PZS</t>
        </is>
      </c>
      <c r="M165" s="186" t="n">
        <v>58.13</v>
      </c>
      <c r="N165" s="186" t="n">
        <v>1469</v>
      </c>
      <c r="O165" t="n">
        <v>0</v>
      </c>
      <c r="X165">
        <f>O165-W165</f>
        <v/>
      </c>
      <c r="Y165" t="n">
        <v>9</v>
      </c>
      <c r="AB165" s="186">
        <f>IFERROR(O165*M165,0)</f>
        <v/>
      </c>
      <c r="AC165" s="186">
        <f>IFERROR(O165*N165,0)</f>
        <v/>
      </c>
      <c r="AD165" t="inlineStr">
        <is>
          <t>Solo en plataformas</t>
        </is>
      </c>
    </row>
    <row r="166">
      <c r="A166" t="inlineStr">
        <is>
          <t>199168053611</t>
        </is>
      </c>
      <c r="C166" t="inlineStr">
        <is>
          <t>03-050-0040-6004 BU-XS</t>
        </is>
      </c>
      <c r="D166" t="inlineStr">
        <is>
          <t>03-050-0040-6004</t>
        </is>
      </c>
      <c r="E166" t="inlineStr">
        <is>
          <t>Roper</t>
        </is>
      </c>
      <c r="F166" t="inlineStr">
        <is>
          <t>ROPER Shirt Wash Denim</t>
        </is>
      </c>
      <c r="G166" t="inlineStr">
        <is>
          <t>XS</t>
        </is>
      </c>
      <c r="H166" t="inlineStr">
        <is>
          <t>Azul</t>
        </is>
      </c>
      <c r="I166" t="inlineStr">
        <is>
          <t>Ropa</t>
        </is>
      </c>
      <c r="J166" t="inlineStr">
        <is>
          <t>Camisas</t>
        </is>
      </c>
      <c r="L166" t="inlineStr">
        <is>
          <t>PZS</t>
        </is>
      </c>
      <c r="M166" s="186" t="n">
        <v>58.13</v>
      </c>
      <c r="N166" s="186" t="n">
        <v>1469</v>
      </c>
      <c r="O166" t="n">
        <v>0</v>
      </c>
      <c r="X166">
        <f>O166-W166</f>
        <v/>
      </c>
      <c r="Y166" t="n">
        <v>5</v>
      </c>
      <c r="AB166" s="186">
        <f>IFERROR(O166*M166,0)</f>
        <v/>
      </c>
      <c r="AC166" s="186">
        <f>IFERROR(O166*N166,0)</f>
        <v/>
      </c>
      <c r="AD166" t="inlineStr">
        <is>
          <t>Solo en plataformas</t>
        </is>
      </c>
    </row>
    <row r="167">
      <c r="A167" t="inlineStr">
        <is>
          <t>199168094461</t>
        </is>
      </c>
      <c r="C167" t="inlineStr">
        <is>
          <t>03-050-0062-0160 BU-L</t>
        </is>
      </c>
      <c r="D167" t="inlineStr">
        <is>
          <t>03-050-0062-0160</t>
        </is>
      </c>
      <c r="E167" t="inlineStr">
        <is>
          <t>Roper</t>
        </is>
      </c>
      <c r="F167" t="inlineStr">
        <is>
          <t>ROPER Shirt Horseshoe Dobby Plaid</t>
        </is>
      </c>
      <c r="G167" t="inlineStr">
        <is>
          <t>L</t>
        </is>
      </c>
      <c r="I167" t="inlineStr">
        <is>
          <t>Ropa</t>
        </is>
      </c>
      <c r="J167" t="inlineStr">
        <is>
          <t>Camisas</t>
        </is>
      </c>
      <c r="L167" t="inlineStr">
        <is>
          <t>PZS</t>
        </is>
      </c>
      <c r="M167" s="186" t="n">
        <v>28</v>
      </c>
      <c r="N167" s="186" t="n">
        <v>759</v>
      </c>
      <c r="O167" t="n">
        <v>0</v>
      </c>
      <c r="X167">
        <f>O167-W167</f>
        <v/>
      </c>
      <c r="Y167" t="n">
        <v>20</v>
      </c>
      <c r="AB167" s="186">
        <f>IFERROR(O167*M167,0)</f>
        <v/>
      </c>
      <c r="AC167" s="186">
        <f>IFERROR(O167*N167,0)</f>
        <v/>
      </c>
      <c r="AD167" t="inlineStr">
        <is>
          <t>Solo en plataformas</t>
        </is>
      </c>
    </row>
    <row r="168">
      <c r="A168" t="inlineStr">
        <is>
          <t>199168094478</t>
        </is>
      </c>
      <c r="C168" t="inlineStr">
        <is>
          <t>03-050-0062-0160 BU-M</t>
        </is>
      </c>
      <c r="D168" t="inlineStr">
        <is>
          <t>03-050-0062-0160</t>
        </is>
      </c>
      <c r="E168" t="inlineStr">
        <is>
          <t>Roper</t>
        </is>
      </c>
      <c r="F168" t="inlineStr">
        <is>
          <t>ROPER Shirt Horseshoe Dobby Plaid</t>
        </is>
      </c>
      <c r="G168" t="inlineStr">
        <is>
          <t>M</t>
        </is>
      </c>
      <c r="I168" t="inlineStr">
        <is>
          <t>Ropa</t>
        </is>
      </c>
      <c r="J168" t="inlineStr">
        <is>
          <t>Camisas</t>
        </is>
      </c>
      <c r="L168" t="inlineStr">
        <is>
          <t>PZS</t>
        </is>
      </c>
      <c r="M168" s="186" t="n">
        <v>28</v>
      </c>
      <c r="N168" s="186" t="n">
        <v>759</v>
      </c>
      <c r="O168" t="n">
        <v>0</v>
      </c>
      <c r="X168">
        <f>O168-W168</f>
        <v/>
      </c>
      <c r="Y168" t="n">
        <v>20</v>
      </c>
      <c r="AB168" s="186">
        <f>IFERROR(O168*M168,0)</f>
        <v/>
      </c>
      <c r="AC168" s="186">
        <f>IFERROR(O168*N168,0)</f>
        <v/>
      </c>
      <c r="AD168" t="inlineStr">
        <is>
          <t>Solo en plataformas</t>
        </is>
      </c>
    </row>
    <row r="169">
      <c r="A169" t="inlineStr">
        <is>
          <t>199168094485</t>
        </is>
      </c>
      <c r="C169" t="inlineStr">
        <is>
          <t>03-050-0062-0160 BU-S</t>
        </is>
      </c>
      <c r="D169" t="inlineStr">
        <is>
          <t>03-050-0062-0160</t>
        </is>
      </c>
      <c r="E169" t="inlineStr">
        <is>
          <t>Roper</t>
        </is>
      </c>
      <c r="F169" t="inlineStr">
        <is>
          <t>ROPER Shirt Horseshoe Dobby Plaid</t>
        </is>
      </c>
      <c r="G169" t="inlineStr">
        <is>
          <t>S</t>
        </is>
      </c>
      <c r="I169" t="inlineStr">
        <is>
          <t>Ropa</t>
        </is>
      </c>
      <c r="J169" t="inlineStr">
        <is>
          <t>Camisas</t>
        </is>
      </c>
      <c r="L169" t="inlineStr">
        <is>
          <t>PZS</t>
        </is>
      </c>
      <c r="M169" s="186" t="n">
        <v>28</v>
      </c>
      <c r="N169" s="186" t="n">
        <v>759</v>
      </c>
      <c r="O169" t="n">
        <v>0</v>
      </c>
      <c r="X169">
        <f>O169-W169</f>
        <v/>
      </c>
      <c r="Y169" t="n">
        <v>20</v>
      </c>
      <c r="AB169" s="186">
        <f>IFERROR(O169*M169,0)</f>
        <v/>
      </c>
      <c r="AC169" s="186">
        <f>IFERROR(O169*N169,0)</f>
        <v/>
      </c>
      <c r="AD169" t="inlineStr">
        <is>
          <t>Solo en plataformas</t>
        </is>
      </c>
    </row>
    <row r="170">
      <c r="A170" t="inlineStr">
        <is>
          <t>199168094492</t>
        </is>
      </c>
      <c r="C170" t="inlineStr">
        <is>
          <t>03-050-0062-0160 BU-XL</t>
        </is>
      </c>
      <c r="D170" t="inlineStr">
        <is>
          <t>03-050-0062-0160</t>
        </is>
      </c>
      <c r="E170" t="inlineStr">
        <is>
          <t>Roper</t>
        </is>
      </c>
      <c r="F170" t="inlineStr">
        <is>
          <t>ROPER Shirt Horseshoe Dobby Plaid</t>
        </is>
      </c>
      <c r="G170" t="inlineStr">
        <is>
          <t>XL</t>
        </is>
      </c>
      <c r="I170" t="inlineStr">
        <is>
          <t>Ropa</t>
        </is>
      </c>
      <c r="J170" t="inlineStr">
        <is>
          <t>Camisas</t>
        </is>
      </c>
      <c r="L170" t="inlineStr">
        <is>
          <t>PZS</t>
        </is>
      </c>
      <c r="M170" s="186" t="n">
        <v>28</v>
      </c>
      <c r="N170" s="186" t="n">
        <v>759</v>
      </c>
      <c r="O170" t="n">
        <v>0</v>
      </c>
      <c r="X170">
        <f>O170-W170</f>
        <v/>
      </c>
      <c r="Y170" t="n">
        <v>10</v>
      </c>
      <c r="AB170" s="186">
        <f>IFERROR(O170*M170,0)</f>
        <v/>
      </c>
      <c r="AC170" s="186">
        <f>IFERROR(O170*N170,0)</f>
        <v/>
      </c>
      <c r="AD170" t="inlineStr">
        <is>
          <t>Solo en plataformas</t>
        </is>
      </c>
    </row>
    <row r="171">
      <c r="A171" t="inlineStr">
        <is>
          <t>199168094508</t>
        </is>
      </c>
      <c r="C171" t="inlineStr">
        <is>
          <t>03-050-0062-0160 BU-XS</t>
        </is>
      </c>
      <c r="D171" t="inlineStr">
        <is>
          <t>03-050-0062-0160</t>
        </is>
      </c>
      <c r="E171" t="inlineStr">
        <is>
          <t>Roper</t>
        </is>
      </c>
      <c r="F171" t="inlineStr">
        <is>
          <t>ROPER Shirt Horseshoe Dobby Plaid</t>
        </is>
      </c>
      <c r="G171" t="inlineStr">
        <is>
          <t>XS</t>
        </is>
      </c>
      <c r="I171" t="inlineStr">
        <is>
          <t>Ropa</t>
        </is>
      </c>
      <c r="J171" t="inlineStr">
        <is>
          <t>Camisas</t>
        </is>
      </c>
      <c r="L171" t="inlineStr">
        <is>
          <t>PZS</t>
        </is>
      </c>
      <c r="M171" s="186" t="n">
        <v>28</v>
      </c>
      <c r="N171" s="186" t="n">
        <v>759</v>
      </c>
      <c r="O171" t="n">
        <v>0</v>
      </c>
      <c r="X171">
        <f>O171-W171</f>
        <v/>
      </c>
      <c r="Y171" t="n">
        <v>10</v>
      </c>
      <c r="AB171" s="186">
        <f>IFERROR(O171*M171,0)</f>
        <v/>
      </c>
      <c r="AC171" s="186">
        <f>IFERROR(O171*N171,0)</f>
        <v/>
      </c>
      <c r="AD171" t="inlineStr">
        <is>
          <t>Solo en plataformas</t>
        </is>
      </c>
    </row>
    <row r="172">
      <c r="A172" t="inlineStr">
        <is>
          <t>199168053888</t>
        </is>
      </c>
      <c r="C172" t="inlineStr">
        <is>
          <t>03-050-0062-0709 BR-L</t>
        </is>
      </c>
      <c r="D172" t="inlineStr">
        <is>
          <t>03-050-0062-0709</t>
        </is>
      </c>
      <c r="E172" t="inlineStr">
        <is>
          <t>Roper</t>
        </is>
      </c>
      <c r="F172" t="inlineStr">
        <is>
          <t>ROPER Shirt Arrow Dobby</t>
        </is>
      </c>
      <c r="G172" t="inlineStr">
        <is>
          <t>L</t>
        </is>
      </c>
      <c r="I172" t="inlineStr">
        <is>
          <t>Ropa</t>
        </is>
      </c>
      <c r="J172" t="inlineStr">
        <is>
          <t>Camisas</t>
        </is>
      </c>
      <c r="K172" t="inlineStr">
        <is>
          <t>Mujer</t>
        </is>
      </c>
      <c r="L172" t="inlineStr">
        <is>
          <t>PZS</t>
        </is>
      </c>
      <c r="M172" s="186" t="n">
        <v>23.72</v>
      </c>
      <c r="N172" s="186" t="n">
        <v>659</v>
      </c>
      <c r="O172" t="n">
        <v>0</v>
      </c>
      <c r="X172">
        <f>O172-W172</f>
        <v/>
      </c>
      <c r="Y172" t="n">
        <v>12</v>
      </c>
      <c r="AB172" s="186">
        <f>IFERROR(O172*M172,0)</f>
        <v/>
      </c>
      <c r="AC172" s="186">
        <f>IFERROR(O172*N172,0)</f>
        <v/>
      </c>
      <c r="AD172" t="inlineStr">
        <is>
          <t>Solo en plataformas</t>
        </is>
      </c>
    </row>
    <row r="173">
      <c r="A173" t="inlineStr">
        <is>
          <t>199168053895</t>
        </is>
      </c>
      <c r="C173" t="inlineStr">
        <is>
          <t>03-050-0062-0709 BR-M</t>
        </is>
      </c>
      <c r="D173" t="inlineStr">
        <is>
          <t>03-050-0062-0709</t>
        </is>
      </c>
      <c r="E173" t="inlineStr">
        <is>
          <t>Roper</t>
        </is>
      </c>
      <c r="F173" t="inlineStr">
        <is>
          <t>ROPER Shirt Arrow Dobby</t>
        </is>
      </c>
      <c r="G173" t="inlineStr">
        <is>
          <t>M</t>
        </is>
      </c>
      <c r="I173" t="inlineStr">
        <is>
          <t>Ropa</t>
        </is>
      </c>
      <c r="J173" t="inlineStr">
        <is>
          <t>Camisas</t>
        </is>
      </c>
      <c r="L173" t="inlineStr">
        <is>
          <t>PZS</t>
        </is>
      </c>
      <c r="M173" s="186" t="n">
        <v>23.72</v>
      </c>
      <c r="N173" s="186" t="n">
        <v>659</v>
      </c>
      <c r="O173" t="n">
        <v>0</v>
      </c>
      <c r="X173">
        <f>O173-W173</f>
        <v/>
      </c>
      <c r="Y173" t="n">
        <v>12</v>
      </c>
      <c r="AB173" s="186">
        <f>IFERROR(O173*M173,0)</f>
        <v/>
      </c>
      <c r="AC173" s="186">
        <f>IFERROR(O173*N173,0)</f>
        <v/>
      </c>
      <c r="AD173" t="inlineStr">
        <is>
          <t>Solo en plataformas</t>
        </is>
      </c>
    </row>
    <row r="174">
      <c r="A174" t="inlineStr">
        <is>
          <t>199168053901</t>
        </is>
      </c>
      <c r="C174" t="inlineStr">
        <is>
          <t>03-050-0062-0709 BR-S</t>
        </is>
      </c>
      <c r="D174" t="inlineStr">
        <is>
          <t>03-050-0062-0709</t>
        </is>
      </c>
      <c r="E174" t="inlineStr">
        <is>
          <t>Roper</t>
        </is>
      </c>
      <c r="F174" t="inlineStr">
        <is>
          <t>ROPER Shirt Arrow Dobby</t>
        </is>
      </c>
      <c r="G174" t="inlineStr">
        <is>
          <t>S</t>
        </is>
      </c>
      <c r="I174" t="inlineStr">
        <is>
          <t>Ropa</t>
        </is>
      </c>
      <c r="J174" t="inlineStr">
        <is>
          <t>Camisas</t>
        </is>
      </c>
      <c r="L174" t="inlineStr">
        <is>
          <t>PZS</t>
        </is>
      </c>
      <c r="M174" s="186" t="n">
        <v>23.72</v>
      </c>
      <c r="N174" s="186" t="n">
        <v>659</v>
      </c>
      <c r="O174" t="n">
        <v>0</v>
      </c>
      <c r="X174">
        <f>O174-W174</f>
        <v/>
      </c>
      <c r="Y174" t="n">
        <v>11</v>
      </c>
      <c r="AB174" s="186">
        <f>IFERROR(O174*M174,0)</f>
        <v/>
      </c>
      <c r="AC174" s="186">
        <f>IFERROR(O174*N174,0)</f>
        <v/>
      </c>
      <c r="AD174" t="inlineStr">
        <is>
          <t>Solo en plataformas</t>
        </is>
      </c>
    </row>
    <row r="175">
      <c r="A175" t="inlineStr">
        <is>
          <t>199168053918</t>
        </is>
      </c>
      <c r="C175" t="inlineStr">
        <is>
          <t>03-050-0062-0709 BR-XL</t>
        </is>
      </c>
      <c r="D175" t="inlineStr">
        <is>
          <t>03-050-0062-0709</t>
        </is>
      </c>
      <c r="E175" t="inlineStr">
        <is>
          <t>Roper</t>
        </is>
      </c>
      <c r="F175" t="inlineStr">
        <is>
          <t>ROPER Shirt Arrow Dobby</t>
        </is>
      </c>
      <c r="G175" t="inlineStr">
        <is>
          <t>XL</t>
        </is>
      </c>
      <c r="I175" t="inlineStr">
        <is>
          <t>Ropa</t>
        </is>
      </c>
      <c r="J175" t="inlineStr">
        <is>
          <t>Camisas</t>
        </is>
      </c>
      <c r="L175" t="inlineStr">
        <is>
          <t>PZS</t>
        </is>
      </c>
      <c r="M175" s="186" t="n">
        <v>23.72</v>
      </c>
      <c r="N175" s="186" t="n">
        <v>659</v>
      </c>
      <c r="O175" t="n">
        <v>0</v>
      </c>
      <c r="X175">
        <f>O175-W175</f>
        <v/>
      </c>
      <c r="Y175" t="n">
        <v>11</v>
      </c>
      <c r="AB175" s="186">
        <f>IFERROR(O175*M175,0)</f>
        <v/>
      </c>
      <c r="AC175" s="186">
        <f>IFERROR(O175*N175,0)</f>
        <v/>
      </c>
      <c r="AD175" t="inlineStr">
        <is>
          <t>Solo en plataformas</t>
        </is>
      </c>
    </row>
    <row r="176">
      <c r="A176" t="inlineStr">
        <is>
          <t>199168053932</t>
        </is>
      </c>
      <c r="C176" t="inlineStr">
        <is>
          <t>03-050-0062-0711 GR-L</t>
        </is>
      </c>
      <c r="D176" t="inlineStr">
        <is>
          <t>03-050-0062-0711</t>
        </is>
      </c>
      <c r="E176" t="inlineStr">
        <is>
          <t>Roper</t>
        </is>
      </c>
      <c r="F176" t="inlineStr">
        <is>
          <t>ROPER Shirt Aztec Dobby</t>
        </is>
      </c>
      <c r="G176" t="inlineStr">
        <is>
          <t>L</t>
        </is>
      </c>
      <c r="I176" t="inlineStr">
        <is>
          <t>Ropa</t>
        </is>
      </c>
      <c r="J176" t="inlineStr">
        <is>
          <t>Camisas</t>
        </is>
      </c>
      <c r="L176" t="inlineStr">
        <is>
          <t>PZS</t>
        </is>
      </c>
      <c r="M176" s="186" t="n">
        <v>23.72</v>
      </c>
      <c r="N176" s="186" t="n">
        <v>659</v>
      </c>
      <c r="O176" t="n">
        <v>0</v>
      </c>
      <c r="X176">
        <f>O176-W176</f>
        <v/>
      </c>
      <c r="Y176" t="n">
        <v>5</v>
      </c>
      <c r="AB176" s="186">
        <f>IFERROR(O176*M176,0)</f>
        <v/>
      </c>
      <c r="AC176" s="186">
        <f>IFERROR(O176*N176,0)</f>
        <v/>
      </c>
      <c r="AD176" t="inlineStr">
        <is>
          <t>Solo en plataformas</t>
        </is>
      </c>
    </row>
    <row r="177">
      <c r="A177" t="inlineStr">
        <is>
          <t>199168053949</t>
        </is>
      </c>
      <c r="C177" t="inlineStr">
        <is>
          <t>03-050-0062-0711 GR-M</t>
        </is>
      </c>
      <c r="D177" t="inlineStr">
        <is>
          <t>03-050-0062-0711</t>
        </is>
      </c>
      <c r="E177" t="inlineStr">
        <is>
          <t>Roper</t>
        </is>
      </c>
      <c r="F177" t="inlineStr">
        <is>
          <t>ROPER Shirt Aztec Dobby</t>
        </is>
      </c>
      <c r="G177" t="inlineStr">
        <is>
          <t>M</t>
        </is>
      </c>
      <c r="I177" t="inlineStr">
        <is>
          <t>Ropa</t>
        </is>
      </c>
      <c r="J177" t="inlineStr">
        <is>
          <t>Camisas</t>
        </is>
      </c>
      <c r="L177" t="inlineStr">
        <is>
          <t>PZS</t>
        </is>
      </c>
      <c r="M177" s="186" t="n">
        <v>23.72</v>
      </c>
      <c r="N177" s="186" t="n">
        <v>659</v>
      </c>
      <c r="O177" t="n">
        <v>0</v>
      </c>
      <c r="X177">
        <f>O177-W177</f>
        <v/>
      </c>
      <c r="Y177" t="n">
        <v>5</v>
      </c>
      <c r="AB177" s="186">
        <f>IFERROR(O177*M177,0)</f>
        <v/>
      </c>
      <c r="AC177" s="186">
        <f>IFERROR(O177*N177,0)</f>
        <v/>
      </c>
      <c r="AD177" t="inlineStr">
        <is>
          <t>Solo en plataformas</t>
        </is>
      </c>
    </row>
    <row r="178">
      <c r="A178" t="inlineStr">
        <is>
          <t>199168053956</t>
        </is>
      </c>
      <c r="C178" t="inlineStr">
        <is>
          <t>03-050-0062-0711 GR-S</t>
        </is>
      </c>
      <c r="D178" t="inlineStr">
        <is>
          <t>03-050-0062-0711</t>
        </is>
      </c>
      <c r="E178" t="inlineStr">
        <is>
          <t>Roper</t>
        </is>
      </c>
      <c r="F178" t="inlineStr">
        <is>
          <t>ROPER Shirt Aztec Dobby</t>
        </is>
      </c>
      <c r="G178" t="inlineStr">
        <is>
          <t>S</t>
        </is>
      </c>
      <c r="I178" t="inlineStr">
        <is>
          <t>Ropa</t>
        </is>
      </c>
      <c r="J178" t="inlineStr">
        <is>
          <t>Camisas</t>
        </is>
      </c>
      <c r="L178" t="inlineStr">
        <is>
          <t>PZS</t>
        </is>
      </c>
      <c r="M178" s="186" t="n">
        <v>23.72</v>
      </c>
      <c r="N178" s="186" t="n">
        <v>659</v>
      </c>
      <c r="O178" t="n">
        <v>0</v>
      </c>
      <c r="X178">
        <f>O178-W178</f>
        <v/>
      </c>
      <c r="Y178" t="n">
        <v>5</v>
      </c>
      <c r="AB178" s="186">
        <f>IFERROR(O178*M178,0)</f>
        <v/>
      </c>
      <c r="AC178" s="186">
        <f>IFERROR(O178*N178,0)</f>
        <v/>
      </c>
      <c r="AD178" t="inlineStr">
        <is>
          <t>Solo en plataformas</t>
        </is>
      </c>
    </row>
    <row r="179">
      <c r="A179" t="inlineStr">
        <is>
          <t>199168053963</t>
        </is>
      </c>
      <c r="C179" t="inlineStr">
        <is>
          <t>03-050-0062-0711 GR-XL</t>
        </is>
      </c>
      <c r="D179" t="inlineStr">
        <is>
          <t>03-050-0062-0711</t>
        </is>
      </c>
      <c r="E179" t="inlineStr">
        <is>
          <t>Roper</t>
        </is>
      </c>
      <c r="F179" t="inlineStr">
        <is>
          <t>ROPER Shirt Aztec Dobby</t>
        </is>
      </c>
      <c r="G179" t="inlineStr">
        <is>
          <t>XL</t>
        </is>
      </c>
      <c r="I179" t="inlineStr">
        <is>
          <t>Ropa</t>
        </is>
      </c>
      <c r="J179" t="inlineStr">
        <is>
          <t>Camisas</t>
        </is>
      </c>
      <c r="L179" t="inlineStr">
        <is>
          <t>PZS</t>
        </is>
      </c>
      <c r="M179" s="186" t="n">
        <v>23.72</v>
      </c>
      <c r="N179" s="186" t="n">
        <v>659</v>
      </c>
      <c r="O179" t="n">
        <v>0</v>
      </c>
      <c r="X179">
        <f>O179-W179</f>
        <v/>
      </c>
      <c r="Y179" t="n">
        <v>5</v>
      </c>
      <c r="AB179" s="186">
        <f>IFERROR(O179*M179,0)</f>
        <v/>
      </c>
      <c r="AC179" s="186">
        <f>IFERROR(O179*N179,0)</f>
        <v/>
      </c>
      <c r="AD179" t="inlineStr">
        <is>
          <t>Solo en plataformas</t>
        </is>
      </c>
    </row>
    <row r="180">
      <c r="A180" t="inlineStr">
        <is>
          <t>199168054069</t>
        </is>
      </c>
      <c r="C180" t="inlineStr">
        <is>
          <t>03-050-0064-0730 BL-1XL</t>
        </is>
      </c>
      <c r="D180" t="inlineStr">
        <is>
          <t>03-050-0064-0730</t>
        </is>
      </c>
      <c r="E180" t="inlineStr">
        <is>
          <t>Roper</t>
        </is>
      </c>
      <c r="F180" t="inlineStr">
        <is>
          <t>ROPER Shirt Paisley Stamps</t>
        </is>
      </c>
      <c r="I180" t="inlineStr">
        <is>
          <t>Ropa</t>
        </is>
      </c>
      <c r="J180" t="inlineStr">
        <is>
          <t>Camisas</t>
        </is>
      </c>
      <c r="L180" t="inlineStr">
        <is>
          <t>PZS</t>
        </is>
      </c>
      <c r="M180" s="186" t="n">
        <v>23.72</v>
      </c>
      <c r="N180" s="186" t="n">
        <v>659</v>
      </c>
      <c r="O180" t="n">
        <v>0</v>
      </c>
      <c r="X180">
        <f>O180-W180</f>
        <v/>
      </c>
      <c r="Y180" t="n">
        <v>4</v>
      </c>
      <c r="AB180" s="186">
        <f>IFERROR(O180*M180,0)</f>
        <v/>
      </c>
      <c r="AC180" s="186">
        <f>IFERROR(O180*N180,0)</f>
        <v/>
      </c>
      <c r="AD180" t="inlineStr">
        <is>
          <t>Solo en plataformas</t>
        </is>
      </c>
    </row>
    <row r="181">
      <c r="A181" t="inlineStr">
        <is>
          <t>199168054014</t>
        </is>
      </c>
      <c r="C181" t="inlineStr">
        <is>
          <t>03-050-0064-0730 BL-L</t>
        </is>
      </c>
      <c r="D181" t="inlineStr">
        <is>
          <t>03-050-0064-0730</t>
        </is>
      </c>
      <c r="E181" t="inlineStr">
        <is>
          <t>Roper</t>
        </is>
      </c>
      <c r="F181" t="inlineStr">
        <is>
          <t>ROPER Shirt Paisley Stamps</t>
        </is>
      </c>
      <c r="G181" t="inlineStr">
        <is>
          <t>L</t>
        </is>
      </c>
      <c r="I181" t="inlineStr">
        <is>
          <t>Ropa</t>
        </is>
      </c>
      <c r="J181" t="inlineStr">
        <is>
          <t>Camisas</t>
        </is>
      </c>
      <c r="L181" t="inlineStr">
        <is>
          <t>PZS</t>
        </is>
      </c>
      <c r="M181" s="186" t="n">
        <v>23.72</v>
      </c>
      <c r="N181" s="186" t="n">
        <v>659</v>
      </c>
      <c r="O181" t="n">
        <v>0</v>
      </c>
      <c r="X181">
        <f>O181-W181</f>
        <v/>
      </c>
      <c r="Y181" t="n">
        <v>10</v>
      </c>
      <c r="AB181" s="186">
        <f>IFERROR(O181*M181,0)</f>
        <v/>
      </c>
      <c r="AC181" s="186">
        <f>IFERROR(O181*N181,0)</f>
        <v/>
      </c>
      <c r="AD181" t="inlineStr">
        <is>
          <t>Solo en plataformas</t>
        </is>
      </c>
    </row>
    <row r="182">
      <c r="A182" t="inlineStr">
        <is>
          <t>199168054021</t>
        </is>
      </c>
      <c r="C182" t="inlineStr">
        <is>
          <t>03-050-0064-0730 BL-M</t>
        </is>
      </c>
      <c r="D182" t="inlineStr">
        <is>
          <t>03-050-0064-0730</t>
        </is>
      </c>
      <c r="E182" t="inlineStr">
        <is>
          <t>Roper</t>
        </is>
      </c>
      <c r="F182" t="inlineStr">
        <is>
          <t>ROPER Shirt Paisley Stamps</t>
        </is>
      </c>
      <c r="G182" t="inlineStr">
        <is>
          <t>M</t>
        </is>
      </c>
      <c r="I182" t="inlineStr">
        <is>
          <t>Ropa</t>
        </is>
      </c>
      <c r="J182" t="inlineStr">
        <is>
          <t>Camisas</t>
        </is>
      </c>
      <c r="L182" t="inlineStr">
        <is>
          <t>PZS</t>
        </is>
      </c>
      <c r="M182" s="186" t="n">
        <v>23.72</v>
      </c>
      <c r="N182" s="186" t="n">
        <v>659</v>
      </c>
      <c r="O182" t="n">
        <v>0</v>
      </c>
      <c r="X182">
        <f>O182-W182</f>
        <v/>
      </c>
      <c r="Y182" t="n">
        <v>10</v>
      </c>
      <c r="AB182" s="186">
        <f>IFERROR(O182*M182,0)</f>
        <v/>
      </c>
      <c r="AC182" s="186">
        <f>IFERROR(O182*N182,0)</f>
        <v/>
      </c>
      <c r="AD182" t="inlineStr">
        <is>
          <t>Solo en plataformas</t>
        </is>
      </c>
    </row>
    <row r="183">
      <c r="A183" t="inlineStr">
        <is>
          <t>199168054038</t>
        </is>
      </c>
      <c r="C183" t="inlineStr">
        <is>
          <t>03-050-0064-0730 BL-S</t>
        </is>
      </c>
      <c r="D183" t="inlineStr">
        <is>
          <t>03-050-0064-0730</t>
        </is>
      </c>
      <c r="E183" t="inlineStr">
        <is>
          <t>Roper</t>
        </is>
      </c>
      <c r="F183" t="inlineStr">
        <is>
          <t>ROPER Shirt Paisley Stamps</t>
        </is>
      </c>
      <c r="G183" t="inlineStr">
        <is>
          <t>S</t>
        </is>
      </c>
      <c r="I183" t="inlineStr">
        <is>
          <t>Ropa</t>
        </is>
      </c>
      <c r="J183" t="inlineStr">
        <is>
          <t>Camisas</t>
        </is>
      </c>
      <c r="L183" t="inlineStr">
        <is>
          <t>PZS</t>
        </is>
      </c>
      <c r="M183" s="186" t="n">
        <v>23.72</v>
      </c>
      <c r="N183" s="186" t="n">
        <v>659</v>
      </c>
      <c r="O183" t="n">
        <v>0</v>
      </c>
      <c r="X183">
        <f>O183-W183</f>
        <v/>
      </c>
      <c r="Y183" t="n">
        <v>9</v>
      </c>
      <c r="AB183" s="186">
        <f>IFERROR(O183*M183,0)</f>
        <v/>
      </c>
      <c r="AC183" s="186">
        <f>IFERROR(O183*N183,0)</f>
        <v/>
      </c>
      <c r="AD183" t="inlineStr">
        <is>
          <t>Solo en plataformas</t>
        </is>
      </c>
    </row>
    <row r="184">
      <c r="A184" t="inlineStr">
        <is>
          <t>199168054045</t>
        </is>
      </c>
      <c r="C184" t="inlineStr">
        <is>
          <t>03-050-0064-0730 BL-XL</t>
        </is>
      </c>
      <c r="D184" t="inlineStr">
        <is>
          <t>03-050-0064-0730</t>
        </is>
      </c>
      <c r="E184" t="inlineStr">
        <is>
          <t>Roper</t>
        </is>
      </c>
      <c r="F184" t="inlineStr">
        <is>
          <t>ROPER Shirt Paisley Stamps</t>
        </is>
      </c>
      <c r="G184" t="inlineStr">
        <is>
          <t>XL</t>
        </is>
      </c>
      <c r="I184" t="inlineStr">
        <is>
          <t>Ropa</t>
        </is>
      </c>
      <c r="J184" t="inlineStr">
        <is>
          <t>Camisas</t>
        </is>
      </c>
      <c r="L184" t="inlineStr">
        <is>
          <t>PZS</t>
        </is>
      </c>
      <c r="M184" s="186" t="n">
        <v>23.72</v>
      </c>
      <c r="N184" s="186" t="n">
        <v>659</v>
      </c>
      <c r="O184" t="n">
        <v>0</v>
      </c>
      <c r="X184">
        <f>O184-W184</f>
        <v/>
      </c>
      <c r="Y184" t="n">
        <v>10</v>
      </c>
      <c r="AB184" s="186">
        <f>IFERROR(O184*M184,0)</f>
        <v/>
      </c>
      <c r="AC184" s="186">
        <f>IFERROR(O184*N184,0)</f>
        <v/>
      </c>
      <c r="AD184" t="inlineStr">
        <is>
          <t>Solo en plataformas</t>
        </is>
      </c>
    </row>
    <row r="185">
      <c r="A185" t="inlineStr">
        <is>
          <t>199168054090</t>
        </is>
      </c>
      <c r="C185" t="inlineStr">
        <is>
          <t>03-050-0064-0731 BU-L</t>
        </is>
      </c>
      <c r="D185" t="inlineStr">
        <is>
          <t>03-050-0064-0731</t>
        </is>
      </c>
      <c r="E185" t="inlineStr">
        <is>
          <t>Roper</t>
        </is>
      </c>
      <c r="F185" t="inlineStr">
        <is>
          <t>ROPER Shirt Brilliant Paisley Print</t>
        </is>
      </c>
      <c r="G185" t="inlineStr">
        <is>
          <t>L</t>
        </is>
      </c>
      <c r="I185" t="inlineStr">
        <is>
          <t>Ropa</t>
        </is>
      </c>
      <c r="J185" t="inlineStr">
        <is>
          <t>Camisas</t>
        </is>
      </c>
      <c r="L185" t="inlineStr">
        <is>
          <t>PZS</t>
        </is>
      </c>
      <c r="M185" s="186" t="n">
        <v>23.72</v>
      </c>
      <c r="N185" s="186" t="n">
        <v>659</v>
      </c>
      <c r="O185" t="n">
        <v>0</v>
      </c>
      <c r="X185">
        <f>O185-W185</f>
        <v/>
      </c>
      <c r="Y185" t="n">
        <v>7</v>
      </c>
      <c r="AB185" s="186">
        <f>IFERROR(O185*M185,0)</f>
        <v/>
      </c>
      <c r="AC185" s="186">
        <f>IFERROR(O185*N185,0)</f>
        <v/>
      </c>
      <c r="AD185" t="inlineStr">
        <is>
          <t>Solo en plataformas</t>
        </is>
      </c>
    </row>
    <row r="186">
      <c r="A186" t="inlineStr">
        <is>
          <t>199168054106</t>
        </is>
      </c>
      <c r="C186" t="inlineStr">
        <is>
          <t>03-050-0064-0731 BU-M</t>
        </is>
      </c>
      <c r="D186" t="inlineStr">
        <is>
          <t>03-050-0064-0731</t>
        </is>
      </c>
      <c r="E186" t="inlineStr">
        <is>
          <t>Roper</t>
        </is>
      </c>
      <c r="F186" t="inlineStr">
        <is>
          <t>ROPER Shirt Brilliant Paisley Print</t>
        </is>
      </c>
      <c r="G186" t="inlineStr">
        <is>
          <t>M</t>
        </is>
      </c>
      <c r="I186" t="inlineStr">
        <is>
          <t>Ropa</t>
        </is>
      </c>
      <c r="J186" t="inlineStr">
        <is>
          <t>Camisas</t>
        </is>
      </c>
      <c r="L186" t="inlineStr">
        <is>
          <t>PZS</t>
        </is>
      </c>
      <c r="M186" s="186" t="n">
        <v>23.72</v>
      </c>
      <c r="N186" s="186" t="n">
        <v>659</v>
      </c>
      <c r="O186" t="n">
        <v>0</v>
      </c>
      <c r="X186">
        <f>O186-W186</f>
        <v/>
      </c>
      <c r="Y186" t="n">
        <v>7</v>
      </c>
      <c r="AB186" s="186">
        <f>IFERROR(O186*M186,0)</f>
        <v/>
      </c>
      <c r="AC186" s="186">
        <f>IFERROR(O186*N186,0)</f>
        <v/>
      </c>
      <c r="AD186" t="inlineStr">
        <is>
          <t>Solo en plataformas</t>
        </is>
      </c>
    </row>
    <row r="187">
      <c r="A187" t="inlineStr">
        <is>
          <t>199168054113</t>
        </is>
      </c>
      <c r="C187" t="inlineStr">
        <is>
          <t>03-050-0064-0731 BU-S</t>
        </is>
      </c>
      <c r="D187" t="inlineStr">
        <is>
          <t>03-050-0064-0731</t>
        </is>
      </c>
      <c r="E187" t="inlineStr">
        <is>
          <t>Roper</t>
        </is>
      </c>
      <c r="F187" t="inlineStr">
        <is>
          <t>ROPER Shirt Brilliant Paisley Print</t>
        </is>
      </c>
      <c r="G187" t="inlineStr">
        <is>
          <t>S</t>
        </is>
      </c>
      <c r="I187" t="inlineStr">
        <is>
          <t>Ropa</t>
        </is>
      </c>
      <c r="J187" t="inlineStr">
        <is>
          <t>Camisas</t>
        </is>
      </c>
      <c r="L187" t="inlineStr">
        <is>
          <t>PZS</t>
        </is>
      </c>
      <c r="M187" s="186" t="n">
        <v>23.72</v>
      </c>
      <c r="N187" s="186" t="n">
        <v>659</v>
      </c>
      <c r="O187" t="n">
        <v>0</v>
      </c>
      <c r="X187">
        <f>O187-W187</f>
        <v/>
      </c>
      <c r="Y187" t="n">
        <v>5</v>
      </c>
      <c r="AB187" s="186">
        <f>IFERROR(O187*M187,0)</f>
        <v/>
      </c>
      <c r="AC187" s="186">
        <f>IFERROR(O187*N187,0)</f>
        <v/>
      </c>
      <c r="AD187" t="inlineStr">
        <is>
          <t>Solo en plataformas</t>
        </is>
      </c>
    </row>
    <row r="188">
      <c r="A188" t="inlineStr">
        <is>
          <t>199168054120</t>
        </is>
      </c>
      <c r="C188" t="inlineStr">
        <is>
          <t>03-050-0064-0731 BU-XL</t>
        </is>
      </c>
      <c r="D188" t="inlineStr">
        <is>
          <t>03-050-0064-0731</t>
        </is>
      </c>
      <c r="E188" t="inlineStr">
        <is>
          <t>Roper</t>
        </is>
      </c>
      <c r="F188" t="inlineStr">
        <is>
          <t>ROPER Shirt Brilliant Paisley Print</t>
        </is>
      </c>
      <c r="G188" t="inlineStr">
        <is>
          <t>XL</t>
        </is>
      </c>
      <c r="I188" t="inlineStr">
        <is>
          <t>Ropa</t>
        </is>
      </c>
      <c r="J188" t="inlineStr">
        <is>
          <t>Camisas</t>
        </is>
      </c>
      <c r="L188" t="inlineStr">
        <is>
          <t>PZS</t>
        </is>
      </c>
      <c r="M188" s="186" t="n">
        <v>23.72</v>
      </c>
      <c r="N188" s="186" t="n">
        <v>659</v>
      </c>
      <c r="O188" t="n">
        <v>0</v>
      </c>
      <c r="X188">
        <f>O188-W188</f>
        <v/>
      </c>
      <c r="Y188" t="n">
        <v>5</v>
      </c>
      <c r="AB188" s="186">
        <f>IFERROR(O188*M188,0)</f>
        <v/>
      </c>
      <c r="AC188" s="186">
        <f>IFERROR(O188*N188,0)</f>
        <v/>
      </c>
      <c r="AD188" t="inlineStr">
        <is>
          <t>Solo en plataformas</t>
        </is>
      </c>
    </row>
    <row r="189">
      <c r="A189" t="inlineStr">
        <is>
          <t>199168054328</t>
        </is>
      </c>
      <c r="C189" t="inlineStr">
        <is>
          <t>03-050-0067-0740 BU-1XL</t>
        </is>
      </c>
      <c r="D189" t="inlineStr">
        <is>
          <t>03-050-0067-0740</t>
        </is>
      </c>
      <c r="E189" t="inlineStr">
        <is>
          <t>Roper</t>
        </is>
      </c>
      <c r="F189" t="inlineStr">
        <is>
          <t>ROPER Shirt Aztec Serape Print</t>
        </is>
      </c>
      <c r="I189" t="inlineStr">
        <is>
          <t>Ropa</t>
        </is>
      </c>
      <c r="J189" t="inlineStr">
        <is>
          <t>Camisas</t>
        </is>
      </c>
      <c r="L189" t="inlineStr">
        <is>
          <t>PZS</t>
        </is>
      </c>
      <c r="M189" s="186" t="n">
        <v>25.58</v>
      </c>
      <c r="N189" s="186" t="n">
        <v>700</v>
      </c>
      <c r="O189" t="n">
        <v>0</v>
      </c>
      <c r="X189">
        <f>O189-W189</f>
        <v/>
      </c>
      <c r="Y189" t="n">
        <v>4</v>
      </c>
      <c r="AB189" s="186">
        <f>IFERROR(O189*M189,0)</f>
        <v/>
      </c>
      <c r="AC189" s="186">
        <f>IFERROR(O189*N189,0)</f>
        <v/>
      </c>
      <c r="AD189" t="inlineStr">
        <is>
          <t>Solo en plataformas</t>
        </is>
      </c>
    </row>
    <row r="190">
      <c r="A190" t="inlineStr">
        <is>
          <t>199168054274</t>
        </is>
      </c>
      <c r="C190" t="inlineStr">
        <is>
          <t>03-050-0067-0740 BU-L</t>
        </is>
      </c>
      <c r="D190" t="inlineStr">
        <is>
          <t>03-050-0067-0740</t>
        </is>
      </c>
      <c r="E190" t="inlineStr">
        <is>
          <t>Roper</t>
        </is>
      </c>
      <c r="F190" t="inlineStr">
        <is>
          <t>ROPER Shirt Aztec Serape Print</t>
        </is>
      </c>
      <c r="G190" t="inlineStr">
        <is>
          <t>L</t>
        </is>
      </c>
      <c r="I190" t="inlineStr">
        <is>
          <t>Ropa</t>
        </is>
      </c>
      <c r="J190" t="inlineStr">
        <is>
          <t>Camisas</t>
        </is>
      </c>
      <c r="L190" t="inlineStr">
        <is>
          <t>PZS</t>
        </is>
      </c>
      <c r="M190" s="186" t="n">
        <v>25.58</v>
      </c>
      <c r="N190" s="186" t="n">
        <v>700</v>
      </c>
      <c r="O190" t="n">
        <v>0</v>
      </c>
      <c r="X190">
        <f>O190-W190</f>
        <v/>
      </c>
      <c r="Y190" t="n">
        <v>8</v>
      </c>
      <c r="AB190" s="186">
        <f>IFERROR(O190*M190,0)</f>
        <v/>
      </c>
      <c r="AC190" s="186">
        <f>IFERROR(O190*N190,0)</f>
        <v/>
      </c>
      <c r="AD190" t="inlineStr">
        <is>
          <t>Solo en plataformas</t>
        </is>
      </c>
    </row>
    <row r="191">
      <c r="A191" t="inlineStr">
        <is>
          <t>199168054281</t>
        </is>
      </c>
      <c r="C191" t="inlineStr">
        <is>
          <t>03-050-0067-0740 BU-M</t>
        </is>
      </c>
      <c r="D191" t="inlineStr">
        <is>
          <t>03-050-0067-0740</t>
        </is>
      </c>
      <c r="E191" t="inlineStr">
        <is>
          <t>Roper</t>
        </is>
      </c>
      <c r="F191" t="inlineStr">
        <is>
          <t>ROPER Shirt Aztec Serape Print</t>
        </is>
      </c>
      <c r="G191" t="inlineStr">
        <is>
          <t>M</t>
        </is>
      </c>
      <c r="I191" t="inlineStr">
        <is>
          <t>Ropa</t>
        </is>
      </c>
      <c r="J191" t="inlineStr">
        <is>
          <t>Camisas</t>
        </is>
      </c>
      <c r="L191" t="inlineStr">
        <is>
          <t>PZS</t>
        </is>
      </c>
      <c r="M191" s="186" t="n">
        <v>25.58</v>
      </c>
      <c r="N191" s="186" t="n">
        <v>700</v>
      </c>
      <c r="O191" t="n">
        <v>0</v>
      </c>
      <c r="X191">
        <f>O191-W191</f>
        <v/>
      </c>
      <c r="Y191" t="n">
        <v>8</v>
      </c>
      <c r="AB191" s="186">
        <f>IFERROR(O191*M191,0)</f>
        <v/>
      </c>
      <c r="AC191" s="186">
        <f>IFERROR(O191*N191,0)</f>
        <v/>
      </c>
      <c r="AD191" t="inlineStr">
        <is>
          <t>Solo en plataformas</t>
        </is>
      </c>
    </row>
    <row r="192">
      <c r="A192" t="inlineStr">
        <is>
          <t>199168054298</t>
        </is>
      </c>
      <c r="C192" t="inlineStr">
        <is>
          <t>03-050-0067-0740 BU-S</t>
        </is>
      </c>
      <c r="D192" t="inlineStr">
        <is>
          <t>03-050-0067-0740</t>
        </is>
      </c>
      <c r="E192" t="inlineStr">
        <is>
          <t>Roper</t>
        </is>
      </c>
      <c r="F192" t="inlineStr">
        <is>
          <t>ROPER Shirt Aztec Serape Print</t>
        </is>
      </c>
      <c r="G192" t="inlineStr">
        <is>
          <t>S</t>
        </is>
      </c>
      <c r="I192" t="inlineStr">
        <is>
          <t>Ropa</t>
        </is>
      </c>
      <c r="J192" t="inlineStr">
        <is>
          <t>Camisas</t>
        </is>
      </c>
      <c r="L192" t="inlineStr">
        <is>
          <t>PZS</t>
        </is>
      </c>
      <c r="M192" s="186" t="n">
        <v>25.58</v>
      </c>
      <c r="N192" s="186" t="n">
        <v>700</v>
      </c>
      <c r="O192" t="n">
        <v>0</v>
      </c>
      <c r="X192">
        <f>O192-W192</f>
        <v/>
      </c>
      <c r="Y192" t="n">
        <v>6</v>
      </c>
      <c r="AB192" s="186">
        <f>IFERROR(O192*M192,0)</f>
        <v/>
      </c>
      <c r="AC192" s="186">
        <f>IFERROR(O192*N192,0)</f>
        <v/>
      </c>
      <c r="AD192" t="inlineStr">
        <is>
          <t>Solo en plataformas</t>
        </is>
      </c>
    </row>
    <row r="193">
      <c r="A193" t="inlineStr">
        <is>
          <t>199168054304</t>
        </is>
      </c>
      <c r="C193" t="inlineStr">
        <is>
          <t>03-050-0067-0740 BU-XL</t>
        </is>
      </c>
      <c r="D193" t="inlineStr">
        <is>
          <t>03-050-0067-0740</t>
        </is>
      </c>
      <c r="E193" t="inlineStr">
        <is>
          <t>Roper</t>
        </is>
      </c>
      <c r="F193" t="inlineStr">
        <is>
          <t>ROPER Shirt Aztec Serape Print</t>
        </is>
      </c>
      <c r="G193" t="inlineStr">
        <is>
          <t>XL</t>
        </is>
      </c>
      <c r="I193" t="inlineStr">
        <is>
          <t>Ropa</t>
        </is>
      </c>
      <c r="J193" t="inlineStr">
        <is>
          <t>Camisas</t>
        </is>
      </c>
      <c r="L193" t="inlineStr">
        <is>
          <t>PZS</t>
        </is>
      </c>
      <c r="M193" s="186" t="n">
        <v>25.58</v>
      </c>
      <c r="N193" s="186" t="n">
        <v>700</v>
      </c>
      <c r="O193" t="n">
        <v>0</v>
      </c>
      <c r="X193">
        <f>O193-W193</f>
        <v/>
      </c>
      <c r="Y193" t="n">
        <v>8</v>
      </c>
      <c r="AB193" s="186">
        <f>IFERROR(O193*M193,0)</f>
        <v/>
      </c>
      <c r="AC193" s="186">
        <f>IFERROR(O193*N193,0)</f>
        <v/>
      </c>
      <c r="AD193" t="inlineStr">
        <is>
          <t>Solo en plataformas</t>
        </is>
      </c>
    </row>
    <row r="194">
      <c r="A194" t="inlineStr">
        <is>
          <t>199168054403</t>
        </is>
      </c>
      <c r="C194" t="inlineStr">
        <is>
          <t>03-050-0067-0742 BR-L</t>
        </is>
      </c>
      <c r="D194" t="inlineStr">
        <is>
          <t>03-050-0067-0742</t>
        </is>
      </c>
      <c r="E194" t="inlineStr">
        <is>
          <t>Roper</t>
        </is>
      </c>
      <c r="F194" t="inlineStr">
        <is>
          <t>ROPER Shirt Distressed Aztec Print</t>
        </is>
      </c>
      <c r="G194" t="inlineStr">
        <is>
          <t>L</t>
        </is>
      </c>
      <c r="I194" t="inlineStr">
        <is>
          <t>Ropa</t>
        </is>
      </c>
      <c r="J194" t="inlineStr">
        <is>
          <t>Camisas</t>
        </is>
      </c>
      <c r="L194" t="inlineStr">
        <is>
          <t>PZS</t>
        </is>
      </c>
      <c r="M194" s="186" t="n">
        <v>25.58</v>
      </c>
      <c r="N194" s="186" t="n">
        <v>700</v>
      </c>
      <c r="O194" t="n">
        <v>0</v>
      </c>
      <c r="X194">
        <f>O194-W194</f>
        <v/>
      </c>
      <c r="Y194" t="n">
        <v>5</v>
      </c>
      <c r="AB194" s="186">
        <f>IFERROR(O194*M194,0)</f>
        <v/>
      </c>
      <c r="AC194" s="186">
        <f>IFERROR(O194*N194,0)</f>
        <v/>
      </c>
      <c r="AD194" t="inlineStr">
        <is>
          <t>Solo en plataformas</t>
        </is>
      </c>
    </row>
    <row r="195">
      <c r="A195" t="inlineStr">
        <is>
          <t>199168054410</t>
        </is>
      </c>
      <c r="C195" t="inlineStr">
        <is>
          <t>03-050-0067-0742 BR-M</t>
        </is>
      </c>
      <c r="D195" t="inlineStr">
        <is>
          <t>03-050-0067-0742</t>
        </is>
      </c>
      <c r="E195" t="inlineStr">
        <is>
          <t>Roper</t>
        </is>
      </c>
      <c r="F195" t="inlineStr">
        <is>
          <t>ROPER Shirt Distressed Aztec Print</t>
        </is>
      </c>
      <c r="G195" t="inlineStr">
        <is>
          <t>M</t>
        </is>
      </c>
      <c r="I195" t="inlineStr">
        <is>
          <t>Ropa</t>
        </is>
      </c>
      <c r="J195" t="inlineStr">
        <is>
          <t>Camisas</t>
        </is>
      </c>
      <c r="L195" t="inlineStr">
        <is>
          <t>PZS</t>
        </is>
      </c>
      <c r="M195" s="186" t="n">
        <v>25.58</v>
      </c>
      <c r="N195" s="186" t="n">
        <v>700</v>
      </c>
      <c r="O195" t="n">
        <v>0</v>
      </c>
      <c r="X195">
        <f>O195-W195</f>
        <v/>
      </c>
      <c r="Y195" t="n">
        <v>5</v>
      </c>
      <c r="AB195" s="186">
        <f>IFERROR(O195*M195,0)</f>
        <v/>
      </c>
      <c r="AC195" s="186">
        <f>IFERROR(O195*N195,0)</f>
        <v/>
      </c>
      <c r="AD195" t="inlineStr">
        <is>
          <t>Solo en plataformas</t>
        </is>
      </c>
    </row>
    <row r="196">
      <c r="A196" t="inlineStr">
        <is>
          <t>199168054427</t>
        </is>
      </c>
      <c r="C196" t="inlineStr">
        <is>
          <t>03-050-0067-0742 BR-S</t>
        </is>
      </c>
      <c r="D196" t="inlineStr">
        <is>
          <t>03-050-0067-0742</t>
        </is>
      </c>
      <c r="E196" t="inlineStr">
        <is>
          <t>Roper</t>
        </is>
      </c>
      <c r="F196" t="inlineStr">
        <is>
          <t>ROPER Shirt Distressed Aztec Print</t>
        </is>
      </c>
      <c r="G196" t="inlineStr">
        <is>
          <t>S</t>
        </is>
      </c>
      <c r="I196" t="inlineStr">
        <is>
          <t>Ropa</t>
        </is>
      </c>
      <c r="J196" t="inlineStr">
        <is>
          <t>Camisas</t>
        </is>
      </c>
      <c r="L196" t="inlineStr">
        <is>
          <t>PZS</t>
        </is>
      </c>
      <c r="M196" s="186" t="n">
        <v>25.58</v>
      </c>
      <c r="N196" s="186" t="n">
        <v>700</v>
      </c>
      <c r="O196" t="n">
        <v>0</v>
      </c>
      <c r="X196">
        <f>O196-W196</f>
        <v/>
      </c>
      <c r="Y196" t="n">
        <v>5</v>
      </c>
      <c r="AB196" s="186">
        <f>IFERROR(O196*M196,0)</f>
        <v/>
      </c>
      <c r="AC196" s="186">
        <f>IFERROR(O196*N196,0)</f>
        <v/>
      </c>
      <c r="AD196" t="inlineStr">
        <is>
          <t>Solo en plataformas</t>
        </is>
      </c>
    </row>
    <row r="197">
      <c r="A197" t="inlineStr">
        <is>
          <t>199168054434</t>
        </is>
      </c>
      <c r="C197" t="inlineStr">
        <is>
          <t>03-050-0067-0742 BR-XL</t>
        </is>
      </c>
      <c r="D197" t="inlineStr">
        <is>
          <t>03-050-0067-0742</t>
        </is>
      </c>
      <c r="E197" t="inlineStr">
        <is>
          <t>Roper</t>
        </is>
      </c>
      <c r="F197" t="inlineStr">
        <is>
          <t>ROPER Shirt Distressed Aztec Print</t>
        </is>
      </c>
      <c r="G197" t="inlineStr">
        <is>
          <t>XL</t>
        </is>
      </c>
      <c r="I197" t="inlineStr">
        <is>
          <t>Ropa</t>
        </is>
      </c>
      <c r="J197" t="inlineStr">
        <is>
          <t>Camisas</t>
        </is>
      </c>
      <c r="L197" t="inlineStr">
        <is>
          <t>PZS</t>
        </is>
      </c>
      <c r="M197" s="186" t="n">
        <v>25.58</v>
      </c>
      <c r="N197" s="186" t="n">
        <v>700</v>
      </c>
      <c r="O197" t="n">
        <v>0</v>
      </c>
      <c r="X197">
        <f>O197-W197</f>
        <v/>
      </c>
      <c r="Y197" t="n">
        <v>5</v>
      </c>
      <c r="AB197" s="186">
        <f>IFERROR(O197*M197,0)</f>
        <v/>
      </c>
      <c r="AC197" s="186">
        <f>IFERROR(O197*N197,0)</f>
        <v/>
      </c>
      <c r="AD197" t="inlineStr">
        <is>
          <t>Solo en plataformas</t>
        </is>
      </c>
    </row>
    <row r="198">
      <c r="A198" t="inlineStr">
        <is>
          <t>199168095222</t>
        </is>
      </c>
      <c r="C198" t="inlineStr">
        <is>
          <t>03-050-0421-0108 BL-L</t>
        </is>
      </c>
      <c r="D198" t="inlineStr">
        <is>
          <t>03-050-0421-0108</t>
        </is>
      </c>
      <c r="E198" t="inlineStr">
        <is>
          <t>Roper</t>
        </is>
      </c>
      <c r="F198" t="inlineStr">
        <is>
          <t>ROPER Shirt Painterly Rodeo Border Scen</t>
        </is>
      </c>
      <c r="G198" t="inlineStr">
        <is>
          <t>L</t>
        </is>
      </c>
      <c r="I198" t="inlineStr">
        <is>
          <t>Ropa</t>
        </is>
      </c>
      <c r="J198" t="inlineStr">
        <is>
          <t>Camisas</t>
        </is>
      </c>
      <c r="L198" t="inlineStr">
        <is>
          <t>PZS</t>
        </is>
      </c>
      <c r="M198" s="186" t="n">
        <v>38</v>
      </c>
      <c r="N198" s="186" t="n">
        <v>990</v>
      </c>
      <c r="O198" t="n">
        <v>0</v>
      </c>
      <c r="X198">
        <f>O198-W198</f>
        <v/>
      </c>
      <c r="Y198" t="n">
        <v>20</v>
      </c>
      <c r="AB198" s="186">
        <f>IFERROR(O198*M198,0)</f>
        <v/>
      </c>
      <c r="AC198" s="186">
        <f>IFERROR(O198*N198,0)</f>
        <v/>
      </c>
      <c r="AD198" t="inlineStr">
        <is>
          <t>Solo en plataformas</t>
        </is>
      </c>
    </row>
    <row r="199">
      <c r="A199" t="inlineStr">
        <is>
          <t>199168095239</t>
        </is>
      </c>
      <c r="C199" t="inlineStr">
        <is>
          <t>03-050-0421-0108 BL-M</t>
        </is>
      </c>
      <c r="D199" t="inlineStr">
        <is>
          <t>03-050-0421-0108</t>
        </is>
      </c>
      <c r="E199" t="inlineStr">
        <is>
          <t>Roper</t>
        </is>
      </c>
      <c r="F199" t="inlineStr">
        <is>
          <t>ROPER Shirt Painterly Rodeo Border Scen</t>
        </is>
      </c>
      <c r="G199" t="inlineStr">
        <is>
          <t>M</t>
        </is>
      </c>
      <c r="I199" t="inlineStr">
        <is>
          <t>Ropa</t>
        </is>
      </c>
      <c r="J199" t="inlineStr">
        <is>
          <t>Camisas</t>
        </is>
      </c>
      <c r="L199" t="inlineStr">
        <is>
          <t>PZS</t>
        </is>
      </c>
      <c r="M199" s="186" t="n">
        <v>38</v>
      </c>
      <c r="N199" s="186" t="n">
        <v>990</v>
      </c>
      <c r="O199" t="n">
        <v>0</v>
      </c>
      <c r="X199">
        <f>O199-W199</f>
        <v/>
      </c>
      <c r="Y199" t="n">
        <v>20</v>
      </c>
      <c r="AB199" s="186">
        <f>IFERROR(O199*M199,0)</f>
        <v/>
      </c>
      <c r="AC199" s="186">
        <f>IFERROR(O199*N199,0)</f>
        <v/>
      </c>
      <c r="AD199" t="inlineStr">
        <is>
          <t>Solo en plataformas</t>
        </is>
      </c>
    </row>
    <row r="200">
      <c r="A200" t="inlineStr">
        <is>
          <t>199168095246</t>
        </is>
      </c>
      <c r="C200" t="inlineStr">
        <is>
          <t>03-050-0421-0108 BL-S</t>
        </is>
      </c>
      <c r="D200" t="inlineStr">
        <is>
          <t>03-050-0421-0108</t>
        </is>
      </c>
      <c r="E200" t="inlineStr">
        <is>
          <t>Roper</t>
        </is>
      </c>
      <c r="F200" t="inlineStr">
        <is>
          <t>ROPER Shirt Painterly Rodeo Border Scen</t>
        </is>
      </c>
      <c r="G200" t="inlineStr">
        <is>
          <t>S</t>
        </is>
      </c>
      <c r="I200" t="inlineStr">
        <is>
          <t>Ropa</t>
        </is>
      </c>
      <c r="J200" t="inlineStr">
        <is>
          <t>Camisas</t>
        </is>
      </c>
      <c r="L200" t="inlineStr">
        <is>
          <t>PZS</t>
        </is>
      </c>
      <c r="M200" s="186" t="n">
        <v>38</v>
      </c>
      <c r="N200" s="186" t="n">
        <v>990</v>
      </c>
      <c r="O200" t="n">
        <v>0</v>
      </c>
      <c r="X200">
        <f>O200-W200</f>
        <v/>
      </c>
      <c r="Y200" t="n">
        <v>20</v>
      </c>
      <c r="AB200" s="186">
        <f>IFERROR(O200*M200,0)</f>
        <v/>
      </c>
      <c r="AC200" s="186">
        <f>IFERROR(O200*N200,0)</f>
        <v/>
      </c>
      <c r="AD200" t="inlineStr">
        <is>
          <t>Solo en plataformas</t>
        </is>
      </c>
    </row>
    <row r="201">
      <c r="A201" t="inlineStr">
        <is>
          <t>199168095253</t>
        </is>
      </c>
      <c r="C201" t="inlineStr">
        <is>
          <t>03-050-0421-0108 BL-XL</t>
        </is>
      </c>
      <c r="D201" t="inlineStr">
        <is>
          <t>03-050-0421-0108</t>
        </is>
      </c>
      <c r="E201" t="inlineStr">
        <is>
          <t>Roper</t>
        </is>
      </c>
      <c r="F201" t="inlineStr">
        <is>
          <t>ROPER Shirt Painterly Rodeo Border Scen</t>
        </is>
      </c>
      <c r="G201" t="inlineStr">
        <is>
          <t>XL</t>
        </is>
      </c>
      <c r="I201" t="inlineStr">
        <is>
          <t>Ropa</t>
        </is>
      </c>
      <c r="J201" t="inlineStr">
        <is>
          <t>Camisas</t>
        </is>
      </c>
      <c r="L201" t="inlineStr">
        <is>
          <t>PZS</t>
        </is>
      </c>
      <c r="M201" s="186" t="n">
        <v>38</v>
      </c>
      <c r="N201" s="186" t="n">
        <v>990</v>
      </c>
      <c r="O201" t="n">
        <v>0</v>
      </c>
      <c r="X201">
        <f>O201-W201</f>
        <v/>
      </c>
      <c r="Y201" t="n">
        <v>5</v>
      </c>
      <c r="AB201" s="186">
        <f>IFERROR(O201*M201,0)</f>
        <v/>
      </c>
      <c r="AC201" s="186">
        <f>IFERROR(O201*N201,0)</f>
        <v/>
      </c>
      <c r="AD201" t="inlineStr">
        <is>
          <t>Solo en plataformas</t>
        </is>
      </c>
    </row>
    <row r="202">
      <c r="A202" t="inlineStr">
        <is>
          <t>199168095260</t>
        </is>
      </c>
      <c r="C202" t="inlineStr">
        <is>
          <t>03-050-0421-0108 BL-XS</t>
        </is>
      </c>
      <c r="D202" t="inlineStr">
        <is>
          <t>03-050-0421-0108</t>
        </is>
      </c>
      <c r="E202" t="inlineStr">
        <is>
          <t>Roper</t>
        </is>
      </c>
      <c r="F202" t="inlineStr">
        <is>
          <t>ROPER Shirt Painterly Rodeo Border Scen</t>
        </is>
      </c>
      <c r="G202" t="inlineStr">
        <is>
          <t>XS</t>
        </is>
      </c>
      <c r="I202" t="inlineStr">
        <is>
          <t>Ropa</t>
        </is>
      </c>
      <c r="J202" t="inlineStr">
        <is>
          <t>Camisas</t>
        </is>
      </c>
      <c r="L202" t="inlineStr">
        <is>
          <t>PZS</t>
        </is>
      </c>
      <c r="M202" s="186" t="n">
        <v>38</v>
      </c>
      <c r="N202" s="186" t="n">
        <v>990</v>
      </c>
      <c r="O202" t="n">
        <v>0</v>
      </c>
      <c r="X202">
        <f>O202-W202</f>
        <v/>
      </c>
      <c r="Y202" t="n">
        <v>10</v>
      </c>
      <c r="AB202" s="186">
        <f>IFERROR(O202*M202,0)</f>
        <v/>
      </c>
      <c r="AC202" s="186">
        <f>IFERROR(O202*N202,0)</f>
        <v/>
      </c>
      <c r="AD202" t="inlineStr">
        <is>
          <t>Solo en plataformas</t>
        </is>
      </c>
    </row>
    <row r="203">
      <c r="A203" t="inlineStr">
        <is>
          <t>199168095277</t>
        </is>
      </c>
      <c r="C203" t="inlineStr">
        <is>
          <t>03-050-0431-0109 BU-L</t>
        </is>
      </c>
      <c r="D203" t="inlineStr">
        <is>
          <t>03-050-0431-0109</t>
        </is>
      </c>
      <c r="E203" t="inlineStr">
        <is>
          <t>Roper</t>
        </is>
      </c>
      <c r="F203" t="inlineStr">
        <is>
          <t>ROPER Shirt Horizontal Aztec Ombre Bord</t>
        </is>
      </c>
      <c r="G203" t="inlineStr">
        <is>
          <t>L</t>
        </is>
      </c>
      <c r="I203" t="inlineStr">
        <is>
          <t>Ropa</t>
        </is>
      </c>
      <c r="J203" t="inlineStr">
        <is>
          <t>Camisas</t>
        </is>
      </c>
      <c r="L203" t="inlineStr">
        <is>
          <t>PZS</t>
        </is>
      </c>
      <c r="M203" s="186" t="n">
        <v>38</v>
      </c>
      <c r="N203" s="186" t="n">
        <v>990</v>
      </c>
      <c r="O203" t="n">
        <v>0</v>
      </c>
      <c r="X203">
        <f>O203-W203</f>
        <v/>
      </c>
      <c r="Y203" t="n">
        <v>20</v>
      </c>
      <c r="AB203" s="186">
        <f>IFERROR(O203*M203,0)</f>
        <v/>
      </c>
      <c r="AC203" s="186">
        <f>IFERROR(O203*N203,0)</f>
        <v/>
      </c>
      <c r="AD203" t="inlineStr">
        <is>
          <t>Solo en plataformas</t>
        </is>
      </c>
    </row>
    <row r="204">
      <c r="A204" t="inlineStr">
        <is>
          <t>199168095284</t>
        </is>
      </c>
      <c r="C204" t="inlineStr">
        <is>
          <t>03-050-0431-0109 BU-M</t>
        </is>
      </c>
      <c r="D204" t="inlineStr">
        <is>
          <t>03-050-0431-0109</t>
        </is>
      </c>
      <c r="E204" t="inlineStr">
        <is>
          <t>Roper</t>
        </is>
      </c>
      <c r="F204" t="inlineStr">
        <is>
          <t>ROPER Shirt Horizontal Aztec Ombre Bord</t>
        </is>
      </c>
      <c r="G204" t="inlineStr">
        <is>
          <t>M</t>
        </is>
      </c>
      <c r="I204" t="inlineStr">
        <is>
          <t>Ropa</t>
        </is>
      </c>
      <c r="J204" t="inlineStr">
        <is>
          <t>Camisas</t>
        </is>
      </c>
      <c r="L204" t="inlineStr">
        <is>
          <t>PZS</t>
        </is>
      </c>
      <c r="M204" s="186" t="n">
        <v>38</v>
      </c>
      <c r="N204" s="186" t="n">
        <v>990</v>
      </c>
      <c r="O204" t="n">
        <v>0</v>
      </c>
      <c r="X204">
        <f>O204-W204</f>
        <v/>
      </c>
      <c r="Y204" t="n">
        <v>20</v>
      </c>
      <c r="AB204" s="186">
        <f>IFERROR(O204*M204,0)</f>
        <v/>
      </c>
      <c r="AC204" s="186">
        <f>IFERROR(O204*N204,0)</f>
        <v/>
      </c>
      <c r="AD204" t="inlineStr">
        <is>
          <t>Solo en plataformas</t>
        </is>
      </c>
    </row>
    <row r="205">
      <c r="A205" t="inlineStr">
        <is>
          <t>199168095291</t>
        </is>
      </c>
      <c r="C205" t="inlineStr">
        <is>
          <t>03-050-0431-0109 BU-S</t>
        </is>
      </c>
      <c r="D205" t="inlineStr">
        <is>
          <t>03-050-0431-0109</t>
        </is>
      </c>
      <c r="E205" t="inlineStr">
        <is>
          <t>Roper</t>
        </is>
      </c>
      <c r="F205" t="inlineStr">
        <is>
          <t>ROPER Shirt Horizontal Aztec Ombre Bord</t>
        </is>
      </c>
      <c r="G205" t="inlineStr">
        <is>
          <t>S</t>
        </is>
      </c>
      <c r="I205" t="inlineStr">
        <is>
          <t>Ropa</t>
        </is>
      </c>
      <c r="J205" t="inlineStr">
        <is>
          <t>Camisas</t>
        </is>
      </c>
      <c r="L205" t="inlineStr">
        <is>
          <t>PZS</t>
        </is>
      </c>
      <c r="M205" s="186" t="n">
        <v>38</v>
      </c>
      <c r="N205" s="186" t="n">
        <v>990</v>
      </c>
      <c r="O205" t="n">
        <v>0</v>
      </c>
      <c r="X205">
        <f>O205-W205</f>
        <v/>
      </c>
      <c r="Y205" t="n">
        <v>20</v>
      </c>
      <c r="AB205" s="186">
        <f>IFERROR(O205*M205,0)</f>
        <v/>
      </c>
      <c r="AC205" s="186">
        <f>IFERROR(O205*N205,0)</f>
        <v/>
      </c>
      <c r="AD205" t="inlineStr">
        <is>
          <t>Solo en plataformas</t>
        </is>
      </c>
    </row>
    <row r="206">
      <c r="A206" t="inlineStr">
        <is>
          <t>199168095307</t>
        </is>
      </c>
      <c r="C206" t="inlineStr">
        <is>
          <t>03-050-0431-0109 BU-XL</t>
        </is>
      </c>
      <c r="D206" t="inlineStr">
        <is>
          <t>03-050-0431-0109</t>
        </is>
      </c>
      <c r="E206" t="inlineStr">
        <is>
          <t>Roper</t>
        </is>
      </c>
      <c r="F206" t="inlineStr">
        <is>
          <t>ROPER Shirt Horizontal Aztec Ombre Bord</t>
        </is>
      </c>
      <c r="G206" t="inlineStr">
        <is>
          <t>XL</t>
        </is>
      </c>
      <c r="I206" t="inlineStr">
        <is>
          <t>Ropa</t>
        </is>
      </c>
      <c r="J206" t="inlineStr">
        <is>
          <t>Camisas</t>
        </is>
      </c>
      <c r="L206" t="inlineStr">
        <is>
          <t>PZS</t>
        </is>
      </c>
      <c r="M206" s="186" t="n">
        <v>38</v>
      </c>
      <c r="N206" s="186" t="n">
        <v>990</v>
      </c>
      <c r="O206" t="n">
        <v>0</v>
      </c>
      <c r="X206">
        <f>O206-W206</f>
        <v/>
      </c>
      <c r="Y206" t="n">
        <v>5</v>
      </c>
      <c r="AB206" s="186">
        <f>IFERROR(O206*M206,0)</f>
        <v/>
      </c>
      <c r="AC206" s="186">
        <f>IFERROR(O206*N206,0)</f>
        <v/>
      </c>
      <c r="AD206" t="inlineStr">
        <is>
          <t>Solo en plataformas</t>
        </is>
      </c>
    </row>
    <row r="207">
      <c r="A207" t="inlineStr">
        <is>
          <t>199168095314</t>
        </is>
      </c>
      <c r="C207" t="inlineStr">
        <is>
          <t>03-050-0431-0109 BU-XS</t>
        </is>
      </c>
      <c r="D207" t="inlineStr">
        <is>
          <t>03-050-0431-0109</t>
        </is>
      </c>
      <c r="E207" t="inlineStr">
        <is>
          <t>Roper</t>
        </is>
      </c>
      <c r="F207" t="inlineStr">
        <is>
          <t>ROPER Shirt Horizontal Aztec Ombre Bord</t>
        </is>
      </c>
      <c r="G207" t="inlineStr">
        <is>
          <t>XS</t>
        </is>
      </c>
      <c r="I207" t="inlineStr">
        <is>
          <t>Ropa</t>
        </is>
      </c>
      <c r="J207" t="inlineStr">
        <is>
          <t>Camisas</t>
        </is>
      </c>
      <c r="L207" t="inlineStr">
        <is>
          <t>PZS</t>
        </is>
      </c>
      <c r="M207" s="186" t="n">
        <v>38</v>
      </c>
      <c r="N207" s="186" t="n">
        <v>990</v>
      </c>
      <c r="O207" t="n">
        <v>0</v>
      </c>
      <c r="X207">
        <f>O207-W207</f>
        <v/>
      </c>
      <c r="Y207" t="n">
        <v>10</v>
      </c>
      <c r="AB207" s="186">
        <f>IFERROR(O207*M207,0)</f>
        <v/>
      </c>
      <c r="AC207" s="186">
        <f>IFERROR(O207*N207,0)</f>
        <v/>
      </c>
      <c r="AD207" t="inlineStr">
        <is>
          <t>Solo en plataformas</t>
        </is>
      </c>
    </row>
    <row r="208">
      <c r="A208" t="inlineStr">
        <is>
          <t>199168056193</t>
        </is>
      </c>
      <c r="C208" t="inlineStr">
        <is>
          <t>03-050-0590-7065 BL-L</t>
        </is>
      </c>
      <c r="D208" t="inlineStr">
        <is>
          <t>03-050-0590-7065</t>
        </is>
      </c>
      <c r="E208" t="inlineStr">
        <is>
          <t>Roper</t>
        </is>
      </c>
      <c r="F208" t="inlineStr">
        <is>
          <t>ROPER Shirt Poly Aztec Brights Print</t>
        </is>
      </c>
      <c r="G208" t="inlineStr">
        <is>
          <t>L</t>
        </is>
      </c>
      <c r="I208" t="inlineStr">
        <is>
          <t>Ropa</t>
        </is>
      </c>
      <c r="J208" t="inlineStr">
        <is>
          <t>Camisas</t>
        </is>
      </c>
      <c r="L208" t="inlineStr">
        <is>
          <t>PZS</t>
        </is>
      </c>
      <c r="M208" s="186" t="n">
        <v>19.53</v>
      </c>
      <c r="N208" s="186" t="n">
        <v>559</v>
      </c>
      <c r="O208" t="n">
        <v>0</v>
      </c>
      <c r="X208">
        <f>O208-W208</f>
        <v/>
      </c>
      <c r="Y208" t="n">
        <v>12</v>
      </c>
      <c r="AB208" s="186">
        <f>IFERROR(O208*M208,0)</f>
        <v/>
      </c>
      <c r="AC208" s="186">
        <f>IFERROR(O208*N208,0)</f>
        <v/>
      </c>
      <c r="AD208" t="inlineStr">
        <is>
          <t>Solo en plataformas</t>
        </is>
      </c>
    </row>
    <row r="209">
      <c r="A209" t="inlineStr">
        <is>
          <t>199168056209</t>
        </is>
      </c>
      <c r="C209" t="inlineStr">
        <is>
          <t>03-050-0590-7065 BL-M</t>
        </is>
      </c>
      <c r="D209" t="inlineStr">
        <is>
          <t>03-050-0590-7065</t>
        </is>
      </c>
      <c r="E209" t="inlineStr">
        <is>
          <t>Roper</t>
        </is>
      </c>
      <c r="F209" t="inlineStr">
        <is>
          <t>ROPER Shirt Poly Aztec Brights Print</t>
        </is>
      </c>
      <c r="G209" t="inlineStr">
        <is>
          <t>M</t>
        </is>
      </c>
      <c r="I209" t="inlineStr">
        <is>
          <t>Ropa</t>
        </is>
      </c>
      <c r="J209" t="inlineStr">
        <is>
          <t>Camisas</t>
        </is>
      </c>
      <c r="L209" t="inlineStr">
        <is>
          <t>PZS</t>
        </is>
      </c>
      <c r="M209" s="186" t="n">
        <v>19.53</v>
      </c>
      <c r="N209" s="186" t="n">
        <v>559</v>
      </c>
      <c r="O209" t="n">
        <v>0</v>
      </c>
      <c r="X209">
        <f>O209-W209</f>
        <v/>
      </c>
      <c r="Y209" t="n">
        <v>12</v>
      </c>
      <c r="AB209" s="186">
        <f>IFERROR(O209*M209,0)</f>
        <v/>
      </c>
      <c r="AC209" s="186">
        <f>IFERROR(O209*N209,0)</f>
        <v/>
      </c>
      <c r="AD209" t="inlineStr">
        <is>
          <t>Solo en plataformas</t>
        </is>
      </c>
    </row>
    <row r="210">
      <c r="A210" t="inlineStr">
        <is>
          <t>199168056216</t>
        </is>
      </c>
      <c r="C210" t="inlineStr">
        <is>
          <t>03-050-0590-7065 BL-S</t>
        </is>
      </c>
      <c r="D210" t="inlineStr">
        <is>
          <t>03-050-0590-7065</t>
        </is>
      </c>
      <c r="E210" t="inlineStr">
        <is>
          <t>Roper</t>
        </is>
      </c>
      <c r="F210" t="inlineStr">
        <is>
          <t>ROPER Shirt Poly Aztec Brights Print</t>
        </is>
      </c>
      <c r="G210" t="inlineStr">
        <is>
          <t>S</t>
        </is>
      </c>
      <c r="I210" t="inlineStr">
        <is>
          <t>Ropa</t>
        </is>
      </c>
      <c r="J210" t="inlineStr">
        <is>
          <t>Camisas</t>
        </is>
      </c>
      <c r="L210" t="inlineStr">
        <is>
          <t>PZS</t>
        </is>
      </c>
      <c r="M210" s="186" t="n">
        <v>19.53</v>
      </c>
      <c r="N210" s="186" t="n">
        <v>559</v>
      </c>
      <c r="O210" t="n">
        <v>0</v>
      </c>
      <c r="X210">
        <f>O210-W210</f>
        <v/>
      </c>
      <c r="Y210" t="n">
        <v>11</v>
      </c>
      <c r="AB210" s="186">
        <f>IFERROR(O210*M210,0)</f>
        <v/>
      </c>
      <c r="AC210" s="186">
        <f>IFERROR(O210*N210,0)</f>
        <v/>
      </c>
      <c r="AD210" t="inlineStr">
        <is>
          <t>Solo en plataformas</t>
        </is>
      </c>
    </row>
    <row r="211">
      <c r="A211" t="inlineStr">
        <is>
          <t>199168056223</t>
        </is>
      </c>
      <c r="C211" t="inlineStr">
        <is>
          <t>03-050-0590-7065 BL-XL</t>
        </is>
      </c>
      <c r="D211" t="inlineStr">
        <is>
          <t>03-050-0590-7065</t>
        </is>
      </c>
      <c r="E211" t="inlineStr">
        <is>
          <t>Roper</t>
        </is>
      </c>
      <c r="F211" t="inlineStr">
        <is>
          <t>ROPER Shirt Poly Aztec Brights Print</t>
        </is>
      </c>
      <c r="G211" t="inlineStr">
        <is>
          <t>XL</t>
        </is>
      </c>
      <c r="I211" t="inlineStr">
        <is>
          <t>Ropa</t>
        </is>
      </c>
      <c r="J211" t="inlineStr">
        <is>
          <t>Camisas</t>
        </is>
      </c>
      <c r="L211" t="inlineStr">
        <is>
          <t>PZS</t>
        </is>
      </c>
      <c r="M211" s="186" t="n">
        <v>19.53</v>
      </c>
      <c r="N211" s="186" t="n">
        <v>559</v>
      </c>
      <c r="O211" t="n">
        <v>0</v>
      </c>
      <c r="X211">
        <f>O211-W211</f>
        <v/>
      </c>
      <c r="Y211" t="n">
        <v>12</v>
      </c>
      <c r="AB211" s="186">
        <f>IFERROR(O211*M211,0)</f>
        <v/>
      </c>
      <c r="AC211" s="186">
        <f>IFERROR(O211*N211,0)</f>
        <v/>
      </c>
      <c r="AD211" t="inlineStr">
        <is>
          <t>Solo en plataformas</t>
        </is>
      </c>
    </row>
    <row r="212">
      <c r="A212" t="inlineStr">
        <is>
          <t>199168059026</t>
        </is>
      </c>
      <c r="C212" t="inlineStr">
        <is>
          <t>03-097-0616-6222 GR-2XL</t>
        </is>
      </c>
      <c r="D212" t="inlineStr">
        <is>
          <t>03-097-0616-6222</t>
        </is>
      </c>
      <c r="E212" t="inlineStr">
        <is>
          <t>Roper</t>
        </is>
      </c>
      <c r="F212" t="inlineStr">
        <is>
          <t>ROPER Outerwear Perf Canvas Quilted</t>
        </is>
      </c>
      <c r="G212" t="inlineStr">
        <is>
          <t>XXL</t>
        </is>
      </c>
      <c r="I212" t="inlineStr">
        <is>
          <t>Ropa</t>
        </is>
      </c>
      <c r="J212" t="inlineStr">
        <is>
          <t>Camisas</t>
        </is>
      </c>
      <c r="L212" t="inlineStr">
        <is>
          <t>PZS</t>
        </is>
      </c>
      <c r="M212" s="186" t="n">
        <v>39.53</v>
      </c>
      <c r="N212" s="186" t="n">
        <v>1029</v>
      </c>
      <c r="O212" t="n">
        <v>0</v>
      </c>
      <c r="X212">
        <f>O212-W212</f>
        <v/>
      </c>
      <c r="Y212" t="n">
        <v>6</v>
      </c>
      <c r="AB212" s="186">
        <f>IFERROR(O212*M212,0)</f>
        <v/>
      </c>
      <c r="AC212" s="186">
        <f>IFERROR(O212*N212,0)</f>
        <v/>
      </c>
      <c r="AD212" t="inlineStr">
        <is>
          <t>Solo en plataformas</t>
        </is>
      </c>
    </row>
    <row r="213">
      <c r="A213" t="inlineStr">
        <is>
          <t>199168059088</t>
        </is>
      </c>
      <c r="C213" t="inlineStr">
        <is>
          <t>03-097-0616-6223 BR-2XL</t>
        </is>
      </c>
      <c r="D213" t="inlineStr">
        <is>
          <t>03-097-0616-6223</t>
        </is>
      </c>
      <c r="E213" t="inlineStr">
        <is>
          <t>Roper</t>
        </is>
      </c>
      <c r="F213" t="inlineStr">
        <is>
          <t>ROPER Outerwear Perf Canvas Quilted</t>
        </is>
      </c>
      <c r="G213" t="inlineStr">
        <is>
          <t>XXL</t>
        </is>
      </c>
      <c r="I213" t="inlineStr">
        <is>
          <t>Ropa</t>
        </is>
      </c>
      <c r="J213" t="inlineStr">
        <is>
          <t>Camisas</t>
        </is>
      </c>
      <c r="L213" t="inlineStr">
        <is>
          <t>PZS</t>
        </is>
      </c>
      <c r="M213" s="186" t="n">
        <v>39.53</v>
      </c>
      <c r="N213" s="186" t="n">
        <v>1029</v>
      </c>
      <c r="O213" t="n">
        <v>0</v>
      </c>
      <c r="X213">
        <f>O213-W213</f>
        <v/>
      </c>
      <c r="Y213" t="n">
        <v>6</v>
      </c>
      <c r="AB213" s="186">
        <f>IFERROR(O213*M213,0)</f>
        <v/>
      </c>
      <c r="AC213" s="186">
        <f>IFERROR(O213*N213,0)</f>
        <v/>
      </c>
      <c r="AD213" t="inlineStr">
        <is>
          <t>Solo en plataformas</t>
        </is>
      </c>
    </row>
    <row r="214">
      <c r="A214" t="inlineStr">
        <is>
          <t>199168059149</t>
        </is>
      </c>
      <c r="C214" t="inlineStr">
        <is>
          <t>03-097-0617-6222 GR-2XL</t>
        </is>
      </c>
      <c r="D214" t="inlineStr">
        <is>
          <t>03-097-0617-6222</t>
        </is>
      </c>
      <c r="E214" t="inlineStr">
        <is>
          <t>Roper</t>
        </is>
      </c>
      <c r="F214" t="inlineStr">
        <is>
          <t>ROPER Outerwear Perf Canvas Quilted</t>
        </is>
      </c>
      <c r="G214" t="inlineStr">
        <is>
          <t>XXL</t>
        </is>
      </c>
      <c r="I214" t="inlineStr">
        <is>
          <t>Ropa</t>
        </is>
      </c>
      <c r="J214" t="inlineStr">
        <is>
          <t>Camisas</t>
        </is>
      </c>
      <c r="L214" t="inlineStr">
        <is>
          <t>PZS</t>
        </is>
      </c>
      <c r="M214" s="186" t="n">
        <v>32.55</v>
      </c>
      <c r="N214" s="186" t="n">
        <v>869</v>
      </c>
      <c r="O214" t="n">
        <v>0</v>
      </c>
      <c r="X214">
        <f>O214-W214</f>
        <v/>
      </c>
      <c r="Y214" t="n">
        <v>7</v>
      </c>
      <c r="AB214" s="186">
        <f>IFERROR(O214*M214,0)</f>
        <v/>
      </c>
      <c r="AC214" s="186">
        <f>IFERROR(O214*N214,0)</f>
        <v/>
      </c>
      <c r="AD214" t="inlineStr">
        <is>
          <t>Solo en plataformas</t>
        </is>
      </c>
    </row>
    <row r="215">
      <c r="A215" t="inlineStr">
        <is>
          <t>199168059200</t>
        </is>
      </c>
      <c r="C215" t="inlineStr">
        <is>
          <t>03-097-0617-6223 BR-2XL</t>
        </is>
      </c>
      <c r="D215" t="inlineStr">
        <is>
          <t>03-097-0617-6223</t>
        </is>
      </c>
      <c r="E215" t="inlineStr">
        <is>
          <t>Roper</t>
        </is>
      </c>
      <c r="F215" t="inlineStr">
        <is>
          <t>ROPER Outerwear Perf Canvas Quilted</t>
        </is>
      </c>
      <c r="G215" t="inlineStr">
        <is>
          <t>XXL</t>
        </is>
      </c>
      <c r="I215" t="inlineStr">
        <is>
          <t>Ropa</t>
        </is>
      </c>
      <c r="J215" t="inlineStr">
        <is>
          <t>Camisas</t>
        </is>
      </c>
      <c r="L215" t="inlineStr">
        <is>
          <t>PZS</t>
        </is>
      </c>
      <c r="M215" s="186" t="n">
        <v>32.55</v>
      </c>
      <c r="N215" s="186" t="n">
        <v>869</v>
      </c>
      <c r="O215" t="n">
        <v>0</v>
      </c>
      <c r="X215">
        <f>O215-W215</f>
        <v/>
      </c>
      <c r="Y215" t="n">
        <v>7</v>
      </c>
      <c r="AB215" s="186">
        <f>IFERROR(O215*M215,0)</f>
        <v/>
      </c>
      <c r="AC215" s="186">
        <f>IFERROR(O215*N215,0)</f>
        <v/>
      </c>
      <c r="AD215" t="inlineStr">
        <is>
          <t>Solo en plataformas</t>
        </is>
      </c>
    </row>
    <row r="216">
      <c r="A216" t="inlineStr">
        <is>
          <t>199168059460</t>
        </is>
      </c>
      <c r="C216" t="inlineStr">
        <is>
          <t>03-097-0692-6211 BL-L</t>
        </is>
      </c>
      <c r="D216" t="inlineStr">
        <is>
          <t>03-097-0692-6211</t>
        </is>
      </c>
      <c r="E216" t="inlineStr">
        <is>
          <t>Roper</t>
        </is>
      </c>
      <c r="F216" t="inlineStr">
        <is>
          <t>ROPER Outerwear Bl/Go/Rt Aztec Micro</t>
        </is>
      </c>
      <c r="G216" t="inlineStr">
        <is>
          <t>L</t>
        </is>
      </c>
      <c r="I216" t="inlineStr">
        <is>
          <t>Ropa</t>
        </is>
      </c>
      <c r="J216" t="inlineStr">
        <is>
          <t>Camisas</t>
        </is>
      </c>
      <c r="L216" t="inlineStr">
        <is>
          <t>PZS</t>
        </is>
      </c>
      <c r="M216" s="186" t="n">
        <v>27.44</v>
      </c>
      <c r="N216" s="186" t="n">
        <v>749</v>
      </c>
      <c r="O216" t="n">
        <v>0</v>
      </c>
      <c r="X216">
        <f>O216-W216</f>
        <v/>
      </c>
      <c r="Y216" t="n">
        <v>1</v>
      </c>
      <c r="AB216" s="186">
        <f>IFERROR(O216*M216,0)</f>
        <v/>
      </c>
      <c r="AC216" s="186">
        <f>IFERROR(O216*N216,0)</f>
        <v/>
      </c>
      <c r="AD216" t="inlineStr">
        <is>
          <t>Solo en plataformas</t>
        </is>
      </c>
    </row>
    <row r="217">
      <c r="A217" t="inlineStr">
        <is>
          <t>199168059491</t>
        </is>
      </c>
      <c r="C217" t="inlineStr">
        <is>
          <t>03-097-0692-6211 BL-XL</t>
        </is>
      </c>
      <c r="D217" t="inlineStr">
        <is>
          <t>03-097-0692-6211</t>
        </is>
      </c>
      <c r="E217" t="inlineStr">
        <is>
          <t>Roper</t>
        </is>
      </c>
      <c r="F217" t="inlineStr">
        <is>
          <t>ROPER Outerwear Bl/Go/Rt Aztec Micro</t>
        </is>
      </c>
      <c r="G217" t="inlineStr">
        <is>
          <t>L</t>
        </is>
      </c>
      <c r="I217" t="inlineStr">
        <is>
          <t>Ropa</t>
        </is>
      </c>
      <c r="J217" t="inlineStr">
        <is>
          <t>Camisas</t>
        </is>
      </c>
      <c r="K217" t="inlineStr">
        <is>
          <t>Hombre</t>
        </is>
      </c>
      <c r="L217" t="inlineStr">
        <is>
          <t>PZS</t>
        </is>
      </c>
      <c r="M217" s="186" t="n">
        <v>27.44</v>
      </c>
      <c r="N217" s="186" t="n">
        <v>749</v>
      </c>
      <c r="O217" t="n">
        <v>0</v>
      </c>
      <c r="X217">
        <f>O217-W217</f>
        <v/>
      </c>
      <c r="Y217" t="n">
        <v>2</v>
      </c>
      <c r="AB217" s="186">
        <f>IFERROR(O217*M217,0)</f>
        <v/>
      </c>
      <c r="AC217" s="186">
        <f>IFERROR(O217*N217,0)</f>
        <v/>
      </c>
      <c r="AD217" t="inlineStr">
        <is>
          <t>Solo en plataformas</t>
        </is>
      </c>
    </row>
    <row r="218">
      <c r="A218" t="inlineStr">
        <is>
          <t>199168060107</t>
        </is>
      </c>
      <c r="C218" t="inlineStr">
        <is>
          <t>03-097-0780-6017 BL-2XL</t>
        </is>
      </c>
      <c r="D218" t="inlineStr">
        <is>
          <t>03-097-0780-6017</t>
        </is>
      </c>
      <c r="E218" t="inlineStr">
        <is>
          <t>Roper</t>
        </is>
      </c>
      <c r="F218" t="inlineStr">
        <is>
          <t>ROPER Outerwear Charcoal/Black Aztec</t>
        </is>
      </c>
      <c r="G218" t="inlineStr">
        <is>
          <t>XXL</t>
        </is>
      </c>
      <c r="H218" t="inlineStr">
        <is>
          <t>Gris</t>
        </is>
      </c>
      <c r="I218" t="inlineStr">
        <is>
          <t>Ropa</t>
        </is>
      </c>
      <c r="J218" t="inlineStr">
        <is>
          <t>Camisas</t>
        </is>
      </c>
      <c r="L218" t="inlineStr">
        <is>
          <t>PZS</t>
        </is>
      </c>
      <c r="M218" s="186" t="n">
        <v>46.04</v>
      </c>
      <c r="N218" s="186" t="n">
        <v>1189</v>
      </c>
      <c r="O218" t="n">
        <v>0</v>
      </c>
      <c r="X218">
        <f>O218-W218</f>
        <v/>
      </c>
      <c r="Y218" t="n">
        <v>6</v>
      </c>
      <c r="AB218" s="186">
        <f>IFERROR(O218*M218,0)</f>
        <v/>
      </c>
      <c r="AC218" s="186">
        <f>IFERROR(O218*N218,0)</f>
        <v/>
      </c>
      <c r="AD218" t="inlineStr">
        <is>
          <t>Solo en plataformas</t>
        </is>
      </c>
    </row>
    <row r="219">
      <c r="A219" t="inlineStr">
        <is>
          <t>199168058982</t>
        </is>
      </c>
      <c r="C219" t="inlineStr">
        <is>
          <t>03-097-0616-6222 GR-L</t>
        </is>
      </c>
      <c r="D219" t="inlineStr">
        <is>
          <t>03-097-0616-6222</t>
        </is>
      </c>
      <c r="E219" t="inlineStr">
        <is>
          <t>Roper</t>
        </is>
      </c>
      <c r="F219" t="inlineStr">
        <is>
          <t>ROPER Outerwear Perf Canvas Quilted</t>
        </is>
      </c>
      <c r="G219" t="inlineStr">
        <is>
          <t>L</t>
        </is>
      </c>
      <c r="I219" t="inlineStr">
        <is>
          <t>Ropa</t>
        </is>
      </c>
      <c r="J219" t="inlineStr">
        <is>
          <t>Chamarras</t>
        </is>
      </c>
      <c r="L219" t="inlineStr">
        <is>
          <t>PZS</t>
        </is>
      </c>
      <c r="M219" s="186" t="n">
        <v>39.53</v>
      </c>
      <c r="N219" s="186" t="n">
        <v>1029</v>
      </c>
      <c r="O219" t="n">
        <v>0</v>
      </c>
      <c r="X219">
        <f>O219-W219</f>
        <v/>
      </c>
      <c r="Y219" t="n">
        <v>1</v>
      </c>
      <c r="AB219" s="186">
        <f>IFERROR(O219*M219,0)</f>
        <v/>
      </c>
      <c r="AC219" s="186">
        <f>IFERROR(O219*N219,0)</f>
        <v/>
      </c>
      <c r="AD219" t="inlineStr">
        <is>
          <t>Solo en plataformas</t>
        </is>
      </c>
    </row>
    <row r="220">
      <c r="A220" t="inlineStr">
        <is>
          <t>199168058999</t>
        </is>
      </c>
      <c r="C220" t="inlineStr">
        <is>
          <t>03-097-0616-6222 GR-M</t>
        </is>
      </c>
      <c r="D220" t="inlineStr">
        <is>
          <t>03-097-0616-6222</t>
        </is>
      </c>
      <c r="E220" t="inlineStr">
        <is>
          <t>Roper</t>
        </is>
      </c>
      <c r="F220" t="inlineStr">
        <is>
          <t>ROPER Outerwear Perf Canvas Quilted</t>
        </is>
      </c>
      <c r="G220" t="inlineStr">
        <is>
          <t>M</t>
        </is>
      </c>
      <c r="I220" t="inlineStr">
        <is>
          <t>Ropa</t>
        </is>
      </c>
      <c r="J220" t="inlineStr">
        <is>
          <t>Chamarras</t>
        </is>
      </c>
      <c r="L220" t="inlineStr">
        <is>
          <t>PZS</t>
        </is>
      </c>
      <c r="M220" s="186" t="n">
        <v>39.53</v>
      </c>
      <c r="N220" s="186" t="n">
        <v>1029</v>
      </c>
      <c r="O220" t="n">
        <v>0</v>
      </c>
      <c r="X220">
        <f>O220-W220</f>
        <v/>
      </c>
      <c r="Y220" t="n">
        <v>2</v>
      </c>
      <c r="AB220" s="186">
        <f>IFERROR(O220*M220,0)</f>
        <v/>
      </c>
      <c r="AC220" s="186">
        <f>IFERROR(O220*N220,0)</f>
        <v/>
      </c>
      <c r="AD220" t="inlineStr">
        <is>
          <t>Solo en plataformas</t>
        </is>
      </c>
    </row>
    <row r="221">
      <c r="A221" t="inlineStr">
        <is>
          <t>199168059002</t>
        </is>
      </c>
      <c r="C221" t="inlineStr">
        <is>
          <t>03-097-0616-6222 GR-S</t>
        </is>
      </c>
      <c r="D221" t="inlineStr">
        <is>
          <t>03-097-0616-6222</t>
        </is>
      </c>
      <c r="E221" t="inlineStr">
        <is>
          <t>Roper</t>
        </is>
      </c>
      <c r="F221" t="inlineStr">
        <is>
          <t>ROPER Outerwear Perf Canvas Quilted</t>
        </is>
      </c>
      <c r="G221" t="inlineStr">
        <is>
          <t>S</t>
        </is>
      </c>
      <c r="I221" t="inlineStr">
        <is>
          <t>Ropa</t>
        </is>
      </c>
      <c r="J221" t="inlineStr">
        <is>
          <t>Chamarras</t>
        </is>
      </c>
      <c r="L221" t="inlineStr">
        <is>
          <t>PZS</t>
        </is>
      </c>
      <c r="M221" s="186" t="n">
        <v>39.53</v>
      </c>
      <c r="N221" s="186" t="n">
        <v>1029</v>
      </c>
      <c r="O221" t="n">
        <v>0</v>
      </c>
      <c r="X221">
        <f>O221-W221</f>
        <v/>
      </c>
      <c r="Y221" t="n">
        <v>3</v>
      </c>
      <c r="AB221" s="186">
        <f>IFERROR(O221*M221,0)</f>
        <v/>
      </c>
      <c r="AC221" s="186">
        <f>IFERROR(O221*N221,0)</f>
        <v/>
      </c>
      <c r="AD221" t="inlineStr">
        <is>
          <t>Solo en plataformas</t>
        </is>
      </c>
    </row>
    <row r="222">
      <c r="A222" t="inlineStr">
        <is>
          <t>199168059019</t>
        </is>
      </c>
      <c r="C222" t="inlineStr">
        <is>
          <t>03-097-0616-6222 GR-XL</t>
        </is>
      </c>
      <c r="D222" t="inlineStr">
        <is>
          <t>03-097-0616-6222</t>
        </is>
      </c>
      <c r="E222" t="inlineStr">
        <is>
          <t>Roper</t>
        </is>
      </c>
      <c r="F222" t="inlineStr">
        <is>
          <t>ROPER Outerwear Perf Canvas Quilted</t>
        </is>
      </c>
      <c r="G222" t="inlineStr">
        <is>
          <t>XL</t>
        </is>
      </c>
      <c r="I222" t="inlineStr">
        <is>
          <t>Ropa</t>
        </is>
      </c>
      <c r="J222" t="inlineStr">
        <is>
          <t>Chamarras</t>
        </is>
      </c>
      <c r="L222" t="inlineStr">
        <is>
          <t>PZS</t>
        </is>
      </c>
      <c r="M222" s="186" t="n">
        <v>39.53</v>
      </c>
      <c r="N222" s="186" t="n">
        <v>1029</v>
      </c>
      <c r="O222" t="n">
        <v>0</v>
      </c>
      <c r="X222">
        <f>O222-W222</f>
        <v/>
      </c>
      <c r="Y222" t="n">
        <v>2</v>
      </c>
      <c r="AB222" s="186">
        <f>IFERROR(O222*M222,0)</f>
        <v/>
      </c>
      <c r="AC222" s="186">
        <f>IFERROR(O222*N222,0)</f>
        <v/>
      </c>
      <c r="AD222" t="inlineStr">
        <is>
          <t>Solo en plataformas</t>
        </is>
      </c>
    </row>
    <row r="223">
      <c r="A223" t="inlineStr">
        <is>
          <t>199168059040</t>
        </is>
      </c>
      <c r="C223" t="inlineStr">
        <is>
          <t>03-097-0616-6223 BR-L</t>
        </is>
      </c>
      <c r="D223" t="inlineStr">
        <is>
          <t>03-097-0616-6223</t>
        </is>
      </c>
      <c r="E223" t="inlineStr">
        <is>
          <t>Roper</t>
        </is>
      </c>
      <c r="F223" t="inlineStr">
        <is>
          <t>ROPER Outerwear Perf Canvas Quilted</t>
        </is>
      </c>
      <c r="G223" t="inlineStr">
        <is>
          <t>L</t>
        </is>
      </c>
      <c r="I223" t="inlineStr">
        <is>
          <t>Ropa</t>
        </is>
      </c>
      <c r="J223" t="inlineStr">
        <is>
          <t>Chamarras</t>
        </is>
      </c>
      <c r="L223" t="inlineStr">
        <is>
          <t>PZS</t>
        </is>
      </c>
      <c r="M223" s="186" t="n">
        <v>39.53</v>
      </c>
      <c r="N223" s="186" t="n">
        <v>1029</v>
      </c>
      <c r="O223" t="n">
        <v>0</v>
      </c>
      <c r="X223">
        <f>O223-W223</f>
        <v/>
      </c>
      <c r="Y223" t="n">
        <v>1</v>
      </c>
      <c r="AB223" s="186">
        <f>IFERROR(O223*M223,0)</f>
        <v/>
      </c>
      <c r="AC223" s="186">
        <f>IFERROR(O223*N223,0)</f>
        <v/>
      </c>
      <c r="AD223" t="inlineStr">
        <is>
          <t>Solo en plataformas</t>
        </is>
      </c>
    </row>
    <row r="224">
      <c r="A224" t="inlineStr">
        <is>
          <t>199168059057</t>
        </is>
      </c>
      <c r="C224" t="inlineStr">
        <is>
          <t>03-097-0616-6223 BR-M</t>
        </is>
      </c>
      <c r="D224" t="inlineStr">
        <is>
          <t>03-097-0616-6223</t>
        </is>
      </c>
      <c r="E224" t="inlineStr">
        <is>
          <t>Roper</t>
        </is>
      </c>
      <c r="F224" t="inlineStr">
        <is>
          <t>ROPER Outerwear Perf Canvas Quilted</t>
        </is>
      </c>
      <c r="G224" t="inlineStr">
        <is>
          <t>M</t>
        </is>
      </c>
      <c r="I224" t="inlineStr">
        <is>
          <t>Ropa</t>
        </is>
      </c>
      <c r="J224" t="inlineStr">
        <is>
          <t>Chamarras</t>
        </is>
      </c>
      <c r="L224" t="inlineStr">
        <is>
          <t>PZS</t>
        </is>
      </c>
      <c r="M224" s="186" t="n">
        <v>39.53</v>
      </c>
      <c r="N224" s="186" t="n">
        <v>1029</v>
      </c>
      <c r="O224" t="n">
        <v>0</v>
      </c>
      <c r="X224">
        <f>O224-W224</f>
        <v/>
      </c>
      <c r="Y224" t="n">
        <v>1</v>
      </c>
      <c r="AB224" s="186">
        <f>IFERROR(O224*M224,0)</f>
        <v/>
      </c>
      <c r="AC224" s="186">
        <f>IFERROR(O224*N224,0)</f>
        <v/>
      </c>
      <c r="AD224" t="inlineStr">
        <is>
          <t>Solo en plataformas</t>
        </is>
      </c>
    </row>
    <row r="225">
      <c r="A225" t="inlineStr">
        <is>
          <t>199168059064</t>
        </is>
      </c>
      <c r="C225" t="inlineStr">
        <is>
          <t>03-097-0616-6223 BR-S</t>
        </is>
      </c>
      <c r="D225" t="inlineStr">
        <is>
          <t>03-097-0616-6223</t>
        </is>
      </c>
      <c r="E225" t="inlineStr">
        <is>
          <t>Roper</t>
        </is>
      </c>
      <c r="F225" t="inlineStr">
        <is>
          <t>ROPER Outerwear Perf Canvas Quilted</t>
        </is>
      </c>
      <c r="G225" t="inlineStr">
        <is>
          <t>S</t>
        </is>
      </c>
      <c r="I225" t="inlineStr">
        <is>
          <t>Ropa</t>
        </is>
      </c>
      <c r="J225" t="inlineStr">
        <is>
          <t>Chamarras</t>
        </is>
      </c>
      <c r="L225" t="inlineStr">
        <is>
          <t>PZS</t>
        </is>
      </c>
      <c r="M225" s="186" t="n">
        <v>39.53</v>
      </c>
      <c r="N225" s="186" t="n">
        <v>1029</v>
      </c>
      <c r="O225" t="n">
        <v>0</v>
      </c>
      <c r="X225">
        <f>O225-W225</f>
        <v/>
      </c>
      <c r="Y225" t="n">
        <v>3</v>
      </c>
      <c r="AB225" s="186">
        <f>IFERROR(O225*M225,0)</f>
        <v/>
      </c>
      <c r="AC225" s="186">
        <f>IFERROR(O225*N225,0)</f>
        <v/>
      </c>
      <c r="AD225" t="inlineStr">
        <is>
          <t>Solo en plataformas</t>
        </is>
      </c>
    </row>
    <row r="226">
      <c r="A226" t="inlineStr">
        <is>
          <t>199168059071</t>
        </is>
      </c>
      <c r="C226" t="inlineStr">
        <is>
          <t>03-097-0616-6223 BR-XL</t>
        </is>
      </c>
      <c r="D226" t="inlineStr">
        <is>
          <t>03-097-0616-6223</t>
        </is>
      </c>
      <c r="E226" t="inlineStr">
        <is>
          <t>Roper</t>
        </is>
      </c>
      <c r="F226" t="inlineStr">
        <is>
          <t>ROPER Outerwear Perf Canvas Quilted</t>
        </is>
      </c>
      <c r="G226" t="inlineStr">
        <is>
          <t>XL</t>
        </is>
      </c>
      <c r="I226" t="inlineStr">
        <is>
          <t>Ropa</t>
        </is>
      </c>
      <c r="J226" t="inlineStr">
        <is>
          <t>Chamarras</t>
        </is>
      </c>
      <c r="L226" t="inlineStr">
        <is>
          <t>PZS</t>
        </is>
      </c>
      <c r="M226" s="186" t="n">
        <v>39.53</v>
      </c>
      <c r="N226" s="186" t="n">
        <v>1029</v>
      </c>
      <c r="O226" t="n">
        <v>0</v>
      </c>
      <c r="X226">
        <f>O226-W226</f>
        <v/>
      </c>
      <c r="Y226" t="n">
        <v>2</v>
      </c>
      <c r="AB226" s="186">
        <f>IFERROR(O226*M226,0)</f>
        <v/>
      </c>
      <c r="AC226" s="186">
        <f>IFERROR(O226*N226,0)</f>
        <v/>
      </c>
      <c r="AD226" t="inlineStr">
        <is>
          <t>Solo en plataformas</t>
        </is>
      </c>
    </row>
    <row r="227">
      <c r="A227" t="inlineStr">
        <is>
          <t>199168059101</t>
        </is>
      </c>
      <c r="C227" t="inlineStr">
        <is>
          <t>03-097-0617-6222 GR-L</t>
        </is>
      </c>
      <c r="D227" t="inlineStr">
        <is>
          <t>03-097-0617-6222</t>
        </is>
      </c>
      <c r="E227" t="inlineStr">
        <is>
          <t>Roper</t>
        </is>
      </c>
      <c r="F227" t="inlineStr">
        <is>
          <t>ROPER Outerwear Perf Canvas Quilted</t>
        </is>
      </c>
      <c r="G227" t="inlineStr">
        <is>
          <t>L</t>
        </is>
      </c>
      <c r="I227" t="inlineStr">
        <is>
          <t>Ropa</t>
        </is>
      </c>
      <c r="J227" t="inlineStr">
        <is>
          <t>Chamarras</t>
        </is>
      </c>
      <c r="L227" t="inlineStr">
        <is>
          <t>PZS</t>
        </is>
      </c>
      <c r="M227" s="186" t="n">
        <v>32.55</v>
      </c>
      <c r="N227" s="186" t="n">
        <v>869</v>
      </c>
      <c r="O227" t="n">
        <v>0</v>
      </c>
      <c r="X227">
        <f>O227-W227</f>
        <v/>
      </c>
      <c r="Y227" t="n">
        <v>11</v>
      </c>
      <c r="AB227" s="186">
        <f>IFERROR(O227*M227,0)</f>
        <v/>
      </c>
      <c r="AC227" s="186">
        <f>IFERROR(O227*N227,0)</f>
        <v/>
      </c>
      <c r="AD227" t="inlineStr">
        <is>
          <t>Solo en plataformas</t>
        </is>
      </c>
    </row>
    <row r="228">
      <c r="A228" t="inlineStr">
        <is>
          <t>199168059118</t>
        </is>
      </c>
      <c r="C228" t="inlineStr">
        <is>
          <t>03-097-0617-6222 GR-M</t>
        </is>
      </c>
      <c r="D228" t="inlineStr">
        <is>
          <t>03-097-0617-6222</t>
        </is>
      </c>
      <c r="E228" t="inlineStr">
        <is>
          <t>Roper</t>
        </is>
      </c>
      <c r="F228" t="inlineStr">
        <is>
          <t>ROPER Outerwear Perf Canvas Quilted</t>
        </is>
      </c>
      <c r="G228" t="inlineStr">
        <is>
          <t>M</t>
        </is>
      </c>
      <c r="I228" t="inlineStr">
        <is>
          <t>Ropa</t>
        </is>
      </c>
      <c r="J228" t="inlineStr">
        <is>
          <t>Chamarras</t>
        </is>
      </c>
      <c r="L228" t="inlineStr">
        <is>
          <t>PZS</t>
        </is>
      </c>
      <c r="M228" s="186" t="n">
        <v>32.55</v>
      </c>
      <c r="N228" s="186" t="n">
        <v>869</v>
      </c>
      <c r="O228" t="n">
        <v>0</v>
      </c>
      <c r="X228">
        <f>O228-W228</f>
        <v/>
      </c>
      <c r="Y228" t="n">
        <v>5</v>
      </c>
      <c r="AB228" s="186">
        <f>IFERROR(O228*M228,0)</f>
        <v/>
      </c>
      <c r="AC228" s="186">
        <f>IFERROR(O228*N228,0)</f>
        <v/>
      </c>
      <c r="AD228" t="inlineStr">
        <is>
          <t>Solo en plataformas</t>
        </is>
      </c>
    </row>
    <row r="229">
      <c r="A229" t="inlineStr">
        <is>
          <t>199168059132</t>
        </is>
      </c>
      <c r="C229" t="inlineStr">
        <is>
          <t>03-097-0617-6222 GR-XL</t>
        </is>
      </c>
      <c r="D229" t="inlineStr">
        <is>
          <t>03-097-0617-6222</t>
        </is>
      </c>
      <c r="E229" t="inlineStr">
        <is>
          <t>Roper</t>
        </is>
      </c>
      <c r="F229" t="inlineStr">
        <is>
          <t>ROPER Outerwear Perf Canvas Quilted</t>
        </is>
      </c>
      <c r="G229" t="inlineStr">
        <is>
          <t>XL</t>
        </is>
      </c>
      <c r="I229" t="inlineStr">
        <is>
          <t>Ropa</t>
        </is>
      </c>
      <c r="J229" t="inlineStr">
        <is>
          <t>Chamarras</t>
        </is>
      </c>
      <c r="L229" t="inlineStr">
        <is>
          <t>PZS</t>
        </is>
      </c>
      <c r="M229" s="186" t="n">
        <v>32.55</v>
      </c>
      <c r="N229" s="186" t="n">
        <v>869</v>
      </c>
      <c r="O229" t="n">
        <v>0</v>
      </c>
      <c r="X229">
        <f>O229-W229</f>
        <v/>
      </c>
      <c r="Y229" t="n">
        <v>15</v>
      </c>
      <c r="AB229" s="186">
        <f>IFERROR(O229*M229,0)</f>
        <v/>
      </c>
      <c r="AC229" s="186">
        <f>IFERROR(O229*N229,0)</f>
        <v/>
      </c>
      <c r="AD229" t="inlineStr">
        <is>
          <t>Solo en plataformas</t>
        </is>
      </c>
    </row>
    <row r="230">
      <c r="A230" t="inlineStr">
        <is>
          <t>199168059163</t>
        </is>
      </c>
      <c r="C230" t="inlineStr">
        <is>
          <t>03-097-0617-6223 BR-L</t>
        </is>
      </c>
      <c r="D230" t="inlineStr">
        <is>
          <t>03-097-0617-6223</t>
        </is>
      </c>
      <c r="E230" t="inlineStr">
        <is>
          <t>Roper</t>
        </is>
      </c>
      <c r="F230" t="inlineStr">
        <is>
          <t>ROPER Outerwear Perf Canvas Quilted</t>
        </is>
      </c>
      <c r="G230" t="inlineStr">
        <is>
          <t>L</t>
        </is>
      </c>
      <c r="I230" t="inlineStr">
        <is>
          <t>Ropa</t>
        </is>
      </c>
      <c r="J230" t="inlineStr">
        <is>
          <t>Chamarras</t>
        </is>
      </c>
      <c r="L230" t="inlineStr">
        <is>
          <t>PZS</t>
        </is>
      </c>
      <c r="M230" s="186" t="n">
        <v>32.55</v>
      </c>
      <c r="N230" s="186" t="n">
        <v>869</v>
      </c>
      <c r="O230" t="n">
        <v>0</v>
      </c>
      <c r="X230">
        <f>O230-W230</f>
        <v/>
      </c>
      <c r="Y230" t="n">
        <v>11</v>
      </c>
      <c r="AB230" s="186">
        <f>IFERROR(O230*M230,0)</f>
        <v/>
      </c>
      <c r="AC230" s="186">
        <f>IFERROR(O230*N230,0)</f>
        <v/>
      </c>
      <c r="AD230" t="inlineStr">
        <is>
          <t>Solo en plataformas</t>
        </is>
      </c>
    </row>
    <row r="231">
      <c r="A231" t="inlineStr">
        <is>
          <t>199168059170</t>
        </is>
      </c>
      <c r="C231" t="inlineStr">
        <is>
          <t>03-097-0617-6223 BR-M</t>
        </is>
      </c>
      <c r="D231" t="inlineStr">
        <is>
          <t>03-097-0617-6223</t>
        </is>
      </c>
      <c r="E231" t="inlineStr">
        <is>
          <t>Roper</t>
        </is>
      </c>
      <c r="F231" t="inlineStr">
        <is>
          <t>ROPER Outerwear Perf Canvas Quilted</t>
        </is>
      </c>
      <c r="G231" t="inlineStr">
        <is>
          <t>M</t>
        </is>
      </c>
      <c r="I231" t="inlineStr">
        <is>
          <t>Ropa</t>
        </is>
      </c>
      <c r="J231" t="inlineStr">
        <is>
          <t>Chamarras</t>
        </is>
      </c>
      <c r="L231" t="inlineStr">
        <is>
          <t>PZS</t>
        </is>
      </c>
      <c r="M231" s="186" t="n">
        <v>32.55</v>
      </c>
      <c r="N231" s="186" t="n">
        <v>869</v>
      </c>
      <c r="O231" t="n">
        <v>0</v>
      </c>
      <c r="X231">
        <f>O231-W231</f>
        <v/>
      </c>
      <c r="Y231" t="n">
        <v>8</v>
      </c>
      <c r="AB231" s="186">
        <f>IFERROR(O231*M231,0)</f>
        <v/>
      </c>
      <c r="AC231" s="186">
        <f>IFERROR(O231*N231,0)</f>
        <v/>
      </c>
      <c r="AD231" t="inlineStr">
        <is>
          <t>Solo en plataformas</t>
        </is>
      </c>
    </row>
    <row r="232">
      <c r="A232" t="inlineStr">
        <is>
          <t>199168059187</t>
        </is>
      </c>
      <c r="C232" t="inlineStr">
        <is>
          <t>03-097-0617-6223 BR-S</t>
        </is>
      </c>
      <c r="D232" t="inlineStr">
        <is>
          <t>03-097-0617-6223</t>
        </is>
      </c>
      <c r="E232" t="inlineStr">
        <is>
          <t>Roper</t>
        </is>
      </c>
      <c r="F232" t="inlineStr">
        <is>
          <t>ROPER Outerwear Perf Canvas Quilted</t>
        </is>
      </c>
      <c r="G232" t="inlineStr">
        <is>
          <t>S</t>
        </is>
      </c>
      <c r="I232" t="inlineStr">
        <is>
          <t>Ropa</t>
        </is>
      </c>
      <c r="J232" t="inlineStr">
        <is>
          <t>Chamarras</t>
        </is>
      </c>
      <c r="L232" t="inlineStr">
        <is>
          <t>PZS</t>
        </is>
      </c>
      <c r="M232" s="186" t="n">
        <v>32.55</v>
      </c>
      <c r="N232" s="186" t="n">
        <v>869</v>
      </c>
      <c r="O232" t="n">
        <v>0</v>
      </c>
      <c r="X232">
        <f>O232-W232</f>
        <v/>
      </c>
      <c r="Y232" t="n">
        <v>7</v>
      </c>
      <c r="AB232" s="186">
        <f>IFERROR(O232*M232,0)</f>
        <v/>
      </c>
      <c r="AC232" s="186">
        <f>IFERROR(O232*N232,0)</f>
        <v/>
      </c>
      <c r="AD232" t="inlineStr">
        <is>
          <t>Solo en plataformas</t>
        </is>
      </c>
    </row>
    <row r="233">
      <c r="A233" t="inlineStr">
        <is>
          <t>199168059194</t>
        </is>
      </c>
      <c r="C233" t="inlineStr">
        <is>
          <t>03-097-0617-6223 BR-XL</t>
        </is>
      </c>
      <c r="D233" t="inlineStr">
        <is>
          <t>03-097-0617-6223</t>
        </is>
      </c>
      <c r="E233" t="inlineStr">
        <is>
          <t>Roper</t>
        </is>
      </c>
      <c r="F233" t="inlineStr">
        <is>
          <t>ROPER Outerwear Perf Canvas Quilted</t>
        </is>
      </c>
      <c r="G233" t="inlineStr">
        <is>
          <t>XL</t>
        </is>
      </c>
      <c r="I233" t="inlineStr">
        <is>
          <t>Ropa</t>
        </is>
      </c>
      <c r="J233" t="inlineStr">
        <is>
          <t>Chamarras</t>
        </is>
      </c>
      <c r="L233" t="inlineStr">
        <is>
          <t>PZS</t>
        </is>
      </c>
      <c r="M233" s="186" t="n">
        <v>32.55</v>
      </c>
      <c r="N233" s="186" t="n">
        <v>869</v>
      </c>
      <c r="O233" t="n">
        <v>0</v>
      </c>
      <c r="X233">
        <f>O233-W233</f>
        <v/>
      </c>
      <c r="Y233" t="n">
        <v>7</v>
      </c>
      <c r="AB233" s="186">
        <f>IFERROR(O233*M233,0)</f>
        <v/>
      </c>
      <c r="AC233" s="186">
        <f>IFERROR(O233*N233,0)</f>
        <v/>
      </c>
      <c r="AD233" t="inlineStr">
        <is>
          <t>Solo en plataformas</t>
        </is>
      </c>
    </row>
    <row r="234">
      <c r="A234" t="inlineStr">
        <is>
          <t>199168059408</t>
        </is>
      </c>
      <c r="C234" t="inlineStr">
        <is>
          <t>03-097-0692-6210 BL-L</t>
        </is>
      </c>
      <c r="D234" t="inlineStr">
        <is>
          <t>03-097-0692-6210</t>
        </is>
      </c>
      <c r="E234" t="inlineStr">
        <is>
          <t>Roper</t>
        </is>
      </c>
      <c r="F234" t="inlineStr">
        <is>
          <t>ROPER Outerwear Br/Bl Aztec Micro</t>
        </is>
      </c>
      <c r="G234" t="inlineStr">
        <is>
          <t>L</t>
        </is>
      </c>
      <c r="I234" t="inlineStr">
        <is>
          <t>Ropa</t>
        </is>
      </c>
      <c r="J234" t="inlineStr">
        <is>
          <t>Chamarras</t>
        </is>
      </c>
      <c r="K234" t="inlineStr">
        <is>
          <t>Hombre</t>
        </is>
      </c>
      <c r="L234" t="inlineStr">
        <is>
          <t>PZS</t>
        </is>
      </c>
      <c r="M234" s="186" t="n">
        <v>27.44</v>
      </c>
      <c r="N234" s="186" t="n">
        <v>749</v>
      </c>
      <c r="O234" t="n">
        <v>0</v>
      </c>
      <c r="X234">
        <f>O234-W234</f>
        <v/>
      </c>
      <c r="Y234" t="n">
        <v>1</v>
      </c>
      <c r="AB234" s="186">
        <f>IFERROR(O234*M234,0)</f>
        <v/>
      </c>
      <c r="AC234" s="186">
        <f>IFERROR(O234*N234,0)</f>
        <v/>
      </c>
      <c r="AD234" t="inlineStr">
        <is>
          <t>Solo en plataformas</t>
        </is>
      </c>
    </row>
    <row r="235">
      <c r="A235" t="inlineStr">
        <is>
          <t>199168059422</t>
        </is>
      </c>
      <c r="C235" t="inlineStr">
        <is>
          <t>03-097-0692-6210 BL-S</t>
        </is>
      </c>
      <c r="D235" t="inlineStr">
        <is>
          <t>03-097-0692-6210</t>
        </is>
      </c>
      <c r="E235" t="inlineStr">
        <is>
          <t>Roper</t>
        </is>
      </c>
      <c r="F235" t="inlineStr">
        <is>
          <t>ROPER Outerwear Br/Bl Aztec Micro</t>
        </is>
      </c>
      <c r="G235" t="inlineStr">
        <is>
          <t>S</t>
        </is>
      </c>
      <c r="I235" t="inlineStr">
        <is>
          <t>Ropa</t>
        </is>
      </c>
      <c r="J235" t="inlineStr">
        <is>
          <t>Chamarras</t>
        </is>
      </c>
      <c r="L235" t="inlineStr">
        <is>
          <t>PZS</t>
        </is>
      </c>
      <c r="M235" s="186" t="n">
        <v>27.44</v>
      </c>
      <c r="N235" s="186" t="n">
        <v>749</v>
      </c>
      <c r="O235" t="n">
        <v>0</v>
      </c>
      <c r="X235">
        <f>O235-W235</f>
        <v/>
      </c>
      <c r="Y235" t="n">
        <v>3</v>
      </c>
      <c r="AB235" s="186">
        <f>IFERROR(O235*M235,0)</f>
        <v/>
      </c>
      <c r="AC235" s="186">
        <f>IFERROR(O235*N235,0)</f>
        <v/>
      </c>
      <c r="AD235" t="inlineStr">
        <is>
          <t>Solo en plataformas</t>
        </is>
      </c>
    </row>
    <row r="236">
      <c r="A236" t="inlineStr">
        <is>
          <t>199168059439</t>
        </is>
      </c>
      <c r="C236" t="inlineStr">
        <is>
          <t>03-097-0692-6210 BL-XL</t>
        </is>
      </c>
      <c r="D236" t="inlineStr">
        <is>
          <t>03-097-0692-6210</t>
        </is>
      </c>
      <c r="E236" t="inlineStr">
        <is>
          <t>Roper</t>
        </is>
      </c>
      <c r="F236" t="inlineStr">
        <is>
          <t>ROPER Outerwear Br/Bl Aztec Micro</t>
        </is>
      </c>
      <c r="G236" t="inlineStr">
        <is>
          <t>XL</t>
        </is>
      </c>
      <c r="I236" t="inlineStr">
        <is>
          <t>Ropa</t>
        </is>
      </c>
      <c r="J236" t="inlineStr">
        <is>
          <t>Chamarras</t>
        </is>
      </c>
      <c r="K236" t="inlineStr">
        <is>
          <t>Hombre</t>
        </is>
      </c>
      <c r="L236" t="inlineStr">
        <is>
          <t>PZS</t>
        </is>
      </c>
      <c r="M236" s="186" t="n">
        <v>27.44</v>
      </c>
      <c r="N236" s="186" t="n">
        <v>749</v>
      </c>
      <c r="O236" t="n">
        <v>0</v>
      </c>
      <c r="X236">
        <f>O236-W236</f>
        <v/>
      </c>
      <c r="Y236" t="n">
        <v>2</v>
      </c>
      <c r="AB236" s="186">
        <f>IFERROR(O236*M236,0)</f>
        <v/>
      </c>
      <c r="AC236" s="186">
        <f>IFERROR(O236*N236,0)</f>
        <v/>
      </c>
      <c r="AD236" t="inlineStr">
        <is>
          <t>Solo en plataformas</t>
        </is>
      </c>
    </row>
    <row r="237">
      <c r="A237" t="inlineStr">
        <is>
          <t>199168059965</t>
        </is>
      </c>
      <c r="C237" t="inlineStr">
        <is>
          <t>03-097-0696-6204 BR-L</t>
        </is>
      </c>
      <c r="D237" t="inlineStr">
        <is>
          <t>03-097-0696-6204</t>
        </is>
      </c>
      <c r="E237" t="inlineStr">
        <is>
          <t>Roper</t>
        </is>
      </c>
      <c r="F237" t="inlineStr">
        <is>
          <t>ROPER Outerwear Poly/Faux Sherpa Vest</t>
        </is>
      </c>
      <c r="G237" t="inlineStr">
        <is>
          <t>L</t>
        </is>
      </c>
      <c r="I237" t="inlineStr">
        <is>
          <t>Ropa</t>
        </is>
      </c>
      <c r="J237" t="inlineStr">
        <is>
          <t>Chamarras</t>
        </is>
      </c>
      <c r="L237" t="inlineStr">
        <is>
          <t>PZS</t>
        </is>
      </c>
      <c r="M237" s="186" t="n">
        <v>41.85</v>
      </c>
      <c r="N237" s="186" t="n">
        <v>1089</v>
      </c>
      <c r="O237" t="n">
        <v>0</v>
      </c>
      <c r="X237">
        <f>O237-W237</f>
        <v/>
      </c>
      <c r="Y237" t="n">
        <v>1</v>
      </c>
      <c r="AB237" s="186">
        <f>IFERROR(O237*M237,0)</f>
        <v/>
      </c>
      <c r="AC237" s="186">
        <f>IFERROR(O237*N237,0)</f>
        <v/>
      </c>
      <c r="AD237" t="inlineStr">
        <is>
          <t>Solo en plataformas</t>
        </is>
      </c>
    </row>
    <row r="238">
      <c r="A238" t="inlineStr">
        <is>
          <t>199168059972</t>
        </is>
      </c>
      <c r="C238" t="inlineStr">
        <is>
          <t>03-097-0696-6204 BR-M</t>
        </is>
      </c>
      <c r="D238" t="inlineStr">
        <is>
          <t>03-097-0696-6204</t>
        </is>
      </c>
      <c r="E238" t="inlineStr">
        <is>
          <t>Roper</t>
        </is>
      </c>
      <c r="F238" t="inlineStr">
        <is>
          <t>ROPER Outerwear Poly/Faux Sherpa Vest</t>
        </is>
      </c>
      <c r="G238" t="inlineStr">
        <is>
          <t>M</t>
        </is>
      </c>
      <c r="I238" t="inlineStr">
        <is>
          <t>Ropa</t>
        </is>
      </c>
      <c r="J238" t="inlineStr">
        <is>
          <t>Chamarras</t>
        </is>
      </c>
      <c r="L238" t="inlineStr">
        <is>
          <t>PZS</t>
        </is>
      </c>
      <c r="M238" s="186" t="n">
        <v>41.85</v>
      </c>
      <c r="N238" s="186" t="n">
        <v>1089</v>
      </c>
      <c r="O238" t="n">
        <v>0</v>
      </c>
      <c r="X238">
        <f>O238-W238</f>
        <v/>
      </c>
      <c r="Y238" t="n">
        <v>1</v>
      </c>
      <c r="AB238" s="186">
        <f>IFERROR(O238*M238,0)</f>
        <v/>
      </c>
      <c r="AC238" s="186">
        <f>IFERROR(O238*N238,0)</f>
        <v/>
      </c>
      <c r="AD238" t="inlineStr">
        <is>
          <t>Solo en plataformas</t>
        </is>
      </c>
    </row>
    <row r="239">
      <c r="A239" t="inlineStr">
        <is>
          <t>199168059989</t>
        </is>
      </c>
      <c r="C239" t="inlineStr">
        <is>
          <t>03-097-0696-6204 BR-S</t>
        </is>
      </c>
      <c r="D239" t="inlineStr">
        <is>
          <t>03-097-0696-6204</t>
        </is>
      </c>
      <c r="E239" t="inlineStr">
        <is>
          <t>Roper</t>
        </is>
      </c>
      <c r="F239" t="inlineStr">
        <is>
          <t>ROPER Outerwear Poly/Faux Sherpa Vest</t>
        </is>
      </c>
      <c r="G239" t="inlineStr">
        <is>
          <t>S</t>
        </is>
      </c>
      <c r="I239" t="inlineStr">
        <is>
          <t>Ropa</t>
        </is>
      </c>
      <c r="J239" t="inlineStr">
        <is>
          <t>Chamarras</t>
        </is>
      </c>
      <c r="L239" t="inlineStr">
        <is>
          <t>PZS</t>
        </is>
      </c>
      <c r="M239" s="186" t="n">
        <v>41.85</v>
      </c>
      <c r="N239" s="186" t="n">
        <v>1089</v>
      </c>
      <c r="O239" t="n">
        <v>0</v>
      </c>
      <c r="X239">
        <f>O239-W239</f>
        <v/>
      </c>
      <c r="Y239" t="n">
        <v>3</v>
      </c>
      <c r="AB239" s="186">
        <f>IFERROR(O239*M239,0)</f>
        <v/>
      </c>
      <c r="AC239" s="186">
        <f>IFERROR(O239*N239,0)</f>
        <v/>
      </c>
      <c r="AD239" t="inlineStr">
        <is>
          <t>Solo en plataformas</t>
        </is>
      </c>
    </row>
    <row r="240">
      <c r="A240" t="inlineStr">
        <is>
          <t>199168059996</t>
        </is>
      </c>
      <c r="C240" t="inlineStr">
        <is>
          <t>03-097-0696-6204 BR-XL</t>
        </is>
      </c>
      <c r="D240" t="inlineStr">
        <is>
          <t>03-097-0696-6204</t>
        </is>
      </c>
      <c r="E240" t="inlineStr">
        <is>
          <t>Roper</t>
        </is>
      </c>
      <c r="F240" t="inlineStr">
        <is>
          <t>ROPER Outerwear Poly/Faux Sherpa Vest</t>
        </is>
      </c>
      <c r="G240" t="inlineStr">
        <is>
          <t>XL</t>
        </is>
      </c>
      <c r="I240" t="inlineStr">
        <is>
          <t>Ropa</t>
        </is>
      </c>
      <c r="J240" t="inlineStr">
        <is>
          <t>Chamarras</t>
        </is>
      </c>
      <c r="L240" t="inlineStr">
        <is>
          <t>PZS</t>
        </is>
      </c>
      <c r="M240" s="186" t="n">
        <v>41.85</v>
      </c>
      <c r="N240" s="186" t="n">
        <v>1089</v>
      </c>
      <c r="O240" t="n">
        <v>0</v>
      </c>
      <c r="X240">
        <f>O240-W240</f>
        <v/>
      </c>
      <c r="Y240" t="n">
        <v>2</v>
      </c>
      <c r="AB240" s="186">
        <f>IFERROR(O240*M240,0)</f>
        <v/>
      </c>
      <c r="AC240" s="186">
        <f>IFERROR(O240*N240,0)</f>
        <v/>
      </c>
      <c r="AD240" t="inlineStr">
        <is>
          <t>Solo en plataformas</t>
        </is>
      </c>
    </row>
    <row r="241">
      <c r="A241" t="inlineStr">
        <is>
          <t>199168060077</t>
        </is>
      </c>
      <c r="C241" t="inlineStr">
        <is>
          <t>03-097-0780-6017 BL-M</t>
        </is>
      </c>
      <c r="D241" t="inlineStr">
        <is>
          <t>03-097-0780-6017</t>
        </is>
      </c>
      <c r="E241" t="inlineStr">
        <is>
          <t>Roper</t>
        </is>
      </c>
      <c r="F241" t="inlineStr">
        <is>
          <t>ROPER Outerwear Charcoal/Black Aztec</t>
        </is>
      </c>
      <c r="G241" t="inlineStr">
        <is>
          <t>M</t>
        </is>
      </c>
      <c r="H241" t="inlineStr">
        <is>
          <t>Gris</t>
        </is>
      </c>
      <c r="I241" t="inlineStr">
        <is>
          <t>Ropa</t>
        </is>
      </c>
      <c r="J241" t="inlineStr">
        <is>
          <t>Chamarras</t>
        </is>
      </c>
      <c r="L241" t="inlineStr">
        <is>
          <t>PZS</t>
        </is>
      </c>
      <c r="M241" s="186" t="n">
        <v>46.04</v>
      </c>
      <c r="N241" s="186" t="n">
        <v>1189</v>
      </c>
      <c r="O241" t="n">
        <v>0</v>
      </c>
      <c r="X241">
        <f>O241-W241</f>
        <v/>
      </c>
      <c r="Y241" t="n">
        <v>1</v>
      </c>
      <c r="AB241" s="186">
        <f>IFERROR(O241*M241,0)</f>
        <v/>
      </c>
      <c r="AC241" s="186">
        <f>IFERROR(O241*N241,0)</f>
        <v/>
      </c>
      <c r="AD241" t="inlineStr">
        <is>
          <t>Solo en plataformas</t>
        </is>
      </c>
    </row>
    <row r="242">
      <c r="A242" t="inlineStr">
        <is>
          <t>199168060084</t>
        </is>
      </c>
      <c r="C242" t="inlineStr">
        <is>
          <t>03-097-0780-6017 BL-S</t>
        </is>
      </c>
      <c r="D242" t="inlineStr">
        <is>
          <t>03-097-0780-6017</t>
        </is>
      </c>
      <c r="E242" t="inlineStr">
        <is>
          <t>Roper</t>
        </is>
      </c>
      <c r="F242" t="inlineStr">
        <is>
          <t>ROPER Outerwear Charcoal/Black Aztec</t>
        </is>
      </c>
      <c r="G242" t="inlineStr">
        <is>
          <t>S</t>
        </is>
      </c>
      <c r="H242" t="inlineStr">
        <is>
          <t>Gris</t>
        </is>
      </c>
      <c r="I242" t="inlineStr">
        <is>
          <t>Ropa</t>
        </is>
      </c>
      <c r="J242" t="inlineStr">
        <is>
          <t>Chamarras</t>
        </is>
      </c>
      <c r="L242" t="inlineStr">
        <is>
          <t>PZS</t>
        </is>
      </c>
      <c r="M242" s="186" t="n">
        <v>46.04</v>
      </c>
      <c r="N242" s="186" t="n">
        <v>1189</v>
      </c>
      <c r="O242" t="n">
        <v>0</v>
      </c>
      <c r="X242">
        <f>O242-W242</f>
        <v/>
      </c>
      <c r="Y242" t="n">
        <v>3</v>
      </c>
      <c r="AB242" s="186">
        <f>IFERROR(O242*M242,0)</f>
        <v/>
      </c>
      <c r="AC242" s="186">
        <f>IFERROR(O242*N242,0)</f>
        <v/>
      </c>
      <c r="AD242" t="inlineStr">
        <is>
          <t>Solo en plataformas</t>
        </is>
      </c>
    </row>
    <row r="243">
      <c r="A243" t="inlineStr">
        <is>
          <t>199168060091</t>
        </is>
      </c>
      <c r="C243" t="inlineStr">
        <is>
          <t>03-097-0780-6017 BL-XL</t>
        </is>
      </c>
      <c r="D243" t="inlineStr">
        <is>
          <t>03-097-0780-6017</t>
        </is>
      </c>
      <c r="E243" t="inlineStr">
        <is>
          <t>Roper</t>
        </is>
      </c>
      <c r="F243" t="inlineStr">
        <is>
          <t>ROPER Outerwear Charcoal/Black Aztec</t>
        </is>
      </c>
      <c r="G243" t="inlineStr">
        <is>
          <t>XL</t>
        </is>
      </c>
      <c r="H243" t="inlineStr">
        <is>
          <t>Gris</t>
        </is>
      </c>
      <c r="I243" t="inlineStr">
        <is>
          <t>Ropa</t>
        </is>
      </c>
      <c r="J243" t="inlineStr">
        <is>
          <t>Chamarras</t>
        </is>
      </c>
      <c r="L243" t="inlineStr">
        <is>
          <t>PZS</t>
        </is>
      </c>
      <c r="M243" s="186" t="n">
        <v>46.04</v>
      </c>
      <c r="N243" s="186" t="n">
        <v>1189</v>
      </c>
      <c r="O243" t="n">
        <v>0</v>
      </c>
      <c r="X243">
        <f>O243-W243</f>
        <v/>
      </c>
      <c r="Y243" t="n">
        <v>4</v>
      </c>
      <c r="AB243" s="186">
        <f>IFERROR(O243*M243,0)</f>
        <v/>
      </c>
      <c r="AC243" s="186">
        <f>IFERROR(O243*N243,0)</f>
        <v/>
      </c>
      <c r="AD243" t="inlineStr">
        <is>
          <t>Solo en plataformas</t>
        </is>
      </c>
    </row>
    <row r="244">
      <c r="A244" t="inlineStr">
        <is>
          <t>199168062170</t>
        </is>
      </c>
      <c r="C244" t="inlineStr">
        <is>
          <t>03-098-0693-6212 BL-L</t>
        </is>
      </c>
      <c r="D244" t="inlineStr">
        <is>
          <t>03-098-0693-6212</t>
        </is>
      </c>
      <c r="E244" t="inlineStr">
        <is>
          <t>Roper</t>
        </is>
      </c>
      <c r="F244" t="inlineStr">
        <is>
          <t>ROPER Outerwear Nylon Coated Jacket</t>
        </is>
      </c>
      <c r="G244" t="inlineStr">
        <is>
          <t>L</t>
        </is>
      </c>
      <c r="I244" t="inlineStr">
        <is>
          <t>Ropa</t>
        </is>
      </c>
      <c r="J244" t="inlineStr">
        <is>
          <t>Chamarras</t>
        </is>
      </c>
      <c r="L244" t="inlineStr">
        <is>
          <t>PZS</t>
        </is>
      </c>
      <c r="M244" s="186" t="n">
        <v>60.45</v>
      </c>
      <c r="N244" s="186" t="n">
        <v>1529</v>
      </c>
      <c r="O244" t="n">
        <v>0</v>
      </c>
      <c r="X244">
        <f>O244-W244</f>
        <v/>
      </c>
      <c r="Y244" t="n">
        <v>10</v>
      </c>
      <c r="AB244" s="186">
        <f>IFERROR(O244*M244,0)</f>
        <v/>
      </c>
      <c r="AC244" s="186">
        <f>IFERROR(O244*N244,0)</f>
        <v/>
      </c>
      <c r="AD244" t="inlineStr">
        <is>
          <t>Solo en plataformas</t>
        </is>
      </c>
    </row>
    <row r="245">
      <c r="A245" t="inlineStr">
        <is>
          <t>199168062187</t>
        </is>
      </c>
      <c r="C245" t="inlineStr">
        <is>
          <t>03-098-0693-6212 BL-M</t>
        </is>
      </c>
      <c r="D245" t="inlineStr">
        <is>
          <t>03-098-0693-6212</t>
        </is>
      </c>
      <c r="E245" t="inlineStr">
        <is>
          <t>Roper</t>
        </is>
      </c>
      <c r="F245" t="inlineStr">
        <is>
          <t>ROPER Outerwear Nylon Coated Jacket</t>
        </is>
      </c>
      <c r="G245" t="inlineStr">
        <is>
          <t>M</t>
        </is>
      </c>
      <c r="I245" t="inlineStr">
        <is>
          <t>Ropa</t>
        </is>
      </c>
      <c r="J245" t="inlineStr">
        <is>
          <t>Chamarras</t>
        </is>
      </c>
      <c r="L245" t="inlineStr">
        <is>
          <t>PZS</t>
        </is>
      </c>
      <c r="M245" s="186" t="n">
        <v>60.45</v>
      </c>
      <c r="N245" s="186" t="n">
        <v>1529</v>
      </c>
      <c r="O245" t="n">
        <v>0</v>
      </c>
      <c r="X245">
        <f>O245-W245</f>
        <v/>
      </c>
      <c r="Y245" t="n">
        <v>10</v>
      </c>
      <c r="AB245" s="186">
        <f>IFERROR(O245*M245,0)</f>
        <v/>
      </c>
      <c r="AC245" s="186">
        <f>IFERROR(O245*N245,0)</f>
        <v/>
      </c>
      <c r="AD245" t="inlineStr">
        <is>
          <t>Solo en plataformas</t>
        </is>
      </c>
    </row>
    <row r="246">
      <c r="A246" t="inlineStr">
        <is>
          <t>199168062194</t>
        </is>
      </c>
      <c r="C246" t="inlineStr">
        <is>
          <t>03-098-0693-6212 BL-S</t>
        </is>
      </c>
      <c r="D246" t="inlineStr">
        <is>
          <t>03-098-0693-6212</t>
        </is>
      </c>
      <c r="E246" t="inlineStr">
        <is>
          <t>Roper</t>
        </is>
      </c>
      <c r="F246" t="inlineStr">
        <is>
          <t>ROPER Outerwear Nylon Coated Jacket</t>
        </is>
      </c>
      <c r="G246" t="inlineStr">
        <is>
          <t>S</t>
        </is>
      </c>
      <c r="I246" t="inlineStr">
        <is>
          <t>Ropa</t>
        </is>
      </c>
      <c r="J246" t="inlineStr">
        <is>
          <t>Chamarras</t>
        </is>
      </c>
      <c r="L246" t="inlineStr">
        <is>
          <t>PZS</t>
        </is>
      </c>
      <c r="M246" s="186" t="n">
        <v>60.45</v>
      </c>
      <c r="N246" s="186" t="n">
        <v>1529</v>
      </c>
      <c r="O246" t="n">
        <v>0</v>
      </c>
      <c r="X246">
        <f>O246-W246</f>
        <v/>
      </c>
      <c r="Y246" t="n">
        <v>10</v>
      </c>
      <c r="AB246" s="186">
        <f>IFERROR(O246*M246,0)</f>
        <v/>
      </c>
      <c r="AC246" s="186">
        <f>IFERROR(O246*N246,0)</f>
        <v/>
      </c>
      <c r="AD246" t="inlineStr">
        <is>
          <t>Solo en plataformas</t>
        </is>
      </c>
    </row>
    <row r="247">
      <c r="A247" t="inlineStr">
        <is>
          <t>199168062200</t>
        </is>
      </c>
      <c r="C247" t="inlineStr">
        <is>
          <t>03-098-0693-6212 BL-XL</t>
        </is>
      </c>
      <c r="D247" t="inlineStr">
        <is>
          <t>03-098-0693-6212</t>
        </is>
      </c>
      <c r="E247" t="inlineStr">
        <is>
          <t>Roper</t>
        </is>
      </c>
      <c r="F247" t="inlineStr">
        <is>
          <t>ROPER Outerwear Nylon Coated Jacket</t>
        </is>
      </c>
      <c r="G247" t="inlineStr">
        <is>
          <t>XL</t>
        </is>
      </c>
      <c r="I247" t="inlineStr">
        <is>
          <t>Ropa</t>
        </is>
      </c>
      <c r="J247" t="inlineStr">
        <is>
          <t>Chamarras</t>
        </is>
      </c>
      <c r="L247" t="inlineStr">
        <is>
          <t>PZS</t>
        </is>
      </c>
      <c r="M247" s="186" t="n">
        <v>60.45</v>
      </c>
      <c r="N247" s="186" t="n">
        <v>1529</v>
      </c>
      <c r="O247" t="n">
        <v>0</v>
      </c>
      <c r="X247">
        <f>O247-W247</f>
        <v/>
      </c>
      <c r="Y247" t="n">
        <v>10</v>
      </c>
      <c r="AB247" s="186">
        <f>IFERROR(O247*M247,0)</f>
        <v/>
      </c>
      <c r="AC247" s="186">
        <f>IFERROR(O247*N247,0)</f>
        <v/>
      </c>
      <c r="AD247" t="inlineStr">
        <is>
          <t>Solo en plataformas</t>
        </is>
      </c>
    </row>
    <row r="248">
      <c r="A248" t="inlineStr">
        <is>
          <t>199168056827</t>
        </is>
      </c>
      <c r="C248" t="inlineStr">
        <is>
          <t>03-057-0040-6004 BL-L</t>
        </is>
      </c>
      <c r="D248" t="inlineStr">
        <is>
          <t>03-057-0040-6004</t>
        </is>
      </c>
      <c r="E248" t="inlineStr">
        <is>
          <t>Roper</t>
        </is>
      </c>
      <c r="F248" t="inlineStr">
        <is>
          <t>ROPER Dress Poly Spandex Retro</t>
        </is>
      </c>
      <c r="G248" t="inlineStr">
        <is>
          <t>L</t>
        </is>
      </c>
      <c r="I248" t="inlineStr">
        <is>
          <t>Ropa</t>
        </is>
      </c>
      <c r="J248" t="inlineStr">
        <is>
          <t>Vestidos</t>
        </is>
      </c>
      <c r="K248" t="inlineStr">
        <is>
          <t>Mujer</t>
        </is>
      </c>
      <c r="L248" t="inlineStr">
        <is>
          <t>PZS</t>
        </is>
      </c>
      <c r="M248" s="186" t="n">
        <v>53.48</v>
      </c>
      <c r="N248" s="186" t="n">
        <v>1359</v>
      </c>
      <c r="O248" t="n">
        <v>0</v>
      </c>
      <c r="X248">
        <f>O248-W248</f>
        <v/>
      </c>
      <c r="Y248" t="n">
        <v>18</v>
      </c>
      <c r="AB248" s="186">
        <f>IFERROR(O248*M248,0)</f>
        <v/>
      </c>
      <c r="AC248" s="186">
        <f>IFERROR(O248*N248,0)</f>
        <v/>
      </c>
      <c r="AD248" t="inlineStr">
        <is>
          <t>Solo en plataformas</t>
        </is>
      </c>
    </row>
    <row r="249">
      <c r="A249" t="inlineStr">
        <is>
          <t>199168056834</t>
        </is>
      </c>
      <c r="C249" t="inlineStr">
        <is>
          <t>03-057-0040-6004 BL-M</t>
        </is>
      </c>
      <c r="D249" t="inlineStr">
        <is>
          <t>03-057-0040-6004</t>
        </is>
      </c>
      <c r="E249" t="inlineStr">
        <is>
          <t>Roper</t>
        </is>
      </c>
      <c r="F249" t="inlineStr">
        <is>
          <t>ROPER Dress Poly Spandex Retro</t>
        </is>
      </c>
      <c r="G249" t="inlineStr">
        <is>
          <t>M</t>
        </is>
      </c>
      <c r="I249" t="inlineStr">
        <is>
          <t>Ropa</t>
        </is>
      </c>
      <c r="J249" t="inlineStr">
        <is>
          <t>Vestidos</t>
        </is>
      </c>
      <c r="K249" t="inlineStr">
        <is>
          <t>Mujer</t>
        </is>
      </c>
      <c r="L249" t="inlineStr">
        <is>
          <t>PZS</t>
        </is>
      </c>
      <c r="M249" s="186" t="n">
        <v>53.48</v>
      </c>
      <c r="N249" s="186" t="n">
        <v>1359</v>
      </c>
      <c r="O249" t="n">
        <v>0</v>
      </c>
      <c r="X249">
        <f>O249-W249</f>
        <v/>
      </c>
      <c r="Y249" t="n">
        <v>18</v>
      </c>
      <c r="AB249" s="186">
        <f>IFERROR(O249*M249,0)</f>
        <v/>
      </c>
      <c r="AC249" s="186">
        <f>IFERROR(O249*N249,0)</f>
        <v/>
      </c>
      <c r="AD249" t="inlineStr">
        <is>
          <t>Solo en plataformas</t>
        </is>
      </c>
    </row>
    <row r="250">
      <c r="A250" t="inlineStr">
        <is>
          <t>199168056841</t>
        </is>
      </c>
      <c r="C250" t="inlineStr">
        <is>
          <t>03-057-0040-6004 BL-S</t>
        </is>
      </c>
      <c r="D250" t="inlineStr">
        <is>
          <t>03-057-0040-6004</t>
        </is>
      </c>
      <c r="E250" t="inlineStr">
        <is>
          <t>Roper</t>
        </is>
      </c>
      <c r="F250" t="inlineStr">
        <is>
          <t>ROPER Dress Poly Spandex Retro</t>
        </is>
      </c>
      <c r="G250" t="inlineStr">
        <is>
          <t>S</t>
        </is>
      </c>
      <c r="I250" t="inlineStr">
        <is>
          <t>Ropa</t>
        </is>
      </c>
      <c r="J250" t="inlineStr">
        <is>
          <t>Vestidos</t>
        </is>
      </c>
      <c r="K250" t="inlineStr">
        <is>
          <t>Mujer</t>
        </is>
      </c>
      <c r="L250" t="inlineStr">
        <is>
          <t>PZS</t>
        </is>
      </c>
      <c r="M250" s="186" t="n">
        <v>53.48</v>
      </c>
      <c r="N250" s="186" t="n">
        <v>1359</v>
      </c>
      <c r="O250" t="n">
        <v>0</v>
      </c>
      <c r="X250">
        <f>O250-W250</f>
        <v/>
      </c>
      <c r="Y250" t="n">
        <v>14</v>
      </c>
      <c r="AB250" s="186">
        <f>IFERROR(O250*M250,0)</f>
        <v/>
      </c>
      <c r="AC250" s="186">
        <f>IFERROR(O250*N250,0)</f>
        <v/>
      </c>
      <c r="AD250" t="inlineStr">
        <is>
          <t>Solo en plataformas</t>
        </is>
      </c>
    </row>
    <row r="251">
      <c r="A251" t="inlineStr">
        <is>
          <t>199168056858</t>
        </is>
      </c>
      <c r="C251" t="inlineStr">
        <is>
          <t>03-057-0040-6004 BL-XL</t>
        </is>
      </c>
      <c r="D251" t="inlineStr">
        <is>
          <t>03-057-0040-6004</t>
        </is>
      </c>
      <c r="E251" t="inlineStr">
        <is>
          <t>Roper</t>
        </is>
      </c>
      <c r="F251" t="inlineStr">
        <is>
          <t>ROPER Dress Poly Spandex Retro</t>
        </is>
      </c>
      <c r="G251" t="inlineStr">
        <is>
          <t>XL</t>
        </is>
      </c>
      <c r="I251" t="inlineStr">
        <is>
          <t>Ropa</t>
        </is>
      </c>
      <c r="J251" t="inlineStr">
        <is>
          <t>Vestidos</t>
        </is>
      </c>
      <c r="K251" t="inlineStr">
        <is>
          <t>Mujer</t>
        </is>
      </c>
      <c r="L251" t="inlineStr">
        <is>
          <t>PZS</t>
        </is>
      </c>
      <c r="M251" s="186" t="n">
        <v>53.48</v>
      </c>
      <c r="N251" s="186" t="n">
        <v>1359</v>
      </c>
      <c r="O251" t="n">
        <v>0</v>
      </c>
      <c r="X251">
        <f>O251-W251</f>
        <v/>
      </c>
      <c r="Y251" t="n">
        <v>16</v>
      </c>
      <c r="AB251" s="186">
        <f>IFERROR(O251*M251,0)</f>
        <v/>
      </c>
      <c r="AC251" s="186">
        <f>IFERROR(O251*N251,0)</f>
        <v/>
      </c>
      <c r="AD251" t="inlineStr">
        <is>
          <t>Solo en plataformas</t>
        </is>
      </c>
    </row>
    <row r="252">
      <c r="A252" t="inlineStr">
        <is>
          <t>199168056872</t>
        </is>
      </c>
      <c r="C252" t="inlineStr">
        <is>
          <t>03-057-0040-6007 RE-L</t>
        </is>
      </c>
      <c r="D252" t="inlineStr">
        <is>
          <t>03-057-0040-6007</t>
        </is>
      </c>
      <c r="E252" t="inlineStr">
        <is>
          <t>Roper</t>
        </is>
      </c>
      <c r="F252" t="inlineStr">
        <is>
          <t>ROPER Dress Poly Spandex Retro</t>
        </is>
      </c>
      <c r="G252" t="inlineStr">
        <is>
          <t>L</t>
        </is>
      </c>
      <c r="I252" t="inlineStr">
        <is>
          <t>Ropa</t>
        </is>
      </c>
      <c r="J252" t="inlineStr">
        <is>
          <t>Vestidos</t>
        </is>
      </c>
      <c r="K252" t="inlineStr">
        <is>
          <t>Mujer</t>
        </is>
      </c>
      <c r="L252" t="inlineStr">
        <is>
          <t>PZS</t>
        </is>
      </c>
      <c r="M252" s="186" t="n">
        <v>53.48</v>
      </c>
      <c r="N252" s="186" t="n">
        <v>1349</v>
      </c>
      <c r="O252" t="n">
        <v>0</v>
      </c>
      <c r="X252">
        <f>O252-W252</f>
        <v/>
      </c>
      <c r="Y252" t="n">
        <v>11</v>
      </c>
      <c r="AB252" s="186">
        <f>IFERROR(O252*M252,0)</f>
        <v/>
      </c>
      <c r="AC252" s="186">
        <f>IFERROR(O252*N252,0)</f>
        <v/>
      </c>
      <c r="AD252" t="inlineStr">
        <is>
          <t>Solo en plataformas</t>
        </is>
      </c>
    </row>
    <row r="253">
      <c r="A253" t="inlineStr">
        <is>
          <t>199168056889</t>
        </is>
      </c>
      <c r="C253" t="inlineStr">
        <is>
          <t>03-057-0040-6007 RE-M</t>
        </is>
      </c>
      <c r="D253" t="inlineStr">
        <is>
          <t>03-057-0040-6007</t>
        </is>
      </c>
      <c r="E253" t="inlineStr">
        <is>
          <t>Roper</t>
        </is>
      </c>
      <c r="F253" t="inlineStr">
        <is>
          <t>ROPER Dress Poly Spandex Retro</t>
        </is>
      </c>
      <c r="G253" t="inlineStr">
        <is>
          <t>M</t>
        </is>
      </c>
      <c r="I253" t="inlineStr">
        <is>
          <t>Ropa</t>
        </is>
      </c>
      <c r="J253" t="inlineStr">
        <is>
          <t>Vestidos</t>
        </is>
      </c>
      <c r="K253" t="inlineStr">
        <is>
          <t>Mujer</t>
        </is>
      </c>
      <c r="L253" t="inlineStr">
        <is>
          <t>PZS</t>
        </is>
      </c>
      <c r="M253" s="186" t="n">
        <v>53.48</v>
      </c>
      <c r="N253" s="186" t="n">
        <v>1349</v>
      </c>
      <c r="O253" t="n">
        <v>0</v>
      </c>
      <c r="X253">
        <f>O253-W253</f>
        <v/>
      </c>
      <c r="Y253" t="n">
        <v>11</v>
      </c>
      <c r="AB253" s="186">
        <f>IFERROR(O253*M253,0)</f>
        <v/>
      </c>
      <c r="AC253" s="186">
        <f>IFERROR(O253*N253,0)</f>
        <v/>
      </c>
      <c r="AD253" t="inlineStr">
        <is>
          <t>Solo en plataformas</t>
        </is>
      </c>
    </row>
    <row r="254">
      <c r="A254" t="inlineStr">
        <is>
          <t>199168056896</t>
        </is>
      </c>
      <c r="C254" t="inlineStr">
        <is>
          <t>03-057-0040-6007 RE-S</t>
        </is>
      </c>
      <c r="D254" t="inlineStr">
        <is>
          <t>03-057-0040-6007</t>
        </is>
      </c>
      <c r="E254" t="inlineStr">
        <is>
          <t>Roper</t>
        </is>
      </c>
      <c r="F254" t="inlineStr">
        <is>
          <t>ROPER Dress Poly Spandex Retro</t>
        </is>
      </c>
      <c r="G254" t="inlineStr">
        <is>
          <t>S</t>
        </is>
      </c>
      <c r="I254" t="inlineStr">
        <is>
          <t>Ropa</t>
        </is>
      </c>
      <c r="J254" t="inlineStr">
        <is>
          <t>Vestidos</t>
        </is>
      </c>
      <c r="K254" t="inlineStr">
        <is>
          <t>Mujer</t>
        </is>
      </c>
      <c r="L254" t="inlineStr">
        <is>
          <t>PZS</t>
        </is>
      </c>
      <c r="M254" s="186" t="n">
        <v>53.48</v>
      </c>
      <c r="N254" s="186" t="n">
        <v>1349</v>
      </c>
      <c r="O254" t="n">
        <v>0</v>
      </c>
      <c r="X254">
        <f>O254-W254</f>
        <v/>
      </c>
      <c r="Y254" t="n">
        <v>7</v>
      </c>
      <c r="AB254" s="186">
        <f>IFERROR(O254*M254,0)</f>
        <v/>
      </c>
      <c r="AC254" s="186">
        <f>IFERROR(O254*N254,0)</f>
        <v/>
      </c>
      <c r="AD254" t="inlineStr">
        <is>
          <t>Solo en plataformas</t>
        </is>
      </c>
    </row>
    <row r="255">
      <c r="A255" t="inlineStr">
        <is>
          <t>199168056902</t>
        </is>
      </c>
      <c r="C255" t="inlineStr">
        <is>
          <t>03-057-0040-6007 RE-XL</t>
        </is>
      </c>
      <c r="D255" t="inlineStr">
        <is>
          <t>03-057-0040-6007</t>
        </is>
      </c>
      <c r="E255" t="inlineStr">
        <is>
          <t>Roper</t>
        </is>
      </c>
      <c r="F255" t="inlineStr">
        <is>
          <t>ROPER Dress Poly Spandex Retro</t>
        </is>
      </c>
      <c r="G255" t="inlineStr">
        <is>
          <t>XL</t>
        </is>
      </c>
      <c r="I255" t="inlineStr">
        <is>
          <t>Ropa</t>
        </is>
      </c>
      <c r="J255" t="inlineStr">
        <is>
          <t>Vestidos</t>
        </is>
      </c>
      <c r="K255" t="inlineStr">
        <is>
          <t>Mujer</t>
        </is>
      </c>
      <c r="L255" t="inlineStr">
        <is>
          <t>PZS</t>
        </is>
      </c>
      <c r="M255" s="186" t="n">
        <v>53.48</v>
      </c>
      <c r="N255" s="186" t="n">
        <v>1349</v>
      </c>
      <c r="O255" t="n">
        <v>0</v>
      </c>
      <c r="X255">
        <f>O255-W255</f>
        <v/>
      </c>
      <c r="Y255" t="n">
        <v>12</v>
      </c>
      <c r="AB255" s="186">
        <f>IFERROR(O255*M255,0)</f>
        <v/>
      </c>
      <c r="AC255" s="186">
        <f>IFERROR(O255*N255,0)</f>
        <v/>
      </c>
      <c r="AD255" t="inlineStr">
        <is>
          <t>Solo en plataformas</t>
        </is>
      </c>
    </row>
    <row r="256">
      <c r="A256" t="inlineStr">
        <is>
          <t>199168096052</t>
        </is>
      </c>
      <c r="C256" t="inlineStr">
        <is>
          <t>03-057-0590-1200 BL-L</t>
        </is>
      </c>
      <c r="D256" t="inlineStr">
        <is>
          <t>03-057-0590-1200</t>
        </is>
      </c>
      <c r="E256" t="inlineStr">
        <is>
          <t>Roper</t>
        </is>
      </c>
      <c r="F256" t="inlineStr">
        <is>
          <t>ROPER Dress Boot Printed Rayon Babydoll</t>
        </is>
      </c>
      <c r="G256" t="inlineStr">
        <is>
          <t>L</t>
        </is>
      </c>
      <c r="I256" t="inlineStr">
        <is>
          <t>Ropa</t>
        </is>
      </c>
      <c r="J256" t="inlineStr">
        <is>
          <t>Vestidos</t>
        </is>
      </c>
      <c r="K256" t="inlineStr">
        <is>
          <t>Mujer</t>
        </is>
      </c>
      <c r="L256" t="inlineStr">
        <is>
          <t>PZS</t>
        </is>
      </c>
      <c r="M256" s="186" t="n">
        <v>24.5</v>
      </c>
      <c r="N256" s="186" t="n">
        <v>679</v>
      </c>
      <c r="O256" t="n">
        <v>0</v>
      </c>
      <c r="X256">
        <f>O256-W256</f>
        <v/>
      </c>
      <c r="Y256" t="n">
        <v>30</v>
      </c>
      <c r="AB256" s="186">
        <f>IFERROR(O256*M256,0)</f>
        <v/>
      </c>
      <c r="AC256" s="186">
        <f>IFERROR(O256*N256,0)</f>
        <v/>
      </c>
      <c r="AD256" t="inlineStr">
        <is>
          <t>Solo en plataformas</t>
        </is>
      </c>
    </row>
    <row r="257">
      <c r="A257" t="inlineStr">
        <is>
          <t>199168096069</t>
        </is>
      </c>
      <c r="C257" t="inlineStr">
        <is>
          <t>03-057-0590-1200 BL-M</t>
        </is>
      </c>
      <c r="D257" t="inlineStr">
        <is>
          <t>03-057-0590-1200</t>
        </is>
      </c>
      <c r="E257" t="inlineStr">
        <is>
          <t>Roper</t>
        </is>
      </c>
      <c r="F257" t="inlineStr">
        <is>
          <t>ROPER Dress Boot Printed Rayon Babydoll</t>
        </is>
      </c>
      <c r="G257" t="inlineStr">
        <is>
          <t>M</t>
        </is>
      </c>
      <c r="I257" t="inlineStr">
        <is>
          <t>Ropa</t>
        </is>
      </c>
      <c r="J257" t="inlineStr">
        <is>
          <t>Vestidos</t>
        </is>
      </c>
      <c r="K257" t="inlineStr">
        <is>
          <t>Mujer</t>
        </is>
      </c>
      <c r="L257" t="inlineStr">
        <is>
          <t>PZS</t>
        </is>
      </c>
      <c r="M257" s="186" t="n">
        <v>24.5</v>
      </c>
      <c r="N257" s="186" t="n">
        <v>679</v>
      </c>
      <c r="O257" t="n">
        <v>0</v>
      </c>
      <c r="X257">
        <f>O257-W257</f>
        <v/>
      </c>
      <c r="Y257" t="n">
        <v>29</v>
      </c>
      <c r="AB257" s="186">
        <f>IFERROR(O257*M257,0)</f>
        <v/>
      </c>
      <c r="AC257" s="186">
        <f>IFERROR(O257*N257,0)</f>
        <v/>
      </c>
      <c r="AD257" t="inlineStr">
        <is>
          <t>Solo en plataformas</t>
        </is>
      </c>
    </row>
    <row r="258">
      <c r="A258" t="inlineStr">
        <is>
          <t>199168096076</t>
        </is>
      </c>
      <c r="C258" t="inlineStr">
        <is>
          <t>03-057-0590-1200 BL-S</t>
        </is>
      </c>
      <c r="D258" t="inlineStr">
        <is>
          <t>03-057-0590-1200</t>
        </is>
      </c>
      <c r="E258" t="inlineStr">
        <is>
          <t>Roper</t>
        </is>
      </c>
      <c r="F258" t="inlineStr">
        <is>
          <t>ROPER Dress Boot Printed Rayon Babydoll</t>
        </is>
      </c>
      <c r="G258" t="inlineStr">
        <is>
          <t>S</t>
        </is>
      </c>
      <c r="I258" t="inlineStr">
        <is>
          <t>Ropa</t>
        </is>
      </c>
      <c r="J258" t="inlineStr">
        <is>
          <t>Vestidos</t>
        </is>
      </c>
      <c r="K258" t="inlineStr">
        <is>
          <t>Mujer</t>
        </is>
      </c>
      <c r="L258" t="inlineStr">
        <is>
          <t>PZS</t>
        </is>
      </c>
      <c r="M258" s="186" t="n">
        <v>24.5</v>
      </c>
      <c r="N258" s="186" t="n">
        <v>679</v>
      </c>
      <c r="O258" t="n">
        <v>0</v>
      </c>
      <c r="X258">
        <f>O258-W258</f>
        <v/>
      </c>
      <c r="Y258" t="n">
        <v>30</v>
      </c>
      <c r="AB258" s="186">
        <f>IFERROR(O258*M258,0)</f>
        <v/>
      </c>
      <c r="AC258" s="186">
        <f>IFERROR(O258*N258,0)</f>
        <v/>
      </c>
      <c r="AD258" t="inlineStr">
        <is>
          <t>Solo en plataformas</t>
        </is>
      </c>
    </row>
    <row r="259">
      <c r="A259" t="inlineStr">
        <is>
          <t>199168096083</t>
        </is>
      </c>
      <c r="C259" t="inlineStr">
        <is>
          <t>03-057-0590-1200 BL-XL</t>
        </is>
      </c>
      <c r="D259" t="inlineStr">
        <is>
          <t>03-057-0590-1200</t>
        </is>
      </c>
      <c r="E259" t="inlineStr">
        <is>
          <t>Roper</t>
        </is>
      </c>
      <c r="F259" t="inlineStr">
        <is>
          <t>ROPER Dress Boot Printed Rayon Babydoll</t>
        </is>
      </c>
      <c r="G259" t="inlineStr">
        <is>
          <t>S</t>
        </is>
      </c>
      <c r="I259" t="inlineStr">
        <is>
          <t>Ropa</t>
        </is>
      </c>
      <c r="J259" t="inlineStr">
        <is>
          <t>Vestidos</t>
        </is>
      </c>
      <c r="K259" t="inlineStr">
        <is>
          <t>Hombre</t>
        </is>
      </c>
      <c r="L259" t="inlineStr">
        <is>
          <t>PZS</t>
        </is>
      </c>
      <c r="M259" s="186" t="n">
        <v>24.5</v>
      </c>
      <c r="N259" s="186" t="n">
        <v>679</v>
      </c>
      <c r="O259" t="n">
        <v>0</v>
      </c>
      <c r="X259">
        <f>O259-W259</f>
        <v/>
      </c>
      <c r="Y259" t="n">
        <v>20</v>
      </c>
      <c r="AB259" s="186">
        <f>IFERROR(O259*M259,0)</f>
        <v/>
      </c>
      <c r="AC259" s="186">
        <f>IFERROR(O259*N259,0)</f>
        <v/>
      </c>
      <c r="AD259" t="inlineStr">
        <is>
          <t>Solo en plataformas</t>
        </is>
      </c>
    </row>
    <row r="260">
      <c r="A260" t="inlineStr">
        <is>
          <t>199168096090</t>
        </is>
      </c>
      <c r="C260" t="inlineStr">
        <is>
          <t>03-057-0590-1200 BL-XS</t>
        </is>
      </c>
      <c r="D260" t="inlineStr">
        <is>
          <t>03-057-0590-1200</t>
        </is>
      </c>
      <c r="E260" t="inlineStr">
        <is>
          <t>Roper</t>
        </is>
      </c>
      <c r="F260" t="inlineStr">
        <is>
          <t>ROPER Dress Boot Printed Rayon Babydoll</t>
        </is>
      </c>
      <c r="G260" t="inlineStr">
        <is>
          <t>XS</t>
        </is>
      </c>
      <c r="I260" t="inlineStr">
        <is>
          <t>Ropa</t>
        </is>
      </c>
      <c r="J260" t="inlineStr">
        <is>
          <t>Vestidos</t>
        </is>
      </c>
      <c r="K260" t="inlineStr">
        <is>
          <t>Mujer</t>
        </is>
      </c>
      <c r="L260" t="inlineStr">
        <is>
          <t>PZS</t>
        </is>
      </c>
      <c r="M260" s="186" t="n">
        <v>24.5</v>
      </c>
      <c r="N260" s="186" t="n">
        <v>679</v>
      </c>
      <c r="O260" t="n">
        <v>0</v>
      </c>
      <c r="X260">
        <f>O260-W260</f>
        <v/>
      </c>
      <c r="Y260" t="n">
        <v>10</v>
      </c>
      <c r="AB260" s="186">
        <f>IFERROR(O260*M260,0)</f>
        <v/>
      </c>
      <c r="AC260" s="186">
        <f>IFERROR(O260*N260,0)</f>
        <v/>
      </c>
      <c r="AD260" t="inlineStr">
        <is>
          <t>Solo en plataformas</t>
        </is>
      </c>
    </row>
    <row r="261">
      <c r="A261" t="inlineStr">
        <is>
          <t>199168063054</t>
        </is>
      </c>
      <c r="C261" t="inlineStr">
        <is>
          <t>03-257-0594-6173 BU-M</t>
        </is>
      </c>
      <c r="D261" t="inlineStr">
        <is>
          <t>03-257-0594-6173</t>
        </is>
      </c>
      <c r="E261" t="inlineStr">
        <is>
          <t>Roper</t>
        </is>
      </c>
      <c r="F261" t="inlineStr">
        <is>
          <t>ROPER Dress Dk Blue Denim Tank</t>
        </is>
      </c>
      <c r="G261" t="inlineStr">
        <is>
          <t>M</t>
        </is>
      </c>
      <c r="H261" t="inlineStr">
        <is>
          <t>Azul</t>
        </is>
      </c>
      <c r="I261" t="inlineStr">
        <is>
          <t>Ropa</t>
        </is>
      </c>
      <c r="J261" t="inlineStr">
        <is>
          <t>Vestidos</t>
        </is>
      </c>
      <c r="K261" t="inlineStr">
        <is>
          <t>Mujer</t>
        </is>
      </c>
      <c r="L261" t="inlineStr">
        <is>
          <t>PZS</t>
        </is>
      </c>
      <c r="M261" s="186" t="n">
        <v>20</v>
      </c>
      <c r="N261" s="186" t="n">
        <v>569</v>
      </c>
      <c r="O261" t="n">
        <v>0</v>
      </c>
      <c r="X261">
        <f>O261-W261</f>
        <v/>
      </c>
      <c r="Y261" t="n">
        <v>5</v>
      </c>
      <c r="AB261" s="186">
        <f>IFERROR(O261*M261,0)</f>
        <v/>
      </c>
      <c r="AC261" s="186">
        <f>IFERROR(O261*N261,0)</f>
        <v/>
      </c>
      <c r="AD261" t="inlineStr">
        <is>
          <t>Solo en plataformas</t>
        </is>
      </c>
    </row>
    <row r="262">
      <c r="A262" t="inlineStr">
        <is>
          <t>199168063061</t>
        </is>
      </c>
      <c r="C262" t="inlineStr">
        <is>
          <t>03-257-0594-6173 BU-S</t>
        </is>
      </c>
      <c r="D262" t="inlineStr">
        <is>
          <t>03-257-0594-6173</t>
        </is>
      </c>
      <c r="E262" t="inlineStr">
        <is>
          <t>Roper</t>
        </is>
      </c>
      <c r="F262" t="inlineStr">
        <is>
          <t>ROPER Dress Dk Blue Denim Tank</t>
        </is>
      </c>
      <c r="G262" t="inlineStr">
        <is>
          <t>S</t>
        </is>
      </c>
      <c r="H262" t="inlineStr">
        <is>
          <t>Azul</t>
        </is>
      </c>
      <c r="I262" t="inlineStr">
        <is>
          <t>Ropa</t>
        </is>
      </c>
      <c r="J262" t="inlineStr">
        <is>
          <t>Vestidos</t>
        </is>
      </c>
      <c r="K262" t="inlineStr">
        <is>
          <t>Hombre</t>
        </is>
      </c>
      <c r="L262" t="inlineStr">
        <is>
          <t>PZS</t>
        </is>
      </c>
      <c r="M262" s="186" t="n">
        <v>20</v>
      </c>
      <c r="N262" s="186" t="n">
        <v>569</v>
      </c>
      <c r="O262" t="n">
        <v>0</v>
      </c>
      <c r="X262">
        <f>O262-W262</f>
        <v/>
      </c>
      <c r="Y262" t="n">
        <v>5</v>
      </c>
      <c r="AB262" s="186">
        <f>IFERROR(O262*M262,0)</f>
        <v/>
      </c>
      <c r="AC262" s="186">
        <f>IFERROR(O262*N262,0)</f>
        <v/>
      </c>
      <c r="AD262" t="inlineStr">
        <is>
          <t>Solo en plataformas</t>
        </is>
      </c>
    </row>
    <row r="263">
      <c r="A263" t="inlineStr">
        <is>
          <t>199168063047</t>
        </is>
      </c>
      <c r="C263" t="inlineStr">
        <is>
          <t>03-257-0594-6173 BU-L</t>
        </is>
      </c>
      <c r="D263" t="inlineStr">
        <is>
          <t>03-257-0594-6173</t>
        </is>
      </c>
      <c r="E263" t="inlineStr">
        <is>
          <t>Roper</t>
        </is>
      </c>
      <c r="F263" t="inlineStr">
        <is>
          <t>ROPER Dress Dk Blue Denim Tank</t>
        </is>
      </c>
      <c r="G263" t="inlineStr">
        <is>
          <t>XL</t>
        </is>
      </c>
      <c r="H263" t="inlineStr">
        <is>
          <t>Azul</t>
        </is>
      </c>
      <c r="I263" t="inlineStr">
        <is>
          <t>Ropa</t>
        </is>
      </c>
      <c r="J263" t="inlineStr">
        <is>
          <t>Vestidos</t>
        </is>
      </c>
      <c r="K263" t="inlineStr">
        <is>
          <t>Hombre</t>
        </is>
      </c>
      <c r="L263" t="inlineStr">
        <is>
          <t>PZS</t>
        </is>
      </c>
      <c r="M263" s="186" t="n">
        <v>20</v>
      </c>
      <c r="N263" s="186" t="n">
        <v>569</v>
      </c>
      <c r="O263" t="n">
        <v>0</v>
      </c>
      <c r="X263">
        <f>O263-W263</f>
        <v/>
      </c>
      <c r="Y263" t="n">
        <v>5</v>
      </c>
      <c r="AB263" s="186">
        <f>IFERROR(O263*M263,0)</f>
        <v/>
      </c>
      <c r="AC263" s="186">
        <f>IFERROR(O263*N263,0)</f>
        <v/>
      </c>
      <c r="AD263" t="inlineStr">
        <is>
          <t>Solo en plataformas</t>
        </is>
      </c>
    </row>
  </sheetData>
  <autoFilter ref="A1:AD26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42" customWidth="1" style="176" min="1" max="1"/>
    <col width="18" customWidth="1" style="176" min="2" max="2"/>
    <col width="30" customWidth="1" style="176" min="3" max="3"/>
    <col width="18" customWidth="1" style="176" min="4" max="4"/>
    <col width="18" customWidth="1" style="176" min="5" max="5"/>
    <col width="18" customWidth="1" style="176" min="6" max="6"/>
    <col width="18" customWidth="1" style="176" min="7" max="7"/>
    <col width="18" customWidth="1" style="176" min="8" max="8"/>
    <col width="18" customWidth="1" style="176" min="9" max="9"/>
    <col width="18" customWidth="1" style="176" min="10" max="10"/>
    <col width="18" customWidth="1" style="176" min="11" max="11"/>
  </cols>
  <sheetData>
    <row r="1">
      <c r="A1" s="187" t="inlineStr">
        <is>
          <t>Indicadores de inventario · Roper</t>
        </is>
      </c>
    </row>
    <row r="2">
      <c r="A2" t="inlineStr">
        <is>
          <t>NetSuite al 06/10/2026 · corte anterior NetSuite 28/09/2026 · Shopify Ariat 05/10/2026 · Shopify Stetson, Western Brothers y Odoo 01/10/2026</t>
        </is>
      </c>
    </row>
    <row r="4">
      <c r="A4" s="188" t="inlineStr">
        <is>
          <t>Existencia actual (NetSuite)</t>
        </is>
      </c>
      <c r="B4" s="189" t="n"/>
      <c r="C4" s="189" t="n"/>
      <c r="D4" s="189" t="n"/>
    </row>
    <row r="5">
      <c r="A5" s="190" t="inlineStr">
        <is>
          <t>Indicador</t>
        </is>
      </c>
      <c r="B5" s="190" t="inlineStr">
        <is>
          <t>Valor</t>
        </is>
      </c>
      <c r="C5" s="190" t="inlineStr">
        <is>
          <t>Nota</t>
        </is>
      </c>
    </row>
    <row r="6">
      <c r="A6" t="inlineStr">
        <is>
          <t>Artículos con existencia</t>
        </is>
      </c>
      <c r="B6" s="191">
        <f>COUNTIF(Inventario!$O$2:$O$263,"&gt;0")</f>
        <v/>
      </c>
      <c r="C6" t="inlineStr"/>
    </row>
    <row r="7">
      <c r="A7" t="inlineStr">
        <is>
          <t>Unidades en mano</t>
        </is>
      </c>
      <c r="B7" s="191">
        <f>SUM(Inventario!$O$2:$O$263)</f>
        <v/>
      </c>
      <c r="C7" t="inlineStr">
        <is>
          <t>Existencia del sistema</t>
        </is>
      </c>
    </row>
    <row r="8">
      <c r="A8" t="inlineStr">
        <is>
          <t>Unidades disponibles</t>
        </is>
      </c>
      <c r="B8" s="191">
        <f>SUM(Inventario!$P$2:$P$263)</f>
        <v/>
      </c>
      <c r="C8" t="inlineStr"/>
    </row>
    <row r="9">
      <c r="A9" t="inlineStr">
        <is>
          <t>Unidades comprometidas</t>
        </is>
      </c>
      <c r="B9" s="191">
        <f>SUM(Inventario!$Q$2:$Q$263)</f>
        <v/>
      </c>
      <c r="C9" t="inlineStr">
        <is>
          <t>Pedidos por surtir</t>
        </is>
      </c>
    </row>
    <row r="10">
      <c r="A10" t="inlineStr">
        <is>
          <t>Unidades en tránsito</t>
        </is>
      </c>
      <c r="B10" s="191">
        <f>SUM(Inventario!$S$2:$S$263)</f>
        <v/>
      </c>
      <c r="C10" t="inlineStr"/>
    </row>
    <row r="11">
      <c r="A11" t="inlineStr">
        <is>
          <t>Unidades en pedido</t>
        </is>
      </c>
      <c r="B11" s="191" t="n">
        <v>0</v>
      </c>
      <c r="C11" t="inlineStr">
        <is>
          <t>Órdenes de compra abiertas de 0 artículos; 0 de ellos aún no tienen existencia y no aparecen en la hoja Inventario</t>
        </is>
      </c>
    </row>
    <row r="12">
      <c r="A12" t="inlineStr">
        <is>
          <t>Unidades pendientes por surtir</t>
        </is>
      </c>
      <c r="B12" s="191">
        <f>SUM(Inventario!$T$2:$T$263)</f>
        <v/>
      </c>
      <c r="C12" t="inlineStr"/>
    </row>
    <row r="13">
      <c r="A13" t="inlineStr">
        <is>
          <t>Unidades en ubicaciones inactivas</t>
        </is>
      </c>
      <c r="B13" s="191">
        <f>SUM(Inventario!$U$2:$U$263)</f>
        <v/>
      </c>
      <c r="C13" t="inlineStr">
        <is>
          <t>Ubicaciones dadas de baja en NetSuite que aún tienen existencia</t>
        </is>
      </c>
    </row>
    <row r="14">
      <c r="A14" t="inlineStr">
        <is>
          <t>Artículos con existencia negativa</t>
        </is>
      </c>
      <c r="B14" s="191">
        <f>COUNTIF(Inventario!$O$2:$O$263,"&lt;0")</f>
        <v/>
      </c>
      <c r="C14" t="inlineStr">
        <is>
          <t>Revisar en conteo</t>
        </is>
      </c>
    </row>
    <row r="15">
      <c r="A15" t="inlineStr">
        <is>
          <t>Unidades en negativo</t>
        </is>
      </c>
      <c r="B15" s="191">
        <f>SUMIF(Inventario!$O$2:$O$263,"&lt;0")</f>
        <v/>
      </c>
      <c r="C15" t="inlineStr"/>
    </row>
    <row r="16">
      <c r="A16" t="inlineStr">
        <is>
          <t>Valor en mano a costo</t>
        </is>
      </c>
      <c r="B16" s="186">
        <f>SUM(Inventario!$AB$2:$AB$263)</f>
        <v/>
      </c>
      <c r="C16" t="inlineStr">
        <is>
          <t>Precio de compra de NetSuite; hay costos que parecen estar en dólares (ver Notas)</t>
        </is>
      </c>
    </row>
    <row r="17">
      <c r="A17" t="inlineStr">
        <is>
          <t>Valor en mano a precio de venta</t>
        </is>
      </c>
      <c r="B17" s="186">
        <f>SUM(Inventario!$AC$2:$AC$263)</f>
        <v/>
      </c>
      <c r="C17" t="inlineStr">
        <is>
          <t>Precio de venta sin IVA</t>
        </is>
      </c>
    </row>
    <row r="19">
      <c r="A19" s="188" t="inlineStr">
        <is>
          <t>Movimiento neto 28/09/2026 → 06/10/2026</t>
        </is>
      </c>
      <c r="B19" s="189" t="n"/>
      <c r="C19" s="189" t="n"/>
      <c r="D19" s="189" t="n"/>
    </row>
    <row r="20">
      <c r="A20" s="190" t="inlineStr">
        <is>
          <t>Indicador</t>
        </is>
      </c>
      <c r="B20" s="190" t="inlineStr">
        <is>
          <t>Valor</t>
        </is>
      </c>
      <c r="C20" s="190" t="inlineStr">
        <is>
          <t>Nota</t>
        </is>
      </c>
    </row>
    <row r="21">
      <c r="A21" t="inlineStr">
        <is>
          <t>Unidades en mano al 28/09/2026</t>
        </is>
      </c>
      <c r="B21" s="191">
        <f>SUM(Inventario!$W$2:$W$263)</f>
        <v/>
      </c>
      <c r="C21" t="inlineStr"/>
    </row>
    <row r="22">
      <c r="A22" t="inlineStr">
        <is>
          <t>Variación neta de unidades</t>
        </is>
      </c>
      <c r="B22" s="191">
        <f>SUM(Inventario!$X$2:$X$263)</f>
        <v/>
      </c>
      <c r="C22" t="inlineStr">
        <is>
          <t>En mano actual − en mano anterior</t>
        </is>
      </c>
    </row>
    <row r="23">
      <c r="A23" t="inlineStr">
        <is>
          <t>Unidades que salieron (neto)</t>
        </is>
      </c>
      <c r="B23" s="191">
        <f>SUMIF(Inventario!$X$2:$X$263,"&lt;0")</f>
        <v/>
      </c>
      <c r="C23" t="inlineStr">
        <is>
          <t>Ventas, traspasos o ajustes</t>
        </is>
      </c>
    </row>
    <row r="24">
      <c r="A24" t="inlineStr">
        <is>
          <t>Unidades que entraron (neto)</t>
        </is>
      </c>
      <c r="B24" s="191">
        <f>SUMIF(Inventario!$X$2:$X$263,"&gt;0")</f>
        <v/>
      </c>
      <c r="C24" t="inlineStr">
        <is>
          <t>Recepciones, traspasos o ajustes</t>
        </is>
      </c>
    </row>
    <row r="25">
      <c r="A25" t="inlineStr">
        <is>
          <t>Artículos que bajaron</t>
        </is>
      </c>
      <c r="B25" s="191">
        <f>COUNTIF(Inventario!$X$2:$X$263,"&lt;0")</f>
        <v/>
      </c>
      <c r="C25" t="inlineStr"/>
    </row>
    <row r="26">
      <c r="A26" t="inlineStr">
        <is>
          <t>Artículos que subieron</t>
        </is>
      </c>
      <c r="B26" s="191">
        <f>COUNTIF(Inventario!$X$2:$X$263,"&gt;0")</f>
        <v/>
      </c>
      <c r="C26" t="inlineStr"/>
    </row>
    <row r="27">
      <c r="A27" t="inlineStr">
        <is>
          <t>Artículos que se agotaron</t>
        </is>
      </c>
      <c r="B27" s="191">
        <f>COUNTIFS(Inventario!$O$2:$O$263,0,Inventario!$W$2:$W$263,"&gt;0")</f>
        <v/>
      </c>
      <c r="C27" t="inlineStr"/>
    </row>
    <row r="29">
      <c r="A29" s="188" t="inlineStr">
        <is>
          <t>Existencia en plataformas</t>
        </is>
      </c>
      <c r="B29" s="189" t="n"/>
      <c r="C29" s="189" t="n"/>
      <c r="D29" s="189" t="n"/>
    </row>
    <row r="30">
      <c r="A30" s="190" t="inlineStr">
        <is>
          <t>Plataforma</t>
        </is>
      </c>
      <c r="B30" s="190" t="inlineStr">
        <is>
          <t>Unidades</t>
        </is>
      </c>
      <c r="C30" s="190" t="inlineStr">
        <is>
          <t>Artículos con existencia</t>
        </is>
      </c>
      <c r="D30" s="190" t="inlineStr">
        <is>
          <t>Corte</t>
        </is>
      </c>
    </row>
    <row r="31">
      <c r="A31" t="inlineStr">
        <is>
          <t>Odoo Universal Unique Brands</t>
        </is>
      </c>
      <c r="B31" s="191">
        <f>SUM(Inventario!$Y$2:$Y$263)</f>
        <v/>
      </c>
      <c r="C31" s="191">
        <f>COUNTIF(Inventario!$Y$2:$Y$263,"&gt;0")</f>
        <v/>
      </c>
      <c r="D31" t="inlineStr">
        <is>
          <t>01/10/2026</t>
        </is>
      </c>
    </row>
    <row r="33">
      <c r="A33" s="188" t="inlineStr">
        <is>
          <t>Conteo cíclico</t>
        </is>
      </c>
      <c r="B33" s="189" t="n"/>
      <c r="C33" s="189" t="n"/>
      <c r="D33" s="189" t="n"/>
    </row>
    <row r="34">
      <c r="A34" s="190" t="inlineStr">
        <is>
          <t>Indicador</t>
        </is>
      </c>
      <c r="B34" s="190" t="inlineStr">
        <is>
          <t>Valor</t>
        </is>
      </c>
    </row>
    <row r="35">
      <c r="A35" t="inlineStr">
        <is>
          <t>Piezas contadas en rack (Escaneos)</t>
        </is>
      </c>
      <c r="B35" s="191">
        <f>SUM(Inventario!$Z$2:$Z$263)</f>
        <v/>
      </c>
    </row>
    <row r="36">
      <c r="A36" t="inlineStr">
        <is>
          <t>Artículos contados</t>
        </is>
      </c>
      <c r="B36" s="191">
        <f>COUNTIF(Inventario!$Z$2:$Z$263,"&gt;0")</f>
        <v/>
      </c>
    </row>
    <row r="38">
      <c r="A38" s="188" t="inlineStr">
        <is>
          <t>Por ubicación NetSuite</t>
        </is>
      </c>
      <c r="B38" s="189" t="n"/>
      <c r="C38" s="189" t="n"/>
      <c r="D38" s="189" t="n"/>
      <c r="E38" s="189" t="n"/>
      <c r="F38" s="189" t="n"/>
      <c r="G38" s="189" t="n"/>
      <c r="H38" s="189" t="n"/>
      <c r="I38" s="189" t="n"/>
      <c r="J38" s="189" t="n"/>
      <c r="K38" s="189" t="n"/>
    </row>
    <row r="39">
      <c r="A39" s="190" t="inlineStr">
        <is>
          <t>Ubicación</t>
        </is>
      </c>
      <c r="B39" s="190" t="inlineStr">
        <is>
          <t>Bodega / tipo</t>
        </is>
      </c>
      <c r="C39" s="190" t="inlineStr">
        <is>
          <t>Activa</t>
        </is>
      </c>
      <c r="D39" s="190" t="inlineStr">
        <is>
          <t>En mano</t>
        </is>
      </c>
      <c r="E39" s="190" t="inlineStr">
        <is>
          <t>% del total</t>
        </is>
      </c>
      <c r="F39" s="190" t="inlineStr">
        <is>
          <t>Artículos con existencia</t>
        </is>
      </c>
      <c r="G39" s="190" t="inlineStr">
        <is>
          <t>Artículos en negativo</t>
        </is>
      </c>
      <c r="H39" s="190" t="inlineStr">
        <is>
          <t>En mano 28/09/2026</t>
        </is>
      </c>
      <c r="I39" s="190" t="inlineStr">
        <is>
          <t>Entradas netas</t>
        </is>
      </c>
      <c r="J39" s="190" t="inlineStr">
        <is>
          <t>Salidas netas</t>
        </is>
      </c>
      <c r="K39" s="190" t="inlineStr">
        <is>
          <t>Variación</t>
        </is>
      </c>
    </row>
    <row r="41">
      <c r="A41" s="188" t="inlineStr">
        <is>
          <t>Por división</t>
        </is>
      </c>
      <c r="B41" s="189" t="n"/>
      <c r="C41" s="189" t="n"/>
      <c r="D41" s="189" t="n"/>
      <c r="E41" s="189" t="n"/>
      <c r="F41" s="189" t="n"/>
    </row>
    <row r="42">
      <c r="A42" s="190" t="inlineStr">
        <is>
          <t>División</t>
        </is>
      </c>
      <c r="B42" s="190" t="inlineStr">
        <is>
          <t>En mano</t>
        </is>
      </c>
      <c r="C42" s="190" t="inlineStr">
        <is>
          <t>Artículos con existencia</t>
        </is>
      </c>
      <c r="D42" s="190" t="inlineStr">
        <is>
          <t>Valor a costo</t>
        </is>
      </c>
      <c r="E42" s="190" t="inlineStr">
        <is>
          <t>Valor a precio de venta</t>
        </is>
      </c>
      <c r="F42" s="190" t="inlineStr">
        <is>
          <t>Variación neta</t>
        </is>
      </c>
    </row>
    <row r="43">
      <c r="A43" t="inlineStr">
        <is>
          <t>Ropa</t>
        </is>
      </c>
      <c r="B43" s="191">
        <f>SUMIFS(Inventario!$O$2:$O$263,Inventario!$I$2:$I$263,"Ropa")</f>
        <v/>
      </c>
      <c r="C43" s="191">
        <f>COUNTIFS(Inventario!$I$2:$I$263,"Ropa",Inventario!$O$2:$O$263,"&gt;0")</f>
        <v/>
      </c>
      <c r="D43" s="186">
        <f>SUMIFS(Inventario!$AB$2:$AB$263,Inventario!$I$2:$I$263,"Ropa")</f>
        <v/>
      </c>
      <c r="E43" s="186">
        <f>SUMIFS(Inventario!$AC$2:$AC$263,Inventario!$I$2:$I$263,"Ropa")</f>
        <v/>
      </c>
      <c r="F43" s="191">
        <f>SUMIFS(Inventario!$X$2:$X$263,Inventario!$I$2:$I$263,"Ropa")</f>
        <v/>
      </c>
    </row>
    <row r="45">
      <c r="A45" s="188" t="inlineStr">
        <is>
          <t>Por categoría</t>
        </is>
      </c>
      <c r="B45" s="189" t="n"/>
      <c r="C45" s="189" t="n"/>
      <c r="D45" s="189" t="n"/>
      <c r="E45" s="189" t="n"/>
      <c r="F45" s="189" t="n"/>
    </row>
    <row r="46">
      <c r="A46" s="190" t="inlineStr">
        <is>
          <t>Categoría</t>
        </is>
      </c>
      <c r="B46" s="190" t="inlineStr">
        <is>
          <t>En mano</t>
        </is>
      </c>
      <c r="C46" s="190" t="inlineStr">
        <is>
          <t>Artículos con existencia</t>
        </is>
      </c>
      <c r="D46" s="190" t="inlineStr">
        <is>
          <t>Valor a costo</t>
        </is>
      </c>
      <c r="E46" s="190" t="inlineStr">
        <is>
          <t>Valor a precio de venta</t>
        </is>
      </c>
      <c r="F46" s="190" t="inlineStr">
        <is>
          <t>Variación neta</t>
        </is>
      </c>
    </row>
    <row r="47">
      <c r="A47" t="inlineStr">
        <is>
          <t>Camisas</t>
        </is>
      </c>
      <c r="B47" s="191">
        <f>SUMIFS(Inventario!$O$2:$O$263,Inventario!$J$2:$J$263,"Camisas")</f>
        <v/>
      </c>
      <c r="C47" s="191">
        <f>COUNTIFS(Inventario!$J$2:$J$263,"Camisas",Inventario!$O$2:$O$263,"&gt;0")</f>
        <v/>
      </c>
      <c r="D47" s="186">
        <f>SUMIFS(Inventario!$AB$2:$AB$263,Inventario!$J$2:$J$263,"Camisas")</f>
        <v/>
      </c>
      <c r="E47" s="186">
        <f>SUMIFS(Inventario!$AC$2:$AC$263,Inventario!$J$2:$J$263,"Camisas")</f>
        <v/>
      </c>
      <c r="F47" s="191">
        <f>SUMIFS(Inventario!$X$2:$X$263,Inventario!$J$2:$J$263,"Camisas")</f>
        <v/>
      </c>
    </row>
    <row r="48">
      <c r="A48" t="inlineStr">
        <is>
          <t>Chamarras</t>
        </is>
      </c>
      <c r="B48" s="191">
        <f>SUMIFS(Inventario!$O$2:$O$263,Inventario!$J$2:$J$263,"Chamarras")</f>
        <v/>
      </c>
      <c r="C48" s="191">
        <f>COUNTIFS(Inventario!$J$2:$J$263,"Chamarras",Inventario!$O$2:$O$263,"&gt;0")</f>
        <v/>
      </c>
      <c r="D48" s="186">
        <f>SUMIFS(Inventario!$AB$2:$AB$263,Inventario!$J$2:$J$263,"Chamarras")</f>
        <v/>
      </c>
      <c r="E48" s="186">
        <f>SUMIFS(Inventario!$AC$2:$AC$263,Inventario!$J$2:$J$263,"Chamarras")</f>
        <v/>
      </c>
      <c r="F48" s="191">
        <f>SUMIFS(Inventario!$X$2:$X$263,Inventario!$J$2:$J$263,"Chamarras")</f>
        <v/>
      </c>
    </row>
    <row r="49">
      <c r="A49" t="inlineStr">
        <is>
          <t>Vestidos</t>
        </is>
      </c>
      <c r="B49" s="191">
        <f>SUMIFS(Inventario!$O$2:$O$263,Inventario!$J$2:$J$263,"Vestidos")</f>
        <v/>
      </c>
      <c r="C49" s="191">
        <f>COUNTIFS(Inventario!$J$2:$J$263,"Vestidos",Inventario!$O$2:$O$263,"&gt;0")</f>
        <v/>
      </c>
      <c r="D49" s="186">
        <f>SUMIFS(Inventario!$AB$2:$AB$263,Inventario!$J$2:$J$263,"Vestidos")</f>
        <v/>
      </c>
      <c r="E49" s="186">
        <f>SUMIFS(Inventario!$AC$2:$AC$263,Inventario!$J$2:$J$263,"Vestidos")</f>
        <v/>
      </c>
      <c r="F49" s="191">
        <f>SUMIFS(Inventario!$X$2:$X$263,Inventario!$J$2:$J$263,"Vestidos")</f>
        <v/>
      </c>
    </row>
    <row r="51">
      <c r="A51" s="188" t="inlineStr">
        <is>
          <t>15 artículos con más unidades en mano</t>
        </is>
      </c>
      <c r="B51" s="189" t="n"/>
      <c r="C51" s="189" t="n"/>
      <c r="D51" s="189" t="n"/>
      <c r="E51" s="189" t="n"/>
      <c r="F51" s="189" t="n"/>
    </row>
    <row r="52">
      <c r="A52" s="190" t="inlineStr">
        <is>
          <t>Código de barras</t>
        </is>
      </c>
      <c r="B52" s="190" t="inlineStr">
        <is>
          <t>WB SKU</t>
        </is>
      </c>
      <c r="C52" s="190" t="inlineStr">
        <is>
          <t>WB Descripcion</t>
        </is>
      </c>
      <c r="D52" s="190" t="inlineStr">
        <is>
          <t>WB Talla</t>
        </is>
      </c>
      <c r="E52" s="190" t="inlineStr">
        <is>
          <t>En mano</t>
        </is>
      </c>
      <c r="F52" s="190" t="inlineStr">
        <is>
          <t>Variación</t>
        </is>
      </c>
    </row>
    <row r="53">
      <c r="A53" t="inlineStr">
        <is>
          <t>199168087470</t>
        </is>
      </c>
      <c r="B53" t="inlineStr">
        <is>
          <t>01-001-0016-1076 BL-L</t>
        </is>
      </c>
      <c r="C53" t="inlineStr">
        <is>
          <t>ROPER Shirt Black/GreyWhite /Plaid</t>
        </is>
      </c>
      <c r="D53" t="inlineStr">
        <is>
          <t>L</t>
        </is>
      </c>
      <c r="E53" t="n">
        <v>0</v>
      </c>
      <c r="F53" t="n">
        <v>0</v>
      </c>
    </row>
    <row r="54">
      <c r="A54" t="inlineStr">
        <is>
          <t>199168087487</t>
        </is>
      </c>
      <c r="B54" t="inlineStr">
        <is>
          <t>01-001-0016-1076 BL-M</t>
        </is>
      </c>
      <c r="C54" t="inlineStr">
        <is>
          <t>ROPER Shirt Black/GreyWhite /Plaid</t>
        </is>
      </c>
      <c r="D54" t="inlineStr">
        <is>
          <t>M</t>
        </is>
      </c>
      <c r="E54" t="n">
        <v>0</v>
      </c>
      <c r="F54" t="n">
        <v>0</v>
      </c>
    </row>
    <row r="55">
      <c r="A55" t="inlineStr">
        <is>
          <t>199168087494</t>
        </is>
      </c>
      <c r="B55" t="inlineStr">
        <is>
          <t>01-001-0016-1076 BL-S</t>
        </is>
      </c>
      <c r="C55" t="inlineStr">
        <is>
          <t>ROPER Shirt Black/GreyWhite /Plaid</t>
        </is>
      </c>
      <c r="D55" t="inlineStr">
        <is>
          <t>S</t>
        </is>
      </c>
      <c r="E55" t="n">
        <v>0</v>
      </c>
      <c r="F55" t="n">
        <v>0</v>
      </c>
    </row>
    <row r="56">
      <c r="A56" t="inlineStr">
        <is>
          <t>199168087500</t>
        </is>
      </c>
      <c r="B56" t="inlineStr">
        <is>
          <t>01-001-0016-1076 BL-XL</t>
        </is>
      </c>
      <c r="C56" t="inlineStr">
        <is>
          <t>ROPER Shirt Black/GreyWhite /Plaid</t>
        </is>
      </c>
      <c r="D56" t="inlineStr">
        <is>
          <t>XL</t>
        </is>
      </c>
      <c r="E56" t="n">
        <v>0</v>
      </c>
      <c r="F56" t="n">
        <v>0</v>
      </c>
    </row>
    <row r="57">
      <c r="A57" t="inlineStr">
        <is>
          <t>199168087517</t>
        </is>
      </c>
      <c r="B57" t="inlineStr">
        <is>
          <t>01-001-0016-1076 BL-2XL</t>
        </is>
      </c>
      <c r="C57" t="inlineStr">
        <is>
          <t>ROPER Shirt Black/GreyWhite /Plaid</t>
        </is>
      </c>
      <c r="D57" t="inlineStr">
        <is>
          <t>XXL</t>
        </is>
      </c>
      <c r="E57" t="n">
        <v>0</v>
      </c>
      <c r="F57" t="n">
        <v>0</v>
      </c>
    </row>
    <row r="58">
      <c r="A58" t="inlineStr">
        <is>
          <t>199168041403</t>
        </is>
      </c>
      <c r="B58" t="inlineStr">
        <is>
          <t>01-001-0016-7004 BL-L</t>
        </is>
      </c>
      <c r="C58" t="inlineStr">
        <is>
          <t>ROPER Shirt Bl/Wh/Re Plaid</t>
        </is>
      </c>
      <c r="D58" t="inlineStr">
        <is>
          <t>L</t>
        </is>
      </c>
      <c r="E58" t="n">
        <v>0</v>
      </c>
      <c r="F58" t="n">
        <v>0</v>
      </c>
    </row>
    <row r="59">
      <c r="A59" t="inlineStr">
        <is>
          <t>199168041410</t>
        </is>
      </c>
      <c r="B59" t="inlineStr">
        <is>
          <t>01-001-0016-7004 BL-M</t>
        </is>
      </c>
      <c r="C59" t="inlineStr">
        <is>
          <t>ROPER Shirt Bl/Wh/Re Plaid</t>
        </is>
      </c>
      <c r="D59" t="inlineStr">
        <is>
          <t>M</t>
        </is>
      </c>
      <c r="E59" t="n">
        <v>0</v>
      </c>
      <c r="F59" t="n">
        <v>0</v>
      </c>
    </row>
    <row r="60">
      <c r="A60" t="inlineStr">
        <is>
          <t>199168041427</t>
        </is>
      </c>
      <c r="B60" t="inlineStr">
        <is>
          <t>01-001-0016-7004 BL-S</t>
        </is>
      </c>
      <c r="C60" t="inlineStr">
        <is>
          <t>ROPER Shirt Bl/Wh/Re Plaid</t>
        </is>
      </c>
      <c r="D60" t="inlineStr">
        <is>
          <t>S</t>
        </is>
      </c>
      <c r="E60" t="n">
        <v>0</v>
      </c>
      <c r="F60" t="n">
        <v>0</v>
      </c>
    </row>
    <row r="61">
      <c r="A61" t="inlineStr">
        <is>
          <t>199168041434</t>
        </is>
      </c>
      <c r="B61" t="inlineStr">
        <is>
          <t>01-001-0016-7004 BL-XL</t>
        </is>
      </c>
      <c r="C61" t="inlineStr">
        <is>
          <t>ROPER Shirt Bl/Wh/Re Plaid</t>
        </is>
      </c>
      <c r="D61" t="inlineStr">
        <is>
          <t>XL</t>
        </is>
      </c>
      <c r="E61" t="n">
        <v>0</v>
      </c>
      <c r="F61" t="n">
        <v>0</v>
      </c>
    </row>
    <row r="62">
      <c r="A62" t="inlineStr">
        <is>
          <t>199168041441</t>
        </is>
      </c>
      <c r="B62" t="inlineStr">
        <is>
          <t>01-001-0016-7004 BL-2XL</t>
        </is>
      </c>
      <c r="C62" t="inlineStr">
        <is>
          <t>ROPER Shirt Bl/Wh/Re Plaid</t>
        </is>
      </c>
      <c r="D62" t="inlineStr">
        <is>
          <t>XXL</t>
        </is>
      </c>
      <c r="E62" t="n">
        <v>0</v>
      </c>
      <c r="F62" t="n">
        <v>0</v>
      </c>
    </row>
    <row r="63">
      <c r="A63" t="inlineStr">
        <is>
          <t>199168041458</t>
        </is>
      </c>
      <c r="B63" t="inlineStr">
        <is>
          <t>01-001-0016-7004 BL-3XL</t>
        </is>
      </c>
      <c r="C63" t="inlineStr">
        <is>
          <t>ROPER Shirt Bl/Wh/Re Plaid</t>
        </is>
      </c>
      <c r="D63" t="inlineStr">
        <is>
          <t>XXXL</t>
        </is>
      </c>
      <c r="E63" t="n">
        <v>0</v>
      </c>
      <c r="F63" t="n">
        <v>0</v>
      </c>
    </row>
    <row r="64">
      <c r="A64" t="inlineStr">
        <is>
          <t>199168041588</t>
        </is>
      </c>
      <c r="B64" t="inlineStr">
        <is>
          <t>01-001-0017-7018 BR-L</t>
        </is>
      </c>
      <c r="C64" t="inlineStr">
        <is>
          <t>ROPER Shirt Chocolate Solid Poplin</t>
        </is>
      </c>
      <c r="D64" t="inlineStr">
        <is>
          <t>L</t>
        </is>
      </c>
      <c r="E64" t="n">
        <v>0</v>
      </c>
      <c r="F64" t="n">
        <v>0</v>
      </c>
    </row>
    <row r="65">
      <c r="A65" t="inlineStr">
        <is>
          <t>199168041595</t>
        </is>
      </c>
      <c r="B65" t="inlineStr">
        <is>
          <t>01-001-0017-7018 BR-M</t>
        </is>
      </c>
      <c r="C65" t="inlineStr">
        <is>
          <t>ROPER Shirt Chocolate Solid Poplin</t>
        </is>
      </c>
      <c r="D65" t="inlineStr">
        <is>
          <t>M</t>
        </is>
      </c>
      <c r="E65" t="n">
        <v>0</v>
      </c>
      <c r="F65" t="n">
        <v>0</v>
      </c>
    </row>
    <row r="66">
      <c r="A66" t="inlineStr">
        <is>
          <t>199168041601</t>
        </is>
      </c>
      <c r="B66" t="inlineStr">
        <is>
          <t>01-001-0017-7018 BR-S</t>
        </is>
      </c>
      <c r="C66" t="inlineStr">
        <is>
          <t>ROPER Shirt Chocolate Solid Poplin</t>
        </is>
      </c>
      <c r="D66" t="inlineStr">
        <is>
          <t>S</t>
        </is>
      </c>
      <c r="E66" t="n">
        <v>0</v>
      </c>
      <c r="F66" t="n">
        <v>0</v>
      </c>
    </row>
    <row r="67">
      <c r="A67" t="inlineStr">
        <is>
          <t>199168041618</t>
        </is>
      </c>
      <c r="B67" t="inlineStr">
        <is>
          <t>01-001-0017-7018 BR-XL</t>
        </is>
      </c>
      <c r="C67" t="inlineStr">
        <is>
          <t>ROPER Shirt Chocolate Solid Poplin</t>
        </is>
      </c>
      <c r="D67" t="inlineStr">
        <is>
          <t>XL</t>
        </is>
      </c>
      <c r="E67" t="n">
        <v>0</v>
      </c>
      <c r="F67" t="n">
        <v>0</v>
      </c>
    </row>
    <row r="69">
      <c r="A69" s="188" t="inlineStr">
        <is>
          <t>15 artículos con más salida neta desde 28/09/2026</t>
        </is>
      </c>
      <c r="B69" s="189" t="n"/>
      <c r="C69" s="189" t="n"/>
      <c r="D69" s="189" t="n"/>
      <c r="E69" s="189" t="n"/>
      <c r="F69" s="189" t="n"/>
    </row>
    <row r="70">
      <c r="A70" s="190" t="inlineStr">
        <is>
          <t>Código de barras</t>
        </is>
      </c>
      <c r="B70" s="190" t="inlineStr">
        <is>
          <t>WB SKU</t>
        </is>
      </c>
      <c r="C70" s="190" t="inlineStr">
        <is>
          <t>WB Descripcion</t>
        </is>
      </c>
      <c r="D70" s="190" t="inlineStr">
        <is>
          <t>WB Talla</t>
        </is>
      </c>
      <c r="E70" s="190" t="inlineStr">
        <is>
          <t>En mano</t>
        </is>
      </c>
      <c r="F70" s="190" t="inlineStr">
        <is>
          <t>Variación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2026-10-06T22:55:09Z</dcterms:modified>
</cp:coreProperties>
</file>